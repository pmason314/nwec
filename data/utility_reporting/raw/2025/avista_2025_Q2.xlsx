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"/>
    </mc:Choice>
  </mc:AlternateContent>
  <xr:revisionPtr revIDLastSave="0" documentId="8_{2A274A10-143A-EC46-B474-A11EB5C6F7F7}" xr6:coauthVersionLast="47" xr6:coauthVersionMax="47" xr10:uidLastSave="{00000000-0000-0000-0000-000000000000}"/>
  <bookViews>
    <workbookView xWindow="0" yWindow="500" windowWidth="19420" windowHeight="12560" tabRatio="895" activeTab="1" xr2:uid="{00000000-000D-0000-FFFF-FFFF00000000}"/>
  </bookViews>
  <sheets>
    <sheet name="1. General 2025" sheetId="20" r:id="rId1"/>
    <sheet name="2. Disconnections 2025" sheetId="21" r:id="rId2"/>
    <sheet name="3. Fees 2025" sheetId="22" r:id="rId3"/>
    <sheet name="4. Payment Arrangements 2025" sheetId="23" r:id="rId4"/>
    <sheet name="5. Medical Certificates 2025" sheetId="24" r:id="rId5"/>
    <sheet name="6. Deposits 2025" sheetId="25" r:id="rId6"/>
    <sheet name="7. Bill Assistance 2025" sheetId="26" r:id="rId7"/>
    <sheet name="8. Past Due Balances 2025" sheetId="27" r:id="rId8"/>
    <sheet name="Section K No. 2 a, b, c" sheetId="29" r:id="rId9"/>
    <sheet name="Section K No. 1" sheetId="3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215" i="21" l="1"/>
  <c r="Z215" i="21"/>
  <c r="X215" i="21"/>
  <c r="V215" i="21"/>
  <c r="T215" i="21"/>
  <c r="R215" i="21"/>
  <c r="AB109" i="21"/>
  <c r="Z109" i="21"/>
  <c r="X109" i="21"/>
  <c r="V109" i="21"/>
  <c r="T109" i="21"/>
  <c r="R109" i="21"/>
  <c r="I13" i="30"/>
  <c r="H13" i="30"/>
  <c r="D12" i="30"/>
  <c r="C12" i="30"/>
  <c r="CK217" i="27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CG217" i="27"/>
  <c r="CG218" i="27"/>
  <c r="CG219" i="27"/>
  <c r="CG220" i="27"/>
  <c r="CG221" i="27"/>
  <c r="CG222" i="27"/>
  <c r="CG223" i="27"/>
  <c r="CG224" i="27"/>
  <c r="CG225" i="27"/>
  <c r="CG226" i="27"/>
  <c r="CG227" i="27"/>
  <c r="CG228" i="27"/>
  <c r="CG229" i="27"/>
  <c r="CG230" i="27"/>
  <c r="CG231" i="27"/>
  <c r="CG232" i="27"/>
  <c r="CG233" i="27"/>
  <c r="CG234" i="27"/>
  <c r="CG235" i="27"/>
  <c r="CG236" i="27"/>
  <c r="CG237" i="27"/>
  <c r="CG238" i="27"/>
  <c r="CG239" i="27"/>
  <c r="CG240" i="27"/>
  <c r="CG241" i="27"/>
  <c r="CG242" i="27"/>
  <c r="CG243" i="27"/>
  <c r="CG244" i="27"/>
  <c r="CG245" i="27"/>
  <c r="CG246" i="27"/>
  <c r="CG247" i="27"/>
  <c r="CG248" i="27"/>
  <c r="CG249" i="27"/>
  <c r="CG250" i="27"/>
  <c r="CG251" i="27"/>
  <c r="CG252" i="27"/>
  <c r="CG253" i="27"/>
  <c r="CG254" i="27"/>
  <c r="CG255" i="27"/>
  <c r="CG256" i="27"/>
  <c r="CG257" i="27"/>
  <c r="CG258" i="27"/>
  <c r="CG259" i="27"/>
  <c r="CG260" i="27"/>
  <c r="CG261" i="27"/>
  <c r="CG262" i="27"/>
  <c r="CG263" i="27"/>
  <c r="CG264" i="27"/>
  <c r="CG265" i="27"/>
  <c r="CG266" i="27"/>
  <c r="CG267" i="27"/>
  <c r="CG268" i="27"/>
  <c r="CG269" i="27"/>
  <c r="CG270" i="27"/>
  <c r="CG271" i="27"/>
  <c r="CG272" i="27"/>
  <c r="CG273" i="27"/>
  <c r="CG274" i="27"/>
  <c r="CG275" i="27"/>
  <c r="CG276" i="27"/>
  <c r="CG277" i="27"/>
  <c r="CG278" i="27"/>
  <c r="CG279" i="27"/>
  <c r="CG280" i="27"/>
  <c r="CG281" i="27"/>
  <c r="CG282" i="27"/>
  <c r="CG283" i="27"/>
  <c r="CG284" i="27"/>
  <c r="CG285" i="27"/>
  <c r="CG286" i="27"/>
  <c r="CG287" i="27"/>
  <c r="CG288" i="27"/>
  <c r="CG289" i="27"/>
  <c r="CG290" i="27"/>
  <c r="CG291" i="27"/>
  <c r="CG292" i="27"/>
  <c r="CG293" i="27"/>
  <c r="CG294" i="27"/>
  <c r="CG295" i="27"/>
  <c r="CG296" i="27"/>
  <c r="CG297" i="27"/>
  <c r="CG298" i="27"/>
  <c r="CG299" i="27"/>
  <c r="CG300" i="27"/>
  <c r="CG301" i="27"/>
  <c r="CG302" i="27"/>
  <c r="CG303" i="27"/>
  <c r="CG304" i="27"/>
  <c r="CG305" i="27"/>
  <c r="CG306" i="27"/>
  <c r="CG307" i="27"/>
  <c r="CG308" i="27"/>
  <c r="CG309" i="27"/>
  <c r="CG310" i="27"/>
  <c r="CG311" i="27"/>
  <c r="CG312" i="27"/>
  <c r="CG313" i="27"/>
  <c r="CG314" i="27"/>
  <c r="CG315" i="27"/>
  <c r="CG316" i="27"/>
  <c r="CG317" i="27"/>
  <c r="CG318" i="27"/>
  <c r="CG319" i="27"/>
  <c r="CG320" i="27"/>
  <c r="CG216" i="27"/>
  <c r="CC217" i="27"/>
  <c r="CC218" i="27"/>
  <c r="CC219" i="27"/>
  <c r="CC220" i="27"/>
  <c r="CC221" i="27"/>
  <c r="CC222" i="27"/>
  <c r="CC223" i="27"/>
  <c r="CC224" i="27"/>
  <c r="CC225" i="27"/>
  <c r="CC226" i="27"/>
  <c r="CC227" i="27"/>
  <c r="CC228" i="27"/>
  <c r="CC229" i="27"/>
  <c r="CC230" i="27"/>
  <c r="CC231" i="27"/>
  <c r="CC232" i="27"/>
  <c r="CC233" i="27"/>
  <c r="CC234" i="27"/>
  <c r="CC235" i="27"/>
  <c r="CC236" i="27"/>
  <c r="CC237" i="27"/>
  <c r="CC238" i="27"/>
  <c r="CC239" i="27"/>
  <c r="CC240" i="27"/>
  <c r="CC241" i="27"/>
  <c r="CC242" i="27"/>
  <c r="CC243" i="27"/>
  <c r="CC244" i="27"/>
  <c r="CC245" i="27"/>
  <c r="CC246" i="27"/>
  <c r="CC247" i="27"/>
  <c r="CC248" i="27"/>
  <c r="CC249" i="27"/>
  <c r="CC250" i="27"/>
  <c r="CC251" i="27"/>
  <c r="CC252" i="27"/>
  <c r="CC253" i="27"/>
  <c r="CC254" i="27"/>
  <c r="CC255" i="27"/>
  <c r="CC256" i="27"/>
  <c r="CC257" i="27"/>
  <c r="CC258" i="27"/>
  <c r="CC259" i="27"/>
  <c r="CC260" i="27"/>
  <c r="CC261" i="27"/>
  <c r="CC262" i="27"/>
  <c r="CC263" i="27"/>
  <c r="CC264" i="27"/>
  <c r="CC265" i="27"/>
  <c r="CC266" i="27"/>
  <c r="CC267" i="27"/>
  <c r="CC268" i="27"/>
  <c r="CC269" i="27"/>
  <c r="CC270" i="27"/>
  <c r="CC271" i="27"/>
  <c r="CC272" i="27"/>
  <c r="CC273" i="27"/>
  <c r="CC274" i="27"/>
  <c r="CC275" i="27"/>
  <c r="CC276" i="27"/>
  <c r="CC277" i="27"/>
  <c r="CC278" i="27"/>
  <c r="CC279" i="27"/>
  <c r="CC280" i="27"/>
  <c r="CC281" i="27"/>
  <c r="CC282" i="27"/>
  <c r="CC283" i="27"/>
  <c r="CC284" i="27"/>
  <c r="CC285" i="27"/>
  <c r="CC286" i="27"/>
  <c r="CC287" i="27"/>
  <c r="CC288" i="27"/>
  <c r="CC289" i="27"/>
  <c r="CC290" i="27"/>
  <c r="CC291" i="27"/>
  <c r="CC292" i="27"/>
  <c r="CC293" i="27"/>
  <c r="CC294" i="27"/>
  <c r="CC295" i="27"/>
  <c r="CC296" i="27"/>
  <c r="CC297" i="27"/>
  <c r="CC298" i="27"/>
  <c r="CC299" i="27"/>
  <c r="CC300" i="27"/>
  <c r="CC301" i="27"/>
  <c r="CC302" i="27"/>
  <c r="CC303" i="27"/>
  <c r="CC304" i="27"/>
  <c r="CC305" i="27"/>
  <c r="CC306" i="27"/>
  <c r="CC307" i="27"/>
  <c r="CC308" i="27"/>
  <c r="CC309" i="27"/>
  <c r="CC310" i="27"/>
  <c r="CC311" i="27"/>
  <c r="CC312" i="27"/>
  <c r="CC313" i="27"/>
  <c r="CC314" i="27"/>
  <c r="CC315" i="27"/>
  <c r="CC316" i="27"/>
  <c r="CC317" i="27"/>
  <c r="CC318" i="27"/>
  <c r="CC319" i="27"/>
  <c r="CC320" i="27"/>
  <c r="CC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216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110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4" i="27"/>
  <c r="AJ217" i="27" l="1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216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110" i="27"/>
  <c r="AJ5" i="27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4" i="27"/>
  <c r="AF217" i="27" l="1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216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110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4" i="27"/>
  <c r="BY217" i="27" l="1"/>
  <c r="BY218" i="27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2" i="27"/>
  <c r="BY313" i="27"/>
  <c r="BY314" i="27"/>
  <c r="BY315" i="27"/>
  <c r="BY316" i="27"/>
  <c r="BY317" i="27"/>
  <c r="BY318" i="27"/>
  <c r="BY319" i="27"/>
  <c r="BY320" i="27"/>
  <c r="BY216" i="27"/>
  <c r="BU217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U216" i="27"/>
  <c r="BQ217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320" i="27"/>
  <c r="BQ216" i="27"/>
  <c r="AB217" i="27" l="1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216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110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4" i="27"/>
  <c r="X217" i="27" l="1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216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110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4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216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110" i="27"/>
  <c r="T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4" i="27"/>
  <c r="AQ108" i="25" l="1"/>
  <c r="AR108" i="25"/>
  <c r="AS108" i="25"/>
  <c r="DT109" i="27" l="1"/>
  <c r="DU109" i="27"/>
  <c r="DV109" i="27"/>
  <c r="BB109" i="27"/>
  <c r="BC109" i="27"/>
  <c r="BA109" i="27"/>
  <c r="M109" i="27"/>
  <c r="E321" i="27" l="1"/>
  <c r="F321" i="27"/>
  <c r="G321" i="27"/>
  <c r="H321" i="27"/>
  <c r="I321" i="27"/>
  <c r="J321" i="27"/>
  <c r="K321" i="27"/>
  <c r="L321" i="27"/>
  <c r="M321" i="27"/>
  <c r="CL321" i="27" l="1"/>
  <c r="CM321" i="27"/>
  <c r="CN321" i="27"/>
  <c r="K215" i="27"/>
  <c r="J108" i="26"/>
  <c r="K108" i="26"/>
  <c r="L108" i="26"/>
  <c r="D215" i="21" l="1"/>
  <c r="E321" i="21"/>
  <c r="F321" i="21"/>
  <c r="G321" i="21"/>
  <c r="H321" i="21"/>
  <c r="I321" i="21"/>
  <c r="J321" i="21"/>
  <c r="K321" i="21"/>
  <c r="L321" i="21"/>
  <c r="M321" i="21"/>
  <c r="N321" i="21"/>
  <c r="O321" i="21"/>
  <c r="D321" i="21"/>
  <c r="D14" i="29" l="1"/>
  <c r="C14" i="29"/>
  <c r="H7" i="29"/>
  <c r="G7" i="29"/>
  <c r="F7" i="29"/>
  <c r="E7" i="29"/>
  <c r="D7" i="29"/>
  <c r="C7" i="29"/>
  <c r="J6" i="29"/>
  <c r="I6" i="29"/>
  <c r="J5" i="29"/>
  <c r="I5" i="29"/>
  <c r="J4" i="29"/>
  <c r="I4" i="29"/>
  <c r="I7" i="29" l="1"/>
  <c r="J7" i="29"/>
  <c r="AQ108" i="23" l="1"/>
  <c r="AR108" i="23"/>
  <c r="BO321" i="27" l="1"/>
  <c r="BP321" i="27"/>
  <c r="BR321" i="27"/>
  <c r="BS321" i="27"/>
  <c r="BT321" i="27"/>
  <c r="BV321" i="27"/>
  <c r="BW321" i="27"/>
  <c r="BX321" i="27"/>
  <c r="BZ321" i="27"/>
  <c r="CA321" i="27"/>
  <c r="CB321" i="27"/>
  <c r="CD321" i="27"/>
  <c r="CE321" i="27"/>
  <c r="CF321" i="27"/>
  <c r="CH321" i="27"/>
  <c r="CI321" i="27"/>
  <c r="CJ321" i="27"/>
  <c r="CP321" i="27"/>
  <c r="CQ321" i="27"/>
  <c r="CR321" i="27"/>
  <c r="CT321" i="27"/>
  <c r="CU321" i="27"/>
  <c r="CV321" i="27"/>
  <c r="CX321" i="27"/>
  <c r="CY321" i="27"/>
  <c r="CZ321" i="27"/>
  <c r="DB321" i="27"/>
  <c r="DC321" i="27"/>
  <c r="DD321" i="27"/>
  <c r="DF321" i="27"/>
  <c r="DG321" i="27"/>
  <c r="DH321" i="27"/>
  <c r="BN321" i="27"/>
  <c r="E215" i="27"/>
  <c r="F215" i="27"/>
  <c r="G215" i="27"/>
  <c r="H215" i="27"/>
  <c r="I215" i="27"/>
  <c r="J215" i="27"/>
  <c r="L215" i="27"/>
  <c r="M215" i="27"/>
  <c r="N215" i="27"/>
  <c r="O215" i="27"/>
  <c r="D215" i="27"/>
  <c r="E108" i="25"/>
  <c r="F108" i="25"/>
  <c r="G108" i="25"/>
  <c r="H108" i="25"/>
  <c r="I108" i="25"/>
  <c r="J108" i="25"/>
  <c r="K108" i="25"/>
  <c r="L108" i="25"/>
  <c r="M108" i="25"/>
  <c r="N108" i="25"/>
  <c r="O108" i="25"/>
  <c r="Q108" i="25"/>
  <c r="R108" i="25"/>
  <c r="S108" i="25"/>
  <c r="T108" i="25"/>
  <c r="U108" i="25"/>
  <c r="V108" i="25"/>
  <c r="W108" i="25"/>
  <c r="X108" i="25"/>
  <c r="Y108" i="25"/>
  <c r="Z108" i="25"/>
  <c r="AA108" i="25"/>
  <c r="AB108" i="25"/>
  <c r="AD108" i="25"/>
  <c r="AE108" i="25"/>
  <c r="AF108" i="25"/>
  <c r="AG108" i="25"/>
  <c r="AH108" i="25"/>
  <c r="AI108" i="25"/>
  <c r="AJ108" i="25"/>
  <c r="AK108" i="25"/>
  <c r="AL108" i="25"/>
  <c r="AM108" i="25"/>
  <c r="AN108" i="25"/>
  <c r="AO108" i="25"/>
  <c r="AT108" i="25"/>
  <c r="AU108" i="25"/>
  <c r="AV108" i="25"/>
  <c r="AW108" i="25"/>
  <c r="AX108" i="25"/>
  <c r="AY108" i="25"/>
  <c r="AZ108" i="25"/>
  <c r="BA108" i="25"/>
  <c r="BB108" i="25"/>
  <c r="D108" i="25"/>
  <c r="CO321" i="27" l="1"/>
  <c r="F109" i="21"/>
  <c r="E109" i="21"/>
  <c r="Q109" i="21" l="1"/>
  <c r="S109" i="21"/>
  <c r="U109" i="21"/>
  <c r="W109" i="21"/>
  <c r="Y109" i="21"/>
  <c r="AA109" i="21"/>
  <c r="AC109" i="21"/>
  <c r="AD109" i="21"/>
  <c r="AE109" i="21"/>
  <c r="AF109" i="21"/>
  <c r="AG109" i="21"/>
  <c r="AH109" i="21"/>
  <c r="AI109" i="21"/>
  <c r="AJ109" i="21"/>
  <c r="AK109" i="21"/>
  <c r="AL109" i="21"/>
  <c r="AM109" i="21"/>
  <c r="AN109" i="21"/>
  <c r="BF321" i="27" l="1"/>
  <c r="BG321" i="27"/>
  <c r="BE321" i="27"/>
  <c r="BF215" i="27"/>
  <c r="BG215" i="27"/>
  <c r="BE215" i="27"/>
  <c r="BF109" i="27"/>
  <c r="BG109" i="27"/>
  <c r="BE109" i="27"/>
  <c r="BB321" i="27"/>
  <c r="BC321" i="27"/>
  <c r="BA321" i="27"/>
  <c r="BJ215" i="27"/>
  <c r="BK215" i="27"/>
  <c r="BI215" i="27"/>
  <c r="BB215" i="27"/>
  <c r="BC215" i="27"/>
  <c r="BA215" i="27"/>
  <c r="BD109" i="27"/>
  <c r="BJ109" i="27"/>
  <c r="BI109" i="27"/>
  <c r="DE321" i="27" l="1"/>
  <c r="DA321" i="27"/>
  <c r="BH109" i="27"/>
  <c r="DI321" i="27"/>
  <c r="BH215" i="27"/>
  <c r="BL215" i="27"/>
  <c r="BD215" i="27"/>
  <c r="AN108" i="24"/>
  <c r="E215" i="21"/>
  <c r="E322" i="21" s="1"/>
  <c r="F215" i="21"/>
  <c r="F322" i="21" s="1"/>
  <c r="G215" i="21"/>
  <c r="H215" i="21"/>
  <c r="I215" i="21"/>
  <c r="J215" i="21"/>
  <c r="K215" i="21"/>
  <c r="K322" i="21" s="1"/>
  <c r="L215" i="21"/>
  <c r="M215" i="21"/>
  <c r="N215" i="21"/>
  <c r="O215" i="21"/>
  <c r="P215" i="21"/>
  <c r="Q215" i="21"/>
  <c r="S215" i="21"/>
  <c r="U215" i="21"/>
  <c r="W215" i="21"/>
  <c r="Y215" i="21"/>
  <c r="AA215" i="21"/>
  <c r="AC215" i="21"/>
  <c r="AD215" i="21"/>
  <c r="AE215" i="21"/>
  <c r="AF215" i="21"/>
  <c r="AG215" i="21"/>
  <c r="AH215" i="21"/>
  <c r="AI215" i="21"/>
  <c r="AJ215" i="21"/>
  <c r="AK215" i="21"/>
  <c r="AL215" i="21"/>
  <c r="AM215" i="21"/>
  <c r="AN215" i="21"/>
  <c r="AO215" i="21"/>
  <c r="AP215" i="21"/>
  <c r="AQ215" i="21"/>
  <c r="AR215" i="21"/>
  <c r="AS215" i="21"/>
  <c r="AT215" i="21"/>
  <c r="AU215" i="21"/>
  <c r="AV215" i="21"/>
  <c r="AW215" i="21"/>
  <c r="AX215" i="21"/>
  <c r="AY215" i="21"/>
  <c r="AZ215" i="21"/>
  <c r="BA215" i="21"/>
  <c r="G109" i="21"/>
  <c r="H109" i="21"/>
  <c r="I109" i="21"/>
  <c r="J109" i="21"/>
  <c r="K109" i="21"/>
  <c r="L109" i="21"/>
  <c r="M109" i="21"/>
  <c r="N109" i="21"/>
  <c r="O109" i="21"/>
  <c r="AP109" i="21"/>
  <c r="AQ109" i="21"/>
  <c r="AR109" i="21"/>
  <c r="AS109" i="21"/>
  <c r="AT109" i="21"/>
  <c r="AU109" i="21"/>
  <c r="AV109" i="21"/>
  <c r="AW109" i="21"/>
  <c r="AX109" i="21"/>
  <c r="AY109" i="21"/>
  <c r="AZ109" i="21"/>
  <c r="BA109" i="21"/>
  <c r="D109" i="21"/>
  <c r="D322" i="21" s="1"/>
  <c r="E214" i="26"/>
  <c r="F214" i="26"/>
  <c r="G214" i="26"/>
  <c r="H214" i="26"/>
  <c r="I214" i="26"/>
  <c r="J214" i="26"/>
  <c r="K214" i="26"/>
  <c r="L214" i="26"/>
  <c r="M214" i="26"/>
  <c r="N214" i="26"/>
  <c r="O214" i="26"/>
  <c r="D214" i="26"/>
  <c r="E108" i="26"/>
  <c r="F108" i="26"/>
  <c r="G108" i="26"/>
  <c r="H108" i="26"/>
  <c r="I108" i="26"/>
  <c r="M108" i="26"/>
  <c r="N108" i="26"/>
  <c r="O108" i="26"/>
  <c r="D108" i="26"/>
  <c r="D108" i="24"/>
  <c r="E108" i="24"/>
  <c r="F108" i="24"/>
  <c r="G108" i="24"/>
  <c r="H108" i="24"/>
  <c r="I108" i="24"/>
  <c r="J108" i="24"/>
  <c r="K108" i="24"/>
  <c r="L108" i="24"/>
  <c r="M108" i="24"/>
  <c r="N108" i="24"/>
  <c r="P108" i="24"/>
  <c r="Q108" i="24"/>
  <c r="R108" i="24"/>
  <c r="S108" i="24"/>
  <c r="T108" i="24"/>
  <c r="U108" i="24"/>
  <c r="V108" i="24"/>
  <c r="W108" i="24"/>
  <c r="X108" i="24"/>
  <c r="Y108" i="24"/>
  <c r="Z108" i="24"/>
  <c r="AA108" i="24"/>
  <c r="C108" i="24"/>
  <c r="AD108" i="24"/>
  <c r="AE108" i="24"/>
  <c r="AF108" i="24"/>
  <c r="AG108" i="24"/>
  <c r="AH108" i="24"/>
  <c r="AI108" i="24"/>
  <c r="AJ108" i="24"/>
  <c r="AK108" i="24"/>
  <c r="AL108" i="24"/>
  <c r="AM108" i="24"/>
  <c r="AC108" i="24"/>
  <c r="E320" i="23"/>
  <c r="F320" i="23"/>
  <c r="G320" i="23"/>
  <c r="H320" i="23"/>
  <c r="I320" i="23"/>
  <c r="J320" i="23"/>
  <c r="K320" i="23"/>
  <c r="L320" i="23"/>
  <c r="M320" i="23"/>
  <c r="N320" i="23"/>
  <c r="O320" i="23"/>
  <c r="Q320" i="23"/>
  <c r="R320" i="23"/>
  <c r="S320" i="23"/>
  <c r="T320" i="23"/>
  <c r="U320" i="23"/>
  <c r="V320" i="23"/>
  <c r="W320" i="23"/>
  <c r="X320" i="23"/>
  <c r="Y320" i="23"/>
  <c r="Z320" i="23"/>
  <c r="AA320" i="23"/>
  <c r="AB320" i="23"/>
  <c r="AD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Q320" i="23"/>
  <c r="AR320" i="23"/>
  <c r="AS320" i="23"/>
  <c r="AT320" i="23"/>
  <c r="AU320" i="23"/>
  <c r="AV320" i="23"/>
  <c r="AW320" i="23"/>
  <c r="AX320" i="23"/>
  <c r="AY320" i="23"/>
  <c r="AZ320" i="23"/>
  <c r="BA320" i="23"/>
  <c r="BB320" i="23"/>
  <c r="D320" i="23"/>
  <c r="E214" i="23"/>
  <c r="F214" i="23"/>
  <c r="G214" i="23"/>
  <c r="H214" i="23"/>
  <c r="I214" i="23"/>
  <c r="J214" i="23"/>
  <c r="K214" i="23"/>
  <c r="L214" i="23"/>
  <c r="M214" i="23"/>
  <c r="N214" i="23"/>
  <c r="O214" i="23"/>
  <c r="Q214" i="23"/>
  <c r="R214" i="23"/>
  <c r="S214" i="23"/>
  <c r="T214" i="23"/>
  <c r="U214" i="23"/>
  <c r="V214" i="23"/>
  <c r="W214" i="23"/>
  <c r="X214" i="23"/>
  <c r="Y214" i="23"/>
  <c r="Z214" i="23"/>
  <c r="AA214" i="23"/>
  <c r="AB214" i="23"/>
  <c r="AD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Q214" i="23"/>
  <c r="AR214" i="23"/>
  <c r="AS214" i="23"/>
  <c r="AT214" i="23"/>
  <c r="AU214" i="23"/>
  <c r="AV214" i="23"/>
  <c r="AW214" i="23"/>
  <c r="AX214" i="23"/>
  <c r="AY214" i="23"/>
  <c r="AZ214" i="23"/>
  <c r="BA214" i="23"/>
  <c r="BB214" i="23"/>
  <c r="D214" i="23"/>
  <c r="E108" i="23"/>
  <c r="F108" i="23"/>
  <c r="G108" i="23"/>
  <c r="H108" i="23"/>
  <c r="I108" i="23"/>
  <c r="J108" i="23"/>
  <c r="K108" i="23"/>
  <c r="L108" i="23"/>
  <c r="M108" i="23"/>
  <c r="N108" i="23"/>
  <c r="O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D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S108" i="23"/>
  <c r="AT108" i="23"/>
  <c r="AU108" i="23"/>
  <c r="AV108" i="23"/>
  <c r="AW108" i="23"/>
  <c r="AX108" i="23"/>
  <c r="AY108" i="23"/>
  <c r="AZ108" i="23"/>
  <c r="BA108" i="23"/>
  <c r="BB108" i="23"/>
  <c r="D108" i="23"/>
  <c r="FK109" i="27"/>
  <c r="FL109" i="27"/>
  <c r="FM109" i="27"/>
  <c r="FN109" i="27"/>
  <c r="FO109" i="27"/>
  <c r="FP109" i="27"/>
  <c r="FQ109" i="27"/>
  <c r="FR109" i="27"/>
  <c r="FS109" i="27"/>
  <c r="FT109" i="27"/>
  <c r="FU109" i="27"/>
  <c r="FV109" i="27"/>
  <c r="FK321" i="27"/>
  <c r="FL321" i="27"/>
  <c r="FM321" i="27"/>
  <c r="FN321" i="27"/>
  <c r="FO321" i="27"/>
  <c r="FP321" i="27"/>
  <c r="FQ321" i="27"/>
  <c r="FR321" i="27"/>
  <c r="FS321" i="27"/>
  <c r="FT321" i="27"/>
  <c r="FU321" i="27"/>
  <c r="FV321" i="27"/>
  <c r="EX321" i="27"/>
  <c r="EY321" i="27"/>
  <c r="EZ321" i="27"/>
  <c r="FA321" i="27"/>
  <c r="FB321" i="27"/>
  <c r="FC321" i="27"/>
  <c r="FD321" i="27"/>
  <c r="FE321" i="27"/>
  <c r="FF321" i="27"/>
  <c r="FG321" i="27"/>
  <c r="FH321" i="27"/>
  <c r="FI321" i="27"/>
  <c r="EY109" i="27"/>
  <c r="EZ109" i="27"/>
  <c r="FA109" i="27"/>
  <c r="FB109" i="27"/>
  <c r="FC109" i="27"/>
  <c r="FD109" i="27"/>
  <c r="FE109" i="27"/>
  <c r="FF109" i="27"/>
  <c r="FG109" i="27"/>
  <c r="FH109" i="27"/>
  <c r="FI109" i="27"/>
  <c r="EX109" i="27"/>
  <c r="EL321" i="27"/>
  <c r="EM321" i="27"/>
  <c r="EN321" i="27"/>
  <c r="EO321" i="27"/>
  <c r="EP321" i="27"/>
  <c r="EQ321" i="27"/>
  <c r="ER321" i="27"/>
  <c r="ES321" i="27"/>
  <c r="ET321" i="27"/>
  <c r="EU321" i="27"/>
  <c r="EV321" i="27"/>
  <c r="EK321" i="27"/>
  <c r="EL109" i="27"/>
  <c r="EM109" i="27"/>
  <c r="EN109" i="27"/>
  <c r="EO109" i="27"/>
  <c r="EP109" i="27"/>
  <c r="EQ109" i="27"/>
  <c r="ER109" i="27"/>
  <c r="ES109" i="27"/>
  <c r="ET109" i="27"/>
  <c r="EU109" i="27"/>
  <c r="EV109" i="27"/>
  <c r="EK109" i="27"/>
  <c r="DL321" i="27"/>
  <c r="DM321" i="27"/>
  <c r="DN321" i="27"/>
  <c r="DO321" i="27"/>
  <c r="DP321" i="27"/>
  <c r="DQ321" i="27"/>
  <c r="DR321" i="27"/>
  <c r="DS321" i="27"/>
  <c r="DT321" i="27"/>
  <c r="DU321" i="27"/>
  <c r="DV321" i="27"/>
  <c r="DK321" i="27"/>
  <c r="DS109" i="27"/>
  <c r="DL109" i="27"/>
  <c r="DM109" i="27"/>
  <c r="DN109" i="27"/>
  <c r="DO109" i="27"/>
  <c r="DP109" i="27"/>
  <c r="DQ109" i="27"/>
  <c r="DR109" i="27"/>
  <c r="DK109" i="27"/>
  <c r="AY321" i="27"/>
  <c r="AX321" i="27"/>
  <c r="AW321" i="27"/>
  <c r="AY215" i="27"/>
  <c r="AX215" i="27"/>
  <c r="AW215" i="27"/>
  <c r="AY109" i="27"/>
  <c r="AX109" i="27"/>
  <c r="AW109" i="27"/>
  <c r="AU321" i="27"/>
  <c r="AT321" i="27"/>
  <c r="AS321" i="27"/>
  <c r="AT215" i="27"/>
  <c r="AU215" i="27"/>
  <c r="AS215" i="27"/>
  <c r="AT109" i="27"/>
  <c r="AU109" i="27"/>
  <c r="AS109" i="27"/>
  <c r="AK321" i="27"/>
  <c r="AL321" i="27"/>
  <c r="AM321" i="27"/>
  <c r="AO321" i="27"/>
  <c r="AP321" i="27"/>
  <c r="AQ321" i="27"/>
  <c r="AP215" i="27"/>
  <c r="AQ215" i="27"/>
  <c r="AO215" i="27"/>
  <c r="AP109" i="27"/>
  <c r="AQ109" i="27"/>
  <c r="AO109" i="27"/>
  <c r="E109" i="27"/>
  <c r="F109" i="27"/>
  <c r="G109" i="27"/>
  <c r="H109" i="27"/>
  <c r="I109" i="27"/>
  <c r="J109" i="27"/>
  <c r="K109" i="27"/>
  <c r="L109" i="27"/>
  <c r="N109" i="27"/>
  <c r="N321" i="27" s="1"/>
  <c r="O109" i="27"/>
  <c r="O321" i="27" s="1"/>
  <c r="D109" i="27"/>
  <c r="I322" i="21" l="1"/>
  <c r="AV109" i="27"/>
  <c r="AZ321" i="27"/>
  <c r="AZ215" i="27"/>
  <c r="CW321" i="27"/>
  <c r="CS321" i="27"/>
  <c r="AV321" i="27"/>
  <c r="AR215" i="27"/>
  <c r="L322" i="21"/>
  <c r="J322" i="21"/>
  <c r="H322" i="21"/>
  <c r="G322" i="21"/>
  <c r="O322" i="21"/>
  <c r="N322" i="21"/>
  <c r="M322" i="21"/>
  <c r="AR321" i="27"/>
  <c r="AZ109" i="27"/>
  <c r="AV215" i="27"/>
  <c r="AR109" i="27"/>
  <c r="AL215" i="27"/>
  <c r="AM215" i="27"/>
  <c r="AK215" i="27"/>
  <c r="AL109" i="27"/>
  <c r="AM109" i="27"/>
  <c r="AK109" i="27"/>
  <c r="AH321" i="27"/>
  <c r="AI321" i="27"/>
  <c r="AG321" i="27"/>
  <c r="AH215" i="27"/>
  <c r="AI215" i="27"/>
  <c r="AG215" i="27"/>
  <c r="AH109" i="27"/>
  <c r="AI109" i="27"/>
  <c r="AG109" i="27"/>
  <c r="AC321" i="27"/>
  <c r="AD321" i="27"/>
  <c r="AE321" i="27"/>
  <c r="AD215" i="27"/>
  <c r="AE215" i="27"/>
  <c r="AC215" i="27"/>
  <c r="AD109" i="27"/>
  <c r="AE109" i="27"/>
  <c r="AC109" i="27"/>
  <c r="CK321" i="27" l="1"/>
  <c r="CG321" i="27"/>
  <c r="CC321" i="27"/>
  <c r="AJ321" i="27"/>
  <c r="AF321" i="27"/>
  <c r="AN321" i="27"/>
  <c r="AN215" i="27"/>
  <c r="AJ215" i="27"/>
  <c r="AN109" i="27"/>
  <c r="AJ109" i="27"/>
  <c r="AF215" i="27"/>
  <c r="AF109" i="27"/>
  <c r="R321" i="27"/>
  <c r="S321" i="27"/>
  <c r="U321" i="27"/>
  <c r="V321" i="27"/>
  <c r="W321" i="27"/>
  <c r="Y321" i="27"/>
  <c r="Z321" i="27"/>
  <c r="AA321" i="27"/>
  <c r="Q321" i="27"/>
  <c r="R215" i="27"/>
  <c r="S215" i="27"/>
  <c r="U215" i="27"/>
  <c r="V215" i="27"/>
  <c r="W215" i="27"/>
  <c r="Y215" i="27"/>
  <c r="Z215" i="27"/>
  <c r="AA215" i="27"/>
  <c r="Q215" i="27"/>
  <c r="R109" i="27"/>
  <c r="S109" i="27"/>
  <c r="U109" i="27"/>
  <c r="V109" i="27"/>
  <c r="W109" i="27"/>
  <c r="Y109" i="27"/>
  <c r="Z109" i="27"/>
  <c r="AA109" i="27"/>
  <c r="Q109" i="27"/>
  <c r="D321" i="27"/>
  <c r="BQ321" i="27" l="1"/>
  <c r="BU321" i="27"/>
  <c r="BY321" i="27"/>
  <c r="X109" i="27"/>
  <c r="AB109" i="27"/>
  <c r="X215" i="27"/>
  <c r="X321" i="27"/>
  <c r="AB321" i="27"/>
  <c r="AB215" i="27"/>
  <c r="T321" i="27"/>
  <c r="T215" i="27"/>
  <c r="T109" i="27"/>
  <c r="BH321" i="27"/>
  <c r="BD321" i="27"/>
  <c r="BI321" i="27" l="1"/>
  <c r="BJ321" i="27" l="1"/>
  <c r="BK321" i="27"/>
  <c r="BL321" i="27" l="1"/>
  <c r="BK109" i="27" l="1"/>
  <c r="BL109" i="27" s="1"/>
</calcChain>
</file>

<file path=xl/sharedStrings.xml><?xml version="1.0" encoding="utf-8"?>
<sst xmlns="http://schemas.openxmlformats.org/spreadsheetml/2006/main" count="11379" uniqueCount="306">
  <si>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</si>
  <si>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</si>
  <si>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</si>
  <si>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</si>
  <si>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</si>
  <si>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</si>
  <si>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</si>
  <si>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</si>
  <si>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</si>
  <si>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</si>
  <si>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</si>
  <si>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</si>
  <si>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</si>
  <si>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</si>
  <si>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</si>
  <si>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</si>
  <si>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</si>
  <si>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</si>
  <si>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</si>
  <si>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</si>
  <si>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</si>
  <si>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</si>
  <si>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</si>
  <si>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</si>
  <si>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</si>
  <si>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</si>
  <si>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d) Number of Customers By Customer Class Renegotiating Long-term Payment Agreements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</si>
  <si>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</si>
  <si>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</si>
  <si>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</si>
  <si>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</si>
  <si>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</si>
  <si>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</si>
  <si>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</si>
  <si>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</si>
  <si>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</si>
  <si>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</si>
  <si>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</si>
  <si>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</si>
  <si>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</si>
  <si>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</si>
  <si>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</si>
  <si>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</si>
  <si>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</si>
  <si>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</si>
  <si>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</si>
  <si>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</si>
  <si>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</si>
  <si>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</si>
  <si>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</si>
  <si>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</si>
  <si>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</si>
  <si>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</si>
  <si>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</si>
  <si>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</si>
  <si>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</si>
  <si>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</si>
  <si>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</si>
  <si>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</si>
  <si>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</si>
  <si>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</si>
  <si>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</si>
  <si>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</si>
  <si>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</si>
  <si>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</si>
  <si>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</si>
  <si>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</si>
  <si>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</si>
  <si>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</si>
  <si>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</si>
  <si>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</si>
  <si>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</si>
  <si>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</si>
  <si>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</si>
  <si>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</si>
  <si>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</si>
  <si>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</si>
  <si>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</si>
  <si>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</si>
  <si>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</si>
  <si>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</si>
  <si>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</si>
  <si>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</si>
  <si>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</si>
  <si>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</si>
  <si>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</si>
  <si>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</si>
  <si>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</si>
  <si>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</si>
  <si>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</si>
  <si>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</si>
  <si>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</si>
  <si>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</si>
  <si>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</si>
  <si>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</si>
  <si>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</si>
  <si>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</si>
  <si>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</si>
  <si>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</si>
  <si>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</si>
  <si>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</si>
  <si>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</si>
  <si>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</si>
  <si>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</si>
  <si>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</si>
  <si>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</si>
  <si>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</si>
  <si>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</si>
  <si>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</si>
  <si>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</si>
  <si>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</si>
  <si>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</si>
  <si>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</si>
  <si>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</si>
  <si>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</si>
  <si>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</si>
  <si>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</si>
  <si>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</si>
  <si>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</si>
  <si>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</si>
  <si>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</si>
  <si>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</si>
  <si>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</si>
  <si>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</si>
  <si>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</si>
  <si>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</si>
  <si>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</si>
  <si>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</si>
  <si>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</si>
  <si>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</si>
  <si>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</si>
  <si>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</si>
  <si>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</si>
  <si>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</si>
  <si>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</si>
  <si>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</si>
  <si>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</si>
  <si>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</si>
  <si>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</si>
  <si>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</si>
  <si>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</si>
  <si>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</si>
  <si>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</si>
  <si>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</si>
  <si>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</si>
  <si>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</si>
  <si>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</si>
  <si>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</si>
  <si>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</si>
  <si>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</si>
  <si>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</si>
  <si>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</si>
  <si>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</si>
  <si>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</si>
  <si>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</si>
  <si>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</si>
  <si>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</si>
  <si>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</si>
  <si>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</si>
  <si>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</si>
  <si>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</si>
  <si>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</si>
  <si>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</si>
  <si>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</si>
  <si>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</si>
  <si>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</si>
  <si>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</si>
  <si>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</si>
  <si>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</si>
  <si>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</si>
  <si>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</si>
  <si>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</si>
  <si>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</si>
  <si>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</si>
  <si>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</si>
  <si>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</si>
  <si>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</si>
  <si>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</si>
  <si>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</si>
  <si>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</si>
  <si>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</si>
  <si>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</si>
  <si>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</si>
  <si>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</si>
  <si>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</si>
  <si>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</si>
  <si>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</si>
  <si>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</si>
  <si>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</si>
  <si>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</si>
  <si>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</si>
  <si>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</si>
  <si>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</si>
  <si>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</si>
  <si>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</si>
  <si>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</si>
  <si>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</si>
  <si>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</si>
  <si>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</si>
  <si>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</si>
  <si>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</si>
  <si>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</si>
  <si>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</si>
  <si>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</si>
  <si>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</si>
  <si>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</si>
  <si>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</si>
  <si>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</si>
  <si>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</si>
  <si>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</si>
  <si>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</si>
  <si>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</si>
  <si>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</si>
  <si>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</si>
  <si>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</si>
  <si>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</si>
  <si>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</si>
  <si>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</si>
  <si>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</si>
  <si>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</si>
  <si>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</si>
  <si>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</si>
  <si>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</si>
  <si>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</si>
  <si>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</si>
  <si>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</si>
  <si>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</si>
  <si>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</si>
  <si>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</si>
  <si>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</si>
  <si>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</si>
  <si>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</si>
  <si>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</si>
  <si>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</si>
  <si>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</si>
  <si>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</si>
  <si>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</si>
  <si>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</si>
  <si>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</si>
  <si>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</si>
  <si>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</si>
  <si>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</si>
  <si>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</si>
  <si>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</si>
  <si>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</si>
  <si>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</si>
  <si>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</si>
  <si>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</si>
  <si>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</si>
  <si>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</si>
  <si>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</si>
  <si>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</si>
  <si>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</si>
  <si>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</si>
  <si>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</si>
  <si>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</si>
  <si>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</si>
  <si>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</si>
  <si>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</si>
  <si>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</si>
  <si>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</si>
  <si>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</si>
  <si>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</si>
  <si>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</si>
  <si>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</si>
  <si>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</si>
  <si>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</si>
  <si>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</si>
  <si>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</si>
  <si>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</si>
  <si>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</si>
  <si>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</si>
  <si>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# Reconnects</t>
  </si>
  <si>
    <t xml:space="preserve">99258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</si>
  <si>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</si>
  <si>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</t>
  </si>
  <si>
    <r>
      <t xml:space="preserve">Item a) Number of Customers by Customer Class Taking Service at the Beginning of Each Month with </t>
    </r>
    <r>
      <rPr>
        <b/>
        <sz val="11"/>
        <color theme="1"/>
        <rFont val="Calibri"/>
        <family val="2"/>
        <scheme val="minor"/>
      </rPr>
      <t>Existing</t>
    </r>
    <r>
      <rPr>
        <sz val="11"/>
        <color theme="1"/>
        <rFont val="Calibri"/>
        <family val="2"/>
        <scheme val="minor"/>
      </rPr>
      <t xml:space="preserve"> Long Term Payment Agreements</t>
    </r>
  </si>
  <si>
    <r>
      <t xml:space="preserve">Item b) Number of Customers By Customer Class </t>
    </r>
    <r>
      <rPr>
        <b/>
        <sz val="11"/>
        <color theme="1"/>
        <rFont val="Calibri"/>
        <family val="2"/>
        <scheme val="minor"/>
      </rPr>
      <t>Completing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</si>
  <si>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c) Number of Customers by Customer Class Enrolling in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</si>
  <si>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a) Number of Customers by Customer Class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Required Deposits at the Beginning of Each Month</t>
    </r>
  </si>
  <si>
    <r>
      <t xml:space="preserve">Item b) Number of Customers by Customer Class Required to Submit </t>
    </r>
    <r>
      <rPr>
        <b/>
        <sz val="11"/>
        <color theme="1"/>
        <rFont val="Calibri"/>
        <family val="2"/>
        <scheme val="minor"/>
      </rPr>
      <t>New or Increased</t>
    </r>
    <r>
      <rPr>
        <sz val="11"/>
        <color theme="1"/>
        <rFont val="Calibri"/>
        <family val="2"/>
        <scheme val="minor"/>
      </rPr>
      <t xml:space="preserve"> Deposits Each Month</t>
    </r>
  </si>
  <si>
    <r>
      <t>Item c) Number of Customers by Customer Class Whose Deposits Were</t>
    </r>
    <r>
      <rPr>
        <b/>
        <sz val="11"/>
        <color theme="1"/>
        <rFont val="Calibri"/>
        <family val="2"/>
        <scheme val="minor"/>
      </rPr>
      <t xml:space="preserve"> Reduced In Part or Foregone</t>
    </r>
    <r>
      <rPr>
        <sz val="11"/>
        <color theme="1"/>
        <rFont val="Calibri"/>
        <family val="2"/>
        <scheme val="minor"/>
      </rPr>
      <t xml:space="preserve"> Each Month</t>
    </r>
  </si>
  <si>
    <r>
      <t xml:space="preserve">Item d) Number of Customers by Customer Class whose Deposits were </t>
    </r>
    <r>
      <rPr>
        <b/>
        <sz val="11"/>
        <color theme="1"/>
        <rFont val="Calibri"/>
        <family val="2"/>
        <scheme val="minor"/>
      </rPr>
      <t>Returned</t>
    </r>
    <r>
      <rPr>
        <sz val="11"/>
        <color theme="1"/>
        <rFont val="Calibri"/>
        <family val="2"/>
        <scheme val="minor"/>
      </rPr>
      <t xml:space="preserve"> in Full Each Month</t>
    </r>
  </si>
  <si>
    <t>General 2025</t>
  </si>
  <si>
    <t>**Are we counting new payments/enrollments or prem that would be currently counted as LI for the month?</t>
  </si>
  <si>
    <t>Total LIHEAP</t>
  </si>
  <si>
    <t>Total LIRAP</t>
  </si>
  <si>
    <t>Current Amount</t>
  </si>
  <si>
    <t>Number of Payments</t>
  </si>
  <si>
    <t>AMP (LIRAP)*</t>
  </si>
  <si>
    <t>Electric</t>
  </si>
  <si>
    <t>Number of accounts</t>
  </si>
  <si>
    <t>Housing</t>
  </si>
  <si>
    <t>Average Benefits</t>
  </si>
  <si>
    <t>LIHEAP</t>
  </si>
  <si>
    <t>Gas</t>
  </si>
  <si>
    <t>LIRAP GRANT</t>
  </si>
  <si>
    <t>MISC EA</t>
  </si>
  <si>
    <t>Dual</t>
  </si>
  <si>
    <t>Project Share</t>
  </si>
  <si>
    <t>SHEAP</t>
  </si>
  <si>
    <t>N/A*</t>
  </si>
  <si>
    <t>MED (LIRAP)</t>
  </si>
  <si>
    <t>AFP (LIRAP)*</t>
  </si>
  <si>
    <t>*For AMP/AFP: number of payments=number of accounts receiving credits.                                                                  **For My Energy Discount: number of payments = number of accounts receiving credits</t>
  </si>
  <si>
    <t>Avista - June 2025 COVID-19 Credit and Collections Monthly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</si>
</sst>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12"/>
      <color theme="1"/>
      <name val="Calibri"/>
      <family val="2"/>
      <scheme val="minor"/>
    </font>
    <font>
      <sz val="12"/>
      <color rgb="FF45454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/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EFEFEF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2" fillId="0" borderId="0"/>
  </cellStyleXfs>
  <cellXfs count="376">
    <xf numFmtId="0" fontId="0" fillId="0" borderId="0" xfId="0"/>
    <xf numFmtId="0" fontId="0" fillId="2" borderId="0" xfId="0" applyFill="1"/>
    <xf numFmtId="0" fontId="0" fillId="0" borderId="1" xfId="0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3" xfId="0" applyFill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/>
    <xf numFmtId="0" fontId="0" fillId="0" borderId="2" xfId="0" applyBorder="1"/>
    <xf numFmtId="0" fontId="0" fillId="2" borderId="6" xfId="0" applyFill="1" applyBorder="1"/>
    <xf numFmtId="0" fontId="0" fillId="0" borderId="43" xfId="0" applyBorder="1"/>
    <xf numFmtId="165" fontId="0" fillId="0" borderId="10" xfId="1" applyNumberFormat="1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5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7" xfId="0" applyFill="1" applyBorder="1"/>
    <xf numFmtId="0" fontId="0" fillId="0" borderId="47" xfId="0" applyBorder="1"/>
    <xf numFmtId="44" fontId="0" fillId="0" borderId="32" xfId="1" applyFont="1" applyBorder="1"/>
    <xf numFmtId="0" fontId="0" fillId="0" borderId="8" xfId="0" applyBorder="1"/>
    <xf numFmtId="0" fontId="1" fillId="0" borderId="31" xfId="0" applyFont="1" applyBorder="1" applyAlignment="1">
      <alignment vertical="center" wrapText="1"/>
    </xf>
    <xf numFmtId="0" fontId="1" fillId="0" borderId="52" xfId="0" applyFont="1" applyBorder="1"/>
    <xf numFmtId="166" fontId="0" fillId="0" borderId="31" xfId="2" applyNumberFormat="1" applyFont="1" applyBorder="1"/>
    <xf numFmtId="0" fontId="1" fillId="0" borderId="53" xfId="0" applyFont="1" applyBorder="1"/>
    <xf numFmtId="3" fontId="1" fillId="0" borderId="49" xfId="0" applyNumberFormat="1" applyFont="1" applyBorder="1"/>
    <xf numFmtId="166" fontId="4" fillId="0" borderId="49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49" xfId="0" applyFont="1" applyBorder="1"/>
    <xf numFmtId="166" fontId="4" fillId="0" borderId="50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4" xfId="0" applyNumberFormat="1" applyFont="1" applyBorder="1" applyAlignment="1">
      <alignment horizontal="right" vertical="top"/>
    </xf>
    <xf numFmtId="3" fontId="5" fillId="0" borderId="55" xfId="0" applyNumberFormat="1" applyFont="1" applyBorder="1" applyAlignment="1">
      <alignment horizontal="right" vertical="top"/>
    </xf>
    <xf numFmtId="0" fontId="0" fillId="0" borderId="55" xfId="0" applyBorder="1"/>
    <xf numFmtId="3" fontId="3" fillId="0" borderId="56" xfId="0" applyNumberFormat="1" applyFont="1" applyBorder="1" applyAlignment="1">
      <alignment horizontal="right" vertical="top"/>
    </xf>
    <xf numFmtId="3" fontId="3" fillId="0" borderId="57" xfId="0" applyNumberFormat="1" applyFont="1" applyBorder="1" applyAlignment="1">
      <alignment horizontal="right" vertical="top"/>
    </xf>
    <xf numFmtId="0" fontId="0" fillId="0" borderId="57" xfId="0" applyBorder="1"/>
    <xf numFmtId="0" fontId="2" fillId="0" borderId="57" xfId="0" applyFont="1" applyBorder="1"/>
    <xf numFmtId="3" fontId="3" fillId="0" borderId="17" xfId="0" applyNumberFormat="1" applyFont="1" applyBorder="1" applyAlignment="1">
      <alignment horizontal="right" vertical="top"/>
    </xf>
    <xf numFmtId="3" fontId="3" fillId="0" borderId="58" xfId="0" applyNumberFormat="1" applyFont="1" applyBorder="1" applyAlignment="1">
      <alignment horizontal="right" vertical="top"/>
    </xf>
    <xf numFmtId="0" fontId="2" fillId="0" borderId="56" xfId="0" applyFont="1" applyBorder="1"/>
    <xf numFmtId="0" fontId="0" fillId="0" borderId="56" xfId="0" applyBorder="1"/>
    <xf numFmtId="0" fontId="2" fillId="0" borderId="17" xfId="0" applyFont="1" applyBorder="1"/>
    <xf numFmtId="165" fontId="3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0" fillId="0" borderId="11" xfId="0" applyNumberFormat="1" applyBorder="1"/>
    <xf numFmtId="165" fontId="3" fillId="0" borderId="0" xfId="0" applyNumberFormat="1" applyFont="1" applyAlignment="1">
      <alignment horizontal="right" vertical="top"/>
    </xf>
    <xf numFmtId="165" fontId="0" fillId="0" borderId="0" xfId="0" applyNumberFormat="1"/>
    <xf numFmtId="165" fontId="3" fillId="0" borderId="13" xfId="0" applyNumberFormat="1" applyFont="1" applyBorder="1" applyAlignment="1">
      <alignment horizontal="right" vertical="top"/>
    </xf>
    <xf numFmtId="165" fontId="0" fillId="0" borderId="14" xfId="0" applyNumberFormat="1" applyBorder="1"/>
    <xf numFmtId="168" fontId="5" fillId="0" borderId="54" xfId="0" applyNumberFormat="1" applyFont="1" applyBorder="1" applyAlignment="1">
      <alignment horizontal="right" vertical="top"/>
    </xf>
    <xf numFmtId="44" fontId="0" fillId="0" borderId="43" xfId="1" applyFont="1" applyBorder="1"/>
    <xf numFmtId="44" fontId="3" fillId="0" borderId="32" xfId="1" applyFont="1" applyBorder="1" applyAlignment="1">
      <alignment horizontal="right" vertical="top"/>
    </xf>
    <xf numFmtId="44" fontId="4" fillId="0" borderId="51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49" xfId="2" applyNumberFormat="1" applyFont="1" applyBorder="1"/>
    <xf numFmtId="44" fontId="1" fillId="0" borderId="51" xfId="1" applyFont="1" applyBorder="1"/>
    <xf numFmtId="0" fontId="0" fillId="0" borderId="13" xfId="0" applyBorder="1" applyAlignment="1">
      <alignment horizontal="left"/>
    </xf>
    <xf numFmtId="44" fontId="0" fillId="0" borderId="0" xfId="0" applyNumberFormat="1"/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3" fontId="5" fillId="0" borderId="61" xfId="0" applyNumberFormat="1" applyFont="1" applyBorder="1" applyAlignment="1">
      <alignment horizontal="right" vertical="top"/>
    </xf>
    <xf numFmtId="17" fontId="0" fillId="0" borderId="64" xfId="0" applyNumberFormat="1" applyBorder="1"/>
    <xf numFmtId="0" fontId="6" fillId="4" borderId="46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0" fillId="0" borderId="61" xfId="0" applyBorder="1"/>
    <xf numFmtId="17" fontId="0" fillId="5" borderId="0" xfId="0" applyNumberFormat="1" applyFill="1"/>
    <xf numFmtId="0" fontId="0" fillId="5" borderId="0" xfId="0" applyFill="1"/>
    <xf numFmtId="17" fontId="0" fillId="0" borderId="65" xfId="0" applyNumberFormat="1" applyBorder="1"/>
    <xf numFmtId="17" fontId="0" fillId="0" borderId="46" xfId="0" applyNumberFormat="1" applyBorder="1"/>
    <xf numFmtId="2" fontId="0" fillId="0" borderId="10" xfId="0" applyNumberFormat="1" applyBorder="1"/>
    <xf numFmtId="43" fontId="0" fillId="0" borderId="0" xfId="2" applyFont="1" applyFill="1" applyBorder="1"/>
    <xf numFmtId="3" fontId="5" fillId="0" borderId="66" xfId="0" applyNumberFormat="1" applyFont="1" applyBorder="1" applyAlignment="1">
      <alignment horizontal="right" vertical="top"/>
    </xf>
    <xf numFmtId="0" fontId="5" fillId="0" borderId="66" xfId="0" applyFont="1" applyBorder="1" applyAlignment="1">
      <alignment horizontal="right" vertical="top"/>
    </xf>
    <xf numFmtId="168" fontId="5" fillId="0" borderId="66" xfId="0" applyNumberFormat="1" applyFont="1" applyBorder="1" applyAlignment="1">
      <alignment horizontal="right" vertical="top"/>
    </xf>
    <xf numFmtId="0" fontId="5" fillId="0" borderId="54" xfId="0" applyFont="1" applyBorder="1" applyAlignment="1">
      <alignment horizontal="right" vertical="top"/>
    </xf>
    <xf numFmtId="17" fontId="0" fillId="0" borderId="19" xfId="0" applyNumberFormat="1" applyBorder="1"/>
    <xf numFmtId="17" fontId="0" fillId="0" borderId="21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36" xfId="0" applyNumberFormat="1" applyBorder="1"/>
    <xf numFmtId="2" fontId="6" fillId="4" borderId="46" xfId="0" applyNumberFormat="1" applyFont="1" applyFill="1" applyBorder="1" applyAlignment="1">
      <alignment horizontal="center"/>
    </xf>
    <xf numFmtId="2" fontId="6" fillId="4" borderId="48" xfId="0" applyNumberFormat="1" applyFont="1" applyFill="1" applyBorder="1" applyAlignment="1">
      <alignment horizontal="center"/>
    </xf>
    <xf numFmtId="2" fontId="0" fillId="0" borderId="13" xfId="0" applyNumberFormat="1" applyBorder="1"/>
    <xf numFmtId="17" fontId="0" fillId="0" borderId="30" xfId="0" applyNumberFormat="1" applyBorder="1"/>
    <xf numFmtId="0" fontId="6" fillId="4" borderId="47" xfId="0" applyFont="1" applyFill="1" applyBorder="1" applyAlignment="1">
      <alignment horizontal="center"/>
    </xf>
    <xf numFmtId="169" fontId="0" fillId="0" borderId="19" xfId="0" applyNumberFormat="1" applyBorder="1"/>
    <xf numFmtId="169" fontId="0" fillId="0" borderId="21" xfId="0" applyNumberFormat="1" applyBorder="1"/>
    <xf numFmtId="1" fontId="0" fillId="0" borderId="12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3" fontId="7" fillId="0" borderId="55" xfId="0" applyNumberFormat="1" applyFont="1" applyBorder="1" applyAlignment="1">
      <alignment horizontal="right" vertical="top"/>
    </xf>
    <xf numFmtId="165" fontId="2" fillId="0" borderId="13" xfId="0" applyNumberFormat="1" applyFont="1" applyBorder="1"/>
    <xf numFmtId="44" fontId="0" fillId="0" borderId="11" xfId="1" applyFont="1" applyBorder="1"/>
    <xf numFmtId="44" fontId="0" fillId="0" borderId="14" xfId="1" applyFont="1" applyBorder="1"/>
    <xf numFmtId="3" fontId="0" fillId="0" borderId="0" xfId="0" applyNumberFormat="1"/>
    <xf numFmtId="0" fontId="9" fillId="0" borderId="17" xfId="0" applyFont="1" applyBorder="1"/>
    <xf numFmtId="0" fontId="9" fillId="0" borderId="25" xfId="0" applyFont="1" applyBorder="1"/>
    <xf numFmtId="0" fontId="9" fillId="0" borderId="16" xfId="0" applyFont="1" applyBorder="1"/>
    <xf numFmtId="3" fontId="3" fillId="0" borderId="16" xfId="0" applyNumberFormat="1" applyFont="1" applyBorder="1" applyAlignment="1">
      <alignment horizontal="right" vertical="top"/>
    </xf>
    <xf numFmtId="165" fontId="0" fillId="0" borderId="46" xfId="1" applyNumberFormat="1" applyFont="1" applyBorder="1"/>
    <xf numFmtId="165" fontId="0" fillId="0" borderId="71" xfId="1" applyNumberFormat="1" applyFont="1" applyBorder="1"/>
    <xf numFmtId="165" fontId="0" fillId="0" borderId="46" xfId="0" applyNumberFormat="1" applyBorder="1"/>
    <xf numFmtId="3" fontId="10" fillId="0" borderId="72" xfId="3" applyNumberFormat="1" applyFont="1" applyBorder="1" applyAlignment="1">
      <alignment horizontal="right" vertical="top"/>
    </xf>
    <xf numFmtId="0" fontId="9" fillId="0" borderId="72" xfId="3" applyFont="1" applyBorder="1"/>
    <xf numFmtId="0" fontId="9" fillId="0" borderId="12" xfId="0" applyFont="1" applyBorder="1"/>
    <xf numFmtId="44" fontId="3" fillId="0" borderId="59" xfId="1" applyFont="1" applyBorder="1" applyAlignment="1">
      <alignment horizontal="right" vertical="top"/>
    </xf>
    <xf numFmtId="44" fontId="3" fillId="0" borderId="55" xfId="1" applyFont="1" applyBorder="1" applyAlignment="1">
      <alignment horizontal="right" vertical="top"/>
    </xf>
    <xf numFmtId="44" fontId="2" fillId="0" borderId="55" xfId="1" applyFont="1" applyBorder="1"/>
    <xf numFmtId="44" fontId="2" fillId="0" borderId="59" xfId="1" applyFont="1" applyBorder="1"/>
    <xf numFmtId="44" fontId="3" fillId="0" borderId="60" xfId="1" applyFont="1" applyBorder="1" applyAlignment="1">
      <alignment horizontal="right" vertical="top"/>
    </xf>
    <xf numFmtId="44" fontId="3" fillId="0" borderId="69" xfId="1" applyFont="1" applyBorder="1" applyAlignment="1">
      <alignment horizontal="right" vertical="top"/>
    </xf>
    <xf numFmtId="44" fontId="3" fillId="0" borderId="70" xfId="1" applyFont="1" applyBorder="1" applyAlignment="1">
      <alignment horizontal="right" vertical="top"/>
    </xf>
    <xf numFmtId="167" fontId="3" fillId="0" borderId="73" xfId="0" applyNumberFormat="1" applyFont="1" applyBorder="1" applyAlignment="1">
      <alignment horizontal="right" vertical="top"/>
    </xf>
    <xf numFmtId="44" fontId="0" fillId="0" borderId="48" xfId="1" applyFont="1" applyBorder="1"/>
    <xf numFmtId="44" fontId="2" fillId="0" borderId="60" xfId="1" applyFont="1" applyBorder="1"/>
    <xf numFmtId="44" fontId="2" fillId="0" borderId="61" xfId="1" applyFont="1" applyBorder="1"/>
    <xf numFmtId="165" fontId="3" fillId="0" borderId="73" xfId="1" applyNumberFormat="1" applyFont="1" applyBorder="1" applyAlignment="1">
      <alignment horizontal="right" vertical="top"/>
    </xf>
    <xf numFmtId="44" fontId="2" fillId="0" borderId="69" xfId="0" applyNumberFormat="1" applyFont="1" applyBorder="1"/>
    <xf numFmtId="44" fontId="2" fillId="0" borderId="10" xfId="0" applyNumberFormat="1" applyFont="1" applyBorder="1"/>
    <xf numFmtId="44" fontId="0" fillId="0" borderId="71" xfId="1" applyFont="1" applyBorder="1"/>
    <xf numFmtId="44" fontId="3" fillId="0" borderId="62" xfId="1" applyFont="1" applyBorder="1" applyAlignment="1">
      <alignment horizontal="right" vertical="top"/>
    </xf>
    <xf numFmtId="44" fontId="3" fillId="0" borderId="63" xfId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5" fontId="2" fillId="0" borderId="10" xfId="0" applyNumberFormat="1" applyFont="1" applyBorder="1"/>
    <xf numFmtId="165" fontId="3" fillId="0" borderId="12" xfId="0" applyNumberFormat="1" applyFont="1" applyBorder="1" applyAlignment="1">
      <alignment horizontal="right" vertical="top"/>
    </xf>
    <xf numFmtId="0" fontId="0" fillId="0" borderId="46" xfId="0" applyBorder="1"/>
    <xf numFmtId="0" fontId="0" fillId="0" borderId="71" xfId="0" applyBorder="1"/>
    <xf numFmtId="3" fontId="3" fillId="0" borderId="71" xfId="0" applyNumberFormat="1" applyFont="1" applyBorder="1" applyAlignment="1">
      <alignment horizontal="right" vertical="top"/>
    </xf>
    <xf numFmtId="167" fontId="3" fillId="0" borderId="74" xfId="0" applyNumberFormat="1" applyFont="1" applyBorder="1" applyAlignment="1">
      <alignment horizontal="right" vertical="top"/>
    </xf>
    <xf numFmtId="3" fontId="3" fillId="0" borderId="46" xfId="0" applyNumberFormat="1" applyFont="1" applyBorder="1" applyAlignment="1">
      <alignment horizontal="right" vertical="top"/>
    </xf>
    <xf numFmtId="0" fontId="0" fillId="0" borderId="48" xfId="0" applyBorder="1"/>
    <xf numFmtId="44" fontId="0" fillId="0" borderId="10" xfId="1" applyFont="1" applyBorder="1"/>
    <xf numFmtId="44" fontId="0" fillId="0" borderId="0" xfId="1" applyFont="1" applyBorder="1"/>
    <xf numFmtId="44" fontId="0" fillId="0" borderId="67" xfId="1" applyFont="1" applyBorder="1"/>
    <xf numFmtId="44" fontId="0" fillId="0" borderId="76" xfId="1" applyFont="1" applyBorder="1"/>
    <xf numFmtId="44" fontId="0" fillId="0" borderId="68" xfId="1" applyFont="1" applyBorder="1"/>
    <xf numFmtId="165" fontId="0" fillId="0" borderId="47" xfId="0" applyNumberFormat="1" applyBorder="1"/>
    <xf numFmtId="165" fontId="0" fillId="0" borderId="48" xfId="0" applyNumberFormat="1" applyBorder="1"/>
    <xf numFmtId="44" fontId="0" fillId="0" borderId="13" xfId="1" applyFont="1" applyBorder="1"/>
    <xf numFmtId="44" fontId="0" fillId="0" borderId="24" xfId="1" applyFont="1" applyBorder="1"/>
    <xf numFmtId="44" fontId="0" fillId="0" borderId="47" xfId="0" applyNumberFormat="1" applyBorder="1"/>
    <xf numFmtId="44" fontId="0" fillId="0" borderId="46" xfId="0" applyNumberFormat="1" applyBorder="1"/>
    <xf numFmtId="44" fontId="0" fillId="0" borderId="23" xfId="1" applyFont="1" applyBorder="1"/>
    <xf numFmtId="44" fontId="0" fillId="0" borderId="12" xfId="1" applyFont="1" applyBorder="1"/>
    <xf numFmtId="0" fontId="0" fillId="0" borderId="75" xfId="0" applyBorder="1"/>
    <xf numFmtId="0" fontId="0" fillId="0" borderId="67" xfId="0" applyBorder="1"/>
    <xf numFmtId="0" fontId="0" fillId="0" borderId="76" xfId="0" applyBorder="1"/>
    <xf numFmtId="3" fontId="3" fillId="0" borderId="79" xfId="0" applyNumberFormat="1" applyFont="1" applyBorder="1" applyAlignment="1">
      <alignment horizontal="right" vertical="top"/>
    </xf>
    <xf numFmtId="44" fontId="0" fillId="0" borderId="47" xfId="1" applyFont="1" applyBorder="1"/>
    <xf numFmtId="44" fontId="0" fillId="0" borderId="46" xfId="1" applyFont="1" applyBorder="1"/>
    <xf numFmtId="165" fontId="0" fillId="0" borderId="71" xfId="0" applyNumberFormat="1" applyBorder="1"/>
    <xf numFmtId="0" fontId="0" fillId="0" borderId="47" xfId="0" applyBorder="1" applyAlignment="1">
      <alignment horizontal="left"/>
    </xf>
    <xf numFmtId="0" fontId="0" fillId="5" borderId="16" xfId="0" applyFill="1" applyBorder="1"/>
    <xf numFmtId="3" fontId="0" fillId="0" borderId="13" xfId="0" applyNumberFormat="1" applyBorder="1"/>
    <xf numFmtId="0" fontId="0" fillId="5" borderId="47" xfId="0" applyFill="1" applyBorder="1"/>
    <xf numFmtId="3" fontId="5" fillId="0" borderId="70" xfId="0" applyNumberFormat="1" applyFont="1" applyBorder="1" applyAlignment="1">
      <alignment horizontal="right" vertical="top"/>
    </xf>
    <xf numFmtId="3" fontId="0" fillId="0" borderId="24" xfId="0" applyNumberFormat="1" applyBorder="1"/>
    <xf numFmtId="0" fontId="0" fillId="0" borderId="46" xfId="0" applyBorder="1" applyAlignment="1">
      <alignment horizontal="left"/>
    </xf>
    <xf numFmtId="44" fontId="0" fillId="0" borderId="48" xfId="0" applyNumberFormat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44" fontId="0" fillId="0" borderId="51" xfId="1" applyFont="1" applyBorder="1"/>
    <xf numFmtId="2" fontId="0" fillId="0" borderId="47" xfId="0" applyNumberFormat="1" applyBorder="1"/>
    <xf numFmtId="44" fontId="0" fillId="0" borderId="38" xfId="1" applyFont="1" applyBorder="1"/>
    <xf numFmtId="44" fontId="0" fillId="0" borderId="16" xfId="1" applyFont="1" applyBorder="1"/>
    <xf numFmtId="44" fontId="0" fillId="0" borderId="22" xfId="1" applyFont="1" applyBorder="1"/>
    <xf numFmtId="44" fontId="0" fillId="0" borderId="17" xfId="1" applyFont="1" applyBorder="1"/>
    <xf numFmtId="44" fontId="0" fillId="0" borderId="25" xfId="1" applyFont="1" applyBorder="1"/>
    <xf numFmtId="44" fontId="0" fillId="0" borderId="27" xfId="1" applyFont="1" applyBorder="1"/>
    <xf numFmtId="44" fontId="0" fillId="0" borderId="33" xfId="1" applyFont="1" applyBorder="1"/>
    <xf numFmtId="44" fontId="0" fillId="0" borderId="35" xfId="1" applyFont="1" applyBorder="1"/>
    <xf numFmtId="44" fontId="0" fillId="0" borderId="4" xfId="1" applyFont="1" applyBorder="1"/>
    <xf numFmtId="44" fontId="0" fillId="0" borderId="36" xfId="1" applyFont="1" applyBorder="1"/>
    <xf numFmtId="44" fontId="0" fillId="0" borderId="37" xfId="1" applyFont="1" applyBorder="1"/>
    <xf numFmtId="44" fontId="0" fillId="0" borderId="3" xfId="1" applyFont="1" applyBorder="1"/>
    <xf numFmtId="44" fontId="0" fillId="0" borderId="26" xfId="1" applyFont="1" applyBorder="1"/>
    <xf numFmtId="165" fontId="11" fillId="0" borderId="0" xfId="1" applyNumberFormat="1" applyFont="1"/>
    <xf numFmtId="165" fontId="12" fillId="0" borderId="55" xfId="1" applyNumberFormat="1" applyFont="1" applyBorder="1" applyAlignment="1">
      <alignment horizontal="right" vertical="top"/>
    </xf>
    <xf numFmtId="165" fontId="3" fillId="0" borderId="55" xfId="1" applyNumberFormat="1" applyFont="1" applyBorder="1" applyAlignment="1">
      <alignment horizontal="right" vertical="top"/>
    </xf>
    <xf numFmtId="3" fontId="0" fillId="0" borderId="2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3" fillId="0" borderId="81" xfId="0" applyNumberFormat="1" applyFont="1" applyBorder="1" applyAlignment="1">
      <alignment horizontal="right" vertical="top"/>
    </xf>
    <xf numFmtId="0" fontId="0" fillId="0" borderId="81" xfId="0" applyBorder="1"/>
    <xf numFmtId="3" fontId="3" fillId="0" borderId="14" xfId="0" applyNumberFormat="1" applyFont="1" applyBorder="1" applyAlignment="1">
      <alignment horizontal="right" vertical="top"/>
    </xf>
    <xf numFmtId="0" fontId="13" fillId="0" borderId="0" xfId="0" applyFont="1"/>
    <xf numFmtId="166" fontId="0" fillId="0" borderId="1" xfId="2" applyNumberFormat="1" applyFont="1" applyBorder="1"/>
    <xf numFmtId="0" fontId="1" fillId="0" borderId="2" xfId="0" applyFont="1" applyBorder="1" applyAlignment="1">
      <alignment vertical="center"/>
    </xf>
    <xf numFmtId="166" fontId="4" fillId="0" borderId="42" xfId="2" applyNumberFormat="1" applyFont="1" applyBorder="1" applyAlignment="1">
      <alignment horizontal="right" vertical="top"/>
    </xf>
    <xf numFmtId="17" fontId="1" fillId="0" borderId="1" xfId="0" applyNumberFormat="1" applyFont="1" applyBorder="1"/>
    <xf numFmtId="17" fontId="1" fillId="0" borderId="2" xfId="0" applyNumberFormat="1" applyFont="1" applyBorder="1"/>
    <xf numFmtId="17" fontId="0" fillId="0" borderId="75" xfId="0" applyNumberFormat="1" applyBorder="1"/>
    <xf numFmtId="17" fontId="0" fillId="0" borderId="48" xfId="0" applyNumberFormat="1" applyBorder="1"/>
    <xf numFmtId="17" fontId="0" fillId="0" borderId="76" xfId="0" applyNumberFormat="1" applyBorder="1"/>
    <xf numFmtId="17" fontId="0" fillId="0" borderId="24" xfId="0" applyNumberFormat="1" applyBorder="1"/>
    <xf numFmtId="17" fontId="0" fillId="0" borderId="67" xfId="0" applyNumberFormat="1" applyBorder="1"/>
    <xf numFmtId="17" fontId="0" fillId="0" borderId="68" xfId="0" applyNumberFormat="1" applyBorder="1"/>
    <xf numFmtId="17" fontId="0" fillId="0" borderId="50" xfId="0" applyNumberFormat="1" applyBorder="1"/>
    <xf numFmtId="17" fontId="0" fillId="0" borderId="42" xfId="0" applyNumberFormat="1" applyBorder="1"/>
    <xf numFmtId="166" fontId="0" fillId="0" borderId="33" xfId="2" applyNumberFormat="1" applyFont="1" applyBorder="1"/>
    <xf numFmtId="166" fontId="0" fillId="0" borderId="4" xfId="2" applyNumberFormat="1" applyFont="1" applyBorder="1"/>
    <xf numFmtId="166" fontId="0" fillId="0" borderId="10" xfId="2" applyNumberFormat="1" applyFont="1" applyBorder="1"/>
    <xf numFmtId="166" fontId="0" fillId="0" borderId="0" xfId="2" applyNumberFormat="1" applyFont="1"/>
    <xf numFmtId="166" fontId="0" fillId="0" borderId="46" xfId="2" applyNumberFormat="1" applyFont="1" applyBorder="1"/>
    <xf numFmtId="166" fontId="0" fillId="0" borderId="47" xfId="2" applyNumberFormat="1" applyFont="1" applyBorder="1"/>
    <xf numFmtId="165" fontId="2" fillId="0" borderId="0" xfId="0" applyNumberFormat="1" applyFont="1"/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165" fontId="0" fillId="0" borderId="1" xfId="1" applyNumberFormat="1" applyFont="1" applyFill="1" applyBorder="1"/>
    <xf numFmtId="166" fontId="0" fillId="0" borderId="32" xfId="2" applyNumberFormat="1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0" borderId="82" xfId="0" applyFont="1" applyBorder="1" applyAlignment="1">
      <alignment vertical="center"/>
    </xf>
    <xf numFmtId="166" fontId="2" fillId="0" borderId="82" xfId="2" applyNumberFormat="1" applyFont="1" applyBorder="1" applyAlignment="1">
      <alignment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40" xfId="0" applyFont="1" applyBorder="1"/>
    <xf numFmtId="44" fontId="2" fillId="0" borderId="83" xfId="1" applyFont="1" applyBorder="1" applyAlignment="1">
      <alignment vertical="center"/>
    </xf>
    <xf numFmtId="44" fontId="2" fillId="0" borderId="83" xfId="1" applyFont="1" applyBorder="1" applyAlignment="1">
      <alignment vertical="center" wrapText="1"/>
    </xf>
    <xf numFmtId="165" fontId="0" fillId="0" borderId="0" xfId="1" applyNumberFormat="1" applyFont="1" applyFill="1" applyBorder="1"/>
    <xf numFmtId="0" fontId="1" fillId="0" borderId="84" xfId="0" applyFont="1" applyBorder="1" applyAlignment="1">
      <alignment horizontal="center" vertical="center"/>
    </xf>
    <xf numFmtId="0" fontId="1" fillId="0" borderId="85" xfId="0" applyFont="1" applyBorder="1"/>
    <xf numFmtId="44" fontId="2" fillId="0" borderId="86" xfId="1" applyFont="1" applyBorder="1" applyAlignment="1">
      <alignment vertical="center"/>
    </xf>
    <xf numFmtId="44" fontId="2" fillId="0" borderId="86" xfId="1" applyFont="1" applyBorder="1" applyAlignment="1">
      <alignment vertical="center" wrapText="1"/>
    </xf>
    <xf numFmtId="165" fontId="0" fillId="0" borderId="7" xfId="1" applyNumberFormat="1" applyFont="1" applyFill="1" applyBorder="1"/>
    <xf numFmtId="166" fontId="0" fillId="0" borderId="87" xfId="2" applyNumberFormat="1" applyFont="1" applyFill="1" applyBorder="1"/>
    <xf numFmtId="166" fontId="15" fillId="0" borderId="82" xfId="2" applyNumberFormat="1" applyFont="1" applyBorder="1"/>
    <xf numFmtId="165" fontId="0" fillId="0" borderId="90" xfId="1" applyNumberFormat="1" applyFont="1" applyFill="1" applyBorder="1"/>
    <xf numFmtId="166" fontId="0" fillId="0" borderId="91" xfId="2" applyNumberFormat="1" applyFont="1" applyFill="1" applyBorder="1"/>
    <xf numFmtId="44" fontId="15" fillId="0" borderId="86" xfId="1" applyFont="1" applyBorder="1"/>
    <xf numFmtId="165" fontId="0" fillId="0" borderId="93" xfId="1" applyNumberFormat="1" applyFont="1" applyBorder="1"/>
    <xf numFmtId="166" fontId="0" fillId="0" borderId="94" xfId="2" applyNumberFormat="1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1" xfId="0" applyBorder="1"/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8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9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17" fontId="0" fillId="0" borderId="64" xfId="0" applyNumberFormat="1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6" fillId="0" borderId="95" xfId="0" applyFont="1" applyBorder="1" applyAlignment="1">
      <alignment horizontal="center" vertical="center" wrapText="1"/>
    </xf>
    <xf numFmtId="0" fontId="16" fillId="0" borderId="96" xfId="0" applyFont="1" applyBorder="1" applyAlignment="1">
      <alignment horizontal="center" vertical="center" wrapText="1"/>
    </xf>
    <xf numFmtId="0" fontId="16" fillId="0" borderId="97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17" fontId="0" fillId="0" borderId="0" xfId="0" applyNumberFormat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5" fillId="0" borderId="88" xfId="0" applyFont="1" applyBorder="1" applyAlignment="1">
      <alignment horizontal="left"/>
    </xf>
    <xf numFmtId="0" fontId="15" fillId="0" borderId="89" xfId="0" applyFont="1" applyBorder="1" applyAlignment="1">
      <alignment horizontal="left"/>
    </xf>
    <xf numFmtId="0" fontId="15" fillId="0" borderId="92" xfId="0" applyFont="1" applyBorder="1" applyAlignment="1">
      <alignment horizontal="right"/>
    </xf>
    <xf numFmtId="0" fontId="15" fillId="0" borderId="44" xfId="0" applyFont="1" applyBorder="1" applyAlignment="1">
      <alignment horizontal="right"/>
    </xf>
    <xf numFmtId="17" fontId="14" fillId="6" borderId="23" xfId="4" applyNumberFormat="1" applyFont="1" applyFill="1" applyBorder="1" applyAlignment="1">
      <alignment horizontal="center" vertical="center"/>
    </xf>
    <xf numFmtId="0" fontId="14" fillId="6" borderId="24" xfId="4" applyFont="1" applyFill="1" applyBorder="1" applyAlignment="1">
      <alignment horizontal="center" vertical="center"/>
    </xf>
    <xf numFmtId="0" fontId="14" fillId="6" borderId="12" xfId="4" applyFont="1" applyFill="1" applyBorder="1" applyAlignment="1">
      <alignment horizontal="center" vertical="center"/>
    </xf>
    <xf numFmtId="0" fontId="14" fillId="6" borderId="13" xfId="4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" fontId="14" fillId="6" borderId="8" xfId="4" applyNumberFormat="1" applyFont="1" applyFill="1" applyBorder="1" applyAlignment="1">
      <alignment horizontal="center" vertical="center" wrapText="1"/>
    </xf>
    <xf numFmtId="17" fontId="14" fillId="6" borderId="29" xfId="4" applyNumberFormat="1" applyFont="1" applyFill="1" applyBorder="1" applyAlignment="1">
      <alignment horizontal="center" vertical="center" wrapText="1"/>
    </xf>
  </cellXfs>
  <cellStyles count="5">
    <cellStyle name="Comma" xfId="2" builtinId="3"/>
    <cellStyle name="Currency" xfId="1" builtinId="4"/>
    <cellStyle name="Normal" xfId="0" builtinId="0"/>
    <cellStyle name="Normal 2" xfId="3" xr:uid="{367DF9A1-4D0B-4D2A-8C5E-106720A9F014}"/>
    <cellStyle name="Normal 2 2" xfId="4" xr:uid="{4E5E8062-EEA0-42CF-AE3D-08E98151BC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5"/>
  <sheetViews>
    <sheetView zoomScale="90" zoomScaleNormal="90" workbookViewId="0">
      <pane ySplit="2" topLeftCell="A3" activePane="bottomLeft" state="frozen"/>
      <selection pane="bottomLeft" activeCell="G1216" sqref="G1216"/>
    </sheetView>
  </sheetViews>
  <sheetFormatPr baseColWidth="10" defaultColWidth="9" defaultRowHeight="15" x14ac:dyDescent="0.2"/>
  <cols>
    <col min="2" max="2" width="10" bestFit="1" customWidth="1"/>
    <col min="3" max="3" width="14.5" bestFit="1" customWidth="1"/>
    <col min="4" max="4" width="22" customWidth="1"/>
    <col min="5" max="5" width="20.1640625" customWidth="1"/>
    <col min="6" max="6" width="11.83203125" customWidth="1"/>
  </cols>
  <sheetData>
    <row r="1" spans="1:6" x14ac:dyDescent="0.2">
      <c r="A1" s="292" t="s">
        <v>283</v>
      </c>
      <c r="B1" s="293"/>
      <c r="C1" s="293"/>
      <c r="D1" s="293"/>
      <c r="E1" s="293"/>
      <c r="F1" s="293"/>
    </row>
    <row r="2" spans="1:6" ht="34.25" customHeight="1" thickBot="1" x14ac:dyDescent="0.25">
      <c r="A2" s="44" t="s">
        <v>144</v>
      </c>
      <c r="B2" s="31" t="s">
        <v>0</v>
      </c>
      <c r="C2" s="31" t="s">
        <v>1</v>
      </c>
      <c r="D2" s="31" t="s">
        <v>3</v>
      </c>
      <c r="E2" s="31" t="s">
        <v>2</v>
      </c>
      <c r="F2" s="31" t="s">
        <v>145</v>
      </c>
    </row>
    <row r="3" spans="1:6" ht="16" thickBot="1" x14ac:dyDescent="0.25">
      <c r="A3" s="126">
        <v>1</v>
      </c>
      <c r="B3" s="127" t="s">
        <v>146</v>
      </c>
      <c r="C3" s="127" t="s">
        <v>147</v>
      </c>
      <c r="D3" s="126">
        <v>149</v>
      </c>
      <c r="E3" s="128">
        <v>87653.066099999996</v>
      </c>
      <c r="F3" s="127" t="s">
        <v>148</v>
      </c>
    </row>
    <row r="4" spans="1:6" ht="16" thickBot="1" x14ac:dyDescent="0.25">
      <c r="A4" s="83">
        <v>1</v>
      </c>
      <c r="B4" s="129" t="s">
        <v>150</v>
      </c>
      <c r="C4" s="129" t="s">
        <v>147</v>
      </c>
      <c r="D4" s="83">
        <v>91</v>
      </c>
      <c r="E4" s="103">
        <v>55003.909699999997</v>
      </c>
      <c r="F4" s="129" t="s">
        <v>148</v>
      </c>
    </row>
    <row r="5" spans="1:6" ht="16" thickBot="1" x14ac:dyDescent="0.25">
      <c r="A5" s="83">
        <v>1</v>
      </c>
      <c r="B5" s="129" t="s">
        <v>151</v>
      </c>
      <c r="C5" s="129" t="s">
        <v>147</v>
      </c>
      <c r="D5" s="83">
        <v>11</v>
      </c>
      <c r="E5" s="103">
        <v>1463.58</v>
      </c>
      <c r="F5" s="129" t="s">
        <v>256</v>
      </c>
    </row>
    <row r="6" spans="1:6" ht="16" thickBot="1" x14ac:dyDescent="0.25">
      <c r="A6" s="83">
        <v>1</v>
      </c>
      <c r="B6" s="129" t="s">
        <v>151</v>
      </c>
      <c r="C6" s="129" t="s">
        <v>147</v>
      </c>
      <c r="D6" s="83">
        <v>46</v>
      </c>
      <c r="E6" s="103">
        <v>37391.721259999998</v>
      </c>
      <c r="F6" s="129" t="s">
        <v>148</v>
      </c>
    </row>
    <row r="7" spans="1:6" ht="16" thickBot="1" x14ac:dyDescent="0.25">
      <c r="A7" s="83">
        <v>1</v>
      </c>
      <c r="B7" s="129" t="s">
        <v>153</v>
      </c>
      <c r="C7" s="129" t="s">
        <v>147</v>
      </c>
      <c r="D7" s="83">
        <v>218</v>
      </c>
      <c r="E7" s="103">
        <v>2847404.9550000001</v>
      </c>
      <c r="F7" s="129" t="s">
        <v>256</v>
      </c>
    </row>
    <row r="8" spans="1:6" ht="16" thickBot="1" x14ac:dyDescent="0.25">
      <c r="A8" s="83">
        <v>1</v>
      </c>
      <c r="B8" s="129" t="s">
        <v>153</v>
      </c>
      <c r="C8" s="129" t="s">
        <v>147</v>
      </c>
      <c r="D8" s="83">
        <v>256</v>
      </c>
      <c r="E8" s="103">
        <v>764480.12535999995</v>
      </c>
      <c r="F8" s="129" t="s">
        <v>148</v>
      </c>
    </row>
    <row r="9" spans="1:6" ht="16" thickBot="1" x14ac:dyDescent="0.25">
      <c r="A9" s="83">
        <v>1</v>
      </c>
      <c r="B9" s="129" t="s">
        <v>154</v>
      </c>
      <c r="C9" s="129" t="s">
        <v>147</v>
      </c>
      <c r="D9" s="83">
        <v>73</v>
      </c>
      <c r="E9" s="103">
        <v>248484.02100000001</v>
      </c>
      <c r="F9" s="129" t="s">
        <v>256</v>
      </c>
    </row>
    <row r="10" spans="1:6" ht="16" thickBot="1" x14ac:dyDescent="0.25">
      <c r="A10" s="83">
        <v>1</v>
      </c>
      <c r="B10" s="129" t="s">
        <v>154</v>
      </c>
      <c r="C10" s="129" t="s">
        <v>147</v>
      </c>
      <c r="D10" s="83">
        <v>21</v>
      </c>
      <c r="E10" s="103">
        <v>26176.297310000002</v>
      </c>
      <c r="F10" s="129" t="s">
        <v>148</v>
      </c>
    </row>
    <row r="11" spans="1:6" ht="16" thickBot="1" x14ac:dyDescent="0.25">
      <c r="A11" s="83">
        <v>1</v>
      </c>
      <c r="B11" s="129" t="s">
        <v>155</v>
      </c>
      <c r="C11" s="129" t="s">
        <v>147</v>
      </c>
      <c r="D11" s="83">
        <v>24</v>
      </c>
      <c r="E11" s="103">
        <v>20606.939999999999</v>
      </c>
      <c r="F11" s="129" t="s">
        <v>256</v>
      </c>
    </row>
    <row r="12" spans="1:6" ht="16" thickBot="1" x14ac:dyDescent="0.25">
      <c r="A12" s="83">
        <v>1</v>
      </c>
      <c r="B12" s="129" t="s">
        <v>155</v>
      </c>
      <c r="C12" s="129" t="s">
        <v>147</v>
      </c>
      <c r="D12" s="83">
        <v>204</v>
      </c>
      <c r="E12" s="103">
        <v>686345.79171999998</v>
      </c>
      <c r="F12" s="129" t="s">
        <v>148</v>
      </c>
    </row>
    <row r="13" spans="1:6" ht="16" thickBot="1" x14ac:dyDescent="0.25">
      <c r="A13" s="83">
        <v>1</v>
      </c>
      <c r="B13" s="129" t="s">
        <v>156</v>
      </c>
      <c r="C13" s="129" t="s">
        <v>147</v>
      </c>
      <c r="D13" s="83">
        <v>117</v>
      </c>
      <c r="E13" s="103">
        <v>439316.09899999999</v>
      </c>
      <c r="F13" s="129" t="s">
        <v>256</v>
      </c>
    </row>
    <row r="14" spans="1:6" ht="16" thickBot="1" x14ac:dyDescent="0.25">
      <c r="A14" s="83">
        <v>1</v>
      </c>
      <c r="B14" s="129" t="s">
        <v>156</v>
      </c>
      <c r="C14" s="129" t="s">
        <v>147</v>
      </c>
      <c r="D14" s="83">
        <v>25</v>
      </c>
      <c r="E14" s="103">
        <v>39746.31323</v>
      </c>
      <c r="F14" s="129" t="s">
        <v>148</v>
      </c>
    </row>
    <row r="15" spans="1:6" ht="16" thickBot="1" x14ac:dyDescent="0.25">
      <c r="A15" s="83">
        <v>1</v>
      </c>
      <c r="B15" s="129" t="s">
        <v>157</v>
      </c>
      <c r="C15" s="129" t="s">
        <v>147</v>
      </c>
      <c r="D15" s="83">
        <v>516</v>
      </c>
      <c r="E15" s="103">
        <v>1544058.2549999999</v>
      </c>
      <c r="F15" s="129" t="s">
        <v>256</v>
      </c>
    </row>
    <row r="16" spans="1:6" ht="16" thickBot="1" x14ac:dyDescent="0.25">
      <c r="A16" s="83">
        <v>1</v>
      </c>
      <c r="B16" s="129" t="s">
        <v>157</v>
      </c>
      <c r="C16" s="129" t="s">
        <v>147</v>
      </c>
      <c r="D16" s="83">
        <v>257</v>
      </c>
      <c r="E16" s="103">
        <v>115230.89333000001</v>
      </c>
      <c r="F16" s="129" t="s">
        <v>148</v>
      </c>
    </row>
    <row r="17" spans="1:6" ht="16" thickBot="1" x14ac:dyDescent="0.25">
      <c r="A17" s="83">
        <v>1</v>
      </c>
      <c r="B17" s="129" t="s">
        <v>158</v>
      </c>
      <c r="C17" s="129" t="s">
        <v>147</v>
      </c>
      <c r="D17" s="83">
        <v>50</v>
      </c>
      <c r="E17" s="103">
        <v>61202.360999999997</v>
      </c>
      <c r="F17" s="129" t="s">
        <v>256</v>
      </c>
    </row>
    <row r="18" spans="1:6" ht="16" thickBot="1" x14ac:dyDescent="0.25">
      <c r="A18" s="83">
        <v>1</v>
      </c>
      <c r="B18" s="129" t="s">
        <v>159</v>
      </c>
      <c r="C18" s="129" t="s">
        <v>147</v>
      </c>
      <c r="D18" s="83">
        <v>59</v>
      </c>
      <c r="E18" s="103">
        <v>158017.81299999999</v>
      </c>
      <c r="F18" s="129" t="s">
        <v>256</v>
      </c>
    </row>
    <row r="19" spans="1:6" ht="16" thickBot="1" x14ac:dyDescent="0.25">
      <c r="A19" s="83">
        <v>1</v>
      </c>
      <c r="B19" s="129" t="s">
        <v>160</v>
      </c>
      <c r="C19" s="129" t="s">
        <v>147</v>
      </c>
      <c r="D19" s="83">
        <v>9</v>
      </c>
      <c r="E19" s="103">
        <v>11120.666999999999</v>
      </c>
      <c r="F19" s="129" t="s">
        <v>256</v>
      </c>
    </row>
    <row r="20" spans="1:6" ht="16" thickBot="1" x14ac:dyDescent="0.25">
      <c r="A20" s="83">
        <v>1</v>
      </c>
      <c r="B20" s="129" t="s">
        <v>160</v>
      </c>
      <c r="C20" s="129" t="s">
        <v>147</v>
      </c>
      <c r="D20" s="83">
        <v>29</v>
      </c>
      <c r="E20" s="103">
        <v>433884.14199999999</v>
      </c>
      <c r="F20" s="129" t="s">
        <v>148</v>
      </c>
    </row>
    <row r="21" spans="1:6" ht="16" thickBot="1" x14ac:dyDescent="0.25">
      <c r="A21" s="83">
        <v>1</v>
      </c>
      <c r="B21" s="129" t="s">
        <v>161</v>
      </c>
      <c r="C21" s="129" t="s">
        <v>147</v>
      </c>
      <c r="D21" s="83">
        <v>60</v>
      </c>
      <c r="E21" s="103">
        <v>234604.94099999999</v>
      </c>
      <c r="F21" s="129" t="s">
        <v>256</v>
      </c>
    </row>
    <row r="22" spans="1:6" ht="16" thickBot="1" x14ac:dyDescent="0.25">
      <c r="A22" s="83">
        <v>1</v>
      </c>
      <c r="B22" s="129" t="s">
        <v>162</v>
      </c>
      <c r="C22" s="129" t="s">
        <v>147</v>
      </c>
      <c r="D22" s="83">
        <v>67</v>
      </c>
      <c r="E22" s="103">
        <v>661846.29200000002</v>
      </c>
      <c r="F22" s="129" t="s">
        <v>256</v>
      </c>
    </row>
    <row r="23" spans="1:6" ht="16" thickBot="1" x14ac:dyDescent="0.25">
      <c r="A23" s="83">
        <v>1</v>
      </c>
      <c r="B23" s="129" t="s">
        <v>163</v>
      </c>
      <c r="C23" s="129" t="s">
        <v>147</v>
      </c>
      <c r="D23" s="83">
        <v>15</v>
      </c>
      <c r="E23" s="103">
        <v>33929.745000000003</v>
      </c>
      <c r="F23" s="129" t="s">
        <v>256</v>
      </c>
    </row>
    <row r="24" spans="1:6" ht="16" thickBot="1" x14ac:dyDescent="0.25">
      <c r="A24" s="83">
        <v>1</v>
      </c>
      <c r="B24" s="129" t="s">
        <v>163</v>
      </c>
      <c r="C24" s="129" t="s">
        <v>147</v>
      </c>
      <c r="D24" s="83">
        <v>1</v>
      </c>
      <c r="E24" s="103">
        <v>315.10937999999999</v>
      </c>
      <c r="F24" s="129" t="s">
        <v>148</v>
      </c>
    </row>
    <row r="25" spans="1:6" ht="16" thickBot="1" x14ac:dyDescent="0.25">
      <c r="A25" s="83">
        <v>1</v>
      </c>
      <c r="B25" s="129" t="s">
        <v>164</v>
      </c>
      <c r="C25" s="129" t="s">
        <v>147</v>
      </c>
      <c r="D25" s="83">
        <v>394</v>
      </c>
      <c r="E25" s="103">
        <v>1638577.602</v>
      </c>
      <c r="F25" s="129" t="s">
        <v>256</v>
      </c>
    </row>
    <row r="26" spans="1:6" ht="16" thickBot="1" x14ac:dyDescent="0.25">
      <c r="A26" s="83">
        <v>1</v>
      </c>
      <c r="B26" s="129" t="s">
        <v>164</v>
      </c>
      <c r="C26" s="129" t="s">
        <v>147</v>
      </c>
      <c r="D26" s="83">
        <v>137</v>
      </c>
      <c r="E26" s="103">
        <v>104543.47543000001</v>
      </c>
      <c r="F26" s="129" t="s">
        <v>148</v>
      </c>
    </row>
    <row r="27" spans="1:6" ht="16" thickBot="1" x14ac:dyDescent="0.25">
      <c r="A27" s="83">
        <v>1</v>
      </c>
      <c r="B27" s="129" t="s">
        <v>165</v>
      </c>
      <c r="C27" s="129" t="s">
        <v>147</v>
      </c>
      <c r="D27" s="83">
        <v>23</v>
      </c>
      <c r="E27" s="103">
        <v>22444.577000000001</v>
      </c>
      <c r="F27" s="129" t="s">
        <v>256</v>
      </c>
    </row>
    <row r="28" spans="1:6" ht="16" thickBot="1" x14ac:dyDescent="0.25">
      <c r="A28" s="83">
        <v>1</v>
      </c>
      <c r="B28" s="129" t="s">
        <v>166</v>
      </c>
      <c r="C28" s="129" t="s">
        <v>147</v>
      </c>
      <c r="D28" s="83">
        <v>558</v>
      </c>
      <c r="E28" s="103">
        <v>9819965.8839999996</v>
      </c>
      <c r="F28" s="129" t="s">
        <v>256</v>
      </c>
    </row>
    <row r="29" spans="1:6" ht="16" thickBot="1" x14ac:dyDescent="0.25">
      <c r="A29" s="83">
        <v>1</v>
      </c>
      <c r="B29" s="129" t="s">
        <v>166</v>
      </c>
      <c r="C29" s="129" t="s">
        <v>147</v>
      </c>
      <c r="D29" s="83">
        <v>288</v>
      </c>
      <c r="E29" s="103">
        <v>239143.93148</v>
      </c>
      <c r="F29" s="129" t="s">
        <v>148</v>
      </c>
    </row>
    <row r="30" spans="1:6" ht="16" thickBot="1" x14ac:dyDescent="0.25">
      <c r="A30" s="83">
        <v>1</v>
      </c>
      <c r="B30" s="129" t="s">
        <v>167</v>
      </c>
      <c r="C30" s="129" t="s">
        <v>147</v>
      </c>
      <c r="D30" s="83">
        <v>15</v>
      </c>
      <c r="E30" s="103">
        <v>27016.433000000001</v>
      </c>
      <c r="F30" s="129" t="s">
        <v>256</v>
      </c>
    </row>
    <row r="31" spans="1:6" ht="16" thickBot="1" x14ac:dyDescent="0.25">
      <c r="A31" s="83">
        <v>1</v>
      </c>
      <c r="B31" s="129" t="s">
        <v>168</v>
      </c>
      <c r="C31" s="129" t="s">
        <v>147</v>
      </c>
      <c r="D31" s="83">
        <v>198</v>
      </c>
      <c r="E31" s="103">
        <v>1081600.868</v>
      </c>
      <c r="F31" s="129" t="s">
        <v>256</v>
      </c>
    </row>
    <row r="32" spans="1:6" ht="16" thickBot="1" x14ac:dyDescent="0.25">
      <c r="A32" s="83">
        <v>1</v>
      </c>
      <c r="B32" s="129" t="s">
        <v>168</v>
      </c>
      <c r="C32" s="129" t="s">
        <v>147</v>
      </c>
      <c r="D32" s="83">
        <v>111</v>
      </c>
      <c r="E32" s="103">
        <v>70445.420670000007</v>
      </c>
      <c r="F32" s="129" t="s">
        <v>148</v>
      </c>
    </row>
    <row r="33" spans="1:6" ht="16" thickBot="1" x14ac:dyDescent="0.25">
      <c r="A33" s="83">
        <v>1</v>
      </c>
      <c r="B33" s="129" t="s">
        <v>169</v>
      </c>
      <c r="C33" s="129" t="s">
        <v>147</v>
      </c>
      <c r="D33" s="83">
        <v>232</v>
      </c>
      <c r="E33" s="103">
        <v>1856257.862</v>
      </c>
      <c r="F33" s="129" t="s">
        <v>256</v>
      </c>
    </row>
    <row r="34" spans="1:6" ht="16" thickBot="1" x14ac:dyDescent="0.25">
      <c r="A34" s="83">
        <v>1</v>
      </c>
      <c r="B34" s="129" t="s">
        <v>169</v>
      </c>
      <c r="C34" s="129" t="s">
        <v>147</v>
      </c>
      <c r="D34" s="83">
        <v>102</v>
      </c>
      <c r="E34" s="103">
        <v>294189.58178000001</v>
      </c>
      <c r="F34" s="129" t="s">
        <v>148</v>
      </c>
    </row>
    <row r="35" spans="1:6" ht="16" thickBot="1" x14ac:dyDescent="0.25">
      <c r="A35" s="83">
        <v>1</v>
      </c>
      <c r="B35" s="129" t="s">
        <v>170</v>
      </c>
      <c r="C35" s="129" t="s">
        <v>147</v>
      </c>
      <c r="D35" s="83">
        <v>6</v>
      </c>
      <c r="E35" s="103">
        <v>36424.690999999999</v>
      </c>
      <c r="F35" s="129" t="s">
        <v>256</v>
      </c>
    </row>
    <row r="36" spans="1:6" ht="16" thickBot="1" x14ac:dyDescent="0.25">
      <c r="A36" s="83">
        <v>1</v>
      </c>
      <c r="B36" s="129" t="s">
        <v>171</v>
      </c>
      <c r="C36" s="129" t="s">
        <v>147</v>
      </c>
      <c r="D36" s="83">
        <v>62</v>
      </c>
      <c r="E36" s="103">
        <v>463587.41399999999</v>
      </c>
      <c r="F36" s="129" t="s">
        <v>256</v>
      </c>
    </row>
    <row r="37" spans="1:6" ht="16" thickBot="1" x14ac:dyDescent="0.25">
      <c r="A37" s="83">
        <v>1</v>
      </c>
      <c r="B37" s="129" t="s">
        <v>171</v>
      </c>
      <c r="C37" s="129" t="s">
        <v>147</v>
      </c>
      <c r="D37" s="83">
        <v>24</v>
      </c>
      <c r="E37" s="103">
        <v>25675.09577</v>
      </c>
      <c r="F37" s="129" t="s">
        <v>148</v>
      </c>
    </row>
    <row r="38" spans="1:6" ht="16" thickBot="1" x14ac:dyDescent="0.25">
      <c r="A38" s="83">
        <v>1</v>
      </c>
      <c r="B38" s="129" t="s">
        <v>172</v>
      </c>
      <c r="C38" s="129" t="s">
        <v>147</v>
      </c>
      <c r="D38" s="83">
        <v>68</v>
      </c>
      <c r="E38" s="103">
        <v>218561.35</v>
      </c>
      <c r="F38" s="129" t="s">
        <v>256</v>
      </c>
    </row>
    <row r="39" spans="1:6" ht="16" thickBot="1" x14ac:dyDescent="0.25">
      <c r="A39" s="83">
        <v>1</v>
      </c>
      <c r="B39" s="129" t="s">
        <v>172</v>
      </c>
      <c r="C39" s="129" t="s">
        <v>147</v>
      </c>
      <c r="D39" s="83">
        <v>35</v>
      </c>
      <c r="E39" s="103">
        <v>23369.119159999998</v>
      </c>
      <c r="F39" s="129" t="s">
        <v>148</v>
      </c>
    </row>
    <row r="40" spans="1:6" ht="16" thickBot="1" x14ac:dyDescent="0.25">
      <c r="A40" s="83">
        <v>1</v>
      </c>
      <c r="B40" s="129" t="s">
        <v>173</v>
      </c>
      <c r="C40" s="129" t="s">
        <v>147</v>
      </c>
      <c r="D40" s="83">
        <v>182</v>
      </c>
      <c r="E40" s="103">
        <v>866525.68599999999</v>
      </c>
      <c r="F40" s="129" t="s">
        <v>256</v>
      </c>
    </row>
    <row r="41" spans="1:6" ht="16" thickBot="1" x14ac:dyDescent="0.25">
      <c r="A41" s="83">
        <v>1</v>
      </c>
      <c r="B41" s="129" t="s">
        <v>173</v>
      </c>
      <c r="C41" s="129" t="s">
        <v>147</v>
      </c>
      <c r="D41" s="83">
        <v>86</v>
      </c>
      <c r="E41" s="103">
        <v>75254.960420000003</v>
      </c>
      <c r="F41" s="129" t="s">
        <v>148</v>
      </c>
    </row>
    <row r="42" spans="1:6" ht="16" thickBot="1" x14ac:dyDescent="0.25">
      <c r="A42" s="83">
        <v>1</v>
      </c>
      <c r="B42" s="129" t="s">
        <v>174</v>
      </c>
      <c r="C42" s="129" t="s">
        <v>147</v>
      </c>
      <c r="D42" s="83">
        <v>123</v>
      </c>
      <c r="E42" s="103">
        <v>367778.50199999998</v>
      </c>
      <c r="F42" s="129" t="s">
        <v>256</v>
      </c>
    </row>
    <row r="43" spans="1:6" ht="16" thickBot="1" x14ac:dyDescent="0.25">
      <c r="A43" s="83">
        <v>1</v>
      </c>
      <c r="B43" s="129" t="s">
        <v>174</v>
      </c>
      <c r="C43" s="129" t="s">
        <v>147</v>
      </c>
      <c r="D43" s="83">
        <v>32</v>
      </c>
      <c r="E43" s="103">
        <v>18529.227070000001</v>
      </c>
      <c r="F43" s="129" t="s">
        <v>148</v>
      </c>
    </row>
    <row r="44" spans="1:6" ht="16" thickBot="1" x14ac:dyDescent="0.25">
      <c r="A44" s="83">
        <v>1</v>
      </c>
      <c r="B44" s="129" t="s">
        <v>175</v>
      </c>
      <c r="C44" s="129" t="s">
        <v>147</v>
      </c>
      <c r="D44" s="83">
        <v>42</v>
      </c>
      <c r="E44" s="103">
        <v>131833.288</v>
      </c>
      <c r="F44" s="129" t="s">
        <v>256</v>
      </c>
    </row>
    <row r="45" spans="1:6" ht="16" thickBot="1" x14ac:dyDescent="0.25">
      <c r="A45" s="83">
        <v>1</v>
      </c>
      <c r="B45" s="129" t="s">
        <v>175</v>
      </c>
      <c r="C45" s="129" t="s">
        <v>147</v>
      </c>
      <c r="D45" s="83">
        <v>7</v>
      </c>
      <c r="E45" s="103">
        <v>11747.669900000001</v>
      </c>
      <c r="F45" s="129" t="s">
        <v>148</v>
      </c>
    </row>
    <row r="46" spans="1:6" ht="16" thickBot="1" x14ac:dyDescent="0.25">
      <c r="A46" s="83">
        <v>1</v>
      </c>
      <c r="B46" s="129" t="s">
        <v>176</v>
      </c>
      <c r="C46" s="129" t="s">
        <v>147</v>
      </c>
      <c r="D46" s="83">
        <v>49</v>
      </c>
      <c r="E46" s="103">
        <v>271105.58399999997</v>
      </c>
      <c r="F46" s="129" t="s">
        <v>256</v>
      </c>
    </row>
    <row r="47" spans="1:6" ht="16" thickBot="1" x14ac:dyDescent="0.25">
      <c r="A47" s="83">
        <v>1</v>
      </c>
      <c r="B47" s="129" t="s">
        <v>176</v>
      </c>
      <c r="C47" s="129" t="s">
        <v>147</v>
      </c>
      <c r="D47" s="83">
        <v>39</v>
      </c>
      <c r="E47" s="103">
        <v>30114.096649999999</v>
      </c>
      <c r="F47" s="129" t="s">
        <v>148</v>
      </c>
    </row>
    <row r="48" spans="1:6" ht="16" thickBot="1" x14ac:dyDescent="0.25">
      <c r="A48" s="83">
        <v>1</v>
      </c>
      <c r="B48" s="129" t="s">
        <v>177</v>
      </c>
      <c r="C48" s="129" t="s">
        <v>147</v>
      </c>
      <c r="D48" s="83">
        <v>115</v>
      </c>
      <c r="E48" s="103">
        <v>196082.141</v>
      </c>
      <c r="F48" s="129" t="s">
        <v>256</v>
      </c>
    </row>
    <row r="49" spans="1:6" ht="16" thickBot="1" x14ac:dyDescent="0.25">
      <c r="A49" s="83">
        <v>1</v>
      </c>
      <c r="B49" s="129" t="s">
        <v>177</v>
      </c>
      <c r="C49" s="129" t="s">
        <v>147</v>
      </c>
      <c r="D49" s="83">
        <v>25</v>
      </c>
      <c r="E49" s="103">
        <v>7493.0579500000003</v>
      </c>
      <c r="F49" s="129" t="s">
        <v>148</v>
      </c>
    </row>
    <row r="50" spans="1:6" ht="16" thickBot="1" x14ac:dyDescent="0.25">
      <c r="A50" s="83">
        <v>1</v>
      </c>
      <c r="B50" s="129" t="s">
        <v>178</v>
      </c>
      <c r="C50" s="129" t="s">
        <v>147</v>
      </c>
      <c r="D50" s="83">
        <v>96</v>
      </c>
      <c r="E50" s="103">
        <v>365419.18099999998</v>
      </c>
      <c r="F50" s="129" t="s">
        <v>256</v>
      </c>
    </row>
    <row r="51" spans="1:6" ht="16" thickBot="1" x14ac:dyDescent="0.25">
      <c r="A51" s="83">
        <v>1</v>
      </c>
      <c r="B51" s="129" t="s">
        <v>179</v>
      </c>
      <c r="C51" s="129" t="s">
        <v>147</v>
      </c>
      <c r="D51" s="83">
        <v>1</v>
      </c>
      <c r="E51" s="83">
        <v>0</v>
      </c>
      <c r="F51" s="129" t="s">
        <v>256</v>
      </c>
    </row>
    <row r="52" spans="1:6" ht="16" thickBot="1" x14ac:dyDescent="0.25">
      <c r="A52" s="83">
        <v>1</v>
      </c>
      <c r="B52" s="129" t="s">
        <v>181</v>
      </c>
      <c r="C52" s="129" t="s">
        <v>147</v>
      </c>
      <c r="D52" s="83">
        <v>16</v>
      </c>
      <c r="E52" s="103">
        <v>43518.544999999998</v>
      </c>
      <c r="F52" s="129" t="s">
        <v>256</v>
      </c>
    </row>
    <row r="53" spans="1:6" ht="16" thickBot="1" x14ac:dyDescent="0.25">
      <c r="A53" s="83">
        <v>1</v>
      </c>
      <c r="B53" s="129" t="s">
        <v>181</v>
      </c>
      <c r="C53" s="129" t="s">
        <v>147</v>
      </c>
      <c r="D53" s="83">
        <v>240</v>
      </c>
      <c r="E53" s="103">
        <v>150382.61955999999</v>
      </c>
      <c r="F53" s="129" t="s">
        <v>148</v>
      </c>
    </row>
    <row r="54" spans="1:6" ht="16" thickBot="1" x14ac:dyDescent="0.25">
      <c r="A54" s="83">
        <v>1</v>
      </c>
      <c r="B54" s="129" t="s">
        <v>182</v>
      </c>
      <c r="C54" s="129" t="s">
        <v>147</v>
      </c>
      <c r="D54" s="83">
        <v>14</v>
      </c>
      <c r="E54" s="103">
        <v>7913.1480000000001</v>
      </c>
      <c r="F54" s="129" t="s">
        <v>256</v>
      </c>
    </row>
    <row r="55" spans="1:6" ht="16" thickBot="1" x14ac:dyDescent="0.25">
      <c r="A55" s="83">
        <v>1</v>
      </c>
      <c r="B55" s="129" t="s">
        <v>183</v>
      </c>
      <c r="C55" s="129" t="s">
        <v>147</v>
      </c>
      <c r="D55" s="83">
        <v>120</v>
      </c>
      <c r="E55" s="103">
        <v>978280.21499999997</v>
      </c>
      <c r="F55" s="129" t="s">
        <v>256</v>
      </c>
    </row>
    <row r="56" spans="1:6" ht="16" thickBot="1" x14ac:dyDescent="0.25">
      <c r="A56" s="83">
        <v>1</v>
      </c>
      <c r="B56" s="129" t="s">
        <v>184</v>
      </c>
      <c r="C56" s="129" t="s">
        <v>147</v>
      </c>
      <c r="D56" s="83">
        <v>41</v>
      </c>
      <c r="E56" s="103">
        <v>93037.058999999994</v>
      </c>
      <c r="F56" s="129" t="s">
        <v>256</v>
      </c>
    </row>
    <row r="57" spans="1:6" ht="16" thickBot="1" x14ac:dyDescent="0.25">
      <c r="A57" s="83">
        <v>1</v>
      </c>
      <c r="B57" s="129" t="s">
        <v>185</v>
      </c>
      <c r="C57" s="129" t="s">
        <v>147</v>
      </c>
      <c r="D57" s="83">
        <v>10</v>
      </c>
      <c r="E57" s="103">
        <v>8117.6689999999999</v>
      </c>
      <c r="F57" s="129" t="s">
        <v>256</v>
      </c>
    </row>
    <row r="58" spans="1:6" ht="16" thickBot="1" x14ac:dyDescent="0.25">
      <c r="A58" s="83">
        <v>1</v>
      </c>
      <c r="B58" s="129" t="s">
        <v>185</v>
      </c>
      <c r="C58" s="129" t="s">
        <v>147</v>
      </c>
      <c r="D58" s="83">
        <v>3</v>
      </c>
      <c r="E58" s="103">
        <v>686.22208000000001</v>
      </c>
      <c r="F58" s="129" t="s">
        <v>148</v>
      </c>
    </row>
    <row r="59" spans="1:6" ht="16" thickBot="1" x14ac:dyDescent="0.25">
      <c r="A59" s="83">
        <v>1</v>
      </c>
      <c r="B59" s="129" t="s">
        <v>186</v>
      </c>
      <c r="C59" s="129" t="s">
        <v>147</v>
      </c>
      <c r="D59" s="83">
        <v>47</v>
      </c>
      <c r="E59" s="103">
        <v>68040.186000000002</v>
      </c>
      <c r="F59" s="129" t="s">
        <v>256</v>
      </c>
    </row>
    <row r="60" spans="1:6" ht="16" thickBot="1" x14ac:dyDescent="0.25">
      <c r="A60" s="83">
        <v>1</v>
      </c>
      <c r="B60" s="129" t="s">
        <v>187</v>
      </c>
      <c r="C60" s="129" t="s">
        <v>147</v>
      </c>
      <c r="D60" s="83">
        <v>2</v>
      </c>
      <c r="E60" s="103">
        <v>2700.136</v>
      </c>
      <c r="F60" s="129" t="s">
        <v>256</v>
      </c>
    </row>
    <row r="61" spans="1:6" ht="16" thickBot="1" x14ac:dyDescent="0.25">
      <c r="A61" s="83">
        <v>1</v>
      </c>
      <c r="B61" s="129" t="s">
        <v>188</v>
      </c>
      <c r="C61" s="129" t="s">
        <v>147</v>
      </c>
      <c r="D61" s="83">
        <v>1</v>
      </c>
      <c r="E61" s="103">
        <v>724.10699999999997</v>
      </c>
      <c r="F61" s="129" t="s">
        <v>256</v>
      </c>
    </row>
    <row r="62" spans="1:6" ht="16" thickBot="1" x14ac:dyDescent="0.25">
      <c r="A62" s="83">
        <v>1</v>
      </c>
      <c r="B62" s="129" t="s">
        <v>189</v>
      </c>
      <c r="C62" s="129" t="s">
        <v>147</v>
      </c>
      <c r="D62" s="83">
        <v>171</v>
      </c>
      <c r="E62" s="103">
        <v>887805.38199999998</v>
      </c>
      <c r="F62" s="129" t="s">
        <v>256</v>
      </c>
    </row>
    <row r="63" spans="1:6" ht="16" thickBot="1" x14ac:dyDescent="0.25">
      <c r="A63" s="83">
        <v>1</v>
      </c>
      <c r="B63" s="129" t="s">
        <v>189</v>
      </c>
      <c r="C63" s="129" t="s">
        <v>147</v>
      </c>
      <c r="D63" s="83">
        <v>156</v>
      </c>
      <c r="E63" s="103">
        <v>60834.910830000001</v>
      </c>
      <c r="F63" s="129" t="s">
        <v>148</v>
      </c>
    </row>
    <row r="64" spans="1:6" ht="16" thickBot="1" x14ac:dyDescent="0.25">
      <c r="A64" s="83">
        <v>1</v>
      </c>
      <c r="B64" s="129" t="s">
        <v>190</v>
      </c>
      <c r="C64" s="129" t="s">
        <v>147</v>
      </c>
      <c r="D64" s="83">
        <v>29</v>
      </c>
      <c r="E64" s="103">
        <v>51009.349000000002</v>
      </c>
      <c r="F64" s="129" t="s">
        <v>256</v>
      </c>
    </row>
    <row r="65" spans="1:6" ht="16" thickBot="1" x14ac:dyDescent="0.25">
      <c r="A65" s="83">
        <v>1</v>
      </c>
      <c r="B65" s="129" t="s">
        <v>190</v>
      </c>
      <c r="C65" s="129" t="s">
        <v>147</v>
      </c>
      <c r="D65" s="83">
        <v>3</v>
      </c>
      <c r="E65" s="103">
        <v>6853.3644199999999</v>
      </c>
      <c r="F65" s="129" t="s">
        <v>148</v>
      </c>
    </row>
    <row r="66" spans="1:6" ht="16" thickBot="1" x14ac:dyDescent="0.25">
      <c r="A66" s="83">
        <v>1</v>
      </c>
      <c r="B66" s="129" t="s">
        <v>191</v>
      </c>
      <c r="C66" s="129" t="s">
        <v>147</v>
      </c>
      <c r="D66" s="83">
        <v>354</v>
      </c>
      <c r="E66" s="103">
        <v>1394725.4029999999</v>
      </c>
      <c r="F66" s="129" t="s">
        <v>256</v>
      </c>
    </row>
    <row r="67" spans="1:6" ht="16" thickBot="1" x14ac:dyDescent="0.25">
      <c r="A67" s="83">
        <v>1</v>
      </c>
      <c r="B67" s="129" t="s">
        <v>191</v>
      </c>
      <c r="C67" s="129" t="s">
        <v>147</v>
      </c>
      <c r="D67" s="83">
        <v>207</v>
      </c>
      <c r="E67" s="103">
        <v>82956.198430000004</v>
      </c>
      <c r="F67" s="129" t="s">
        <v>148</v>
      </c>
    </row>
    <row r="68" spans="1:6" ht="16" thickBot="1" x14ac:dyDescent="0.25">
      <c r="A68" s="83">
        <v>1</v>
      </c>
      <c r="B68" s="129" t="s">
        <v>192</v>
      </c>
      <c r="C68" s="129" t="s">
        <v>147</v>
      </c>
      <c r="D68" s="83">
        <v>57</v>
      </c>
      <c r="E68" s="103">
        <v>71962.774000000005</v>
      </c>
      <c r="F68" s="129" t="s">
        <v>256</v>
      </c>
    </row>
    <row r="69" spans="1:6" ht="16" thickBot="1" x14ac:dyDescent="0.25">
      <c r="A69" s="83">
        <v>1</v>
      </c>
      <c r="B69" s="129" t="s">
        <v>192</v>
      </c>
      <c r="C69" s="129" t="s">
        <v>147</v>
      </c>
      <c r="D69" s="83">
        <v>19</v>
      </c>
      <c r="E69" s="103">
        <v>8146.2686100000001</v>
      </c>
      <c r="F69" s="129" t="s">
        <v>148</v>
      </c>
    </row>
    <row r="70" spans="1:6" ht="16" thickBot="1" x14ac:dyDescent="0.25">
      <c r="A70" s="83">
        <v>1</v>
      </c>
      <c r="B70" s="129" t="s">
        <v>193</v>
      </c>
      <c r="C70" s="129" t="s">
        <v>147</v>
      </c>
      <c r="D70" s="83">
        <v>841</v>
      </c>
      <c r="E70" s="103">
        <v>3981528.5249999999</v>
      </c>
      <c r="F70" s="129" t="s">
        <v>256</v>
      </c>
    </row>
    <row r="71" spans="1:6" ht="16" thickBot="1" x14ac:dyDescent="0.25">
      <c r="A71" s="83">
        <v>1</v>
      </c>
      <c r="B71" s="129" t="s">
        <v>193</v>
      </c>
      <c r="C71" s="129" t="s">
        <v>147</v>
      </c>
      <c r="D71" s="83">
        <v>410</v>
      </c>
      <c r="E71" s="103">
        <v>228968.28200000001</v>
      </c>
      <c r="F71" s="129" t="s">
        <v>148</v>
      </c>
    </row>
    <row r="72" spans="1:6" ht="16" thickBot="1" x14ac:dyDescent="0.25">
      <c r="A72" s="83">
        <v>1</v>
      </c>
      <c r="B72" s="129" t="s">
        <v>194</v>
      </c>
      <c r="C72" s="129" t="s">
        <v>147</v>
      </c>
      <c r="D72" s="83">
        <v>33</v>
      </c>
      <c r="E72" s="83">
        <v>141279</v>
      </c>
      <c r="F72" s="129" t="s">
        <v>256</v>
      </c>
    </row>
    <row r="73" spans="1:6" ht="16" thickBot="1" x14ac:dyDescent="0.25">
      <c r="A73" s="83">
        <v>1</v>
      </c>
      <c r="B73" s="129" t="s">
        <v>195</v>
      </c>
      <c r="C73" s="129" t="s">
        <v>147</v>
      </c>
      <c r="D73" s="83">
        <v>256</v>
      </c>
      <c r="E73" s="103">
        <v>982913.79200000002</v>
      </c>
      <c r="F73" s="129" t="s">
        <v>256</v>
      </c>
    </row>
    <row r="74" spans="1:6" ht="16" thickBot="1" x14ac:dyDescent="0.25">
      <c r="A74" s="83">
        <v>1</v>
      </c>
      <c r="B74" s="129" t="s">
        <v>195</v>
      </c>
      <c r="C74" s="129" t="s">
        <v>147</v>
      </c>
      <c r="D74" s="83">
        <v>111</v>
      </c>
      <c r="E74" s="103">
        <v>59199.602400000003</v>
      </c>
      <c r="F74" s="129" t="s">
        <v>148</v>
      </c>
    </row>
    <row r="75" spans="1:6" ht="16" thickBot="1" x14ac:dyDescent="0.25">
      <c r="A75" s="83">
        <v>1</v>
      </c>
      <c r="B75" s="129" t="s">
        <v>196</v>
      </c>
      <c r="C75" s="129" t="s">
        <v>147</v>
      </c>
      <c r="D75" s="83">
        <v>58</v>
      </c>
      <c r="E75" s="103">
        <v>142302.46100000001</v>
      </c>
      <c r="F75" s="129" t="s">
        <v>256</v>
      </c>
    </row>
    <row r="76" spans="1:6" ht="16" thickBot="1" x14ac:dyDescent="0.25">
      <c r="A76" s="83">
        <v>1</v>
      </c>
      <c r="B76" s="129" t="s">
        <v>196</v>
      </c>
      <c r="C76" s="129" t="s">
        <v>147</v>
      </c>
      <c r="D76" s="83">
        <v>24</v>
      </c>
      <c r="E76" s="103">
        <v>6915.1297299999997</v>
      </c>
      <c r="F76" s="129" t="s">
        <v>148</v>
      </c>
    </row>
    <row r="77" spans="1:6" ht="16" thickBot="1" x14ac:dyDescent="0.25">
      <c r="A77" s="83">
        <v>1</v>
      </c>
      <c r="B77" s="129" t="s">
        <v>197</v>
      </c>
      <c r="C77" s="129" t="s">
        <v>147</v>
      </c>
      <c r="D77" s="83">
        <v>19</v>
      </c>
      <c r="E77" s="103">
        <v>11691.228999999999</v>
      </c>
      <c r="F77" s="129" t="s">
        <v>256</v>
      </c>
    </row>
    <row r="78" spans="1:6" ht="16" thickBot="1" x14ac:dyDescent="0.25">
      <c r="A78" s="83">
        <v>1</v>
      </c>
      <c r="B78" s="129" t="s">
        <v>198</v>
      </c>
      <c r="C78" s="129" t="s">
        <v>147</v>
      </c>
      <c r="D78" s="83">
        <v>21</v>
      </c>
      <c r="E78" s="103">
        <v>31246.227999999999</v>
      </c>
      <c r="F78" s="129" t="s">
        <v>256</v>
      </c>
    </row>
    <row r="79" spans="1:6" ht="16" thickBot="1" x14ac:dyDescent="0.25">
      <c r="A79" s="83">
        <v>1</v>
      </c>
      <c r="B79" s="129" t="s">
        <v>199</v>
      </c>
      <c r="C79" s="129" t="s">
        <v>147</v>
      </c>
      <c r="D79" s="83">
        <v>53</v>
      </c>
      <c r="E79" s="103">
        <v>167069.06599999999</v>
      </c>
      <c r="F79" s="129" t="s">
        <v>256</v>
      </c>
    </row>
    <row r="80" spans="1:6" ht="16" thickBot="1" x14ac:dyDescent="0.25">
      <c r="A80" s="83">
        <v>1</v>
      </c>
      <c r="B80" s="129" t="s">
        <v>200</v>
      </c>
      <c r="C80" s="129" t="s">
        <v>147</v>
      </c>
      <c r="D80" s="83">
        <v>58</v>
      </c>
      <c r="E80" s="103">
        <v>159609.927</v>
      </c>
      <c r="F80" s="129" t="s">
        <v>256</v>
      </c>
    </row>
    <row r="81" spans="1:6" ht="16" thickBot="1" x14ac:dyDescent="0.25">
      <c r="A81" s="83">
        <v>1</v>
      </c>
      <c r="B81" s="129" t="s">
        <v>201</v>
      </c>
      <c r="C81" s="129" t="s">
        <v>147</v>
      </c>
      <c r="D81" s="83">
        <v>14</v>
      </c>
      <c r="E81" s="103">
        <v>11037.013000000001</v>
      </c>
      <c r="F81" s="129" t="s">
        <v>256</v>
      </c>
    </row>
    <row r="82" spans="1:6" ht="16" thickBot="1" x14ac:dyDescent="0.25">
      <c r="A82" s="83">
        <v>1</v>
      </c>
      <c r="B82" s="129" t="s">
        <v>202</v>
      </c>
      <c r="C82" s="129" t="s">
        <v>147</v>
      </c>
      <c r="D82" s="83">
        <v>89</v>
      </c>
      <c r="E82" s="103">
        <v>123557.6</v>
      </c>
      <c r="F82" s="129" t="s">
        <v>256</v>
      </c>
    </row>
    <row r="83" spans="1:6" ht="16" thickBot="1" x14ac:dyDescent="0.25">
      <c r="A83" s="83">
        <v>1</v>
      </c>
      <c r="B83" s="129" t="s">
        <v>202</v>
      </c>
      <c r="C83" s="129" t="s">
        <v>147</v>
      </c>
      <c r="D83" s="83">
        <v>31</v>
      </c>
      <c r="E83" s="103">
        <v>9777.1160199999995</v>
      </c>
      <c r="F83" s="129" t="s">
        <v>148</v>
      </c>
    </row>
    <row r="84" spans="1:6" ht="16" thickBot="1" x14ac:dyDescent="0.25">
      <c r="A84" s="83">
        <v>1</v>
      </c>
      <c r="B84" s="129" t="s">
        <v>203</v>
      </c>
      <c r="C84" s="129" t="s">
        <v>147</v>
      </c>
      <c r="D84" s="83">
        <v>39</v>
      </c>
      <c r="E84" s="103">
        <v>84414.665999999997</v>
      </c>
      <c r="F84" s="129" t="s">
        <v>256</v>
      </c>
    </row>
    <row r="85" spans="1:6" ht="16" thickBot="1" x14ac:dyDescent="0.25">
      <c r="A85" s="83">
        <v>1</v>
      </c>
      <c r="B85" s="129" t="s">
        <v>204</v>
      </c>
      <c r="C85" s="129" t="s">
        <v>147</v>
      </c>
      <c r="D85" s="83">
        <v>107</v>
      </c>
      <c r="E85" s="103">
        <v>542339.40300000005</v>
      </c>
      <c r="F85" s="129" t="s">
        <v>256</v>
      </c>
    </row>
    <row r="86" spans="1:6" ht="16" thickBot="1" x14ac:dyDescent="0.25">
      <c r="A86" s="83">
        <v>1</v>
      </c>
      <c r="B86" s="129" t="s">
        <v>205</v>
      </c>
      <c r="C86" s="129" t="s">
        <v>147</v>
      </c>
      <c r="D86" s="83">
        <v>346</v>
      </c>
      <c r="E86" s="103">
        <v>1266808.385</v>
      </c>
      <c r="F86" s="129" t="s">
        <v>256</v>
      </c>
    </row>
    <row r="87" spans="1:6" ht="16" thickBot="1" x14ac:dyDescent="0.25">
      <c r="A87" s="83">
        <v>1</v>
      </c>
      <c r="B87" s="129" t="s">
        <v>205</v>
      </c>
      <c r="C87" s="129" t="s">
        <v>147</v>
      </c>
      <c r="D87" s="83">
        <v>103</v>
      </c>
      <c r="E87" s="103">
        <v>39444.22047</v>
      </c>
      <c r="F87" s="129" t="s">
        <v>148</v>
      </c>
    </row>
    <row r="88" spans="1:6" ht="16" thickBot="1" x14ac:dyDescent="0.25">
      <c r="A88" s="83">
        <v>1</v>
      </c>
      <c r="B88" s="129" t="s">
        <v>206</v>
      </c>
      <c r="C88" s="129" t="s">
        <v>147</v>
      </c>
      <c r="D88" s="83">
        <v>62</v>
      </c>
      <c r="E88" s="103">
        <v>77515.577999999994</v>
      </c>
      <c r="F88" s="129" t="s">
        <v>256</v>
      </c>
    </row>
    <row r="89" spans="1:6" ht="16" thickBot="1" x14ac:dyDescent="0.25">
      <c r="A89" s="83">
        <v>1</v>
      </c>
      <c r="B89" s="129" t="s">
        <v>206</v>
      </c>
      <c r="C89" s="129" t="s">
        <v>147</v>
      </c>
      <c r="D89" s="83">
        <v>30</v>
      </c>
      <c r="E89" s="103">
        <v>9297.0707600000005</v>
      </c>
      <c r="F89" s="129" t="s">
        <v>148</v>
      </c>
    </row>
    <row r="90" spans="1:6" ht="16" thickBot="1" x14ac:dyDescent="0.25">
      <c r="A90" s="83">
        <v>1</v>
      </c>
      <c r="B90" s="129" t="s">
        <v>208</v>
      </c>
      <c r="C90" s="129" t="s">
        <v>147</v>
      </c>
      <c r="D90" s="83">
        <v>8</v>
      </c>
      <c r="E90" s="103">
        <v>23450.307000000001</v>
      </c>
      <c r="F90" s="129" t="s">
        <v>256</v>
      </c>
    </row>
    <row r="91" spans="1:6" ht="16" thickBot="1" x14ac:dyDescent="0.25">
      <c r="A91" s="83">
        <v>1</v>
      </c>
      <c r="B91" s="129" t="s">
        <v>209</v>
      </c>
      <c r="C91" s="129" t="s">
        <v>147</v>
      </c>
      <c r="D91" s="83">
        <v>191</v>
      </c>
      <c r="E91" s="103">
        <v>492950.50900000002</v>
      </c>
      <c r="F91" s="129" t="s">
        <v>256</v>
      </c>
    </row>
    <row r="92" spans="1:6" ht="16" thickBot="1" x14ac:dyDescent="0.25">
      <c r="A92" s="83">
        <v>1</v>
      </c>
      <c r="B92" s="129" t="s">
        <v>209</v>
      </c>
      <c r="C92" s="129" t="s">
        <v>147</v>
      </c>
      <c r="D92" s="83">
        <v>63</v>
      </c>
      <c r="E92" s="103">
        <v>13432.89127</v>
      </c>
      <c r="F92" s="129" t="s">
        <v>148</v>
      </c>
    </row>
    <row r="93" spans="1:6" ht="16" thickBot="1" x14ac:dyDescent="0.25">
      <c r="A93" s="83">
        <v>1</v>
      </c>
      <c r="B93" s="129" t="s">
        <v>210</v>
      </c>
      <c r="C93" s="129" t="s">
        <v>147</v>
      </c>
      <c r="D93" s="83">
        <v>11</v>
      </c>
      <c r="E93" s="103">
        <v>53149.78</v>
      </c>
      <c r="F93" s="129" t="s">
        <v>256</v>
      </c>
    </row>
    <row r="94" spans="1:6" ht="16" thickBot="1" x14ac:dyDescent="0.25">
      <c r="A94" s="83">
        <v>1</v>
      </c>
      <c r="B94" s="129" t="s">
        <v>211</v>
      </c>
      <c r="C94" s="129" t="s">
        <v>147</v>
      </c>
      <c r="D94" s="83">
        <v>10</v>
      </c>
      <c r="E94" s="103">
        <v>8123.3549999999996</v>
      </c>
      <c r="F94" s="129" t="s">
        <v>256</v>
      </c>
    </row>
    <row r="95" spans="1:6" ht="16" thickBot="1" x14ac:dyDescent="0.25">
      <c r="A95" s="83">
        <v>1</v>
      </c>
      <c r="B95" s="129" t="s">
        <v>213</v>
      </c>
      <c r="C95" s="129" t="s">
        <v>147</v>
      </c>
      <c r="D95" s="83">
        <v>81</v>
      </c>
      <c r="E95" s="103">
        <v>154403.796</v>
      </c>
      <c r="F95" s="129" t="s">
        <v>256</v>
      </c>
    </row>
    <row r="96" spans="1:6" ht="16" thickBot="1" x14ac:dyDescent="0.25">
      <c r="A96" s="83">
        <v>1</v>
      </c>
      <c r="B96" s="129" t="s">
        <v>214</v>
      </c>
      <c r="C96" s="129" t="s">
        <v>147</v>
      </c>
      <c r="D96" s="83">
        <v>59</v>
      </c>
      <c r="E96" s="103">
        <v>96794.857999999993</v>
      </c>
      <c r="F96" s="129" t="s">
        <v>256</v>
      </c>
    </row>
    <row r="97" spans="1:6" ht="16" thickBot="1" x14ac:dyDescent="0.25">
      <c r="A97" s="83">
        <v>1</v>
      </c>
      <c r="B97" s="129" t="s">
        <v>215</v>
      </c>
      <c r="C97" s="129" t="s">
        <v>147</v>
      </c>
      <c r="D97" s="83">
        <v>189</v>
      </c>
      <c r="E97" s="103">
        <v>481668.34</v>
      </c>
      <c r="F97" s="129" t="s">
        <v>256</v>
      </c>
    </row>
    <row r="98" spans="1:6" ht="16" thickBot="1" x14ac:dyDescent="0.25">
      <c r="A98" s="83">
        <v>1</v>
      </c>
      <c r="B98" s="129" t="s">
        <v>215</v>
      </c>
      <c r="C98" s="129" t="s">
        <v>147</v>
      </c>
      <c r="D98" s="83">
        <v>74</v>
      </c>
      <c r="E98" s="103">
        <v>28499.51181</v>
      </c>
      <c r="F98" s="129" t="s">
        <v>148</v>
      </c>
    </row>
    <row r="99" spans="1:6" ht="16" thickBot="1" x14ac:dyDescent="0.25">
      <c r="A99" s="83">
        <v>1</v>
      </c>
      <c r="B99" s="129" t="s">
        <v>216</v>
      </c>
      <c r="C99" s="129" t="s">
        <v>147</v>
      </c>
      <c r="D99" s="83">
        <v>15</v>
      </c>
      <c r="E99" s="103">
        <v>47243.324999999997</v>
      </c>
      <c r="F99" s="129" t="s">
        <v>256</v>
      </c>
    </row>
    <row r="100" spans="1:6" ht="16" thickBot="1" x14ac:dyDescent="0.25">
      <c r="A100" s="83">
        <v>1</v>
      </c>
      <c r="B100" s="129" t="s">
        <v>217</v>
      </c>
      <c r="C100" s="129" t="s">
        <v>147</v>
      </c>
      <c r="D100" s="83">
        <v>91</v>
      </c>
      <c r="E100" s="103">
        <v>199112.40100000001</v>
      </c>
      <c r="F100" s="129" t="s">
        <v>256</v>
      </c>
    </row>
    <row r="101" spans="1:6" ht="16" thickBot="1" x14ac:dyDescent="0.25">
      <c r="A101" s="83">
        <v>1</v>
      </c>
      <c r="B101" s="129" t="s">
        <v>217</v>
      </c>
      <c r="C101" s="129" t="s">
        <v>147</v>
      </c>
      <c r="D101" s="83">
        <v>44</v>
      </c>
      <c r="E101" s="103">
        <v>14989.358319999999</v>
      </c>
      <c r="F101" s="129" t="s">
        <v>148</v>
      </c>
    </row>
    <row r="102" spans="1:6" ht="16" thickBot="1" x14ac:dyDescent="0.25">
      <c r="A102" s="83">
        <v>1</v>
      </c>
      <c r="B102" s="129" t="s">
        <v>218</v>
      </c>
      <c r="C102" s="129" t="s">
        <v>147</v>
      </c>
      <c r="D102" s="83">
        <v>1170</v>
      </c>
      <c r="E102" s="103">
        <v>42319756.287</v>
      </c>
      <c r="F102" s="129" t="s">
        <v>256</v>
      </c>
    </row>
    <row r="103" spans="1:6" ht="16" thickBot="1" x14ac:dyDescent="0.25">
      <c r="A103" s="83">
        <v>1</v>
      </c>
      <c r="B103" s="129" t="s">
        <v>218</v>
      </c>
      <c r="C103" s="129" t="s">
        <v>147</v>
      </c>
      <c r="D103" s="83">
        <v>654</v>
      </c>
      <c r="E103" s="103">
        <v>395071.45951000002</v>
      </c>
      <c r="F103" s="129" t="s">
        <v>148</v>
      </c>
    </row>
    <row r="104" spans="1:6" ht="16" thickBot="1" x14ac:dyDescent="0.25">
      <c r="A104" s="83">
        <v>1</v>
      </c>
      <c r="B104" s="129" t="s">
        <v>219</v>
      </c>
      <c r="C104" s="129" t="s">
        <v>147</v>
      </c>
      <c r="D104" s="83">
        <v>21</v>
      </c>
      <c r="E104" s="103">
        <v>7256998.7199999997</v>
      </c>
      <c r="F104" s="129" t="s">
        <v>256</v>
      </c>
    </row>
    <row r="105" spans="1:6" ht="16" thickBot="1" x14ac:dyDescent="0.25">
      <c r="A105" s="83">
        <v>1</v>
      </c>
      <c r="B105" s="129" t="s">
        <v>219</v>
      </c>
      <c r="C105" s="129" t="s">
        <v>147</v>
      </c>
      <c r="D105" s="83">
        <v>31</v>
      </c>
      <c r="E105" s="103">
        <v>2577775.9778200001</v>
      </c>
      <c r="F105" s="129" t="s">
        <v>148</v>
      </c>
    </row>
    <row r="106" spans="1:6" ht="16" thickBot="1" x14ac:dyDescent="0.25">
      <c r="A106" s="83">
        <v>1</v>
      </c>
      <c r="B106" s="129" t="s">
        <v>220</v>
      </c>
      <c r="C106" s="129" t="s">
        <v>147</v>
      </c>
      <c r="D106" s="83">
        <v>18</v>
      </c>
      <c r="E106" s="103">
        <v>13153.058999999999</v>
      </c>
      <c r="F106" s="129" t="s">
        <v>256</v>
      </c>
    </row>
    <row r="107" spans="1:6" ht="16" thickBot="1" x14ac:dyDescent="0.25">
      <c r="A107" s="83">
        <v>1</v>
      </c>
      <c r="B107" s="129" t="s">
        <v>221</v>
      </c>
      <c r="C107" s="129" t="s">
        <v>147</v>
      </c>
      <c r="D107" s="83">
        <v>224</v>
      </c>
      <c r="E107" s="103">
        <v>563707.55599999998</v>
      </c>
      <c r="F107" s="129" t="s">
        <v>256</v>
      </c>
    </row>
    <row r="108" spans="1:6" ht="16" thickBot="1" x14ac:dyDescent="0.25">
      <c r="A108" s="83">
        <v>1</v>
      </c>
      <c r="B108" s="129" t="s">
        <v>221</v>
      </c>
      <c r="C108" s="129" t="s">
        <v>147</v>
      </c>
      <c r="D108" s="83">
        <v>130</v>
      </c>
      <c r="E108" s="103">
        <v>39033.256240000002</v>
      </c>
      <c r="F108" s="129" t="s">
        <v>148</v>
      </c>
    </row>
    <row r="109" spans="1:6" ht="16" thickBot="1" x14ac:dyDescent="0.25">
      <c r="A109" s="83">
        <v>1</v>
      </c>
      <c r="B109" s="129" t="s">
        <v>222</v>
      </c>
      <c r="C109" s="129" t="s">
        <v>147</v>
      </c>
      <c r="D109" s="83">
        <v>91</v>
      </c>
      <c r="E109" s="103">
        <v>363953.99900000001</v>
      </c>
      <c r="F109" s="129" t="s">
        <v>256</v>
      </c>
    </row>
    <row r="110" spans="1:6" ht="16" thickBot="1" x14ac:dyDescent="0.25">
      <c r="A110" s="83">
        <v>1</v>
      </c>
      <c r="B110" s="129" t="s">
        <v>222</v>
      </c>
      <c r="C110" s="129" t="s">
        <v>147</v>
      </c>
      <c r="D110" s="83">
        <v>43</v>
      </c>
      <c r="E110" s="103">
        <v>14266.64539</v>
      </c>
      <c r="F110" s="129" t="s">
        <v>148</v>
      </c>
    </row>
    <row r="111" spans="1:6" ht="16" thickBot="1" x14ac:dyDescent="0.25">
      <c r="A111" s="83">
        <v>1</v>
      </c>
      <c r="B111" s="129" t="s">
        <v>223</v>
      </c>
      <c r="C111" s="129" t="s">
        <v>147</v>
      </c>
      <c r="D111" s="83">
        <v>97</v>
      </c>
      <c r="E111" s="103">
        <v>159939.58199999999</v>
      </c>
      <c r="F111" s="129" t="s">
        <v>256</v>
      </c>
    </row>
    <row r="112" spans="1:6" ht="16" thickBot="1" x14ac:dyDescent="0.25">
      <c r="A112" s="83">
        <v>1</v>
      </c>
      <c r="B112" s="129" t="s">
        <v>223</v>
      </c>
      <c r="C112" s="129" t="s">
        <v>147</v>
      </c>
      <c r="D112" s="83">
        <v>52</v>
      </c>
      <c r="E112" s="103">
        <v>15598.969279999999</v>
      </c>
      <c r="F112" s="129" t="s">
        <v>148</v>
      </c>
    </row>
    <row r="113" spans="1:6" ht="16" thickBot="1" x14ac:dyDescent="0.25">
      <c r="A113" s="83">
        <v>1</v>
      </c>
      <c r="B113" s="129" t="s">
        <v>224</v>
      </c>
      <c r="C113" s="129" t="s">
        <v>147</v>
      </c>
      <c r="D113" s="83">
        <v>63</v>
      </c>
      <c r="E113" s="103">
        <v>190864.658</v>
      </c>
      <c r="F113" s="129" t="s">
        <v>256</v>
      </c>
    </row>
    <row r="114" spans="1:6" ht="16" thickBot="1" x14ac:dyDescent="0.25">
      <c r="A114" s="83">
        <v>1</v>
      </c>
      <c r="B114" s="129" t="s">
        <v>225</v>
      </c>
      <c r="C114" s="129" t="s">
        <v>147</v>
      </c>
      <c r="D114" s="83">
        <v>16</v>
      </c>
      <c r="E114" s="103">
        <v>13503.101000000001</v>
      </c>
      <c r="F114" s="129" t="s">
        <v>256</v>
      </c>
    </row>
    <row r="115" spans="1:6" ht="16" thickBot="1" x14ac:dyDescent="0.25">
      <c r="A115" s="83">
        <v>1</v>
      </c>
      <c r="B115" s="129" t="s">
        <v>226</v>
      </c>
      <c r="C115" s="129" t="s">
        <v>147</v>
      </c>
      <c r="D115" s="83">
        <v>8</v>
      </c>
      <c r="E115" s="103">
        <v>6016.8019999999997</v>
      </c>
      <c r="F115" s="129" t="s">
        <v>256</v>
      </c>
    </row>
    <row r="116" spans="1:6" ht="16" thickBot="1" x14ac:dyDescent="0.25">
      <c r="A116" s="83">
        <v>1</v>
      </c>
      <c r="B116" s="129" t="s">
        <v>227</v>
      </c>
      <c r="C116" s="129" t="s">
        <v>147</v>
      </c>
      <c r="D116" s="83">
        <v>44</v>
      </c>
      <c r="E116" s="103">
        <v>108204.20699999999</v>
      </c>
      <c r="F116" s="129" t="s">
        <v>256</v>
      </c>
    </row>
    <row r="117" spans="1:6" ht="16" thickBot="1" x14ac:dyDescent="0.25">
      <c r="A117" s="83">
        <v>1</v>
      </c>
      <c r="B117" s="129" t="s">
        <v>227</v>
      </c>
      <c r="C117" s="129" t="s">
        <v>147</v>
      </c>
      <c r="D117" s="83">
        <v>22</v>
      </c>
      <c r="E117" s="103">
        <v>5105.1997499999998</v>
      </c>
      <c r="F117" s="129" t="s">
        <v>148</v>
      </c>
    </row>
    <row r="118" spans="1:6" ht="16" thickBot="1" x14ac:dyDescent="0.25">
      <c r="A118" s="83">
        <v>1</v>
      </c>
      <c r="B118" s="129" t="s">
        <v>228</v>
      </c>
      <c r="C118" s="129" t="s">
        <v>147</v>
      </c>
      <c r="D118" s="83">
        <v>127</v>
      </c>
      <c r="E118" s="103">
        <v>319477.75199999998</v>
      </c>
      <c r="F118" s="129" t="s">
        <v>256</v>
      </c>
    </row>
    <row r="119" spans="1:6" ht="16" thickBot="1" x14ac:dyDescent="0.25">
      <c r="A119" s="83">
        <v>1</v>
      </c>
      <c r="B119" s="129" t="s">
        <v>228</v>
      </c>
      <c r="C119" s="129" t="s">
        <v>147</v>
      </c>
      <c r="D119" s="83">
        <v>14</v>
      </c>
      <c r="E119" s="103">
        <v>10420.41676</v>
      </c>
      <c r="F119" s="129" t="s">
        <v>148</v>
      </c>
    </row>
    <row r="120" spans="1:6" ht="16" thickBot="1" x14ac:dyDescent="0.25">
      <c r="A120" s="83">
        <v>1</v>
      </c>
      <c r="B120" s="129" t="s">
        <v>229</v>
      </c>
      <c r="C120" s="129" t="s">
        <v>147</v>
      </c>
      <c r="D120" s="83">
        <v>187</v>
      </c>
      <c r="E120" s="103">
        <v>519446.103</v>
      </c>
      <c r="F120" s="129" t="s">
        <v>256</v>
      </c>
    </row>
    <row r="121" spans="1:6" ht="16" thickBot="1" x14ac:dyDescent="0.25">
      <c r="A121" s="83">
        <v>1</v>
      </c>
      <c r="B121" s="129" t="s">
        <v>230</v>
      </c>
      <c r="C121" s="129" t="s">
        <v>147</v>
      </c>
      <c r="D121" s="83">
        <v>1720</v>
      </c>
      <c r="E121" s="103">
        <v>22244177.252</v>
      </c>
      <c r="F121" s="129" t="s">
        <v>256</v>
      </c>
    </row>
    <row r="122" spans="1:6" ht="16" thickBot="1" x14ac:dyDescent="0.25">
      <c r="A122" s="83">
        <v>1</v>
      </c>
      <c r="B122" s="129" t="s">
        <v>230</v>
      </c>
      <c r="C122" s="129" t="s">
        <v>147</v>
      </c>
      <c r="D122" s="83">
        <v>957</v>
      </c>
      <c r="E122" s="103">
        <v>1336664.1505199999</v>
      </c>
      <c r="F122" s="129" t="s">
        <v>148</v>
      </c>
    </row>
    <row r="123" spans="1:6" ht="16" thickBot="1" x14ac:dyDescent="0.25">
      <c r="A123" s="83">
        <v>1</v>
      </c>
      <c r="B123" s="129" t="s">
        <v>231</v>
      </c>
      <c r="C123" s="129" t="s">
        <v>147</v>
      </c>
      <c r="D123" s="83">
        <v>2158</v>
      </c>
      <c r="E123" s="103">
        <v>20325139.945999999</v>
      </c>
      <c r="F123" s="129" t="s">
        <v>256</v>
      </c>
    </row>
    <row r="124" spans="1:6" ht="16" thickBot="1" x14ac:dyDescent="0.25">
      <c r="A124" s="83">
        <v>1</v>
      </c>
      <c r="B124" s="129" t="s">
        <v>231</v>
      </c>
      <c r="C124" s="129" t="s">
        <v>147</v>
      </c>
      <c r="D124" s="83">
        <v>1410</v>
      </c>
      <c r="E124" s="103">
        <v>1249980.3939</v>
      </c>
      <c r="F124" s="129" t="s">
        <v>148</v>
      </c>
    </row>
    <row r="125" spans="1:6" ht="16" thickBot="1" x14ac:dyDescent="0.25">
      <c r="A125" s="83">
        <v>1</v>
      </c>
      <c r="B125" s="129" t="s">
        <v>232</v>
      </c>
      <c r="C125" s="129" t="s">
        <v>147</v>
      </c>
      <c r="D125" s="83">
        <v>302</v>
      </c>
      <c r="E125" s="103">
        <v>1329309.1880000001</v>
      </c>
      <c r="F125" s="129" t="s">
        <v>256</v>
      </c>
    </row>
    <row r="126" spans="1:6" ht="16" thickBot="1" x14ac:dyDescent="0.25">
      <c r="A126" s="83">
        <v>1</v>
      </c>
      <c r="B126" s="129" t="s">
        <v>232</v>
      </c>
      <c r="C126" s="129" t="s">
        <v>147</v>
      </c>
      <c r="D126" s="83">
        <v>142</v>
      </c>
      <c r="E126" s="103">
        <v>78319.616699999999</v>
      </c>
      <c r="F126" s="129" t="s">
        <v>148</v>
      </c>
    </row>
    <row r="127" spans="1:6" ht="16" thickBot="1" x14ac:dyDescent="0.25">
      <c r="A127" s="83">
        <v>1</v>
      </c>
      <c r="B127" s="129" t="s">
        <v>233</v>
      </c>
      <c r="C127" s="129" t="s">
        <v>147</v>
      </c>
      <c r="D127" s="83">
        <v>282</v>
      </c>
      <c r="E127" s="103">
        <v>28343743.250999998</v>
      </c>
      <c r="F127" s="129" t="s">
        <v>256</v>
      </c>
    </row>
    <row r="128" spans="1:6" ht="16" thickBot="1" x14ac:dyDescent="0.25">
      <c r="A128" s="83">
        <v>1</v>
      </c>
      <c r="B128" s="129" t="s">
        <v>233</v>
      </c>
      <c r="C128" s="129" t="s">
        <v>147</v>
      </c>
      <c r="D128" s="83">
        <v>109</v>
      </c>
      <c r="E128" s="103">
        <v>1103777.22508</v>
      </c>
      <c r="F128" s="129" t="s">
        <v>148</v>
      </c>
    </row>
    <row r="129" spans="1:6" ht="16" thickBot="1" x14ac:dyDescent="0.25">
      <c r="A129" s="83">
        <v>1</v>
      </c>
      <c r="B129" s="129" t="s">
        <v>234</v>
      </c>
      <c r="C129" s="129" t="s">
        <v>147</v>
      </c>
      <c r="D129" s="83">
        <v>1128</v>
      </c>
      <c r="E129" s="103">
        <v>17206323.081999999</v>
      </c>
      <c r="F129" s="129" t="s">
        <v>256</v>
      </c>
    </row>
    <row r="130" spans="1:6" ht="16" thickBot="1" x14ac:dyDescent="0.25">
      <c r="A130" s="83">
        <v>1</v>
      </c>
      <c r="B130" s="129" t="s">
        <v>234</v>
      </c>
      <c r="C130" s="129" t="s">
        <v>147</v>
      </c>
      <c r="D130" s="83">
        <v>733</v>
      </c>
      <c r="E130" s="103">
        <v>414551.64425999997</v>
      </c>
      <c r="F130" s="129" t="s">
        <v>148</v>
      </c>
    </row>
    <row r="131" spans="1:6" ht="16" thickBot="1" x14ac:dyDescent="0.25">
      <c r="A131" s="83">
        <v>1</v>
      </c>
      <c r="B131" s="129" t="s">
        <v>235</v>
      </c>
      <c r="C131" s="129" t="s">
        <v>147</v>
      </c>
      <c r="D131" s="83">
        <v>643</v>
      </c>
      <c r="E131" s="103">
        <v>2580976.3909999998</v>
      </c>
      <c r="F131" s="129" t="s">
        <v>256</v>
      </c>
    </row>
    <row r="132" spans="1:6" ht="16" thickBot="1" x14ac:dyDescent="0.25">
      <c r="A132" s="83">
        <v>1</v>
      </c>
      <c r="B132" s="129" t="s">
        <v>235</v>
      </c>
      <c r="C132" s="129" t="s">
        <v>147</v>
      </c>
      <c r="D132" s="83">
        <v>1105</v>
      </c>
      <c r="E132" s="103">
        <v>721508.99956999999</v>
      </c>
      <c r="F132" s="129" t="s">
        <v>148</v>
      </c>
    </row>
    <row r="133" spans="1:6" ht="16" thickBot="1" x14ac:dyDescent="0.25">
      <c r="A133" s="83">
        <v>1</v>
      </c>
      <c r="B133" s="129" t="s">
        <v>236</v>
      </c>
      <c r="C133" s="129" t="s">
        <v>147</v>
      </c>
      <c r="D133" s="83">
        <v>1212</v>
      </c>
      <c r="E133" s="103">
        <v>8208898.0130000003</v>
      </c>
      <c r="F133" s="129" t="s">
        <v>256</v>
      </c>
    </row>
    <row r="134" spans="1:6" ht="16" thickBot="1" x14ac:dyDescent="0.25">
      <c r="A134" s="83">
        <v>1</v>
      </c>
      <c r="B134" s="129" t="s">
        <v>236</v>
      </c>
      <c r="C134" s="129" t="s">
        <v>147</v>
      </c>
      <c r="D134" s="83">
        <v>707</v>
      </c>
      <c r="E134" s="103">
        <v>470919.72243999998</v>
      </c>
      <c r="F134" s="129" t="s">
        <v>148</v>
      </c>
    </row>
    <row r="135" spans="1:6" ht="16" thickBot="1" x14ac:dyDescent="0.25">
      <c r="A135" s="83">
        <v>1</v>
      </c>
      <c r="B135" s="129" t="s">
        <v>237</v>
      </c>
      <c r="C135" s="129" t="s">
        <v>147</v>
      </c>
      <c r="D135" s="83">
        <v>1171</v>
      </c>
      <c r="E135" s="103">
        <v>7166355.4699999997</v>
      </c>
      <c r="F135" s="129" t="s">
        <v>256</v>
      </c>
    </row>
    <row r="136" spans="1:6" ht="16" thickBot="1" x14ac:dyDescent="0.25">
      <c r="A136" s="83">
        <v>1</v>
      </c>
      <c r="B136" s="129" t="s">
        <v>237</v>
      </c>
      <c r="C136" s="129" t="s">
        <v>147</v>
      </c>
      <c r="D136" s="83">
        <v>645</v>
      </c>
      <c r="E136" s="103">
        <v>565956.04911999998</v>
      </c>
      <c r="F136" s="129" t="s">
        <v>148</v>
      </c>
    </row>
    <row r="137" spans="1:6" ht="16" thickBot="1" x14ac:dyDescent="0.25">
      <c r="A137" s="83">
        <v>1</v>
      </c>
      <c r="B137" s="129" t="s">
        <v>238</v>
      </c>
      <c r="C137" s="129" t="s">
        <v>147</v>
      </c>
      <c r="D137" s="83">
        <v>1696</v>
      </c>
      <c r="E137" s="103">
        <v>9484314.8699999992</v>
      </c>
      <c r="F137" s="129" t="s">
        <v>256</v>
      </c>
    </row>
    <row r="138" spans="1:6" ht="16" thickBot="1" x14ac:dyDescent="0.25">
      <c r="A138" s="83">
        <v>1</v>
      </c>
      <c r="B138" s="129" t="s">
        <v>238</v>
      </c>
      <c r="C138" s="129" t="s">
        <v>147</v>
      </c>
      <c r="D138" s="83">
        <v>1188</v>
      </c>
      <c r="E138" s="103">
        <v>955657.60892000003</v>
      </c>
      <c r="F138" s="129" t="s">
        <v>148</v>
      </c>
    </row>
    <row r="139" spans="1:6" ht="16" thickBot="1" x14ac:dyDescent="0.25">
      <c r="A139" s="83">
        <v>1</v>
      </c>
      <c r="B139" s="129" t="s">
        <v>239</v>
      </c>
      <c r="C139" s="129" t="s">
        <v>147</v>
      </c>
      <c r="D139" s="83">
        <v>1113</v>
      </c>
      <c r="E139" s="103">
        <v>9758141.4670000002</v>
      </c>
      <c r="F139" s="129" t="s">
        <v>256</v>
      </c>
    </row>
    <row r="140" spans="1:6" ht="16" thickBot="1" x14ac:dyDescent="0.25">
      <c r="A140" s="83">
        <v>1</v>
      </c>
      <c r="B140" s="129" t="s">
        <v>239</v>
      </c>
      <c r="C140" s="129" t="s">
        <v>147</v>
      </c>
      <c r="D140" s="83">
        <v>1035</v>
      </c>
      <c r="E140" s="103">
        <v>1142424.29201</v>
      </c>
      <c r="F140" s="129" t="s">
        <v>148</v>
      </c>
    </row>
    <row r="141" spans="1:6" ht="16" thickBot="1" x14ac:dyDescent="0.25">
      <c r="A141" s="83">
        <v>1</v>
      </c>
      <c r="B141" s="129" t="s">
        <v>240</v>
      </c>
      <c r="C141" s="129" t="s">
        <v>147</v>
      </c>
      <c r="D141" s="83">
        <v>887</v>
      </c>
      <c r="E141" s="103">
        <v>4282827.0149999997</v>
      </c>
      <c r="F141" s="129" t="s">
        <v>256</v>
      </c>
    </row>
    <row r="142" spans="1:6" ht="16" thickBot="1" x14ac:dyDescent="0.25">
      <c r="A142" s="83">
        <v>1</v>
      </c>
      <c r="B142" s="129" t="s">
        <v>240</v>
      </c>
      <c r="C142" s="129" t="s">
        <v>147</v>
      </c>
      <c r="D142" s="83">
        <v>622</v>
      </c>
      <c r="E142" s="103">
        <v>248239.79727000001</v>
      </c>
      <c r="F142" s="129" t="s">
        <v>148</v>
      </c>
    </row>
    <row r="143" spans="1:6" ht="16" thickBot="1" x14ac:dyDescent="0.25">
      <c r="A143" s="83">
        <v>1</v>
      </c>
      <c r="B143" s="129" t="s">
        <v>241</v>
      </c>
      <c r="C143" s="129" t="s">
        <v>147</v>
      </c>
      <c r="D143" s="83">
        <v>908</v>
      </c>
      <c r="E143" s="103">
        <v>8213062.5959999999</v>
      </c>
      <c r="F143" s="129" t="s">
        <v>256</v>
      </c>
    </row>
    <row r="144" spans="1:6" ht="16" thickBot="1" x14ac:dyDescent="0.25">
      <c r="A144" s="83">
        <v>1</v>
      </c>
      <c r="B144" s="129" t="s">
        <v>241</v>
      </c>
      <c r="C144" s="129" t="s">
        <v>147</v>
      </c>
      <c r="D144" s="83">
        <v>593</v>
      </c>
      <c r="E144" s="103">
        <v>447283.22735</v>
      </c>
      <c r="F144" s="129" t="s">
        <v>148</v>
      </c>
    </row>
    <row r="145" spans="1:6" ht="16" thickBot="1" x14ac:dyDescent="0.25">
      <c r="A145" s="83">
        <v>1</v>
      </c>
      <c r="B145" s="129" t="s">
        <v>242</v>
      </c>
      <c r="C145" s="129" t="s">
        <v>147</v>
      </c>
      <c r="D145" s="83">
        <v>53</v>
      </c>
      <c r="E145" s="103">
        <v>752200.60499999998</v>
      </c>
      <c r="F145" s="129" t="s">
        <v>256</v>
      </c>
    </row>
    <row r="146" spans="1:6" ht="16" thickBot="1" x14ac:dyDescent="0.25">
      <c r="A146" s="83">
        <v>1</v>
      </c>
      <c r="B146" s="129" t="s">
        <v>242</v>
      </c>
      <c r="C146" s="129" t="s">
        <v>147</v>
      </c>
      <c r="D146" s="83">
        <v>11</v>
      </c>
      <c r="E146" s="103">
        <v>83913.722219999996</v>
      </c>
      <c r="F146" s="129" t="s">
        <v>148</v>
      </c>
    </row>
    <row r="147" spans="1:6" ht="16" thickBot="1" x14ac:dyDescent="0.25">
      <c r="A147" s="83">
        <v>1</v>
      </c>
      <c r="B147" s="129" t="s">
        <v>243</v>
      </c>
      <c r="C147" s="129" t="s">
        <v>147</v>
      </c>
      <c r="D147" s="83">
        <v>1</v>
      </c>
      <c r="E147" s="103">
        <v>20326.400000000001</v>
      </c>
      <c r="F147" s="129" t="s">
        <v>256</v>
      </c>
    </row>
    <row r="148" spans="1:6" ht="16" thickBot="1" x14ac:dyDescent="0.25">
      <c r="A148" s="83">
        <v>1</v>
      </c>
      <c r="B148" s="129" t="s">
        <v>243</v>
      </c>
      <c r="C148" s="129" t="s">
        <v>147</v>
      </c>
      <c r="D148" s="83">
        <v>1</v>
      </c>
      <c r="E148" s="103">
        <v>1487.64</v>
      </c>
      <c r="F148" s="129" t="s">
        <v>148</v>
      </c>
    </row>
    <row r="149" spans="1:6" ht="16" thickBot="1" x14ac:dyDescent="0.25">
      <c r="A149" s="83">
        <v>1</v>
      </c>
      <c r="B149" s="129" t="s">
        <v>244</v>
      </c>
      <c r="C149" s="129" t="s">
        <v>147</v>
      </c>
      <c r="D149" s="83">
        <v>723</v>
      </c>
      <c r="E149" s="103">
        <v>4009901.9330000002</v>
      </c>
      <c r="F149" s="129" t="s">
        <v>256</v>
      </c>
    </row>
    <row r="150" spans="1:6" ht="16" thickBot="1" x14ac:dyDescent="0.25">
      <c r="A150" s="83">
        <v>1</v>
      </c>
      <c r="B150" s="129" t="s">
        <v>244</v>
      </c>
      <c r="C150" s="129" t="s">
        <v>147</v>
      </c>
      <c r="D150" s="83">
        <v>354</v>
      </c>
      <c r="E150" s="103">
        <v>216309.86689</v>
      </c>
      <c r="F150" s="129" t="s">
        <v>148</v>
      </c>
    </row>
    <row r="151" spans="1:6" ht="16" thickBot="1" x14ac:dyDescent="0.25">
      <c r="A151" s="83">
        <v>1</v>
      </c>
      <c r="B151" s="129" t="s">
        <v>245</v>
      </c>
      <c r="C151" s="129" t="s">
        <v>147</v>
      </c>
      <c r="D151" s="83">
        <v>737</v>
      </c>
      <c r="E151" s="103">
        <v>8303221.7199999997</v>
      </c>
      <c r="F151" s="129" t="s">
        <v>256</v>
      </c>
    </row>
    <row r="152" spans="1:6" ht="16" thickBot="1" x14ac:dyDescent="0.25">
      <c r="A152" s="83">
        <v>1</v>
      </c>
      <c r="B152" s="129" t="s">
        <v>245</v>
      </c>
      <c r="C152" s="129" t="s">
        <v>147</v>
      </c>
      <c r="D152" s="83">
        <v>430</v>
      </c>
      <c r="E152" s="103">
        <v>681515.64752</v>
      </c>
      <c r="F152" s="129" t="s">
        <v>148</v>
      </c>
    </row>
    <row r="153" spans="1:6" ht="16" thickBot="1" x14ac:dyDescent="0.25">
      <c r="A153" s="83">
        <v>1</v>
      </c>
      <c r="B153" s="129" t="s">
        <v>273</v>
      </c>
      <c r="C153" s="129" t="s">
        <v>147</v>
      </c>
      <c r="D153" s="83">
        <v>2</v>
      </c>
      <c r="E153" s="103">
        <v>9430.25</v>
      </c>
      <c r="F153" s="129" t="s">
        <v>148</v>
      </c>
    </row>
    <row r="154" spans="1:6" ht="16" thickBot="1" x14ac:dyDescent="0.25">
      <c r="A154" s="83">
        <v>1</v>
      </c>
      <c r="B154" s="129" t="s">
        <v>246</v>
      </c>
      <c r="C154" s="129" t="s">
        <v>147</v>
      </c>
      <c r="D154" s="83">
        <v>1</v>
      </c>
      <c r="E154" s="103">
        <v>14329.68</v>
      </c>
      <c r="F154" s="129" t="s">
        <v>256</v>
      </c>
    </row>
    <row r="155" spans="1:6" ht="16" thickBot="1" x14ac:dyDescent="0.25">
      <c r="A155" s="83">
        <v>1</v>
      </c>
      <c r="B155" s="129" t="s">
        <v>246</v>
      </c>
      <c r="C155" s="129" t="s">
        <v>147</v>
      </c>
      <c r="D155" s="83">
        <v>2</v>
      </c>
      <c r="E155" s="103">
        <v>2482.0687200000002</v>
      </c>
      <c r="F155" s="129" t="s">
        <v>148</v>
      </c>
    </row>
    <row r="156" spans="1:6" ht="16" thickBot="1" x14ac:dyDescent="0.25">
      <c r="A156" s="83">
        <v>1</v>
      </c>
      <c r="B156" s="129" t="s">
        <v>247</v>
      </c>
      <c r="C156" s="129" t="s">
        <v>147</v>
      </c>
      <c r="D156" s="83">
        <v>72</v>
      </c>
      <c r="E156" s="103">
        <v>125277.81672</v>
      </c>
      <c r="F156" s="129" t="s">
        <v>148</v>
      </c>
    </row>
    <row r="157" spans="1:6" ht="16" thickBot="1" x14ac:dyDescent="0.25">
      <c r="A157" s="83">
        <v>1</v>
      </c>
      <c r="B157" s="129" t="s">
        <v>248</v>
      </c>
      <c r="C157" s="129" t="s">
        <v>147</v>
      </c>
      <c r="D157" s="83">
        <v>1</v>
      </c>
      <c r="E157" s="83">
        <v>0</v>
      </c>
      <c r="F157" s="129" t="s">
        <v>256</v>
      </c>
    </row>
    <row r="158" spans="1:6" ht="16" thickBot="1" x14ac:dyDescent="0.25">
      <c r="A158" s="83">
        <v>1</v>
      </c>
      <c r="B158" s="129" t="s">
        <v>249</v>
      </c>
      <c r="C158" s="129" t="s">
        <v>147</v>
      </c>
      <c r="D158" s="83">
        <v>122</v>
      </c>
      <c r="E158" s="103">
        <v>467322.75599999999</v>
      </c>
      <c r="F158" s="129" t="s">
        <v>256</v>
      </c>
    </row>
    <row r="159" spans="1:6" ht="16" thickBot="1" x14ac:dyDescent="0.25">
      <c r="A159" s="83">
        <v>1</v>
      </c>
      <c r="B159" s="129" t="s">
        <v>249</v>
      </c>
      <c r="C159" s="129" t="s">
        <v>147</v>
      </c>
      <c r="D159" s="83">
        <v>29</v>
      </c>
      <c r="E159" s="103">
        <v>11431.89536</v>
      </c>
      <c r="F159" s="129" t="s">
        <v>148</v>
      </c>
    </row>
    <row r="160" spans="1:6" ht="16" thickBot="1" x14ac:dyDescent="0.25">
      <c r="A160" s="83">
        <v>1</v>
      </c>
      <c r="B160" s="129" t="s">
        <v>250</v>
      </c>
      <c r="C160" s="129" t="s">
        <v>147</v>
      </c>
      <c r="D160" s="83">
        <v>1094</v>
      </c>
      <c r="E160" s="103">
        <v>6816291.2719999999</v>
      </c>
      <c r="F160" s="129" t="s">
        <v>256</v>
      </c>
    </row>
    <row r="161" spans="1:6" ht="16" thickBot="1" x14ac:dyDescent="0.25">
      <c r="A161" s="83">
        <v>1</v>
      </c>
      <c r="B161" s="129" t="s">
        <v>251</v>
      </c>
      <c r="C161" s="129" t="s">
        <v>147</v>
      </c>
      <c r="D161" s="83">
        <v>63</v>
      </c>
      <c r="E161" s="103">
        <v>166266.76500000001</v>
      </c>
      <c r="F161" s="129" t="s">
        <v>256</v>
      </c>
    </row>
    <row r="162" spans="1:6" ht="16" thickBot="1" x14ac:dyDescent="0.25">
      <c r="A162" s="83">
        <v>1</v>
      </c>
      <c r="B162" s="129" t="s">
        <v>252</v>
      </c>
      <c r="C162" s="129" t="s">
        <v>147</v>
      </c>
      <c r="D162" s="83">
        <v>65</v>
      </c>
      <c r="E162" s="103">
        <v>184148.65900000001</v>
      </c>
      <c r="F162" s="129" t="s">
        <v>256</v>
      </c>
    </row>
    <row r="163" spans="1:6" ht="16" thickBot="1" x14ac:dyDescent="0.25">
      <c r="A163" s="83">
        <v>1</v>
      </c>
      <c r="B163" s="129" t="s">
        <v>252</v>
      </c>
      <c r="C163" s="129" t="s">
        <v>147</v>
      </c>
      <c r="D163" s="83">
        <v>30</v>
      </c>
      <c r="E163" s="103">
        <v>10597.483630000001</v>
      </c>
      <c r="F163" s="129" t="s">
        <v>148</v>
      </c>
    </row>
    <row r="164" spans="1:6" ht="16" thickBot="1" x14ac:dyDescent="0.25">
      <c r="A164" s="83">
        <v>1</v>
      </c>
      <c r="B164" s="129" t="s">
        <v>253</v>
      </c>
      <c r="C164" s="129" t="s">
        <v>147</v>
      </c>
      <c r="D164" s="83">
        <v>1140</v>
      </c>
      <c r="E164" s="103">
        <v>4358603.1560000004</v>
      </c>
      <c r="F164" s="129" t="s">
        <v>256</v>
      </c>
    </row>
    <row r="165" spans="1:6" ht="16" thickBot="1" x14ac:dyDescent="0.25">
      <c r="A165" s="83">
        <v>1</v>
      </c>
      <c r="B165" s="129" t="s">
        <v>253</v>
      </c>
      <c r="C165" s="129" t="s">
        <v>147</v>
      </c>
      <c r="D165" s="83">
        <v>539</v>
      </c>
      <c r="E165" s="103">
        <v>243701.60874</v>
      </c>
      <c r="F165" s="129" t="s">
        <v>148</v>
      </c>
    </row>
    <row r="166" spans="1:6" ht="16" thickBot="1" x14ac:dyDescent="0.25">
      <c r="A166" s="83">
        <v>1</v>
      </c>
      <c r="B166" s="129" t="s">
        <v>151</v>
      </c>
      <c r="C166" s="129" t="s">
        <v>152</v>
      </c>
      <c r="D166" s="83">
        <v>2</v>
      </c>
      <c r="E166" s="83">
        <v>972868</v>
      </c>
      <c r="F166" s="129" t="s">
        <v>148</v>
      </c>
    </row>
    <row r="167" spans="1:6" ht="16" thickBot="1" x14ac:dyDescent="0.25">
      <c r="A167" s="83">
        <v>1</v>
      </c>
      <c r="B167" s="129" t="s">
        <v>153</v>
      </c>
      <c r="C167" s="129" t="s">
        <v>152</v>
      </c>
      <c r="D167" s="83">
        <v>3</v>
      </c>
      <c r="E167" s="103">
        <v>129970.36</v>
      </c>
      <c r="F167" s="129" t="s">
        <v>256</v>
      </c>
    </row>
    <row r="168" spans="1:6" ht="16" thickBot="1" x14ac:dyDescent="0.25">
      <c r="A168" s="83">
        <v>1</v>
      </c>
      <c r="B168" s="129" t="s">
        <v>153</v>
      </c>
      <c r="C168" s="129" t="s">
        <v>152</v>
      </c>
      <c r="D168" s="83">
        <v>2</v>
      </c>
      <c r="E168" s="103">
        <v>15623.3228</v>
      </c>
      <c r="F168" s="129" t="s">
        <v>148</v>
      </c>
    </row>
    <row r="169" spans="1:6" ht="16" thickBot="1" x14ac:dyDescent="0.25">
      <c r="A169" s="83">
        <v>1</v>
      </c>
      <c r="B169" s="129" t="s">
        <v>154</v>
      </c>
      <c r="C169" s="129" t="s">
        <v>152</v>
      </c>
      <c r="D169" s="83">
        <v>3</v>
      </c>
      <c r="E169" s="103">
        <v>3276.3049999999998</v>
      </c>
      <c r="F169" s="129" t="s">
        <v>256</v>
      </c>
    </row>
    <row r="170" spans="1:6" ht="16" thickBot="1" x14ac:dyDescent="0.25">
      <c r="A170" s="83">
        <v>1</v>
      </c>
      <c r="B170" s="129" t="s">
        <v>156</v>
      </c>
      <c r="C170" s="129" t="s">
        <v>152</v>
      </c>
      <c r="D170" s="83">
        <v>12</v>
      </c>
      <c r="E170" s="103">
        <v>18603.580999999998</v>
      </c>
      <c r="F170" s="129" t="s">
        <v>256</v>
      </c>
    </row>
    <row r="171" spans="1:6" ht="16" thickBot="1" x14ac:dyDescent="0.25">
      <c r="A171" s="83">
        <v>1</v>
      </c>
      <c r="B171" s="129" t="s">
        <v>156</v>
      </c>
      <c r="C171" s="129" t="s">
        <v>152</v>
      </c>
      <c r="D171" s="83">
        <v>1</v>
      </c>
      <c r="E171" s="103">
        <v>1.1956800000000001</v>
      </c>
      <c r="F171" s="129" t="s">
        <v>148</v>
      </c>
    </row>
    <row r="172" spans="1:6" ht="16" thickBot="1" x14ac:dyDescent="0.25">
      <c r="A172" s="83">
        <v>1</v>
      </c>
      <c r="B172" s="129" t="s">
        <v>157</v>
      </c>
      <c r="C172" s="129" t="s">
        <v>152</v>
      </c>
      <c r="D172" s="83">
        <v>6</v>
      </c>
      <c r="E172" s="103">
        <v>74239.523000000001</v>
      </c>
      <c r="F172" s="129" t="s">
        <v>256</v>
      </c>
    </row>
    <row r="173" spans="1:6" ht="16" thickBot="1" x14ac:dyDescent="0.25">
      <c r="A173" s="83">
        <v>1</v>
      </c>
      <c r="B173" s="129" t="s">
        <v>157</v>
      </c>
      <c r="C173" s="129" t="s">
        <v>152</v>
      </c>
      <c r="D173" s="83">
        <v>1</v>
      </c>
      <c r="E173" s="103">
        <v>85.951179999999994</v>
      </c>
      <c r="F173" s="129" t="s">
        <v>148</v>
      </c>
    </row>
    <row r="174" spans="1:6" ht="16" thickBot="1" x14ac:dyDescent="0.25">
      <c r="A174" s="83">
        <v>1</v>
      </c>
      <c r="B174" s="129" t="s">
        <v>158</v>
      </c>
      <c r="C174" s="129" t="s">
        <v>152</v>
      </c>
      <c r="D174" s="83">
        <v>1</v>
      </c>
      <c r="E174" s="83">
        <v>0</v>
      </c>
      <c r="F174" s="129" t="s">
        <v>256</v>
      </c>
    </row>
    <row r="175" spans="1:6" ht="16" thickBot="1" x14ac:dyDescent="0.25">
      <c r="A175" s="83">
        <v>1</v>
      </c>
      <c r="B175" s="129" t="s">
        <v>161</v>
      </c>
      <c r="C175" s="129" t="s">
        <v>152</v>
      </c>
      <c r="D175" s="83">
        <v>5</v>
      </c>
      <c r="E175" s="103">
        <v>14696.700999999999</v>
      </c>
      <c r="F175" s="129" t="s">
        <v>256</v>
      </c>
    </row>
    <row r="176" spans="1:6" ht="16" thickBot="1" x14ac:dyDescent="0.25">
      <c r="A176" s="83">
        <v>1</v>
      </c>
      <c r="B176" s="129" t="s">
        <v>162</v>
      </c>
      <c r="C176" s="129" t="s">
        <v>152</v>
      </c>
      <c r="D176" s="83">
        <v>1</v>
      </c>
      <c r="E176" s="103">
        <v>2613.1999999999998</v>
      </c>
      <c r="F176" s="129" t="s">
        <v>256</v>
      </c>
    </row>
    <row r="177" spans="1:6" ht="16" thickBot="1" x14ac:dyDescent="0.25">
      <c r="A177" s="83">
        <v>1</v>
      </c>
      <c r="B177" s="129" t="s">
        <v>165</v>
      </c>
      <c r="C177" s="129" t="s">
        <v>152</v>
      </c>
      <c r="D177" s="83">
        <v>1</v>
      </c>
      <c r="E177" s="103">
        <v>286.791</v>
      </c>
      <c r="F177" s="129" t="s">
        <v>256</v>
      </c>
    </row>
    <row r="178" spans="1:6" ht="16" thickBot="1" x14ac:dyDescent="0.25">
      <c r="A178" s="83">
        <v>1</v>
      </c>
      <c r="B178" s="129" t="s">
        <v>166</v>
      </c>
      <c r="C178" s="129" t="s">
        <v>152</v>
      </c>
      <c r="D178" s="83">
        <v>6</v>
      </c>
      <c r="E178" s="103">
        <v>3675424.92</v>
      </c>
      <c r="F178" s="129" t="s">
        <v>256</v>
      </c>
    </row>
    <row r="179" spans="1:6" ht="16" thickBot="1" x14ac:dyDescent="0.25">
      <c r="A179" s="83">
        <v>1</v>
      </c>
      <c r="B179" s="129" t="s">
        <v>166</v>
      </c>
      <c r="C179" s="129" t="s">
        <v>152</v>
      </c>
      <c r="D179" s="83">
        <v>4</v>
      </c>
      <c r="E179" s="103">
        <v>130242.868</v>
      </c>
      <c r="F179" s="129" t="s">
        <v>148</v>
      </c>
    </row>
    <row r="180" spans="1:6" ht="16" thickBot="1" x14ac:dyDescent="0.25">
      <c r="A180" s="83">
        <v>1</v>
      </c>
      <c r="B180" s="129" t="s">
        <v>169</v>
      </c>
      <c r="C180" s="129" t="s">
        <v>152</v>
      </c>
      <c r="D180" s="83">
        <v>1</v>
      </c>
      <c r="E180" s="103">
        <v>9508.6</v>
      </c>
      <c r="F180" s="129" t="s">
        <v>256</v>
      </c>
    </row>
    <row r="181" spans="1:6" ht="16" thickBot="1" x14ac:dyDescent="0.25">
      <c r="A181" s="83">
        <v>1</v>
      </c>
      <c r="B181" s="129" t="s">
        <v>170</v>
      </c>
      <c r="C181" s="129" t="s">
        <v>152</v>
      </c>
      <c r="D181" s="83">
        <v>2</v>
      </c>
      <c r="E181" s="83">
        <v>311502</v>
      </c>
      <c r="F181" s="129" t="s">
        <v>148</v>
      </c>
    </row>
    <row r="182" spans="1:6" ht="16" thickBot="1" x14ac:dyDescent="0.25">
      <c r="A182" s="83">
        <v>1</v>
      </c>
      <c r="B182" s="129" t="s">
        <v>172</v>
      </c>
      <c r="C182" s="129" t="s">
        <v>152</v>
      </c>
      <c r="D182" s="83">
        <v>1</v>
      </c>
      <c r="E182" s="103">
        <v>3232.2820000000002</v>
      </c>
      <c r="F182" s="129" t="s">
        <v>256</v>
      </c>
    </row>
    <row r="183" spans="1:6" ht="16" thickBot="1" x14ac:dyDescent="0.25">
      <c r="A183" s="83">
        <v>1</v>
      </c>
      <c r="B183" s="129" t="s">
        <v>173</v>
      </c>
      <c r="C183" s="129" t="s">
        <v>152</v>
      </c>
      <c r="D183" s="83">
        <v>1</v>
      </c>
      <c r="E183" s="103">
        <v>2433.8510000000001</v>
      </c>
      <c r="F183" s="129" t="s">
        <v>256</v>
      </c>
    </row>
    <row r="184" spans="1:6" ht="16" thickBot="1" x14ac:dyDescent="0.25">
      <c r="A184" s="83">
        <v>1</v>
      </c>
      <c r="B184" s="129" t="s">
        <v>174</v>
      </c>
      <c r="C184" s="129" t="s">
        <v>152</v>
      </c>
      <c r="D184" s="83">
        <v>1</v>
      </c>
      <c r="E184" s="103">
        <v>576.96</v>
      </c>
      <c r="F184" s="129" t="s">
        <v>256</v>
      </c>
    </row>
    <row r="185" spans="1:6" ht="16" thickBot="1" x14ac:dyDescent="0.25">
      <c r="A185" s="83">
        <v>1</v>
      </c>
      <c r="B185" s="129" t="s">
        <v>175</v>
      </c>
      <c r="C185" s="129" t="s">
        <v>152</v>
      </c>
      <c r="D185" s="83">
        <v>4</v>
      </c>
      <c r="E185" s="103">
        <v>12270.213</v>
      </c>
      <c r="F185" s="129" t="s">
        <v>256</v>
      </c>
    </row>
    <row r="186" spans="1:6" ht="16" thickBot="1" x14ac:dyDescent="0.25">
      <c r="A186" s="83">
        <v>1</v>
      </c>
      <c r="B186" s="129" t="s">
        <v>178</v>
      </c>
      <c r="C186" s="129" t="s">
        <v>152</v>
      </c>
      <c r="D186" s="83">
        <v>3</v>
      </c>
      <c r="E186" s="103">
        <v>9965.6080000000002</v>
      </c>
      <c r="F186" s="129" t="s">
        <v>256</v>
      </c>
    </row>
    <row r="187" spans="1:6" ht="16" thickBot="1" x14ac:dyDescent="0.25">
      <c r="A187" s="83">
        <v>1</v>
      </c>
      <c r="B187" s="129" t="s">
        <v>182</v>
      </c>
      <c r="C187" s="129" t="s">
        <v>152</v>
      </c>
      <c r="D187" s="83">
        <v>1</v>
      </c>
      <c r="E187" s="103">
        <v>1300.7190000000001</v>
      </c>
      <c r="F187" s="129" t="s">
        <v>256</v>
      </c>
    </row>
    <row r="188" spans="1:6" ht="16" thickBot="1" x14ac:dyDescent="0.25">
      <c r="A188" s="83">
        <v>1</v>
      </c>
      <c r="B188" s="129" t="s">
        <v>184</v>
      </c>
      <c r="C188" s="129" t="s">
        <v>152</v>
      </c>
      <c r="D188" s="83">
        <v>5</v>
      </c>
      <c r="E188" s="103">
        <v>420522.49800000002</v>
      </c>
      <c r="F188" s="129" t="s">
        <v>256</v>
      </c>
    </row>
    <row r="189" spans="1:6" ht="16" thickBot="1" x14ac:dyDescent="0.25">
      <c r="A189" s="83">
        <v>1</v>
      </c>
      <c r="B189" s="129" t="s">
        <v>186</v>
      </c>
      <c r="C189" s="129" t="s">
        <v>152</v>
      </c>
      <c r="D189" s="83">
        <v>3</v>
      </c>
      <c r="E189" s="103">
        <v>60.421999999999997</v>
      </c>
      <c r="F189" s="129" t="s">
        <v>256</v>
      </c>
    </row>
    <row r="190" spans="1:6" ht="16" thickBot="1" x14ac:dyDescent="0.25">
      <c r="A190" s="83">
        <v>1</v>
      </c>
      <c r="B190" s="129" t="s">
        <v>189</v>
      </c>
      <c r="C190" s="129" t="s">
        <v>152</v>
      </c>
      <c r="D190" s="83">
        <v>2</v>
      </c>
      <c r="E190" s="103">
        <v>691.76</v>
      </c>
      <c r="F190" s="129" t="s">
        <v>256</v>
      </c>
    </row>
    <row r="191" spans="1:6" ht="16" thickBot="1" x14ac:dyDescent="0.25">
      <c r="A191" s="83">
        <v>1</v>
      </c>
      <c r="B191" s="129" t="s">
        <v>191</v>
      </c>
      <c r="C191" s="129" t="s">
        <v>152</v>
      </c>
      <c r="D191" s="83">
        <v>5</v>
      </c>
      <c r="E191" s="103">
        <v>19230.073</v>
      </c>
      <c r="F191" s="129" t="s">
        <v>256</v>
      </c>
    </row>
    <row r="192" spans="1:6" ht="16" thickBot="1" x14ac:dyDescent="0.25">
      <c r="A192" s="83">
        <v>1</v>
      </c>
      <c r="B192" s="129" t="s">
        <v>191</v>
      </c>
      <c r="C192" s="129" t="s">
        <v>152</v>
      </c>
      <c r="D192" s="83">
        <v>1</v>
      </c>
      <c r="E192" s="103">
        <v>1456.3395</v>
      </c>
      <c r="F192" s="129" t="s">
        <v>148</v>
      </c>
    </row>
    <row r="193" spans="1:6" ht="16" thickBot="1" x14ac:dyDescent="0.25">
      <c r="A193" s="83">
        <v>1</v>
      </c>
      <c r="B193" s="129" t="s">
        <v>192</v>
      </c>
      <c r="C193" s="129" t="s">
        <v>152</v>
      </c>
      <c r="D193" s="83">
        <v>1</v>
      </c>
      <c r="E193" s="103">
        <v>2718.232</v>
      </c>
      <c r="F193" s="129" t="s">
        <v>256</v>
      </c>
    </row>
    <row r="194" spans="1:6" ht="16" thickBot="1" x14ac:dyDescent="0.25">
      <c r="A194" s="83">
        <v>1</v>
      </c>
      <c r="B194" s="129" t="s">
        <v>193</v>
      </c>
      <c r="C194" s="129" t="s">
        <v>152</v>
      </c>
      <c r="D194" s="83">
        <v>10</v>
      </c>
      <c r="E194" s="103">
        <v>8608212.2489999998</v>
      </c>
      <c r="F194" s="129" t="s">
        <v>256</v>
      </c>
    </row>
    <row r="195" spans="1:6" ht="16" thickBot="1" x14ac:dyDescent="0.25">
      <c r="A195" s="83">
        <v>1</v>
      </c>
      <c r="B195" s="129" t="s">
        <v>193</v>
      </c>
      <c r="C195" s="129" t="s">
        <v>152</v>
      </c>
      <c r="D195" s="83">
        <v>3</v>
      </c>
      <c r="E195" s="103">
        <v>5053.1805999999997</v>
      </c>
      <c r="F195" s="129" t="s">
        <v>148</v>
      </c>
    </row>
    <row r="196" spans="1:6" ht="16" thickBot="1" x14ac:dyDescent="0.25">
      <c r="A196" s="83">
        <v>1</v>
      </c>
      <c r="B196" s="129" t="s">
        <v>195</v>
      </c>
      <c r="C196" s="129" t="s">
        <v>152</v>
      </c>
      <c r="D196" s="83">
        <v>2</v>
      </c>
      <c r="E196" s="103">
        <v>8695.875</v>
      </c>
      <c r="F196" s="129" t="s">
        <v>256</v>
      </c>
    </row>
    <row r="197" spans="1:6" ht="16" thickBot="1" x14ac:dyDescent="0.25">
      <c r="A197" s="83">
        <v>1</v>
      </c>
      <c r="B197" s="129" t="s">
        <v>196</v>
      </c>
      <c r="C197" s="129" t="s">
        <v>152</v>
      </c>
      <c r="D197" s="83">
        <v>4</v>
      </c>
      <c r="E197" s="103">
        <v>1096.7149999999999</v>
      </c>
      <c r="F197" s="129" t="s">
        <v>256</v>
      </c>
    </row>
    <row r="198" spans="1:6" ht="16" thickBot="1" x14ac:dyDescent="0.25">
      <c r="A198" s="83">
        <v>1</v>
      </c>
      <c r="B198" s="129" t="s">
        <v>198</v>
      </c>
      <c r="C198" s="129" t="s">
        <v>152</v>
      </c>
      <c r="D198" s="83">
        <v>1</v>
      </c>
      <c r="E198" s="103">
        <v>389.125</v>
      </c>
      <c r="F198" s="129" t="s">
        <v>256</v>
      </c>
    </row>
    <row r="199" spans="1:6" ht="16" thickBot="1" x14ac:dyDescent="0.25">
      <c r="A199" s="83">
        <v>1</v>
      </c>
      <c r="B199" s="129" t="s">
        <v>200</v>
      </c>
      <c r="C199" s="129" t="s">
        <v>152</v>
      </c>
      <c r="D199" s="83">
        <v>3</v>
      </c>
      <c r="E199" s="103">
        <v>19479.990000000002</v>
      </c>
      <c r="F199" s="129" t="s">
        <v>256</v>
      </c>
    </row>
    <row r="200" spans="1:6" ht="16" thickBot="1" x14ac:dyDescent="0.25">
      <c r="A200" s="83">
        <v>1</v>
      </c>
      <c r="B200" s="129" t="s">
        <v>205</v>
      </c>
      <c r="C200" s="129" t="s">
        <v>152</v>
      </c>
      <c r="D200" s="83">
        <v>5</v>
      </c>
      <c r="E200" s="103">
        <v>12717704.02</v>
      </c>
      <c r="F200" s="129" t="s">
        <v>256</v>
      </c>
    </row>
    <row r="201" spans="1:6" ht="16" thickBot="1" x14ac:dyDescent="0.25">
      <c r="A201" s="83">
        <v>1</v>
      </c>
      <c r="B201" s="129" t="s">
        <v>205</v>
      </c>
      <c r="C201" s="129" t="s">
        <v>152</v>
      </c>
      <c r="D201" s="83">
        <v>2</v>
      </c>
      <c r="E201" s="83">
        <v>651418</v>
      </c>
      <c r="F201" s="129" t="s">
        <v>148</v>
      </c>
    </row>
    <row r="202" spans="1:6" ht="16" thickBot="1" x14ac:dyDescent="0.25">
      <c r="A202" s="83">
        <v>1</v>
      </c>
      <c r="B202" s="129" t="s">
        <v>206</v>
      </c>
      <c r="C202" s="129" t="s">
        <v>152</v>
      </c>
      <c r="D202" s="83">
        <v>2</v>
      </c>
      <c r="E202" s="103">
        <v>4544.8459999999995</v>
      </c>
      <c r="F202" s="129" t="s">
        <v>256</v>
      </c>
    </row>
    <row r="203" spans="1:6" ht="16" thickBot="1" x14ac:dyDescent="0.25">
      <c r="A203" s="83">
        <v>1</v>
      </c>
      <c r="B203" s="129" t="s">
        <v>210</v>
      </c>
      <c r="C203" s="129" t="s">
        <v>152</v>
      </c>
      <c r="D203" s="83">
        <v>1</v>
      </c>
      <c r="E203" s="103">
        <v>1375.835</v>
      </c>
      <c r="F203" s="129" t="s">
        <v>256</v>
      </c>
    </row>
    <row r="204" spans="1:6" ht="16" thickBot="1" x14ac:dyDescent="0.25">
      <c r="A204" s="83">
        <v>1</v>
      </c>
      <c r="B204" s="129" t="s">
        <v>213</v>
      </c>
      <c r="C204" s="129" t="s">
        <v>152</v>
      </c>
      <c r="D204" s="83">
        <v>3</v>
      </c>
      <c r="E204" s="103">
        <v>46655.506000000001</v>
      </c>
      <c r="F204" s="129" t="s">
        <v>256</v>
      </c>
    </row>
    <row r="205" spans="1:6" ht="16" thickBot="1" x14ac:dyDescent="0.25">
      <c r="A205" s="83">
        <v>1</v>
      </c>
      <c r="B205" s="129" t="s">
        <v>214</v>
      </c>
      <c r="C205" s="129" t="s">
        <v>152</v>
      </c>
      <c r="D205" s="83">
        <v>2</v>
      </c>
      <c r="E205" s="103">
        <v>5835.9970000000003</v>
      </c>
      <c r="F205" s="129" t="s">
        <v>256</v>
      </c>
    </row>
    <row r="206" spans="1:6" ht="16" thickBot="1" x14ac:dyDescent="0.25">
      <c r="A206" s="83">
        <v>1</v>
      </c>
      <c r="B206" s="129" t="s">
        <v>215</v>
      </c>
      <c r="C206" s="129" t="s">
        <v>152</v>
      </c>
      <c r="D206" s="83">
        <v>2</v>
      </c>
      <c r="E206" s="103">
        <v>11816.593999999999</v>
      </c>
      <c r="F206" s="129" t="s">
        <v>256</v>
      </c>
    </row>
    <row r="207" spans="1:6" ht="16" thickBot="1" x14ac:dyDescent="0.25">
      <c r="A207" s="83">
        <v>1</v>
      </c>
      <c r="B207" s="129" t="s">
        <v>217</v>
      </c>
      <c r="C207" s="129" t="s">
        <v>152</v>
      </c>
      <c r="D207" s="83">
        <v>2</v>
      </c>
      <c r="E207" s="103">
        <v>5389.3370000000004</v>
      </c>
      <c r="F207" s="129" t="s">
        <v>256</v>
      </c>
    </row>
    <row r="208" spans="1:6" ht="16" thickBot="1" x14ac:dyDescent="0.25">
      <c r="A208" s="83">
        <v>1</v>
      </c>
      <c r="B208" s="129" t="s">
        <v>218</v>
      </c>
      <c r="C208" s="129" t="s">
        <v>152</v>
      </c>
      <c r="D208" s="83">
        <v>9</v>
      </c>
      <c r="E208" s="103">
        <v>152351.68299999999</v>
      </c>
      <c r="F208" s="129" t="s">
        <v>256</v>
      </c>
    </row>
    <row r="209" spans="1:6" ht="16" thickBot="1" x14ac:dyDescent="0.25">
      <c r="A209" s="83">
        <v>1</v>
      </c>
      <c r="B209" s="129" t="s">
        <v>218</v>
      </c>
      <c r="C209" s="129" t="s">
        <v>152</v>
      </c>
      <c r="D209" s="83">
        <v>1</v>
      </c>
      <c r="E209" s="83">
        <v>0</v>
      </c>
      <c r="F209" s="129" t="s">
        <v>148</v>
      </c>
    </row>
    <row r="210" spans="1:6" ht="16" thickBot="1" x14ac:dyDescent="0.25">
      <c r="A210" s="83">
        <v>1</v>
      </c>
      <c r="B210" s="129" t="s">
        <v>221</v>
      </c>
      <c r="C210" s="129" t="s">
        <v>152</v>
      </c>
      <c r="D210" s="83">
        <v>1</v>
      </c>
      <c r="E210" s="83">
        <v>0</v>
      </c>
      <c r="F210" s="129" t="s">
        <v>148</v>
      </c>
    </row>
    <row r="211" spans="1:6" ht="16" thickBot="1" x14ac:dyDescent="0.25">
      <c r="A211" s="83">
        <v>1</v>
      </c>
      <c r="B211" s="129" t="s">
        <v>222</v>
      </c>
      <c r="C211" s="129" t="s">
        <v>152</v>
      </c>
      <c r="D211" s="83">
        <v>3</v>
      </c>
      <c r="E211" s="103">
        <v>5927.7730000000001</v>
      </c>
      <c r="F211" s="129" t="s">
        <v>256</v>
      </c>
    </row>
    <row r="212" spans="1:6" ht="16" thickBot="1" x14ac:dyDescent="0.25">
      <c r="A212" s="83">
        <v>1</v>
      </c>
      <c r="B212" s="129" t="s">
        <v>223</v>
      </c>
      <c r="C212" s="129" t="s">
        <v>152</v>
      </c>
      <c r="D212" s="83">
        <v>4</v>
      </c>
      <c r="E212" s="103">
        <v>5116.7910000000002</v>
      </c>
      <c r="F212" s="129" t="s">
        <v>256</v>
      </c>
    </row>
    <row r="213" spans="1:6" ht="16" thickBot="1" x14ac:dyDescent="0.25">
      <c r="A213" s="83">
        <v>1</v>
      </c>
      <c r="B213" s="129" t="s">
        <v>224</v>
      </c>
      <c r="C213" s="129" t="s">
        <v>152</v>
      </c>
      <c r="D213" s="83">
        <v>2</v>
      </c>
      <c r="E213" s="103">
        <v>48320.68</v>
      </c>
      <c r="F213" s="129" t="s">
        <v>256</v>
      </c>
    </row>
    <row r="214" spans="1:6" ht="16" thickBot="1" x14ac:dyDescent="0.25">
      <c r="A214" s="83">
        <v>1</v>
      </c>
      <c r="B214" s="129" t="s">
        <v>226</v>
      </c>
      <c r="C214" s="129" t="s">
        <v>152</v>
      </c>
      <c r="D214" s="83">
        <v>2</v>
      </c>
      <c r="E214" s="103">
        <v>459481.06</v>
      </c>
      <c r="F214" s="129" t="s">
        <v>256</v>
      </c>
    </row>
    <row r="215" spans="1:6" ht="16" thickBot="1" x14ac:dyDescent="0.25">
      <c r="A215" s="83">
        <v>1</v>
      </c>
      <c r="B215" s="129" t="s">
        <v>227</v>
      </c>
      <c r="C215" s="129" t="s">
        <v>152</v>
      </c>
      <c r="D215" s="83">
        <v>2</v>
      </c>
      <c r="E215" s="103">
        <v>4954.9740000000002</v>
      </c>
      <c r="F215" s="129" t="s">
        <v>256</v>
      </c>
    </row>
    <row r="216" spans="1:6" ht="16" thickBot="1" x14ac:dyDescent="0.25">
      <c r="A216" s="83">
        <v>1</v>
      </c>
      <c r="B216" s="129" t="s">
        <v>228</v>
      </c>
      <c r="C216" s="129" t="s">
        <v>152</v>
      </c>
      <c r="D216" s="83">
        <v>1</v>
      </c>
      <c r="E216" s="103">
        <v>357193.2</v>
      </c>
      <c r="F216" s="129" t="s">
        <v>256</v>
      </c>
    </row>
    <row r="217" spans="1:6" ht="16" thickBot="1" x14ac:dyDescent="0.25">
      <c r="A217" s="83">
        <v>1</v>
      </c>
      <c r="B217" s="129" t="s">
        <v>228</v>
      </c>
      <c r="C217" s="129" t="s">
        <v>152</v>
      </c>
      <c r="D217" s="83">
        <v>2</v>
      </c>
      <c r="E217" s="83">
        <v>175712</v>
      </c>
      <c r="F217" s="129" t="s">
        <v>148</v>
      </c>
    </row>
    <row r="218" spans="1:6" ht="16" thickBot="1" x14ac:dyDescent="0.25">
      <c r="A218" s="83">
        <v>1</v>
      </c>
      <c r="B218" s="129" t="s">
        <v>230</v>
      </c>
      <c r="C218" s="129" t="s">
        <v>152</v>
      </c>
      <c r="D218" s="83">
        <v>7</v>
      </c>
      <c r="E218" s="103">
        <v>375001.56199999998</v>
      </c>
      <c r="F218" s="129" t="s">
        <v>256</v>
      </c>
    </row>
    <row r="219" spans="1:6" ht="16" thickBot="1" x14ac:dyDescent="0.25">
      <c r="A219" s="83">
        <v>1</v>
      </c>
      <c r="B219" s="129" t="s">
        <v>230</v>
      </c>
      <c r="C219" s="129" t="s">
        <v>152</v>
      </c>
      <c r="D219" s="83">
        <v>2</v>
      </c>
      <c r="E219" s="103">
        <v>4868.6383599999999</v>
      </c>
      <c r="F219" s="129" t="s">
        <v>148</v>
      </c>
    </row>
    <row r="220" spans="1:6" ht="16" thickBot="1" x14ac:dyDescent="0.25">
      <c r="A220" s="83">
        <v>1</v>
      </c>
      <c r="B220" s="129" t="s">
        <v>231</v>
      </c>
      <c r="C220" s="129" t="s">
        <v>152</v>
      </c>
      <c r="D220" s="83">
        <v>26</v>
      </c>
      <c r="E220" s="103">
        <v>4001126.2370000002</v>
      </c>
      <c r="F220" s="129" t="s">
        <v>256</v>
      </c>
    </row>
    <row r="221" spans="1:6" ht="16" thickBot="1" x14ac:dyDescent="0.25">
      <c r="A221" s="83">
        <v>1</v>
      </c>
      <c r="B221" s="129" t="s">
        <v>231</v>
      </c>
      <c r="C221" s="129" t="s">
        <v>152</v>
      </c>
      <c r="D221" s="83">
        <v>17</v>
      </c>
      <c r="E221" s="103">
        <v>65314.766190000002</v>
      </c>
      <c r="F221" s="129" t="s">
        <v>148</v>
      </c>
    </row>
    <row r="222" spans="1:6" ht="16" thickBot="1" x14ac:dyDescent="0.25">
      <c r="A222" s="83">
        <v>1</v>
      </c>
      <c r="B222" s="129" t="s">
        <v>234</v>
      </c>
      <c r="C222" s="129" t="s">
        <v>152</v>
      </c>
      <c r="D222" s="83">
        <v>1</v>
      </c>
      <c r="E222" s="103">
        <v>87730.64</v>
      </c>
      <c r="F222" s="129" t="s">
        <v>256</v>
      </c>
    </row>
    <row r="223" spans="1:6" ht="16" thickBot="1" x14ac:dyDescent="0.25">
      <c r="A223" s="83">
        <v>1</v>
      </c>
      <c r="B223" s="129" t="s">
        <v>235</v>
      </c>
      <c r="C223" s="129" t="s">
        <v>152</v>
      </c>
      <c r="D223" s="83">
        <v>8</v>
      </c>
      <c r="E223" s="103">
        <v>170651750.28</v>
      </c>
      <c r="F223" s="129" t="s">
        <v>256</v>
      </c>
    </row>
    <row r="224" spans="1:6" ht="16" thickBot="1" x14ac:dyDescent="0.25">
      <c r="A224" s="83">
        <v>1</v>
      </c>
      <c r="B224" s="129" t="s">
        <v>235</v>
      </c>
      <c r="C224" s="129" t="s">
        <v>152</v>
      </c>
      <c r="D224" s="83">
        <v>1</v>
      </c>
      <c r="E224" s="103">
        <v>1599.0024000000001</v>
      </c>
      <c r="F224" s="129" t="s">
        <v>148</v>
      </c>
    </row>
    <row r="225" spans="1:6" ht="16" thickBot="1" x14ac:dyDescent="0.25">
      <c r="A225" s="83">
        <v>1</v>
      </c>
      <c r="B225" s="129" t="s">
        <v>236</v>
      </c>
      <c r="C225" s="129" t="s">
        <v>152</v>
      </c>
      <c r="D225" s="83">
        <v>2</v>
      </c>
      <c r="E225" s="103">
        <v>24105.73</v>
      </c>
      <c r="F225" s="129" t="s">
        <v>256</v>
      </c>
    </row>
    <row r="226" spans="1:6" ht="16" thickBot="1" x14ac:dyDescent="0.25">
      <c r="A226" s="83">
        <v>1</v>
      </c>
      <c r="B226" s="129" t="s">
        <v>236</v>
      </c>
      <c r="C226" s="129" t="s">
        <v>152</v>
      </c>
      <c r="D226" s="83">
        <v>3</v>
      </c>
      <c r="E226" s="103">
        <v>59766.034939999998</v>
      </c>
      <c r="F226" s="129" t="s">
        <v>148</v>
      </c>
    </row>
    <row r="227" spans="1:6" ht="16" thickBot="1" x14ac:dyDescent="0.25">
      <c r="A227" s="83">
        <v>1</v>
      </c>
      <c r="B227" s="129" t="s">
        <v>237</v>
      </c>
      <c r="C227" s="129" t="s">
        <v>152</v>
      </c>
      <c r="D227" s="83">
        <v>9</v>
      </c>
      <c r="E227" s="103">
        <v>474184.41700000002</v>
      </c>
      <c r="F227" s="129" t="s">
        <v>256</v>
      </c>
    </row>
    <row r="228" spans="1:6" ht="16" thickBot="1" x14ac:dyDescent="0.25">
      <c r="A228" s="83">
        <v>1</v>
      </c>
      <c r="B228" s="129" t="s">
        <v>237</v>
      </c>
      <c r="C228" s="129" t="s">
        <v>152</v>
      </c>
      <c r="D228" s="83">
        <v>4</v>
      </c>
      <c r="E228" s="103">
        <v>100.6112</v>
      </c>
      <c r="F228" s="129" t="s">
        <v>148</v>
      </c>
    </row>
    <row r="229" spans="1:6" ht="16" thickBot="1" x14ac:dyDescent="0.25">
      <c r="A229" s="83">
        <v>1</v>
      </c>
      <c r="B229" s="129" t="s">
        <v>238</v>
      </c>
      <c r="C229" s="129" t="s">
        <v>152</v>
      </c>
      <c r="D229" s="83">
        <v>40</v>
      </c>
      <c r="E229" s="103">
        <v>1472814.5959999999</v>
      </c>
      <c r="F229" s="129" t="s">
        <v>256</v>
      </c>
    </row>
    <row r="230" spans="1:6" ht="16" thickBot="1" x14ac:dyDescent="0.25">
      <c r="A230" s="83">
        <v>1</v>
      </c>
      <c r="B230" s="129" t="s">
        <v>238</v>
      </c>
      <c r="C230" s="129" t="s">
        <v>152</v>
      </c>
      <c r="D230" s="83">
        <v>32</v>
      </c>
      <c r="E230" s="103">
        <v>153056.53031</v>
      </c>
      <c r="F230" s="129" t="s">
        <v>148</v>
      </c>
    </row>
    <row r="231" spans="1:6" ht="16" thickBot="1" x14ac:dyDescent="0.25">
      <c r="A231" s="83">
        <v>1</v>
      </c>
      <c r="B231" s="129" t="s">
        <v>239</v>
      </c>
      <c r="C231" s="129" t="s">
        <v>152</v>
      </c>
      <c r="D231" s="83">
        <v>42</v>
      </c>
      <c r="E231" s="103">
        <v>37399602.670000002</v>
      </c>
      <c r="F231" s="129" t="s">
        <v>256</v>
      </c>
    </row>
    <row r="232" spans="1:6" ht="16" thickBot="1" x14ac:dyDescent="0.25">
      <c r="A232" s="83">
        <v>1</v>
      </c>
      <c r="B232" s="129" t="s">
        <v>239</v>
      </c>
      <c r="C232" s="129" t="s">
        <v>152</v>
      </c>
      <c r="D232" s="83">
        <v>34</v>
      </c>
      <c r="E232" s="103">
        <v>4937261.8670899998</v>
      </c>
      <c r="F232" s="129" t="s">
        <v>148</v>
      </c>
    </row>
    <row r="233" spans="1:6" ht="16" thickBot="1" x14ac:dyDescent="0.25">
      <c r="A233" s="83">
        <v>1</v>
      </c>
      <c r="B233" s="129" t="s">
        <v>240</v>
      </c>
      <c r="C233" s="129" t="s">
        <v>152</v>
      </c>
      <c r="D233" s="83">
        <v>5</v>
      </c>
      <c r="E233" s="103">
        <v>175538.56</v>
      </c>
      <c r="F233" s="129" t="s">
        <v>256</v>
      </c>
    </row>
    <row r="234" spans="1:6" ht="16" thickBot="1" x14ac:dyDescent="0.25">
      <c r="A234" s="83">
        <v>1</v>
      </c>
      <c r="B234" s="129" t="s">
        <v>240</v>
      </c>
      <c r="C234" s="129" t="s">
        <v>152</v>
      </c>
      <c r="D234" s="83">
        <v>4</v>
      </c>
      <c r="E234" s="103">
        <v>67446.065759999998</v>
      </c>
      <c r="F234" s="129" t="s">
        <v>148</v>
      </c>
    </row>
    <row r="235" spans="1:6" ht="16" thickBot="1" x14ac:dyDescent="0.25">
      <c r="A235" s="83">
        <v>1</v>
      </c>
      <c r="B235" s="129" t="s">
        <v>241</v>
      </c>
      <c r="C235" s="129" t="s">
        <v>152</v>
      </c>
      <c r="D235" s="83">
        <v>3</v>
      </c>
      <c r="E235" s="103">
        <v>123269.68</v>
      </c>
      <c r="F235" s="129" t="s">
        <v>256</v>
      </c>
    </row>
    <row r="236" spans="1:6" ht="16" thickBot="1" x14ac:dyDescent="0.25">
      <c r="A236" s="83">
        <v>1</v>
      </c>
      <c r="B236" s="129" t="s">
        <v>241</v>
      </c>
      <c r="C236" s="129" t="s">
        <v>152</v>
      </c>
      <c r="D236" s="83">
        <v>2</v>
      </c>
      <c r="E236" s="83">
        <v>320064</v>
      </c>
      <c r="F236" s="129" t="s">
        <v>148</v>
      </c>
    </row>
    <row r="237" spans="1:6" ht="16" thickBot="1" x14ac:dyDescent="0.25">
      <c r="A237" s="83">
        <v>1</v>
      </c>
      <c r="B237" s="129" t="s">
        <v>243</v>
      </c>
      <c r="C237" s="129" t="s">
        <v>152</v>
      </c>
      <c r="D237" s="83">
        <v>1</v>
      </c>
      <c r="E237" s="83">
        <v>0</v>
      </c>
      <c r="F237" s="129" t="s">
        <v>256</v>
      </c>
    </row>
    <row r="238" spans="1:6" ht="16" thickBot="1" x14ac:dyDescent="0.25">
      <c r="A238" s="83">
        <v>1</v>
      </c>
      <c r="B238" s="129" t="s">
        <v>245</v>
      </c>
      <c r="C238" s="129" t="s">
        <v>152</v>
      </c>
      <c r="D238" s="83">
        <v>11</v>
      </c>
      <c r="E238" s="103">
        <v>13611165.112</v>
      </c>
      <c r="F238" s="129" t="s">
        <v>256</v>
      </c>
    </row>
    <row r="239" spans="1:6" ht="16" thickBot="1" x14ac:dyDescent="0.25">
      <c r="A239" s="83">
        <v>1</v>
      </c>
      <c r="B239" s="129" t="s">
        <v>245</v>
      </c>
      <c r="C239" s="129" t="s">
        <v>152</v>
      </c>
      <c r="D239" s="83">
        <v>7</v>
      </c>
      <c r="E239" s="103">
        <v>1528201.9523</v>
      </c>
      <c r="F239" s="129" t="s">
        <v>148</v>
      </c>
    </row>
    <row r="240" spans="1:6" ht="16" thickBot="1" x14ac:dyDescent="0.25">
      <c r="A240" s="83">
        <v>1</v>
      </c>
      <c r="B240" s="129" t="s">
        <v>247</v>
      </c>
      <c r="C240" s="129" t="s">
        <v>152</v>
      </c>
      <c r="D240" s="83">
        <v>4</v>
      </c>
      <c r="E240" s="83">
        <v>84350</v>
      </c>
      <c r="F240" s="129" t="s">
        <v>148</v>
      </c>
    </row>
    <row r="241" spans="1:6" ht="16" thickBot="1" x14ac:dyDescent="0.25">
      <c r="A241" s="83">
        <v>1</v>
      </c>
      <c r="B241" s="129" t="s">
        <v>250</v>
      </c>
      <c r="C241" s="129" t="s">
        <v>152</v>
      </c>
      <c r="D241" s="83">
        <v>23</v>
      </c>
      <c r="E241" s="103">
        <v>40615934.791000001</v>
      </c>
      <c r="F241" s="129" t="s">
        <v>256</v>
      </c>
    </row>
    <row r="242" spans="1:6" ht="16" thickBot="1" x14ac:dyDescent="0.25">
      <c r="A242" s="83">
        <v>1</v>
      </c>
      <c r="B242" s="129" t="s">
        <v>251</v>
      </c>
      <c r="C242" s="129" t="s">
        <v>152</v>
      </c>
      <c r="D242" s="83">
        <v>1</v>
      </c>
      <c r="E242" s="103">
        <v>163.24799999999999</v>
      </c>
      <c r="F242" s="129" t="s">
        <v>256</v>
      </c>
    </row>
    <row r="243" spans="1:6" ht="16" thickBot="1" x14ac:dyDescent="0.25">
      <c r="A243" s="83">
        <v>1</v>
      </c>
      <c r="B243" s="129" t="s">
        <v>252</v>
      </c>
      <c r="C243" s="129" t="s">
        <v>152</v>
      </c>
      <c r="D243" s="83">
        <v>3</v>
      </c>
      <c r="E243" s="103">
        <v>12591.815000000001</v>
      </c>
      <c r="F243" s="129" t="s">
        <v>256</v>
      </c>
    </row>
    <row r="244" spans="1:6" ht="16" thickBot="1" x14ac:dyDescent="0.25">
      <c r="A244" s="83">
        <v>1</v>
      </c>
      <c r="B244" s="129" t="s">
        <v>253</v>
      </c>
      <c r="C244" s="129" t="s">
        <v>152</v>
      </c>
      <c r="D244" s="83">
        <v>9</v>
      </c>
      <c r="E244" s="103">
        <v>75613.460000000006</v>
      </c>
      <c r="F244" s="129" t="s">
        <v>256</v>
      </c>
    </row>
    <row r="245" spans="1:6" ht="16" thickBot="1" x14ac:dyDescent="0.25">
      <c r="A245" s="83">
        <v>1</v>
      </c>
      <c r="B245" s="129" t="s">
        <v>253</v>
      </c>
      <c r="C245" s="129" t="s">
        <v>152</v>
      </c>
      <c r="D245" s="83">
        <v>1</v>
      </c>
      <c r="E245" s="103">
        <v>905.71176000000003</v>
      </c>
      <c r="F245" s="129" t="s">
        <v>148</v>
      </c>
    </row>
    <row r="246" spans="1:6" ht="16" thickBot="1" x14ac:dyDescent="0.25">
      <c r="A246" s="83">
        <v>1</v>
      </c>
      <c r="B246" s="129" t="s">
        <v>146</v>
      </c>
      <c r="C246" s="129" t="s">
        <v>149</v>
      </c>
      <c r="D246" s="83">
        <v>798</v>
      </c>
      <c r="E246" s="103">
        <v>82790.149149999997</v>
      </c>
      <c r="F246" s="129" t="s">
        <v>148</v>
      </c>
    </row>
    <row r="247" spans="1:6" ht="16" thickBot="1" x14ac:dyDescent="0.25">
      <c r="A247" s="83">
        <v>1</v>
      </c>
      <c r="B247" s="129" t="s">
        <v>150</v>
      </c>
      <c r="C247" s="129" t="s">
        <v>149</v>
      </c>
      <c r="D247" s="83">
        <v>442</v>
      </c>
      <c r="E247" s="103">
        <v>45833.975380000003</v>
      </c>
      <c r="F247" s="129" t="s">
        <v>148</v>
      </c>
    </row>
    <row r="248" spans="1:6" ht="16" thickBot="1" x14ac:dyDescent="0.25">
      <c r="A248" s="83">
        <v>1</v>
      </c>
      <c r="B248" s="129" t="s">
        <v>151</v>
      </c>
      <c r="C248" s="129" t="s">
        <v>149</v>
      </c>
      <c r="D248" s="83">
        <v>2</v>
      </c>
      <c r="E248" s="103">
        <v>7962.3980000000001</v>
      </c>
      <c r="F248" s="129" t="s">
        <v>256</v>
      </c>
    </row>
    <row r="249" spans="1:6" ht="16" thickBot="1" x14ac:dyDescent="0.25">
      <c r="A249" s="83">
        <v>1</v>
      </c>
      <c r="B249" s="129" t="s">
        <v>151</v>
      </c>
      <c r="C249" s="129" t="s">
        <v>149</v>
      </c>
      <c r="D249" s="83">
        <v>11</v>
      </c>
      <c r="E249" s="103">
        <v>1012.27725</v>
      </c>
      <c r="F249" s="129" t="s">
        <v>148</v>
      </c>
    </row>
    <row r="250" spans="1:6" ht="16" thickBot="1" x14ac:dyDescent="0.25">
      <c r="A250" s="83">
        <v>1</v>
      </c>
      <c r="B250" s="129" t="s">
        <v>153</v>
      </c>
      <c r="C250" s="129" t="s">
        <v>149</v>
      </c>
      <c r="D250" s="83">
        <v>1299</v>
      </c>
      <c r="E250" s="103">
        <v>1387836.199</v>
      </c>
      <c r="F250" s="129" t="s">
        <v>256</v>
      </c>
    </row>
    <row r="251" spans="1:6" ht="16" thickBot="1" x14ac:dyDescent="0.25">
      <c r="A251" s="83">
        <v>1</v>
      </c>
      <c r="B251" s="129" t="s">
        <v>153</v>
      </c>
      <c r="C251" s="129" t="s">
        <v>149</v>
      </c>
      <c r="D251" s="83">
        <v>1263</v>
      </c>
      <c r="E251" s="103">
        <v>129351.08587</v>
      </c>
      <c r="F251" s="129" t="s">
        <v>148</v>
      </c>
    </row>
    <row r="252" spans="1:6" ht="16" thickBot="1" x14ac:dyDescent="0.25">
      <c r="A252" s="83">
        <v>1</v>
      </c>
      <c r="B252" s="129" t="s">
        <v>154</v>
      </c>
      <c r="C252" s="129" t="s">
        <v>149</v>
      </c>
      <c r="D252" s="83">
        <v>1186</v>
      </c>
      <c r="E252" s="103">
        <v>2021833.06</v>
      </c>
      <c r="F252" s="129" t="s">
        <v>256</v>
      </c>
    </row>
    <row r="253" spans="1:6" ht="16" thickBot="1" x14ac:dyDescent="0.25">
      <c r="A253" s="83">
        <v>1</v>
      </c>
      <c r="B253" s="129" t="s">
        <v>154</v>
      </c>
      <c r="C253" s="129" t="s">
        <v>149</v>
      </c>
      <c r="D253" s="83">
        <v>562</v>
      </c>
      <c r="E253" s="103">
        <v>59904.649019999997</v>
      </c>
      <c r="F253" s="129" t="s">
        <v>148</v>
      </c>
    </row>
    <row r="254" spans="1:6" ht="16" thickBot="1" x14ac:dyDescent="0.25">
      <c r="A254" s="83">
        <v>1</v>
      </c>
      <c r="B254" s="129" t="s">
        <v>155</v>
      </c>
      <c r="C254" s="129" t="s">
        <v>149</v>
      </c>
      <c r="D254" s="83">
        <v>359</v>
      </c>
      <c r="E254" s="103">
        <v>774343.80299999996</v>
      </c>
      <c r="F254" s="129" t="s">
        <v>256</v>
      </c>
    </row>
    <row r="255" spans="1:6" ht="16" thickBot="1" x14ac:dyDescent="0.25">
      <c r="A255" s="83">
        <v>1</v>
      </c>
      <c r="B255" s="129" t="s">
        <v>155</v>
      </c>
      <c r="C255" s="129" t="s">
        <v>149</v>
      </c>
      <c r="D255" s="83">
        <v>2658</v>
      </c>
      <c r="E255" s="103">
        <v>271300.08208000002</v>
      </c>
      <c r="F255" s="129" t="s">
        <v>148</v>
      </c>
    </row>
    <row r="256" spans="1:6" ht="16" thickBot="1" x14ac:dyDescent="0.25">
      <c r="A256" s="83">
        <v>1</v>
      </c>
      <c r="B256" s="129" t="s">
        <v>156</v>
      </c>
      <c r="C256" s="129" t="s">
        <v>149</v>
      </c>
      <c r="D256" s="83">
        <v>2771</v>
      </c>
      <c r="E256" s="103">
        <v>3773711.304</v>
      </c>
      <c r="F256" s="129" t="s">
        <v>256</v>
      </c>
    </row>
    <row r="257" spans="1:6" ht="16" thickBot="1" x14ac:dyDescent="0.25">
      <c r="A257" s="83">
        <v>1</v>
      </c>
      <c r="B257" s="129" t="s">
        <v>156</v>
      </c>
      <c r="C257" s="129" t="s">
        <v>149</v>
      </c>
      <c r="D257" s="83">
        <v>2710</v>
      </c>
      <c r="E257" s="103">
        <v>357391.38929999998</v>
      </c>
      <c r="F257" s="129" t="s">
        <v>148</v>
      </c>
    </row>
    <row r="258" spans="1:6" ht="16" thickBot="1" x14ac:dyDescent="0.25">
      <c r="A258" s="83">
        <v>1</v>
      </c>
      <c r="B258" s="129" t="s">
        <v>157</v>
      </c>
      <c r="C258" s="129" t="s">
        <v>149</v>
      </c>
      <c r="D258" s="83">
        <v>3229</v>
      </c>
      <c r="E258" s="103">
        <v>4876634.6919999998</v>
      </c>
      <c r="F258" s="129" t="s">
        <v>256</v>
      </c>
    </row>
    <row r="259" spans="1:6" ht="16" thickBot="1" x14ac:dyDescent="0.25">
      <c r="A259" s="83">
        <v>1</v>
      </c>
      <c r="B259" s="129" t="s">
        <v>157</v>
      </c>
      <c r="C259" s="129" t="s">
        <v>149</v>
      </c>
      <c r="D259" s="83">
        <v>2255</v>
      </c>
      <c r="E259" s="103">
        <v>234699.77168000001</v>
      </c>
      <c r="F259" s="129" t="s">
        <v>148</v>
      </c>
    </row>
    <row r="260" spans="1:6" ht="16" thickBot="1" x14ac:dyDescent="0.25">
      <c r="A260" s="83">
        <v>1</v>
      </c>
      <c r="B260" s="129" t="s">
        <v>158</v>
      </c>
      <c r="C260" s="129" t="s">
        <v>149</v>
      </c>
      <c r="D260" s="83">
        <v>264</v>
      </c>
      <c r="E260" s="103">
        <v>527937.48300000001</v>
      </c>
      <c r="F260" s="129" t="s">
        <v>256</v>
      </c>
    </row>
    <row r="261" spans="1:6" ht="16" thickBot="1" x14ac:dyDescent="0.25">
      <c r="A261" s="83">
        <v>1</v>
      </c>
      <c r="B261" s="129" t="s">
        <v>158</v>
      </c>
      <c r="C261" s="129" t="s">
        <v>149</v>
      </c>
      <c r="D261" s="83">
        <v>4</v>
      </c>
      <c r="E261" s="103">
        <v>483.49599999999998</v>
      </c>
      <c r="F261" s="129" t="s">
        <v>148</v>
      </c>
    </row>
    <row r="262" spans="1:6" ht="16" thickBot="1" x14ac:dyDescent="0.25">
      <c r="A262" s="83">
        <v>1</v>
      </c>
      <c r="B262" s="129" t="s">
        <v>159</v>
      </c>
      <c r="C262" s="129" t="s">
        <v>149</v>
      </c>
      <c r="D262" s="83">
        <v>547</v>
      </c>
      <c r="E262" s="103">
        <v>1329993.6629999999</v>
      </c>
      <c r="F262" s="129" t="s">
        <v>256</v>
      </c>
    </row>
    <row r="263" spans="1:6" ht="16" thickBot="1" x14ac:dyDescent="0.25">
      <c r="A263" s="83">
        <v>1</v>
      </c>
      <c r="B263" s="129" t="s">
        <v>160</v>
      </c>
      <c r="C263" s="129" t="s">
        <v>149</v>
      </c>
      <c r="D263" s="83">
        <v>646</v>
      </c>
      <c r="E263" s="103">
        <v>516365.33299999998</v>
      </c>
      <c r="F263" s="129" t="s">
        <v>256</v>
      </c>
    </row>
    <row r="264" spans="1:6" ht="16" thickBot="1" x14ac:dyDescent="0.25">
      <c r="A264" s="83">
        <v>1</v>
      </c>
      <c r="B264" s="129" t="s">
        <v>160</v>
      </c>
      <c r="C264" s="129" t="s">
        <v>149</v>
      </c>
      <c r="D264" s="83">
        <v>643</v>
      </c>
      <c r="E264" s="103">
        <v>90858.130929999999</v>
      </c>
      <c r="F264" s="129" t="s">
        <v>148</v>
      </c>
    </row>
    <row r="265" spans="1:6" ht="16" thickBot="1" x14ac:dyDescent="0.25">
      <c r="A265" s="83">
        <v>1</v>
      </c>
      <c r="B265" s="129" t="s">
        <v>161</v>
      </c>
      <c r="C265" s="129" t="s">
        <v>149</v>
      </c>
      <c r="D265" s="83">
        <v>442</v>
      </c>
      <c r="E265" s="103">
        <v>928620.97699999996</v>
      </c>
      <c r="F265" s="129" t="s">
        <v>256</v>
      </c>
    </row>
    <row r="266" spans="1:6" ht="16" thickBot="1" x14ac:dyDescent="0.25">
      <c r="A266" s="83">
        <v>1</v>
      </c>
      <c r="B266" s="129" t="s">
        <v>162</v>
      </c>
      <c r="C266" s="129" t="s">
        <v>149</v>
      </c>
      <c r="D266" s="83">
        <v>702</v>
      </c>
      <c r="E266" s="103">
        <v>1364798.06</v>
      </c>
      <c r="F266" s="129" t="s">
        <v>256</v>
      </c>
    </row>
    <row r="267" spans="1:6" ht="16" thickBot="1" x14ac:dyDescent="0.25">
      <c r="A267" s="83">
        <v>1</v>
      </c>
      <c r="B267" s="129" t="s">
        <v>163</v>
      </c>
      <c r="C267" s="129" t="s">
        <v>149</v>
      </c>
      <c r="D267" s="83">
        <v>84</v>
      </c>
      <c r="E267" s="103">
        <v>156844.69500000001</v>
      </c>
      <c r="F267" s="129" t="s">
        <v>256</v>
      </c>
    </row>
    <row r="268" spans="1:6" ht="16" thickBot="1" x14ac:dyDescent="0.25">
      <c r="A268" s="83">
        <v>1</v>
      </c>
      <c r="B268" s="129" t="s">
        <v>163</v>
      </c>
      <c r="C268" s="129" t="s">
        <v>149</v>
      </c>
      <c r="D268" s="83">
        <v>7</v>
      </c>
      <c r="E268" s="103">
        <v>594.05718000000002</v>
      </c>
      <c r="F268" s="129" t="s">
        <v>148</v>
      </c>
    </row>
    <row r="269" spans="1:6" ht="16" thickBot="1" x14ac:dyDescent="0.25">
      <c r="A269" s="83">
        <v>1</v>
      </c>
      <c r="B269" s="129" t="s">
        <v>164</v>
      </c>
      <c r="C269" s="129" t="s">
        <v>149</v>
      </c>
      <c r="D269" s="83">
        <v>7146</v>
      </c>
      <c r="E269" s="103">
        <v>8339689.0939999996</v>
      </c>
      <c r="F269" s="129" t="s">
        <v>256</v>
      </c>
    </row>
    <row r="270" spans="1:6" ht="16" thickBot="1" x14ac:dyDescent="0.25">
      <c r="A270" s="83">
        <v>1</v>
      </c>
      <c r="B270" s="129" t="s">
        <v>164</v>
      </c>
      <c r="C270" s="129" t="s">
        <v>149</v>
      </c>
      <c r="D270" s="83">
        <v>6855</v>
      </c>
      <c r="E270" s="103">
        <v>806579.49036000005</v>
      </c>
      <c r="F270" s="129" t="s">
        <v>148</v>
      </c>
    </row>
    <row r="271" spans="1:6" ht="16" thickBot="1" x14ac:dyDescent="0.25">
      <c r="A271" s="83">
        <v>1</v>
      </c>
      <c r="B271" s="129" t="s">
        <v>165</v>
      </c>
      <c r="C271" s="129" t="s">
        <v>149</v>
      </c>
      <c r="D271" s="83">
        <v>100</v>
      </c>
      <c r="E271" s="103">
        <v>207849.09</v>
      </c>
      <c r="F271" s="129" t="s">
        <v>256</v>
      </c>
    </row>
    <row r="272" spans="1:6" ht="16" thickBot="1" x14ac:dyDescent="0.25">
      <c r="A272" s="83">
        <v>1</v>
      </c>
      <c r="B272" s="129" t="s">
        <v>166</v>
      </c>
      <c r="C272" s="129" t="s">
        <v>149</v>
      </c>
      <c r="D272" s="83">
        <v>6217</v>
      </c>
      <c r="E272" s="103">
        <v>7493454.6299999999</v>
      </c>
      <c r="F272" s="129" t="s">
        <v>256</v>
      </c>
    </row>
    <row r="273" spans="1:6" ht="16" thickBot="1" x14ac:dyDescent="0.25">
      <c r="A273" s="83">
        <v>1</v>
      </c>
      <c r="B273" s="129" t="s">
        <v>166</v>
      </c>
      <c r="C273" s="129" t="s">
        <v>149</v>
      </c>
      <c r="D273" s="83">
        <v>4106</v>
      </c>
      <c r="E273" s="103">
        <v>505408.70405</v>
      </c>
      <c r="F273" s="129" t="s">
        <v>148</v>
      </c>
    </row>
    <row r="274" spans="1:6" ht="16" thickBot="1" x14ac:dyDescent="0.25">
      <c r="A274" s="83">
        <v>1</v>
      </c>
      <c r="B274" s="129" t="s">
        <v>167</v>
      </c>
      <c r="C274" s="129" t="s">
        <v>149</v>
      </c>
      <c r="D274" s="83">
        <v>32</v>
      </c>
      <c r="E274" s="103">
        <v>58907.118000000002</v>
      </c>
      <c r="F274" s="129" t="s">
        <v>256</v>
      </c>
    </row>
    <row r="275" spans="1:6" ht="16" thickBot="1" x14ac:dyDescent="0.25">
      <c r="A275" s="83">
        <v>1</v>
      </c>
      <c r="B275" s="129" t="s">
        <v>168</v>
      </c>
      <c r="C275" s="129" t="s">
        <v>149</v>
      </c>
      <c r="D275" s="83">
        <v>2487</v>
      </c>
      <c r="E275" s="103">
        <v>3288968.9440000001</v>
      </c>
      <c r="F275" s="129" t="s">
        <v>256</v>
      </c>
    </row>
    <row r="276" spans="1:6" ht="16" thickBot="1" x14ac:dyDescent="0.25">
      <c r="A276" s="83">
        <v>1</v>
      </c>
      <c r="B276" s="129" t="s">
        <v>168</v>
      </c>
      <c r="C276" s="129" t="s">
        <v>149</v>
      </c>
      <c r="D276" s="83">
        <v>2139</v>
      </c>
      <c r="E276" s="103">
        <v>244295.99528999999</v>
      </c>
      <c r="F276" s="129" t="s">
        <v>148</v>
      </c>
    </row>
    <row r="277" spans="1:6" ht="16" thickBot="1" x14ac:dyDescent="0.25">
      <c r="A277" s="83">
        <v>1</v>
      </c>
      <c r="B277" s="129" t="s">
        <v>169</v>
      </c>
      <c r="C277" s="129" t="s">
        <v>149</v>
      </c>
      <c r="D277" s="83">
        <v>2853</v>
      </c>
      <c r="E277" s="103">
        <v>4068103.2239999999</v>
      </c>
      <c r="F277" s="129" t="s">
        <v>256</v>
      </c>
    </row>
    <row r="278" spans="1:6" ht="16" thickBot="1" x14ac:dyDescent="0.25">
      <c r="A278" s="83">
        <v>1</v>
      </c>
      <c r="B278" s="129" t="s">
        <v>169</v>
      </c>
      <c r="C278" s="129" t="s">
        <v>149</v>
      </c>
      <c r="D278" s="83">
        <v>1571</v>
      </c>
      <c r="E278" s="103">
        <v>164125.18135</v>
      </c>
      <c r="F278" s="129" t="s">
        <v>148</v>
      </c>
    </row>
    <row r="279" spans="1:6" ht="16" thickBot="1" x14ac:dyDescent="0.25">
      <c r="A279" s="83">
        <v>1</v>
      </c>
      <c r="B279" s="129" t="s">
        <v>170</v>
      </c>
      <c r="C279" s="129" t="s">
        <v>149</v>
      </c>
      <c r="D279" s="83">
        <v>142</v>
      </c>
      <c r="E279" s="103">
        <v>23234.318930000001</v>
      </c>
      <c r="F279" s="129" t="s">
        <v>148</v>
      </c>
    </row>
    <row r="280" spans="1:6" ht="16" thickBot="1" x14ac:dyDescent="0.25">
      <c r="A280" s="83">
        <v>1</v>
      </c>
      <c r="B280" s="129" t="s">
        <v>171</v>
      </c>
      <c r="C280" s="129" t="s">
        <v>149</v>
      </c>
      <c r="D280" s="83">
        <v>1199</v>
      </c>
      <c r="E280" s="103">
        <v>1773261.612</v>
      </c>
      <c r="F280" s="129" t="s">
        <v>256</v>
      </c>
    </row>
    <row r="281" spans="1:6" ht="16" thickBot="1" x14ac:dyDescent="0.25">
      <c r="A281" s="83">
        <v>1</v>
      </c>
      <c r="B281" s="129" t="s">
        <v>171</v>
      </c>
      <c r="C281" s="129" t="s">
        <v>149</v>
      </c>
      <c r="D281" s="83">
        <v>1158</v>
      </c>
      <c r="E281" s="103">
        <v>122901.28591999999</v>
      </c>
      <c r="F281" s="129" t="s">
        <v>148</v>
      </c>
    </row>
    <row r="282" spans="1:6" ht="16" thickBot="1" x14ac:dyDescent="0.25">
      <c r="A282" s="83">
        <v>1</v>
      </c>
      <c r="B282" s="129" t="s">
        <v>172</v>
      </c>
      <c r="C282" s="129" t="s">
        <v>149</v>
      </c>
      <c r="D282" s="83">
        <v>1043</v>
      </c>
      <c r="E282" s="103">
        <v>1532924.5589999999</v>
      </c>
      <c r="F282" s="129" t="s">
        <v>256</v>
      </c>
    </row>
    <row r="283" spans="1:6" ht="16" thickBot="1" x14ac:dyDescent="0.25">
      <c r="A283" s="83">
        <v>1</v>
      </c>
      <c r="B283" s="129" t="s">
        <v>172</v>
      </c>
      <c r="C283" s="129" t="s">
        <v>149</v>
      </c>
      <c r="D283" s="83">
        <v>1848</v>
      </c>
      <c r="E283" s="103">
        <v>193064.13558999999</v>
      </c>
      <c r="F283" s="129" t="s">
        <v>148</v>
      </c>
    </row>
    <row r="284" spans="1:6" ht="16" thickBot="1" x14ac:dyDescent="0.25">
      <c r="A284" s="83">
        <v>1</v>
      </c>
      <c r="B284" s="129" t="s">
        <v>173</v>
      </c>
      <c r="C284" s="129" t="s">
        <v>149</v>
      </c>
      <c r="D284" s="83">
        <v>2482</v>
      </c>
      <c r="E284" s="103">
        <v>3569471.4569999999</v>
      </c>
      <c r="F284" s="129" t="s">
        <v>256</v>
      </c>
    </row>
    <row r="285" spans="1:6" ht="16" thickBot="1" x14ac:dyDescent="0.25">
      <c r="A285" s="83">
        <v>1</v>
      </c>
      <c r="B285" s="129" t="s">
        <v>173</v>
      </c>
      <c r="C285" s="129" t="s">
        <v>149</v>
      </c>
      <c r="D285" s="83">
        <v>2054</v>
      </c>
      <c r="E285" s="103">
        <v>218575.87719</v>
      </c>
      <c r="F285" s="129" t="s">
        <v>148</v>
      </c>
    </row>
    <row r="286" spans="1:6" ht="16" thickBot="1" x14ac:dyDescent="0.25">
      <c r="A286" s="83">
        <v>1</v>
      </c>
      <c r="B286" s="129" t="s">
        <v>174</v>
      </c>
      <c r="C286" s="129" t="s">
        <v>149</v>
      </c>
      <c r="D286" s="83">
        <v>575</v>
      </c>
      <c r="E286" s="103">
        <v>1076208.7649999999</v>
      </c>
      <c r="F286" s="129" t="s">
        <v>256</v>
      </c>
    </row>
    <row r="287" spans="1:6" ht="16" thickBot="1" x14ac:dyDescent="0.25">
      <c r="A287" s="83">
        <v>1</v>
      </c>
      <c r="B287" s="129" t="s">
        <v>174</v>
      </c>
      <c r="C287" s="129" t="s">
        <v>149</v>
      </c>
      <c r="D287" s="83">
        <v>206</v>
      </c>
      <c r="E287" s="103">
        <v>22653.618999999999</v>
      </c>
      <c r="F287" s="129" t="s">
        <v>148</v>
      </c>
    </row>
    <row r="288" spans="1:6" ht="16" thickBot="1" x14ac:dyDescent="0.25">
      <c r="A288" s="83">
        <v>1</v>
      </c>
      <c r="B288" s="129" t="s">
        <v>175</v>
      </c>
      <c r="C288" s="129" t="s">
        <v>149</v>
      </c>
      <c r="D288" s="83">
        <v>338</v>
      </c>
      <c r="E288" s="103">
        <v>700889.88699999999</v>
      </c>
      <c r="F288" s="129" t="s">
        <v>256</v>
      </c>
    </row>
    <row r="289" spans="1:6" ht="16" thickBot="1" x14ac:dyDescent="0.25">
      <c r="A289" s="83">
        <v>1</v>
      </c>
      <c r="B289" s="129" t="s">
        <v>176</v>
      </c>
      <c r="C289" s="129" t="s">
        <v>149</v>
      </c>
      <c r="D289" s="83">
        <v>192</v>
      </c>
      <c r="E289" s="103">
        <v>328725.36200000002</v>
      </c>
      <c r="F289" s="129" t="s">
        <v>256</v>
      </c>
    </row>
    <row r="290" spans="1:6" ht="16" thickBot="1" x14ac:dyDescent="0.25">
      <c r="A290" s="83">
        <v>1</v>
      </c>
      <c r="B290" s="129" t="s">
        <v>176</v>
      </c>
      <c r="C290" s="129" t="s">
        <v>149</v>
      </c>
      <c r="D290" s="83">
        <v>112</v>
      </c>
      <c r="E290" s="103">
        <v>15443.80667</v>
      </c>
      <c r="F290" s="129" t="s">
        <v>148</v>
      </c>
    </row>
    <row r="291" spans="1:6" ht="16" thickBot="1" x14ac:dyDescent="0.25">
      <c r="A291" s="83">
        <v>1</v>
      </c>
      <c r="B291" s="129" t="s">
        <v>177</v>
      </c>
      <c r="C291" s="129" t="s">
        <v>149</v>
      </c>
      <c r="D291" s="83">
        <v>325</v>
      </c>
      <c r="E291" s="103">
        <v>456094.63199999998</v>
      </c>
      <c r="F291" s="129" t="s">
        <v>256</v>
      </c>
    </row>
    <row r="292" spans="1:6" ht="16" thickBot="1" x14ac:dyDescent="0.25">
      <c r="A292" s="83">
        <v>1</v>
      </c>
      <c r="B292" s="129" t="s">
        <v>177</v>
      </c>
      <c r="C292" s="129" t="s">
        <v>149</v>
      </c>
      <c r="D292" s="83">
        <v>154</v>
      </c>
      <c r="E292" s="103">
        <v>14644.78177</v>
      </c>
      <c r="F292" s="129" t="s">
        <v>148</v>
      </c>
    </row>
    <row r="293" spans="1:6" ht="16" thickBot="1" x14ac:dyDescent="0.25">
      <c r="A293" s="83">
        <v>1</v>
      </c>
      <c r="B293" s="129" t="s">
        <v>178</v>
      </c>
      <c r="C293" s="129" t="s">
        <v>149</v>
      </c>
      <c r="D293" s="83">
        <v>453</v>
      </c>
      <c r="E293" s="103">
        <v>836632.05799999996</v>
      </c>
      <c r="F293" s="129" t="s">
        <v>256</v>
      </c>
    </row>
    <row r="294" spans="1:6" ht="16" thickBot="1" x14ac:dyDescent="0.25">
      <c r="A294" s="83">
        <v>1</v>
      </c>
      <c r="B294" s="129" t="s">
        <v>179</v>
      </c>
      <c r="C294" s="129" t="s">
        <v>149</v>
      </c>
      <c r="D294" s="83">
        <v>50</v>
      </c>
      <c r="E294" s="103">
        <v>99018.316999999995</v>
      </c>
      <c r="F294" s="129" t="s">
        <v>256</v>
      </c>
    </row>
    <row r="295" spans="1:6" ht="16" thickBot="1" x14ac:dyDescent="0.25">
      <c r="A295" s="83">
        <v>1</v>
      </c>
      <c r="B295" s="129" t="s">
        <v>180</v>
      </c>
      <c r="C295" s="129" t="s">
        <v>149</v>
      </c>
      <c r="D295" s="83">
        <v>95</v>
      </c>
      <c r="E295" s="103">
        <v>15159.871090000001</v>
      </c>
      <c r="F295" s="129" t="s">
        <v>148</v>
      </c>
    </row>
    <row r="296" spans="1:6" ht="16" thickBot="1" x14ac:dyDescent="0.25">
      <c r="A296" s="83">
        <v>1</v>
      </c>
      <c r="B296" s="129" t="s">
        <v>181</v>
      </c>
      <c r="C296" s="129" t="s">
        <v>149</v>
      </c>
      <c r="D296" s="83">
        <v>310</v>
      </c>
      <c r="E296" s="103">
        <v>396118.196</v>
      </c>
      <c r="F296" s="129" t="s">
        <v>256</v>
      </c>
    </row>
    <row r="297" spans="1:6" ht="16" thickBot="1" x14ac:dyDescent="0.25">
      <c r="A297" s="83">
        <v>1</v>
      </c>
      <c r="B297" s="129" t="s">
        <v>181</v>
      </c>
      <c r="C297" s="129" t="s">
        <v>149</v>
      </c>
      <c r="D297" s="83">
        <v>3742</v>
      </c>
      <c r="E297" s="103">
        <v>505805.99826000002</v>
      </c>
      <c r="F297" s="129" t="s">
        <v>148</v>
      </c>
    </row>
    <row r="298" spans="1:6" ht="16" thickBot="1" x14ac:dyDescent="0.25">
      <c r="A298" s="83">
        <v>1</v>
      </c>
      <c r="B298" s="129" t="s">
        <v>182</v>
      </c>
      <c r="C298" s="129" t="s">
        <v>149</v>
      </c>
      <c r="D298" s="83">
        <v>73</v>
      </c>
      <c r="E298" s="103">
        <v>168810.49900000001</v>
      </c>
      <c r="F298" s="129" t="s">
        <v>256</v>
      </c>
    </row>
    <row r="299" spans="1:6" ht="16" thickBot="1" x14ac:dyDescent="0.25">
      <c r="A299" s="83">
        <v>1</v>
      </c>
      <c r="B299" s="129" t="s">
        <v>183</v>
      </c>
      <c r="C299" s="129" t="s">
        <v>149</v>
      </c>
      <c r="D299" s="83">
        <v>364</v>
      </c>
      <c r="E299" s="103">
        <v>664036.27399999998</v>
      </c>
      <c r="F299" s="129" t="s">
        <v>256</v>
      </c>
    </row>
    <row r="300" spans="1:6" ht="16" thickBot="1" x14ac:dyDescent="0.25">
      <c r="A300" s="83">
        <v>1</v>
      </c>
      <c r="B300" s="129" t="s">
        <v>184</v>
      </c>
      <c r="C300" s="129" t="s">
        <v>149</v>
      </c>
      <c r="D300" s="83">
        <v>805</v>
      </c>
      <c r="E300" s="103">
        <v>1335345.8470000001</v>
      </c>
      <c r="F300" s="129" t="s">
        <v>256</v>
      </c>
    </row>
    <row r="301" spans="1:6" ht="16" thickBot="1" x14ac:dyDescent="0.25">
      <c r="A301" s="83">
        <v>1</v>
      </c>
      <c r="B301" s="129" t="s">
        <v>184</v>
      </c>
      <c r="C301" s="129" t="s">
        <v>149</v>
      </c>
      <c r="D301" s="83">
        <v>7</v>
      </c>
      <c r="E301" s="103">
        <v>613.44835999999998</v>
      </c>
      <c r="F301" s="129" t="s">
        <v>148</v>
      </c>
    </row>
    <row r="302" spans="1:6" ht="16" thickBot="1" x14ac:dyDescent="0.25">
      <c r="A302" s="83">
        <v>1</v>
      </c>
      <c r="B302" s="129" t="s">
        <v>185</v>
      </c>
      <c r="C302" s="129" t="s">
        <v>149</v>
      </c>
      <c r="D302" s="83">
        <v>302</v>
      </c>
      <c r="E302" s="103">
        <v>413020.27500000002</v>
      </c>
      <c r="F302" s="129" t="s">
        <v>256</v>
      </c>
    </row>
    <row r="303" spans="1:6" ht="16" thickBot="1" x14ac:dyDescent="0.25">
      <c r="A303" s="83">
        <v>1</v>
      </c>
      <c r="B303" s="129" t="s">
        <v>185</v>
      </c>
      <c r="C303" s="129" t="s">
        <v>149</v>
      </c>
      <c r="D303" s="83">
        <v>179</v>
      </c>
      <c r="E303" s="103">
        <v>16435.502049999999</v>
      </c>
      <c r="F303" s="129" t="s">
        <v>148</v>
      </c>
    </row>
    <row r="304" spans="1:6" ht="16" thickBot="1" x14ac:dyDescent="0.25">
      <c r="A304" s="83">
        <v>1</v>
      </c>
      <c r="B304" s="129" t="s">
        <v>186</v>
      </c>
      <c r="C304" s="129" t="s">
        <v>149</v>
      </c>
      <c r="D304" s="83">
        <v>166</v>
      </c>
      <c r="E304" s="103">
        <v>410107.592</v>
      </c>
      <c r="F304" s="129" t="s">
        <v>256</v>
      </c>
    </row>
    <row r="305" spans="1:6" ht="16" thickBot="1" x14ac:dyDescent="0.25">
      <c r="A305" s="83">
        <v>1</v>
      </c>
      <c r="B305" s="129" t="s">
        <v>187</v>
      </c>
      <c r="C305" s="129" t="s">
        <v>149</v>
      </c>
      <c r="D305" s="83">
        <v>4</v>
      </c>
      <c r="E305" s="103">
        <v>6545.36</v>
      </c>
      <c r="F305" s="129" t="s">
        <v>256</v>
      </c>
    </row>
    <row r="306" spans="1:6" ht="16" thickBot="1" x14ac:dyDescent="0.25">
      <c r="A306" s="83">
        <v>1</v>
      </c>
      <c r="B306" s="129" t="s">
        <v>188</v>
      </c>
      <c r="C306" s="129" t="s">
        <v>149</v>
      </c>
      <c r="D306" s="83">
        <v>2</v>
      </c>
      <c r="E306" s="103">
        <v>1418.2750000000001</v>
      </c>
      <c r="F306" s="129" t="s">
        <v>256</v>
      </c>
    </row>
    <row r="307" spans="1:6" ht="16" thickBot="1" x14ac:dyDescent="0.25">
      <c r="A307" s="83">
        <v>1</v>
      </c>
      <c r="B307" s="129" t="s">
        <v>189</v>
      </c>
      <c r="C307" s="129" t="s">
        <v>149</v>
      </c>
      <c r="D307" s="83">
        <v>1761</v>
      </c>
      <c r="E307" s="103">
        <v>2702922.9210000001</v>
      </c>
      <c r="F307" s="129" t="s">
        <v>256</v>
      </c>
    </row>
    <row r="308" spans="1:6" ht="16" thickBot="1" x14ac:dyDescent="0.25">
      <c r="A308" s="83">
        <v>1</v>
      </c>
      <c r="B308" s="129" t="s">
        <v>189</v>
      </c>
      <c r="C308" s="129" t="s">
        <v>149</v>
      </c>
      <c r="D308" s="83">
        <v>1120</v>
      </c>
      <c r="E308" s="103">
        <v>107275.52992</v>
      </c>
      <c r="F308" s="129" t="s">
        <v>148</v>
      </c>
    </row>
    <row r="309" spans="1:6" ht="16" thickBot="1" x14ac:dyDescent="0.25">
      <c r="A309" s="83">
        <v>1</v>
      </c>
      <c r="B309" s="129" t="s">
        <v>190</v>
      </c>
      <c r="C309" s="129" t="s">
        <v>149</v>
      </c>
      <c r="D309" s="83">
        <v>193</v>
      </c>
      <c r="E309" s="103">
        <v>417891.04200000002</v>
      </c>
      <c r="F309" s="129" t="s">
        <v>256</v>
      </c>
    </row>
    <row r="310" spans="1:6" ht="16" thickBot="1" x14ac:dyDescent="0.25">
      <c r="A310" s="83">
        <v>1</v>
      </c>
      <c r="B310" s="129" t="s">
        <v>190</v>
      </c>
      <c r="C310" s="129" t="s">
        <v>149</v>
      </c>
      <c r="D310" s="83">
        <v>15</v>
      </c>
      <c r="E310" s="103">
        <v>1555.24884</v>
      </c>
      <c r="F310" s="129" t="s">
        <v>148</v>
      </c>
    </row>
    <row r="311" spans="1:6" ht="16" thickBot="1" x14ac:dyDescent="0.25">
      <c r="A311" s="83">
        <v>1</v>
      </c>
      <c r="B311" s="129" t="s">
        <v>191</v>
      </c>
      <c r="C311" s="129" t="s">
        <v>149</v>
      </c>
      <c r="D311" s="83">
        <v>1731</v>
      </c>
      <c r="E311" s="103">
        <v>2074168.3970000001</v>
      </c>
      <c r="F311" s="129" t="s">
        <v>256</v>
      </c>
    </row>
    <row r="312" spans="1:6" ht="16" thickBot="1" x14ac:dyDescent="0.25">
      <c r="A312" s="83">
        <v>1</v>
      </c>
      <c r="B312" s="129" t="s">
        <v>191</v>
      </c>
      <c r="C312" s="129" t="s">
        <v>149</v>
      </c>
      <c r="D312" s="83">
        <v>943</v>
      </c>
      <c r="E312" s="103">
        <v>93611.768620000003</v>
      </c>
      <c r="F312" s="129" t="s">
        <v>148</v>
      </c>
    </row>
    <row r="313" spans="1:6" ht="16" thickBot="1" x14ac:dyDescent="0.25">
      <c r="A313" s="83">
        <v>1</v>
      </c>
      <c r="B313" s="129" t="s">
        <v>192</v>
      </c>
      <c r="C313" s="129" t="s">
        <v>149</v>
      </c>
      <c r="D313" s="83">
        <v>282</v>
      </c>
      <c r="E313" s="103">
        <v>373318.30699999997</v>
      </c>
      <c r="F313" s="129" t="s">
        <v>256</v>
      </c>
    </row>
    <row r="314" spans="1:6" ht="16" thickBot="1" x14ac:dyDescent="0.25">
      <c r="A314" s="83">
        <v>1</v>
      </c>
      <c r="B314" s="129" t="s">
        <v>192</v>
      </c>
      <c r="C314" s="129" t="s">
        <v>149</v>
      </c>
      <c r="D314" s="83">
        <v>166</v>
      </c>
      <c r="E314" s="103">
        <v>17225.99366</v>
      </c>
      <c r="F314" s="129" t="s">
        <v>148</v>
      </c>
    </row>
    <row r="315" spans="1:6" ht="16" thickBot="1" x14ac:dyDescent="0.25">
      <c r="A315" s="83">
        <v>1</v>
      </c>
      <c r="B315" s="129" t="s">
        <v>193</v>
      </c>
      <c r="C315" s="129" t="s">
        <v>149</v>
      </c>
      <c r="D315" s="83">
        <v>6798</v>
      </c>
      <c r="E315" s="103">
        <v>9837810.3670000006</v>
      </c>
      <c r="F315" s="129" t="s">
        <v>256</v>
      </c>
    </row>
    <row r="316" spans="1:6" ht="16" thickBot="1" x14ac:dyDescent="0.25">
      <c r="A316" s="83">
        <v>1</v>
      </c>
      <c r="B316" s="129" t="s">
        <v>193</v>
      </c>
      <c r="C316" s="129" t="s">
        <v>149</v>
      </c>
      <c r="D316" s="83">
        <v>1740</v>
      </c>
      <c r="E316" s="103">
        <v>171652.21494000001</v>
      </c>
      <c r="F316" s="129" t="s">
        <v>148</v>
      </c>
    </row>
    <row r="317" spans="1:6" ht="16" thickBot="1" x14ac:dyDescent="0.25">
      <c r="A317" s="83">
        <v>1</v>
      </c>
      <c r="B317" s="129" t="s">
        <v>194</v>
      </c>
      <c r="C317" s="129" t="s">
        <v>149</v>
      </c>
      <c r="D317" s="83">
        <v>157</v>
      </c>
      <c r="E317" s="103">
        <v>338648.56900000002</v>
      </c>
      <c r="F317" s="129" t="s">
        <v>256</v>
      </c>
    </row>
    <row r="318" spans="1:6" ht="16" thickBot="1" x14ac:dyDescent="0.25">
      <c r="A318" s="83">
        <v>1</v>
      </c>
      <c r="B318" s="129" t="s">
        <v>195</v>
      </c>
      <c r="C318" s="129" t="s">
        <v>149</v>
      </c>
      <c r="D318" s="83">
        <v>999</v>
      </c>
      <c r="E318" s="103">
        <v>1531575.879</v>
      </c>
      <c r="F318" s="129" t="s">
        <v>256</v>
      </c>
    </row>
    <row r="319" spans="1:6" ht="16" thickBot="1" x14ac:dyDescent="0.25">
      <c r="A319" s="83">
        <v>1</v>
      </c>
      <c r="B319" s="129" t="s">
        <v>195</v>
      </c>
      <c r="C319" s="129" t="s">
        <v>149</v>
      </c>
      <c r="D319" s="83">
        <v>610</v>
      </c>
      <c r="E319" s="103">
        <v>70874.694449999995</v>
      </c>
      <c r="F319" s="129" t="s">
        <v>148</v>
      </c>
    </row>
    <row r="320" spans="1:6" ht="16" thickBot="1" x14ac:dyDescent="0.25">
      <c r="A320" s="83">
        <v>1</v>
      </c>
      <c r="B320" s="129" t="s">
        <v>196</v>
      </c>
      <c r="C320" s="129" t="s">
        <v>149</v>
      </c>
      <c r="D320" s="83">
        <v>228</v>
      </c>
      <c r="E320" s="103">
        <v>305560.087</v>
      </c>
      <c r="F320" s="129" t="s">
        <v>256</v>
      </c>
    </row>
    <row r="321" spans="1:6" ht="16" thickBot="1" x14ac:dyDescent="0.25">
      <c r="A321" s="83">
        <v>1</v>
      </c>
      <c r="B321" s="129" t="s">
        <v>196</v>
      </c>
      <c r="C321" s="129" t="s">
        <v>149</v>
      </c>
      <c r="D321" s="83">
        <v>126</v>
      </c>
      <c r="E321" s="103">
        <v>11916.81042</v>
      </c>
      <c r="F321" s="129" t="s">
        <v>148</v>
      </c>
    </row>
    <row r="322" spans="1:6" ht="16" thickBot="1" x14ac:dyDescent="0.25">
      <c r="A322" s="83">
        <v>1</v>
      </c>
      <c r="B322" s="129" t="s">
        <v>197</v>
      </c>
      <c r="C322" s="129" t="s">
        <v>149</v>
      </c>
      <c r="D322" s="83">
        <v>526</v>
      </c>
      <c r="E322" s="103">
        <v>849268.96100000001</v>
      </c>
      <c r="F322" s="129" t="s">
        <v>256</v>
      </c>
    </row>
    <row r="323" spans="1:6" ht="16" thickBot="1" x14ac:dyDescent="0.25">
      <c r="A323" s="83">
        <v>1</v>
      </c>
      <c r="B323" s="129" t="s">
        <v>198</v>
      </c>
      <c r="C323" s="129" t="s">
        <v>149</v>
      </c>
      <c r="D323" s="83">
        <v>111</v>
      </c>
      <c r="E323" s="103">
        <v>201314.535</v>
      </c>
      <c r="F323" s="129" t="s">
        <v>256</v>
      </c>
    </row>
    <row r="324" spans="1:6" ht="16" thickBot="1" x14ac:dyDescent="0.25">
      <c r="A324" s="83">
        <v>1</v>
      </c>
      <c r="B324" s="129" t="s">
        <v>199</v>
      </c>
      <c r="C324" s="129" t="s">
        <v>149</v>
      </c>
      <c r="D324" s="83">
        <v>510</v>
      </c>
      <c r="E324" s="103">
        <v>686163.88899999997</v>
      </c>
      <c r="F324" s="129" t="s">
        <v>256</v>
      </c>
    </row>
    <row r="325" spans="1:6" ht="16" thickBot="1" x14ac:dyDescent="0.25">
      <c r="A325" s="83">
        <v>1</v>
      </c>
      <c r="B325" s="129" t="s">
        <v>200</v>
      </c>
      <c r="C325" s="129" t="s">
        <v>149</v>
      </c>
      <c r="D325" s="83">
        <v>403</v>
      </c>
      <c r="E325" s="103">
        <v>896657.24600000004</v>
      </c>
      <c r="F325" s="129" t="s">
        <v>256</v>
      </c>
    </row>
    <row r="326" spans="1:6" ht="16" thickBot="1" x14ac:dyDescent="0.25">
      <c r="A326" s="83">
        <v>1</v>
      </c>
      <c r="B326" s="129" t="s">
        <v>201</v>
      </c>
      <c r="C326" s="129" t="s">
        <v>149</v>
      </c>
      <c r="D326" s="83">
        <v>123</v>
      </c>
      <c r="E326" s="103">
        <v>168039.867</v>
      </c>
      <c r="F326" s="129" t="s">
        <v>256</v>
      </c>
    </row>
    <row r="327" spans="1:6" ht="16" thickBot="1" x14ac:dyDescent="0.25">
      <c r="A327" s="83">
        <v>1</v>
      </c>
      <c r="B327" s="129" t="s">
        <v>202</v>
      </c>
      <c r="C327" s="129" t="s">
        <v>149</v>
      </c>
      <c r="D327" s="83">
        <v>259</v>
      </c>
      <c r="E327" s="103">
        <v>351286.61800000002</v>
      </c>
      <c r="F327" s="129" t="s">
        <v>256</v>
      </c>
    </row>
    <row r="328" spans="1:6" ht="16" thickBot="1" x14ac:dyDescent="0.25">
      <c r="A328" s="83">
        <v>1</v>
      </c>
      <c r="B328" s="129" t="s">
        <v>202</v>
      </c>
      <c r="C328" s="129" t="s">
        <v>149</v>
      </c>
      <c r="D328" s="83">
        <v>168</v>
      </c>
      <c r="E328" s="103">
        <v>17576.311529999999</v>
      </c>
      <c r="F328" s="129" t="s">
        <v>148</v>
      </c>
    </row>
    <row r="329" spans="1:6" ht="16" thickBot="1" x14ac:dyDescent="0.25">
      <c r="A329" s="83">
        <v>1</v>
      </c>
      <c r="B329" s="129" t="s">
        <v>203</v>
      </c>
      <c r="C329" s="129" t="s">
        <v>149</v>
      </c>
      <c r="D329" s="83">
        <v>346</v>
      </c>
      <c r="E329" s="103">
        <v>465136.86900000001</v>
      </c>
      <c r="F329" s="129" t="s">
        <v>256</v>
      </c>
    </row>
    <row r="330" spans="1:6" ht="16" thickBot="1" x14ac:dyDescent="0.25">
      <c r="A330" s="83">
        <v>1</v>
      </c>
      <c r="B330" s="129" t="s">
        <v>204</v>
      </c>
      <c r="C330" s="129" t="s">
        <v>149</v>
      </c>
      <c r="D330" s="83">
        <v>903</v>
      </c>
      <c r="E330" s="103">
        <v>1119521.3319999999</v>
      </c>
      <c r="F330" s="129" t="s">
        <v>256</v>
      </c>
    </row>
    <row r="331" spans="1:6" ht="16" thickBot="1" x14ac:dyDescent="0.25">
      <c r="A331" s="83">
        <v>1</v>
      </c>
      <c r="B331" s="129" t="s">
        <v>205</v>
      </c>
      <c r="C331" s="129" t="s">
        <v>149</v>
      </c>
      <c r="D331" s="83">
        <v>3388</v>
      </c>
      <c r="E331" s="103">
        <v>4883095.1189999999</v>
      </c>
      <c r="F331" s="129" t="s">
        <v>256</v>
      </c>
    </row>
    <row r="332" spans="1:6" ht="16" thickBot="1" x14ac:dyDescent="0.25">
      <c r="A332" s="83">
        <v>1</v>
      </c>
      <c r="B332" s="129" t="s">
        <v>205</v>
      </c>
      <c r="C332" s="129" t="s">
        <v>149</v>
      </c>
      <c r="D332" s="83">
        <v>713</v>
      </c>
      <c r="E332" s="103">
        <v>68796.27549</v>
      </c>
      <c r="F332" s="129" t="s">
        <v>148</v>
      </c>
    </row>
    <row r="333" spans="1:6" ht="16" thickBot="1" x14ac:dyDescent="0.25">
      <c r="A333" s="83">
        <v>1</v>
      </c>
      <c r="B333" s="129" t="s">
        <v>206</v>
      </c>
      <c r="C333" s="129" t="s">
        <v>149</v>
      </c>
      <c r="D333" s="83">
        <v>207</v>
      </c>
      <c r="E333" s="103">
        <v>259231.67600000001</v>
      </c>
      <c r="F333" s="129" t="s">
        <v>256</v>
      </c>
    </row>
    <row r="334" spans="1:6" ht="16" thickBot="1" x14ac:dyDescent="0.25">
      <c r="A334" s="83">
        <v>1</v>
      </c>
      <c r="B334" s="129" t="s">
        <v>206</v>
      </c>
      <c r="C334" s="129" t="s">
        <v>149</v>
      </c>
      <c r="D334" s="83">
        <v>126</v>
      </c>
      <c r="E334" s="103">
        <v>12407.46637</v>
      </c>
      <c r="F334" s="129" t="s">
        <v>148</v>
      </c>
    </row>
    <row r="335" spans="1:6" ht="16" thickBot="1" x14ac:dyDescent="0.25">
      <c r="A335" s="83">
        <v>1</v>
      </c>
      <c r="B335" s="129" t="s">
        <v>207</v>
      </c>
      <c r="C335" s="129" t="s">
        <v>149</v>
      </c>
      <c r="D335" s="83">
        <v>1</v>
      </c>
      <c r="E335" s="103">
        <v>107.676</v>
      </c>
      <c r="F335" s="129" t="s">
        <v>148</v>
      </c>
    </row>
    <row r="336" spans="1:6" ht="16" thickBot="1" x14ac:dyDescent="0.25">
      <c r="A336" s="83">
        <v>1</v>
      </c>
      <c r="B336" s="129" t="s">
        <v>208</v>
      </c>
      <c r="C336" s="129" t="s">
        <v>149</v>
      </c>
      <c r="D336" s="83">
        <v>47</v>
      </c>
      <c r="E336" s="103">
        <v>56363.182999999997</v>
      </c>
      <c r="F336" s="129" t="s">
        <v>256</v>
      </c>
    </row>
    <row r="337" spans="1:6" ht="16" thickBot="1" x14ac:dyDescent="0.25">
      <c r="A337" s="83">
        <v>1</v>
      </c>
      <c r="B337" s="129" t="s">
        <v>209</v>
      </c>
      <c r="C337" s="129" t="s">
        <v>149</v>
      </c>
      <c r="D337" s="83">
        <v>1848</v>
      </c>
      <c r="E337" s="103">
        <v>2260184.1290000002</v>
      </c>
      <c r="F337" s="129" t="s">
        <v>256</v>
      </c>
    </row>
    <row r="338" spans="1:6" ht="16" thickBot="1" x14ac:dyDescent="0.25">
      <c r="A338" s="83">
        <v>1</v>
      </c>
      <c r="B338" s="129" t="s">
        <v>209</v>
      </c>
      <c r="C338" s="129" t="s">
        <v>149</v>
      </c>
      <c r="D338" s="83">
        <v>626</v>
      </c>
      <c r="E338" s="103">
        <v>58375.751420000001</v>
      </c>
      <c r="F338" s="129" t="s">
        <v>148</v>
      </c>
    </row>
    <row r="339" spans="1:6" ht="16" thickBot="1" x14ac:dyDescent="0.25">
      <c r="A339" s="83">
        <v>1</v>
      </c>
      <c r="B339" s="129" t="s">
        <v>210</v>
      </c>
      <c r="C339" s="129" t="s">
        <v>149</v>
      </c>
      <c r="D339" s="83">
        <v>85</v>
      </c>
      <c r="E339" s="103">
        <v>142001.69899999999</v>
      </c>
      <c r="F339" s="129" t="s">
        <v>256</v>
      </c>
    </row>
    <row r="340" spans="1:6" ht="16" thickBot="1" x14ac:dyDescent="0.25">
      <c r="A340" s="83">
        <v>1</v>
      </c>
      <c r="B340" s="129" t="s">
        <v>211</v>
      </c>
      <c r="C340" s="129" t="s">
        <v>149</v>
      </c>
      <c r="D340" s="83">
        <v>95</v>
      </c>
      <c r="E340" s="103">
        <v>170897.897</v>
      </c>
      <c r="F340" s="129" t="s">
        <v>256</v>
      </c>
    </row>
    <row r="341" spans="1:6" ht="16" thickBot="1" x14ac:dyDescent="0.25">
      <c r="A341" s="83">
        <v>1</v>
      </c>
      <c r="B341" s="129" t="s">
        <v>212</v>
      </c>
      <c r="C341" s="129" t="s">
        <v>149</v>
      </c>
      <c r="D341" s="83">
        <v>8</v>
      </c>
      <c r="E341" s="83">
        <v>8067</v>
      </c>
      <c r="F341" s="129" t="s">
        <v>256</v>
      </c>
    </row>
    <row r="342" spans="1:6" ht="16" thickBot="1" x14ac:dyDescent="0.25">
      <c r="A342" s="83">
        <v>1</v>
      </c>
      <c r="B342" s="129" t="s">
        <v>213</v>
      </c>
      <c r="C342" s="129" t="s">
        <v>149</v>
      </c>
      <c r="D342" s="83">
        <v>535</v>
      </c>
      <c r="E342" s="103">
        <v>754052.20499999996</v>
      </c>
      <c r="F342" s="129" t="s">
        <v>256</v>
      </c>
    </row>
    <row r="343" spans="1:6" ht="16" thickBot="1" x14ac:dyDescent="0.25">
      <c r="A343" s="83">
        <v>1</v>
      </c>
      <c r="B343" s="129" t="s">
        <v>214</v>
      </c>
      <c r="C343" s="129" t="s">
        <v>149</v>
      </c>
      <c r="D343" s="83">
        <v>239</v>
      </c>
      <c r="E343" s="103">
        <v>513203.163</v>
      </c>
      <c r="F343" s="129" t="s">
        <v>256</v>
      </c>
    </row>
    <row r="344" spans="1:6" ht="16" thickBot="1" x14ac:dyDescent="0.25">
      <c r="A344" s="83">
        <v>1</v>
      </c>
      <c r="B344" s="129" t="s">
        <v>215</v>
      </c>
      <c r="C344" s="129" t="s">
        <v>149</v>
      </c>
      <c r="D344" s="83">
        <v>520</v>
      </c>
      <c r="E344" s="103">
        <v>665474.60699999996</v>
      </c>
      <c r="F344" s="129" t="s">
        <v>256</v>
      </c>
    </row>
    <row r="345" spans="1:6" ht="16" thickBot="1" x14ac:dyDescent="0.25">
      <c r="A345" s="83">
        <v>1</v>
      </c>
      <c r="B345" s="129" t="s">
        <v>215</v>
      </c>
      <c r="C345" s="129" t="s">
        <v>149</v>
      </c>
      <c r="D345" s="83">
        <v>349</v>
      </c>
      <c r="E345" s="103">
        <v>37046.578159999997</v>
      </c>
      <c r="F345" s="129" t="s">
        <v>148</v>
      </c>
    </row>
    <row r="346" spans="1:6" ht="16" thickBot="1" x14ac:dyDescent="0.25">
      <c r="A346" s="83">
        <v>1</v>
      </c>
      <c r="B346" s="129" t="s">
        <v>216</v>
      </c>
      <c r="C346" s="129" t="s">
        <v>149</v>
      </c>
      <c r="D346" s="83">
        <v>81</v>
      </c>
      <c r="E346" s="103">
        <v>97763.421000000002</v>
      </c>
      <c r="F346" s="129" t="s">
        <v>256</v>
      </c>
    </row>
    <row r="347" spans="1:6" ht="16" thickBot="1" x14ac:dyDescent="0.25">
      <c r="A347" s="83">
        <v>1</v>
      </c>
      <c r="B347" s="129" t="s">
        <v>217</v>
      </c>
      <c r="C347" s="129" t="s">
        <v>149</v>
      </c>
      <c r="D347" s="83">
        <v>742</v>
      </c>
      <c r="E347" s="103">
        <v>1065851.9890000001</v>
      </c>
      <c r="F347" s="129" t="s">
        <v>256</v>
      </c>
    </row>
    <row r="348" spans="1:6" ht="16" thickBot="1" x14ac:dyDescent="0.25">
      <c r="A348" s="83">
        <v>1</v>
      </c>
      <c r="B348" s="129" t="s">
        <v>217</v>
      </c>
      <c r="C348" s="129" t="s">
        <v>149</v>
      </c>
      <c r="D348" s="83">
        <v>434</v>
      </c>
      <c r="E348" s="103">
        <v>46047.873870000003</v>
      </c>
      <c r="F348" s="129" t="s">
        <v>148</v>
      </c>
    </row>
    <row r="349" spans="1:6" ht="16" thickBot="1" x14ac:dyDescent="0.25">
      <c r="A349" s="83">
        <v>1</v>
      </c>
      <c r="B349" s="129" t="s">
        <v>218</v>
      </c>
      <c r="C349" s="129" t="s">
        <v>149</v>
      </c>
      <c r="D349" s="83">
        <v>15061</v>
      </c>
      <c r="E349" s="103">
        <v>16179705.288000001</v>
      </c>
      <c r="F349" s="129" t="s">
        <v>256</v>
      </c>
    </row>
    <row r="350" spans="1:6" ht="16" thickBot="1" x14ac:dyDescent="0.25">
      <c r="A350" s="83">
        <v>1</v>
      </c>
      <c r="B350" s="129" t="s">
        <v>218</v>
      </c>
      <c r="C350" s="129" t="s">
        <v>149</v>
      </c>
      <c r="D350" s="83">
        <v>5497</v>
      </c>
      <c r="E350" s="103">
        <v>611177.90538999997</v>
      </c>
      <c r="F350" s="129" t="s">
        <v>148</v>
      </c>
    </row>
    <row r="351" spans="1:6" ht="16" thickBot="1" x14ac:dyDescent="0.25">
      <c r="A351" s="83">
        <v>1</v>
      </c>
      <c r="B351" s="129" t="s">
        <v>219</v>
      </c>
      <c r="C351" s="129" t="s">
        <v>149</v>
      </c>
      <c r="D351" s="83">
        <v>10</v>
      </c>
      <c r="E351" s="103">
        <v>8483.2420000000002</v>
      </c>
      <c r="F351" s="129" t="s">
        <v>256</v>
      </c>
    </row>
    <row r="352" spans="1:6" ht="16" thickBot="1" x14ac:dyDescent="0.25">
      <c r="A352" s="83">
        <v>1</v>
      </c>
      <c r="B352" s="129" t="s">
        <v>219</v>
      </c>
      <c r="C352" s="129" t="s">
        <v>149</v>
      </c>
      <c r="D352" s="83">
        <v>10</v>
      </c>
      <c r="E352" s="103">
        <v>1565.40391</v>
      </c>
      <c r="F352" s="129" t="s">
        <v>148</v>
      </c>
    </row>
    <row r="353" spans="1:6" ht="16" thickBot="1" x14ac:dyDescent="0.25">
      <c r="A353" s="83">
        <v>1</v>
      </c>
      <c r="B353" s="129" t="s">
        <v>220</v>
      </c>
      <c r="C353" s="129" t="s">
        <v>149</v>
      </c>
      <c r="D353" s="83">
        <v>503</v>
      </c>
      <c r="E353" s="103">
        <v>749407.16899999999</v>
      </c>
      <c r="F353" s="129" t="s">
        <v>256</v>
      </c>
    </row>
    <row r="354" spans="1:6" ht="16" thickBot="1" x14ac:dyDescent="0.25">
      <c r="A354" s="83">
        <v>1</v>
      </c>
      <c r="B354" s="129" t="s">
        <v>221</v>
      </c>
      <c r="C354" s="129" t="s">
        <v>149</v>
      </c>
      <c r="D354" s="83">
        <v>918</v>
      </c>
      <c r="E354" s="103">
        <v>1218483.905</v>
      </c>
      <c r="F354" s="129" t="s">
        <v>256</v>
      </c>
    </row>
    <row r="355" spans="1:6" ht="16" thickBot="1" x14ac:dyDescent="0.25">
      <c r="A355" s="83">
        <v>1</v>
      </c>
      <c r="B355" s="129" t="s">
        <v>221</v>
      </c>
      <c r="C355" s="129" t="s">
        <v>149</v>
      </c>
      <c r="D355" s="83">
        <v>628</v>
      </c>
      <c r="E355" s="103">
        <v>68577.502859999993</v>
      </c>
      <c r="F355" s="129" t="s">
        <v>148</v>
      </c>
    </row>
    <row r="356" spans="1:6" ht="16" thickBot="1" x14ac:dyDescent="0.25">
      <c r="A356" s="83">
        <v>1</v>
      </c>
      <c r="B356" s="129" t="s">
        <v>222</v>
      </c>
      <c r="C356" s="129" t="s">
        <v>149</v>
      </c>
      <c r="D356" s="83">
        <v>375</v>
      </c>
      <c r="E356" s="103">
        <v>543456.67299999995</v>
      </c>
      <c r="F356" s="129" t="s">
        <v>256</v>
      </c>
    </row>
    <row r="357" spans="1:6" ht="16" thickBot="1" x14ac:dyDescent="0.25">
      <c r="A357" s="83">
        <v>1</v>
      </c>
      <c r="B357" s="129" t="s">
        <v>222</v>
      </c>
      <c r="C357" s="129" t="s">
        <v>149</v>
      </c>
      <c r="D357" s="83">
        <v>196</v>
      </c>
      <c r="E357" s="103">
        <v>22861.727559999999</v>
      </c>
      <c r="F357" s="129" t="s">
        <v>148</v>
      </c>
    </row>
    <row r="358" spans="1:6" ht="16" thickBot="1" x14ac:dyDescent="0.25">
      <c r="A358" s="83">
        <v>1</v>
      </c>
      <c r="B358" s="129" t="s">
        <v>223</v>
      </c>
      <c r="C358" s="129" t="s">
        <v>149</v>
      </c>
      <c r="D358" s="83">
        <v>379</v>
      </c>
      <c r="E358" s="103">
        <v>506518.06699999998</v>
      </c>
      <c r="F358" s="129" t="s">
        <v>256</v>
      </c>
    </row>
    <row r="359" spans="1:6" ht="16" thickBot="1" x14ac:dyDescent="0.25">
      <c r="A359" s="83">
        <v>1</v>
      </c>
      <c r="B359" s="129" t="s">
        <v>223</v>
      </c>
      <c r="C359" s="129" t="s">
        <v>149</v>
      </c>
      <c r="D359" s="83">
        <v>227</v>
      </c>
      <c r="E359" s="103">
        <v>22255.379110000002</v>
      </c>
      <c r="F359" s="129" t="s">
        <v>148</v>
      </c>
    </row>
    <row r="360" spans="1:6" ht="16" thickBot="1" x14ac:dyDescent="0.25">
      <c r="A360" s="83">
        <v>1</v>
      </c>
      <c r="B360" s="129" t="s">
        <v>224</v>
      </c>
      <c r="C360" s="129" t="s">
        <v>149</v>
      </c>
      <c r="D360" s="83">
        <v>933</v>
      </c>
      <c r="E360" s="103">
        <v>1766882.862</v>
      </c>
      <c r="F360" s="129" t="s">
        <v>256</v>
      </c>
    </row>
    <row r="361" spans="1:6" ht="16" thickBot="1" x14ac:dyDescent="0.25">
      <c r="A361" s="83">
        <v>1</v>
      </c>
      <c r="B361" s="129" t="s">
        <v>225</v>
      </c>
      <c r="C361" s="129" t="s">
        <v>149</v>
      </c>
      <c r="D361" s="83">
        <v>45</v>
      </c>
      <c r="E361" s="103">
        <v>69739.002999999997</v>
      </c>
      <c r="F361" s="129" t="s">
        <v>256</v>
      </c>
    </row>
    <row r="362" spans="1:6" ht="16" thickBot="1" x14ac:dyDescent="0.25">
      <c r="A362" s="83">
        <v>1</v>
      </c>
      <c r="B362" s="129" t="s">
        <v>226</v>
      </c>
      <c r="C362" s="129" t="s">
        <v>149</v>
      </c>
      <c r="D362" s="83">
        <v>41</v>
      </c>
      <c r="E362" s="103">
        <v>74852.273000000001</v>
      </c>
      <c r="F362" s="129" t="s">
        <v>256</v>
      </c>
    </row>
    <row r="363" spans="1:6" ht="16" thickBot="1" x14ac:dyDescent="0.25">
      <c r="A363" s="83">
        <v>1</v>
      </c>
      <c r="B363" s="129" t="s">
        <v>227</v>
      </c>
      <c r="C363" s="129" t="s">
        <v>149</v>
      </c>
      <c r="D363" s="83">
        <v>217</v>
      </c>
      <c r="E363" s="103">
        <v>305365.53600000002</v>
      </c>
      <c r="F363" s="129" t="s">
        <v>256</v>
      </c>
    </row>
    <row r="364" spans="1:6" ht="16" thickBot="1" x14ac:dyDescent="0.25">
      <c r="A364" s="83">
        <v>1</v>
      </c>
      <c r="B364" s="129" t="s">
        <v>227</v>
      </c>
      <c r="C364" s="129" t="s">
        <v>149</v>
      </c>
      <c r="D364" s="83">
        <v>130</v>
      </c>
      <c r="E364" s="103">
        <v>13886.321840000001</v>
      </c>
      <c r="F364" s="129" t="s">
        <v>148</v>
      </c>
    </row>
    <row r="365" spans="1:6" ht="16" thickBot="1" x14ac:dyDescent="0.25">
      <c r="A365" s="83">
        <v>1</v>
      </c>
      <c r="B365" s="129" t="s">
        <v>228</v>
      </c>
      <c r="C365" s="129" t="s">
        <v>149</v>
      </c>
      <c r="D365" s="83">
        <v>1351</v>
      </c>
      <c r="E365" s="103">
        <v>2191631.5219999999</v>
      </c>
      <c r="F365" s="129" t="s">
        <v>256</v>
      </c>
    </row>
    <row r="366" spans="1:6" ht="16" thickBot="1" x14ac:dyDescent="0.25">
      <c r="A366" s="83">
        <v>1</v>
      </c>
      <c r="B366" s="129" t="s">
        <v>228</v>
      </c>
      <c r="C366" s="129" t="s">
        <v>149</v>
      </c>
      <c r="D366" s="83">
        <v>40</v>
      </c>
      <c r="E366" s="103">
        <v>4258.5284000000001</v>
      </c>
      <c r="F366" s="129" t="s">
        <v>148</v>
      </c>
    </row>
    <row r="367" spans="1:6" ht="16" thickBot="1" x14ac:dyDescent="0.25">
      <c r="A367" s="83">
        <v>1</v>
      </c>
      <c r="B367" s="129" t="s">
        <v>229</v>
      </c>
      <c r="C367" s="129" t="s">
        <v>149</v>
      </c>
      <c r="D367" s="83">
        <v>725</v>
      </c>
      <c r="E367" s="103">
        <v>1562836.686</v>
      </c>
      <c r="F367" s="129" t="s">
        <v>256</v>
      </c>
    </row>
    <row r="368" spans="1:6" ht="16" thickBot="1" x14ac:dyDescent="0.25">
      <c r="A368" s="83">
        <v>1</v>
      </c>
      <c r="B368" s="129" t="s">
        <v>230</v>
      </c>
      <c r="C368" s="129" t="s">
        <v>149</v>
      </c>
      <c r="D368" s="83">
        <v>7987</v>
      </c>
      <c r="E368" s="103">
        <v>8004682.9330000002</v>
      </c>
      <c r="F368" s="129" t="s">
        <v>256</v>
      </c>
    </row>
    <row r="369" spans="1:6" ht="16" thickBot="1" x14ac:dyDescent="0.25">
      <c r="A369" s="83">
        <v>1</v>
      </c>
      <c r="B369" s="129" t="s">
        <v>230</v>
      </c>
      <c r="C369" s="129" t="s">
        <v>149</v>
      </c>
      <c r="D369" s="83">
        <v>3199</v>
      </c>
      <c r="E369" s="103">
        <v>331821.91525000002</v>
      </c>
      <c r="F369" s="129" t="s">
        <v>148</v>
      </c>
    </row>
    <row r="370" spans="1:6" ht="16" thickBot="1" x14ac:dyDescent="0.25">
      <c r="A370" s="83">
        <v>1</v>
      </c>
      <c r="B370" s="129" t="s">
        <v>231</v>
      </c>
      <c r="C370" s="129" t="s">
        <v>149</v>
      </c>
      <c r="D370" s="83">
        <v>8425</v>
      </c>
      <c r="E370" s="103">
        <v>9505301.602</v>
      </c>
      <c r="F370" s="129" t="s">
        <v>256</v>
      </c>
    </row>
    <row r="371" spans="1:6" ht="16" thickBot="1" x14ac:dyDescent="0.25">
      <c r="A371" s="83">
        <v>1</v>
      </c>
      <c r="B371" s="129" t="s">
        <v>231</v>
      </c>
      <c r="C371" s="129" t="s">
        <v>149</v>
      </c>
      <c r="D371" s="83">
        <v>4726</v>
      </c>
      <c r="E371" s="103">
        <v>486503.48123999999</v>
      </c>
      <c r="F371" s="129" t="s">
        <v>148</v>
      </c>
    </row>
    <row r="372" spans="1:6" ht="16" thickBot="1" x14ac:dyDescent="0.25">
      <c r="A372" s="83">
        <v>1</v>
      </c>
      <c r="B372" s="129" t="s">
        <v>232</v>
      </c>
      <c r="C372" s="129" t="s">
        <v>149</v>
      </c>
      <c r="D372" s="83">
        <v>9480</v>
      </c>
      <c r="E372" s="103">
        <v>10725135.585000001</v>
      </c>
      <c r="F372" s="129" t="s">
        <v>256</v>
      </c>
    </row>
    <row r="373" spans="1:6" ht="16" thickBot="1" x14ac:dyDescent="0.25">
      <c r="A373" s="83">
        <v>1</v>
      </c>
      <c r="B373" s="129" t="s">
        <v>232</v>
      </c>
      <c r="C373" s="129" t="s">
        <v>149</v>
      </c>
      <c r="D373" s="83">
        <v>7797</v>
      </c>
      <c r="E373" s="103">
        <v>1075541.59534</v>
      </c>
      <c r="F373" s="129" t="s">
        <v>148</v>
      </c>
    </row>
    <row r="374" spans="1:6" ht="16" thickBot="1" x14ac:dyDescent="0.25">
      <c r="A374" s="83">
        <v>1</v>
      </c>
      <c r="B374" s="129" t="s">
        <v>233</v>
      </c>
      <c r="C374" s="129" t="s">
        <v>149</v>
      </c>
      <c r="D374" s="83">
        <v>4373</v>
      </c>
      <c r="E374" s="103">
        <v>4688921.4380000001</v>
      </c>
      <c r="F374" s="129" t="s">
        <v>256</v>
      </c>
    </row>
    <row r="375" spans="1:6" ht="16" thickBot="1" x14ac:dyDescent="0.25">
      <c r="A375" s="83">
        <v>1</v>
      </c>
      <c r="B375" s="129" t="s">
        <v>233</v>
      </c>
      <c r="C375" s="129" t="s">
        <v>149</v>
      </c>
      <c r="D375" s="83">
        <v>1381</v>
      </c>
      <c r="E375" s="103">
        <v>249896.27074000001</v>
      </c>
      <c r="F375" s="129" t="s">
        <v>148</v>
      </c>
    </row>
    <row r="376" spans="1:6" ht="16" thickBot="1" x14ac:dyDescent="0.25">
      <c r="A376" s="83">
        <v>1</v>
      </c>
      <c r="B376" s="129" t="s">
        <v>234</v>
      </c>
      <c r="C376" s="129" t="s">
        <v>149</v>
      </c>
      <c r="D376" s="83">
        <v>19063</v>
      </c>
      <c r="E376" s="103">
        <v>19460279.287</v>
      </c>
      <c r="F376" s="129" t="s">
        <v>256</v>
      </c>
    </row>
    <row r="377" spans="1:6" ht="16" thickBot="1" x14ac:dyDescent="0.25">
      <c r="A377" s="83">
        <v>1</v>
      </c>
      <c r="B377" s="129" t="s">
        <v>234</v>
      </c>
      <c r="C377" s="129" t="s">
        <v>149</v>
      </c>
      <c r="D377" s="83">
        <v>15651</v>
      </c>
      <c r="E377" s="103">
        <v>1540186.3022799999</v>
      </c>
      <c r="F377" s="129" t="s">
        <v>148</v>
      </c>
    </row>
    <row r="378" spans="1:6" ht="16" thickBot="1" x14ac:dyDescent="0.25">
      <c r="A378" s="83">
        <v>1</v>
      </c>
      <c r="B378" s="129" t="s">
        <v>235</v>
      </c>
      <c r="C378" s="129" t="s">
        <v>149</v>
      </c>
      <c r="D378" s="83">
        <v>8081</v>
      </c>
      <c r="E378" s="103">
        <v>10198470.878</v>
      </c>
      <c r="F378" s="129" t="s">
        <v>256</v>
      </c>
    </row>
    <row r="379" spans="1:6" ht="16" thickBot="1" x14ac:dyDescent="0.25">
      <c r="A379" s="83">
        <v>1</v>
      </c>
      <c r="B379" s="129" t="s">
        <v>235</v>
      </c>
      <c r="C379" s="129" t="s">
        <v>149</v>
      </c>
      <c r="D379" s="83">
        <v>10647</v>
      </c>
      <c r="E379" s="103">
        <v>1246097.8851300001</v>
      </c>
      <c r="F379" s="129" t="s">
        <v>148</v>
      </c>
    </row>
    <row r="380" spans="1:6" ht="16" thickBot="1" x14ac:dyDescent="0.25">
      <c r="A380" s="83">
        <v>1</v>
      </c>
      <c r="B380" s="129" t="s">
        <v>236</v>
      </c>
      <c r="C380" s="129" t="s">
        <v>149</v>
      </c>
      <c r="D380" s="83">
        <v>13562</v>
      </c>
      <c r="E380" s="103">
        <v>14973537.273</v>
      </c>
      <c r="F380" s="129" t="s">
        <v>256</v>
      </c>
    </row>
    <row r="381" spans="1:6" ht="16" thickBot="1" x14ac:dyDescent="0.25">
      <c r="A381" s="83">
        <v>1</v>
      </c>
      <c r="B381" s="129" t="s">
        <v>236</v>
      </c>
      <c r="C381" s="129" t="s">
        <v>149</v>
      </c>
      <c r="D381" s="83">
        <v>9330</v>
      </c>
      <c r="E381" s="103">
        <v>862811.12584999995</v>
      </c>
      <c r="F381" s="129" t="s">
        <v>148</v>
      </c>
    </row>
    <row r="382" spans="1:6" ht="16" thickBot="1" x14ac:dyDescent="0.25">
      <c r="A382" s="83">
        <v>1</v>
      </c>
      <c r="B382" s="129" t="s">
        <v>237</v>
      </c>
      <c r="C382" s="129" t="s">
        <v>149</v>
      </c>
      <c r="D382" s="83">
        <v>25231</v>
      </c>
      <c r="E382" s="103">
        <v>27571889.085000001</v>
      </c>
      <c r="F382" s="129" t="s">
        <v>256</v>
      </c>
    </row>
    <row r="383" spans="1:6" ht="16" thickBot="1" x14ac:dyDescent="0.25">
      <c r="A383" s="83">
        <v>1</v>
      </c>
      <c r="B383" s="129" t="s">
        <v>237</v>
      </c>
      <c r="C383" s="129" t="s">
        <v>149</v>
      </c>
      <c r="D383" s="83">
        <v>17501</v>
      </c>
      <c r="E383" s="103">
        <v>2065868.3456300001</v>
      </c>
      <c r="F383" s="129" t="s">
        <v>148</v>
      </c>
    </row>
    <row r="384" spans="1:6" ht="16" thickBot="1" x14ac:dyDescent="0.25">
      <c r="A384" s="83">
        <v>1</v>
      </c>
      <c r="B384" s="129" t="s">
        <v>238</v>
      </c>
      <c r="C384" s="129" t="s">
        <v>149</v>
      </c>
      <c r="D384" s="83">
        <v>10107</v>
      </c>
      <c r="E384" s="103">
        <v>12235369.334000001</v>
      </c>
      <c r="F384" s="129" t="s">
        <v>256</v>
      </c>
    </row>
    <row r="385" spans="1:6" ht="16" thickBot="1" x14ac:dyDescent="0.25">
      <c r="A385" s="83">
        <v>1</v>
      </c>
      <c r="B385" s="129" t="s">
        <v>238</v>
      </c>
      <c r="C385" s="129" t="s">
        <v>149</v>
      </c>
      <c r="D385" s="83">
        <v>6813</v>
      </c>
      <c r="E385" s="103">
        <v>753330.75526999997</v>
      </c>
      <c r="F385" s="129" t="s">
        <v>148</v>
      </c>
    </row>
    <row r="386" spans="1:6" ht="16" thickBot="1" x14ac:dyDescent="0.25">
      <c r="A386" s="83">
        <v>1</v>
      </c>
      <c r="B386" s="129" t="s">
        <v>239</v>
      </c>
      <c r="C386" s="129" t="s">
        <v>149</v>
      </c>
      <c r="D386" s="83">
        <v>6302</v>
      </c>
      <c r="E386" s="103">
        <v>7605795.4630000005</v>
      </c>
      <c r="F386" s="129" t="s">
        <v>256</v>
      </c>
    </row>
    <row r="387" spans="1:6" ht="16" thickBot="1" x14ac:dyDescent="0.25">
      <c r="A387" s="83">
        <v>1</v>
      </c>
      <c r="B387" s="129" t="s">
        <v>239</v>
      </c>
      <c r="C387" s="129" t="s">
        <v>149</v>
      </c>
      <c r="D387" s="83">
        <v>5840</v>
      </c>
      <c r="E387" s="103">
        <v>619749.92729999998</v>
      </c>
      <c r="F387" s="129" t="s">
        <v>148</v>
      </c>
    </row>
    <row r="388" spans="1:6" ht="16" thickBot="1" x14ac:dyDescent="0.25">
      <c r="A388" s="83">
        <v>1</v>
      </c>
      <c r="B388" s="129" t="s">
        <v>240</v>
      </c>
      <c r="C388" s="129" t="s">
        <v>149</v>
      </c>
      <c r="D388" s="83">
        <v>6727</v>
      </c>
      <c r="E388" s="103">
        <v>7713844.2989999996</v>
      </c>
      <c r="F388" s="129" t="s">
        <v>256</v>
      </c>
    </row>
    <row r="389" spans="1:6" ht="16" thickBot="1" x14ac:dyDescent="0.25">
      <c r="A389" s="83">
        <v>1</v>
      </c>
      <c r="B389" s="129" t="s">
        <v>240</v>
      </c>
      <c r="C389" s="129" t="s">
        <v>149</v>
      </c>
      <c r="D389" s="83">
        <v>4741</v>
      </c>
      <c r="E389" s="103">
        <v>519209.19309000002</v>
      </c>
      <c r="F389" s="129" t="s">
        <v>148</v>
      </c>
    </row>
    <row r="390" spans="1:6" ht="16" thickBot="1" x14ac:dyDescent="0.25">
      <c r="A390" s="83">
        <v>1</v>
      </c>
      <c r="B390" s="129" t="s">
        <v>241</v>
      </c>
      <c r="C390" s="129" t="s">
        <v>149</v>
      </c>
      <c r="D390" s="83">
        <v>6549</v>
      </c>
      <c r="E390" s="103">
        <v>7225841.3789999997</v>
      </c>
      <c r="F390" s="129" t="s">
        <v>256</v>
      </c>
    </row>
    <row r="391" spans="1:6" ht="16" thickBot="1" x14ac:dyDescent="0.25">
      <c r="A391" s="83">
        <v>1</v>
      </c>
      <c r="B391" s="129" t="s">
        <v>241</v>
      </c>
      <c r="C391" s="129" t="s">
        <v>149</v>
      </c>
      <c r="D391" s="83">
        <v>4072</v>
      </c>
      <c r="E391" s="103">
        <v>499638.66706000001</v>
      </c>
      <c r="F391" s="129" t="s">
        <v>148</v>
      </c>
    </row>
    <row r="392" spans="1:6" ht="16" thickBot="1" x14ac:dyDescent="0.25">
      <c r="A392" s="83">
        <v>1</v>
      </c>
      <c r="B392" s="129" t="s">
        <v>244</v>
      </c>
      <c r="C392" s="129" t="s">
        <v>149</v>
      </c>
      <c r="D392" s="83">
        <v>14079</v>
      </c>
      <c r="E392" s="103">
        <v>17392409.846000001</v>
      </c>
      <c r="F392" s="129" t="s">
        <v>256</v>
      </c>
    </row>
    <row r="393" spans="1:6" ht="16" thickBot="1" x14ac:dyDescent="0.25">
      <c r="A393" s="83">
        <v>1</v>
      </c>
      <c r="B393" s="129" t="s">
        <v>244</v>
      </c>
      <c r="C393" s="129" t="s">
        <v>149</v>
      </c>
      <c r="D393" s="83">
        <v>9528</v>
      </c>
      <c r="E393" s="103">
        <v>1394342.9421000001</v>
      </c>
      <c r="F393" s="129" t="s">
        <v>148</v>
      </c>
    </row>
    <row r="394" spans="1:6" ht="16" thickBot="1" x14ac:dyDescent="0.25">
      <c r="A394" s="83">
        <v>1</v>
      </c>
      <c r="B394" s="129" t="s">
        <v>245</v>
      </c>
      <c r="C394" s="129" t="s">
        <v>149</v>
      </c>
      <c r="D394" s="83">
        <v>8296</v>
      </c>
      <c r="E394" s="103">
        <v>10448359.577</v>
      </c>
      <c r="F394" s="129" t="s">
        <v>256</v>
      </c>
    </row>
    <row r="395" spans="1:6" ht="16" thickBot="1" x14ac:dyDescent="0.25">
      <c r="A395" s="83">
        <v>1</v>
      </c>
      <c r="B395" s="129" t="s">
        <v>245</v>
      </c>
      <c r="C395" s="129" t="s">
        <v>149</v>
      </c>
      <c r="D395" s="83">
        <v>4874</v>
      </c>
      <c r="E395" s="103">
        <v>531352.10883000004</v>
      </c>
      <c r="F395" s="129" t="s">
        <v>148</v>
      </c>
    </row>
    <row r="396" spans="1:6" ht="16" thickBot="1" x14ac:dyDescent="0.25">
      <c r="A396" s="83">
        <v>1</v>
      </c>
      <c r="B396" s="129" t="s">
        <v>247</v>
      </c>
      <c r="C396" s="129" t="s">
        <v>149</v>
      </c>
      <c r="D396" s="83">
        <v>228</v>
      </c>
      <c r="E396" s="103">
        <v>23560.500359999998</v>
      </c>
      <c r="F396" s="129" t="s">
        <v>148</v>
      </c>
    </row>
    <row r="397" spans="1:6" ht="16" thickBot="1" x14ac:dyDescent="0.25">
      <c r="A397" s="83">
        <v>1</v>
      </c>
      <c r="B397" s="129" t="s">
        <v>248</v>
      </c>
      <c r="C397" s="129" t="s">
        <v>149</v>
      </c>
      <c r="D397" s="83">
        <v>8</v>
      </c>
      <c r="E397" s="103">
        <v>11002.135</v>
      </c>
      <c r="F397" s="129" t="s">
        <v>256</v>
      </c>
    </row>
    <row r="398" spans="1:6" ht="16" thickBot="1" x14ac:dyDescent="0.25">
      <c r="A398" s="83">
        <v>1</v>
      </c>
      <c r="B398" s="129" t="s">
        <v>249</v>
      </c>
      <c r="C398" s="129" t="s">
        <v>149</v>
      </c>
      <c r="D398" s="83">
        <v>307</v>
      </c>
      <c r="E398" s="103">
        <v>535343.01</v>
      </c>
      <c r="F398" s="129" t="s">
        <v>256</v>
      </c>
    </row>
    <row r="399" spans="1:6" ht="16" thickBot="1" x14ac:dyDescent="0.25">
      <c r="A399" s="83">
        <v>1</v>
      </c>
      <c r="B399" s="129" t="s">
        <v>249</v>
      </c>
      <c r="C399" s="129" t="s">
        <v>149</v>
      </c>
      <c r="D399" s="83">
        <v>144</v>
      </c>
      <c r="E399" s="103">
        <v>15542.49044</v>
      </c>
      <c r="F399" s="129" t="s">
        <v>148</v>
      </c>
    </row>
    <row r="400" spans="1:6" ht="16" thickBot="1" x14ac:dyDescent="0.25">
      <c r="A400" s="83">
        <v>1</v>
      </c>
      <c r="B400" s="129" t="s">
        <v>250</v>
      </c>
      <c r="C400" s="129" t="s">
        <v>149</v>
      </c>
      <c r="D400" s="83">
        <v>3951</v>
      </c>
      <c r="E400" s="103">
        <v>6918504.0750000002</v>
      </c>
      <c r="F400" s="129" t="s">
        <v>256</v>
      </c>
    </row>
    <row r="401" spans="1:6" ht="16" thickBot="1" x14ac:dyDescent="0.25">
      <c r="A401" s="83">
        <v>1</v>
      </c>
      <c r="B401" s="129" t="s">
        <v>251</v>
      </c>
      <c r="C401" s="129" t="s">
        <v>149</v>
      </c>
      <c r="D401" s="83">
        <v>164</v>
      </c>
      <c r="E401" s="103">
        <v>320504.94099999999</v>
      </c>
      <c r="F401" s="129" t="s">
        <v>256</v>
      </c>
    </row>
    <row r="402" spans="1:6" ht="16" thickBot="1" x14ac:dyDescent="0.25">
      <c r="A402" s="83">
        <v>1</v>
      </c>
      <c r="B402" s="129" t="s">
        <v>252</v>
      </c>
      <c r="C402" s="129" t="s">
        <v>149</v>
      </c>
      <c r="D402" s="83">
        <v>673</v>
      </c>
      <c r="E402" s="103">
        <v>796017.49300000002</v>
      </c>
      <c r="F402" s="129" t="s">
        <v>256</v>
      </c>
    </row>
    <row r="403" spans="1:6" ht="16" thickBot="1" x14ac:dyDescent="0.25">
      <c r="A403" s="83">
        <v>1</v>
      </c>
      <c r="B403" s="129" t="s">
        <v>252</v>
      </c>
      <c r="C403" s="129" t="s">
        <v>149</v>
      </c>
      <c r="D403" s="83">
        <v>422</v>
      </c>
      <c r="E403" s="103">
        <v>35364.1976</v>
      </c>
      <c r="F403" s="129" t="s">
        <v>148</v>
      </c>
    </row>
    <row r="404" spans="1:6" ht="16" thickBot="1" x14ac:dyDescent="0.25">
      <c r="A404" s="83">
        <v>1</v>
      </c>
      <c r="B404" s="129" t="s">
        <v>253</v>
      </c>
      <c r="C404" s="129" t="s">
        <v>149</v>
      </c>
      <c r="D404" s="83">
        <v>9486</v>
      </c>
      <c r="E404" s="103">
        <v>9481817.0250000004</v>
      </c>
      <c r="F404" s="129" t="s">
        <v>256</v>
      </c>
    </row>
    <row r="405" spans="1:6" ht="16" thickBot="1" x14ac:dyDescent="0.25">
      <c r="A405" s="83">
        <v>1</v>
      </c>
      <c r="B405" s="129" t="s">
        <v>253</v>
      </c>
      <c r="C405" s="129" t="s">
        <v>149</v>
      </c>
      <c r="D405" s="83">
        <v>6728</v>
      </c>
      <c r="E405" s="103">
        <v>533823.6017</v>
      </c>
      <c r="F405" s="129" t="s">
        <v>148</v>
      </c>
    </row>
    <row r="406" spans="1:6" ht="16" thickBot="1" x14ac:dyDescent="0.25">
      <c r="A406" s="83">
        <v>2</v>
      </c>
      <c r="B406" s="129" t="s">
        <v>146</v>
      </c>
      <c r="C406" s="129" t="s">
        <v>147</v>
      </c>
      <c r="D406" s="83">
        <v>151</v>
      </c>
      <c r="E406" s="103">
        <v>91131.675520000004</v>
      </c>
      <c r="F406" s="129" t="s">
        <v>148</v>
      </c>
    </row>
    <row r="407" spans="1:6" ht="16" thickBot="1" x14ac:dyDescent="0.25">
      <c r="A407" s="83">
        <v>2</v>
      </c>
      <c r="B407" s="129" t="s">
        <v>150</v>
      </c>
      <c r="C407" s="129" t="s">
        <v>147</v>
      </c>
      <c r="D407" s="83">
        <v>91</v>
      </c>
      <c r="E407" s="103">
        <v>56086.797570000002</v>
      </c>
      <c r="F407" s="129" t="s">
        <v>148</v>
      </c>
    </row>
    <row r="408" spans="1:6" ht="16" thickBot="1" x14ac:dyDescent="0.25">
      <c r="A408" s="83">
        <v>2</v>
      </c>
      <c r="B408" s="129" t="s">
        <v>151</v>
      </c>
      <c r="C408" s="129" t="s">
        <v>147</v>
      </c>
      <c r="D408" s="83">
        <v>11</v>
      </c>
      <c r="E408" s="103">
        <v>1597.067</v>
      </c>
      <c r="F408" s="129" t="s">
        <v>256</v>
      </c>
    </row>
    <row r="409" spans="1:6" ht="16" thickBot="1" x14ac:dyDescent="0.25">
      <c r="A409" s="83">
        <v>2</v>
      </c>
      <c r="B409" s="129" t="s">
        <v>151</v>
      </c>
      <c r="C409" s="129" t="s">
        <v>147</v>
      </c>
      <c r="D409" s="83">
        <v>47</v>
      </c>
      <c r="E409" s="103">
        <v>37990.973700000002</v>
      </c>
      <c r="F409" s="129" t="s">
        <v>148</v>
      </c>
    </row>
    <row r="410" spans="1:6" ht="16" thickBot="1" x14ac:dyDescent="0.25">
      <c r="A410" s="83">
        <v>2</v>
      </c>
      <c r="B410" s="129" t="s">
        <v>153</v>
      </c>
      <c r="C410" s="129" t="s">
        <v>147</v>
      </c>
      <c r="D410" s="83">
        <v>218</v>
      </c>
      <c r="E410" s="103">
        <v>2850067.716</v>
      </c>
      <c r="F410" s="129" t="s">
        <v>256</v>
      </c>
    </row>
    <row r="411" spans="1:6" ht="16" thickBot="1" x14ac:dyDescent="0.25">
      <c r="A411" s="83">
        <v>2</v>
      </c>
      <c r="B411" s="129" t="s">
        <v>153</v>
      </c>
      <c r="C411" s="129" t="s">
        <v>147</v>
      </c>
      <c r="D411" s="83">
        <v>256</v>
      </c>
      <c r="E411" s="103">
        <v>859397.04110000003</v>
      </c>
      <c r="F411" s="129" t="s">
        <v>148</v>
      </c>
    </row>
    <row r="412" spans="1:6" ht="16" thickBot="1" x14ac:dyDescent="0.25">
      <c r="A412" s="83">
        <v>2</v>
      </c>
      <c r="B412" s="129" t="s">
        <v>154</v>
      </c>
      <c r="C412" s="129" t="s">
        <v>147</v>
      </c>
      <c r="D412" s="83">
        <v>78</v>
      </c>
      <c r="E412" s="103">
        <v>257946.788</v>
      </c>
      <c r="F412" s="129" t="s">
        <v>256</v>
      </c>
    </row>
    <row r="413" spans="1:6" ht="16" thickBot="1" x14ac:dyDescent="0.25">
      <c r="A413" s="83">
        <v>2</v>
      </c>
      <c r="B413" s="129" t="s">
        <v>154</v>
      </c>
      <c r="C413" s="129" t="s">
        <v>147</v>
      </c>
      <c r="D413" s="83">
        <v>21</v>
      </c>
      <c r="E413" s="103">
        <v>34795.55575</v>
      </c>
      <c r="F413" s="129" t="s">
        <v>148</v>
      </c>
    </row>
    <row r="414" spans="1:6" ht="16" thickBot="1" x14ac:dyDescent="0.25">
      <c r="A414" s="83">
        <v>2</v>
      </c>
      <c r="B414" s="129" t="s">
        <v>155</v>
      </c>
      <c r="C414" s="129" t="s">
        <v>147</v>
      </c>
      <c r="D414" s="83">
        <v>24</v>
      </c>
      <c r="E414" s="103">
        <v>20505.302</v>
      </c>
      <c r="F414" s="129" t="s">
        <v>256</v>
      </c>
    </row>
    <row r="415" spans="1:6" ht="16" thickBot="1" x14ac:dyDescent="0.25">
      <c r="A415" s="83">
        <v>2</v>
      </c>
      <c r="B415" s="129" t="s">
        <v>155</v>
      </c>
      <c r="C415" s="129" t="s">
        <v>147</v>
      </c>
      <c r="D415" s="83">
        <v>206</v>
      </c>
      <c r="E415" s="103">
        <v>791921.97618999996</v>
      </c>
      <c r="F415" s="129" t="s">
        <v>148</v>
      </c>
    </row>
    <row r="416" spans="1:6" ht="16" thickBot="1" x14ac:dyDescent="0.25">
      <c r="A416" s="83">
        <v>2</v>
      </c>
      <c r="B416" s="129" t="s">
        <v>156</v>
      </c>
      <c r="C416" s="129" t="s">
        <v>147</v>
      </c>
      <c r="D416" s="83">
        <v>121</v>
      </c>
      <c r="E416" s="103">
        <v>475112.94500000001</v>
      </c>
      <c r="F416" s="129" t="s">
        <v>256</v>
      </c>
    </row>
    <row r="417" spans="1:6" ht="16" thickBot="1" x14ac:dyDescent="0.25">
      <c r="A417" s="83">
        <v>2</v>
      </c>
      <c r="B417" s="129" t="s">
        <v>156</v>
      </c>
      <c r="C417" s="129" t="s">
        <v>147</v>
      </c>
      <c r="D417" s="83">
        <v>23</v>
      </c>
      <c r="E417" s="103">
        <v>49540.711710000003</v>
      </c>
      <c r="F417" s="129" t="s">
        <v>148</v>
      </c>
    </row>
    <row r="418" spans="1:6" ht="16" thickBot="1" x14ac:dyDescent="0.25">
      <c r="A418" s="83">
        <v>2</v>
      </c>
      <c r="B418" s="129" t="s">
        <v>157</v>
      </c>
      <c r="C418" s="129" t="s">
        <v>147</v>
      </c>
      <c r="D418" s="83">
        <v>479</v>
      </c>
      <c r="E418" s="103">
        <v>1470577.7849999999</v>
      </c>
      <c r="F418" s="129" t="s">
        <v>256</v>
      </c>
    </row>
    <row r="419" spans="1:6" ht="16" thickBot="1" x14ac:dyDescent="0.25">
      <c r="A419" s="83">
        <v>2</v>
      </c>
      <c r="B419" s="129" t="s">
        <v>157</v>
      </c>
      <c r="C419" s="129" t="s">
        <v>147</v>
      </c>
      <c r="D419" s="83">
        <v>232</v>
      </c>
      <c r="E419" s="103">
        <v>121835.66542999999</v>
      </c>
      <c r="F419" s="129" t="s">
        <v>148</v>
      </c>
    </row>
    <row r="420" spans="1:6" ht="16" thickBot="1" x14ac:dyDescent="0.25">
      <c r="A420" s="83">
        <v>2</v>
      </c>
      <c r="B420" s="129" t="s">
        <v>158</v>
      </c>
      <c r="C420" s="129" t="s">
        <v>147</v>
      </c>
      <c r="D420" s="83">
        <v>48</v>
      </c>
      <c r="E420" s="103">
        <v>72543.868000000002</v>
      </c>
      <c r="F420" s="129" t="s">
        <v>256</v>
      </c>
    </row>
    <row r="421" spans="1:6" ht="16" thickBot="1" x14ac:dyDescent="0.25">
      <c r="A421" s="83">
        <v>2</v>
      </c>
      <c r="B421" s="129" t="s">
        <v>159</v>
      </c>
      <c r="C421" s="129" t="s">
        <v>147</v>
      </c>
      <c r="D421" s="83">
        <v>60</v>
      </c>
      <c r="E421" s="103">
        <v>155875.87599999999</v>
      </c>
      <c r="F421" s="129" t="s">
        <v>256</v>
      </c>
    </row>
    <row r="422" spans="1:6" ht="16" thickBot="1" x14ac:dyDescent="0.25">
      <c r="A422" s="83">
        <v>2</v>
      </c>
      <c r="B422" s="129" t="s">
        <v>160</v>
      </c>
      <c r="C422" s="129" t="s">
        <v>147</v>
      </c>
      <c r="D422" s="83">
        <v>9</v>
      </c>
      <c r="E422" s="103">
        <v>12069.768</v>
      </c>
      <c r="F422" s="129" t="s">
        <v>256</v>
      </c>
    </row>
    <row r="423" spans="1:6" ht="16" thickBot="1" x14ac:dyDescent="0.25">
      <c r="A423" s="83">
        <v>2</v>
      </c>
      <c r="B423" s="129" t="s">
        <v>160</v>
      </c>
      <c r="C423" s="129" t="s">
        <v>147</v>
      </c>
      <c r="D423" s="83">
        <v>30</v>
      </c>
      <c r="E423" s="103">
        <v>501687.01072000002</v>
      </c>
      <c r="F423" s="129" t="s">
        <v>148</v>
      </c>
    </row>
    <row r="424" spans="1:6" ht="16" thickBot="1" x14ac:dyDescent="0.25">
      <c r="A424" s="83">
        <v>2</v>
      </c>
      <c r="B424" s="129" t="s">
        <v>161</v>
      </c>
      <c r="C424" s="129" t="s">
        <v>147</v>
      </c>
      <c r="D424" s="83">
        <v>68</v>
      </c>
      <c r="E424" s="103">
        <v>311001.30499999999</v>
      </c>
      <c r="F424" s="129" t="s">
        <v>256</v>
      </c>
    </row>
    <row r="425" spans="1:6" ht="16" thickBot="1" x14ac:dyDescent="0.25">
      <c r="A425" s="83">
        <v>2</v>
      </c>
      <c r="B425" s="129" t="s">
        <v>162</v>
      </c>
      <c r="C425" s="129" t="s">
        <v>147</v>
      </c>
      <c r="D425" s="83">
        <v>67</v>
      </c>
      <c r="E425" s="103">
        <v>724876.98499999999</v>
      </c>
      <c r="F425" s="129" t="s">
        <v>256</v>
      </c>
    </row>
    <row r="426" spans="1:6" ht="16" thickBot="1" x14ac:dyDescent="0.25">
      <c r="A426" s="83">
        <v>2</v>
      </c>
      <c r="B426" s="129" t="s">
        <v>163</v>
      </c>
      <c r="C426" s="129" t="s">
        <v>147</v>
      </c>
      <c r="D426" s="83">
        <v>15</v>
      </c>
      <c r="E426" s="103">
        <v>32219.154999999999</v>
      </c>
      <c r="F426" s="129" t="s">
        <v>256</v>
      </c>
    </row>
    <row r="427" spans="1:6" ht="16" thickBot="1" x14ac:dyDescent="0.25">
      <c r="A427" s="83">
        <v>2</v>
      </c>
      <c r="B427" s="129" t="s">
        <v>163</v>
      </c>
      <c r="C427" s="129" t="s">
        <v>147</v>
      </c>
      <c r="D427" s="83">
        <v>1</v>
      </c>
      <c r="E427" s="103">
        <v>345.32184999999998</v>
      </c>
      <c r="F427" s="129" t="s">
        <v>148</v>
      </c>
    </row>
    <row r="428" spans="1:6" ht="16" thickBot="1" x14ac:dyDescent="0.25">
      <c r="A428" s="83">
        <v>2</v>
      </c>
      <c r="B428" s="129" t="s">
        <v>164</v>
      </c>
      <c r="C428" s="129" t="s">
        <v>147</v>
      </c>
      <c r="D428" s="83">
        <v>377</v>
      </c>
      <c r="E428" s="103">
        <v>1774065.9909999999</v>
      </c>
      <c r="F428" s="129" t="s">
        <v>256</v>
      </c>
    </row>
    <row r="429" spans="1:6" ht="16" thickBot="1" x14ac:dyDescent="0.25">
      <c r="A429" s="83">
        <v>2</v>
      </c>
      <c r="B429" s="129" t="s">
        <v>164</v>
      </c>
      <c r="C429" s="129" t="s">
        <v>147</v>
      </c>
      <c r="D429" s="83">
        <v>130</v>
      </c>
      <c r="E429" s="103">
        <v>116682.78322</v>
      </c>
      <c r="F429" s="129" t="s">
        <v>148</v>
      </c>
    </row>
    <row r="430" spans="1:6" ht="16" thickBot="1" x14ac:dyDescent="0.25">
      <c r="A430" s="83">
        <v>2</v>
      </c>
      <c r="B430" s="129" t="s">
        <v>165</v>
      </c>
      <c r="C430" s="129" t="s">
        <v>147</v>
      </c>
      <c r="D430" s="83">
        <v>23</v>
      </c>
      <c r="E430" s="103">
        <v>24263.231</v>
      </c>
      <c r="F430" s="129" t="s">
        <v>256</v>
      </c>
    </row>
    <row r="431" spans="1:6" ht="16" thickBot="1" x14ac:dyDescent="0.25">
      <c r="A431" s="83">
        <v>2</v>
      </c>
      <c r="B431" s="129" t="s">
        <v>166</v>
      </c>
      <c r="C431" s="129" t="s">
        <v>147</v>
      </c>
      <c r="D431" s="83">
        <v>400</v>
      </c>
      <c r="E431" s="103">
        <v>4909643.0889999997</v>
      </c>
      <c r="F431" s="129" t="s">
        <v>256</v>
      </c>
    </row>
    <row r="432" spans="1:6" ht="16" thickBot="1" x14ac:dyDescent="0.25">
      <c r="A432" s="83">
        <v>2</v>
      </c>
      <c r="B432" s="129" t="s">
        <v>166</v>
      </c>
      <c r="C432" s="129" t="s">
        <v>147</v>
      </c>
      <c r="D432" s="83">
        <v>190</v>
      </c>
      <c r="E432" s="103">
        <v>213178.21317</v>
      </c>
      <c r="F432" s="129" t="s">
        <v>148</v>
      </c>
    </row>
    <row r="433" spans="1:6" ht="16" thickBot="1" x14ac:dyDescent="0.25">
      <c r="A433" s="83">
        <v>2</v>
      </c>
      <c r="B433" s="129" t="s">
        <v>167</v>
      </c>
      <c r="C433" s="129" t="s">
        <v>147</v>
      </c>
      <c r="D433" s="83">
        <v>15</v>
      </c>
      <c r="E433" s="103">
        <v>29840.428</v>
      </c>
      <c r="F433" s="129" t="s">
        <v>256</v>
      </c>
    </row>
    <row r="434" spans="1:6" ht="16" thickBot="1" x14ac:dyDescent="0.25">
      <c r="A434" s="83">
        <v>2</v>
      </c>
      <c r="B434" s="129" t="s">
        <v>168</v>
      </c>
      <c r="C434" s="129" t="s">
        <v>147</v>
      </c>
      <c r="D434" s="83">
        <v>203</v>
      </c>
      <c r="E434" s="103">
        <v>1141294.5279999999</v>
      </c>
      <c r="F434" s="129" t="s">
        <v>256</v>
      </c>
    </row>
    <row r="435" spans="1:6" ht="16" thickBot="1" x14ac:dyDescent="0.25">
      <c r="A435" s="83">
        <v>2</v>
      </c>
      <c r="B435" s="129" t="s">
        <v>168</v>
      </c>
      <c r="C435" s="129" t="s">
        <v>147</v>
      </c>
      <c r="D435" s="83">
        <v>105</v>
      </c>
      <c r="E435" s="103">
        <v>87876.386249999996</v>
      </c>
      <c r="F435" s="129" t="s">
        <v>148</v>
      </c>
    </row>
    <row r="436" spans="1:6" ht="16" thickBot="1" x14ac:dyDescent="0.25">
      <c r="A436" s="83">
        <v>2</v>
      </c>
      <c r="B436" s="129" t="s">
        <v>169</v>
      </c>
      <c r="C436" s="129" t="s">
        <v>147</v>
      </c>
      <c r="D436" s="83">
        <v>232</v>
      </c>
      <c r="E436" s="103">
        <v>1909838.2479999999</v>
      </c>
      <c r="F436" s="129" t="s">
        <v>256</v>
      </c>
    </row>
    <row r="437" spans="1:6" ht="16" thickBot="1" x14ac:dyDescent="0.25">
      <c r="A437" s="83">
        <v>2</v>
      </c>
      <c r="B437" s="129" t="s">
        <v>169</v>
      </c>
      <c r="C437" s="129" t="s">
        <v>147</v>
      </c>
      <c r="D437" s="83">
        <v>101</v>
      </c>
      <c r="E437" s="103">
        <v>319041.87962999998</v>
      </c>
      <c r="F437" s="129" t="s">
        <v>148</v>
      </c>
    </row>
    <row r="438" spans="1:6" ht="16" thickBot="1" x14ac:dyDescent="0.25">
      <c r="A438" s="83">
        <v>2</v>
      </c>
      <c r="B438" s="129" t="s">
        <v>170</v>
      </c>
      <c r="C438" s="129" t="s">
        <v>147</v>
      </c>
      <c r="D438" s="83">
        <v>6</v>
      </c>
      <c r="E438" s="103">
        <v>32650.375</v>
      </c>
      <c r="F438" s="129" t="s">
        <v>256</v>
      </c>
    </row>
    <row r="439" spans="1:6" ht="16" thickBot="1" x14ac:dyDescent="0.25">
      <c r="A439" s="83">
        <v>2</v>
      </c>
      <c r="B439" s="129" t="s">
        <v>171</v>
      </c>
      <c r="C439" s="129" t="s">
        <v>147</v>
      </c>
      <c r="D439" s="83">
        <v>59</v>
      </c>
      <c r="E439" s="103">
        <v>416328.76899999997</v>
      </c>
      <c r="F439" s="129" t="s">
        <v>256</v>
      </c>
    </row>
    <row r="440" spans="1:6" ht="16" thickBot="1" x14ac:dyDescent="0.25">
      <c r="A440" s="83">
        <v>2</v>
      </c>
      <c r="B440" s="129" t="s">
        <v>171</v>
      </c>
      <c r="C440" s="129" t="s">
        <v>147</v>
      </c>
      <c r="D440" s="83">
        <v>21</v>
      </c>
      <c r="E440" s="103">
        <v>21644.772929999999</v>
      </c>
      <c r="F440" s="129" t="s">
        <v>148</v>
      </c>
    </row>
    <row r="441" spans="1:6" ht="16" thickBot="1" x14ac:dyDescent="0.25">
      <c r="A441" s="83">
        <v>2</v>
      </c>
      <c r="B441" s="129" t="s">
        <v>172</v>
      </c>
      <c r="C441" s="129" t="s">
        <v>147</v>
      </c>
      <c r="D441" s="83">
        <v>67</v>
      </c>
      <c r="E441" s="103">
        <v>265626.52</v>
      </c>
      <c r="F441" s="129" t="s">
        <v>256</v>
      </c>
    </row>
    <row r="442" spans="1:6" ht="16" thickBot="1" x14ac:dyDescent="0.25">
      <c r="A442" s="83">
        <v>2</v>
      </c>
      <c r="B442" s="129" t="s">
        <v>172</v>
      </c>
      <c r="C442" s="129" t="s">
        <v>147</v>
      </c>
      <c r="D442" s="83">
        <v>35</v>
      </c>
      <c r="E442" s="103">
        <v>30160.340499999998</v>
      </c>
      <c r="F442" s="129" t="s">
        <v>148</v>
      </c>
    </row>
    <row r="443" spans="1:6" ht="16" thickBot="1" x14ac:dyDescent="0.25">
      <c r="A443" s="83">
        <v>2</v>
      </c>
      <c r="B443" s="129" t="s">
        <v>173</v>
      </c>
      <c r="C443" s="129" t="s">
        <v>147</v>
      </c>
      <c r="D443" s="83">
        <v>171</v>
      </c>
      <c r="E443" s="103">
        <v>810317.07799999998</v>
      </c>
      <c r="F443" s="129" t="s">
        <v>256</v>
      </c>
    </row>
    <row r="444" spans="1:6" ht="16" thickBot="1" x14ac:dyDescent="0.25">
      <c r="A444" s="83">
        <v>2</v>
      </c>
      <c r="B444" s="129" t="s">
        <v>173</v>
      </c>
      <c r="C444" s="129" t="s">
        <v>147</v>
      </c>
      <c r="D444" s="83">
        <v>62</v>
      </c>
      <c r="E444" s="103">
        <v>554892.08507000003</v>
      </c>
      <c r="F444" s="129" t="s">
        <v>148</v>
      </c>
    </row>
    <row r="445" spans="1:6" ht="16" thickBot="1" x14ac:dyDescent="0.25">
      <c r="A445" s="83">
        <v>2</v>
      </c>
      <c r="B445" s="129" t="s">
        <v>174</v>
      </c>
      <c r="C445" s="129" t="s">
        <v>147</v>
      </c>
      <c r="D445" s="83">
        <v>124</v>
      </c>
      <c r="E445" s="103">
        <v>415478.821</v>
      </c>
      <c r="F445" s="129" t="s">
        <v>256</v>
      </c>
    </row>
    <row r="446" spans="1:6" ht="16" thickBot="1" x14ac:dyDescent="0.25">
      <c r="A446" s="83">
        <v>2</v>
      </c>
      <c r="B446" s="129" t="s">
        <v>174</v>
      </c>
      <c r="C446" s="129" t="s">
        <v>147</v>
      </c>
      <c r="D446" s="83">
        <v>32</v>
      </c>
      <c r="E446" s="103">
        <v>23177.515380000001</v>
      </c>
      <c r="F446" s="129" t="s">
        <v>148</v>
      </c>
    </row>
    <row r="447" spans="1:6" ht="16" thickBot="1" x14ac:dyDescent="0.25">
      <c r="A447" s="83">
        <v>2</v>
      </c>
      <c r="B447" s="129" t="s">
        <v>175</v>
      </c>
      <c r="C447" s="129" t="s">
        <v>147</v>
      </c>
      <c r="D447" s="83">
        <v>47</v>
      </c>
      <c r="E447" s="103">
        <v>170068.89799999999</v>
      </c>
      <c r="F447" s="129" t="s">
        <v>256</v>
      </c>
    </row>
    <row r="448" spans="1:6" ht="16" thickBot="1" x14ac:dyDescent="0.25">
      <c r="A448" s="83">
        <v>2</v>
      </c>
      <c r="B448" s="129" t="s">
        <v>175</v>
      </c>
      <c r="C448" s="129" t="s">
        <v>147</v>
      </c>
      <c r="D448" s="83">
        <v>7</v>
      </c>
      <c r="E448" s="103">
        <v>12615.44894</v>
      </c>
      <c r="F448" s="129" t="s">
        <v>148</v>
      </c>
    </row>
    <row r="449" spans="1:6" ht="16" thickBot="1" x14ac:dyDescent="0.25">
      <c r="A449" s="83">
        <v>2</v>
      </c>
      <c r="B449" s="129" t="s">
        <v>176</v>
      </c>
      <c r="C449" s="129" t="s">
        <v>147</v>
      </c>
      <c r="D449" s="83">
        <v>45</v>
      </c>
      <c r="E449" s="103">
        <v>145319.70300000001</v>
      </c>
      <c r="F449" s="129" t="s">
        <v>256</v>
      </c>
    </row>
    <row r="450" spans="1:6" ht="16" thickBot="1" x14ac:dyDescent="0.25">
      <c r="A450" s="83">
        <v>2</v>
      </c>
      <c r="B450" s="129" t="s">
        <v>176</v>
      </c>
      <c r="C450" s="129" t="s">
        <v>147</v>
      </c>
      <c r="D450" s="83">
        <v>27</v>
      </c>
      <c r="E450" s="103">
        <v>14595.551450000001</v>
      </c>
      <c r="F450" s="129" t="s">
        <v>148</v>
      </c>
    </row>
    <row r="451" spans="1:6" ht="16" thickBot="1" x14ac:dyDescent="0.25">
      <c r="A451" s="83">
        <v>2</v>
      </c>
      <c r="B451" s="129" t="s">
        <v>177</v>
      </c>
      <c r="C451" s="129" t="s">
        <v>147</v>
      </c>
      <c r="D451" s="83">
        <v>113</v>
      </c>
      <c r="E451" s="103">
        <v>216599.698</v>
      </c>
      <c r="F451" s="129" t="s">
        <v>256</v>
      </c>
    </row>
    <row r="452" spans="1:6" ht="16" thickBot="1" x14ac:dyDescent="0.25">
      <c r="A452" s="83">
        <v>2</v>
      </c>
      <c r="B452" s="129" t="s">
        <v>177</v>
      </c>
      <c r="C452" s="129" t="s">
        <v>147</v>
      </c>
      <c r="D452" s="83">
        <v>25</v>
      </c>
      <c r="E452" s="103">
        <v>9641.1504999999997</v>
      </c>
      <c r="F452" s="129" t="s">
        <v>148</v>
      </c>
    </row>
    <row r="453" spans="1:6" ht="16" thickBot="1" x14ac:dyDescent="0.25">
      <c r="A453" s="83">
        <v>2</v>
      </c>
      <c r="B453" s="129" t="s">
        <v>178</v>
      </c>
      <c r="C453" s="129" t="s">
        <v>147</v>
      </c>
      <c r="D453" s="83">
        <v>96</v>
      </c>
      <c r="E453" s="103">
        <v>420827.9</v>
      </c>
      <c r="F453" s="129" t="s">
        <v>256</v>
      </c>
    </row>
    <row r="454" spans="1:6" ht="16" thickBot="1" x14ac:dyDescent="0.25">
      <c r="A454" s="83">
        <v>2</v>
      </c>
      <c r="B454" s="129" t="s">
        <v>179</v>
      </c>
      <c r="C454" s="129" t="s">
        <v>147</v>
      </c>
      <c r="D454" s="83">
        <v>6</v>
      </c>
      <c r="E454" s="103">
        <v>1761.6949999999999</v>
      </c>
      <c r="F454" s="129" t="s">
        <v>256</v>
      </c>
    </row>
    <row r="455" spans="1:6" ht="16" thickBot="1" x14ac:dyDescent="0.25">
      <c r="A455" s="83">
        <v>2</v>
      </c>
      <c r="B455" s="129" t="s">
        <v>181</v>
      </c>
      <c r="C455" s="129" t="s">
        <v>147</v>
      </c>
      <c r="D455" s="83">
        <v>15</v>
      </c>
      <c r="E455" s="103">
        <v>45653.733</v>
      </c>
      <c r="F455" s="129" t="s">
        <v>256</v>
      </c>
    </row>
    <row r="456" spans="1:6" ht="16" thickBot="1" x14ac:dyDescent="0.25">
      <c r="A456" s="83">
        <v>2</v>
      </c>
      <c r="B456" s="129" t="s">
        <v>181</v>
      </c>
      <c r="C456" s="129" t="s">
        <v>147</v>
      </c>
      <c r="D456" s="83">
        <v>254</v>
      </c>
      <c r="E456" s="103">
        <v>239402.56718000001</v>
      </c>
      <c r="F456" s="129" t="s">
        <v>148</v>
      </c>
    </row>
    <row r="457" spans="1:6" ht="16" thickBot="1" x14ac:dyDescent="0.25">
      <c r="A457" s="83">
        <v>2</v>
      </c>
      <c r="B457" s="129" t="s">
        <v>182</v>
      </c>
      <c r="C457" s="129" t="s">
        <v>147</v>
      </c>
      <c r="D457" s="83">
        <v>15</v>
      </c>
      <c r="E457" s="103">
        <v>9044.0120000000006</v>
      </c>
      <c r="F457" s="129" t="s">
        <v>256</v>
      </c>
    </row>
    <row r="458" spans="1:6" ht="16" thickBot="1" x14ac:dyDescent="0.25">
      <c r="A458" s="83">
        <v>2</v>
      </c>
      <c r="B458" s="129" t="s">
        <v>183</v>
      </c>
      <c r="C458" s="129" t="s">
        <v>147</v>
      </c>
      <c r="D458" s="83">
        <v>120</v>
      </c>
      <c r="E458" s="103">
        <v>1087207.639</v>
      </c>
      <c r="F458" s="129" t="s">
        <v>256</v>
      </c>
    </row>
    <row r="459" spans="1:6" ht="16" thickBot="1" x14ac:dyDescent="0.25">
      <c r="A459" s="83">
        <v>2</v>
      </c>
      <c r="B459" s="129" t="s">
        <v>184</v>
      </c>
      <c r="C459" s="129" t="s">
        <v>147</v>
      </c>
      <c r="D459" s="83">
        <v>44</v>
      </c>
      <c r="E459" s="103">
        <v>107625.62</v>
      </c>
      <c r="F459" s="129" t="s">
        <v>256</v>
      </c>
    </row>
    <row r="460" spans="1:6" ht="16" thickBot="1" x14ac:dyDescent="0.25">
      <c r="A460" s="83">
        <v>2</v>
      </c>
      <c r="B460" s="129" t="s">
        <v>185</v>
      </c>
      <c r="C460" s="129" t="s">
        <v>147</v>
      </c>
      <c r="D460" s="83">
        <v>14</v>
      </c>
      <c r="E460" s="103">
        <v>18036.886999999999</v>
      </c>
      <c r="F460" s="129" t="s">
        <v>256</v>
      </c>
    </row>
    <row r="461" spans="1:6" ht="16" thickBot="1" x14ac:dyDescent="0.25">
      <c r="A461" s="83">
        <v>2</v>
      </c>
      <c r="B461" s="129" t="s">
        <v>185</v>
      </c>
      <c r="C461" s="129" t="s">
        <v>147</v>
      </c>
      <c r="D461" s="83">
        <v>4</v>
      </c>
      <c r="E461" s="103">
        <v>1144.1901700000001</v>
      </c>
      <c r="F461" s="129" t="s">
        <v>148</v>
      </c>
    </row>
    <row r="462" spans="1:6" ht="16" thickBot="1" x14ac:dyDescent="0.25">
      <c r="A462" s="83">
        <v>2</v>
      </c>
      <c r="B462" s="129" t="s">
        <v>186</v>
      </c>
      <c r="C462" s="129" t="s">
        <v>147</v>
      </c>
      <c r="D462" s="83">
        <v>56</v>
      </c>
      <c r="E462" s="103">
        <v>174114.704</v>
      </c>
      <c r="F462" s="129" t="s">
        <v>256</v>
      </c>
    </row>
    <row r="463" spans="1:6" ht="16" thickBot="1" x14ac:dyDescent="0.25">
      <c r="A463" s="83">
        <v>2</v>
      </c>
      <c r="B463" s="129" t="s">
        <v>187</v>
      </c>
      <c r="C463" s="129" t="s">
        <v>147</v>
      </c>
      <c r="D463" s="83">
        <v>2</v>
      </c>
      <c r="E463" s="103">
        <v>3081.9549999999999</v>
      </c>
      <c r="F463" s="129" t="s">
        <v>256</v>
      </c>
    </row>
    <row r="464" spans="1:6" ht="16" thickBot="1" x14ac:dyDescent="0.25">
      <c r="A464" s="83">
        <v>2</v>
      </c>
      <c r="B464" s="129" t="s">
        <v>188</v>
      </c>
      <c r="C464" s="129" t="s">
        <v>147</v>
      </c>
      <c r="D464" s="83">
        <v>1</v>
      </c>
      <c r="E464" s="103">
        <v>710.82600000000002</v>
      </c>
      <c r="F464" s="129" t="s">
        <v>256</v>
      </c>
    </row>
    <row r="465" spans="1:6" ht="16" thickBot="1" x14ac:dyDescent="0.25">
      <c r="A465" s="83">
        <v>2</v>
      </c>
      <c r="B465" s="129" t="s">
        <v>189</v>
      </c>
      <c r="C465" s="129" t="s">
        <v>147</v>
      </c>
      <c r="D465" s="83">
        <v>173</v>
      </c>
      <c r="E465" s="103">
        <v>945075.34400000004</v>
      </c>
      <c r="F465" s="129" t="s">
        <v>256</v>
      </c>
    </row>
    <row r="466" spans="1:6" ht="16" thickBot="1" x14ac:dyDescent="0.25">
      <c r="A466" s="83">
        <v>2</v>
      </c>
      <c r="B466" s="129" t="s">
        <v>189</v>
      </c>
      <c r="C466" s="129" t="s">
        <v>147</v>
      </c>
      <c r="D466" s="83">
        <v>156</v>
      </c>
      <c r="E466" s="103">
        <v>79400.00963</v>
      </c>
      <c r="F466" s="129" t="s">
        <v>148</v>
      </c>
    </row>
    <row r="467" spans="1:6" ht="16" thickBot="1" x14ac:dyDescent="0.25">
      <c r="A467" s="83">
        <v>2</v>
      </c>
      <c r="B467" s="129" t="s">
        <v>190</v>
      </c>
      <c r="C467" s="129" t="s">
        <v>147</v>
      </c>
      <c r="D467" s="83">
        <v>34</v>
      </c>
      <c r="E467" s="103">
        <v>76467.153999999995</v>
      </c>
      <c r="F467" s="129" t="s">
        <v>256</v>
      </c>
    </row>
    <row r="468" spans="1:6" ht="16" thickBot="1" x14ac:dyDescent="0.25">
      <c r="A468" s="83">
        <v>2</v>
      </c>
      <c r="B468" s="129" t="s">
        <v>190</v>
      </c>
      <c r="C468" s="129" t="s">
        <v>147</v>
      </c>
      <c r="D468" s="83">
        <v>3</v>
      </c>
      <c r="E468" s="103">
        <v>8689.0987999999998</v>
      </c>
      <c r="F468" s="129" t="s">
        <v>148</v>
      </c>
    </row>
    <row r="469" spans="1:6" ht="16" thickBot="1" x14ac:dyDescent="0.25">
      <c r="A469" s="83">
        <v>2</v>
      </c>
      <c r="B469" s="129" t="s">
        <v>191</v>
      </c>
      <c r="C469" s="129" t="s">
        <v>147</v>
      </c>
      <c r="D469" s="83">
        <v>337</v>
      </c>
      <c r="E469" s="103">
        <v>1416626.227</v>
      </c>
      <c r="F469" s="129" t="s">
        <v>256</v>
      </c>
    </row>
    <row r="470" spans="1:6" ht="16" thickBot="1" x14ac:dyDescent="0.25">
      <c r="A470" s="83">
        <v>2</v>
      </c>
      <c r="B470" s="129" t="s">
        <v>191</v>
      </c>
      <c r="C470" s="129" t="s">
        <v>147</v>
      </c>
      <c r="D470" s="83">
        <v>198</v>
      </c>
      <c r="E470" s="103">
        <v>100237.16009</v>
      </c>
      <c r="F470" s="129" t="s">
        <v>148</v>
      </c>
    </row>
    <row r="471" spans="1:6" ht="16" thickBot="1" x14ac:dyDescent="0.25">
      <c r="A471" s="83">
        <v>2</v>
      </c>
      <c r="B471" s="129" t="s">
        <v>192</v>
      </c>
      <c r="C471" s="129" t="s">
        <v>147</v>
      </c>
      <c r="D471" s="83">
        <v>57</v>
      </c>
      <c r="E471" s="103">
        <v>86623.615999999995</v>
      </c>
      <c r="F471" s="129" t="s">
        <v>256</v>
      </c>
    </row>
    <row r="472" spans="1:6" ht="16" thickBot="1" x14ac:dyDescent="0.25">
      <c r="A472" s="83">
        <v>2</v>
      </c>
      <c r="B472" s="129" t="s">
        <v>192</v>
      </c>
      <c r="C472" s="129" t="s">
        <v>147</v>
      </c>
      <c r="D472" s="83">
        <v>19</v>
      </c>
      <c r="E472" s="103">
        <v>11987.31954</v>
      </c>
      <c r="F472" s="129" t="s">
        <v>148</v>
      </c>
    </row>
    <row r="473" spans="1:6" ht="16" thickBot="1" x14ac:dyDescent="0.25">
      <c r="A473" s="83">
        <v>2</v>
      </c>
      <c r="B473" s="129" t="s">
        <v>193</v>
      </c>
      <c r="C473" s="129" t="s">
        <v>147</v>
      </c>
      <c r="D473" s="83">
        <v>896</v>
      </c>
      <c r="E473" s="103">
        <v>4245190.3770000003</v>
      </c>
      <c r="F473" s="129" t="s">
        <v>256</v>
      </c>
    </row>
    <row r="474" spans="1:6" ht="16" thickBot="1" x14ac:dyDescent="0.25">
      <c r="A474" s="83">
        <v>2</v>
      </c>
      <c r="B474" s="129" t="s">
        <v>193</v>
      </c>
      <c r="C474" s="129" t="s">
        <v>147</v>
      </c>
      <c r="D474" s="83">
        <v>421</v>
      </c>
      <c r="E474" s="103">
        <v>403437.13890999998</v>
      </c>
      <c r="F474" s="129" t="s">
        <v>148</v>
      </c>
    </row>
    <row r="475" spans="1:6" ht="16" thickBot="1" x14ac:dyDescent="0.25">
      <c r="A475" s="83">
        <v>2</v>
      </c>
      <c r="B475" s="129" t="s">
        <v>194</v>
      </c>
      <c r="C475" s="129" t="s">
        <v>147</v>
      </c>
      <c r="D475" s="83">
        <v>35</v>
      </c>
      <c r="E475" s="103">
        <v>150904.14000000001</v>
      </c>
      <c r="F475" s="129" t="s">
        <v>256</v>
      </c>
    </row>
    <row r="476" spans="1:6" ht="16" thickBot="1" x14ac:dyDescent="0.25">
      <c r="A476" s="83">
        <v>2</v>
      </c>
      <c r="B476" s="129" t="s">
        <v>195</v>
      </c>
      <c r="C476" s="129" t="s">
        <v>147</v>
      </c>
      <c r="D476" s="83">
        <v>266</v>
      </c>
      <c r="E476" s="103">
        <v>998184.29700000002</v>
      </c>
      <c r="F476" s="129" t="s">
        <v>256</v>
      </c>
    </row>
    <row r="477" spans="1:6" ht="16" thickBot="1" x14ac:dyDescent="0.25">
      <c r="A477" s="83">
        <v>2</v>
      </c>
      <c r="B477" s="129" t="s">
        <v>195</v>
      </c>
      <c r="C477" s="129" t="s">
        <v>147</v>
      </c>
      <c r="D477" s="83">
        <v>114</v>
      </c>
      <c r="E477" s="103">
        <v>64179.142650000002</v>
      </c>
      <c r="F477" s="129" t="s">
        <v>148</v>
      </c>
    </row>
    <row r="478" spans="1:6" ht="16" thickBot="1" x14ac:dyDescent="0.25">
      <c r="A478" s="83">
        <v>2</v>
      </c>
      <c r="B478" s="129" t="s">
        <v>196</v>
      </c>
      <c r="C478" s="129" t="s">
        <v>147</v>
      </c>
      <c r="D478" s="83">
        <v>54</v>
      </c>
      <c r="E478" s="103">
        <v>130830.268</v>
      </c>
      <c r="F478" s="129" t="s">
        <v>256</v>
      </c>
    </row>
    <row r="479" spans="1:6" ht="16" thickBot="1" x14ac:dyDescent="0.25">
      <c r="A479" s="83">
        <v>2</v>
      </c>
      <c r="B479" s="129" t="s">
        <v>196</v>
      </c>
      <c r="C479" s="129" t="s">
        <v>147</v>
      </c>
      <c r="D479" s="83">
        <v>24</v>
      </c>
      <c r="E479" s="103">
        <v>8514.6208999999999</v>
      </c>
      <c r="F479" s="129" t="s">
        <v>148</v>
      </c>
    </row>
    <row r="480" spans="1:6" ht="16" thickBot="1" x14ac:dyDescent="0.25">
      <c r="A480" s="83">
        <v>2</v>
      </c>
      <c r="B480" s="129" t="s">
        <v>197</v>
      </c>
      <c r="C480" s="129" t="s">
        <v>147</v>
      </c>
      <c r="D480" s="83">
        <v>18</v>
      </c>
      <c r="E480" s="103">
        <v>11358.289000000001</v>
      </c>
      <c r="F480" s="129" t="s">
        <v>256</v>
      </c>
    </row>
    <row r="481" spans="1:6" ht="16" thickBot="1" x14ac:dyDescent="0.25">
      <c r="A481" s="83">
        <v>2</v>
      </c>
      <c r="B481" s="129" t="s">
        <v>198</v>
      </c>
      <c r="C481" s="129" t="s">
        <v>147</v>
      </c>
      <c r="D481" s="83">
        <v>25</v>
      </c>
      <c r="E481" s="103">
        <v>44003.671000000002</v>
      </c>
      <c r="F481" s="129" t="s">
        <v>256</v>
      </c>
    </row>
    <row r="482" spans="1:6" ht="16" thickBot="1" x14ac:dyDescent="0.25">
      <c r="A482" s="83">
        <v>2</v>
      </c>
      <c r="B482" s="129" t="s">
        <v>199</v>
      </c>
      <c r="C482" s="129" t="s">
        <v>147</v>
      </c>
      <c r="D482" s="83">
        <v>53</v>
      </c>
      <c r="E482" s="103">
        <v>172808.899</v>
      </c>
      <c r="F482" s="129" t="s">
        <v>256</v>
      </c>
    </row>
    <row r="483" spans="1:6" ht="16" thickBot="1" x14ac:dyDescent="0.25">
      <c r="A483" s="83">
        <v>2</v>
      </c>
      <c r="B483" s="129" t="s">
        <v>200</v>
      </c>
      <c r="C483" s="129" t="s">
        <v>147</v>
      </c>
      <c r="D483" s="83">
        <v>59</v>
      </c>
      <c r="E483" s="103">
        <v>165256.57800000001</v>
      </c>
      <c r="F483" s="129" t="s">
        <v>256</v>
      </c>
    </row>
    <row r="484" spans="1:6" ht="16" thickBot="1" x14ac:dyDescent="0.25">
      <c r="A484" s="83">
        <v>2</v>
      </c>
      <c r="B484" s="129" t="s">
        <v>201</v>
      </c>
      <c r="C484" s="129" t="s">
        <v>147</v>
      </c>
      <c r="D484" s="83">
        <v>14</v>
      </c>
      <c r="E484" s="103">
        <v>10812.498</v>
      </c>
      <c r="F484" s="129" t="s">
        <v>256</v>
      </c>
    </row>
    <row r="485" spans="1:6" ht="16" thickBot="1" x14ac:dyDescent="0.25">
      <c r="A485" s="83">
        <v>2</v>
      </c>
      <c r="B485" s="129" t="s">
        <v>202</v>
      </c>
      <c r="C485" s="129" t="s">
        <v>147</v>
      </c>
      <c r="D485" s="83">
        <v>89</v>
      </c>
      <c r="E485" s="103">
        <v>143593.42600000001</v>
      </c>
      <c r="F485" s="129" t="s">
        <v>256</v>
      </c>
    </row>
    <row r="486" spans="1:6" ht="16" thickBot="1" x14ac:dyDescent="0.25">
      <c r="A486" s="83">
        <v>2</v>
      </c>
      <c r="B486" s="129" t="s">
        <v>202</v>
      </c>
      <c r="C486" s="129" t="s">
        <v>147</v>
      </c>
      <c r="D486" s="83">
        <v>31</v>
      </c>
      <c r="E486" s="103">
        <v>14563.50899</v>
      </c>
      <c r="F486" s="129" t="s">
        <v>148</v>
      </c>
    </row>
    <row r="487" spans="1:6" ht="16" thickBot="1" x14ac:dyDescent="0.25">
      <c r="A487" s="83">
        <v>2</v>
      </c>
      <c r="B487" s="129" t="s">
        <v>203</v>
      </c>
      <c r="C487" s="129" t="s">
        <v>147</v>
      </c>
      <c r="D487" s="83">
        <v>36</v>
      </c>
      <c r="E487" s="103">
        <v>91224.846000000005</v>
      </c>
      <c r="F487" s="129" t="s">
        <v>256</v>
      </c>
    </row>
    <row r="488" spans="1:6" ht="16" thickBot="1" x14ac:dyDescent="0.25">
      <c r="A488" s="83">
        <v>2</v>
      </c>
      <c r="B488" s="129" t="s">
        <v>204</v>
      </c>
      <c r="C488" s="129" t="s">
        <v>147</v>
      </c>
      <c r="D488" s="83">
        <v>106</v>
      </c>
      <c r="E488" s="103">
        <v>573401.58400000003</v>
      </c>
      <c r="F488" s="129" t="s">
        <v>256</v>
      </c>
    </row>
    <row r="489" spans="1:6" ht="16" thickBot="1" x14ac:dyDescent="0.25">
      <c r="A489" s="83">
        <v>2</v>
      </c>
      <c r="B489" s="129" t="s">
        <v>205</v>
      </c>
      <c r="C489" s="129" t="s">
        <v>147</v>
      </c>
      <c r="D489" s="83">
        <v>341</v>
      </c>
      <c r="E489" s="103">
        <v>1226023.45</v>
      </c>
      <c r="F489" s="129" t="s">
        <v>256</v>
      </c>
    </row>
    <row r="490" spans="1:6" ht="16" thickBot="1" x14ac:dyDescent="0.25">
      <c r="A490" s="83">
        <v>2</v>
      </c>
      <c r="B490" s="129" t="s">
        <v>205</v>
      </c>
      <c r="C490" s="129" t="s">
        <v>147</v>
      </c>
      <c r="D490" s="83">
        <v>106</v>
      </c>
      <c r="E490" s="103">
        <v>44964.660029999999</v>
      </c>
      <c r="F490" s="129" t="s">
        <v>148</v>
      </c>
    </row>
    <row r="491" spans="1:6" ht="16" thickBot="1" x14ac:dyDescent="0.25">
      <c r="A491" s="83">
        <v>2</v>
      </c>
      <c r="B491" s="129" t="s">
        <v>206</v>
      </c>
      <c r="C491" s="129" t="s">
        <v>147</v>
      </c>
      <c r="D491" s="83">
        <v>60</v>
      </c>
      <c r="E491" s="103">
        <v>73183.444000000003</v>
      </c>
      <c r="F491" s="129" t="s">
        <v>256</v>
      </c>
    </row>
    <row r="492" spans="1:6" ht="16" thickBot="1" x14ac:dyDescent="0.25">
      <c r="A492" s="83">
        <v>2</v>
      </c>
      <c r="B492" s="129" t="s">
        <v>206</v>
      </c>
      <c r="C492" s="129" t="s">
        <v>147</v>
      </c>
      <c r="D492" s="83">
        <v>26</v>
      </c>
      <c r="E492" s="103">
        <v>11607.152260000001</v>
      </c>
      <c r="F492" s="129" t="s">
        <v>148</v>
      </c>
    </row>
    <row r="493" spans="1:6" ht="16" thickBot="1" x14ac:dyDescent="0.25">
      <c r="A493" s="83">
        <v>2</v>
      </c>
      <c r="B493" s="129" t="s">
        <v>208</v>
      </c>
      <c r="C493" s="129" t="s">
        <v>147</v>
      </c>
      <c r="D493" s="83">
        <v>8</v>
      </c>
      <c r="E493" s="103">
        <v>21548.57</v>
      </c>
      <c r="F493" s="129" t="s">
        <v>256</v>
      </c>
    </row>
    <row r="494" spans="1:6" ht="16" thickBot="1" x14ac:dyDescent="0.25">
      <c r="A494" s="83">
        <v>2</v>
      </c>
      <c r="B494" s="129" t="s">
        <v>209</v>
      </c>
      <c r="C494" s="129" t="s">
        <v>147</v>
      </c>
      <c r="D494" s="83">
        <v>198</v>
      </c>
      <c r="E494" s="103">
        <v>550178.01300000004</v>
      </c>
      <c r="F494" s="129" t="s">
        <v>256</v>
      </c>
    </row>
    <row r="495" spans="1:6" ht="16" thickBot="1" x14ac:dyDescent="0.25">
      <c r="A495" s="83">
        <v>2</v>
      </c>
      <c r="B495" s="129" t="s">
        <v>209</v>
      </c>
      <c r="C495" s="129" t="s">
        <v>147</v>
      </c>
      <c r="D495" s="83">
        <v>66</v>
      </c>
      <c r="E495" s="103">
        <v>15463.7001</v>
      </c>
      <c r="F495" s="129" t="s">
        <v>148</v>
      </c>
    </row>
    <row r="496" spans="1:6" ht="16" thickBot="1" x14ac:dyDescent="0.25">
      <c r="A496" s="83">
        <v>2</v>
      </c>
      <c r="B496" s="129" t="s">
        <v>210</v>
      </c>
      <c r="C496" s="129" t="s">
        <v>147</v>
      </c>
      <c r="D496" s="83">
        <v>3</v>
      </c>
      <c r="E496" s="103">
        <v>7720.4</v>
      </c>
      <c r="F496" s="129" t="s">
        <v>256</v>
      </c>
    </row>
    <row r="497" spans="1:6" ht="16" thickBot="1" x14ac:dyDescent="0.25">
      <c r="A497" s="83">
        <v>2</v>
      </c>
      <c r="B497" s="129" t="s">
        <v>211</v>
      </c>
      <c r="C497" s="129" t="s">
        <v>147</v>
      </c>
      <c r="D497" s="83">
        <v>10</v>
      </c>
      <c r="E497" s="103">
        <v>12573.571</v>
      </c>
      <c r="F497" s="129" t="s">
        <v>256</v>
      </c>
    </row>
    <row r="498" spans="1:6" ht="16" thickBot="1" x14ac:dyDescent="0.25">
      <c r="A498" s="83">
        <v>2</v>
      </c>
      <c r="B498" s="129" t="s">
        <v>213</v>
      </c>
      <c r="C498" s="129" t="s">
        <v>147</v>
      </c>
      <c r="D498" s="83">
        <v>85</v>
      </c>
      <c r="E498" s="103">
        <v>193113.62299999999</v>
      </c>
      <c r="F498" s="129" t="s">
        <v>256</v>
      </c>
    </row>
    <row r="499" spans="1:6" ht="16" thickBot="1" x14ac:dyDescent="0.25">
      <c r="A499" s="83">
        <v>2</v>
      </c>
      <c r="B499" s="129" t="s">
        <v>214</v>
      </c>
      <c r="C499" s="129" t="s">
        <v>147</v>
      </c>
      <c r="D499" s="83">
        <v>66</v>
      </c>
      <c r="E499" s="103">
        <v>117933.78599999999</v>
      </c>
      <c r="F499" s="129" t="s">
        <v>256</v>
      </c>
    </row>
    <row r="500" spans="1:6" ht="16" thickBot="1" x14ac:dyDescent="0.25">
      <c r="A500" s="83">
        <v>2</v>
      </c>
      <c r="B500" s="129" t="s">
        <v>215</v>
      </c>
      <c r="C500" s="129" t="s">
        <v>147</v>
      </c>
      <c r="D500" s="83">
        <v>192</v>
      </c>
      <c r="E500" s="103">
        <v>503729.95</v>
      </c>
      <c r="F500" s="129" t="s">
        <v>256</v>
      </c>
    </row>
    <row r="501" spans="1:6" ht="16" thickBot="1" x14ac:dyDescent="0.25">
      <c r="A501" s="83">
        <v>2</v>
      </c>
      <c r="B501" s="129" t="s">
        <v>215</v>
      </c>
      <c r="C501" s="129" t="s">
        <v>147</v>
      </c>
      <c r="D501" s="83">
        <v>76</v>
      </c>
      <c r="E501" s="103">
        <v>37909.997000000003</v>
      </c>
      <c r="F501" s="129" t="s">
        <v>148</v>
      </c>
    </row>
    <row r="502" spans="1:6" ht="16" thickBot="1" x14ac:dyDescent="0.25">
      <c r="A502" s="83">
        <v>2</v>
      </c>
      <c r="B502" s="129" t="s">
        <v>216</v>
      </c>
      <c r="C502" s="129" t="s">
        <v>147</v>
      </c>
      <c r="D502" s="83">
        <v>17</v>
      </c>
      <c r="E502" s="103">
        <v>55549.906999999999</v>
      </c>
      <c r="F502" s="129" t="s">
        <v>256</v>
      </c>
    </row>
    <row r="503" spans="1:6" ht="16" thickBot="1" x14ac:dyDescent="0.25">
      <c r="A503" s="83">
        <v>2</v>
      </c>
      <c r="B503" s="129" t="s">
        <v>217</v>
      </c>
      <c r="C503" s="129" t="s">
        <v>147</v>
      </c>
      <c r="D503" s="83">
        <v>98</v>
      </c>
      <c r="E503" s="103">
        <v>245564.329</v>
      </c>
      <c r="F503" s="129" t="s">
        <v>256</v>
      </c>
    </row>
    <row r="504" spans="1:6" ht="16" thickBot="1" x14ac:dyDescent="0.25">
      <c r="A504" s="83">
        <v>2</v>
      </c>
      <c r="B504" s="129" t="s">
        <v>217</v>
      </c>
      <c r="C504" s="129" t="s">
        <v>147</v>
      </c>
      <c r="D504" s="83">
        <v>43</v>
      </c>
      <c r="E504" s="103">
        <v>15637.89171</v>
      </c>
      <c r="F504" s="129" t="s">
        <v>148</v>
      </c>
    </row>
    <row r="505" spans="1:6" ht="16" thickBot="1" x14ac:dyDescent="0.25">
      <c r="A505" s="83">
        <v>2</v>
      </c>
      <c r="B505" s="129" t="s">
        <v>218</v>
      </c>
      <c r="C505" s="129" t="s">
        <v>147</v>
      </c>
      <c r="D505" s="83">
        <v>1169</v>
      </c>
      <c r="E505" s="103">
        <v>43729471.244999997</v>
      </c>
      <c r="F505" s="129" t="s">
        <v>256</v>
      </c>
    </row>
    <row r="506" spans="1:6" ht="16" thickBot="1" x14ac:dyDescent="0.25">
      <c r="A506" s="83">
        <v>2</v>
      </c>
      <c r="B506" s="129" t="s">
        <v>218</v>
      </c>
      <c r="C506" s="129" t="s">
        <v>147</v>
      </c>
      <c r="D506" s="83">
        <v>659</v>
      </c>
      <c r="E506" s="103">
        <v>433858.91636999999</v>
      </c>
      <c r="F506" s="129" t="s">
        <v>148</v>
      </c>
    </row>
    <row r="507" spans="1:6" ht="16" thickBot="1" x14ac:dyDescent="0.25">
      <c r="A507" s="83">
        <v>2</v>
      </c>
      <c r="B507" s="129" t="s">
        <v>219</v>
      </c>
      <c r="C507" s="129" t="s">
        <v>147</v>
      </c>
      <c r="D507" s="83">
        <v>18</v>
      </c>
      <c r="E507" s="103">
        <v>7705059.2170000002</v>
      </c>
      <c r="F507" s="129" t="s">
        <v>256</v>
      </c>
    </row>
    <row r="508" spans="1:6" ht="16" thickBot="1" x14ac:dyDescent="0.25">
      <c r="A508" s="83">
        <v>2</v>
      </c>
      <c r="B508" s="129" t="s">
        <v>219</v>
      </c>
      <c r="C508" s="129" t="s">
        <v>147</v>
      </c>
      <c r="D508" s="83">
        <v>36</v>
      </c>
      <c r="E508" s="103">
        <v>2817589.41671</v>
      </c>
      <c r="F508" s="129" t="s">
        <v>148</v>
      </c>
    </row>
    <row r="509" spans="1:6" ht="16" thickBot="1" x14ac:dyDescent="0.25">
      <c r="A509" s="83">
        <v>2</v>
      </c>
      <c r="B509" s="129" t="s">
        <v>220</v>
      </c>
      <c r="C509" s="129" t="s">
        <v>147</v>
      </c>
      <c r="D509" s="83">
        <v>13</v>
      </c>
      <c r="E509" s="103">
        <v>10958.216</v>
      </c>
      <c r="F509" s="129" t="s">
        <v>256</v>
      </c>
    </row>
    <row r="510" spans="1:6" ht="16" thickBot="1" x14ac:dyDescent="0.25">
      <c r="A510" s="83">
        <v>2</v>
      </c>
      <c r="B510" s="129" t="s">
        <v>221</v>
      </c>
      <c r="C510" s="129" t="s">
        <v>147</v>
      </c>
      <c r="D510" s="83">
        <v>220</v>
      </c>
      <c r="E510" s="103">
        <v>636961.07900000003</v>
      </c>
      <c r="F510" s="129" t="s">
        <v>256</v>
      </c>
    </row>
    <row r="511" spans="1:6" ht="16" thickBot="1" x14ac:dyDescent="0.25">
      <c r="A511" s="83">
        <v>2</v>
      </c>
      <c r="B511" s="129" t="s">
        <v>221</v>
      </c>
      <c r="C511" s="129" t="s">
        <v>147</v>
      </c>
      <c r="D511" s="83">
        <v>129</v>
      </c>
      <c r="E511" s="103">
        <v>51675.351410000003</v>
      </c>
      <c r="F511" s="129" t="s">
        <v>148</v>
      </c>
    </row>
    <row r="512" spans="1:6" ht="16" thickBot="1" x14ac:dyDescent="0.25">
      <c r="A512" s="83">
        <v>2</v>
      </c>
      <c r="B512" s="129" t="s">
        <v>222</v>
      </c>
      <c r="C512" s="129" t="s">
        <v>147</v>
      </c>
      <c r="D512" s="83">
        <v>80</v>
      </c>
      <c r="E512" s="103">
        <v>303602.62400000001</v>
      </c>
      <c r="F512" s="129" t="s">
        <v>256</v>
      </c>
    </row>
    <row r="513" spans="1:6" ht="16" thickBot="1" x14ac:dyDescent="0.25">
      <c r="A513" s="83">
        <v>2</v>
      </c>
      <c r="B513" s="129" t="s">
        <v>222</v>
      </c>
      <c r="C513" s="129" t="s">
        <v>147</v>
      </c>
      <c r="D513" s="83">
        <v>41</v>
      </c>
      <c r="E513" s="103">
        <v>13620.40567</v>
      </c>
      <c r="F513" s="129" t="s">
        <v>148</v>
      </c>
    </row>
    <row r="514" spans="1:6" ht="16" thickBot="1" x14ac:dyDescent="0.25">
      <c r="A514" s="83">
        <v>2</v>
      </c>
      <c r="B514" s="129" t="s">
        <v>223</v>
      </c>
      <c r="C514" s="129" t="s">
        <v>147</v>
      </c>
      <c r="D514" s="83">
        <v>97</v>
      </c>
      <c r="E514" s="103">
        <v>179659.04199999999</v>
      </c>
      <c r="F514" s="129" t="s">
        <v>256</v>
      </c>
    </row>
    <row r="515" spans="1:6" ht="16" thickBot="1" x14ac:dyDescent="0.25">
      <c r="A515" s="83">
        <v>2</v>
      </c>
      <c r="B515" s="129" t="s">
        <v>223</v>
      </c>
      <c r="C515" s="129" t="s">
        <v>147</v>
      </c>
      <c r="D515" s="83">
        <v>53</v>
      </c>
      <c r="E515" s="103">
        <v>22038.027890000001</v>
      </c>
      <c r="F515" s="129" t="s">
        <v>148</v>
      </c>
    </row>
    <row r="516" spans="1:6" ht="16" thickBot="1" x14ac:dyDescent="0.25">
      <c r="A516" s="83">
        <v>2</v>
      </c>
      <c r="B516" s="129" t="s">
        <v>224</v>
      </c>
      <c r="C516" s="129" t="s">
        <v>147</v>
      </c>
      <c r="D516" s="83">
        <v>58</v>
      </c>
      <c r="E516" s="103">
        <v>189000.47399999999</v>
      </c>
      <c r="F516" s="129" t="s">
        <v>256</v>
      </c>
    </row>
    <row r="517" spans="1:6" ht="16" thickBot="1" x14ac:dyDescent="0.25">
      <c r="A517" s="83">
        <v>2</v>
      </c>
      <c r="B517" s="129" t="s">
        <v>225</v>
      </c>
      <c r="C517" s="129" t="s">
        <v>147</v>
      </c>
      <c r="D517" s="83">
        <v>16</v>
      </c>
      <c r="E517" s="103">
        <v>16152.708000000001</v>
      </c>
      <c r="F517" s="129" t="s">
        <v>256</v>
      </c>
    </row>
    <row r="518" spans="1:6" ht="16" thickBot="1" x14ac:dyDescent="0.25">
      <c r="A518" s="83">
        <v>2</v>
      </c>
      <c r="B518" s="129" t="s">
        <v>227</v>
      </c>
      <c r="C518" s="129" t="s">
        <v>147</v>
      </c>
      <c r="D518" s="83">
        <v>41</v>
      </c>
      <c r="E518" s="103">
        <v>114208.497</v>
      </c>
      <c r="F518" s="129" t="s">
        <v>256</v>
      </c>
    </row>
    <row r="519" spans="1:6" ht="16" thickBot="1" x14ac:dyDescent="0.25">
      <c r="A519" s="83">
        <v>2</v>
      </c>
      <c r="B519" s="129" t="s">
        <v>227</v>
      </c>
      <c r="C519" s="129" t="s">
        <v>147</v>
      </c>
      <c r="D519" s="83">
        <v>22</v>
      </c>
      <c r="E519" s="103">
        <v>6493.7413800000004</v>
      </c>
      <c r="F519" s="129" t="s">
        <v>148</v>
      </c>
    </row>
    <row r="520" spans="1:6" ht="16" thickBot="1" x14ac:dyDescent="0.25">
      <c r="A520" s="83">
        <v>2</v>
      </c>
      <c r="B520" s="129" t="s">
        <v>228</v>
      </c>
      <c r="C520" s="129" t="s">
        <v>147</v>
      </c>
      <c r="D520" s="83">
        <v>138</v>
      </c>
      <c r="E520" s="103">
        <v>410854.196</v>
      </c>
      <c r="F520" s="129" t="s">
        <v>256</v>
      </c>
    </row>
    <row r="521" spans="1:6" ht="16" thickBot="1" x14ac:dyDescent="0.25">
      <c r="A521" s="83">
        <v>2</v>
      </c>
      <c r="B521" s="129" t="s">
        <v>228</v>
      </c>
      <c r="C521" s="129" t="s">
        <v>147</v>
      </c>
      <c r="D521" s="83">
        <v>16</v>
      </c>
      <c r="E521" s="103">
        <v>12760.07332</v>
      </c>
      <c r="F521" s="129" t="s">
        <v>148</v>
      </c>
    </row>
    <row r="522" spans="1:6" ht="16" thickBot="1" x14ac:dyDescent="0.25">
      <c r="A522" s="83">
        <v>2</v>
      </c>
      <c r="B522" s="129" t="s">
        <v>229</v>
      </c>
      <c r="C522" s="129" t="s">
        <v>147</v>
      </c>
      <c r="D522" s="83">
        <v>190</v>
      </c>
      <c r="E522" s="103">
        <v>507455.06199999998</v>
      </c>
      <c r="F522" s="129" t="s">
        <v>256</v>
      </c>
    </row>
    <row r="523" spans="1:6" ht="16" thickBot="1" x14ac:dyDescent="0.25">
      <c r="A523" s="83">
        <v>2</v>
      </c>
      <c r="B523" s="129" t="s">
        <v>230</v>
      </c>
      <c r="C523" s="129" t="s">
        <v>147</v>
      </c>
      <c r="D523" s="83">
        <v>1740</v>
      </c>
      <c r="E523" s="103">
        <v>21727856.967</v>
      </c>
      <c r="F523" s="129" t="s">
        <v>256</v>
      </c>
    </row>
    <row r="524" spans="1:6" ht="16" thickBot="1" x14ac:dyDescent="0.25">
      <c r="A524" s="83">
        <v>2</v>
      </c>
      <c r="B524" s="129" t="s">
        <v>230</v>
      </c>
      <c r="C524" s="129" t="s">
        <v>147</v>
      </c>
      <c r="D524" s="83">
        <v>952</v>
      </c>
      <c r="E524" s="103">
        <v>1406126.17628</v>
      </c>
      <c r="F524" s="129" t="s">
        <v>148</v>
      </c>
    </row>
    <row r="525" spans="1:6" ht="16" thickBot="1" x14ac:dyDescent="0.25">
      <c r="A525" s="83">
        <v>2</v>
      </c>
      <c r="B525" s="129" t="s">
        <v>231</v>
      </c>
      <c r="C525" s="129" t="s">
        <v>147</v>
      </c>
      <c r="D525" s="83">
        <v>1961</v>
      </c>
      <c r="E525" s="103">
        <v>20394543.175999999</v>
      </c>
      <c r="F525" s="129" t="s">
        <v>256</v>
      </c>
    </row>
    <row r="526" spans="1:6" ht="16" thickBot="1" x14ac:dyDescent="0.25">
      <c r="A526" s="83">
        <v>2</v>
      </c>
      <c r="B526" s="129" t="s">
        <v>231</v>
      </c>
      <c r="C526" s="129" t="s">
        <v>147</v>
      </c>
      <c r="D526" s="83">
        <v>1281</v>
      </c>
      <c r="E526" s="103">
        <v>1194898.41708</v>
      </c>
      <c r="F526" s="129" t="s">
        <v>148</v>
      </c>
    </row>
    <row r="527" spans="1:6" ht="16" thickBot="1" x14ac:dyDescent="0.25">
      <c r="A527" s="83">
        <v>2</v>
      </c>
      <c r="B527" s="129" t="s">
        <v>232</v>
      </c>
      <c r="C527" s="129" t="s">
        <v>147</v>
      </c>
      <c r="D527" s="83">
        <v>334</v>
      </c>
      <c r="E527" s="103">
        <v>1452584.568</v>
      </c>
      <c r="F527" s="129" t="s">
        <v>256</v>
      </c>
    </row>
    <row r="528" spans="1:6" ht="16" thickBot="1" x14ac:dyDescent="0.25">
      <c r="A528" s="83">
        <v>2</v>
      </c>
      <c r="B528" s="129" t="s">
        <v>232</v>
      </c>
      <c r="C528" s="129" t="s">
        <v>147</v>
      </c>
      <c r="D528" s="83">
        <v>153</v>
      </c>
      <c r="E528" s="103">
        <v>122165.21602000001</v>
      </c>
      <c r="F528" s="129" t="s">
        <v>148</v>
      </c>
    </row>
    <row r="529" spans="1:6" ht="16" thickBot="1" x14ac:dyDescent="0.25">
      <c r="A529" s="83">
        <v>2</v>
      </c>
      <c r="B529" s="129" t="s">
        <v>233</v>
      </c>
      <c r="C529" s="129" t="s">
        <v>147</v>
      </c>
      <c r="D529" s="83">
        <v>245</v>
      </c>
      <c r="E529" s="103">
        <v>28201012.776999999</v>
      </c>
      <c r="F529" s="129" t="s">
        <v>256</v>
      </c>
    </row>
    <row r="530" spans="1:6" ht="16" thickBot="1" x14ac:dyDescent="0.25">
      <c r="A530" s="83">
        <v>2</v>
      </c>
      <c r="B530" s="129" t="s">
        <v>233</v>
      </c>
      <c r="C530" s="129" t="s">
        <v>147</v>
      </c>
      <c r="D530" s="83">
        <v>89</v>
      </c>
      <c r="E530" s="103">
        <v>1185775.2798599999</v>
      </c>
      <c r="F530" s="129" t="s">
        <v>148</v>
      </c>
    </row>
    <row r="531" spans="1:6" ht="16" thickBot="1" x14ac:dyDescent="0.25">
      <c r="A531" s="83">
        <v>2</v>
      </c>
      <c r="B531" s="129" t="s">
        <v>234</v>
      </c>
      <c r="C531" s="129" t="s">
        <v>147</v>
      </c>
      <c r="D531" s="83">
        <v>1184</v>
      </c>
      <c r="E531" s="103">
        <v>18324775.566</v>
      </c>
      <c r="F531" s="129" t="s">
        <v>256</v>
      </c>
    </row>
    <row r="532" spans="1:6" ht="16" thickBot="1" x14ac:dyDescent="0.25">
      <c r="A532" s="83">
        <v>2</v>
      </c>
      <c r="B532" s="129" t="s">
        <v>234</v>
      </c>
      <c r="C532" s="129" t="s">
        <v>147</v>
      </c>
      <c r="D532" s="83">
        <v>746</v>
      </c>
      <c r="E532" s="103">
        <v>533224.39020000002</v>
      </c>
      <c r="F532" s="129" t="s">
        <v>148</v>
      </c>
    </row>
    <row r="533" spans="1:6" ht="16" thickBot="1" x14ac:dyDescent="0.25">
      <c r="A533" s="83">
        <v>2</v>
      </c>
      <c r="B533" s="129" t="s">
        <v>235</v>
      </c>
      <c r="C533" s="129" t="s">
        <v>147</v>
      </c>
      <c r="D533" s="83">
        <v>638</v>
      </c>
      <c r="E533" s="103">
        <v>2475241.4300000002</v>
      </c>
      <c r="F533" s="129" t="s">
        <v>256</v>
      </c>
    </row>
    <row r="534" spans="1:6" ht="16" thickBot="1" x14ac:dyDescent="0.25">
      <c r="A534" s="83">
        <v>2</v>
      </c>
      <c r="B534" s="129" t="s">
        <v>235</v>
      </c>
      <c r="C534" s="129" t="s">
        <v>147</v>
      </c>
      <c r="D534" s="83">
        <v>1145</v>
      </c>
      <c r="E534" s="103">
        <v>854467.68946999998</v>
      </c>
      <c r="F534" s="129" t="s">
        <v>148</v>
      </c>
    </row>
    <row r="535" spans="1:6" ht="16" thickBot="1" x14ac:dyDescent="0.25">
      <c r="A535" s="83">
        <v>2</v>
      </c>
      <c r="B535" s="129" t="s">
        <v>236</v>
      </c>
      <c r="C535" s="129" t="s">
        <v>147</v>
      </c>
      <c r="D535" s="83">
        <v>1269</v>
      </c>
      <c r="E535" s="103">
        <v>8877507.1109999996</v>
      </c>
      <c r="F535" s="129" t="s">
        <v>256</v>
      </c>
    </row>
    <row r="536" spans="1:6" ht="16" thickBot="1" x14ac:dyDescent="0.25">
      <c r="A536" s="83">
        <v>2</v>
      </c>
      <c r="B536" s="129" t="s">
        <v>236</v>
      </c>
      <c r="C536" s="129" t="s">
        <v>147</v>
      </c>
      <c r="D536" s="83">
        <v>732</v>
      </c>
      <c r="E536" s="103">
        <v>603001.99500999996</v>
      </c>
      <c r="F536" s="129" t="s">
        <v>148</v>
      </c>
    </row>
    <row r="537" spans="1:6" ht="16" thickBot="1" x14ac:dyDescent="0.25">
      <c r="A537" s="83">
        <v>2</v>
      </c>
      <c r="B537" s="129" t="s">
        <v>237</v>
      </c>
      <c r="C537" s="129" t="s">
        <v>147</v>
      </c>
      <c r="D537" s="83">
        <v>1059</v>
      </c>
      <c r="E537" s="103">
        <v>6642694.0640000002</v>
      </c>
      <c r="F537" s="129" t="s">
        <v>256</v>
      </c>
    </row>
    <row r="538" spans="1:6" ht="16" thickBot="1" x14ac:dyDescent="0.25">
      <c r="A538" s="83">
        <v>2</v>
      </c>
      <c r="B538" s="129" t="s">
        <v>237</v>
      </c>
      <c r="C538" s="129" t="s">
        <v>147</v>
      </c>
      <c r="D538" s="83">
        <v>559</v>
      </c>
      <c r="E538" s="103">
        <v>641790.27547999995</v>
      </c>
      <c r="F538" s="129" t="s">
        <v>148</v>
      </c>
    </row>
    <row r="539" spans="1:6" ht="16" thickBot="1" x14ac:dyDescent="0.25">
      <c r="A539" s="83">
        <v>2</v>
      </c>
      <c r="B539" s="129" t="s">
        <v>238</v>
      </c>
      <c r="C539" s="129" t="s">
        <v>147</v>
      </c>
      <c r="D539" s="83">
        <v>1727</v>
      </c>
      <c r="E539" s="103">
        <v>9592451.5529999994</v>
      </c>
      <c r="F539" s="129" t="s">
        <v>256</v>
      </c>
    </row>
    <row r="540" spans="1:6" ht="16" thickBot="1" x14ac:dyDescent="0.25">
      <c r="A540" s="83">
        <v>2</v>
      </c>
      <c r="B540" s="129" t="s">
        <v>238</v>
      </c>
      <c r="C540" s="129" t="s">
        <v>147</v>
      </c>
      <c r="D540" s="83">
        <v>1206</v>
      </c>
      <c r="E540" s="103">
        <v>1358509.18872</v>
      </c>
      <c r="F540" s="129" t="s">
        <v>148</v>
      </c>
    </row>
    <row r="541" spans="1:6" ht="16" thickBot="1" x14ac:dyDescent="0.25">
      <c r="A541" s="83">
        <v>2</v>
      </c>
      <c r="B541" s="129" t="s">
        <v>239</v>
      </c>
      <c r="C541" s="129" t="s">
        <v>147</v>
      </c>
      <c r="D541" s="83">
        <v>1106</v>
      </c>
      <c r="E541" s="103">
        <v>9637346.8800000008</v>
      </c>
      <c r="F541" s="129" t="s">
        <v>256</v>
      </c>
    </row>
    <row r="542" spans="1:6" ht="16" thickBot="1" x14ac:dyDescent="0.25">
      <c r="A542" s="83">
        <v>2</v>
      </c>
      <c r="B542" s="129" t="s">
        <v>239</v>
      </c>
      <c r="C542" s="129" t="s">
        <v>147</v>
      </c>
      <c r="D542" s="83">
        <v>1026</v>
      </c>
      <c r="E542" s="103">
        <v>1391601.42866</v>
      </c>
      <c r="F542" s="129" t="s">
        <v>148</v>
      </c>
    </row>
    <row r="543" spans="1:6" ht="16" thickBot="1" x14ac:dyDescent="0.25">
      <c r="A543" s="83">
        <v>2</v>
      </c>
      <c r="B543" s="129" t="s">
        <v>240</v>
      </c>
      <c r="C543" s="129" t="s">
        <v>147</v>
      </c>
      <c r="D543" s="83">
        <v>930</v>
      </c>
      <c r="E543" s="103">
        <v>4002805.443</v>
      </c>
      <c r="F543" s="129" t="s">
        <v>256</v>
      </c>
    </row>
    <row r="544" spans="1:6" ht="16" thickBot="1" x14ac:dyDescent="0.25">
      <c r="A544" s="83">
        <v>2</v>
      </c>
      <c r="B544" s="129" t="s">
        <v>240</v>
      </c>
      <c r="C544" s="129" t="s">
        <v>147</v>
      </c>
      <c r="D544" s="83">
        <v>637</v>
      </c>
      <c r="E544" s="103">
        <v>319858.20366</v>
      </c>
      <c r="F544" s="129" t="s">
        <v>148</v>
      </c>
    </row>
    <row r="545" spans="1:6" ht="16" thickBot="1" x14ac:dyDescent="0.25">
      <c r="A545" s="83">
        <v>2</v>
      </c>
      <c r="B545" s="129" t="s">
        <v>241</v>
      </c>
      <c r="C545" s="129" t="s">
        <v>147</v>
      </c>
      <c r="D545" s="83">
        <v>919</v>
      </c>
      <c r="E545" s="103">
        <v>8360542.1569999997</v>
      </c>
      <c r="F545" s="129" t="s">
        <v>256</v>
      </c>
    </row>
    <row r="546" spans="1:6" ht="16" thickBot="1" x14ac:dyDescent="0.25">
      <c r="A546" s="83">
        <v>2</v>
      </c>
      <c r="B546" s="129" t="s">
        <v>241</v>
      </c>
      <c r="C546" s="129" t="s">
        <v>147</v>
      </c>
      <c r="D546" s="83">
        <v>595</v>
      </c>
      <c r="E546" s="103">
        <v>551720.37477999995</v>
      </c>
      <c r="F546" s="129" t="s">
        <v>148</v>
      </c>
    </row>
    <row r="547" spans="1:6" ht="16" thickBot="1" x14ac:dyDescent="0.25">
      <c r="A547" s="83">
        <v>2</v>
      </c>
      <c r="B547" s="129" t="s">
        <v>242</v>
      </c>
      <c r="C547" s="129" t="s">
        <v>147</v>
      </c>
      <c r="D547" s="83">
        <v>53</v>
      </c>
      <c r="E547" s="103">
        <v>748253.33700000006</v>
      </c>
      <c r="F547" s="129" t="s">
        <v>256</v>
      </c>
    </row>
    <row r="548" spans="1:6" ht="16" thickBot="1" x14ac:dyDescent="0.25">
      <c r="A548" s="83">
        <v>2</v>
      </c>
      <c r="B548" s="129" t="s">
        <v>242</v>
      </c>
      <c r="C548" s="129" t="s">
        <v>147</v>
      </c>
      <c r="D548" s="83">
        <v>11</v>
      </c>
      <c r="E548" s="103">
        <v>97536.213229999994</v>
      </c>
      <c r="F548" s="129" t="s">
        <v>148</v>
      </c>
    </row>
    <row r="549" spans="1:6" ht="16" thickBot="1" x14ac:dyDescent="0.25">
      <c r="A549" s="83">
        <v>2</v>
      </c>
      <c r="B549" s="129" t="s">
        <v>243</v>
      </c>
      <c r="C549" s="129" t="s">
        <v>147</v>
      </c>
      <c r="D549" s="83">
        <v>1</v>
      </c>
      <c r="E549" s="103">
        <v>22129.439999999999</v>
      </c>
      <c r="F549" s="129" t="s">
        <v>256</v>
      </c>
    </row>
    <row r="550" spans="1:6" ht="16" thickBot="1" x14ac:dyDescent="0.25">
      <c r="A550" s="83">
        <v>2</v>
      </c>
      <c r="B550" s="129" t="s">
        <v>243</v>
      </c>
      <c r="C550" s="129" t="s">
        <v>147</v>
      </c>
      <c r="D550" s="83">
        <v>1</v>
      </c>
      <c r="E550" s="103">
        <v>1917.61</v>
      </c>
      <c r="F550" s="129" t="s">
        <v>148</v>
      </c>
    </row>
    <row r="551" spans="1:6" ht="16" thickBot="1" x14ac:dyDescent="0.25">
      <c r="A551" s="83">
        <v>2</v>
      </c>
      <c r="B551" s="129" t="s">
        <v>244</v>
      </c>
      <c r="C551" s="129" t="s">
        <v>147</v>
      </c>
      <c r="D551" s="83">
        <v>749</v>
      </c>
      <c r="E551" s="103">
        <v>4211882.4960000003</v>
      </c>
      <c r="F551" s="129" t="s">
        <v>256</v>
      </c>
    </row>
    <row r="552" spans="1:6" ht="16" thickBot="1" x14ac:dyDescent="0.25">
      <c r="A552" s="83">
        <v>2</v>
      </c>
      <c r="B552" s="129" t="s">
        <v>244</v>
      </c>
      <c r="C552" s="129" t="s">
        <v>147</v>
      </c>
      <c r="D552" s="83">
        <v>360</v>
      </c>
      <c r="E552" s="103">
        <v>261073.84529</v>
      </c>
      <c r="F552" s="129" t="s">
        <v>148</v>
      </c>
    </row>
    <row r="553" spans="1:6" ht="16" thickBot="1" x14ac:dyDescent="0.25">
      <c r="A553" s="83">
        <v>2</v>
      </c>
      <c r="B553" s="129" t="s">
        <v>245</v>
      </c>
      <c r="C553" s="129" t="s">
        <v>147</v>
      </c>
      <c r="D553" s="83">
        <v>745</v>
      </c>
      <c r="E553" s="103">
        <v>8440076.7559999991</v>
      </c>
      <c r="F553" s="129" t="s">
        <v>256</v>
      </c>
    </row>
    <row r="554" spans="1:6" ht="16" thickBot="1" x14ac:dyDescent="0.25">
      <c r="A554" s="83">
        <v>2</v>
      </c>
      <c r="B554" s="129" t="s">
        <v>245</v>
      </c>
      <c r="C554" s="129" t="s">
        <v>147</v>
      </c>
      <c r="D554" s="83">
        <v>426</v>
      </c>
      <c r="E554" s="103">
        <v>751500.04605</v>
      </c>
      <c r="F554" s="129" t="s">
        <v>148</v>
      </c>
    </row>
    <row r="555" spans="1:6" ht="16" thickBot="1" x14ac:dyDescent="0.25">
      <c r="A555" s="83">
        <v>2</v>
      </c>
      <c r="B555" s="129" t="s">
        <v>273</v>
      </c>
      <c r="C555" s="129" t="s">
        <v>147</v>
      </c>
      <c r="D555" s="83">
        <v>2</v>
      </c>
      <c r="E555" s="103">
        <v>13977.02</v>
      </c>
      <c r="F555" s="129" t="s">
        <v>148</v>
      </c>
    </row>
    <row r="556" spans="1:6" ht="16" thickBot="1" x14ac:dyDescent="0.25">
      <c r="A556" s="83">
        <v>2</v>
      </c>
      <c r="B556" s="129" t="s">
        <v>246</v>
      </c>
      <c r="C556" s="129" t="s">
        <v>147</v>
      </c>
      <c r="D556" s="83">
        <v>1</v>
      </c>
      <c r="E556" s="103">
        <v>13414.2</v>
      </c>
      <c r="F556" s="129" t="s">
        <v>256</v>
      </c>
    </row>
    <row r="557" spans="1:6" ht="16" thickBot="1" x14ac:dyDescent="0.25">
      <c r="A557" s="83">
        <v>2</v>
      </c>
      <c r="B557" s="129" t="s">
        <v>246</v>
      </c>
      <c r="C557" s="129" t="s">
        <v>147</v>
      </c>
      <c r="D557" s="83">
        <v>2</v>
      </c>
      <c r="E557" s="103">
        <v>2516.34528</v>
      </c>
      <c r="F557" s="129" t="s">
        <v>148</v>
      </c>
    </row>
    <row r="558" spans="1:6" ht="16" thickBot="1" x14ac:dyDescent="0.25">
      <c r="A558" s="83">
        <v>2</v>
      </c>
      <c r="B558" s="129" t="s">
        <v>247</v>
      </c>
      <c r="C558" s="129" t="s">
        <v>147</v>
      </c>
      <c r="D558" s="83">
        <v>72</v>
      </c>
      <c r="E558" s="103">
        <v>121297.49447000001</v>
      </c>
      <c r="F558" s="129" t="s">
        <v>148</v>
      </c>
    </row>
    <row r="559" spans="1:6" ht="16" thickBot="1" x14ac:dyDescent="0.25">
      <c r="A559" s="83">
        <v>2</v>
      </c>
      <c r="B559" s="129" t="s">
        <v>248</v>
      </c>
      <c r="C559" s="129" t="s">
        <v>147</v>
      </c>
      <c r="D559" s="83">
        <v>1</v>
      </c>
      <c r="E559" s="103">
        <v>232.8</v>
      </c>
      <c r="F559" s="129" t="s">
        <v>256</v>
      </c>
    </row>
    <row r="560" spans="1:6" ht="16" thickBot="1" x14ac:dyDescent="0.25">
      <c r="A560" s="83">
        <v>2</v>
      </c>
      <c r="B560" s="129" t="s">
        <v>249</v>
      </c>
      <c r="C560" s="129" t="s">
        <v>147</v>
      </c>
      <c r="D560" s="83">
        <v>127</v>
      </c>
      <c r="E560" s="103">
        <v>520960.34399999998</v>
      </c>
      <c r="F560" s="129" t="s">
        <v>256</v>
      </c>
    </row>
    <row r="561" spans="1:6" ht="16" thickBot="1" x14ac:dyDescent="0.25">
      <c r="A561" s="83">
        <v>2</v>
      </c>
      <c r="B561" s="129" t="s">
        <v>249</v>
      </c>
      <c r="C561" s="129" t="s">
        <v>147</v>
      </c>
      <c r="D561" s="83">
        <v>29</v>
      </c>
      <c r="E561" s="103">
        <v>14328.471970000001</v>
      </c>
      <c r="F561" s="129" t="s">
        <v>148</v>
      </c>
    </row>
    <row r="562" spans="1:6" ht="16" thickBot="1" x14ac:dyDescent="0.25">
      <c r="A562" s="83">
        <v>2</v>
      </c>
      <c r="B562" s="129" t="s">
        <v>250</v>
      </c>
      <c r="C562" s="129" t="s">
        <v>147</v>
      </c>
      <c r="D562" s="83">
        <v>1020</v>
      </c>
      <c r="E562" s="103">
        <v>6555343.5360000003</v>
      </c>
      <c r="F562" s="129" t="s">
        <v>256</v>
      </c>
    </row>
    <row r="563" spans="1:6" ht="16" thickBot="1" x14ac:dyDescent="0.25">
      <c r="A563" s="83">
        <v>2</v>
      </c>
      <c r="B563" s="129" t="s">
        <v>251</v>
      </c>
      <c r="C563" s="129" t="s">
        <v>147</v>
      </c>
      <c r="D563" s="83">
        <v>60</v>
      </c>
      <c r="E563" s="103">
        <v>162173.489</v>
      </c>
      <c r="F563" s="129" t="s">
        <v>256</v>
      </c>
    </row>
    <row r="564" spans="1:6" ht="16" thickBot="1" x14ac:dyDescent="0.25">
      <c r="A564" s="83">
        <v>2</v>
      </c>
      <c r="B564" s="129" t="s">
        <v>252</v>
      </c>
      <c r="C564" s="129" t="s">
        <v>147</v>
      </c>
      <c r="D564" s="83">
        <v>64</v>
      </c>
      <c r="E564" s="103">
        <v>181913.36</v>
      </c>
      <c r="F564" s="129" t="s">
        <v>256</v>
      </c>
    </row>
    <row r="565" spans="1:6" ht="16" thickBot="1" x14ac:dyDescent="0.25">
      <c r="A565" s="83">
        <v>2</v>
      </c>
      <c r="B565" s="129" t="s">
        <v>252</v>
      </c>
      <c r="C565" s="129" t="s">
        <v>147</v>
      </c>
      <c r="D565" s="83">
        <v>30</v>
      </c>
      <c r="E565" s="103">
        <v>11838.867109999999</v>
      </c>
      <c r="F565" s="129" t="s">
        <v>148</v>
      </c>
    </row>
    <row r="566" spans="1:6" ht="16" thickBot="1" x14ac:dyDescent="0.25">
      <c r="A566" s="83">
        <v>2</v>
      </c>
      <c r="B566" s="129" t="s">
        <v>253</v>
      </c>
      <c r="C566" s="129" t="s">
        <v>147</v>
      </c>
      <c r="D566" s="83">
        <v>1139</v>
      </c>
      <c r="E566" s="103">
        <v>4605539.4610000001</v>
      </c>
      <c r="F566" s="129" t="s">
        <v>256</v>
      </c>
    </row>
    <row r="567" spans="1:6" ht="16" thickBot="1" x14ac:dyDescent="0.25">
      <c r="A567" s="83">
        <v>2</v>
      </c>
      <c r="B567" s="129" t="s">
        <v>253</v>
      </c>
      <c r="C567" s="129" t="s">
        <v>147</v>
      </c>
      <c r="D567" s="83">
        <v>539</v>
      </c>
      <c r="E567" s="103">
        <v>298822.98398000002</v>
      </c>
      <c r="F567" s="129" t="s">
        <v>148</v>
      </c>
    </row>
    <row r="568" spans="1:6" ht="16" thickBot="1" x14ac:dyDescent="0.25">
      <c r="A568" s="83">
        <v>2</v>
      </c>
      <c r="B568" s="129" t="s">
        <v>151</v>
      </c>
      <c r="C568" s="129" t="s">
        <v>152</v>
      </c>
      <c r="D568" s="83">
        <v>2</v>
      </c>
      <c r="E568" s="83">
        <v>1055258</v>
      </c>
      <c r="F568" s="129" t="s">
        <v>148</v>
      </c>
    </row>
    <row r="569" spans="1:6" ht="16" thickBot="1" x14ac:dyDescent="0.25">
      <c r="A569" s="83">
        <v>2</v>
      </c>
      <c r="B569" s="129" t="s">
        <v>153</v>
      </c>
      <c r="C569" s="129" t="s">
        <v>152</v>
      </c>
      <c r="D569" s="83">
        <v>3</v>
      </c>
      <c r="E569" s="103">
        <v>156448.68</v>
      </c>
      <c r="F569" s="129" t="s">
        <v>256</v>
      </c>
    </row>
    <row r="570" spans="1:6" ht="16" thickBot="1" x14ac:dyDescent="0.25">
      <c r="A570" s="83">
        <v>2</v>
      </c>
      <c r="B570" s="129" t="s">
        <v>153</v>
      </c>
      <c r="C570" s="129" t="s">
        <v>152</v>
      </c>
      <c r="D570" s="83">
        <v>2</v>
      </c>
      <c r="E570" s="103">
        <v>18054.119559999999</v>
      </c>
      <c r="F570" s="129" t="s">
        <v>148</v>
      </c>
    </row>
    <row r="571" spans="1:6" ht="16" thickBot="1" x14ac:dyDescent="0.25">
      <c r="A571" s="83">
        <v>2</v>
      </c>
      <c r="B571" s="129" t="s">
        <v>154</v>
      </c>
      <c r="C571" s="129" t="s">
        <v>152</v>
      </c>
      <c r="D571" s="83">
        <v>3</v>
      </c>
      <c r="E571" s="103">
        <v>2758.3380000000002</v>
      </c>
      <c r="F571" s="129" t="s">
        <v>256</v>
      </c>
    </row>
    <row r="572" spans="1:6" ht="16" thickBot="1" x14ac:dyDescent="0.25">
      <c r="A572" s="83">
        <v>2</v>
      </c>
      <c r="B572" s="129" t="s">
        <v>156</v>
      </c>
      <c r="C572" s="129" t="s">
        <v>152</v>
      </c>
      <c r="D572" s="83">
        <v>10</v>
      </c>
      <c r="E572" s="103">
        <v>2096.721</v>
      </c>
      <c r="F572" s="129" t="s">
        <v>256</v>
      </c>
    </row>
    <row r="573" spans="1:6" ht="16" thickBot="1" x14ac:dyDescent="0.25">
      <c r="A573" s="83">
        <v>2</v>
      </c>
      <c r="B573" s="129" t="s">
        <v>157</v>
      </c>
      <c r="C573" s="129" t="s">
        <v>152</v>
      </c>
      <c r="D573" s="83">
        <v>6</v>
      </c>
      <c r="E573" s="103">
        <v>69275.921000000002</v>
      </c>
      <c r="F573" s="129" t="s">
        <v>256</v>
      </c>
    </row>
    <row r="574" spans="1:6" ht="16" thickBot="1" x14ac:dyDescent="0.25">
      <c r="A574" s="83">
        <v>2</v>
      </c>
      <c r="B574" s="129" t="s">
        <v>157</v>
      </c>
      <c r="C574" s="129" t="s">
        <v>152</v>
      </c>
      <c r="D574" s="83">
        <v>1</v>
      </c>
      <c r="E574" s="103">
        <v>91.195589999999996</v>
      </c>
      <c r="F574" s="129" t="s">
        <v>148</v>
      </c>
    </row>
    <row r="575" spans="1:6" ht="16" thickBot="1" x14ac:dyDescent="0.25">
      <c r="A575" s="83">
        <v>2</v>
      </c>
      <c r="B575" s="129" t="s">
        <v>158</v>
      </c>
      <c r="C575" s="129" t="s">
        <v>152</v>
      </c>
      <c r="D575" s="83">
        <v>1</v>
      </c>
      <c r="E575" s="83">
        <v>0</v>
      </c>
      <c r="F575" s="129" t="s">
        <v>256</v>
      </c>
    </row>
    <row r="576" spans="1:6" ht="16" thickBot="1" x14ac:dyDescent="0.25">
      <c r="A576" s="83">
        <v>2</v>
      </c>
      <c r="B576" s="129" t="s">
        <v>161</v>
      </c>
      <c r="C576" s="129" t="s">
        <v>152</v>
      </c>
      <c r="D576" s="83">
        <v>5</v>
      </c>
      <c r="E576" s="103">
        <v>16031.236999999999</v>
      </c>
      <c r="F576" s="129" t="s">
        <v>256</v>
      </c>
    </row>
    <row r="577" spans="1:6" ht="16" thickBot="1" x14ac:dyDescent="0.25">
      <c r="A577" s="83">
        <v>2</v>
      </c>
      <c r="B577" s="129" t="s">
        <v>162</v>
      </c>
      <c r="C577" s="129" t="s">
        <v>152</v>
      </c>
      <c r="D577" s="83">
        <v>1</v>
      </c>
      <c r="E577" s="103">
        <v>3363.16</v>
      </c>
      <c r="F577" s="129" t="s">
        <v>256</v>
      </c>
    </row>
    <row r="578" spans="1:6" ht="16" thickBot="1" x14ac:dyDescent="0.25">
      <c r="A578" s="83">
        <v>2</v>
      </c>
      <c r="B578" s="129" t="s">
        <v>165</v>
      </c>
      <c r="C578" s="129" t="s">
        <v>152</v>
      </c>
      <c r="D578" s="83">
        <v>1</v>
      </c>
      <c r="E578" s="103">
        <v>393.76400000000001</v>
      </c>
      <c r="F578" s="129" t="s">
        <v>256</v>
      </c>
    </row>
    <row r="579" spans="1:6" ht="16" thickBot="1" x14ac:dyDescent="0.25">
      <c r="A579" s="83">
        <v>2</v>
      </c>
      <c r="B579" s="129" t="s">
        <v>166</v>
      </c>
      <c r="C579" s="129" t="s">
        <v>152</v>
      </c>
      <c r="D579" s="83">
        <v>6</v>
      </c>
      <c r="E579" s="103">
        <v>4303250.04</v>
      </c>
      <c r="F579" s="129" t="s">
        <v>256</v>
      </c>
    </row>
    <row r="580" spans="1:6" ht="16" thickBot="1" x14ac:dyDescent="0.25">
      <c r="A580" s="83">
        <v>2</v>
      </c>
      <c r="B580" s="129" t="s">
        <v>166</v>
      </c>
      <c r="C580" s="129" t="s">
        <v>152</v>
      </c>
      <c r="D580" s="83">
        <v>2</v>
      </c>
      <c r="E580" s="83">
        <v>147012</v>
      </c>
      <c r="F580" s="129" t="s">
        <v>148</v>
      </c>
    </row>
    <row r="581" spans="1:6" ht="16" thickBot="1" x14ac:dyDescent="0.25">
      <c r="A581" s="83">
        <v>2</v>
      </c>
      <c r="B581" s="129" t="s">
        <v>169</v>
      </c>
      <c r="C581" s="129" t="s">
        <v>152</v>
      </c>
      <c r="D581" s="83">
        <v>1</v>
      </c>
      <c r="E581" s="103">
        <v>9923.36</v>
      </c>
      <c r="F581" s="129" t="s">
        <v>256</v>
      </c>
    </row>
    <row r="582" spans="1:6" ht="16" thickBot="1" x14ac:dyDescent="0.25">
      <c r="A582" s="83">
        <v>2</v>
      </c>
      <c r="B582" s="129" t="s">
        <v>170</v>
      </c>
      <c r="C582" s="129" t="s">
        <v>152</v>
      </c>
      <c r="D582" s="83">
        <v>2</v>
      </c>
      <c r="E582" s="83">
        <v>253650</v>
      </c>
      <c r="F582" s="129" t="s">
        <v>148</v>
      </c>
    </row>
    <row r="583" spans="1:6" ht="16" thickBot="1" x14ac:dyDescent="0.25">
      <c r="A583" s="83">
        <v>2</v>
      </c>
      <c r="B583" s="129" t="s">
        <v>172</v>
      </c>
      <c r="C583" s="129" t="s">
        <v>152</v>
      </c>
      <c r="D583" s="83">
        <v>1</v>
      </c>
      <c r="E583" s="103">
        <v>4697.9269999999997</v>
      </c>
      <c r="F583" s="129" t="s">
        <v>256</v>
      </c>
    </row>
    <row r="584" spans="1:6" ht="16" thickBot="1" x14ac:dyDescent="0.25">
      <c r="A584" s="83">
        <v>2</v>
      </c>
      <c r="B584" s="129" t="s">
        <v>174</v>
      </c>
      <c r="C584" s="129" t="s">
        <v>152</v>
      </c>
      <c r="D584" s="83">
        <v>1</v>
      </c>
      <c r="E584" s="103">
        <v>1155.08</v>
      </c>
      <c r="F584" s="129" t="s">
        <v>256</v>
      </c>
    </row>
    <row r="585" spans="1:6" ht="16" thickBot="1" x14ac:dyDescent="0.25">
      <c r="A585" s="83">
        <v>2</v>
      </c>
      <c r="B585" s="129" t="s">
        <v>175</v>
      </c>
      <c r="C585" s="129" t="s">
        <v>152</v>
      </c>
      <c r="D585" s="83">
        <v>4</v>
      </c>
      <c r="E585" s="103">
        <v>15150.576999999999</v>
      </c>
      <c r="F585" s="129" t="s">
        <v>256</v>
      </c>
    </row>
    <row r="586" spans="1:6" ht="16" thickBot="1" x14ac:dyDescent="0.25">
      <c r="A586" s="83">
        <v>2</v>
      </c>
      <c r="B586" s="129" t="s">
        <v>178</v>
      </c>
      <c r="C586" s="129" t="s">
        <v>152</v>
      </c>
      <c r="D586" s="83">
        <v>3</v>
      </c>
      <c r="E586" s="103">
        <v>10162.35</v>
      </c>
      <c r="F586" s="129" t="s">
        <v>256</v>
      </c>
    </row>
    <row r="587" spans="1:6" ht="16" thickBot="1" x14ac:dyDescent="0.25">
      <c r="A587" s="83">
        <v>2</v>
      </c>
      <c r="B587" s="129" t="s">
        <v>182</v>
      </c>
      <c r="C587" s="129" t="s">
        <v>152</v>
      </c>
      <c r="D587" s="83">
        <v>1</v>
      </c>
      <c r="E587" s="103">
        <v>1094.865</v>
      </c>
      <c r="F587" s="129" t="s">
        <v>256</v>
      </c>
    </row>
    <row r="588" spans="1:6" ht="16" thickBot="1" x14ac:dyDescent="0.25">
      <c r="A588" s="83">
        <v>2</v>
      </c>
      <c r="B588" s="129" t="s">
        <v>184</v>
      </c>
      <c r="C588" s="129" t="s">
        <v>152</v>
      </c>
      <c r="D588" s="83">
        <v>5</v>
      </c>
      <c r="E588" s="103">
        <v>458173.59700000001</v>
      </c>
      <c r="F588" s="129" t="s">
        <v>256</v>
      </c>
    </row>
    <row r="589" spans="1:6" ht="16" thickBot="1" x14ac:dyDescent="0.25">
      <c r="A589" s="83">
        <v>2</v>
      </c>
      <c r="B589" s="129" t="s">
        <v>185</v>
      </c>
      <c r="C589" s="129" t="s">
        <v>152</v>
      </c>
      <c r="D589" s="83">
        <v>3</v>
      </c>
      <c r="E589" s="103">
        <v>12819.772999999999</v>
      </c>
      <c r="F589" s="129" t="s">
        <v>256</v>
      </c>
    </row>
    <row r="590" spans="1:6" ht="16" thickBot="1" x14ac:dyDescent="0.25">
      <c r="A590" s="83">
        <v>2</v>
      </c>
      <c r="B590" s="129" t="s">
        <v>186</v>
      </c>
      <c r="C590" s="129" t="s">
        <v>152</v>
      </c>
      <c r="D590" s="83">
        <v>3</v>
      </c>
      <c r="E590" s="103">
        <v>72.551000000000002</v>
      </c>
      <c r="F590" s="129" t="s">
        <v>256</v>
      </c>
    </row>
    <row r="591" spans="1:6" ht="16" thickBot="1" x14ac:dyDescent="0.25">
      <c r="A591" s="83">
        <v>2</v>
      </c>
      <c r="B591" s="129" t="s">
        <v>189</v>
      </c>
      <c r="C591" s="129" t="s">
        <v>152</v>
      </c>
      <c r="D591" s="83">
        <v>2</v>
      </c>
      <c r="E591" s="103">
        <v>165.08</v>
      </c>
      <c r="F591" s="129" t="s">
        <v>256</v>
      </c>
    </row>
    <row r="592" spans="1:6" ht="16" thickBot="1" x14ac:dyDescent="0.25">
      <c r="A592" s="83">
        <v>2</v>
      </c>
      <c r="B592" s="129" t="s">
        <v>191</v>
      </c>
      <c r="C592" s="129" t="s">
        <v>152</v>
      </c>
      <c r="D592" s="83">
        <v>2</v>
      </c>
      <c r="E592" s="103">
        <v>73.126000000000005</v>
      </c>
      <c r="F592" s="129" t="s">
        <v>256</v>
      </c>
    </row>
    <row r="593" spans="1:6" ht="16" thickBot="1" x14ac:dyDescent="0.25">
      <c r="A593" s="83">
        <v>2</v>
      </c>
      <c r="B593" s="129" t="s">
        <v>191</v>
      </c>
      <c r="C593" s="129" t="s">
        <v>152</v>
      </c>
      <c r="D593" s="83">
        <v>1</v>
      </c>
      <c r="E593" s="103">
        <v>1987.3042</v>
      </c>
      <c r="F593" s="129" t="s">
        <v>148</v>
      </c>
    </row>
    <row r="594" spans="1:6" ht="16" thickBot="1" x14ac:dyDescent="0.25">
      <c r="A594" s="83">
        <v>2</v>
      </c>
      <c r="B594" s="129" t="s">
        <v>192</v>
      </c>
      <c r="C594" s="129" t="s">
        <v>152</v>
      </c>
      <c r="D594" s="83">
        <v>1</v>
      </c>
      <c r="E594" s="103">
        <v>3322.8159999999998</v>
      </c>
      <c r="F594" s="129" t="s">
        <v>256</v>
      </c>
    </row>
    <row r="595" spans="1:6" ht="16" thickBot="1" x14ac:dyDescent="0.25">
      <c r="A595" s="83">
        <v>2</v>
      </c>
      <c r="B595" s="129" t="s">
        <v>193</v>
      </c>
      <c r="C595" s="129" t="s">
        <v>152</v>
      </c>
      <c r="D595" s="83">
        <v>9</v>
      </c>
      <c r="E595" s="103">
        <v>9272774.7139999997</v>
      </c>
      <c r="F595" s="129" t="s">
        <v>256</v>
      </c>
    </row>
    <row r="596" spans="1:6" ht="16" thickBot="1" x14ac:dyDescent="0.25">
      <c r="A596" s="83">
        <v>2</v>
      </c>
      <c r="B596" s="129" t="s">
        <v>193</v>
      </c>
      <c r="C596" s="129" t="s">
        <v>152</v>
      </c>
      <c r="D596" s="83">
        <v>3</v>
      </c>
      <c r="E596" s="103">
        <v>6242.5508</v>
      </c>
      <c r="F596" s="129" t="s">
        <v>148</v>
      </c>
    </row>
    <row r="597" spans="1:6" ht="16" thickBot="1" x14ac:dyDescent="0.25">
      <c r="A597" s="83">
        <v>2</v>
      </c>
      <c r="B597" s="129" t="s">
        <v>195</v>
      </c>
      <c r="C597" s="129" t="s">
        <v>152</v>
      </c>
      <c r="D597" s="83">
        <v>2</v>
      </c>
      <c r="E597" s="103">
        <v>9306.2000000000007</v>
      </c>
      <c r="F597" s="129" t="s">
        <v>256</v>
      </c>
    </row>
    <row r="598" spans="1:6" ht="16" thickBot="1" x14ac:dyDescent="0.25">
      <c r="A598" s="83">
        <v>2</v>
      </c>
      <c r="B598" s="129" t="s">
        <v>196</v>
      </c>
      <c r="C598" s="129" t="s">
        <v>152</v>
      </c>
      <c r="D598" s="83">
        <v>4</v>
      </c>
      <c r="E598" s="103">
        <v>895.94799999999998</v>
      </c>
      <c r="F598" s="129" t="s">
        <v>256</v>
      </c>
    </row>
    <row r="599" spans="1:6" ht="16" thickBot="1" x14ac:dyDescent="0.25">
      <c r="A599" s="83">
        <v>2</v>
      </c>
      <c r="B599" s="129" t="s">
        <v>198</v>
      </c>
      <c r="C599" s="129" t="s">
        <v>152</v>
      </c>
      <c r="D599" s="83">
        <v>1</v>
      </c>
      <c r="E599" s="103">
        <v>506.875</v>
      </c>
      <c r="F599" s="129" t="s">
        <v>256</v>
      </c>
    </row>
    <row r="600" spans="1:6" ht="16" thickBot="1" x14ac:dyDescent="0.25">
      <c r="A600" s="83">
        <v>2</v>
      </c>
      <c r="B600" s="129" t="s">
        <v>200</v>
      </c>
      <c r="C600" s="129" t="s">
        <v>152</v>
      </c>
      <c r="D600" s="83">
        <v>3</v>
      </c>
      <c r="E600" s="103">
        <v>18387.042000000001</v>
      </c>
      <c r="F600" s="129" t="s">
        <v>256</v>
      </c>
    </row>
    <row r="601" spans="1:6" ht="16" thickBot="1" x14ac:dyDescent="0.25">
      <c r="A601" s="83">
        <v>2</v>
      </c>
      <c r="B601" s="129" t="s">
        <v>205</v>
      </c>
      <c r="C601" s="129" t="s">
        <v>152</v>
      </c>
      <c r="D601" s="83">
        <v>5</v>
      </c>
      <c r="E601" s="103">
        <v>13354838.16</v>
      </c>
      <c r="F601" s="129" t="s">
        <v>256</v>
      </c>
    </row>
    <row r="602" spans="1:6" ht="16" thickBot="1" x14ac:dyDescent="0.25">
      <c r="A602" s="83">
        <v>2</v>
      </c>
      <c r="B602" s="129" t="s">
        <v>205</v>
      </c>
      <c r="C602" s="129" t="s">
        <v>152</v>
      </c>
      <c r="D602" s="83">
        <v>3</v>
      </c>
      <c r="E602" s="103">
        <v>700482.69374000002</v>
      </c>
      <c r="F602" s="129" t="s">
        <v>148</v>
      </c>
    </row>
    <row r="603" spans="1:6" ht="16" thickBot="1" x14ac:dyDescent="0.25">
      <c r="A603" s="83">
        <v>2</v>
      </c>
      <c r="B603" s="129" t="s">
        <v>213</v>
      </c>
      <c r="C603" s="129" t="s">
        <v>152</v>
      </c>
      <c r="D603" s="83">
        <v>3</v>
      </c>
      <c r="E603" s="103">
        <v>44966.752999999997</v>
      </c>
      <c r="F603" s="129" t="s">
        <v>256</v>
      </c>
    </row>
    <row r="604" spans="1:6" ht="16" thickBot="1" x14ac:dyDescent="0.25">
      <c r="A604" s="83">
        <v>2</v>
      </c>
      <c r="B604" s="129" t="s">
        <v>214</v>
      </c>
      <c r="C604" s="129" t="s">
        <v>152</v>
      </c>
      <c r="D604" s="83">
        <v>2</v>
      </c>
      <c r="E604" s="103">
        <v>6570.9340000000002</v>
      </c>
      <c r="F604" s="129" t="s">
        <v>256</v>
      </c>
    </row>
    <row r="605" spans="1:6" ht="16" thickBot="1" x14ac:dyDescent="0.25">
      <c r="A605" s="83">
        <v>2</v>
      </c>
      <c r="B605" s="129" t="s">
        <v>215</v>
      </c>
      <c r="C605" s="129" t="s">
        <v>152</v>
      </c>
      <c r="D605" s="83">
        <v>2</v>
      </c>
      <c r="E605" s="103">
        <v>14072.052</v>
      </c>
      <c r="F605" s="129" t="s">
        <v>256</v>
      </c>
    </row>
    <row r="606" spans="1:6" ht="16" thickBot="1" x14ac:dyDescent="0.25">
      <c r="A606" s="83">
        <v>2</v>
      </c>
      <c r="B606" s="129" t="s">
        <v>217</v>
      </c>
      <c r="C606" s="129" t="s">
        <v>152</v>
      </c>
      <c r="D606" s="83">
        <v>5</v>
      </c>
      <c r="E606" s="103">
        <v>10048.41</v>
      </c>
      <c r="F606" s="129" t="s">
        <v>256</v>
      </c>
    </row>
    <row r="607" spans="1:6" ht="16" thickBot="1" x14ac:dyDescent="0.25">
      <c r="A607" s="83">
        <v>2</v>
      </c>
      <c r="B607" s="129" t="s">
        <v>218</v>
      </c>
      <c r="C607" s="129" t="s">
        <v>152</v>
      </c>
      <c r="D607" s="83">
        <v>14</v>
      </c>
      <c r="E607" s="103">
        <v>153791.375</v>
      </c>
      <c r="F607" s="129" t="s">
        <v>256</v>
      </c>
    </row>
    <row r="608" spans="1:6" ht="16" thickBot="1" x14ac:dyDescent="0.25">
      <c r="A608" s="83">
        <v>2</v>
      </c>
      <c r="B608" s="129" t="s">
        <v>218</v>
      </c>
      <c r="C608" s="129" t="s">
        <v>152</v>
      </c>
      <c r="D608" s="83">
        <v>1</v>
      </c>
      <c r="E608" s="83">
        <v>0</v>
      </c>
      <c r="F608" s="129" t="s">
        <v>148</v>
      </c>
    </row>
    <row r="609" spans="1:6" ht="16" thickBot="1" x14ac:dyDescent="0.25">
      <c r="A609" s="83">
        <v>2</v>
      </c>
      <c r="B609" s="129" t="s">
        <v>221</v>
      </c>
      <c r="C609" s="129" t="s">
        <v>152</v>
      </c>
      <c r="D609" s="83">
        <v>1</v>
      </c>
      <c r="E609" s="103">
        <v>2.12</v>
      </c>
      <c r="F609" s="129" t="s">
        <v>148</v>
      </c>
    </row>
    <row r="610" spans="1:6" ht="16" thickBot="1" x14ac:dyDescent="0.25">
      <c r="A610" s="83">
        <v>2</v>
      </c>
      <c r="B610" s="129" t="s">
        <v>222</v>
      </c>
      <c r="C610" s="129" t="s">
        <v>152</v>
      </c>
      <c r="D610" s="83">
        <v>3</v>
      </c>
      <c r="E610" s="103">
        <v>6059.6660000000002</v>
      </c>
      <c r="F610" s="129" t="s">
        <v>256</v>
      </c>
    </row>
    <row r="611" spans="1:6" ht="16" thickBot="1" x14ac:dyDescent="0.25">
      <c r="A611" s="83">
        <v>2</v>
      </c>
      <c r="B611" s="129" t="s">
        <v>223</v>
      </c>
      <c r="C611" s="129" t="s">
        <v>152</v>
      </c>
      <c r="D611" s="83">
        <v>4</v>
      </c>
      <c r="E611" s="103">
        <v>6338.4380000000001</v>
      </c>
      <c r="F611" s="129" t="s">
        <v>256</v>
      </c>
    </row>
    <row r="612" spans="1:6" ht="16" thickBot="1" x14ac:dyDescent="0.25">
      <c r="A612" s="83">
        <v>2</v>
      </c>
      <c r="B612" s="129" t="s">
        <v>224</v>
      </c>
      <c r="C612" s="129" t="s">
        <v>152</v>
      </c>
      <c r="D612" s="83">
        <v>2</v>
      </c>
      <c r="E612" s="83">
        <v>53802</v>
      </c>
      <c r="F612" s="129" t="s">
        <v>256</v>
      </c>
    </row>
    <row r="613" spans="1:6" ht="16" thickBot="1" x14ac:dyDescent="0.25">
      <c r="A613" s="83">
        <v>2</v>
      </c>
      <c r="B613" s="129" t="s">
        <v>226</v>
      </c>
      <c r="C613" s="129" t="s">
        <v>152</v>
      </c>
      <c r="D613" s="83">
        <v>2</v>
      </c>
      <c r="E613" s="83">
        <v>448930</v>
      </c>
      <c r="F613" s="129" t="s">
        <v>256</v>
      </c>
    </row>
    <row r="614" spans="1:6" ht="16" thickBot="1" x14ac:dyDescent="0.25">
      <c r="A614" s="83">
        <v>2</v>
      </c>
      <c r="B614" s="129" t="s">
        <v>227</v>
      </c>
      <c r="C614" s="129" t="s">
        <v>152</v>
      </c>
      <c r="D614" s="83">
        <v>2</v>
      </c>
      <c r="E614" s="103">
        <v>6483.0169999999998</v>
      </c>
      <c r="F614" s="129" t="s">
        <v>256</v>
      </c>
    </row>
    <row r="615" spans="1:6" ht="16" thickBot="1" x14ac:dyDescent="0.25">
      <c r="A615" s="83">
        <v>2</v>
      </c>
      <c r="B615" s="129" t="s">
        <v>228</v>
      </c>
      <c r="C615" s="129" t="s">
        <v>152</v>
      </c>
      <c r="D615" s="83">
        <v>2</v>
      </c>
      <c r="E615" s="103">
        <v>333495.47100000002</v>
      </c>
      <c r="F615" s="129" t="s">
        <v>256</v>
      </c>
    </row>
    <row r="616" spans="1:6" ht="16" thickBot="1" x14ac:dyDescent="0.25">
      <c r="A616" s="83">
        <v>2</v>
      </c>
      <c r="B616" s="129" t="s">
        <v>228</v>
      </c>
      <c r="C616" s="129" t="s">
        <v>152</v>
      </c>
      <c r="D616" s="83">
        <v>2</v>
      </c>
      <c r="E616" s="83">
        <v>167426</v>
      </c>
      <c r="F616" s="129" t="s">
        <v>148</v>
      </c>
    </row>
    <row r="617" spans="1:6" ht="16" thickBot="1" x14ac:dyDescent="0.25">
      <c r="A617" s="83">
        <v>2</v>
      </c>
      <c r="B617" s="129" t="s">
        <v>230</v>
      </c>
      <c r="C617" s="129" t="s">
        <v>152</v>
      </c>
      <c r="D617" s="83">
        <v>7</v>
      </c>
      <c r="E617" s="103">
        <v>321976.99800000002</v>
      </c>
      <c r="F617" s="129" t="s">
        <v>256</v>
      </c>
    </row>
    <row r="618" spans="1:6" ht="16" thickBot="1" x14ac:dyDescent="0.25">
      <c r="A618" s="83">
        <v>2</v>
      </c>
      <c r="B618" s="129" t="s">
        <v>230</v>
      </c>
      <c r="C618" s="129" t="s">
        <v>152</v>
      </c>
      <c r="D618" s="83">
        <v>2</v>
      </c>
      <c r="E618" s="103">
        <v>4405.9888799999999</v>
      </c>
      <c r="F618" s="129" t="s">
        <v>148</v>
      </c>
    </row>
    <row r="619" spans="1:6" ht="16" thickBot="1" x14ac:dyDescent="0.25">
      <c r="A619" s="83">
        <v>2</v>
      </c>
      <c r="B619" s="129" t="s">
        <v>231</v>
      </c>
      <c r="C619" s="129" t="s">
        <v>152</v>
      </c>
      <c r="D619" s="83">
        <v>20</v>
      </c>
      <c r="E619" s="103">
        <v>3581902.4449999998</v>
      </c>
      <c r="F619" s="129" t="s">
        <v>256</v>
      </c>
    </row>
    <row r="620" spans="1:6" ht="16" thickBot="1" x14ac:dyDescent="0.25">
      <c r="A620" s="83">
        <v>2</v>
      </c>
      <c r="B620" s="129" t="s">
        <v>231</v>
      </c>
      <c r="C620" s="129" t="s">
        <v>152</v>
      </c>
      <c r="D620" s="83">
        <v>13</v>
      </c>
      <c r="E620" s="103">
        <v>56960.728519999997</v>
      </c>
      <c r="F620" s="129" t="s">
        <v>148</v>
      </c>
    </row>
    <row r="621" spans="1:6" ht="16" thickBot="1" x14ac:dyDescent="0.25">
      <c r="A621" s="83">
        <v>2</v>
      </c>
      <c r="B621" s="129" t="s">
        <v>233</v>
      </c>
      <c r="C621" s="129" t="s">
        <v>152</v>
      </c>
      <c r="D621" s="83">
        <v>1</v>
      </c>
      <c r="E621" s="103">
        <v>554.43799999999999</v>
      </c>
      <c r="F621" s="129" t="s">
        <v>256</v>
      </c>
    </row>
    <row r="622" spans="1:6" ht="16" thickBot="1" x14ac:dyDescent="0.25">
      <c r="A622" s="83">
        <v>2</v>
      </c>
      <c r="B622" s="129" t="s">
        <v>234</v>
      </c>
      <c r="C622" s="129" t="s">
        <v>152</v>
      </c>
      <c r="D622" s="83">
        <v>1</v>
      </c>
      <c r="E622" s="103">
        <v>122183.28</v>
      </c>
      <c r="F622" s="129" t="s">
        <v>256</v>
      </c>
    </row>
    <row r="623" spans="1:6" ht="16" thickBot="1" x14ac:dyDescent="0.25">
      <c r="A623" s="83">
        <v>2</v>
      </c>
      <c r="B623" s="129" t="s">
        <v>235</v>
      </c>
      <c r="C623" s="129" t="s">
        <v>152</v>
      </c>
      <c r="D623" s="83">
        <v>10</v>
      </c>
      <c r="E623" s="103">
        <v>181283315.80000001</v>
      </c>
      <c r="F623" s="129" t="s">
        <v>256</v>
      </c>
    </row>
    <row r="624" spans="1:6" ht="16" thickBot="1" x14ac:dyDescent="0.25">
      <c r="A624" s="83">
        <v>2</v>
      </c>
      <c r="B624" s="129" t="s">
        <v>235</v>
      </c>
      <c r="C624" s="129" t="s">
        <v>152</v>
      </c>
      <c r="D624" s="83">
        <v>1</v>
      </c>
      <c r="E624" s="103">
        <v>2563.0416</v>
      </c>
      <c r="F624" s="129" t="s">
        <v>148</v>
      </c>
    </row>
    <row r="625" spans="1:6" ht="16" thickBot="1" x14ac:dyDescent="0.25">
      <c r="A625" s="83">
        <v>2</v>
      </c>
      <c r="B625" s="129" t="s">
        <v>236</v>
      </c>
      <c r="C625" s="129" t="s">
        <v>152</v>
      </c>
      <c r="D625" s="83">
        <v>2</v>
      </c>
      <c r="E625" s="103">
        <v>25915.65</v>
      </c>
      <c r="F625" s="129" t="s">
        <v>256</v>
      </c>
    </row>
    <row r="626" spans="1:6" ht="16" thickBot="1" x14ac:dyDescent="0.25">
      <c r="A626" s="83">
        <v>2</v>
      </c>
      <c r="B626" s="129" t="s">
        <v>236</v>
      </c>
      <c r="C626" s="129" t="s">
        <v>152</v>
      </c>
      <c r="D626" s="83">
        <v>3</v>
      </c>
      <c r="E626" s="103">
        <v>64838.741260000003</v>
      </c>
      <c r="F626" s="129" t="s">
        <v>148</v>
      </c>
    </row>
    <row r="627" spans="1:6" ht="16" thickBot="1" x14ac:dyDescent="0.25">
      <c r="A627" s="83">
        <v>2</v>
      </c>
      <c r="B627" s="129" t="s">
        <v>237</v>
      </c>
      <c r="C627" s="129" t="s">
        <v>152</v>
      </c>
      <c r="D627" s="83">
        <v>8</v>
      </c>
      <c r="E627" s="103">
        <v>21112.3</v>
      </c>
      <c r="F627" s="129" t="s">
        <v>256</v>
      </c>
    </row>
    <row r="628" spans="1:6" ht="16" thickBot="1" x14ac:dyDescent="0.25">
      <c r="A628" s="83">
        <v>2</v>
      </c>
      <c r="B628" s="129" t="s">
        <v>237</v>
      </c>
      <c r="C628" s="129" t="s">
        <v>152</v>
      </c>
      <c r="D628" s="83">
        <v>4</v>
      </c>
      <c r="E628" s="103">
        <v>100.6246</v>
      </c>
      <c r="F628" s="129" t="s">
        <v>148</v>
      </c>
    </row>
    <row r="629" spans="1:6" ht="16" thickBot="1" x14ac:dyDescent="0.25">
      <c r="A629" s="83">
        <v>2</v>
      </c>
      <c r="B629" s="129" t="s">
        <v>238</v>
      </c>
      <c r="C629" s="129" t="s">
        <v>152</v>
      </c>
      <c r="D629" s="83">
        <v>41</v>
      </c>
      <c r="E629" s="103">
        <v>1430617.1329999999</v>
      </c>
      <c r="F629" s="129" t="s">
        <v>256</v>
      </c>
    </row>
    <row r="630" spans="1:6" ht="16" thickBot="1" x14ac:dyDescent="0.25">
      <c r="A630" s="83">
        <v>2</v>
      </c>
      <c r="B630" s="129" t="s">
        <v>238</v>
      </c>
      <c r="C630" s="129" t="s">
        <v>152</v>
      </c>
      <c r="D630" s="83">
        <v>33</v>
      </c>
      <c r="E630" s="103">
        <v>168266.44459999999</v>
      </c>
      <c r="F630" s="129" t="s">
        <v>148</v>
      </c>
    </row>
    <row r="631" spans="1:6" ht="16" thickBot="1" x14ac:dyDescent="0.25">
      <c r="A631" s="83">
        <v>2</v>
      </c>
      <c r="B631" s="129" t="s">
        <v>239</v>
      </c>
      <c r="C631" s="129" t="s">
        <v>152</v>
      </c>
      <c r="D631" s="83">
        <v>42</v>
      </c>
      <c r="E631" s="103">
        <v>35631341.777999997</v>
      </c>
      <c r="F631" s="129" t="s">
        <v>256</v>
      </c>
    </row>
    <row r="632" spans="1:6" ht="16" thickBot="1" x14ac:dyDescent="0.25">
      <c r="A632" s="83">
        <v>2</v>
      </c>
      <c r="B632" s="129" t="s">
        <v>239</v>
      </c>
      <c r="C632" s="129" t="s">
        <v>152</v>
      </c>
      <c r="D632" s="83">
        <v>34</v>
      </c>
      <c r="E632" s="103">
        <v>4578177.6858999999</v>
      </c>
      <c r="F632" s="129" t="s">
        <v>148</v>
      </c>
    </row>
    <row r="633" spans="1:6" ht="16" thickBot="1" x14ac:dyDescent="0.25">
      <c r="A633" s="83">
        <v>2</v>
      </c>
      <c r="B633" s="129" t="s">
        <v>240</v>
      </c>
      <c r="C633" s="129" t="s">
        <v>152</v>
      </c>
      <c r="D633" s="83">
        <v>5</v>
      </c>
      <c r="E633" s="103">
        <v>202256.88</v>
      </c>
      <c r="F633" s="129" t="s">
        <v>256</v>
      </c>
    </row>
    <row r="634" spans="1:6" ht="16" thickBot="1" x14ac:dyDescent="0.25">
      <c r="A634" s="83">
        <v>2</v>
      </c>
      <c r="B634" s="129" t="s">
        <v>240</v>
      </c>
      <c r="C634" s="129" t="s">
        <v>152</v>
      </c>
      <c r="D634" s="83">
        <v>4</v>
      </c>
      <c r="E634" s="103">
        <v>64500.05588</v>
      </c>
      <c r="F634" s="129" t="s">
        <v>148</v>
      </c>
    </row>
    <row r="635" spans="1:6" ht="16" thickBot="1" x14ac:dyDescent="0.25">
      <c r="A635" s="83">
        <v>2</v>
      </c>
      <c r="B635" s="129" t="s">
        <v>241</v>
      </c>
      <c r="C635" s="129" t="s">
        <v>152</v>
      </c>
      <c r="D635" s="83">
        <v>1</v>
      </c>
      <c r="E635" s="103">
        <v>29959.4</v>
      </c>
      <c r="F635" s="129" t="s">
        <v>256</v>
      </c>
    </row>
    <row r="636" spans="1:6" ht="16" thickBot="1" x14ac:dyDescent="0.25">
      <c r="A636" s="83">
        <v>2</v>
      </c>
      <c r="B636" s="129" t="s">
        <v>241</v>
      </c>
      <c r="C636" s="129" t="s">
        <v>152</v>
      </c>
      <c r="D636" s="83">
        <v>2</v>
      </c>
      <c r="E636" s="83">
        <v>354042</v>
      </c>
      <c r="F636" s="129" t="s">
        <v>148</v>
      </c>
    </row>
    <row r="637" spans="1:6" ht="16" thickBot="1" x14ac:dyDescent="0.25">
      <c r="A637" s="83">
        <v>2</v>
      </c>
      <c r="B637" s="129" t="s">
        <v>243</v>
      </c>
      <c r="C637" s="129" t="s">
        <v>152</v>
      </c>
      <c r="D637" s="83">
        <v>1</v>
      </c>
      <c r="E637" s="83">
        <v>0</v>
      </c>
      <c r="F637" s="129" t="s">
        <v>256</v>
      </c>
    </row>
    <row r="638" spans="1:6" ht="16" thickBot="1" x14ac:dyDescent="0.25">
      <c r="A638" s="83">
        <v>2</v>
      </c>
      <c r="B638" s="129" t="s">
        <v>245</v>
      </c>
      <c r="C638" s="129" t="s">
        <v>152</v>
      </c>
      <c r="D638" s="83">
        <v>11</v>
      </c>
      <c r="E638" s="103">
        <v>14122908.068</v>
      </c>
      <c r="F638" s="129" t="s">
        <v>256</v>
      </c>
    </row>
    <row r="639" spans="1:6" ht="16" thickBot="1" x14ac:dyDescent="0.25">
      <c r="A639" s="83">
        <v>2</v>
      </c>
      <c r="B639" s="129" t="s">
        <v>245</v>
      </c>
      <c r="C639" s="129" t="s">
        <v>152</v>
      </c>
      <c r="D639" s="83">
        <v>7</v>
      </c>
      <c r="E639" s="103">
        <v>1636812.0153000001</v>
      </c>
      <c r="F639" s="129" t="s">
        <v>148</v>
      </c>
    </row>
    <row r="640" spans="1:6" ht="16" thickBot="1" x14ac:dyDescent="0.25">
      <c r="A640" s="83">
        <v>2</v>
      </c>
      <c r="B640" s="129" t="s">
        <v>247</v>
      </c>
      <c r="C640" s="129" t="s">
        <v>152</v>
      </c>
      <c r="D640" s="83">
        <v>2</v>
      </c>
      <c r="E640" s="103">
        <v>77692.752399999998</v>
      </c>
      <c r="F640" s="129" t="s">
        <v>148</v>
      </c>
    </row>
    <row r="641" spans="1:6" ht="16" thickBot="1" x14ac:dyDescent="0.25">
      <c r="A641" s="83">
        <v>2</v>
      </c>
      <c r="B641" s="129" t="s">
        <v>250</v>
      </c>
      <c r="C641" s="129" t="s">
        <v>152</v>
      </c>
      <c r="D641" s="83">
        <v>20</v>
      </c>
      <c r="E641" s="103">
        <v>50632794.950999998</v>
      </c>
      <c r="F641" s="129" t="s">
        <v>256</v>
      </c>
    </row>
    <row r="642" spans="1:6" ht="16" thickBot="1" x14ac:dyDescent="0.25">
      <c r="A642" s="83">
        <v>2</v>
      </c>
      <c r="B642" s="129" t="s">
        <v>251</v>
      </c>
      <c r="C642" s="129" t="s">
        <v>152</v>
      </c>
      <c r="D642" s="83">
        <v>1</v>
      </c>
      <c r="E642" s="103">
        <v>147.358</v>
      </c>
      <c r="F642" s="129" t="s">
        <v>256</v>
      </c>
    </row>
    <row r="643" spans="1:6" ht="16" thickBot="1" x14ac:dyDescent="0.25">
      <c r="A643" s="83">
        <v>2</v>
      </c>
      <c r="B643" s="129" t="s">
        <v>252</v>
      </c>
      <c r="C643" s="129" t="s">
        <v>152</v>
      </c>
      <c r="D643" s="83">
        <v>3</v>
      </c>
      <c r="E643" s="103">
        <v>12231.225</v>
      </c>
      <c r="F643" s="129" t="s">
        <v>256</v>
      </c>
    </row>
    <row r="644" spans="1:6" ht="16" thickBot="1" x14ac:dyDescent="0.25">
      <c r="A644" s="83">
        <v>2</v>
      </c>
      <c r="B644" s="129" t="s">
        <v>253</v>
      </c>
      <c r="C644" s="129" t="s">
        <v>152</v>
      </c>
      <c r="D644" s="83">
        <v>9</v>
      </c>
      <c r="E644" s="103">
        <v>195839.019</v>
      </c>
      <c r="F644" s="129" t="s">
        <v>256</v>
      </c>
    </row>
    <row r="645" spans="1:6" ht="16" thickBot="1" x14ac:dyDescent="0.25">
      <c r="A645" s="83">
        <v>2</v>
      </c>
      <c r="B645" s="129" t="s">
        <v>253</v>
      </c>
      <c r="C645" s="129" t="s">
        <v>152</v>
      </c>
      <c r="D645" s="83">
        <v>1</v>
      </c>
      <c r="E645" s="103">
        <v>1019.54766</v>
      </c>
      <c r="F645" s="129" t="s">
        <v>148</v>
      </c>
    </row>
    <row r="646" spans="1:6" ht="16" thickBot="1" x14ac:dyDescent="0.25">
      <c r="A646" s="83">
        <v>2</v>
      </c>
      <c r="B646" s="129" t="s">
        <v>146</v>
      </c>
      <c r="C646" s="129" t="s">
        <v>149</v>
      </c>
      <c r="D646" s="83">
        <v>798</v>
      </c>
      <c r="E646" s="103">
        <v>84612.158129999996</v>
      </c>
      <c r="F646" s="129" t="s">
        <v>148</v>
      </c>
    </row>
    <row r="647" spans="1:6" ht="16" thickBot="1" x14ac:dyDescent="0.25">
      <c r="A647" s="83">
        <v>2</v>
      </c>
      <c r="B647" s="129" t="s">
        <v>150</v>
      </c>
      <c r="C647" s="129" t="s">
        <v>149</v>
      </c>
      <c r="D647" s="83">
        <v>442</v>
      </c>
      <c r="E647" s="103">
        <v>45086.829610000001</v>
      </c>
      <c r="F647" s="129" t="s">
        <v>148</v>
      </c>
    </row>
    <row r="648" spans="1:6" ht="16" thickBot="1" x14ac:dyDescent="0.25">
      <c r="A648" s="83">
        <v>2</v>
      </c>
      <c r="B648" s="129" t="s">
        <v>151</v>
      </c>
      <c r="C648" s="129" t="s">
        <v>149</v>
      </c>
      <c r="D648" s="83">
        <v>2</v>
      </c>
      <c r="E648" s="103">
        <v>9076.9220000000005</v>
      </c>
      <c r="F648" s="129" t="s">
        <v>256</v>
      </c>
    </row>
    <row r="649" spans="1:6" ht="16" thickBot="1" x14ac:dyDescent="0.25">
      <c r="A649" s="83">
        <v>2</v>
      </c>
      <c r="B649" s="129" t="s">
        <v>151</v>
      </c>
      <c r="C649" s="129" t="s">
        <v>149</v>
      </c>
      <c r="D649" s="83">
        <v>11</v>
      </c>
      <c r="E649" s="103">
        <v>785.98824000000002</v>
      </c>
      <c r="F649" s="129" t="s">
        <v>148</v>
      </c>
    </row>
    <row r="650" spans="1:6" ht="16" thickBot="1" x14ac:dyDescent="0.25">
      <c r="A650" s="83">
        <v>2</v>
      </c>
      <c r="B650" s="129" t="s">
        <v>153</v>
      </c>
      <c r="C650" s="129" t="s">
        <v>149</v>
      </c>
      <c r="D650" s="83">
        <v>1298</v>
      </c>
      <c r="E650" s="103">
        <v>1415137.8389999999</v>
      </c>
      <c r="F650" s="129" t="s">
        <v>256</v>
      </c>
    </row>
    <row r="651" spans="1:6" ht="16" thickBot="1" x14ac:dyDescent="0.25">
      <c r="A651" s="83">
        <v>2</v>
      </c>
      <c r="B651" s="129" t="s">
        <v>153</v>
      </c>
      <c r="C651" s="129" t="s">
        <v>149</v>
      </c>
      <c r="D651" s="83">
        <v>1267</v>
      </c>
      <c r="E651" s="103">
        <v>149462.10118999999</v>
      </c>
      <c r="F651" s="129" t="s">
        <v>148</v>
      </c>
    </row>
    <row r="652" spans="1:6" ht="16" thickBot="1" x14ac:dyDescent="0.25">
      <c r="A652" s="83">
        <v>2</v>
      </c>
      <c r="B652" s="129" t="s">
        <v>154</v>
      </c>
      <c r="C652" s="129" t="s">
        <v>149</v>
      </c>
      <c r="D652" s="83">
        <v>1199</v>
      </c>
      <c r="E652" s="103">
        <v>2393008.5260000001</v>
      </c>
      <c r="F652" s="129" t="s">
        <v>256</v>
      </c>
    </row>
    <row r="653" spans="1:6" ht="16" thickBot="1" x14ac:dyDescent="0.25">
      <c r="A653" s="83">
        <v>2</v>
      </c>
      <c r="B653" s="129" t="s">
        <v>154</v>
      </c>
      <c r="C653" s="129" t="s">
        <v>149</v>
      </c>
      <c r="D653" s="83">
        <v>564</v>
      </c>
      <c r="E653" s="103">
        <v>80493.224679999999</v>
      </c>
      <c r="F653" s="129" t="s">
        <v>148</v>
      </c>
    </row>
    <row r="654" spans="1:6" ht="16" thickBot="1" x14ac:dyDescent="0.25">
      <c r="A654" s="83">
        <v>2</v>
      </c>
      <c r="B654" s="129" t="s">
        <v>155</v>
      </c>
      <c r="C654" s="129" t="s">
        <v>149</v>
      </c>
      <c r="D654" s="83">
        <v>359</v>
      </c>
      <c r="E654" s="103">
        <v>889524.14199999999</v>
      </c>
      <c r="F654" s="129" t="s">
        <v>256</v>
      </c>
    </row>
    <row r="655" spans="1:6" ht="16" thickBot="1" x14ac:dyDescent="0.25">
      <c r="A655" s="83">
        <v>2</v>
      </c>
      <c r="B655" s="129" t="s">
        <v>155</v>
      </c>
      <c r="C655" s="129" t="s">
        <v>149</v>
      </c>
      <c r="D655" s="83">
        <v>2668</v>
      </c>
      <c r="E655" s="103">
        <v>322892.95347000001</v>
      </c>
      <c r="F655" s="129" t="s">
        <v>148</v>
      </c>
    </row>
    <row r="656" spans="1:6" ht="16" thickBot="1" x14ac:dyDescent="0.25">
      <c r="A656" s="83">
        <v>2</v>
      </c>
      <c r="B656" s="129" t="s">
        <v>156</v>
      </c>
      <c r="C656" s="129" t="s">
        <v>149</v>
      </c>
      <c r="D656" s="83">
        <v>2626</v>
      </c>
      <c r="E656" s="103">
        <v>3745785.9509999999</v>
      </c>
      <c r="F656" s="129" t="s">
        <v>256</v>
      </c>
    </row>
    <row r="657" spans="1:6" ht="16" thickBot="1" x14ac:dyDescent="0.25">
      <c r="A657" s="83">
        <v>2</v>
      </c>
      <c r="B657" s="129" t="s">
        <v>156</v>
      </c>
      <c r="C657" s="129" t="s">
        <v>149</v>
      </c>
      <c r="D657" s="83">
        <v>2564</v>
      </c>
      <c r="E657" s="103">
        <v>408521.39357999997</v>
      </c>
      <c r="F657" s="129" t="s">
        <v>148</v>
      </c>
    </row>
    <row r="658" spans="1:6" ht="16" thickBot="1" x14ac:dyDescent="0.25">
      <c r="A658" s="83">
        <v>2</v>
      </c>
      <c r="B658" s="129" t="s">
        <v>157</v>
      </c>
      <c r="C658" s="129" t="s">
        <v>149</v>
      </c>
      <c r="D658" s="83">
        <v>2553</v>
      </c>
      <c r="E658" s="103">
        <v>4005787.622</v>
      </c>
      <c r="F658" s="129" t="s">
        <v>256</v>
      </c>
    </row>
    <row r="659" spans="1:6" ht="16" thickBot="1" x14ac:dyDescent="0.25">
      <c r="A659" s="83">
        <v>2</v>
      </c>
      <c r="B659" s="129" t="s">
        <v>157</v>
      </c>
      <c r="C659" s="129" t="s">
        <v>149</v>
      </c>
      <c r="D659" s="83">
        <v>1808</v>
      </c>
      <c r="E659" s="103">
        <v>218626.57042</v>
      </c>
      <c r="F659" s="129" t="s">
        <v>148</v>
      </c>
    </row>
    <row r="660" spans="1:6" ht="16" thickBot="1" x14ac:dyDescent="0.25">
      <c r="A660" s="83">
        <v>2</v>
      </c>
      <c r="B660" s="129" t="s">
        <v>158</v>
      </c>
      <c r="C660" s="129" t="s">
        <v>149</v>
      </c>
      <c r="D660" s="83">
        <v>264</v>
      </c>
      <c r="E660" s="103">
        <v>610360.64</v>
      </c>
      <c r="F660" s="129" t="s">
        <v>256</v>
      </c>
    </row>
    <row r="661" spans="1:6" ht="16" thickBot="1" x14ac:dyDescent="0.25">
      <c r="A661" s="83">
        <v>2</v>
      </c>
      <c r="B661" s="129" t="s">
        <v>158</v>
      </c>
      <c r="C661" s="129" t="s">
        <v>149</v>
      </c>
      <c r="D661" s="83">
        <v>4</v>
      </c>
      <c r="E661" s="103">
        <v>642.65065000000004</v>
      </c>
      <c r="F661" s="129" t="s">
        <v>148</v>
      </c>
    </row>
    <row r="662" spans="1:6" ht="16" thickBot="1" x14ac:dyDescent="0.25">
      <c r="A662" s="83">
        <v>2</v>
      </c>
      <c r="B662" s="129" t="s">
        <v>159</v>
      </c>
      <c r="C662" s="129" t="s">
        <v>149</v>
      </c>
      <c r="D662" s="83">
        <v>549</v>
      </c>
      <c r="E662" s="103">
        <v>1361759.9040000001</v>
      </c>
      <c r="F662" s="129" t="s">
        <v>256</v>
      </c>
    </row>
    <row r="663" spans="1:6" ht="16" thickBot="1" x14ac:dyDescent="0.25">
      <c r="A663" s="83">
        <v>2</v>
      </c>
      <c r="B663" s="129" t="s">
        <v>160</v>
      </c>
      <c r="C663" s="129" t="s">
        <v>149</v>
      </c>
      <c r="D663" s="83">
        <v>646</v>
      </c>
      <c r="E663" s="103">
        <v>531547.84499999997</v>
      </c>
      <c r="F663" s="129" t="s">
        <v>256</v>
      </c>
    </row>
    <row r="664" spans="1:6" ht="16" thickBot="1" x14ac:dyDescent="0.25">
      <c r="A664" s="83">
        <v>2</v>
      </c>
      <c r="B664" s="129" t="s">
        <v>160</v>
      </c>
      <c r="C664" s="129" t="s">
        <v>149</v>
      </c>
      <c r="D664" s="83">
        <v>642</v>
      </c>
      <c r="E664" s="103">
        <v>107983.45632</v>
      </c>
      <c r="F664" s="129" t="s">
        <v>148</v>
      </c>
    </row>
    <row r="665" spans="1:6" ht="16" thickBot="1" x14ac:dyDescent="0.25">
      <c r="A665" s="83">
        <v>2</v>
      </c>
      <c r="B665" s="129" t="s">
        <v>161</v>
      </c>
      <c r="C665" s="129" t="s">
        <v>149</v>
      </c>
      <c r="D665" s="83">
        <v>441</v>
      </c>
      <c r="E665" s="103">
        <v>1106591.196</v>
      </c>
      <c r="F665" s="129" t="s">
        <v>256</v>
      </c>
    </row>
    <row r="666" spans="1:6" ht="16" thickBot="1" x14ac:dyDescent="0.25">
      <c r="A666" s="83">
        <v>2</v>
      </c>
      <c r="B666" s="129" t="s">
        <v>162</v>
      </c>
      <c r="C666" s="129" t="s">
        <v>149</v>
      </c>
      <c r="D666" s="83">
        <v>705</v>
      </c>
      <c r="E666" s="103">
        <v>1505175.672</v>
      </c>
      <c r="F666" s="129" t="s">
        <v>256</v>
      </c>
    </row>
    <row r="667" spans="1:6" ht="16" thickBot="1" x14ac:dyDescent="0.25">
      <c r="A667" s="83">
        <v>2</v>
      </c>
      <c r="B667" s="129" t="s">
        <v>163</v>
      </c>
      <c r="C667" s="129" t="s">
        <v>149</v>
      </c>
      <c r="D667" s="83">
        <v>84</v>
      </c>
      <c r="E667" s="103">
        <v>170329.91500000001</v>
      </c>
      <c r="F667" s="129" t="s">
        <v>256</v>
      </c>
    </row>
    <row r="668" spans="1:6" ht="16" thickBot="1" x14ac:dyDescent="0.25">
      <c r="A668" s="83">
        <v>2</v>
      </c>
      <c r="B668" s="129" t="s">
        <v>163</v>
      </c>
      <c r="C668" s="129" t="s">
        <v>149</v>
      </c>
      <c r="D668" s="83">
        <v>7</v>
      </c>
      <c r="E668" s="103">
        <v>654.66206999999997</v>
      </c>
      <c r="F668" s="129" t="s">
        <v>148</v>
      </c>
    </row>
    <row r="669" spans="1:6" ht="16" thickBot="1" x14ac:dyDescent="0.25">
      <c r="A669" s="83">
        <v>2</v>
      </c>
      <c r="B669" s="129" t="s">
        <v>164</v>
      </c>
      <c r="C669" s="129" t="s">
        <v>149</v>
      </c>
      <c r="D669" s="83">
        <v>6013</v>
      </c>
      <c r="E669" s="103">
        <v>6927669.1440000003</v>
      </c>
      <c r="F669" s="129" t="s">
        <v>256</v>
      </c>
    </row>
    <row r="670" spans="1:6" ht="16" thickBot="1" x14ac:dyDescent="0.25">
      <c r="A670" s="83">
        <v>2</v>
      </c>
      <c r="B670" s="129" t="s">
        <v>164</v>
      </c>
      <c r="C670" s="129" t="s">
        <v>149</v>
      </c>
      <c r="D670" s="83">
        <v>5854</v>
      </c>
      <c r="E670" s="103">
        <v>695032.30871000001</v>
      </c>
      <c r="F670" s="129" t="s">
        <v>148</v>
      </c>
    </row>
    <row r="671" spans="1:6" ht="16" thickBot="1" x14ac:dyDescent="0.25">
      <c r="A671" s="83">
        <v>2</v>
      </c>
      <c r="B671" s="129" t="s">
        <v>165</v>
      </c>
      <c r="C671" s="129" t="s">
        <v>149</v>
      </c>
      <c r="D671" s="83">
        <v>100</v>
      </c>
      <c r="E671" s="103">
        <v>245530.86499999999</v>
      </c>
      <c r="F671" s="129" t="s">
        <v>256</v>
      </c>
    </row>
    <row r="672" spans="1:6" ht="16" thickBot="1" x14ac:dyDescent="0.25">
      <c r="A672" s="83">
        <v>2</v>
      </c>
      <c r="B672" s="129" t="s">
        <v>166</v>
      </c>
      <c r="C672" s="129" t="s">
        <v>149</v>
      </c>
      <c r="D672" s="83">
        <v>3998</v>
      </c>
      <c r="E672" s="103">
        <v>4720137.2589999996</v>
      </c>
      <c r="F672" s="129" t="s">
        <v>256</v>
      </c>
    </row>
    <row r="673" spans="1:6" ht="16" thickBot="1" x14ac:dyDescent="0.25">
      <c r="A673" s="83">
        <v>2</v>
      </c>
      <c r="B673" s="129" t="s">
        <v>166</v>
      </c>
      <c r="C673" s="129" t="s">
        <v>149</v>
      </c>
      <c r="D673" s="83">
        <v>2925</v>
      </c>
      <c r="E673" s="103">
        <v>409871.51373000001</v>
      </c>
      <c r="F673" s="129" t="s">
        <v>148</v>
      </c>
    </row>
    <row r="674" spans="1:6" ht="16" thickBot="1" x14ac:dyDescent="0.25">
      <c r="A674" s="83">
        <v>2</v>
      </c>
      <c r="B674" s="129" t="s">
        <v>167</v>
      </c>
      <c r="C674" s="129" t="s">
        <v>149</v>
      </c>
      <c r="D674" s="83">
        <v>32</v>
      </c>
      <c r="E674" s="103">
        <v>70734.528999999995</v>
      </c>
      <c r="F674" s="129" t="s">
        <v>256</v>
      </c>
    </row>
    <row r="675" spans="1:6" ht="16" thickBot="1" x14ac:dyDescent="0.25">
      <c r="A675" s="83">
        <v>2</v>
      </c>
      <c r="B675" s="129" t="s">
        <v>168</v>
      </c>
      <c r="C675" s="129" t="s">
        <v>149</v>
      </c>
      <c r="D675" s="83">
        <v>2303</v>
      </c>
      <c r="E675" s="103">
        <v>3274353.4219999998</v>
      </c>
      <c r="F675" s="129" t="s">
        <v>256</v>
      </c>
    </row>
    <row r="676" spans="1:6" ht="16" thickBot="1" x14ac:dyDescent="0.25">
      <c r="A676" s="83">
        <v>2</v>
      </c>
      <c r="B676" s="129" t="s">
        <v>168</v>
      </c>
      <c r="C676" s="129" t="s">
        <v>149</v>
      </c>
      <c r="D676" s="83">
        <v>1946</v>
      </c>
      <c r="E676" s="103">
        <v>264940.44845999999</v>
      </c>
      <c r="F676" s="129" t="s">
        <v>148</v>
      </c>
    </row>
    <row r="677" spans="1:6" ht="16" thickBot="1" x14ac:dyDescent="0.25">
      <c r="A677" s="83">
        <v>2</v>
      </c>
      <c r="B677" s="129" t="s">
        <v>169</v>
      </c>
      <c r="C677" s="129" t="s">
        <v>149</v>
      </c>
      <c r="D677" s="83">
        <v>2874</v>
      </c>
      <c r="E677" s="103">
        <v>4388179.6370000001</v>
      </c>
      <c r="F677" s="129" t="s">
        <v>256</v>
      </c>
    </row>
    <row r="678" spans="1:6" ht="16" thickBot="1" x14ac:dyDescent="0.25">
      <c r="A678" s="83">
        <v>2</v>
      </c>
      <c r="B678" s="129" t="s">
        <v>169</v>
      </c>
      <c r="C678" s="129" t="s">
        <v>149</v>
      </c>
      <c r="D678" s="83">
        <v>1577</v>
      </c>
      <c r="E678" s="103">
        <v>190941.53685999999</v>
      </c>
      <c r="F678" s="129" t="s">
        <v>148</v>
      </c>
    </row>
    <row r="679" spans="1:6" ht="16" thickBot="1" x14ac:dyDescent="0.25">
      <c r="A679" s="83">
        <v>2</v>
      </c>
      <c r="B679" s="129" t="s">
        <v>170</v>
      </c>
      <c r="C679" s="129" t="s">
        <v>149</v>
      </c>
      <c r="D679" s="83">
        <v>142</v>
      </c>
      <c r="E679" s="103">
        <v>22747.009730000002</v>
      </c>
      <c r="F679" s="129" t="s">
        <v>148</v>
      </c>
    </row>
    <row r="680" spans="1:6" ht="16" thickBot="1" x14ac:dyDescent="0.25">
      <c r="A680" s="83">
        <v>2</v>
      </c>
      <c r="B680" s="129" t="s">
        <v>171</v>
      </c>
      <c r="C680" s="129" t="s">
        <v>149</v>
      </c>
      <c r="D680" s="83">
        <v>1194</v>
      </c>
      <c r="E680" s="103">
        <v>1926632.1</v>
      </c>
      <c r="F680" s="129" t="s">
        <v>256</v>
      </c>
    </row>
    <row r="681" spans="1:6" ht="16" thickBot="1" x14ac:dyDescent="0.25">
      <c r="A681" s="83">
        <v>2</v>
      </c>
      <c r="B681" s="129" t="s">
        <v>171</v>
      </c>
      <c r="C681" s="129" t="s">
        <v>149</v>
      </c>
      <c r="D681" s="83">
        <v>1149</v>
      </c>
      <c r="E681" s="103">
        <v>158309.79699</v>
      </c>
      <c r="F681" s="129" t="s">
        <v>148</v>
      </c>
    </row>
    <row r="682" spans="1:6" ht="16" thickBot="1" x14ac:dyDescent="0.25">
      <c r="A682" s="83">
        <v>2</v>
      </c>
      <c r="B682" s="129" t="s">
        <v>172</v>
      </c>
      <c r="C682" s="129" t="s">
        <v>149</v>
      </c>
      <c r="D682" s="83">
        <v>1047</v>
      </c>
      <c r="E682" s="103">
        <v>1775031.4539999999</v>
      </c>
      <c r="F682" s="129" t="s">
        <v>256</v>
      </c>
    </row>
    <row r="683" spans="1:6" ht="16" thickBot="1" x14ac:dyDescent="0.25">
      <c r="A683" s="83">
        <v>2</v>
      </c>
      <c r="B683" s="129" t="s">
        <v>172</v>
      </c>
      <c r="C683" s="129" t="s">
        <v>149</v>
      </c>
      <c r="D683" s="83">
        <v>1847</v>
      </c>
      <c r="E683" s="103">
        <v>246382.06604000001</v>
      </c>
      <c r="F683" s="129" t="s">
        <v>148</v>
      </c>
    </row>
    <row r="684" spans="1:6" ht="16" thickBot="1" x14ac:dyDescent="0.25">
      <c r="A684" s="83">
        <v>2</v>
      </c>
      <c r="B684" s="129" t="s">
        <v>173</v>
      </c>
      <c r="C684" s="129" t="s">
        <v>149</v>
      </c>
      <c r="D684" s="83">
        <v>1756</v>
      </c>
      <c r="E684" s="103">
        <v>2586474.1430000002</v>
      </c>
      <c r="F684" s="129" t="s">
        <v>256</v>
      </c>
    </row>
    <row r="685" spans="1:6" ht="16" thickBot="1" x14ac:dyDescent="0.25">
      <c r="A685" s="83">
        <v>2</v>
      </c>
      <c r="B685" s="129" t="s">
        <v>173</v>
      </c>
      <c r="C685" s="129" t="s">
        <v>149</v>
      </c>
      <c r="D685" s="83">
        <v>1553</v>
      </c>
      <c r="E685" s="103">
        <v>200350.36246999999</v>
      </c>
      <c r="F685" s="129" t="s">
        <v>148</v>
      </c>
    </row>
    <row r="686" spans="1:6" ht="16" thickBot="1" x14ac:dyDescent="0.25">
      <c r="A686" s="83">
        <v>2</v>
      </c>
      <c r="B686" s="129" t="s">
        <v>174</v>
      </c>
      <c r="C686" s="129" t="s">
        <v>149</v>
      </c>
      <c r="D686" s="83">
        <v>575</v>
      </c>
      <c r="E686" s="103">
        <v>1250864.777</v>
      </c>
      <c r="F686" s="129" t="s">
        <v>256</v>
      </c>
    </row>
    <row r="687" spans="1:6" ht="16" thickBot="1" x14ac:dyDescent="0.25">
      <c r="A687" s="83">
        <v>2</v>
      </c>
      <c r="B687" s="129" t="s">
        <v>174</v>
      </c>
      <c r="C687" s="129" t="s">
        <v>149</v>
      </c>
      <c r="D687" s="83">
        <v>206</v>
      </c>
      <c r="E687" s="103">
        <v>27917.339840000001</v>
      </c>
      <c r="F687" s="129" t="s">
        <v>148</v>
      </c>
    </row>
    <row r="688" spans="1:6" ht="16" thickBot="1" x14ac:dyDescent="0.25">
      <c r="A688" s="83">
        <v>2</v>
      </c>
      <c r="B688" s="129" t="s">
        <v>175</v>
      </c>
      <c r="C688" s="129" t="s">
        <v>149</v>
      </c>
      <c r="D688" s="83">
        <v>338</v>
      </c>
      <c r="E688" s="103">
        <v>827691.81700000004</v>
      </c>
      <c r="F688" s="129" t="s">
        <v>256</v>
      </c>
    </row>
    <row r="689" spans="1:6" ht="16" thickBot="1" x14ac:dyDescent="0.25">
      <c r="A689" s="83">
        <v>2</v>
      </c>
      <c r="B689" s="129" t="s">
        <v>176</v>
      </c>
      <c r="C689" s="129" t="s">
        <v>149</v>
      </c>
      <c r="D689" s="83">
        <v>168</v>
      </c>
      <c r="E689" s="103">
        <v>290946.804</v>
      </c>
      <c r="F689" s="129" t="s">
        <v>256</v>
      </c>
    </row>
    <row r="690" spans="1:6" ht="16" thickBot="1" x14ac:dyDescent="0.25">
      <c r="A690" s="83">
        <v>2</v>
      </c>
      <c r="B690" s="129" t="s">
        <v>176</v>
      </c>
      <c r="C690" s="129" t="s">
        <v>149</v>
      </c>
      <c r="D690" s="83">
        <v>90</v>
      </c>
      <c r="E690" s="103">
        <v>11633.76035</v>
      </c>
      <c r="F690" s="129" t="s">
        <v>148</v>
      </c>
    </row>
    <row r="691" spans="1:6" ht="16" thickBot="1" x14ac:dyDescent="0.25">
      <c r="A691" s="83">
        <v>2</v>
      </c>
      <c r="B691" s="129" t="s">
        <v>177</v>
      </c>
      <c r="C691" s="129" t="s">
        <v>149</v>
      </c>
      <c r="D691" s="83">
        <v>326</v>
      </c>
      <c r="E691" s="103">
        <v>509319.09</v>
      </c>
      <c r="F691" s="129" t="s">
        <v>256</v>
      </c>
    </row>
    <row r="692" spans="1:6" ht="16" thickBot="1" x14ac:dyDescent="0.25">
      <c r="A692" s="83">
        <v>2</v>
      </c>
      <c r="B692" s="129" t="s">
        <v>177</v>
      </c>
      <c r="C692" s="129" t="s">
        <v>149</v>
      </c>
      <c r="D692" s="83">
        <v>156</v>
      </c>
      <c r="E692" s="103">
        <v>18771.13351</v>
      </c>
      <c r="F692" s="129" t="s">
        <v>148</v>
      </c>
    </row>
    <row r="693" spans="1:6" ht="16" thickBot="1" x14ac:dyDescent="0.25">
      <c r="A693" s="83">
        <v>2</v>
      </c>
      <c r="B693" s="129" t="s">
        <v>178</v>
      </c>
      <c r="C693" s="129" t="s">
        <v>149</v>
      </c>
      <c r="D693" s="83">
        <v>453</v>
      </c>
      <c r="E693" s="103">
        <v>959325.57</v>
      </c>
      <c r="F693" s="129" t="s">
        <v>256</v>
      </c>
    </row>
    <row r="694" spans="1:6" ht="16" thickBot="1" x14ac:dyDescent="0.25">
      <c r="A694" s="83">
        <v>2</v>
      </c>
      <c r="B694" s="129" t="s">
        <v>179</v>
      </c>
      <c r="C694" s="129" t="s">
        <v>149</v>
      </c>
      <c r="D694" s="83">
        <v>51</v>
      </c>
      <c r="E694" s="103">
        <v>124414.178</v>
      </c>
      <c r="F694" s="129" t="s">
        <v>256</v>
      </c>
    </row>
    <row r="695" spans="1:6" ht="16" thickBot="1" x14ac:dyDescent="0.25">
      <c r="A695" s="83">
        <v>2</v>
      </c>
      <c r="B695" s="129" t="s">
        <v>180</v>
      </c>
      <c r="C695" s="129" t="s">
        <v>149</v>
      </c>
      <c r="D695" s="83">
        <v>90</v>
      </c>
      <c r="E695" s="103">
        <v>14532.966249999999</v>
      </c>
      <c r="F695" s="129" t="s">
        <v>148</v>
      </c>
    </row>
    <row r="696" spans="1:6" ht="16" thickBot="1" x14ac:dyDescent="0.25">
      <c r="A696" s="83">
        <v>2</v>
      </c>
      <c r="B696" s="129" t="s">
        <v>181</v>
      </c>
      <c r="C696" s="129" t="s">
        <v>149</v>
      </c>
      <c r="D696" s="83">
        <v>312</v>
      </c>
      <c r="E696" s="103">
        <v>411326.79</v>
      </c>
      <c r="F696" s="129" t="s">
        <v>256</v>
      </c>
    </row>
    <row r="697" spans="1:6" ht="16" thickBot="1" x14ac:dyDescent="0.25">
      <c r="A697" s="83">
        <v>2</v>
      </c>
      <c r="B697" s="129" t="s">
        <v>181</v>
      </c>
      <c r="C697" s="129" t="s">
        <v>149</v>
      </c>
      <c r="D697" s="83">
        <v>3742</v>
      </c>
      <c r="E697" s="103">
        <v>531739.11779000005</v>
      </c>
      <c r="F697" s="129" t="s">
        <v>148</v>
      </c>
    </row>
    <row r="698" spans="1:6" ht="16" thickBot="1" x14ac:dyDescent="0.25">
      <c r="A698" s="83">
        <v>2</v>
      </c>
      <c r="B698" s="129" t="s">
        <v>182</v>
      </c>
      <c r="C698" s="129" t="s">
        <v>149</v>
      </c>
      <c r="D698" s="83">
        <v>74</v>
      </c>
      <c r="E698" s="103">
        <v>192508.954</v>
      </c>
      <c r="F698" s="129" t="s">
        <v>256</v>
      </c>
    </row>
    <row r="699" spans="1:6" ht="16" thickBot="1" x14ac:dyDescent="0.25">
      <c r="A699" s="83">
        <v>2</v>
      </c>
      <c r="B699" s="129" t="s">
        <v>183</v>
      </c>
      <c r="C699" s="129" t="s">
        <v>149</v>
      </c>
      <c r="D699" s="83">
        <v>364</v>
      </c>
      <c r="E699" s="103">
        <v>723262.81900000002</v>
      </c>
      <c r="F699" s="129" t="s">
        <v>256</v>
      </c>
    </row>
    <row r="700" spans="1:6" ht="16" thickBot="1" x14ac:dyDescent="0.25">
      <c r="A700" s="83">
        <v>2</v>
      </c>
      <c r="B700" s="129" t="s">
        <v>184</v>
      </c>
      <c r="C700" s="129" t="s">
        <v>149</v>
      </c>
      <c r="D700" s="83">
        <v>820</v>
      </c>
      <c r="E700" s="103">
        <v>1537994.912</v>
      </c>
      <c r="F700" s="129" t="s">
        <v>256</v>
      </c>
    </row>
    <row r="701" spans="1:6" ht="16" thickBot="1" x14ac:dyDescent="0.25">
      <c r="A701" s="83">
        <v>2</v>
      </c>
      <c r="B701" s="129" t="s">
        <v>184</v>
      </c>
      <c r="C701" s="129" t="s">
        <v>149</v>
      </c>
      <c r="D701" s="83">
        <v>7</v>
      </c>
      <c r="E701" s="103">
        <v>969.45599000000004</v>
      </c>
      <c r="F701" s="129" t="s">
        <v>148</v>
      </c>
    </row>
    <row r="702" spans="1:6" ht="16" thickBot="1" x14ac:dyDescent="0.25">
      <c r="A702" s="83">
        <v>2</v>
      </c>
      <c r="B702" s="129" t="s">
        <v>185</v>
      </c>
      <c r="C702" s="129" t="s">
        <v>149</v>
      </c>
      <c r="D702" s="83">
        <v>304</v>
      </c>
      <c r="E702" s="103">
        <v>421126.82699999999</v>
      </c>
      <c r="F702" s="129" t="s">
        <v>256</v>
      </c>
    </row>
    <row r="703" spans="1:6" ht="16" thickBot="1" x14ac:dyDescent="0.25">
      <c r="A703" s="83">
        <v>2</v>
      </c>
      <c r="B703" s="129" t="s">
        <v>185</v>
      </c>
      <c r="C703" s="129" t="s">
        <v>149</v>
      </c>
      <c r="D703" s="83">
        <v>180</v>
      </c>
      <c r="E703" s="103">
        <v>17563.880880000001</v>
      </c>
      <c r="F703" s="129" t="s">
        <v>148</v>
      </c>
    </row>
    <row r="704" spans="1:6" ht="16" thickBot="1" x14ac:dyDescent="0.25">
      <c r="A704" s="83">
        <v>2</v>
      </c>
      <c r="B704" s="129" t="s">
        <v>186</v>
      </c>
      <c r="C704" s="129" t="s">
        <v>149</v>
      </c>
      <c r="D704" s="83">
        <v>166</v>
      </c>
      <c r="E704" s="103">
        <v>402353.55</v>
      </c>
      <c r="F704" s="129" t="s">
        <v>256</v>
      </c>
    </row>
    <row r="705" spans="1:6" ht="16" thickBot="1" x14ac:dyDescent="0.25">
      <c r="A705" s="83">
        <v>2</v>
      </c>
      <c r="B705" s="129" t="s">
        <v>187</v>
      </c>
      <c r="C705" s="129" t="s">
        <v>149</v>
      </c>
      <c r="D705" s="83">
        <v>4</v>
      </c>
      <c r="E705" s="103">
        <v>6440.0119999999997</v>
      </c>
      <c r="F705" s="129" t="s">
        <v>256</v>
      </c>
    </row>
    <row r="706" spans="1:6" ht="16" thickBot="1" x14ac:dyDescent="0.25">
      <c r="A706" s="83">
        <v>2</v>
      </c>
      <c r="B706" s="129" t="s">
        <v>188</v>
      </c>
      <c r="C706" s="129" t="s">
        <v>149</v>
      </c>
      <c r="D706" s="83">
        <v>2</v>
      </c>
      <c r="E706" s="103">
        <v>1822.289</v>
      </c>
      <c r="F706" s="129" t="s">
        <v>256</v>
      </c>
    </row>
    <row r="707" spans="1:6" ht="16" thickBot="1" x14ac:dyDescent="0.25">
      <c r="A707" s="83">
        <v>2</v>
      </c>
      <c r="B707" s="129" t="s">
        <v>189</v>
      </c>
      <c r="C707" s="129" t="s">
        <v>149</v>
      </c>
      <c r="D707" s="83">
        <v>1754</v>
      </c>
      <c r="E707" s="103">
        <v>2904027.2089999998</v>
      </c>
      <c r="F707" s="129" t="s">
        <v>256</v>
      </c>
    </row>
    <row r="708" spans="1:6" ht="16" thickBot="1" x14ac:dyDescent="0.25">
      <c r="A708" s="83">
        <v>2</v>
      </c>
      <c r="B708" s="129" t="s">
        <v>189</v>
      </c>
      <c r="C708" s="129" t="s">
        <v>149</v>
      </c>
      <c r="D708" s="83">
        <v>1126</v>
      </c>
      <c r="E708" s="103">
        <v>135232.89554</v>
      </c>
      <c r="F708" s="129" t="s">
        <v>148</v>
      </c>
    </row>
    <row r="709" spans="1:6" ht="16" thickBot="1" x14ac:dyDescent="0.25">
      <c r="A709" s="83">
        <v>2</v>
      </c>
      <c r="B709" s="129" t="s">
        <v>190</v>
      </c>
      <c r="C709" s="129" t="s">
        <v>149</v>
      </c>
      <c r="D709" s="83">
        <v>195</v>
      </c>
      <c r="E709" s="103">
        <v>460196.022</v>
      </c>
      <c r="F709" s="129" t="s">
        <v>256</v>
      </c>
    </row>
    <row r="710" spans="1:6" ht="16" thickBot="1" x14ac:dyDescent="0.25">
      <c r="A710" s="83">
        <v>2</v>
      </c>
      <c r="B710" s="129" t="s">
        <v>190</v>
      </c>
      <c r="C710" s="129" t="s">
        <v>149</v>
      </c>
      <c r="D710" s="83">
        <v>15</v>
      </c>
      <c r="E710" s="103">
        <v>1877.34005</v>
      </c>
      <c r="F710" s="129" t="s">
        <v>148</v>
      </c>
    </row>
    <row r="711" spans="1:6" ht="16" thickBot="1" x14ac:dyDescent="0.25">
      <c r="A711" s="83">
        <v>2</v>
      </c>
      <c r="B711" s="129" t="s">
        <v>191</v>
      </c>
      <c r="C711" s="129" t="s">
        <v>149</v>
      </c>
      <c r="D711" s="83">
        <v>1731</v>
      </c>
      <c r="E711" s="103">
        <v>2249721.6630000002</v>
      </c>
      <c r="F711" s="129" t="s">
        <v>256</v>
      </c>
    </row>
    <row r="712" spans="1:6" ht="16" thickBot="1" x14ac:dyDescent="0.25">
      <c r="A712" s="83">
        <v>2</v>
      </c>
      <c r="B712" s="129" t="s">
        <v>191</v>
      </c>
      <c r="C712" s="129" t="s">
        <v>149</v>
      </c>
      <c r="D712" s="83">
        <v>942</v>
      </c>
      <c r="E712" s="103">
        <v>113774.00275</v>
      </c>
      <c r="F712" s="129" t="s">
        <v>148</v>
      </c>
    </row>
    <row r="713" spans="1:6" ht="16" thickBot="1" x14ac:dyDescent="0.25">
      <c r="A713" s="83">
        <v>2</v>
      </c>
      <c r="B713" s="129" t="s">
        <v>192</v>
      </c>
      <c r="C713" s="129" t="s">
        <v>149</v>
      </c>
      <c r="D713" s="83">
        <v>283</v>
      </c>
      <c r="E713" s="103">
        <v>447840.95600000001</v>
      </c>
      <c r="F713" s="129" t="s">
        <v>256</v>
      </c>
    </row>
    <row r="714" spans="1:6" ht="16" thickBot="1" x14ac:dyDescent="0.25">
      <c r="A714" s="83">
        <v>2</v>
      </c>
      <c r="B714" s="129" t="s">
        <v>192</v>
      </c>
      <c r="C714" s="129" t="s">
        <v>149</v>
      </c>
      <c r="D714" s="83">
        <v>167</v>
      </c>
      <c r="E714" s="103">
        <v>24187.201639999999</v>
      </c>
      <c r="F714" s="129" t="s">
        <v>148</v>
      </c>
    </row>
    <row r="715" spans="1:6" ht="16" thickBot="1" x14ac:dyDescent="0.25">
      <c r="A715" s="83">
        <v>2</v>
      </c>
      <c r="B715" s="129" t="s">
        <v>193</v>
      </c>
      <c r="C715" s="129" t="s">
        <v>149</v>
      </c>
      <c r="D715" s="83">
        <v>6706</v>
      </c>
      <c r="E715" s="103">
        <v>10703690.138</v>
      </c>
      <c r="F715" s="129" t="s">
        <v>256</v>
      </c>
    </row>
    <row r="716" spans="1:6" ht="16" thickBot="1" x14ac:dyDescent="0.25">
      <c r="A716" s="83">
        <v>2</v>
      </c>
      <c r="B716" s="129" t="s">
        <v>193</v>
      </c>
      <c r="C716" s="129" t="s">
        <v>149</v>
      </c>
      <c r="D716" s="83">
        <v>1727</v>
      </c>
      <c r="E716" s="103">
        <v>211084.81638</v>
      </c>
      <c r="F716" s="129" t="s">
        <v>148</v>
      </c>
    </row>
    <row r="717" spans="1:6" ht="16" thickBot="1" x14ac:dyDescent="0.25">
      <c r="A717" s="83">
        <v>2</v>
      </c>
      <c r="B717" s="129" t="s">
        <v>194</v>
      </c>
      <c r="C717" s="129" t="s">
        <v>149</v>
      </c>
      <c r="D717" s="83">
        <v>161</v>
      </c>
      <c r="E717" s="103">
        <v>342310.61599999998</v>
      </c>
      <c r="F717" s="129" t="s">
        <v>256</v>
      </c>
    </row>
    <row r="718" spans="1:6" ht="16" thickBot="1" x14ac:dyDescent="0.25">
      <c r="A718" s="83">
        <v>2</v>
      </c>
      <c r="B718" s="129" t="s">
        <v>195</v>
      </c>
      <c r="C718" s="129" t="s">
        <v>149</v>
      </c>
      <c r="D718" s="83">
        <v>1004</v>
      </c>
      <c r="E718" s="103">
        <v>1621011.395</v>
      </c>
      <c r="F718" s="129" t="s">
        <v>256</v>
      </c>
    </row>
    <row r="719" spans="1:6" ht="16" thickBot="1" x14ac:dyDescent="0.25">
      <c r="A719" s="83">
        <v>2</v>
      </c>
      <c r="B719" s="129" t="s">
        <v>195</v>
      </c>
      <c r="C719" s="129" t="s">
        <v>149</v>
      </c>
      <c r="D719" s="83">
        <v>612</v>
      </c>
      <c r="E719" s="103">
        <v>80873.955979999999</v>
      </c>
      <c r="F719" s="129" t="s">
        <v>148</v>
      </c>
    </row>
    <row r="720" spans="1:6" ht="16" thickBot="1" x14ac:dyDescent="0.25">
      <c r="A720" s="83">
        <v>2</v>
      </c>
      <c r="B720" s="129" t="s">
        <v>196</v>
      </c>
      <c r="C720" s="129" t="s">
        <v>149</v>
      </c>
      <c r="D720" s="83">
        <v>227</v>
      </c>
      <c r="E720" s="103">
        <v>341954.57799999998</v>
      </c>
      <c r="F720" s="129" t="s">
        <v>256</v>
      </c>
    </row>
    <row r="721" spans="1:6" ht="16" thickBot="1" x14ac:dyDescent="0.25">
      <c r="A721" s="83">
        <v>2</v>
      </c>
      <c r="B721" s="129" t="s">
        <v>196</v>
      </c>
      <c r="C721" s="129" t="s">
        <v>149</v>
      </c>
      <c r="D721" s="83">
        <v>126</v>
      </c>
      <c r="E721" s="103">
        <v>16065.900149999999</v>
      </c>
      <c r="F721" s="129" t="s">
        <v>148</v>
      </c>
    </row>
    <row r="722" spans="1:6" ht="16" thickBot="1" x14ac:dyDescent="0.25">
      <c r="A722" s="83">
        <v>2</v>
      </c>
      <c r="B722" s="129" t="s">
        <v>197</v>
      </c>
      <c r="C722" s="129" t="s">
        <v>149</v>
      </c>
      <c r="D722" s="83">
        <v>528</v>
      </c>
      <c r="E722" s="103">
        <v>907125.33900000004</v>
      </c>
      <c r="F722" s="129" t="s">
        <v>256</v>
      </c>
    </row>
    <row r="723" spans="1:6" ht="16" thickBot="1" x14ac:dyDescent="0.25">
      <c r="A723" s="83">
        <v>2</v>
      </c>
      <c r="B723" s="129" t="s">
        <v>198</v>
      </c>
      <c r="C723" s="129" t="s">
        <v>149</v>
      </c>
      <c r="D723" s="83">
        <v>113</v>
      </c>
      <c r="E723" s="103">
        <v>217039.24100000001</v>
      </c>
      <c r="F723" s="129" t="s">
        <v>256</v>
      </c>
    </row>
    <row r="724" spans="1:6" ht="16" thickBot="1" x14ac:dyDescent="0.25">
      <c r="A724" s="83">
        <v>2</v>
      </c>
      <c r="B724" s="129" t="s">
        <v>199</v>
      </c>
      <c r="C724" s="129" t="s">
        <v>149</v>
      </c>
      <c r="D724" s="83">
        <v>510</v>
      </c>
      <c r="E724" s="103">
        <v>652420.304</v>
      </c>
      <c r="F724" s="129" t="s">
        <v>256</v>
      </c>
    </row>
    <row r="725" spans="1:6" ht="16" thickBot="1" x14ac:dyDescent="0.25">
      <c r="A725" s="83">
        <v>2</v>
      </c>
      <c r="B725" s="129" t="s">
        <v>200</v>
      </c>
      <c r="C725" s="129" t="s">
        <v>149</v>
      </c>
      <c r="D725" s="83">
        <v>407</v>
      </c>
      <c r="E725" s="103">
        <v>869309.31299999997</v>
      </c>
      <c r="F725" s="129" t="s">
        <v>256</v>
      </c>
    </row>
    <row r="726" spans="1:6" ht="16" thickBot="1" x14ac:dyDescent="0.25">
      <c r="A726" s="83">
        <v>2</v>
      </c>
      <c r="B726" s="129" t="s">
        <v>201</v>
      </c>
      <c r="C726" s="129" t="s">
        <v>149</v>
      </c>
      <c r="D726" s="83">
        <v>121</v>
      </c>
      <c r="E726" s="103">
        <v>175260.878</v>
      </c>
      <c r="F726" s="129" t="s">
        <v>256</v>
      </c>
    </row>
    <row r="727" spans="1:6" ht="16" thickBot="1" x14ac:dyDescent="0.25">
      <c r="A727" s="83">
        <v>2</v>
      </c>
      <c r="B727" s="129" t="s">
        <v>202</v>
      </c>
      <c r="C727" s="129" t="s">
        <v>149</v>
      </c>
      <c r="D727" s="83">
        <v>262</v>
      </c>
      <c r="E727" s="103">
        <v>418137.02100000001</v>
      </c>
      <c r="F727" s="129" t="s">
        <v>256</v>
      </c>
    </row>
    <row r="728" spans="1:6" ht="16" thickBot="1" x14ac:dyDescent="0.25">
      <c r="A728" s="83">
        <v>2</v>
      </c>
      <c r="B728" s="129" t="s">
        <v>202</v>
      </c>
      <c r="C728" s="129" t="s">
        <v>149</v>
      </c>
      <c r="D728" s="83">
        <v>169</v>
      </c>
      <c r="E728" s="103">
        <v>24238.679319999999</v>
      </c>
      <c r="F728" s="129" t="s">
        <v>148</v>
      </c>
    </row>
    <row r="729" spans="1:6" ht="16" thickBot="1" x14ac:dyDescent="0.25">
      <c r="A729" s="83">
        <v>2</v>
      </c>
      <c r="B729" s="129" t="s">
        <v>203</v>
      </c>
      <c r="C729" s="129" t="s">
        <v>149</v>
      </c>
      <c r="D729" s="83">
        <v>340</v>
      </c>
      <c r="E729" s="103">
        <v>476854.86300000001</v>
      </c>
      <c r="F729" s="129" t="s">
        <v>256</v>
      </c>
    </row>
    <row r="730" spans="1:6" ht="16" thickBot="1" x14ac:dyDescent="0.25">
      <c r="A730" s="83">
        <v>2</v>
      </c>
      <c r="B730" s="129" t="s">
        <v>204</v>
      </c>
      <c r="C730" s="129" t="s">
        <v>149</v>
      </c>
      <c r="D730" s="83">
        <v>897</v>
      </c>
      <c r="E730" s="103">
        <v>1078514.7679999999</v>
      </c>
      <c r="F730" s="129" t="s">
        <v>256</v>
      </c>
    </row>
    <row r="731" spans="1:6" ht="16" thickBot="1" x14ac:dyDescent="0.25">
      <c r="A731" s="83">
        <v>2</v>
      </c>
      <c r="B731" s="129" t="s">
        <v>205</v>
      </c>
      <c r="C731" s="129" t="s">
        <v>149</v>
      </c>
      <c r="D731" s="83">
        <v>3245</v>
      </c>
      <c r="E731" s="103">
        <v>4702247.2359999996</v>
      </c>
      <c r="F731" s="129" t="s">
        <v>256</v>
      </c>
    </row>
    <row r="732" spans="1:6" ht="16" thickBot="1" x14ac:dyDescent="0.25">
      <c r="A732" s="83">
        <v>2</v>
      </c>
      <c r="B732" s="129" t="s">
        <v>205</v>
      </c>
      <c r="C732" s="129" t="s">
        <v>149</v>
      </c>
      <c r="D732" s="83">
        <v>711</v>
      </c>
      <c r="E732" s="103">
        <v>67053.918340000004</v>
      </c>
      <c r="F732" s="129" t="s">
        <v>148</v>
      </c>
    </row>
    <row r="733" spans="1:6" ht="16" thickBot="1" x14ac:dyDescent="0.25">
      <c r="A733" s="83">
        <v>2</v>
      </c>
      <c r="B733" s="129" t="s">
        <v>206</v>
      </c>
      <c r="C733" s="129" t="s">
        <v>149</v>
      </c>
      <c r="D733" s="83">
        <v>206</v>
      </c>
      <c r="E733" s="103">
        <v>282707.41800000001</v>
      </c>
      <c r="F733" s="129" t="s">
        <v>256</v>
      </c>
    </row>
    <row r="734" spans="1:6" ht="16" thickBot="1" x14ac:dyDescent="0.25">
      <c r="A734" s="83">
        <v>2</v>
      </c>
      <c r="B734" s="129" t="s">
        <v>206</v>
      </c>
      <c r="C734" s="129" t="s">
        <v>149</v>
      </c>
      <c r="D734" s="83">
        <v>124</v>
      </c>
      <c r="E734" s="103">
        <v>15259.943960000001</v>
      </c>
      <c r="F734" s="129" t="s">
        <v>148</v>
      </c>
    </row>
    <row r="735" spans="1:6" ht="16" thickBot="1" x14ac:dyDescent="0.25">
      <c r="A735" s="83">
        <v>2</v>
      </c>
      <c r="B735" s="129" t="s">
        <v>207</v>
      </c>
      <c r="C735" s="129" t="s">
        <v>149</v>
      </c>
      <c r="D735" s="83">
        <v>1</v>
      </c>
      <c r="E735" s="83">
        <v>151</v>
      </c>
      <c r="F735" s="129" t="s">
        <v>148</v>
      </c>
    </row>
    <row r="736" spans="1:6" ht="16" thickBot="1" x14ac:dyDescent="0.25">
      <c r="A736" s="83">
        <v>2</v>
      </c>
      <c r="B736" s="129" t="s">
        <v>208</v>
      </c>
      <c r="C736" s="129" t="s">
        <v>149</v>
      </c>
      <c r="D736" s="83">
        <v>47</v>
      </c>
      <c r="E736" s="103">
        <v>58318.296000000002</v>
      </c>
      <c r="F736" s="129" t="s">
        <v>256</v>
      </c>
    </row>
    <row r="737" spans="1:6" ht="16" thickBot="1" x14ac:dyDescent="0.25">
      <c r="A737" s="83">
        <v>2</v>
      </c>
      <c r="B737" s="129" t="s">
        <v>209</v>
      </c>
      <c r="C737" s="129" t="s">
        <v>149</v>
      </c>
      <c r="D737" s="83">
        <v>1857</v>
      </c>
      <c r="E737" s="103">
        <v>2317042.1290000002</v>
      </c>
      <c r="F737" s="129" t="s">
        <v>256</v>
      </c>
    </row>
    <row r="738" spans="1:6" ht="16" thickBot="1" x14ac:dyDescent="0.25">
      <c r="A738" s="83">
        <v>2</v>
      </c>
      <c r="B738" s="129" t="s">
        <v>209</v>
      </c>
      <c r="C738" s="129" t="s">
        <v>149</v>
      </c>
      <c r="D738" s="83">
        <v>631</v>
      </c>
      <c r="E738" s="103">
        <v>64006.049769999998</v>
      </c>
      <c r="F738" s="129" t="s">
        <v>148</v>
      </c>
    </row>
    <row r="739" spans="1:6" ht="16" thickBot="1" x14ac:dyDescent="0.25">
      <c r="A739" s="83">
        <v>2</v>
      </c>
      <c r="B739" s="129" t="s">
        <v>210</v>
      </c>
      <c r="C739" s="129" t="s">
        <v>149</v>
      </c>
      <c r="D739" s="83">
        <v>9</v>
      </c>
      <c r="E739" s="103">
        <v>33574.728999999999</v>
      </c>
      <c r="F739" s="129" t="s">
        <v>256</v>
      </c>
    </row>
    <row r="740" spans="1:6" ht="16" thickBot="1" x14ac:dyDescent="0.25">
      <c r="A740" s="83">
        <v>2</v>
      </c>
      <c r="B740" s="129" t="s">
        <v>211</v>
      </c>
      <c r="C740" s="129" t="s">
        <v>149</v>
      </c>
      <c r="D740" s="83">
        <v>95</v>
      </c>
      <c r="E740" s="103">
        <v>213725.03400000001</v>
      </c>
      <c r="F740" s="129" t="s">
        <v>256</v>
      </c>
    </row>
    <row r="741" spans="1:6" ht="16" thickBot="1" x14ac:dyDescent="0.25">
      <c r="A741" s="83">
        <v>2</v>
      </c>
      <c r="B741" s="129" t="s">
        <v>212</v>
      </c>
      <c r="C741" s="129" t="s">
        <v>149</v>
      </c>
      <c r="D741" s="83">
        <v>8</v>
      </c>
      <c r="E741" s="83">
        <v>8447</v>
      </c>
      <c r="F741" s="129" t="s">
        <v>256</v>
      </c>
    </row>
    <row r="742" spans="1:6" ht="16" thickBot="1" x14ac:dyDescent="0.25">
      <c r="A742" s="83">
        <v>2</v>
      </c>
      <c r="B742" s="129" t="s">
        <v>213</v>
      </c>
      <c r="C742" s="129" t="s">
        <v>149</v>
      </c>
      <c r="D742" s="83">
        <v>531</v>
      </c>
      <c r="E742" s="103">
        <v>889362.97199999995</v>
      </c>
      <c r="F742" s="129" t="s">
        <v>256</v>
      </c>
    </row>
    <row r="743" spans="1:6" ht="16" thickBot="1" x14ac:dyDescent="0.25">
      <c r="A743" s="83">
        <v>2</v>
      </c>
      <c r="B743" s="129" t="s">
        <v>214</v>
      </c>
      <c r="C743" s="129" t="s">
        <v>149</v>
      </c>
      <c r="D743" s="83">
        <v>239</v>
      </c>
      <c r="E743" s="103">
        <v>537454.87600000005</v>
      </c>
      <c r="F743" s="129" t="s">
        <v>256</v>
      </c>
    </row>
    <row r="744" spans="1:6" ht="16" thickBot="1" x14ac:dyDescent="0.25">
      <c r="A744" s="83">
        <v>2</v>
      </c>
      <c r="B744" s="129" t="s">
        <v>215</v>
      </c>
      <c r="C744" s="129" t="s">
        <v>149</v>
      </c>
      <c r="D744" s="83">
        <v>519</v>
      </c>
      <c r="E744" s="103">
        <v>709804.96699999995</v>
      </c>
      <c r="F744" s="129" t="s">
        <v>256</v>
      </c>
    </row>
    <row r="745" spans="1:6" ht="16" thickBot="1" x14ac:dyDescent="0.25">
      <c r="A745" s="83">
        <v>2</v>
      </c>
      <c r="B745" s="129" t="s">
        <v>215</v>
      </c>
      <c r="C745" s="129" t="s">
        <v>149</v>
      </c>
      <c r="D745" s="83">
        <v>350</v>
      </c>
      <c r="E745" s="103">
        <v>45958.839319999999</v>
      </c>
      <c r="F745" s="129" t="s">
        <v>148</v>
      </c>
    </row>
    <row r="746" spans="1:6" ht="16" thickBot="1" x14ac:dyDescent="0.25">
      <c r="A746" s="83">
        <v>2</v>
      </c>
      <c r="B746" s="129" t="s">
        <v>216</v>
      </c>
      <c r="C746" s="129" t="s">
        <v>149</v>
      </c>
      <c r="D746" s="83">
        <v>82</v>
      </c>
      <c r="E746" s="103">
        <v>110828.727</v>
      </c>
      <c r="F746" s="129" t="s">
        <v>256</v>
      </c>
    </row>
    <row r="747" spans="1:6" ht="16" thickBot="1" x14ac:dyDescent="0.25">
      <c r="A747" s="83">
        <v>2</v>
      </c>
      <c r="B747" s="129" t="s">
        <v>217</v>
      </c>
      <c r="C747" s="129" t="s">
        <v>149</v>
      </c>
      <c r="D747" s="83">
        <v>742</v>
      </c>
      <c r="E747" s="103">
        <v>1077021.439</v>
      </c>
      <c r="F747" s="129" t="s">
        <v>256</v>
      </c>
    </row>
    <row r="748" spans="1:6" ht="16" thickBot="1" x14ac:dyDescent="0.25">
      <c r="A748" s="83">
        <v>2</v>
      </c>
      <c r="B748" s="129" t="s">
        <v>217</v>
      </c>
      <c r="C748" s="129" t="s">
        <v>149</v>
      </c>
      <c r="D748" s="83">
        <v>433</v>
      </c>
      <c r="E748" s="103">
        <v>47140.081709999999</v>
      </c>
      <c r="F748" s="129" t="s">
        <v>148</v>
      </c>
    </row>
    <row r="749" spans="1:6" ht="16" thickBot="1" x14ac:dyDescent="0.25">
      <c r="A749" s="83">
        <v>2</v>
      </c>
      <c r="B749" s="129" t="s">
        <v>218</v>
      </c>
      <c r="C749" s="129" t="s">
        <v>149</v>
      </c>
      <c r="D749" s="83">
        <v>12414</v>
      </c>
      <c r="E749" s="103">
        <v>14338874.028999999</v>
      </c>
      <c r="F749" s="129" t="s">
        <v>256</v>
      </c>
    </row>
    <row r="750" spans="1:6" ht="16" thickBot="1" x14ac:dyDescent="0.25">
      <c r="A750" s="83">
        <v>2</v>
      </c>
      <c r="B750" s="129" t="s">
        <v>218</v>
      </c>
      <c r="C750" s="129" t="s">
        <v>149</v>
      </c>
      <c r="D750" s="83">
        <v>5203</v>
      </c>
      <c r="E750" s="103">
        <v>651320.05874000001</v>
      </c>
      <c r="F750" s="129" t="s">
        <v>148</v>
      </c>
    </row>
    <row r="751" spans="1:6" ht="16" thickBot="1" x14ac:dyDescent="0.25">
      <c r="A751" s="83">
        <v>2</v>
      </c>
      <c r="B751" s="129" t="s">
        <v>219</v>
      </c>
      <c r="C751" s="129" t="s">
        <v>149</v>
      </c>
      <c r="D751" s="83">
        <v>10</v>
      </c>
      <c r="E751" s="103">
        <v>8621.9689999999991</v>
      </c>
      <c r="F751" s="129" t="s">
        <v>256</v>
      </c>
    </row>
    <row r="752" spans="1:6" ht="16" thickBot="1" x14ac:dyDescent="0.25">
      <c r="A752" s="83">
        <v>2</v>
      </c>
      <c r="B752" s="129" t="s">
        <v>219</v>
      </c>
      <c r="C752" s="129" t="s">
        <v>149</v>
      </c>
      <c r="D752" s="83">
        <v>10</v>
      </c>
      <c r="E752" s="103">
        <v>1763.4110900000001</v>
      </c>
      <c r="F752" s="129" t="s">
        <v>148</v>
      </c>
    </row>
    <row r="753" spans="1:6" ht="16" thickBot="1" x14ac:dyDescent="0.25">
      <c r="A753" s="83">
        <v>2</v>
      </c>
      <c r="B753" s="129" t="s">
        <v>220</v>
      </c>
      <c r="C753" s="129" t="s">
        <v>149</v>
      </c>
      <c r="D753" s="83">
        <v>344</v>
      </c>
      <c r="E753" s="103">
        <v>524304.321</v>
      </c>
      <c r="F753" s="129" t="s">
        <v>256</v>
      </c>
    </row>
    <row r="754" spans="1:6" ht="16" thickBot="1" x14ac:dyDescent="0.25">
      <c r="A754" s="83">
        <v>2</v>
      </c>
      <c r="B754" s="129" t="s">
        <v>221</v>
      </c>
      <c r="C754" s="129" t="s">
        <v>149</v>
      </c>
      <c r="D754" s="83">
        <v>918</v>
      </c>
      <c r="E754" s="103">
        <v>1247729.358</v>
      </c>
      <c r="F754" s="129" t="s">
        <v>256</v>
      </c>
    </row>
    <row r="755" spans="1:6" ht="16" thickBot="1" x14ac:dyDescent="0.25">
      <c r="A755" s="83">
        <v>2</v>
      </c>
      <c r="B755" s="129" t="s">
        <v>221</v>
      </c>
      <c r="C755" s="129" t="s">
        <v>149</v>
      </c>
      <c r="D755" s="83">
        <v>628</v>
      </c>
      <c r="E755" s="103">
        <v>77409.889859999996</v>
      </c>
      <c r="F755" s="129" t="s">
        <v>148</v>
      </c>
    </row>
    <row r="756" spans="1:6" ht="16" thickBot="1" x14ac:dyDescent="0.25">
      <c r="A756" s="83">
        <v>2</v>
      </c>
      <c r="B756" s="129" t="s">
        <v>222</v>
      </c>
      <c r="C756" s="129" t="s">
        <v>149</v>
      </c>
      <c r="D756" s="83">
        <v>327</v>
      </c>
      <c r="E756" s="103">
        <v>453943.77600000001</v>
      </c>
      <c r="F756" s="129" t="s">
        <v>256</v>
      </c>
    </row>
    <row r="757" spans="1:6" ht="16" thickBot="1" x14ac:dyDescent="0.25">
      <c r="A757" s="83">
        <v>2</v>
      </c>
      <c r="B757" s="129" t="s">
        <v>222</v>
      </c>
      <c r="C757" s="129" t="s">
        <v>149</v>
      </c>
      <c r="D757" s="83">
        <v>191</v>
      </c>
      <c r="E757" s="103">
        <v>21279.098699999999</v>
      </c>
      <c r="F757" s="129" t="s">
        <v>148</v>
      </c>
    </row>
    <row r="758" spans="1:6" ht="16" thickBot="1" x14ac:dyDescent="0.25">
      <c r="A758" s="83">
        <v>2</v>
      </c>
      <c r="B758" s="129" t="s">
        <v>223</v>
      </c>
      <c r="C758" s="129" t="s">
        <v>149</v>
      </c>
      <c r="D758" s="83">
        <v>376</v>
      </c>
      <c r="E758" s="103">
        <v>633205.25399999996</v>
      </c>
      <c r="F758" s="129" t="s">
        <v>256</v>
      </c>
    </row>
    <row r="759" spans="1:6" ht="16" thickBot="1" x14ac:dyDescent="0.25">
      <c r="A759" s="83">
        <v>2</v>
      </c>
      <c r="B759" s="129" t="s">
        <v>223</v>
      </c>
      <c r="C759" s="129" t="s">
        <v>149</v>
      </c>
      <c r="D759" s="83">
        <v>226</v>
      </c>
      <c r="E759" s="103">
        <v>31715.91315</v>
      </c>
      <c r="F759" s="129" t="s">
        <v>148</v>
      </c>
    </row>
    <row r="760" spans="1:6" ht="16" thickBot="1" x14ac:dyDescent="0.25">
      <c r="A760" s="83">
        <v>2</v>
      </c>
      <c r="B760" s="129" t="s">
        <v>224</v>
      </c>
      <c r="C760" s="129" t="s">
        <v>149</v>
      </c>
      <c r="D760" s="83">
        <v>935</v>
      </c>
      <c r="E760" s="103">
        <v>1989079.412</v>
      </c>
      <c r="F760" s="129" t="s">
        <v>256</v>
      </c>
    </row>
    <row r="761" spans="1:6" ht="16" thickBot="1" x14ac:dyDescent="0.25">
      <c r="A761" s="83">
        <v>2</v>
      </c>
      <c r="B761" s="129" t="s">
        <v>225</v>
      </c>
      <c r="C761" s="129" t="s">
        <v>149</v>
      </c>
      <c r="D761" s="83">
        <v>45</v>
      </c>
      <c r="E761" s="103">
        <v>80187.792000000001</v>
      </c>
      <c r="F761" s="129" t="s">
        <v>256</v>
      </c>
    </row>
    <row r="762" spans="1:6" ht="16" thickBot="1" x14ac:dyDescent="0.25">
      <c r="A762" s="83">
        <v>2</v>
      </c>
      <c r="B762" s="129" t="s">
        <v>226</v>
      </c>
      <c r="C762" s="129" t="s">
        <v>149</v>
      </c>
      <c r="D762" s="83">
        <v>11</v>
      </c>
      <c r="E762" s="103">
        <v>31343.565999999999</v>
      </c>
      <c r="F762" s="129" t="s">
        <v>256</v>
      </c>
    </row>
    <row r="763" spans="1:6" ht="16" thickBot="1" x14ac:dyDescent="0.25">
      <c r="A763" s="83">
        <v>2</v>
      </c>
      <c r="B763" s="129" t="s">
        <v>227</v>
      </c>
      <c r="C763" s="129" t="s">
        <v>149</v>
      </c>
      <c r="D763" s="83">
        <v>220</v>
      </c>
      <c r="E763" s="103">
        <v>336991.50300000003</v>
      </c>
      <c r="F763" s="129" t="s">
        <v>256</v>
      </c>
    </row>
    <row r="764" spans="1:6" ht="16" thickBot="1" x14ac:dyDescent="0.25">
      <c r="A764" s="83">
        <v>2</v>
      </c>
      <c r="B764" s="129" t="s">
        <v>227</v>
      </c>
      <c r="C764" s="129" t="s">
        <v>149</v>
      </c>
      <c r="D764" s="83">
        <v>131</v>
      </c>
      <c r="E764" s="103">
        <v>18105.143349999998</v>
      </c>
      <c r="F764" s="129" t="s">
        <v>148</v>
      </c>
    </row>
    <row r="765" spans="1:6" ht="16" thickBot="1" x14ac:dyDescent="0.25">
      <c r="A765" s="83">
        <v>2</v>
      </c>
      <c r="B765" s="129" t="s">
        <v>228</v>
      </c>
      <c r="C765" s="129" t="s">
        <v>149</v>
      </c>
      <c r="D765" s="83">
        <v>1212</v>
      </c>
      <c r="E765" s="103">
        <v>2124406.611</v>
      </c>
      <c r="F765" s="129" t="s">
        <v>256</v>
      </c>
    </row>
    <row r="766" spans="1:6" ht="16" thickBot="1" x14ac:dyDescent="0.25">
      <c r="A766" s="83">
        <v>2</v>
      </c>
      <c r="B766" s="129" t="s">
        <v>228</v>
      </c>
      <c r="C766" s="129" t="s">
        <v>149</v>
      </c>
      <c r="D766" s="83">
        <v>40</v>
      </c>
      <c r="E766" s="103">
        <v>5465.4826199999998</v>
      </c>
      <c r="F766" s="129" t="s">
        <v>148</v>
      </c>
    </row>
    <row r="767" spans="1:6" ht="16" thickBot="1" x14ac:dyDescent="0.25">
      <c r="A767" s="83">
        <v>2</v>
      </c>
      <c r="B767" s="129" t="s">
        <v>229</v>
      </c>
      <c r="C767" s="129" t="s">
        <v>149</v>
      </c>
      <c r="D767" s="83">
        <v>726</v>
      </c>
      <c r="E767" s="103">
        <v>1667274.605</v>
      </c>
      <c r="F767" s="129" t="s">
        <v>256</v>
      </c>
    </row>
    <row r="768" spans="1:6" ht="16" thickBot="1" x14ac:dyDescent="0.25">
      <c r="A768" s="83">
        <v>2</v>
      </c>
      <c r="B768" s="129" t="s">
        <v>230</v>
      </c>
      <c r="C768" s="129" t="s">
        <v>149</v>
      </c>
      <c r="D768" s="83">
        <v>8034</v>
      </c>
      <c r="E768" s="103">
        <v>8809497.5280000009</v>
      </c>
      <c r="F768" s="129" t="s">
        <v>256</v>
      </c>
    </row>
    <row r="769" spans="1:6" ht="16" thickBot="1" x14ac:dyDescent="0.25">
      <c r="A769" s="83">
        <v>2</v>
      </c>
      <c r="B769" s="129" t="s">
        <v>230</v>
      </c>
      <c r="C769" s="129" t="s">
        <v>149</v>
      </c>
      <c r="D769" s="83">
        <v>3200</v>
      </c>
      <c r="E769" s="103">
        <v>417838.21334999998</v>
      </c>
      <c r="F769" s="129" t="s">
        <v>148</v>
      </c>
    </row>
    <row r="770" spans="1:6" ht="16" thickBot="1" x14ac:dyDescent="0.25">
      <c r="A770" s="83">
        <v>2</v>
      </c>
      <c r="B770" s="129" t="s">
        <v>231</v>
      </c>
      <c r="C770" s="129" t="s">
        <v>149</v>
      </c>
      <c r="D770" s="83">
        <v>8489</v>
      </c>
      <c r="E770" s="103">
        <v>10570011.095000001</v>
      </c>
      <c r="F770" s="129" t="s">
        <v>256</v>
      </c>
    </row>
    <row r="771" spans="1:6" ht="16" thickBot="1" x14ac:dyDescent="0.25">
      <c r="A771" s="83">
        <v>2</v>
      </c>
      <c r="B771" s="129" t="s">
        <v>231</v>
      </c>
      <c r="C771" s="129" t="s">
        <v>149</v>
      </c>
      <c r="D771" s="83">
        <v>4721</v>
      </c>
      <c r="E771" s="103">
        <v>603322.87867000001</v>
      </c>
      <c r="F771" s="129" t="s">
        <v>148</v>
      </c>
    </row>
    <row r="772" spans="1:6" ht="16" thickBot="1" x14ac:dyDescent="0.25">
      <c r="A772" s="83">
        <v>2</v>
      </c>
      <c r="B772" s="129" t="s">
        <v>232</v>
      </c>
      <c r="C772" s="129" t="s">
        <v>149</v>
      </c>
      <c r="D772" s="83">
        <v>9503</v>
      </c>
      <c r="E772" s="103">
        <v>11467172.443</v>
      </c>
      <c r="F772" s="129" t="s">
        <v>256</v>
      </c>
    </row>
    <row r="773" spans="1:6" ht="16" thickBot="1" x14ac:dyDescent="0.25">
      <c r="A773" s="83">
        <v>2</v>
      </c>
      <c r="B773" s="129" t="s">
        <v>232</v>
      </c>
      <c r="C773" s="129" t="s">
        <v>149</v>
      </c>
      <c r="D773" s="83">
        <v>7802</v>
      </c>
      <c r="E773" s="103">
        <v>1352968.0926099999</v>
      </c>
      <c r="F773" s="129" t="s">
        <v>148</v>
      </c>
    </row>
    <row r="774" spans="1:6" ht="16" thickBot="1" x14ac:dyDescent="0.25">
      <c r="A774" s="83">
        <v>2</v>
      </c>
      <c r="B774" s="129" t="s">
        <v>233</v>
      </c>
      <c r="C774" s="129" t="s">
        <v>149</v>
      </c>
      <c r="D774" s="83">
        <v>3757</v>
      </c>
      <c r="E774" s="103">
        <v>4229857.3049999997</v>
      </c>
      <c r="F774" s="129" t="s">
        <v>256</v>
      </c>
    </row>
    <row r="775" spans="1:6" ht="16" thickBot="1" x14ac:dyDescent="0.25">
      <c r="A775" s="83">
        <v>2</v>
      </c>
      <c r="B775" s="129" t="s">
        <v>233</v>
      </c>
      <c r="C775" s="129" t="s">
        <v>149</v>
      </c>
      <c r="D775" s="83">
        <v>1284</v>
      </c>
      <c r="E775" s="103">
        <v>262434.91655999998</v>
      </c>
      <c r="F775" s="129" t="s">
        <v>148</v>
      </c>
    </row>
    <row r="776" spans="1:6" ht="16" thickBot="1" x14ac:dyDescent="0.25">
      <c r="A776" s="83">
        <v>2</v>
      </c>
      <c r="B776" s="129" t="s">
        <v>234</v>
      </c>
      <c r="C776" s="129" t="s">
        <v>149</v>
      </c>
      <c r="D776" s="83">
        <v>19009</v>
      </c>
      <c r="E776" s="103">
        <v>19824030.495000001</v>
      </c>
      <c r="F776" s="129" t="s">
        <v>256</v>
      </c>
    </row>
    <row r="777" spans="1:6" ht="16" thickBot="1" x14ac:dyDescent="0.25">
      <c r="A777" s="83">
        <v>2</v>
      </c>
      <c r="B777" s="129" t="s">
        <v>234</v>
      </c>
      <c r="C777" s="129" t="s">
        <v>149</v>
      </c>
      <c r="D777" s="83">
        <v>15599</v>
      </c>
      <c r="E777" s="103">
        <v>1813598.79791</v>
      </c>
      <c r="F777" s="129" t="s">
        <v>148</v>
      </c>
    </row>
    <row r="778" spans="1:6" ht="16" thickBot="1" x14ac:dyDescent="0.25">
      <c r="A778" s="83">
        <v>2</v>
      </c>
      <c r="B778" s="129" t="s">
        <v>235</v>
      </c>
      <c r="C778" s="129" t="s">
        <v>149</v>
      </c>
      <c r="D778" s="83">
        <v>8097</v>
      </c>
      <c r="E778" s="103">
        <v>9597066.1999999993</v>
      </c>
      <c r="F778" s="129" t="s">
        <v>256</v>
      </c>
    </row>
    <row r="779" spans="1:6" ht="16" thickBot="1" x14ac:dyDescent="0.25">
      <c r="A779" s="83">
        <v>2</v>
      </c>
      <c r="B779" s="129" t="s">
        <v>235</v>
      </c>
      <c r="C779" s="129" t="s">
        <v>149</v>
      </c>
      <c r="D779" s="83">
        <v>10664</v>
      </c>
      <c r="E779" s="103">
        <v>1396217.8718399999</v>
      </c>
      <c r="F779" s="129" t="s">
        <v>148</v>
      </c>
    </row>
    <row r="780" spans="1:6" ht="16" thickBot="1" x14ac:dyDescent="0.25">
      <c r="A780" s="83">
        <v>2</v>
      </c>
      <c r="B780" s="129" t="s">
        <v>236</v>
      </c>
      <c r="C780" s="129" t="s">
        <v>149</v>
      </c>
      <c r="D780" s="83">
        <v>13619</v>
      </c>
      <c r="E780" s="103">
        <v>15964182.422</v>
      </c>
      <c r="F780" s="129" t="s">
        <v>256</v>
      </c>
    </row>
    <row r="781" spans="1:6" ht="16" thickBot="1" x14ac:dyDescent="0.25">
      <c r="A781" s="83">
        <v>2</v>
      </c>
      <c r="B781" s="129" t="s">
        <v>236</v>
      </c>
      <c r="C781" s="129" t="s">
        <v>149</v>
      </c>
      <c r="D781" s="83">
        <v>9341</v>
      </c>
      <c r="E781" s="103">
        <v>1045935.7310199999</v>
      </c>
      <c r="F781" s="129" t="s">
        <v>148</v>
      </c>
    </row>
    <row r="782" spans="1:6" ht="16" thickBot="1" x14ac:dyDescent="0.25">
      <c r="A782" s="83">
        <v>2</v>
      </c>
      <c r="B782" s="129" t="s">
        <v>237</v>
      </c>
      <c r="C782" s="129" t="s">
        <v>149</v>
      </c>
      <c r="D782" s="83">
        <v>21193</v>
      </c>
      <c r="E782" s="103">
        <v>23060736.662</v>
      </c>
      <c r="F782" s="129" t="s">
        <v>256</v>
      </c>
    </row>
    <row r="783" spans="1:6" ht="16" thickBot="1" x14ac:dyDescent="0.25">
      <c r="A783" s="83">
        <v>2</v>
      </c>
      <c r="B783" s="129" t="s">
        <v>237</v>
      </c>
      <c r="C783" s="129" t="s">
        <v>149</v>
      </c>
      <c r="D783" s="83">
        <v>16028</v>
      </c>
      <c r="E783" s="103">
        <v>2212747.4287800002</v>
      </c>
      <c r="F783" s="129" t="s">
        <v>148</v>
      </c>
    </row>
    <row r="784" spans="1:6" ht="16" thickBot="1" x14ac:dyDescent="0.25">
      <c r="A784" s="83">
        <v>2</v>
      </c>
      <c r="B784" s="129" t="s">
        <v>238</v>
      </c>
      <c r="C784" s="129" t="s">
        <v>149</v>
      </c>
      <c r="D784" s="83">
        <v>10080</v>
      </c>
      <c r="E784" s="103">
        <v>11771654.232000001</v>
      </c>
      <c r="F784" s="129" t="s">
        <v>256</v>
      </c>
    </row>
    <row r="785" spans="1:6" ht="16" thickBot="1" x14ac:dyDescent="0.25">
      <c r="A785" s="83">
        <v>2</v>
      </c>
      <c r="B785" s="129" t="s">
        <v>238</v>
      </c>
      <c r="C785" s="129" t="s">
        <v>149</v>
      </c>
      <c r="D785" s="83">
        <v>6804</v>
      </c>
      <c r="E785" s="103">
        <v>800070.53587000002</v>
      </c>
      <c r="F785" s="129" t="s">
        <v>148</v>
      </c>
    </row>
    <row r="786" spans="1:6" ht="16" thickBot="1" x14ac:dyDescent="0.25">
      <c r="A786" s="83">
        <v>2</v>
      </c>
      <c r="B786" s="129" t="s">
        <v>239</v>
      </c>
      <c r="C786" s="129" t="s">
        <v>149</v>
      </c>
      <c r="D786" s="83">
        <v>6297</v>
      </c>
      <c r="E786" s="103">
        <v>7451621.4160000002</v>
      </c>
      <c r="F786" s="129" t="s">
        <v>256</v>
      </c>
    </row>
    <row r="787" spans="1:6" ht="16" thickBot="1" x14ac:dyDescent="0.25">
      <c r="A787" s="83">
        <v>2</v>
      </c>
      <c r="B787" s="129" t="s">
        <v>239</v>
      </c>
      <c r="C787" s="129" t="s">
        <v>149</v>
      </c>
      <c r="D787" s="83">
        <v>5841</v>
      </c>
      <c r="E787" s="103">
        <v>689964.81536999997</v>
      </c>
      <c r="F787" s="129" t="s">
        <v>148</v>
      </c>
    </row>
    <row r="788" spans="1:6" ht="16" thickBot="1" x14ac:dyDescent="0.25">
      <c r="A788" s="83">
        <v>2</v>
      </c>
      <c r="B788" s="129" t="s">
        <v>240</v>
      </c>
      <c r="C788" s="129" t="s">
        <v>149</v>
      </c>
      <c r="D788" s="83">
        <v>6185</v>
      </c>
      <c r="E788" s="103">
        <v>7887078.3389999997</v>
      </c>
      <c r="F788" s="129" t="s">
        <v>256</v>
      </c>
    </row>
    <row r="789" spans="1:6" ht="16" thickBot="1" x14ac:dyDescent="0.25">
      <c r="A789" s="83">
        <v>2</v>
      </c>
      <c r="B789" s="129" t="s">
        <v>240</v>
      </c>
      <c r="C789" s="129" t="s">
        <v>149</v>
      </c>
      <c r="D789" s="83">
        <v>4177</v>
      </c>
      <c r="E789" s="103">
        <v>524611.13911999995</v>
      </c>
      <c r="F789" s="129" t="s">
        <v>148</v>
      </c>
    </row>
    <row r="790" spans="1:6" ht="16" thickBot="1" x14ac:dyDescent="0.25">
      <c r="A790" s="83">
        <v>2</v>
      </c>
      <c r="B790" s="129" t="s">
        <v>241</v>
      </c>
      <c r="C790" s="129" t="s">
        <v>149</v>
      </c>
      <c r="D790" s="83">
        <v>6493</v>
      </c>
      <c r="E790" s="103">
        <v>7496719.4349999996</v>
      </c>
      <c r="F790" s="129" t="s">
        <v>256</v>
      </c>
    </row>
    <row r="791" spans="1:6" ht="16" thickBot="1" x14ac:dyDescent="0.25">
      <c r="A791" s="83">
        <v>2</v>
      </c>
      <c r="B791" s="129" t="s">
        <v>241</v>
      </c>
      <c r="C791" s="129" t="s">
        <v>149</v>
      </c>
      <c r="D791" s="83">
        <v>4002</v>
      </c>
      <c r="E791" s="103">
        <v>595691.31247</v>
      </c>
      <c r="F791" s="129" t="s">
        <v>148</v>
      </c>
    </row>
    <row r="792" spans="1:6" ht="16" thickBot="1" x14ac:dyDescent="0.25">
      <c r="A792" s="83">
        <v>2</v>
      </c>
      <c r="B792" s="129" t="s">
        <v>244</v>
      </c>
      <c r="C792" s="129" t="s">
        <v>149</v>
      </c>
      <c r="D792" s="83">
        <v>14117</v>
      </c>
      <c r="E792" s="103">
        <v>16876536.166000001</v>
      </c>
      <c r="F792" s="129" t="s">
        <v>256</v>
      </c>
    </row>
    <row r="793" spans="1:6" ht="16" thickBot="1" x14ac:dyDescent="0.25">
      <c r="A793" s="83">
        <v>2</v>
      </c>
      <c r="B793" s="129" t="s">
        <v>244</v>
      </c>
      <c r="C793" s="129" t="s">
        <v>149</v>
      </c>
      <c r="D793" s="83">
        <v>9537</v>
      </c>
      <c r="E793" s="103">
        <v>1507714.3765</v>
      </c>
      <c r="F793" s="129" t="s">
        <v>148</v>
      </c>
    </row>
    <row r="794" spans="1:6" ht="16" thickBot="1" x14ac:dyDescent="0.25">
      <c r="A794" s="83">
        <v>2</v>
      </c>
      <c r="B794" s="129" t="s">
        <v>245</v>
      </c>
      <c r="C794" s="129" t="s">
        <v>149</v>
      </c>
      <c r="D794" s="83">
        <v>8293</v>
      </c>
      <c r="E794" s="103">
        <v>11733336.313999999</v>
      </c>
      <c r="F794" s="129" t="s">
        <v>256</v>
      </c>
    </row>
    <row r="795" spans="1:6" ht="16" thickBot="1" x14ac:dyDescent="0.25">
      <c r="A795" s="83">
        <v>2</v>
      </c>
      <c r="B795" s="129" t="s">
        <v>245</v>
      </c>
      <c r="C795" s="129" t="s">
        <v>149</v>
      </c>
      <c r="D795" s="83">
        <v>4878</v>
      </c>
      <c r="E795" s="103">
        <v>668213.49063000001</v>
      </c>
      <c r="F795" s="129" t="s">
        <v>148</v>
      </c>
    </row>
    <row r="796" spans="1:6" ht="16" thickBot="1" x14ac:dyDescent="0.25">
      <c r="A796" s="83">
        <v>2</v>
      </c>
      <c r="B796" s="129" t="s">
        <v>247</v>
      </c>
      <c r="C796" s="129" t="s">
        <v>149</v>
      </c>
      <c r="D796" s="83">
        <v>229</v>
      </c>
      <c r="E796" s="103">
        <v>23132.104800000001</v>
      </c>
      <c r="F796" s="129" t="s">
        <v>148</v>
      </c>
    </row>
    <row r="797" spans="1:6" ht="16" thickBot="1" x14ac:dyDescent="0.25">
      <c r="A797" s="83">
        <v>2</v>
      </c>
      <c r="B797" s="129" t="s">
        <v>248</v>
      </c>
      <c r="C797" s="129" t="s">
        <v>149</v>
      </c>
      <c r="D797" s="83">
        <v>4</v>
      </c>
      <c r="E797" s="103">
        <v>2183.1979999999999</v>
      </c>
      <c r="F797" s="129" t="s">
        <v>256</v>
      </c>
    </row>
    <row r="798" spans="1:6" ht="16" thickBot="1" x14ac:dyDescent="0.25">
      <c r="A798" s="83">
        <v>2</v>
      </c>
      <c r="B798" s="129" t="s">
        <v>249</v>
      </c>
      <c r="C798" s="129" t="s">
        <v>149</v>
      </c>
      <c r="D798" s="83">
        <v>310</v>
      </c>
      <c r="E798" s="103">
        <v>535242.08100000001</v>
      </c>
      <c r="F798" s="129" t="s">
        <v>256</v>
      </c>
    </row>
    <row r="799" spans="1:6" ht="16" thickBot="1" x14ac:dyDescent="0.25">
      <c r="A799" s="83">
        <v>2</v>
      </c>
      <c r="B799" s="129" t="s">
        <v>249</v>
      </c>
      <c r="C799" s="129" t="s">
        <v>149</v>
      </c>
      <c r="D799" s="83">
        <v>144</v>
      </c>
      <c r="E799" s="103">
        <v>17570.768810000001</v>
      </c>
      <c r="F799" s="129" t="s">
        <v>148</v>
      </c>
    </row>
    <row r="800" spans="1:6" ht="16" thickBot="1" x14ac:dyDescent="0.25">
      <c r="A800" s="83">
        <v>2</v>
      </c>
      <c r="B800" s="129" t="s">
        <v>250</v>
      </c>
      <c r="C800" s="129" t="s">
        <v>149</v>
      </c>
      <c r="D800" s="83">
        <v>3673</v>
      </c>
      <c r="E800" s="103">
        <v>7152784.3799999999</v>
      </c>
      <c r="F800" s="129" t="s">
        <v>256</v>
      </c>
    </row>
    <row r="801" spans="1:6" ht="16" thickBot="1" x14ac:dyDescent="0.25">
      <c r="A801" s="83">
        <v>2</v>
      </c>
      <c r="B801" s="129" t="s">
        <v>251</v>
      </c>
      <c r="C801" s="129" t="s">
        <v>149</v>
      </c>
      <c r="D801" s="83">
        <v>150</v>
      </c>
      <c r="E801" s="103">
        <v>292827.2</v>
      </c>
      <c r="F801" s="129" t="s">
        <v>256</v>
      </c>
    </row>
    <row r="802" spans="1:6" ht="16" thickBot="1" x14ac:dyDescent="0.25">
      <c r="A802" s="83">
        <v>2</v>
      </c>
      <c r="B802" s="129" t="s">
        <v>252</v>
      </c>
      <c r="C802" s="129" t="s">
        <v>149</v>
      </c>
      <c r="D802" s="83">
        <v>674</v>
      </c>
      <c r="E802" s="103">
        <v>805909.66399999999</v>
      </c>
      <c r="F802" s="129" t="s">
        <v>256</v>
      </c>
    </row>
    <row r="803" spans="1:6" ht="16" thickBot="1" x14ac:dyDescent="0.25">
      <c r="A803" s="83">
        <v>2</v>
      </c>
      <c r="B803" s="129" t="s">
        <v>252</v>
      </c>
      <c r="C803" s="129" t="s">
        <v>149</v>
      </c>
      <c r="D803" s="83">
        <v>422</v>
      </c>
      <c r="E803" s="103">
        <v>41500.63018</v>
      </c>
      <c r="F803" s="129" t="s">
        <v>148</v>
      </c>
    </row>
    <row r="804" spans="1:6" ht="16" thickBot="1" x14ac:dyDescent="0.25">
      <c r="A804" s="83">
        <v>2</v>
      </c>
      <c r="B804" s="129" t="s">
        <v>253</v>
      </c>
      <c r="C804" s="129" t="s">
        <v>149</v>
      </c>
      <c r="D804" s="83">
        <v>9502</v>
      </c>
      <c r="E804" s="103">
        <v>10173653.248</v>
      </c>
      <c r="F804" s="129" t="s">
        <v>256</v>
      </c>
    </row>
    <row r="805" spans="1:6" ht="16" thickBot="1" x14ac:dyDescent="0.25">
      <c r="A805" s="83">
        <v>2</v>
      </c>
      <c r="B805" s="129" t="s">
        <v>253</v>
      </c>
      <c r="C805" s="129" t="s">
        <v>149</v>
      </c>
      <c r="D805" s="83">
        <v>6736</v>
      </c>
      <c r="E805" s="103">
        <v>649061.00329999998</v>
      </c>
      <c r="F805" s="129" t="s">
        <v>148</v>
      </c>
    </row>
    <row r="806" spans="1:6" ht="16" thickBot="1" x14ac:dyDescent="0.25">
      <c r="A806" s="83">
        <v>3</v>
      </c>
      <c r="B806" s="129" t="s">
        <v>146</v>
      </c>
      <c r="C806" s="129" t="s">
        <v>147</v>
      </c>
      <c r="D806" s="83">
        <v>151</v>
      </c>
      <c r="E806" s="103">
        <v>69116.829089999999</v>
      </c>
      <c r="F806" s="129" t="s">
        <v>148</v>
      </c>
    </row>
    <row r="807" spans="1:6" ht="16" thickBot="1" x14ac:dyDescent="0.25">
      <c r="A807" s="83">
        <v>3</v>
      </c>
      <c r="B807" s="129" t="s">
        <v>150</v>
      </c>
      <c r="C807" s="129" t="s">
        <v>147</v>
      </c>
      <c r="D807" s="83">
        <v>91</v>
      </c>
      <c r="E807" s="103">
        <v>45640.246290000003</v>
      </c>
      <c r="F807" s="129" t="s">
        <v>148</v>
      </c>
    </row>
    <row r="808" spans="1:6" ht="16" thickBot="1" x14ac:dyDescent="0.25">
      <c r="A808" s="83">
        <v>3</v>
      </c>
      <c r="B808" s="129" t="s">
        <v>151</v>
      </c>
      <c r="C808" s="129" t="s">
        <v>147</v>
      </c>
      <c r="D808" s="83">
        <v>10</v>
      </c>
      <c r="E808" s="103">
        <v>1347.2850000000001</v>
      </c>
      <c r="F808" s="129" t="s">
        <v>256</v>
      </c>
    </row>
    <row r="809" spans="1:6" ht="16" thickBot="1" x14ac:dyDescent="0.25">
      <c r="A809" s="83">
        <v>3</v>
      </c>
      <c r="B809" s="129" t="s">
        <v>151</v>
      </c>
      <c r="C809" s="129" t="s">
        <v>147</v>
      </c>
      <c r="D809" s="83">
        <v>47</v>
      </c>
      <c r="E809" s="103">
        <v>21068.462289999999</v>
      </c>
      <c r="F809" s="129" t="s">
        <v>148</v>
      </c>
    </row>
    <row r="810" spans="1:6" ht="16" thickBot="1" x14ac:dyDescent="0.25">
      <c r="A810" s="83">
        <v>3</v>
      </c>
      <c r="B810" s="129" t="s">
        <v>153</v>
      </c>
      <c r="C810" s="129" t="s">
        <v>147</v>
      </c>
      <c r="D810" s="83">
        <v>219</v>
      </c>
      <c r="E810" s="103">
        <v>2608630.6409999998</v>
      </c>
      <c r="F810" s="129" t="s">
        <v>256</v>
      </c>
    </row>
    <row r="811" spans="1:6" ht="16" thickBot="1" x14ac:dyDescent="0.25">
      <c r="A811" s="83">
        <v>3</v>
      </c>
      <c r="B811" s="129" t="s">
        <v>153</v>
      </c>
      <c r="C811" s="129" t="s">
        <v>147</v>
      </c>
      <c r="D811" s="83">
        <v>257</v>
      </c>
      <c r="E811" s="103">
        <v>765936.90508000006</v>
      </c>
      <c r="F811" s="129" t="s">
        <v>148</v>
      </c>
    </row>
    <row r="812" spans="1:6" ht="16" thickBot="1" x14ac:dyDescent="0.25">
      <c r="A812" s="83">
        <v>3</v>
      </c>
      <c r="B812" s="129" t="s">
        <v>154</v>
      </c>
      <c r="C812" s="129" t="s">
        <v>147</v>
      </c>
      <c r="D812" s="83">
        <v>79</v>
      </c>
      <c r="E812" s="103">
        <v>212512.7</v>
      </c>
      <c r="F812" s="129" t="s">
        <v>256</v>
      </c>
    </row>
    <row r="813" spans="1:6" ht="16" thickBot="1" x14ac:dyDescent="0.25">
      <c r="A813" s="83">
        <v>3</v>
      </c>
      <c r="B813" s="129" t="s">
        <v>154</v>
      </c>
      <c r="C813" s="129" t="s">
        <v>147</v>
      </c>
      <c r="D813" s="83">
        <v>22</v>
      </c>
      <c r="E813" s="103">
        <v>28244.199850000001</v>
      </c>
      <c r="F813" s="129" t="s">
        <v>148</v>
      </c>
    </row>
    <row r="814" spans="1:6" ht="16" thickBot="1" x14ac:dyDescent="0.25">
      <c r="A814" s="83">
        <v>3</v>
      </c>
      <c r="B814" s="129" t="s">
        <v>155</v>
      </c>
      <c r="C814" s="129" t="s">
        <v>147</v>
      </c>
      <c r="D814" s="83">
        <v>24</v>
      </c>
      <c r="E814" s="103">
        <v>19937.737000000001</v>
      </c>
      <c r="F814" s="129" t="s">
        <v>256</v>
      </c>
    </row>
    <row r="815" spans="1:6" ht="16" thickBot="1" x14ac:dyDescent="0.25">
      <c r="A815" s="83">
        <v>3</v>
      </c>
      <c r="B815" s="129" t="s">
        <v>155</v>
      </c>
      <c r="C815" s="129" t="s">
        <v>147</v>
      </c>
      <c r="D815" s="83">
        <v>204</v>
      </c>
      <c r="E815" s="103">
        <v>714895.66920999996</v>
      </c>
      <c r="F815" s="129" t="s">
        <v>148</v>
      </c>
    </row>
    <row r="816" spans="1:6" ht="16" thickBot="1" x14ac:dyDescent="0.25">
      <c r="A816" s="83">
        <v>3</v>
      </c>
      <c r="B816" s="129" t="s">
        <v>156</v>
      </c>
      <c r="C816" s="129" t="s">
        <v>147</v>
      </c>
      <c r="D816" s="83">
        <v>130</v>
      </c>
      <c r="E816" s="103">
        <v>432985.23599999998</v>
      </c>
      <c r="F816" s="129" t="s">
        <v>256</v>
      </c>
    </row>
    <row r="817" spans="1:6" ht="16" thickBot="1" x14ac:dyDescent="0.25">
      <c r="A817" s="83">
        <v>3</v>
      </c>
      <c r="B817" s="129" t="s">
        <v>156</v>
      </c>
      <c r="C817" s="129" t="s">
        <v>147</v>
      </c>
      <c r="D817" s="83">
        <v>25</v>
      </c>
      <c r="E817" s="103">
        <v>41535.296540000003</v>
      </c>
      <c r="F817" s="129" t="s">
        <v>148</v>
      </c>
    </row>
    <row r="818" spans="1:6" ht="16" thickBot="1" x14ac:dyDescent="0.25">
      <c r="A818" s="83">
        <v>3</v>
      </c>
      <c r="B818" s="129" t="s">
        <v>157</v>
      </c>
      <c r="C818" s="129" t="s">
        <v>147</v>
      </c>
      <c r="D818" s="83">
        <v>535</v>
      </c>
      <c r="E818" s="103">
        <v>1517185.379</v>
      </c>
      <c r="F818" s="129" t="s">
        <v>256</v>
      </c>
    </row>
    <row r="819" spans="1:6" ht="16" thickBot="1" x14ac:dyDescent="0.25">
      <c r="A819" s="83">
        <v>3</v>
      </c>
      <c r="B819" s="129" t="s">
        <v>157</v>
      </c>
      <c r="C819" s="129" t="s">
        <v>147</v>
      </c>
      <c r="D819" s="83">
        <v>259</v>
      </c>
      <c r="E819" s="103">
        <v>126401.18639</v>
      </c>
      <c r="F819" s="129" t="s">
        <v>148</v>
      </c>
    </row>
    <row r="820" spans="1:6" ht="16" thickBot="1" x14ac:dyDescent="0.25">
      <c r="A820" s="83">
        <v>3</v>
      </c>
      <c r="B820" s="129" t="s">
        <v>158</v>
      </c>
      <c r="C820" s="129" t="s">
        <v>147</v>
      </c>
      <c r="D820" s="83">
        <v>50</v>
      </c>
      <c r="E820" s="103">
        <v>64368.063999999998</v>
      </c>
      <c r="F820" s="129" t="s">
        <v>256</v>
      </c>
    </row>
    <row r="821" spans="1:6" ht="16" thickBot="1" x14ac:dyDescent="0.25">
      <c r="A821" s="83">
        <v>3</v>
      </c>
      <c r="B821" s="129" t="s">
        <v>159</v>
      </c>
      <c r="C821" s="129" t="s">
        <v>147</v>
      </c>
      <c r="D821" s="83">
        <v>60</v>
      </c>
      <c r="E821" s="103">
        <v>118449.549</v>
      </c>
      <c r="F821" s="129" t="s">
        <v>256</v>
      </c>
    </row>
    <row r="822" spans="1:6" ht="16" thickBot="1" x14ac:dyDescent="0.25">
      <c r="A822" s="83">
        <v>3</v>
      </c>
      <c r="B822" s="129" t="s">
        <v>160</v>
      </c>
      <c r="C822" s="129" t="s">
        <v>147</v>
      </c>
      <c r="D822" s="83">
        <v>9</v>
      </c>
      <c r="E822" s="103">
        <v>11264.037</v>
      </c>
      <c r="F822" s="129" t="s">
        <v>256</v>
      </c>
    </row>
    <row r="823" spans="1:6" ht="16" thickBot="1" x14ac:dyDescent="0.25">
      <c r="A823" s="83">
        <v>3</v>
      </c>
      <c r="B823" s="129" t="s">
        <v>160</v>
      </c>
      <c r="C823" s="129" t="s">
        <v>147</v>
      </c>
      <c r="D823" s="83">
        <v>30</v>
      </c>
      <c r="E823" s="103">
        <v>421639.49816999998</v>
      </c>
      <c r="F823" s="129" t="s">
        <v>148</v>
      </c>
    </row>
    <row r="824" spans="1:6" ht="16" thickBot="1" x14ac:dyDescent="0.25">
      <c r="A824" s="83">
        <v>3</v>
      </c>
      <c r="B824" s="129" t="s">
        <v>161</v>
      </c>
      <c r="C824" s="129" t="s">
        <v>147</v>
      </c>
      <c r="D824" s="83">
        <v>68</v>
      </c>
      <c r="E824" s="103">
        <v>265753.35800000001</v>
      </c>
      <c r="F824" s="129" t="s">
        <v>256</v>
      </c>
    </row>
    <row r="825" spans="1:6" ht="16" thickBot="1" x14ac:dyDescent="0.25">
      <c r="A825" s="83">
        <v>3</v>
      </c>
      <c r="B825" s="129" t="s">
        <v>162</v>
      </c>
      <c r="C825" s="129" t="s">
        <v>147</v>
      </c>
      <c r="D825" s="83">
        <v>74</v>
      </c>
      <c r="E825" s="103">
        <v>740357.60900000005</v>
      </c>
      <c r="F825" s="129" t="s">
        <v>256</v>
      </c>
    </row>
    <row r="826" spans="1:6" ht="16" thickBot="1" x14ac:dyDescent="0.25">
      <c r="A826" s="83">
        <v>3</v>
      </c>
      <c r="B826" s="129" t="s">
        <v>163</v>
      </c>
      <c r="C826" s="129" t="s">
        <v>147</v>
      </c>
      <c r="D826" s="83">
        <v>15</v>
      </c>
      <c r="E826" s="103">
        <v>32190.968000000001</v>
      </c>
      <c r="F826" s="129" t="s">
        <v>256</v>
      </c>
    </row>
    <row r="827" spans="1:6" ht="16" thickBot="1" x14ac:dyDescent="0.25">
      <c r="A827" s="83">
        <v>3</v>
      </c>
      <c r="B827" s="129" t="s">
        <v>163</v>
      </c>
      <c r="C827" s="129" t="s">
        <v>147</v>
      </c>
      <c r="D827" s="83">
        <v>1</v>
      </c>
      <c r="E827" s="103">
        <v>303.21116000000001</v>
      </c>
      <c r="F827" s="129" t="s">
        <v>148</v>
      </c>
    </row>
    <row r="828" spans="1:6" ht="16" thickBot="1" x14ac:dyDescent="0.25">
      <c r="A828" s="83">
        <v>3</v>
      </c>
      <c r="B828" s="129" t="s">
        <v>164</v>
      </c>
      <c r="C828" s="129" t="s">
        <v>147</v>
      </c>
      <c r="D828" s="83">
        <v>402</v>
      </c>
      <c r="E828" s="103">
        <v>1455754.6869999999</v>
      </c>
      <c r="F828" s="129" t="s">
        <v>256</v>
      </c>
    </row>
    <row r="829" spans="1:6" ht="16" thickBot="1" x14ac:dyDescent="0.25">
      <c r="A829" s="83">
        <v>3</v>
      </c>
      <c r="B829" s="129" t="s">
        <v>164</v>
      </c>
      <c r="C829" s="129" t="s">
        <v>147</v>
      </c>
      <c r="D829" s="83">
        <v>137</v>
      </c>
      <c r="E829" s="103">
        <v>86627.254939999999</v>
      </c>
      <c r="F829" s="129" t="s">
        <v>148</v>
      </c>
    </row>
    <row r="830" spans="1:6" ht="16" thickBot="1" x14ac:dyDescent="0.25">
      <c r="A830" s="83">
        <v>3</v>
      </c>
      <c r="B830" s="129" t="s">
        <v>165</v>
      </c>
      <c r="C830" s="129" t="s">
        <v>147</v>
      </c>
      <c r="D830" s="83">
        <v>24</v>
      </c>
      <c r="E830" s="103">
        <v>22266.275000000001</v>
      </c>
      <c r="F830" s="129" t="s">
        <v>256</v>
      </c>
    </row>
    <row r="831" spans="1:6" ht="16" thickBot="1" x14ac:dyDescent="0.25">
      <c r="A831" s="83">
        <v>3</v>
      </c>
      <c r="B831" s="129" t="s">
        <v>166</v>
      </c>
      <c r="C831" s="129" t="s">
        <v>147</v>
      </c>
      <c r="D831" s="83">
        <v>614</v>
      </c>
      <c r="E831" s="103">
        <v>8355483.6109999996</v>
      </c>
      <c r="F831" s="129" t="s">
        <v>256</v>
      </c>
    </row>
    <row r="832" spans="1:6" ht="16" thickBot="1" x14ac:dyDescent="0.25">
      <c r="A832" s="83">
        <v>3</v>
      </c>
      <c r="B832" s="129" t="s">
        <v>166</v>
      </c>
      <c r="C832" s="129" t="s">
        <v>147</v>
      </c>
      <c r="D832" s="83">
        <v>300</v>
      </c>
      <c r="E832" s="103">
        <v>250698.63570000001</v>
      </c>
      <c r="F832" s="129" t="s">
        <v>148</v>
      </c>
    </row>
    <row r="833" spans="1:6" ht="16" thickBot="1" x14ac:dyDescent="0.25">
      <c r="A833" s="83">
        <v>3</v>
      </c>
      <c r="B833" s="129" t="s">
        <v>167</v>
      </c>
      <c r="C833" s="129" t="s">
        <v>147</v>
      </c>
      <c r="D833" s="83">
        <v>15</v>
      </c>
      <c r="E833" s="103">
        <v>23576.143</v>
      </c>
      <c r="F833" s="129" t="s">
        <v>256</v>
      </c>
    </row>
    <row r="834" spans="1:6" ht="16" thickBot="1" x14ac:dyDescent="0.25">
      <c r="A834" s="83">
        <v>3</v>
      </c>
      <c r="B834" s="129" t="s">
        <v>168</v>
      </c>
      <c r="C834" s="129" t="s">
        <v>147</v>
      </c>
      <c r="D834" s="83">
        <v>211</v>
      </c>
      <c r="E834" s="103">
        <v>1030740.306</v>
      </c>
      <c r="F834" s="129" t="s">
        <v>256</v>
      </c>
    </row>
    <row r="835" spans="1:6" ht="16" thickBot="1" x14ac:dyDescent="0.25">
      <c r="A835" s="83">
        <v>3</v>
      </c>
      <c r="B835" s="129" t="s">
        <v>168</v>
      </c>
      <c r="C835" s="129" t="s">
        <v>147</v>
      </c>
      <c r="D835" s="83">
        <v>112</v>
      </c>
      <c r="E835" s="103">
        <v>65235.215770000003</v>
      </c>
      <c r="F835" s="129" t="s">
        <v>148</v>
      </c>
    </row>
    <row r="836" spans="1:6" ht="16" thickBot="1" x14ac:dyDescent="0.25">
      <c r="A836" s="83">
        <v>3</v>
      </c>
      <c r="B836" s="129" t="s">
        <v>169</v>
      </c>
      <c r="C836" s="129" t="s">
        <v>147</v>
      </c>
      <c r="D836" s="83">
        <v>235</v>
      </c>
      <c r="E836" s="103">
        <v>1854510.165</v>
      </c>
      <c r="F836" s="129" t="s">
        <v>256</v>
      </c>
    </row>
    <row r="837" spans="1:6" ht="16" thickBot="1" x14ac:dyDescent="0.25">
      <c r="A837" s="83">
        <v>3</v>
      </c>
      <c r="B837" s="129" t="s">
        <v>169</v>
      </c>
      <c r="C837" s="129" t="s">
        <v>147</v>
      </c>
      <c r="D837" s="83">
        <v>102</v>
      </c>
      <c r="E837" s="103">
        <v>281611.05920000002</v>
      </c>
      <c r="F837" s="129" t="s">
        <v>148</v>
      </c>
    </row>
    <row r="838" spans="1:6" ht="16" thickBot="1" x14ac:dyDescent="0.25">
      <c r="A838" s="83">
        <v>3</v>
      </c>
      <c r="B838" s="129" t="s">
        <v>170</v>
      </c>
      <c r="C838" s="129" t="s">
        <v>147</v>
      </c>
      <c r="D838" s="83">
        <v>6</v>
      </c>
      <c r="E838" s="103">
        <v>31490.058000000001</v>
      </c>
      <c r="F838" s="129" t="s">
        <v>256</v>
      </c>
    </row>
    <row r="839" spans="1:6" ht="16" thickBot="1" x14ac:dyDescent="0.25">
      <c r="A839" s="83">
        <v>3</v>
      </c>
      <c r="B839" s="129" t="s">
        <v>171</v>
      </c>
      <c r="C839" s="129" t="s">
        <v>147</v>
      </c>
      <c r="D839" s="83">
        <v>66</v>
      </c>
      <c r="E839" s="103">
        <v>418775.72899999999</v>
      </c>
      <c r="F839" s="129" t="s">
        <v>256</v>
      </c>
    </row>
    <row r="840" spans="1:6" ht="16" thickBot="1" x14ac:dyDescent="0.25">
      <c r="A840" s="83">
        <v>3</v>
      </c>
      <c r="B840" s="129" t="s">
        <v>171</v>
      </c>
      <c r="C840" s="129" t="s">
        <v>147</v>
      </c>
      <c r="D840" s="83">
        <v>24</v>
      </c>
      <c r="E840" s="103">
        <v>23972.74842</v>
      </c>
      <c r="F840" s="129" t="s">
        <v>148</v>
      </c>
    </row>
    <row r="841" spans="1:6" ht="16" thickBot="1" x14ac:dyDescent="0.25">
      <c r="A841" s="83">
        <v>3</v>
      </c>
      <c r="B841" s="129" t="s">
        <v>172</v>
      </c>
      <c r="C841" s="129" t="s">
        <v>147</v>
      </c>
      <c r="D841" s="83">
        <v>68</v>
      </c>
      <c r="E841" s="103">
        <v>238474.87100000001</v>
      </c>
      <c r="F841" s="129" t="s">
        <v>256</v>
      </c>
    </row>
    <row r="842" spans="1:6" ht="16" thickBot="1" x14ac:dyDescent="0.25">
      <c r="A842" s="83">
        <v>3</v>
      </c>
      <c r="B842" s="129" t="s">
        <v>172</v>
      </c>
      <c r="C842" s="129" t="s">
        <v>147</v>
      </c>
      <c r="D842" s="83">
        <v>35</v>
      </c>
      <c r="E842" s="103">
        <v>25775.56063</v>
      </c>
      <c r="F842" s="129" t="s">
        <v>148</v>
      </c>
    </row>
    <row r="843" spans="1:6" ht="16" thickBot="1" x14ac:dyDescent="0.25">
      <c r="A843" s="83">
        <v>3</v>
      </c>
      <c r="B843" s="129" t="s">
        <v>173</v>
      </c>
      <c r="C843" s="129" t="s">
        <v>147</v>
      </c>
      <c r="D843" s="83">
        <v>216</v>
      </c>
      <c r="E843" s="103">
        <v>850965.29200000002</v>
      </c>
      <c r="F843" s="129" t="s">
        <v>256</v>
      </c>
    </row>
    <row r="844" spans="1:6" ht="16" thickBot="1" x14ac:dyDescent="0.25">
      <c r="A844" s="83">
        <v>3</v>
      </c>
      <c r="B844" s="129" t="s">
        <v>173</v>
      </c>
      <c r="C844" s="129" t="s">
        <v>147</v>
      </c>
      <c r="D844" s="83">
        <v>88</v>
      </c>
      <c r="E844" s="103">
        <v>2079858.00936</v>
      </c>
      <c r="F844" s="129" t="s">
        <v>148</v>
      </c>
    </row>
    <row r="845" spans="1:6" ht="16" thickBot="1" x14ac:dyDescent="0.25">
      <c r="A845" s="83">
        <v>3</v>
      </c>
      <c r="B845" s="129" t="s">
        <v>174</v>
      </c>
      <c r="C845" s="129" t="s">
        <v>147</v>
      </c>
      <c r="D845" s="83">
        <v>124</v>
      </c>
      <c r="E845" s="103">
        <v>377172.228</v>
      </c>
      <c r="F845" s="129" t="s">
        <v>256</v>
      </c>
    </row>
    <row r="846" spans="1:6" ht="16" thickBot="1" x14ac:dyDescent="0.25">
      <c r="A846" s="83">
        <v>3</v>
      </c>
      <c r="B846" s="129" t="s">
        <v>174</v>
      </c>
      <c r="C846" s="129" t="s">
        <v>147</v>
      </c>
      <c r="D846" s="83">
        <v>32</v>
      </c>
      <c r="E846" s="103">
        <v>20477.205569999998</v>
      </c>
      <c r="F846" s="129" t="s">
        <v>148</v>
      </c>
    </row>
    <row r="847" spans="1:6" ht="16" thickBot="1" x14ac:dyDescent="0.25">
      <c r="A847" s="83">
        <v>3</v>
      </c>
      <c r="B847" s="129" t="s">
        <v>175</v>
      </c>
      <c r="C847" s="129" t="s">
        <v>147</v>
      </c>
      <c r="D847" s="83">
        <v>49</v>
      </c>
      <c r="E847" s="103">
        <v>133505.85500000001</v>
      </c>
      <c r="F847" s="129" t="s">
        <v>256</v>
      </c>
    </row>
    <row r="848" spans="1:6" ht="16" thickBot="1" x14ac:dyDescent="0.25">
      <c r="A848" s="83">
        <v>3</v>
      </c>
      <c r="B848" s="129" t="s">
        <v>175</v>
      </c>
      <c r="C848" s="129" t="s">
        <v>147</v>
      </c>
      <c r="D848" s="83">
        <v>7</v>
      </c>
      <c r="E848" s="103">
        <v>4552.3546399999996</v>
      </c>
      <c r="F848" s="129" t="s">
        <v>148</v>
      </c>
    </row>
    <row r="849" spans="1:6" ht="16" thickBot="1" x14ac:dyDescent="0.25">
      <c r="A849" s="83">
        <v>3</v>
      </c>
      <c r="B849" s="129" t="s">
        <v>176</v>
      </c>
      <c r="C849" s="129" t="s">
        <v>147</v>
      </c>
      <c r="D849" s="83">
        <v>49</v>
      </c>
      <c r="E849" s="103">
        <v>224813.851</v>
      </c>
      <c r="F849" s="129" t="s">
        <v>256</v>
      </c>
    </row>
    <row r="850" spans="1:6" ht="16" thickBot="1" x14ac:dyDescent="0.25">
      <c r="A850" s="83">
        <v>3</v>
      </c>
      <c r="B850" s="129" t="s">
        <v>176</v>
      </c>
      <c r="C850" s="129" t="s">
        <v>147</v>
      </c>
      <c r="D850" s="83">
        <v>40</v>
      </c>
      <c r="E850" s="103">
        <v>27780.854019999999</v>
      </c>
      <c r="F850" s="129" t="s">
        <v>148</v>
      </c>
    </row>
    <row r="851" spans="1:6" ht="16" thickBot="1" x14ac:dyDescent="0.25">
      <c r="A851" s="83">
        <v>3</v>
      </c>
      <c r="B851" s="129" t="s">
        <v>177</v>
      </c>
      <c r="C851" s="129" t="s">
        <v>147</v>
      </c>
      <c r="D851" s="83">
        <v>116</v>
      </c>
      <c r="E851" s="103">
        <v>182333.867</v>
      </c>
      <c r="F851" s="129" t="s">
        <v>256</v>
      </c>
    </row>
    <row r="852" spans="1:6" ht="16" thickBot="1" x14ac:dyDescent="0.25">
      <c r="A852" s="83">
        <v>3</v>
      </c>
      <c r="B852" s="129" t="s">
        <v>177</v>
      </c>
      <c r="C852" s="129" t="s">
        <v>147</v>
      </c>
      <c r="D852" s="83">
        <v>25</v>
      </c>
      <c r="E852" s="103">
        <v>6658.2287800000004</v>
      </c>
      <c r="F852" s="129" t="s">
        <v>148</v>
      </c>
    </row>
    <row r="853" spans="1:6" ht="16" thickBot="1" x14ac:dyDescent="0.25">
      <c r="A853" s="83">
        <v>3</v>
      </c>
      <c r="B853" s="129" t="s">
        <v>178</v>
      </c>
      <c r="C853" s="129" t="s">
        <v>147</v>
      </c>
      <c r="D853" s="83">
        <v>99</v>
      </c>
      <c r="E853" s="103">
        <v>380618.45699999999</v>
      </c>
      <c r="F853" s="129" t="s">
        <v>256</v>
      </c>
    </row>
    <row r="854" spans="1:6" ht="16" thickBot="1" x14ac:dyDescent="0.25">
      <c r="A854" s="83">
        <v>3</v>
      </c>
      <c r="B854" s="129" t="s">
        <v>179</v>
      </c>
      <c r="C854" s="129" t="s">
        <v>147</v>
      </c>
      <c r="D854" s="83">
        <v>6</v>
      </c>
      <c r="E854" s="103">
        <v>1440.268</v>
      </c>
      <c r="F854" s="129" t="s">
        <v>256</v>
      </c>
    </row>
    <row r="855" spans="1:6" ht="16" thickBot="1" x14ac:dyDescent="0.25">
      <c r="A855" s="83">
        <v>3</v>
      </c>
      <c r="B855" s="129" t="s">
        <v>181</v>
      </c>
      <c r="C855" s="129" t="s">
        <v>147</v>
      </c>
      <c r="D855" s="83">
        <v>16</v>
      </c>
      <c r="E855" s="103">
        <v>38210.002999999997</v>
      </c>
      <c r="F855" s="129" t="s">
        <v>256</v>
      </c>
    </row>
    <row r="856" spans="1:6" ht="16" thickBot="1" x14ac:dyDescent="0.25">
      <c r="A856" s="83">
        <v>3</v>
      </c>
      <c r="B856" s="129" t="s">
        <v>181</v>
      </c>
      <c r="C856" s="129" t="s">
        <v>147</v>
      </c>
      <c r="D856" s="83">
        <v>255</v>
      </c>
      <c r="E856" s="103">
        <v>160289.21832000001</v>
      </c>
      <c r="F856" s="129" t="s">
        <v>148</v>
      </c>
    </row>
    <row r="857" spans="1:6" ht="16" thickBot="1" x14ac:dyDescent="0.25">
      <c r="A857" s="83">
        <v>3</v>
      </c>
      <c r="B857" s="129" t="s">
        <v>182</v>
      </c>
      <c r="C857" s="129" t="s">
        <v>147</v>
      </c>
      <c r="D857" s="83">
        <v>15</v>
      </c>
      <c r="E857" s="103">
        <v>5760.1880000000001</v>
      </c>
      <c r="F857" s="129" t="s">
        <v>256</v>
      </c>
    </row>
    <row r="858" spans="1:6" ht="16" thickBot="1" x14ac:dyDescent="0.25">
      <c r="A858" s="83">
        <v>3</v>
      </c>
      <c r="B858" s="129" t="s">
        <v>183</v>
      </c>
      <c r="C858" s="129" t="s">
        <v>147</v>
      </c>
      <c r="D858" s="83">
        <v>120</v>
      </c>
      <c r="E858" s="103">
        <v>913539.46</v>
      </c>
      <c r="F858" s="129" t="s">
        <v>256</v>
      </c>
    </row>
    <row r="859" spans="1:6" ht="16" thickBot="1" x14ac:dyDescent="0.25">
      <c r="A859" s="83">
        <v>3</v>
      </c>
      <c r="B859" s="129" t="s">
        <v>184</v>
      </c>
      <c r="C859" s="129" t="s">
        <v>147</v>
      </c>
      <c r="D859" s="83">
        <v>47</v>
      </c>
      <c r="E859" s="103">
        <v>100370.287</v>
      </c>
      <c r="F859" s="129" t="s">
        <v>256</v>
      </c>
    </row>
    <row r="860" spans="1:6" ht="16" thickBot="1" x14ac:dyDescent="0.25">
      <c r="A860" s="83">
        <v>3</v>
      </c>
      <c r="B860" s="129" t="s">
        <v>185</v>
      </c>
      <c r="C860" s="129" t="s">
        <v>147</v>
      </c>
      <c r="D860" s="83">
        <v>15</v>
      </c>
      <c r="E860" s="103">
        <v>15838.297</v>
      </c>
      <c r="F860" s="129" t="s">
        <v>256</v>
      </c>
    </row>
    <row r="861" spans="1:6" ht="16" thickBot="1" x14ac:dyDescent="0.25">
      <c r="A861" s="83">
        <v>3</v>
      </c>
      <c r="B861" s="129" t="s">
        <v>185</v>
      </c>
      <c r="C861" s="129" t="s">
        <v>147</v>
      </c>
      <c r="D861" s="83">
        <v>4</v>
      </c>
      <c r="E861" s="103">
        <v>816.85019</v>
      </c>
      <c r="F861" s="129" t="s">
        <v>148</v>
      </c>
    </row>
    <row r="862" spans="1:6" ht="16" thickBot="1" x14ac:dyDescent="0.25">
      <c r="A862" s="83">
        <v>3</v>
      </c>
      <c r="B862" s="129" t="s">
        <v>186</v>
      </c>
      <c r="C862" s="129" t="s">
        <v>147</v>
      </c>
      <c r="D862" s="83">
        <v>56</v>
      </c>
      <c r="E862" s="103">
        <v>144564.77100000001</v>
      </c>
      <c r="F862" s="129" t="s">
        <v>256</v>
      </c>
    </row>
    <row r="863" spans="1:6" ht="16" thickBot="1" x14ac:dyDescent="0.25">
      <c r="A863" s="83">
        <v>3</v>
      </c>
      <c r="B863" s="129" t="s">
        <v>187</v>
      </c>
      <c r="C863" s="129" t="s">
        <v>147</v>
      </c>
      <c r="D863" s="83">
        <v>2</v>
      </c>
      <c r="E863" s="103">
        <v>2096.277</v>
      </c>
      <c r="F863" s="129" t="s">
        <v>256</v>
      </c>
    </row>
    <row r="864" spans="1:6" ht="16" thickBot="1" x14ac:dyDescent="0.25">
      <c r="A864" s="83">
        <v>3</v>
      </c>
      <c r="B864" s="129" t="s">
        <v>188</v>
      </c>
      <c r="C864" s="129" t="s">
        <v>147</v>
      </c>
      <c r="D864" s="83">
        <v>1</v>
      </c>
      <c r="E864" s="103">
        <v>598.75199999999995</v>
      </c>
      <c r="F864" s="129" t="s">
        <v>256</v>
      </c>
    </row>
    <row r="865" spans="1:6" ht="16" thickBot="1" x14ac:dyDescent="0.25">
      <c r="A865" s="83">
        <v>3</v>
      </c>
      <c r="B865" s="129" t="s">
        <v>189</v>
      </c>
      <c r="C865" s="129" t="s">
        <v>147</v>
      </c>
      <c r="D865" s="83">
        <v>177</v>
      </c>
      <c r="E865" s="103">
        <v>837214.2</v>
      </c>
      <c r="F865" s="129" t="s">
        <v>256</v>
      </c>
    </row>
    <row r="866" spans="1:6" ht="16" thickBot="1" x14ac:dyDescent="0.25">
      <c r="A866" s="83">
        <v>3</v>
      </c>
      <c r="B866" s="129" t="s">
        <v>189</v>
      </c>
      <c r="C866" s="129" t="s">
        <v>147</v>
      </c>
      <c r="D866" s="83">
        <v>159</v>
      </c>
      <c r="E866" s="103">
        <v>62603.192499999997</v>
      </c>
      <c r="F866" s="129" t="s">
        <v>148</v>
      </c>
    </row>
    <row r="867" spans="1:6" ht="16" thickBot="1" x14ac:dyDescent="0.25">
      <c r="A867" s="83">
        <v>3</v>
      </c>
      <c r="B867" s="129" t="s">
        <v>190</v>
      </c>
      <c r="C867" s="129" t="s">
        <v>147</v>
      </c>
      <c r="D867" s="83">
        <v>35</v>
      </c>
      <c r="E867" s="103">
        <v>71516.275999999998</v>
      </c>
      <c r="F867" s="129" t="s">
        <v>256</v>
      </c>
    </row>
    <row r="868" spans="1:6" ht="16" thickBot="1" x14ac:dyDescent="0.25">
      <c r="A868" s="83">
        <v>3</v>
      </c>
      <c r="B868" s="129" t="s">
        <v>190</v>
      </c>
      <c r="C868" s="129" t="s">
        <v>147</v>
      </c>
      <c r="D868" s="83">
        <v>3</v>
      </c>
      <c r="E868" s="103">
        <v>5719.2193200000002</v>
      </c>
      <c r="F868" s="129" t="s">
        <v>148</v>
      </c>
    </row>
    <row r="869" spans="1:6" ht="16" thickBot="1" x14ac:dyDescent="0.25">
      <c r="A869" s="83">
        <v>3</v>
      </c>
      <c r="B869" s="129" t="s">
        <v>191</v>
      </c>
      <c r="C869" s="129" t="s">
        <v>147</v>
      </c>
      <c r="D869" s="83">
        <v>364</v>
      </c>
      <c r="E869" s="103">
        <v>1351182.8289999999</v>
      </c>
      <c r="F869" s="129" t="s">
        <v>256</v>
      </c>
    </row>
    <row r="870" spans="1:6" ht="16" thickBot="1" x14ac:dyDescent="0.25">
      <c r="A870" s="83">
        <v>3</v>
      </c>
      <c r="B870" s="129" t="s">
        <v>191</v>
      </c>
      <c r="C870" s="129" t="s">
        <v>147</v>
      </c>
      <c r="D870" s="83">
        <v>207</v>
      </c>
      <c r="E870" s="103">
        <v>87211.114140000005</v>
      </c>
      <c r="F870" s="129" t="s">
        <v>148</v>
      </c>
    </row>
    <row r="871" spans="1:6" ht="16" thickBot="1" x14ac:dyDescent="0.25">
      <c r="A871" s="83">
        <v>3</v>
      </c>
      <c r="B871" s="129" t="s">
        <v>192</v>
      </c>
      <c r="C871" s="129" t="s">
        <v>147</v>
      </c>
      <c r="D871" s="83">
        <v>59</v>
      </c>
      <c r="E871" s="103">
        <v>66713.210999999996</v>
      </c>
      <c r="F871" s="129" t="s">
        <v>256</v>
      </c>
    </row>
    <row r="872" spans="1:6" ht="16" thickBot="1" x14ac:dyDescent="0.25">
      <c r="A872" s="83">
        <v>3</v>
      </c>
      <c r="B872" s="129" t="s">
        <v>192</v>
      </c>
      <c r="C872" s="129" t="s">
        <v>147</v>
      </c>
      <c r="D872" s="83">
        <v>19</v>
      </c>
      <c r="E872" s="103">
        <v>6438.00054</v>
      </c>
      <c r="F872" s="129" t="s">
        <v>148</v>
      </c>
    </row>
    <row r="873" spans="1:6" ht="16" thickBot="1" x14ac:dyDescent="0.25">
      <c r="A873" s="83">
        <v>3</v>
      </c>
      <c r="B873" s="129" t="s">
        <v>193</v>
      </c>
      <c r="C873" s="129" t="s">
        <v>147</v>
      </c>
      <c r="D873" s="83">
        <v>909</v>
      </c>
      <c r="E873" s="103">
        <v>3835937.0950000002</v>
      </c>
      <c r="F873" s="129" t="s">
        <v>256</v>
      </c>
    </row>
    <row r="874" spans="1:6" ht="16" thickBot="1" x14ac:dyDescent="0.25">
      <c r="A874" s="83">
        <v>3</v>
      </c>
      <c r="B874" s="129" t="s">
        <v>193</v>
      </c>
      <c r="C874" s="129" t="s">
        <v>147</v>
      </c>
      <c r="D874" s="83">
        <v>422</v>
      </c>
      <c r="E874" s="103">
        <v>206955.40671000001</v>
      </c>
      <c r="F874" s="129" t="s">
        <v>148</v>
      </c>
    </row>
    <row r="875" spans="1:6" ht="16" thickBot="1" x14ac:dyDescent="0.25">
      <c r="A875" s="83">
        <v>3</v>
      </c>
      <c r="B875" s="129" t="s">
        <v>194</v>
      </c>
      <c r="C875" s="129" t="s">
        <v>147</v>
      </c>
      <c r="D875" s="83">
        <v>34</v>
      </c>
      <c r="E875" s="103">
        <v>110728.204</v>
      </c>
      <c r="F875" s="129" t="s">
        <v>256</v>
      </c>
    </row>
    <row r="876" spans="1:6" ht="16" thickBot="1" x14ac:dyDescent="0.25">
      <c r="A876" s="83">
        <v>3</v>
      </c>
      <c r="B876" s="129" t="s">
        <v>195</v>
      </c>
      <c r="C876" s="129" t="s">
        <v>147</v>
      </c>
      <c r="D876" s="83">
        <v>265</v>
      </c>
      <c r="E876" s="103">
        <v>841545.24800000002</v>
      </c>
      <c r="F876" s="129" t="s">
        <v>256</v>
      </c>
    </row>
    <row r="877" spans="1:6" ht="16" thickBot="1" x14ac:dyDescent="0.25">
      <c r="A877" s="83">
        <v>3</v>
      </c>
      <c r="B877" s="129" t="s">
        <v>195</v>
      </c>
      <c r="C877" s="129" t="s">
        <v>147</v>
      </c>
      <c r="D877" s="83">
        <v>118</v>
      </c>
      <c r="E877" s="103">
        <v>40339.194929999998</v>
      </c>
      <c r="F877" s="129" t="s">
        <v>148</v>
      </c>
    </row>
    <row r="878" spans="1:6" ht="16" thickBot="1" x14ac:dyDescent="0.25">
      <c r="A878" s="83">
        <v>3</v>
      </c>
      <c r="B878" s="129" t="s">
        <v>196</v>
      </c>
      <c r="C878" s="129" t="s">
        <v>147</v>
      </c>
      <c r="D878" s="83">
        <v>58</v>
      </c>
      <c r="E878" s="103">
        <v>107999.122</v>
      </c>
      <c r="F878" s="129" t="s">
        <v>256</v>
      </c>
    </row>
    <row r="879" spans="1:6" ht="16" thickBot="1" x14ac:dyDescent="0.25">
      <c r="A879" s="83">
        <v>3</v>
      </c>
      <c r="B879" s="129" t="s">
        <v>196</v>
      </c>
      <c r="C879" s="129" t="s">
        <v>147</v>
      </c>
      <c r="D879" s="83">
        <v>24</v>
      </c>
      <c r="E879" s="103">
        <v>5712.1145299999998</v>
      </c>
      <c r="F879" s="129" t="s">
        <v>148</v>
      </c>
    </row>
    <row r="880" spans="1:6" ht="16" thickBot="1" x14ac:dyDescent="0.25">
      <c r="A880" s="83">
        <v>3</v>
      </c>
      <c r="B880" s="129" t="s">
        <v>197</v>
      </c>
      <c r="C880" s="129" t="s">
        <v>147</v>
      </c>
      <c r="D880" s="83">
        <v>19</v>
      </c>
      <c r="E880" s="103">
        <v>9282.0319999999992</v>
      </c>
      <c r="F880" s="129" t="s">
        <v>256</v>
      </c>
    </row>
    <row r="881" spans="1:6" ht="16" thickBot="1" x14ac:dyDescent="0.25">
      <c r="A881" s="83">
        <v>3</v>
      </c>
      <c r="B881" s="129" t="s">
        <v>198</v>
      </c>
      <c r="C881" s="129" t="s">
        <v>147</v>
      </c>
      <c r="D881" s="83">
        <v>25</v>
      </c>
      <c r="E881" s="103">
        <v>32654.863000000001</v>
      </c>
      <c r="F881" s="129" t="s">
        <v>256</v>
      </c>
    </row>
    <row r="882" spans="1:6" ht="16" thickBot="1" x14ac:dyDescent="0.25">
      <c r="A882" s="83">
        <v>3</v>
      </c>
      <c r="B882" s="129" t="s">
        <v>199</v>
      </c>
      <c r="C882" s="129" t="s">
        <v>147</v>
      </c>
      <c r="D882" s="83">
        <v>52</v>
      </c>
      <c r="E882" s="103">
        <v>131892.42000000001</v>
      </c>
      <c r="F882" s="129" t="s">
        <v>256</v>
      </c>
    </row>
    <row r="883" spans="1:6" ht="16" thickBot="1" x14ac:dyDescent="0.25">
      <c r="A883" s="83">
        <v>3</v>
      </c>
      <c r="B883" s="129" t="s">
        <v>200</v>
      </c>
      <c r="C883" s="129" t="s">
        <v>147</v>
      </c>
      <c r="D883" s="83">
        <v>59</v>
      </c>
      <c r="E883" s="103">
        <v>107889.261</v>
      </c>
      <c r="F883" s="129" t="s">
        <v>256</v>
      </c>
    </row>
    <row r="884" spans="1:6" ht="16" thickBot="1" x14ac:dyDescent="0.25">
      <c r="A884" s="83">
        <v>3</v>
      </c>
      <c r="B884" s="129" t="s">
        <v>201</v>
      </c>
      <c r="C884" s="129" t="s">
        <v>147</v>
      </c>
      <c r="D884" s="83">
        <v>14</v>
      </c>
      <c r="E884" s="103">
        <v>9319.02</v>
      </c>
      <c r="F884" s="129" t="s">
        <v>256</v>
      </c>
    </row>
    <row r="885" spans="1:6" ht="16" thickBot="1" x14ac:dyDescent="0.25">
      <c r="A885" s="83">
        <v>3</v>
      </c>
      <c r="B885" s="129" t="s">
        <v>202</v>
      </c>
      <c r="C885" s="129" t="s">
        <v>147</v>
      </c>
      <c r="D885" s="83">
        <v>89</v>
      </c>
      <c r="E885" s="103">
        <v>112731.932</v>
      </c>
      <c r="F885" s="129" t="s">
        <v>256</v>
      </c>
    </row>
    <row r="886" spans="1:6" ht="16" thickBot="1" x14ac:dyDescent="0.25">
      <c r="A886" s="83">
        <v>3</v>
      </c>
      <c r="B886" s="129" t="s">
        <v>202</v>
      </c>
      <c r="C886" s="129" t="s">
        <v>147</v>
      </c>
      <c r="D886" s="83">
        <v>31</v>
      </c>
      <c r="E886" s="103">
        <v>7108.6664199999996</v>
      </c>
      <c r="F886" s="129" t="s">
        <v>148</v>
      </c>
    </row>
    <row r="887" spans="1:6" ht="16" thickBot="1" x14ac:dyDescent="0.25">
      <c r="A887" s="83">
        <v>3</v>
      </c>
      <c r="B887" s="129" t="s">
        <v>203</v>
      </c>
      <c r="C887" s="129" t="s">
        <v>147</v>
      </c>
      <c r="D887" s="83">
        <v>39</v>
      </c>
      <c r="E887" s="103">
        <v>80466.365999999995</v>
      </c>
      <c r="F887" s="129" t="s">
        <v>256</v>
      </c>
    </row>
    <row r="888" spans="1:6" ht="16" thickBot="1" x14ac:dyDescent="0.25">
      <c r="A888" s="83">
        <v>3</v>
      </c>
      <c r="B888" s="129" t="s">
        <v>204</v>
      </c>
      <c r="C888" s="129" t="s">
        <v>147</v>
      </c>
      <c r="D888" s="83">
        <v>106</v>
      </c>
      <c r="E888" s="103">
        <v>441173.75799999997</v>
      </c>
      <c r="F888" s="129" t="s">
        <v>256</v>
      </c>
    </row>
    <row r="889" spans="1:6" ht="16" thickBot="1" x14ac:dyDescent="0.25">
      <c r="A889" s="83">
        <v>3</v>
      </c>
      <c r="B889" s="129" t="s">
        <v>205</v>
      </c>
      <c r="C889" s="129" t="s">
        <v>147</v>
      </c>
      <c r="D889" s="83">
        <v>349</v>
      </c>
      <c r="E889" s="103">
        <v>1090525.801</v>
      </c>
      <c r="F889" s="129" t="s">
        <v>256</v>
      </c>
    </row>
    <row r="890" spans="1:6" ht="16" thickBot="1" x14ac:dyDescent="0.25">
      <c r="A890" s="83">
        <v>3</v>
      </c>
      <c r="B890" s="129" t="s">
        <v>205</v>
      </c>
      <c r="C890" s="129" t="s">
        <v>147</v>
      </c>
      <c r="D890" s="83">
        <v>105</v>
      </c>
      <c r="E890" s="103">
        <v>62693.434580000001</v>
      </c>
      <c r="F890" s="129" t="s">
        <v>148</v>
      </c>
    </row>
    <row r="891" spans="1:6" ht="16" thickBot="1" x14ac:dyDescent="0.25">
      <c r="A891" s="83">
        <v>3</v>
      </c>
      <c r="B891" s="129" t="s">
        <v>206</v>
      </c>
      <c r="C891" s="129" t="s">
        <v>147</v>
      </c>
      <c r="D891" s="83">
        <v>63</v>
      </c>
      <c r="E891" s="103">
        <v>65342.722000000002</v>
      </c>
      <c r="F891" s="129" t="s">
        <v>256</v>
      </c>
    </row>
    <row r="892" spans="1:6" ht="16" thickBot="1" x14ac:dyDescent="0.25">
      <c r="A892" s="83">
        <v>3</v>
      </c>
      <c r="B892" s="129" t="s">
        <v>206</v>
      </c>
      <c r="C892" s="129" t="s">
        <v>147</v>
      </c>
      <c r="D892" s="83">
        <v>30</v>
      </c>
      <c r="E892" s="103">
        <v>7111.5969599999999</v>
      </c>
      <c r="F892" s="129" t="s">
        <v>148</v>
      </c>
    </row>
    <row r="893" spans="1:6" ht="16" thickBot="1" x14ac:dyDescent="0.25">
      <c r="A893" s="83">
        <v>3</v>
      </c>
      <c r="B893" s="129" t="s">
        <v>208</v>
      </c>
      <c r="C893" s="129" t="s">
        <v>147</v>
      </c>
      <c r="D893" s="83">
        <v>8</v>
      </c>
      <c r="E893" s="103">
        <v>18753.915000000001</v>
      </c>
      <c r="F893" s="129" t="s">
        <v>256</v>
      </c>
    </row>
    <row r="894" spans="1:6" ht="16" thickBot="1" x14ac:dyDescent="0.25">
      <c r="A894" s="83">
        <v>3</v>
      </c>
      <c r="B894" s="129" t="s">
        <v>209</v>
      </c>
      <c r="C894" s="129" t="s">
        <v>147</v>
      </c>
      <c r="D894" s="83">
        <v>198</v>
      </c>
      <c r="E894" s="103">
        <v>459371.73599999998</v>
      </c>
      <c r="F894" s="129" t="s">
        <v>256</v>
      </c>
    </row>
    <row r="895" spans="1:6" ht="16" thickBot="1" x14ac:dyDescent="0.25">
      <c r="A895" s="83">
        <v>3</v>
      </c>
      <c r="B895" s="129" t="s">
        <v>209</v>
      </c>
      <c r="C895" s="129" t="s">
        <v>147</v>
      </c>
      <c r="D895" s="83">
        <v>66</v>
      </c>
      <c r="E895" s="103">
        <v>11414.367980000001</v>
      </c>
      <c r="F895" s="129" t="s">
        <v>148</v>
      </c>
    </row>
    <row r="896" spans="1:6" ht="16" thickBot="1" x14ac:dyDescent="0.25">
      <c r="A896" s="83">
        <v>3</v>
      </c>
      <c r="B896" s="129" t="s">
        <v>210</v>
      </c>
      <c r="C896" s="129" t="s">
        <v>147</v>
      </c>
      <c r="D896" s="83">
        <v>12</v>
      </c>
      <c r="E896" s="103">
        <v>61076.631999999998</v>
      </c>
      <c r="F896" s="129" t="s">
        <v>256</v>
      </c>
    </row>
    <row r="897" spans="1:6" ht="16" thickBot="1" x14ac:dyDescent="0.25">
      <c r="A897" s="83">
        <v>3</v>
      </c>
      <c r="B897" s="129" t="s">
        <v>211</v>
      </c>
      <c r="C897" s="129" t="s">
        <v>147</v>
      </c>
      <c r="D897" s="83">
        <v>10</v>
      </c>
      <c r="E897" s="103">
        <v>6950.7659999999996</v>
      </c>
      <c r="F897" s="129" t="s">
        <v>256</v>
      </c>
    </row>
    <row r="898" spans="1:6" ht="16" thickBot="1" x14ac:dyDescent="0.25">
      <c r="A898" s="83">
        <v>3</v>
      </c>
      <c r="B898" s="129" t="s">
        <v>213</v>
      </c>
      <c r="C898" s="129" t="s">
        <v>147</v>
      </c>
      <c r="D898" s="83">
        <v>85</v>
      </c>
      <c r="E898" s="103">
        <v>178176.86799999999</v>
      </c>
      <c r="F898" s="129" t="s">
        <v>256</v>
      </c>
    </row>
    <row r="899" spans="1:6" ht="16" thickBot="1" x14ac:dyDescent="0.25">
      <c r="A899" s="83">
        <v>3</v>
      </c>
      <c r="B899" s="129" t="s">
        <v>214</v>
      </c>
      <c r="C899" s="129" t="s">
        <v>147</v>
      </c>
      <c r="D899" s="83">
        <v>66</v>
      </c>
      <c r="E899" s="103">
        <v>115499.212</v>
      </c>
      <c r="F899" s="129" t="s">
        <v>256</v>
      </c>
    </row>
    <row r="900" spans="1:6" ht="16" thickBot="1" x14ac:dyDescent="0.25">
      <c r="A900" s="83">
        <v>3</v>
      </c>
      <c r="B900" s="129" t="s">
        <v>215</v>
      </c>
      <c r="C900" s="129" t="s">
        <v>147</v>
      </c>
      <c r="D900" s="83">
        <v>192</v>
      </c>
      <c r="E900" s="103">
        <v>447856.712</v>
      </c>
      <c r="F900" s="129" t="s">
        <v>256</v>
      </c>
    </row>
    <row r="901" spans="1:6" ht="16" thickBot="1" x14ac:dyDescent="0.25">
      <c r="A901" s="83">
        <v>3</v>
      </c>
      <c r="B901" s="129" t="s">
        <v>215</v>
      </c>
      <c r="C901" s="129" t="s">
        <v>147</v>
      </c>
      <c r="D901" s="83">
        <v>76</v>
      </c>
      <c r="E901" s="103">
        <v>23614.303619999999</v>
      </c>
      <c r="F901" s="129" t="s">
        <v>148</v>
      </c>
    </row>
    <row r="902" spans="1:6" ht="16" thickBot="1" x14ac:dyDescent="0.25">
      <c r="A902" s="83">
        <v>3</v>
      </c>
      <c r="B902" s="129" t="s">
        <v>216</v>
      </c>
      <c r="C902" s="129" t="s">
        <v>147</v>
      </c>
      <c r="D902" s="83">
        <v>17</v>
      </c>
      <c r="E902" s="103">
        <v>52350.813999999998</v>
      </c>
      <c r="F902" s="129" t="s">
        <v>256</v>
      </c>
    </row>
    <row r="903" spans="1:6" ht="16" thickBot="1" x14ac:dyDescent="0.25">
      <c r="A903" s="83">
        <v>3</v>
      </c>
      <c r="B903" s="129" t="s">
        <v>217</v>
      </c>
      <c r="C903" s="129" t="s">
        <v>147</v>
      </c>
      <c r="D903" s="83">
        <v>98</v>
      </c>
      <c r="E903" s="103">
        <v>196139.674</v>
      </c>
      <c r="F903" s="129" t="s">
        <v>256</v>
      </c>
    </row>
    <row r="904" spans="1:6" ht="16" thickBot="1" x14ac:dyDescent="0.25">
      <c r="A904" s="83">
        <v>3</v>
      </c>
      <c r="B904" s="129" t="s">
        <v>217</v>
      </c>
      <c r="C904" s="129" t="s">
        <v>147</v>
      </c>
      <c r="D904" s="83">
        <v>43</v>
      </c>
      <c r="E904" s="103">
        <v>9109.9073800000006</v>
      </c>
      <c r="F904" s="129" t="s">
        <v>148</v>
      </c>
    </row>
    <row r="905" spans="1:6" ht="16" thickBot="1" x14ac:dyDescent="0.25">
      <c r="A905" s="83">
        <v>3</v>
      </c>
      <c r="B905" s="129" t="s">
        <v>218</v>
      </c>
      <c r="C905" s="129" t="s">
        <v>147</v>
      </c>
      <c r="D905" s="83">
        <v>1223</v>
      </c>
      <c r="E905" s="103">
        <v>40290677.519000001</v>
      </c>
      <c r="F905" s="129" t="s">
        <v>256</v>
      </c>
    </row>
    <row r="906" spans="1:6" ht="16" thickBot="1" x14ac:dyDescent="0.25">
      <c r="A906" s="83">
        <v>3</v>
      </c>
      <c r="B906" s="129" t="s">
        <v>218</v>
      </c>
      <c r="C906" s="129" t="s">
        <v>147</v>
      </c>
      <c r="D906" s="83">
        <v>674</v>
      </c>
      <c r="E906" s="103">
        <v>347198.11791999999</v>
      </c>
      <c r="F906" s="129" t="s">
        <v>148</v>
      </c>
    </row>
    <row r="907" spans="1:6" ht="16" thickBot="1" x14ac:dyDescent="0.25">
      <c r="A907" s="83">
        <v>3</v>
      </c>
      <c r="B907" s="129" t="s">
        <v>219</v>
      </c>
      <c r="C907" s="129" t="s">
        <v>147</v>
      </c>
      <c r="D907" s="83">
        <v>21</v>
      </c>
      <c r="E907" s="103">
        <v>7080131.9639999997</v>
      </c>
      <c r="F907" s="129" t="s">
        <v>256</v>
      </c>
    </row>
    <row r="908" spans="1:6" ht="16" thickBot="1" x14ac:dyDescent="0.25">
      <c r="A908" s="83">
        <v>3</v>
      </c>
      <c r="B908" s="129" t="s">
        <v>219</v>
      </c>
      <c r="C908" s="129" t="s">
        <v>147</v>
      </c>
      <c r="D908" s="83">
        <v>39</v>
      </c>
      <c r="E908" s="103">
        <v>2544320.4650900001</v>
      </c>
      <c r="F908" s="129" t="s">
        <v>148</v>
      </c>
    </row>
    <row r="909" spans="1:6" ht="16" thickBot="1" x14ac:dyDescent="0.25">
      <c r="A909" s="83">
        <v>3</v>
      </c>
      <c r="B909" s="129" t="s">
        <v>220</v>
      </c>
      <c r="C909" s="129" t="s">
        <v>147</v>
      </c>
      <c r="D909" s="83">
        <v>18</v>
      </c>
      <c r="E909" s="103">
        <v>10040.727999999999</v>
      </c>
      <c r="F909" s="129" t="s">
        <v>256</v>
      </c>
    </row>
    <row r="910" spans="1:6" ht="16" thickBot="1" x14ac:dyDescent="0.25">
      <c r="A910" s="83">
        <v>3</v>
      </c>
      <c r="B910" s="129" t="s">
        <v>221</v>
      </c>
      <c r="C910" s="129" t="s">
        <v>147</v>
      </c>
      <c r="D910" s="83">
        <v>242</v>
      </c>
      <c r="E910" s="103">
        <v>605936.80000000005</v>
      </c>
      <c r="F910" s="129" t="s">
        <v>256</v>
      </c>
    </row>
    <row r="911" spans="1:6" ht="16" thickBot="1" x14ac:dyDescent="0.25">
      <c r="A911" s="83">
        <v>3</v>
      </c>
      <c r="B911" s="129" t="s">
        <v>221</v>
      </c>
      <c r="C911" s="129" t="s">
        <v>147</v>
      </c>
      <c r="D911" s="83">
        <v>139</v>
      </c>
      <c r="E911" s="103">
        <v>47308.946830000001</v>
      </c>
      <c r="F911" s="129" t="s">
        <v>148</v>
      </c>
    </row>
    <row r="912" spans="1:6" ht="16" thickBot="1" x14ac:dyDescent="0.25">
      <c r="A912" s="83">
        <v>3</v>
      </c>
      <c r="B912" s="129" t="s">
        <v>222</v>
      </c>
      <c r="C912" s="129" t="s">
        <v>147</v>
      </c>
      <c r="D912" s="83">
        <v>90</v>
      </c>
      <c r="E912" s="103">
        <v>304825.245</v>
      </c>
      <c r="F912" s="129" t="s">
        <v>256</v>
      </c>
    </row>
    <row r="913" spans="1:6" ht="16" thickBot="1" x14ac:dyDescent="0.25">
      <c r="A913" s="83">
        <v>3</v>
      </c>
      <c r="B913" s="129" t="s">
        <v>222</v>
      </c>
      <c r="C913" s="129" t="s">
        <v>147</v>
      </c>
      <c r="D913" s="83">
        <v>42</v>
      </c>
      <c r="E913" s="103">
        <v>8136.0292300000001</v>
      </c>
      <c r="F913" s="129" t="s">
        <v>148</v>
      </c>
    </row>
    <row r="914" spans="1:6" ht="16" thickBot="1" x14ac:dyDescent="0.25">
      <c r="A914" s="83">
        <v>3</v>
      </c>
      <c r="B914" s="129" t="s">
        <v>223</v>
      </c>
      <c r="C914" s="129" t="s">
        <v>147</v>
      </c>
      <c r="D914" s="83">
        <v>98</v>
      </c>
      <c r="E914" s="103">
        <v>137931.07699999999</v>
      </c>
      <c r="F914" s="129" t="s">
        <v>256</v>
      </c>
    </row>
    <row r="915" spans="1:6" ht="16" thickBot="1" x14ac:dyDescent="0.25">
      <c r="A915" s="83">
        <v>3</v>
      </c>
      <c r="B915" s="129" t="s">
        <v>223</v>
      </c>
      <c r="C915" s="129" t="s">
        <v>147</v>
      </c>
      <c r="D915" s="83">
        <v>53</v>
      </c>
      <c r="E915" s="103">
        <v>11353.137000000001</v>
      </c>
      <c r="F915" s="129" t="s">
        <v>148</v>
      </c>
    </row>
    <row r="916" spans="1:6" ht="16" thickBot="1" x14ac:dyDescent="0.25">
      <c r="A916" s="83">
        <v>3</v>
      </c>
      <c r="B916" s="129" t="s">
        <v>224</v>
      </c>
      <c r="C916" s="129" t="s">
        <v>147</v>
      </c>
      <c r="D916" s="83">
        <v>62</v>
      </c>
      <c r="E916" s="103">
        <v>181459.21100000001</v>
      </c>
      <c r="F916" s="129" t="s">
        <v>256</v>
      </c>
    </row>
    <row r="917" spans="1:6" ht="16" thickBot="1" x14ac:dyDescent="0.25">
      <c r="A917" s="83">
        <v>3</v>
      </c>
      <c r="B917" s="129" t="s">
        <v>225</v>
      </c>
      <c r="C917" s="129" t="s">
        <v>147</v>
      </c>
      <c r="D917" s="83">
        <v>16</v>
      </c>
      <c r="E917" s="103">
        <v>20111.217000000001</v>
      </c>
      <c r="F917" s="129" t="s">
        <v>256</v>
      </c>
    </row>
    <row r="918" spans="1:6" ht="16" thickBot="1" x14ac:dyDescent="0.25">
      <c r="A918" s="83">
        <v>3</v>
      </c>
      <c r="B918" s="129" t="s">
        <v>226</v>
      </c>
      <c r="C918" s="129" t="s">
        <v>147</v>
      </c>
      <c r="D918" s="83">
        <v>8</v>
      </c>
      <c r="E918" s="103">
        <v>6813.2330000000002</v>
      </c>
      <c r="F918" s="129" t="s">
        <v>256</v>
      </c>
    </row>
    <row r="919" spans="1:6" ht="16" thickBot="1" x14ac:dyDescent="0.25">
      <c r="A919" s="83">
        <v>3</v>
      </c>
      <c r="B919" s="129" t="s">
        <v>227</v>
      </c>
      <c r="C919" s="129" t="s">
        <v>147</v>
      </c>
      <c r="D919" s="83">
        <v>44</v>
      </c>
      <c r="E919" s="103">
        <v>99720.006999999998</v>
      </c>
      <c r="F919" s="129" t="s">
        <v>256</v>
      </c>
    </row>
    <row r="920" spans="1:6" ht="16" thickBot="1" x14ac:dyDescent="0.25">
      <c r="A920" s="83">
        <v>3</v>
      </c>
      <c r="B920" s="129" t="s">
        <v>227</v>
      </c>
      <c r="C920" s="129" t="s">
        <v>147</v>
      </c>
      <c r="D920" s="83">
        <v>22</v>
      </c>
      <c r="E920" s="103">
        <v>3585.0996700000001</v>
      </c>
      <c r="F920" s="129" t="s">
        <v>148</v>
      </c>
    </row>
    <row r="921" spans="1:6" ht="16" thickBot="1" x14ac:dyDescent="0.25">
      <c r="A921" s="83">
        <v>3</v>
      </c>
      <c r="B921" s="129" t="s">
        <v>228</v>
      </c>
      <c r="C921" s="129" t="s">
        <v>147</v>
      </c>
      <c r="D921" s="83">
        <v>138</v>
      </c>
      <c r="E921" s="103">
        <v>388649.163</v>
      </c>
      <c r="F921" s="129" t="s">
        <v>256</v>
      </c>
    </row>
    <row r="922" spans="1:6" ht="16" thickBot="1" x14ac:dyDescent="0.25">
      <c r="A922" s="83">
        <v>3</v>
      </c>
      <c r="B922" s="129" t="s">
        <v>228</v>
      </c>
      <c r="C922" s="129" t="s">
        <v>147</v>
      </c>
      <c r="D922" s="83">
        <v>16</v>
      </c>
      <c r="E922" s="103">
        <v>8950.2125400000004</v>
      </c>
      <c r="F922" s="129" t="s">
        <v>148</v>
      </c>
    </row>
    <row r="923" spans="1:6" ht="16" thickBot="1" x14ac:dyDescent="0.25">
      <c r="A923" s="83">
        <v>3</v>
      </c>
      <c r="B923" s="129" t="s">
        <v>229</v>
      </c>
      <c r="C923" s="129" t="s">
        <v>147</v>
      </c>
      <c r="D923" s="83">
        <v>190</v>
      </c>
      <c r="E923" s="103">
        <v>395541.51299999998</v>
      </c>
      <c r="F923" s="129" t="s">
        <v>256</v>
      </c>
    </row>
    <row r="924" spans="1:6" ht="16" thickBot="1" x14ac:dyDescent="0.25">
      <c r="A924" s="83">
        <v>3</v>
      </c>
      <c r="B924" s="129" t="s">
        <v>230</v>
      </c>
      <c r="C924" s="129" t="s">
        <v>147</v>
      </c>
      <c r="D924" s="83">
        <v>1788</v>
      </c>
      <c r="E924" s="103">
        <v>19212768.017999999</v>
      </c>
      <c r="F924" s="129" t="s">
        <v>256</v>
      </c>
    </row>
    <row r="925" spans="1:6" ht="16" thickBot="1" x14ac:dyDescent="0.25">
      <c r="A925" s="83">
        <v>3</v>
      </c>
      <c r="B925" s="129" t="s">
        <v>230</v>
      </c>
      <c r="C925" s="129" t="s">
        <v>147</v>
      </c>
      <c r="D925" s="83">
        <v>969</v>
      </c>
      <c r="E925" s="103">
        <v>969399.26974999998</v>
      </c>
      <c r="F925" s="129" t="s">
        <v>148</v>
      </c>
    </row>
    <row r="926" spans="1:6" ht="16" thickBot="1" x14ac:dyDescent="0.25">
      <c r="A926" s="83">
        <v>3</v>
      </c>
      <c r="B926" s="129" t="s">
        <v>231</v>
      </c>
      <c r="C926" s="129" t="s">
        <v>147</v>
      </c>
      <c r="D926" s="83">
        <v>2208</v>
      </c>
      <c r="E926" s="103">
        <v>20161219.477000002</v>
      </c>
      <c r="F926" s="129" t="s">
        <v>256</v>
      </c>
    </row>
    <row r="927" spans="1:6" ht="16" thickBot="1" x14ac:dyDescent="0.25">
      <c r="A927" s="83">
        <v>3</v>
      </c>
      <c r="B927" s="129" t="s">
        <v>231</v>
      </c>
      <c r="C927" s="129" t="s">
        <v>147</v>
      </c>
      <c r="D927" s="83">
        <v>1425</v>
      </c>
      <c r="E927" s="103">
        <v>1022122.70331</v>
      </c>
      <c r="F927" s="129" t="s">
        <v>148</v>
      </c>
    </row>
    <row r="928" spans="1:6" ht="16" thickBot="1" x14ac:dyDescent="0.25">
      <c r="A928" s="83">
        <v>3</v>
      </c>
      <c r="B928" s="129" t="s">
        <v>232</v>
      </c>
      <c r="C928" s="129" t="s">
        <v>147</v>
      </c>
      <c r="D928" s="83">
        <v>338</v>
      </c>
      <c r="E928" s="103">
        <v>1456187.709</v>
      </c>
      <c r="F928" s="129" t="s">
        <v>256</v>
      </c>
    </row>
    <row r="929" spans="1:6" ht="16" thickBot="1" x14ac:dyDescent="0.25">
      <c r="A929" s="83">
        <v>3</v>
      </c>
      <c r="B929" s="129" t="s">
        <v>232</v>
      </c>
      <c r="C929" s="129" t="s">
        <v>147</v>
      </c>
      <c r="D929" s="83">
        <v>155</v>
      </c>
      <c r="E929" s="103">
        <v>96767.530809999997</v>
      </c>
      <c r="F929" s="129" t="s">
        <v>148</v>
      </c>
    </row>
    <row r="930" spans="1:6" ht="16" thickBot="1" x14ac:dyDescent="0.25">
      <c r="A930" s="83">
        <v>3</v>
      </c>
      <c r="B930" s="129" t="s">
        <v>233</v>
      </c>
      <c r="C930" s="129" t="s">
        <v>147</v>
      </c>
      <c r="D930" s="83">
        <v>293</v>
      </c>
      <c r="E930" s="103">
        <v>26110310.07</v>
      </c>
      <c r="F930" s="129" t="s">
        <v>256</v>
      </c>
    </row>
    <row r="931" spans="1:6" ht="16" thickBot="1" x14ac:dyDescent="0.25">
      <c r="A931" s="83">
        <v>3</v>
      </c>
      <c r="B931" s="129" t="s">
        <v>233</v>
      </c>
      <c r="C931" s="129" t="s">
        <v>147</v>
      </c>
      <c r="D931" s="83">
        <v>110</v>
      </c>
      <c r="E931" s="103">
        <v>1061159.03449</v>
      </c>
      <c r="F931" s="129" t="s">
        <v>148</v>
      </c>
    </row>
    <row r="932" spans="1:6" ht="16" thickBot="1" x14ac:dyDescent="0.25">
      <c r="A932" s="83">
        <v>3</v>
      </c>
      <c r="B932" s="129" t="s">
        <v>234</v>
      </c>
      <c r="C932" s="129" t="s">
        <v>147</v>
      </c>
      <c r="D932" s="83">
        <v>1207</v>
      </c>
      <c r="E932" s="103">
        <v>16341032.645</v>
      </c>
      <c r="F932" s="129" t="s">
        <v>256</v>
      </c>
    </row>
    <row r="933" spans="1:6" ht="16" thickBot="1" x14ac:dyDescent="0.25">
      <c r="A933" s="83">
        <v>3</v>
      </c>
      <c r="B933" s="129" t="s">
        <v>234</v>
      </c>
      <c r="C933" s="129" t="s">
        <v>147</v>
      </c>
      <c r="D933" s="83">
        <v>754</v>
      </c>
      <c r="E933" s="103">
        <v>435233.41323000001</v>
      </c>
      <c r="F933" s="129" t="s">
        <v>148</v>
      </c>
    </row>
    <row r="934" spans="1:6" ht="16" thickBot="1" x14ac:dyDescent="0.25">
      <c r="A934" s="83">
        <v>3</v>
      </c>
      <c r="B934" s="129" t="s">
        <v>235</v>
      </c>
      <c r="C934" s="129" t="s">
        <v>147</v>
      </c>
      <c r="D934" s="83">
        <v>667</v>
      </c>
      <c r="E934" s="103">
        <v>2363549.2310000001</v>
      </c>
      <c r="F934" s="129" t="s">
        <v>256</v>
      </c>
    </row>
    <row r="935" spans="1:6" ht="16" thickBot="1" x14ac:dyDescent="0.25">
      <c r="A935" s="83">
        <v>3</v>
      </c>
      <c r="B935" s="129" t="s">
        <v>235</v>
      </c>
      <c r="C935" s="129" t="s">
        <v>147</v>
      </c>
      <c r="D935" s="83">
        <v>1154</v>
      </c>
      <c r="E935" s="103">
        <v>587103.33132</v>
      </c>
      <c r="F935" s="129" t="s">
        <v>148</v>
      </c>
    </row>
    <row r="936" spans="1:6" ht="16" thickBot="1" x14ac:dyDescent="0.25">
      <c r="A936" s="83">
        <v>3</v>
      </c>
      <c r="B936" s="129" t="s">
        <v>236</v>
      </c>
      <c r="C936" s="129" t="s">
        <v>147</v>
      </c>
      <c r="D936" s="83">
        <v>1300</v>
      </c>
      <c r="E936" s="103">
        <v>8257991.9230000004</v>
      </c>
      <c r="F936" s="129" t="s">
        <v>256</v>
      </c>
    </row>
    <row r="937" spans="1:6" ht="16" thickBot="1" x14ac:dyDescent="0.25">
      <c r="A937" s="83">
        <v>3</v>
      </c>
      <c r="B937" s="129" t="s">
        <v>236</v>
      </c>
      <c r="C937" s="129" t="s">
        <v>147</v>
      </c>
      <c r="D937" s="83">
        <v>731</v>
      </c>
      <c r="E937" s="103">
        <v>480518.18414000003</v>
      </c>
      <c r="F937" s="129" t="s">
        <v>148</v>
      </c>
    </row>
    <row r="938" spans="1:6" ht="16" thickBot="1" x14ac:dyDescent="0.25">
      <c r="A938" s="83">
        <v>3</v>
      </c>
      <c r="B938" s="129" t="s">
        <v>237</v>
      </c>
      <c r="C938" s="129" t="s">
        <v>147</v>
      </c>
      <c r="D938" s="83">
        <v>1229</v>
      </c>
      <c r="E938" s="103">
        <v>6763221.2520000003</v>
      </c>
      <c r="F938" s="129" t="s">
        <v>256</v>
      </c>
    </row>
    <row r="939" spans="1:6" ht="16" thickBot="1" x14ac:dyDescent="0.25">
      <c r="A939" s="83">
        <v>3</v>
      </c>
      <c r="B939" s="129" t="s">
        <v>237</v>
      </c>
      <c r="C939" s="129" t="s">
        <v>147</v>
      </c>
      <c r="D939" s="83">
        <v>655</v>
      </c>
      <c r="E939" s="103">
        <v>506259.65364999999</v>
      </c>
      <c r="F939" s="129" t="s">
        <v>148</v>
      </c>
    </row>
    <row r="940" spans="1:6" ht="16" thickBot="1" x14ac:dyDescent="0.25">
      <c r="A940" s="83">
        <v>3</v>
      </c>
      <c r="B940" s="129" t="s">
        <v>238</v>
      </c>
      <c r="C940" s="129" t="s">
        <v>147</v>
      </c>
      <c r="D940" s="83">
        <v>1765</v>
      </c>
      <c r="E940" s="103">
        <v>8791862.807</v>
      </c>
      <c r="F940" s="129" t="s">
        <v>256</v>
      </c>
    </row>
    <row r="941" spans="1:6" ht="16" thickBot="1" x14ac:dyDescent="0.25">
      <c r="A941" s="83">
        <v>3</v>
      </c>
      <c r="B941" s="129" t="s">
        <v>238</v>
      </c>
      <c r="C941" s="129" t="s">
        <v>147</v>
      </c>
      <c r="D941" s="83">
        <v>1213</v>
      </c>
      <c r="E941" s="103">
        <v>904377.82721000002</v>
      </c>
      <c r="F941" s="129" t="s">
        <v>148</v>
      </c>
    </row>
    <row r="942" spans="1:6" ht="16" thickBot="1" x14ac:dyDescent="0.25">
      <c r="A942" s="83">
        <v>3</v>
      </c>
      <c r="B942" s="129" t="s">
        <v>239</v>
      </c>
      <c r="C942" s="129" t="s">
        <v>147</v>
      </c>
      <c r="D942" s="83">
        <v>1140</v>
      </c>
      <c r="E942" s="103">
        <v>8908295.8680000007</v>
      </c>
      <c r="F942" s="129" t="s">
        <v>256</v>
      </c>
    </row>
    <row r="943" spans="1:6" ht="16" thickBot="1" x14ac:dyDescent="0.25">
      <c r="A943" s="83">
        <v>3</v>
      </c>
      <c r="B943" s="129" t="s">
        <v>239</v>
      </c>
      <c r="C943" s="129" t="s">
        <v>147</v>
      </c>
      <c r="D943" s="83">
        <v>1054</v>
      </c>
      <c r="E943" s="103">
        <v>1227491.14081</v>
      </c>
      <c r="F943" s="129" t="s">
        <v>148</v>
      </c>
    </row>
    <row r="944" spans="1:6" ht="16" thickBot="1" x14ac:dyDescent="0.25">
      <c r="A944" s="83">
        <v>3</v>
      </c>
      <c r="B944" s="129" t="s">
        <v>240</v>
      </c>
      <c r="C944" s="129" t="s">
        <v>147</v>
      </c>
      <c r="D944" s="83">
        <v>944</v>
      </c>
      <c r="E944" s="103">
        <v>3774389.6409999998</v>
      </c>
      <c r="F944" s="129" t="s">
        <v>256</v>
      </c>
    </row>
    <row r="945" spans="1:6" ht="16" thickBot="1" x14ac:dyDescent="0.25">
      <c r="A945" s="83">
        <v>3</v>
      </c>
      <c r="B945" s="129" t="s">
        <v>240</v>
      </c>
      <c r="C945" s="129" t="s">
        <v>147</v>
      </c>
      <c r="D945" s="83">
        <v>642</v>
      </c>
      <c r="E945" s="103">
        <v>200389.12927</v>
      </c>
      <c r="F945" s="129" t="s">
        <v>148</v>
      </c>
    </row>
    <row r="946" spans="1:6" ht="16" thickBot="1" x14ac:dyDescent="0.25">
      <c r="A946" s="83">
        <v>3</v>
      </c>
      <c r="B946" s="129" t="s">
        <v>241</v>
      </c>
      <c r="C946" s="129" t="s">
        <v>147</v>
      </c>
      <c r="D946" s="83">
        <v>958</v>
      </c>
      <c r="E946" s="103">
        <v>7837554.1109999996</v>
      </c>
      <c r="F946" s="129" t="s">
        <v>256</v>
      </c>
    </row>
    <row r="947" spans="1:6" ht="16" thickBot="1" x14ac:dyDescent="0.25">
      <c r="A947" s="83">
        <v>3</v>
      </c>
      <c r="B947" s="129" t="s">
        <v>241</v>
      </c>
      <c r="C947" s="129" t="s">
        <v>147</v>
      </c>
      <c r="D947" s="83">
        <v>606</v>
      </c>
      <c r="E947" s="103">
        <v>378758.11034000001</v>
      </c>
      <c r="F947" s="129" t="s">
        <v>148</v>
      </c>
    </row>
    <row r="948" spans="1:6" ht="16" thickBot="1" x14ac:dyDescent="0.25">
      <c r="A948" s="83">
        <v>3</v>
      </c>
      <c r="B948" s="129" t="s">
        <v>242</v>
      </c>
      <c r="C948" s="129" t="s">
        <v>147</v>
      </c>
      <c r="D948" s="83">
        <v>53</v>
      </c>
      <c r="E948" s="103">
        <v>704016.223</v>
      </c>
      <c r="F948" s="129" t="s">
        <v>256</v>
      </c>
    </row>
    <row r="949" spans="1:6" ht="16" thickBot="1" x14ac:dyDescent="0.25">
      <c r="A949" s="83">
        <v>3</v>
      </c>
      <c r="B949" s="129" t="s">
        <v>242</v>
      </c>
      <c r="C949" s="129" t="s">
        <v>147</v>
      </c>
      <c r="D949" s="83">
        <v>11</v>
      </c>
      <c r="E949" s="103">
        <v>81942.804879999996</v>
      </c>
      <c r="F949" s="129" t="s">
        <v>148</v>
      </c>
    </row>
    <row r="950" spans="1:6" ht="16" thickBot="1" x14ac:dyDescent="0.25">
      <c r="A950" s="83">
        <v>3</v>
      </c>
      <c r="B950" s="129" t="s">
        <v>243</v>
      </c>
      <c r="C950" s="129" t="s">
        <v>147</v>
      </c>
      <c r="D950" s="83">
        <v>1</v>
      </c>
      <c r="E950" s="103">
        <v>18537.759999999998</v>
      </c>
      <c r="F950" s="129" t="s">
        <v>256</v>
      </c>
    </row>
    <row r="951" spans="1:6" ht="16" thickBot="1" x14ac:dyDescent="0.25">
      <c r="A951" s="83">
        <v>3</v>
      </c>
      <c r="B951" s="129" t="s">
        <v>243</v>
      </c>
      <c r="C951" s="129" t="s">
        <v>147</v>
      </c>
      <c r="D951" s="83">
        <v>1</v>
      </c>
      <c r="E951" s="103">
        <v>2194.2689999999998</v>
      </c>
      <c r="F951" s="129" t="s">
        <v>148</v>
      </c>
    </row>
    <row r="952" spans="1:6" ht="16" thickBot="1" x14ac:dyDescent="0.25">
      <c r="A952" s="83">
        <v>3</v>
      </c>
      <c r="B952" s="129" t="s">
        <v>244</v>
      </c>
      <c r="C952" s="129" t="s">
        <v>147</v>
      </c>
      <c r="D952" s="83">
        <v>758</v>
      </c>
      <c r="E952" s="103">
        <v>3896914.3089999999</v>
      </c>
      <c r="F952" s="129" t="s">
        <v>256</v>
      </c>
    </row>
    <row r="953" spans="1:6" ht="16" thickBot="1" x14ac:dyDescent="0.25">
      <c r="A953" s="83">
        <v>3</v>
      </c>
      <c r="B953" s="129" t="s">
        <v>244</v>
      </c>
      <c r="C953" s="129" t="s">
        <v>147</v>
      </c>
      <c r="D953" s="83">
        <v>363</v>
      </c>
      <c r="E953" s="103">
        <v>199671.20594000001</v>
      </c>
      <c r="F953" s="129" t="s">
        <v>148</v>
      </c>
    </row>
    <row r="954" spans="1:6" ht="16" thickBot="1" x14ac:dyDescent="0.25">
      <c r="A954" s="83">
        <v>3</v>
      </c>
      <c r="B954" s="129" t="s">
        <v>245</v>
      </c>
      <c r="C954" s="129" t="s">
        <v>147</v>
      </c>
      <c r="D954" s="83">
        <v>764</v>
      </c>
      <c r="E954" s="103">
        <v>7829439.9160000002</v>
      </c>
      <c r="F954" s="129" t="s">
        <v>256</v>
      </c>
    </row>
    <row r="955" spans="1:6" ht="16" thickBot="1" x14ac:dyDescent="0.25">
      <c r="A955" s="83">
        <v>3</v>
      </c>
      <c r="B955" s="129" t="s">
        <v>245</v>
      </c>
      <c r="C955" s="129" t="s">
        <v>147</v>
      </c>
      <c r="D955" s="83">
        <v>430</v>
      </c>
      <c r="E955" s="103">
        <v>627229.73132999998</v>
      </c>
      <c r="F955" s="129" t="s">
        <v>148</v>
      </c>
    </row>
    <row r="956" spans="1:6" ht="16" thickBot="1" x14ac:dyDescent="0.25">
      <c r="A956" s="83">
        <v>3</v>
      </c>
      <c r="B956" s="129" t="s">
        <v>273</v>
      </c>
      <c r="C956" s="129" t="s">
        <v>147</v>
      </c>
      <c r="D956" s="83">
        <v>2</v>
      </c>
      <c r="E956" s="103">
        <v>12706.92</v>
      </c>
      <c r="F956" s="129" t="s">
        <v>148</v>
      </c>
    </row>
    <row r="957" spans="1:6" ht="16" thickBot="1" x14ac:dyDescent="0.25">
      <c r="A957" s="83">
        <v>3</v>
      </c>
      <c r="B957" s="129" t="s">
        <v>246</v>
      </c>
      <c r="C957" s="129" t="s">
        <v>147</v>
      </c>
      <c r="D957" s="83">
        <v>1</v>
      </c>
      <c r="E957" s="103">
        <v>12403.56</v>
      </c>
      <c r="F957" s="129" t="s">
        <v>256</v>
      </c>
    </row>
    <row r="958" spans="1:6" ht="16" thickBot="1" x14ac:dyDescent="0.25">
      <c r="A958" s="83">
        <v>3</v>
      </c>
      <c r="B958" s="129" t="s">
        <v>246</v>
      </c>
      <c r="C958" s="129" t="s">
        <v>147</v>
      </c>
      <c r="D958" s="83">
        <v>2</v>
      </c>
      <c r="E958" s="103">
        <v>1289.25945</v>
      </c>
      <c r="F958" s="129" t="s">
        <v>148</v>
      </c>
    </row>
    <row r="959" spans="1:6" ht="16" thickBot="1" x14ac:dyDescent="0.25">
      <c r="A959" s="83">
        <v>3</v>
      </c>
      <c r="B959" s="129" t="s">
        <v>247</v>
      </c>
      <c r="C959" s="129" t="s">
        <v>147</v>
      </c>
      <c r="D959" s="83">
        <v>72</v>
      </c>
      <c r="E959" s="103">
        <v>63663.650650000003</v>
      </c>
      <c r="F959" s="129" t="s">
        <v>148</v>
      </c>
    </row>
    <row r="960" spans="1:6" ht="16" thickBot="1" x14ac:dyDescent="0.25">
      <c r="A960" s="83">
        <v>3</v>
      </c>
      <c r="B960" s="129" t="s">
        <v>248</v>
      </c>
      <c r="C960" s="129" t="s">
        <v>147</v>
      </c>
      <c r="D960" s="83">
        <v>1</v>
      </c>
      <c r="E960" s="83">
        <v>0</v>
      </c>
      <c r="F960" s="129" t="s">
        <v>256</v>
      </c>
    </row>
    <row r="961" spans="1:6" ht="16" thickBot="1" x14ac:dyDescent="0.25">
      <c r="A961" s="83">
        <v>3</v>
      </c>
      <c r="B961" s="129" t="s">
        <v>249</v>
      </c>
      <c r="C961" s="129" t="s">
        <v>147</v>
      </c>
      <c r="D961" s="83">
        <v>125</v>
      </c>
      <c r="E961" s="103">
        <v>293176.48300000001</v>
      </c>
      <c r="F961" s="129" t="s">
        <v>256</v>
      </c>
    </row>
    <row r="962" spans="1:6" ht="16" thickBot="1" x14ac:dyDescent="0.25">
      <c r="A962" s="83">
        <v>3</v>
      </c>
      <c r="B962" s="129" t="s">
        <v>249</v>
      </c>
      <c r="C962" s="129" t="s">
        <v>147</v>
      </c>
      <c r="D962" s="83">
        <v>29</v>
      </c>
      <c r="E962" s="103">
        <v>7426.9910799999998</v>
      </c>
      <c r="F962" s="129" t="s">
        <v>148</v>
      </c>
    </row>
    <row r="963" spans="1:6" ht="16" thickBot="1" x14ac:dyDescent="0.25">
      <c r="A963" s="83">
        <v>3</v>
      </c>
      <c r="B963" s="129" t="s">
        <v>250</v>
      </c>
      <c r="C963" s="129" t="s">
        <v>147</v>
      </c>
      <c r="D963" s="83">
        <v>1107</v>
      </c>
      <c r="E963" s="103">
        <v>5746873.4280000003</v>
      </c>
      <c r="F963" s="129" t="s">
        <v>256</v>
      </c>
    </row>
    <row r="964" spans="1:6" ht="16" thickBot="1" x14ac:dyDescent="0.25">
      <c r="A964" s="83">
        <v>3</v>
      </c>
      <c r="B964" s="129" t="s">
        <v>251</v>
      </c>
      <c r="C964" s="129" t="s">
        <v>147</v>
      </c>
      <c r="D964" s="83">
        <v>63</v>
      </c>
      <c r="E964" s="103">
        <v>103525.034</v>
      </c>
      <c r="F964" s="129" t="s">
        <v>256</v>
      </c>
    </row>
    <row r="965" spans="1:6" ht="16" thickBot="1" x14ac:dyDescent="0.25">
      <c r="A965" s="83">
        <v>3</v>
      </c>
      <c r="B965" s="129" t="s">
        <v>252</v>
      </c>
      <c r="C965" s="129" t="s">
        <v>147</v>
      </c>
      <c r="D965" s="83">
        <v>64</v>
      </c>
      <c r="E965" s="103">
        <v>172817.06299999999</v>
      </c>
      <c r="F965" s="129" t="s">
        <v>256</v>
      </c>
    </row>
    <row r="966" spans="1:6" ht="16" thickBot="1" x14ac:dyDescent="0.25">
      <c r="A966" s="83">
        <v>3</v>
      </c>
      <c r="B966" s="129" t="s">
        <v>252</v>
      </c>
      <c r="C966" s="129" t="s">
        <v>147</v>
      </c>
      <c r="D966" s="83">
        <v>30</v>
      </c>
      <c r="E966" s="103">
        <v>9347.2710700000007</v>
      </c>
      <c r="F966" s="129" t="s">
        <v>148</v>
      </c>
    </row>
    <row r="967" spans="1:6" ht="16" thickBot="1" x14ac:dyDescent="0.25">
      <c r="A967" s="83">
        <v>3</v>
      </c>
      <c r="B967" s="129" t="s">
        <v>253</v>
      </c>
      <c r="C967" s="129" t="s">
        <v>147</v>
      </c>
      <c r="D967" s="83">
        <v>1145</v>
      </c>
      <c r="E967" s="103">
        <v>4324781.8470000001</v>
      </c>
      <c r="F967" s="129" t="s">
        <v>256</v>
      </c>
    </row>
    <row r="968" spans="1:6" ht="16" thickBot="1" x14ac:dyDescent="0.25">
      <c r="A968" s="83">
        <v>3</v>
      </c>
      <c r="B968" s="129" t="s">
        <v>253</v>
      </c>
      <c r="C968" s="129" t="s">
        <v>147</v>
      </c>
      <c r="D968" s="83">
        <v>538</v>
      </c>
      <c r="E968" s="103">
        <v>240237.54595</v>
      </c>
      <c r="F968" s="129" t="s">
        <v>148</v>
      </c>
    </row>
    <row r="969" spans="1:6" ht="16" thickBot="1" x14ac:dyDescent="0.25">
      <c r="A969" s="83">
        <v>3</v>
      </c>
      <c r="B969" s="129" t="s">
        <v>151</v>
      </c>
      <c r="C969" s="129" t="s">
        <v>152</v>
      </c>
      <c r="D969" s="83">
        <v>2</v>
      </c>
      <c r="E969" s="83">
        <v>902336</v>
      </c>
      <c r="F969" s="129" t="s">
        <v>148</v>
      </c>
    </row>
    <row r="970" spans="1:6" ht="16" thickBot="1" x14ac:dyDescent="0.25">
      <c r="A970" s="83">
        <v>3</v>
      </c>
      <c r="B970" s="129" t="s">
        <v>153</v>
      </c>
      <c r="C970" s="129" t="s">
        <v>152</v>
      </c>
      <c r="D970" s="83">
        <v>3</v>
      </c>
      <c r="E970" s="103">
        <v>148288.6</v>
      </c>
      <c r="F970" s="129" t="s">
        <v>256</v>
      </c>
    </row>
    <row r="971" spans="1:6" ht="16" thickBot="1" x14ac:dyDescent="0.25">
      <c r="A971" s="83">
        <v>3</v>
      </c>
      <c r="B971" s="129" t="s">
        <v>153</v>
      </c>
      <c r="C971" s="129" t="s">
        <v>152</v>
      </c>
      <c r="D971" s="83">
        <v>2</v>
      </c>
      <c r="E971" s="103">
        <v>17168.930240000002</v>
      </c>
      <c r="F971" s="129" t="s">
        <v>148</v>
      </c>
    </row>
    <row r="972" spans="1:6" ht="16" thickBot="1" x14ac:dyDescent="0.25">
      <c r="A972" s="83">
        <v>3</v>
      </c>
      <c r="B972" s="129" t="s">
        <v>154</v>
      </c>
      <c r="C972" s="129" t="s">
        <v>152</v>
      </c>
      <c r="D972" s="83">
        <v>3</v>
      </c>
      <c r="E972" s="103">
        <v>5180.1729999999998</v>
      </c>
      <c r="F972" s="129" t="s">
        <v>256</v>
      </c>
    </row>
    <row r="973" spans="1:6" ht="16" thickBot="1" x14ac:dyDescent="0.25">
      <c r="A973" s="83">
        <v>3</v>
      </c>
      <c r="B973" s="129" t="s">
        <v>156</v>
      </c>
      <c r="C973" s="129" t="s">
        <v>152</v>
      </c>
      <c r="D973" s="83">
        <v>12</v>
      </c>
      <c r="E973" s="103">
        <v>19990.457999999999</v>
      </c>
      <c r="F973" s="129" t="s">
        <v>256</v>
      </c>
    </row>
    <row r="974" spans="1:6" ht="16" thickBot="1" x14ac:dyDescent="0.25">
      <c r="A974" s="83">
        <v>3</v>
      </c>
      <c r="B974" s="129" t="s">
        <v>156</v>
      </c>
      <c r="C974" s="129" t="s">
        <v>152</v>
      </c>
      <c r="D974" s="83">
        <v>1</v>
      </c>
      <c r="E974" s="103">
        <v>1.2214799999999999</v>
      </c>
      <c r="F974" s="129" t="s">
        <v>148</v>
      </c>
    </row>
    <row r="975" spans="1:6" ht="16" thickBot="1" x14ac:dyDescent="0.25">
      <c r="A975" s="83">
        <v>3</v>
      </c>
      <c r="B975" s="129" t="s">
        <v>157</v>
      </c>
      <c r="C975" s="129" t="s">
        <v>152</v>
      </c>
      <c r="D975" s="83">
        <v>6</v>
      </c>
      <c r="E975" s="103">
        <v>69351.376999999993</v>
      </c>
      <c r="F975" s="129" t="s">
        <v>256</v>
      </c>
    </row>
    <row r="976" spans="1:6" ht="16" thickBot="1" x14ac:dyDescent="0.25">
      <c r="A976" s="83">
        <v>3</v>
      </c>
      <c r="B976" s="129" t="s">
        <v>157</v>
      </c>
      <c r="C976" s="129" t="s">
        <v>152</v>
      </c>
      <c r="D976" s="83">
        <v>1</v>
      </c>
      <c r="E976" s="103">
        <v>86.522239999999996</v>
      </c>
      <c r="F976" s="129" t="s">
        <v>148</v>
      </c>
    </row>
    <row r="977" spans="1:6" ht="16" thickBot="1" x14ac:dyDescent="0.25">
      <c r="A977" s="83">
        <v>3</v>
      </c>
      <c r="B977" s="129" t="s">
        <v>158</v>
      </c>
      <c r="C977" s="129" t="s">
        <v>152</v>
      </c>
      <c r="D977" s="83">
        <v>1</v>
      </c>
      <c r="E977" s="83">
        <v>0</v>
      </c>
      <c r="F977" s="129" t="s">
        <v>256</v>
      </c>
    </row>
    <row r="978" spans="1:6" ht="16" thickBot="1" x14ac:dyDescent="0.25">
      <c r="A978" s="83">
        <v>3</v>
      </c>
      <c r="B978" s="129" t="s">
        <v>161</v>
      </c>
      <c r="C978" s="129" t="s">
        <v>152</v>
      </c>
      <c r="D978" s="83">
        <v>5</v>
      </c>
      <c r="E978" s="103">
        <v>10300.808999999999</v>
      </c>
      <c r="F978" s="129" t="s">
        <v>256</v>
      </c>
    </row>
    <row r="979" spans="1:6" ht="16" thickBot="1" x14ac:dyDescent="0.25">
      <c r="A979" s="83">
        <v>3</v>
      </c>
      <c r="B979" s="129" t="s">
        <v>162</v>
      </c>
      <c r="C979" s="129" t="s">
        <v>152</v>
      </c>
      <c r="D979" s="83">
        <v>1</v>
      </c>
      <c r="E979" s="83">
        <v>2827</v>
      </c>
      <c r="F979" s="129" t="s">
        <v>256</v>
      </c>
    </row>
    <row r="980" spans="1:6" ht="16" thickBot="1" x14ac:dyDescent="0.25">
      <c r="A980" s="83">
        <v>3</v>
      </c>
      <c r="B980" s="129" t="s">
        <v>165</v>
      </c>
      <c r="C980" s="129" t="s">
        <v>152</v>
      </c>
      <c r="D980" s="83">
        <v>1</v>
      </c>
      <c r="E980" s="103">
        <v>242.381</v>
      </c>
      <c r="F980" s="129" t="s">
        <v>256</v>
      </c>
    </row>
    <row r="981" spans="1:6" ht="16" thickBot="1" x14ac:dyDescent="0.25">
      <c r="A981" s="83">
        <v>3</v>
      </c>
      <c r="B981" s="129" t="s">
        <v>166</v>
      </c>
      <c r="C981" s="129" t="s">
        <v>152</v>
      </c>
      <c r="D981" s="83">
        <v>8</v>
      </c>
      <c r="E981" s="103">
        <v>3960163.2</v>
      </c>
      <c r="F981" s="129" t="s">
        <v>256</v>
      </c>
    </row>
    <row r="982" spans="1:6" ht="16" thickBot="1" x14ac:dyDescent="0.25">
      <c r="A982" s="83">
        <v>3</v>
      </c>
      <c r="B982" s="129" t="s">
        <v>166</v>
      </c>
      <c r="C982" s="129" t="s">
        <v>152</v>
      </c>
      <c r="D982" s="83">
        <v>4</v>
      </c>
      <c r="E982" s="103">
        <v>139752.94594999999</v>
      </c>
      <c r="F982" s="129" t="s">
        <v>148</v>
      </c>
    </row>
    <row r="983" spans="1:6" ht="16" thickBot="1" x14ac:dyDescent="0.25">
      <c r="A983" s="83">
        <v>3</v>
      </c>
      <c r="B983" s="129" t="s">
        <v>169</v>
      </c>
      <c r="C983" s="129" t="s">
        <v>152</v>
      </c>
      <c r="D983" s="83">
        <v>1</v>
      </c>
      <c r="E983" s="103">
        <v>10218.76</v>
      </c>
      <c r="F983" s="129" t="s">
        <v>256</v>
      </c>
    </row>
    <row r="984" spans="1:6" ht="16" thickBot="1" x14ac:dyDescent="0.25">
      <c r="A984" s="83">
        <v>3</v>
      </c>
      <c r="B984" s="129" t="s">
        <v>170</v>
      </c>
      <c r="C984" s="129" t="s">
        <v>152</v>
      </c>
      <c r="D984" s="83">
        <v>2</v>
      </c>
      <c r="E984" s="83">
        <v>300220</v>
      </c>
      <c r="F984" s="129" t="s">
        <v>148</v>
      </c>
    </row>
    <row r="985" spans="1:6" ht="16" thickBot="1" x14ac:dyDescent="0.25">
      <c r="A985" s="83">
        <v>3</v>
      </c>
      <c r="B985" s="129" t="s">
        <v>172</v>
      </c>
      <c r="C985" s="129" t="s">
        <v>152</v>
      </c>
      <c r="D985" s="83">
        <v>1</v>
      </c>
      <c r="E985" s="103">
        <v>3923.4140000000002</v>
      </c>
      <c r="F985" s="129" t="s">
        <v>256</v>
      </c>
    </row>
    <row r="986" spans="1:6" ht="16" thickBot="1" x14ac:dyDescent="0.25">
      <c r="A986" s="83">
        <v>3</v>
      </c>
      <c r="B986" s="129" t="s">
        <v>173</v>
      </c>
      <c r="C986" s="129" t="s">
        <v>152</v>
      </c>
      <c r="D986" s="83">
        <v>1</v>
      </c>
      <c r="E986" s="103">
        <v>2464.951</v>
      </c>
      <c r="F986" s="129" t="s">
        <v>256</v>
      </c>
    </row>
    <row r="987" spans="1:6" ht="16" thickBot="1" x14ac:dyDescent="0.25">
      <c r="A987" s="83">
        <v>3</v>
      </c>
      <c r="B987" s="129" t="s">
        <v>174</v>
      </c>
      <c r="C987" s="129" t="s">
        <v>152</v>
      </c>
      <c r="D987" s="83">
        <v>1</v>
      </c>
      <c r="E987" s="103">
        <v>1047.4000000000001</v>
      </c>
      <c r="F987" s="129" t="s">
        <v>256</v>
      </c>
    </row>
    <row r="988" spans="1:6" ht="16" thickBot="1" x14ac:dyDescent="0.25">
      <c r="A988" s="83">
        <v>3</v>
      </c>
      <c r="B988" s="129" t="s">
        <v>175</v>
      </c>
      <c r="C988" s="129" t="s">
        <v>152</v>
      </c>
      <c r="D988" s="83">
        <v>4</v>
      </c>
      <c r="E988" s="103">
        <v>11621.75</v>
      </c>
      <c r="F988" s="129" t="s">
        <v>256</v>
      </c>
    </row>
    <row r="989" spans="1:6" ht="16" thickBot="1" x14ac:dyDescent="0.25">
      <c r="A989" s="83">
        <v>3</v>
      </c>
      <c r="B989" s="129" t="s">
        <v>178</v>
      </c>
      <c r="C989" s="129" t="s">
        <v>152</v>
      </c>
      <c r="D989" s="83">
        <v>3</v>
      </c>
      <c r="E989" s="103">
        <v>9865.4210000000003</v>
      </c>
      <c r="F989" s="129" t="s">
        <v>256</v>
      </c>
    </row>
    <row r="990" spans="1:6" ht="16" thickBot="1" x14ac:dyDescent="0.25">
      <c r="A990" s="83">
        <v>3</v>
      </c>
      <c r="B990" s="129" t="s">
        <v>182</v>
      </c>
      <c r="C990" s="129" t="s">
        <v>152</v>
      </c>
      <c r="D990" s="83">
        <v>1</v>
      </c>
      <c r="E990" s="103">
        <v>1106.2940000000001</v>
      </c>
      <c r="F990" s="129" t="s">
        <v>256</v>
      </c>
    </row>
    <row r="991" spans="1:6" ht="16" thickBot="1" x14ac:dyDescent="0.25">
      <c r="A991" s="83">
        <v>3</v>
      </c>
      <c r="B991" s="129" t="s">
        <v>184</v>
      </c>
      <c r="C991" s="129" t="s">
        <v>152</v>
      </c>
      <c r="D991" s="83">
        <v>5</v>
      </c>
      <c r="E991" s="103">
        <v>488185.51899999997</v>
      </c>
      <c r="F991" s="129" t="s">
        <v>256</v>
      </c>
    </row>
    <row r="992" spans="1:6" ht="16" thickBot="1" x14ac:dyDescent="0.25">
      <c r="A992" s="83">
        <v>3</v>
      </c>
      <c r="B992" s="129" t="s">
        <v>185</v>
      </c>
      <c r="C992" s="129" t="s">
        <v>152</v>
      </c>
      <c r="D992" s="83">
        <v>3</v>
      </c>
      <c r="E992" s="103">
        <v>11769.498</v>
      </c>
      <c r="F992" s="129" t="s">
        <v>256</v>
      </c>
    </row>
    <row r="993" spans="1:6" ht="16" thickBot="1" x14ac:dyDescent="0.25">
      <c r="A993" s="83">
        <v>3</v>
      </c>
      <c r="B993" s="129" t="s">
        <v>186</v>
      </c>
      <c r="C993" s="129" t="s">
        <v>152</v>
      </c>
      <c r="D993" s="83">
        <v>3</v>
      </c>
      <c r="E993" s="103">
        <v>44.302</v>
      </c>
      <c r="F993" s="129" t="s">
        <v>256</v>
      </c>
    </row>
    <row r="994" spans="1:6" ht="16" thickBot="1" x14ac:dyDescent="0.25">
      <c r="A994" s="83">
        <v>3</v>
      </c>
      <c r="B994" s="129" t="s">
        <v>189</v>
      </c>
      <c r="C994" s="129" t="s">
        <v>152</v>
      </c>
      <c r="D994" s="83">
        <v>2</v>
      </c>
      <c r="E994" s="103">
        <v>166.88</v>
      </c>
      <c r="F994" s="129" t="s">
        <v>256</v>
      </c>
    </row>
    <row r="995" spans="1:6" ht="16" thickBot="1" x14ac:dyDescent="0.25">
      <c r="A995" s="83">
        <v>3</v>
      </c>
      <c r="B995" s="129" t="s">
        <v>191</v>
      </c>
      <c r="C995" s="129" t="s">
        <v>152</v>
      </c>
      <c r="D995" s="83">
        <v>6</v>
      </c>
      <c r="E995" s="103">
        <v>18285.767</v>
      </c>
      <c r="F995" s="129" t="s">
        <v>256</v>
      </c>
    </row>
    <row r="996" spans="1:6" ht="16" thickBot="1" x14ac:dyDescent="0.25">
      <c r="A996" s="83">
        <v>3</v>
      </c>
      <c r="B996" s="129" t="s">
        <v>191</v>
      </c>
      <c r="C996" s="129" t="s">
        <v>152</v>
      </c>
      <c r="D996" s="83">
        <v>1</v>
      </c>
      <c r="E996" s="103">
        <v>1742.0016000000001</v>
      </c>
      <c r="F996" s="129" t="s">
        <v>148</v>
      </c>
    </row>
    <row r="997" spans="1:6" ht="16" thickBot="1" x14ac:dyDescent="0.25">
      <c r="A997" s="83">
        <v>3</v>
      </c>
      <c r="B997" s="129" t="s">
        <v>192</v>
      </c>
      <c r="C997" s="129" t="s">
        <v>152</v>
      </c>
      <c r="D997" s="83">
        <v>1</v>
      </c>
      <c r="E997" s="103">
        <v>2785.22</v>
      </c>
      <c r="F997" s="129" t="s">
        <v>256</v>
      </c>
    </row>
    <row r="998" spans="1:6" ht="16" thickBot="1" x14ac:dyDescent="0.25">
      <c r="A998" s="83">
        <v>3</v>
      </c>
      <c r="B998" s="129" t="s">
        <v>193</v>
      </c>
      <c r="C998" s="129" t="s">
        <v>152</v>
      </c>
      <c r="D998" s="83">
        <v>10</v>
      </c>
      <c r="E998" s="103">
        <v>8235062.9730000002</v>
      </c>
      <c r="F998" s="129" t="s">
        <v>256</v>
      </c>
    </row>
    <row r="999" spans="1:6" ht="16" thickBot="1" x14ac:dyDescent="0.25">
      <c r="A999" s="83">
        <v>3</v>
      </c>
      <c r="B999" s="129" t="s">
        <v>193</v>
      </c>
      <c r="C999" s="129" t="s">
        <v>152</v>
      </c>
      <c r="D999" s="83">
        <v>3</v>
      </c>
      <c r="E999" s="103">
        <v>5031.0964800000002</v>
      </c>
      <c r="F999" s="129" t="s">
        <v>148</v>
      </c>
    </row>
    <row r="1000" spans="1:6" ht="16" thickBot="1" x14ac:dyDescent="0.25">
      <c r="A1000" s="83">
        <v>3</v>
      </c>
      <c r="B1000" s="129" t="s">
        <v>195</v>
      </c>
      <c r="C1000" s="129" t="s">
        <v>152</v>
      </c>
      <c r="D1000" s="83">
        <v>2</v>
      </c>
      <c r="E1000" s="103">
        <v>8361.1970000000001</v>
      </c>
      <c r="F1000" s="129" t="s">
        <v>256</v>
      </c>
    </row>
    <row r="1001" spans="1:6" ht="16" thickBot="1" x14ac:dyDescent="0.25">
      <c r="A1001" s="83">
        <v>3</v>
      </c>
      <c r="B1001" s="129" t="s">
        <v>196</v>
      </c>
      <c r="C1001" s="129" t="s">
        <v>152</v>
      </c>
      <c r="D1001" s="83">
        <v>4</v>
      </c>
      <c r="E1001" s="103">
        <v>740.49199999999996</v>
      </c>
      <c r="F1001" s="129" t="s">
        <v>256</v>
      </c>
    </row>
    <row r="1002" spans="1:6" ht="16" thickBot="1" x14ac:dyDescent="0.25">
      <c r="A1002" s="83">
        <v>3</v>
      </c>
      <c r="B1002" s="129" t="s">
        <v>198</v>
      </c>
      <c r="C1002" s="129" t="s">
        <v>152</v>
      </c>
      <c r="D1002" s="83">
        <v>1</v>
      </c>
      <c r="E1002" s="103">
        <v>831.65</v>
      </c>
      <c r="F1002" s="129" t="s">
        <v>256</v>
      </c>
    </row>
    <row r="1003" spans="1:6" ht="16" thickBot="1" x14ac:dyDescent="0.25">
      <c r="A1003" s="83">
        <v>3</v>
      </c>
      <c r="B1003" s="129" t="s">
        <v>200</v>
      </c>
      <c r="C1003" s="129" t="s">
        <v>152</v>
      </c>
      <c r="D1003" s="83">
        <v>3</v>
      </c>
      <c r="E1003" s="103">
        <v>16831.795999999998</v>
      </c>
      <c r="F1003" s="129" t="s">
        <v>256</v>
      </c>
    </row>
    <row r="1004" spans="1:6" ht="16" thickBot="1" x14ac:dyDescent="0.25">
      <c r="A1004" s="83">
        <v>3</v>
      </c>
      <c r="B1004" s="129" t="s">
        <v>205</v>
      </c>
      <c r="C1004" s="129" t="s">
        <v>152</v>
      </c>
      <c r="D1004" s="83">
        <v>5</v>
      </c>
      <c r="E1004" s="103">
        <v>12588060.289999999</v>
      </c>
      <c r="F1004" s="129" t="s">
        <v>256</v>
      </c>
    </row>
    <row r="1005" spans="1:6" ht="16" thickBot="1" x14ac:dyDescent="0.25">
      <c r="A1005" s="83">
        <v>3</v>
      </c>
      <c r="B1005" s="129" t="s">
        <v>205</v>
      </c>
      <c r="C1005" s="129" t="s">
        <v>152</v>
      </c>
      <c r="D1005" s="83">
        <v>3</v>
      </c>
      <c r="E1005" s="103">
        <v>638727.09152000002</v>
      </c>
      <c r="F1005" s="129" t="s">
        <v>148</v>
      </c>
    </row>
    <row r="1006" spans="1:6" ht="16" thickBot="1" x14ac:dyDescent="0.25">
      <c r="A1006" s="83">
        <v>3</v>
      </c>
      <c r="B1006" s="129" t="s">
        <v>206</v>
      </c>
      <c r="C1006" s="129" t="s">
        <v>152</v>
      </c>
      <c r="D1006" s="83">
        <v>2</v>
      </c>
      <c r="E1006" s="103">
        <v>4658.0929999999998</v>
      </c>
      <c r="F1006" s="129" t="s">
        <v>256</v>
      </c>
    </row>
    <row r="1007" spans="1:6" ht="16" thickBot="1" x14ac:dyDescent="0.25">
      <c r="A1007" s="83">
        <v>3</v>
      </c>
      <c r="B1007" s="129" t="s">
        <v>210</v>
      </c>
      <c r="C1007" s="129" t="s">
        <v>152</v>
      </c>
      <c r="D1007" s="83">
        <v>1</v>
      </c>
      <c r="E1007" s="103">
        <v>1778.39</v>
      </c>
      <c r="F1007" s="129" t="s">
        <v>256</v>
      </c>
    </row>
    <row r="1008" spans="1:6" ht="16" thickBot="1" x14ac:dyDescent="0.25">
      <c r="A1008" s="83">
        <v>3</v>
      </c>
      <c r="B1008" s="129" t="s">
        <v>213</v>
      </c>
      <c r="C1008" s="129" t="s">
        <v>152</v>
      </c>
      <c r="D1008" s="83">
        <v>3</v>
      </c>
      <c r="E1008" s="103">
        <v>45943.947999999997</v>
      </c>
      <c r="F1008" s="129" t="s">
        <v>256</v>
      </c>
    </row>
    <row r="1009" spans="1:6" ht="16" thickBot="1" x14ac:dyDescent="0.25">
      <c r="A1009" s="83">
        <v>3</v>
      </c>
      <c r="B1009" s="129" t="s">
        <v>214</v>
      </c>
      <c r="C1009" s="129" t="s">
        <v>152</v>
      </c>
      <c r="D1009" s="83">
        <v>2</v>
      </c>
      <c r="E1009" s="103">
        <v>5805.857</v>
      </c>
      <c r="F1009" s="129" t="s">
        <v>256</v>
      </c>
    </row>
    <row r="1010" spans="1:6" ht="16" thickBot="1" x14ac:dyDescent="0.25">
      <c r="A1010" s="83">
        <v>3</v>
      </c>
      <c r="B1010" s="129" t="s">
        <v>215</v>
      </c>
      <c r="C1010" s="129" t="s">
        <v>152</v>
      </c>
      <c r="D1010" s="83">
        <v>2</v>
      </c>
      <c r="E1010" s="103">
        <v>12909.655000000001</v>
      </c>
      <c r="F1010" s="129" t="s">
        <v>256</v>
      </c>
    </row>
    <row r="1011" spans="1:6" ht="16" thickBot="1" x14ac:dyDescent="0.25">
      <c r="A1011" s="83">
        <v>3</v>
      </c>
      <c r="B1011" s="129" t="s">
        <v>217</v>
      </c>
      <c r="C1011" s="129" t="s">
        <v>152</v>
      </c>
      <c r="D1011" s="83">
        <v>5</v>
      </c>
      <c r="E1011" s="103">
        <v>8587.866</v>
      </c>
      <c r="F1011" s="129" t="s">
        <v>256</v>
      </c>
    </row>
    <row r="1012" spans="1:6" ht="16" thickBot="1" x14ac:dyDescent="0.25">
      <c r="A1012" s="83">
        <v>3</v>
      </c>
      <c r="B1012" s="129" t="s">
        <v>218</v>
      </c>
      <c r="C1012" s="129" t="s">
        <v>152</v>
      </c>
      <c r="D1012" s="83">
        <v>14</v>
      </c>
      <c r="E1012" s="103">
        <v>189240.49299999999</v>
      </c>
      <c r="F1012" s="129" t="s">
        <v>256</v>
      </c>
    </row>
    <row r="1013" spans="1:6" ht="16" thickBot="1" x14ac:dyDescent="0.25">
      <c r="A1013" s="83">
        <v>3</v>
      </c>
      <c r="B1013" s="129" t="s">
        <v>218</v>
      </c>
      <c r="C1013" s="129" t="s">
        <v>152</v>
      </c>
      <c r="D1013" s="83">
        <v>1</v>
      </c>
      <c r="E1013" s="83">
        <v>0</v>
      </c>
      <c r="F1013" s="129" t="s">
        <v>148</v>
      </c>
    </row>
    <row r="1014" spans="1:6" ht="16" thickBot="1" x14ac:dyDescent="0.25">
      <c r="A1014" s="83">
        <v>3</v>
      </c>
      <c r="B1014" s="129" t="s">
        <v>221</v>
      </c>
      <c r="C1014" s="129" t="s">
        <v>152</v>
      </c>
      <c r="D1014" s="83">
        <v>1</v>
      </c>
      <c r="E1014" s="103">
        <v>4882.3320000000003</v>
      </c>
      <c r="F1014" s="129" t="s">
        <v>148</v>
      </c>
    </row>
    <row r="1015" spans="1:6" ht="16" thickBot="1" x14ac:dyDescent="0.25">
      <c r="A1015" s="83">
        <v>3</v>
      </c>
      <c r="B1015" s="129" t="s">
        <v>222</v>
      </c>
      <c r="C1015" s="129" t="s">
        <v>152</v>
      </c>
      <c r="D1015" s="83">
        <v>3</v>
      </c>
      <c r="E1015" s="103">
        <v>5934.357</v>
      </c>
      <c r="F1015" s="129" t="s">
        <v>256</v>
      </c>
    </row>
    <row r="1016" spans="1:6" ht="16" thickBot="1" x14ac:dyDescent="0.25">
      <c r="A1016" s="83">
        <v>3</v>
      </c>
      <c r="B1016" s="129" t="s">
        <v>223</v>
      </c>
      <c r="C1016" s="129" t="s">
        <v>152</v>
      </c>
      <c r="D1016" s="83">
        <v>4</v>
      </c>
      <c r="E1016" s="103">
        <v>6365.9719999999998</v>
      </c>
      <c r="F1016" s="129" t="s">
        <v>256</v>
      </c>
    </row>
    <row r="1017" spans="1:6" ht="16" thickBot="1" x14ac:dyDescent="0.25">
      <c r="A1017" s="83">
        <v>3</v>
      </c>
      <c r="B1017" s="129" t="s">
        <v>224</v>
      </c>
      <c r="C1017" s="129" t="s">
        <v>152</v>
      </c>
      <c r="D1017" s="83">
        <v>2</v>
      </c>
      <c r="E1017" s="103">
        <v>63147.88</v>
      </c>
      <c r="F1017" s="129" t="s">
        <v>256</v>
      </c>
    </row>
    <row r="1018" spans="1:6" ht="16" thickBot="1" x14ac:dyDescent="0.25">
      <c r="A1018" s="83">
        <v>3</v>
      </c>
      <c r="B1018" s="129" t="s">
        <v>226</v>
      </c>
      <c r="C1018" s="129" t="s">
        <v>152</v>
      </c>
      <c r="D1018" s="83">
        <v>2</v>
      </c>
      <c r="E1018" s="83">
        <v>306538</v>
      </c>
      <c r="F1018" s="129" t="s">
        <v>256</v>
      </c>
    </row>
    <row r="1019" spans="1:6" ht="16" thickBot="1" x14ac:dyDescent="0.25">
      <c r="A1019" s="83">
        <v>3</v>
      </c>
      <c r="B1019" s="129" t="s">
        <v>227</v>
      </c>
      <c r="C1019" s="129" t="s">
        <v>152</v>
      </c>
      <c r="D1019" s="83">
        <v>2</v>
      </c>
      <c r="E1019" s="103">
        <v>5498.9440000000004</v>
      </c>
      <c r="F1019" s="129" t="s">
        <v>256</v>
      </c>
    </row>
    <row r="1020" spans="1:6" ht="16" thickBot="1" x14ac:dyDescent="0.25">
      <c r="A1020" s="83">
        <v>3</v>
      </c>
      <c r="B1020" s="129" t="s">
        <v>228</v>
      </c>
      <c r="C1020" s="129" t="s">
        <v>152</v>
      </c>
      <c r="D1020" s="83">
        <v>2</v>
      </c>
      <c r="E1020" s="103">
        <v>328471.598</v>
      </c>
      <c r="F1020" s="129" t="s">
        <v>256</v>
      </c>
    </row>
    <row r="1021" spans="1:6" ht="16" thickBot="1" x14ac:dyDescent="0.25">
      <c r="A1021" s="83">
        <v>3</v>
      </c>
      <c r="B1021" s="129" t="s">
        <v>228</v>
      </c>
      <c r="C1021" s="129" t="s">
        <v>152</v>
      </c>
      <c r="D1021" s="83">
        <v>2</v>
      </c>
      <c r="E1021" s="83">
        <v>158088</v>
      </c>
      <c r="F1021" s="129" t="s">
        <v>148</v>
      </c>
    </row>
    <row r="1022" spans="1:6" ht="16" thickBot="1" x14ac:dyDescent="0.25">
      <c r="A1022" s="83">
        <v>3</v>
      </c>
      <c r="B1022" s="129" t="s">
        <v>230</v>
      </c>
      <c r="C1022" s="129" t="s">
        <v>152</v>
      </c>
      <c r="D1022" s="83">
        <v>7</v>
      </c>
      <c r="E1022" s="103">
        <v>275794.08500000002</v>
      </c>
      <c r="F1022" s="129" t="s">
        <v>256</v>
      </c>
    </row>
    <row r="1023" spans="1:6" ht="16" thickBot="1" x14ac:dyDescent="0.25">
      <c r="A1023" s="83">
        <v>3</v>
      </c>
      <c r="B1023" s="129" t="s">
        <v>230</v>
      </c>
      <c r="C1023" s="129" t="s">
        <v>152</v>
      </c>
      <c r="D1023" s="83">
        <v>2</v>
      </c>
      <c r="E1023" s="103">
        <v>3352.7537600000001</v>
      </c>
      <c r="F1023" s="129" t="s">
        <v>148</v>
      </c>
    </row>
    <row r="1024" spans="1:6" ht="16" thickBot="1" x14ac:dyDescent="0.25">
      <c r="A1024" s="83">
        <v>3</v>
      </c>
      <c r="B1024" s="129" t="s">
        <v>231</v>
      </c>
      <c r="C1024" s="129" t="s">
        <v>152</v>
      </c>
      <c r="D1024" s="83">
        <v>26</v>
      </c>
      <c r="E1024" s="103">
        <v>3417273.4819999998</v>
      </c>
      <c r="F1024" s="129" t="s">
        <v>256</v>
      </c>
    </row>
    <row r="1025" spans="1:6" ht="16" thickBot="1" x14ac:dyDescent="0.25">
      <c r="A1025" s="83">
        <v>3</v>
      </c>
      <c r="B1025" s="129" t="s">
        <v>231</v>
      </c>
      <c r="C1025" s="129" t="s">
        <v>152</v>
      </c>
      <c r="D1025" s="83">
        <v>17</v>
      </c>
      <c r="E1025" s="103">
        <v>48784.20981</v>
      </c>
      <c r="F1025" s="129" t="s">
        <v>148</v>
      </c>
    </row>
    <row r="1026" spans="1:6" ht="16" thickBot="1" x14ac:dyDescent="0.25">
      <c r="A1026" s="83">
        <v>3</v>
      </c>
      <c r="B1026" s="129" t="s">
        <v>233</v>
      </c>
      <c r="C1026" s="129" t="s">
        <v>152</v>
      </c>
      <c r="D1026" s="83">
        <v>1</v>
      </c>
      <c r="E1026" s="103">
        <v>482.90300000000002</v>
      </c>
      <c r="F1026" s="129" t="s">
        <v>256</v>
      </c>
    </row>
    <row r="1027" spans="1:6" ht="16" thickBot="1" x14ac:dyDescent="0.25">
      <c r="A1027" s="83">
        <v>3</v>
      </c>
      <c r="B1027" s="129" t="s">
        <v>234</v>
      </c>
      <c r="C1027" s="129" t="s">
        <v>152</v>
      </c>
      <c r="D1027" s="83">
        <v>1</v>
      </c>
      <c r="E1027" s="103">
        <v>145011.6</v>
      </c>
      <c r="F1027" s="129" t="s">
        <v>256</v>
      </c>
    </row>
    <row r="1028" spans="1:6" ht="16" thickBot="1" x14ac:dyDescent="0.25">
      <c r="A1028" s="83">
        <v>3</v>
      </c>
      <c r="B1028" s="129" t="s">
        <v>235</v>
      </c>
      <c r="C1028" s="129" t="s">
        <v>152</v>
      </c>
      <c r="D1028" s="83">
        <v>9</v>
      </c>
      <c r="E1028" s="103">
        <v>146006881.03999999</v>
      </c>
      <c r="F1028" s="129" t="s">
        <v>256</v>
      </c>
    </row>
    <row r="1029" spans="1:6" ht="16" thickBot="1" x14ac:dyDescent="0.25">
      <c r="A1029" s="83">
        <v>3</v>
      </c>
      <c r="B1029" s="129" t="s">
        <v>235</v>
      </c>
      <c r="C1029" s="129" t="s">
        <v>152</v>
      </c>
      <c r="D1029" s="83">
        <v>1</v>
      </c>
      <c r="E1029" s="103">
        <v>1436.5722000000001</v>
      </c>
      <c r="F1029" s="129" t="s">
        <v>148</v>
      </c>
    </row>
    <row r="1030" spans="1:6" ht="16" thickBot="1" x14ac:dyDescent="0.25">
      <c r="A1030" s="83">
        <v>3</v>
      </c>
      <c r="B1030" s="129" t="s">
        <v>236</v>
      </c>
      <c r="C1030" s="129" t="s">
        <v>152</v>
      </c>
      <c r="D1030" s="83">
        <v>2</v>
      </c>
      <c r="E1030" s="103">
        <v>24034.27</v>
      </c>
      <c r="F1030" s="129" t="s">
        <v>256</v>
      </c>
    </row>
    <row r="1031" spans="1:6" ht="16" thickBot="1" x14ac:dyDescent="0.25">
      <c r="A1031" s="83">
        <v>3</v>
      </c>
      <c r="B1031" s="129" t="s">
        <v>236</v>
      </c>
      <c r="C1031" s="129" t="s">
        <v>152</v>
      </c>
      <c r="D1031" s="83">
        <v>3</v>
      </c>
      <c r="E1031" s="103">
        <v>58482.536529999998</v>
      </c>
      <c r="F1031" s="129" t="s">
        <v>148</v>
      </c>
    </row>
    <row r="1032" spans="1:6" ht="16" thickBot="1" x14ac:dyDescent="0.25">
      <c r="A1032" s="83">
        <v>3</v>
      </c>
      <c r="B1032" s="129" t="s">
        <v>237</v>
      </c>
      <c r="C1032" s="129" t="s">
        <v>152</v>
      </c>
      <c r="D1032" s="83">
        <v>9</v>
      </c>
      <c r="E1032" s="103">
        <v>441922.26699999999</v>
      </c>
      <c r="F1032" s="129" t="s">
        <v>256</v>
      </c>
    </row>
    <row r="1033" spans="1:6" ht="16" thickBot="1" x14ac:dyDescent="0.25">
      <c r="A1033" s="83">
        <v>3</v>
      </c>
      <c r="B1033" s="129" t="s">
        <v>237</v>
      </c>
      <c r="C1033" s="129" t="s">
        <v>152</v>
      </c>
      <c r="D1033" s="83">
        <v>4</v>
      </c>
      <c r="E1033" s="103">
        <v>95.772800000000004</v>
      </c>
      <c r="F1033" s="129" t="s">
        <v>148</v>
      </c>
    </row>
    <row r="1034" spans="1:6" ht="16" thickBot="1" x14ac:dyDescent="0.25">
      <c r="A1034" s="83">
        <v>3</v>
      </c>
      <c r="B1034" s="129" t="s">
        <v>238</v>
      </c>
      <c r="C1034" s="129" t="s">
        <v>152</v>
      </c>
      <c r="D1034" s="83">
        <v>41</v>
      </c>
      <c r="E1034" s="103">
        <v>1366085.2309999999</v>
      </c>
      <c r="F1034" s="129" t="s">
        <v>256</v>
      </c>
    </row>
    <row r="1035" spans="1:6" ht="16" thickBot="1" x14ac:dyDescent="0.25">
      <c r="A1035" s="83">
        <v>3</v>
      </c>
      <c r="B1035" s="129" t="s">
        <v>238</v>
      </c>
      <c r="C1035" s="129" t="s">
        <v>152</v>
      </c>
      <c r="D1035" s="83">
        <v>33</v>
      </c>
      <c r="E1035" s="103">
        <v>137967.69779000001</v>
      </c>
      <c r="F1035" s="129" t="s">
        <v>148</v>
      </c>
    </row>
    <row r="1036" spans="1:6" ht="16" thickBot="1" x14ac:dyDescent="0.25">
      <c r="A1036" s="83">
        <v>3</v>
      </c>
      <c r="B1036" s="129" t="s">
        <v>239</v>
      </c>
      <c r="C1036" s="129" t="s">
        <v>152</v>
      </c>
      <c r="D1036" s="83">
        <v>42</v>
      </c>
      <c r="E1036" s="103">
        <v>33307589.045000002</v>
      </c>
      <c r="F1036" s="129" t="s">
        <v>256</v>
      </c>
    </row>
    <row r="1037" spans="1:6" ht="16" thickBot="1" x14ac:dyDescent="0.25">
      <c r="A1037" s="83">
        <v>3</v>
      </c>
      <c r="B1037" s="129" t="s">
        <v>239</v>
      </c>
      <c r="C1037" s="129" t="s">
        <v>152</v>
      </c>
      <c r="D1037" s="83">
        <v>34</v>
      </c>
      <c r="E1037" s="103">
        <v>4157006.4797700001</v>
      </c>
      <c r="F1037" s="129" t="s">
        <v>148</v>
      </c>
    </row>
    <row r="1038" spans="1:6" ht="16" thickBot="1" x14ac:dyDescent="0.25">
      <c r="A1038" s="83">
        <v>3</v>
      </c>
      <c r="B1038" s="129" t="s">
        <v>240</v>
      </c>
      <c r="C1038" s="129" t="s">
        <v>152</v>
      </c>
      <c r="D1038" s="83">
        <v>5</v>
      </c>
      <c r="E1038" s="103">
        <v>208400.52</v>
      </c>
      <c r="F1038" s="129" t="s">
        <v>256</v>
      </c>
    </row>
    <row r="1039" spans="1:6" ht="16" thickBot="1" x14ac:dyDescent="0.25">
      <c r="A1039" s="83">
        <v>3</v>
      </c>
      <c r="B1039" s="129" t="s">
        <v>240</v>
      </c>
      <c r="C1039" s="129" t="s">
        <v>152</v>
      </c>
      <c r="D1039" s="83">
        <v>4</v>
      </c>
      <c r="E1039" s="103">
        <v>68334.586349999998</v>
      </c>
      <c r="F1039" s="129" t="s">
        <v>148</v>
      </c>
    </row>
    <row r="1040" spans="1:6" ht="16" thickBot="1" x14ac:dyDescent="0.25">
      <c r="A1040" s="83">
        <v>3</v>
      </c>
      <c r="B1040" s="129" t="s">
        <v>241</v>
      </c>
      <c r="C1040" s="129" t="s">
        <v>152</v>
      </c>
      <c r="D1040" s="83">
        <v>3</v>
      </c>
      <c r="E1040" s="103">
        <v>118976.2</v>
      </c>
      <c r="F1040" s="129" t="s">
        <v>256</v>
      </c>
    </row>
    <row r="1041" spans="1:6" ht="16" thickBot="1" x14ac:dyDescent="0.25">
      <c r="A1041" s="83">
        <v>3</v>
      </c>
      <c r="B1041" s="129" t="s">
        <v>241</v>
      </c>
      <c r="C1041" s="129" t="s">
        <v>152</v>
      </c>
      <c r="D1041" s="83">
        <v>2</v>
      </c>
      <c r="E1041" s="83">
        <v>326968</v>
      </c>
      <c r="F1041" s="129" t="s">
        <v>148</v>
      </c>
    </row>
    <row r="1042" spans="1:6" ht="16" thickBot="1" x14ac:dyDescent="0.25">
      <c r="A1042" s="83">
        <v>3</v>
      </c>
      <c r="B1042" s="129" t="s">
        <v>243</v>
      </c>
      <c r="C1042" s="129" t="s">
        <v>152</v>
      </c>
      <c r="D1042" s="83">
        <v>1</v>
      </c>
      <c r="E1042" s="83">
        <v>0</v>
      </c>
      <c r="F1042" s="129" t="s">
        <v>256</v>
      </c>
    </row>
    <row r="1043" spans="1:6" ht="16" thickBot="1" x14ac:dyDescent="0.25">
      <c r="A1043" s="83">
        <v>3</v>
      </c>
      <c r="B1043" s="129" t="s">
        <v>245</v>
      </c>
      <c r="C1043" s="129" t="s">
        <v>152</v>
      </c>
      <c r="D1043" s="83">
        <v>11</v>
      </c>
      <c r="E1043" s="103">
        <v>12586305.956</v>
      </c>
      <c r="F1043" s="129" t="s">
        <v>256</v>
      </c>
    </row>
    <row r="1044" spans="1:6" ht="16" thickBot="1" x14ac:dyDescent="0.25">
      <c r="A1044" s="83">
        <v>3</v>
      </c>
      <c r="B1044" s="129" t="s">
        <v>245</v>
      </c>
      <c r="C1044" s="129" t="s">
        <v>152</v>
      </c>
      <c r="D1044" s="83">
        <v>7</v>
      </c>
      <c r="E1044" s="103">
        <v>1430128.3444000001</v>
      </c>
      <c r="F1044" s="129" t="s">
        <v>148</v>
      </c>
    </row>
    <row r="1045" spans="1:6" ht="16" thickBot="1" x14ac:dyDescent="0.25">
      <c r="A1045" s="83">
        <v>3</v>
      </c>
      <c r="B1045" s="129" t="s">
        <v>247</v>
      </c>
      <c r="C1045" s="129" t="s">
        <v>152</v>
      </c>
      <c r="D1045" s="83">
        <v>2</v>
      </c>
      <c r="E1045" s="103">
        <v>13290.966</v>
      </c>
      <c r="F1045" s="129" t="s">
        <v>148</v>
      </c>
    </row>
    <row r="1046" spans="1:6" ht="16" thickBot="1" x14ac:dyDescent="0.25">
      <c r="A1046" s="83">
        <v>3</v>
      </c>
      <c r="B1046" s="129" t="s">
        <v>250</v>
      </c>
      <c r="C1046" s="129" t="s">
        <v>152</v>
      </c>
      <c r="D1046" s="83">
        <v>23</v>
      </c>
      <c r="E1046" s="103">
        <v>44167502.939000003</v>
      </c>
      <c r="F1046" s="129" t="s">
        <v>256</v>
      </c>
    </row>
    <row r="1047" spans="1:6" ht="16" thickBot="1" x14ac:dyDescent="0.25">
      <c r="A1047" s="83">
        <v>3</v>
      </c>
      <c r="B1047" s="129" t="s">
        <v>251</v>
      </c>
      <c r="C1047" s="129" t="s">
        <v>152</v>
      </c>
      <c r="D1047" s="83">
        <v>1</v>
      </c>
      <c r="E1047" s="103">
        <v>71.826999999999998</v>
      </c>
      <c r="F1047" s="129" t="s">
        <v>256</v>
      </c>
    </row>
    <row r="1048" spans="1:6" ht="16" thickBot="1" x14ac:dyDescent="0.25">
      <c r="A1048" s="83">
        <v>3</v>
      </c>
      <c r="B1048" s="129" t="s">
        <v>252</v>
      </c>
      <c r="C1048" s="129" t="s">
        <v>152</v>
      </c>
      <c r="D1048" s="83">
        <v>3</v>
      </c>
      <c r="E1048" s="103">
        <v>11315.938</v>
      </c>
      <c r="F1048" s="129" t="s">
        <v>256</v>
      </c>
    </row>
    <row r="1049" spans="1:6" ht="16" thickBot="1" x14ac:dyDescent="0.25">
      <c r="A1049" s="83">
        <v>3</v>
      </c>
      <c r="B1049" s="129" t="s">
        <v>253</v>
      </c>
      <c r="C1049" s="129" t="s">
        <v>152</v>
      </c>
      <c r="D1049" s="83">
        <v>9</v>
      </c>
      <c r="E1049" s="103">
        <v>12178.686</v>
      </c>
      <c r="F1049" s="129" t="s">
        <v>256</v>
      </c>
    </row>
    <row r="1050" spans="1:6" ht="16" thickBot="1" x14ac:dyDescent="0.25">
      <c r="A1050" s="83">
        <v>3</v>
      </c>
      <c r="B1050" s="129" t="s">
        <v>253</v>
      </c>
      <c r="C1050" s="129" t="s">
        <v>152</v>
      </c>
      <c r="D1050" s="83">
        <v>1</v>
      </c>
      <c r="E1050" s="103">
        <v>856.10087999999996</v>
      </c>
      <c r="F1050" s="129" t="s">
        <v>148</v>
      </c>
    </row>
    <row r="1051" spans="1:6" ht="16" thickBot="1" x14ac:dyDescent="0.25">
      <c r="A1051" s="83">
        <v>3</v>
      </c>
      <c r="B1051" s="129" t="s">
        <v>146</v>
      </c>
      <c r="C1051" s="129" t="s">
        <v>149</v>
      </c>
      <c r="D1051" s="83">
        <v>798</v>
      </c>
      <c r="E1051" s="103">
        <v>60394.305780000002</v>
      </c>
      <c r="F1051" s="129" t="s">
        <v>148</v>
      </c>
    </row>
    <row r="1052" spans="1:6" ht="16" thickBot="1" x14ac:dyDescent="0.25">
      <c r="A1052" s="83">
        <v>3</v>
      </c>
      <c r="B1052" s="129" t="s">
        <v>150</v>
      </c>
      <c r="C1052" s="129" t="s">
        <v>149</v>
      </c>
      <c r="D1052" s="83">
        <v>444</v>
      </c>
      <c r="E1052" s="103">
        <v>33716.397069999999</v>
      </c>
      <c r="F1052" s="129" t="s">
        <v>148</v>
      </c>
    </row>
    <row r="1053" spans="1:6" ht="16" thickBot="1" x14ac:dyDescent="0.25">
      <c r="A1053" s="83">
        <v>3</v>
      </c>
      <c r="B1053" s="129" t="s">
        <v>151</v>
      </c>
      <c r="C1053" s="129" t="s">
        <v>149</v>
      </c>
      <c r="D1053" s="83">
        <v>2</v>
      </c>
      <c r="E1053" s="103">
        <v>4349.1949999999997</v>
      </c>
      <c r="F1053" s="129" t="s">
        <v>256</v>
      </c>
    </row>
    <row r="1054" spans="1:6" ht="16" thickBot="1" x14ac:dyDescent="0.25">
      <c r="A1054" s="83">
        <v>3</v>
      </c>
      <c r="B1054" s="129" t="s">
        <v>151</v>
      </c>
      <c r="C1054" s="129" t="s">
        <v>149</v>
      </c>
      <c r="D1054" s="83">
        <v>11</v>
      </c>
      <c r="E1054" s="103">
        <v>398.36765000000003</v>
      </c>
      <c r="F1054" s="129" t="s">
        <v>148</v>
      </c>
    </row>
    <row r="1055" spans="1:6" ht="16" thickBot="1" x14ac:dyDescent="0.25">
      <c r="A1055" s="83">
        <v>3</v>
      </c>
      <c r="B1055" s="129" t="s">
        <v>153</v>
      </c>
      <c r="C1055" s="129" t="s">
        <v>149</v>
      </c>
      <c r="D1055" s="83">
        <v>1303</v>
      </c>
      <c r="E1055" s="103">
        <v>1302148.8319999999</v>
      </c>
      <c r="F1055" s="129" t="s">
        <v>256</v>
      </c>
    </row>
    <row r="1056" spans="1:6" ht="16" thickBot="1" x14ac:dyDescent="0.25">
      <c r="A1056" s="83">
        <v>3</v>
      </c>
      <c r="B1056" s="129" t="s">
        <v>153</v>
      </c>
      <c r="C1056" s="129" t="s">
        <v>149</v>
      </c>
      <c r="D1056" s="83">
        <v>1269</v>
      </c>
      <c r="E1056" s="103">
        <v>128273.05244</v>
      </c>
      <c r="F1056" s="129" t="s">
        <v>148</v>
      </c>
    </row>
    <row r="1057" spans="1:6" ht="16" thickBot="1" x14ac:dyDescent="0.25">
      <c r="A1057" s="83">
        <v>3</v>
      </c>
      <c r="B1057" s="129" t="s">
        <v>154</v>
      </c>
      <c r="C1057" s="129" t="s">
        <v>149</v>
      </c>
      <c r="D1057" s="83">
        <v>1203</v>
      </c>
      <c r="E1057" s="103">
        <v>1711877.9639999999</v>
      </c>
      <c r="F1057" s="129" t="s">
        <v>256</v>
      </c>
    </row>
    <row r="1058" spans="1:6" ht="16" thickBot="1" x14ac:dyDescent="0.25">
      <c r="A1058" s="83">
        <v>3</v>
      </c>
      <c r="B1058" s="129" t="s">
        <v>154</v>
      </c>
      <c r="C1058" s="129" t="s">
        <v>149</v>
      </c>
      <c r="D1058" s="83">
        <v>569</v>
      </c>
      <c r="E1058" s="103">
        <v>49394.420359999996</v>
      </c>
      <c r="F1058" s="129" t="s">
        <v>148</v>
      </c>
    </row>
    <row r="1059" spans="1:6" ht="16" thickBot="1" x14ac:dyDescent="0.25">
      <c r="A1059" s="83">
        <v>3</v>
      </c>
      <c r="B1059" s="129" t="s">
        <v>155</v>
      </c>
      <c r="C1059" s="129" t="s">
        <v>149</v>
      </c>
      <c r="D1059" s="83">
        <v>360</v>
      </c>
      <c r="E1059" s="103">
        <v>753004.98899999994</v>
      </c>
      <c r="F1059" s="129" t="s">
        <v>256</v>
      </c>
    </row>
    <row r="1060" spans="1:6" ht="16" thickBot="1" x14ac:dyDescent="0.25">
      <c r="A1060" s="83">
        <v>3</v>
      </c>
      <c r="B1060" s="129" t="s">
        <v>155</v>
      </c>
      <c r="C1060" s="129" t="s">
        <v>149</v>
      </c>
      <c r="D1060" s="83">
        <v>2670</v>
      </c>
      <c r="E1060" s="103">
        <v>286460.40659999999</v>
      </c>
      <c r="F1060" s="129" t="s">
        <v>148</v>
      </c>
    </row>
    <row r="1061" spans="1:6" ht="16" thickBot="1" x14ac:dyDescent="0.25">
      <c r="A1061" s="83">
        <v>3</v>
      </c>
      <c r="B1061" s="129" t="s">
        <v>156</v>
      </c>
      <c r="C1061" s="129" t="s">
        <v>149</v>
      </c>
      <c r="D1061" s="83">
        <v>2788</v>
      </c>
      <c r="E1061" s="103">
        <v>3345690.6370000001</v>
      </c>
      <c r="F1061" s="129" t="s">
        <v>256</v>
      </c>
    </row>
    <row r="1062" spans="1:6" ht="16" thickBot="1" x14ac:dyDescent="0.25">
      <c r="A1062" s="83">
        <v>3</v>
      </c>
      <c r="B1062" s="129" t="s">
        <v>156</v>
      </c>
      <c r="C1062" s="129" t="s">
        <v>149</v>
      </c>
      <c r="D1062" s="83">
        <v>2719</v>
      </c>
      <c r="E1062" s="103">
        <v>320828.53023999999</v>
      </c>
      <c r="F1062" s="129" t="s">
        <v>148</v>
      </c>
    </row>
    <row r="1063" spans="1:6" ht="16" thickBot="1" x14ac:dyDescent="0.25">
      <c r="A1063" s="83">
        <v>3</v>
      </c>
      <c r="B1063" s="129" t="s">
        <v>157</v>
      </c>
      <c r="C1063" s="129" t="s">
        <v>149</v>
      </c>
      <c r="D1063" s="83">
        <v>3259</v>
      </c>
      <c r="E1063" s="103">
        <v>4381580.1749999998</v>
      </c>
      <c r="F1063" s="129" t="s">
        <v>256</v>
      </c>
    </row>
    <row r="1064" spans="1:6" ht="16" thickBot="1" x14ac:dyDescent="0.25">
      <c r="A1064" s="83">
        <v>3</v>
      </c>
      <c r="B1064" s="129" t="s">
        <v>157</v>
      </c>
      <c r="C1064" s="129" t="s">
        <v>149</v>
      </c>
      <c r="D1064" s="83">
        <v>2270</v>
      </c>
      <c r="E1064" s="103">
        <v>214553.19274999999</v>
      </c>
      <c r="F1064" s="129" t="s">
        <v>148</v>
      </c>
    </row>
    <row r="1065" spans="1:6" ht="16" thickBot="1" x14ac:dyDescent="0.25">
      <c r="A1065" s="83">
        <v>3</v>
      </c>
      <c r="B1065" s="129" t="s">
        <v>158</v>
      </c>
      <c r="C1065" s="129" t="s">
        <v>149</v>
      </c>
      <c r="D1065" s="83">
        <v>264</v>
      </c>
      <c r="E1065" s="103">
        <v>546752.19999999995</v>
      </c>
      <c r="F1065" s="129" t="s">
        <v>256</v>
      </c>
    </row>
    <row r="1066" spans="1:6" ht="16" thickBot="1" x14ac:dyDescent="0.25">
      <c r="A1066" s="83">
        <v>3</v>
      </c>
      <c r="B1066" s="129" t="s">
        <v>158</v>
      </c>
      <c r="C1066" s="129" t="s">
        <v>149</v>
      </c>
      <c r="D1066" s="83">
        <v>4</v>
      </c>
      <c r="E1066" s="103">
        <v>564.30060000000003</v>
      </c>
      <c r="F1066" s="129" t="s">
        <v>148</v>
      </c>
    </row>
    <row r="1067" spans="1:6" ht="16" thickBot="1" x14ac:dyDescent="0.25">
      <c r="A1067" s="83">
        <v>3</v>
      </c>
      <c r="B1067" s="129" t="s">
        <v>159</v>
      </c>
      <c r="C1067" s="129" t="s">
        <v>149</v>
      </c>
      <c r="D1067" s="83">
        <v>549</v>
      </c>
      <c r="E1067" s="103">
        <v>944988.66399999999</v>
      </c>
      <c r="F1067" s="129" t="s">
        <v>256</v>
      </c>
    </row>
    <row r="1068" spans="1:6" ht="16" thickBot="1" x14ac:dyDescent="0.25">
      <c r="A1068" s="83">
        <v>3</v>
      </c>
      <c r="B1068" s="129" t="s">
        <v>160</v>
      </c>
      <c r="C1068" s="129" t="s">
        <v>149</v>
      </c>
      <c r="D1068" s="83">
        <v>646</v>
      </c>
      <c r="E1068" s="103">
        <v>463029.36</v>
      </c>
      <c r="F1068" s="129" t="s">
        <v>256</v>
      </c>
    </row>
    <row r="1069" spans="1:6" ht="16" thickBot="1" x14ac:dyDescent="0.25">
      <c r="A1069" s="83">
        <v>3</v>
      </c>
      <c r="B1069" s="129" t="s">
        <v>160</v>
      </c>
      <c r="C1069" s="129" t="s">
        <v>149</v>
      </c>
      <c r="D1069" s="83">
        <v>643</v>
      </c>
      <c r="E1069" s="103">
        <v>99201.532699999996</v>
      </c>
      <c r="F1069" s="129" t="s">
        <v>148</v>
      </c>
    </row>
    <row r="1070" spans="1:6" ht="16" thickBot="1" x14ac:dyDescent="0.25">
      <c r="A1070" s="83">
        <v>3</v>
      </c>
      <c r="B1070" s="129" t="s">
        <v>161</v>
      </c>
      <c r="C1070" s="129" t="s">
        <v>149</v>
      </c>
      <c r="D1070" s="83">
        <v>443</v>
      </c>
      <c r="E1070" s="103">
        <v>746845.52</v>
      </c>
      <c r="F1070" s="129" t="s">
        <v>256</v>
      </c>
    </row>
    <row r="1071" spans="1:6" ht="16" thickBot="1" x14ac:dyDescent="0.25">
      <c r="A1071" s="83">
        <v>3</v>
      </c>
      <c r="B1071" s="129" t="s">
        <v>162</v>
      </c>
      <c r="C1071" s="129" t="s">
        <v>149</v>
      </c>
      <c r="D1071" s="83">
        <v>706</v>
      </c>
      <c r="E1071" s="103">
        <v>1254253.537</v>
      </c>
      <c r="F1071" s="129" t="s">
        <v>256</v>
      </c>
    </row>
    <row r="1072" spans="1:6" ht="16" thickBot="1" x14ac:dyDescent="0.25">
      <c r="A1072" s="83">
        <v>3</v>
      </c>
      <c r="B1072" s="129" t="s">
        <v>163</v>
      </c>
      <c r="C1072" s="129" t="s">
        <v>149</v>
      </c>
      <c r="D1072" s="83">
        <v>84</v>
      </c>
      <c r="E1072" s="103">
        <v>153077.976</v>
      </c>
      <c r="F1072" s="129" t="s">
        <v>256</v>
      </c>
    </row>
    <row r="1073" spans="1:6" ht="16" thickBot="1" x14ac:dyDescent="0.25">
      <c r="A1073" s="83">
        <v>3</v>
      </c>
      <c r="B1073" s="129" t="s">
        <v>163</v>
      </c>
      <c r="C1073" s="129" t="s">
        <v>149</v>
      </c>
      <c r="D1073" s="83">
        <v>7</v>
      </c>
      <c r="E1073" s="103">
        <v>530.12049000000002</v>
      </c>
      <c r="F1073" s="129" t="s">
        <v>148</v>
      </c>
    </row>
    <row r="1074" spans="1:6" ht="16" thickBot="1" x14ac:dyDescent="0.25">
      <c r="A1074" s="83">
        <v>3</v>
      </c>
      <c r="B1074" s="129" t="s">
        <v>164</v>
      </c>
      <c r="C1074" s="129" t="s">
        <v>149</v>
      </c>
      <c r="D1074" s="83">
        <v>7204</v>
      </c>
      <c r="E1074" s="103">
        <v>6462296.7350000003</v>
      </c>
      <c r="F1074" s="129" t="s">
        <v>256</v>
      </c>
    </row>
    <row r="1075" spans="1:6" ht="16" thickBot="1" x14ac:dyDescent="0.25">
      <c r="A1075" s="83">
        <v>3</v>
      </c>
      <c r="B1075" s="129" t="s">
        <v>164</v>
      </c>
      <c r="C1075" s="129" t="s">
        <v>149</v>
      </c>
      <c r="D1075" s="83">
        <v>6892</v>
      </c>
      <c r="E1075" s="103">
        <v>539169.31672</v>
      </c>
      <c r="F1075" s="129" t="s">
        <v>148</v>
      </c>
    </row>
    <row r="1076" spans="1:6" ht="16" thickBot="1" x14ac:dyDescent="0.25">
      <c r="A1076" s="83">
        <v>3</v>
      </c>
      <c r="B1076" s="129" t="s">
        <v>165</v>
      </c>
      <c r="C1076" s="129" t="s">
        <v>149</v>
      </c>
      <c r="D1076" s="83">
        <v>100</v>
      </c>
      <c r="E1076" s="103">
        <v>184770.484</v>
      </c>
      <c r="F1076" s="129" t="s">
        <v>256</v>
      </c>
    </row>
    <row r="1077" spans="1:6" ht="16" thickBot="1" x14ac:dyDescent="0.25">
      <c r="A1077" s="83">
        <v>3</v>
      </c>
      <c r="B1077" s="129" t="s">
        <v>166</v>
      </c>
      <c r="C1077" s="129" t="s">
        <v>149</v>
      </c>
      <c r="D1077" s="83">
        <v>6317</v>
      </c>
      <c r="E1077" s="103">
        <v>6787764.216</v>
      </c>
      <c r="F1077" s="129" t="s">
        <v>256</v>
      </c>
    </row>
    <row r="1078" spans="1:6" ht="16" thickBot="1" x14ac:dyDescent="0.25">
      <c r="A1078" s="83">
        <v>3</v>
      </c>
      <c r="B1078" s="129" t="s">
        <v>166</v>
      </c>
      <c r="C1078" s="129" t="s">
        <v>149</v>
      </c>
      <c r="D1078" s="83">
        <v>4154</v>
      </c>
      <c r="E1078" s="103">
        <v>440238.03415000002</v>
      </c>
      <c r="F1078" s="129" t="s">
        <v>148</v>
      </c>
    </row>
    <row r="1079" spans="1:6" ht="16" thickBot="1" x14ac:dyDescent="0.25">
      <c r="A1079" s="83">
        <v>3</v>
      </c>
      <c r="B1079" s="129" t="s">
        <v>167</v>
      </c>
      <c r="C1079" s="129" t="s">
        <v>149</v>
      </c>
      <c r="D1079" s="83">
        <v>33</v>
      </c>
      <c r="E1079" s="103">
        <v>63126.436999999998</v>
      </c>
      <c r="F1079" s="129" t="s">
        <v>256</v>
      </c>
    </row>
    <row r="1080" spans="1:6" ht="16" thickBot="1" x14ac:dyDescent="0.25">
      <c r="A1080" s="83">
        <v>3</v>
      </c>
      <c r="B1080" s="129" t="s">
        <v>168</v>
      </c>
      <c r="C1080" s="129" t="s">
        <v>149</v>
      </c>
      <c r="D1080" s="83">
        <v>2514</v>
      </c>
      <c r="E1080" s="103">
        <v>2696137.051</v>
      </c>
      <c r="F1080" s="129" t="s">
        <v>256</v>
      </c>
    </row>
    <row r="1081" spans="1:6" ht="16" thickBot="1" x14ac:dyDescent="0.25">
      <c r="A1081" s="83">
        <v>3</v>
      </c>
      <c r="B1081" s="129" t="s">
        <v>168</v>
      </c>
      <c r="C1081" s="129" t="s">
        <v>149</v>
      </c>
      <c r="D1081" s="83">
        <v>2151</v>
      </c>
      <c r="E1081" s="103">
        <v>205608.49765</v>
      </c>
      <c r="F1081" s="129" t="s">
        <v>148</v>
      </c>
    </row>
    <row r="1082" spans="1:6" ht="16" thickBot="1" x14ac:dyDescent="0.25">
      <c r="A1082" s="83">
        <v>3</v>
      </c>
      <c r="B1082" s="129" t="s">
        <v>169</v>
      </c>
      <c r="C1082" s="129" t="s">
        <v>149</v>
      </c>
      <c r="D1082" s="83">
        <v>2875</v>
      </c>
      <c r="E1082" s="103">
        <v>3845258.682</v>
      </c>
      <c r="F1082" s="129" t="s">
        <v>256</v>
      </c>
    </row>
    <row r="1083" spans="1:6" ht="16" thickBot="1" x14ac:dyDescent="0.25">
      <c r="A1083" s="83">
        <v>3</v>
      </c>
      <c r="B1083" s="129" t="s">
        <v>169</v>
      </c>
      <c r="C1083" s="129" t="s">
        <v>149</v>
      </c>
      <c r="D1083" s="83">
        <v>1576</v>
      </c>
      <c r="E1083" s="103">
        <v>159934.54128999999</v>
      </c>
      <c r="F1083" s="129" t="s">
        <v>148</v>
      </c>
    </row>
    <row r="1084" spans="1:6" ht="16" thickBot="1" x14ac:dyDescent="0.25">
      <c r="A1084" s="83">
        <v>3</v>
      </c>
      <c r="B1084" s="129" t="s">
        <v>170</v>
      </c>
      <c r="C1084" s="129" t="s">
        <v>149</v>
      </c>
      <c r="D1084" s="83">
        <v>140</v>
      </c>
      <c r="E1084" s="103">
        <v>12451.58761</v>
      </c>
      <c r="F1084" s="129" t="s">
        <v>148</v>
      </c>
    </row>
    <row r="1085" spans="1:6" ht="16" thickBot="1" x14ac:dyDescent="0.25">
      <c r="A1085" s="83">
        <v>3</v>
      </c>
      <c r="B1085" s="129" t="s">
        <v>171</v>
      </c>
      <c r="C1085" s="129" t="s">
        <v>149</v>
      </c>
      <c r="D1085" s="83">
        <v>1207</v>
      </c>
      <c r="E1085" s="103">
        <v>1618999.307</v>
      </c>
      <c r="F1085" s="129" t="s">
        <v>256</v>
      </c>
    </row>
    <row r="1086" spans="1:6" ht="16" thickBot="1" x14ac:dyDescent="0.25">
      <c r="A1086" s="83">
        <v>3</v>
      </c>
      <c r="B1086" s="129" t="s">
        <v>171</v>
      </c>
      <c r="C1086" s="129" t="s">
        <v>149</v>
      </c>
      <c r="D1086" s="83">
        <v>1162</v>
      </c>
      <c r="E1086" s="103">
        <v>104704.42799</v>
      </c>
      <c r="F1086" s="129" t="s">
        <v>148</v>
      </c>
    </row>
    <row r="1087" spans="1:6" ht="16" thickBot="1" x14ac:dyDescent="0.25">
      <c r="A1087" s="83">
        <v>3</v>
      </c>
      <c r="B1087" s="129" t="s">
        <v>172</v>
      </c>
      <c r="C1087" s="129" t="s">
        <v>149</v>
      </c>
      <c r="D1087" s="83">
        <v>1046</v>
      </c>
      <c r="E1087" s="103">
        <v>1562955.5730000001</v>
      </c>
      <c r="F1087" s="129" t="s">
        <v>256</v>
      </c>
    </row>
    <row r="1088" spans="1:6" ht="16" thickBot="1" x14ac:dyDescent="0.25">
      <c r="A1088" s="83">
        <v>3</v>
      </c>
      <c r="B1088" s="129" t="s">
        <v>172</v>
      </c>
      <c r="C1088" s="129" t="s">
        <v>149</v>
      </c>
      <c r="D1088" s="83">
        <v>1847</v>
      </c>
      <c r="E1088" s="103">
        <v>213259.79798</v>
      </c>
      <c r="F1088" s="129" t="s">
        <v>148</v>
      </c>
    </row>
    <row r="1089" spans="1:6" ht="16" thickBot="1" x14ac:dyDescent="0.25">
      <c r="A1089" s="83">
        <v>3</v>
      </c>
      <c r="B1089" s="129" t="s">
        <v>173</v>
      </c>
      <c r="C1089" s="129" t="s">
        <v>149</v>
      </c>
      <c r="D1089" s="83">
        <v>2521</v>
      </c>
      <c r="E1089" s="103">
        <v>3119842.7220000001</v>
      </c>
      <c r="F1089" s="129" t="s">
        <v>256</v>
      </c>
    </row>
    <row r="1090" spans="1:6" ht="16" thickBot="1" x14ac:dyDescent="0.25">
      <c r="A1090" s="83">
        <v>3</v>
      </c>
      <c r="B1090" s="129" t="s">
        <v>173</v>
      </c>
      <c r="C1090" s="129" t="s">
        <v>149</v>
      </c>
      <c r="D1090" s="83">
        <v>2053</v>
      </c>
      <c r="E1090" s="103">
        <v>170751.40791000001</v>
      </c>
      <c r="F1090" s="129" t="s">
        <v>148</v>
      </c>
    </row>
    <row r="1091" spans="1:6" ht="16" thickBot="1" x14ac:dyDescent="0.25">
      <c r="A1091" s="83">
        <v>3</v>
      </c>
      <c r="B1091" s="129" t="s">
        <v>174</v>
      </c>
      <c r="C1091" s="129" t="s">
        <v>149</v>
      </c>
      <c r="D1091" s="83">
        <v>575</v>
      </c>
      <c r="E1091" s="103">
        <v>1115940.3999999999</v>
      </c>
      <c r="F1091" s="129" t="s">
        <v>256</v>
      </c>
    </row>
    <row r="1092" spans="1:6" ht="16" thickBot="1" x14ac:dyDescent="0.25">
      <c r="A1092" s="83">
        <v>3</v>
      </c>
      <c r="B1092" s="129" t="s">
        <v>174</v>
      </c>
      <c r="C1092" s="129" t="s">
        <v>149</v>
      </c>
      <c r="D1092" s="83">
        <v>206</v>
      </c>
      <c r="E1092" s="103">
        <v>23231.2559</v>
      </c>
      <c r="F1092" s="129" t="s">
        <v>148</v>
      </c>
    </row>
    <row r="1093" spans="1:6" ht="16" thickBot="1" x14ac:dyDescent="0.25">
      <c r="A1093" s="83">
        <v>3</v>
      </c>
      <c r="B1093" s="129" t="s">
        <v>175</v>
      </c>
      <c r="C1093" s="129" t="s">
        <v>149</v>
      </c>
      <c r="D1093" s="83">
        <v>338</v>
      </c>
      <c r="E1093" s="103">
        <v>604121.93099999998</v>
      </c>
      <c r="F1093" s="129" t="s">
        <v>256</v>
      </c>
    </row>
    <row r="1094" spans="1:6" ht="16" thickBot="1" x14ac:dyDescent="0.25">
      <c r="A1094" s="83">
        <v>3</v>
      </c>
      <c r="B1094" s="129" t="s">
        <v>176</v>
      </c>
      <c r="C1094" s="129" t="s">
        <v>149</v>
      </c>
      <c r="D1094" s="83">
        <v>191</v>
      </c>
      <c r="E1094" s="103">
        <v>232480.28400000001</v>
      </c>
      <c r="F1094" s="129" t="s">
        <v>256</v>
      </c>
    </row>
    <row r="1095" spans="1:6" ht="16" thickBot="1" x14ac:dyDescent="0.25">
      <c r="A1095" s="83">
        <v>3</v>
      </c>
      <c r="B1095" s="129" t="s">
        <v>176</v>
      </c>
      <c r="C1095" s="129" t="s">
        <v>149</v>
      </c>
      <c r="D1095" s="83">
        <v>113</v>
      </c>
      <c r="E1095" s="103">
        <v>10443.62545</v>
      </c>
      <c r="F1095" s="129" t="s">
        <v>148</v>
      </c>
    </row>
    <row r="1096" spans="1:6" ht="16" thickBot="1" x14ac:dyDescent="0.25">
      <c r="A1096" s="83">
        <v>3</v>
      </c>
      <c r="B1096" s="129" t="s">
        <v>177</v>
      </c>
      <c r="C1096" s="129" t="s">
        <v>149</v>
      </c>
      <c r="D1096" s="83">
        <v>327</v>
      </c>
      <c r="E1096" s="103">
        <v>398877.348</v>
      </c>
      <c r="F1096" s="129" t="s">
        <v>256</v>
      </c>
    </row>
    <row r="1097" spans="1:6" ht="16" thickBot="1" x14ac:dyDescent="0.25">
      <c r="A1097" s="83">
        <v>3</v>
      </c>
      <c r="B1097" s="129" t="s">
        <v>177</v>
      </c>
      <c r="C1097" s="129" t="s">
        <v>149</v>
      </c>
      <c r="D1097" s="83">
        <v>156</v>
      </c>
      <c r="E1097" s="103">
        <v>12725.303970000001</v>
      </c>
      <c r="F1097" s="129" t="s">
        <v>148</v>
      </c>
    </row>
    <row r="1098" spans="1:6" ht="16" thickBot="1" x14ac:dyDescent="0.25">
      <c r="A1098" s="83">
        <v>3</v>
      </c>
      <c r="B1098" s="129" t="s">
        <v>178</v>
      </c>
      <c r="C1098" s="129" t="s">
        <v>149</v>
      </c>
      <c r="D1098" s="83">
        <v>454</v>
      </c>
      <c r="E1098" s="103">
        <v>852310.19700000004</v>
      </c>
      <c r="F1098" s="129" t="s">
        <v>256</v>
      </c>
    </row>
    <row r="1099" spans="1:6" ht="16" thickBot="1" x14ac:dyDescent="0.25">
      <c r="A1099" s="83">
        <v>3</v>
      </c>
      <c r="B1099" s="129" t="s">
        <v>179</v>
      </c>
      <c r="C1099" s="129" t="s">
        <v>149</v>
      </c>
      <c r="D1099" s="83">
        <v>51</v>
      </c>
      <c r="E1099" s="103">
        <v>90347.092000000004</v>
      </c>
      <c r="F1099" s="129" t="s">
        <v>256</v>
      </c>
    </row>
    <row r="1100" spans="1:6" ht="16" thickBot="1" x14ac:dyDescent="0.25">
      <c r="A1100" s="83">
        <v>3</v>
      </c>
      <c r="B1100" s="129" t="s">
        <v>180</v>
      </c>
      <c r="C1100" s="129" t="s">
        <v>149</v>
      </c>
      <c r="D1100" s="83">
        <v>95</v>
      </c>
      <c r="E1100" s="103">
        <v>8724.2779200000004</v>
      </c>
      <c r="F1100" s="129" t="s">
        <v>148</v>
      </c>
    </row>
    <row r="1101" spans="1:6" ht="16" thickBot="1" x14ac:dyDescent="0.25">
      <c r="A1101" s="83">
        <v>3</v>
      </c>
      <c r="B1101" s="129" t="s">
        <v>181</v>
      </c>
      <c r="C1101" s="129" t="s">
        <v>149</v>
      </c>
      <c r="D1101" s="83">
        <v>314</v>
      </c>
      <c r="E1101" s="103">
        <v>287578.098</v>
      </c>
      <c r="F1101" s="129" t="s">
        <v>256</v>
      </c>
    </row>
    <row r="1102" spans="1:6" ht="16" thickBot="1" x14ac:dyDescent="0.25">
      <c r="A1102" s="83">
        <v>3</v>
      </c>
      <c r="B1102" s="129" t="s">
        <v>181</v>
      </c>
      <c r="C1102" s="129" t="s">
        <v>149</v>
      </c>
      <c r="D1102" s="83">
        <v>3756</v>
      </c>
      <c r="E1102" s="103">
        <v>314698.22337000002</v>
      </c>
      <c r="F1102" s="129" t="s">
        <v>148</v>
      </c>
    </row>
    <row r="1103" spans="1:6" ht="16" thickBot="1" x14ac:dyDescent="0.25">
      <c r="A1103" s="83">
        <v>3</v>
      </c>
      <c r="B1103" s="129" t="s">
        <v>182</v>
      </c>
      <c r="C1103" s="129" t="s">
        <v>149</v>
      </c>
      <c r="D1103" s="83">
        <v>74</v>
      </c>
      <c r="E1103" s="103">
        <v>126881.996</v>
      </c>
      <c r="F1103" s="129" t="s">
        <v>256</v>
      </c>
    </row>
    <row r="1104" spans="1:6" ht="16" thickBot="1" x14ac:dyDescent="0.25">
      <c r="A1104" s="83">
        <v>3</v>
      </c>
      <c r="B1104" s="129" t="s">
        <v>183</v>
      </c>
      <c r="C1104" s="129" t="s">
        <v>149</v>
      </c>
      <c r="D1104" s="83">
        <v>364</v>
      </c>
      <c r="E1104" s="103">
        <v>630345.47</v>
      </c>
      <c r="F1104" s="129" t="s">
        <v>256</v>
      </c>
    </row>
    <row r="1105" spans="1:6" ht="16" thickBot="1" x14ac:dyDescent="0.25">
      <c r="A1105" s="83">
        <v>3</v>
      </c>
      <c r="B1105" s="129" t="s">
        <v>184</v>
      </c>
      <c r="C1105" s="129" t="s">
        <v>149</v>
      </c>
      <c r="D1105" s="83">
        <v>822</v>
      </c>
      <c r="E1105" s="103">
        <v>1173150.3759999999</v>
      </c>
      <c r="F1105" s="129" t="s">
        <v>256</v>
      </c>
    </row>
    <row r="1106" spans="1:6" ht="16" thickBot="1" x14ac:dyDescent="0.25">
      <c r="A1106" s="83">
        <v>3</v>
      </c>
      <c r="B1106" s="129" t="s">
        <v>184</v>
      </c>
      <c r="C1106" s="129" t="s">
        <v>149</v>
      </c>
      <c r="D1106" s="83">
        <v>7</v>
      </c>
      <c r="E1106" s="103">
        <v>529.40988000000004</v>
      </c>
      <c r="F1106" s="129" t="s">
        <v>148</v>
      </c>
    </row>
    <row r="1107" spans="1:6" ht="16" thickBot="1" x14ac:dyDescent="0.25">
      <c r="A1107" s="83">
        <v>3</v>
      </c>
      <c r="B1107" s="129" t="s">
        <v>185</v>
      </c>
      <c r="C1107" s="129" t="s">
        <v>149</v>
      </c>
      <c r="D1107" s="83">
        <v>304</v>
      </c>
      <c r="E1107" s="103">
        <v>311857.05800000002</v>
      </c>
      <c r="F1107" s="129" t="s">
        <v>256</v>
      </c>
    </row>
    <row r="1108" spans="1:6" ht="16" thickBot="1" x14ac:dyDescent="0.25">
      <c r="A1108" s="83">
        <v>3</v>
      </c>
      <c r="B1108" s="129" t="s">
        <v>185</v>
      </c>
      <c r="C1108" s="129" t="s">
        <v>149</v>
      </c>
      <c r="D1108" s="83">
        <v>180</v>
      </c>
      <c r="E1108" s="103">
        <v>11577.727919999999</v>
      </c>
      <c r="F1108" s="129" t="s">
        <v>148</v>
      </c>
    </row>
    <row r="1109" spans="1:6" ht="16" thickBot="1" x14ac:dyDescent="0.25">
      <c r="A1109" s="83">
        <v>3</v>
      </c>
      <c r="B1109" s="129" t="s">
        <v>186</v>
      </c>
      <c r="C1109" s="129" t="s">
        <v>149</v>
      </c>
      <c r="D1109" s="83">
        <v>166</v>
      </c>
      <c r="E1109" s="103">
        <v>292793.77899999998</v>
      </c>
      <c r="F1109" s="129" t="s">
        <v>256</v>
      </c>
    </row>
    <row r="1110" spans="1:6" ht="16" thickBot="1" x14ac:dyDescent="0.25">
      <c r="A1110" s="83">
        <v>3</v>
      </c>
      <c r="B1110" s="129" t="s">
        <v>187</v>
      </c>
      <c r="C1110" s="129" t="s">
        <v>149</v>
      </c>
      <c r="D1110" s="83">
        <v>3</v>
      </c>
      <c r="E1110" s="103">
        <v>3215.4949999999999</v>
      </c>
      <c r="F1110" s="129" t="s">
        <v>256</v>
      </c>
    </row>
    <row r="1111" spans="1:6" ht="16" thickBot="1" x14ac:dyDescent="0.25">
      <c r="A1111" s="83">
        <v>3</v>
      </c>
      <c r="B1111" s="129" t="s">
        <v>188</v>
      </c>
      <c r="C1111" s="129" t="s">
        <v>149</v>
      </c>
      <c r="D1111" s="83">
        <v>2</v>
      </c>
      <c r="E1111" s="103">
        <v>2769.0610000000001</v>
      </c>
      <c r="F1111" s="129" t="s">
        <v>256</v>
      </c>
    </row>
    <row r="1112" spans="1:6" ht="16" thickBot="1" x14ac:dyDescent="0.25">
      <c r="A1112" s="83">
        <v>3</v>
      </c>
      <c r="B1112" s="129" t="s">
        <v>189</v>
      </c>
      <c r="C1112" s="129" t="s">
        <v>149</v>
      </c>
      <c r="D1112" s="83">
        <v>1788</v>
      </c>
      <c r="E1112" s="103">
        <v>2444878.2910000002</v>
      </c>
      <c r="F1112" s="129" t="s">
        <v>256</v>
      </c>
    </row>
    <row r="1113" spans="1:6" ht="16" thickBot="1" x14ac:dyDescent="0.25">
      <c r="A1113" s="83">
        <v>3</v>
      </c>
      <c r="B1113" s="129" t="s">
        <v>189</v>
      </c>
      <c r="C1113" s="129" t="s">
        <v>149</v>
      </c>
      <c r="D1113" s="83">
        <v>1126</v>
      </c>
      <c r="E1113" s="103">
        <v>104781.11044</v>
      </c>
      <c r="F1113" s="129" t="s">
        <v>148</v>
      </c>
    </row>
    <row r="1114" spans="1:6" ht="16" thickBot="1" x14ac:dyDescent="0.25">
      <c r="A1114" s="83">
        <v>3</v>
      </c>
      <c r="B1114" s="129" t="s">
        <v>190</v>
      </c>
      <c r="C1114" s="129" t="s">
        <v>149</v>
      </c>
      <c r="D1114" s="83">
        <v>195</v>
      </c>
      <c r="E1114" s="103">
        <v>350894.16800000001</v>
      </c>
      <c r="F1114" s="129" t="s">
        <v>256</v>
      </c>
    </row>
    <row r="1115" spans="1:6" ht="16" thickBot="1" x14ac:dyDescent="0.25">
      <c r="A1115" s="83">
        <v>3</v>
      </c>
      <c r="B1115" s="129" t="s">
        <v>190</v>
      </c>
      <c r="C1115" s="129" t="s">
        <v>149</v>
      </c>
      <c r="D1115" s="83">
        <v>15</v>
      </c>
      <c r="E1115" s="103">
        <v>2081.1490600000002</v>
      </c>
      <c r="F1115" s="129" t="s">
        <v>148</v>
      </c>
    </row>
    <row r="1116" spans="1:6" ht="16" thickBot="1" x14ac:dyDescent="0.25">
      <c r="A1116" s="83">
        <v>3</v>
      </c>
      <c r="B1116" s="129" t="s">
        <v>191</v>
      </c>
      <c r="C1116" s="129" t="s">
        <v>149</v>
      </c>
      <c r="D1116" s="83">
        <v>1734</v>
      </c>
      <c r="E1116" s="103">
        <v>1951179.557</v>
      </c>
      <c r="F1116" s="129" t="s">
        <v>256</v>
      </c>
    </row>
    <row r="1117" spans="1:6" ht="16" thickBot="1" x14ac:dyDescent="0.25">
      <c r="A1117" s="83">
        <v>3</v>
      </c>
      <c r="B1117" s="129" t="s">
        <v>191</v>
      </c>
      <c r="C1117" s="129" t="s">
        <v>149</v>
      </c>
      <c r="D1117" s="83">
        <v>946</v>
      </c>
      <c r="E1117" s="103">
        <v>91797.498059999998</v>
      </c>
      <c r="F1117" s="129" t="s">
        <v>148</v>
      </c>
    </row>
    <row r="1118" spans="1:6" ht="16" thickBot="1" x14ac:dyDescent="0.25">
      <c r="A1118" s="83">
        <v>3</v>
      </c>
      <c r="B1118" s="129" t="s">
        <v>192</v>
      </c>
      <c r="C1118" s="129" t="s">
        <v>149</v>
      </c>
      <c r="D1118" s="83">
        <v>283</v>
      </c>
      <c r="E1118" s="103">
        <v>303093.07199999999</v>
      </c>
      <c r="F1118" s="129" t="s">
        <v>256</v>
      </c>
    </row>
    <row r="1119" spans="1:6" ht="16" thickBot="1" x14ac:dyDescent="0.25">
      <c r="A1119" s="83">
        <v>3</v>
      </c>
      <c r="B1119" s="129" t="s">
        <v>192</v>
      </c>
      <c r="C1119" s="129" t="s">
        <v>149</v>
      </c>
      <c r="D1119" s="83">
        <v>167</v>
      </c>
      <c r="E1119" s="103">
        <v>13228.69212</v>
      </c>
      <c r="F1119" s="129" t="s">
        <v>148</v>
      </c>
    </row>
    <row r="1120" spans="1:6" ht="16" thickBot="1" x14ac:dyDescent="0.25">
      <c r="A1120" s="83">
        <v>3</v>
      </c>
      <c r="B1120" s="129" t="s">
        <v>193</v>
      </c>
      <c r="C1120" s="129" t="s">
        <v>149</v>
      </c>
      <c r="D1120" s="83">
        <v>6929</v>
      </c>
      <c r="E1120" s="103">
        <v>8683301.4260000009</v>
      </c>
      <c r="F1120" s="129" t="s">
        <v>256</v>
      </c>
    </row>
    <row r="1121" spans="1:6" ht="16" thickBot="1" x14ac:dyDescent="0.25">
      <c r="A1121" s="83">
        <v>3</v>
      </c>
      <c r="B1121" s="129" t="s">
        <v>193</v>
      </c>
      <c r="C1121" s="129" t="s">
        <v>149</v>
      </c>
      <c r="D1121" s="83">
        <v>1750</v>
      </c>
      <c r="E1121" s="103">
        <v>148402.82837999999</v>
      </c>
      <c r="F1121" s="129" t="s">
        <v>148</v>
      </c>
    </row>
    <row r="1122" spans="1:6" ht="16" thickBot="1" x14ac:dyDescent="0.25">
      <c r="A1122" s="83">
        <v>3</v>
      </c>
      <c r="B1122" s="129" t="s">
        <v>194</v>
      </c>
      <c r="C1122" s="129" t="s">
        <v>149</v>
      </c>
      <c r="D1122" s="83">
        <v>160</v>
      </c>
      <c r="E1122" s="103">
        <v>239581.47899999999</v>
      </c>
      <c r="F1122" s="129" t="s">
        <v>256</v>
      </c>
    </row>
    <row r="1123" spans="1:6" ht="16" thickBot="1" x14ac:dyDescent="0.25">
      <c r="A1123" s="83">
        <v>3</v>
      </c>
      <c r="B1123" s="129" t="s">
        <v>195</v>
      </c>
      <c r="C1123" s="129" t="s">
        <v>149</v>
      </c>
      <c r="D1123" s="83">
        <v>1006</v>
      </c>
      <c r="E1123" s="103">
        <v>1194805.7560000001</v>
      </c>
      <c r="F1123" s="129" t="s">
        <v>256</v>
      </c>
    </row>
    <row r="1124" spans="1:6" ht="16" thickBot="1" x14ac:dyDescent="0.25">
      <c r="A1124" s="83">
        <v>3</v>
      </c>
      <c r="B1124" s="129" t="s">
        <v>195</v>
      </c>
      <c r="C1124" s="129" t="s">
        <v>149</v>
      </c>
      <c r="D1124" s="83">
        <v>600</v>
      </c>
      <c r="E1124" s="103">
        <v>48670.029309999998</v>
      </c>
      <c r="F1124" s="129" t="s">
        <v>148</v>
      </c>
    </row>
    <row r="1125" spans="1:6" ht="16" thickBot="1" x14ac:dyDescent="0.25">
      <c r="A1125" s="83">
        <v>3</v>
      </c>
      <c r="B1125" s="129" t="s">
        <v>196</v>
      </c>
      <c r="C1125" s="129" t="s">
        <v>149</v>
      </c>
      <c r="D1125" s="83">
        <v>227</v>
      </c>
      <c r="E1125" s="103">
        <v>278816.93</v>
      </c>
      <c r="F1125" s="129" t="s">
        <v>256</v>
      </c>
    </row>
    <row r="1126" spans="1:6" ht="16" thickBot="1" x14ac:dyDescent="0.25">
      <c r="A1126" s="83">
        <v>3</v>
      </c>
      <c r="B1126" s="129" t="s">
        <v>196</v>
      </c>
      <c r="C1126" s="129" t="s">
        <v>149</v>
      </c>
      <c r="D1126" s="83">
        <v>126</v>
      </c>
      <c r="E1126" s="103">
        <v>10930.085789999999</v>
      </c>
      <c r="F1126" s="129" t="s">
        <v>148</v>
      </c>
    </row>
    <row r="1127" spans="1:6" ht="16" thickBot="1" x14ac:dyDescent="0.25">
      <c r="A1127" s="83">
        <v>3</v>
      </c>
      <c r="B1127" s="129" t="s">
        <v>197</v>
      </c>
      <c r="C1127" s="129" t="s">
        <v>149</v>
      </c>
      <c r="D1127" s="83">
        <v>535</v>
      </c>
      <c r="E1127" s="103">
        <v>722702.24199999997</v>
      </c>
      <c r="F1127" s="129" t="s">
        <v>256</v>
      </c>
    </row>
    <row r="1128" spans="1:6" ht="16" thickBot="1" x14ac:dyDescent="0.25">
      <c r="A1128" s="83">
        <v>3</v>
      </c>
      <c r="B1128" s="129" t="s">
        <v>198</v>
      </c>
      <c r="C1128" s="129" t="s">
        <v>149</v>
      </c>
      <c r="D1128" s="83">
        <v>113</v>
      </c>
      <c r="E1128" s="103">
        <v>160038.67199999999</v>
      </c>
      <c r="F1128" s="129" t="s">
        <v>256</v>
      </c>
    </row>
    <row r="1129" spans="1:6" ht="16" thickBot="1" x14ac:dyDescent="0.25">
      <c r="A1129" s="83">
        <v>3</v>
      </c>
      <c r="B1129" s="129" t="s">
        <v>199</v>
      </c>
      <c r="C1129" s="129" t="s">
        <v>149</v>
      </c>
      <c r="D1129" s="83">
        <v>514</v>
      </c>
      <c r="E1129" s="103">
        <v>500987.304</v>
      </c>
      <c r="F1129" s="129" t="s">
        <v>256</v>
      </c>
    </row>
    <row r="1130" spans="1:6" ht="16" thickBot="1" x14ac:dyDescent="0.25">
      <c r="A1130" s="83">
        <v>3</v>
      </c>
      <c r="B1130" s="129" t="s">
        <v>200</v>
      </c>
      <c r="C1130" s="129" t="s">
        <v>149</v>
      </c>
      <c r="D1130" s="83">
        <v>407</v>
      </c>
      <c r="E1130" s="103">
        <v>593952.49199999997</v>
      </c>
      <c r="F1130" s="129" t="s">
        <v>256</v>
      </c>
    </row>
    <row r="1131" spans="1:6" ht="16" thickBot="1" x14ac:dyDescent="0.25">
      <c r="A1131" s="83">
        <v>3</v>
      </c>
      <c r="B1131" s="129" t="s">
        <v>201</v>
      </c>
      <c r="C1131" s="129" t="s">
        <v>149</v>
      </c>
      <c r="D1131" s="83">
        <v>125</v>
      </c>
      <c r="E1131" s="103">
        <v>164524.076</v>
      </c>
      <c r="F1131" s="129" t="s">
        <v>256</v>
      </c>
    </row>
    <row r="1132" spans="1:6" ht="16" thickBot="1" x14ac:dyDescent="0.25">
      <c r="A1132" s="83">
        <v>3</v>
      </c>
      <c r="B1132" s="129" t="s">
        <v>202</v>
      </c>
      <c r="C1132" s="129" t="s">
        <v>149</v>
      </c>
      <c r="D1132" s="83">
        <v>263</v>
      </c>
      <c r="E1132" s="103">
        <v>281596.32799999998</v>
      </c>
      <c r="F1132" s="129" t="s">
        <v>256</v>
      </c>
    </row>
    <row r="1133" spans="1:6" ht="16" thickBot="1" x14ac:dyDescent="0.25">
      <c r="A1133" s="83">
        <v>3</v>
      </c>
      <c r="B1133" s="129" t="s">
        <v>202</v>
      </c>
      <c r="C1133" s="129" t="s">
        <v>149</v>
      </c>
      <c r="D1133" s="83">
        <v>169</v>
      </c>
      <c r="E1133" s="103">
        <v>13581.57113</v>
      </c>
      <c r="F1133" s="129" t="s">
        <v>148</v>
      </c>
    </row>
    <row r="1134" spans="1:6" ht="16" thickBot="1" x14ac:dyDescent="0.25">
      <c r="A1134" s="83">
        <v>3</v>
      </c>
      <c r="B1134" s="129" t="s">
        <v>203</v>
      </c>
      <c r="C1134" s="129" t="s">
        <v>149</v>
      </c>
      <c r="D1134" s="83">
        <v>343</v>
      </c>
      <c r="E1134" s="103">
        <v>381588.55</v>
      </c>
      <c r="F1134" s="129" t="s">
        <v>256</v>
      </c>
    </row>
    <row r="1135" spans="1:6" ht="16" thickBot="1" x14ac:dyDescent="0.25">
      <c r="A1135" s="83">
        <v>3</v>
      </c>
      <c r="B1135" s="129" t="s">
        <v>204</v>
      </c>
      <c r="C1135" s="129" t="s">
        <v>149</v>
      </c>
      <c r="D1135" s="83">
        <v>907</v>
      </c>
      <c r="E1135" s="103">
        <v>852030.93700000003</v>
      </c>
      <c r="F1135" s="129" t="s">
        <v>256</v>
      </c>
    </row>
    <row r="1136" spans="1:6" ht="16" thickBot="1" x14ac:dyDescent="0.25">
      <c r="A1136" s="83">
        <v>3</v>
      </c>
      <c r="B1136" s="129" t="s">
        <v>205</v>
      </c>
      <c r="C1136" s="129" t="s">
        <v>149</v>
      </c>
      <c r="D1136" s="83">
        <v>3403</v>
      </c>
      <c r="E1136" s="103">
        <v>3955716.9610000001</v>
      </c>
      <c r="F1136" s="129" t="s">
        <v>256</v>
      </c>
    </row>
    <row r="1137" spans="1:6" ht="16" thickBot="1" x14ac:dyDescent="0.25">
      <c r="A1137" s="83">
        <v>3</v>
      </c>
      <c r="B1137" s="129" t="s">
        <v>205</v>
      </c>
      <c r="C1137" s="129" t="s">
        <v>149</v>
      </c>
      <c r="D1137" s="83">
        <v>716</v>
      </c>
      <c r="E1137" s="103">
        <v>43861.88955</v>
      </c>
      <c r="F1137" s="129" t="s">
        <v>148</v>
      </c>
    </row>
    <row r="1138" spans="1:6" ht="16" thickBot="1" x14ac:dyDescent="0.25">
      <c r="A1138" s="83">
        <v>3</v>
      </c>
      <c r="B1138" s="129" t="s">
        <v>206</v>
      </c>
      <c r="C1138" s="129" t="s">
        <v>149</v>
      </c>
      <c r="D1138" s="83">
        <v>209</v>
      </c>
      <c r="E1138" s="103">
        <v>225411.606</v>
      </c>
      <c r="F1138" s="129" t="s">
        <v>256</v>
      </c>
    </row>
    <row r="1139" spans="1:6" ht="16" thickBot="1" x14ac:dyDescent="0.25">
      <c r="A1139" s="83">
        <v>3</v>
      </c>
      <c r="B1139" s="129" t="s">
        <v>206</v>
      </c>
      <c r="C1139" s="129" t="s">
        <v>149</v>
      </c>
      <c r="D1139" s="83">
        <v>126</v>
      </c>
      <c r="E1139" s="103">
        <v>10035.642030000001</v>
      </c>
      <c r="F1139" s="129" t="s">
        <v>148</v>
      </c>
    </row>
    <row r="1140" spans="1:6" ht="16" thickBot="1" x14ac:dyDescent="0.25">
      <c r="A1140" s="83">
        <v>3</v>
      </c>
      <c r="B1140" s="129" t="s">
        <v>207</v>
      </c>
      <c r="C1140" s="129" t="s">
        <v>149</v>
      </c>
      <c r="D1140" s="83">
        <v>1</v>
      </c>
      <c r="E1140" s="103">
        <v>179.82</v>
      </c>
      <c r="F1140" s="129" t="s">
        <v>148</v>
      </c>
    </row>
    <row r="1141" spans="1:6" ht="16" thickBot="1" x14ac:dyDescent="0.25">
      <c r="A1141" s="83">
        <v>3</v>
      </c>
      <c r="B1141" s="129" t="s">
        <v>208</v>
      </c>
      <c r="C1141" s="129" t="s">
        <v>149</v>
      </c>
      <c r="D1141" s="83">
        <v>47</v>
      </c>
      <c r="E1141" s="103">
        <v>53467.686000000002</v>
      </c>
      <c r="F1141" s="129" t="s">
        <v>256</v>
      </c>
    </row>
    <row r="1142" spans="1:6" ht="16" thickBot="1" x14ac:dyDescent="0.25">
      <c r="A1142" s="83">
        <v>3</v>
      </c>
      <c r="B1142" s="129" t="s">
        <v>209</v>
      </c>
      <c r="C1142" s="129" t="s">
        <v>149</v>
      </c>
      <c r="D1142" s="83">
        <v>1871</v>
      </c>
      <c r="E1142" s="103">
        <v>1741782.9280000001</v>
      </c>
      <c r="F1142" s="129" t="s">
        <v>256</v>
      </c>
    </row>
    <row r="1143" spans="1:6" ht="16" thickBot="1" x14ac:dyDescent="0.25">
      <c r="A1143" s="83">
        <v>3</v>
      </c>
      <c r="B1143" s="129" t="s">
        <v>209</v>
      </c>
      <c r="C1143" s="129" t="s">
        <v>149</v>
      </c>
      <c r="D1143" s="83">
        <v>635</v>
      </c>
      <c r="E1143" s="103">
        <v>42204.881540000002</v>
      </c>
      <c r="F1143" s="129" t="s">
        <v>148</v>
      </c>
    </row>
    <row r="1144" spans="1:6" ht="16" thickBot="1" x14ac:dyDescent="0.25">
      <c r="A1144" s="83">
        <v>3</v>
      </c>
      <c r="B1144" s="129" t="s">
        <v>210</v>
      </c>
      <c r="C1144" s="129" t="s">
        <v>149</v>
      </c>
      <c r="D1144" s="83">
        <v>87</v>
      </c>
      <c r="E1144" s="103">
        <v>136552.41500000001</v>
      </c>
      <c r="F1144" s="129" t="s">
        <v>256</v>
      </c>
    </row>
    <row r="1145" spans="1:6" ht="16" thickBot="1" x14ac:dyDescent="0.25">
      <c r="A1145" s="83">
        <v>3</v>
      </c>
      <c r="B1145" s="129" t="s">
        <v>211</v>
      </c>
      <c r="C1145" s="129" t="s">
        <v>149</v>
      </c>
      <c r="D1145" s="83">
        <v>96</v>
      </c>
      <c r="E1145" s="103">
        <v>143801.79500000001</v>
      </c>
      <c r="F1145" s="129" t="s">
        <v>256</v>
      </c>
    </row>
    <row r="1146" spans="1:6" ht="16" thickBot="1" x14ac:dyDescent="0.25">
      <c r="A1146" s="83">
        <v>3</v>
      </c>
      <c r="B1146" s="129" t="s">
        <v>212</v>
      </c>
      <c r="C1146" s="129" t="s">
        <v>149</v>
      </c>
      <c r="D1146" s="83">
        <v>8</v>
      </c>
      <c r="E1146" s="83">
        <v>6748</v>
      </c>
      <c r="F1146" s="129" t="s">
        <v>256</v>
      </c>
    </row>
    <row r="1147" spans="1:6" ht="16" thickBot="1" x14ac:dyDescent="0.25">
      <c r="A1147" s="83">
        <v>3</v>
      </c>
      <c r="B1147" s="129" t="s">
        <v>213</v>
      </c>
      <c r="C1147" s="129" t="s">
        <v>149</v>
      </c>
      <c r="D1147" s="83">
        <v>536</v>
      </c>
      <c r="E1147" s="103">
        <v>747643.15700000001</v>
      </c>
      <c r="F1147" s="129" t="s">
        <v>256</v>
      </c>
    </row>
    <row r="1148" spans="1:6" ht="16" thickBot="1" x14ac:dyDescent="0.25">
      <c r="A1148" s="83">
        <v>3</v>
      </c>
      <c r="B1148" s="129" t="s">
        <v>214</v>
      </c>
      <c r="C1148" s="129" t="s">
        <v>149</v>
      </c>
      <c r="D1148" s="83">
        <v>237</v>
      </c>
      <c r="E1148" s="103">
        <v>500964.35200000001</v>
      </c>
      <c r="F1148" s="129" t="s">
        <v>256</v>
      </c>
    </row>
    <row r="1149" spans="1:6" ht="16" thickBot="1" x14ac:dyDescent="0.25">
      <c r="A1149" s="83">
        <v>3</v>
      </c>
      <c r="B1149" s="129" t="s">
        <v>215</v>
      </c>
      <c r="C1149" s="129" t="s">
        <v>149</v>
      </c>
      <c r="D1149" s="83">
        <v>521</v>
      </c>
      <c r="E1149" s="103">
        <v>583336.27599999995</v>
      </c>
      <c r="F1149" s="129" t="s">
        <v>256</v>
      </c>
    </row>
    <row r="1150" spans="1:6" ht="16" thickBot="1" x14ac:dyDescent="0.25">
      <c r="A1150" s="83">
        <v>3</v>
      </c>
      <c r="B1150" s="129" t="s">
        <v>215</v>
      </c>
      <c r="C1150" s="129" t="s">
        <v>149</v>
      </c>
      <c r="D1150" s="83">
        <v>350</v>
      </c>
      <c r="E1150" s="103">
        <v>30226.054179999999</v>
      </c>
      <c r="F1150" s="129" t="s">
        <v>148</v>
      </c>
    </row>
    <row r="1151" spans="1:6" ht="16" thickBot="1" x14ac:dyDescent="0.25">
      <c r="A1151" s="83">
        <v>3</v>
      </c>
      <c r="B1151" s="129" t="s">
        <v>216</v>
      </c>
      <c r="C1151" s="129" t="s">
        <v>149</v>
      </c>
      <c r="D1151" s="83">
        <v>82</v>
      </c>
      <c r="E1151" s="103">
        <v>96613.764999999999</v>
      </c>
      <c r="F1151" s="129" t="s">
        <v>256</v>
      </c>
    </row>
    <row r="1152" spans="1:6" ht="16" thickBot="1" x14ac:dyDescent="0.25">
      <c r="A1152" s="83">
        <v>3</v>
      </c>
      <c r="B1152" s="129" t="s">
        <v>217</v>
      </c>
      <c r="C1152" s="129" t="s">
        <v>149</v>
      </c>
      <c r="D1152" s="83">
        <v>743</v>
      </c>
      <c r="E1152" s="103">
        <v>799269.86699999997</v>
      </c>
      <c r="F1152" s="129" t="s">
        <v>256</v>
      </c>
    </row>
    <row r="1153" spans="1:6" ht="16" thickBot="1" x14ac:dyDescent="0.25">
      <c r="A1153" s="83">
        <v>3</v>
      </c>
      <c r="B1153" s="129" t="s">
        <v>217</v>
      </c>
      <c r="C1153" s="129" t="s">
        <v>149</v>
      </c>
      <c r="D1153" s="83">
        <v>430</v>
      </c>
      <c r="E1153" s="103">
        <v>30021.16245</v>
      </c>
      <c r="F1153" s="129" t="s">
        <v>148</v>
      </c>
    </row>
    <row r="1154" spans="1:6" ht="16" thickBot="1" x14ac:dyDescent="0.25">
      <c r="A1154" s="83">
        <v>3</v>
      </c>
      <c r="B1154" s="129" t="s">
        <v>218</v>
      </c>
      <c r="C1154" s="129" t="s">
        <v>149</v>
      </c>
      <c r="D1154" s="83">
        <v>15149</v>
      </c>
      <c r="E1154" s="103">
        <v>14073262.007999999</v>
      </c>
      <c r="F1154" s="129" t="s">
        <v>256</v>
      </c>
    </row>
    <row r="1155" spans="1:6" ht="16" thickBot="1" x14ac:dyDescent="0.25">
      <c r="A1155" s="83">
        <v>3</v>
      </c>
      <c r="B1155" s="129" t="s">
        <v>218</v>
      </c>
      <c r="C1155" s="129" t="s">
        <v>149</v>
      </c>
      <c r="D1155" s="83">
        <v>5497</v>
      </c>
      <c r="E1155" s="103">
        <v>481694.19167999999</v>
      </c>
      <c r="F1155" s="129" t="s">
        <v>148</v>
      </c>
    </row>
    <row r="1156" spans="1:6" ht="16" thickBot="1" x14ac:dyDescent="0.25">
      <c r="A1156" s="83">
        <v>3</v>
      </c>
      <c r="B1156" s="129" t="s">
        <v>219</v>
      </c>
      <c r="C1156" s="129" t="s">
        <v>149</v>
      </c>
      <c r="D1156" s="83">
        <v>10</v>
      </c>
      <c r="E1156" s="103">
        <v>7783.2849999999999</v>
      </c>
      <c r="F1156" s="129" t="s">
        <v>256</v>
      </c>
    </row>
    <row r="1157" spans="1:6" ht="16" thickBot="1" x14ac:dyDescent="0.25">
      <c r="A1157" s="83">
        <v>3</v>
      </c>
      <c r="B1157" s="129" t="s">
        <v>219</v>
      </c>
      <c r="C1157" s="129" t="s">
        <v>149</v>
      </c>
      <c r="D1157" s="83">
        <v>10</v>
      </c>
      <c r="E1157" s="103">
        <v>1342.1643999999999</v>
      </c>
      <c r="F1157" s="129" t="s">
        <v>148</v>
      </c>
    </row>
    <row r="1158" spans="1:6" ht="16" thickBot="1" x14ac:dyDescent="0.25">
      <c r="A1158" s="83">
        <v>3</v>
      </c>
      <c r="B1158" s="129" t="s">
        <v>220</v>
      </c>
      <c r="C1158" s="129" t="s">
        <v>149</v>
      </c>
      <c r="D1158" s="83">
        <v>507</v>
      </c>
      <c r="E1158" s="103">
        <v>633645.61100000003</v>
      </c>
      <c r="F1158" s="129" t="s">
        <v>256</v>
      </c>
    </row>
    <row r="1159" spans="1:6" ht="16" thickBot="1" x14ac:dyDescent="0.25">
      <c r="A1159" s="83">
        <v>3</v>
      </c>
      <c r="B1159" s="129" t="s">
        <v>221</v>
      </c>
      <c r="C1159" s="129" t="s">
        <v>149</v>
      </c>
      <c r="D1159" s="83">
        <v>915</v>
      </c>
      <c r="E1159" s="103">
        <v>1111094.8840000001</v>
      </c>
      <c r="F1159" s="129" t="s">
        <v>256</v>
      </c>
    </row>
    <row r="1160" spans="1:6" ht="16" thickBot="1" x14ac:dyDescent="0.25">
      <c r="A1160" s="83">
        <v>3</v>
      </c>
      <c r="B1160" s="129" t="s">
        <v>221</v>
      </c>
      <c r="C1160" s="129" t="s">
        <v>149</v>
      </c>
      <c r="D1160" s="83">
        <v>627</v>
      </c>
      <c r="E1160" s="103">
        <v>66458.509579999998</v>
      </c>
      <c r="F1160" s="129" t="s">
        <v>148</v>
      </c>
    </row>
    <row r="1161" spans="1:6" ht="16" thickBot="1" x14ac:dyDescent="0.25">
      <c r="A1161" s="83">
        <v>3</v>
      </c>
      <c r="B1161" s="129" t="s">
        <v>222</v>
      </c>
      <c r="C1161" s="129" t="s">
        <v>149</v>
      </c>
      <c r="D1161" s="83">
        <v>365</v>
      </c>
      <c r="E1161" s="103">
        <v>419093.315</v>
      </c>
      <c r="F1161" s="129" t="s">
        <v>256</v>
      </c>
    </row>
    <row r="1162" spans="1:6" ht="16" thickBot="1" x14ac:dyDescent="0.25">
      <c r="A1162" s="83">
        <v>3</v>
      </c>
      <c r="B1162" s="129" t="s">
        <v>222</v>
      </c>
      <c r="C1162" s="129" t="s">
        <v>149</v>
      </c>
      <c r="D1162" s="83">
        <v>193</v>
      </c>
      <c r="E1162" s="103">
        <v>13464.682360000001</v>
      </c>
      <c r="F1162" s="129" t="s">
        <v>148</v>
      </c>
    </row>
    <row r="1163" spans="1:6" ht="16" thickBot="1" x14ac:dyDescent="0.25">
      <c r="A1163" s="83">
        <v>3</v>
      </c>
      <c r="B1163" s="129" t="s">
        <v>223</v>
      </c>
      <c r="C1163" s="129" t="s">
        <v>149</v>
      </c>
      <c r="D1163" s="83">
        <v>382</v>
      </c>
      <c r="E1163" s="103">
        <v>424597.81099999999</v>
      </c>
      <c r="F1163" s="129" t="s">
        <v>256</v>
      </c>
    </row>
    <row r="1164" spans="1:6" ht="16" thickBot="1" x14ac:dyDescent="0.25">
      <c r="A1164" s="83">
        <v>3</v>
      </c>
      <c r="B1164" s="129" t="s">
        <v>223</v>
      </c>
      <c r="C1164" s="129" t="s">
        <v>149</v>
      </c>
      <c r="D1164" s="83">
        <v>227</v>
      </c>
      <c r="E1164" s="103">
        <v>17088.425500000001</v>
      </c>
      <c r="F1164" s="129" t="s">
        <v>148</v>
      </c>
    </row>
    <row r="1165" spans="1:6" ht="16" thickBot="1" x14ac:dyDescent="0.25">
      <c r="A1165" s="83">
        <v>3</v>
      </c>
      <c r="B1165" s="129" t="s">
        <v>224</v>
      </c>
      <c r="C1165" s="129" t="s">
        <v>149</v>
      </c>
      <c r="D1165" s="83">
        <v>944</v>
      </c>
      <c r="E1165" s="103">
        <v>1473390.949</v>
      </c>
      <c r="F1165" s="129" t="s">
        <v>256</v>
      </c>
    </row>
    <row r="1166" spans="1:6" ht="16" thickBot="1" x14ac:dyDescent="0.25">
      <c r="A1166" s="83">
        <v>3</v>
      </c>
      <c r="B1166" s="129" t="s">
        <v>225</v>
      </c>
      <c r="C1166" s="129" t="s">
        <v>149</v>
      </c>
      <c r="D1166" s="83">
        <v>45</v>
      </c>
      <c r="E1166" s="103">
        <v>75382.097999999998</v>
      </c>
      <c r="F1166" s="129" t="s">
        <v>256</v>
      </c>
    </row>
    <row r="1167" spans="1:6" ht="16" thickBot="1" x14ac:dyDescent="0.25">
      <c r="A1167" s="83">
        <v>3</v>
      </c>
      <c r="B1167" s="129" t="s">
        <v>226</v>
      </c>
      <c r="C1167" s="129" t="s">
        <v>149</v>
      </c>
      <c r="D1167" s="83">
        <v>46</v>
      </c>
      <c r="E1167" s="103">
        <v>91240.823999999993</v>
      </c>
      <c r="F1167" s="129" t="s">
        <v>256</v>
      </c>
    </row>
    <row r="1168" spans="1:6" ht="16" thickBot="1" x14ac:dyDescent="0.25">
      <c r="A1168" s="83">
        <v>3</v>
      </c>
      <c r="B1168" s="129" t="s">
        <v>227</v>
      </c>
      <c r="C1168" s="129" t="s">
        <v>149</v>
      </c>
      <c r="D1168" s="83">
        <v>220</v>
      </c>
      <c r="E1168" s="103">
        <v>267016.75099999999</v>
      </c>
      <c r="F1168" s="129" t="s">
        <v>256</v>
      </c>
    </row>
    <row r="1169" spans="1:6" ht="16" thickBot="1" x14ac:dyDescent="0.25">
      <c r="A1169" s="83">
        <v>3</v>
      </c>
      <c r="B1169" s="129" t="s">
        <v>227</v>
      </c>
      <c r="C1169" s="129" t="s">
        <v>149</v>
      </c>
      <c r="D1169" s="83">
        <v>131</v>
      </c>
      <c r="E1169" s="103">
        <v>11567.925279999999</v>
      </c>
      <c r="F1169" s="129" t="s">
        <v>148</v>
      </c>
    </row>
    <row r="1170" spans="1:6" ht="16" thickBot="1" x14ac:dyDescent="0.25">
      <c r="A1170" s="83">
        <v>3</v>
      </c>
      <c r="B1170" s="129" t="s">
        <v>228</v>
      </c>
      <c r="C1170" s="129" t="s">
        <v>149</v>
      </c>
      <c r="D1170" s="83">
        <v>1359</v>
      </c>
      <c r="E1170" s="103">
        <v>1897296.2620000001</v>
      </c>
      <c r="F1170" s="129" t="s">
        <v>256</v>
      </c>
    </row>
    <row r="1171" spans="1:6" ht="16" thickBot="1" x14ac:dyDescent="0.25">
      <c r="A1171" s="83">
        <v>3</v>
      </c>
      <c r="B1171" s="129" t="s">
        <v>228</v>
      </c>
      <c r="C1171" s="129" t="s">
        <v>149</v>
      </c>
      <c r="D1171" s="83">
        <v>40</v>
      </c>
      <c r="E1171" s="103">
        <v>3974.0863599999998</v>
      </c>
      <c r="F1171" s="129" t="s">
        <v>148</v>
      </c>
    </row>
    <row r="1172" spans="1:6" ht="16" thickBot="1" x14ac:dyDescent="0.25">
      <c r="A1172" s="83">
        <v>3</v>
      </c>
      <c r="B1172" s="129" t="s">
        <v>229</v>
      </c>
      <c r="C1172" s="129" t="s">
        <v>149</v>
      </c>
      <c r="D1172" s="83">
        <v>727</v>
      </c>
      <c r="E1172" s="103">
        <v>1095957.9010000001</v>
      </c>
      <c r="F1172" s="129" t="s">
        <v>256</v>
      </c>
    </row>
    <row r="1173" spans="1:6" ht="16" thickBot="1" x14ac:dyDescent="0.25">
      <c r="A1173" s="83">
        <v>3</v>
      </c>
      <c r="B1173" s="129" t="s">
        <v>230</v>
      </c>
      <c r="C1173" s="129" t="s">
        <v>149</v>
      </c>
      <c r="D1173" s="83">
        <v>8078</v>
      </c>
      <c r="E1173" s="103">
        <v>7123530.6399999997</v>
      </c>
      <c r="F1173" s="129" t="s">
        <v>256</v>
      </c>
    </row>
    <row r="1174" spans="1:6" ht="16" thickBot="1" x14ac:dyDescent="0.25">
      <c r="A1174" s="83">
        <v>3</v>
      </c>
      <c r="B1174" s="129" t="s">
        <v>230</v>
      </c>
      <c r="C1174" s="129" t="s">
        <v>149</v>
      </c>
      <c r="D1174" s="83">
        <v>3212</v>
      </c>
      <c r="E1174" s="103">
        <v>308455.85930000001</v>
      </c>
      <c r="F1174" s="129" t="s">
        <v>148</v>
      </c>
    </row>
    <row r="1175" spans="1:6" ht="16" thickBot="1" x14ac:dyDescent="0.25">
      <c r="A1175" s="83">
        <v>3</v>
      </c>
      <c r="B1175" s="129" t="s">
        <v>231</v>
      </c>
      <c r="C1175" s="129" t="s">
        <v>149</v>
      </c>
      <c r="D1175" s="83">
        <v>8568</v>
      </c>
      <c r="E1175" s="103">
        <v>8857102.341</v>
      </c>
      <c r="F1175" s="129" t="s">
        <v>256</v>
      </c>
    </row>
    <row r="1176" spans="1:6" ht="16" thickBot="1" x14ac:dyDescent="0.25">
      <c r="A1176" s="83">
        <v>3</v>
      </c>
      <c r="B1176" s="129" t="s">
        <v>231</v>
      </c>
      <c r="C1176" s="129" t="s">
        <v>149</v>
      </c>
      <c r="D1176" s="83">
        <v>4729</v>
      </c>
      <c r="E1176" s="103">
        <v>457163.78062999999</v>
      </c>
      <c r="F1176" s="129" t="s">
        <v>148</v>
      </c>
    </row>
    <row r="1177" spans="1:6" ht="16" thickBot="1" x14ac:dyDescent="0.25">
      <c r="A1177" s="83">
        <v>3</v>
      </c>
      <c r="B1177" s="129" t="s">
        <v>232</v>
      </c>
      <c r="C1177" s="129" t="s">
        <v>149</v>
      </c>
      <c r="D1177" s="83">
        <v>9536</v>
      </c>
      <c r="E1177" s="103">
        <v>9234175.7980000004</v>
      </c>
      <c r="F1177" s="129" t="s">
        <v>256</v>
      </c>
    </row>
    <row r="1178" spans="1:6" ht="16" thickBot="1" x14ac:dyDescent="0.25">
      <c r="A1178" s="83">
        <v>3</v>
      </c>
      <c r="B1178" s="129" t="s">
        <v>232</v>
      </c>
      <c r="C1178" s="129" t="s">
        <v>149</v>
      </c>
      <c r="D1178" s="83">
        <v>7820</v>
      </c>
      <c r="E1178" s="103">
        <v>839901.56177000003</v>
      </c>
      <c r="F1178" s="129" t="s">
        <v>148</v>
      </c>
    </row>
    <row r="1179" spans="1:6" ht="16" thickBot="1" x14ac:dyDescent="0.25">
      <c r="A1179" s="83">
        <v>3</v>
      </c>
      <c r="B1179" s="129" t="s">
        <v>233</v>
      </c>
      <c r="C1179" s="129" t="s">
        <v>149</v>
      </c>
      <c r="D1179" s="83">
        <v>4416</v>
      </c>
      <c r="E1179" s="103">
        <v>4584043.1380000003</v>
      </c>
      <c r="F1179" s="129" t="s">
        <v>256</v>
      </c>
    </row>
    <row r="1180" spans="1:6" ht="16" thickBot="1" x14ac:dyDescent="0.25">
      <c r="A1180" s="83">
        <v>3</v>
      </c>
      <c r="B1180" s="129" t="s">
        <v>233</v>
      </c>
      <c r="C1180" s="129" t="s">
        <v>149</v>
      </c>
      <c r="D1180" s="83">
        <v>1397</v>
      </c>
      <c r="E1180" s="103">
        <v>237241.22380000001</v>
      </c>
      <c r="F1180" s="129" t="s">
        <v>148</v>
      </c>
    </row>
    <row r="1181" spans="1:6" ht="16" thickBot="1" x14ac:dyDescent="0.25">
      <c r="A1181" s="83">
        <v>3</v>
      </c>
      <c r="B1181" s="129" t="s">
        <v>234</v>
      </c>
      <c r="C1181" s="129" t="s">
        <v>149</v>
      </c>
      <c r="D1181" s="83">
        <v>19092</v>
      </c>
      <c r="E1181" s="103">
        <v>16777152.538000001</v>
      </c>
      <c r="F1181" s="129" t="s">
        <v>256</v>
      </c>
    </row>
    <row r="1182" spans="1:6" ht="16" thickBot="1" x14ac:dyDescent="0.25">
      <c r="A1182" s="83">
        <v>3</v>
      </c>
      <c r="B1182" s="129" t="s">
        <v>234</v>
      </c>
      <c r="C1182" s="129" t="s">
        <v>149</v>
      </c>
      <c r="D1182" s="83">
        <v>15661</v>
      </c>
      <c r="E1182" s="103">
        <v>1255170.16074</v>
      </c>
      <c r="F1182" s="129" t="s">
        <v>148</v>
      </c>
    </row>
    <row r="1183" spans="1:6" ht="16" thickBot="1" x14ac:dyDescent="0.25">
      <c r="A1183" s="83">
        <v>3</v>
      </c>
      <c r="B1183" s="129" t="s">
        <v>235</v>
      </c>
      <c r="C1183" s="129" t="s">
        <v>149</v>
      </c>
      <c r="D1183" s="83">
        <v>8121</v>
      </c>
      <c r="E1183" s="103">
        <v>8039818.5539999995</v>
      </c>
      <c r="F1183" s="129" t="s">
        <v>256</v>
      </c>
    </row>
    <row r="1184" spans="1:6" ht="16" thickBot="1" x14ac:dyDescent="0.25">
      <c r="A1184" s="83">
        <v>3</v>
      </c>
      <c r="B1184" s="129" t="s">
        <v>235</v>
      </c>
      <c r="C1184" s="129" t="s">
        <v>149</v>
      </c>
      <c r="D1184" s="83">
        <v>10687</v>
      </c>
      <c r="E1184" s="103">
        <v>899552.19588999997</v>
      </c>
      <c r="F1184" s="129" t="s">
        <v>148</v>
      </c>
    </row>
    <row r="1185" spans="1:6" ht="16" thickBot="1" x14ac:dyDescent="0.25">
      <c r="A1185" s="83">
        <v>3</v>
      </c>
      <c r="B1185" s="129" t="s">
        <v>236</v>
      </c>
      <c r="C1185" s="129" t="s">
        <v>149</v>
      </c>
      <c r="D1185" s="83">
        <v>13641</v>
      </c>
      <c r="E1185" s="103">
        <v>13126499.805</v>
      </c>
      <c r="F1185" s="129" t="s">
        <v>256</v>
      </c>
    </row>
    <row r="1186" spans="1:6" ht="16" thickBot="1" x14ac:dyDescent="0.25">
      <c r="A1186" s="83">
        <v>3</v>
      </c>
      <c r="B1186" s="129" t="s">
        <v>236</v>
      </c>
      <c r="C1186" s="129" t="s">
        <v>149</v>
      </c>
      <c r="D1186" s="83">
        <v>9358</v>
      </c>
      <c r="E1186" s="103">
        <v>716185.96351000003</v>
      </c>
      <c r="F1186" s="129" t="s">
        <v>148</v>
      </c>
    </row>
    <row r="1187" spans="1:6" ht="16" thickBot="1" x14ac:dyDescent="0.25">
      <c r="A1187" s="83">
        <v>3</v>
      </c>
      <c r="B1187" s="129" t="s">
        <v>237</v>
      </c>
      <c r="C1187" s="129" t="s">
        <v>149</v>
      </c>
      <c r="D1187" s="83">
        <v>25316</v>
      </c>
      <c r="E1187" s="103">
        <v>23598067.204999998</v>
      </c>
      <c r="F1187" s="129" t="s">
        <v>256</v>
      </c>
    </row>
    <row r="1188" spans="1:6" ht="16" thickBot="1" x14ac:dyDescent="0.25">
      <c r="A1188" s="83">
        <v>3</v>
      </c>
      <c r="B1188" s="129" t="s">
        <v>237</v>
      </c>
      <c r="C1188" s="129" t="s">
        <v>149</v>
      </c>
      <c r="D1188" s="83">
        <v>17532</v>
      </c>
      <c r="E1188" s="103">
        <v>1680180.3944999999</v>
      </c>
      <c r="F1188" s="129" t="s">
        <v>148</v>
      </c>
    </row>
    <row r="1189" spans="1:6" ht="16" thickBot="1" x14ac:dyDescent="0.25">
      <c r="A1189" s="83">
        <v>3</v>
      </c>
      <c r="B1189" s="129" t="s">
        <v>238</v>
      </c>
      <c r="C1189" s="129" t="s">
        <v>149</v>
      </c>
      <c r="D1189" s="83">
        <v>10134</v>
      </c>
      <c r="E1189" s="103">
        <v>9630899.9399999995</v>
      </c>
      <c r="F1189" s="129" t="s">
        <v>256</v>
      </c>
    </row>
    <row r="1190" spans="1:6" ht="16" thickBot="1" x14ac:dyDescent="0.25">
      <c r="A1190" s="83">
        <v>3</v>
      </c>
      <c r="B1190" s="129" t="s">
        <v>238</v>
      </c>
      <c r="C1190" s="129" t="s">
        <v>149</v>
      </c>
      <c r="D1190" s="83">
        <v>6828</v>
      </c>
      <c r="E1190" s="103">
        <v>538941.74347999995</v>
      </c>
      <c r="F1190" s="129" t="s">
        <v>148</v>
      </c>
    </row>
    <row r="1191" spans="1:6" ht="16" thickBot="1" x14ac:dyDescent="0.25">
      <c r="A1191" s="83">
        <v>3</v>
      </c>
      <c r="B1191" s="129" t="s">
        <v>239</v>
      </c>
      <c r="C1191" s="129" t="s">
        <v>149</v>
      </c>
      <c r="D1191" s="83">
        <v>6333</v>
      </c>
      <c r="E1191" s="103">
        <v>5893416.3320000004</v>
      </c>
      <c r="F1191" s="129" t="s">
        <v>256</v>
      </c>
    </row>
    <row r="1192" spans="1:6" ht="16" thickBot="1" x14ac:dyDescent="0.25">
      <c r="A1192" s="83">
        <v>3</v>
      </c>
      <c r="B1192" s="129" t="s">
        <v>239</v>
      </c>
      <c r="C1192" s="129" t="s">
        <v>149</v>
      </c>
      <c r="D1192" s="83">
        <v>5872</v>
      </c>
      <c r="E1192" s="103">
        <v>425750.95000999997</v>
      </c>
      <c r="F1192" s="129" t="s">
        <v>148</v>
      </c>
    </row>
    <row r="1193" spans="1:6" ht="16" thickBot="1" x14ac:dyDescent="0.25">
      <c r="A1193" s="83">
        <v>3</v>
      </c>
      <c r="B1193" s="129" t="s">
        <v>240</v>
      </c>
      <c r="C1193" s="129" t="s">
        <v>149</v>
      </c>
      <c r="D1193" s="83">
        <v>6786</v>
      </c>
      <c r="E1193" s="103">
        <v>6401725.3260000004</v>
      </c>
      <c r="F1193" s="129" t="s">
        <v>256</v>
      </c>
    </row>
    <row r="1194" spans="1:6" ht="16" thickBot="1" x14ac:dyDescent="0.25">
      <c r="A1194" s="83">
        <v>3</v>
      </c>
      <c r="B1194" s="129" t="s">
        <v>240</v>
      </c>
      <c r="C1194" s="129" t="s">
        <v>149</v>
      </c>
      <c r="D1194" s="83">
        <v>4765</v>
      </c>
      <c r="E1194" s="103">
        <v>404660.98784999998</v>
      </c>
      <c r="F1194" s="129" t="s">
        <v>148</v>
      </c>
    </row>
    <row r="1195" spans="1:6" ht="16" thickBot="1" x14ac:dyDescent="0.25">
      <c r="A1195" s="83">
        <v>3</v>
      </c>
      <c r="B1195" s="129" t="s">
        <v>241</v>
      </c>
      <c r="C1195" s="129" t="s">
        <v>149</v>
      </c>
      <c r="D1195" s="83">
        <v>6596</v>
      </c>
      <c r="E1195" s="103">
        <v>6180424.7790000001</v>
      </c>
      <c r="F1195" s="129" t="s">
        <v>256</v>
      </c>
    </row>
    <row r="1196" spans="1:6" ht="16" thickBot="1" x14ac:dyDescent="0.25">
      <c r="A1196" s="83">
        <v>3</v>
      </c>
      <c r="B1196" s="129" t="s">
        <v>241</v>
      </c>
      <c r="C1196" s="129" t="s">
        <v>149</v>
      </c>
      <c r="D1196" s="83">
        <v>4077</v>
      </c>
      <c r="E1196" s="103">
        <v>442485.63107</v>
      </c>
      <c r="F1196" s="129" t="s">
        <v>148</v>
      </c>
    </row>
    <row r="1197" spans="1:6" ht="16" thickBot="1" x14ac:dyDescent="0.25">
      <c r="A1197" s="83">
        <v>3</v>
      </c>
      <c r="B1197" s="129" t="s">
        <v>244</v>
      </c>
      <c r="C1197" s="129" t="s">
        <v>149</v>
      </c>
      <c r="D1197" s="83">
        <v>14195</v>
      </c>
      <c r="E1197" s="103">
        <v>13641056.778999999</v>
      </c>
      <c r="F1197" s="129" t="s">
        <v>256</v>
      </c>
    </row>
    <row r="1198" spans="1:6" ht="16" thickBot="1" x14ac:dyDescent="0.25">
      <c r="A1198" s="83">
        <v>3</v>
      </c>
      <c r="B1198" s="129" t="s">
        <v>244</v>
      </c>
      <c r="C1198" s="129" t="s">
        <v>149</v>
      </c>
      <c r="D1198" s="83">
        <v>9564</v>
      </c>
      <c r="E1198" s="103">
        <v>983963.86404000001</v>
      </c>
      <c r="F1198" s="129" t="s">
        <v>148</v>
      </c>
    </row>
    <row r="1199" spans="1:6" ht="16" thickBot="1" x14ac:dyDescent="0.25">
      <c r="A1199" s="83">
        <v>3</v>
      </c>
      <c r="B1199" s="129" t="s">
        <v>245</v>
      </c>
      <c r="C1199" s="129" t="s">
        <v>149</v>
      </c>
      <c r="D1199" s="83">
        <v>8307</v>
      </c>
      <c r="E1199" s="103">
        <v>9650226.7420000006</v>
      </c>
      <c r="F1199" s="129" t="s">
        <v>256</v>
      </c>
    </row>
    <row r="1200" spans="1:6" ht="16" thickBot="1" x14ac:dyDescent="0.25">
      <c r="A1200" s="83">
        <v>3</v>
      </c>
      <c r="B1200" s="129" t="s">
        <v>245</v>
      </c>
      <c r="C1200" s="129" t="s">
        <v>149</v>
      </c>
      <c r="D1200" s="83">
        <v>4886</v>
      </c>
      <c r="E1200" s="103">
        <v>498391.18929000001</v>
      </c>
      <c r="F1200" s="129" t="s">
        <v>148</v>
      </c>
    </row>
    <row r="1201" spans="1:6" ht="16" thickBot="1" x14ac:dyDescent="0.25">
      <c r="A1201" s="83">
        <v>3</v>
      </c>
      <c r="B1201" s="129" t="s">
        <v>247</v>
      </c>
      <c r="C1201" s="129" t="s">
        <v>149</v>
      </c>
      <c r="D1201" s="83">
        <v>229</v>
      </c>
      <c r="E1201" s="103">
        <v>11748.676659999999</v>
      </c>
      <c r="F1201" s="129" t="s">
        <v>148</v>
      </c>
    </row>
    <row r="1202" spans="1:6" ht="16" thickBot="1" x14ac:dyDescent="0.25">
      <c r="A1202" s="83">
        <v>3</v>
      </c>
      <c r="B1202" s="129" t="s">
        <v>248</v>
      </c>
      <c r="C1202" s="129" t="s">
        <v>149</v>
      </c>
      <c r="D1202" s="83">
        <v>8</v>
      </c>
      <c r="E1202" s="103">
        <v>9571.4969999999994</v>
      </c>
      <c r="F1202" s="129" t="s">
        <v>256</v>
      </c>
    </row>
    <row r="1203" spans="1:6" ht="16" thickBot="1" x14ac:dyDescent="0.25">
      <c r="A1203" s="83">
        <v>3</v>
      </c>
      <c r="B1203" s="129" t="s">
        <v>249</v>
      </c>
      <c r="C1203" s="129" t="s">
        <v>149</v>
      </c>
      <c r="D1203" s="83">
        <v>310</v>
      </c>
      <c r="E1203" s="103">
        <v>365982.77100000001</v>
      </c>
      <c r="F1203" s="129" t="s">
        <v>256</v>
      </c>
    </row>
    <row r="1204" spans="1:6" ht="16" thickBot="1" x14ac:dyDescent="0.25">
      <c r="A1204" s="83">
        <v>3</v>
      </c>
      <c r="B1204" s="129" t="s">
        <v>249</v>
      </c>
      <c r="C1204" s="129" t="s">
        <v>149</v>
      </c>
      <c r="D1204" s="83">
        <v>143</v>
      </c>
      <c r="E1204" s="103">
        <v>9291.3345300000001</v>
      </c>
      <c r="F1204" s="129" t="s">
        <v>148</v>
      </c>
    </row>
    <row r="1205" spans="1:6" ht="16" thickBot="1" x14ac:dyDescent="0.25">
      <c r="A1205" s="83">
        <v>3</v>
      </c>
      <c r="B1205" s="129" t="s">
        <v>250</v>
      </c>
      <c r="C1205" s="129" t="s">
        <v>149</v>
      </c>
      <c r="D1205" s="83">
        <v>4009</v>
      </c>
      <c r="E1205" s="103">
        <v>6316507.2740000002</v>
      </c>
      <c r="F1205" s="129" t="s">
        <v>256</v>
      </c>
    </row>
    <row r="1206" spans="1:6" ht="16" thickBot="1" x14ac:dyDescent="0.25">
      <c r="A1206" s="83">
        <v>3</v>
      </c>
      <c r="B1206" s="129" t="s">
        <v>251</v>
      </c>
      <c r="C1206" s="129" t="s">
        <v>149</v>
      </c>
      <c r="D1206" s="83">
        <v>162</v>
      </c>
      <c r="E1206" s="103">
        <v>214379.85399999999</v>
      </c>
      <c r="F1206" s="129" t="s">
        <v>256</v>
      </c>
    </row>
    <row r="1207" spans="1:6" ht="16" thickBot="1" x14ac:dyDescent="0.25">
      <c r="A1207" s="83">
        <v>3</v>
      </c>
      <c r="B1207" s="129" t="s">
        <v>252</v>
      </c>
      <c r="C1207" s="129" t="s">
        <v>149</v>
      </c>
      <c r="D1207" s="83">
        <v>675</v>
      </c>
      <c r="E1207" s="103">
        <v>718016.50899999996</v>
      </c>
      <c r="F1207" s="129" t="s">
        <v>256</v>
      </c>
    </row>
    <row r="1208" spans="1:6" ht="16" thickBot="1" x14ac:dyDescent="0.25">
      <c r="A1208" s="83">
        <v>3</v>
      </c>
      <c r="B1208" s="129" t="s">
        <v>252</v>
      </c>
      <c r="C1208" s="129" t="s">
        <v>149</v>
      </c>
      <c r="D1208" s="83">
        <v>423</v>
      </c>
      <c r="E1208" s="103">
        <v>33292.80096</v>
      </c>
      <c r="F1208" s="129" t="s">
        <v>148</v>
      </c>
    </row>
    <row r="1209" spans="1:6" ht="16" thickBot="1" x14ac:dyDescent="0.25">
      <c r="A1209" s="83">
        <v>3</v>
      </c>
      <c r="B1209" s="129" t="s">
        <v>253</v>
      </c>
      <c r="C1209" s="129" t="s">
        <v>149</v>
      </c>
      <c r="D1209" s="83">
        <v>9512</v>
      </c>
      <c r="E1209" s="103">
        <v>8909572.3239999991</v>
      </c>
      <c r="F1209" s="129" t="s">
        <v>256</v>
      </c>
    </row>
    <row r="1210" spans="1:6" ht="16" thickBot="1" x14ac:dyDescent="0.25">
      <c r="A1210" s="83">
        <v>3</v>
      </c>
      <c r="B1210" s="129" t="s">
        <v>253</v>
      </c>
      <c r="C1210" s="129" t="s">
        <v>149</v>
      </c>
      <c r="D1210" s="83">
        <v>6736</v>
      </c>
      <c r="E1210" s="103">
        <v>531682.63847999997</v>
      </c>
      <c r="F1210" s="129" t="s">
        <v>148</v>
      </c>
    </row>
    <row r="1211" spans="1:6" ht="16" thickBot="1" x14ac:dyDescent="0.25">
      <c r="A1211" s="126">
        <v>4</v>
      </c>
      <c r="B1211" s="127" t="s">
        <v>146</v>
      </c>
      <c r="C1211" s="127" t="s">
        <v>147</v>
      </c>
      <c r="D1211" s="126">
        <v>151</v>
      </c>
      <c r="E1211" s="128">
        <v>53946.827219999999</v>
      </c>
      <c r="F1211" s="127" t="s">
        <v>148</v>
      </c>
    </row>
    <row r="1212" spans="1:6" ht="16" thickBot="1" x14ac:dyDescent="0.25">
      <c r="A1212" s="83">
        <v>4</v>
      </c>
      <c r="B1212" s="129" t="s">
        <v>150</v>
      </c>
      <c r="C1212" s="129" t="s">
        <v>147</v>
      </c>
      <c r="D1212" s="83">
        <v>95</v>
      </c>
      <c r="E1212" s="103">
        <v>36718.713880000003</v>
      </c>
      <c r="F1212" s="129" t="s">
        <v>148</v>
      </c>
    </row>
    <row r="1213" spans="1:6" ht="16" thickBot="1" x14ac:dyDescent="0.25">
      <c r="A1213" s="83">
        <v>4</v>
      </c>
      <c r="B1213" s="129" t="s">
        <v>151</v>
      </c>
      <c r="C1213" s="129" t="s">
        <v>147</v>
      </c>
      <c r="D1213" s="83">
        <v>11</v>
      </c>
      <c r="E1213" s="103">
        <v>3710.3890000000001</v>
      </c>
      <c r="F1213" s="129" t="s">
        <v>256</v>
      </c>
    </row>
    <row r="1214" spans="1:6" ht="16" thickBot="1" x14ac:dyDescent="0.25">
      <c r="A1214" s="83">
        <v>4</v>
      </c>
      <c r="B1214" s="129" t="s">
        <v>151</v>
      </c>
      <c r="C1214" s="129" t="s">
        <v>147</v>
      </c>
      <c r="D1214" s="83">
        <v>47</v>
      </c>
      <c r="E1214" s="103">
        <v>18165.77462</v>
      </c>
      <c r="F1214" s="129" t="s">
        <v>148</v>
      </c>
    </row>
    <row r="1215" spans="1:6" ht="16" thickBot="1" x14ac:dyDescent="0.25">
      <c r="A1215" s="83">
        <v>4</v>
      </c>
      <c r="B1215" s="129" t="s">
        <v>153</v>
      </c>
      <c r="C1215" s="129" t="s">
        <v>147</v>
      </c>
      <c r="D1215" s="83">
        <v>219</v>
      </c>
      <c r="E1215" s="103">
        <v>2457931.7850000001</v>
      </c>
      <c r="F1215" s="129" t="s">
        <v>256</v>
      </c>
    </row>
    <row r="1216" spans="1:6" ht="16" thickBot="1" x14ac:dyDescent="0.25">
      <c r="A1216" s="83">
        <v>4</v>
      </c>
      <c r="B1216" s="129" t="s">
        <v>153</v>
      </c>
      <c r="C1216" s="129" t="s">
        <v>147</v>
      </c>
      <c r="D1216" s="83">
        <v>257</v>
      </c>
      <c r="E1216" s="103">
        <v>537262.64165999996</v>
      </c>
      <c r="F1216" s="129" t="s">
        <v>148</v>
      </c>
    </row>
    <row r="1217" spans="1:6" ht="16" thickBot="1" x14ac:dyDescent="0.25">
      <c r="A1217" s="83">
        <v>4</v>
      </c>
      <c r="B1217" s="129" t="s">
        <v>154</v>
      </c>
      <c r="C1217" s="129" t="s">
        <v>147</v>
      </c>
      <c r="D1217" s="83">
        <v>79</v>
      </c>
      <c r="E1217" s="103">
        <v>184946.73800000001</v>
      </c>
      <c r="F1217" s="129" t="s">
        <v>256</v>
      </c>
    </row>
    <row r="1218" spans="1:6" ht="16" thickBot="1" x14ac:dyDescent="0.25">
      <c r="A1218" s="83">
        <v>4</v>
      </c>
      <c r="B1218" s="129" t="s">
        <v>154</v>
      </c>
      <c r="C1218" s="129" t="s">
        <v>147</v>
      </c>
      <c r="D1218" s="83">
        <v>21</v>
      </c>
      <c r="E1218" s="103">
        <v>18990.941050000001</v>
      </c>
      <c r="F1218" s="129" t="s">
        <v>148</v>
      </c>
    </row>
    <row r="1219" spans="1:6" ht="16" thickBot="1" x14ac:dyDescent="0.25">
      <c r="A1219" s="83">
        <v>4</v>
      </c>
      <c r="B1219" s="129" t="s">
        <v>155</v>
      </c>
      <c r="C1219" s="129" t="s">
        <v>147</v>
      </c>
      <c r="D1219" s="83">
        <v>24</v>
      </c>
      <c r="E1219" s="103">
        <v>17564.511999999999</v>
      </c>
      <c r="F1219" s="129" t="s">
        <v>256</v>
      </c>
    </row>
    <row r="1220" spans="1:6" ht="16" thickBot="1" x14ac:dyDescent="0.25">
      <c r="A1220" s="83">
        <v>4</v>
      </c>
      <c r="B1220" s="129" t="s">
        <v>155</v>
      </c>
      <c r="C1220" s="129" t="s">
        <v>147</v>
      </c>
      <c r="D1220" s="83">
        <v>206</v>
      </c>
      <c r="E1220" s="103">
        <v>496853.87974</v>
      </c>
      <c r="F1220" s="129" t="s">
        <v>148</v>
      </c>
    </row>
    <row r="1221" spans="1:6" ht="16" thickBot="1" x14ac:dyDescent="0.25">
      <c r="A1221" s="83">
        <v>4</v>
      </c>
      <c r="B1221" s="129" t="s">
        <v>156</v>
      </c>
      <c r="C1221" s="129" t="s">
        <v>147</v>
      </c>
      <c r="D1221" s="83">
        <v>130</v>
      </c>
      <c r="E1221" s="103">
        <v>369161.04200000002</v>
      </c>
      <c r="F1221" s="129" t="s">
        <v>256</v>
      </c>
    </row>
    <row r="1222" spans="1:6" ht="16" thickBot="1" x14ac:dyDescent="0.25">
      <c r="A1222" s="83">
        <v>4</v>
      </c>
      <c r="B1222" s="129" t="s">
        <v>156</v>
      </c>
      <c r="C1222" s="129" t="s">
        <v>147</v>
      </c>
      <c r="D1222" s="83">
        <v>25</v>
      </c>
      <c r="E1222" s="103">
        <v>29417.672299999998</v>
      </c>
      <c r="F1222" s="129" t="s">
        <v>148</v>
      </c>
    </row>
    <row r="1223" spans="1:6" ht="16" thickBot="1" x14ac:dyDescent="0.25">
      <c r="A1223" s="83">
        <v>4</v>
      </c>
      <c r="B1223" s="129" t="s">
        <v>157</v>
      </c>
      <c r="C1223" s="129" t="s">
        <v>147</v>
      </c>
      <c r="D1223" s="83">
        <v>534</v>
      </c>
      <c r="E1223" s="103">
        <v>1445919.602</v>
      </c>
      <c r="F1223" s="129" t="s">
        <v>256</v>
      </c>
    </row>
    <row r="1224" spans="1:6" ht="16" thickBot="1" x14ac:dyDescent="0.25">
      <c r="A1224" s="83">
        <v>4</v>
      </c>
      <c r="B1224" s="129" t="s">
        <v>157</v>
      </c>
      <c r="C1224" s="129" t="s">
        <v>147</v>
      </c>
      <c r="D1224" s="83">
        <v>263</v>
      </c>
      <c r="E1224" s="103">
        <v>81223.942089999997</v>
      </c>
      <c r="F1224" s="129" t="s">
        <v>148</v>
      </c>
    </row>
    <row r="1225" spans="1:6" ht="16" thickBot="1" x14ac:dyDescent="0.25">
      <c r="A1225" s="83">
        <v>4</v>
      </c>
      <c r="B1225" s="129" t="s">
        <v>158</v>
      </c>
      <c r="C1225" s="129" t="s">
        <v>147</v>
      </c>
      <c r="D1225" s="83">
        <v>50</v>
      </c>
      <c r="E1225" s="103">
        <v>45781.67</v>
      </c>
      <c r="F1225" s="129" t="s">
        <v>256</v>
      </c>
    </row>
    <row r="1226" spans="1:6" ht="16" thickBot="1" x14ac:dyDescent="0.25">
      <c r="A1226" s="83">
        <v>4</v>
      </c>
      <c r="B1226" s="129" t="s">
        <v>159</v>
      </c>
      <c r="C1226" s="129" t="s">
        <v>147</v>
      </c>
      <c r="D1226" s="83">
        <v>60</v>
      </c>
      <c r="E1226" s="103">
        <v>109277.788</v>
      </c>
      <c r="F1226" s="129" t="s">
        <v>256</v>
      </c>
    </row>
    <row r="1227" spans="1:6" ht="16" thickBot="1" x14ac:dyDescent="0.25">
      <c r="A1227" s="83">
        <v>4</v>
      </c>
      <c r="B1227" s="129" t="s">
        <v>160</v>
      </c>
      <c r="C1227" s="129" t="s">
        <v>147</v>
      </c>
      <c r="D1227" s="83">
        <v>9</v>
      </c>
      <c r="E1227" s="103">
        <v>10543.148999999999</v>
      </c>
      <c r="F1227" s="129" t="s">
        <v>256</v>
      </c>
    </row>
    <row r="1228" spans="1:6" ht="16" thickBot="1" x14ac:dyDescent="0.25">
      <c r="A1228" s="83">
        <v>4</v>
      </c>
      <c r="B1228" s="129" t="s">
        <v>160</v>
      </c>
      <c r="C1228" s="129" t="s">
        <v>147</v>
      </c>
      <c r="D1228" s="83">
        <v>30</v>
      </c>
      <c r="E1228" s="103">
        <v>285144.87910000002</v>
      </c>
      <c r="F1228" s="129" t="s">
        <v>148</v>
      </c>
    </row>
    <row r="1229" spans="1:6" ht="16" thickBot="1" x14ac:dyDescent="0.25">
      <c r="A1229" s="83">
        <v>4</v>
      </c>
      <c r="B1229" s="129" t="s">
        <v>161</v>
      </c>
      <c r="C1229" s="129" t="s">
        <v>147</v>
      </c>
      <c r="D1229" s="83">
        <v>68</v>
      </c>
      <c r="E1229" s="103">
        <v>213844.84299999999</v>
      </c>
      <c r="F1229" s="129" t="s">
        <v>256</v>
      </c>
    </row>
    <row r="1230" spans="1:6" ht="16" thickBot="1" x14ac:dyDescent="0.25">
      <c r="A1230" s="83">
        <v>4</v>
      </c>
      <c r="B1230" s="129" t="s">
        <v>162</v>
      </c>
      <c r="C1230" s="129" t="s">
        <v>147</v>
      </c>
      <c r="D1230" s="83">
        <v>74</v>
      </c>
      <c r="E1230" s="103">
        <v>719567.76</v>
      </c>
      <c r="F1230" s="129" t="s">
        <v>256</v>
      </c>
    </row>
    <row r="1231" spans="1:6" ht="16" thickBot="1" x14ac:dyDescent="0.25">
      <c r="A1231" s="83">
        <v>4</v>
      </c>
      <c r="B1231" s="129" t="s">
        <v>163</v>
      </c>
      <c r="C1231" s="129" t="s">
        <v>147</v>
      </c>
      <c r="D1231" s="83">
        <v>15</v>
      </c>
      <c r="E1231" s="103">
        <v>31210.42</v>
      </c>
      <c r="F1231" s="129" t="s">
        <v>256</v>
      </c>
    </row>
    <row r="1232" spans="1:6" ht="16" thickBot="1" x14ac:dyDescent="0.25">
      <c r="A1232" s="83">
        <v>4</v>
      </c>
      <c r="B1232" s="129" t="s">
        <v>163</v>
      </c>
      <c r="C1232" s="129" t="s">
        <v>147</v>
      </c>
      <c r="D1232" s="83">
        <v>1</v>
      </c>
      <c r="E1232" s="103">
        <v>207.714</v>
      </c>
      <c r="F1232" s="129" t="s">
        <v>148</v>
      </c>
    </row>
    <row r="1233" spans="1:6" ht="16" thickBot="1" x14ac:dyDescent="0.25">
      <c r="A1233" s="83">
        <v>4</v>
      </c>
      <c r="B1233" s="129" t="s">
        <v>164</v>
      </c>
      <c r="C1233" s="129" t="s">
        <v>147</v>
      </c>
      <c r="D1233" s="83">
        <v>402</v>
      </c>
      <c r="E1233" s="103">
        <v>1388614.048</v>
      </c>
      <c r="F1233" s="129" t="s">
        <v>256</v>
      </c>
    </row>
    <row r="1234" spans="1:6" ht="16" thickBot="1" x14ac:dyDescent="0.25">
      <c r="A1234" s="83">
        <v>4</v>
      </c>
      <c r="B1234" s="129" t="s">
        <v>164</v>
      </c>
      <c r="C1234" s="129" t="s">
        <v>147</v>
      </c>
      <c r="D1234" s="83">
        <v>138</v>
      </c>
      <c r="E1234" s="103">
        <v>56366.218180000003</v>
      </c>
      <c r="F1234" s="129" t="s">
        <v>148</v>
      </c>
    </row>
    <row r="1235" spans="1:6" ht="16" thickBot="1" x14ac:dyDescent="0.25">
      <c r="A1235" s="83">
        <v>4</v>
      </c>
      <c r="B1235" s="129" t="s">
        <v>165</v>
      </c>
      <c r="C1235" s="129" t="s">
        <v>147</v>
      </c>
      <c r="D1235" s="83">
        <v>24</v>
      </c>
      <c r="E1235" s="103">
        <v>19320.762999999999</v>
      </c>
      <c r="F1235" s="129" t="s">
        <v>256</v>
      </c>
    </row>
    <row r="1236" spans="1:6" ht="16" thickBot="1" x14ac:dyDescent="0.25">
      <c r="A1236" s="83">
        <v>4</v>
      </c>
      <c r="B1236" s="129" t="s">
        <v>166</v>
      </c>
      <c r="C1236" s="129" t="s">
        <v>147</v>
      </c>
      <c r="D1236" s="83">
        <v>613</v>
      </c>
      <c r="E1236" s="103">
        <v>10901733.461999999</v>
      </c>
      <c r="F1236" s="129" t="s">
        <v>256</v>
      </c>
    </row>
    <row r="1237" spans="1:6" ht="16" thickBot="1" x14ac:dyDescent="0.25">
      <c r="A1237" s="83">
        <v>4</v>
      </c>
      <c r="B1237" s="129" t="s">
        <v>166</v>
      </c>
      <c r="C1237" s="129" t="s">
        <v>147</v>
      </c>
      <c r="D1237" s="83">
        <v>299</v>
      </c>
      <c r="E1237" s="103">
        <v>181774.51574</v>
      </c>
      <c r="F1237" s="129" t="s">
        <v>148</v>
      </c>
    </row>
    <row r="1238" spans="1:6" ht="16" thickBot="1" x14ac:dyDescent="0.25">
      <c r="A1238" s="83">
        <v>4</v>
      </c>
      <c r="B1238" s="129" t="s">
        <v>167</v>
      </c>
      <c r="C1238" s="129" t="s">
        <v>147</v>
      </c>
      <c r="D1238" s="83">
        <v>15</v>
      </c>
      <c r="E1238" s="103">
        <v>17668.113000000001</v>
      </c>
      <c r="F1238" s="129" t="s">
        <v>256</v>
      </c>
    </row>
    <row r="1239" spans="1:6" ht="16" thickBot="1" x14ac:dyDescent="0.25">
      <c r="A1239" s="83">
        <v>4</v>
      </c>
      <c r="B1239" s="129" t="s">
        <v>168</v>
      </c>
      <c r="C1239" s="129" t="s">
        <v>147</v>
      </c>
      <c r="D1239" s="83">
        <v>212</v>
      </c>
      <c r="E1239" s="103">
        <v>987994.62</v>
      </c>
      <c r="F1239" s="129" t="s">
        <v>256</v>
      </c>
    </row>
    <row r="1240" spans="1:6" ht="16" thickBot="1" x14ac:dyDescent="0.25">
      <c r="A1240" s="83">
        <v>4</v>
      </c>
      <c r="B1240" s="129" t="s">
        <v>168</v>
      </c>
      <c r="C1240" s="129" t="s">
        <v>147</v>
      </c>
      <c r="D1240" s="83">
        <v>113</v>
      </c>
      <c r="E1240" s="103">
        <v>36345.21789</v>
      </c>
      <c r="F1240" s="129" t="s">
        <v>148</v>
      </c>
    </row>
    <row r="1241" spans="1:6" ht="16" thickBot="1" x14ac:dyDescent="0.25">
      <c r="A1241" s="83">
        <v>4</v>
      </c>
      <c r="B1241" s="129" t="s">
        <v>169</v>
      </c>
      <c r="C1241" s="129" t="s">
        <v>147</v>
      </c>
      <c r="D1241" s="83">
        <v>235</v>
      </c>
      <c r="E1241" s="103">
        <v>1730295.922</v>
      </c>
      <c r="F1241" s="129" t="s">
        <v>256</v>
      </c>
    </row>
    <row r="1242" spans="1:6" ht="16" thickBot="1" x14ac:dyDescent="0.25">
      <c r="A1242" s="83">
        <v>4</v>
      </c>
      <c r="B1242" s="129" t="s">
        <v>169</v>
      </c>
      <c r="C1242" s="129" t="s">
        <v>147</v>
      </c>
      <c r="D1242" s="83">
        <v>102</v>
      </c>
      <c r="E1242" s="103">
        <v>229448.10863999999</v>
      </c>
      <c r="F1242" s="129" t="s">
        <v>148</v>
      </c>
    </row>
    <row r="1243" spans="1:6" ht="16" thickBot="1" x14ac:dyDescent="0.25">
      <c r="A1243" s="83">
        <v>4</v>
      </c>
      <c r="B1243" s="129" t="s">
        <v>170</v>
      </c>
      <c r="C1243" s="129" t="s">
        <v>147</v>
      </c>
      <c r="D1243" s="83">
        <v>6</v>
      </c>
      <c r="E1243" s="103">
        <v>31543.753000000001</v>
      </c>
      <c r="F1243" s="129" t="s">
        <v>256</v>
      </c>
    </row>
    <row r="1244" spans="1:6" ht="16" thickBot="1" x14ac:dyDescent="0.25">
      <c r="A1244" s="83">
        <v>4</v>
      </c>
      <c r="B1244" s="129" t="s">
        <v>171</v>
      </c>
      <c r="C1244" s="129" t="s">
        <v>147</v>
      </c>
      <c r="D1244" s="83">
        <v>65</v>
      </c>
      <c r="E1244" s="103">
        <v>408107.81800000003</v>
      </c>
      <c r="F1244" s="129" t="s">
        <v>256</v>
      </c>
    </row>
    <row r="1245" spans="1:6" ht="16" thickBot="1" x14ac:dyDescent="0.25">
      <c r="A1245" s="83">
        <v>4</v>
      </c>
      <c r="B1245" s="129" t="s">
        <v>171</v>
      </c>
      <c r="C1245" s="129" t="s">
        <v>147</v>
      </c>
      <c r="D1245" s="83">
        <v>24</v>
      </c>
      <c r="E1245" s="103">
        <v>22582.94904</v>
      </c>
      <c r="F1245" s="129" t="s">
        <v>148</v>
      </c>
    </row>
    <row r="1246" spans="1:6" ht="16" thickBot="1" x14ac:dyDescent="0.25">
      <c r="A1246" s="83">
        <v>4</v>
      </c>
      <c r="B1246" s="129" t="s">
        <v>172</v>
      </c>
      <c r="C1246" s="129" t="s">
        <v>147</v>
      </c>
      <c r="D1246" s="83">
        <v>68</v>
      </c>
      <c r="E1246" s="103">
        <v>161450.41200000001</v>
      </c>
      <c r="F1246" s="129" t="s">
        <v>256</v>
      </c>
    </row>
    <row r="1247" spans="1:6" ht="16" thickBot="1" x14ac:dyDescent="0.25">
      <c r="A1247" s="83">
        <v>4</v>
      </c>
      <c r="B1247" s="129" t="s">
        <v>172</v>
      </c>
      <c r="C1247" s="129" t="s">
        <v>147</v>
      </c>
      <c r="D1247" s="83">
        <v>35</v>
      </c>
      <c r="E1247" s="103">
        <v>15365.31905</v>
      </c>
      <c r="F1247" s="129" t="s">
        <v>148</v>
      </c>
    </row>
    <row r="1248" spans="1:6" ht="16" thickBot="1" x14ac:dyDescent="0.25">
      <c r="A1248" s="83">
        <v>4</v>
      </c>
      <c r="B1248" s="129" t="s">
        <v>173</v>
      </c>
      <c r="C1248" s="129" t="s">
        <v>147</v>
      </c>
      <c r="D1248" s="83">
        <v>217</v>
      </c>
      <c r="E1248" s="103">
        <v>902884.74899999995</v>
      </c>
      <c r="F1248" s="129" t="s">
        <v>256</v>
      </c>
    </row>
    <row r="1249" spans="1:6" ht="16" thickBot="1" x14ac:dyDescent="0.25">
      <c r="A1249" s="83">
        <v>4</v>
      </c>
      <c r="B1249" s="129" t="s">
        <v>173</v>
      </c>
      <c r="C1249" s="129" t="s">
        <v>147</v>
      </c>
      <c r="D1249" s="83">
        <v>88</v>
      </c>
      <c r="E1249" s="103">
        <v>1573439.6980900001</v>
      </c>
      <c r="F1249" s="129" t="s">
        <v>148</v>
      </c>
    </row>
    <row r="1250" spans="1:6" ht="16" thickBot="1" x14ac:dyDescent="0.25">
      <c r="A1250" s="83">
        <v>4</v>
      </c>
      <c r="B1250" s="129" t="s">
        <v>174</v>
      </c>
      <c r="C1250" s="129" t="s">
        <v>147</v>
      </c>
      <c r="D1250" s="83">
        <v>125</v>
      </c>
      <c r="E1250" s="103">
        <v>304035.75</v>
      </c>
      <c r="F1250" s="129" t="s">
        <v>256</v>
      </c>
    </row>
    <row r="1251" spans="1:6" ht="16" thickBot="1" x14ac:dyDescent="0.25">
      <c r="A1251" s="83">
        <v>4</v>
      </c>
      <c r="B1251" s="129" t="s">
        <v>174</v>
      </c>
      <c r="C1251" s="129" t="s">
        <v>147</v>
      </c>
      <c r="D1251" s="83">
        <v>32</v>
      </c>
      <c r="E1251" s="103">
        <v>10903.714959999999</v>
      </c>
      <c r="F1251" s="129" t="s">
        <v>148</v>
      </c>
    </row>
    <row r="1252" spans="1:6" ht="16" thickBot="1" x14ac:dyDescent="0.25">
      <c r="A1252" s="83">
        <v>4</v>
      </c>
      <c r="B1252" s="129" t="s">
        <v>175</v>
      </c>
      <c r="C1252" s="129" t="s">
        <v>147</v>
      </c>
      <c r="D1252" s="83">
        <v>50</v>
      </c>
      <c r="E1252" s="103">
        <v>102270.746</v>
      </c>
      <c r="F1252" s="129" t="s">
        <v>256</v>
      </c>
    </row>
    <row r="1253" spans="1:6" ht="16" thickBot="1" x14ac:dyDescent="0.25">
      <c r="A1253" s="83">
        <v>4</v>
      </c>
      <c r="B1253" s="129" t="s">
        <v>175</v>
      </c>
      <c r="C1253" s="129" t="s">
        <v>147</v>
      </c>
      <c r="D1253" s="83">
        <v>7</v>
      </c>
      <c r="E1253" s="103">
        <v>2961.2002900000002</v>
      </c>
      <c r="F1253" s="129" t="s">
        <v>148</v>
      </c>
    </row>
    <row r="1254" spans="1:6" ht="16" thickBot="1" x14ac:dyDescent="0.25">
      <c r="A1254" s="83">
        <v>4</v>
      </c>
      <c r="B1254" s="129" t="s">
        <v>176</v>
      </c>
      <c r="C1254" s="129" t="s">
        <v>147</v>
      </c>
      <c r="D1254" s="83">
        <v>49</v>
      </c>
      <c r="E1254" s="103">
        <v>319032.34299999999</v>
      </c>
      <c r="F1254" s="129" t="s">
        <v>256</v>
      </c>
    </row>
    <row r="1255" spans="1:6" ht="16" thickBot="1" x14ac:dyDescent="0.25">
      <c r="A1255" s="83">
        <v>4</v>
      </c>
      <c r="B1255" s="129" t="s">
        <v>176</v>
      </c>
      <c r="C1255" s="129" t="s">
        <v>147</v>
      </c>
      <c r="D1255" s="83">
        <v>40</v>
      </c>
      <c r="E1255" s="103">
        <v>27685.932529999998</v>
      </c>
      <c r="F1255" s="129" t="s">
        <v>148</v>
      </c>
    </row>
    <row r="1256" spans="1:6" ht="16" thickBot="1" x14ac:dyDescent="0.25">
      <c r="A1256" s="83">
        <v>4</v>
      </c>
      <c r="B1256" s="129" t="s">
        <v>177</v>
      </c>
      <c r="C1256" s="129" t="s">
        <v>147</v>
      </c>
      <c r="D1256" s="83">
        <v>116</v>
      </c>
      <c r="E1256" s="103">
        <v>160146.677</v>
      </c>
      <c r="F1256" s="129" t="s">
        <v>256</v>
      </c>
    </row>
    <row r="1257" spans="1:6" ht="16" thickBot="1" x14ac:dyDescent="0.25">
      <c r="A1257" s="83">
        <v>4</v>
      </c>
      <c r="B1257" s="129" t="s">
        <v>177</v>
      </c>
      <c r="C1257" s="129" t="s">
        <v>147</v>
      </c>
      <c r="D1257" s="83">
        <v>25</v>
      </c>
      <c r="E1257" s="103">
        <v>4184.76415</v>
      </c>
      <c r="F1257" s="129" t="s">
        <v>148</v>
      </c>
    </row>
    <row r="1258" spans="1:6" ht="16" thickBot="1" x14ac:dyDescent="0.25">
      <c r="A1258" s="83">
        <v>4</v>
      </c>
      <c r="B1258" s="129" t="s">
        <v>178</v>
      </c>
      <c r="C1258" s="129" t="s">
        <v>147</v>
      </c>
      <c r="D1258" s="83">
        <v>99</v>
      </c>
      <c r="E1258" s="103">
        <v>304638.80599999998</v>
      </c>
      <c r="F1258" s="129" t="s">
        <v>256</v>
      </c>
    </row>
    <row r="1259" spans="1:6" ht="16" thickBot="1" x14ac:dyDescent="0.25">
      <c r="A1259" s="83">
        <v>4</v>
      </c>
      <c r="B1259" s="129" t="s">
        <v>179</v>
      </c>
      <c r="C1259" s="129" t="s">
        <v>147</v>
      </c>
      <c r="D1259" s="83">
        <v>6</v>
      </c>
      <c r="E1259" s="103">
        <v>980.49699999999996</v>
      </c>
      <c r="F1259" s="129" t="s">
        <v>256</v>
      </c>
    </row>
    <row r="1260" spans="1:6" ht="16" thickBot="1" x14ac:dyDescent="0.25">
      <c r="A1260" s="83">
        <v>4</v>
      </c>
      <c r="B1260" s="129" t="s">
        <v>181</v>
      </c>
      <c r="C1260" s="129" t="s">
        <v>147</v>
      </c>
      <c r="D1260" s="83">
        <v>16</v>
      </c>
      <c r="E1260" s="103">
        <v>35322.949000000001</v>
      </c>
      <c r="F1260" s="129" t="s">
        <v>256</v>
      </c>
    </row>
    <row r="1261" spans="1:6" ht="16" thickBot="1" x14ac:dyDescent="0.25">
      <c r="A1261" s="83">
        <v>4</v>
      </c>
      <c r="B1261" s="129" t="s">
        <v>181</v>
      </c>
      <c r="C1261" s="129" t="s">
        <v>147</v>
      </c>
      <c r="D1261" s="83">
        <v>255</v>
      </c>
      <c r="E1261" s="103">
        <v>105076.82859999999</v>
      </c>
      <c r="F1261" s="129" t="s">
        <v>148</v>
      </c>
    </row>
    <row r="1262" spans="1:6" ht="16" thickBot="1" x14ac:dyDescent="0.25">
      <c r="A1262" s="83">
        <v>4</v>
      </c>
      <c r="B1262" s="129" t="s">
        <v>182</v>
      </c>
      <c r="C1262" s="129" t="s">
        <v>147</v>
      </c>
      <c r="D1262" s="83">
        <v>15</v>
      </c>
      <c r="E1262" s="103">
        <v>5009.5540000000001</v>
      </c>
      <c r="F1262" s="129" t="s">
        <v>256</v>
      </c>
    </row>
    <row r="1263" spans="1:6" ht="16" thickBot="1" x14ac:dyDescent="0.25">
      <c r="A1263" s="83">
        <v>4</v>
      </c>
      <c r="B1263" s="129" t="s">
        <v>183</v>
      </c>
      <c r="C1263" s="129" t="s">
        <v>147</v>
      </c>
      <c r="D1263" s="83">
        <v>118</v>
      </c>
      <c r="E1263" s="103">
        <v>614467.34299999999</v>
      </c>
      <c r="F1263" s="129" t="s">
        <v>256</v>
      </c>
    </row>
    <row r="1264" spans="1:6" ht="16" thickBot="1" x14ac:dyDescent="0.25">
      <c r="A1264" s="83">
        <v>4</v>
      </c>
      <c r="B1264" s="129" t="s">
        <v>184</v>
      </c>
      <c r="C1264" s="129" t="s">
        <v>147</v>
      </c>
      <c r="D1264" s="83">
        <v>47</v>
      </c>
      <c r="E1264" s="103">
        <v>87161.111000000004</v>
      </c>
      <c r="F1264" s="129" t="s">
        <v>256</v>
      </c>
    </row>
    <row r="1265" spans="1:6" ht="16" thickBot="1" x14ac:dyDescent="0.25">
      <c r="A1265" s="83">
        <v>4</v>
      </c>
      <c r="B1265" s="129" t="s">
        <v>185</v>
      </c>
      <c r="C1265" s="129" t="s">
        <v>147</v>
      </c>
      <c r="D1265" s="83">
        <v>15</v>
      </c>
      <c r="E1265" s="103">
        <v>11487.103999999999</v>
      </c>
      <c r="F1265" s="129" t="s">
        <v>256</v>
      </c>
    </row>
    <row r="1266" spans="1:6" ht="16" thickBot="1" x14ac:dyDescent="0.25">
      <c r="A1266" s="83">
        <v>4</v>
      </c>
      <c r="B1266" s="129" t="s">
        <v>185</v>
      </c>
      <c r="C1266" s="129" t="s">
        <v>147</v>
      </c>
      <c r="D1266" s="83">
        <v>4</v>
      </c>
      <c r="E1266" s="103">
        <v>465.52767</v>
      </c>
      <c r="F1266" s="129" t="s">
        <v>148</v>
      </c>
    </row>
    <row r="1267" spans="1:6" ht="16" thickBot="1" x14ac:dyDescent="0.25">
      <c r="A1267" s="83">
        <v>4</v>
      </c>
      <c r="B1267" s="129" t="s">
        <v>186</v>
      </c>
      <c r="C1267" s="129" t="s">
        <v>147</v>
      </c>
      <c r="D1267" s="83">
        <v>55</v>
      </c>
      <c r="E1267" s="103">
        <v>110276.537</v>
      </c>
      <c r="F1267" s="129" t="s">
        <v>256</v>
      </c>
    </row>
    <row r="1268" spans="1:6" ht="16" thickBot="1" x14ac:dyDescent="0.25">
      <c r="A1268" s="83">
        <v>4</v>
      </c>
      <c r="B1268" s="129" t="s">
        <v>187</v>
      </c>
      <c r="C1268" s="129" t="s">
        <v>147</v>
      </c>
      <c r="D1268" s="83">
        <v>2</v>
      </c>
      <c r="E1268" s="103">
        <v>1578.212</v>
      </c>
      <c r="F1268" s="129" t="s">
        <v>256</v>
      </c>
    </row>
    <row r="1269" spans="1:6" ht="16" thickBot="1" x14ac:dyDescent="0.25">
      <c r="A1269" s="83">
        <v>4</v>
      </c>
      <c r="B1269" s="129" t="s">
        <v>188</v>
      </c>
      <c r="C1269" s="129" t="s">
        <v>147</v>
      </c>
      <c r="D1269" s="83">
        <v>1</v>
      </c>
      <c r="E1269" s="103">
        <v>529.53599999999994</v>
      </c>
      <c r="F1269" s="129" t="s">
        <v>256</v>
      </c>
    </row>
    <row r="1270" spans="1:6" ht="16" thickBot="1" x14ac:dyDescent="0.25">
      <c r="A1270" s="83">
        <v>4</v>
      </c>
      <c r="B1270" s="129" t="s">
        <v>189</v>
      </c>
      <c r="C1270" s="129" t="s">
        <v>147</v>
      </c>
      <c r="D1270" s="83">
        <v>176</v>
      </c>
      <c r="E1270" s="103">
        <v>791342.63</v>
      </c>
      <c r="F1270" s="129" t="s">
        <v>256</v>
      </c>
    </row>
    <row r="1271" spans="1:6" ht="16" thickBot="1" x14ac:dyDescent="0.25">
      <c r="A1271" s="83">
        <v>4</v>
      </c>
      <c r="B1271" s="129" t="s">
        <v>189</v>
      </c>
      <c r="C1271" s="129" t="s">
        <v>147</v>
      </c>
      <c r="D1271" s="83">
        <v>158</v>
      </c>
      <c r="E1271" s="103">
        <v>37491.145270000001</v>
      </c>
      <c r="F1271" s="129" t="s">
        <v>148</v>
      </c>
    </row>
    <row r="1272" spans="1:6" ht="16" thickBot="1" x14ac:dyDescent="0.25">
      <c r="A1272" s="83">
        <v>4</v>
      </c>
      <c r="B1272" s="129" t="s">
        <v>190</v>
      </c>
      <c r="C1272" s="129" t="s">
        <v>147</v>
      </c>
      <c r="D1272" s="83">
        <v>35</v>
      </c>
      <c r="E1272" s="103">
        <v>51405.781999999999</v>
      </c>
      <c r="F1272" s="129" t="s">
        <v>256</v>
      </c>
    </row>
    <row r="1273" spans="1:6" ht="16" thickBot="1" x14ac:dyDescent="0.25">
      <c r="A1273" s="83">
        <v>4</v>
      </c>
      <c r="B1273" s="129" t="s">
        <v>190</v>
      </c>
      <c r="C1273" s="129" t="s">
        <v>147</v>
      </c>
      <c r="D1273" s="83">
        <v>3</v>
      </c>
      <c r="E1273" s="103">
        <v>5301.0216399999999</v>
      </c>
      <c r="F1273" s="129" t="s">
        <v>148</v>
      </c>
    </row>
    <row r="1274" spans="1:6" ht="16" thickBot="1" x14ac:dyDescent="0.25">
      <c r="A1274" s="83">
        <v>4</v>
      </c>
      <c r="B1274" s="129" t="s">
        <v>191</v>
      </c>
      <c r="C1274" s="129" t="s">
        <v>147</v>
      </c>
      <c r="D1274" s="83">
        <v>370</v>
      </c>
      <c r="E1274" s="103">
        <v>1218375.3489999999</v>
      </c>
      <c r="F1274" s="129" t="s">
        <v>256</v>
      </c>
    </row>
    <row r="1275" spans="1:6" ht="16" thickBot="1" x14ac:dyDescent="0.25">
      <c r="A1275" s="83">
        <v>4</v>
      </c>
      <c r="B1275" s="129" t="s">
        <v>191</v>
      </c>
      <c r="C1275" s="129" t="s">
        <v>147</v>
      </c>
      <c r="D1275" s="83">
        <v>206</v>
      </c>
      <c r="E1275" s="103">
        <v>55680.36333</v>
      </c>
      <c r="F1275" s="129" t="s">
        <v>148</v>
      </c>
    </row>
    <row r="1276" spans="1:6" ht="16" thickBot="1" x14ac:dyDescent="0.25">
      <c r="A1276" s="83">
        <v>4</v>
      </c>
      <c r="B1276" s="129" t="s">
        <v>192</v>
      </c>
      <c r="C1276" s="129" t="s">
        <v>147</v>
      </c>
      <c r="D1276" s="83">
        <v>59</v>
      </c>
      <c r="E1276" s="103">
        <v>58607.546000000002</v>
      </c>
      <c r="F1276" s="129" t="s">
        <v>256</v>
      </c>
    </row>
    <row r="1277" spans="1:6" ht="16" thickBot="1" x14ac:dyDescent="0.25">
      <c r="A1277" s="83">
        <v>4</v>
      </c>
      <c r="B1277" s="129" t="s">
        <v>192</v>
      </c>
      <c r="C1277" s="129" t="s">
        <v>147</v>
      </c>
      <c r="D1277" s="83">
        <v>19</v>
      </c>
      <c r="E1277" s="103">
        <v>4759.1661100000001</v>
      </c>
      <c r="F1277" s="129" t="s">
        <v>148</v>
      </c>
    </row>
    <row r="1278" spans="1:6" ht="16" thickBot="1" x14ac:dyDescent="0.25">
      <c r="A1278" s="83">
        <v>4</v>
      </c>
      <c r="B1278" s="129" t="s">
        <v>193</v>
      </c>
      <c r="C1278" s="129" t="s">
        <v>147</v>
      </c>
      <c r="D1278" s="83">
        <v>904</v>
      </c>
      <c r="E1278" s="103">
        <v>3508302.2289999998</v>
      </c>
      <c r="F1278" s="129" t="s">
        <v>256</v>
      </c>
    </row>
    <row r="1279" spans="1:6" ht="16" thickBot="1" x14ac:dyDescent="0.25">
      <c r="A1279" s="83">
        <v>4</v>
      </c>
      <c r="B1279" s="129" t="s">
        <v>193</v>
      </c>
      <c r="C1279" s="129" t="s">
        <v>147</v>
      </c>
      <c r="D1279" s="83">
        <v>421</v>
      </c>
      <c r="E1279" s="103">
        <v>199045.45765999999</v>
      </c>
      <c r="F1279" s="129" t="s">
        <v>148</v>
      </c>
    </row>
    <row r="1280" spans="1:6" ht="16" thickBot="1" x14ac:dyDescent="0.25">
      <c r="A1280" s="83">
        <v>4</v>
      </c>
      <c r="B1280" s="129" t="s">
        <v>194</v>
      </c>
      <c r="C1280" s="129" t="s">
        <v>147</v>
      </c>
      <c r="D1280" s="83">
        <v>34</v>
      </c>
      <c r="E1280" s="103">
        <v>87395.975000000006</v>
      </c>
      <c r="F1280" s="129" t="s">
        <v>256</v>
      </c>
    </row>
    <row r="1281" spans="1:6" ht="16" thickBot="1" x14ac:dyDescent="0.25">
      <c r="A1281" s="83">
        <v>4</v>
      </c>
      <c r="B1281" s="129" t="s">
        <v>195</v>
      </c>
      <c r="C1281" s="129" t="s">
        <v>147</v>
      </c>
      <c r="D1281" s="83">
        <v>267</v>
      </c>
      <c r="E1281" s="103">
        <v>744307.76899999997</v>
      </c>
      <c r="F1281" s="129" t="s">
        <v>256</v>
      </c>
    </row>
    <row r="1282" spans="1:6" ht="16" thickBot="1" x14ac:dyDescent="0.25">
      <c r="A1282" s="83">
        <v>4</v>
      </c>
      <c r="B1282" s="129" t="s">
        <v>195</v>
      </c>
      <c r="C1282" s="129" t="s">
        <v>147</v>
      </c>
      <c r="D1282" s="83">
        <v>118</v>
      </c>
      <c r="E1282" s="103">
        <v>26884.277399999999</v>
      </c>
      <c r="F1282" s="129" t="s">
        <v>148</v>
      </c>
    </row>
    <row r="1283" spans="1:6" ht="16" thickBot="1" x14ac:dyDescent="0.25">
      <c r="A1283" s="83">
        <v>4</v>
      </c>
      <c r="B1283" s="129" t="s">
        <v>196</v>
      </c>
      <c r="C1283" s="129" t="s">
        <v>147</v>
      </c>
      <c r="D1283" s="83">
        <v>59</v>
      </c>
      <c r="E1283" s="103">
        <v>107031.359</v>
      </c>
      <c r="F1283" s="129" t="s">
        <v>256</v>
      </c>
    </row>
    <row r="1284" spans="1:6" ht="16" thickBot="1" x14ac:dyDescent="0.25">
      <c r="A1284" s="83">
        <v>4</v>
      </c>
      <c r="B1284" s="129" t="s">
        <v>196</v>
      </c>
      <c r="C1284" s="129" t="s">
        <v>147</v>
      </c>
      <c r="D1284" s="83">
        <v>24</v>
      </c>
      <c r="E1284" s="103">
        <v>3320.9060199999999</v>
      </c>
      <c r="F1284" s="129" t="s">
        <v>148</v>
      </c>
    </row>
    <row r="1285" spans="1:6" ht="16" thickBot="1" x14ac:dyDescent="0.25">
      <c r="A1285" s="83">
        <v>4</v>
      </c>
      <c r="B1285" s="129" t="s">
        <v>197</v>
      </c>
      <c r="C1285" s="129" t="s">
        <v>147</v>
      </c>
      <c r="D1285" s="83">
        <v>19</v>
      </c>
      <c r="E1285" s="103">
        <v>7514.2650000000003</v>
      </c>
      <c r="F1285" s="129" t="s">
        <v>256</v>
      </c>
    </row>
    <row r="1286" spans="1:6" ht="16" thickBot="1" x14ac:dyDescent="0.25">
      <c r="A1286" s="83">
        <v>4</v>
      </c>
      <c r="B1286" s="129" t="s">
        <v>198</v>
      </c>
      <c r="C1286" s="129" t="s">
        <v>147</v>
      </c>
      <c r="D1286" s="83">
        <v>25</v>
      </c>
      <c r="E1286" s="103">
        <v>22549.108</v>
      </c>
      <c r="F1286" s="129" t="s">
        <v>256</v>
      </c>
    </row>
    <row r="1287" spans="1:6" ht="16" thickBot="1" x14ac:dyDescent="0.25">
      <c r="A1287" s="83">
        <v>4</v>
      </c>
      <c r="B1287" s="129" t="s">
        <v>199</v>
      </c>
      <c r="C1287" s="129" t="s">
        <v>147</v>
      </c>
      <c r="D1287" s="83">
        <v>53</v>
      </c>
      <c r="E1287" s="103">
        <v>97830.797000000006</v>
      </c>
      <c r="F1287" s="129" t="s">
        <v>256</v>
      </c>
    </row>
    <row r="1288" spans="1:6" ht="16" thickBot="1" x14ac:dyDescent="0.25">
      <c r="A1288" s="83">
        <v>4</v>
      </c>
      <c r="B1288" s="129" t="s">
        <v>200</v>
      </c>
      <c r="C1288" s="129" t="s">
        <v>147</v>
      </c>
      <c r="D1288" s="83">
        <v>60</v>
      </c>
      <c r="E1288" s="103">
        <v>102788.924</v>
      </c>
      <c r="F1288" s="129" t="s">
        <v>256</v>
      </c>
    </row>
    <row r="1289" spans="1:6" ht="16" thickBot="1" x14ac:dyDescent="0.25">
      <c r="A1289" s="83">
        <v>4</v>
      </c>
      <c r="B1289" s="129" t="s">
        <v>201</v>
      </c>
      <c r="C1289" s="129" t="s">
        <v>147</v>
      </c>
      <c r="D1289" s="83">
        <v>14</v>
      </c>
      <c r="E1289" s="103">
        <v>7197.5129999999999</v>
      </c>
      <c r="F1289" s="129" t="s">
        <v>256</v>
      </c>
    </row>
    <row r="1290" spans="1:6" ht="16" thickBot="1" x14ac:dyDescent="0.25">
      <c r="A1290" s="83">
        <v>4</v>
      </c>
      <c r="B1290" s="129" t="s">
        <v>202</v>
      </c>
      <c r="C1290" s="129" t="s">
        <v>147</v>
      </c>
      <c r="D1290" s="83">
        <v>89</v>
      </c>
      <c r="E1290" s="103">
        <v>92274.221000000005</v>
      </c>
      <c r="F1290" s="129" t="s">
        <v>256</v>
      </c>
    </row>
    <row r="1291" spans="1:6" ht="16" thickBot="1" x14ac:dyDescent="0.25">
      <c r="A1291" s="83">
        <v>4</v>
      </c>
      <c r="B1291" s="129" t="s">
        <v>202</v>
      </c>
      <c r="C1291" s="129" t="s">
        <v>147</v>
      </c>
      <c r="D1291" s="83">
        <v>31</v>
      </c>
      <c r="E1291" s="103">
        <v>4174.22372</v>
      </c>
      <c r="F1291" s="129" t="s">
        <v>148</v>
      </c>
    </row>
    <row r="1292" spans="1:6" ht="16" thickBot="1" x14ac:dyDescent="0.25">
      <c r="A1292" s="83">
        <v>4</v>
      </c>
      <c r="B1292" s="129" t="s">
        <v>203</v>
      </c>
      <c r="C1292" s="129" t="s">
        <v>147</v>
      </c>
      <c r="D1292" s="83">
        <v>40</v>
      </c>
      <c r="E1292" s="103">
        <v>56855.186000000002</v>
      </c>
      <c r="F1292" s="129" t="s">
        <v>256</v>
      </c>
    </row>
    <row r="1293" spans="1:6" ht="16" thickBot="1" x14ac:dyDescent="0.25">
      <c r="A1293" s="83">
        <v>4</v>
      </c>
      <c r="B1293" s="129" t="s">
        <v>204</v>
      </c>
      <c r="C1293" s="129" t="s">
        <v>147</v>
      </c>
      <c r="D1293" s="83">
        <v>106</v>
      </c>
      <c r="E1293" s="103">
        <v>364904.12</v>
      </c>
      <c r="F1293" s="129" t="s">
        <v>256</v>
      </c>
    </row>
    <row r="1294" spans="1:6" ht="16" thickBot="1" x14ac:dyDescent="0.25">
      <c r="A1294" s="83">
        <v>4</v>
      </c>
      <c r="B1294" s="129" t="s">
        <v>205</v>
      </c>
      <c r="C1294" s="129" t="s">
        <v>147</v>
      </c>
      <c r="D1294" s="83">
        <v>349</v>
      </c>
      <c r="E1294" s="103">
        <v>919265.99800000002</v>
      </c>
      <c r="F1294" s="129" t="s">
        <v>256</v>
      </c>
    </row>
    <row r="1295" spans="1:6" ht="16" thickBot="1" x14ac:dyDescent="0.25">
      <c r="A1295" s="83">
        <v>4</v>
      </c>
      <c r="B1295" s="129" t="s">
        <v>205</v>
      </c>
      <c r="C1295" s="129" t="s">
        <v>147</v>
      </c>
      <c r="D1295" s="83">
        <v>104</v>
      </c>
      <c r="E1295" s="103">
        <v>18414.018029999999</v>
      </c>
      <c r="F1295" s="129" t="s">
        <v>148</v>
      </c>
    </row>
    <row r="1296" spans="1:6" ht="16" thickBot="1" x14ac:dyDescent="0.25">
      <c r="A1296" s="83">
        <v>4</v>
      </c>
      <c r="B1296" s="129" t="s">
        <v>206</v>
      </c>
      <c r="C1296" s="129" t="s">
        <v>147</v>
      </c>
      <c r="D1296" s="83">
        <v>62</v>
      </c>
      <c r="E1296" s="103">
        <v>63120.707999999999</v>
      </c>
      <c r="F1296" s="129" t="s">
        <v>256</v>
      </c>
    </row>
    <row r="1297" spans="1:6" ht="16" thickBot="1" x14ac:dyDescent="0.25">
      <c r="A1297" s="83">
        <v>4</v>
      </c>
      <c r="B1297" s="129" t="s">
        <v>206</v>
      </c>
      <c r="C1297" s="129" t="s">
        <v>147</v>
      </c>
      <c r="D1297" s="83">
        <v>30</v>
      </c>
      <c r="E1297" s="103">
        <v>5020.8867799999998</v>
      </c>
      <c r="F1297" s="129" t="s">
        <v>148</v>
      </c>
    </row>
    <row r="1298" spans="1:6" ht="16" thickBot="1" x14ac:dyDescent="0.25">
      <c r="A1298" s="83">
        <v>4</v>
      </c>
      <c r="B1298" s="129" t="s">
        <v>208</v>
      </c>
      <c r="C1298" s="129" t="s">
        <v>147</v>
      </c>
      <c r="D1298" s="83">
        <v>8</v>
      </c>
      <c r="E1298" s="103">
        <v>14168.665000000001</v>
      </c>
      <c r="F1298" s="129" t="s">
        <v>256</v>
      </c>
    </row>
    <row r="1299" spans="1:6" ht="16" thickBot="1" x14ac:dyDescent="0.25">
      <c r="A1299" s="83">
        <v>4</v>
      </c>
      <c r="B1299" s="129" t="s">
        <v>209</v>
      </c>
      <c r="C1299" s="129" t="s">
        <v>147</v>
      </c>
      <c r="D1299" s="83">
        <v>195</v>
      </c>
      <c r="E1299" s="103">
        <v>384823.58500000002</v>
      </c>
      <c r="F1299" s="129" t="s">
        <v>256</v>
      </c>
    </row>
    <row r="1300" spans="1:6" ht="16" thickBot="1" x14ac:dyDescent="0.25">
      <c r="A1300" s="83">
        <v>4</v>
      </c>
      <c r="B1300" s="129" t="s">
        <v>209</v>
      </c>
      <c r="C1300" s="129" t="s">
        <v>147</v>
      </c>
      <c r="D1300" s="83">
        <v>65</v>
      </c>
      <c r="E1300" s="103">
        <v>6481.7635899999996</v>
      </c>
      <c r="F1300" s="129" t="s">
        <v>148</v>
      </c>
    </row>
    <row r="1301" spans="1:6" ht="16" thickBot="1" x14ac:dyDescent="0.25">
      <c r="A1301" s="83">
        <v>4</v>
      </c>
      <c r="B1301" s="129" t="s">
        <v>210</v>
      </c>
      <c r="C1301" s="129" t="s">
        <v>147</v>
      </c>
      <c r="D1301" s="83">
        <v>10</v>
      </c>
      <c r="E1301" s="103">
        <v>79988.721999999994</v>
      </c>
      <c r="F1301" s="129" t="s">
        <v>256</v>
      </c>
    </row>
    <row r="1302" spans="1:6" ht="16" thickBot="1" x14ac:dyDescent="0.25">
      <c r="A1302" s="83">
        <v>4</v>
      </c>
      <c r="B1302" s="129" t="s">
        <v>211</v>
      </c>
      <c r="C1302" s="129" t="s">
        <v>147</v>
      </c>
      <c r="D1302" s="83">
        <v>10</v>
      </c>
      <c r="E1302" s="103">
        <v>4522.87</v>
      </c>
      <c r="F1302" s="129" t="s">
        <v>256</v>
      </c>
    </row>
    <row r="1303" spans="1:6" ht="16" thickBot="1" x14ac:dyDescent="0.25">
      <c r="A1303" s="83">
        <v>4</v>
      </c>
      <c r="B1303" s="129" t="s">
        <v>213</v>
      </c>
      <c r="C1303" s="129" t="s">
        <v>147</v>
      </c>
      <c r="D1303" s="83">
        <v>86</v>
      </c>
      <c r="E1303" s="103">
        <v>131399.89499999999</v>
      </c>
      <c r="F1303" s="129" t="s">
        <v>256</v>
      </c>
    </row>
    <row r="1304" spans="1:6" ht="16" thickBot="1" x14ac:dyDescent="0.25">
      <c r="A1304" s="83">
        <v>4</v>
      </c>
      <c r="B1304" s="129" t="s">
        <v>214</v>
      </c>
      <c r="C1304" s="129" t="s">
        <v>147</v>
      </c>
      <c r="D1304" s="83">
        <v>66</v>
      </c>
      <c r="E1304" s="103">
        <v>91210.274999999994</v>
      </c>
      <c r="F1304" s="129" t="s">
        <v>256</v>
      </c>
    </row>
    <row r="1305" spans="1:6" ht="16" thickBot="1" x14ac:dyDescent="0.25">
      <c r="A1305" s="83">
        <v>4</v>
      </c>
      <c r="B1305" s="129" t="s">
        <v>215</v>
      </c>
      <c r="C1305" s="129" t="s">
        <v>147</v>
      </c>
      <c r="D1305" s="83">
        <v>193</v>
      </c>
      <c r="E1305" s="103">
        <v>349174.255</v>
      </c>
      <c r="F1305" s="129" t="s">
        <v>256</v>
      </c>
    </row>
    <row r="1306" spans="1:6" ht="16" thickBot="1" x14ac:dyDescent="0.25">
      <c r="A1306" s="83">
        <v>4</v>
      </c>
      <c r="B1306" s="129" t="s">
        <v>215</v>
      </c>
      <c r="C1306" s="129" t="s">
        <v>147</v>
      </c>
      <c r="D1306" s="83">
        <v>76</v>
      </c>
      <c r="E1306" s="103">
        <v>14294.326499999999</v>
      </c>
      <c r="F1306" s="129" t="s">
        <v>148</v>
      </c>
    </row>
    <row r="1307" spans="1:6" ht="16" thickBot="1" x14ac:dyDescent="0.25">
      <c r="A1307" s="83">
        <v>4</v>
      </c>
      <c r="B1307" s="129" t="s">
        <v>216</v>
      </c>
      <c r="C1307" s="129" t="s">
        <v>147</v>
      </c>
      <c r="D1307" s="83">
        <v>17</v>
      </c>
      <c r="E1307" s="103">
        <v>44115.358</v>
      </c>
      <c r="F1307" s="129" t="s">
        <v>256</v>
      </c>
    </row>
    <row r="1308" spans="1:6" ht="16" thickBot="1" x14ac:dyDescent="0.25">
      <c r="A1308" s="83">
        <v>4</v>
      </c>
      <c r="B1308" s="129" t="s">
        <v>217</v>
      </c>
      <c r="C1308" s="129" t="s">
        <v>147</v>
      </c>
      <c r="D1308" s="83">
        <v>98</v>
      </c>
      <c r="E1308" s="103">
        <v>158537.69200000001</v>
      </c>
      <c r="F1308" s="129" t="s">
        <v>256</v>
      </c>
    </row>
    <row r="1309" spans="1:6" ht="16" thickBot="1" x14ac:dyDescent="0.25">
      <c r="A1309" s="83">
        <v>4</v>
      </c>
      <c r="B1309" s="129" t="s">
        <v>217</v>
      </c>
      <c r="C1309" s="129" t="s">
        <v>147</v>
      </c>
      <c r="D1309" s="83">
        <v>43</v>
      </c>
      <c r="E1309" s="103">
        <v>5743.1315400000003</v>
      </c>
      <c r="F1309" s="129" t="s">
        <v>148</v>
      </c>
    </row>
    <row r="1310" spans="1:6" ht="16" thickBot="1" x14ac:dyDescent="0.25">
      <c r="A1310" s="83">
        <v>4</v>
      </c>
      <c r="B1310" s="129" t="s">
        <v>218</v>
      </c>
      <c r="C1310" s="129" t="s">
        <v>147</v>
      </c>
      <c r="D1310" s="83">
        <v>1224</v>
      </c>
      <c r="E1310" s="103">
        <v>40071761.901000001</v>
      </c>
      <c r="F1310" s="129" t="s">
        <v>256</v>
      </c>
    </row>
    <row r="1311" spans="1:6" ht="16" thickBot="1" x14ac:dyDescent="0.25">
      <c r="A1311" s="83">
        <v>4</v>
      </c>
      <c r="B1311" s="129" t="s">
        <v>218</v>
      </c>
      <c r="C1311" s="129" t="s">
        <v>147</v>
      </c>
      <c r="D1311" s="83">
        <v>678</v>
      </c>
      <c r="E1311" s="103">
        <v>245324.02488000001</v>
      </c>
      <c r="F1311" s="129" t="s">
        <v>148</v>
      </c>
    </row>
    <row r="1312" spans="1:6" ht="16" thickBot="1" x14ac:dyDescent="0.25">
      <c r="A1312" s="83">
        <v>4</v>
      </c>
      <c r="B1312" s="129" t="s">
        <v>219</v>
      </c>
      <c r="C1312" s="129" t="s">
        <v>147</v>
      </c>
      <c r="D1312" s="83">
        <v>20</v>
      </c>
      <c r="E1312" s="103">
        <v>7267622.2470000004</v>
      </c>
      <c r="F1312" s="129" t="s">
        <v>256</v>
      </c>
    </row>
    <row r="1313" spans="1:6" ht="16" thickBot="1" x14ac:dyDescent="0.25">
      <c r="A1313" s="83">
        <v>4</v>
      </c>
      <c r="B1313" s="129" t="s">
        <v>219</v>
      </c>
      <c r="C1313" s="129" t="s">
        <v>147</v>
      </c>
      <c r="D1313" s="83">
        <v>40</v>
      </c>
      <c r="E1313" s="103">
        <v>2032318.5862100001</v>
      </c>
      <c r="F1313" s="129" t="s">
        <v>148</v>
      </c>
    </row>
    <row r="1314" spans="1:6" ht="16" thickBot="1" x14ac:dyDescent="0.25">
      <c r="A1314" s="83">
        <v>4</v>
      </c>
      <c r="B1314" s="129" t="s">
        <v>220</v>
      </c>
      <c r="C1314" s="129" t="s">
        <v>147</v>
      </c>
      <c r="D1314" s="83">
        <v>18</v>
      </c>
      <c r="E1314" s="103">
        <v>8838.6280000000006</v>
      </c>
      <c r="F1314" s="129" t="s">
        <v>256</v>
      </c>
    </row>
    <row r="1315" spans="1:6" ht="16" thickBot="1" x14ac:dyDescent="0.25">
      <c r="A1315" s="83">
        <v>4</v>
      </c>
      <c r="B1315" s="129" t="s">
        <v>221</v>
      </c>
      <c r="C1315" s="129" t="s">
        <v>147</v>
      </c>
      <c r="D1315" s="83">
        <v>241</v>
      </c>
      <c r="E1315" s="103">
        <v>526000.52099999995</v>
      </c>
      <c r="F1315" s="129" t="s">
        <v>256</v>
      </c>
    </row>
    <row r="1316" spans="1:6" ht="16" thickBot="1" x14ac:dyDescent="0.25">
      <c r="A1316" s="83">
        <v>4</v>
      </c>
      <c r="B1316" s="129" t="s">
        <v>221</v>
      </c>
      <c r="C1316" s="129" t="s">
        <v>147</v>
      </c>
      <c r="D1316" s="83">
        <v>138</v>
      </c>
      <c r="E1316" s="103">
        <v>30828.810450000001</v>
      </c>
      <c r="F1316" s="129" t="s">
        <v>148</v>
      </c>
    </row>
    <row r="1317" spans="1:6" ht="16" thickBot="1" x14ac:dyDescent="0.25">
      <c r="A1317" s="83">
        <v>4</v>
      </c>
      <c r="B1317" s="129" t="s">
        <v>222</v>
      </c>
      <c r="C1317" s="129" t="s">
        <v>147</v>
      </c>
      <c r="D1317" s="83">
        <v>91</v>
      </c>
      <c r="E1317" s="103">
        <v>233350.21599999999</v>
      </c>
      <c r="F1317" s="129" t="s">
        <v>256</v>
      </c>
    </row>
    <row r="1318" spans="1:6" ht="16" thickBot="1" x14ac:dyDescent="0.25">
      <c r="A1318" s="83">
        <v>4</v>
      </c>
      <c r="B1318" s="129" t="s">
        <v>222</v>
      </c>
      <c r="C1318" s="129" t="s">
        <v>147</v>
      </c>
      <c r="D1318" s="83">
        <v>43</v>
      </c>
      <c r="E1318" s="103">
        <v>5917.6016600000003</v>
      </c>
      <c r="F1318" s="129" t="s">
        <v>148</v>
      </c>
    </row>
    <row r="1319" spans="1:6" ht="16" thickBot="1" x14ac:dyDescent="0.25">
      <c r="A1319" s="83">
        <v>4</v>
      </c>
      <c r="B1319" s="129" t="s">
        <v>223</v>
      </c>
      <c r="C1319" s="129" t="s">
        <v>147</v>
      </c>
      <c r="D1319" s="83">
        <v>98</v>
      </c>
      <c r="E1319" s="103">
        <v>128641.31200000001</v>
      </c>
      <c r="F1319" s="129" t="s">
        <v>256</v>
      </c>
    </row>
    <row r="1320" spans="1:6" ht="16" thickBot="1" x14ac:dyDescent="0.25">
      <c r="A1320" s="83">
        <v>4</v>
      </c>
      <c r="B1320" s="129" t="s">
        <v>223</v>
      </c>
      <c r="C1320" s="129" t="s">
        <v>147</v>
      </c>
      <c r="D1320" s="83">
        <v>53</v>
      </c>
      <c r="E1320" s="103">
        <v>7394.6256700000004</v>
      </c>
      <c r="F1320" s="129" t="s">
        <v>148</v>
      </c>
    </row>
    <row r="1321" spans="1:6" ht="16" thickBot="1" x14ac:dyDescent="0.25">
      <c r="A1321" s="83">
        <v>4</v>
      </c>
      <c r="B1321" s="129" t="s">
        <v>224</v>
      </c>
      <c r="C1321" s="129" t="s">
        <v>147</v>
      </c>
      <c r="D1321" s="83">
        <v>63</v>
      </c>
      <c r="E1321" s="103">
        <v>163631.212</v>
      </c>
      <c r="F1321" s="129" t="s">
        <v>256</v>
      </c>
    </row>
    <row r="1322" spans="1:6" ht="16" thickBot="1" x14ac:dyDescent="0.25">
      <c r="A1322" s="83">
        <v>4</v>
      </c>
      <c r="B1322" s="129" t="s">
        <v>225</v>
      </c>
      <c r="C1322" s="129" t="s">
        <v>147</v>
      </c>
      <c r="D1322" s="83">
        <v>16</v>
      </c>
      <c r="E1322" s="103">
        <v>12140.825000000001</v>
      </c>
      <c r="F1322" s="129" t="s">
        <v>256</v>
      </c>
    </row>
    <row r="1323" spans="1:6" ht="16" thickBot="1" x14ac:dyDescent="0.25">
      <c r="A1323" s="83">
        <v>4</v>
      </c>
      <c r="B1323" s="129" t="s">
        <v>226</v>
      </c>
      <c r="C1323" s="129" t="s">
        <v>147</v>
      </c>
      <c r="D1323" s="83">
        <v>8</v>
      </c>
      <c r="E1323" s="103">
        <v>7367.4750000000004</v>
      </c>
      <c r="F1323" s="129" t="s">
        <v>256</v>
      </c>
    </row>
    <row r="1324" spans="1:6" ht="16" thickBot="1" x14ac:dyDescent="0.25">
      <c r="A1324" s="83">
        <v>4</v>
      </c>
      <c r="B1324" s="129" t="s">
        <v>227</v>
      </c>
      <c r="C1324" s="129" t="s">
        <v>147</v>
      </c>
      <c r="D1324" s="83">
        <v>44</v>
      </c>
      <c r="E1324" s="103">
        <v>94667.873999999996</v>
      </c>
      <c r="F1324" s="129" t="s">
        <v>256</v>
      </c>
    </row>
    <row r="1325" spans="1:6" ht="16" thickBot="1" x14ac:dyDescent="0.25">
      <c r="A1325" s="83">
        <v>4</v>
      </c>
      <c r="B1325" s="129" t="s">
        <v>227</v>
      </c>
      <c r="C1325" s="129" t="s">
        <v>147</v>
      </c>
      <c r="D1325" s="83">
        <v>22</v>
      </c>
      <c r="E1325" s="103">
        <v>2001.69318</v>
      </c>
      <c r="F1325" s="129" t="s">
        <v>148</v>
      </c>
    </row>
    <row r="1326" spans="1:6" ht="16" thickBot="1" x14ac:dyDescent="0.25">
      <c r="A1326" s="83">
        <v>4</v>
      </c>
      <c r="B1326" s="129" t="s">
        <v>228</v>
      </c>
      <c r="C1326" s="129" t="s">
        <v>147</v>
      </c>
      <c r="D1326" s="83">
        <v>137</v>
      </c>
      <c r="E1326" s="103">
        <v>287020.31599999999</v>
      </c>
      <c r="F1326" s="129" t="s">
        <v>256</v>
      </c>
    </row>
    <row r="1327" spans="1:6" ht="16" thickBot="1" x14ac:dyDescent="0.25">
      <c r="A1327" s="83">
        <v>4</v>
      </c>
      <c r="B1327" s="129" t="s">
        <v>228</v>
      </c>
      <c r="C1327" s="129" t="s">
        <v>147</v>
      </c>
      <c r="D1327" s="83">
        <v>16</v>
      </c>
      <c r="E1327" s="103">
        <v>6282.7059499999996</v>
      </c>
      <c r="F1327" s="129" t="s">
        <v>148</v>
      </c>
    </row>
    <row r="1328" spans="1:6" ht="16" thickBot="1" x14ac:dyDescent="0.25">
      <c r="A1328" s="83">
        <v>4</v>
      </c>
      <c r="B1328" s="129" t="s">
        <v>229</v>
      </c>
      <c r="C1328" s="129" t="s">
        <v>147</v>
      </c>
      <c r="D1328" s="83">
        <v>190</v>
      </c>
      <c r="E1328" s="103">
        <v>328870.21600000001</v>
      </c>
      <c r="F1328" s="129" t="s">
        <v>256</v>
      </c>
    </row>
    <row r="1329" spans="1:6" ht="16" thickBot="1" x14ac:dyDescent="0.25">
      <c r="A1329" s="83">
        <v>4</v>
      </c>
      <c r="B1329" s="129" t="s">
        <v>230</v>
      </c>
      <c r="C1329" s="129" t="s">
        <v>147</v>
      </c>
      <c r="D1329" s="83">
        <v>1781</v>
      </c>
      <c r="E1329" s="103">
        <v>18394219.539000001</v>
      </c>
      <c r="F1329" s="129" t="s">
        <v>256</v>
      </c>
    </row>
    <row r="1330" spans="1:6" ht="16" thickBot="1" x14ac:dyDescent="0.25">
      <c r="A1330" s="83">
        <v>4</v>
      </c>
      <c r="B1330" s="129" t="s">
        <v>230</v>
      </c>
      <c r="C1330" s="129" t="s">
        <v>147</v>
      </c>
      <c r="D1330" s="83">
        <v>965</v>
      </c>
      <c r="E1330" s="103">
        <v>675108.49447999999</v>
      </c>
      <c r="F1330" s="129" t="s">
        <v>148</v>
      </c>
    </row>
    <row r="1331" spans="1:6" ht="16" thickBot="1" x14ac:dyDescent="0.25">
      <c r="A1331" s="83">
        <v>4</v>
      </c>
      <c r="B1331" s="129" t="s">
        <v>231</v>
      </c>
      <c r="C1331" s="129" t="s">
        <v>147</v>
      </c>
      <c r="D1331" s="83">
        <v>2210</v>
      </c>
      <c r="E1331" s="103">
        <v>19628680.094999999</v>
      </c>
      <c r="F1331" s="129" t="s">
        <v>256</v>
      </c>
    </row>
    <row r="1332" spans="1:6" ht="16" thickBot="1" x14ac:dyDescent="0.25">
      <c r="A1332" s="83">
        <v>4</v>
      </c>
      <c r="B1332" s="129" t="s">
        <v>231</v>
      </c>
      <c r="C1332" s="129" t="s">
        <v>147</v>
      </c>
      <c r="D1332" s="83">
        <v>1427</v>
      </c>
      <c r="E1332" s="103">
        <v>691066.88121000002</v>
      </c>
      <c r="F1332" s="129" t="s">
        <v>148</v>
      </c>
    </row>
    <row r="1333" spans="1:6" ht="16" thickBot="1" x14ac:dyDescent="0.25">
      <c r="A1333" s="83">
        <v>4</v>
      </c>
      <c r="B1333" s="129" t="s">
        <v>232</v>
      </c>
      <c r="C1333" s="129" t="s">
        <v>147</v>
      </c>
      <c r="D1333" s="83">
        <v>339</v>
      </c>
      <c r="E1333" s="103">
        <v>1630329.4909999999</v>
      </c>
      <c r="F1333" s="129" t="s">
        <v>256</v>
      </c>
    </row>
    <row r="1334" spans="1:6" ht="16" thickBot="1" x14ac:dyDescent="0.25">
      <c r="A1334" s="83">
        <v>4</v>
      </c>
      <c r="B1334" s="129" t="s">
        <v>232</v>
      </c>
      <c r="C1334" s="129" t="s">
        <v>147</v>
      </c>
      <c r="D1334" s="83">
        <v>155</v>
      </c>
      <c r="E1334" s="103">
        <v>62316.509969999999</v>
      </c>
      <c r="F1334" s="129" t="s">
        <v>148</v>
      </c>
    </row>
    <row r="1335" spans="1:6" ht="16" thickBot="1" x14ac:dyDescent="0.25">
      <c r="A1335" s="83">
        <v>4</v>
      </c>
      <c r="B1335" s="129" t="s">
        <v>233</v>
      </c>
      <c r="C1335" s="129" t="s">
        <v>147</v>
      </c>
      <c r="D1335" s="83">
        <v>293</v>
      </c>
      <c r="E1335" s="103">
        <v>28327332.333999999</v>
      </c>
      <c r="F1335" s="129" t="s">
        <v>256</v>
      </c>
    </row>
    <row r="1336" spans="1:6" ht="16" thickBot="1" x14ac:dyDescent="0.25">
      <c r="A1336" s="83">
        <v>4</v>
      </c>
      <c r="B1336" s="129" t="s">
        <v>233</v>
      </c>
      <c r="C1336" s="129" t="s">
        <v>147</v>
      </c>
      <c r="D1336" s="83">
        <v>110</v>
      </c>
      <c r="E1336" s="103">
        <v>853535.35996000003</v>
      </c>
      <c r="F1336" s="129" t="s">
        <v>148</v>
      </c>
    </row>
    <row r="1337" spans="1:6" ht="16" thickBot="1" x14ac:dyDescent="0.25">
      <c r="A1337" s="83">
        <v>4</v>
      </c>
      <c r="B1337" s="129" t="s">
        <v>234</v>
      </c>
      <c r="C1337" s="129" t="s">
        <v>147</v>
      </c>
      <c r="D1337" s="83">
        <v>1205</v>
      </c>
      <c r="E1337" s="103">
        <v>17039686.699000001</v>
      </c>
      <c r="F1337" s="129" t="s">
        <v>256</v>
      </c>
    </row>
    <row r="1338" spans="1:6" ht="16" thickBot="1" x14ac:dyDescent="0.25">
      <c r="A1338" s="83">
        <v>4</v>
      </c>
      <c r="B1338" s="129" t="s">
        <v>234</v>
      </c>
      <c r="C1338" s="129" t="s">
        <v>147</v>
      </c>
      <c r="D1338" s="83">
        <v>753</v>
      </c>
      <c r="E1338" s="103">
        <v>290584.50121000002</v>
      </c>
      <c r="F1338" s="129" t="s">
        <v>148</v>
      </c>
    </row>
    <row r="1339" spans="1:6" ht="16" thickBot="1" x14ac:dyDescent="0.25">
      <c r="A1339" s="83">
        <v>4</v>
      </c>
      <c r="B1339" s="129" t="s">
        <v>235</v>
      </c>
      <c r="C1339" s="129" t="s">
        <v>147</v>
      </c>
      <c r="D1339" s="83">
        <v>667</v>
      </c>
      <c r="E1339" s="103">
        <v>2357522.1749999998</v>
      </c>
      <c r="F1339" s="129" t="s">
        <v>256</v>
      </c>
    </row>
    <row r="1340" spans="1:6" ht="16" thickBot="1" x14ac:dyDescent="0.25">
      <c r="A1340" s="83">
        <v>4</v>
      </c>
      <c r="B1340" s="129" t="s">
        <v>235</v>
      </c>
      <c r="C1340" s="129" t="s">
        <v>147</v>
      </c>
      <c r="D1340" s="83">
        <v>1155</v>
      </c>
      <c r="E1340" s="103">
        <v>422765.89974000002</v>
      </c>
      <c r="F1340" s="129" t="s">
        <v>148</v>
      </c>
    </row>
    <row r="1341" spans="1:6" ht="16" thickBot="1" x14ac:dyDescent="0.25">
      <c r="A1341" s="83">
        <v>4</v>
      </c>
      <c r="B1341" s="129" t="s">
        <v>236</v>
      </c>
      <c r="C1341" s="129" t="s">
        <v>147</v>
      </c>
      <c r="D1341" s="83">
        <v>1297</v>
      </c>
      <c r="E1341" s="103">
        <v>7925931.5439999998</v>
      </c>
      <c r="F1341" s="129" t="s">
        <v>256</v>
      </c>
    </row>
    <row r="1342" spans="1:6" ht="16" thickBot="1" x14ac:dyDescent="0.25">
      <c r="A1342" s="83">
        <v>4</v>
      </c>
      <c r="B1342" s="129" t="s">
        <v>236</v>
      </c>
      <c r="C1342" s="129" t="s">
        <v>147</v>
      </c>
      <c r="D1342" s="83">
        <v>726</v>
      </c>
      <c r="E1342" s="103">
        <v>297259.51971000002</v>
      </c>
      <c r="F1342" s="129" t="s">
        <v>148</v>
      </c>
    </row>
    <row r="1343" spans="1:6" ht="16" thickBot="1" x14ac:dyDescent="0.25">
      <c r="A1343" s="83">
        <v>4</v>
      </c>
      <c r="B1343" s="129" t="s">
        <v>237</v>
      </c>
      <c r="C1343" s="129" t="s">
        <v>147</v>
      </c>
      <c r="D1343" s="83">
        <v>1229</v>
      </c>
      <c r="E1343" s="103">
        <v>7146780.4330000002</v>
      </c>
      <c r="F1343" s="129" t="s">
        <v>256</v>
      </c>
    </row>
    <row r="1344" spans="1:6" ht="16" thickBot="1" x14ac:dyDescent="0.25">
      <c r="A1344" s="83">
        <v>4</v>
      </c>
      <c r="B1344" s="129" t="s">
        <v>237</v>
      </c>
      <c r="C1344" s="129" t="s">
        <v>147</v>
      </c>
      <c r="D1344" s="83">
        <v>657</v>
      </c>
      <c r="E1344" s="103">
        <v>362509.58347999997</v>
      </c>
      <c r="F1344" s="129" t="s">
        <v>148</v>
      </c>
    </row>
    <row r="1345" spans="1:6" ht="16" thickBot="1" x14ac:dyDescent="0.25">
      <c r="A1345" s="83">
        <v>4</v>
      </c>
      <c r="B1345" s="129" t="s">
        <v>238</v>
      </c>
      <c r="C1345" s="129" t="s">
        <v>147</v>
      </c>
      <c r="D1345" s="83">
        <v>1759</v>
      </c>
      <c r="E1345" s="103">
        <v>8252520.2910000002</v>
      </c>
      <c r="F1345" s="129" t="s">
        <v>256</v>
      </c>
    </row>
    <row r="1346" spans="1:6" ht="16" thickBot="1" x14ac:dyDescent="0.25">
      <c r="A1346" s="83">
        <v>4</v>
      </c>
      <c r="B1346" s="129" t="s">
        <v>238</v>
      </c>
      <c r="C1346" s="129" t="s">
        <v>147</v>
      </c>
      <c r="D1346" s="83">
        <v>1209</v>
      </c>
      <c r="E1346" s="103">
        <v>633789.77836</v>
      </c>
      <c r="F1346" s="129" t="s">
        <v>148</v>
      </c>
    </row>
    <row r="1347" spans="1:6" ht="16" thickBot="1" x14ac:dyDescent="0.25">
      <c r="A1347" s="83">
        <v>4</v>
      </c>
      <c r="B1347" s="129" t="s">
        <v>239</v>
      </c>
      <c r="C1347" s="129" t="s">
        <v>147</v>
      </c>
      <c r="D1347" s="83">
        <v>1139</v>
      </c>
      <c r="E1347" s="103">
        <v>8473024.3910000008</v>
      </c>
      <c r="F1347" s="129" t="s">
        <v>256</v>
      </c>
    </row>
    <row r="1348" spans="1:6" ht="16" thickBot="1" x14ac:dyDescent="0.25">
      <c r="A1348" s="83">
        <v>4</v>
      </c>
      <c r="B1348" s="129" t="s">
        <v>239</v>
      </c>
      <c r="C1348" s="129" t="s">
        <v>147</v>
      </c>
      <c r="D1348" s="83">
        <v>1056</v>
      </c>
      <c r="E1348" s="103">
        <v>815756.14124000003</v>
      </c>
      <c r="F1348" s="129" t="s">
        <v>148</v>
      </c>
    </row>
    <row r="1349" spans="1:6" ht="16" thickBot="1" x14ac:dyDescent="0.25">
      <c r="A1349" s="83">
        <v>4</v>
      </c>
      <c r="B1349" s="129" t="s">
        <v>240</v>
      </c>
      <c r="C1349" s="129" t="s">
        <v>147</v>
      </c>
      <c r="D1349" s="83">
        <v>944</v>
      </c>
      <c r="E1349" s="103">
        <v>3778430.9509999999</v>
      </c>
      <c r="F1349" s="129" t="s">
        <v>256</v>
      </c>
    </row>
    <row r="1350" spans="1:6" ht="16" thickBot="1" x14ac:dyDescent="0.25">
      <c r="A1350" s="83">
        <v>4</v>
      </c>
      <c r="B1350" s="129" t="s">
        <v>240</v>
      </c>
      <c r="C1350" s="129" t="s">
        <v>147</v>
      </c>
      <c r="D1350" s="83">
        <v>645</v>
      </c>
      <c r="E1350" s="103">
        <v>109081.98864</v>
      </c>
      <c r="F1350" s="129" t="s">
        <v>148</v>
      </c>
    </row>
    <row r="1351" spans="1:6" ht="16" thickBot="1" x14ac:dyDescent="0.25">
      <c r="A1351" s="83">
        <v>4</v>
      </c>
      <c r="B1351" s="129" t="s">
        <v>241</v>
      </c>
      <c r="C1351" s="129" t="s">
        <v>147</v>
      </c>
      <c r="D1351" s="83">
        <v>960</v>
      </c>
      <c r="E1351" s="103">
        <v>7628059.9950000001</v>
      </c>
      <c r="F1351" s="129" t="s">
        <v>256</v>
      </c>
    </row>
    <row r="1352" spans="1:6" ht="16" thickBot="1" x14ac:dyDescent="0.25">
      <c r="A1352" s="83">
        <v>4</v>
      </c>
      <c r="B1352" s="129" t="s">
        <v>241</v>
      </c>
      <c r="C1352" s="129" t="s">
        <v>147</v>
      </c>
      <c r="D1352" s="83">
        <v>607</v>
      </c>
      <c r="E1352" s="103">
        <v>271087.06219000003</v>
      </c>
      <c r="F1352" s="129" t="s">
        <v>148</v>
      </c>
    </row>
    <row r="1353" spans="1:6" ht="16" thickBot="1" x14ac:dyDescent="0.25">
      <c r="A1353" s="83">
        <v>4</v>
      </c>
      <c r="B1353" s="129" t="s">
        <v>242</v>
      </c>
      <c r="C1353" s="129" t="s">
        <v>147</v>
      </c>
      <c r="D1353" s="83">
        <v>53</v>
      </c>
      <c r="E1353" s="103">
        <v>609662.16899999999</v>
      </c>
      <c r="F1353" s="129" t="s">
        <v>256</v>
      </c>
    </row>
    <row r="1354" spans="1:6" ht="16" thickBot="1" x14ac:dyDescent="0.25">
      <c r="A1354" s="83">
        <v>4</v>
      </c>
      <c r="B1354" s="129" t="s">
        <v>242</v>
      </c>
      <c r="C1354" s="129" t="s">
        <v>147</v>
      </c>
      <c r="D1354" s="83">
        <v>11</v>
      </c>
      <c r="E1354" s="103">
        <v>62175.271410000001</v>
      </c>
      <c r="F1354" s="129" t="s">
        <v>148</v>
      </c>
    </row>
    <row r="1355" spans="1:6" ht="16" thickBot="1" x14ac:dyDescent="0.25">
      <c r="A1355" s="83">
        <v>4</v>
      </c>
      <c r="B1355" s="129" t="s">
        <v>243</v>
      </c>
      <c r="C1355" s="129" t="s">
        <v>147</v>
      </c>
      <c r="D1355" s="83">
        <v>1</v>
      </c>
      <c r="E1355" s="103">
        <v>16765.52</v>
      </c>
      <c r="F1355" s="129" t="s">
        <v>256</v>
      </c>
    </row>
    <row r="1356" spans="1:6" ht="16" thickBot="1" x14ac:dyDescent="0.25">
      <c r="A1356" s="83">
        <v>4</v>
      </c>
      <c r="B1356" s="129" t="s">
        <v>243</v>
      </c>
      <c r="C1356" s="129" t="s">
        <v>147</v>
      </c>
      <c r="D1356" s="83">
        <v>1</v>
      </c>
      <c r="E1356" s="103">
        <v>883.46400000000006</v>
      </c>
      <c r="F1356" s="129" t="s">
        <v>148</v>
      </c>
    </row>
    <row r="1357" spans="1:6" ht="16" thickBot="1" x14ac:dyDescent="0.25">
      <c r="A1357" s="83">
        <v>4</v>
      </c>
      <c r="B1357" s="129" t="s">
        <v>244</v>
      </c>
      <c r="C1357" s="129" t="s">
        <v>147</v>
      </c>
      <c r="D1357" s="83">
        <v>760</v>
      </c>
      <c r="E1357" s="103">
        <v>3995431.2149999999</v>
      </c>
      <c r="F1357" s="129" t="s">
        <v>256</v>
      </c>
    </row>
    <row r="1358" spans="1:6" ht="16" thickBot="1" x14ac:dyDescent="0.25">
      <c r="A1358" s="83">
        <v>4</v>
      </c>
      <c r="B1358" s="129" t="s">
        <v>244</v>
      </c>
      <c r="C1358" s="129" t="s">
        <v>147</v>
      </c>
      <c r="D1358" s="83">
        <v>362</v>
      </c>
      <c r="E1358" s="103">
        <v>130433.27611999999</v>
      </c>
      <c r="F1358" s="129" t="s">
        <v>148</v>
      </c>
    </row>
    <row r="1359" spans="1:6" ht="16" thickBot="1" x14ac:dyDescent="0.25">
      <c r="A1359" s="83">
        <v>4</v>
      </c>
      <c r="B1359" s="129" t="s">
        <v>245</v>
      </c>
      <c r="C1359" s="129" t="s">
        <v>147</v>
      </c>
      <c r="D1359" s="83">
        <v>763</v>
      </c>
      <c r="E1359" s="103">
        <v>7049151.892</v>
      </c>
      <c r="F1359" s="129" t="s">
        <v>256</v>
      </c>
    </row>
    <row r="1360" spans="1:6" ht="16" thickBot="1" x14ac:dyDescent="0.25">
      <c r="A1360" s="83">
        <v>4</v>
      </c>
      <c r="B1360" s="129" t="s">
        <v>245</v>
      </c>
      <c r="C1360" s="129" t="s">
        <v>147</v>
      </c>
      <c r="D1360" s="83">
        <v>433</v>
      </c>
      <c r="E1360" s="103">
        <v>406048.56211</v>
      </c>
      <c r="F1360" s="129" t="s">
        <v>148</v>
      </c>
    </row>
    <row r="1361" spans="1:6" ht="16" thickBot="1" x14ac:dyDescent="0.25">
      <c r="A1361" s="83">
        <v>4</v>
      </c>
      <c r="B1361" s="129" t="s">
        <v>273</v>
      </c>
      <c r="C1361" s="129" t="s">
        <v>147</v>
      </c>
      <c r="D1361" s="83">
        <v>2</v>
      </c>
      <c r="E1361" s="103">
        <v>5723.9309999999996</v>
      </c>
      <c r="F1361" s="129" t="s">
        <v>148</v>
      </c>
    </row>
    <row r="1362" spans="1:6" ht="16" thickBot="1" x14ac:dyDescent="0.25">
      <c r="A1362" s="83">
        <v>4</v>
      </c>
      <c r="B1362" s="129" t="s">
        <v>246</v>
      </c>
      <c r="C1362" s="129" t="s">
        <v>147</v>
      </c>
      <c r="D1362" s="83">
        <v>1</v>
      </c>
      <c r="E1362" s="103">
        <v>11717.16</v>
      </c>
      <c r="F1362" s="129" t="s">
        <v>256</v>
      </c>
    </row>
    <row r="1363" spans="1:6" ht="16" thickBot="1" x14ac:dyDescent="0.25">
      <c r="A1363" s="83">
        <v>4</v>
      </c>
      <c r="B1363" s="129" t="s">
        <v>246</v>
      </c>
      <c r="C1363" s="129" t="s">
        <v>147</v>
      </c>
      <c r="D1363" s="83">
        <v>2</v>
      </c>
      <c r="E1363" s="103">
        <v>784.69881999999996</v>
      </c>
      <c r="F1363" s="129" t="s">
        <v>148</v>
      </c>
    </row>
    <row r="1364" spans="1:6" ht="16" thickBot="1" x14ac:dyDescent="0.25">
      <c r="A1364" s="83">
        <v>4</v>
      </c>
      <c r="B1364" s="129" t="s">
        <v>247</v>
      </c>
      <c r="C1364" s="129" t="s">
        <v>147</v>
      </c>
      <c r="D1364" s="83">
        <v>72</v>
      </c>
      <c r="E1364" s="103">
        <v>43467.706429999998</v>
      </c>
      <c r="F1364" s="129" t="s">
        <v>148</v>
      </c>
    </row>
    <row r="1365" spans="1:6" ht="16" thickBot="1" x14ac:dyDescent="0.25">
      <c r="A1365" s="83">
        <v>4</v>
      </c>
      <c r="B1365" s="129" t="s">
        <v>248</v>
      </c>
      <c r="C1365" s="129" t="s">
        <v>147</v>
      </c>
      <c r="D1365" s="83">
        <v>1</v>
      </c>
      <c r="E1365" s="83">
        <v>0</v>
      </c>
      <c r="F1365" s="129" t="s">
        <v>256</v>
      </c>
    </row>
    <row r="1366" spans="1:6" ht="16" thickBot="1" x14ac:dyDescent="0.25">
      <c r="A1366" s="83">
        <v>4</v>
      </c>
      <c r="B1366" s="129" t="s">
        <v>249</v>
      </c>
      <c r="C1366" s="129" t="s">
        <v>147</v>
      </c>
      <c r="D1366" s="83">
        <v>126</v>
      </c>
      <c r="E1366" s="103">
        <v>848475.84299999999</v>
      </c>
      <c r="F1366" s="129" t="s">
        <v>256</v>
      </c>
    </row>
    <row r="1367" spans="1:6" ht="16" thickBot="1" x14ac:dyDescent="0.25">
      <c r="A1367" s="83">
        <v>4</v>
      </c>
      <c r="B1367" s="129" t="s">
        <v>249</v>
      </c>
      <c r="C1367" s="129" t="s">
        <v>147</v>
      </c>
      <c r="D1367" s="83">
        <v>29</v>
      </c>
      <c r="E1367" s="103">
        <v>3857.3608599999998</v>
      </c>
      <c r="F1367" s="129" t="s">
        <v>148</v>
      </c>
    </row>
    <row r="1368" spans="1:6" ht="16" thickBot="1" x14ac:dyDescent="0.25">
      <c r="A1368" s="83">
        <v>4</v>
      </c>
      <c r="B1368" s="129" t="s">
        <v>250</v>
      </c>
      <c r="C1368" s="129" t="s">
        <v>147</v>
      </c>
      <c r="D1368" s="83">
        <v>1098</v>
      </c>
      <c r="E1368" s="103">
        <v>6004250.6469999999</v>
      </c>
      <c r="F1368" s="129" t="s">
        <v>256</v>
      </c>
    </row>
    <row r="1369" spans="1:6" ht="16" thickBot="1" x14ac:dyDescent="0.25">
      <c r="A1369" s="83">
        <v>4</v>
      </c>
      <c r="B1369" s="129" t="s">
        <v>251</v>
      </c>
      <c r="C1369" s="129" t="s">
        <v>147</v>
      </c>
      <c r="D1369" s="83">
        <v>63</v>
      </c>
      <c r="E1369" s="103">
        <v>160521.674</v>
      </c>
      <c r="F1369" s="129" t="s">
        <v>256</v>
      </c>
    </row>
    <row r="1370" spans="1:6" ht="16" thickBot="1" x14ac:dyDescent="0.25">
      <c r="A1370" s="83">
        <v>4</v>
      </c>
      <c r="B1370" s="129" t="s">
        <v>252</v>
      </c>
      <c r="C1370" s="129" t="s">
        <v>147</v>
      </c>
      <c r="D1370" s="83">
        <v>64</v>
      </c>
      <c r="E1370" s="103">
        <v>167925.427</v>
      </c>
      <c r="F1370" s="129" t="s">
        <v>256</v>
      </c>
    </row>
    <row r="1371" spans="1:6" ht="16" thickBot="1" x14ac:dyDescent="0.25">
      <c r="A1371" s="83">
        <v>4</v>
      </c>
      <c r="B1371" s="129" t="s">
        <v>252</v>
      </c>
      <c r="C1371" s="129" t="s">
        <v>147</v>
      </c>
      <c r="D1371" s="83">
        <v>30</v>
      </c>
      <c r="E1371" s="103">
        <v>4423.7235099999998</v>
      </c>
      <c r="F1371" s="129" t="s">
        <v>148</v>
      </c>
    </row>
    <row r="1372" spans="1:6" ht="16" thickBot="1" x14ac:dyDescent="0.25">
      <c r="A1372" s="83">
        <v>4</v>
      </c>
      <c r="B1372" s="129" t="s">
        <v>253</v>
      </c>
      <c r="C1372" s="129" t="s">
        <v>147</v>
      </c>
      <c r="D1372" s="83">
        <v>1140</v>
      </c>
      <c r="E1372" s="103">
        <v>3786811.6170000001</v>
      </c>
      <c r="F1372" s="129" t="s">
        <v>256</v>
      </c>
    </row>
    <row r="1373" spans="1:6" ht="16" thickBot="1" x14ac:dyDescent="0.25">
      <c r="A1373" s="83">
        <v>4</v>
      </c>
      <c r="B1373" s="129" t="s">
        <v>253</v>
      </c>
      <c r="C1373" s="129" t="s">
        <v>147</v>
      </c>
      <c r="D1373" s="83">
        <v>536</v>
      </c>
      <c r="E1373" s="103">
        <v>134536.20045</v>
      </c>
      <c r="F1373" s="129" t="s">
        <v>148</v>
      </c>
    </row>
    <row r="1374" spans="1:6" ht="16" thickBot="1" x14ac:dyDescent="0.25">
      <c r="A1374" s="83">
        <v>4</v>
      </c>
      <c r="B1374" s="129" t="s">
        <v>151</v>
      </c>
      <c r="C1374" s="129" t="s">
        <v>152</v>
      </c>
      <c r="D1374" s="83">
        <v>2</v>
      </c>
      <c r="E1374" s="83">
        <v>988824</v>
      </c>
      <c r="F1374" s="129" t="s">
        <v>148</v>
      </c>
    </row>
    <row r="1375" spans="1:6" ht="16" thickBot="1" x14ac:dyDescent="0.25">
      <c r="A1375" s="83">
        <v>4</v>
      </c>
      <c r="B1375" s="129" t="s">
        <v>153</v>
      </c>
      <c r="C1375" s="129" t="s">
        <v>152</v>
      </c>
      <c r="D1375" s="83">
        <v>3</v>
      </c>
      <c r="E1375" s="103">
        <v>106371.96</v>
      </c>
      <c r="F1375" s="129" t="s">
        <v>256</v>
      </c>
    </row>
    <row r="1376" spans="1:6" ht="16" thickBot="1" x14ac:dyDescent="0.25">
      <c r="A1376" s="83">
        <v>4</v>
      </c>
      <c r="B1376" s="129" t="s">
        <v>153</v>
      </c>
      <c r="C1376" s="129" t="s">
        <v>152</v>
      </c>
      <c r="D1376" s="83">
        <v>2</v>
      </c>
      <c r="E1376" s="103">
        <v>15418.03</v>
      </c>
      <c r="F1376" s="129" t="s">
        <v>148</v>
      </c>
    </row>
    <row r="1377" spans="1:6" ht="16" thickBot="1" x14ac:dyDescent="0.25">
      <c r="A1377" s="83">
        <v>4</v>
      </c>
      <c r="B1377" s="129" t="s">
        <v>154</v>
      </c>
      <c r="C1377" s="129" t="s">
        <v>152</v>
      </c>
      <c r="D1377" s="83">
        <v>3</v>
      </c>
      <c r="E1377" s="103">
        <v>7553.951</v>
      </c>
      <c r="F1377" s="129" t="s">
        <v>256</v>
      </c>
    </row>
    <row r="1378" spans="1:6" ht="16" thickBot="1" x14ac:dyDescent="0.25">
      <c r="A1378" s="83">
        <v>4</v>
      </c>
      <c r="B1378" s="129" t="s">
        <v>156</v>
      </c>
      <c r="C1378" s="129" t="s">
        <v>152</v>
      </c>
      <c r="D1378" s="83">
        <v>12</v>
      </c>
      <c r="E1378" s="103">
        <v>33787.413999999997</v>
      </c>
      <c r="F1378" s="129" t="s">
        <v>256</v>
      </c>
    </row>
    <row r="1379" spans="1:6" ht="16" thickBot="1" x14ac:dyDescent="0.25">
      <c r="A1379" s="83">
        <v>4</v>
      </c>
      <c r="B1379" s="129" t="s">
        <v>156</v>
      </c>
      <c r="C1379" s="129" t="s">
        <v>152</v>
      </c>
      <c r="D1379" s="83">
        <v>1</v>
      </c>
      <c r="E1379" s="103">
        <v>2.1991200000000002</v>
      </c>
      <c r="F1379" s="129" t="s">
        <v>148</v>
      </c>
    </row>
    <row r="1380" spans="1:6" ht="16" thickBot="1" x14ac:dyDescent="0.25">
      <c r="A1380" s="83">
        <v>4</v>
      </c>
      <c r="B1380" s="129" t="s">
        <v>157</v>
      </c>
      <c r="C1380" s="129" t="s">
        <v>152</v>
      </c>
      <c r="D1380" s="83">
        <v>6</v>
      </c>
      <c r="E1380" s="103">
        <v>54244.004000000001</v>
      </c>
      <c r="F1380" s="129" t="s">
        <v>256</v>
      </c>
    </row>
    <row r="1381" spans="1:6" ht="16" thickBot="1" x14ac:dyDescent="0.25">
      <c r="A1381" s="83">
        <v>4</v>
      </c>
      <c r="B1381" s="129" t="s">
        <v>157</v>
      </c>
      <c r="C1381" s="129" t="s">
        <v>152</v>
      </c>
      <c r="D1381" s="83">
        <v>1</v>
      </c>
      <c r="E1381" s="103">
        <v>48.399679999999996</v>
      </c>
      <c r="F1381" s="129" t="s">
        <v>148</v>
      </c>
    </row>
    <row r="1382" spans="1:6" ht="16" thickBot="1" x14ac:dyDescent="0.25">
      <c r="A1382" s="83">
        <v>4</v>
      </c>
      <c r="B1382" s="129" t="s">
        <v>158</v>
      </c>
      <c r="C1382" s="129" t="s">
        <v>152</v>
      </c>
      <c r="D1382" s="83">
        <v>1</v>
      </c>
      <c r="E1382" s="83">
        <v>0</v>
      </c>
      <c r="F1382" s="129" t="s">
        <v>256</v>
      </c>
    </row>
    <row r="1383" spans="1:6" ht="16" thickBot="1" x14ac:dyDescent="0.25">
      <c r="A1383" s="83">
        <v>4</v>
      </c>
      <c r="B1383" s="129" t="s">
        <v>161</v>
      </c>
      <c r="C1383" s="129" t="s">
        <v>152</v>
      </c>
      <c r="D1383" s="83">
        <v>5</v>
      </c>
      <c r="E1383" s="103">
        <v>6283.6729999999998</v>
      </c>
      <c r="F1383" s="129" t="s">
        <v>256</v>
      </c>
    </row>
    <row r="1384" spans="1:6" ht="16" thickBot="1" x14ac:dyDescent="0.25">
      <c r="A1384" s="83">
        <v>4</v>
      </c>
      <c r="B1384" s="129" t="s">
        <v>162</v>
      </c>
      <c r="C1384" s="129" t="s">
        <v>152</v>
      </c>
      <c r="D1384" s="83">
        <v>1</v>
      </c>
      <c r="E1384" s="103">
        <v>3383.68</v>
      </c>
      <c r="F1384" s="129" t="s">
        <v>256</v>
      </c>
    </row>
    <row r="1385" spans="1:6" ht="16" thickBot="1" x14ac:dyDescent="0.25">
      <c r="A1385" s="83">
        <v>4</v>
      </c>
      <c r="B1385" s="129" t="s">
        <v>165</v>
      </c>
      <c r="C1385" s="129" t="s">
        <v>152</v>
      </c>
      <c r="D1385" s="83">
        <v>1</v>
      </c>
      <c r="E1385" s="103">
        <v>167.292</v>
      </c>
      <c r="F1385" s="129" t="s">
        <v>256</v>
      </c>
    </row>
    <row r="1386" spans="1:6" ht="16" thickBot="1" x14ac:dyDescent="0.25">
      <c r="A1386" s="83">
        <v>4</v>
      </c>
      <c r="B1386" s="129" t="s">
        <v>166</v>
      </c>
      <c r="C1386" s="129" t="s">
        <v>152</v>
      </c>
      <c r="D1386" s="83">
        <v>8</v>
      </c>
      <c r="E1386" s="103">
        <v>4280453.8</v>
      </c>
      <c r="F1386" s="129" t="s">
        <v>256</v>
      </c>
    </row>
    <row r="1387" spans="1:6" ht="16" thickBot="1" x14ac:dyDescent="0.25">
      <c r="A1387" s="83">
        <v>4</v>
      </c>
      <c r="B1387" s="129" t="s">
        <v>166</v>
      </c>
      <c r="C1387" s="129" t="s">
        <v>152</v>
      </c>
      <c r="D1387" s="83">
        <v>4</v>
      </c>
      <c r="E1387" s="103">
        <v>129873.60885</v>
      </c>
      <c r="F1387" s="129" t="s">
        <v>148</v>
      </c>
    </row>
    <row r="1388" spans="1:6" ht="16" thickBot="1" x14ac:dyDescent="0.25">
      <c r="A1388" s="83">
        <v>4</v>
      </c>
      <c r="B1388" s="129" t="s">
        <v>169</v>
      </c>
      <c r="C1388" s="129" t="s">
        <v>152</v>
      </c>
      <c r="D1388" s="83">
        <v>1</v>
      </c>
      <c r="E1388" s="103">
        <v>8386.52</v>
      </c>
      <c r="F1388" s="129" t="s">
        <v>256</v>
      </c>
    </row>
    <row r="1389" spans="1:6" ht="16" thickBot="1" x14ac:dyDescent="0.25">
      <c r="A1389" s="83">
        <v>4</v>
      </c>
      <c r="B1389" s="129" t="s">
        <v>170</v>
      </c>
      <c r="C1389" s="129" t="s">
        <v>152</v>
      </c>
      <c r="D1389" s="83">
        <v>2</v>
      </c>
      <c r="E1389" s="83">
        <v>302930</v>
      </c>
      <c r="F1389" s="129" t="s">
        <v>148</v>
      </c>
    </row>
    <row r="1390" spans="1:6" ht="16" thickBot="1" x14ac:dyDescent="0.25">
      <c r="A1390" s="83">
        <v>4</v>
      </c>
      <c r="B1390" s="129" t="s">
        <v>172</v>
      </c>
      <c r="C1390" s="129" t="s">
        <v>152</v>
      </c>
      <c r="D1390" s="83">
        <v>1</v>
      </c>
      <c r="E1390" s="103">
        <v>2748.83</v>
      </c>
      <c r="F1390" s="129" t="s">
        <v>256</v>
      </c>
    </row>
    <row r="1391" spans="1:6" ht="16" thickBot="1" x14ac:dyDescent="0.25">
      <c r="A1391" s="83">
        <v>4</v>
      </c>
      <c r="B1391" s="129" t="s">
        <v>173</v>
      </c>
      <c r="C1391" s="129" t="s">
        <v>152</v>
      </c>
      <c r="D1391" s="83">
        <v>1</v>
      </c>
      <c r="E1391" s="103">
        <v>2129.8609999999999</v>
      </c>
      <c r="F1391" s="129" t="s">
        <v>256</v>
      </c>
    </row>
    <row r="1392" spans="1:6" ht="16" thickBot="1" x14ac:dyDescent="0.25">
      <c r="A1392" s="83">
        <v>4</v>
      </c>
      <c r="B1392" s="129" t="s">
        <v>174</v>
      </c>
      <c r="C1392" s="129" t="s">
        <v>152</v>
      </c>
      <c r="D1392" s="83">
        <v>1</v>
      </c>
      <c r="E1392" s="103">
        <v>688.44</v>
      </c>
      <c r="F1392" s="129" t="s">
        <v>256</v>
      </c>
    </row>
    <row r="1393" spans="1:6" ht="16" thickBot="1" x14ac:dyDescent="0.25">
      <c r="A1393" s="83">
        <v>4</v>
      </c>
      <c r="B1393" s="129" t="s">
        <v>175</v>
      </c>
      <c r="C1393" s="129" t="s">
        <v>152</v>
      </c>
      <c r="D1393" s="83">
        <v>4</v>
      </c>
      <c r="E1393" s="103">
        <v>11467.486999999999</v>
      </c>
      <c r="F1393" s="129" t="s">
        <v>256</v>
      </c>
    </row>
    <row r="1394" spans="1:6" ht="16" thickBot="1" x14ac:dyDescent="0.25">
      <c r="A1394" s="83">
        <v>4</v>
      </c>
      <c r="B1394" s="129" t="s">
        <v>178</v>
      </c>
      <c r="C1394" s="129" t="s">
        <v>152</v>
      </c>
      <c r="D1394" s="83">
        <v>3</v>
      </c>
      <c r="E1394" s="103">
        <v>9293.3549999999996</v>
      </c>
      <c r="F1394" s="129" t="s">
        <v>256</v>
      </c>
    </row>
    <row r="1395" spans="1:6" ht="16" thickBot="1" x14ac:dyDescent="0.25">
      <c r="A1395" s="83">
        <v>4</v>
      </c>
      <c r="B1395" s="129" t="s">
        <v>182</v>
      </c>
      <c r="C1395" s="129" t="s">
        <v>152</v>
      </c>
      <c r="D1395" s="83">
        <v>1</v>
      </c>
      <c r="E1395" s="103">
        <v>1068.9490000000001</v>
      </c>
      <c r="F1395" s="129" t="s">
        <v>256</v>
      </c>
    </row>
    <row r="1396" spans="1:6" ht="16" thickBot="1" x14ac:dyDescent="0.25">
      <c r="A1396" s="83">
        <v>4</v>
      </c>
      <c r="B1396" s="129" t="s">
        <v>184</v>
      </c>
      <c r="C1396" s="129" t="s">
        <v>152</v>
      </c>
      <c r="D1396" s="83">
        <v>5</v>
      </c>
      <c r="E1396" s="103">
        <v>306398.228</v>
      </c>
      <c r="F1396" s="129" t="s">
        <v>256</v>
      </c>
    </row>
    <row r="1397" spans="1:6" ht="16" thickBot="1" x14ac:dyDescent="0.25">
      <c r="A1397" s="83">
        <v>4</v>
      </c>
      <c r="B1397" s="129" t="s">
        <v>185</v>
      </c>
      <c r="C1397" s="129" t="s">
        <v>152</v>
      </c>
      <c r="D1397" s="83">
        <v>3</v>
      </c>
      <c r="E1397" s="103">
        <v>11903.317999999999</v>
      </c>
      <c r="F1397" s="129" t="s">
        <v>256</v>
      </c>
    </row>
    <row r="1398" spans="1:6" ht="16" thickBot="1" x14ac:dyDescent="0.25">
      <c r="A1398" s="83">
        <v>4</v>
      </c>
      <c r="B1398" s="129" t="s">
        <v>186</v>
      </c>
      <c r="C1398" s="129" t="s">
        <v>152</v>
      </c>
      <c r="D1398" s="83">
        <v>3</v>
      </c>
      <c r="E1398" s="103">
        <v>40.311</v>
      </c>
      <c r="F1398" s="129" t="s">
        <v>256</v>
      </c>
    </row>
    <row r="1399" spans="1:6" ht="16" thickBot="1" x14ac:dyDescent="0.25">
      <c r="A1399" s="83">
        <v>4</v>
      </c>
      <c r="B1399" s="129" t="s">
        <v>189</v>
      </c>
      <c r="C1399" s="129" t="s">
        <v>152</v>
      </c>
      <c r="D1399" s="83">
        <v>2</v>
      </c>
      <c r="E1399" s="103">
        <v>143.36000000000001</v>
      </c>
      <c r="F1399" s="129" t="s">
        <v>256</v>
      </c>
    </row>
    <row r="1400" spans="1:6" ht="16" thickBot="1" x14ac:dyDescent="0.25">
      <c r="A1400" s="83">
        <v>4</v>
      </c>
      <c r="B1400" s="129" t="s">
        <v>191</v>
      </c>
      <c r="C1400" s="129" t="s">
        <v>152</v>
      </c>
      <c r="D1400" s="83">
        <v>6</v>
      </c>
      <c r="E1400" s="103">
        <v>38440.135000000002</v>
      </c>
      <c r="F1400" s="129" t="s">
        <v>256</v>
      </c>
    </row>
    <row r="1401" spans="1:6" ht="16" thickBot="1" x14ac:dyDescent="0.25">
      <c r="A1401" s="83">
        <v>4</v>
      </c>
      <c r="B1401" s="129" t="s">
        <v>191</v>
      </c>
      <c r="C1401" s="129" t="s">
        <v>152</v>
      </c>
      <c r="D1401" s="83">
        <v>1</v>
      </c>
      <c r="E1401" s="103">
        <v>787.08315000000005</v>
      </c>
      <c r="F1401" s="129" t="s">
        <v>148</v>
      </c>
    </row>
    <row r="1402" spans="1:6" ht="16" thickBot="1" x14ac:dyDescent="0.25">
      <c r="A1402" s="83">
        <v>4</v>
      </c>
      <c r="B1402" s="129" t="s">
        <v>192</v>
      </c>
      <c r="C1402" s="129" t="s">
        <v>152</v>
      </c>
      <c r="D1402" s="83">
        <v>1</v>
      </c>
      <c r="E1402" s="103">
        <v>2795.27</v>
      </c>
      <c r="F1402" s="129" t="s">
        <v>256</v>
      </c>
    </row>
    <row r="1403" spans="1:6" ht="16" thickBot="1" x14ac:dyDescent="0.25">
      <c r="A1403" s="83">
        <v>4</v>
      </c>
      <c r="B1403" s="129" t="s">
        <v>193</v>
      </c>
      <c r="C1403" s="129" t="s">
        <v>152</v>
      </c>
      <c r="D1403" s="83">
        <v>10</v>
      </c>
      <c r="E1403" s="103">
        <v>6835725.5049999999</v>
      </c>
      <c r="F1403" s="129" t="s">
        <v>256</v>
      </c>
    </row>
    <row r="1404" spans="1:6" ht="16" thickBot="1" x14ac:dyDescent="0.25">
      <c r="A1404" s="83">
        <v>4</v>
      </c>
      <c r="B1404" s="129" t="s">
        <v>193</v>
      </c>
      <c r="C1404" s="129" t="s">
        <v>152</v>
      </c>
      <c r="D1404" s="83">
        <v>3</v>
      </c>
      <c r="E1404" s="103">
        <v>3981.3312999999998</v>
      </c>
      <c r="F1404" s="129" t="s">
        <v>148</v>
      </c>
    </row>
    <row r="1405" spans="1:6" ht="16" thickBot="1" x14ac:dyDescent="0.25">
      <c r="A1405" s="83">
        <v>4</v>
      </c>
      <c r="B1405" s="129" t="s">
        <v>195</v>
      </c>
      <c r="C1405" s="129" t="s">
        <v>152</v>
      </c>
      <c r="D1405" s="83">
        <v>2</v>
      </c>
      <c r="E1405" s="103">
        <v>7608.2910000000002</v>
      </c>
      <c r="F1405" s="129" t="s">
        <v>256</v>
      </c>
    </row>
    <row r="1406" spans="1:6" ht="16" thickBot="1" x14ac:dyDescent="0.25">
      <c r="A1406" s="83">
        <v>4</v>
      </c>
      <c r="B1406" s="129" t="s">
        <v>196</v>
      </c>
      <c r="C1406" s="129" t="s">
        <v>152</v>
      </c>
      <c r="D1406" s="83">
        <v>4</v>
      </c>
      <c r="E1406" s="103">
        <v>625.14499999999998</v>
      </c>
      <c r="F1406" s="129" t="s">
        <v>256</v>
      </c>
    </row>
    <row r="1407" spans="1:6" ht="16" thickBot="1" x14ac:dyDescent="0.25">
      <c r="A1407" s="83">
        <v>4</v>
      </c>
      <c r="B1407" s="129" t="s">
        <v>198</v>
      </c>
      <c r="C1407" s="129" t="s">
        <v>152</v>
      </c>
      <c r="D1407" s="83">
        <v>1</v>
      </c>
      <c r="E1407" s="103">
        <v>545.18700000000001</v>
      </c>
      <c r="F1407" s="129" t="s">
        <v>256</v>
      </c>
    </row>
    <row r="1408" spans="1:6" ht="16" thickBot="1" x14ac:dyDescent="0.25">
      <c r="A1408" s="83">
        <v>4</v>
      </c>
      <c r="B1408" s="129" t="s">
        <v>200</v>
      </c>
      <c r="C1408" s="129" t="s">
        <v>152</v>
      </c>
      <c r="D1408" s="83">
        <v>3</v>
      </c>
      <c r="E1408" s="103">
        <v>16326.066999999999</v>
      </c>
      <c r="F1408" s="129" t="s">
        <v>256</v>
      </c>
    </row>
    <row r="1409" spans="1:6" ht="16" thickBot="1" x14ac:dyDescent="0.25">
      <c r="A1409" s="83">
        <v>4</v>
      </c>
      <c r="B1409" s="129" t="s">
        <v>205</v>
      </c>
      <c r="C1409" s="129" t="s">
        <v>152</v>
      </c>
      <c r="D1409" s="83">
        <v>5</v>
      </c>
      <c r="E1409" s="103">
        <v>13344003.98</v>
      </c>
      <c r="F1409" s="129" t="s">
        <v>256</v>
      </c>
    </row>
    <row r="1410" spans="1:6" ht="16" thickBot="1" x14ac:dyDescent="0.25">
      <c r="A1410" s="83">
        <v>4</v>
      </c>
      <c r="B1410" s="129" t="s">
        <v>205</v>
      </c>
      <c r="C1410" s="129" t="s">
        <v>152</v>
      </c>
      <c r="D1410" s="83">
        <v>3</v>
      </c>
      <c r="E1410" s="103">
        <v>591903.38176000002</v>
      </c>
      <c r="F1410" s="129" t="s">
        <v>148</v>
      </c>
    </row>
    <row r="1411" spans="1:6" ht="16" thickBot="1" x14ac:dyDescent="0.25">
      <c r="A1411" s="83">
        <v>4</v>
      </c>
      <c r="B1411" s="129" t="s">
        <v>206</v>
      </c>
      <c r="C1411" s="129" t="s">
        <v>152</v>
      </c>
      <c r="D1411" s="83">
        <v>2</v>
      </c>
      <c r="E1411" s="103">
        <v>8230.4580000000005</v>
      </c>
      <c r="F1411" s="129" t="s">
        <v>256</v>
      </c>
    </row>
    <row r="1412" spans="1:6" ht="16" thickBot="1" x14ac:dyDescent="0.25">
      <c r="A1412" s="83">
        <v>4</v>
      </c>
      <c r="B1412" s="129" t="s">
        <v>210</v>
      </c>
      <c r="C1412" s="129" t="s">
        <v>152</v>
      </c>
      <c r="D1412" s="83">
        <v>1</v>
      </c>
      <c r="E1412" s="103">
        <v>3132.3429999999998</v>
      </c>
      <c r="F1412" s="129" t="s">
        <v>256</v>
      </c>
    </row>
    <row r="1413" spans="1:6" ht="16" thickBot="1" x14ac:dyDescent="0.25">
      <c r="A1413" s="83">
        <v>4</v>
      </c>
      <c r="B1413" s="129" t="s">
        <v>213</v>
      </c>
      <c r="C1413" s="129" t="s">
        <v>152</v>
      </c>
      <c r="D1413" s="83">
        <v>3</v>
      </c>
      <c r="E1413" s="103">
        <v>34452.716999999997</v>
      </c>
      <c r="F1413" s="129" t="s">
        <v>256</v>
      </c>
    </row>
    <row r="1414" spans="1:6" ht="16" thickBot="1" x14ac:dyDescent="0.25">
      <c r="A1414" s="83">
        <v>4</v>
      </c>
      <c r="B1414" s="129" t="s">
        <v>214</v>
      </c>
      <c r="C1414" s="129" t="s">
        <v>152</v>
      </c>
      <c r="D1414" s="83">
        <v>2</v>
      </c>
      <c r="E1414" s="103">
        <v>5027.3019999999997</v>
      </c>
      <c r="F1414" s="129" t="s">
        <v>256</v>
      </c>
    </row>
    <row r="1415" spans="1:6" ht="16" thickBot="1" x14ac:dyDescent="0.25">
      <c r="A1415" s="83">
        <v>4</v>
      </c>
      <c r="B1415" s="129" t="s">
        <v>215</v>
      </c>
      <c r="C1415" s="129" t="s">
        <v>152</v>
      </c>
      <c r="D1415" s="83">
        <v>2</v>
      </c>
      <c r="E1415" s="103">
        <v>13754.775</v>
      </c>
      <c r="F1415" s="129" t="s">
        <v>256</v>
      </c>
    </row>
    <row r="1416" spans="1:6" ht="16" thickBot="1" x14ac:dyDescent="0.25">
      <c r="A1416" s="83">
        <v>4</v>
      </c>
      <c r="B1416" s="129" t="s">
        <v>217</v>
      </c>
      <c r="C1416" s="129" t="s">
        <v>152</v>
      </c>
      <c r="D1416" s="83">
        <v>5</v>
      </c>
      <c r="E1416" s="103">
        <v>5307.6540000000005</v>
      </c>
      <c r="F1416" s="129" t="s">
        <v>256</v>
      </c>
    </row>
    <row r="1417" spans="1:6" ht="16" thickBot="1" x14ac:dyDescent="0.25">
      <c r="A1417" s="83">
        <v>4</v>
      </c>
      <c r="B1417" s="129" t="s">
        <v>218</v>
      </c>
      <c r="C1417" s="129" t="s">
        <v>152</v>
      </c>
      <c r="D1417" s="83">
        <v>14</v>
      </c>
      <c r="E1417" s="103">
        <v>192795.899</v>
      </c>
      <c r="F1417" s="129" t="s">
        <v>256</v>
      </c>
    </row>
    <row r="1418" spans="1:6" ht="16" thickBot="1" x14ac:dyDescent="0.25">
      <c r="A1418" s="83">
        <v>4</v>
      </c>
      <c r="B1418" s="129" t="s">
        <v>218</v>
      </c>
      <c r="C1418" s="129" t="s">
        <v>152</v>
      </c>
      <c r="D1418" s="83">
        <v>1</v>
      </c>
      <c r="E1418" s="103">
        <v>12242.048000000001</v>
      </c>
      <c r="F1418" s="129" t="s">
        <v>148</v>
      </c>
    </row>
    <row r="1419" spans="1:6" ht="16" thickBot="1" x14ac:dyDescent="0.25">
      <c r="A1419" s="83">
        <v>4</v>
      </c>
      <c r="B1419" s="129" t="s">
        <v>221</v>
      </c>
      <c r="C1419" s="129" t="s">
        <v>152</v>
      </c>
      <c r="D1419" s="83">
        <v>1</v>
      </c>
      <c r="E1419" s="103">
        <v>1262.547</v>
      </c>
      <c r="F1419" s="129" t="s">
        <v>148</v>
      </c>
    </row>
    <row r="1420" spans="1:6" ht="16" thickBot="1" x14ac:dyDescent="0.25">
      <c r="A1420" s="83">
        <v>4</v>
      </c>
      <c r="B1420" s="129" t="s">
        <v>222</v>
      </c>
      <c r="C1420" s="129" t="s">
        <v>152</v>
      </c>
      <c r="D1420" s="83">
        <v>3</v>
      </c>
      <c r="E1420" s="103">
        <v>5216.53</v>
      </c>
      <c r="F1420" s="129" t="s">
        <v>256</v>
      </c>
    </row>
    <row r="1421" spans="1:6" ht="16" thickBot="1" x14ac:dyDescent="0.25">
      <c r="A1421" s="83">
        <v>4</v>
      </c>
      <c r="B1421" s="129" t="s">
        <v>223</v>
      </c>
      <c r="C1421" s="129" t="s">
        <v>152</v>
      </c>
      <c r="D1421" s="83">
        <v>4</v>
      </c>
      <c r="E1421" s="103">
        <v>6290.0110000000004</v>
      </c>
      <c r="F1421" s="129" t="s">
        <v>256</v>
      </c>
    </row>
    <row r="1422" spans="1:6" ht="16" thickBot="1" x14ac:dyDescent="0.25">
      <c r="A1422" s="83">
        <v>4</v>
      </c>
      <c r="B1422" s="129" t="s">
        <v>224</v>
      </c>
      <c r="C1422" s="129" t="s">
        <v>152</v>
      </c>
      <c r="D1422" s="83">
        <v>2</v>
      </c>
      <c r="E1422" s="103">
        <v>53744.84</v>
      </c>
      <c r="F1422" s="129" t="s">
        <v>256</v>
      </c>
    </row>
    <row r="1423" spans="1:6" ht="16" thickBot="1" x14ac:dyDescent="0.25">
      <c r="A1423" s="83">
        <v>4</v>
      </c>
      <c r="B1423" s="129" t="s">
        <v>226</v>
      </c>
      <c r="C1423" s="129" t="s">
        <v>152</v>
      </c>
      <c r="D1423" s="83">
        <v>2</v>
      </c>
      <c r="E1423" s="83">
        <v>54454</v>
      </c>
      <c r="F1423" s="129" t="s">
        <v>256</v>
      </c>
    </row>
    <row r="1424" spans="1:6" ht="16" thickBot="1" x14ac:dyDescent="0.25">
      <c r="A1424" s="83">
        <v>4</v>
      </c>
      <c r="B1424" s="129" t="s">
        <v>227</v>
      </c>
      <c r="C1424" s="129" t="s">
        <v>152</v>
      </c>
      <c r="D1424" s="83">
        <v>2</v>
      </c>
      <c r="E1424" s="103">
        <v>6984.51</v>
      </c>
      <c r="F1424" s="129" t="s">
        <v>256</v>
      </c>
    </row>
    <row r="1425" spans="1:6" ht="16" thickBot="1" x14ac:dyDescent="0.25">
      <c r="A1425" s="83">
        <v>4</v>
      </c>
      <c r="B1425" s="129" t="s">
        <v>228</v>
      </c>
      <c r="C1425" s="129" t="s">
        <v>152</v>
      </c>
      <c r="D1425" s="83">
        <v>2</v>
      </c>
      <c r="E1425" s="103">
        <v>326664.91399999999</v>
      </c>
      <c r="F1425" s="129" t="s">
        <v>256</v>
      </c>
    </row>
    <row r="1426" spans="1:6" ht="16" thickBot="1" x14ac:dyDescent="0.25">
      <c r="A1426" s="83">
        <v>4</v>
      </c>
      <c r="B1426" s="129" t="s">
        <v>228</v>
      </c>
      <c r="C1426" s="129" t="s">
        <v>152</v>
      </c>
      <c r="D1426" s="83">
        <v>2</v>
      </c>
      <c r="E1426" s="83">
        <v>175488</v>
      </c>
      <c r="F1426" s="129" t="s">
        <v>148</v>
      </c>
    </row>
    <row r="1427" spans="1:6" ht="16" thickBot="1" x14ac:dyDescent="0.25">
      <c r="A1427" s="83">
        <v>4</v>
      </c>
      <c r="B1427" s="129" t="s">
        <v>230</v>
      </c>
      <c r="C1427" s="129" t="s">
        <v>152</v>
      </c>
      <c r="D1427" s="83">
        <v>7</v>
      </c>
      <c r="E1427" s="103">
        <v>296227.48800000001</v>
      </c>
      <c r="F1427" s="129" t="s">
        <v>256</v>
      </c>
    </row>
    <row r="1428" spans="1:6" ht="16" thickBot="1" x14ac:dyDescent="0.25">
      <c r="A1428" s="83">
        <v>4</v>
      </c>
      <c r="B1428" s="129" t="s">
        <v>230</v>
      </c>
      <c r="C1428" s="129" t="s">
        <v>152</v>
      </c>
      <c r="D1428" s="83">
        <v>1</v>
      </c>
      <c r="E1428" s="103">
        <v>622.15499999999997</v>
      </c>
      <c r="F1428" s="129" t="s">
        <v>148</v>
      </c>
    </row>
    <row r="1429" spans="1:6" ht="16" thickBot="1" x14ac:dyDescent="0.25">
      <c r="A1429" s="83">
        <v>4</v>
      </c>
      <c r="B1429" s="129" t="s">
        <v>231</v>
      </c>
      <c r="C1429" s="129" t="s">
        <v>152</v>
      </c>
      <c r="D1429" s="83">
        <v>26</v>
      </c>
      <c r="E1429" s="103">
        <v>3676987.2689999999</v>
      </c>
      <c r="F1429" s="129" t="s">
        <v>256</v>
      </c>
    </row>
    <row r="1430" spans="1:6" ht="16" thickBot="1" x14ac:dyDescent="0.25">
      <c r="A1430" s="83">
        <v>4</v>
      </c>
      <c r="B1430" s="129" t="s">
        <v>231</v>
      </c>
      <c r="C1430" s="129" t="s">
        <v>152</v>
      </c>
      <c r="D1430" s="83">
        <v>17</v>
      </c>
      <c r="E1430" s="103">
        <v>37833.083890000002</v>
      </c>
      <c r="F1430" s="129" t="s">
        <v>148</v>
      </c>
    </row>
    <row r="1431" spans="1:6" ht="16" thickBot="1" x14ac:dyDescent="0.25">
      <c r="A1431" s="83">
        <v>4</v>
      </c>
      <c r="B1431" s="129" t="s">
        <v>233</v>
      </c>
      <c r="C1431" s="129" t="s">
        <v>152</v>
      </c>
      <c r="D1431" s="83">
        <v>1</v>
      </c>
      <c r="E1431" s="103">
        <v>406.779</v>
      </c>
      <c r="F1431" s="129" t="s">
        <v>256</v>
      </c>
    </row>
    <row r="1432" spans="1:6" ht="16" thickBot="1" x14ac:dyDescent="0.25">
      <c r="A1432" s="83">
        <v>4</v>
      </c>
      <c r="B1432" s="129" t="s">
        <v>234</v>
      </c>
      <c r="C1432" s="129" t="s">
        <v>152</v>
      </c>
      <c r="D1432" s="83">
        <v>1</v>
      </c>
      <c r="E1432" s="103">
        <v>160536.79999999999</v>
      </c>
      <c r="F1432" s="129" t="s">
        <v>256</v>
      </c>
    </row>
    <row r="1433" spans="1:6" ht="16" thickBot="1" x14ac:dyDescent="0.25">
      <c r="A1433" s="83">
        <v>4</v>
      </c>
      <c r="B1433" s="129" t="s">
        <v>235</v>
      </c>
      <c r="C1433" s="129" t="s">
        <v>152</v>
      </c>
      <c r="D1433" s="83">
        <v>10</v>
      </c>
      <c r="E1433" s="103">
        <v>187763970.12</v>
      </c>
      <c r="F1433" s="129" t="s">
        <v>256</v>
      </c>
    </row>
    <row r="1434" spans="1:6" ht="16" thickBot="1" x14ac:dyDescent="0.25">
      <c r="A1434" s="83">
        <v>4</v>
      </c>
      <c r="B1434" s="129" t="s">
        <v>235</v>
      </c>
      <c r="C1434" s="129" t="s">
        <v>152</v>
      </c>
      <c r="D1434" s="83">
        <v>1</v>
      </c>
      <c r="E1434" s="103">
        <v>694.79200000000003</v>
      </c>
      <c r="F1434" s="129" t="s">
        <v>148</v>
      </c>
    </row>
    <row r="1435" spans="1:6" ht="16" thickBot="1" x14ac:dyDescent="0.25">
      <c r="A1435" s="83">
        <v>4</v>
      </c>
      <c r="B1435" s="129" t="s">
        <v>236</v>
      </c>
      <c r="C1435" s="129" t="s">
        <v>152</v>
      </c>
      <c r="D1435" s="83">
        <v>2</v>
      </c>
      <c r="E1435" s="103">
        <v>17204.39</v>
      </c>
      <c r="F1435" s="129" t="s">
        <v>256</v>
      </c>
    </row>
    <row r="1436" spans="1:6" ht="16" thickBot="1" x14ac:dyDescent="0.25">
      <c r="A1436" s="83">
        <v>4</v>
      </c>
      <c r="B1436" s="129" t="s">
        <v>236</v>
      </c>
      <c r="C1436" s="129" t="s">
        <v>152</v>
      </c>
      <c r="D1436" s="83">
        <v>3</v>
      </c>
      <c r="E1436" s="103">
        <v>56704.044600000001</v>
      </c>
      <c r="F1436" s="129" t="s">
        <v>148</v>
      </c>
    </row>
    <row r="1437" spans="1:6" ht="16" thickBot="1" x14ac:dyDescent="0.25">
      <c r="A1437" s="83">
        <v>4</v>
      </c>
      <c r="B1437" s="129" t="s">
        <v>237</v>
      </c>
      <c r="C1437" s="129" t="s">
        <v>152</v>
      </c>
      <c r="D1437" s="83">
        <v>9</v>
      </c>
      <c r="E1437" s="103">
        <v>870707.53599999996</v>
      </c>
      <c r="F1437" s="129" t="s">
        <v>256</v>
      </c>
    </row>
    <row r="1438" spans="1:6" ht="16" thickBot="1" x14ac:dyDescent="0.25">
      <c r="A1438" s="83">
        <v>4</v>
      </c>
      <c r="B1438" s="129" t="s">
        <v>237</v>
      </c>
      <c r="C1438" s="129" t="s">
        <v>152</v>
      </c>
      <c r="D1438" s="83">
        <v>4</v>
      </c>
      <c r="E1438" s="103">
        <v>98.891599999999997</v>
      </c>
      <c r="F1438" s="129" t="s">
        <v>148</v>
      </c>
    </row>
    <row r="1439" spans="1:6" ht="16" thickBot="1" x14ac:dyDescent="0.25">
      <c r="A1439" s="83">
        <v>4</v>
      </c>
      <c r="B1439" s="129" t="s">
        <v>238</v>
      </c>
      <c r="C1439" s="129" t="s">
        <v>152</v>
      </c>
      <c r="D1439" s="83">
        <v>41</v>
      </c>
      <c r="E1439" s="103">
        <v>1284745.4850000001</v>
      </c>
      <c r="F1439" s="129" t="s">
        <v>256</v>
      </c>
    </row>
    <row r="1440" spans="1:6" ht="16" thickBot="1" x14ac:dyDescent="0.25">
      <c r="A1440" s="83">
        <v>4</v>
      </c>
      <c r="B1440" s="129" t="s">
        <v>238</v>
      </c>
      <c r="C1440" s="129" t="s">
        <v>152</v>
      </c>
      <c r="D1440" s="83">
        <v>33</v>
      </c>
      <c r="E1440" s="103">
        <v>129690.90106</v>
      </c>
      <c r="F1440" s="129" t="s">
        <v>148</v>
      </c>
    </row>
    <row r="1441" spans="1:6" ht="16" thickBot="1" x14ac:dyDescent="0.25">
      <c r="A1441" s="83">
        <v>4</v>
      </c>
      <c r="B1441" s="129" t="s">
        <v>239</v>
      </c>
      <c r="C1441" s="129" t="s">
        <v>152</v>
      </c>
      <c r="D1441" s="83">
        <v>42</v>
      </c>
      <c r="E1441" s="103">
        <v>36210415.362000003</v>
      </c>
      <c r="F1441" s="129" t="s">
        <v>256</v>
      </c>
    </row>
    <row r="1442" spans="1:6" ht="16" thickBot="1" x14ac:dyDescent="0.25">
      <c r="A1442" s="83">
        <v>4</v>
      </c>
      <c r="B1442" s="129" t="s">
        <v>239</v>
      </c>
      <c r="C1442" s="129" t="s">
        <v>152</v>
      </c>
      <c r="D1442" s="83">
        <v>34</v>
      </c>
      <c r="E1442" s="103">
        <v>4605699.7737999996</v>
      </c>
      <c r="F1442" s="129" t="s">
        <v>148</v>
      </c>
    </row>
    <row r="1443" spans="1:6" ht="16" thickBot="1" x14ac:dyDescent="0.25">
      <c r="A1443" s="83">
        <v>4</v>
      </c>
      <c r="B1443" s="129" t="s">
        <v>240</v>
      </c>
      <c r="C1443" s="129" t="s">
        <v>152</v>
      </c>
      <c r="D1443" s="83">
        <v>5</v>
      </c>
      <c r="E1443" s="103">
        <v>201778.28</v>
      </c>
      <c r="F1443" s="129" t="s">
        <v>256</v>
      </c>
    </row>
    <row r="1444" spans="1:6" ht="16" thickBot="1" x14ac:dyDescent="0.25">
      <c r="A1444" s="83">
        <v>4</v>
      </c>
      <c r="B1444" s="129" t="s">
        <v>240</v>
      </c>
      <c r="C1444" s="129" t="s">
        <v>152</v>
      </c>
      <c r="D1444" s="83">
        <v>4</v>
      </c>
      <c r="E1444" s="103">
        <v>112170.18330999999</v>
      </c>
      <c r="F1444" s="129" t="s">
        <v>148</v>
      </c>
    </row>
    <row r="1445" spans="1:6" ht="16" thickBot="1" x14ac:dyDescent="0.25">
      <c r="A1445" s="83">
        <v>4</v>
      </c>
      <c r="B1445" s="129" t="s">
        <v>241</v>
      </c>
      <c r="C1445" s="129" t="s">
        <v>152</v>
      </c>
      <c r="D1445" s="83">
        <v>3</v>
      </c>
      <c r="E1445" s="103">
        <v>187682.32</v>
      </c>
      <c r="F1445" s="129" t="s">
        <v>256</v>
      </c>
    </row>
    <row r="1446" spans="1:6" ht="16" thickBot="1" x14ac:dyDescent="0.25">
      <c r="A1446" s="83">
        <v>4</v>
      </c>
      <c r="B1446" s="129" t="s">
        <v>241</v>
      </c>
      <c r="C1446" s="129" t="s">
        <v>152</v>
      </c>
      <c r="D1446" s="83">
        <v>2</v>
      </c>
      <c r="E1446" s="83">
        <v>362392</v>
      </c>
      <c r="F1446" s="129" t="s">
        <v>148</v>
      </c>
    </row>
    <row r="1447" spans="1:6" ht="16" thickBot="1" x14ac:dyDescent="0.25">
      <c r="A1447" s="83">
        <v>4</v>
      </c>
      <c r="B1447" s="129" t="s">
        <v>243</v>
      </c>
      <c r="C1447" s="129" t="s">
        <v>152</v>
      </c>
      <c r="D1447" s="83">
        <v>1</v>
      </c>
      <c r="E1447" s="83">
        <v>0</v>
      </c>
      <c r="F1447" s="129" t="s">
        <v>256</v>
      </c>
    </row>
    <row r="1448" spans="1:6" ht="16" thickBot="1" x14ac:dyDescent="0.25">
      <c r="A1448" s="83">
        <v>4</v>
      </c>
      <c r="B1448" s="129" t="s">
        <v>245</v>
      </c>
      <c r="C1448" s="129" t="s">
        <v>152</v>
      </c>
      <c r="D1448" s="83">
        <v>11</v>
      </c>
      <c r="E1448" s="103">
        <v>12032685.013</v>
      </c>
      <c r="F1448" s="129" t="s">
        <v>256</v>
      </c>
    </row>
    <row r="1449" spans="1:6" ht="16" thickBot="1" x14ac:dyDescent="0.25">
      <c r="A1449" s="83">
        <v>4</v>
      </c>
      <c r="B1449" s="129" t="s">
        <v>245</v>
      </c>
      <c r="C1449" s="129" t="s">
        <v>152</v>
      </c>
      <c r="D1449" s="83">
        <v>7</v>
      </c>
      <c r="E1449" s="103">
        <v>1378351.7937400001</v>
      </c>
      <c r="F1449" s="129" t="s">
        <v>148</v>
      </c>
    </row>
    <row r="1450" spans="1:6" ht="16" thickBot="1" x14ac:dyDescent="0.25">
      <c r="A1450" s="83">
        <v>4</v>
      </c>
      <c r="B1450" s="129" t="s">
        <v>247</v>
      </c>
      <c r="C1450" s="129" t="s">
        <v>152</v>
      </c>
      <c r="D1450" s="83">
        <v>2</v>
      </c>
      <c r="E1450" s="83">
        <v>7707</v>
      </c>
      <c r="F1450" s="129" t="s">
        <v>148</v>
      </c>
    </row>
    <row r="1451" spans="1:6" ht="16" thickBot="1" x14ac:dyDescent="0.25">
      <c r="A1451" s="83">
        <v>4</v>
      </c>
      <c r="B1451" s="129" t="s">
        <v>250</v>
      </c>
      <c r="C1451" s="129" t="s">
        <v>152</v>
      </c>
      <c r="D1451" s="83">
        <v>23</v>
      </c>
      <c r="E1451" s="103">
        <v>45191875.048</v>
      </c>
      <c r="F1451" s="129" t="s">
        <v>256</v>
      </c>
    </row>
    <row r="1452" spans="1:6" ht="16" thickBot="1" x14ac:dyDescent="0.25">
      <c r="A1452" s="83">
        <v>4</v>
      </c>
      <c r="B1452" s="129" t="s">
        <v>251</v>
      </c>
      <c r="C1452" s="129" t="s">
        <v>152</v>
      </c>
      <c r="D1452" s="83">
        <v>1</v>
      </c>
      <c r="E1452" s="103">
        <v>390.12099999999998</v>
      </c>
      <c r="F1452" s="129" t="s">
        <v>256</v>
      </c>
    </row>
    <row r="1453" spans="1:6" ht="16" thickBot="1" x14ac:dyDescent="0.25">
      <c r="A1453" s="83">
        <v>4</v>
      </c>
      <c r="B1453" s="129" t="s">
        <v>252</v>
      </c>
      <c r="C1453" s="129" t="s">
        <v>152</v>
      </c>
      <c r="D1453" s="83">
        <v>3</v>
      </c>
      <c r="E1453" s="103">
        <v>11288.456</v>
      </c>
      <c r="F1453" s="129" t="s">
        <v>256</v>
      </c>
    </row>
    <row r="1454" spans="1:6" ht="16" thickBot="1" x14ac:dyDescent="0.25">
      <c r="A1454" s="83">
        <v>4</v>
      </c>
      <c r="B1454" s="129" t="s">
        <v>253</v>
      </c>
      <c r="C1454" s="129" t="s">
        <v>152</v>
      </c>
      <c r="D1454" s="83">
        <v>9</v>
      </c>
      <c r="E1454" s="103">
        <v>11723.757</v>
      </c>
      <c r="F1454" s="129" t="s">
        <v>256</v>
      </c>
    </row>
    <row r="1455" spans="1:6" ht="16" thickBot="1" x14ac:dyDescent="0.25">
      <c r="A1455" s="83">
        <v>4</v>
      </c>
      <c r="B1455" s="129" t="s">
        <v>253</v>
      </c>
      <c r="C1455" s="129" t="s">
        <v>152</v>
      </c>
      <c r="D1455" s="83">
        <v>1</v>
      </c>
      <c r="E1455" s="103">
        <v>359.38240000000002</v>
      </c>
      <c r="F1455" s="129" t="s">
        <v>148</v>
      </c>
    </row>
    <row r="1456" spans="1:6" ht="16" thickBot="1" x14ac:dyDescent="0.25">
      <c r="A1456" s="83">
        <v>4</v>
      </c>
      <c r="B1456" s="129" t="s">
        <v>146</v>
      </c>
      <c r="C1456" s="129" t="s">
        <v>149</v>
      </c>
      <c r="D1456" s="83">
        <v>797</v>
      </c>
      <c r="E1456" s="103">
        <v>44343.437129999998</v>
      </c>
      <c r="F1456" s="129" t="s">
        <v>148</v>
      </c>
    </row>
    <row r="1457" spans="1:6" ht="16" thickBot="1" x14ac:dyDescent="0.25">
      <c r="A1457" s="83">
        <v>4</v>
      </c>
      <c r="B1457" s="129" t="s">
        <v>150</v>
      </c>
      <c r="C1457" s="129" t="s">
        <v>149</v>
      </c>
      <c r="D1457" s="83">
        <v>444</v>
      </c>
      <c r="E1457" s="103">
        <v>24271.947990000001</v>
      </c>
      <c r="F1457" s="129" t="s">
        <v>148</v>
      </c>
    </row>
    <row r="1458" spans="1:6" ht="16" thickBot="1" x14ac:dyDescent="0.25">
      <c r="A1458" s="83">
        <v>4</v>
      </c>
      <c r="B1458" s="129" t="s">
        <v>151</v>
      </c>
      <c r="C1458" s="129" t="s">
        <v>149</v>
      </c>
      <c r="D1458" s="83">
        <v>2</v>
      </c>
      <c r="E1458" s="103">
        <v>2661.6770000000001</v>
      </c>
      <c r="F1458" s="129" t="s">
        <v>256</v>
      </c>
    </row>
    <row r="1459" spans="1:6" ht="16" thickBot="1" x14ac:dyDescent="0.25">
      <c r="A1459" s="83">
        <v>4</v>
      </c>
      <c r="B1459" s="129" t="s">
        <v>151</v>
      </c>
      <c r="C1459" s="129" t="s">
        <v>149</v>
      </c>
      <c r="D1459" s="83">
        <v>11</v>
      </c>
      <c r="E1459" s="103">
        <v>290.14165000000003</v>
      </c>
      <c r="F1459" s="129" t="s">
        <v>148</v>
      </c>
    </row>
    <row r="1460" spans="1:6" ht="16" thickBot="1" x14ac:dyDescent="0.25">
      <c r="A1460" s="83">
        <v>4</v>
      </c>
      <c r="B1460" s="129" t="s">
        <v>153</v>
      </c>
      <c r="C1460" s="129" t="s">
        <v>149</v>
      </c>
      <c r="D1460" s="83">
        <v>1297</v>
      </c>
      <c r="E1460" s="103">
        <v>987673.90800000005</v>
      </c>
      <c r="F1460" s="129" t="s">
        <v>256</v>
      </c>
    </row>
    <row r="1461" spans="1:6" ht="16" thickBot="1" x14ac:dyDescent="0.25">
      <c r="A1461" s="83">
        <v>4</v>
      </c>
      <c r="B1461" s="129" t="s">
        <v>153</v>
      </c>
      <c r="C1461" s="129" t="s">
        <v>149</v>
      </c>
      <c r="D1461" s="83">
        <v>1263</v>
      </c>
      <c r="E1461" s="103">
        <v>76838.013269999996</v>
      </c>
      <c r="F1461" s="129" t="s">
        <v>148</v>
      </c>
    </row>
    <row r="1462" spans="1:6" ht="16" thickBot="1" x14ac:dyDescent="0.25">
      <c r="A1462" s="83">
        <v>4</v>
      </c>
      <c r="B1462" s="129" t="s">
        <v>154</v>
      </c>
      <c r="C1462" s="129" t="s">
        <v>149</v>
      </c>
      <c r="D1462" s="83">
        <v>1193</v>
      </c>
      <c r="E1462" s="103">
        <v>1332004.8600000001</v>
      </c>
      <c r="F1462" s="129" t="s">
        <v>256</v>
      </c>
    </row>
    <row r="1463" spans="1:6" ht="16" thickBot="1" x14ac:dyDescent="0.25">
      <c r="A1463" s="83">
        <v>4</v>
      </c>
      <c r="B1463" s="129" t="s">
        <v>154</v>
      </c>
      <c r="C1463" s="129" t="s">
        <v>149</v>
      </c>
      <c r="D1463" s="83">
        <v>564</v>
      </c>
      <c r="E1463" s="103">
        <v>32526.670450000001</v>
      </c>
      <c r="F1463" s="129" t="s">
        <v>148</v>
      </c>
    </row>
    <row r="1464" spans="1:6" ht="16" thickBot="1" x14ac:dyDescent="0.25">
      <c r="A1464" s="83">
        <v>4</v>
      </c>
      <c r="B1464" s="129" t="s">
        <v>155</v>
      </c>
      <c r="C1464" s="129" t="s">
        <v>149</v>
      </c>
      <c r="D1464" s="83">
        <v>359</v>
      </c>
      <c r="E1464" s="103">
        <v>546213.24300000002</v>
      </c>
      <c r="F1464" s="129" t="s">
        <v>256</v>
      </c>
    </row>
    <row r="1465" spans="1:6" ht="16" thickBot="1" x14ac:dyDescent="0.25">
      <c r="A1465" s="83">
        <v>4</v>
      </c>
      <c r="B1465" s="129" t="s">
        <v>155</v>
      </c>
      <c r="C1465" s="129" t="s">
        <v>149</v>
      </c>
      <c r="D1465" s="83">
        <v>2661</v>
      </c>
      <c r="E1465" s="103">
        <v>156476.48824999999</v>
      </c>
      <c r="F1465" s="129" t="s">
        <v>148</v>
      </c>
    </row>
    <row r="1466" spans="1:6" ht="16" thickBot="1" x14ac:dyDescent="0.25">
      <c r="A1466" s="83">
        <v>4</v>
      </c>
      <c r="B1466" s="129" t="s">
        <v>156</v>
      </c>
      <c r="C1466" s="129" t="s">
        <v>149</v>
      </c>
      <c r="D1466" s="83">
        <v>2782</v>
      </c>
      <c r="E1466" s="103">
        <v>2766871.7560000001</v>
      </c>
      <c r="F1466" s="129" t="s">
        <v>256</v>
      </c>
    </row>
    <row r="1467" spans="1:6" ht="16" thickBot="1" x14ac:dyDescent="0.25">
      <c r="A1467" s="83">
        <v>4</v>
      </c>
      <c r="B1467" s="129" t="s">
        <v>156</v>
      </c>
      <c r="C1467" s="129" t="s">
        <v>149</v>
      </c>
      <c r="D1467" s="83">
        <v>2709</v>
      </c>
      <c r="E1467" s="103">
        <v>204389.80303000001</v>
      </c>
      <c r="F1467" s="129" t="s">
        <v>148</v>
      </c>
    </row>
    <row r="1468" spans="1:6" ht="16" thickBot="1" x14ac:dyDescent="0.25">
      <c r="A1468" s="83">
        <v>4</v>
      </c>
      <c r="B1468" s="129" t="s">
        <v>157</v>
      </c>
      <c r="C1468" s="129" t="s">
        <v>149</v>
      </c>
      <c r="D1468" s="83">
        <v>3274</v>
      </c>
      <c r="E1468" s="103">
        <v>3934649.9649999999</v>
      </c>
      <c r="F1468" s="129" t="s">
        <v>256</v>
      </c>
    </row>
    <row r="1469" spans="1:6" ht="16" thickBot="1" x14ac:dyDescent="0.25">
      <c r="A1469" s="83">
        <v>4</v>
      </c>
      <c r="B1469" s="129" t="s">
        <v>157</v>
      </c>
      <c r="C1469" s="129" t="s">
        <v>149</v>
      </c>
      <c r="D1469" s="83">
        <v>2277</v>
      </c>
      <c r="E1469" s="103">
        <v>162101.52132999999</v>
      </c>
      <c r="F1469" s="129" t="s">
        <v>148</v>
      </c>
    </row>
    <row r="1470" spans="1:6" ht="16" thickBot="1" x14ac:dyDescent="0.25">
      <c r="A1470" s="83">
        <v>4</v>
      </c>
      <c r="B1470" s="129" t="s">
        <v>158</v>
      </c>
      <c r="C1470" s="129" t="s">
        <v>149</v>
      </c>
      <c r="D1470" s="83">
        <v>263</v>
      </c>
      <c r="E1470" s="103">
        <v>399857.04</v>
      </c>
      <c r="F1470" s="129" t="s">
        <v>256</v>
      </c>
    </row>
    <row r="1471" spans="1:6" ht="16" thickBot="1" x14ac:dyDescent="0.25">
      <c r="A1471" s="83">
        <v>4</v>
      </c>
      <c r="B1471" s="129" t="s">
        <v>158</v>
      </c>
      <c r="C1471" s="129" t="s">
        <v>149</v>
      </c>
      <c r="D1471" s="83">
        <v>4</v>
      </c>
      <c r="E1471" s="103">
        <v>350.07805000000002</v>
      </c>
      <c r="F1471" s="129" t="s">
        <v>148</v>
      </c>
    </row>
    <row r="1472" spans="1:6" ht="16" thickBot="1" x14ac:dyDescent="0.25">
      <c r="A1472" s="83">
        <v>4</v>
      </c>
      <c r="B1472" s="129" t="s">
        <v>159</v>
      </c>
      <c r="C1472" s="129" t="s">
        <v>149</v>
      </c>
      <c r="D1472" s="83">
        <v>548</v>
      </c>
      <c r="E1472" s="103">
        <v>741173.72199999995</v>
      </c>
      <c r="F1472" s="129" t="s">
        <v>256</v>
      </c>
    </row>
    <row r="1473" spans="1:6" ht="16" thickBot="1" x14ac:dyDescent="0.25">
      <c r="A1473" s="83">
        <v>4</v>
      </c>
      <c r="B1473" s="129" t="s">
        <v>160</v>
      </c>
      <c r="C1473" s="129" t="s">
        <v>149</v>
      </c>
      <c r="D1473" s="83">
        <v>646</v>
      </c>
      <c r="E1473" s="103">
        <v>415962.49800000002</v>
      </c>
      <c r="F1473" s="129" t="s">
        <v>256</v>
      </c>
    </row>
    <row r="1474" spans="1:6" ht="16" thickBot="1" x14ac:dyDescent="0.25">
      <c r="A1474" s="83">
        <v>4</v>
      </c>
      <c r="B1474" s="129" t="s">
        <v>160</v>
      </c>
      <c r="C1474" s="129" t="s">
        <v>149</v>
      </c>
      <c r="D1474" s="83">
        <v>643</v>
      </c>
      <c r="E1474" s="103">
        <v>66332.084340000001</v>
      </c>
      <c r="F1474" s="129" t="s">
        <v>148</v>
      </c>
    </row>
    <row r="1475" spans="1:6" ht="16" thickBot="1" x14ac:dyDescent="0.25">
      <c r="A1475" s="83">
        <v>4</v>
      </c>
      <c r="B1475" s="129" t="s">
        <v>161</v>
      </c>
      <c r="C1475" s="129" t="s">
        <v>149</v>
      </c>
      <c r="D1475" s="83">
        <v>441</v>
      </c>
      <c r="E1475" s="103">
        <v>596521.223</v>
      </c>
      <c r="F1475" s="129" t="s">
        <v>256</v>
      </c>
    </row>
    <row r="1476" spans="1:6" ht="16" thickBot="1" x14ac:dyDescent="0.25">
      <c r="A1476" s="83">
        <v>4</v>
      </c>
      <c r="B1476" s="129" t="s">
        <v>162</v>
      </c>
      <c r="C1476" s="129" t="s">
        <v>149</v>
      </c>
      <c r="D1476" s="83">
        <v>707</v>
      </c>
      <c r="E1476" s="103">
        <v>911941.26199999999</v>
      </c>
      <c r="F1476" s="129" t="s">
        <v>256</v>
      </c>
    </row>
    <row r="1477" spans="1:6" ht="16" thickBot="1" x14ac:dyDescent="0.25">
      <c r="A1477" s="83">
        <v>4</v>
      </c>
      <c r="B1477" s="129" t="s">
        <v>163</v>
      </c>
      <c r="C1477" s="129" t="s">
        <v>149</v>
      </c>
      <c r="D1477" s="83">
        <v>84</v>
      </c>
      <c r="E1477" s="103">
        <v>111102.757</v>
      </c>
      <c r="F1477" s="129" t="s">
        <v>256</v>
      </c>
    </row>
    <row r="1478" spans="1:6" ht="16" thickBot="1" x14ac:dyDescent="0.25">
      <c r="A1478" s="83">
        <v>4</v>
      </c>
      <c r="B1478" s="129" t="s">
        <v>163</v>
      </c>
      <c r="C1478" s="129" t="s">
        <v>149</v>
      </c>
      <c r="D1478" s="83">
        <v>7</v>
      </c>
      <c r="E1478" s="103">
        <v>357.05808999999999</v>
      </c>
      <c r="F1478" s="129" t="s">
        <v>148</v>
      </c>
    </row>
    <row r="1479" spans="1:6" ht="16" thickBot="1" x14ac:dyDescent="0.25">
      <c r="A1479" s="83">
        <v>4</v>
      </c>
      <c r="B1479" s="129" t="s">
        <v>164</v>
      </c>
      <c r="C1479" s="129" t="s">
        <v>149</v>
      </c>
      <c r="D1479" s="83">
        <v>7195</v>
      </c>
      <c r="E1479" s="103">
        <v>5882568.9450000003</v>
      </c>
      <c r="F1479" s="129" t="s">
        <v>256</v>
      </c>
    </row>
    <row r="1480" spans="1:6" ht="16" thickBot="1" x14ac:dyDescent="0.25">
      <c r="A1480" s="83">
        <v>4</v>
      </c>
      <c r="B1480" s="129" t="s">
        <v>164</v>
      </c>
      <c r="C1480" s="129" t="s">
        <v>149</v>
      </c>
      <c r="D1480" s="83">
        <v>6886</v>
      </c>
      <c r="E1480" s="103">
        <v>387183.27496000001</v>
      </c>
      <c r="F1480" s="129" t="s">
        <v>148</v>
      </c>
    </row>
    <row r="1481" spans="1:6" ht="16" thickBot="1" x14ac:dyDescent="0.25">
      <c r="A1481" s="83">
        <v>4</v>
      </c>
      <c r="B1481" s="129" t="s">
        <v>165</v>
      </c>
      <c r="C1481" s="129" t="s">
        <v>149</v>
      </c>
      <c r="D1481" s="83">
        <v>100</v>
      </c>
      <c r="E1481" s="103">
        <v>140765.595</v>
      </c>
      <c r="F1481" s="129" t="s">
        <v>256</v>
      </c>
    </row>
    <row r="1482" spans="1:6" ht="16" thickBot="1" x14ac:dyDescent="0.25">
      <c r="A1482" s="83">
        <v>4</v>
      </c>
      <c r="B1482" s="129" t="s">
        <v>166</v>
      </c>
      <c r="C1482" s="129" t="s">
        <v>149</v>
      </c>
      <c r="D1482" s="83">
        <v>6342</v>
      </c>
      <c r="E1482" s="103">
        <v>6890890.2130000005</v>
      </c>
      <c r="F1482" s="129" t="s">
        <v>256</v>
      </c>
    </row>
    <row r="1483" spans="1:6" ht="16" thickBot="1" x14ac:dyDescent="0.25">
      <c r="A1483" s="83">
        <v>4</v>
      </c>
      <c r="B1483" s="129" t="s">
        <v>166</v>
      </c>
      <c r="C1483" s="129" t="s">
        <v>149</v>
      </c>
      <c r="D1483" s="83">
        <v>4149</v>
      </c>
      <c r="E1483" s="103">
        <v>332379.47678999999</v>
      </c>
      <c r="F1483" s="129" t="s">
        <v>148</v>
      </c>
    </row>
    <row r="1484" spans="1:6" ht="16" thickBot="1" x14ac:dyDescent="0.25">
      <c r="A1484" s="83">
        <v>4</v>
      </c>
      <c r="B1484" s="129" t="s">
        <v>167</v>
      </c>
      <c r="C1484" s="129" t="s">
        <v>149</v>
      </c>
      <c r="D1484" s="83">
        <v>33</v>
      </c>
      <c r="E1484" s="103">
        <v>44002.161999999997</v>
      </c>
      <c r="F1484" s="129" t="s">
        <v>256</v>
      </c>
    </row>
    <row r="1485" spans="1:6" ht="16" thickBot="1" x14ac:dyDescent="0.25">
      <c r="A1485" s="83">
        <v>4</v>
      </c>
      <c r="B1485" s="129" t="s">
        <v>168</v>
      </c>
      <c r="C1485" s="129" t="s">
        <v>149</v>
      </c>
      <c r="D1485" s="83">
        <v>2519</v>
      </c>
      <c r="E1485" s="103">
        <v>2338769.0419999999</v>
      </c>
      <c r="F1485" s="129" t="s">
        <v>256</v>
      </c>
    </row>
    <row r="1486" spans="1:6" ht="16" thickBot="1" x14ac:dyDescent="0.25">
      <c r="A1486" s="83">
        <v>4</v>
      </c>
      <c r="B1486" s="129" t="s">
        <v>168</v>
      </c>
      <c r="C1486" s="129" t="s">
        <v>149</v>
      </c>
      <c r="D1486" s="83">
        <v>2148</v>
      </c>
      <c r="E1486" s="103">
        <v>138563.21117</v>
      </c>
      <c r="F1486" s="129" t="s">
        <v>148</v>
      </c>
    </row>
    <row r="1487" spans="1:6" ht="16" thickBot="1" x14ac:dyDescent="0.25">
      <c r="A1487" s="83">
        <v>4</v>
      </c>
      <c r="B1487" s="129" t="s">
        <v>169</v>
      </c>
      <c r="C1487" s="129" t="s">
        <v>149</v>
      </c>
      <c r="D1487" s="83">
        <v>2873</v>
      </c>
      <c r="E1487" s="103">
        <v>2832499.2740000002</v>
      </c>
      <c r="F1487" s="129" t="s">
        <v>256</v>
      </c>
    </row>
    <row r="1488" spans="1:6" ht="16" thickBot="1" x14ac:dyDescent="0.25">
      <c r="A1488" s="83">
        <v>4</v>
      </c>
      <c r="B1488" s="129" t="s">
        <v>169</v>
      </c>
      <c r="C1488" s="129" t="s">
        <v>149</v>
      </c>
      <c r="D1488" s="83">
        <v>1578</v>
      </c>
      <c r="E1488" s="103">
        <v>103487.68842999999</v>
      </c>
      <c r="F1488" s="129" t="s">
        <v>148</v>
      </c>
    </row>
    <row r="1489" spans="1:6" ht="16" thickBot="1" x14ac:dyDescent="0.25">
      <c r="A1489" s="83">
        <v>4</v>
      </c>
      <c r="B1489" s="129" t="s">
        <v>170</v>
      </c>
      <c r="C1489" s="129" t="s">
        <v>149</v>
      </c>
      <c r="D1489" s="83">
        <v>142</v>
      </c>
      <c r="E1489" s="103">
        <v>9072.78946</v>
      </c>
      <c r="F1489" s="129" t="s">
        <v>148</v>
      </c>
    </row>
    <row r="1490" spans="1:6" ht="16" thickBot="1" x14ac:dyDescent="0.25">
      <c r="A1490" s="83">
        <v>4</v>
      </c>
      <c r="B1490" s="129" t="s">
        <v>171</v>
      </c>
      <c r="C1490" s="129" t="s">
        <v>149</v>
      </c>
      <c r="D1490" s="83">
        <v>1207</v>
      </c>
      <c r="E1490" s="103">
        <v>1281696.267</v>
      </c>
      <c r="F1490" s="129" t="s">
        <v>256</v>
      </c>
    </row>
    <row r="1491" spans="1:6" ht="16" thickBot="1" x14ac:dyDescent="0.25">
      <c r="A1491" s="83">
        <v>4</v>
      </c>
      <c r="B1491" s="129" t="s">
        <v>171</v>
      </c>
      <c r="C1491" s="129" t="s">
        <v>149</v>
      </c>
      <c r="D1491" s="83">
        <v>1162</v>
      </c>
      <c r="E1491" s="103">
        <v>72972.839340000006</v>
      </c>
      <c r="F1491" s="129" t="s">
        <v>148</v>
      </c>
    </row>
    <row r="1492" spans="1:6" ht="16" thickBot="1" x14ac:dyDescent="0.25">
      <c r="A1492" s="83">
        <v>4</v>
      </c>
      <c r="B1492" s="129" t="s">
        <v>172</v>
      </c>
      <c r="C1492" s="129" t="s">
        <v>149</v>
      </c>
      <c r="D1492" s="83">
        <v>1043</v>
      </c>
      <c r="E1492" s="103">
        <v>1135464.1170000001</v>
      </c>
      <c r="F1492" s="129" t="s">
        <v>256</v>
      </c>
    </row>
    <row r="1493" spans="1:6" ht="16" thickBot="1" x14ac:dyDescent="0.25">
      <c r="A1493" s="83">
        <v>4</v>
      </c>
      <c r="B1493" s="129" t="s">
        <v>172</v>
      </c>
      <c r="C1493" s="129" t="s">
        <v>149</v>
      </c>
      <c r="D1493" s="83">
        <v>1846</v>
      </c>
      <c r="E1493" s="103">
        <v>123641.0298</v>
      </c>
      <c r="F1493" s="129" t="s">
        <v>148</v>
      </c>
    </row>
    <row r="1494" spans="1:6" ht="16" thickBot="1" x14ac:dyDescent="0.25">
      <c r="A1494" s="83">
        <v>4</v>
      </c>
      <c r="B1494" s="129" t="s">
        <v>173</v>
      </c>
      <c r="C1494" s="129" t="s">
        <v>149</v>
      </c>
      <c r="D1494" s="83">
        <v>2520</v>
      </c>
      <c r="E1494" s="103">
        <v>2962987.696</v>
      </c>
      <c r="F1494" s="129" t="s">
        <v>256</v>
      </c>
    </row>
    <row r="1495" spans="1:6" ht="16" thickBot="1" x14ac:dyDescent="0.25">
      <c r="A1495" s="83">
        <v>4</v>
      </c>
      <c r="B1495" s="129" t="s">
        <v>173</v>
      </c>
      <c r="C1495" s="129" t="s">
        <v>149</v>
      </c>
      <c r="D1495" s="83">
        <v>2057</v>
      </c>
      <c r="E1495" s="103">
        <v>129111.28446</v>
      </c>
      <c r="F1495" s="129" t="s">
        <v>148</v>
      </c>
    </row>
    <row r="1496" spans="1:6" ht="16" thickBot="1" x14ac:dyDescent="0.25">
      <c r="A1496" s="83">
        <v>4</v>
      </c>
      <c r="B1496" s="129" t="s">
        <v>174</v>
      </c>
      <c r="C1496" s="129" t="s">
        <v>149</v>
      </c>
      <c r="D1496" s="83">
        <v>575</v>
      </c>
      <c r="E1496" s="103">
        <v>807192.74199999997</v>
      </c>
      <c r="F1496" s="129" t="s">
        <v>256</v>
      </c>
    </row>
    <row r="1497" spans="1:6" ht="16" thickBot="1" x14ac:dyDescent="0.25">
      <c r="A1497" s="83">
        <v>4</v>
      </c>
      <c r="B1497" s="129" t="s">
        <v>174</v>
      </c>
      <c r="C1497" s="129" t="s">
        <v>149</v>
      </c>
      <c r="D1497" s="83">
        <v>205</v>
      </c>
      <c r="E1497" s="103">
        <v>14934.01353</v>
      </c>
      <c r="F1497" s="129" t="s">
        <v>148</v>
      </c>
    </row>
    <row r="1498" spans="1:6" ht="16" thickBot="1" x14ac:dyDescent="0.25">
      <c r="A1498" s="83">
        <v>4</v>
      </c>
      <c r="B1498" s="129" t="s">
        <v>175</v>
      </c>
      <c r="C1498" s="129" t="s">
        <v>149</v>
      </c>
      <c r="D1498" s="83">
        <v>336</v>
      </c>
      <c r="E1498" s="103">
        <v>435491.44799999997</v>
      </c>
      <c r="F1498" s="129" t="s">
        <v>256</v>
      </c>
    </row>
    <row r="1499" spans="1:6" ht="16" thickBot="1" x14ac:dyDescent="0.25">
      <c r="A1499" s="83">
        <v>4</v>
      </c>
      <c r="B1499" s="129" t="s">
        <v>176</v>
      </c>
      <c r="C1499" s="129" t="s">
        <v>149</v>
      </c>
      <c r="D1499" s="83">
        <v>190</v>
      </c>
      <c r="E1499" s="103">
        <v>208245.693</v>
      </c>
      <c r="F1499" s="129" t="s">
        <v>256</v>
      </c>
    </row>
    <row r="1500" spans="1:6" ht="16" thickBot="1" x14ac:dyDescent="0.25">
      <c r="A1500" s="83">
        <v>4</v>
      </c>
      <c r="B1500" s="129" t="s">
        <v>176</v>
      </c>
      <c r="C1500" s="129" t="s">
        <v>149</v>
      </c>
      <c r="D1500" s="83">
        <v>112</v>
      </c>
      <c r="E1500" s="103">
        <v>8516.8076299999993</v>
      </c>
      <c r="F1500" s="129" t="s">
        <v>148</v>
      </c>
    </row>
    <row r="1501" spans="1:6" ht="16" thickBot="1" x14ac:dyDescent="0.25">
      <c r="A1501" s="83">
        <v>4</v>
      </c>
      <c r="B1501" s="129" t="s">
        <v>177</v>
      </c>
      <c r="C1501" s="129" t="s">
        <v>149</v>
      </c>
      <c r="D1501" s="83">
        <v>328</v>
      </c>
      <c r="E1501" s="103">
        <v>308755.48200000002</v>
      </c>
      <c r="F1501" s="129" t="s">
        <v>256</v>
      </c>
    </row>
    <row r="1502" spans="1:6" ht="16" thickBot="1" x14ac:dyDescent="0.25">
      <c r="A1502" s="83">
        <v>4</v>
      </c>
      <c r="B1502" s="129" t="s">
        <v>177</v>
      </c>
      <c r="C1502" s="129" t="s">
        <v>149</v>
      </c>
      <c r="D1502" s="83">
        <v>157</v>
      </c>
      <c r="E1502" s="103">
        <v>8569.6147500000006</v>
      </c>
      <c r="F1502" s="129" t="s">
        <v>148</v>
      </c>
    </row>
    <row r="1503" spans="1:6" ht="16" thickBot="1" x14ac:dyDescent="0.25">
      <c r="A1503" s="83">
        <v>4</v>
      </c>
      <c r="B1503" s="129" t="s">
        <v>178</v>
      </c>
      <c r="C1503" s="129" t="s">
        <v>149</v>
      </c>
      <c r="D1503" s="83">
        <v>452</v>
      </c>
      <c r="E1503" s="103">
        <v>618596.00699999998</v>
      </c>
      <c r="F1503" s="129" t="s">
        <v>256</v>
      </c>
    </row>
    <row r="1504" spans="1:6" ht="16" thickBot="1" x14ac:dyDescent="0.25">
      <c r="A1504" s="83">
        <v>4</v>
      </c>
      <c r="B1504" s="129" t="s">
        <v>179</v>
      </c>
      <c r="C1504" s="129" t="s">
        <v>149</v>
      </c>
      <c r="D1504" s="83">
        <v>52</v>
      </c>
      <c r="E1504" s="103">
        <v>67748.066999999995</v>
      </c>
      <c r="F1504" s="129" t="s">
        <v>256</v>
      </c>
    </row>
    <row r="1505" spans="1:6" ht="16" thickBot="1" x14ac:dyDescent="0.25">
      <c r="A1505" s="83">
        <v>4</v>
      </c>
      <c r="B1505" s="129" t="s">
        <v>180</v>
      </c>
      <c r="C1505" s="129" t="s">
        <v>149</v>
      </c>
      <c r="D1505" s="83">
        <v>95</v>
      </c>
      <c r="E1505" s="103">
        <v>5839.7950000000001</v>
      </c>
      <c r="F1505" s="129" t="s">
        <v>148</v>
      </c>
    </row>
    <row r="1506" spans="1:6" ht="16" thickBot="1" x14ac:dyDescent="0.25">
      <c r="A1506" s="83">
        <v>4</v>
      </c>
      <c r="B1506" s="129" t="s">
        <v>181</v>
      </c>
      <c r="C1506" s="129" t="s">
        <v>149</v>
      </c>
      <c r="D1506" s="83">
        <v>312</v>
      </c>
      <c r="E1506" s="103">
        <v>234258.16</v>
      </c>
      <c r="F1506" s="129" t="s">
        <v>256</v>
      </c>
    </row>
    <row r="1507" spans="1:6" ht="16" thickBot="1" x14ac:dyDescent="0.25">
      <c r="A1507" s="83">
        <v>4</v>
      </c>
      <c r="B1507" s="129" t="s">
        <v>181</v>
      </c>
      <c r="C1507" s="129" t="s">
        <v>149</v>
      </c>
      <c r="D1507" s="83">
        <v>3757</v>
      </c>
      <c r="E1507" s="103">
        <v>226341.23375000001</v>
      </c>
      <c r="F1507" s="129" t="s">
        <v>148</v>
      </c>
    </row>
    <row r="1508" spans="1:6" ht="16" thickBot="1" x14ac:dyDescent="0.25">
      <c r="A1508" s="83">
        <v>4</v>
      </c>
      <c r="B1508" s="129" t="s">
        <v>182</v>
      </c>
      <c r="C1508" s="129" t="s">
        <v>149</v>
      </c>
      <c r="D1508" s="83">
        <v>75</v>
      </c>
      <c r="E1508" s="103">
        <v>106441.78599999999</v>
      </c>
      <c r="F1508" s="129" t="s">
        <v>256</v>
      </c>
    </row>
    <row r="1509" spans="1:6" ht="16" thickBot="1" x14ac:dyDescent="0.25">
      <c r="A1509" s="83">
        <v>4</v>
      </c>
      <c r="B1509" s="129" t="s">
        <v>183</v>
      </c>
      <c r="C1509" s="129" t="s">
        <v>149</v>
      </c>
      <c r="D1509" s="83">
        <v>366</v>
      </c>
      <c r="E1509" s="103">
        <v>481810.201</v>
      </c>
      <c r="F1509" s="129" t="s">
        <v>256</v>
      </c>
    </row>
    <row r="1510" spans="1:6" ht="16" thickBot="1" x14ac:dyDescent="0.25">
      <c r="A1510" s="83">
        <v>4</v>
      </c>
      <c r="B1510" s="129" t="s">
        <v>184</v>
      </c>
      <c r="C1510" s="129" t="s">
        <v>149</v>
      </c>
      <c r="D1510" s="83">
        <v>824</v>
      </c>
      <c r="E1510" s="103">
        <v>975313.75699999998</v>
      </c>
      <c r="F1510" s="129" t="s">
        <v>256</v>
      </c>
    </row>
    <row r="1511" spans="1:6" ht="16" thickBot="1" x14ac:dyDescent="0.25">
      <c r="A1511" s="83">
        <v>4</v>
      </c>
      <c r="B1511" s="129" t="s">
        <v>184</v>
      </c>
      <c r="C1511" s="129" t="s">
        <v>149</v>
      </c>
      <c r="D1511" s="83">
        <v>7</v>
      </c>
      <c r="E1511" s="103">
        <v>287.94009</v>
      </c>
      <c r="F1511" s="129" t="s">
        <v>148</v>
      </c>
    </row>
    <row r="1512" spans="1:6" ht="16" thickBot="1" x14ac:dyDescent="0.25">
      <c r="A1512" s="83">
        <v>4</v>
      </c>
      <c r="B1512" s="129" t="s">
        <v>185</v>
      </c>
      <c r="C1512" s="129" t="s">
        <v>149</v>
      </c>
      <c r="D1512" s="83">
        <v>304</v>
      </c>
      <c r="E1512" s="103">
        <v>238366.231</v>
      </c>
      <c r="F1512" s="129" t="s">
        <v>256</v>
      </c>
    </row>
    <row r="1513" spans="1:6" ht="16" thickBot="1" x14ac:dyDescent="0.25">
      <c r="A1513" s="83">
        <v>4</v>
      </c>
      <c r="B1513" s="129" t="s">
        <v>185</v>
      </c>
      <c r="C1513" s="129" t="s">
        <v>149</v>
      </c>
      <c r="D1513" s="83">
        <v>181</v>
      </c>
      <c r="E1513" s="103">
        <v>7446.8962199999996</v>
      </c>
      <c r="F1513" s="129" t="s">
        <v>148</v>
      </c>
    </row>
    <row r="1514" spans="1:6" ht="16" thickBot="1" x14ac:dyDescent="0.25">
      <c r="A1514" s="83">
        <v>4</v>
      </c>
      <c r="B1514" s="129" t="s">
        <v>186</v>
      </c>
      <c r="C1514" s="129" t="s">
        <v>149</v>
      </c>
      <c r="D1514" s="83">
        <v>165</v>
      </c>
      <c r="E1514" s="103">
        <v>202401.59400000001</v>
      </c>
      <c r="F1514" s="129" t="s">
        <v>256</v>
      </c>
    </row>
    <row r="1515" spans="1:6" ht="16" thickBot="1" x14ac:dyDescent="0.25">
      <c r="A1515" s="83">
        <v>4</v>
      </c>
      <c r="B1515" s="129" t="s">
        <v>187</v>
      </c>
      <c r="C1515" s="129" t="s">
        <v>149</v>
      </c>
      <c r="D1515" s="83">
        <v>4</v>
      </c>
      <c r="E1515" s="103">
        <v>3882.8380000000002</v>
      </c>
      <c r="F1515" s="129" t="s">
        <v>256</v>
      </c>
    </row>
    <row r="1516" spans="1:6" ht="16" thickBot="1" x14ac:dyDescent="0.25">
      <c r="A1516" s="83">
        <v>4</v>
      </c>
      <c r="B1516" s="129" t="s">
        <v>188</v>
      </c>
      <c r="C1516" s="129" t="s">
        <v>149</v>
      </c>
      <c r="D1516" s="83">
        <v>2</v>
      </c>
      <c r="E1516" s="103">
        <v>1865.327</v>
      </c>
      <c r="F1516" s="129" t="s">
        <v>256</v>
      </c>
    </row>
    <row r="1517" spans="1:6" ht="16" thickBot="1" x14ac:dyDescent="0.25">
      <c r="A1517" s="83">
        <v>4</v>
      </c>
      <c r="B1517" s="129" t="s">
        <v>189</v>
      </c>
      <c r="C1517" s="129" t="s">
        <v>149</v>
      </c>
      <c r="D1517" s="83">
        <v>1787</v>
      </c>
      <c r="E1517" s="103">
        <v>1882882.4990000001</v>
      </c>
      <c r="F1517" s="129" t="s">
        <v>256</v>
      </c>
    </row>
    <row r="1518" spans="1:6" ht="16" thickBot="1" x14ac:dyDescent="0.25">
      <c r="A1518" s="83">
        <v>4</v>
      </c>
      <c r="B1518" s="129" t="s">
        <v>189</v>
      </c>
      <c r="C1518" s="129" t="s">
        <v>149</v>
      </c>
      <c r="D1518" s="83">
        <v>1127</v>
      </c>
      <c r="E1518" s="103">
        <v>64453.335529999997</v>
      </c>
      <c r="F1518" s="129" t="s">
        <v>148</v>
      </c>
    </row>
    <row r="1519" spans="1:6" ht="16" thickBot="1" x14ac:dyDescent="0.25">
      <c r="A1519" s="83">
        <v>4</v>
      </c>
      <c r="B1519" s="129" t="s">
        <v>190</v>
      </c>
      <c r="C1519" s="129" t="s">
        <v>149</v>
      </c>
      <c r="D1519" s="83">
        <v>193</v>
      </c>
      <c r="E1519" s="103">
        <v>257849.53700000001</v>
      </c>
      <c r="F1519" s="129" t="s">
        <v>256</v>
      </c>
    </row>
    <row r="1520" spans="1:6" ht="16" thickBot="1" x14ac:dyDescent="0.25">
      <c r="A1520" s="83">
        <v>4</v>
      </c>
      <c r="B1520" s="129" t="s">
        <v>190</v>
      </c>
      <c r="C1520" s="129" t="s">
        <v>149</v>
      </c>
      <c r="D1520" s="83">
        <v>15</v>
      </c>
      <c r="E1520" s="103">
        <v>1954.0813499999999</v>
      </c>
      <c r="F1520" s="129" t="s">
        <v>148</v>
      </c>
    </row>
    <row r="1521" spans="1:6" ht="16" thickBot="1" x14ac:dyDescent="0.25">
      <c r="A1521" s="83">
        <v>4</v>
      </c>
      <c r="B1521" s="129" t="s">
        <v>191</v>
      </c>
      <c r="C1521" s="129" t="s">
        <v>149</v>
      </c>
      <c r="D1521" s="83">
        <v>1730</v>
      </c>
      <c r="E1521" s="103">
        <v>1453311.446</v>
      </c>
      <c r="F1521" s="129" t="s">
        <v>256</v>
      </c>
    </row>
    <row r="1522" spans="1:6" ht="16" thickBot="1" x14ac:dyDescent="0.25">
      <c r="A1522" s="83">
        <v>4</v>
      </c>
      <c r="B1522" s="129" t="s">
        <v>191</v>
      </c>
      <c r="C1522" s="129" t="s">
        <v>149</v>
      </c>
      <c r="D1522" s="83">
        <v>942</v>
      </c>
      <c r="E1522" s="103">
        <v>57974.336280000003</v>
      </c>
      <c r="F1522" s="129" t="s">
        <v>148</v>
      </c>
    </row>
    <row r="1523" spans="1:6" ht="16" thickBot="1" x14ac:dyDescent="0.25">
      <c r="A1523" s="83">
        <v>4</v>
      </c>
      <c r="B1523" s="129" t="s">
        <v>192</v>
      </c>
      <c r="C1523" s="129" t="s">
        <v>149</v>
      </c>
      <c r="D1523" s="83">
        <v>283</v>
      </c>
      <c r="E1523" s="103">
        <v>251108.80499999999</v>
      </c>
      <c r="F1523" s="129" t="s">
        <v>256</v>
      </c>
    </row>
    <row r="1524" spans="1:6" ht="16" thickBot="1" x14ac:dyDescent="0.25">
      <c r="A1524" s="83">
        <v>4</v>
      </c>
      <c r="B1524" s="129" t="s">
        <v>192</v>
      </c>
      <c r="C1524" s="129" t="s">
        <v>149</v>
      </c>
      <c r="D1524" s="83">
        <v>166</v>
      </c>
      <c r="E1524" s="103">
        <v>9539.9756500000003</v>
      </c>
      <c r="F1524" s="129" t="s">
        <v>148</v>
      </c>
    </row>
    <row r="1525" spans="1:6" ht="16" thickBot="1" x14ac:dyDescent="0.25">
      <c r="A1525" s="83">
        <v>4</v>
      </c>
      <c r="B1525" s="129" t="s">
        <v>193</v>
      </c>
      <c r="C1525" s="129" t="s">
        <v>149</v>
      </c>
      <c r="D1525" s="83">
        <v>6879</v>
      </c>
      <c r="E1525" s="103">
        <v>6811907.9349999996</v>
      </c>
      <c r="F1525" s="129" t="s">
        <v>256</v>
      </c>
    </row>
    <row r="1526" spans="1:6" ht="16" thickBot="1" x14ac:dyDescent="0.25">
      <c r="A1526" s="83">
        <v>4</v>
      </c>
      <c r="B1526" s="129" t="s">
        <v>193</v>
      </c>
      <c r="C1526" s="129" t="s">
        <v>149</v>
      </c>
      <c r="D1526" s="83">
        <v>1739</v>
      </c>
      <c r="E1526" s="103">
        <v>97481.438670000003</v>
      </c>
      <c r="F1526" s="129" t="s">
        <v>148</v>
      </c>
    </row>
    <row r="1527" spans="1:6" ht="16" thickBot="1" x14ac:dyDescent="0.25">
      <c r="A1527" s="83">
        <v>4</v>
      </c>
      <c r="B1527" s="129" t="s">
        <v>194</v>
      </c>
      <c r="C1527" s="129" t="s">
        <v>149</v>
      </c>
      <c r="D1527" s="83">
        <v>160</v>
      </c>
      <c r="E1527" s="103">
        <v>181124.503</v>
      </c>
      <c r="F1527" s="129" t="s">
        <v>256</v>
      </c>
    </row>
    <row r="1528" spans="1:6" ht="16" thickBot="1" x14ac:dyDescent="0.25">
      <c r="A1528" s="83">
        <v>4</v>
      </c>
      <c r="B1528" s="129" t="s">
        <v>195</v>
      </c>
      <c r="C1528" s="129" t="s">
        <v>149</v>
      </c>
      <c r="D1528" s="83">
        <v>1006</v>
      </c>
      <c r="E1528" s="103">
        <v>941267.43599999999</v>
      </c>
      <c r="F1528" s="129" t="s">
        <v>256</v>
      </c>
    </row>
    <row r="1529" spans="1:6" ht="16" thickBot="1" x14ac:dyDescent="0.25">
      <c r="A1529" s="83">
        <v>4</v>
      </c>
      <c r="B1529" s="129" t="s">
        <v>195</v>
      </c>
      <c r="C1529" s="129" t="s">
        <v>149</v>
      </c>
      <c r="D1529" s="83">
        <v>610</v>
      </c>
      <c r="E1529" s="103">
        <v>33898.360500000003</v>
      </c>
      <c r="F1529" s="129" t="s">
        <v>148</v>
      </c>
    </row>
    <row r="1530" spans="1:6" ht="16" thickBot="1" x14ac:dyDescent="0.25">
      <c r="A1530" s="83">
        <v>4</v>
      </c>
      <c r="B1530" s="129" t="s">
        <v>196</v>
      </c>
      <c r="C1530" s="129" t="s">
        <v>149</v>
      </c>
      <c r="D1530" s="83">
        <v>227</v>
      </c>
      <c r="E1530" s="103">
        <v>207538.49799999999</v>
      </c>
      <c r="F1530" s="129" t="s">
        <v>256</v>
      </c>
    </row>
    <row r="1531" spans="1:6" ht="16" thickBot="1" x14ac:dyDescent="0.25">
      <c r="A1531" s="83">
        <v>4</v>
      </c>
      <c r="B1531" s="129" t="s">
        <v>196</v>
      </c>
      <c r="C1531" s="129" t="s">
        <v>149</v>
      </c>
      <c r="D1531" s="83">
        <v>127</v>
      </c>
      <c r="E1531" s="103">
        <v>7087.8950800000002</v>
      </c>
      <c r="F1531" s="129" t="s">
        <v>148</v>
      </c>
    </row>
    <row r="1532" spans="1:6" ht="16" thickBot="1" x14ac:dyDescent="0.25">
      <c r="A1532" s="83">
        <v>4</v>
      </c>
      <c r="B1532" s="129" t="s">
        <v>197</v>
      </c>
      <c r="C1532" s="129" t="s">
        <v>149</v>
      </c>
      <c r="D1532" s="83">
        <v>526</v>
      </c>
      <c r="E1532" s="103">
        <v>541707.24899999995</v>
      </c>
      <c r="F1532" s="129" t="s">
        <v>256</v>
      </c>
    </row>
    <row r="1533" spans="1:6" ht="16" thickBot="1" x14ac:dyDescent="0.25">
      <c r="A1533" s="83">
        <v>4</v>
      </c>
      <c r="B1533" s="129" t="s">
        <v>198</v>
      </c>
      <c r="C1533" s="129" t="s">
        <v>149</v>
      </c>
      <c r="D1533" s="83">
        <v>113</v>
      </c>
      <c r="E1533" s="103">
        <v>120196.26700000001</v>
      </c>
      <c r="F1533" s="129" t="s">
        <v>256</v>
      </c>
    </row>
    <row r="1534" spans="1:6" ht="16" thickBot="1" x14ac:dyDescent="0.25">
      <c r="A1534" s="83">
        <v>4</v>
      </c>
      <c r="B1534" s="129" t="s">
        <v>199</v>
      </c>
      <c r="C1534" s="129" t="s">
        <v>149</v>
      </c>
      <c r="D1534" s="83">
        <v>514</v>
      </c>
      <c r="E1534" s="103">
        <v>371067.64799999999</v>
      </c>
      <c r="F1534" s="129" t="s">
        <v>256</v>
      </c>
    </row>
    <row r="1535" spans="1:6" ht="16" thickBot="1" x14ac:dyDescent="0.25">
      <c r="A1535" s="83">
        <v>4</v>
      </c>
      <c r="B1535" s="129" t="s">
        <v>200</v>
      </c>
      <c r="C1535" s="129" t="s">
        <v>149</v>
      </c>
      <c r="D1535" s="83">
        <v>407</v>
      </c>
      <c r="E1535" s="103">
        <v>480152.91899999999</v>
      </c>
      <c r="F1535" s="129" t="s">
        <v>256</v>
      </c>
    </row>
    <row r="1536" spans="1:6" ht="16" thickBot="1" x14ac:dyDescent="0.25">
      <c r="A1536" s="83">
        <v>4</v>
      </c>
      <c r="B1536" s="129" t="s">
        <v>201</v>
      </c>
      <c r="C1536" s="129" t="s">
        <v>149</v>
      </c>
      <c r="D1536" s="83">
        <v>124</v>
      </c>
      <c r="E1536" s="103">
        <v>115718.77800000001</v>
      </c>
      <c r="F1536" s="129" t="s">
        <v>256</v>
      </c>
    </row>
    <row r="1537" spans="1:6" ht="16" thickBot="1" x14ac:dyDescent="0.25">
      <c r="A1537" s="83">
        <v>4</v>
      </c>
      <c r="B1537" s="129" t="s">
        <v>202</v>
      </c>
      <c r="C1537" s="129" t="s">
        <v>149</v>
      </c>
      <c r="D1537" s="83">
        <v>261</v>
      </c>
      <c r="E1537" s="103">
        <v>231038.18799999999</v>
      </c>
      <c r="F1537" s="129" t="s">
        <v>256</v>
      </c>
    </row>
    <row r="1538" spans="1:6" ht="16" thickBot="1" x14ac:dyDescent="0.25">
      <c r="A1538" s="83">
        <v>4</v>
      </c>
      <c r="B1538" s="129" t="s">
        <v>202</v>
      </c>
      <c r="C1538" s="129" t="s">
        <v>149</v>
      </c>
      <c r="D1538" s="83">
        <v>166</v>
      </c>
      <c r="E1538" s="103">
        <v>9071.0042599999997</v>
      </c>
      <c r="F1538" s="129" t="s">
        <v>148</v>
      </c>
    </row>
    <row r="1539" spans="1:6" ht="16" thickBot="1" x14ac:dyDescent="0.25">
      <c r="A1539" s="83">
        <v>4</v>
      </c>
      <c r="B1539" s="129" t="s">
        <v>203</v>
      </c>
      <c r="C1539" s="129" t="s">
        <v>149</v>
      </c>
      <c r="D1539" s="83">
        <v>348</v>
      </c>
      <c r="E1539" s="103">
        <v>280455.87699999998</v>
      </c>
      <c r="F1539" s="129" t="s">
        <v>256</v>
      </c>
    </row>
    <row r="1540" spans="1:6" ht="16" thickBot="1" x14ac:dyDescent="0.25">
      <c r="A1540" s="83">
        <v>4</v>
      </c>
      <c r="B1540" s="129" t="s">
        <v>204</v>
      </c>
      <c r="C1540" s="129" t="s">
        <v>149</v>
      </c>
      <c r="D1540" s="83">
        <v>907</v>
      </c>
      <c r="E1540" s="103">
        <v>679390.14399999997</v>
      </c>
      <c r="F1540" s="129" t="s">
        <v>256</v>
      </c>
    </row>
    <row r="1541" spans="1:6" ht="16" thickBot="1" x14ac:dyDescent="0.25">
      <c r="A1541" s="83">
        <v>4</v>
      </c>
      <c r="B1541" s="129" t="s">
        <v>205</v>
      </c>
      <c r="C1541" s="129" t="s">
        <v>149</v>
      </c>
      <c r="D1541" s="83">
        <v>3404</v>
      </c>
      <c r="E1541" s="103">
        <v>3135722.3689999999</v>
      </c>
      <c r="F1541" s="129" t="s">
        <v>256</v>
      </c>
    </row>
    <row r="1542" spans="1:6" ht="16" thickBot="1" x14ac:dyDescent="0.25">
      <c r="A1542" s="83">
        <v>4</v>
      </c>
      <c r="B1542" s="129" t="s">
        <v>205</v>
      </c>
      <c r="C1542" s="129" t="s">
        <v>149</v>
      </c>
      <c r="D1542" s="83">
        <v>714</v>
      </c>
      <c r="E1542" s="103">
        <v>27222.840039999999</v>
      </c>
      <c r="F1542" s="129" t="s">
        <v>148</v>
      </c>
    </row>
    <row r="1543" spans="1:6" ht="16" thickBot="1" x14ac:dyDescent="0.25">
      <c r="A1543" s="83">
        <v>4</v>
      </c>
      <c r="B1543" s="129" t="s">
        <v>206</v>
      </c>
      <c r="C1543" s="129" t="s">
        <v>149</v>
      </c>
      <c r="D1543" s="83">
        <v>209</v>
      </c>
      <c r="E1543" s="103">
        <v>185953.095</v>
      </c>
      <c r="F1543" s="129" t="s">
        <v>256</v>
      </c>
    </row>
    <row r="1544" spans="1:6" ht="16" thickBot="1" x14ac:dyDescent="0.25">
      <c r="A1544" s="83">
        <v>4</v>
      </c>
      <c r="B1544" s="129" t="s">
        <v>206</v>
      </c>
      <c r="C1544" s="129" t="s">
        <v>149</v>
      </c>
      <c r="D1544" s="83">
        <v>125</v>
      </c>
      <c r="E1544" s="103">
        <v>6744.8829299999998</v>
      </c>
      <c r="F1544" s="129" t="s">
        <v>148</v>
      </c>
    </row>
    <row r="1545" spans="1:6" ht="16" thickBot="1" x14ac:dyDescent="0.25">
      <c r="A1545" s="83">
        <v>4</v>
      </c>
      <c r="B1545" s="129" t="s">
        <v>207</v>
      </c>
      <c r="C1545" s="129" t="s">
        <v>149</v>
      </c>
      <c r="D1545" s="83">
        <v>1</v>
      </c>
      <c r="E1545" s="103">
        <v>468.17399999999998</v>
      </c>
      <c r="F1545" s="129" t="s">
        <v>148</v>
      </c>
    </row>
    <row r="1546" spans="1:6" ht="16" thickBot="1" x14ac:dyDescent="0.25">
      <c r="A1546" s="83">
        <v>4</v>
      </c>
      <c r="B1546" s="129" t="s">
        <v>208</v>
      </c>
      <c r="C1546" s="129" t="s">
        <v>149</v>
      </c>
      <c r="D1546" s="83">
        <v>47</v>
      </c>
      <c r="E1546" s="103">
        <v>38186.050000000003</v>
      </c>
      <c r="F1546" s="129" t="s">
        <v>256</v>
      </c>
    </row>
    <row r="1547" spans="1:6" ht="16" thickBot="1" x14ac:dyDescent="0.25">
      <c r="A1547" s="83">
        <v>4</v>
      </c>
      <c r="B1547" s="129" t="s">
        <v>209</v>
      </c>
      <c r="C1547" s="129" t="s">
        <v>149</v>
      </c>
      <c r="D1547" s="83">
        <v>1870</v>
      </c>
      <c r="E1547" s="103">
        <v>1345957.513</v>
      </c>
      <c r="F1547" s="129" t="s">
        <v>256</v>
      </c>
    </row>
    <row r="1548" spans="1:6" ht="16" thickBot="1" x14ac:dyDescent="0.25">
      <c r="A1548" s="83">
        <v>4</v>
      </c>
      <c r="B1548" s="129" t="s">
        <v>209</v>
      </c>
      <c r="C1548" s="129" t="s">
        <v>149</v>
      </c>
      <c r="D1548" s="83">
        <v>634</v>
      </c>
      <c r="E1548" s="103">
        <v>28683.081399999999</v>
      </c>
      <c r="F1548" s="129" t="s">
        <v>148</v>
      </c>
    </row>
    <row r="1549" spans="1:6" ht="16" thickBot="1" x14ac:dyDescent="0.25">
      <c r="A1549" s="83">
        <v>4</v>
      </c>
      <c r="B1549" s="129" t="s">
        <v>210</v>
      </c>
      <c r="C1549" s="129" t="s">
        <v>149</v>
      </c>
      <c r="D1549" s="83">
        <v>85</v>
      </c>
      <c r="E1549" s="103">
        <v>155808.122</v>
      </c>
      <c r="F1549" s="129" t="s">
        <v>256</v>
      </c>
    </row>
    <row r="1550" spans="1:6" ht="16" thickBot="1" x14ac:dyDescent="0.25">
      <c r="A1550" s="83">
        <v>4</v>
      </c>
      <c r="B1550" s="129" t="s">
        <v>211</v>
      </c>
      <c r="C1550" s="129" t="s">
        <v>149</v>
      </c>
      <c r="D1550" s="83">
        <v>97</v>
      </c>
      <c r="E1550" s="103">
        <v>120695.958</v>
      </c>
      <c r="F1550" s="129" t="s">
        <v>256</v>
      </c>
    </row>
    <row r="1551" spans="1:6" ht="16" thickBot="1" x14ac:dyDescent="0.25">
      <c r="A1551" s="83">
        <v>4</v>
      </c>
      <c r="B1551" s="129" t="s">
        <v>212</v>
      </c>
      <c r="C1551" s="129" t="s">
        <v>149</v>
      </c>
      <c r="D1551" s="83">
        <v>8</v>
      </c>
      <c r="E1551" s="83">
        <v>5059</v>
      </c>
      <c r="F1551" s="129" t="s">
        <v>256</v>
      </c>
    </row>
    <row r="1552" spans="1:6" ht="16" thickBot="1" x14ac:dyDescent="0.25">
      <c r="A1552" s="83">
        <v>4</v>
      </c>
      <c r="B1552" s="129" t="s">
        <v>213</v>
      </c>
      <c r="C1552" s="129" t="s">
        <v>149</v>
      </c>
      <c r="D1552" s="83">
        <v>538</v>
      </c>
      <c r="E1552" s="103">
        <v>564298.11899999995</v>
      </c>
      <c r="F1552" s="129" t="s">
        <v>256</v>
      </c>
    </row>
    <row r="1553" spans="1:6" ht="16" thickBot="1" x14ac:dyDescent="0.25">
      <c r="A1553" s="83">
        <v>4</v>
      </c>
      <c r="B1553" s="129" t="s">
        <v>214</v>
      </c>
      <c r="C1553" s="129" t="s">
        <v>149</v>
      </c>
      <c r="D1553" s="83">
        <v>243</v>
      </c>
      <c r="E1553" s="103">
        <v>365124.08500000002</v>
      </c>
      <c r="F1553" s="129" t="s">
        <v>256</v>
      </c>
    </row>
    <row r="1554" spans="1:6" ht="16" thickBot="1" x14ac:dyDescent="0.25">
      <c r="A1554" s="83">
        <v>4</v>
      </c>
      <c r="B1554" s="129" t="s">
        <v>215</v>
      </c>
      <c r="C1554" s="129" t="s">
        <v>149</v>
      </c>
      <c r="D1554" s="83">
        <v>522</v>
      </c>
      <c r="E1554" s="103">
        <v>435145.446</v>
      </c>
      <c r="F1554" s="129" t="s">
        <v>256</v>
      </c>
    </row>
    <row r="1555" spans="1:6" ht="16" thickBot="1" x14ac:dyDescent="0.25">
      <c r="A1555" s="83">
        <v>4</v>
      </c>
      <c r="B1555" s="129" t="s">
        <v>215</v>
      </c>
      <c r="C1555" s="129" t="s">
        <v>149</v>
      </c>
      <c r="D1555" s="83">
        <v>350</v>
      </c>
      <c r="E1555" s="103">
        <v>18632.92569</v>
      </c>
      <c r="F1555" s="129" t="s">
        <v>148</v>
      </c>
    </row>
    <row r="1556" spans="1:6" ht="16" thickBot="1" x14ac:dyDescent="0.25">
      <c r="A1556" s="83">
        <v>4</v>
      </c>
      <c r="B1556" s="129" t="s">
        <v>216</v>
      </c>
      <c r="C1556" s="129" t="s">
        <v>149</v>
      </c>
      <c r="D1556" s="83">
        <v>80</v>
      </c>
      <c r="E1556" s="103">
        <v>76953.914000000004</v>
      </c>
      <c r="F1556" s="129" t="s">
        <v>256</v>
      </c>
    </row>
    <row r="1557" spans="1:6" ht="16" thickBot="1" x14ac:dyDescent="0.25">
      <c r="A1557" s="83">
        <v>4</v>
      </c>
      <c r="B1557" s="129" t="s">
        <v>217</v>
      </c>
      <c r="C1557" s="129" t="s">
        <v>149</v>
      </c>
      <c r="D1557" s="83">
        <v>741</v>
      </c>
      <c r="E1557" s="103">
        <v>622542.23600000003</v>
      </c>
      <c r="F1557" s="129" t="s">
        <v>256</v>
      </c>
    </row>
    <row r="1558" spans="1:6" ht="16" thickBot="1" x14ac:dyDescent="0.25">
      <c r="A1558" s="83">
        <v>4</v>
      </c>
      <c r="B1558" s="129" t="s">
        <v>217</v>
      </c>
      <c r="C1558" s="129" t="s">
        <v>149</v>
      </c>
      <c r="D1558" s="83">
        <v>431</v>
      </c>
      <c r="E1558" s="103">
        <v>20304.671549999999</v>
      </c>
      <c r="F1558" s="129" t="s">
        <v>148</v>
      </c>
    </row>
    <row r="1559" spans="1:6" ht="16" thickBot="1" x14ac:dyDescent="0.25">
      <c r="A1559" s="83">
        <v>4</v>
      </c>
      <c r="B1559" s="129" t="s">
        <v>218</v>
      </c>
      <c r="C1559" s="129" t="s">
        <v>149</v>
      </c>
      <c r="D1559" s="83">
        <v>15150</v>
      </c>
      <c r="E1559" s="103">
        <v>12332291.033</v>
      </c>
      <c r="F1559" s="129" t="s">
        <v>256</v>
      </c>
    </row>
    <row r="1560" spans="1:6" ht="16" thickBot="1" x14ac:dyDescent="0.25">
      <c r="A1560" s="83">
        <v>4</v>
      </c>
      <c r="B1560" s="129" t="s">
        <v>218</v>
      </c>
      <c r="C1560" s="129" t="s">
        <v>149</v>
      </c>
      <c r="D1560" s="83">
        <v>5502</v>
      </c>
      <c r="E1560" s="103">
        <v>352215.99432</v>
      </c>
      <c r="F1560" s="129" t="s">
        <v>148</v>
      </c>
    </row>
    <row r="1561" spans="1:6" ht="16" thickBot="1" x14ac:dyDescent="0.25">
      <c r="A1561" s="83">
        <v>4</v>
      </c>
      <c r="B1561" s="129" t="s">
        <v>219</v>
      </c>
      <c r="C1561" s="129" t="s">
        <v>149</v>
      </c>
      <c r="D1561" s="83">
        <v>10</v>
      </c>
      <c r="E1561" s="103">
        <v>6615.0940000000001</v>
      </c>
      <c r="F1561" s="129" t="s">
        <v>256</v>
      </c>
    </row>
    <row r="1562" spans="1:6" ht="16" thickBot="1" x14ac:dyDescent="0.25">
      <c r="A1562" s="83">
        <v>4</v>
      </c>
      <c r="B1562" s="129" t="s">
        <v>219</v>
      </c>
      <c r="C1562" s="129" t="s">
        <v>149</v>
      </c>
      <c r="D1562" s="83">
        <v>10</v>
      </c>
      <c r="E1562" s="103">
        <v>1011.6177</v>
      </c>
      <c r="F1562" s="129" t="s">
        <v>148</v>
      </c>
    </row>
    <row r="1563" spans="1:6" ht="16" thickBot="1" x14ac:dyDescent="0.25">
      <c r="A1563" s="83">
        <v>4</v>
      </c>
      <c r="B1563" s="129" t="s">
        <v>220</v>
      </c>
      <c r="C1563" s="129" t="s">
        <v>149</v>
      </c>
      <c r="D1563" s="83">
        <v>505</v>
      </c>
      <c r="E1563" s="103">
        <v>573623.73</v>
      </c>
      <c r="F1563" s="129" t="s">
        <v>256</v>
      </c>
    </row>
    <row r="1564" spans="1:6" ht="16" thickBot="1" x14ac:dyDescent="0.25">
      <c r="A1564" s="83">
        <v>4</v>
      </c>
      <c r="B1564" s="129" t="s">
        <v>221</v>
      </c>
      <c r="C1564" s="129" t="s">
        <v>149</v>
      </c>
      <c r="D1564" s="83">
        <v>915</v>
      </c>
      <c r="E1564" s="103">
        <v>824013.37699999998</v>
      </c>
      <c r="F1564" s="129" t="s">
        <v>256</v>
      </c>
    </row>
    <row r="1565" spans="1:6" ht="16" thickBot="1" x14ac:dyDescent="0.25">
      <c r="A1565" s="83">
        <v>4</v>
      </c>
      <c r="B1565" s="129" t="s">
        <v>221</v>
      </c>
      <c r="C1565" s="129" t="s">
        <v>149</v>
      </c>
      <c r="D1565" s="83">
        <v>625</v>
      </c>
      <c r="E1565" s="103">
        <v>38233.272640000003</v>
      </c>
      <c r="F1565" s="129" t="s">
        <v>148</v>
      </c>
    </row>
    <row r="1566" spans="1:6" ht="16" thickBot="1" x14ac:dyDescent="0.25">
      <c r="A1566" s="83">
        <v>4</v>
      </c>
      <c r="B1566" s="129" t="s">
        <v>222</v>
      </c>
      <c r="C1566" s="129" t="s">
        <v>149</v>
      </c>
      <c r="D1566" s="83">
        <v>375</v>
      </c>
      <c r="E1566" s="103">
        <v>375058.65399999998</v>
      </c>
      <c r="F1566" s="129" t="s">
        <v>256</v>
      </c>
    </row>
    <row r="1567" spans="1:6" ht="16" thickBot="1" x14ac:dyDescent="0.25">
      <c r="A1567" s="83">
        <v>4</v>
      </c>
      <c r="B1567" s="129" t="s">
        <v>222</v>
      </c>
      <c r="C1567" s="129" t="s">
        <v>149</v>
      </c>
      <c r="D1567" s="83">
        <v>195</v>
      </c>
      <c r="E1567" s="103">
        <v>8748.8445800000009</v>
      </c>
      <c r="F1567" s="129" t="s">
        <v>148</v>
      </c>
    </row>
    <row r="1568" spans="1:6" ht="16" thickBot="1" x14ac:dyDescent="0.25">
      <c r="A1568" s="83">
        <v>4</v>
      </c>
      <c r="B1568" s="129" t="s">
        <v>223</v>
      </c>
      <c r="C1568" s="129" t="s">
        <v>149</v>
      </c>
      <c r="D1568" s="83">
        <v>381</v>
      </c>
      <c r="E1568" s="103">
        <v>341762.23</v>
      </c>
      <c r="F1568" s="129" t="s">
        <v>256</v>
      </c>
    </row>
    <row r="1569" spans="1:6" ht="16" thickBot="1" x14ac:dyDescent="0.25">
      <c r="A1569" s="83">
        <v>4</v>
      </c>
      <c r="B1569" s="129" t="s">
        <v>223</v>
      </c>
      <c r="C1569" s="129" t="s">
        <v>149</v>
      </c>
      <c r="D1569" s="83">
        <v>227</v>
      </c>
      <c r="E1569" s="103">
        <v>12119.403350000001</v>
      </c>
      <c r="F1569" s="129" t="s">
        <v>148</v>
      </c>
    </row>
    <row r="1570" spans="1:6" ht="16" thickBot="1" x14ac:dyDescent="0.25">
      <c r="A1570" s="83">
        <v>4</v>
      </c>
      <c r="B1570" s="129" t="s">
        <v>224</v>
      </c>
      <c r="C1570" s="129" t="s">
        <v>149</v>
      </c>
      <c r="D1570" s="83">
        <v>941</v>
      </c>
      <c r="E1570" s="103">
        <v>1144879.0819999999</v>
      </c>
      <c r="F1570" s="129" t="s">
        <v>256</v>
      </c>
    </row>
    <row r="1571" spans="1:6" ht="16" thickBot="1" x14ac:dyDescent="0.25">
      <c r="A1571" s="83">
        <v>4</v>
      </c>
      <c r="B1571" s="129" t="s">
        <v>225</v>
      </c>
      <c r="C1571" s="129" t="s">
        <v>149</v>
      </c>
      <c r="D1571" s="83">
        <v>44</v>
      </c>
      <c r="E1571" s="103">
        <v>52430.22</v>
      </c>
      <c r="F1571" s="129" t="s">
        <v>256</v>
      </c>
    </row>
    <row r="1572" spans="1:6" ht="16" thickBot="1" x14ac:dyDescent="0.25">
      <c r="A1572" s="83">
        <v>4</v>
      </c>
      <c r="B1572" s="129" t="s">
        <v>226</v>
      </c>
      <c r="C1572" s="129" t="s">
        <v>149</v>
      </c>
      <c r="D1572" s="83">
        <v>48</v>
      </c>
      <c r="E1572" s="103">
        <v>98759.865999999995</v>
      </c>
      <c r="F1572" s="129" t="s">
        <v>256</v>
      </c>
    </row>
    <row r="1573" spans="1:6" ht="16" thickBot="1" x14ac:dyDescent="0.25">
      <c r="A1573" s="83">
        <v>4</v>
      </c>
      <c r="B1573" s="129" t="s">
        <v>227</v>
      </c>
      <c r="C1573" s="129" t="s">
        <v>149</v>
      </c>
      <c r="D1573" s="83">
        <v>220</v>
      </c>
      <c r="E1573" s="103">
        <v>209005.035</v>
      </c>
      <c r="F1573" s="129" t="s">
        <v>256</v>
      </c>
    </row>
    <row r="1574" spans="1:6" ht="16" thickBot="1" x14ac:dyDescent="0.25">
      <c r="A1574" s="83">
        <v>4</v>
      </c>
      <c r="B1574" s="129" t="s">
        <v>227</v>
      </c>
      <c r="C1574" s="129" t="s">
        <v>149</v>
      </c>
      <c r="D1574" s="83">
        <v>131</v>
      </c>
      <c r="E1574" s="103">
        <v>7874.1498199999996</v>
      </c>
      <c r="F1574" s="129" t="s">
        <v>148</v>
      </c>
    </row>
    <row r="1575" spans="1:6" ht="16" thickBot="1" x14ac:dyDescent="0.25">
      <c r="A1575" s="83">
        <v>4</v>
      </c>
      <c r="B1575" s="129" t="s">
        <v>228</v>
      </c>
      <c r="C1575" s="129" t="s">
        <v>149</v>
      </c>
      <c r="D1575" s="83">
        <v>1350</v>
      </c>
      <c r="E1575" s="103">
        <v>1550561.6310000001</v>
      </c>
      <c r="F1575" s="129" t="s">
        <v>256</v>
      </c>
    </row>
    <row r="1576" spans="1:6" ht="16" thickBot="1" x14ac:dyDescent="0.25">
      <c r="A1576" s="83">
        <v>4</v>
      </c>
      <c r="B1576" s="129" t="s">
        <v>228</v>
      </c>
      <c r="C1576" s="129" t="s">
        <v>149</v>
      </c>
      <c r="D1576" s="83">
        <v>40</v>
      </c>
      <c r="E1576" s="103">
        <v>2746.1693500000001</v>
      </c>
      <c r="F1576" s="129" t="s">
        <v>148</v>
      </c>
    </row>
    <row r="1577" spans="1:6" ht="16" thickBot="1" x14ac:dyDescent="0.25">
      <c r="A1577" s="83">
        <v>4</v>
      </c>
      <c r="B1577" s="129" t="s">
        <v>229</v>
      </c>
      <c r="C1577" s="129" t="s">
        <v>149</v>
      </c>
      <c r="D1577" s="83">
        <v>726</v>
      </c>
      <c r="E1577" s="103">
        <v>783551.89099999995</v>
      </c>
      <c r="F1577" s="129" t="s">
        <v>256</v>
      </c>
    </row>
    <row r="1578" spans="1:6" ht="16" thickBot="1" x14ac:dyDescent="0.25">
      <c r="A1578" s="83">
        <v>4</v>
      </c>
      <c r="B1578" s="129" t="s">
        <v>230</v>
      </c>
      <c r="C1578" s="129" t="s">
        <v>149</v>
      </c>
      <c r="D1578" s="83">
        <v>8069</v>
      </c>
      <c r="E1578" s="103">
        <v>5249048.7280000001</v>
      </c>
      <c r="F1578" s="129" t="s">
        <v>256</v>
      </c>
    </row>
    <row r="1579" spans="1:6" ht="16" thickBot="1" x14ac:dyDescent="0.25">
      <c r="A1579" s="83">
        <v>4</v>
      </c>
      <c r="B1579" s="129" t="s">
        <v>230</v>
      </c>
      <c r="C1579" s="129" t="s">
        <v>149</v>
      </c>
      <c r="D1579" s="83">
        <v>3214</v>
      </c>
      <c r="E1579" s="103">
        <v>194429.32222999999</v>
      </c>
      <c r="F1579" s="129" t="s">
        <v>148</v>
      </c>
    </row>
    <row r="1580" spans="1:6" ht="16" thickBot="1" x14ac:dyDescent="0.25">
      <c r="A1580" s="83">
        <v>4</v>
      </c>
      <c r="B1580" s="129" t="s">
        <v>231</v>
      </c>
      <c r="C1580" s="129" t="s">
        <v>149</v>
      </c>
      <c r="D1580" s="83">
        <v>8560</v>
      </c>
      <c r="E1580" s="103">
        <v>6747612.1449999996</v>
      </c>
      <c r="F1580" s="129" t="s">
        <v>256</v>
      </c>
    </row>
    <row r="1581" spans="1:6" ht="16" thickBot="1" x14ac:dyDescent="0.25">
      <c r="A1581" s="83">
        <v>4</v>
      </c>
      <c r="B1581" s="129" t="s">
        <v>231</v>
      </c>
      <c r="C1581" s="129" t="s">
        <v>149</v>
      </c>
      <c r="D1581" s="83">
        <v>4726</v>
      </c>
      <c r="E1581" s="103">
        <v>286975.47988</v>
      </c>
      <c r="F1581" s="129" t="s">
        <v>148</v>
      </c>
    </row>
    <row r="1582" spans="1:6" ht="16" thickBot="1" x14ac:dyDescent="0.25">
      <c r="A1582" s="83">
        <v>4</v>
      </c>
      <c r="B1582" s="129" t="s">
        <v>232</v>
      </c>
      <c r="C1582" s="129" t="s">
        <v>149</v>
      </c>
      <c r="D1582" s="83">
        <v>9534</v>
      </c>
      <c r="E1582" s="103">
        <v>7480615.0130000003</v>
      </c>
      <c r="F1582" s="129" t="s">
        <v>256</v>
      </c>
    </row>
    <row r="1583" spans="1:6" ht="16" thickBot="1" x14ac:dyDescent="0.25">
      <c r="A1583" s="83">
        <v>4</v>
      </c>
      <c r="B1583" s="129" t="s">
        <v>232</v>
      </c>
      <c r="C1583" s="129" t="s">
        <v>149</v>
      </c>
      <c r="D1583" s="83">
        <v>7799</v>
      </c>
      <c r="E1583" s="103">
        <v>549287.94655999995</v>
      </c>
      <c r="F1583" s="129" t="s">
        <v>148</v>
      </c>
    </row>
    <row r="1584" spans="1:6" ht="16" thickBot="1" x14ac:dyDescent="0.25">
      <c r="A1584" s="83">
        <v>4</v>
      </c>
      <c r="B1584" s="129" t="s">
        <v>233</v>
      </c>
      <c r="C1584" s="129" t="s">
        <v>149</v>
      </c>
      <c r="D1584" s="83">
        <v>4396</v>
      </c>
      <c r="E1584" s="103">
        <v>3628204.5350000001</v>
      </c>
      <c r="F1584" s="129" t="s">
        <v>256</v>
      </c>
    </row>
    <row r="1585" spans="1:6" ht="16" thickBot="1" x14ac:dyDescent="0.25">
      <c r="A1585" s="83">
        <v>4</v>
      </c>
      <c r="B1585" s="129" t="s">
        <v>233</v>
      </c>
      <c r="C1585" s="129" t="s">
        <v>149</v>
      </c>
      <c r="D1585" s="83">
        <v>1393</v>
      </c>
      <c r="E1585" s="103">
        <v>162572.23447</v>
      </c>
      <c r="F1585" s="129" t="s">
        <v>148</v>
      </c>
    </row>
    <row r="1586" spans="1:6" ht="16" thickBot="1" x14ac:dyDescent="0.25">
      <c r="A1586" s="83">
        <v>4</v>
      </c>
      <c r="B1586" s="129" t="s">
        <v>234</v>
      </c>
      <c r="C1586" s="129" t="s">
        <v>149</v>
      </c>
      <c r="D1586" s="83">
        <v>19136</v>
      </c>
      <c r="E1586" s="103">
        <v>13874319.835999999</v>
      </c>
      <c r="F1586" s="129" t="s">
        <v>256</v>
      </c>
    </row>
    <row r="1587" spans="1:6" ht="16" thickBot="1" x14ac:dyDescent="0.25">
      <c r="A1587" s="83">
        <v>4</v>
      </c>
      <c r="B1587" s="129" t="s">
        <v>234</v>
      </c>
      <c r="C1587" s="129" t="s">
        <v>149</v>
      </c>
      <c r="D1587" s="83">
        <v>15653</v>
      </c>
      <c r="E1587" s="103">
        <v>769981.07611999998</v>
      </c>
      <c r="F1587" s="129" t="s">
        <v>148</v>
      </c>
    </row>
    <row r="1588" spans="1:6" ht="16" thickBot="1" x14ac:dyDescent="0.25">
      <c r="A1588" s="83">
        <v>4</v>
      </c>
      <c r="B1588" s="129" t="s">
        <v>235</v>
      </c>
      <c r="C1588" s="129" t="s">
        <v>149</v>
      </c>
      <c r="D1588" s="83">
        <v>8118</v>
      </c>
      <c r="E1588" s="103">
        <v>6636322.5640000002</v>
      </c>
      <c r="F1588" s="129" t="s">
        <v>256</v>
      </c>
    </row>
    <row r="1589" spans="1:6" ht="16" thickBot="1" x14ac:dyDescent="0.25">
      <c r="A1589" s="83">
        <v>4</v>
      </c>
      <c r="B1589" s="129" t="s">
        <v>235</v>
      </c>
      <c r="C1589" s="129" t="s">
        <v>149</v>
      </c>
      <c r="D1589" s="83">
        <v>10685</v>
      </c>
      <c r="E1589" s="103">
        <v>578532.78150000004</v>
      </c>
      <c r="F1589" s="129" t="s">
        <v>148</v>
      </c>
    </row>
    <row r="1590" spans="1:6" ht="16" thickBot="1" x14ac:dyDescent="0.25">
      <c r="A1590" s="83">
        <v>4</v>
      </c>
      <c r="B1590" s="129" t="s">
        <v>236</v>
      </c>
      <c r="C1590" s="129" t="s">
        <v>149</v>
      </c>
      <c r="D1590" s="83">
        <v>13613</v>
      </c>
      <c r="E1590" s="103">
        <v>10368201.833000001</v>
      </c>
      <c r="F1590" s="129" t="s">
        <v>256</v>
      </c>
    </row>
    <row r="1591" spans="1:6" ht="16" thickBot="1" x14ac:dyDescent="0.25">
      <c r="A1591" s="83">
        <v>4</v>
      </c>
      <c r="B1591" s="129" t="s">
        <v>236</v>
      </c>
      <c r="C1591" s="129" t="s">
        <v>149</v>
      </c>
      <c r="D1591" s="83">
        <v>9337</v>
      </c>
      <c r="E1591" s="103">
        <v>448482.64698000002</v>
      </c>
      <c r="F1591" s="129" t="s">
        <v>148</v>
      </c>
    </row>
    <row r="1592" spans="1:6" ht="16" thickBot="1" x14ac:dyDescent="0.25">
      <c r="A1592" s="83">
        <v>4</v>
      </c>
      <c r="B1592" s="129" t="s">
        <v>237</v>
      </c>
      <c r="C1592" s="129" t="s">
        <v>149</v>
      </c>
      <c r="D1592" s="83">
        <v>25343</v>
      </c>
      <c r="E1592" s="103">
        <v>21780856.153999999</v>
      </c>
      <c r="F1592" s="129" t="s">
        <v>256</v>
      </c>
    </row>
    <row r="1593" spans="1:6" ht="16" thickBot="1" x14ac:dyDescent="0.25">
      <c r="A1593" s="83">
        <v>4</v>
      </c>
      <c r="B1593" s="129" t="s">
        <v>237</v>
      </c>
      <c r="C1593" s="129" t="s">
        <v>149</v>
      </c>
      <c r="D1593" s="83">
        <v>17538</v>
      </c>
      <c r="E1593" s="103">
        <v>1149195.2102600001</v>
      </c>
      <c r="F1593" s="129" t="s">
        <v>148</v>
      </c>
    </row>
    <row r="1594" spans="1:6" ht="16" thickBot="1" x14ac:dyDescent="0.25">
      <c r="A1594" s="83">
        <v>4</v>
      </c>
      <c r="B1594" s="129" t="s">
        <v>238</v>
      </c>
      <c r="C1594" s="129" t="s">
        <v>149</v>
      </c>
      <c r="D1594" s="83">
        <v>10123</v>
      </c>
      <c r="E1594" s="103">
        <v>7658218.6050000004</v>
      </c>
      <c r="F1594" s="129" t="s">
        <v>256</v>
      </c>
    </row>
    <row r="1595" spans="1:6" ht="16" thickBot="1" x14ac:dyDescent="0.25">
      <c r="A1595" s="83">
        <v>4</v>
      </c>
      <c r="B1595" s="129" t="s">
        <v>238</v>
      </c>
      <c r="C1595" s="129" t="s">
        <v>149</v>
      </c>
      <c r="D1595" s="83">
        <v>6817</v>
      </c>
      <c r="E1595" s="103">
        <v>340275.07010000001</v>
      </c>
      <c r="F1595" s="129" t="s">
        <v>148</v>
      </c>
    </row>
    <row r="1596" spans="1:6" ht="16" thickBot="1" x14ac:dyDescent="0.25">
      <c r="A1596" s="83">
        <v>4</v>
      </c>
      <c r="B1596" s="129" t="s">
        <v>239</v>
      </c>
      <c r="C1596" s="129" t="s">
        <v>149</v>
      </c>
      <c r="D1596" s="83">
        <v>6302</v>
      </c>
      <c r="E1596" s="103">
        <v>4754057.1270000003</v>
      </c>
      <c r="F1596" s="129" t="s">
        <v>256</v>
      </c>
    </row>
    <row r="1597" spans="1:6" ht="16" thickBot="1" x14ac:dyDescent="0.25">
      <c r="A1597" s="83">
        <v>4</v>
      </c>
      <c r="B1597" s="129" t="s">
        <v>239</v>
      </c>
      <c r="C1597" s="129" t="s">
        <v>149</v>
      </c>
      <c r="D1597" s="83">
        <v>5861</v>
      </c>
      <c r="E1597" s="103">
        <v>293637.64695000002</v>
      </c>
      <c r="F1597" s="129" t="s">
        <v>148</v>
      </c>
    </row>
    <row r="1598" spans="1:6" ht="16" thickBot="1" x14ac:dyDescent="0.25">
      <c r="A1598" s="83">
        <v>4</v>
      </c>
      <c r="B1598" s="129" t="s">
        <v>240</v>
      </c>
      <c r="C1598" s="129" t="s">
        <v>149</v>
      </c>
      <c r="D1598" s="83">
        <v>6766</v>
      </c>
      <c r="E1598" s="103">
        <v>5365087.01</v>
      </c>
      <c r="F1598" s="129" t="s">
        <v>256</v>
      </c>
    </row>
    <row r="1599" spans="1:6" ht="16" thickBot="1" x14ac:dyDescent="0.25">
      <c r="A1599" s="83">
        <v>4</v>
      </c>
      <c r="B1599" s="129" t="s">
        <v>240</v>
      </c>
      <c r="C1599" s="129" t="s">
        <v>149</v>
      </c>
      <c r="D1599" s="83">
        <v>4745</v>
      </c>
      <c r="E1599" s="103">
        <v>281464.87491999997</v>
      </c>
      <c r="F1599" s="129" t="s">
        <v>148</v>
      </c>
    </row>
    <row r="1600" spans="1:6" ht="16" thickBot="1" x14ac:dyDescent="0.25">
      <c r="A1600" s="83">
        <v>4</v>
      </c>
      <c r="B1600" s="129" t="s">
        <v>241</v>
      </c>
      <c r="C1600" s="129" t="s">
        <v>149</v>
      </c>
      <c r="D1600" s="83">
        <v>6631</v>
      </c>
      <c r="E1600" s="103">
        <v>5178571.7719999999</v>
      </c>
      <c r="F1600" s="129" t="s">
        <v>256</v>
      </c>
    </row>
    <row r="1601" spans="1:6" ht="16" thickBot="1" x14ac:dyDescent="0.25">
      <c r="A1601" s="83">
        <v>4</v>
      </c>
      <c r="B1601" s="129" t="s">
        <v>241</v>
      </c>
      <c r="C1601" s="129" t="s">
        <v>149</v>
      </c>
      <c r="D1601" s="83">
        <v>4076</v>
      </c>
      <c r="E1601" s="103">
        <v>295238.19176999998</v>
      </c>
      <c r="F1601" s="129" t="s">
        <v>148</v>
      </c>
    </row>
    <row r="1602" spans="1:6" ht="16" thickBot="1" x14ac:dyDescent="0.25">
      <c r="A1602" s="83">
        <v>4</v>
      </c>
      <c r="B1602" s="129" t="s">
        <v>244</v>
      </c>
      <c r="C1602" s="129" t="s">
        <v>149</v>
      </c>
      <c r="D1602" s="83">
        <v>14209</v>
      </c>
      <c r="E1602" s="103">
        <v>11257547.698999999</v>
      </c>
      <c r="F1602" s="129" t="s">
        <v>256</v>
      </c>
    </row>
    <row r="1603" spans="1:6" ht="16" thickBot="1" x14ac:dyDescent="0.25">
      <c r="A1603" s="83">
        <v>4</v>
      </c>
      <c r="B1603" s="129" t="s">
        <v>244</v>
      </c>
      <c r="C1603" s="129" t="s">
        <v>149</v>
      </c>
      <c r="D1603" s="83">
        <v>9535</v>
      </c>
      <c r="E1603" s="103">
        <v>645402.33357000002</v>
      </c>
      <c r="F1603" s="129" t="s">
        <v>148</v>
      </c>
    </row>
    <row r="1604" spans="1:6" ht="16" thickBot="1" x14ac:dyDescent="0.25">
      <c r="A1604" s="83">
        <v>4</v>
      </c>
      <c r="B1604" s="129" t="s">
        <v>245</v>
      </c>
      <c r="C1604" s="129" t="s">
        <v>149</v>
      </c>
      <c r="D1604" s="83">
        <v>8304</v>
      </c>
      <c r="E1604" s="103">
        <v>7193538.1370000001</v>
      </c>
      <c r="F1604" s="129" t="s">
        <v>256</v>
      </c>
    </row>
    <row r="1605" spans="1:6" ht="16" thickBot="1" x14ac:dyDescent="0.25">
      <c r="A1605" s="83">
        <v>4</v>
      </c>
      <c r="B1605" s="129" t="s">
        <v>245</v>
      </c>
      <c r="C1605" s="129" t="s">
        <v>149</v>
      </c>
      <c r="D1605" s="83">
        <v>4879</v>
      </c>
      <c r="E1605" s="103">
        <v>304600.09133000002</v>
      </c>
      <c r="F1605" s="129" t="s">
        <v>148</v>
      </c>
    </row>
    <row r="1606" spans="1:6" ht="16" thickBot="1" x14ac:dyDescent="0.25">
      <c r="A1606" s="83">
        <v>4</v>
      </c>
      <c r="B1606" s="129" t="s">
        <v>247</v>
      </c>
      <c r="C1606" s="129" t="s">
        <v>149</v>
      </c>
      <c r="D1606" s="83">
        <v>230</v>
      </c>
      <c r="E1606" s="103">
        <v>7239.8110399999996</v>
      </c>
      <c r="F1606" s="129" t="s">
        <v>148</v>
      </c>
    </row>
    <row r="1607" spans="1:6" ht="16" thickBot="1" x14ac:dyDescent="0.25">
      <c r="A1607" s="83">
        <v>4</v>
      </c>
      <c r="B1607" s="129" t="s">
        <v>248</v>
      </c>
      <c r="C1607" s="129" t="s">
        <v>149</v>
      </c>
      <c r="D1607" s="83">
        <v>8</v>
      </c>
      <c r="E1607" s="103">
        <v>9445.8349999999991</v>
      </c>
      <c r="F1607" s="129" t="s">
        <v>256</v>
      </c>
    </row>
    <row r="1608" spans="1:6" ht="16" thickBot="1" x14ac:dyDescent="0.25">
      <c r="A1608" s="83">
        <v>4</v>
      </c>
      <c r="B1608" s="129" t="s">
        <v>249</v>
      </c>
      <c r="C1608" s="129" t="s">
        <v>149</v>
      </c>
      <c r="D1608" s="83">
        <v>311</v>
      </c>
      <c r="E1608" s="103">
        <v>292305.99800000002</v>
      </c>
      <c r="F1608" s="129" t="s">
        <v>256</v>
      </c>
    </row>
    <row r="1609" spans="1:6" ht="16" thickBot="1" x14ac:dyDescent="0.25">
      <c r="A1609" s="83">
        <v>4</v>
      </c>
      <c r="B1609" s="129" t="s">
        <v>249</v>
      </c>
      <c r="C1609" s="129" t="s">
        <v>149</v>
      </c>
      <c r="D1609" s="83">
        <v>144</v>
      </c>
      <c r="E1609" s="103">
        <v>5540.95579</v>
      </c>
      <c r="F1609" s="129" t="s">
        <v>148</v>
      </c>
    </row>
    <row r="1610" spans="1:6" ht="16" thickBot="1" x14ac:dyDescent="0.25">
      <c r="A1610" s="83">
        <v>4</v>
      </c>
      <c r="B1610" s="129" t="s">
        <v>250</v>
      </c>
      <c r="C1610" s="129" t="s">
        <v>149</v>
      </c>
      <c r="D1610" s="83">
        <v>4033</v>
      </c>
      <c r="E1610" s="103">
        <v>4286385.0219999999</v>
      </c>
      <c r="F1610" s="129" t="s">
        <v>256</v>
      </c>
    </row>
    <row r="1611" spans="1:6" ht="16" thickBot="1" x14ac:dyDescent="0.25">
      <c r="A1611" s="83">
        <v>4</v>
      </c>
      <c r="B1611" s="129" t="s">
        <v>251</v>
      </c>
      <c r="C1611" s="129" t="s">
        <v>149</v>
      </c>
      <c r="D1611" s="83">
        <v>162</v>
      </c>
      <c r="E1611" s="103">
        <v>180580.43400000001</v>
      </c>
      <c r="F1611" s="129" t="s">
        <v>256</v>
      </c>
    </row>
    <row r="1612" spans="1:6" ht="16" thickBot="1" x14ac:dyDescent="0.25">
      <c r="A1612" s="83">
        <v>4</v>
      </c>
      <c r="B1612" s="129" t="s">
        <v>252</v>
      </c>
      <c r="C1612" s="129" t="s">
        <v>149</v>
      </c>
      <c r="D1612" s="83">
        <v>674</v>
      </c>
      <c r="E1612" s="103">
        <v>558167.69200000004</v>
      </c>
      <c r="F1612" s="129" t="s">
        <v>256</v>
      </c>
    </row>
    <row r="1613" spans="1:6" ht="16" thickBot="1" x14ac:dyDescent="0.25">
      <c r="A1613" s="83">
        <v>4</v>
      </c>
      <c r="B1613" s="129" t="s">
        <v>252</v>
      </c>
      <c r="C1613" s="129" t="s">
        <v>149</v>
      </c>
      <c r="D1613" s="83">
        <v>423</v>
      </c>
      <c r="E1613" s="103">
        <v>19037.45781</v>
      </c>
      <c r="F1613" s="129" t="s">
        <v>148</v>
      </c>
    </row>
    <row r="1614" spans="1:6" ht="16" thickBot="1" x14ac:dyDescent="0.25">
      <c r="A1614" s="83">
        <v>4</v>
      </c>
      <c r="B1614" s="129" t="s">
        <v>253</v>
      </c>
      <c r="C1614" s="129" t="s">
        <v>149</v>
      </c>
      <c r="D1614" s="83">
        <v>9504</v>
      </c>
      <c r="E1614" s="103">
        <v>6693762.8720000004</v>
      </c>
      <c r="F1614" s="129" t="s">
        <v>256</v>
      </c>
    </row>
    <row r="1615" spans="1:6" ht="16" thickBot="1" x14ac:dyDescent="0.25">
      <c r="A1615" s="83">
        <v>4</v>
      </c>
      <c r="B1615" s="129" t="s">
        <v>253</v>
      </c>
      <c r="C1615" s="129" t="s">
        <v>149</v>
      </c>
      <c r="D1615" s="83">
        <v>6735</v>
      </c>
      <c r="E1615" s="103">
        <v>293337.73278000002</v>
      </c>
      <c r="F1615" s="129" t="s">
        <v>148</v>
      </c>
    </row>
    <row r="1616" spans="1:6" ht="16" thickBot="1" x14ac:dyDescent="0.25">
      <c r="A1616" s="83">
        <v>5</v>
      </c>
      <c r="B1616" s="129" t="s">
        <v>146</v>
      </c>
      <c r="C1616" s="129" t="s">
        <v>147</v>
      </c>
      <c r="D1616" s="83">
        <v>150</v>
      </c>
      <c r="E1616" s="103">
        <v>34849.98502</v>
      </c>
      <c r="F1616" s="129" t="s">
        <v>148</v>
      </c>
    </row>
    <row r="1617" spans="1:6" ht="16" thickBot="1" x14ac:dyDescent="0.25">
      <c r="A1617" s="83">
        <v>5</v>
      </c>
      <c r="B1617" s="129" t="s">
        <v>150</v>
      </c>
      <c r="C1617" s="129" t="s">
        <v>147</v>
      </c>
      <c r="D1617" s="83">
        <v>95</v>
      </c>
      <c r="E1617" s="103">
        <v>29530.992740000002</v>
      </c>
      <c r="F1617" s="129" t="s">
        <v>148</v>
      </c>
    </row>
    <row r="1618" spans="1:6" ht="16" thickBot="1" x14ac:dyDescent="0.25">
      <c r="A1618" s="83">
        <v>5</v>
      </c>
      <c r="B1618" s="129" t="s">
        <v>151</v>
      </c>
      <c r="C1618" s="129" t="s">
        <v>147</v>
      </c>
      <c r="D1618" s="83">
        <v>11</v>
      </c>
      <c r="E1618" s="103">
        <v>24909.471000000001</v>
      </c>
      <c r="F1618" s="129" t="s">
        <v>256</v>
      </c>
    </row>
    <row r="1619" spans="1:6" ht="16" thickBot="1" x14ac:dyDescent="0.25">
      <c r="A1619" s="83">
        <v>5</v>
      </c>
      <c r="B1619" s="129" t="s">
        <v>151</v>
      </c>
      <c r="C1619" s="129" t="s">
        <v>147</v>
      </c>
      <c r="D1619" s="83">
        <v>47</v>
      </c>
      <c r="E1619" s="103">
        <v>12178.748680000001</v>
      </c>
      <c r="F1619" s="129" t="s">
        <v>148</v>
      </c>
    </row>
    <row r="1620" spans="1:6" ht="16" thickBot="1" x14ac:dyDescent="0.25">
      <c r="A1620" s="83">
        <v>5</v>
      </c>
      <c r="B1620" s="129" t="s">
        <v>153</v>
      </c>
      <c r="C1620" s="129" t="s">
        <v>147</v>
      </c>
      <c r="D1620" s="83">
        <v>218</v>
      </c>
      <c r="E1620" s="103">
        <v>2488155.8390000002</v>
      </c>
      <c r="F1620" s="129" t="s">
        <v>256</v>
      </c>
    </row>
    <row r="1621" spans="1:6" ht="16" thickBot="1" x14ac:dyDescent="0.25">
      <c r="A1621" s="83">
        <v>5</v>
      </c>
      <c r="B1621" s="129" t="s">
        <v>153</v>
      </c>
      <c r="C1621" s="129" t="s">
        <v>147</v>
      </c>
      <c r="D1621" s="83">
        <v>257</v>
      </c>
      <c r="E1621" s="103">
        <v>408029.2953</v>
      </c>
      <c r="F1621" s="129" t="s">
        <v>148</v>
      </c>
    </row>
    <row r="1622" spans="1:6" ht="16" thickBot="1" x14ac:dyDescent="0.25">
      <c r="A1622" s="83">
        <v>5</v>
      </c>
      <c r="B1622" s="129" t="s">
        <v>154</v>
      </c>
      <c r="C1622" s="129" t="s">
        <v>147</v>
      </c>
      <c r="D1622" s="83">
        <v>78</v>
      </c>
      <c r="E1622" s="103">
        <v>169143.81299999999</v>
      </c>
      <c r="F1622" s="129" t="s">
        <v>256</v>
      </c>
    </row>
    <row r="1623" spans="1:6" ht="16" thickBot="1" x14ac:dyDescent="0.25">
      <c r="A1623" s="83">
        <v>5</v>
      </c>
      <c r="B1623" s="129" t="s">
        <v>154</v>
      </c>
      <c r="C1623" s="129" t="s">
        <v>147</v>
      </c>
      <c r="D1623" s="83">
        <v>21</v>
      </c>
      <c r="E1623" s="103">
        <v>11909.79941</v>
      </c>
      <c r="F1623" s="129" t="s">
        <v>148</v>
      </c>
    </row>
    <row r="1624" spans="1:6" ht="16" thickBot="1" x14ac:dyDescent="0.25">
      <c r="A1624" s="83">
        <v>5</v>
      </c>
      <c r="B1624" s="129" t="s">
        <v>155</v>
      </c>
      <c r="C1624" s="129" t="s">
        <v>147</v>
      </c>
      <c r="D1624" s="83">
        <v>24</v>
      </c>
      <c r="E1624" s="103">
        <v>13952.75</v>
      </c>
      <c r="F1624" s="129" t="s">
        <v>256</v>
      </c>
    </row>
    <row r="1625" spans="1:6" ht="16" thickBot="1" x14ac:dyDescent="0.25">
      <c r="A1625" s="83">
        <v>5</v>
      </c>
      <c r="B1625" s="129" t="s">
        <v>155</v>
      </c>
      <c r="C1625" s="129" t="s">
        <v>147</v>
      </c>
      <c r="D1625" s="83">
        <v>206</v>
      </c>
      <c r="E1625" s="103">
        <v>381227.76113</v>
      </c>
      <c r="F1625" s="129" t="s">
        <v>148</v>
      </c>
    </row>
    <row r="1626" spans="1:6" ht="16" thickBot="1" x14ac:dyDescent="0.25">
      <c r="A1626" s="83">
        <v>5</v>
      </c>
      <c r="B1626" s="129" t="s">
        <v>156</v>
      </c>
      <c r="C1626" s="129" t="s">
        <v>147</v>
      </c>
      <c r="D1626" s="83">
        <v>130</v>
      </c>
      <c r="E1626" s="103">
        <v>344335.90700000001</v>
      </c>
      <c r="F1626" s="129" t="s">
        <v>256</v>
      </c>
    </row>
    <row r="1627" spans="1:6" ht="16" thickBot="1" x14ac:dyDescent="0.25">
      <c r="A1627" s="83">
        <v>5</v>
      </c>
      <c r="B1627" s="129" t="s">
        <v>156</v>
      </c>
      <c r="C1627" s="129" t="s">
        <v>147</v>
      </c>
      <c r="D1627" s="83">
        <v>25</v>
      </c>
      <c r="E1627" s="103">
        <v>26258.4179</v>
      </c>
      <c r="F1627" s="129" t="s">
        <v>148</v>
      </c>
    </row>
    <row r="1628" spans="1:6" ht="16" thickBot="1" x14ac:dyDescent="0.25">
      <c r="A1628" s="83">
        <v>5</v>
      </c>
      <c r="B1628" s="129" t="s">
        <v>157</v>
      </c>
      <c r="C1628" s="129" t="s">
        <v>147</v>
      </c>
      <c r="D1628" s="83">
        <v>534</v>
      </c>
      <c r="E1628" s="103">
        <v>1270830.3130000001</v>
      </c>
      <c r="F1628" s="129" t="s">
        <v>256</v>
      </c>
    </row>
    <row r="1629" spans="1:6" ht="16" thickBot="1" x14ac:dyDescent="0.25">
      <c r="A1629" s="83">
        <v>5</v>
      </c>
      <c r="B1629" s="129" t="s">
        <v>157</v>
      </c>
      <c r="C1629" s="129" t="s">
        <v>147</v>
      </c>
      <c r="D1629" s="83">
        <v>263</v>
      </c>
      <c r="E1629" s="103">
        <v>49236.955600000001</v>
      </c>
      <c r="F1629" s="129" t="s">
        <v>148</v>
      </c>
    </row>
    <row r="1630" spans="1:6" ht="16" thickBot="1" x14ac:dyDescent="0.25">
      <c r="A1630" s="83">
        <v>5</v>
      </c>
      <c r="B1630" s="129" t="s">
        <v>158</v>
      </c>
      <c r="C1630" s="129" t="s">
        <v>147</v>
      </c>
      <c r="D1630" s="83">
        <v>50</v>
      </c>
      <c r="E1630" s="103">
        <v>27452.087</v>
      </c>
      <c r="F1630" s="129" t="s">
        <v>256</v>
      </c>
    </row>
    <row r="1631" spans="1:6" ht="16" thickBot="1" x14ac:dyDescent="0.25">
      <c r="A1631" s="83">
        <v>5</v>
      </c>
      <c r="B1631" s="129" t="s">
        <v>159</v>
      </c>
      <c r="C1631" s="129" t="s">
        <v>147</v>
      </c>
      <c r="D1631" s="83">
        <v>59</v>
      </c>
      <c r="E1631" s="103">
        <v>108486.958</v>
      </c>
      <c r="F1631" s="129" t="s">
        <v>256</v>
      </c>
    </row>
    <row r="1632" spans="1:6" ht="16" thickBot="1" x14ac:dyDescent="0.25">
      <c r="A1632" s="83">
        <v>5</v>
      </c>
      <c r="B1632" s="129" t="s">
        <v>160</v>
      </c>
      <c r="C1632" s="129" t="s">
        <v>147</v>
      </c>
      <c r="D1632" s="83">
        <v>9</v>
      </c>
      <c r="E1632" s="103">
        <v>10098.978999999999</v>
      </c>
      <c r="F1632" s="129" t="s">
        <v>256</v>
      </c>
    </row>
    <row r="1633" spans="1:6" ht="16" thickBot="1" x14ac:dyDescent="0.25">
      <c r="A1633" s="83">
        <v>5</v>
      </c>
      <c r="B1633" s="129" t="s">
        <v>160</v>
      </c>
      <c r="C1633" s="129" t="s">
        <v>147</v>
      </c>
      <c r="D1633" s="83">
        <v>30</v>
      </c>
      <c r="E1633" s="103">
        <v>184366.06356000001</v>
      </c>
      <c r="F1633" s="129" t="s">
        <v>148</v>
      </c>
    </row>
    <row r="1634" spans="1:6" ht="16" thickBot="1" x14ac:dyDescent="0.25">
      <c r="A1634" s="83">
        <v>5</v>
      </c>
      <c r="B1634" s="129" t="s">
        <v>161</v>
      </c>
      <c r="C1634" s="129" t="s">
        <v>147</v>
      </c>
      <c r="D1634" s="83">
        <v>68</v>
      </c>
      <c r="E1634" s="103">
        <v>187524.261</v>
      </c>
      <c r="F1634" s="129" t="s">
        <v>256</v>
      </c>
    </row>
    <row r="1635" spans="1:6" ht="16" thickBot="1" x14ac:dyDescent="0.25">
      <c r="A1635" s="83">
        <v>5</v>
      </c>
      <c r="B1635" s="129" t="s">
        <v>162</v>
      </c>
      <c r="C1635" s="129" t="s">
        <v>147</v>
      </c>
      <c r="D1635" s="83">
        <v>73</v>
      </c>
      <c r="E1635" s="103">
        <v>932209.70900000003</v>
      </c>
      <c r="F1635" s="129" t="s">
        <v>256</v>
      </c>
    </row>
    <row r="1636" spans="1:6" ht="16" thickBot="1" x14ac:dyDescent="0.25">
      <c r="A1636" s="83">
        <v>5</v>
      </c>
      <c r="B1636" s="129" t="s">
        <v>163</v>
      </c>
      <c r="C1636" s="129" t="s">
        <v>147</v>
      </c>
      <c r="D1636" s="83">
        <v>15</v>
      </c>
      <c r="E1636" s="103">
        <v>24447.13</v>
      </c>
      <c r="F1636" s="129" t="s">
        <v>256</v>
      </c>
    </row>
    <row r="1637" spans="1:6" ht="16" thickBot="1" x14ac:dyDescent="0.25">
      <c r="A1637" s="83">
        <v>5</v>
      </c>
      <c r="B1637" s="129" t="s">
        <v>163</v>
      </c>
      <c r="C1637" s="129" t="s">
        <v>147</v>
      </c>
      <c r="D1637" s="83">
        <v>1</v>
      </c>
      <c r="E1637" s="103">
        <v>97.470799999999997</v>
      </c>
      <c r="F1637" s="129" t="s">
        <v>148</v>
      </c>
    </row>
    <row r="1638" spans="1:6" ht="16" thickBot="1" x14ac:dyDescent="0.25">
      <c r="A1638" s="83">
        <v>5</v>
      </c>
      <c r="B1638" s="129" t="s">
        <v>164</v>
      </c>
      <c r="C1638" s="129" t="s">
        <v>147</v>
      </c>
      <c r="D1638" s="83">
        <v>402</v>
      </c>
      <c r="E1638" s="103">
        <v>1277705.0430000001</v>
      </c>
      <c r="F1638" s="129" t="s">
        <v>256</v>
      </c>
    </row>
    <row r="1639" spans="1:6" ht="16" thickBot="1" x14ac:dyDescent="0.25">
      <c r="A1639" s="83">
        <v>5</v>
      </c>
      <c r="B1639" s="129" t="s">
        <v>164</v>
      </c>
      <c r="C1639" s="129" t="s">
        <v>147</v>
      </c>
      <c r="D1639" s="83">
        <v>137</v>
      </c>
      <c r="E1639" s="103">
        <v>27368.192930000001</v>
      </c>
      <c r="F1639" s="129" t="s">
        <v>148</v>
      </c>
    </row>
    <row r="1640" spans="1:6" ht="16" thickBot="1" x14ac:dyDescent="0.25">
      <c r="A1640" s="83">
        <v>5</v>
      </c>
      <c r="B1640" s="129" t="s">
        <v>165</v>
      </c>
      <c r="C1640" s="129" t="s">
        <v>147</v>
      </c>
      <c r="D1640" s="83">
        <v>23</v>
      </c>
      <c r="E1640" s="103">
        <v>15046.394</v>
      </c>
      <c r="F1640" s="129" t="s">
        <v>256</v>
      </c>
    </row>
    <row r="1641" spans="1:6" ht="16" thickBot="1" x14ac:dyDescent="0.25">
      <c r="A1641" s="83">
        <v>5</v>
      </c>
      <c r="B1641" s="129" t="s">
        <v>166</v>
      </c>
      <c r="C1641" s="129" t="s">
        <v>147</v>
      </c>
      <c r="D1641" s="83">
        <v>611</v>
      </c>
      <c r="E1641" s="103">
        <v>8660652.7239999995</v>
      </c>
      <c r="F1641" s="129" t="s">
        <v>256</v>
      </c>
    </row>
    <row r="1642" spans="1:6" ht="16" thickBot="1" x14ac:dyDescent="0.25">
      <c r="A1642" s="83">
        <v>5</v>
      </c>
      <c r="B1642" s="129" t="s">
        <v>166</v>
      </c>
      <c r="C1642" s="129" t="s">
        <v>147</v>
      </c>
      <c r="D1642" s="83">
        <v>292</v>
      </c>
      <c r="E1642" s="103">
        <v>84979.664959999995</v>
      </c>
      <c r="F1642" s="129" t="s">
        <v>148</v>
      </c>
    </row>
    <row r="1643" spans="1:6" ht="16" thickBot="1" x14ac:dyDescent="0.25">
      <c r="A1643" s="83">
        <v>5</v>
      </c>
      <c r="B1643" s="129" t="s">
        <v>167</v>
      </c>
      <c r="C1643" s="129" t="s">
        <v>147</v>
      </c>
      <c r="D1643" s="83">
        <v>15</v>
      </c>
      <c r="E1643" s="103">
        <v>13962.184999999999</v>
      </c>
      <c r="F1643" s="129" t="s">
        <v>256</v>
      </c>
    </row>
    <row r="1644" spans="1:6" ht="16" thickBot="1" x14ac:dyDescent="0.25">
      <c r="A1644" s="83">
        <v>5</v>
      </c>
      <c r="B1644" s="129" t="s">
        <v>168</v>
      </c>
      <c r="C1644" s="129" t="s">
        <v>147</v>
      </c>
      <c r="D1644" s="83">
        <v>211</v>
      </c>
      <c r="E1644" s="103">
        <v>908225.86399999994</v>
      </c>
      <c r="F1644" s="129" t="s">
        <v>256</v>
      </c>
    </row>
    <row r="1645" spans="1:6" ht="16" thickBot="1" x14ac:dyDescent="0.25">
      <c r="A1645" s="83">
        <v>5</v>
      </c>
      <c r="B1645" s="129" t="s">
        <v>168</v>
      </c>
      <c r="C1645" s="129" t="s">
        <v>147</v>
      </c>
      <c r="D1645" s="83">
        <v>113</v>
      </c>
      <c r="E1645" s="103">
        <v>18671.56395</v>
      </c>
      <c r="F1645" s="129" t="s">
        <v>148</v>
      </c>
    </row>
    <row r="1646" spans="1:6" ht="16" thickBot="1" x14ac:dyDescent="0.25">
      <c r="A1646" s="83">
        <v>5</v>
      </c>
      <c r="B1646" s="129" t="s">
        <v>169</v>
      </c>
      <c r="C1646" s="129" t="s">
        <v>147</v>
      </c>
      <c r="D1646" s="83">
        <v>238</v>
      </c>
      <c r="E1646" s="103">
        <v>1752807.1980000001</v>
      </c>
      <c r="F1646" s="129" t="s">
        <v>256</v>
      </c>
    </row>
    <row r="1647" spans="1:6" ht="16" thickBot="1" x14ac:dyDescent="0.25">
      <c r="A1647" s="83">
        <v>5</v>
      </c>
      <c r="B1647" s="129" t="s">
        <v>169</v>
      </c>
      <c r="C1647" s="129" t="s">
        <v>147</v>
      </c>
      <c r="D1647" s="83">
        <v>104</v>
      </c>
      <c r="E1647" s="103">
        <v>174644.90781999999</v>
      </c>
      <c r="F1647" s="129" t="s">
        <v>148</v>
      </c>
    </row>
    <row r="1648" spans="1:6" ht="16" thickBot="1" x14ac:dyDescent="0.25">
      <c r="A1648" s="83">
        <v>5</v>
      </c>
      <c r="B1648" s="129" t="s">
        <v>170</v>
      </c>
      <c r="C1648" s="129" t="s">
        <v>147</v>
      </c>
      <c r="D1648" s="83">
        <v>6</v>
      </c>
      <c r="E1648" s="103">
        <v>31808.179</v>
      </c>
      <c r="F1648" s="129" t="s">
        <v>256</v>
      </c>
    </row>
    <row r="1649" spans="1:6" ht="16" thickBot="1" x14ac:dyDescent="0.25">
      <c r="A1649" s="83">
        <v>5</v>
      </c>
      <c r="B1649" s="129" t="s">
        <v>171</v>
      </c>
      <c r="C1649" s="129" t="s">
        <v>147</v>
      </c>
      <c r="D1649" s="83">
        <v>66</v>
      </c>
      <c r="E1649" s="103">
        <v>313610.21899999998</v>
      </c>
      <c r="F1649" s="129" t="s">
        <v>256</v>
      </c>
    </row>
    <row r="1650" spans="1:6" ht="16" thickBot="1" x14ac:dyDescent="0.25">
      <c r="A1650" s="83">
        <v>5</v>
      </c>
      <c r="B1650" s="129" t="s">
        <v>171</v>
      </c>
      <c r="C1650" s="129" t="s">
        <v>147</v>
      </c>
      <c r="D1650" s="83">
        <v>24</v>
      </c>
      <c r="E1650" s="103">
        <v>9959.2579000000005</v>
      </c>
      <c r="F1650" s="129" t="s">
        <v>148</v>
      </c>
    </row>
    <row r="1651" spans="1:6" ht="16" thickBot="1" x14ac:dyDescent="0.25">
      <c r="A1651" s="83">
        <v>5</v>
      </c>
      <c r="B1651" s="129" t="s">
        <v>172</v>
      </c>
      <c r="C1651" s="129" t="s">
        <v>147</v>
      </c>
      <c r="D1651" s="83">
        <v>68</v>
      </c>
      <c r="E1651" s="103">
        <v>128211.57799999999</v>
      </c>
      <c r="F1651" s="129" t="s">
        <v>256</v>
      </c>
    </row>
    <row r="1652" spans="1:6" ht="16" thickBot="1" x14ac:dyDescent="0.25">
      <c r="A1652" s="83">
        <v>5</v>
      </c>
      <c r="B1652" s="129" t="s">
        <v>172</v>
      </c>
      <c r="C1652" s="129" t="s">
        <v>147</v>
      </c>
      <c r="D1652" s="83">
        <v>35</v>
      </c>
      <c r="E1652" s="103">
        <v>9343.7989899999993</v>
      </c>
      <c r="F1652" s="129" t="s">
        <v>148</v>
      </c>
    </row>
    <row r="1653" spans="1:6" ht="16" thickBot="1" x14ac:dyDescent="0.25">
      <c r="A1653" s="83">
        <v>5</v>
      </c>
      <c r="B1653" s="129" t="s">
        <v>173</v>
      </c>
      <c r="C1653" s="129" t="s">
        <v>147</v>
      </c>
      <c r="D1653" s="83">
        <v>211</v>
      </c>
      <c r="E1653" s="103">
        <v>752413.92099999997</v>
      </c>
      <c r="F1653" s="129" t="s">
        <v>256</v>
      </c>
    </row>
    <row r="1654" spans="1:6" ht="16" thickBot="1" x14ac:dyDescent="0.25">
      <c r="A1654" s="83">
        <v>5</v>
      </c>
      <c r="B1654" s="129" t="s">
        <v>173</v>
      </c>
      <c r="C1654" s="129" t="s">
        <v>147</v>
      </c>
      <c r="D1654" s="83">
        <v>85</v>
      </c>
      <c r="E1654" s="103">
        <v>1325819.73119</v>
      </c>
      <c r="F1654" s="129" t="s">
        <v>148</v>
      </c>
    </row>
    <row r="1655" spans="1:6" ht="16" thickBot="1" x14ac:dyDescent="0.25">
      <c r="A1655" s="83">
        <v>5</v>
      </c>
      <c r="B1655" s="129" t="s">
        <v>174</v>
      </c>
      <c r="C1655" s="129" t="s">
        <v>147</v>
      </c>
      <c r="D1655" s="83">
        <v>125</v>
      </c>
      <c r="E1655" s="103">
        <v>278041.359</v>
      </c>
      <c r="F1655" s="129" t="s">
        <v>256</v>
      </c>
    </row>
    <row r="1656" spans="1:6" ht="16" thickBot="1" x14ac:dyDescent="0.25">
      <c r="A1656" s="83">
        <v>5</v>
      </c>
      <c r="B1656" s="129" t="s">
        <v>174</v>
      </c>
      <c r="C1656" s="129" t="s">
        <v>147</v>
      </c>
      <c r="D1656" s="83">
        <v>32</v>
      </c>
      <c r="E1656" s="103">
        <v>5657.4688200000001</v>
      </c>
      <c r="F1656" s="129" t="s">
        <v>148</v>
      </c>
    </row>
    <row r="1657" spans="1:6" ht="16" thickBot="1" x14ac:dyDescent="0.25">
      <c r="A1657" s="83">
        <v>5</v>
      </c>
      <c r="B1657" s="129" t="s">
        <v>175</v>
      </c>
      <c r="C1657" s="129" t="s">
        <v>147</v>
      </c>
      <c r="D1657" s="83">
        <v>50</v>
      </c>
      <c r="E1657" s="103">
        <v>81439.894</v>
      </c>
      <c r="F1657" s="129" t="s">
        <v>256</v>
      </c>
    </row>
    <row r="1658" spans="1:6" ht="16" thickBot="1" x14ac:dyDescent="0.25">
      <c r="A1658" s="83">
        <v>5</v>
      </c>
      <c r="B1658" s="129" t="s">
        <v>175</v>
      </c>
      <c r="C1658" s="129" t="s">
        <v>147</v>
      </c>
      <c r="D1658" s="83">
        <v>7</v>
      </c>
      <c r="E1658" s="103">
        <v>1486.23414</v>
      </c>
      <c r="F1658" s="129" t="s">
        <v>148</v>
      </c>
    </row>
    <row r="1659" spans="1:6" ht="16" thickBot="1" x14ac:dyDescent="0.25">
      <c r="A1659" s="83">
        <v>5</v>
      </c>
      <c r="B1659" s="129" t="s">
        <v>176</v>
      </c>
      <c r="C1659" s="129" t="s">
        <v>147</v>
      </c>
      <c r="D1659" s="83">
        <v>49</v>
      </c>
      <c r="E1659" s="103">
        <v>168741.56599999999</v>
      </c>
      <c r="F1659" s="129" t="s">
        <v>256</v>
      </c>
    </row>
    <row r="1660" spans="1:6" ht="16" thickBot="1" x14ac:dyDescent="0.25">
      <c r="A1660" s="83">
        <v>5</v>
      </c>
      <c r="B1660" s="129" t="s">
        <v>176</v>
      </c>
      <c r="C1660" s="129" t="s">
        <v>147</v>
      </c>
      <c r="D1660" s="83">
        <v>40</v>
      </c>
      <c r="E1660" s="103">
        <v>10796.14091</v>
      </c>
      <c r="F1660" s="129" t="s">
        <v>148</v>
      </c>
    </row>
    <row r="1661" spans="1:6" ht="16" thickBot="1" x14ac:dyDescent="0.25">
      <c r="A1661" s="83">
        <v>5</v>
      </c>
      <c r="B1661" s="129" t="s">
        <v>177</v>
      </c>
      <c r="C1661" s="129" t="s">
        <v>147</v>
      </c>
      <c r="D1661" s="83">
        <v>116</v>
      </c>
      <c r="E1661" s="103">
        <v>163695.163</v>
      </c>
      <c r="F1661" s="129" t="s">
        <v>256</v>
      </c>
    </row>
    <row r="1662" spans="1:6" ht="16" thickBot="1" x14ac:dyDescent="0.25">
      <c r="A1662" s="83">
        <v>5</v>
      </c>
      <c r="B1662" s="129" t="s">
        <v>177</v>
      </c>
      <c r="C1662" s="129" t="s">
        <v>147</v>
      </c>
      <c r="D1662" s="83">
        <v>25</v>
      </c>
      <c r="E1662" s="103">
        <v>1721.0145</v>
      </c>
      <c r="F1662" s="129" t="s">
        <v>148</v>
      </c>
    </row>
    <row r="1663" spans="1:6" ht="16" thickBot="1" x14ac:dyDescent="0.25">
      <c r="A1663" s="83">
        <v>5</v>
      </c>
      <c r="B1663" s="129" t="s">
        <v>178</v>
      </c>
      <c r="C1663" s="129" t="s">
        <v>147</v>
      </c>
      <c r="D1663" s="83">
        <v>99</v>
      </c>
      <c r="E1663" s="103">
        <v>245484.50899999999</v>
      </c>
      <c r="F1663" s="129" t="s">
        <v>256</v>
      </c>
    </row>
    <row r="1664" spans="1:6" ht="16" thickBot="1" x14ac:dyDescent="0.25">
      <c r="A1664" s="83">
        <v>5</v>
      </c>
      <c r="B1664" s="129" t="s">
        <v>179</v>
      </c>
      <c r="C1664" s="129" t="s">
        <v>147</v>
      </c>
      <c r="D1664" s="83">
        <v>6</v>
      </c>
      <c r="E1664" s="103">
        <v>999.24400000000003</v>
      </c>
      <c r="F1664" s="129" t="s">
        <v>256</v>
      </c>
    </row>
    <row r="1665" spans="1:6" ht="16" thickBot="1" x14ac:dyDescent="0.25">
      <c r="A1665" s="83">
        <v>5</v>
      </c>
      <c r="B1665" s="129" t="s">
        <v>181</v>
      </c>
      <c r="C1665" s="129" t="s">
        <v>147</v>
      </c>
      <c r="D1665" s="83">
        <v>16</v>
      </c>
      <c r="E1665" s="103">
        <v>33611.944000000003</v>
      </c>
      <c r="F1665" s="129" t="s">
        <v>256</v>
      </c>
    </row>
    <row r="1666" spans="1:6" ht="16" thickBot="1" x14ac:dyDescent="0.25">
      <c r="A1666" s="83">
        <v>5</v>
      </c>
      <c r="B1666" s="129" t="s">
        <v>181</v>
      </c>
      <c r="C1666" s="129" t="s">
        <v>147</v>
      </c>
      <c r="D1666" s="83">
        <v>255</v>
      </c>
      <c r="E1666" s="103">
        <v>62212.097280000002</v>
      </c>
      <c r="F1666" s="129" t="s">
        <v>148</v>
      </c>
    </row>
    <row r="1667" spans="1:6" ht="16" thickBot="1" x14ac:dyDescent="0.25">
      <c r="A1667" s="83">
        <v>5</v>
      </c>
      <c r="B1667" s="129" t="s">
        <v>182</v>
      </c>
      <c r="C1667" s="129" t="s">
        <v>147</v>
      </c>
      <c r="D1667" s="83">
        <v>15</v>
      </c>
      <c r="E1667" s="103">
        <v>3566.9679999999998</v>
      </c>
      <c r="F1667" s="129" t="s">
        <v>256</v>
      </c>
    </row>
    <row r="1668" spans="1:6" ht="16" thickBot="1" x14ac:dyDescent="0.25">
      <c r="A1668" s="83">
        <v>5</v>
      </c>
      <c r="B1668" s="129" t="s">
        <v>183</v>
      </c>
      <c r="C1668" s="129" t="s">
        <v>147</v>
      </c>
      <c r="D1668" s="83">
        <v>119</v>
      </c>
      <c r="E1668" s="103">
        <v>501849.05300000001</v>
      </c>
      <c r="F1668" s="129" t="s">
        <v>256</v>
      </c>
    </row>
    <row r="1669" spans="1:6" ht="16" thickBot="1" x14ac:dyDescent="0.25">
      <c r="A1669" s="83">
        <v>5</v>
      </c>
      <c r="B1669" s="129" t="s">
        <v>184</v>
      </c>
      <c r="C1669" s="129" t="s">
        <v>147</v>
      </c>
      <c r="D1669" s="83">
        <v>47</v>
      </c>
      <c r="E1669" s="103">
        <v>74422.801999999996</v>
      </c>
      <c r="F1669" s="129" t="s">
        <v>256</v>
      </c>
    </row>
    <row r="1670" spans="1:6" ht="16" thickBot="1" x14ac:dyDescent="0.25">
      <c r="A1670" s="83">
        <v>5</v>
      </c>
      <c r="B1670" s="129" t="s">
        <v>185</v>
      </c>
      <c r="C1670" s="129" t="s">
        <v>147</v>
      </c>
      <c r="D1670" s="83">
        <v>16</v>
      </c>
      <c r="E1670" s="103">
        <v>8288.0149999999994</v>
      </c>
      <c r="F1670" s="129" t="s">
        <v>256</v>
      </c>
    </row>
    <row r="1671" spans="1:6" ht="16" thickBot="1" x14ac:dyDescent="0.25">
      <c r="A1671" s="83">
        <v>5</v>
      </c>
      <c r="B1671" s="129" t="s">
        <v>185</v>
      </c>
      <c r="C1671" s="129" t="s">
        <v>147</v>
      </c>
      <c r="D1671" s="83">
        <v>5</v>
      </c>
      <c r="E1671" s="103">
        <v>270.10342000000003</v>
      </c>
      <c r="F1671" s="129" t="s">
        <v>148</v>
      </c>
    </row>
    <row r="1672" spans="1:6" ht="16" thickBot="1" x14ac:dyDescent="0.25">
      <c r="A1672" s="83">
        <v>5</v>
      </c>
      <c r="B1672" s="129" t="s">
        <v>186</v>
      </c>
      <c r="C1672" s="129" t="s">
        <v>147</v>
      </c>
      <c r="D1672" s="83">
        <v>55</v>
      </c>
      <c r="E1672" s="103">
        <v>119946.355</v>
      </c>
      <c r="F1672" s="129" t="s">
        <v>256</v>
      </c>
    </row>
    <row r="1673" spans="1:6" ht="16" thickBot="1" x14ac:dyDescent="0.25">
      <c r="A1673" s="83">
        <v>5</v>
      </c>
      <c r="B1673" s="129" t="s">
        <v>187</v>
      </c>
      <c r="C1673" s="129" t="s">
        <v>147</v>
      </c>
      <c r="D1673" s="83">
        <v>2</v>
      </c>
      <c r="E1673" s="103">
        <v>989.56299999999999</v>
      </c>
      <c r="F1673" s="129" t="s">
        <v>256</v>
      </c>
    </row>
    <row r="1674" spans="1:6" ht="16" thickBot="1" x14ac:dyDescent="0.25">
      <c r="A1674" s="83">
        <v>5</v>
      </c>
      <c r="B1674" s="129" t="s">
        <v>188</v>
      </c>
      <c r="C1674" s="129" t="s">
        <v>147</v>
      </c>
      <c r="D1674" s="83">
        <v>1</v>
      </c>
      <c r="E1674" s="103">
        <v>313.05500000000001</v>
      </c>
      <c r="F1674" s="129" t="s">
        <v>256</v>
      </c>
    </row>
    <row r="1675" spans="1:6" ht="16" thickBot="1" x14ac:dyDescent="0.25">
      <c r="A1675" s="83">
        <v>5</v>
      </c>
      <c r="B1675" s="129" t="s">
        <v>189</v>
      </c>
      <c r="C1675" s="129" t="s">
        <v>147</v>
      </c>
      <c r="D1675" s="83">
        <v>176</v>
      </c>
      <c r="E1675" s="103">
        <v>693485.62800000003</v>
      </c>
      <c r="F1675" s="129" t="s">
        <v>256</v>
      </c>
    </row>
    <row r="1676" spans="1:6" ht="16" thickBot="1" x14ac:dyDescent="0.25">
      <c r="A1676" s="83">
        <v>5</v>
      </c>
      <c r="B1676" s="129" t="s">
        <v>189</v>
      </c>
      <c r="C1676" s="129" t="s">
        <v>147</v>
      </c>
      <c r="D1676" s="83">
        <v>158</v>
      </c>
      <c r="E1676" s="103">
        <v>22073.548409999999</v>
      </c>
      <c r="F1676" s="129" t="s">
        <v>148</v>
      </c>
    </row>
    <row r="1677" spans="1:6" ht="16" thickBot="1" x14ac:dyDescent="0.25">
      <c r="A1677" s="83">
        <v>5</v>
      </c>
      <c r="B1677" s="129" t="s">
        <v>190</v>
      </c>
      <c r="C1677" s="129" t="s">
        <v>147</v>
      </c>
      <c r="D1677" s="83">
        <v>35</v>
      </c>
      <c r="E1677" s="103">
        <v>39531.500999999997</v>
      </c>
      <c r="F1677" s="129" t="s">
        <v>256</v>
      </c>
    </row>
    <row r="1678" spans="1:6" ht="16" thickBot="1" x14ac:dyDescent="0.25">
      <c r="A1678" s="83">
        <v>5</v>
      </c>
      <c r="B1678" s="129" t="s">
        <v>190</v>
      </c>
      <c r="C1678" s="129" t="s">
        <v>147</v>
      </c>
      <c r="D1678" s="83">
        <v>3</v>
      </c>
      <c r="E1678" s="103">
        <v>3529.9441000000002</v>
      </c>
      <c r="F1678" s="129" t="s">
        <v>148</v>
      </c>
    </row>
    <row r="1679" spans="1:6" ht="16" thickBot="1" x14ac:dyDescent="0.25">
      <c r="A1679" s="83">
        <v>5</v>
      </c>
      <c r="B1679" s="129" t="s">
        <v>191</v>
      </c>
      <c r="C1679" s="129" t="s">
        <v>147</v>
      </c>
      <c r="D1679" s="83">
        <v>369</v>
      </c>
      <c r="E1679" s="103">
        <v>1116926.1470000001</v>
      </c>
      <c r="F1679" s="129" t="s">
        <v>256</v>
      </c>
    </row>
    <row r="1680" spans="1:6" ht="16" thickBot="1" x14ac:dyDescent="0.25">
      <c r="A1680" s="83">
        <v>5</v>
      </c>
      <c r="B1680" s="129" t="s">
        <v>191</v>
      </c>
      <c r="C1680" s="129" t="s">
        <v>147</v>
      </c>
      <c r="D1680" s="83">
        <v>208</v>
      </c>
      <c r="E1680" s="103">
        <v>36679.054900000003</v>
      </c>
      <c r="F1680" s="129" t="s">
        <v>148</v>
      </c>
    </row>
    <row r="1681" spans="1:6" ht="16" thickBot="1" x14ac:dyDescent="0.25">
      <c r="A1681" s="83">
        <v>5</v>
      </c>
      <c r="B1681" s="129" t="s">
        <v>192</v>
      </c>
      <c r="C1681" s="129" t="s">
        <v>147</v>
      </c>
      <c r="D1681" s="83">
        <v>59</v>
      </c>
      <c r="E1681" s="103">
        <v>53610.678</v>
      </c>
      <c r="F1681" s="129" t="s">
        <v>256</v>
      </c>
    </row>
    <row r="1682" spans="1:6" ht="16" thickBot="1" x14ac:dyDescent="0.25">
      <c r="A1682" s="83">
        <v>5</v>
      </c>
      <c r="B1682" s="129" t="s">
        <v>192</v>
      </c>
      <c r="C1682" s="129" t="s">
        <v>147</v>
      </c>
      <c r="D1682" s="83">
        <v>19</v>
      </c>
      <c r="E1682" s="103">
        <v>2792.15499</v>
      </c>
      <c r="F1682" s="129" t="s">
        <v>148</v>
      </c>
    </row>
    <row r="1683" spans="1:6" ht="16" thickBot="1" x14ac:dyDescent="0.25">
      <c r="A1683" s="83">
        <v>5</v>
      </c>
      <c r="B1683" s="129" t="s">
        <v>193</v>
      </c>
      <c r="C1683" s="129" t="s">
        <v>147</v>
      </c>
      <c r="D1683" s="83">
        <v>908</v>
      </c>
      <c r="E1683" s="103">
        <v>3257828.4449999998</v>
      </c>
      <c r="F1683" s="129" t="s">
        <v>256</v>
      </c>
    </row>
    <row r="1684" spans="1:6" ht="16" thickBot="1" x14ac:dyDescent="0.25">
      <c r="A1684" s="83">
        <v>5</v>
      </c>
      <c r="B1684" s="129" t="s">
        <v>193</v>
      </c>
      <c r="C1684" s="129" t="s">
        <v>147</v>
      </c>
      <c r="D1684" s="83">
        <v>423</v>
      </c>
      <c r="E1684" s="103">
        <v>116223.29445</v>
      </c>
      <c r="F1684" s="129" t="s">
        <v>148</v>
      </c>
    </row>
    <row r="1685" spans="1:6" ht="16" thickBot="1" x14ac:dyDescent="0.25">
      <c r="A1685" s="83">
        <v>5</v>
      </c>
      <c r="B1685" s="129" t="s">
        <v>194</v>
      </c>
      <c r="C1685" s="129" t="s">
        <v>147</v>
      </c>
      <c r="D1685" s="83">
        <v>34</v>
      </c>
      <c r="E1685" s="103">
        <v>74990.278000000006</v>
      </c>
      <c r="F1685" s="129" t="s">
        <v>256</v>
      </c>
    </row>
    <row r="1686" spans="1:6" ht="16" thickBot="1" x14ac:dyDescent="0.25">
      <c r="A1686" s="83">
        <v>5</v>
      </c>
      <c r="B1686" s="129" t="s">
        <v>195</v>
      </c>
      <c r="C1686" s="129" t="s">
        <v>147</v>
      </c>
      <c r="D1686" s="83">
        <v>272</v>
      </c>
      <c r="E1686" s="103">
        <v>703406.93900000001</v>
      </c>
      <c r="F1686" s="129" t="s">
        <v>256</v>
      </c>
    </row>
    <row r="1687" spans="1:6" ht="16" thickBot="1" x14ac:dyDescent="0.25">
      <c r="A1687" s="83">
        <v>5</v>
      </c>
      <c r="B1687" s="129" t="s">
        <v>195</v>
      </c>
      <c r="C1687" s="129" t="s">
        <v>147</v>
      </c>
      <c r="D1687" s="83">
        <v>119</v>
      </c>
      <c r="E1687" s="103">
        <v>17351.208600000002</v>
      </c>
      <c r="F1687" s="129" t="s">
        <v>148</v>
      </c>
    </row>
    <row r="1688" spans="1:6" ht="16" thickBot="1" x14ac:dyDescent="0.25">
      <c r="A1688" s="83">
        <v>5</v>
      </c>
      <c r="B1688" s="129" t="s">
        <v>196</v>
      </c>
      <c r="C1688" s="129" t="s">
        <v>147</v>
      </c>
      <c r="D1688" s="83">
        <v>57</v>
      </c>
      <c r="E1688" s="103">
        <v>85791.381999999998</v>
      </c>
      <c r="F1688" s="129" t="s">
        <v>256</v>
      </c>
    </row>
    <row r="1689" spans="1:6" ht="16" thickBot="1" x14ac:dyDescent="0.25">
      <c r="A1689" s="83">
        <v>5</v>
      </c>
      <c r="B1689" s="129" t="s">
        <v>196</v>
      </c>
      <c r="C1689" s="129" t="s">
        <v>147</v>
      </c>
      <c r="D1689" s="83">
        <v>24</v>
      </c>
      <c r="E1689" s="103">
        <v>1539.4810299999999</v>
      </c>
      <c r="F1689" s="129" t="s">
        <v>148</v>
      </c>
    </row>
    <row r="1690" spans="1:6" ht="16" thickBot="1" x14ac:dyDescent="0.25">
      <c r="A1690" s="83">
        <v>5</v>
      </c>
      <c r="B1690" s="129" t="s">
        <v>197</v>
      </c>
      <c r="C1690" s="129" t="s">
        <v>147</v>
      </c>
      <c r="D1690" s="83">
        <v>19</v>
      </c>
      <c r="E1690" s="103">
        <v>8168.3109999999997</v>
      </c>
      <c r="F1690" s="129" t="s">
        <v>256</v>
      </c>
    </row>
    <row r="1691" spans="1:6" ht="16" thickBot="1" x14ac:dyDescent="0.25">
      <c r="A1691" s="83">
        <v>5</v>
      </c>
      <c r="B1691" s="129" t="s">
        <v>198</v>
      </c>
      <c r="C1691" s="129" t="s">
        <v>147</v>
      </c>
      <c r="D1691" s="83">
        <v>25</v>
      </c>
      <c r="E1691" s="103">
        <v>13029.382</v>
      </c>
      <c r="F1691" s="129" t="s">
        <v>256</v>
      </c>
    </row>
    <row r="1692" spans="1:6" ht="16" thickBot="1" x14ac:dyDescent="0.25">
      <c r="A1692" s="83">
        <v>5</v>
      </c>
      <c r="B1692" s="129" t="s">
        <v>199</v>
      </c>
      <c r="C1692" s="129" t="s">
        <v>147</v>
      </c>
      <c r="D1692" s="83">
        <v>53</v>
      </c>
      <c r="E1692" s="103">
        <v>81017.851999999999</v>
      </c>
      <c r="F1692" s="129" t="s">
        <v>256</v>
      </c>
    </row>
    <row r="1693" spans="1:6" ht="16" thickBot="1" x14ac:dyDescent="0.25">
      <c r="A1693" s="83">
        <v>5</v>
      </c>
      <c r="B1693" s="129" t="s">
        <v>200</v>
      </c>
      <c r="C1693" s="129" t="s">
        <v>147</v>
      </c>
      <c r="D1693" s="83">
        <v>60</v>
      </c>
      <c r="E1693" s="103">
        <v>86345.675000000003</v>
      </c>
      <c r="F1693" s="129" t="s">
        <v>256</v>
      </c>
    </row>
    <row r="1694" spans="1:6" ht="16" thickBot="1" x14ac:dyDescent="0.25">
      <c r="A1694" s="83">
        <v>5</v>
      </c>
      <c r="B1694" s="129" t="s">
        <v>201</v>
      </c>
      <c r="C1694" s="129" t="s">
        <v>147</v>
      </c>
      <c r="D1694" s="83">
        <v>14</v>
      </c>
      <c r="E1694" s="103">
        <v>6424.759</v>
      </c>
      <c r="F1694" s="129" t="s">
        <v>256</v>
      </c>
    </row>
    <row r="1695" spans="1:6" ht="16" thickBot="1" x14ac:dyDescent="0.25">
      <c r="A1695" s="83">
        <v>5</v>
      </c>
      <c r="B1695" s="129" t="s">
        <v>202</v>
      </c>
      <c r="C1695" s="129" t="s">
        <v>147</v>
      </c>
      <c r="D1695" s="83">
        <v>89</v>
      </c>
      <c r="E1695" s="103">
        <v>85209.716</v>
      </c>
      <c r="F1695" s="129" t="s">
        <v>256</v>
      </c>
    </row>
    <row r="1696" spans="1:6" ht="16" thickBot="1" x14ac:dyDescent="0.25">
      <c r="A1696" s="83">
        <v>5</v>
      </c>
      <c r="B1696" s="129" t="s">
        <v>202</v>
      </c>
      <c r="C1696" s="129" t="s">
        <v>147</v>
      </c>
      <c r="D1696" s="83">
        <v>31</v>
      </c>
      <c r="E1696" s="103">
        <v>1340.5660700000001</v>
      </c>
      <c r="F1696" s="129" t="s">
        <v>148</v>
      </c>
    </row>
    <row r="1697" spans="1:6" ht="16" thickBot="1" x14ac:dyDescent="0.25">
      <c r="A1697" s="83">
        <v>5</v>
      </c>
      <c r="B1697" s="129" t="s">
        <v>203</v>
      </c>
      <c r="C1697" s="129" t="s">
        <v>147</v>
      </c>
      <c r="D1697" s="83">
        <v>39</v>
      </c>
      <c r="E1697" s="103">
        <v>50496.17</v>
      </c>
      <c r="F1697" s="129" t="s">
        <v>256</v>
      </c>
    </row>
    <row r="1698" spans="1:6" ht="16" thickBot="1" x14ac:dyDescent="0.25">
      <c r="A1698" s="83">
        <v>5</v>
      </c>
      <c r="B1698" s="129" t="s">
        <v>204</v>
      </c>
      <c r="C1698" s="129" t="s">
        <v>147</v>
      </c>
      <c r="D1698" s="83">
        <v>108</v>
      </c>
      <c r="E1698" s="103">
        <v>314322.85700000002</v>
      </c>
      <c r="F1698" s="129" t="s">
        <v>256</v>
      </c>
    </row>
    <row r="1699" spans="1:6" ht="16" thickBot="1" x14ac:dyDescent="0.25">
      <c r="A1699" s="83">
        <v>5</v>
      </c>
      <c r="B1699" s="129" t="s">
        <v>205</v>
      </c>
      <c r="C1699" s="129" t="s">
        <v>147</v>
      </c>
      <c r="D1699" s="83">
        <v>349</v>
      </c>
      <c r="E1699" s="103">
        <v>789731.98199999996</v>
      </c>
      <c r="F1699" s="129" t="s">
        <v>256</v>
      </c>
    </row>
    <row r="1700" spans="1:6" ht="16" thickBot="1" x14ac:dyDescent="0.25">
      <c r="A1700" s="83">
        <v>5</v>
      </c>
      <c r="B1700" s="129" t="s">
        <v>205</v>
      </c>
      <c r="C1700" s="129" t="s">
        <v>147</v>
      </c>
      <c r="D1700" s="83">
        <v>105</v>
      </c>
      <c r="E1700" s="103">
        <v>10692.34635</v>
      </c>
      <c r="F1700" s="129" t="s">
        <v>148</v>
      </c>
    </row>
    <row r="1701" spans="1:6" ht="16" thickBot="1" x14ac:dyDescent="0.25">
      <c r="A1701" s="83">
        <v>5</v>
      </c>
      <c r="B1701" s="129" t="s">
        <v>206</v>
      </c>
      <c r="C1701" s="129" t="s">
        <v>147</v>
      </c>
      <c r="D1701" s="83">
        <v>62</v>
      </c>
      <c r="E1701" s="103">
        <v>109555.53599999999</v>
      </c>
      <c r="F1701" s="129" t="s">
        <v>256</v>
      </c>
    </row>
    <row r="1702" spans="1:6" ht="16" thickBot="1" x14ac:dyDescent="0.25">
      <c r="A1702" s="83">
        <v>5</v>
      </c>
      <c r="B1702" s="129" t="s">
        <v>206</v>
      </c>
      <c r="C1702" s="129" t="s">
        <v>147</v>
      </c>
      <c r="D1702" s="83">
        <v>29</v>
      </c>
      <c r="E1702" s="103">
        <v>2577.4253600000002</v>
      </c>
      <c r="F1702" s="129" t="s">
        <v>148</v>
      </c>
    </row>
    <row r="1703" spans="1:6" ht="16" thickBot="1" x14ac:dyDescent="0.25">
      <c r="A1703" s="83">
        <v>5</v>
      </c>
      <c r="B1703" s="129" t="s">
        <v>208</v>
      </c>
      <c r="C1703" s="129" t="s">
        <v>147</v>
      </c>
      <c r="D1703" s="83">
        <v>8</v>
      </c>
      <c r="E1703" s="103">
        <v>12240.707</v>
      </c>
      <c r="F1703" s="129" t="s">
        <v>256</v>
      </c>
    </row>
    <row r="1704" spans="1:6" ht="16" thickBot="1" x14ac:dyDescent="0.25">
      <c r="A1704" s="83">
        <v>5</v>
      </c>
      <c r="B1704" s="129" t="s">
        <v>209</v>
      </c>
      <c r="C1704" s="129" t="s">
        <v>147</v>
      </c>
      <c r="D1704" s="83">
        <v>199</v>
      </c>
      <c r="E1704" s="103">
        <v>358566.033</v>
      </c>
      <c r="F1704" s="129" t="s">
        <v>256</v>
      </c>
    </row>
    <row r="1705" spans="1:6" ht="16" thickBot="1" x14ac:dyDescent="0.25">
      <c r="A1705" s="83">
        <v>5</v>
      </c>
      <c r="B1705" s="129" t="s">
        <v>209</v>
      </c>
      <c r="C1705" s="129" t="s">
        <v>147</v>
      </c>
      <c r="D1705" s="83">
        <v>65</v>
      </c>
      <c r="E1705" s="103">
        <v>3748.0567099999998</v>
      </c>
      <c r="F1705" s="129" t="s">
        <v>148</v>
      </c>
    </row>
    <row r="1706" spans="1:6" ht="16" thickBot="1" x14ac:dyDescent="0.25">
      <c r="A1706" s="83">
        <v>5</v>
      </c>
      <c r="B1706" s="129" t="s">
        <v>210</v>
      </c>
      <c r="C1706" s="129" t="s">
        <v>147</v>
      </c>
      <c r="D1706" s="83">
        <v>11</v>
      </c>
      <c r="E1706" s="103">
        <v>53989.436999999998</v>
      </c>
      <c r="F1706" s="129" t="s">
        <v>256</v>
      </c>
    </row>
    <row r="1707" spans="1:6" ht="16" thickBot="1" x14ac:dyDescent="0.25">
      <c r="A1707" s="83">
        <v>5</v>
      </c>
      <c r="B1707" s="129" t="s">
        <v>211</v>
      </c>
      <c r="C1707" s="129" t="s">
        <v>147</v>
      </c>
      <c r="D1707" s="83">
        <v>10</v>
      </c>
      <c r="E1707" s="103">
        <v>3883.8229999999999</v>
      </c>
      <c r="F1707" s="129" t="s">
        <v>256</v>
      </c>
    </row>
    <row r="1708" spans="1:6" ht="16" thickBot="1" x14ac:dyDescent="0.25">
      <c r="A1708" s="83">
        <v>5</v>
      </c>
      <c r="B1708" s="129" t="s">
        <v>213</v>
      </c>
      <c r="C1708" s="129" t="s">
        <v>147</v>
      </c>
      <c r="D1708" s="83">
        <v>86</v>
      </c>
      <c r="E1708" s="103">
        <v>119016.923</v>
      </c>
      <c r="F1708" s="129" t="s">
        <v>256</v>
      </c>
    </row>
    <row r="1709" spans="1:6" ht="16" thickBot="1" x14ac:dyDescent="0.25">
      <c r="A1709" s="83">
        <v>5</v>
      </c>
      <c r="B1709" s="129" t="s">
        <v>214</v>
      </c>
      <c r="C1709" s="129" t="s">
        <v>147</v>
      </c>
      <c r="D1709" s="83">
        <v>67</v>
      </c>
      <c r="E1709" s="103">
        <v>82292.047999999995</v>
      </c>
      <c r="F1709" s="129" t="s">
        <v>256</v>
      </c>
    </row>
    <row r="1710" spans="1:6" ht="16" thickBot="1" x14ac:dyDescent="0.25">
      <c r="A1710" s="83">
        <v>5</v>
      </c>
      <c r="B1710" s="129" t="s">
        <v>215</v>
      </c>
      <c r="C1710" s="129" t="s">
        <v>147</v>
      </c>
      <c r="D1710" s="83">
        <v>191</v>
      </c>
      <c r="E1710" s="103">
        <v>338039.27</v>
      </c>
      <c r="F1710" s="129" t="s">
        <v>256</v>
      </c>
    </row>
    <row r="1711" spans="1:6" ht="16" thickBot="1" x14ac:dyDescent="0.25">
      <c r="A1711" s="83">
        <v>5</v>
      </c>
      <c r="B1711" s="129" t="s">
        <v>215</v>
      </c>
      <c r="C1711" s="129" t="s">
        <v>147</v>
      </c>
      <c r="D1711" s="83">
        <v>75</v>
      </c>
      <c r="E1711" s="103">
        <v>6771.2322800000002</v>
      </c>
      <c r="F1711" s="129" t="s">
        <v>148</v>
      </c>
    </row>
    <row r="1712" spans="1:6" ht="16" thickBot="1" x14ac:dyDescent="0.25">
      <c r="A1712" s="83">
        <v>5</v>
      </c>
      <c r="B1712" s="129" t="s">
        <v>216</v>
      </c>
      <c r="C1712" s="129" t="s">
        <v>147</v>
      </c>
      <c r="D1712" s="83">
        <v>17</v>
      </c>
      <c r="E1712" s="103">
        <v>27558.190999999999</v>
      </c>
      <c r="F1712" s="129" t="s">
        <v>256</v>
      </c>
    </row>
    <row r="1713" spans="1:6" ht="16" thickBot="1" x14ac:dyDescent="0.25">
      <c r="A1713" s="83">
        <v>5</v>
      </c>
      <c r="B1713" s="129" t="s">
        <v>217</v>
      </c>
      <c r="C1713" s="129" t="s">
        <v>147</v>
      </c>
      <c r="D1713" s="83">
        <v>98</v>
      </c>
      <c r="E1713" s="103">
        <v>140888.95000000001</v>
      </c>
      <c r="F1713" s="129" t="s">
        <v>256</v>
      </c>
    </row>
    <row r="1714" spans="1:6" ht="16" thickBot="1" x14ac:dyDescent="0.25">
      <c r="A1714" s="83">
        <v>5</v>
      </c>
      <c r="B1714" s="129" t="s">
        <v>217</v>
      </c>
      <c r="C1714" s="129" t="s">
        <v>147</v>
      </c>
      <c r="D1714" s="83">
        <v>43</v>
      </c>
      <c r="E1714" s="103">
        <v>3218.3627799999999</v>
      </c>
      <c r="F1714" s="129" t="s">
        <v>148</v>
      </c>
    </row>
    <row r="1715" spans="1:6" ht="16" thickBot="1" x14ac:dyDescent="0.25">
      <c r="A1715" s="83">
        <v>5</v>
      </c>
      <c r="B1715" s="129" t="s">
        <v>218</v>
      </c>
      <c r="C1715" s="129" t="s">
        <v>147</v>
      </c>
      <c r="D1715" s="83">
        <v>1222</v>
      </c>
      <c r="E1715" s="103">
        <v>39097096.303000003</v>
      </c>
      <c r="F1715" s="129" t="s">
        <v>256</v>
      </c>
    </row>
    <row r="1716" spans="1:6" ht="16" thickBot="1" x14ac:dyDescent="0.25">
      <c r="A1716" s="83">
        <v>5</v>
      </c>
      <c r="B1716" s="129" t="s">
        <v>218</v>
      </c>
      <c r="C1716" s="129" t="s">
        <v>147</v>
      </c>
      <c r="D1716" s="83">
        <v>678</v>
      </c>
      <c r="E1716" s="103">
        <v>176363.15229999999</v>
      </c>
      <c r="F1716" s="129" t="s">
        <v>148</v>
      </c>
    </row>
    <row r="1717" spans="1:6" ht="16" thickBot="1" x14ac:dyDescent="0.25">
      <c r="A1717" s="83">
        <v>5</v>
      </c>
      <c r="B1717" s="129" t="s">
        <v>219</v>
      </c>
      <c r="C1717" s="129" t="s">
        <v>147</v>
      </c>
      <c r="D1717" s="83">
        <v>21</v>
      </c>
      <c r="E1717" s="103">
        <v>7070902.8130000001</v>
      </c>
      <c r="F1717" s="129" t="s">
        <v>256</v>
      </c>
    </row>
    <row r="1718" spans="1:6" ht="16" thickBot="1" x14ac:dyDescent="0.25">
      <c r="A1718" s="83">
        <v>5</v>
      </c>
      <c r="B1718" s="129" t="s">
        <v>219</v>
      </c>
      <c r="C1718" s="129" t="s">
        <v>147</v>
      </c>
      <c r="D1718" s="83">
        <v>40</v>
      </c>
      <c r="E1718" s="103">
        <v>1693950.1837899999</v>
      </c>
      <c r="F1718" s="129" t="s">
        <v>148</v>
      </c>
    </row>
    <row r="1719" spans="1:6" ht="16" thickBot="1" x14ac:dyDescent="0.25">
      <c r="A1719" s="83">
        <v>5</v>
      </c>
      <c r="B1719" s="129" t="s">
        <v>220</v>
      </c>
      <c r="C1719" s="129" t="s">
        <v>147</v>
      </c>
      <c r="D1719" s="83">
        <v>16</v>
      </c>
      <c r="E1719" s="103">
        <v>5382.4660000000003</v>
      </c>
      <c r="F1719" s="129" t="s">
        <v>256</v>
      </c>
    </row>
    <row r="1720" spans="1:6" ht="16" thickBot="1" x14ac:dyDescent="0.25">
      <c r="A1720" s="83">
        <v>5</v>
      </c>
      <c r="B1720" s="129" t="s">
        <v>221</v>
      </c>
      <c r="C1720" s="129" t="s">
        <v>147</v>
      </c>
      <c r="D1720" s="83">
        <v>242</v>
      </c>
      <c r="E1720" s="103">
        <v>507903.83</v>
      </c>
      <c r="F1720" s="129" t="s">
        <v>256</v>
      </c>
    </row>
    <row r="1721" spans="1:6" ht="16" thickBot="1" x14ac:dyDescent="0.25">
      <c r="A1721" s="83">
        <v>5</v>
      </c>
      <c r="B1721" s="129" t="s">
        <v>221</v>
      </c>
      <c r="C1721" s="129" t="s">
        <v>147</v>
      </c>
      <c r="D1721" s="83">
        <v>139</v>
      </c>
      <c r="E1721" s="103">
        <v>17623.8282</v>
      </c>
      <c r="F1721" s="129" t="s">
        <v>148</v>
      </c>
    </row>
    <row r="1722" spans="1:6" ht="16" thickBot="1" x14ac:dyDescent="0.25">
      <c r="A1722" s="83">
        <v>5</v>
      </c>
      <c r="B1722" s="129" t="s">
        <v>222</v>
      </c>
      <c r="C1722" s="129" t="s">
        <v>147</v>
      </c>
      <c r="D1722" s="83">
        <v>91</v>
      </c>
      <c r="E1722" s="103">
        <v>196014.19</v>
      </c>
      <c r="F1722" s="129" t="s">
        <v>256</v>
      </c>
    </row>
    <row r="1723" spans="1:6" ht="16" thickBot="1" x14ac:dyDescent="0.25">
      <c r="A1723" s="83">
        <v>5</v>
      </c>
      <c r="B1723" s="129" t="s">
        <v>222</v>
      </c>
      <c r="C1723" s="129" t="s">
        <v>147</v>
      </c>
      <c r="D1723" s="83">
        <v>43</v>
      </c>
      <c r="E1723" s="103">
        <v>1981.7016000000001</v>
      </c>
      <c r="F1723" s="129" t="s">
        <v>148</v>
      </c>
    </row>
    <row r="1724" spans="1:6" ht="16" thickBot="1" x14ac:dyDescent="0.25">
      <c r="A1724" s="83">
        <v>5</v>
      </c>
      <c r="B1724" s="129" t="s">
        <v>223</v>
      </c>
      <c r="C1724" s="129" t="s">
        <v>147</v>
      </c>
      <c r="D1724" s="83">
        <v>98</v>
      </c>
      <c r="E1724" s="103">
        <v>117845.79</v>
      </c>
      <c r="F1724" s="129" t="s">
        <v>256</v>
      </c>
    </row>
    <row r="1725" spans="1:6" ht="16" thickBot="1" x14ac:dyDescent="0.25">
      <c r="A1725" s="83">
        <v>5</v>
      </c>
      <c r="B1725" s="129" t="s">
        <v>223</v>
      </c>
      <c r="C1725" s="129" t="s">
        <v>147</v>
      </c>
      <c r="D1725" s="83">
        <v>53</v>
      </c>
      <c r="E1725" s="103">
        <v>3788.32341</v>
      </c>
      <c r="F1725" s="129" t="s">
        <v>148</v>
      </c>
    </row>
    <row r="1726" spans="1:6" ht="16" thickBot="1" x14ac:dyDescent="0.25">
      <c r="A1726" s="83">
        <v>5</v>
      </c>
      <c r="B1726" s="129" t="s">
        <v>224</v>
      </c>
      <c r="C1726" s="129" t="s">
        <v>147</v>
      </c>
      <c r="D1726" s="83">
        <v>63</v>
      </c>
      <c r="E1726" s="103">
        <v>143019.17300000001</v>
      </c>
      <c r="F1726" s="129" t="s">
        <v>256</v>
      </c>
    </row>
    <row r="1727" spans="1:6" ht="16" thickBot="1" x14ac:dyDescent="0.25">
      <c r="A1727" s="83">
        <v>5</v>
      </c>
      <c r="B1727" s="129" t="s">
        <v>225</v>
      </c>
      <c r="C1727" s="129" t="s">
        <v>147</v>
      </c>
      <c r="D1727" s="83">
        <v>17</v>
      </c>
      <c r="E1727" s="103">
        <v>11039.455</v>
      </c>
      <c r="F1727" s="129" t="s">
        <v>256</v>
      </c>
    </row>
    <row r="1728" spans="1:6" ht="16" thickBot="1" x14ac:dyDescent="0.25">
      <c r="A1728" s="83">
        <v>5</v>
      </c>
      <c r="B1728" s="129" t="s">
        <v>226</v>
      </c>
      <c r="C1728" s="129" t="s">
        <v>147</v>
      </c>
      <c r="D1728" s="83">
        <v>8</v>
      </c>
      <c r="E1728" s="103">
        <v>2668.3510000000001</v>
      </c>
      <c r="F1728" s="129" t="s">
        <v>256</v>
      </c>
    </row>
    <row r="1729" spans="1:6" ht="16" thickBot="1" x14ac:dyDescent="0.25">
      <c r="A1729" s="83">
        <v>5</v>
      </c>
      <c r="B1729" s="129" t="s">
        <v>227</v>
      </c>
      <c r="C1729" s="129" t="s">
        <v>147</v>
      </c>
      <c r="D1729" s="83">
        <v>43</v>
      </c>
      <c r="E1729" s="103">
        <v>84572.936000000002</v>
      </c>
      <c r="F1729" s="129" t="s">
        <v>256</v>
      </c>
    </row>
    <row r="1730" spans="1:6" ht="16" thickBot="1" x14ac:dyDescent="0.25">
      <c r="A1730" s="83">
        <v>5</v>
      </c>
      <c r="B1730" s="129" t="s">
        <v>227</v>
      </c>
      <c r="C1730" s="129" t="s">
        <v>147</v>
      </c>
      <c r="D1730" s="83">
        <v>21</v>
      </c>
      <c r="E1730" s="103">
        <v>846.62670000000003</v>
      </c>
      <c r="F1730" s="129" t="s">
        <v>148</v>
      </c>
    </row>
    <row r="1731" spans="1:6" ht="16" thickBot="1" x14ac:dyDescent="0.25">
      <c r="A1731" s="83">
        <v>5</v>
      </c>
      <c r="B1731" s="129" t="s">
        <v>228</v>
      </c>
      <c r="C1731" s="129" t="s">
        <v>147</v>
      </c>
      <c r="D1731" s="83">
        <v>138</v>
      </c>
      <c r="E1731" s="103">
        <v>305055.11900000001</v>
      </c>
      <c r="F1731" s="129" t="s">
        <v>256</v>
      </c>
    </row>
    <row r="1732" spans="1:6" ht="16" thickBot="1" x14ac:dyDescent="0.25">
      <c r="A1732" s="83">
        <v>5</v>
      </c>
      <c r="B1732" s="129" t="s">
        <v>228</v>
      </c>
      <c r="C1732" s="129" t="s">
        <v>147</v>
      </c>
      <c r="D1732" s="83">
        <v>16</v>
      </c>
      <c r="E1732" s="103">
        <v>3585.2264700000001</v>
      </c>
      <c r="F1732" s="129" t="s">
        <v>148</v>
      </c>
    </row>
    <row r="1733" spans="1:6" ht="16" thickBot="1" x14ac:dyDescent="0.25">
      <c r="A1733" s="83">
        <v>5</v>
      </c>
      <c r="B1733" s="129" t="s">
        <v>229</v>
      </c>
      <c r="C1733" s="129" t="s">
        <v>147</v>
      </c>
      <c r="D1733" s="83">
        <v>189</v>
      </c>
      <c r="E1733" s="103">
        <v>407036.511</v>
      </c>
      <c r="F1733" s="129" t="s">
        <v>256</v>
      </c>
    </row>
    <row r="1734" spans="1:6" ht="16" thickBot="1" x14ac:dyDescent="0.25">
      <c r="A1734" s="83">
        <v>5</v>
      </c>
      <c r="B1734" s="129" t="s">
        <v>230</v>
      </c>
      <c r="C1734" s="129" t="s">
        <v>147</v>
      </c>
      <c r="D1734" s="83">
        <v>1783</v>
      </c>
      <c r="E1734" s="103">
        <v>17967700.691</v>
      </c>
      <c r="F1734" s="129" t="s">
        <v>256</v>
      </c>
    </row>
    <row r="1735" spans="1:6" ht="16" thickBot="1" x14ac:dyDescent="0.25">
      <c r="A1735" s="83">
        <v>5</v>
      </c>
      <c r="B1735" s="129" t="s">
        <v>230</v>
      </c>
      <c r="C1735" s="129" t="s">
        <v>147</v>
      </c>
      <c r="D1735" s="83">
        <v>968</v>
      </c>
      <c r="E1735" s="103">
        <v>448262.02016999997</v>
      </c>
      <c r="F1735" s="129" t="s">
        <v>148</v>
      </c>
    </row>
    <row r="1736" spans="1:6" ht="16" thickBot="1" x14ac:dyDescent="0.25">
      <c r="A1736" s="83">
        <v>5</v>
      </c>
      <c r="B1736" s="129" t="s">
        <v>231</v>
      </c>
      <c r="C1736" s="129" t="s">
        <v>147</v>
      </c>
      <c r="D1736" s="83">
        <v>2203</v>
      </c>
      <c r="E1736" s="103">
        <v>17815210.82</v>
      </c>
      <c r="F1736" s="129" t="s">
        <v>256</v>
      </c>
    </row>
    <row r="1737" spans="1:6" ht="16" thickBot="1" x14ac:dyDescent="0.25">
      <c r="A1737" s="83">
        <v>5</v>
      </c>
      <c r="B1737" s="129" t="s">
        <v>231</v>
      </c>
      <c r="C1737" s="129" t="s">
        <v>147</v>
      </c>
      <c r="D1737" s="83">
        <v>1411</v>
      </c>
      <c r="E1737" s="103">
        <v>388630.64704000001</v>
      </c>
      <c r="F1737" s="129" t="s">
        <v>148</v>
      </c>
    </row>
    <row r="1738" spans="1:6" ht="16" thickBot="1" x14ac:dyDescent="0.25">
      <c r="A1738" s="83">
        <v>5</v>
      </c>
      <c r="B1738" s="129" t="s">
        <v>232</v>
      </c>
      <c r="C1738" s="129" t="s">
        <v>147</v>
      </c>
      <c r="D1738" s="83">
        <v>340</v>
      </c>
      <c r="E1738" s="103">
        <v>1394138.8230000001</v>
      </c>
      <c r="F1738" s="129" t="s">
        <v>256</v>
      </c>
    </row>
    <row r="1739" spans="1:6" ht="16" thickBot="1" x14ac:dyDescent="0.25">
      <c r="A1739" s="83">
        <v>5</v>
      </c>
      <c r="B1739" s="129" t="s">
        <v>232</v>
      </c>
      <c r="C1739" s="129" t="s">
        <v>147</v>
      </c>
      <c r="D1739" s="83">
        <v>155</v>
      </c>
      <c r="E1739" s="103">
        <v>39497.431669999998</v>
      </c>
      <c r="F1739" s="129" t="s">
        <v>148</v>
      </c>
    </row>
    <row r="1740" spans="1:6" ht="16" thickBot="1" x14ac:dyDescent="0.25">
      <c r="A1740" s="83">
        <v>5</v>
      </c>
      <c r="B1740" s="129" t="s">
        <v>233</v>
      </c>
      <c r="C1740" s="129" t="s">
        <v>147</v>
      </c>
      <c r="D1740" s="83">
        <v>289</v>
      </c>
      <c r="E1740" s="103">
        <v>28074413.565000001</v>
      </c>
      <c r="F1740" s="129" t="s">
        <v>256</v>
      </c>
    </row>
    <row r="1741" spans="1:6" ht="16" thickBot="1" x14ac:dyDescent="0.25">
      <c r="A1741" s="83">
        <v>5</v>
      </c>
      <c r="B1741" s="129" t="s">
        <v>233</v>
      </c>
      <c r="C1741" s="129" t="s">
        <v>147</v>
      </c>
      <c r="D1741" s="83">
        <v>108</v>
      </c>
      <c r="E1741" s="103">
        <v>680785.09806999995</v>
      </c>
      <c r="F1741" s="129" t="s">
        <v>148</v>
      </c>
    </row>
    <row r="1742" spans="1:6" ht="16" thickBot="1" x14ac:dyDescent="0.25">
      <c r="A1742" s="83">
        <v>5</v>
      </c>
      <c r="B1742" s="129" t="s">
        <v>234</v>
      </c>
      <c r="C1742" s="129" t="s">
        <v>147</v>
      </c>
      <c r="D1742" s="83">
        <v>1207</v>
      </c>
      <c r="E1742" s="103">
        <v>15937036.276000001</v>
      </c>
      <c r="F1742" s="129" t="s">
        <v>256</v>
      </c>
    </row>
    <row r="1743" spans="1:6" ht="16" thickBot="1" x14ac:dyDescent="0.25">
      <c r="A1743" s="83">
        <v>5</v>
      </c>
      <c r="B1743" s="129" t="s">
        <v>234</v>
      </c>
      <c r="C1743" s="129" t="s">
        <v>147</v>
      </c>
      <c r="D1743" s="83">
        <v>752</v>
      </c>
      <c r="E1743" s="103">
        <v>190920.61201000001</v>
      </c>
      <c r="F1743" s="129" t="s">
        <v>148</v>
      </c>
    </row>
    <row r="1744" spans="1:6" ht="16" thickBot="1" x14ac:dyDescent="0.25">
      <c r="A1744" s="83">
        <v>5</v>
      </c>
      <c r="B1744" s="129" t="s">
        <v>235</v>
      </c>
      <c r="C1744" s="129" t="s">
        <v>147</v>
      </c>
      <c r="D1744" s="83">
        <v>665</v>
      </c>
      <c r="E1744" s="103">
        <v>2292289.0329999998</v>
      </c>
      <c r="F1744" s="129" t="s">
        <v>256</v>
      </c>
    </row>
    <row r="1745" spans="1:6" ht="16" thickBot="1" x14ac:dyDescent="0.25">
      <c r="A1745" s="83">
        <v>5</v>
      </c>
      <c r="B1745" s="129" t="s">
        <v>235</v>
      </c>
      <c r="C1745" s="129" t="s">
        <v>147</v>
      </c>
      <c r="D1745" s="83">
        <v>1155</v>
      </c>
      <c r="E1745" s="103">
        <v>282058.48603999999</v>
      </c>
      <c r="F1745" s="129" t="s">
        <v>148</v>
      </c>
    </row>
    <row r="1746" spans="1:6" ht="16" thickBot="1" x14ac:dyDescent="0.25">
      <c r="A1746" s="83">
        <v>5</v>
      </c>
      <c r="B1746" s="129" t="s">
        <v>236</v>
      </c>
      <c r="C1746" s="129" t="s">
        <v>147</v>
      </c>
      <c r="D1746" s="83">
        <v>1295</v>
      </c>
      <c r="E1746" s="103">
        <v>7670572.4040000001</v>
      </c>
      <c r="F1746" s="129" t="s">
        <v>256</v>
      </c>
    </row>
    <row r="1747" spans="1:6" ht="16" thickBot="1" x14ac:dyDescent="0.25">
      <c r="A1747" s="83">
        <v>5</v>
      </c>
      <c r="B1747" s="129" t="s">
        <v>236</v>
      </c>
      <c r="C1747" s="129" t="s">
        <v>147</v>
      </c>
      <c r="D1747" s="83">
        <v>727</v>
      </c>
      <c r="E1747" s="103">
        <v>203319.71116000001</v>
      </c>
      <c r="F1747" s="129" t="s">
        <v>148</v>
      </c>
    </row>
    <row r="1748" spans="1:6" ht="16" thickBot="1" x14ac:dyDescent="0.25">
      <c r="A1748" s="83">
        <v>5</v>
      </c>
      <c r="B1748" s="129" t="s">
        <v>237</v>
      </c>
      <c r="C1748" s="129" t="s">
        <v>147</v>
      </c>
      <c r="D1748" s="83">
        <v>1224</v>
      </c>
      <c r="E1748" s="103">
        <v>6541412.0180000002</v>
      </c>
      <c r="F1748" s="129" t="s">
        <v>256</v>
      </c>
    </row>
    <row r="1749" spans="1:6" ht="16" thickBot="1" x14ac:dyDescent="0.25">
      <c r="A1749" s="83">
        <v>5</v>
      </c>
      <c r="B1749" s="129" t="s">
        <v>237</v>
      </c>
      <c r="C1749" s="129" t="s">
        <v>147</v>
      </c>
      <c r="D1749" s="83">
        <v>648</v>
      </c>
      <c r="E1749" s="103">
        <v>219342.51308999999</v>
      </c>
      <c r="F1749" s="129" t="s">
        <v>148</v>
      </c>
    </row>
    <row r="1750" spans="1:6" ht="16" thickBot="1" x14ac:dyDescent="0.25">
      <c r="A1750" s="83">
        <v>5</v>
      </c>
      <c r="B1750" s="129" t="s">
        <v>238</v>
      </c>
      <c r="C1750" s="129" t="s">
        <v>147</v>
      </c>
      <c r="D1750" s="83">
        <v>1764</v>
      </c>
      <c r="E1750" s="103">
        <v>7927097.2259999998</v>
      </c>
      <c r="F1750" s="129" t="s">
        <v>256</v>
      </c>
    </row>
    <row r="1751" spans="1:6" ht="16" thickBot="1" x14ac:dyDescent="0.25">
      <c r="A1751" s="83">
        <v>5</v>
      </c>
      <c r="B1751" s="129" t="s">
        <v>238</v>
      </c>
      <c r="C1751" s="129" t="s">
        <v>147</v>
      </c>
      <c r="D1751" s="83">
        <v>1209</v>
      </c>
      <c r="E1751" s="103">
        <v>441719.50176000001</v>
      </c>
      <c r="F1751" s="129" t="s">
        <v>148</v>
      </c>
    </row>
    <row r="1752" spans="1:6" ht="16" thickBot="1" x14ac:dyDescent="0.25">
      <c r="A1752" s="83">
        <v>5</v>
      </c>
      <c r="B1752" s="129" t="s">
        <v>239</v>
      </c>
      <c r="C1752" s="129" t="s">
        <v>147</v>
      </c>
      <c r="D1752" s="83">
        <v>1141</v>
      </c>
      <c r="E1752" s="103">
        <v>8148391.0470000003</v>
      </c>
      <c r="F1752" s="129" t="s">
        <v>256</v>
      </c>
    </row>
    <row r="1753" spans="1:6" ht="16" thickBot="1" x14ac:dyDescent="0.25">
      <c r="A1753" s="83">
        <v>5</v>
      </c>
      <c r="B1753" s="129" t="s">
        <v>239</v>
      </c>
      <c r="C1753" s="129" t="s">
        <v>147</v>
      </c>
      <c r="D1753" s="83">
        <v>1054</v>
      </c>
      <c r="E1753" s="103">
        <v>535343.41549000004</v>
      </c>
      <c r="F1753" s="129" t="s">
        <v>148</v>
      </c>
    </row>
    <row r="1754" spans="1:6" ht="16" thickBot="1" x14ac:dyDescent="0.25">
      <c r="A1754" s="83">
        <v>5</v>
      </c>
      <c r="B1754" s="129" t="s">
        <v>240</v>
      </c>
      <c r="C1754" s="129" t="s">
        <v>147</v>
      </c>
      <c r="D1754" s="83">
        <v>948</v>
      </c>
      <c r="E1754" s="103">
        <v>3587444.327</v>
      </c>
      <c r="F1754" s="129" t="s">
        <v>256</v>
      </c>
    </row>
    <row r="1755" spans="1:6" ht="16" thickBot="1" x14ac:dyDescent="0.25">
      <c r="A1755" s="83">
        <v>5</v>
      </c>
      <c r="B1755" s="129" t="s">
        <v>240</v>
      </c>
      <c r="C1755" s="129" t="s">
        <v>147</v>
      </c>
      <c r="D1755" s="83">
        <v>648</v>
      </c>
      <c r="E1755" s="103">
        <v>48610.557950000002</v>
      </c>
      <c r="F1755" s="129" t="s">
        <v>148</v>
      </c>
    </row>
    <row r="1756" spans="1:6" ht="16" thickBot="1" x14ac:dyDescent="0.25">
      <c r="A1756" s="83">
        <v>5</v>
      </c>
      <c r="B1756" s="129" t="s">
        <v>241</v>
      </c>
      <c r="C1756" s="129" t="s">
        <v>147</v>
      </c>
      <c r="D1756" s="83">
        <v>952</v>
      </c>
      <c r="E1756" s="103">
        <v>7572662.4890000001</v>
      </c>
      <c r="F1756" s="129" t="s">
        <v>256</v>
      </c>
    </row>
    <row r="1757" spans="1:6" ht="16" thickBot="1" x14ac:dyDescent="0.25">
      <c r="A1757" s="83">
        <v>5</v>
      </c>
      <c r="B1757" s="129" t="s">
        <v>241</v>
      </c>
      <c r="C1757" s="129" t="s">
        <v>147</v>
      </c>
      <c r="D1757" s="83">
        <v>600</v>
      </c>
      <c r="E1757" s="103">
        <v>170829.64783999999</v>
      </c>
      <c r="F1757" s="129" t="s">
        <v>148</v>
      </c>
    </row>
    <row r="1758" spans="1:6" ht="16" thickBot="1" x14ac:dyDescent="0.25">
      <c r="A1758" s="83">
        <v>5</v>
      </c>
      <c r="B1758" s="129" t="s">
        <v>242</v>
      </c>
      <c r="C1758" s="129" t="s">
        <v>147</v>
      </c>
      <c r="D1758" s="83">
        <v>53</v>
      </c>
      <c r="E1758" s="103">
        <v>585341.38199999998</v>
      </c>
      <c r="F1758" s="129" t="s">
        <v>256</v>
      </c>
    </row>
    <row r="1759" spans="1:6" ht="16" thickBot="1" x14ac:dyDescent="0.25">
      <c r="A1759" s="83">
        <v>5</v>
      </c>
      <c r="B1759" s="129" t="s">
        <v>242</v>
      </c>
      <c r="C1759" s="129" t="s">
        <v>147</v>
      </c>
      <c r="D1759" s="83">
        <v>11</v>
      </c>
      <c r="E1759" s="103">
        <v>41657.96802</v>
      </c>
      <c r="F1759" s="129" t="s">
        <v>148</v>
      </c>
    </row>
    <row r="1760" spans="1:6" ht="16" thickBot="1" x14ac:dyDescent="0.25">
      <c r="A1760" s="83">
        <v>5</v>
      </c>
      <c r="B1760" s="129" t="s">
        <v>243</v>
      </c>
      <c r="C1760" s="129" t="s">
        <v>147</v>
      </c>
      <c r="D1760" s="83">
        <v>1</v>
      </c>
      <c r="E1760" s="103">
        <v>14984.36</v>
      </c>
      <c r="F1760" s="129" t="s">
        <v>256</v>
      </c>
    </row>
    <row r="1761" spans="1:6" ht="16" thickBot="1" x14ac:dyDescent="0.25">
      <c r="A1761" s="83">
        <v>5</v>
      </c>
      <c r="B1761" s="129" t="s">
        <v>243</v>
      </c>
      <c r="C1761" s="129" t="s">
        <v>147</v>
      </c>
      <c r="D1761" s="83">
        <v>1</v>
      </c>
      <c r="E1761" s="103">
        <v>571.09799999999996</v>
      </c>
      <c r="F1761" s="129" t="s">
        <v>148</v>
      </c>
    </row>
    <row r="1762" spans="1:6" ht="16" thickBot="1" x14ac:dyDescent="0.25">
      <c r="A1762" s="83">
        <v>5</v>
      </c>
      <c r="B1762" s="129" t="s">
        <v>244</v>
      </c>
      <c r="C1762" s="129" t="s">
        <v>147</v>
      </c>
      <c r="D1762" s="83">
        <v>757</v>
      </c>
      <c r="E1762" s="103">
        <v>3932425.1540000001</v>
      </c>
      <c r="F1762" s="129" t="s">
        <v>256</v>
      </c>
    </row>
    <row r="1763" spans="1:6" ht="16" thickBot="1" x14ac:dyDescent="0.25">
      <c r="A1763" s="83">
        <v>5</v>
      </c>
      <c r="B1763" s="129" t="s">
        <v>244</v>
      </c>
      <c r="C1763" s="129" t="s">
        <v>147</v>
      </c>
      <c r="D1763" s="83">
        <v>362</v>
      </c>
      <c r="E1763" s="103">
        <v>89963.702650000007</v>
      </c>
      <c r="F1763" s="129" t="s">
        <v>148</v>
      </c>
    </row>
    <row r="1764" spans="1:6" ht="16" thickBot="1" x14ac:dyDescent="0.25">
      <c r="A1764" s="83">
        <v>5</v>
      </c>
      <c r="B1764" s="129" t="s">
        <v>245</v>
      </c>
      <c r="C1764" s="129" t="s">
        <v>147</v>
      </c>
      <c r="D1764" s="83">
        <v>766</v>
      </c>
      <c r="E1764" s="103">
        <v>6928728.307</v>
      </c>
      <c r="F1764" s="129" t="s">
        <v>256</v>
      </c>
    </row>
    <row r="1765" spans="1:6" ht="16" thickBot="1" x14ac:dyDescent="0.25">
      <c r="A1765" s="83">
        <v>5</v>
      </c>
      <c r="B1765" s="129" t="s">
        <v>245</v>
      </c>
      <c r="C1765" s="129" t="s">
        <v>147</v>
      </c>
      <c r="D1765" s="83">
        <v>434</v>
      </c>
      <c r="E1765" s="103">
        <v>306420.10674999998</v>
      </c>
      <c r="F1765" s="129" t="s">
        <v>148</v>
      </c>
    </row>
    <row r="1766" spans="1:6" ht="16" thickBot="1" x14ac:dyDescent="0.25">
      <c r="A1766" s="83">
        <v>5</v>
      </c>
      <c r="B1766" s="129" t="s">
        <v>273</v>
      </c>
      <c r="C1766" s="129" t="s">
        <v>147</v>
      </c>
      <c r="D1766" s="83">
        <v>2</v>
      </c>
      <c r="E1766" s="103">
        <v>4852.6499999999996</v>
      </c>
      <c r="F1766" s="129" t="s">
        <v>148</v>
      </c>
    </row>
    <row r="1767" spans="1:6" ht="16" thickBot="1" x14ac:dyDescent="0.25">
      <c r="A1767" s="83">
        <v>5</v>
      </c>
      <c r="B1767" s="129" t="s">
        <v>246</v>
      </c>
      <c r="C1767" s="129" t="s">
        <v>147</v>
      </c>
      <c r="D1767" s="83">
        <v>1</v>
      </c>
      <c r="E1767" s="103">
        <v>13208.52</v>
      </c>
      <c r="F1767" s="129" t="s">
        <v>256</v>
      </c>
    </row>
    <row r="1768" spans="1:6" ht="16" thickBot="1" x14ac:dyDescent="0.25">
      <c r="A1768" s="83">
        <v>5</v>
      </c>
      <c r="B1768" s="129" t="s">
        <v>246</v>
      </c>
      <c r="C1768" s="129" t="s">
        <v>147</v>
      </c>
      <c r="D1768" s="83">
        <v>2</v>
      </c>
      <c r="E1768" s="103">
        <v>469.94268</v>
      </c>
      <c r="F1768" s="129" t="s">
        <v>148</v>
      </c>
    </row>
    <row r="1769" spans="1:6" ht="16" thickBot="1" x14ac:dyDescent="0.25">
      <c r="A1769" s="83">
        <v>5</v>
      </c>
      <c r="B1769" s="129" t="s">
        <v>247</v>
      </c>
      <c r="C1769" s="129" t="s">
        <v>147</v>
      </c>
      <c r="D1769" s="83">
        <v>74</v>
      </c>
      <c r="E1769" s="103">
        <v>28059.119480000001</v>
      </c>
      <c r="F1769" s="129" t="s">
        <v>148</v>
      </c>
    </row>
    <row r="1770" spans="1:6" ht="16" thickBot="1" x14ac:dyDescent="0.25">
      <c r="A1770" s="83">
        <v>5</v>
      </c>
      <c r="B1770" s="129" t="s">
        <v>248</v>
      </c>
      <c r="C1770" s="129" t="s">
        <v>147</v>
      </c>
      <c r="D1770" s="83">
        <v>1</v>
      </c>
      <c r="E1770" s="83">
        <v>0</v>
      </c>
      <c r="F1770" s="129" t="s">
        <v>256</v>
      </c>
    </row>
    <row r="1771" spans="1:6" ht="16" thickBot="1" x14ac:dyDescent="0.25">
      <c r="A1771" s="83">
        <v>5</v>
      </c>
      <c r="B1771" s="129" t="s">
        <v>249</v>
      </c>
      <c r="C1771" s="129" t="s">
        <v>147</v>
      </c>
      <c r="D1771" s="83">
        <v>129</v>
      </c>
      <c r="E1771" s="103">
        <v>2170305.91</v>
      </c>
      <c r="F1771" s="129" t="s">
        <v>256</v>
      </c>
    </row>
    <row r="1772" spans="1:6" ht="16" thickBot="1" x14ac:dyDescent="0.25">
      <c r="A1772" s="83">
        <v>5</v>
      </c>
      <c r="B1772" s="129" t="s">
        <v>249</v>
      </c>
      <c r="C1772" s="129" t="s">
        <v>147</v>
      </c>
      <c r="D1772" s="83">
        <v>29</v>
      </c>
      <c r="E1772" s="103">
        <v>1579.51773</v>
      </c>
      <c r="F1772" s="129" t="s">
        <v>148</v>
      </c>
    </row>
    <row r="1773" spans="1:6" ht="16" thickBot="1" x14ac:dyDescent="0.25">
      <c r="A1773" s="83">
        <v>5</v>
      </c>
      <c r="B1773" s="129" t="s">
        <v>250</v>
      </c>
      <c r="C1773" s="129" t="s">
        <v>147</v>
      </c>
      <c r="D1773" s="83">
        <v>1100</v>
      </c>
      <c r="E1773" s="103">
        <v>8031163.6550000003</v>
      </c>
      <c r="F1773" s="129" t="s">
        <v>256</v>
      </c>
    </row>
    <row r="1774" spans="1:6" ht="16" thickBot="1" x14ac:dyDescent="0.25">
      <c r="A1774" s="83">
        <v>5</v>
      </c>
      <c r="B1774" s="129" t="s">
        <v>251</v>
      </c>
      <c r="C1774" s="129" t="s">
        <v>147</v>
      </c>
      <c r="D1774" s="83">
        <v>62</v>
      </c>
      <c r="E1774" s="103">
        <v>265666.24099999998</v>
      </c>
      <c r="F1774" s="129" t="s">
        <v>256</v>
      </c>
    </row>
    <row r="1775" spans="1:6" ht="16" thickBot="1" x14ac:dyDescent="0.25">
      <c r="A1775" s="83">
        <v>5</v>
      </c>
      <c r="B1775" s="129" t="s">
        <v>252</v>
      </c>
      <c r="C1775" s="129" t="s">
        <v>147</v>
      </c>
      <c r="D1775" s="83">
        <v>64</v>
      </c>
      <c r="E1775" s="103">
        <v>170663.81700000001</v>
      </c>
      <c r="F1775" s="129" t="s">
        <v>256</v>
      </c>
    </row>
    <row r="1776" spans="1:6" ht="16" thickBot="1" x14ac:dyDescent="0.25">
      <c r="A1776" s="83">
        <v>5</v>
      </c>
      <c r="B1776" s="129" t="s">
        <v>252</v>
      </c>
      <c r="C1776" s="129" t="s">
        <v>147</v>
      </c>
      <c r="D1776" s="83">
        <v>30</v>
      </c>
      <c r="E1776" s="103">
        <v>1178.14597</v>
      </c>
      <c r="F1776" s="129" t="s">
        <v>148</v>
      </c>
    </row>
    <row r="1777" spans="1:6" ht="16" thickBot="1" x14ac:dyDescent="0.25">
      <c r="A1777" s="83">
        <v>5</v>
      </c>
      <c r="B1777" s="129" t="s">
        <v>253</v>
      </c>
      <c r="C1777" s="129" t="s">
        <v>147</v>
      </c>
      <c r="D1777" s="83">
        <v>1140</v>
      </c>
      <c r="E1777" s="103">
        <v>3866775.1979999999</v>
      </c>
      <c r="F1777" s="129" t="s">
        <v>256</v>
      </c>
    </row>
    <row r="1778" spans="1:6" ht="16" thickBot="1" x14ac:dyDescent="0.25">
      <c r="A1778" s="83">
        <v>5</v>
      </c>
      <c r="B1778" s="129" t="s">
        <v>253</v>
      </c>
      <c r="C1778" s="129" t="s">
        <v>147</v>
      </c>
      <c r="D1778" s="83">
        <v>535</v>
      </c>
      <c r="E1778" s="103">
        <v>82501.401599999997</v>
      </c>
      <c r="F1778" s="129" t="s">
        <v>148</v>
      </c>
    </row>
    <row r="1779" spans="1:6" ht="16" thickBot="1" x14ac:dyDescent="0.25">
      <c r="A1779" s="83">
        <v>5</v>
      </c>
      <c r="B1779" s="129" t="s">
        <v>151</v>
      </c>
      <c r="C1779" s="129" t="s">
        <v>152</v>
      </c>
      <c r="D1779" s="83">
        <v>2</v>
      </c>
      <c r="E1779" s="83">
        <v>911290</v>
      </c>
      <c r="F1779" s="129" t="s">
        <v>148</v>
      </c>
    </row>
    <row r="1780" spans="1:6" ht="16" thickBot="1" x14ac:dyDescent="0.25">
      <c r="A1780" s="83">
        <v>5</v>
      </c>
      <c r="B1780" s="129" t="s">
        <v>153</v>
      </c>
      <c r="C1780" s="129" t="s">
        <v>152</v>
      </c>
      <c r="D1780" s="83">
        <v>3</v>
      </c>
      <c r="E1780" s="103">
        <v>97191.96</v>
      </c>
      <c r="F1780" s="129" t="s">
        <v>256</v>
      </c>
    </row>
    <row r="1781" spans="1:6" ht="16" thickBot="1" x14ac:dyDescent="0.25">
      <c r="A1781" s="83">
        <v>5</v>
      </c>
      <c r="B1781" s="129" t="s">
        <v>153</v>
      </c>
      <c r="C1781" s="129" t="s">
        <v>152</v>
      </c>
      <c r="D1781" s="83">
        <v>2</v>
      </c>
      <c r="E1781" s="103">
        <v>14120.50243</v>
      </c>
      <c r="F1781" s="129" t="s">
        <v>148</v>
      </c>
    </row>
    <row r="1782" spans="1:6" ht="16" thickBot="1" x14ac:dyDescent="0.25">
      <c r="A1782" s="83">
        <v>5</v>
      </c>
      <c r="B1782" s="129" t="s">
        <v>154</v>
      </c>
      <c r="C1782" s="129" t="s">
        <v>152</v>
      </c>
      <c r="D1782" s="83">
        <v>3</v>
      </c>
      <c r="E1782" s="103">
        <v>13676.245000000001</v>
      </c>
      <c r="F1782" s="129" t="s">
        <v>256</v>
      </c>
    </row>
    <row r="1783" spans="1:6" ht="16" thickBot="1" x14ac:dyDescent="0.25">
      <c r="A1783" s="83">
        <v>5</v>
      </c>
      <c r="B1783" s="129" t="s">
        <v>156</v>
      </c>
      <c r="C1783" s="129" t="s">
        <v>152</v>
      </c>
      <c r="D1783" s="83">
        <v>12</v>
      </c>
      <c r="E1783" s="103">
        <v>50281.082999999999</v>
      </c>
      <c r="F1783" s="129" t="s">
        <v>256</v>
      </c>
    </row>
    <row r="1784" spans="1:6" ht="16" thickBot="1" x14ac:dyDescent="0.25">
      <c r="A1784" s="83">
        <v>5</v>
      </c>
      <c r="B1784" s="129" t="s">
        <v>156</v>
      </c>
      <c r="C1784" s="129" t="s">
        <v>152</v>
      </c>
      <c r="D1784" s="83">
        <v>1</v>
      </c>
      <c r="E1784" s="103">
        <v>1.3664000000000001</v>
      </c>
      <c r="F1784" s="129" t="s">
        <v>148</v>
      </c>
    </row>
    <row r="1785" spans="1:6" ht="16" thickBot="1" x14ac:dyDescent="0.25">
      <c r="A1785" s="83">
        <v>5</v>
      </c>
      <c r="B1785" s="129" t="s">
        <v>157</v>
      </c>
      <c r="C1785" s="129" t="s">
        <v>152</v>
      </c>
      <c r="D1785" s="83">
        <v>6</v>
      </c>
      <c r="E1785" s="103">
        <v>72737.212</v>
      </c>
      <c r="F1785" s="129" t="s">
        <v>256</v>
      </c>
    </row>
    <row r="1786" spans="1:6" ht="16" thickBot="1" x14ac:dyDescent="0.25">
      <c r="A1786" s="83">
        <v>5</v>
      </c>
      <c r="B1786" s="129" t="s">
        <v>157</v>
      </c>
      <c r="C1786" s="129" t="s">
        <v>152</v>
      </c>
      <c r="D1786" s="83">
        <v>1</v>
      </c>
      <c r="E1786" s="103">
        <v>26.717359999999999</v>
      </c>
      <c r="F1786" s="129" t="s">
        <v>148</v>
      </c>
    </row>
    <row r="1787" spans="1:6" ht="16" thickBot="1" x14ac:dyDescent="0.25">
      <c r="A1787" s="83">
        <v>5</v>
      </c>
      <c r="B1787" s="129" t="s">
        <v>158</v>
      </c>
      <c r="C1787" s="129" t="s">
        <v>152</v>
      </c>
      <c r="D1787" s="83">
        <v>1</v>
      </c>
      <c r="E1787" s="83">
        <v>0</v>
      </c>
      <c r="F1787" s="129" t="s">
        <v>256</v>
      </c>
    </row>
    <row r="1788" spans="1:6" ht="16" thickBot="1" x14ac:dyDescent="0.25">
      <c r="A1788" s="83">
        <v>5</v>
      </c>
      <c r="B1788" s="129" t="s">
        <v>161</v>
      </c>
      <c r="C1788" s="129" t="s">
        <v>152</v>
      </c>
      <c r="D1788" s="83">
        <v>5</v>
      </c>
      <c r="E1788" s="103">
        <v>8020.1</v>
      </c>
      <c r="F1788" s="129" t="s">
        <v>256</v>
      </c>
    </row>
    <row r="1789" spans="1:6" ht="16" thickBot="1" x14ac:dyDescent="0.25">
      <c r="A1789" s="83">
        <v>5</v>
      </c>
      <c r="B1789" s="129" t="s">
        <v>162</v>
      </c>
      <c r="C1789" s="129" t="s">
        <v>152</v>
      </c>
      <c r="D1789" s="83">
        <v>1</v>
      </c>
      <c r="E1789" s="103">
        <v>1984.96</v>
      </c>
      <c r="F1789" s="129" t="s">
        <v>256</v>
      </c>
    </row>
    <row r="1790" spans="1:6" ht="16" thickBot="1" x14ac:dyDescent="0.25">
      <c r="A1790" s="83">
        <v>5</v>
      </c>
      <c r="B1790" s="129" t="s">
        <v>165</v>
      </c>
      <c r="C1790" s="129" t="s">
        <v>152</v>
      </c>
      <c r="D1790" s="83">
        <v>1</v>
      </c>
      <c r="E1790" s="103">
        <v>119.438</v>
      </c>
      <c r="F1790" s="129" t="s">
        <v>256</v>
      </c>
    </row>
    <row r="1791" spans="1:6" ht="16" thickBot="1" x14ac:dyDescent="0.25">
      <c r="A1791" s="83">
        <v>5</v>
      </c>
      <c r="B1791" s="129" t="s">
        <v>166</v>
      </c>
      <c r="C1791" s="129" t="s">
        <v>152</v>
      </c>
      <c r="D1791" s="83">
        <v>6</v>
      </c>
      <c r="E1791" s="103">
        <v>4312125.4000000004</v>
      </c>
      <c r="F1791" s="129" t="s">
        <v>256</v>
      </c>
    </row>
    <row r="1792" spans="1:6" ht="16" thickBot="1" x14ac:dyDescent="0.25">
      <c r="A1792" s="83">
        <v>5</v>
      </c>
      <c r="B1792" s="129" t="s">
        <v>166</v>
      </c>
      <c r="C1792" s="129" t="s">
        <v>152</v>
      </c>
      <c r="D1792" s="83">
        <v>4</v>
      </c>
      <c r="E1792" s="103">
        <v>107734.54919999999</v>
      </c>
      <c r="F1792" s="129" t="s">
        <v>148</v>
      </c>
    </row>
    <row r="1793" spans="1:6" ht="16" thickBot="1" x14ac:dyDescent="0.25">
      <c r="A1793" s="83">
        <v>5</v>
      </c>
      <c r="B1793" s="129" t="s">
        <v>169</v>
      </c>
      <c r="C1793" s="129" t="s">
        <v>152</v>
      </c>
      <c r="D1793" s="83">
        <v>1</v>
      </c>
      <c r="E1793" s="103">
        <v>11460.84</v>
      </c>
      <c r="F1793" s="129" t="s">
        <v>256</v>
      </c>
    </row>
    <row r="1794" spans="1:6" ht="16" thickBot="1" x14ac:dyDescent="0.25">
      <c r="A1794" s="83">
        <v>5</v>
      </c>
      <c r="B1794" s="129" t="s">
        <v>170</v>
      </c>
      <c r="C1794" s="129" t="s">
        <v>152</v>
      </c>
      <c r="D1794" s="83">
        <v>2</v>
      </c>
      <c r="E1794" s="83">
        <v>273848</v>
      </c>
      <c r="F1794" s="129" t="s">
        <v>148</v>
      </c>
    </row>
    <row r="1795" spans="1:6" ht="16" thickBot="1" x14ac:dyDescent="0.25">
      <c r="A1795" s="83">
        <v>5</v>
      </c>
      <c r="B1795" s="129" t="s">
        <v>172</v>
      </c>
      <c r="C1795" s="129" t="s">
        <v>152</v>
      </c>
      <c r="D1795" s="83">
        <v>1</v>
      </c>
      <c r="E1795" s="103">
        <v>3496.154</v>
      </c>
      <c r="F1795" s="129" t="s">
        <v>256</v>
      </c>
    </row>
    <row r="1796" spans="1:6" ht="16" thickBot="1" x14ac:dyDescent="0.25">
      <c r="A1796" s="83">
        <v>5</v>
      </c>
      <c r="B1796" s="129" t="s">
        <v>173</v>
      </c>
      <c r="C1796" s="129" t="s">
        <v>152</v>
      </c>
      <c r="D1796" s="83">
        <v>1</v>
      </c>
      <c r="E1796" s="103">
        <v>756.25099999999998</v>
      </c>
      <c r="F1796" s="129" t="s">
        <v>256</v>
      </c>
    </row>
    <row r="1797" spans="1:6" ht="16" thickBot="1" x14ac:dyDescent="0.25">
      <c r="A1797" s="83">
        <v>5</v>
      </c>
      <c r="B1797" s="129" t="s">
        <v>174</v>
      </c>
      <c r="C1797" s="129" t="s">
        <v>152</v>
      </c>
      <c r="D1797" s="83">
        <v>1</v>
      </c>
      <c r="E1797" s="103">
        <v>647.52</v>
      </c>
      <c r="F1797" s="129" t="s">
        <v>256</v>
      </c>
    </row>
    <row r="1798" spans="1:6" ht="16" thickBot="1" x14ac:dyDescent="0.25">
      <c r="A1798" s="83">
        <v>5</v>
      </c>
      <c r="B1798" s="129" t="s">
        <v>175</v>
      </c>
      <c r="C1798" s="129" t="s">
        <v>152</v>
      </c>
      <c r="D1798" s="83">
        <v>4</v>
      </c>
      <c r="E1798" s="103">
        <v>8350.1579999999994</v>
      </c>
      <c r="F1798" s="129" t="s">
        <v>256</v>
      </c>
    </row>
    <row r="1799" spans="1:6" ht="16" thickBot="1" x14ac:dyDescent="0.25">
      <c r="A1799" s="83">
        <v>5</v>
      </c>
      <c r="B1799" s="129" t="s">
        <v>178</v>
      </c>
      <c r="C1799" s="129" t="s">
        <v>152</v>
      </c>
      <c r="D1799" s="83">
        <v>3</v>
      </c>
      <c r="E1799" s="103">
        <v>8149.5309999999999</v>
      </c>
      <c r="F1799" s="129" t="s">
        <v>256</v>
      </c>
    </row>
    <row r="1800" spans="1:6" ht="16" thickBot="1" x14ac:dyDescent="0.25">
      <c r="A1800" s="83">
        <v>5</v>
      </c>
      <c r="B1800" s="129" t="s">
        <v>182</v>
      </c>
      <c r="C1800" s="129" t="s">
        <v>152</v>
      </c>
      <c r="D1800" s="83">
        <v>1</v>
      </c>
      <c r="E1800" s="103">
        <v>750.96400000000006</v>
      </c>
      <c r="F1800" s="129" t="s">
        <v>256</v>
      </c>
    </row>
    <row r="1801" spans="1:6" ht="16" thickBot="1" x14ac:dyDescent="0.25">
      <c r="A1801" s="83">
        <v>5</v>
      </c>
      <c r="B1801" s="129" t="s">
        <v>184</v>
      </c>
      <c r="C1801" s="129" t="s">
        <v>152</v>
      </c>
      <c r="D1801" s="83">
        <v>5</v>
      </c>
      <c r="E1801" s="103">
        <v>173824.16399999999</v>
      </c>
      <c r="F1801" s="129" t="s">
        <v>256</v>
      </c>
    </row>
    <row r="1802" spans="1:6" ht="16" thickBot="1" x14ac:dyDescent="0.25">
      <c r="A1802" s="83">
        <v>5</v>
      </c>
      <c r="B1802" s="129" t="s">
        <v>185</v>
      </c>
      <c r="C1802" s="129" t="s">
        <v>152</v>
      </c>
      <c r="D1802" s="83">
        <v>3</v>
      </c>
      <c r="E1802" s="103">
        <v>12372.477999999999</v>
      </c>
      <c r="F1802" s="129" t="s">
        <v>256</v>
      </c>
    </row>
    <row r="1803" spans="1:6" ht="16" thickBot="1" x14ac:dyDescent="0.25">
      <c r="A1803" s="83">
        <v>5</v>
      </c>
      <c r="B1803" s="129" t="s">
        <v>186</v>
      </c>
      <c r="C1803" s="129" t="s">
        <v>152</v>
      </c>
      <c r="D1803" s="83">
        <v>3</v>
      </c>
      <c r="E1803" s="103">
        <v>315.04599999999999</v>
      </c>
      <c r="F1803" s="129" t="s">
        <v>256</v>
      </c>
    </row>
    <row r="1804" spans="1:6" ht="16" thickBot="1" x14ac:dyDescent="0.25">
      <c r="A1804" s="83">
        <v>5</v>
      </c>
      <c r="B1804" s="129" t="s">
        <v>189</v>
      </c>
      <c r="C1804" s="129" t="s">
        <v>152</v>
      </c>
      <c r="D1804" s="83">
        <v>2</v>
      </c>
      <c r="E1804" s="103">
        <v>155.76</v>
      </c>
      <c r="F1804" s="129" t="s">
        <v>256</v>
      </c>
    </row>
    <row r="1805" spans="1:6" ht="16" thickBot="1" x14ac:dyDescent="0.25">
      <c r="A1805" s="83">
        <v>5</v>
      </c>
      <c r="B1805" s="129" t="s">
        <v>191</v>
      </c>
      <c r="C1805" s="129" t="s">
        <v>152</v>
      </c>
      <c r="D1805" s="83">
        <v>5</v>
      </c>
      <c r="E1805" s="103">
        <v>20801.195</v>
      </c>
      <c r="F1805" s="129" t="s">
        <v>256</v>
      </c>
    </row>
    <row r="1806" spans="1:6" ht="16" thickBot="1" x14ac:dyDescent="0.25">
      <c r="A1806" s="83">
        <v>5</v>
      </c>
      <c r="B1806" s="129" t="s">
        <v>191</v>
      </c>
      <c r="C1806" s="129" t="s">
        <v>152</v>
      </c>
      <c r="D1806" s="83">
        <v>1</v>
      </c>
      <c r="E1806" s="103">
        <v>438.27699999999999</v>
      </c>
      <c r="F1806" s="129" t="s">
        <v>148</v>
      </c>
    </row>
    <row r="1807" spans="1:6" ht="16" thickBot="1" x14ac:dyDescent="0.25">
      <c r="A1807" s="83">
        <v>5</v>
      </c>
      <c r="B1807" s="129" t="s">
        <v>192</v>
      </c>
      <c r="C1807" s="129" t="s">
        <v>152</v>
      </c>
      <c r="D1807" s="83">
        <v>1</v>
      </c>
      <c r="E1807" s="103">
        <v>3640.9740000000002</v>
      </c>
      <c r="F1807" s="129" t="s">
        <v>256</v>
      </c>
    </row>
    <row r="1808" spans="1:6" ht="16" thickBot="1" x14ac:dyDescent="0.25">
      <c r="A1808" s="83">
        <v>5</v>
      </c>
      <c r="B1808" s="129" t="s">
        <v>193</v>
      </c>
      <c r="C1808" s="129" t="s">
        <v>152</v>
      </c>
      <c r="D1808" s="83">
        <v>10</v>
      </c>
      <c r="E1808" s="103">
        <v>6452474.6229999997</v>
      </c>
      <c r="F1808" s="129" t="s">
        <v>256</v>
      </c>
    </row>
    <row r="1809" spans="1:6" ht="16" thickBot="1" x14ac:dyDescent="0.25">
      <c r="A1809" s="83">
        <v>5</v>
      </c>
      <c r="B1809" s="129" t="s">
        <v>193</v>
      </c>
      <c r="C1809" s="129" t="s">
        <v>152</v>
      </c>
      <c r="D1809" s="83">
        <v>3</v>
      </c>
      <c r="E1809" s="103">
        <v>11995.63588</v>
      </c>
      <c r="F1809" s="129" t="s">
        <v>148</v>
      </c>
    </row>
    <row r="1810" spans="1:6" ht="16" thickBot="1" x14ac:dyDescent="0.25">
      <c r="A1810" s="83">
        <v>5</v>
      </c>
      <c r="B1810" s="129" t="s">
        <v>195</v>
      </c>
      <c r="C1810" s="129" t="s">
        <v>152</v>
      </c>
      <c r="D1810" s="83">
        <v>2</v>
      </c>
      <c r="E1810" s="103">
        <v>13207.766</v>
      </c>
      <c r="F1810" s="129" t="s">
        <v>256</v>
      </c>
    </row>
    <row r="1811" spans="1:6" ht="16" thickBot="1" x14ac:dyDescent="0.25">
      <c r="A1811" s="83">
        <v>5</v>
      </c>
      <c r="B1811" s="129" t="s">
        <v>196</v>
      </c>
      <c r="C1811" s="129" t="s">
        <v>152</v>
      </c>
      <c r="D1811" s="83">
        <v>4</v>
      </c>
      <c r="E1811" s="103">
        <v>420.82400000000001</v>
      </c>
      <c r="F1811" s="129" t="s">
        <v>256</v>
      </c>
    </row>
    <row r="1812" spans="1:6" ht="16" thickBot="1" x14ac:dyDescent="0.25">
      <c r="A1812" s="83">
        <v>5</v>
      </c>
      <c r="B1812" s="129" t="s">
        <v>198</v>
      </c>
      <c r="C1812" s="129" t="s">
        <v>152</v>
      </c>
      <c r="D1812" s="83">
        <v>1</v>
      </c>
      <c r="E1812" s="103">
        <v>671.12599999999998</v>
      </c>
      <c r="F1812" s="129" t="s">
        <v>256</v>
      </c>
    </row>
    <row r="1813" spans="1:6" ht="16" thickBot="1" x14ac:dyDescent="0.25">
      <c r="A1813" s="83">
        <v>5</v>
      </c>
      <c r="B1813" s="129" t="s">
        <v>200</v>
      </c>
      <c r="C1813" s="129" t="s">
        <v>152</v>
      </c>
      <c r="D1813" s="83">
        <v>3</v>
      </c>
      <c r="E1813" s="103">
        <v>17665.055</v>
      </c>
      <c r="F1813" s="129" t="s">
        <v>256</v>
      </c>
    </row>
    <row r="1814" spans="1:6" ht="16" thickBot="1" x14ac:dyDescent="0.25">
      <c r="A1814" s="83">
        <v>5</v>
      </c>
      <c r="B1814" s="129" t="s">
        <v>205</v>
      </c>
      <c r="C1814" s="129" t="s">
        <v>152</v>
      </c>
      <c r="D1814" s="83">
        <v>5</v>
      </c>
      <c r="E1814" s="103">
        <v>11951961.6</v>
      </c>
      <c r="F1814" s="129" t="s">
        <v>256</v>
      </c>
    </row>
    <row r="1815" spans="1:6" ht="16" thickBot="1" x14ac:dyDescent="0.25">
      <c r="A1815" s="83">
        <v>5</v>
      </c>
      <c r="B1815" s="129" t="s">
        <v>205</v>
      </c>
      <c r="C1815" s="129" t="s">
        <v>152</v>
      </c>
      <c r="D1815" s="83">
        <v>3</v>
      </c>
      <c r="E1815" s="103">
        <v>466136.80816000002</v>
      </c>
      <c r="F1815" s="129" t="s">
        <v>148</v>
      </c>
    </row>
    <row r="1816" spans="1:6" ht="16" thickBot="1" x14ac:dyDescent="0.25">
      <c r="A1816" s="83">
        <v>5</v>
      </c>
      <c r="B1816" s="129" t="s">
        <v>206</v>
      </c>
      <c r="C1816" s="129" t="s">
        <v>152</v>
      </c>
      <c r="D1816" s="83">
        <v>2</v>
      </c>
      <c r="E1816" s="103">
        <v>6669.5</v>
      </c>
      <c r="F1816" s="129" t="s">
        <v>256</v>
      </c>
    </row>
    <row r="1817" spans="1:6" ht="16" thickBot="1" x14ac:dyDescent="0.25">
      <c r="A1817" s="83">
        <v>5</v>
      </c>
      <c r="B1817" s="129" t="s">
        <v>210</v>
      </c>
      <c r="C1817" s="129" t="s">
        <v>152</v>
      </c>
      <c r="D1817" s="83">
        <v>1</v>
      </c>
      <c r="E1817" s="103">
        <v>1924.136</v>
      </c>
      <c r="F1817" s="129" t="s">
        <v>256</v>
      </c>
    </row>
    <row r="1818" spans="1:6" ht="16" thickBot="1" x14ac:dyDescent="0.25">
      <c r="A1818" s="83">
        <v>5</v>
      </c>
      <c r="B1818" s="129" t="s">
        <v>213</v>
      </c>
      <c r="C1818" s="129" t="s">
        <v>152</v>
      </c>
      <c r="D1818" s="83">
        <v>3</v>
      </c>
      <c r="E1818" s="103">
        <v>23305.883999999998</v>
      </c>
      <c r="F1818" s="129" t="s">
        <v>256</v>
      </c>
    </row>
    <row r="1819" spans="1:6" ht="16" thickBot="1" x14ac:dyDescent="0.25">
      <c r="A1819" s="83">
        <v>5</v>
      </c>
      <c r="B1819" s="129" t="s">
        <v>214</v>
      </c>
      <c r="C1819" s="129" t="s">
        <v>152</v>
      </c>
      <c r="D1819" s="83">
        <v>2</v>
      </c>
      <c r="E1819" s="103">
        <v>5652.3779999999997</v>
      </c>
      <c r="F1819" s="129" t="s">
        <v>256</v>
      </c>
    </row>
    <row r="1820" spans="1:6" ht="16" thickBot="1" x14ac:dyDescent="0.25">
      <c r="A1820" s="83">
        <v>5</v>
      </c>
      <c r="B1820" s="129" t="s">
        <v>215</v>
      </c>
      <c r="C1820" s="129" t="s">
        <v>152</v>
      </c>
      <c r="D1820" s="83">
        <v>2</v>
      </c>
      <c r="E1820" s="103">
        <v>24846.918000000001</v>
      </c>
      <c r="F1820" s="129" t="s">
        <v>256</v>
      </c>
    </row>
    <row r="1821" spans="1:6" ht="16" thickBot="1" x14ac:dyDescent="0.25">
      <c r="A1821" s="83">
        <v>5</v>
      </c>
      <c r="B1821" s="129" t="s">
        <v>217</v>
      </c>
      <c r="C1821" s="129" t="s">
        <v>152</v>
      </c>
      <c r="D1821" s="83">
        <v>5</v>
      </c>
      <c r="E1821" s="103">
        <v>5241.6869999999999</v>
      </c>
      <c r="F1821" s="129" t="s">
        <v>256</v>
      </c>
    </row>
    <row r="1822" spans="1:6" ht="16" thickBot="1" x14ac:dyDescent="0.25">
      <c r="A1822" s="83">
        <v>5</v>
      </c>
      <c r="B1822" s="129" t="s">
        <v>218</v>
      </c>
      <c r="C1822" s="129" t="s">
        <v>152</v>
      </c>
      <c r="D1822" s="83">
        <v>14</v>
      </c>
      <c r="E1822" s="103">
        <v>157010.20300000001</v>
      </c>
      <c r="F1822" s="129" t="s">
        <v>256</v>
      </c>
    </row>
    <row r="1823" spans="1:6" ht="16" thickBot="1" x14ac:dyDescent="0.25">
      <c r="A1823" s="83">
        <v>5</v>
      </c>
      <c r="B1823" s="129" t="s">
        <v>218</v>
      </c>
      <c r="C1823" s="129" t="s">
        <v>152</v>
      </c>
      <c r="D1823" s="83">
        <v>1</v>
      </c>
      <c r="E1823" s="83">
        <v>0</v>
      </c>
      <c r="F1823" s="129" t="s">
        <v>148</v>
      </c>
    </row>
    <row r="1824" spans="1:6" ht="16" thickBot="1" x14ac:dyDescent="0.25">
      <c r="A1824" s="83">
        <v>5</v>
      </c>
      <c r="B1824" s="129" t="s">
        <v>221</v>
      </c>
      <c r="C1824" s="129" t="s">
        <v>152</v>
      </c>
      <c r="D1824" s="83">
        <v>1</v>
      </c>
      <c r="E1824" s="103">
        <v>699.58</v>
      </c>
      <c r="F1824" s="129" t="s">
        <v>148</v>
      </c>
    </row>
    <row r="1825" spans="1:6" ht="16" thickBot="1" x14ac:dyDescent="0.25">
      <c r="A1825" s="83">
        <v>5</v>
      </c>
      <c r="B1825" s="129" t="s">
        <v>222</v>
      </c>
      <c r="C1825" s="129" t="s">
        <v>152</v>
      </c>
      <c r="D1825" s="83">
        <v>3</v>
      </c>
      <c r="E1825" s="103">
        <v>5192.9440000000004</v>
      </c>
      <c r="F1825" s="129" t="s">
        <v>256</v>
      </c>
    </row>
    <row r="1826" spans="1:6" ht="16" thickBot="1" x14ac:dyDescent="0.25">
      <c r="A1826" s="83">
        <v>5</v>
      </c>
      <c r="B1826" s="129" t="s">
        <v>223</v>
      </c>
      <c r="C1826" s="129" t="s">
        <v>152</v>
      </c>
      <c r="D1826" s="83">
        <v>4</v>
      </c>
      <c r="E1826" s="103">
        <v>8621.1460000000006</v>
      </c>
      <c r="F1826" s="129" t="s">
        <v>256</v>
      </c>
    </row>
    <row r="1827" spans="1:6" ht="16" thickBot="1" x14ac:dyDescent="0.25">
      <c r="A1827" s="83">
        <v>5</v>
      </c>
      <c r="B1827" s="129" t="s">
        <v>224</v>
      </c>
      <c r="C1827" s="129" t="s">
        <v>152</v>
      </c>
      <c r="D1827" s="83">
        <v>2</v>
      </c>
      <c r="E1827" s="103">
        <v>54864.639999999999</v>
      </c>
      <c r="F1827" s="129" t="s">
        <v>256</v>
      </c>
    </row>
    <row r="1828" spans="1:6" ht="16" thickBot="1" x14ac:dyDescent="0.25">
      <c r="A1828" s="83">
        <v>5</v>
      </c>
      <c r="B1828" s="129" t="s">
        <v>226</v>
      </c>
      <c r="C1828" s="129" t="s">
        <v>152</v>
      </c>
      <c r="D1828" s="83">
        <v>2</v>
      </c>
      <c r="E1828" s="83">
        <v>121128</v>
      </c>
      <c r="F1828" s="129" t="s">
        <v>256</v>
      </c>
    </row>
    <row r="1829" spans="1:6" ht="16" thickBot="1" x14ac:dyDescent="0.25">
      <c r="A1829" s="83">
        <v>5</v>
      </c>
      <c r="B1829" s="129" t="s">
        <v>227</v>
      </c>
      <c r="C1829" s="129" t="s">
        <v>152</v>
      </c>
      <c r="D1829" s="83">
        <v>2</v>
      </c>
      <c r="E1829" s="103">
        <v>6006.4089999999997</v>
      </c>
      <c r="F1829" s="129" t="s">
        <v>256</v>
      </c>
    </row>
    <row r="1830" spans="1:6" ht="16" thickBot="1" x14ac:dyDescent="0.25">
      <c r="A1830" s="83">
        <v>5</v>
      </c>
      <c r="B1830" s="129" t="s">
        <v>228</v>
      </c>
      <c r="C1830" s="129" t="s">
        <v>152</v>
      </c>
      <c r="D1830" s="83">
        <v>2</v>
      </c>
      <c r="E1830" s="103">
        <v>329201.326</v>
      </c>
      <c r="F1830" s="129" t="s">
        <v>256</v>
      </c>
    </row>
    <row r="1831" spans="1:6" ht="16" thickBot="1" x14ac:dyDescent="0.25">
      <c r="A1831" s="83">
        <v>5</v>
      </c>
      <c r="B1831" s="129" t="s">
        <v>228</v>
      </c>
      <c r="C1831" s="129" t="s">
        <v>152</v>
      </c>
      <c r="D1831" s="83">
        <v>2</v>
      </c>
      <c r="E1831" s="83">
        <v>175910</v>
      </c>
      <c r="F1831" s="129" t="s">
        <v>148</v>
      </c>
    </row>
    <row r="1832" spans="1:6" ht="16" thickBot="1" x14ac:dyDescent="0.25">
      <c r="A1832" s="83">
        <v>5</v>
      </c>
      <c r="B1832" s="129" t="s">
        <v>230</v>
      </c>
      <c r="C1832" s="129" t="s">
        <v>152</v>
      </c>
      <c r="D1832" s="83">
        <v>6</v>
      </c>
      <c r="E1832" s="103">
        <v>321532.51199999999</v>
      </c>
      <c r="F1832" s="129" t="s">
        <v>256</v>
      </c>
    </row>
    <row r="1833" spans="1:6" ht="16" thickBot="1" x14ac:dyDescent="0.25">
      <c r="A1833" s="83">
        <v>5</v>
      </c>
      <c r="B1833" s="129" t="s">
        <v>230</v>
      </c>
      <c r="C1833" s="129" t="s">
        <v>152</v>
      </c>
      <c r="D1833" s="83">
        <v>2</v>
      </c>
      <c r="E1833" s="103">
        <v>1321.19462</v>
      </c>
      <c r="F1833" s="129" t="s">
        <v>148</v>
      </c>
    </row>
    <row r="1834" spans="1:6" ht="16" thickBot="1" x14ac:dyDescent="0.25">
      <c r="A1834" s="83">
        <v>5</v>
      </c>
      <c r="B1834" s="129" t="s">
        <v>231</v>
      </c>
      <c r="C1834" s="129" t="s">
        <v>152</v>
      </c>
      <c r="D1834" s="83">
        <v>26</v>
      </c>
      <c r="E1834" s="103">
        <v>3197889.9079999998</v>
      </c>
      <c r="F1834" s="129" t="s">
        <v>256</v>
      </c>
    </row>
    <row r="1835" spans="1:6" ht="16" thickBot="1" x14ac:dyDescent="0.25">
      <c r="A1835" s="83">
        <v>5</v>
      </c>
      <c r="B1835" s="129" t="s">
        <v>231</v>
      </c>
      <c r="C1835" s="129" t="s">
        <v>152</v>
      </c>
      <c r="D1835" s="83">
        <v>17</v>
      </c>
      <c r="E1835" s="103">
        <v>8094.2803599999997</v>
      </c>
      <c r="F1835" s="129" t="s">
        <v>148</v>
      </c>
    </row>
    <row r="1836" spans="1:6" ht="16" thickBot="1" x14ac:dyDescent="0.25">
      <c r="A1836" s="83">
        <v>5</v>
      </c>
      <c r="B1836" s="129" t="s">
        <v>233</v>
      </c>
      <c r="C1836" s="129" t="s">
        <v>152</v>
      </c>
      <c r="D1836" s="83">
        <v>1</v>
      </c>
      <c r="E1836" s="103">
        <v>400.01</v>
      </c>
      <c r="F1836" s="129" t="s">
        <v>256</v>
      </c>
    </row>
    <row r="1837" spans="1:6" ht="16" thickBot="1" x14ac:dyDescent="0.25">
      <c r="A1837" s="83">
        <v>5</v>
      </c>
      <c r="B1837" s="129" t="s">
        <v>234</v>
      </c>
      <c r="C1837" s="129" t="s">
        <v>152</v>
      </c>
      <c r="D1837" s="83">
        <v>1</v>
      </c>
      <c r="E1837" s="103">
        <v>151124.32</v>
      </c>
      <c r="F1837" s="129" t="s">
        <v>256</v>
      </c>
    </row>
    <row r="1838" spans="1:6" ht="16" thickBot="1" x14ac:dyDescent="0.25">
      <c r="A1838" s="83">
        <v>5</v>
      </c>
      <c r="B1838" s="129" t="s">
        <v>235</v>
      </c>
      <c r="C1838" s="129" t="s">
        <v>152</v>
      </c>
      <c r="D1838" s="83">
        <v>10</v>
      </c>
      <c r="E1838" s="103">
        <v>187949840.31999999</v>
      </c>
      <c r="F1838" s="129" t="s">
        <v>256</v>
      </c>
    </row>
    <row r="1839" spans="1:6" ht="16" thickBot="1" x14ac:dyDescent="0.25">
      <c r="A1839" s="83">
        <v>5</v>
      </c>
      <c r="B1839" s="129" t="s">
        <v>235</v>
      </c>
      <c r="C1839" s="129" t="s">
        <v>152</v>
      </c>
      <c r="D1839" s="83">
        <v>1</v>
      </c>
      <c r="E1839" s="103">
        <v>43.412399999999998</v>
      </c>
      <c r="F1839" s="129" t="s">
        <v>148</v>
      </c>
    </row>
    <row r="1840" spans="1:6" ht="16" thickBot="1" x14ac:dyDescent="0.25">
      <c r="A1840" s="83">
        <v>5</v>
      </c>
      <c r="B1840" s="129" t="s">
        <v>236</v>
      </c>
      <c r="C1840" s="129" t="s">
        <v>152</v>
      </c>
      <c r="D1840" s="83">
        <v>2</v>
      </c>
      <c r="E1840" s="103">
        <v>15288.29</v>
      </c>
      <c r="F1840" s="129" t="s">
        <v>256</v>
      </c>
    </row>
    <row r="1841" spans="1:6" ht="16" thickBot="1" x14ac:dyDescent="0.25">
      <c r="A1841" s="83">
        <v>5</v>
      </c>
      <c r="B1841" s="129" t="s">
        <v>236</v>
      </c>
      <c r="C1841" s="129" t="s">
        <v>152</v>
      </c>
      <c r="D1841" s="83">
        <v>3</v>
      </c>
      <c r="E1841" s="103">
        <v>48735.504099999998</v>
      </c>
      <c r="F1841" s="129" t="s">
        <v>148</v>
      </c>
    </row>
    <row r="1842" spans="1:6" ht="16" thickBot="1" x14ac:dyDescent="0.25">
      <c r="A1842" s="83">
        <v>5</v>
      </c>
      <c r="B1842" s="129" t="s">
        <v>237</v>
      </c>
      <c r="C1842" s="129" t="s">
        <v>152</v>
      </c>
      <c r="D1842" s="83">
        <v>9</v>
      </c>
      <c r="E1842" s="103">
        <v>502204.033</v>
      </c>
      <c r="F1842" s="129" t="s">
        <v>256</v>
      </c>
    </row>
    <row r="1843" spans="1:6" ht="16" thickBot="1" x14ac:dyDescent="0.25">
      <c r="A1843" s="83">
        <v>5</v>
      </c>
      <c r="B1843" s="129" t="s">
        <v>237</v>
      </c>
      <c r="C1843" s="129" t="s">
        <v>152</v>
      </c>
      <c r="D1843" s="83">
        <v>4</v>
      </c>
      <c r="E1843" s="103">
        <v>41089.232000000004</v>
      </c>
      <c r="F1843" s="129" t="s">
        <v>148</v>
      </c>
    </row>
    <row r="1844" spans="1:6" ht="16" thickBot="1" x14ac:dyDescent="0.25">
      <c r="A1844" s="83">
        <v>5</v>
      </c>
      <c r="B1844" s="129" t="s">
        <v>238</v>
      </c>
      <c r="C1844" s="129" t="s">
        <v>152</v>
      </c>
      <c r="D1844" s="83">
        <v>41</v>
      </c>
      <c r="E1844" s="103">
        <v>1273137.422</v>
      </c>
      <c r="F1844" s="129" t="s">
        <v>256</v>
      </c>
    </row>
    <row r="1845" spans="1:6" ht="16" thickBot="1" x14ac:dyDescent="0.25">
      <c r="A1845" s="83">
        <v>5</v>
      </c>
      <c r="B1845" s="129" t="s">
        <v>238</v>
      </c>
      <c r="C1845" s="129" t="s">
        <v>152</v>
      </c>
      <c r="D1845" s="83">
        <v>33</v>
      </c>
      <c r="E1845" s="103">
        <v>118878.727</v>
      </c>
      <c r="F1845" s="129" t="s">
        <v>148</v>
      </c>
    </row>
    <row r="1846" spans="1:6" ht="16" thickBot="1" x14ac:dyDescent="0.25">
      <c r="A1846" s="83">
        <v>5</v>
      </c>
      <c r="B1846" s="129" t="s">
        <v>239</v>
      </c>
      <c r="C1846" s="129" t="s">
        <v>152</v>
      </c>
      <c r="D1846" s="83">
        <v>41</v>
      </c>
      <c r="E1846" s="103">
        <v>35296545.642999999</v>
      </c>
      <c r="F1846" s="129" t="s">
        <v>256</v>
      </c>
    </row>
    <row r="1847" spans="1:6" ht="16" thickBot="1" x14ac:dyDescent="0.25">
      <c r="A1847" s="83">
        <v>5</v>
      </c>
      <c r="B1847" s="129" t="s">
        <v>239</v>
      </c>
      <c r="C1847" s="129" t="s">
        <v>152</v>
      </c>
      <c r="D1847" s="83">
        <v>34</v>
      </c>
      <c r="E1847" s="103">
        <v>4189696.88582</v>
      </c>
      <c r="F1847" s="129" t="s">
        <v>148</v>
      </c>
    </row>
    <row r="1848" spans="1:6" ht="16" thickBot="1" x14ac:dyDescent="0.25">
      <c r="A1848" s="83">
        <v>5</v>
      </c>
      <c r="B1848" s="129" t="s">
        <v>240</v>
      </c>
      <c r="C1848" s="129" t="s">
        <v>152</v>
      </c>
      <c r="D1848" s="83">
        <v>5</v>
      </c>
      <c r="E1848" s="103">
        <v>178428.4</v>
      </c>
      <c r="F1848" s="129" t="s">
        <v>256</v>
      </c>
    </row>
    <row r="1849" spans="1:6" ht="16" thickBot="1" x14ac:dyDescent="0.25">
      <c r="A1849" s="83">
        <v>5</v>
      </c>
      <c r="B1849" s="129" t="s">
        <v>240</v>
      </c>
      <c r="C1849" s="129" t="s">
        <v>152</v>
      </c>
      <c r="D1849" s="83">
        <v>4</v>
      </c>
      <c r="E1849" s="103">
        <v>81216.821349999998</v>
      </c>
      <c r="F1849" s="129" t="s">
        <v>148</v>
      </c>
    </row>
    <row r="1850" spans="1:6" ht="16" thickBot="1" x14ac:dyDescent="0.25">
      <c r="A1850" s="83">
        <v>5</v>
      </c>
      <c r="B1850" s="129" t="s">
        <v>241</v>
      </c>
      <c r="C1850" s="129" t="s">
        <v>152</v>
      </c>
      <c r="D1850" s="83">
        <v>3</v>
      </c>
      <c r="E1850" s="103">
        <v>99712.6</v>
      </c>
      <c r="F1850" s="129" t="s">
        <v>256</v>
      </c>
    </row>
    <row r="1851" spans="1:6" ht="16" thickBot="1" x14ac:dyDescent="0.25">
      <c r="A1851" s="83">
        <v>5</v>
      </c>
      <c r="B1851" s="129" t="s">
        <v>241</v>
      </c>
      <c r="C1851" s="129" t="s">
        <v>152</v>
      </c>
      <c r="D1851" s="83">
        <v>2</v>
      </c>
      <c r="E1851" s="83">
        <v>323928</v>
      </c>
      <c r="F1851" s="129" t="s">
        <v>148</v>
      </c>
    </row>
    <row r="1852" spans="1:6" ht="16" thickBot="1" x14ac:dyDescent="0.25">
      <c r="A1852" s="83">
        <v>5</v>
      </c>
      <c r="B1852" s="129" t="s">
        <v>243</v>
      </c>
      <c r="C1852" s="129" t="s">
        <v>152</v>
      </c>
      <c r="D1852" s="83">
        <v>1</v>
      </c>
      <c r="E1852" s="83">
        <v>0</v>
      </c>
      <c r="F1852" s="129" t="s">
        <v>256</v>
      </c>
    </row>
    <row r="1853" spans="1:6" ht="16" thickBot="1" x14ac:dyDescent="0.25">
      <c r="A1853" s="83">
        <v>5</v>
      </c>
      <c r="B1853" s="129" t="s">
        <v>245</v>
      </c>
      <c r="C1853" s="129" t="s">
        <v>152</v>
      </c>
      <c r="D1853" s="83">
        <v>11</v>
      </c>
      <c r="E1853" s="103">
        <v>12613146.336999999</v>
      </c>
      <c r="F1853" s="129" t="s">
        <v>256</v>
      </c>
    </row>
    <row r="1854" spans="1:6" ht="16" thickBot="1" x14ac:dyDescent="0.25">
      <c r="A1854" s="83">
        <v>5</v>
      </c>
      <c r="B1854" s="129" t="s">
        <v>245</v>
      </c>
      <c r="C1854" s="129" t="s">
        <v>152</v>
      </c>
      <c r="D1854" s="83">
        <v>7</v>
      </c>
      <c r="E1854" s="103">
        <v>1390351.30596</v>
      </c>
      <c r="F1854" s="129" t="s">
        <v>148</v>
      </c>
    </row>
    <row r="1855" spans="1:6" ht="16" thickBot="1" x14ac:dyDescent="0.25">
      <c r="A1855" s="83">
        <v>5</v>
      </c>
      <c r="B1855" s="129" t="s">
        <v>247</v>
      </c>
      <c r="C1855" s="129" t="s">
        <v>152</v>
      </c>
      <c r="D1855" s="83">
        <v>2</v>
      </c>
      <c r="E1855" s="83">
        <v>0</v>
      </c>
      <c r="F1855" s="129" t="s">
        <v>148</v>
      </c>
    </row>
    <row r="1856" spans="1:6" ht="16" thickBot="1" x14ac:dyDescent="0.25">
      <c r="A1856" s="83">
        <v>5</v>
      </c>
      <c r="B1856" s="129" t="s">
        <v>250</v>
      </c>
      <c r="C1856" s="129" t="s">
        <v>152</v>
      </c>
      <c r="D1856" s="83">
        <v>23</v>
      </c>
      <c r="E1856" s="103">
        <v>43197714.115000002</v>
      </c>
      <c r="F1856" s="129" t="s">
        <v>256</v>
      </c>
    </row>
    <row r="1857" spans="1:6" ht="16" thickBot="1" x14ac:dyDescent="0.25">
      <c r="A1857" s="83">
        <v>5</v>
      </c>
      <c r="B1857" s="129" t="s">
        <v>251</v>
      </c>
      <c r="C1857" s="129" t="s">
        <v>152</v>
      </c>
      <c r="D1857" s="83">
        <v>1</v>
      </c>
      <c r="E1857" s="103">
        <v>1613.5129999999999</v>
      </c>
      <c r="F1857" s="129" t="s">
        <v>256</v>
      </c>
    </row>
    <row r="1858" spans="1:6" ht="16" thickBot="1" x14ac:dyDescent="0.25">
      <c r="A1858" s="83">
        <v>5</v>
      </c>
      <c r="B1858" s="129" t="s">
        <v>252</v>
      </c>
      <c r="C1858" s="129" t="s">
        <v>152</v>
      </c>
      <c r="D1858" s="83">
        <v>3</v>
      </c>
      <c r="E1858" s="103">
        <v>18215.175999999999</v>
      </c>
      <c r="F1858" s="129" t="s">
        <v>256</v>
      </c>
    </row>
    <row r="1859" spans="1:6" ht="16" thickBot="1" x14ac:dyDescent="0.25">
      <c r="A1859" s="83">
        <v>5</v>
      </c>
      <c r="B1859" s="129" t="s">
        <v>253</v>
      </c>
      <c r="C1859" s="129" t="s">
        <v>152</v>
      </c>
      <c r="D1859" s="83">
        <v>9</v>
      </c>
      <c r="E1859" s="103">
        <v>11840.073</v>
      </c>
      <c r="F1859" s="129" t="s">
        <v>256</v>
      </c>
    </row>
    <row r="1860" spans="1:6" ht="16" thickBot="1" x14ac:dyDescent="0.25">
      <c r="A1860" s="83">
        <v>5</v>
      </c>
      <c r="B1860" s="129" t="s">
        <v>253</v>
      </c>
      <c r="C1860" s="129" t="s">
        <v>152</v>
      </c>
      <c r="D1860" s="83">
        <v>1</v>
      </c>
      <c r="E1860" s="103">
        <v>54.11112</v>
      </c>
      <c r="F1860" s="129" t="s">
        <v>148</v>
      </c>
    </row>
    <row r="1861" spans="1:6" ht="16" thickBot="1" x14ac:dyDescent="0.25">
      <c r="A1861" s="83">
        <v>5</v>
      </c>
      <c r="B1861" s="129" t="s">
        <v>146</v>
      </c>
      <c r="C1861" s="129" t="s">
        <v>149</v>
      </c>
      <c r="D1861" s="83">
        <v>795</v>
      </c>
      <c r="E1861" s="103">
        <v>25687.880379999999</v>
      </c>
      <c r="F1861" s="129" t="s">
        <v>148</v>
      </c>
    </row>
    <row r="1862" spans="1:6" ht="16" thickBot="1" x14ac:dyDescent="0.25">
      <c r="A1862" s="83">
        <v>5</v>
      </c>
      <c r="B1862" s="129" t="s">
        <v>150</v>
      </c>
      <c r="C1862" s="129" t="s">
        <v>149</v>
      </c>
      <c r="D1862" s="83">
        <v>444</v>
      </c>
      <c r="E1862" s="103">
        <v>12923.99444</v>
      </c>
      <c r="F1862" s="129" t="s">
        <v>148</v>
      </c>
    </row>
    <row r="1863" spans="1:6" ht="16" thickBot="1" x14ac:dyDescent="0.25">
      <c r="A1863" s="83">
        <v>5</v>
      </c>
      <c r="B1863" s="129" t="s">
        <v>151</v>
      </c>
      <c r="C1863" s="129" t="s">
        <v>149</v>
      </c>
      <c r="D1863" s="83">
        <v>2</v>
      </c>
      <c r="E1863" s="103">
        <v>2392.288</v>
      </c>
      <c r="F1863" s="129" t="s">
        <v>256</v>
      </c>
    </row>
    <row r="1864" spans="1:6" ht="16" thickBot="1" x14ac:dyDescent="0.25">
      <c r="A1864" s="83">
        <v>5</v>
      </c>
      <c r="B1864" s="129" t="s">
        <v>151</v>
      </c>
      <c r="C1864" s="129" t="s">
        <v>149</v>
      </c>
      <c r="D1864" s="83">
        <v>11</v>
      </c>
      <c r="E1864" s="103">
        <v>123.84479</v>
      </c>
      <c r="F1864" s="129" t="s">
        <v>148</v>
      </c>
    </row>
    <row r="1865" spans="1:6" ht="16" thickBot="1" x14ac:dyDescent="0.25">
      <c r="A1865" s="83">
        <v>5</v>
      </c>
      <c r="B1865" s="129" t="s">
        <v>153</v>
      </c>
      <c r="C1865" s="129" t="s">
        <v>149</v>
      </c>
      <c r="D1865" s="83">
        <v>1296</v>
      </c>
      <c r="E1865" s="103">
        <v>811727.37699999998</v>
      </c>
      <c r="F1865" s="129" t="s">
        <v>256</v>
      </c>
    </row>
    <row r="1866" spans="1:6" ht="16" thickBot="1" x14ac:dyDescent="0.25">
      <c r="A1866" s="83">
        <v>5</v>
      </c>
      <c r="B1866" s="129" t="s">
        <v>153</v>
      </c>
      <c r="C1866" s="129" t="s">
        <v>149</v>
      </c>
      <c r="D1866" s="83">
        <v>1266</v>
      </c>
      <c r="E1866" s="103">
        <v>44945.345300000001</v>
      </c>
      <c r="F1866" s="129" t="s">
        <v>148</v>
      </c>
    </row>
    <row r="1867" spans="1:6" ht="16" thickBot="1" x14ac:dyDescent="0.25">
      <c r="A1867" s="83">
        <v>5</v>
      </c>
      <c r="B1867" s="129" t="s">
        <v>154</v>
      </c>
      <c r="C1867" s="129" t="s">
        <v>149</v>
      </c>
      <c r="D1867" s="83">
        <v>1203</v>
      </c>
      <c r="E1867" s="103">
        <v>1078693.344</v>
      </c>
      <c r="F1867" s="129" t="s">
        <v>256</v>
      </c>
    </row>
    <row r="1868" spans="1:6" ht="16" thickBot="1" x14ac:dyDescent="0.25">
      <c r="A1868" s="83">
        <v>5</v>
      </c>
      <c r="B1868" s="129" t="s">
        <v>154</v>
      </c>
      <c r="C1868" s="129" t="s">
        <v>149</v>
      </c>
      <c r="D1868" s="83">
        <v>568</v>
      </c>
      <c r="E1868" s="103">
        <v>19929.846030000001</v>
      </c>
      <c r="F1868" s="129" t="s">
        <v>148</v>
      </c>
    </row>
    <row r="1869" spans="1:6" ht="16" thickBot="1" x14ac:dyDescent="0.25">
      <c r="A1869" s="83">
        <v>5</v>
      </c>
      <c r="B1869" s="129" t="s">
        <v>155</v>
      </c>
      <c r="C1869" s="129" t="s">
        <v>149</v>
      </c>
      <c r="D1869" s="83">
        <v>359</v>
      </c>
      <c r="E1869" s="103">
        <v>377824.04200000002</v>
      </c>
      <c r="F1869" s="129" t="s">
        <v>256</v>
      </c>
    </row>
    <row r="1870" spans="1:6" ht="16" thickBot="1" x14ac:dyDescent="0.25">
      <c r="A1870" s="83">
        <v>5</v>
      </c>
      <c r="B1870" s="129" t="s">
        <v>155</v>
      </c>
      <c r="C1870" s="129" t="s">
        <v>149</v>
      </c>
      <c r="D1870" s="83">
        <v>2659</v>
      </c>
      <c r="E1870" s="103">
        <v>95858.257759999993</v>
      </c>
      <c r="F1870" s="129" t="s">
        <v>148</v>
      </c>
    </row>
    <row r="1871" spans="1:6" ht="16" thickBot="1" x14ac:dyDescent="0.25">
      <c r="A1871" s="83">
        <v>5</v>
      </c>
      <c r="B1871" s="129" t="s">
        <v>156</v>
      </c>
      <c r="C1871" s="129" t="s">
        <v>149</v>
      </c>
      <c r="D1871" s="83">
        <v>2783</v>
      </c>
      <c r="E1871" s="103">
        <v>2344894.173</v>
      </c>
      <c r="F1871" s="129" t="s">
        <v>256</v>
      </c>
    </row>
    <row r="1872" spans="1:6" ht="16" thickBot="1" x14ac:dyDescent="0.25">
      <c r="A1872" s="83">
        <v>5</v>
      </c>
      <c r="B1872" s="129" t="s">
        <v>156</v>
      </c>
      <c r="C1872" s="129" t="s">
        <v>149</v>
      </c>
      <c r="D1872" s="83">
        <v>2709</v>
      </c>
      <c r="E1872" s="103">
        <v>116756.11853000001</v>
      </c>
      <c r="F1872" s="129" t="s">
        <v>148</v>
      </c>
    </row>
    <row r="1873" spans="1:6" ht="16" thickBot="1" x14ac:dyDescent="0.25">
      <c r="A1873" s="83">
        <v>5</v>
      </c>
      <c r="B1873" s="129" t="s">
        <v>157</v>
      </c>
      <c r="C1873" s="129" t="s">
        <v>149</v>
      </c>
      <c r="D1873" s="83">
        <v>3275</v>
      </c>
      <c r="E1873" s="103">
        <v>2550887.0750000002</v>
      </c>
      <c r="F1873" s="129" t="s">
        <v>256</v>
      </c>
    </row>
    <row r="1874" spans="1:6" ht="16" thickBot="1" x14ac:dyDescent="0.25">
      <c r="A1874" s="83">
        <v>5</v>
      </c>
      <c r="B1874" s="129" t="s">
        <v>157</v>
      </c>
      <c r="C1874" s="129" t="s">
        <v>149</v>
      </c>
      <c r="D1874" s="83">
        <v>2270</v>
      </c>
      <c r="E1874" s="103">
        <v>77100.964479999995</v>
      </c>
      <c r="F1874" s="129" t="s">
        <v>148</v>
      </c>
    </row>
    <row r="1875" spans="1:6" ht="16" thickBot="1" x14ac:dyDescent="0.25">
      <c r="A1875" s="83">
        <v>5</v>
      </c>
      <c r="B1875" s="129" t="s">
        <v>158</v>
      </c>
      <c r="C1875" s="129" t="s">
        <v>149</v>
      </c>
      <c r="D1875" s="83">
        <v>263</v>
      </c>
      <c r="E1875" s="103">
        <v>288297.39299999998</v>
      </c>
      <c r="F1875" s="129" t="s">
        <v>256</v>
      </c>
    </row>
    <row r="1876" spans="1:6" ht="16" thickBot="1" x14ac:dyDescent="0.25">
      <c r="A1876" s="83">
        <v>5</v>
      </c>
      <c r="B1876" s="129" t="s">
        <v>158</v>
      </c>
      <c r="C1876" s="129" t="s">
        <v>149</v>
      </c>
      <c r="D1876" s="83">
        <v>4</v>
      </c>
      <c r="E1876" s="103">
        <v>174.4915</v>
      </c>
      <c r="F1876" s="129" t="s">
        <v>148</v>
      </c>
    </row>
    <row r="1877" spans="1:6" ht="16" thickBot="1" x14ac:dyDescent="0.25">
      <c r="A1877" s="83">
        <v>5</v>
      </c>
      <c r="B1877" s="129" t="s">
        <v>159</v>
      </c>
      <c r="C1877" s="129" t="s">
        <v>149</v>
      </c>
      <c r="D1877" s="83">
        <v>549</v>
      </c>
      <c r="E1877" s="103">
        <v>562258.48699999996</v>
      </c>
      <c r="F1877" s="129" t="s">
        <v>256</v>
      </c>
    </row>
    <row r="1878" spans="1:6" ht="16" thickBot="1" x14ac:dyDescent="0.25">
      <c r="A1878" s="83">
        <v>5</v>
      </c>
      <c r="B1878" s="129" t="s">
        <v>160</v>
      </c>
      <c r="C1878" s="129" t="s">
        <v>149</v>
      </c>
      <c r="D1878" s="83">
        <v>646</v>
      </c>
      <c r="E1878" s="103">
        <v>388032.08899999998</v>
      </c>
      <c r="F1878" s="129" t="s">
        <v>256</v>
      </c>
    </row>
    <row r="1879" spans="1:6" ht="16" thickBot="1" x14ac:dyDescent="0.25">
      <c r="A1879" s="83">
        <v>5</v>
      </c>
      <c r="B1879" s="129" t="s">
        <v>160</v>
      </c>
      <c r="C1879" s="129" t="s">
        <v>149</v>
      </c>
      <c r="D1879" s="83">
        <v>643</v>
      </c>
      <c r="E1879" s="103">
        <v>42255.241929999997</v>
      </c>
      <c r="F1879" s="129" t="s">
        <v>148</v>
      </c>
    </row>
    <row r="1880" spans="1:6" ht="16" thickBot="1" x14ac:dyDescent="0.25">
      <c r="A1880" s="83">
        <v>5</v>
      </c>
      <c r="B1880" s="129" t="s">
        <v>161</v>
      </c>
      <c r="C1880" s="129" t="s">
        <v>149</v>
      </c>
      <c r="D1880" s="83">
        <v>442</v>
      </c>
      <c r="E1880" s="103">
        <v>454385.05300000001</v>
      </c>
      <c r="F1880" s="129" t="s">
        <v>256</v>
      </c>
    </row>
    <row r="1881" spans="1:6" ht="16" thickBot="1" x14ac:dyDescent="0.25">
      <c r="A1881" s="83">
        <v>5</v>
      </c>
      <c r="B1881" s="129" t="s">
        <v>162</v>
      </c>
      <c r="C1881" s="129" t="s">
        <v>149</v>
      </c>
      <c r="D1881" s="83">
        <v>708</v>
      </c>
      <c r="E1881" s="103">
        <v>774139.19099999999</v>
      </c>
      <c r="F1881" s="129" t="s">
        <v>256</v>
      </c>
    </row>
    <row r="1882" spans="1:6" ht="16" thickBot="1" x14ac:dyDescent="0.25">
      <c r="A1882" s="83">
        <v>5</v>
      </c>
      <c r="B1882" s="129" t="s">
        <v>163</v>
      </c>
      <c r="C1882" s="129" t="s">
        <v>149</v>
      </c>
      <c r="D1882" s="83">
        <v>84</v>
      </c>
      <c r="E1882" s="103">
        <v>75108.898000000001</v>
      </c>
      <c r="F1882" s="129" t="s">
        <v>256</v>
      </c>
    </row>
    <row r="1883" spans="1:6" ht="16" thickBot="1" x14ac:dyDescent="0.25">
      <c r="A1883" s="83">
        <v>5</v>
      </c>
      <c r="B1883" s="129" t="s">
        <v>163</v>
      </c>
      <c r="C1883" s="129" t="s">
        <v>149</v>
      </c>
      <c r="D1883" s="83">
        <v>7</v>
      </c>
      <c r="E1883" s="103">
        <v>210.21086</v>
      </c>
      <c r="F1883" s="129" t="s">
        <v>148</v>
      </c>
    </row>
    <row r="1884" spans="1:6" ht="16" thickBot="1" x14ac:dyDescent="0.25">
      <c r="A1884" s="83">
        <v>5</v>
      </c>
      <c r="B1884" s="129" t="s">
        <v>164</v>
      </c>
      <c r="C1884" s="129" t="s">
        <v>149</v>
      </c>
      <c r="D1884" s="83">
        <v>7200</v>
      </c>
      <c r="E1884" s="103">
        <v>4709105.66</v>
      </c>
      <c r="F1884" s="129" t="s">
        <v>256</v>
      </c>
    </row>
    <row r="1885" spans="1:6" ht="16" thickBot="1" x14ac:dyDescent="0.25">
      <c r="A1885" s="83">
        <v>5</v>
      </c>
      <c r="B1885" s="129" t="s">
        <v>164</v>
      </c>
      <c r="C1885" s="129" t="s">
        <v>149</v>
      </c>
      <c r="D1885" s="83">
        <v>6899</v>
      </c>
      <c r="E1885" s="103">
        <v>173638.86954000001</v>
      </c>
      <c r="F1885" s="129" t="s">
        <v>148</v>
      </c>
    </row>
    <row r="1886" spans="1:6" ht="16" thickBot="1" x14ac:dyDescent="0.25">
      <c r="A1886" s="83">
        <v>5</v>
      </c>
      <c r="B1886" s="129" t="s">
        <v>165</v>
      </c>
      <c r="C1886" s="129" t="s">
        <v>149</v>
      </c>
      <c r="D1886" s="83">
        <v>101</v>
      </c>
      <c r="E1886" s="103">
        <v>111385.716</v>
      </c>
      <c r="F1886" s="129" t="s">
        <v>256</v>
      </c>
    </row>
    <row r="1887" spans="1:6" ht="16" thickBot="1" x14ac:dyDescent="0.25">
      <c r="A1887" s="83">
        <v>5</v>
      </c>
      <c r="B1887" s="129" t="s">
        <v>166</v>
      </c>
      <c r="C1887" s="129" t="s">
        <v>149</v>
      </c>
      <c r="D1887" s="83">
        <v>6323</v>
      </c>
      <c r="E1887" s="103">
        <v>4382404.3229999999</v>
      </c>
      <c r="F1887" s="129" t="s">
        <v>256</v>
      </c>
    </row>
    <row r="1888" spans="1:6" ht="16" thickBot="1" x14ac:dyDescent="0.25">
      <c r="A1888" s="83">
        <v>5</v>
      </c>
      <c r="B1888" s="129" t="s">
        <v>166</v>
      </c>
      <c r="C1888" s="129" t="s">
        <v>149</v>
      </c>
      <c r="D1888" s="83">
        <v>4126</v>
      </c>
      <c r="E1888" s="103">
        <v>139317.84218000001</v>
      </c>
      <c r="F1888" s="129" t="s">
        <v>148</v>
      </c>
    </row>
    <row r="1889" spans="1:6" ht="16" thickBot="1" x14ac:dyDescent="0.25">
      <c r="A1889" s="83">
        <v>5</v>
      </c>
      <c r="B1889" s="129" t="s">
        <v>167</v>
      </c>
      <c r="C1889" s="129" t="s">
        <v>149</v>
      </c>
      <c r="D1889" s="83">
        <v>33</v>
      </c>
      <c r="E1889" s="103">
        <v>33028.911999999997</v>
      </c>
      <c r="F1889" s="129" t="s">
        <v>256</v>
      </c>
    </row>
    <row r="1890" spans="1:6" ht="16" thickBot="1" x14ac:dyDescent="0.25">
      <c r="A1890" s="83">
        <v>5</v>
      </c>
      <c r="B1890" s="129" t="s">
        <v>168</v>
      </c>
      <c r="C1890" s="129" t="s">
        <v>149</v>
      </c>
      <c r="D1890" s="83">
        <v>2516</v>
      </c>
      <c r="E1890" s="103">
        <v>1872430.4339999999</v>
      </c>
      <c r="F1890" s="129" t="s">
        <v>256</v>
      </c>
    </row>
    <row r="1891" spans="1:6" ht="16" thickBot="1" x14ac:dyDescent="0.25">
      <c r="A1891" s="83">
        <v>5</v>
      </c>
      <c r="B1891" s="129" t="s">
        <v>168</v>
      </c>
      <c r="C1891" s="129" t="s">
        <v>149</v>
      </c>
      <c r="D1891" s="83">
        <v>2147</v>
      </c>
      <c r="E1891" s="103">
        <v>72401.634959999996</v>
      </c>
      <c r="F1891" s="129" t="s">
        <v>148</v>
      </c>
    </row>
    <row r="1892" spans="1:6" ht="16" thickBot="1" x14ac:dyDescent="0.25">
      <c r="A1892" s="83">
        <v>5</v>
      </c>
      <c r="B1892" s="129" t="s">
        <v>169</v>
      </c>
      <c r="C1892" s="129" t="s">
        <v>149</v>
      </c>
      <c r="D1892" s="83">
        <v>2874</v>
      </c>
      <c r="E1892" s="103">
        <v>2180301.2379999999</v>
      </c>
      <c r="F1892" s="129" t="s">
        <v>256</v>
      </c>
    </row>
    <row r="1893" spans="1:6" ht="16" thickBot="1" x14ac:dyDescent="0.25">
      <c r="A1893" s="83">
        <v>5</v>
      </c>
      <c r="B1893" s="129" t="s">
        <v>169</v>
      </c>
      <c r="C1893" s="129" t="s">
        <v>149</v>
      </c>
      <c r="D1893" s="83">
        <v>1579</v>
      </c>
      <c r="E1893" s="103">
        <v>59252.974249999999</v>
      </c>
      <c r="F1893" s="129" t="s">
        <v>148</v>
      </c>
    </row>
    <row r="1894" spans="1:6" ht="16" thickBot="1" x14ac:dyDescent="0.25">
      <c r="A1894" s="83">
        <v>5</v>
      </c>
      <c r="B1894" s="129" t="s">
        <v>170</v>
      </c>
      <c r="C1894" s="129" t="s">
        <v>149</v>
      </c>
      <c r="D1894" s="83">
        <v>142</v>
      </c>
      <c r="E1894" s="103">
        <v>5931.3600900000001</v>
      </c>
      <c r="F1894" s="129" t="s">
        <v>148</v>
      </c>
    </row>
    <row r="1895" spans="1:6" ht="16" thickBot="1" x14ac:dyDescent="0.25">
      <c r="A1895" s="83">
        <v>5</v>
      </c>
      <c r="B1895" s="129" t="s">
        <v>171</v>
      </c>
      <c r="C1895" s="129" t="s">
        <v>149</v>
      </c>
      <c r="D1895" s="83">
        <v>1210</v>
      </c>
      <c r="E1895" s="103">
        <v>1047328.106</v>
      </c>
      <c r="F1895" s="129" t="s">
        <v>256</v>
      </c>
    </row>
    <row r="1896" spans="1:6" ht="16" thickBot="1" x14ac:dyDescent="0.25">
      <c r="A1896" s="83">
        <v>5</v>
      </c>
      <c r="B1896" s="129" t="s">
        <v>171</v>
      </c>
      <c r="C1896" s="129" t="s">
        <v>149</v>
      </c>
      <c r="D1896" s="83">
        <v>1167</v>
      </c>
      <c r="E1896" s="103">
        <v>41230.465819999998</v>
      </c>
      <c r="F1896" s="129" t="s">
        <v>148</v>
      </c>
    </row>
    <row r="1897" spans="1:6" ht="16" thickBot="1" x14ac:dyDescent="0.25">
      <c r="A1897" s="83">
        <v>5</v>
      </c>
      <c r="B1897" s="129" t="s">
        <v>172</v>
      </c>
      <c r="C1897" s="129" t="s">
        <v>149</v>
      </c>
      <c r="D1897" s="83">
        <v>1040</v>
      </c>
      <c r="E1897" s="103">
        <v>920579.54799999995</v>
      </c>
      <c r="F1897" s="129" t="s">
        <v>256</v>
      </c>
    </row>
    <row r="1898" spans="1:6" ht="16" thickBot="1" x14ac:dyDescent="0.25">
      <c r="A1898" s="83">
        <v>5</v>
      </c>
      <c r="B1898" s="129" t="s">
        <v>172</v>
      </c>
      <c r="C1898" s="129" t="s">
        <v>149</v>
      </c>
      <c r="D1898" s="83">
        <v>1845</v>
      </c>
      <c r="E1898" s="103">
        <v>75531.878710000005</v>
      </c>
      <c r="F1898" s="129" t="s">
        <v>148</v>
      </c>
    </row>
    <row r="1899" spans="1:6" ht="16" thickBot="1" x14ac:dyDescent="0.25">
      <c r="A1899" s="83">
        <v>5</v>
      </c>
      <c r="B1899" s="129" t="s">
        <v>173</v>
      </c>
      <c r="C1899" s="129" t="s">
        <v>149</v>
      </c>
      <c r="D1899" s="83">
        <v>2514</v>
      </c>
      <c r="E1899" s="103">
        <v>1888542.311</v>
      </c>
      <c r="F1899" s="129" t="s">
        <v>256</v>
      </c>
    </row>
    <row r="1900" spans="1:6" ht="16" thickBot="1" x14ac:dyDescent="0.25">
      <c r="A1900" s="83">
        <v>5</v>
      </c>
      <c r="B1900" s="129" t="s">
        <v>173</v>
      </c>
      <c r="C1900" s="129" t="s">
        <v>149</v>
      </c>
      <c r="D1900" s="83">
        <v>2049</v>
      </c>
      <c r="E1900" s="103">
        <v>55244.907370000001</v>
      </c>
      <c r="F1900" s="129" t="s">
        <v>148</v>
      </c>
    </row>
    <row r="1901" spans="1:6" ht="16" thickBot="1" x14ac:dyDescent="0.25">
      <c r="A1901" s="83">
        <v>5</v>
      </c>
      <c r="B1901" s="129" t="s">
        <v>174</v>
      </c>
      <c r="C1901" s="129" t="s">
        <v>149</v>
      </c>
      <c r="D1901" s="83">
        <v>575</v>
      </c>
      <c r="E1901" s="103">
        <v>612681.06299999997</v>
      </c>
      <c r="F1901" s="129" t="s">
        <v>256</v>
      </c>
    </row>
    <row r="1902" spans="1:6" ht="16" thickBot="1" x14ac:dyDescent="0.25">
      <c r="A1902" s="83">
        <v>5</v>
      </c>
      <c r="B1902" s="129" t="s">
        <v>174</v>
      </c>
      <c r="C1902" s="129" t="s">
        <v>149</v>
      </c>
      <c r="D1902" s="83">
        <v>206</v>
      </c>
      <c r="E1902" s="103">
        <v>9098.1378100000002</v>
      </c>
      <c r="F1902" s="129" t="s">
        <v>148</v>
      </c>
    </row>
    <row r="1903" spans="1:6" ht="16" thickBot="1" x14ac:dyDescent="0.25">
      <c r="A1903" s="83">
        <v>5</v>
      </c>
      <c r="B1903" s="129" t="s">
        <v>175</v>
      </c>
      <c r="C1903" s="129" t="s">
        <v>149</v>
      </c>
      <c r="D1903" s="83">
        <v>337</v>
      </c>
      <c r="E1903" s="103">
        <v>336788.288</v>
      </c>
      <c r="F1903" s="129" t="s">
        <v>256</v>
      </c>
    </row>
    <row r="1904" spans="1:6" ht="16" thickBot="1" x14ac:dyDescent="0.25">
      <c r="A1904" s="83">
        <v>5</v>
      </c>
      <c r="B1904" s="129" t="s">
        <v>176</v>
      </c>
      <c r="C1904" s="129" t="s">
        <v>149</v>
      </c>
      <c r="D1904" s="83">
        <v>189</v>
      </c>
      <c r="E1904" s="103">
        <v>150963.66099999999</v>
      </c>
      <c r="F1904" s="129" t="s">
        <v>256</v>
      </c>
    </row>
    <row r="1905" spans="1:6" ht="16" thickBot="1" x14ac:dyDescent="0.25">
      <c r="A1905" s="83">
        <v>5</v>
      </c>
      <c r="B1905" s="129" t="s">
        <v>176</v>
      </c>
      <c r="C1905" s="129" t="s">
        <v>149</v>
      </c>
      <c r="D1905" s="83">
        <v>112</v>
      </c>
      <c r="E1905" s="103">
        <v>3318.7594300000001</v>
      </c>
      <c r="F1905" s="129" t="s">
        <v>148</v>
      </c>
    </row>
    <row r="1906" spans="1:6" ht="16" thickBot="1" x14ac:dyDescent="0.25">
      <c r="A1906" s="83">
        <v>5</v>
      </c>
      <c r="B1906" s="129" t="s">
        <v>177</v>
      </c>
      <c r="C1906" s="129" t="s">
        <v>149</v>
      </c>
      <c r="D1906" s="83">
        <v>328</v>
      </c>
      <c r="E1906" s="103">
        <v>248477.06200000001</v>
      </c>
      <c r="F1906" s="129" t="s">
        <v>256</v>
      </c>
    </row>
    <row r="1907" spans="1:6" ht="16" thickBot="1" x14ac:dyDescent="0.25">
      <c r="A1907" s="83">
        <v>5</v>
      </c>
      <c r="B1907" s="129" t="s">
        <v>177</v>
      </c>
      <c r="C1907" s="129" t="s">
        <v>149</v>
      </c>
      <c r="D1907" s="83">
        <v>157</v>
      </c>
      <c r="E1907" s="103">
        <v>4853.8222800000003</v>
      </c>
      <c r="F1907" s="129" t="s">
        <v>148</v>
      </c>
    </row>
    <row r="1908" spans="1:6" ht="16" thickBot="1" x14ac:dyDescent="0.25">
      <c r="A1908" s="83">
        <v>5</v>
      </c>
      <c r="B1908" s="129" t="s">
        <v>178</v>
      </c>
      <c r="C1908" s="129" t="s">
        <v>149</v>
      </c>
      <c r="D1908" s="83">
        <v>453</v>
      </c>
      <c r="E1908" s="103">
        <v>432556.48700000002</v>
      </c>
      <c r="F1908" s="129" t="s">
        <v>256</v>
      </c>
    </row>
    <row r="1909" spans="1:6" ht="16" thickBot="1" x14ac:dyDescent="0.25">
      <c r="A1909" s="83">
        <v>5</v>
      </c>
      <c r="B1909" s="129" t="s">
        <v>179</v>
      </c>
      <c r="C1909" s="129" t="s">
        <v>149</v>
      </c>
      <c r="D1909" s="83">
        <v>53</v>
      </c>
      <c r="E1909" s="103">
        <v>52675.114999999998</v>
      </c>
      <c r="F1909" s="129" t="s">
        <v>256</v>
      </c>
    </row>
    <row r="1910" spans="1:6" ht="16" thickBot="1" x14ac:dyDescent="0.25">
      <c r="A1910" s="83">
        <v>5</v>
      </c>
      <c r="B1910" s="129" t="s">
        <v>180</v>
      </c>
      <c r="C1910" s="129" t="s">
        <v>149</v>
      </c>
      <c r="D1910" s="83">
        <v>95</v>
      </c>
      <c r="E1910" s="103">
        <v>4154.9455900000003</v>
      </c>
      <c r="F1910" s="129" t="s">
        <v>148</v>
      </c>
    </row>
    <row r="1911" spans="1:6" ht="16" thickBot="1" x14ac:dyDescent="0.25">
      <c r="A1911" s="83">
        <v>5</v>
      </c>
      <c r="B1911" s="129" t="s">
        <v>181</v>
      </c>
      <c r="C1911" s="129" t="s">
        <v>149</v>
      </c>
      <c r="D1911" s="83">
        <v>311</v>
      </c>
      <c r="E1911" s="103">
        <v>182543.46599999999</v>
      </c>
      <c r="F1911" s="129" t="s">
        <v>256</v>
      </c>
    </row>
    <row r="1912" spans="1:6" ht="16" thickBot="1" x14ac:dyDescent="0.25">
      <c r="A1912" s="83">
        <v>5</v>
      </c>
      <c r="B1912" s="129" t="s">
        <v>181</v>
      </c>
      <c r="C1912" s="129" t="s">
        <v>149</v>
      </c>
      <c r="D1912" s="83">
        <v>3756</v>
      </c>
      <c r="E1912" s="103">
        <v>112069.10894999999</v>
      </c>
      <c r="F1912" s="129" t="s">
        <v>148</v>
      </c>
    </row>
    <row r="1913" spans="1:6" ht="16" thickBot="1" x14ac:dyDescent="0.25">
      <c r="A1913" s="83">
        <v>5</v>
      </c>
      <c r="B1913" s="129" t="s">
        <v>182</v>
      </c>
      <c r="C1913" s="129" t="s">
        <v>149</v>
      </c>
      <c r="D1913" s="83">
        <v>73</v>
      </c>
      <c r="E1913" s="103">
        <v>79889.635999999999</v>
      </c>
      <c r="F1913" s="129" t="s">
        <v>256</v>
      </c>
    </row>
    <row r="1914" spans="1:6" ht="16" thickBot="1" x14ac:dyDescent="0.25">
      <c r="A1914" s="83">
        <v>5</v>
      </c>
      <c r="B1914" s="129" t="s">
        <v>183</v>
      </c>
      <c r="C1914" s="129" t="s">
        <v>149</v>
      </c>
      <c r="D1914" s="83">
        <v>363</v>
      </c>
      <c r="E1914" s="103">
        <v>356364.68400000001</v>
      </c>
      <c r="F1914" s="129" t="s">
        <v>256</v>
      </c>
    </row>
    <row r="1915" spans="1:6" ht="16" thickBot="1" x14ac:dyDescent="0.25">
      <c r="A1915" s="83">
        <v>5</v>
      </c>
      <c r="B1915" s="129" t="s">
        <v>184</v>
      </c>
      <c r="C1915" s="129" t="s">
        <v>149</v>
      </c>
      <c r="D1915" s="83">
        <v>828</v>
      </c>
      <c r="E1915" s="103">
        <v>757272.14500000002</v>
      </c>
      <c r="F1915" s="129" t="s">
        <v>256</v>
      </c>
    </row>
    <row r="1916" spans="1:6" ht="16" thickBot="1" x14ac:dyDescent="0.25">
      <c r="A1916" s="83">
        <v>5</v>
      </c>
      <c r="B1916" s="129" t="s">
        <v>184</v>
      </c>
      <c r="C1916" s="129" t="s">
        <v>149</v>
      </c>
      <c r="D1916" s="83">
        <v>7</v>
      </c>
      <c r="E1916" s="103">
        <v>158.89833999999999</v>
      </c>
      <c r="F1916" s="129" t="s">
        <v>148</v>
      </c>
    </row>
    <row r="1917" spans="1:6" ht="16" thickBot="1" x14ac:dyDescent="0.25">
      <c r="A1917" s="83">
        <v>5</v>
      </c>
      <c r="B1917" s="129" t="s">
        <v>185</v>
      </c>
      <c r="C1917" s="129" t="s">
        <v>149</v>
      </c>
      <c r="D1917" s="83">
        <v>305</v>
      </c>
      <c r="E1917" s="103">
        <v>186742.66399999999</v>
      </c>
      <c r="F1917" s="129" t="s">
        <v>256</v>
      </c>
    </row>
    <row r="1918" spans="1:6" ht="16" thickBot="1" x14ac:dyDescent="0.25">
      <c r="A1918" s="83">
        <v>5</v>
      </c>
      <c r="B1918" s="129" t="s">
        <v>185</v>
      </c>
      <c r="C1918" s="129" t="s">
        <v>149</v>
      </c>
      <c r="D1918" s="83">
        <v>181</v>
      </c>
      <c r="E1918" s="103">
        <v>4697.3056699999997</v>
      </c>
      <c r="F1918" s="129" t="s">
        <v>148</v>
      </c>
    </row>
    <row r="1919" spans="1:6" ht="16" thickBot="1" x14ac:dyDescent="0.25">
      <c r="A1919" s="83">
        <v>5</v>
      </c>
      <c r="B1919" s="129" t="s">
        <v>186</v>
      </c>
      <c r="C1919" s="129" t="s">
        <v>149</v>
      </c>
      <c r="D1919" s="83">
        <v>165</v>
      </c>
      <c r="E1919" s="103">
        <v>152005.62400000001</v>
      </c>
      <c r="F1919" s="129" t="s">
        <v>256</v>
      </c>
    </row>
    <row r="1920" spans="1:6" ht="16" thickBot="1" x14ac:dyDescent="0.25">
      <c r="A1920" s="83">
        <v>5</v>
      </c>
      <c r="B1920" s="129" t="s">
        <v>187</v>
      </c>
      <c r="C1920" s="129" t="s">
        <v>149</v>
      </c>
      <c r="D1920" s="83">
        <v>4</v>
      </c>
      <c r="E1920" s="103">
        <v>2114.0520000000001</v>
      </c>
      <c r="F1920" s="129" t="s">
        <v>256</v>
      </c>
    </row>
    <row r="1921" spans="1:6" ht="16" thickBot="1" x14ac:dyDescent="0.25">
      <c r="A1921" s="83">
        <v>5</v>
      </c>
      <c r="B1921" s="129" t="s">
        <v>188</v>
      </c>
      <c r="C1921" s="129" t="s">
        <v>149</v>
      </c>
      <c r="D1921" s="83">
        <v>2</v>
      </c>
      <c r="E1921" s="103">
        <v>1499.1220000000001</v>
      </c>
      <c r="F1921" s="129" t="s">
        <v>256</v>
      </c>
    </row>
    <row r="1922" spans="1:6" ht="16" thickBot="1" x14ac:dyDescent="0.25">
      <c r="A1922" s="83">
        <v>5</v>
      </c>
      <c r="B1922" s="129" t="s">
        <v>189</v>
      </c>
      <c r="C1922" s="129" t="s">
        <v>149</v>
      </c>
      <c r="D1922" s="83">
        <v>1791</v>
      </c>
      <c r="E1922" s="103">
        <v>1451115.763</v>
      </c>
      <c r="F1922" s="129" t="s">
        <v>256</v>
      </c>
    </row>
    <row r="1923" spans="1:6" ht="16" thickBot="1" x14ac:dyDescent="0.25">
      <c r="A1923" s="83">
        <v>5</v>
      </c>
      <c r="B1923" s="129" t="s">
        <v>189</v>
      </c>
      <c r="C1923" s="129" t="s">
        <v>149</v>
      </c>
      <c r="D1923" s="83">
        <v>1127</v>
      </c>
      <c r="E1923" s="103">
        <v>37068.429170000003</v>
      </c>
      <c r="F1923" s="129" t="s">
        <v>148</v>
      </c>
    </row>
    <row r="1924" spans="1:6" ht="16" thickBot="1" x14ac:dyDescent="0.25">
      <c r="A1924" s="83">
        <v>5</v>
      </c>
      <c r="B1924" s="129" t="s">
        <v>190</v>
      </c>
      <c r="C1924" s="129" t="s">
        <v>149</v>
      </c>
      <c r="D1924" s="83">
        <v>198</v>
      </c>
      <c r="E1924" s="103">
        <v>192974.35399999999</v>
      </c>
      <c r="F1924" s="129" t="s">
        <v>256</v>
      </c>
    </row>
    <row r="1925" spans="1:6" ht="16" thickBot="1" x14ac:dyDescent="0.25">
      <c r="A1925" s="83">
        <v>5</v>
      </c>
      <c r="B1925" s="129" t="s">
        <v>190</v>
      </c>
      <c r="C1925" s="129" t="s">
        <v>149</v>
      </c>
      <c r="D1925" s="83">
        <v>15</v>
      </c>
      <c r="E1925" s="103">
        <v>934.31285000000003</v>
      </c>
      <c r="F1925" s="129" t="s">
        <v>148</v>
      </c>
    </row>
    <row r="1926" spans="1:6" ht="16" thickBot="1" x14ac:dyDescent="0.25">
      <c r="A1926" s="83">
        <v>5</v>
      </c>
      <c r="B1926" s="129" t="s">
        <v>191</v>
      </c>
      <c r="C1926" s="129" t="s">
        <v>149</v>
      </c>
      <c r="D1926" s="83">
        <v>1729</v>
      </c>
      <c r="E1926" s="103">
        <v>1173866.0619999999</v>
      </c>
      <c r="F1926" s="129" t="s">
        <v>256</v>
      </c>
    </row>
    <row r="1927" spans="1:6" ht="16" thickBot="1" x14ac:dyDescent="0.25">
      <c r="A1927" s="83">
        <v>5</v>
      </c>
      <c r="B1927" s="129" t="s">
        <v>191</v>
      </c>
      <c r="C1927" s="129" t="s">
        <v>149</v>
      </c>
      <c r="D1927" s="83">
        <v>941</v>
      </c>
      <c r="E1927" s="103">
        <v>34448.763939999997</v>
      </c>
      <c r="F1927" s="129" t="s">
        <v>148</v>
      </c>
    </row>
    <row r="1928" spans="1:6" ht="16" thickBot="1" x14ac:dyDescent="0.25">
      <c r="A1928" s="83">
        <v>5</v>
      </c>
      <c r="B1928" s="129" t="s">
        <v>192</v>
      </c>
      <c r="C1928" s="129" t="s">
        <v>149</v>
      </c>
      <c r="D1928" s="83">
        <v>284</v>
      </c>
      <c r="E1928" s="103">
        <v>209144.18</v>
      </c>
      <c r="F1928" s="129" t="s">
        <v>256</v>
      </c>
    </row>
    <row r="1929" spans="1:6" ht="16" thickBot="1" x14ac:dyDescent="0.25">
      <c r="A1929" s="83">
        <v>5</v>
      </c>
      <c r="B1929" s="129" t="s">
        <v>192</v>
      </c>
      <c r="C1929" s="129" t="s">
        <v>149</v>
      </c>
      <c r="D1929" s="83">
        <v>167</v>
      </c>
      <c r="E1929" s="103">
        <v>5736.2806499999997</v>
      </c>
      <c r="F1929" s="129" t="s">
        <v>148</v>
      </c>
    </row>
    <row r="1930" spans="1:6" ht="16" thickBot="1" x14ac:dyDescent="0.25">
      <c r="A1930" s="83">
        <v>5</v>
      </c>
      <c r="B1930" s="129" t="s">
        <v>193</v>
      </c>
      <c r="C1930" s="129" t="s">
        <v>149</v>
      </c>
      <c r="D1930" s="83">
        <v>6906</v>
      </c>
      <c r="E1930" s="103">
        <v>5236569.6830000002</v>
      </c>
      <c r="F1930" s="129" t="s">
        <v>256</v>
      </c>
    </row>
    <row r="1931" spans="1:6" ht="16" thickBot="1" x14ac:dyDescent="0.25">
      <c r="A1931" s="83">
        <v>5</v>
      </c>
      <c r="B1931" s="129" t="s">
        <v>193</v>
      </c>
      <c r="C1931" s="129" t="s">
        <v>149</v>
      </c>
      <c r="D1931" s="83">
        <v>1745</v>
      </c>
      <c r="E1931" s="103">
        <v>54190.321239999997</v>
      </c>
      <c r="F1931" s="129" t="s">
        <v>148</v>
      </c>
    </row>
    <row r="1932" spans="1:6" ht="16" thickBot="1" x14ac:dyDescent="0.25">
      <c r="A1932" s="83">
        <v>5</v>
      </c>
      <c r="B1932" s="129" t="s">
        <v>194</v>
      </c>
      <c r="C1932" s="129" t="s">
        <v>149</v>
      </c>
      <c r="D1932" s="83">
        <v>158</v>
      </c>
      <c r="E1932" s="103">
        <v>119413.944</v>
      </c>
      <c r="F1932" s="129" t="s">
        <v>256</v>
      </c>
    </row>
    <row r="1933" spans="1:6" ht="16" thickBot="1" x14ac:dyDescent="0.25">
      <c r="A1933" s="83">
        <v>5</v>
      </c>
      <c r="B1933" s="129" t="s">
        <v>195</v>
      </c>
      <c r="C1933" s="129" t="s">
        <v>149</v>
      </c>
      <c r="D1933" s="83">
        <v>1009</v>
      </c>
      <c r="E1933" s="103">
        <v>739268.01300000004</v>
      </c>
      <c r="F1933" s="129" t="s">
        <v>256</v>
      </c>
    </row>
    <row r="1934" spans="1:6" ht="16" thickBot="1" x14ac:dyDescent="0.25">
      <c r="A1934" s="83">
        <v>5</v>
      </c>
      <c r="B1934" s="129" t="s">
        <v>195</v>
      </c>
      <c r="C1934" s="129" t="s">
        <v>149</v>
      </c>
      <c r="D1934" s="83">
        <v>609</v>
      </c>
      <c r="E1934" s="103">
        <v>17537.00964</v>
      </c>
      <c r="F1934" s="129" t="s">
        <v>148</v>
      </c>
    </row>
    <row r="1935" spans="1:6" ht="16" thickBot="1" x14ac:dyDescent="0.25">
      <c r="A1935" s="83">
        <v>5</v>
      </c>
      <c r="B1935" s="129" t="s">
        <v>196</v>
      </c>
      <c r="C1935" s="129" t="s">
        <v>149</v>
      </c>
      <c r="D1935" s="83">
        <v>227</v>
      </c>
      <c r="E1935" s="103">
        <v>166188.87100000001</v>
      </c>
      <c r="F1935" s="129" t="s">
        <v>256</v>
      </c>
    </row>
    <row r="1936" spans="1:6" ht="16" thickBot="1" x14ac:dyDescent="0.25">
      <c r="A1936" s="83">
        <v>5</v>
      </c>
      <c r="B1936" s="129" t="s">
        <v>196</v>
      </c>
      <c r="C1936" s="129" t="s">
        <v>149</v>
      </c>
      <c r="D1936" s="83">
        <v>127</v>
      </c>
      <c r="E1936" s="103">
        <v>3819.2663400000001</v>
      </c>
      <c r="F1936" s="129" t="s">
        <v>148</v>
      </c>
    </row>
    <row r="1937" spans="1:6" ht="16" thickBot="1" x14ac:dyDescent="0.25">
      <c r="A1937" s="83">
        <v>5</v>
      </c>
      <c r="B1937" s="129" t="s">
        <v>197</v>
      </c>
      <c r="C1937" s="129" t="s">
        <v>149</v>
      </c>
      <c r="D1937" s="83">
        <v>529</v>
      </c>
      <c r="E1937" s="103">
        <v>409545.8</v>
      </c>
      <c r="F1937" s="129" t="s">
        <v>256</v>
      </c>
    </row>
    <row r="1938" spans="1:6" ht="16" thickBot="1" x14ac:dyDescent="0.25">
      <c r="A1938" s="83">
        <v>5</v>
      </c>
      <c r="B1938" s="129" t="s">
        <v>198</v>
      </c>
      <c r="C1938" s="129" t="s">
        <v>149</v>
      </c>
      <c r="D1938" s="83">
        <v>115</v>
      </c>
      <c r="E1938" s="103">
        <v>95824.028000000006</v>
      </c>
      <c r="F1938" s="129" t="s">
        <v>256</v>
      </c>
    </row>
    <row r="1939" spans="1:6" ht="16" thickBot="1" x14ac:dyDescent="0.25">
      <c r="A1939" s="83">
        <v>5</v>
      </c>
      <c r="B1939" s="129" t="s">
        <v>199</v>
      </c>
      <c r="C1939" s="129" t="s">
        <v>149</v>
      </c>
      <c r="D1939" s="83">
        <v>516</v>
      </c>
      <c r="E1939" s="103">
        <v>314981.75400000002</v>
      </c>
      <c r="F1939" s="129" t="s">
        <v>256</v>
      </c>
    </row>
    <row r="1940" spans="1:6" ht="16" thickBot="1" x14ac:dyDescent="0.25">
      <c r="A1940" s="83">
        <v>5</v>
      </c>
      <c r="B1940" s="129" t="s">
        <v>200</v>
      </c>
      <c r="C1940" s="129" t="s">
        <v>149</v>
      </c>
      <c r="D1940" s="83">
        <v>407</v>
      </c>
      <c r="E1940" s="103">
        <v>376734.28399999999</v>
      </c>
      <c r="F1940" s="129" t="s">
        <v>256</v>
      </c>
    </row>
    <row r="1941" spans="1:6" ht="16" thickBot="1" x14ac:dyDescent="0.25">
      <c r="A1941" s="83">
        <v>5</v>
      </c>
      <c r="B1941" s="129" t="s">
        <v>201</v>
      </c>
      <c r="C1941" s="129" t="s">
        <v>149</v>
      </c>
      <c r="D1941" s="83">
        <v>124</v>
      </c>
      <c r="E1941" s="103">
        <v>94429.504000000001</v>
      </c>
      <c r="F1941" s="129" t="s">
        <v>256</v>
      </c>
    </row>
    <row r="1942" spans="1:6" ht="16" thickBot="1" x14ac:dyDescent="0.25">
      <c r="A1942" s="83">
        <v>5</v>
      </c>
      <c r="B1942" s="129" t="s">
        <v>202</v>
      </c>
      <c r="C1942" s="129" t="s">
        <v>149</v>
      </c>
      <c r="D1942" s="83">
        <v>263</v>
      </c>
      <c r="E1942" s="103">
        <v>169902.318</v>
      </c>
      <c r="F1942" s="129" t="s">
        <v>256</v>
      </c>
    </row>
    <row r="1943" spans="1:6" ht="16" thickBot="1" x14ac:dyDescent="0.25">
      <c r="A1943" s="83">
        <v>5</v>
      </c>
      <c r="B1943" s="129" t="s">
        <v>202</v>
      </c>
      <c r="C1943" s="129" t="s">
        <v>149</v>
      </c>
      <c r="D1943" s="83">
        <v>167</v>
      </c>
      <c r="E1943" s="103">
        <v>4513.9180399999996</v>
      </c>
      <c r="F1943" s="129" t="s">
        <v>148</v>
      </c>
    </row>
    <row r="1944" spans="1:6" ht="16" thickBot="1" x14ac:dyDescent="0.25">
      <c r="A1944" s="83">
        <v>5</v>
      </c>
      <c r="B1944" s="129" t="s">
        <v>203</v>
      </c>
      <c r="C1944" s="129" t="s">
        <v>149</v>
      </c>
      <c r="D1944" s="83">
        <v>348</v>
      </c>
      <c r="E1944" s="103">
        <v>217804.76500000001</v>
      </c>
      <c r="F1944" s="129" t="s">
        <v>256</v>
      </c>
    </row>
    <row r="1945" spans="1:6" ht="16" thickBot="1" x14ac:dyDescent="0.25">
      <c r="A1945" s="83">
        <v>5</v>
      </c>
      <c r="B1945" s="129" t="s">
        <v>204</v>
      </c>
      <c r="C1945" s="129" t="s">
        <v>149</v>
      </c>
      <c r="D1945" s="83">
        <v>905</v>
      </c>
      <c r="E1945" s="103">
        <v>589189.03</v>
      </c>
      <c r="F1945" s="129" t="s">
        <v>256</v>
      </c>
    </row>
    <row r="1946" spans="1:6" ht="16" thickBot="1" x14ac:dyDescent="0.25">
      <c r="A1946" s="83">
        <v>5</v>
      </c>
      <c r="B1946" s="129" t="s">
        <v>205</v>
      </c>
      <c r="C1946" s="129" t="s">
        <v>149</v>
      </c>
      <c r="D1946" s="83">
        <v>3398</v>
      </c>
      <c r="E1946" s="103">
        <v>2330728.2089999998</v>
      </c>
      <c r="F1946" s="129" t="s">
        <v>256</v>
      </c>
    </row>
    <row r="1947" spans="1:6" ht="16" thickBot="1" x14ac:dyDescent="0.25">
      <c r="A1947" s="83">
        <v>5</v>
      </c>
      <c r="B1947" s="129" t="s">
        <v>205</v>
      </c>
      <c r="C1947" s="129" t="s">
        <v>149</v>
      </c>
      <c r="D1947" s="83">
        <v>715</v>
      </c>
      <c r="E1947" s="103">
        <v>14365.706630000001</v>
      </c>
      <c r="F1947" s="129" t="s">
        <v>148</v>
      </c>
    </row>
    <row r="1948" spans="1:6" ht="16" thickBot="1" x14ac:dyDescent="0.25">
      <c r="A1948" s="83">
        <v>5</v>
      </c>
      <c r="B1948" s="129" t="s">
        <v>206</v>
      </c>
      <c r="C1948" s="129" t="s">
        <v>149</v>
      </c>
      <c r="D1948" s="83">
        <v>209</v>
      </c>
      <c r="E1948" s="103">
        <v>147092.652</v>
      </c>
      <c r="F1948" s="129" t="s">
        <v>256</v>
      </c>
    </row>
    <row r="1949" spans="1:6" ht="16" thickBot="1" x14ac:dyDescent="0.25">
      <c r="A1949" s="83">
        <v>5</v>
      </c>
      <c r="B1949" s="129" t="s">
        <v>206</v>
      </c>
      <c r="C1949" s="129" t="s">
        <v>149</v>
      </c>
      <c r="D1949" s="83">
        <v>125</v>
      </c>
      <c r="E1949" s="103">
        <v>2987.15951</v>
      </c>
      <c r="F1949" s="129" t="s">
        <v>148</v>
      </c>
    </row>
    <row r="1950" spans="1:6" ht="16" thickBot="1" x14ac:dyDescent="0.25">
      <c r="A1950" s="83">
        <v>5</v>
      </c>
      <c r="B1950" s="129" t="s">
        <v>207</v>
      </c>
      <c r="C1950" s="129" t="s">
        <v>149</v>
      </c>
      <c r="D1950" s="83">
        <v>1</v>
      </c>
      <c r="E1950" s="103">
        <v>105.258</v>
      </c>
      <c r="F1950" s="129" t="s">
        <v>148</v>
      </c>
    </row>
    <row r="1951" spans="1:6" ht="16" thickBot="1" x14ac:dyDescent="0.25">
      <c r="A1951" s="83">
        <v>5</v>
      </c>
      <c r="B1951" s="129" t="s">
        <v>208</v>
      </c>
      <c r="C1951" s="129" t="s">
        <v>149</v>
      </c>
      <c r="D1951" s="83">
        <v>47</v>
      </c>
      <c r="E1951" s="103">
        <v>24768.226999999999</v>
      </c>
      <c r="F1951" s="129" t="s">
        <v>256</v>
      </c>
    </row>
    <row r="1952" spans="1:6" ht="16" thickBot="1" x14ac:dyDescent="0.25">
      <c r="A1952" s="83">
        <v>5</v>
      </c>
      <c r="B1952" s="129" t="s">
        <v>209</v>
      </c>
      <c r="C1952" s="129" t="s">
        <v>149</v>
      </c>
      <c r="D1952" s="83">
        <v>1868</v>
      </c>
      <c r="E1952" s="103">
        <v>1072544.8400000001</v>
      </c>
      <c r="F1952" s="129" t="s">
        <v>256</v>
      </c>
    </row>
    <row r="1953" spans="1:6" ht="16" thickBot="1" x14ac:dyDescent="0.25">
      <c r="A1953" s="83">
        <v>5</v>
      </c>
      <c r="B1953" s="129" t="s">
        <v>209</v>
      </c>
      <c r="C1953" s="129" t="s">
        <v>149</v>
      </c>
      <c r="D1953" s="83">
        <v>634</v>
      </c>
      <c r="E1953" s="103">
        <v>16756.574339999999</v>
      </c>
      <c r="F1953" s="129" t="s">
        <v>148</v>
      </c>
    </row>
    <row r="1954" spans="1:6" ht="16" thickBot="1" x14ac:dyDescent="0.25">
      <c r="A1954" s="83">
        <v>5</v>
      </c>
      <c r="B1954" s="129" t="s">
        <v>210</v>
      </c>
      <c r="C1954" s="129" t="s">
        <v>149</v>
      </c>
      <c r="D1954" s="83">
        <v>81</v>
      </c>
      <c r="E1954" s="103">
        <v>60694.625</v>
      </c>
      <c r="F1954" s="129" t="s">
        <v>256</v>
      </c>
    </row>
    <row r="1955" spans="1:6" ht="16" thickBot="1" x14ac:dyDescent="0.25">
      <c r="A1955" s="83">
        <v>5</v>
      </c>
      <c r="B1955" s="129" t="s">
        <v>211</v>
      </c>
      <c r="C1955" s="129" t="s">
        <v>149</v>
      </c>
      <c r="D1955" s="83">
        <v>97</v>
      </c>
      <c r="E1955" s="103">
        <v>77395.528000000006</v>
      </c>
      <c r="F1955" s="129" t="s">
        <v>256</v>
      </c>
    </row>
    <row r="1956" spans="1:6" ht="16" thickBot="1" x14ac:dyDescent="0.25">
      <c r="A1956" s="83">
        <v>5</v>
      </c>
      <c r="B1956" s="129" t="s">
        <v>212</v>
      </c>
      <c r="C1956" s="129" t="s">
        <v>149</v>
      </c>
      <c r="D1956" s="83">
        <v>8</v>
      </c>
      <c r="E1956" s="83">
        <v>4118</v>
      </c>
      <c r="F1956" s="129" t="s">
        <v>256</v>
      </c>
    </row>
    <row r="1957" spans="1:6" ht="16" thickBot="1" x14ac:dyDescent="0.25">
      <c r="A1957" s="83">
        <v>5</v>
      </c>
      <c r="B1957" s="129" t="s">
        <v>213</v>
      </c>
      <c r="C1957" s="129" t="s">
        <v>149</v>
      </c>
      <c r="D1957" s="83">
        <v>537</v>
      </c>
      <c r="E1957" s="103">
        <v>411562.15399999998</v>
      </c>
      <c r="F1957" s="129" t="s">
        <v>256</v>
      </c>
    </row>
    <row r="1958" spans="1:6" ht="16" thickBot="1" x14ac:dyDescent="0.25">
      <c r="A1958" s="83">
        <v>5</v>
      </c>
      <c r="B1958" s="129" t="s">
        <v>214</v>
      </c>
      <c r="C1958" s="129" t="s">
        <v>149</v>
      </c>
      <c r="D1958" s="83">
        <v>243</v>
      </c>
      <c r="E1958" s="103">
        <v>291888.32400000002</v>
      </c>
      <c r="F1958" s="129" t="s">
        <v>256</v>
      </c>
    </row>
    <row r="1959" spans="1:6" ht="16" thickBot="1" x14ac:dyDescent="0.25">
      <c r="A1959" s="83">
        <v>5</v>
      </c>
      <c r="B1959" s="129" t="s">
        <v>215</v>
      </c>
      <c r="C1959" s="129" t="s">
        <v>149</v>
      </c>
      <c r="D1959" s="83">
        <v>521</v>
      </c>
      <c r="E1959" s="103">
        <v>348656.48499999999</v>
      </c>
      <c r="F1959" s="129" t="s">
        <v>256</v>
      </c>
    </row>
    <row r="1960" spans="1:6" ht="16" thickBot="1" x14ac:dyDescent="0.25">
      <c r="A1960" s="83">
        <v>5</v>
      </c>
      <c r="B1960" s="129" t="s">
        <v>215</v>
      </c>
      <c r="C1960" s="129" t="s">
        <v>149</v>
      </c>
      <c r="D1960" s="83">
        <v>350</v>
      </c>
      <c r="E1960" s="103">
        <v>8384.7247499999994</v>
      </c>
      <c r="F1960" s="129" t="s">
        <v>148</v>
      </c>
    </row>
    <row r="1961" spans="1:6" ht="16" thickBot="1" x14ac:dyDescent="0.25">
      <c r="A1961" s="83">
        <v>5</v>
      </c>
      <c r="B1961" s="129" t="s">
        <v>216</v>
      </c>
      <c r="C1961" s="129" t="s">
        <v>149</v>
      </c>
      <c r="D1961" s="83">
        <v>79</v>
      </c>
      <c r="E1961" s="103">
        <v>55417.669000000002</v>
      </c>
      <c r="F1961" s="129" t="s">
        <v>256</v>
      </c>
    </row>
    <row r="1962" spans="1:6" ht="16" thickBot="1" x14ac:dyDescent="0.25">
      <c r="A1962" s="83">
        <v>5</v>
      </c>
      <c r="B1962" s="129" t="s">
        <v>217</v>
      </c>
      <c r="C1962" s="129" t="s">
        <v>149</v>
      </c>
      <c r="D1962" s="83">
        <v>742</v>
      </c>
      <c r="E1962" s="103">
        <v>509762.375</v>
      </c>
      <c r="F1962" s="129" t="s">
        <v>256</v>
      </c>
    </row>
    <row r="1963" spans="1:6" ht="16" thickBot="1" x14ac:dyDescent="0.25">
      <c r="A1963" s="83">
        <v>5</v>
      </c>
      <c r="B1963" s="129" t="s">
        <v>217</v>
      </c>
      <c r="C1963" s="129" t="s">
        <v>149</v>
      </c>
      <c r="D1963" s="83">
        <v>433</v>
      </c>
      <c r="E1963" s="103">
        <v>11542.75531</v>
      </c>
      <c r="F1963" s="129" t="s">
        <v>148</v>
      </c>
    </row>
    <row r="1964" spans="1:6" ht="16" thickBot="1" x14ac:dyDescent="0.25">
      <c r="A1964" s="83">
        <v>5</v>
      </c>
      <c r="B1964" s="129" t="s">
        <v>218</v>
      </c>
      <c r="C1964" s="129" t="s">
        <v>149</v>
      </c>
      <c r="D1964" s="83">
        <v>15046</v>
      </c>
      <c r="E1964" s="103">
        <v>7836082.4919999996</v>
      </c>
      <c r="F1964" s="129" t="s">
        <v>256</v>
      </c>
    </row>
    <row r="1965" spans="1:6" ht="16" thickBot="1" x14ac:dyDescent="0.25">
      <c r="A1965" s="83">
        <v>5</v>
      </c>
      <c r="B1965" s="129" t="s">
        <v>218</v>
      </c>
      <c r="C1965" s="129" t="s">
        <v>149</v>
      </c>
      <c r="D1965" s="83">
        <v>5492</v>
      </c>
      <c r="E1965" s="103">
        <v>194460.93263</v>
      </c>
      <c r="F1965" s="129" t="s">
        <v>148</v>
      </c>
    </row>
    <row r="1966" spans="1:6" ht="16" thickBot="1" x14ac:dyDescent="0.25">
      <c r="A1966" s="83">
        <v>5</v>
      </c>
      <c r="B1966" s="129" t="s">
        <v>219</v>
      </c>
      <c r="C1966" s="129" t="s">
        <v>149</v>
      </c>
      <c r="D1966" s="83">
        <v>10</v>
      </c>
      <c r="E1966" s="103">
        <v>5891.3919999999998</v>
      </c>
      <c r="F1966" s="129" t="s">
        <v>256</v>
      </c>
    </row>
    <row r="1967" spans="1:6" ht="16" thickBot="1" x14ac:dyDescent="0.25">
      <c r="A1967" s="83">
        <v>5</v>
      </c>
      <c r="B1967" s="129" t="s">
        <v>219</v>
      </c>
      <c r="C1967" s="129" t="s">
        <v>149</v>
      </c>
      <c r="D1967" s="83">
        <v>10</v>
      </c>
      <c r="E1967" s="103">
        <v>600.19239000000005</v>
      </c>
      <c r="F1967" s="129" t="s">
        <v>148</v>
      </c>
    </row>
    <row r="1968" spans="1:6" ht="16" thickBot="1" x14ac:dyDescent="0.25">
      <c r="A1968" s="83">
        <v>5</v>
      </c>
      <c r="B1968" s="129" t="s">
        <v>220</v>
      </c>
      <c r="C1968" s="129" t="s">
        <v>149</v>
      </c>
      <c r="D1968" s="83">
        <v>494</v>
      </c>
      <c r="E1968" s="103">
        <v>369497.853</v>
      </c>
      <c r="F1968" s="129" t="s">
        <v>256</v>
      </c>
    </row>
    <row r="1969" spans="1:6" ht="16" thickBot="1" x14ac:dyDescent="0.25">
      <c r="A1969" s="83">
        <v>5</v>
      </c>
      <c r="B1969" s="129" t="s">
        <v>221</v>
      </c>
      <c r="C1969" s="129" t="s">
        <v>149</v>
      </c>
      <c r="D1969" s="83">
        <v>916</v>
      </c>
      <c r="E1969" s="103">
        <v>647693.98699999996</v>
      </c>
      <c r="F1969" s="129" t="s">
        <v>256</v>
      </c>
    </row>
    <row r="1970" spans="1:6" ht="16" thickBot="1" x14ac:dyDescent="0.25">
      <c r="A1970" s="83">
        <v>5</v>
      </c>
      <c r="B1970" s="129" t="s">
        <v>221</v>
      </c>
      <c r="C1970" s="129" t="s">
        <v>149</v>
      </c>
      <c r="D1970" s="83">
        <v>629</v>
      </c>
      <c r="E1970" s="103">
        <v>20230.126660000002</v>
      </c>
      <c r="F1970" s="129" t="s">
        <v>148</v>
      </c>
    </row>
    <row r="1971" spans="1:6" ht="16" thickBot="1" x14ac:dyDescent="0.25">
      <c r="A1971" s="83">
        <v>5</v>
      </c>
      <c r="B1971" s="129" t="s">
        <v>222</v>
      </c>
      <c r="C1971" s="129" t="s">
        <v>149</v>
      </c>
      <c r="D1971" s="83">
        <v>373</v>
      </c>
      <c r="E1971" s="103">
        <v>270497.56300000002</v>
      </c>
      <c r="F1971" s="129" t="s">
        <v>256</v>
      </c>
    </row>
    <row r="1972" spans="1:6" ht="16" thickBot="1" x14ac:dyDescent="0.25">
      <c r="A1972" s="83">
        <v>5</v>
      </c>
      <c r="B1972" s="129" t="s">
        <v>222</v>
      </c>
      <c r="C1972" s="129" t="s">
        <v>149</v>
      </c>
      <c r="D1972" s="83">
        <v>195</v>
      </c>
      <c r="E1972" s="103">
        <v>4775.6014599999999</v>
      </c>
      <c r="F1972" s="129" t="s">
        <v>148</v>
      </c>
    </row>
    <row r="1973" spans="1:6" ht="16" thickBot="1" x14ac:dyDescent="0.25">
      <c r="A1973" s="83">
        <v>5</v>
      </c>
      <c r="B1973" s="129" t="s">
        <v>223</v>
      </c>
      <c r="C1973" s="129" t="s">
        <v>149</v>
      </c>
      <c r="D1973" s="83">
        <v>381</v>
      </c>
      <c r="E1973" s="103">
        <v>267757.49900000001</v>
      </c>
      <c r="F1973" s="129" t="s">
        <v>256</v>
      </c>
    </row>
    <row r="1974" spans="1:6" ht="16" thickBot="1" x14ac:dyDescent="0.25">
      <c r="A1974" s="83">
        <v>5</v>
      </c>
      <c r="B1974" s="129" t="s">
        <v>223</v>
      </c>
      <c r="C1974" s="129" t="s">
        <v>149</v>
      </c>
      <c r="D1974" s="83">
        <v>227</v>
      </c>
      <c r="E1974" s="103">
        <v>6541.6610099999998</v>
      </c>
      <c r="F1974" s="129" t="s">
        <v>148</v>
      </c>
    </row>
    <row r="1975" spans="1:6" ht="16" thickBot="1" x14ac:dyDescent="0.25">
      <c r="A1975" s="83">
        <v>5</v>
      </c>
      <c r="B1975" s="129" t="s">
        <v>224</v>
      </c>
      <c r="C1975" s="129" t="s">
        <v>149</v>
      </c>
      <c r="D1975" s="83">
        <v>942</v>
      </c>
      <c r="E1975" s="83">
        <v>897932</v>
      </c>
      <c r="F1975" s="129" t="s">
        <v>256</v>
      </c>
    </row>
    <row r="1976" spans="1:6" ht="16" thickBot="1" x14ac:dyDescent="0.25">
      <c r="A1976" s="83">
        <v>5</v>
      </c>
      <c r="B1976" s="129" t="s">
        <v>225</v>
      </c>
      <c r="C1976" s="129" t="s">
        <v>149</v>
      </c>
      <c r="D1976" s="83">
        <v>45</v>
      </c>
      <c r="E1976" s="103">
        <v>40280.152999999998</v>
      </c>
      <c r="F1976" s="129" t="s">
        <v>256</v>
      </c>
    </row>
    <row r="1977" spans="1:6" ht="16" thickBot="1" x14ac:dyDescent="0.25">
      <c r="A1977" s="83">
        <v>5</v>
      </c>
      <c r="B1977" s="129" t="s">
        <v>226</v>
      </c>
      <c r="C1977" s="129" t="s">
        <v>149</v>
      </c>
      <c r="D1977" s="83">
        <v>46</v>
      </c>
      <c r="E1977" s="103">
        <v>38917.072999999997</v>
      </c>
      <c r="F1977" s="129" t="s">
        <v>256</v>
      </c>
    </row>
    <row r="1978" spans="1:6" ht="16" thickBot="1" x14ac:dyDescent="0.25">
      <c r="A1978" s="83">
        <v>5</v>
      </c>
      <c r="B1978" s="129" t="s">
        <v>227</v>
      </c>
      <c r="C1978" s="129" t="s">
        <v>149</v>
      </c>
      <c r="D1978" s="83">
        <v>220</v>
      </c>
      <c r="E1978" s="103">
        <v>168686.867</v>
      </c>
      <c r="F1978" s="129" t="s">
        <v>256</v>
      </c>
    </row>
    <row r="1979" spans="1:6" ht="16" thickBot="1" x14ac:dyDescent="0.25">
      <c r="A1979" s="83">
        <v>5</v>
      </c>
      <c r="B1979" s="129" t="s">
        <v>227</v>
      </c>
      <c r="C1979" s="129" t="s">
        <v>149</v>
      </c>
      <c r="D1979" s="83">
        <v>131</v>
      </c>
      <c r="E1979" s="103">
        <v>4301.89498</v>
      </c>
      <c r="F1979" s="129" t="s">
        <v>148</v>
      </c>
    </row>
    <row r="1980" spans="1:6" ht="16" thickBot="1" x14ac:dyDescent="0.25">
      <c r="A1980" s="83">
        <v>5</v>
      </c>
      <c r="B1980" s="129" t="s">
        <v>228</v>
      </c>
      <c r="C1980" s="129" t="s">
        <v>149</v>
      </c>
      <c r="D1980" s="83">
        <v>1347</v>
      </c>
      <c r="E1980" s="103">
        <v>1104865.7779999999</v>
      </c>
      <c r="F1980" s="129" t="s">
        <v>256</v>
      </c>
    </row>
    <row r="1981" spans="1:6" ht="16" thickBot="1" x14ac:dyDescent="0.25">
      <c r="A1981" s="83">
        <v>5</v>
      </c>
      <c r="B1981" s="129" t="s">
        <v>228</v>
      </c>
      <c r="C1981" s="129" t="s">
        <v>149</v>
      </c>
      <c r="D1981" s="83">
        <v>40</v>
      </c>
      <c r="E1981" s="103">
        <v>1698.9540300000001</v>
      </c>
      <c r="F1981" s="129" t="s">
        <v>148</v>
      </c>
    </row>
    <row r="1982" spans="1:6" ht="16" thickBot="1" x14ac:dyDescent="0.25">
      <c r="A1982" s="83">
        <v>5</v>
      </c>
      <c r="B1982" s="129" t="s">
        <v>229</v>
      </c>
      <c r="C1982" s="129" t="s">
        <v>149</v>
      </c>
      <c r="D1982" s="83">
        <v>729</v>
      </c>
      <c r="E1982" s="103">
        <v>574211.82499999995</v>
      </c>
      <c r="F1982" s="129" t="s">
        <v>256</v>
      </c>
    </row>
    <row r="1983" spans="1:6" ht="16" thickBot="1" x14ac:dyDescent="0.25">
      <c r="A1983" s="83">
        <v>5</v>
      </c>
      <c r="B1983" s="129" t="s">
        <v>230</v>
      </c>
      <c r="C1983" s="129" t="s">
        <v>149</v>
      </c>
      <c r="D1983" s="83">
        <v>8067</v>
      </c>
      <c r="E1983" s="103">
        <v>4079028.7409999999</v>
      </c>
      <c r="F1983" s="129" t="s">
        <v>256</v>
      </c>
    </row>
    <row r="1984" spans="1:6" ht="16" thickBot="1" x14ac:dyDescent="0.25">
      <c r="A1984" s="83">
        <v>5</v>
      </c>
      <c r="B1984" s="129" t="s">
        <v>230</v>
      </c>
      <c r="C1984" s="129" t="s">
        <v>149</v>
      </c>
      <c r="D1984" s="83">
        <v>3214</v>
      </c>
      <c r="E1984" s="103">
        <v>110593.29059</v>
      </c>
      <c r="F1984" s="129" t="s">
        <v>148</v>
      </c>
    </row>
    <row r="1985" spans="1:6" ht="16" thickBot="1" x14ac:dyDescent="0.25">
      <c r="A1985" s="83">
        <v>5</v>
      </c>
      <c r="B1985" s="129" t="s">
        <v>231</v>
      </c>
      <c r="C1985" s="129" t="s">
        <v>149</v>
      </c>
      <c r="D1985" s="83">
        <v>8552</v>
      </c>
      <c r="E1985" s="103">
        <v>5307009.4970000004</v>
      </c>
      <c r="F1985" s="129" t="s">
        <v>256</v>
      </c>
    </row>
    <row r="1986" spans="1:6" ht="16" thickBot="1" x14ac:dyDescent="0.25">
      <c r="A1986" s="83">
        <v>5</v>
      </c>
      <c r="B1986" s="129" t="s">
        <v>231</v>
      </c>
      <c r="C1986" s="129" t="s">
        <v>149</v>
      </c>
      <c r="D1986" s="83">
        <v>4735</v>
      </c>
      <c r="E1986" s="103">
        <v>155756.15190999999</v>
      </c>
      <c r="F1986" s="129" t="s">
        <v>148</v>
      </c>
    </row>
    <row r="1987" spans="1:6" ht="16" thickBot="1" x14ac:dyDescent="0.25">
      <c r="A1987" s="83">
        <v>5</v>
      </c>
      <c r="B1987" s="129" t="s">
        <v>232</v>
      </c>
      <c r="C1987" s="129" t="s">
        <v>149</v>
      </c>
      <c r="D1987" s="83">
        <v>9528</v>
      </c>
      <c r="E1987" s="103">
        <v>6419936.2350000003</v>
      </c>
      <c r="F1987" s="129" t="s">
        <v>256</v>
      </c>
    </row>
    <row r="1988" spans="1:6" ht="16" thickBot="1" x14ac:dyDescent="0.25">
      <c r="A1988" s="83">
        <v>5</v>
      </c>
      <c r="B1988" s="129" t="s">
        <v>232</v>
      </c>
      <c r="C1988" s="129" t="s">
        <v>149</v>
      </c>
      <c r="D1988" s="83">
        <v>7797</v>
      </c>
      <c r="E1988" s="103">
        <v>307320.54609999998</v>
      </c>
      <c r="F1988" s="129" t="s">
        <v>148</v>
      </c>
    </row>
    <row r="1989" spans="1:6" ht="16" thickBot="1" x14ac:dyDescent="0.25">
      <c r="A1989" s="83">
        <v>5</v>
      </c>
      <c r="B1989" s="129" t="s">
        <v>233</v>
      </c>
      <c r="C1989" s="129" t="s">
        <v>149</v>
      </c>
      <c r="D1989" s="83">
        <v>4372</v>
      </c>
      <c r="E1989" s="103">
        <v>2275803.5049999999</v>
      </c>
      <c r="F1989" s="129" t="s">
        <v>256</v>
      </c>
    </row>
    <row r="1990" spans="1:6" ht="16" thickBot="1" x14ac:dyDescent="0.25">
      <c r="A1990" s="83">
        <v>5</v>
      </c>
      <c r="B1990" s="129" t="s">
        <v>233</v>
      </c>
      <c r="C1990" s="129" t="s">
        <v>149</v>
      </c>
      <c r="D1990" s="83">
        <v>1390</v>
      </c>
      <c r="E1990" s="103">
        <v>81321.46905</v>
      </c>
      <c r="F1990" s="129" t="s">
        <v>148</v>
      </c>
    </row>
    <row r="1991" spans="1:6" ht="16" thickBot="1" x14ac:dyDescent="0.25">
      <c r="A1991" s="83">
        <v>5</v>
      </c>
      <c r="B1991" s="129" t="s">
        <v>234</v>
      </c>
      <c r="C1991" s="129" t="s">
        <v>149</v>
      </c>
      <c r="D1991" s="83">
        <v>19183</v>
      </c>
      <c r="E1991" s="103">
        <v>11729150.062999999</v>
      </c>
      <c r="F1991" s="129" t="s">
        <v>256</v>
      </c>
    </row>
    <row r="1992" spans="1:6" ht="16" thickBot="1" x14ac:dyDescent="0.25">
      <c r="A1992" s="83">
        <v>5</v>
      </c>
      <c r="B1992" s="129" t="s">
        <v>234</v>
      </c>
      <c r="C1992" s="129" t="s">
        <v>149</v>
      </c>
      <c r="D1992" s="83">
        <v>15649</v>
      </c>
      <c r="E1992" s="103">
        <v>392955.9963</v>
      </c>
      <c r="F1992" s="129" t="s">
        <v>148</v>
      </c>
    </row>
    <row r="1993" spans="1:6" ht="16" thickBot="1" x14ac:dyDescent="0.25">
      <c r="A1993" s="83">
        <v>5</v>
      </c>
      <c r="B1993" s="129" t="s">
        <v>235</v>
      </c>
      <c r="C1993" s="129" t="s">
        <v>149</v>
      </c>
      <c r="D1993" s="83">
        <v>8130</v>
      </c>
      <c r="E1993" s="103">
        <v>5665418.1270000003</v>
      </c>
      <c r="F1993" s="129" t="s">
        <v>256</v>
      </c>
    </row>
    <row r="1994" spans="1:6" ht="16" thickBot="1" x14ac:dyDescent="0.25">
      <c r="A1994" s="83">
        <v>5</v>
      </c>
      <c r="B1994" s="129" t="s">
        <v>235</v>
      </c>
      <c r="C1994" s="129" t="s">
        <v>149</v>
      </c>
      <c r="D1994" s="83">
        <v>10674</v>
      </c>
      <c r="E1994" s="103">
        <v>322141.78590999998</v>
      </c>
      <c r="F1994" s="129" t="s">
        <v>148</v>
      </c>
    </row>
    <row r="1995" spans="1:6" ht="16" thickBot="1" x14ac:dyDescent="0.25">
      <c r="A1995" s="83">
        <v>5</v>
      </c>
      <c r="B1995" s="129" t="s">
        <v>236</v>
      </c>
      <c r="C1995" s="129" t="s">
        <v>149</v>
      </c>
      <c r="D1995" s="83">
        <v>13604</v>
      </c>
      <c r="E1995" s="103">
        <v>8681350.1919999998</v>
      </c>
      <c r="F1995" s="129" t="s">
        <v>256</v>
      </c>
    </row>
    <row r="1996" spans="1:6" ht="16" thickBot="1" x14ac:dyDescent="0.25">
      <c r="A1996" s="83">
        <v>5</v>
      </c>
      <c r="B1996" s="129" t="s">
        <v>236</v>
      </c>
      <c r="C1996" s="129" t="s">
        <v>149</v>
      </c>
      <c r="D1996" s="83">
        <v>9350</v>
      </c>
      <c r="E1996" s="103">
        <v>231812.97633</v>
      </c>
      <c r="F1996" s="129" t="s">
        <v>148</v>
      </c>
    </row>
    <row r="1997" spans="1:6" ht="16" thickBot="1" x14ac:dyDescent="0.25">
      <c r="A1997" s="83">
        <v>5</v>
      </c>
      <c r="B1997" s="129" t="s">
        <v>237</v>
      </c>
      <c r="C1997" s="129" t="s">
        <v>149</v>
      </c>
      <c r="D1997" s="83">
        <v>25341</v>
      </c>
      <c r="E1997" s="103">
        <v>16317027.540999999</v>
      </c>
      <c r="F1997" s="129" t="s">
        <v>256</v>
      </c>
    </row>
    <row r="1998" spans="1:6" ht="16" thickBot="1" x14ac:dyDescent="0.25">
      <c r="A1998" s="83">
        <v>5</v>
      </c>
      <c r="B1998" s="129" t="s">
        <v>237</v>
      </c>
      <c r="C1998" s="129" t="s">
        <v>149</v>
      </c>
      <c r="D1998" s="83">
        <v>17558</v>
      </c>
      <c r="E1998" s="103">
        <v>583150.45236</v>
      </c>
      <c r="F1998" s="129" t="s">
        <v>148</v>
      </c>
    </row>
    <row r="1999" spans="1:6" ht="16" thickBot="1" x14ac:dyDescent="0.25">
      <c r="A1999" s="83">
        <v>5</v>
      </c>
      <c r="B1999" s="129" t="s">
        <v>238</v>
      </c>
      <c r="C1999" s="129" t="s">
        <v>149</v>
      </c>
      <c r="D1999" s="83">
        <v>10125</v>
      </c>
      <c r="E1999" s="103">
        <v>6442654.727</v>
      </c>
      <c r="F1999" s="129" t="s">
        <v>256</v>
      </c>
    </row>
    <row r="2000" spans="1:6" ht="16" thickBot="1" x14ac:dyDescent="0.25">
      <c r="A2000" s="83">
        <v>5</v>
      </c>
      <c r="B2000" s="129" t="s">
        <v>238</v>
      </c>
      <c r="C2000" s="129" t="s">
        <v>149</v>
      </c>
      <c r="D2000" s="83">
        <v>6817</v>
      </c>
      <c r="E2000" s="103">
        <v>182584.23181</v>
      </c>
      <c r="F2000" s="129" t="s">
        <v>148</v>
      </c>
    </row>
    <row r="2001" spans="1:6" ht="16" thickBot="1" x14ac:dyDescent="0.25">
      <c r="A2001" s="83">
        <v>5</v>
      </c>
      <c r="B2001" s="129" t="s">
        <v>239</v>
      </c>
      <c r="C2001" s="129" t="s">
        <v>149</v>
      </c>
      <c r="D2001" s="83">
        <v>6323</v>
      </c>
      <c r="E2001" s="103">
        <v>4051499.6510000001</v>
      </c>
      <c r="F2001" s="129" t="s">
        <v>256</v>
      </c>
    </row>
    <row r="2002" spans="1:6" ht="16" thickBot="1" x14ac:dyDescent="0.25">
      <c r="A2002" s="83">
        <v>5</v>
      </c>
      <c r="B2002" s="129" t="s">
        <v>239</v>
      </c>
      <c r="C2002" s="129" t="s">
        <v>149</v>
      </c>
      <c r="D2002" s="83">
        <v>5859</v>
      </c>
      <c r="E2002" s="103">
        <v>148774.63427000001</v>
      </c>
      <c r="F2002" s="129" t="s">
        <v>148</v>
      </c>
    </row>
    <row r="2003" spans="1:6" ht="16" thickBot="1" x14ac:dyDescent="0.25">
      <c r="A2003" s="83">
        <v>5</v>
      </c>
      <c r="B2003" s="129" t="s">
        <v>240</v>
      </c>
      <c r="C2003" s="129" t="s">
        <v>149</v>
      </c>
      <c r="D2003" s="83">
        <v>6792</v>
      </c>
      <c r="E2003" s="103">
        <v>4333375.3090000004</v>
      </c>
      <c r="F2003" s="129" t="s">
        <v>256</v>
      </c>
    </row>
    <row r="2004" spans="1:6" ht="16" thickBot="1" x14ac:dyDescent="0.25">
      <c r="A2004" s="83">
        <v>5</v>
      </c>
      <c r="B2004" s="129" t="s">
        <v>240</v>
      </c>
      <c r="C2004" s="129" t="s">
        <v>149</v>
      </c>
      <c r="D2004" s="83">
        <v>4757</v>
      </c>
      <c r="E2004" s="103">
        <v>135110.55424</v>
      </c>
      <c r="F2004" s="129" t="s">
        <v>148</v>
      </c>
    </row>
    <row r="2005" spans="1:6" ht="16" thickBot="1" x14ac:dyDescent="0.25">
      <c r="A2005" s="83">
        <v>5</v>
      </c>
      <c r="B2005" s="129" t="s">
        <v>241</v>
      </c>
      <c r="C2005" s="129" t="s">
        <v>149</v>
      </c>
      <c r="D2005" s="83">
        <v>6635</v>
      </c>
      <c r="E2005" s="103">
        <v>4344304.0549999997</v>
      </c>
      <c r="F2005" s="129" t="s">
        <v>256</v>
      </c>
    </row>
    <row r="2006" spans="1:6" ht="16" thickBot="1" x14ac:dyDescent="0.25">
      <c r="A2006" s="83">
        <v>5</v>
      </c>
      <c r="B2006" s="129" t="s">
        <v>241</v>
      </c>
      <c r="C2006" s="129" t="s">
        <v>149</v>
      </c>
      <c r="D2006" s="83">
        <v>4075</v>
      </c>
      <c r="E2006" s="103">
        <v>168695.89264000001</v>
      </c>
      <c r="F2006" s="129" t="s">
        <v>148</v>
      </c>
    </row>
    <row r="2007" spans="1:6" ht="16" thickBot="1" x14ac:dyDescent="0.25">
      <c r="A2007" s="83">
        <v>5</v>
      </c>
      <c r="B2007" s="129" t="s">
        <v>244</v>
      </c>
      <c r="C2007" s="129" t="s">
        <v>149</v>
      </c>
      <c r="D2007" s="83">
        <v>14232</v>
      </c>
      <c r="E2007" s="103">
        <v>9819244.3839999996</v>
      </c>
      <c r="F2007" s="129" t="s">
        <v>256</v>
      </c>
    </row>
    <row r="2008" spans="1:6" ht="16" thickBot="1" x14ac:dyDescent="0.25">
      <c r="A2008" s="83">
        <v>5</v>
      </c>
      <c r="B2008" s="129" t="s">
        <v>244</v>
      </c>
      <c r="C2008" s="129" t="s">
        <v>149</v>
      </c>
      <c r="D2008" s="83">
        <v>9550</v>
      </c>
      <c r="E2008" s="103">
        <v>384634.00727</v>
      </c>
      <c r="F2008" s="129" t="s">
        <v>148</v>
      </c>
    </row>
    <row r="2009" spans="1:6" ht="16" thickBot="1" x14ac:dyDescent="0.25">
      <c r="A2009" s="83">
        <v>5</v>
      </c>
      <c r="B2009" s="129" t="s">
        <v>245</v>
      </c>
      <c r="C2009" s="129" t="s">
        <v>149</v>
      </c>
      <c r="D2009" s="83">
        <v>8297</v>
      </c>
      <c r="E2009" s="103">
        <v>5761798.4730000002</v>
      </c>
      <c r="F2009" s="129" t="s">
        <v>256</v>
      </c>
    </row>
    <row r="2010" spans="1:6" ht="16" thickBot="1" x14ac:dyDescent="0.25">
      <c r="A2010" s="83">
        <v>5</v>
      </c>
      <c r="B2010" s="129" t="s">
        <v>245</v>
      </c>
      <c r="C2010" s="129" t="s">
        <v>149</v>
      </c>
      <c r="D2010" s="83">
        <v>4878</v>
      </c>
      <c r="E2010" s="103">
        <v>180018.99105000001</v>
      </c>
      <c r="F2010" s="129" t="s">
        <v>148</v>
      </c>
    </row>
    <row r="2011" spans="1:6" ht="16" thickBot="1" x14ac:dyDescent="0.25">
      <c r="A2011" s="83">
        <v>5</v>
      </c>
      <c r="B2011" s="129" t="s">
        <v>247</v>
      </c>
      <c r="C2011" s="129" t="s">
        <v>149</v>
      </c>
      <c r="D2011" s="83">
        <v>229</v>
      </c>
      <c r="E2011" s="103">
        <v>3379.2640099999999</v>
      </c>
      <c r="F2011" s="129" t="s">
        <v>148</v>
      </c>
    </row>
    <row r="2012" spans="1:6" ht="16" thickBot="1" x14ac:dyDescent="0.25">
      <c r="A2012" s="83">
        <v>5</v>
      </c>
      <c r="B2012" s="129" t="s">
        <v>248</v>
      </c>
      <c r="C2012" s="129" t="s">
        <v>149</v>
      </c>
      <c r="D2012" s="83">
        <v>8</v>
      </c>
      <c r="E2012" s="103">
        <v>9038.5400000000009</v>
      </c>
      <c r="F2012" s="129" t="s">
        <v>256</v>
      </c>
    </row>
    <row r="2013" spans="1:6" ht="16" thickBot="1" x14ac:dyDescent="0.25">
      <c r="A2013" s="83">
        <v>5</v>
      </c>
      <c r="B2013" s="129" t="s">
        <v>249</v>
      </c>
      <c r="C2013" s="129" t="s">
        <v>149</v>
      </c>
      <c r="D2013" s="83">
        <v>311</v>
      </c>
      <c r="E2013" s="103">
        <v>236660.66</v>
      </c>
      <c r="F2013" s="129" t="s">
        <v>256</v>
      </c>
    </row>
    <row r="2014" spans="1:6" ht="16" thickBot="1" x14ac:dyDescent="0.25">
      <c r="A2014" s="83">
        <v>5</v>
      </c>
      <c r="B2014" s="129" t="s">
        <v>249</v>
      </c>
      <c r="C2014" s="129" t="s">
        <v>149</v>
      </c>
      <c r="D2014" s="83">
        <v>144</v>
      </c>
      <c r="E2014" s="103">
        <v>2566.8359799999998</v>
      </c>
      <c r="F2014" s="129" t="s">
        <v>148</v>
      </c>
    </row>
    <row r="2015" spans="1:6" ht="16" thickBot="1" x14ac:dyDescent="0.25">
      <c r="A2015" s="83">
        <v>5</v>
      </c>
      <c r="B2015" s="129" t="s">
        <v>250</v>
      </c>
      <c r="C2015" s="129" t="s">
        <v>149</v>
      </c>
      <c r="D2015" s="83">
        <v>4029</v>
      </c>
      <c r="E2015" s="103">
        <v>3124873.571</v>
      </c>
      <c r="F2015" s="129" t="s">
        <v>256</v>
      </c>
    </row>
    <row r="2016" spans="1:6" ht="16" thickBot="1" x14ac:dyDescent="0.25">
      <c r="A2016" s="83">
        <v>5</v>
      </c>
      <c r="B2016" s="129" t="s">
        <v>251</v>
      </c>
      <c r="C2016" s="129" t="s">
        <v>149</v>
      </c>
      <c r="D2016" s="83">
        <v>162</v>
      </c>
      <c r="E2016" s="103">
        <v>138023.57699999999</v>
      </c>
      <c r="F2016" s="129" t="s">
        <v>256</v>
      </c>
    </row>
    <row r="2017" spans="1:6" ht="16" thickBot="1" x14ac:dyDescent="0.25">
      <c r="A2017" s="83">
        <v>5</v>
      </c>
      <c r="B2017" s="129" t="s">
        <v>252</v>
      </c>
      <c r="C2017" s="129" t="s">
        <v>149</v>
      </c>
      <c r="D2017" s="83">
        <v>675</v>
      </c>
      <c r="E2017" s="103">
        <v>444669.83500000002</v>
      </c>
      <c r="F2017" s="129" t="s">
        <v>256</v>
      </c>
    </row>
    <row r="2018" spans="1:6" ht="16" thickBot="1" x14ac:dyDescent="0.25">
      <c r="A2018" s="83">
        <v>5</v>
      </c>
      <c r="B2018" s="129" t="s">
        <v>252</v>
      </c>
      <c r="C2018" s="129" t="s">
        <v>149</v>
      </c>
      <c r="D2018" s="83">
        <v>423</v>
      </c>
      <c r="E2018" s="103">
        <v>9344.7472899999993</v>
      </c>
      <c r="F2018" s="129" t="s">
        <v>148</v>
      </c>
    </row>
    <row r="2019" spans="1:6" ht="16" thickBot="1" x14ac:dyDescent="0.25">
      <c r="A2019" s="83">
        <v>5</v>
      </c>
      <c r="B2019" s="129" t="s">
        <v>253</v>
      </c>
      <c r="C2019" s="129" t="s">
        <v>149</v>
      </c>
      <c r="D2019" s="83">
        <v>9515</v>
      </c>
      <c r="E2019" s="103">
        <v>5822198.6509999996</v>
      </c>
      <c r="F2019" s="129" t="s">
        <v>256</v>
      </c>
    </row>
    <row r="2020" spans="1:6" ht="16" thickBot="1" x14ac:dyDescent="0.25">
      <c r="A2020" s="83">
        <v>5</v>
      </c>
      <c r="B2020" s="129" t="s">
        <v>253</v>
      </c>
      <c r="C2020" s="129" t="s">
        <v>149</v>
      </c>
      <c r="D2020" s="83">
        <v>6732</v>
      </c>
      <c r="E2020" s="103">
        <v>157021.24527000001</v>
      </c>
      <c r="F2020" s="129" t="s">
        <v>148</v>
      </c>
    </row>
    <row r="2021" spans="1:6" ht="16" thickBot="1" x14ac:dyDescent="0.25">
      <c r="A2021" s="83">
        <v>6</v>
      </c>
      <c r="B2021" s="129" t="s">
        <v>146</v>
      </c>
      <c r="C2021" s="129" t="s">
        <v>147</v>
      </c>
      <c r="D2021" s="83">
        <v>149</v>
      </c>
      <c r="E2021" s="103">
        <v>22022.717479999999</v>
      </c>
      <c r="F2021" s="129" t="s">
        <v>148</v>
      </c>
    </row>
    <row r="2022" spans="1:6" ht="16" thickBot="1" x14ac:dyDescent="0.25">
      <c r="A2022" s="83">
        <v>6</v>
      </c>
      <c r="B2022" s="129" t="s">
        <v>150</v>
      </c>
      <c r="C2022" s="129" t="s">
        <v>147</v>
      </c>
      <c r="D2022" s="83">
        <v>95</v>
      </c>
      <c r="E2022" s="103">
        <v>23191.176510000001</v>
      </c>
      <c r="F2022" s="129" t="s">
        <v>148</v>
      </c>
    </row>
    <row r="2023" spans="1:6" ht="16" thickBot="1" x14ac:dyDescent="0.25">
      <c r="A2023" s="83">
        <v>6</v>
      </c>
      <c r="B2023" s="129" t="s">
        <v>151</v>
      </c>
      <c r="C2023" s="129" t="s">
        <v>147</v>
      </c>
      <c r="D2023" s="83">
        <v>11</v>
      </c>
      <c r="E2023" s="103">
        <v>46927.309000000001</v>
      </c>
      <c r="F2023" s="129" t="s">
        <v>256</v>
      </c>
    </row>
    <row r="2024" spans="1:6" ht="16" thickBot="1" x14ac:dyDescent="0.25">
      <c r="A2024" s="83">
        <v>6</v>
      </c>
      <c r="B2024" s="129" t="s">
        <v>151</v>
      </c>
      <c r="C2024" s="129" t="s">
        <v>147</v>
      </c>
      <c r="D2024" s="83">
        <v>47</v>
      </c>
      <c r="E2024" s="103">
        <v>9726.21083</v>
      </c>
      <c r="F2024" s="129" t="s">
        <v>148</v>
      </c>
    </row>
    <row r="2025" spans="1:6" ht="16" thickBot="1" x14ac:dyDescent="0.25">
      <c r="A2025" s="83">
        <v>6</v>
      </c>
      <c r="B2025" s="129" t="s">
        <v>153</v>
      </c>
      <c r="C2025" s="129" t="s">
        <v>147</v>
      </c>
      <c r="D2025" s="83">
        <v>220</v>
      </c>
      <c r="E2025" s="103">
        <v>2594508.361</v>
      </c>
      <c r="F2025" s="129" t="s">
        <v>256</v>
      </c>
    </row>
    <row r="2026" spans="1:6" ht="16" thickBot="1" x14ac:dyDescent="0.25">
      <c r="A2026" s="83">
        <v>6</v>
      </c>
      <c r="B2026" s="129" t="s">
        <v>153</v>
      </c>
      <c r="C2026" s="129" t="s">
        <v>147</v>
      </c>
      <c r="D2026" s="83">
        <v>259</v>
      </c>
      <c r="E2026" s="103">
        <v>322452.71230999997</v>
      </c>
      <c r="F2026" s="129" t="s">
        <v>148</v>
      </c>
    </row>
    <row r="2027" spans="1:6" ht="16" thickBot="1" x14ac:dyDescent="0.25">
      <c r="A2027" s="83">
        <v>6</v>
      </c>
      <c r="B2027" s="129" t="s">
        <v>154</v>
      </c>
      <c r="C2027" s="129" t="s">
        <v>147</v>
      </c>
      <c r="D2027" s="83">
        <v>78</v>
      </c>
      <c r="E2027" s="103">
        <v>181263.10500000001</v>
      </c>
      <c r="F2027" s="129" t="s">
        <v>256</v>
      </c>
    </row>
    <row r="2028" spans="1:6" ht="16" thickBot="1" x14ac:dyDescent="0.25">
      <c r="A2028" s="83">
        <v>6</v>
      </c>
      <c r="B2028" s="129" t="s">
        <v>154</v>
      </c>
      <c r="C2028" s="129" t="s">
        <v>147</v>
      </c>
      <c r="D2028" s="83">
        <v>21</v>
      </c>
      <c r="E2028" s="103">
        <v>6653.1876199999997</v>
      </c>
      <c r="F2028" s="129" t="s">
        <v>148</v>
      </c>
    </row>
    <row r="2029" spans="1:6" ht="16" thickBot="1" x14ac:dyDescent="0.25">
      <c r="A2029" s="83">
        <v>6</v>
      </c>
      <c r="B2029" s="129" t="s">
        <v>155</v>
      </c>
      <c r="C2029" s="129" t="s">
        <v>147</v>
      </c>
      <c r="D2029" s="83">
        <v>24</v>
      </c>
      <c r="E2029" s="103">
        <v>15381.132</v>
      </c>
      <c r="F2029" s="129" t="s">
        <v>256</v>
      </c>
    </row>
    <row r="2030" spans="1:6" ht="16" thickBot="1" x14ac:dyDescent="0.25">
      <c r="A2030" s="83">
        <v>6</v>
      </c>
      <c r="B2030" s="129" t="s">
        <v>155</v>
      </c>
      <c r="C2030" s="129" t="s">
        <v>147</v>
      </c>
      <c r="D2030" s="83">
        <v>206</v>
      </c>
      <c r="E2030" s="103">
        <v>283557.31468000001</v>
      </c>
      <c r="F2030" s="129" t="s">
        <v>148</v>
      </c>
    </row>
    <row r="2031" spans="1:6" ht="16" thickBot="1" x14ac:dyDescent="0.25">
      <c r="A2031" s="83">
        <v>6</v>
      </c>
      <c r="B2031" s="129" t="s">
        <v>156</v>
      </c>
      <c r="C2031" s="129" t="s">
        <v>147</v>
      </c>
      <c r="D2031" s="83">
        <v>130</v>
      </c>
      <c r="E2031" s="103">
        <v>409985.98700000002</v>
      </c>
      <c r="F2031" s="129" t="s">
        <v>256</v>
      </c>
    </row>
    <row r="2032" spans="1:6" ht="16" thickBot="1" x14ac:dyDescent="0.25">
      <c r="A2032" s="83">
        <v>6</v>
      </c>
      <c r="B2032" s="129" t="s">
        <v>156</v>
      </c>
      <c r="C2032" s="129" t="s">
        <v>147</v>
      </c>
      <c r="D2032" s="83">
        <v>25</v>
      </c>
      <c r="E2032" s="103">
        <v>26521.996200000001</v>
      </c>
      <c r="F2032" s="129" t="s">
        <v>148</v>
      </c>
    </row>
    <row r="2033" spans="1:6" ht="16" thickBot="1" x14ac:dyDescent="0.25">
      <c r="A2033" s="83">
        <v>6</v>
      </c>
      <c r="B2033" s="129" t="s">
        <v>157</v>
      </c>
      <c r="C2033" s="129" t="s">
        <v>147</v>
      </c>
      <c r="D2033" s="83">
        <v>535</v>
      </c>
      <c r="E2033" s="103">
        <v>1397014.503</v>
      </c>
      <c r="F2033" s="129" t="s">
        <v>256</v>
      </c>
    </row>
    <row r="2034" spans="1:6" ht="16" thickBot="1" x14ac:dyDescent="0.25">
      <c r="A2034" s="83">
        <v>6</v>
      </c>
      <c r="B2034" s="129" t="s">
        <v>157</v>
      </c>
      <c r="C2034" s="129" t="s">
        <v>147</v>
      </c>
      <c r="D2034" s="83">
        <v>263</v>
      </c>
      <c r="E2034" s="103">
        <v>23172.764480000002</v>
      </c>
      <c r="F2034" s="129" t="s">
        <v>148</v>
      </c>
    </row>
    <row r="2035" spans="1:6" ht="16" thickBot="1" x14ac:dyDescent="0.25">
      <c r="A2035" s="83">
        <v>6</v>
      </c>
      <c r="B2035" s="129" t="s">
        <v>158</v>
      </c>
      <c r="C2035" s="129" t="s">
        <v>147</v>
      </c>
      <c r="D2035" s="83">
        <v>50</v>
      </c>
      <c r="E2035" s="103">
        <v>23344.187000000002</v>
      </c>
      <c r="F2035" s="129" t="s">
        <v>256</v>
      </c>
    </row>
    <row r="2036" spans="1:6" ht="16" thickBot="1" x14ac:dyDescent="0.25">
      <c r="A2036" s="83">
        <v>6</v>
      </c>
      <c r="B2036" s="129" t="s">
        <v>159</v>
      </c>
      <c r="C2036" s="129" t="s">
        <v>147</v>
      </c>
      <c r="D2036" s="83">
        <v>59</v>
      </c>
      <c r="E2036" s="103">
        <v>109267.27899999999</v>
      </c>
      <c r="F2036" s="129" t="s">
        <v>256</v>
      </c>
    </row>
    <row r="2037" spans="1:6" ht="16" thickBot="1" x14ac:dyDescent="0.25">
      <c r="A2037" s="83">
        <v>6</v>
      </c>
      <c r="B2037" s="129" t="s">
        <v>160</v>
      </c>
      <c r="C2037" s="129" t="s">
        <v>147</v>
      </c>
      <c r="D2037" s="83">
        <v>9</v>
      </c>
      <c r="E2037" s="103">
        <v>10833.591</v>
      </c>
      <c r="F2037" s="129" t="s">
        <v>256</v>
      </c>
    </row>
    <row r="2038" spans="1:6" ht="16" thickBot="1" x14ac:dyDescent="0.25">
      <c r="A2038" s="83">
        <v>6</v>
      </c>
      <c r="B2038" s="129" t="s">
        <v>160</v>
      </c>
      <c r="C2038" s="129" t="s">
        <v>147</v>
      </c>
      <c r="D2038" s="83">
        <v>30</v>
      </c>
      <c r="E2038" s="103">
        <v>114265.17318</v>
      </c>
      <c r="F2038" s="129" t="s">
        <v>148</v>
      </c>
    </row>
    <row r="2039" spans="1:6" ht="16" thickBot="1" x14ac:dyDescent="0.25">
      <c r="A2039" s="83">
        <v>6</v>
      </c>
      <c r="B2039" s="129" t="s">
        <v>161</v>
      </c>
      <c r="C2039" s="129" t="s">
        <v>147</v>
      </c>
      <c r="D2039" s="83">
        <v>68</v>
      </c>
      <c r="E2039" s="103">
        <v>134270.364</v>
      </c>
      <c r="F2039" s="129" t="s">
        <v>256</v>
      </c>
    </row>
    <row r="2040" spans="1:6" ht="16" thickBot="1" x14ac:dyDescent="0.25">
      <c r="A2040" s="83">
        <v>6</v>
      </c>
      <c r="B2040" s="129" t="s">
        <v>162</v>
      </c>
      <c r="C2040" s="129" t="s">
        <v>147</v>
      </c>
      <c r="D2040" s="83">
        <v>73</v>
      </c>
      <c r="E2040" s="103">
        <v>818403.84199999995</v>
      </c>
      <c r="F2040" s="129" t="s">
        <v>256</v>
      </c>
    </row>
    <row r="2041" spans="1:6" ht="16" thickBot="1" x14ac:dyDescent="0.25">
      <c r="A2041" s="83">
        <v>6</v>
      </c>
      <c r="B2041" s="129" t="s">
        <v>163</v>
      </c>
      <c r="C2041" s="129" t="s">
        <v>147</v>
      </c>
      <c r="D2041" s="83">
        <v>15</v>
      </c>
      <c r="E2041" s="103">
        <v>27275.032999999999</v>
      </c>
      <c r="F2041" s="129" t="s">
        <v>256</v>
      </c>
    </row>
    <row r="2042" spans="1:6" ht="16" thickBot="1" x14ac:dyDescent="0.25">
      <c r="A2042" s="83">
        <v>6</v>
      </c>
      <c r="B2042" s="129" t="s">
        <v>163</v>
      </c>
      <c r="C2042" s="129" t="s">
        <v>147</v>
      </c>
      <c r="D2042" s="83">
        <v>1</v>
      </c>
      <c r="E2042" s="103">
        <v>18.421019999999999</v>
      </c>
      <c r="F2042" s="129" t="s">
        <v>148</v>
      </c>
    </row>
    <row r="2043" spans="1:6" ht="16" thickBot="1" x14ac:dyDescent="0.25">
      <c r="A2043" s="83">
        <v>6</v>
      </c>
      <c r="B2043" s="129" t="s">
        <v>164</v>
      </c>
      <c r="C2043" s="129" t="s">
        <v>147</v>
      </c>
      <c r="D2043" s="83">
        <v>403</v>
      </c>
      <c r="E2043" s="103">
        <v>1388435.358</v>
      </c>
      <c r="F2043" s="129" t="s">
        <v>256</v>
      </c>
    </row>
    <row r="2044" spans="1:6" ht="16" thickBot="1" x14ac:dyDescent="0.25">
      <c r="A2044" s="83">
        <v>6</v>
      </c>
      <c r="B2044" s="129" t="s">
        <v>164</v>
      </c>
      <c r="C2044" s="129" t="s">
        <v>147</v>
      </c>
      <c r="D2044" s="83">
        <v>136</v>
      </c>
      <c r="E2044" s="103">
        <v>14238.358620000001</v>
      </c>
      <c r="F2044" s="129" t="s">
        <v>148</v>
      </c>
    </row>
    <row r="2045" spans="1:6" ht="16" thickBot="1" x14ac:dyDescent="0.25">
      <c r="A2045" s="83">
        <v>6</v>
      </c>
      <c r="B2045" s="129" t="s">
        <v>165</v>
      </c>
      <c r="C2045" s="129" t="s">
        <v>147</v>
      </c>
      <c r="D2045" s="83">
        <v>23</v>
      </c>
      <c r="E2045" s="103">
        <v>13801.278</v>
      </c>
      <c r="F2045" s="129" t="s">
        <v>256</v>
      </c>
    </row>
    <row r="2046" spans="1:6" ht="16" thickBot="1" x14ac:dyDescent="0.25">
      <c r="A2046" s="83">
        <v>6</v>
      </c>
      <c r="B2046" s="129" t="s">
        <v>166</v>
      </c>
      <c r="C2046" s="129" t="s">
        <v>147</v>
      </c>
      <c r="D2046" s="83">
        <v>611</v>
      </c>
      <c r="E2046" s="103">
        <v>8454190.0549999997</v>
      </c>
      <c r="F2046" s="129" t="s">
        <v>256</v>
      </c>
    </row>
    <row r="2047" spans="1:6" ht="16" thickBot="1" x14ac:dyDescent="0.25">
      <c r="A2047" s="83">
        <v>6</v>
      </c>
      <c r="B2047" s="129" t="s">
        <v>166</v>
      </c>
      <c r="C2047" s="129" t="s">
        <v>147</v>
      </c>
      <c r="D2047" s="83">
        <v>291</v>
      </c>
      <c r="E2047" s="103">
        <v>59116.743990000003</v>
      </c>
      <c r="F2047" s="129" t="s">
        <v>148</v>
      </c>
    </row>
    <row r="2048" spans="1:6" ht="16" thickBot="1" x14ac:dyDescent="0.25">
      <c r="A2048" s="83">
        <v>6</v>
      </c>
      <c r="B2048" s="129" t="s">
        <v>167</v>
      </c>
      <c r="C2048" s="129" t="s">
        <v>147</v>
      </c>
      <c r="D2048" s="83">
        <v>15</v>
      </c>
      <c r="E2048" s="103">
        <v>13148.008</v>
      </c>
      <c r="F2048" s="129" t="s">
        <v>256</v>
      </c>
    </row>
    <row r="2049" spans="1:6" ht="16" thickBot="1" x14ac:dyDescent="0.25">
      <c r="A2049" s="83">
        <v>6</v>
      </c>
      <c r="B2049" s="129" t="s">
        <v>168</v>
      </c>
      <c r="C2049" s="129" t="s">
        <v>147</v>
      </c>
      <c r="D2049" s="83">
        <v>211</v>
      </c>
      <c r="E2049" s="103">
        <v>1010500.206</v>
      </c>
      <c r="F2049" s="129" t="s">
        <v>256</v>
      </c>
    </row>
    <row r="2050" spans="1:6" ht="16" thickBot="1" x14ac:dyDescent="0.25">
      <c r="A2050" s="83">
        <v>6</v>
      </c>
      <c r="B2050" s="129" t="s">
        <v>168</v>
      </c>
      <c r="C2050" s="129" t="s">
        <v>147</v>
      </c>
      <c r="D2050" s="83">
        <v>113</v>
      </c>
      <c r="E2050" s="103">
        <v>9536.2202799999995</v>
      </c>
      <c r="F2050" s="129" t="s">
        <v>148</v>
      </c>
    </row>
    <row r="2051" spans="1:6" ht="16" thickBot="1" x14ac:dyDescent="0.25">
      <c r="A2051" s="83">
        <v>6</v>
      </c>
      <c r="B2051" s="129" t="s">
        <v>169</v>
      </c>
      <c r="C2051" s="129" t="s">
        <v>147</v>
      </c>
      <c r="D2051" s="83">
        <v>244</v>
      </c>
      <c r="E2051" s="103">
        <v>2092682.7439999999</v>
      </c>
      <c r="F2051" s="129" t="s">
        <v>256</v>
      </c>
    </row>
    <row r="2052" spans="1:6" ht="16" thickBot="1" x14ac:dyDescent="0.25">
      <c r="A2052" s="83">
        <v>6</v>
      </c>
      <c r="B2052" s="129" t="s">
        <v>169</v>
      </c>
      <c r="C2052" s="129" t="s">
        <v>147</v>
      </c>
      <c r="D2052" s="83">
        <v>104</v>
      </c>
      <c r="E2052" s="103">
        <v>142379.40380999999</v>
      </c>
      <c r="F2052" s="129" t="s">
        <v>148</v>
      </c>
    </row>
    <row r="2053" spans="1:6" ht="16" thickBot="1" x14ac:dyDescent="0.25">
      <c r="A2053" s="83">
        <v>6</v>
      </c>
      <c r="B2053" s="129" t="s">
        <v>170</v>
      </c>
      <c r="C2053" s="129" t="s">
        <v>147</v>
      </c>
      <c r="D2053" s="83">
        <v>6</v>
      </c>
      <c r="E2053" s="103">
        <v>32977.400999999998</v>
      </c>
      <c r="F2053" s="129" t="s">
        <v>256</v>
      </c>
    </row>
    <row r="2054" spans="1:6" ht="16" thickBot="1" x14ac:dyDescent="0.25">
      <c r="A2054" s="83">
        <v>6</v>
      </c>
      <c r="B2054" s="129" t="s">
        <v>171</v>
      </c>
      <c r="C2054" s="129" t="s">
        <v>147</v>
      </c>
      <c r="D2054" s="83">
        <v>65</v>
      </c>
      <c r="E2054" s="103">
        <v>358568.73599999998</v>
      </c>
      <c r="F2054" s="129" t="s">
        <v>256</v>
      </c>
    </row>
    <row r="2055" spans="1:6" ht="16" thickBot="1" x14ac:dyDescent="0.25">
      <c r="A2055" s="83">
        <v>6</v>
      </c>
      <c r="B2055" s="129" t="s">
        <v>171</v>
      </c>
      <c r="C2055" s="129" t="s">
        <v>147</v>
      </c>
      <c r="D2055" s="83">
        <v>24</v>
      </c>
      <c r="E2055" s="103">
        <v>5840.3107399999999</v>
      </c>
      <c r="F2055" s="129" t="s">
        <v>148</v>
      </c>
    </row>
    <row r="2056" spans="1:6" ht="16" thickBot="1" x14ac:dyDescent="0.25">
      <c r="A2056" s="83">
        <v>6</v>
      </c>
      <c r="B2056" s="129" t="s">
        <v>172</v>
      </c>
      <c r="C2056" s="129" t="s">
        <v>147</v>
      </c>
      <c r="D2056" s="83">
        <v>68</v>
      </c>
      <c r="E2056" s="103">
        <v>111538.12</v>
      </c>
      <c r="F2056" s="129" t="s">
        <v>256</v>
      </c>
    </row>
    <row r="2057" spans="1:6" ht="16" thickBot="1" x14ac:dyDescent="0.25">
      <c r="A2057" s="83">
        <v>6</v>
      </c>
      <c r="B2057" s="129" t="s">
        <v>172</v>
      </c>
      <c r="C2057" s="129" t="s">
        <v>147</v>
      </c>
      <c r="D2057" s="83">
        <v>35</v>
      </c>
      <c r="E2057" s="103">
        <v>4980.7473600000003</v>
      </c>
      <c r="F2057" s="129" t="s">
        <v>148</v>
      </c>
    </row>
    <row r="2058" spans="1:6" ht="16" thickBot="1" x14ac:dyDescent="0.25">
      <c r="A2058" s="83">
        <v>6</v>
      </c>
      <c r="B2058" s="129" t="s">
        <v>173</v>
      </c>
      <c r="C2058" s="129" t="s">
        <v>147</v>
      </c>
      <c r="D2058" s="83">
        <v>211</v>
      </c>
      <c r="E2058" s="103">
        <v>833095.05500000005</v>
      </c>
      <c r="F2058" s="129" t="s">
        <v>256</v>
      </c>
    </row>
    <row r="2059" spans="1:6" ht="16" thickBot="1" x14ac:dyDescent="0.25">
      <c r="A2059" s="83">
        <v>6</v>
      </c>
      <c r="B2059" s="129" t="s">
        <v>173</v>
      </c>
      <c r="C2059" s="129" t="s">
        <v>147</v>
      </c>
      <c r="D2059" s="83">
        <v>83</v>
      </c>
      <c r="E2059" s="103">
        <v>966190.42438999994</v>
      </c>
      <c r="F2059" s="129" t="s">
        <v>148</v>
      </c>
    </row>
    <row r="2060" spans="1:6" ht="16" thickBot="1" x14ac:dyDescent="0.25">
      <c r="A2060" s="83">
        <v>6</v>
      </c>
      <c r="B2060" s="129" t="s">
        <v>174</v>
      </c>
      <c r="C2060" s="129" t="s">
        <v>147</v>
      </c>
      <c r="D2060" s="83">
        <v>125</v>
      </c>
      <c r="E2060" s="103">
        <v>282161.478</v>
      </c>
      <c r="F2060" s="129" t="s">
        <v>256</v>
      </c>
    </row>
    <row r="2061" spans="1:6" ht="16" thickBot="1" x14ac:dyDescent="0.25">
      <c r="A2061" s="83">
        <v>6</v>
      </c>
      <c r="B2061" s="129" t="s">
        <v>174</v>
      </c>
      <c r="C2061" s="129" t="s">
        <v>147</v>
      </c>
      <c r="D2061" s="83">
        <v>32</v>
      </c>
      <c r="E2061" s="103">
        <v>2801.51514</v>
      </c>
      <c r="F2061" s="129" t="s">
        <v>148</v>
      </c>
    </row>
    <row r="2062" spans="1:6" ht="16" thickBot="1" x14ac:dyDescent="0.25">
      <c r="A2062" s="83">
        <v>6</v>
      </c>
      <c r="B2062" s="129" t="s">
        <v>175</v>
      </c>
      <c r="C2062" s="129" t="s">
        <v>147</v>
      </c>
      <c r="D2062" s="83">
        <v>49</v>
      </c>
      <c r="E2062" s="103">
        <v>72033.153000000006</v>
      </c>
      <c r="F2062" s="129" t="s">
        <v>256</v>
      </c>
    </row>
    <row r="2063" spans="1:6" ht="16" thickBot="1" x14ac:dyDescent="0.25">
      <c r="A2063" s="83">
        <v>6</v>
      </c>
      <c r="B2063" s="129" t="s">
        <v>175</v>
      </c>
      <c r="C2063" s="129" t="s">
        <v>147</v>
      </c>
      <c r="D2063" s="83">
        <v>7</v>
      </c>
      <c r="E2063" s="103">
        <v>462.858</v>
      </c>
      <c r="F2063" s="129" t="s">
        <v>148</v>
      </c>
    </row>
    <row r="2064" spans="1:6" ht="16" thickBot="1" x14ac:dyDescent="0.25">
      <c r="A2064" s="83">
        <v>6</v>
      </c>
      <c r="B2064" s="129" t="s">
        <v>176</v>
      </c>
      <c r="C2064" s="129" t="s">
        <v>147</v>
      </c>
      <c r="D2064" s="83">
        <v>49</v>
      </c>
      <c r="E2064" s="103">
        <v>181040.06700000001</v>
      </c>
      <c r="F2064" s="129" t="s">
        <v>256</v>
      </c>
    </row>
    <row r="2065" spans="1:6" ht="16" thickBot="1" x14ac:dyDescent="0.25">
      <c r="A2065" s="83">
        <v>6</v>
      </c>
      <c r="B2065" s="129" t="s">
        <v>176</v>
      </c>
      <c r="C2065" s="129" t="s">
        <v>147</v>
      </c>
      <c r="D2065" s="83">
        <v>38</v>
      </c>
      <c r="E2065" s="103">
        <v>6690.0478599999997</v>
      </c>
      <c r="F2065" s="129" t="s">
        <v>148</v>
      </c>
    </row>
    <row r="2066" spans="1:6" ht="16" thickBot="1" x14ac:dyDescent="0.25">
      <c r="A2066" s="83">
        <v>6</v>
      </c>
      <c r="B2066" s="129" t="s">
        <v>177</v>
      </c>
      <c r="C2066" s="129" t="s">
        <v>147</v>
      </c>
      <c r="D2066" s="83">
        <v>116</v>
      </c>
      <c r="E2066" s="103">
        <v>186403.87400000001</v>
      </c>
      <c r="F2066" s="129" t="s">
        <v>256</v>
      </c>
    </row>
    <row r="2067" spans="1:6" ht="16" thickBot="1" x14ac:dyDescent="0.25">
      <c r="A2067" s="83">
        <v>6</v>
      </c>
      <c r="B2067" s="129" t="s">
        <v>177</v>
      </c>
      <c r="C2067" s="129" t="s">
        <v>147</v>
      </c>
      <c r="D2067" s="83">
        <v>25</v>
      </c>
      <c r="E2067" s="103">
        <v>829.50109999999995</v>
      </c>
      <c r="F2067" s="129" t="s">
        <v>148</v>
      </c>
    </row>
    <row r="2068" spans="1:6" ht="16" thickBot="1" x14ac:dyDescent="0.25">
      <c r="A2068" s="83">
        <v>6</v>
      </c>
      <c r="B2068" s="129" t="s">
        <v>178</v>
      </c>
      <c r="C2068" s="129" t="s">
        <v>147</v>
      </c>
      <c r="D2068" s="83">
        <v>99</v>
      </c>
      <c r="E2068" s="103">
        <v>226897.9</v>
      </c>
      <c r="F2068" s="129" t="s">
        <v>256</v>
      </c>
    </row>
    <row r="2069" spans="1:6" ht="16" thickBot="1" x14ac:dyDescent="0.25">
      <c r="A2069" s="83">
        <v>6</v>
      </c>
      <c r="B2069" s="129" t="s">
        <v>179</v>
      </c>
      <c r="C2069" s="129" t="s">
        <v>147</v>
      </c>
      <c r="D2069" s="83">
        <v>6</v>
      </c>
      <c r="E2069" s="103">
        <v>1589.797</v>
      </c>
      <c r="F2069" s="129" t="s">
        <v>256</v>
      </c>
    </row>
    <row r="2070" spans="1:6" ht="16" thickBot="1" x14ac:dyDescent="0.25">
      <c r="A2070" s="83">
        <v>6</v>
      </c>
      <c r="B2070" s="129" t="s">
        <v>181</v>
      </c>
      <c r="C2070" s="129" t="s">
        <v>147</v>
      </c>
      <c r="D2070" s="83">
        <v>16</v>
      </c>
      <c r="E2070" s="103">
        <v>38609.012000000002</v>
      </c>
      <c r="F2070" s="129" t="s">
        <v>256</v>
      </c>
    </row>
    <row r="2071" spans="1:6" ht="16" thickBot="1" x14ac:dyDescent="0.25">
      <c r="A2071" s="83">
        <v>6</v>
      </c>
      <c r="B2071" s="129" t="s">
        <v>181</v>
      </c>
      <c r="C2071" s="129" t="s">
        <v>147</v>
      </c>
      <c r="D2071" s="83">
        <v>253</v>
      </c>
      <c r="E2071" s="103">
        <v>41412.361149999997</v>
      </c>
      <c r="F2071" s="129" t="s">
        <v>148</v>
      </c>
    </row>
    <row r="2072" spans="1:6" ht="16" thickBot="1" x14ac:dyDescent="0.25">
      <c r="A2072" s="83">
        <v>6</v>
      </c>
      <c r="B2072" s="129" t="s">
        <v>182</v>
      </c>
      <c r="C2072" s="129" t="s">
        <v>147</v>
      </c>
      <c r="D2072" s="83">
        <v>15</v>
      </c>
      <c r="E2072" s="103">
        <v>4182.9949999999999</v>
      </c>
      <c r="F2072" s="129" t="s">
        <v>256</v>
      </c>
    </row>
    <row r="2073" spans="1:6" ht="16" thickBot="1" x14ac:dyDescent="0.25">
      <c r="A2073" s="83">
        <v>6</v>
      </c>
      <c r="B2073" s="129" t="s">
        <v>183</v>
      </c>
      <c r="C2073" s="129" t="s">
        <v>147</v>
      </c>
      <c r="D2073" s="83">
        <v>119</v>
      </c>
      <c r="E2073" s="103">
        <v>424803.652</v>
      </c>
      <c r="F2073" s="129" t="s">
        <v>256</v>
      </c>
    </row>
    <row r="2074" spans="1:6" ht="16" thickBot="1" x14ac:dyDescent="0.25">
      <c r="A2074" s="83">
        <v>6</v>
      </c>
      <c r="B2074" s="129" t="s">
        <v>184</v>
      </c>
      <c r="C2074" s="129" t="s">
        <v>147</v>
      </c>
      <c r="D2074" s="83">
        <v>48</v>
      </c>
      <c r="E2074" s="103">
        <v>75522.494000000006</v>
      </c>
      <c r="F2074" s="129" t="s">
        <v>256</v>
      </c>
    </row>
    <row r="2075" spans="1:6" ht="16" thickBot="1" x14ac:dyDescent="0.25">
      <c r="A2075" s="83">
        <v>6</v>
      </c>
      <c r="B2075" s="129" t="s">
        <v>185</v>
      </c>
      <c r="C2075" s="129" t="s">
        <v>147</v>
      </c>
      <c r="D2075" s="83">
        <v>16</v>
      </c>
      <c r="E2075" s="103">
        <v>6909.7209999999995</v>
      </c>
      <c r="F2075" s="129" t="s">
        <v>256</v>
      </c>
    </row>
    <row r="2076" spans="1:6" ht="16" thickBot="1" x14ac:dyDescent="0.25">
      <c r="A2076" s="83">
        <v>6</v>
      </c>
      <c r="B2076" s="129" t="s">
        <v>185</v>
      </c>
      <c r="C2076" s="129" t="s">
        <v>147</v>
      </c>
      <c r="D2076" s="83">
        <v>5</v>
      </c>
      <c r="E2076" s="103">
        <v>104.64149</v>
      </c>
      <c r="F2076" s="129" t="s">
        <v>148</v>
      </c>
    </row>
    <row r="2077" spans="1:6" ht="16" thickBot="1" x14ac:dyDescent="0.25">
      <c r="A2077" s="83">
        <v>6</v>
      </c>
      <c r="B2077" s="129" t="s">
        <v>186</v>
      </c>
      <c r="C2077" s="129" t="s">
        <v>147</v>
      </c>
      <c r="D2077" s="83">
        <v>56</v>
      </c>
      <c r="E2077" s="103">
        <v>124508.056</v>
      </c>
      <c r="F2077" s="129" t="s">
        <v>256</v>
      </c>
    </row>
    <row r="2078" spans="1:6" ht="16" thickBot="1" x14ac:dyDescent="0.25">
      <c r="A2078" s="83">
        <v>6</v>
      </c>
      <c r="B2078" s="129" t="s">
        <v>187</v>
      </c>
      <c r="C2078" s="129" t="s">
        <v>147</v>
      </c>
      <c r="D2078" s="83">
        <v>2</v>
      </c>
      <c r="E2078" s="103">
        <v>776.93</v>
      </c>
      <c r="F2078" s="129" t="s">
        <v>256</v>
      </c>
    </row>
    <row r="2079" spans="1:6" ht="16" thickBot="1" x14ac:dyDescent="0.25">
      <c r="A2079" s="83">
        <v>6</v>
      </c>
      <c r="B2079" s="129" t="s">
        <v>188</v>
      </c>
      <c r="C2079" s="129" t="s">
        <v>147</v>
      </c>
      <c r="D2079" s="83">
        <v>1</v>
      </c>
      <c r="E2079" s="103">
        <v>223.178</v>
      </c>
      <c r="F2079" s="129" t="s">
        <v>256</v>
      </c>
    </row>
    <row r="2080" spans="1:6" ht="16" thickBot="1" x14ac:dyDescent="0.25">
      <c r="A2080" s="83">
        <v>6</v>
      </c>
      <c r="B2080" s="129" t="s">
        <v>189</v>
      </c>
      <c r="C2080" s="129" t="s">
        <v>147</v>
      </c>
      <c r="D2080" s="83">
        <v>176</v>
      </c>
      <c r="E2080" s="103">
        <v>610115.40500000003</v>
      </c>
      <c r="F2080" s="129" t="s">
        <v>256</v>
      </c>
    </row>
    <row r="2081" spans="1:6" ht="16" thickBot="1" x14ac:dyDescent="0.25">
      <c r="A2081" s="83">
        <v>6</v>
      </c>
      <c r="B2081" s="129" t="s">
        <v>189</v>
      </c>
      <c r="C2081" s="129" t="s">
        <v>147</v>
      </c>
      <c r="D2081" s="83">
        <v>158</v>
      </c>
      <c r="E2081" s="103">
        <v>13982.764510000001</v>
      </c>
      <c r="F2081" s="129" t="s">
        <v>148</v>
      </c>
    </row>
    <row r="2082" spans="1:6" ht="16" thickBot="1" x14ac:dyDescent="0.25">
      <c r="A2082" s="83">
        <v>6</v>
      </c>
      <c r="B2082" s="129" t="s">
        <v>190</v>
      </c>
      <c r="C2082" s="129" t="s">
        <v>147</v>
      </c>
      <c r="D2082" s="83">
        <v>35</v>
      </c>
      <c r="E2082" s="103">
        <v>39891.845999999998</v>
      </c>
      <c r="F2082" s="129" t="s">
        <v>256</v>
      </c>
    </row>
    <row r="2083" spans="1:6" ht="16" thickBot="1" x14ac:dyDescent="0.25">
      <c r="A2083" s="83">
        <v>6</v>
      </c>
      <c r="B2083" s="129" t="s">
        <v>190</v>
      </c>
      <c r="C2083" s="129" t="s">
        <v>147</v>
      </c>
      <c r="D2083" s="83">
        <v>3</v>
      </c>
      <c r="E2083" s="103">
        <v>2492.2736</v>
      </c>
      <c r="F2083" s="129" t="s">
        <v>148</v>
      </c>
    </row>
    <row r="2084" spans="1:6" ht="16" thickBot="1" x14ac:dyDescent="0.25">
      <c r="A2084" s="83">
        <v>6</v>
      </c>
      <c r="B2084" s="129" t="s">
        <v>191</v>
      </c>
      <c r="C2084" s="129" t="s">
        <v>147</v>
      </c>
      <c r="D2084" s="83">
        <v>370</v>
      </c>
      <c r="E2084" s="103">
        <v>1153587.4169999999</v>
      </c>
      <c r="F2084" s="129" t="s">
        <v>256</v>
      </c>
    </row>
    <row r="2085" spans="1:6" ht="16" thickBot="1" x14ac:dyDescent="0.25">
      <c r="A2085" s="83">
        <v>6</v>
      </c>
      <c r="B2085" s="129" t="s">
        <v>191</v>
      </c>
      <c r="C2085" s="129" t="s">
        <v>147</v>
      </c>
      <c r="D2085" s="83">
        <v>207</v>
      </c>
      <c r="E2085" s="103">
        <v>24045.914430000001</v>
      </c>
      <c r="F2085" s="129" t="s">
        <v>148</v>
      </c>
    </row>
    <row r="2086" spans="1:6" ht="16" thickBot="1" x14ac:dyDescent="0.25">
      <c r="A2086" s="83">
        <v>6</v>
      </c>
      <c r="B2086" s="129" t="s">
        <v>192</v>
      </c>
      <c r="C2086" s="129" t="s">
        <v>147</v>
      </c>
      <c r="D2086" s="83">
        <v>57</v>
      </c>
      <c r="E2086" s="103">
        <v>54920.152000000002</v>
      </c>
      <c r="F2086" s="129" t="s">
        <v>256</v>
      </c>
    </row>
    <row r="2087" spans="1:6" ht="16" thickBot="1" x14ac:dyDescent="0.25">
      <c r="A2087" s="83">
        <v>6</v>
      </c>
      <c r="B2087" s="129" t="s">
        <v>192</v>
      </c>
      <c r="C2087" s="129" t="s">
        <v>147</v>
      </c>
      <c r="D2087" s="83">
        <v>19</v>
      </c>
      <c r="E2087" s="103">
        <v>1523.86178</v>
      </c>
      <c r="F2087" s="129" t="s">
        <v>148</v>
      </c>
    </row>
    <row r="2088" spans="1:6" ht="16" thickBot="1" x14ac:dyDescent="0.25">
      <c r="A2088" s="83">
        <v>6</v>
      </c>
      <c r="B2088" s="129" t="s">
        <v>193</v>
      </c>
      <c r="C2088" s="129" t="s">
        <v>147</v>
      </c>
      <c r="D2088" s="83">
        <v>912</v>
      </c>
      <c r="E2088" s="103">
        <v>3538241.9249999998</v>
      </c>
      <c r="F2088" s="129" t="s">
        <v>256</v>
      </c>
    </row>
    <row r="2089" spans="1:6" ht="16" thickBot="1" x14ac:dyDescent="0.25">
      <c r="A2089" s="83">
        <v>6</v>
      </c>
      <c r="B2089" s="129" t="s">
        <v>193</v>
      </c>
      <c r="C2089" s="129" t="s">
        <v>147</v>
      </c>
      <c r="D2089" s="83">
        <v>423</v>
      </c>
      <c r="E2089" s="103">
        <v>124100.36437</v>
      </c>
      <c r="F2089" s="129" t="s">
        <v>148</v>
      </c>
    </row>
    <row r="2090" spans="1:6" ht="16" thickBot="1" x14ac:dyDescent="0.25">
      <c r="A2090" s="83">
        <v>6</v>
      </c>
      <c r="B2090" s="129" t="s">
        <v>194</v>
      </c>
      <c r="C2090" s="129" t="s">
        <v>147</v>
      </c>
      <c r="D2090" s="83">
        <v>34</v>
      </c>
      <c r="E2090" s="103">
        <v>72870.645000000004</v>
      </c>
      <c r="F2090" s="129" t="s">
        <v>256</v>
      </c>
    </row>
    <row r="2091" spans="1:6" ht="16" thickBot="1" x14ac:dyDescent="0.25">
      <c r="A2091" s="83">
        <v>6</v>
      </c>
      <c r="B2091" s="129" t="s">
        <v>195</v>
      </c>
      <c r="C2091" s="129" t="s">
        <v>147</v>
      </c>
      <c r="D2091" s="83">
        <v>273</v>
      </c>
      <c r="E2091" s="103">
        <v>758178.63800000004</v>
      </c>
      <c r="F2091" s="129" t="s">
        <v>256</v>
      </c>
    </row>
    <row r="2092" spans="1:6" ht="16" thickBot="1" x14ac:dyDescent="0.25">
      <c r="A2092" s="83">
        <v>6</v>
      </c>
      <c r="B2092" s="129" t="s">
        <v>195</v>
      </c>
      <c r="C2092" s="129" t="s">
        <v>147</v>
      </c>
      <c r="D2092" s="83">
        <v>119</v>
      </c>
      <c r="E2092" s="103">
        <v>10653.16296</v>
      </c>
      <c r="F2092" s="129" t="s">
        <v>148</v>
      </c>
    </row>
    <row r="2093" spans="1:6" ht="16" thickBot="1" x14ac:dyDescent="0.25">
      <c r="A2093" s="83">
        <v>6</v>
      </c>
      <c r="B2093" s="129" t="s">
        <v>196</v>
      </c>
      <c r="C2093" s="129" t="s">
        <v>147</v>
      </c>
      <c r="D2093" s="83">
        <v>58</v>
      </c>
      <c r="E2093" s="103">
        <v>88247.361000000004</v>
      </c>
      <c r="F2093" s="129" t="s">
        <v>256</v>
      </c>
    </row>
    <row r="2094" spans="1:6" ht="16" thickBot="1" x14ac:dyDescent="0.25">
      <c r="A2094" s="83">
        <v>6</v>
      </c>
      <c r="B2094" s="129" t="s">
        <v>196</v>
      </c>
      <c r="C2094" s="129" t="s">
        <v>147</v>
      </c>
      <c r="D2094" s="83">
        <v>24</v>
      </c>
      <c r="E2094" s="103">
        <v>806.81465000000003</v>
      </c>
      <c r="F2094" s="129" t="s">
        <v>148</v>
      </c>
    </row>
    <row r="2095" spans="1:6" ht="16" thickBot="1" x14ac:dyDescent="0.25">
      <c r="A2095" s="83">
        <v>6</v>
      </c>
      <c r="B2095" s="129" t="s">
        <v>197</v>
      </c>
      <c r="C2095" s="129" t="s">
        <v>147</v>
      </c>
      <c r="D2095" s="83">
        <v>19</v>
      </c>
      <c r="E2095" s="103">
        <v>9387.3870000000006</v>
      </c>
      <c r="F2095" s="129" t="s">
        <v>256</v>
      </c>
    </row>
    <row r="2096" spans="1:6" ht="16" thickBot="1" x14ac:dyDescent="0.25">
      <c r="A2096" s="83">
        <v>6</v>
      </c>
      <c r="B2096" s="129" t="s">
        <v>198</v>
      </c>
      <c r="C2096" s="129" t="s">
        <v>147</v>
      </c>
      <c r="D2096" s="83">
        <v>25</v>
      </c>
      <c r="E2096" s="103">
        <v>9945.6839999999993</v>
      </c>
      <c r="F2096" s="129" t="s">
        <v>256</v>
      </c>
    </row>
    <row r="2097" spans="1:6" ht="16" thickBot="1" x14ac:dyDescent="0.25">
      <c r="A2097" s="83">
        <v>6</v>
      </c>
      <c r="B2097" s="129" t="s">
        <v>199</v>
      </c>
      <c r="C2097" s="129" t="s">
        <v>147</v>
      </c>
      <c r="D2097" s="83">
        <v>53</v>
      </c>
      <c r="E2097" s="103">
        <v>91475.403000000006</v>
      </c>
      <c r="F2097" s="129" t="s">
        <v>256</v>
      </c>
    </row>
    <row r="2098" spans="1:6" ht="16" thickBot="1" x14ac:dyDescent="0.25">
      <c r="A2098" s="83">
        <v>6</v>
      </c>
      <c r="B2098" s="129" t="s">
        <v>200</v>
      </c>
      <c r="C2098" s="129" t="s">
        <v>147</v>
      </c>
      <c r="D2098" s="83">
        <v>60</v>
      </c>
      <c r="E2098" s="103">
        <v>80154.179999999993</v>
      </c>
      <c r="F2098" s="129" t="s">
        <v>256</v>
      </c>
    </row>
    <row r="2099" spans="1:6" ht="16" thickBot="1" x14ac:dyDescent="0.25">
      <c r="A2099" s="83">
        <v>6</v>
      </c>
      <c r="B2099" s="129" t="s">
        <v>201</v>
      </c>
      <c r="C2099" s="129" t="s">
        <v>147</v>
      </c>
      <c r="D2099" s="83">
        <v>14</v>
      </c>
      <c r="E2099" s="103">
        <v>6248.4030000000002</v>
      </c>
      <c r="F2099" s="129" t="s">
        <v>256</v>
      </c>
    </row>
    <row r="2100" spans="1:6" ht="16" thickBot="1" x14ac:dyDescent="0.25">
      <c r="A2100" s="83">
        <v>6</v>
      </c>
      <c r="B2100" s="129" t="s">
        <v>202</v>
      </c>
      <c r="C2100" s="129" t="s">
        <v>147</v>
      </c>
      <c r="D2100" s="83">
        <v>89</v>
      </c>
      <c r="E2100" s="103">
        <v>102682.46400000001</v>
      </c>
      <c r="F2100" s="129" t="s">
        <v>256</v>
      </c>
    </row>
    <row r="2101" spans="1:6" ht="16" thickBot="1" x14ac:dyDescent="0.25">
      <c r="A2101" s="83">
        <v>6</v>
      </c>
      <c r="B2101" s="129" t="s">
        <v>202</v>
      </c>
      <c r="C2101" s="129" t="s">
        <v>147</v>
      </c>
      <c r="D2101" s="83">
        <v>31</v>
      </c>
      <c r="E2101" s="103">
        <v>832.37136999999996</v>
      </c>
      <c r="F2101" s="129" t="s">
        <v>148</v>
      </c>
    </row>
    <row r="2102" spans="1:6" ht="16" thickBot="1" x14ac:dyDescent="0.25">
      <c r="A2102" s="83">
        <v>6</v>
      </c>
      <c r="B2102" s="129" t="s">
        <v>203</v>
      </c>
      <c r="C2102" s="129" t="s">
        <v>147</v>
      </c>
      <c r="D2102" s="83">
        <v>40</v>
      </c>
      <c r="E2102" s="103">
        <v>65132.873</v>
      </c>
      <c r="F2102" s="129" t="s">
        <v>256</v>
      </c>
    </row>
    <row r="2103" spans="1:6" ht="16" thickBot="1" x14ac:dyDescent="0.25">
      <c r="A2103" s="83">
        <v>6</v>
      </c>
      <c r="B2103" s="129" t="s">
        <v>204</v>
      </c>
      <c r="C2103" s="129" t="s">
        <v>147</v>
      </c>
      <c r="D2103" s="83">
        <v>108</v>
      </c>
      <c r="E2103" s="103">
        <v>262317.98800000001</v>
      </c>
      <c r="F2103" s="129" t="s">
        <v>256</v>
      </c>
    </row>
    <row r="2104" spans="1:6" ht="16" thickBot="1" x14ac:dyDescent="0.25">
      <c r="A2104" s="83">
        <v>6</v>
      </c>
      <c r="B2104" s="129" t="s">
        <v>205</v>
      </c>
      <c r="C2104" s="129" t="s">
        <v>147</v>
      </c>
      <c r="D2104" s="83">
        <v>352</v>
      </c>
      <c r="E2104" s="103">
        <v>916772.82</v>
      </c>
      <c r="F2104" s="129" t="s">
        <v>256</v>
      </c>
    </row>
    <row r="2105" spans="1:6" ht="16" thickBot="1" x14ac:dyDescent="0.25">
      <c r="A2105" s="83">
        <v>6</v>
      </c>
      <c r="B2105" s="129" t="s">
        <v>205</v>
      </c>
      <c r="C2105" s="129" t="s">
        <v>147</v>
      </c>
      <c r="D2105" s="83">
        <v>106</v>
      </c>
      <c r="E2105" s="103">
        <v>5322.9128300000002</v>
      </c>
      <c r="F2105" s="129" t="s">
        <v>148</v>
      </c>
    </row>
    <row r="2106" spans="1:6" ht="16" thickBot="1" x14ac:dyDescent="0.25">
      <c r="A2106" s="83">
        <v>6</v>
      </c>
      <c r="B2106" s="129" t="s">
        <v>206</v>
      </c>
      <c r="C2106" s="129" t="s">
        <v>147</v>
      </c>
      <c r="D2106" s="83">
        <v>62</v>
      </c>
      <c r="E2106" s="103">
        <v>270607.10499999998</v>
      </c>
      <c r="F2106" s="129" t="s">
        <v>256</v>
      </c>
    </row>
    <row r="2107" spans="1:6" ht="16" thickBot="1" x14ac:dyDescent="0.25">
      <c r="A2107" s="83">
        <v>6</v>
      </c>
      <c r="B2107" s="129" t="s">
        <v>206</v>
      </c>
      <c r="C2107" s="129" t="s">
        <v>147</v>
      </c>
      <c r="D2107" s="83">
        <v>30</v>
      </c>
      <c r="E2107" s="103">
        <v>1097.00766</v>
      </c>
      <c r="F2107" s="129" t="s">
        <v>148</v>
      </c>
    </row>
    <row r="2108" spans="1:6" ht="16" thickBot="1" x14ac:dyDescent="0.25">
      <c r="A2108" s="83">
        <v>6</v>
      </c>
      <c r="B2108" s="129" t="s">
        <v>208</v>
      </c>
      <c r="C2108" s="129" t="s">
        <v>147</v>
      </c>
      <c r="D2108" s="83">
        <v>8</v>
      </c>
      <c r="E2108" s="103">
        <v>12292.75</v>
      </c>
      <c r="F2108" s="129" t="s">
        <v>256</v>
      </c>
    </row>
    <row r="2109" spans="1:6" ht="16" thickBot="1" x14ac:dyDescent="0.25">
      <c r="A2109" s="83">
        <v>6</v>
      </c>
      <c r="B2109" s="129" t="s">
        <v>209</v>
      </c>
      <c r="C2109" s="129" t="s">
        <v>147</v>
      </c>
      <c r="D2109" s="83">
        <v>200</v>
      </c>
      <c r="E2109" s="103">
        <v>405260.75199999998</v>
      </c>
      <c r="F2109" s="129" t="s">
        <v>256</v>
      </c>
    </row>
    <row r="2110" spans="1:6" ht="16" thickBot="1" x14ac:dyDescent="0.25">
      <c r="A2110" s="83">
        <v>6</v>
      </c>
      <c r="B2110" s="129" t="s">
        <v>209</v>
      </c>
      <c r="C2110" s="129" t="s">
        <v>147</v>
      </c>
      <c r="D2110" s="83">
        <v>66</v>
      </c>
      <c r="E2110" s="103">
        <v>2088.3410899999999</v>
      </c>
      <c r="F2110" s="129" t="s">
        <v>148</v>
      </c>
    </row>
    <row r="2111" spans="1:6" ht="16" thickBot="1" x14ac:dyDescent="0.25">
      <c r="A2111" s="83">
        <v>6</v>
      </c>
      <c r="B2111" s="129" t="s">
        <v>210</v>
      </c>
      <c r="C2111" s="129" t="s">
        <v>147</v>
      </c>
      <c r="D2111" s="83">
        <v>10</v>
      </c>
      <c r="E2111" s="103">
        <v>51338.635000000002</v>
      </c>
      <c r="F2111" s="129" t="s">
        <v>256</v>
      </c>
    </row>
    <row r="2112" spans="1:6" ht="16" thickBot="1" x14ac:dyDescent="0.25">
      <c r="A2112" s="83">
        <v>6</v>
      </c>
      <c r="B2112" s="129" t="s">
        <v>211</v>
      </c>
      <c r="C2112" s="129" t="s">
        <v>147</v>
      </c>
      <c r="D2112" s="83">
        <v>10</v>
      </c>
      <c r="E2112" s="103">
        <v>6631.2020000000002</v>
      </c>
      <c r="F2112" s="129" t="s">
        <v>256</v>
      </c>
    </row>
    <row r="2113" spans="1:6" ht="16" thickBot="1" x14ac:dyDescent="0.25">
      <c r="A2113" s="83">
        <v>6</v>
      </c>
      <c r="B2113" s="129" t="s">
        <v>213</v>
      </c>
      <c r="C2113" s="129" t="s">
        <v>147</v>
      </c>
      <c r="D2113" s="83">
        <v>84</v>
      </c>
      <c r="E2113" s="103">
        <v>118149.594</v>
      </c>
      <c r="F2113" s="129" t="s">
        <v>256</v>
      </c>
    </row>
    <row r="2114" spans="1:6" ht="16" thickBot="1" x14ac:dyDescent="0.25">
      <c r="A2114" s="83">
        <v>6</v>
      </c>
      <c r="B2114" s="129" t="s">
        <v>214</v>
      </c>
      <c r="C2114" s="129" t="s">
        <v>147</v>
      </c>
      <c r="D2114" s="83">
        <v>67</v>
      </c>
      <c r="E2114" s="103">
        <v>68313.093999999997</v>
      </c>
      <c r="F2114" s="129" t="s">
        <v>256</v>
      </c>
    </row>
    <row r="2115" spans="1:6" ht="16" thickBot="1" x14ac:dyDescent="0.25">
      <c r="A2115" s="83">
        <v>6</v>
      </c>
      <c r="B2115" s="129" t="s">
        <v>215</v>
      </c>
      <c r="C2115" s="129" t="s">
        <v>147</v>
      </c>
      <c r="D2115" s="83">
        <v>192</v>
      </c>
      <c r="E2115" s="103">
        <v>387345.49</v>
      </c>
      <c r="F2115" s="129" t="s">
        <v>256</v>
      </c>
    </row>
    <row r="2116" spans="1:6" ht="16" thickBot="1" x14ac:dyDescent="0.25">
      <c r="A2116" s="83">
        <v>6</v>
      </c>
      <c r="B2116" s="129" t="s">
        <v>215</v>
      </c>
      <c r="C2116" s="129" t="s">
        <v>147</v>
      </c>
      <c r="D2116" s="83">
        <v>76</v>
      </c>
      <c r="E2116" s="103">
        <v>4934.5524800000003</v>
      </c>
      <c r="F2116" s="129" t="s">
        <v>148</v>
      </c>
    </row>
    <row r="2117" spans="1:6" ht="16" thickBot="1" x14ac:dyDescent="0.25">
      <c r="A2117" s="83">
        <v>6</v>
      </c>
      <c r="B2117" s="129" t="s">
        <v>216</v>
      </c>
      <c r="C2117" s="129" t="s">
        <v>147</v>
      </c>
      <c r="D2117" s="83">
        <v>17</v>
      </c>
      <c r="E2117" s="103">
        <v>22405.044999999998</v>
      </c>
      <c r="F2117" s="129" t="s">
        <v>256</v>
      </c>
    </row>
    <row r="2118" spans="1:6" ht="16" thickBot="1" x14ac:dyDescent="0.25">
      <c r="A2118" s="83">
        <v>6</v>
      </c>
      <c r="B2118" s="129" t="s">
        <v>217</v>
      </c>
      <c r="C2118" s="129" t="s">
        <v>147</v>
      </c>
      <c r="D2118" s="83">
        <v>98</v>
      </c>
      <c r="E2118" s="103">
        <v>145451.948</v>
      </c>
      <c r="F2118" s="129" t="s">
        <v>256</v>
      </c>
    </row>
    <row r="2119" spans="1:6" ht="16" thickBot="1" x14ac:dyDescent="0.25">
      <c r="A2119" s="83">
        <v>6</v>
      </c>
      <c r="B2119" s="129" t="s">
        <v>217</v>
      </c>
      <c r="C2119" s="129" t="s">
        <v>147</v>
      </c>
      <c r="D2119" s="83">
        <v>43</v>
      </c>
      <c r="E2119" s="103">
        <v>1664.60214</v>
      </c>
      <c r="F2119" s="129" t="s">
        <v>148</v>
      </c>
    </row>
    <row r="2120" spans="1:6" ht="16" thickBot="1" x14ac:dyDescent="0.25">
      <c r="A2120" s="83">
        <v>6</v>
      </c>
      <c r="B2120" s="129" t="s">
        <v>218</v>
      </c>
      <c r="C2120" s="129" t="s">
        <v>147</v>
      </c>
      <c r="D2120" s="83">
        <v>1225</v>
      </c>
      <c r="E2120" s="103">
        <v>40020244.353</v>
      </c>
      <c r="F2120" s="129" t="s">
        <v>256</v>
      </c>
    </row>
    <row r="2121" spans="1:6" ht="16" thickBot="1" x14ac:dyDescent="0.25">
      <c r="A2121" s="83">
        <v>6</v>
      </c>
      <c r="B2121" s="129" t="s">
        <v>218</v>
      </c>
      <c r="C2121" s="129" t="s">
        <v>147</v>
      </c>
      <c r="D2121" s="83">
        <v>678</v>
      </c>
      <c r="E2121" s="103">
        <v>117067.2067</v>
      </c>
      <c r="F2121" s="129" t="s">
        <v>148</v>
      </c>
    </row>
    <row r="2122" spans="1:6" ht="16" thickBot="1" x14ac:dyDescent="0.25">
      <c r="A2122" s="83">
        <v>6</v>
      </c>
      <c r="B2122" s="129" t="s">
        <v>219</v>
      </c>
      <c r="C2122" s="129" t="s">
        <v>147</v>
      </c>
      <c r="D2122" s="83">
        <v>21</v>
      </c>
      <c r="E2122" s="103">
        <v>6655784.1969999997</v>
      </c>
      <c r="F2122" s="129" t="s">
        <v>256</v>
      </c>
    </row>
    <row r="2123" spans="1:6" ht="16" thickBot="1" x14ac:dyDescent="0.25">
      <c r="A2123" s="83">
        <v>6</v>
      </c>
      <c r="B2123" s="129" t="s">
        <v>219</v>
      </c>
      <c r="C2123" s="129" t="s">
        <v>147</v>
      </c>
      <c r="D2123" s="83">
        <v>40</v>
      </c>
      <c r="E2123" s="103">
        <v>1317874.80158</v>
      </c>
      <c r="F2123" s="129" t="s">
        <v>148</v>
      </c>
    </row>
    <row r="2124" spans="1:6" ht="16" thickBot="1" x14ac:dyDescent="0.25">
      <c r="A2124" s="83">
        <v>6</v>
      </c>
      <c r="B2124" s="129" t="s">
        <v>220</v>
      </c>
      <c r="C2124" s="129" t="s">
        <v>147</v>
      </c>
      <c r="D2124" s="83">
        <v>18</v>
      </c>
      <c r="E2124" s="103">
        <v>6093.7740000000003</v>
      </c>
      <c r="F2124" s="129" t="s">
        <v>256</v>
      </c>
    </row>
    <row r="2125" spans="1:6" ht="16" thickBot="1" x14ac:dyDescent="0.25">
      <c r="A2125" s="83">
        <v>6</v>
      </c>
      <c r="B2125" s="129" t="s">
        <v>221</v>
      </c>
      <c r="C2125" s="129" t="s">
        <v>147</v>
      </c>
      <c r="D2125" s="83">
        <v>244</v>
      </c>
      <c r="E2125" s="103">
        <v>658001.25300000003</v>
      </c>
      <c r="F2125" s="129" t="s">
        <v>256</v>
      </c>
    </row>
    <row r="2126" spans="1:6" ht="16" thickBot="1" x14ac:dyDescent="0.25">
      <c r="A2126" s="83">
        <v>6</v>
      </c>
      <c r="B2126" s="129" t="s">
        <v>221</v>
      </c>
      <c r="C2126" s="129" t="s">
        <v>147</v>
      </c>
      <c r="D2126" s="83">
        <v>141</v>
      </c>
      <c r="E2126" s="103">
        <v>13153.28974</v>
      </c>
      <c r="F2126" s="129" t="s">
        <v>148</v>
      </c>
    </row>
    <row r="2127" spans="1:6" ht="16" thickBot="1" x14ac:dyDescent="0.25">
      <c r="A2127" s="83">
        <v>6</v>
      </c>
      <c r="B2127" s="129" t="s">
        <v>222</v>
      </c>
      <c r="C2127" s="129" t="s">
        <v>147</v>
      </c>
      <c r="D2127" s="83">
        <v>90</v>
      </c>
      <c r="E2127" s="103">
        <v>193221.976</v>
      </c>
      <c r="F2127" s="129" t="s">
        <v>256</v>
      </c>
    </row>
    <row r="2128" spans="1:6" ht="16" thickBot="1" x14ac:dyDescent="0.25">
      <c r="A2128" s="83">
        <v>6</v>
      </c>
      <c r="B2128" s="129" t="s">
        <v>222</v>
      </c>
      <c r="C2128" s="129" t="s">
        <v>147</v>
      </c>
      <c r="D2128" s="83">
        <v>43</v>
      </c>
      <c r="E2128" s="103">
        <v>727.39166</v>
      </c>
      <c r="F2128" s="129" t="s">
        <v>148</v>
      </c>
    </row>
    <row r="2129" spans="1:6" ht="16" thickBot="1" x14ac:dyDescent="0.25">
      <c r="A2129" s="83">
        <v>6</v>
      </c>
      <c r="B2129" s="129" t="s">
        <v>223</v>
      </c>
      <c r="C2129" s="129" t="s">
        <v>147</v>
      </c>
      <c r="D2129" s="83">
        <v>97</v>
      </c>
      <c r="E2129" s="103">
        <v>133651.908</v>
      </c>
      <c r="F2129" s="129" t="s">
        <v>256</v>
      </c>
    </row>
    <row r="2130" spans="1:6" ht="16" thickBot="1" x14ac:dyDescent="0.25">
      <c r="A2130" s="83">
        <v>6</v>
      </c>
      <c r="B2130" s="129" t="s">
        <v>223</v>
      </c>
      <c r="C2130" s="129" t="s">
        <v>147</v>
      </c>
      <c r="D2130" s="83">
        <v>53</v>
      </c>
      <c r="E2130" s="103">
        <v>2372.67796</v>
      </c>
      <c r="F2130" s="129" t="s">
        <v>148</v>
      </c>
    </row>
    <row r="2131" spans="1:6" ht="16" thickBot="1" x14ac:dyDescent="0.25">
      <c r="A2131" s="83">
        <v>6</v>
      </c>
      <c r="B2131" s="129" t="s">
        <v>224</v>
      </c>
      <c r="C2131" s="129" t="s">
        <v>147</v>
      </c>
      <c r="D2131" s="83">
        <v>63</v>
      </c>
      <c r="E2131" s="103">
        <v>136002.185</v>
      </c>
      <c r="F2131" s="129" t="s">
        <v>256</v>
      </c>
    </row>
    <row r="2132" spans="1:6" ht="16" thickBot="1" x14ac:dyDescent="0.25">
      <c r="A2132" s="83">
        <v>6</v>
      </c>
      <c r="B2132" s="129" t="s">
        <v>225</v>
      </c>
      <c r="C2132" s="129" t="s">
        <v>147</v>
      </c>
      <c r="D2132" s="83">
        <v>17</v>
      </c>
      <c r="E2132" s="103">
        <v>12006.466</v>
      </c>
      <c r="F2132" s="129" t="s">
        <v>256</v>
      </c>
    </row>
    <row r="2133" spans="1:6" ht="16" thickBot="1" x14ac:dyDescent="0.25">
      <c r="A2133" s="83">
        <v>6</v>
      </c>
      <c r="B2133" s="129" t="s">
        <v>226</v>
      </c>
      <c r="C2133" s="129" t="s">
        <v>147</v>
      </c>
      <c r="D2133" s="83">
        <v>8</v>
      </c>
      <c r="E2133" s="103">
        <v>2800.9090000000001</v>
      </c>
      <c r="F2133" s="129" t="s">
        <v>256</v>
      </c>
    </row>
    <row r="2134" spans="1:6" ht="16" thickBot="1" x14ac:dyDescent="0.25">
      <c r="A2134" s="83">
        <v>6</v>
      </c>
      <c r="B2134" s="129" t="s">
        <v>227</v>
      </c>
      <c r="C2134" s="129" t="s">
        <v>147</v>
      </c>
      <c r="D2134" s="83">
        <v>44</v>
      </c>
      <c r="E2134" s="103">
        <v>85967.603000000003</v>
      </c>
      <c r="F2134" s="129" t="s">
        <v>256</v>
      </c>
    </row>
    <row r="2135" spans="1:6" ht="16" thickBot="1" x14ac:dyDescent="0.25">
      <c r="A2135" s="83">
        <v>6</v>
      </c>
      <c r="B2135" s="129" t="s">
        <v>227</v>
      </c>
      <c r="C2135" s="129" t="s">
        <v>147</v>
      </c>
      <c r="D2135" s="83">
        <v>22</v>
      </c>
      <c r="E2135" s="103">
        <v>356.68799000000001</v>
      </c>
      <c r="F2135" s="129" t="s">
        <v>148</v>
      </c>
    </row>
    <row r="2136" spans="1:6" ht="16" thickBot="1" x14ac:dyDescent="0.25">
      <c r="A2136" s="83">
        <v>6</v>
      </c>
      <c r="B2136" s="129" t="s">
        <v>228</v>
      </c>
      <c r="C2136" s="129" t="s">
        <v>147</v>
      </c>
      <c r="D2136" s="83">
        <v>138</v>
      </c>
      <c r="E2136" s="103">
        <v>312649.853</v>
      </c>
      <c r="F2136" s="129" t="s">
        <v>256</v>
      </c>
    </row>
    <row r="2137" spans="1:6" ht="16" thickBot="1" x14ac:dyDescent="0.25">
      <c r="A2137" s="83">
        <v>6</v>
      </c>
      <c r="B2137" s="129" t="s">
        <v>228</v>
      </c>
      <c r="C2137" s="129" t="s">
        <v>147</v>
      </c>
      <c r="D2137" s="83">
        <v>16</v>
      </c>
      <c r="E2137" s="103">
        <v>1611.4186</v>
      </c>
      <c r="F2137" s="129" t="s">
        <v>148</v>
      </c>
    </row>
    <row r="2138" spans="1:6" ht="16" thickBot="1" x14ac:dyDescent="0.25">
      <c r="A2138" s="83">
        <v>6</v>
      </c>
      <c r="B2138" s="129" t="s">
        <v>229</v>
      </c>
      <c r="C2138" s="129" t="s">
        <v>147</v>
      </c>
      <c r="D2138" s="83">
        <v>191</v>
      </c>
      <c r="E2138" s="103">
        <v>540013.946</v>
      </c>
      <c r="F2138" s="129" t="s">
        <v>256</v>
      </c>
    </row>
    <row r="2139" spans="1:6" ht="16" thickBot="1" x14ac:dyDescent="0.25">
      <c r="A2139" s="83">
        <v>6</v>
      </c>
      <c r="B2139" s="129" t="s">
        <v>230</v>
      </c>
      <c r="C2139" s="129" t="s">
        <v>147</v>
      </c>
      <c r="D2139" s="83">
        <v>1785</v>
      </c>
      <c r="E2139" s="103">
        <v>19817393.787</v>
      </c>
      <c r="F2139" s="129" t="s">
        <v>256</v>
      </c>
    </row>
    <row r="2140" spans="1:6" ht="16" thickBot="1" x14ac:dyDescent="0.25">
      <c r="A2140" s="83">
        <v>6</v>
      </c>
      <c r="B2140" s="129" t="s">
        <v>230</v>
      </c>
      <c r="C2140" s="129" t="s">
        <v>147</v>
      </c>
      <c r="D2140" s="83">
        <v>969</v>
      </c>
      <c r="E2140" s="103">
        <v>297620.53274</v>
      </c>
      <c r="F2140" s="129" t="s">
        <v>148</v>
      </c>
    </row>
    <row r="2141" spans="1:6" ht="16" thickBot="1" x14ac:dyDescent="0.25">
      <c r="A2141" s="83">
        <v>6</v>
      </c>
      <c r="B2141" s="129" t="s">
        <v>231</v>
      </c>
      <c r="C2141" s="129" t="s">
        <v>147</v>
      </c>
      <c r="D2141" s="83">
        <v>2201</v>
      </c>
      <c r="E2141" s="103">
        <v>18213918.563999999</v>
      </c>
      <c r="F2141" s="129" t="s">
        <v>256</v>
      </c>
    </row>
    <row r="2142" spans="1:6" ht="16" thickBot="1" x14ac:dyDescent="0.25">
      <c r="A2142" s="83">
        <v>6</v>
      </c>
      <c r="B2142" s="129" t="s">
        <v>231</v>
      </c>
      <c r="C2142" s="129" t="s">
        <v>147</v>
      </c>
      <c r="D2142" s="83">
        <v>1404</v>
      </c>
      <c r="E2142" s="103">
        <v>254803.33838999999</v>
      </c>
      <c r="F2142" s="129" t="s">
        <v>148</v>
      </c>
    </row>
    <row r="2143" spans="1:6" ht="16" thickBot="1" x14ac:dyDescent="0.25">
      <c r="A2143" s="83">
        <v>6</v>
      </c>
      <c r="B2143" s="129" t="s">
        <v>232</v>
      </c>
      <c r="C2143" s="129" t="s">
        <v>147</v>
      </c>
      <c r="D2143" s="83">
        <v>341</v>
      </c>
      <c r="E2143" s="103">
        <v>1550796.1529999999</v>
      </c>
      <c r="F2143" s="129" t="s">
        <v>256</v>
      </c>
    </row>
    <row r="2144" spans="1:6" ht="16" thickBot="1" x14ac:dyDescent="0.25">
      <c r="A2144" s="83">
        <v>6</v>
      </c>
      <c r="B2144" s="129" t="s">
        <v>232</v>
      </c>
      <c r="C2144" s="129" t="s">
        <v>147</v>
      </c>
      <c r="D2144" s="83">
        <v>155</v>
      </c>
      <c r="E2144" s="103">
        <v>31237.855179999999</v>
      </c>
      <c r="F2144" s="129" t="s">
        <v>148</v>
      </c>
    </row>
    <row r="2145" spans="1:6" ht="16" thickBot="1" x14ac:dyDescent="0.25">
      <c r="A2145" s="83">
        <v>6</v>
      </c>
      <c r="B2145" s="129" t="s">
        <v>233</v>
      </c>
      <c r="C2145" s="129" t="s">
        <v>147</v>
      </c>
      <c r="D2145" s="83">
        <v>291</v>
      </c>
      <c r="E2145" s="103">
        <v>30848828.197999999</v>
      </c>
      <c r="F2145" s="129" t="s">
        <v>256</v>
      </c>
    </row>
    <row r="2146" spans="1:6" ht="16" thickBot="1" x14ac:dyDescent="0.25">
      <c r="A2146" s="83">
        <v>6</v>
      </c>
      <c r="B2146" s="129" t="s">
        <v>233</v>
      </c>
      <c r="C2146" s="129" t="s">
        <v>147</v>
      </c>
      <c r="D2146" s="83">
        <v>108</v>
      </c>
      <c r="E2146" s="103">
        <v>587133.00821</v>
      </c>
      <c r="F2146" s="129" t="s">
        <v>148</v>
      </c>
    </row>
    <row r="2147" spans="1:6" ht="16" thickBot="1" x14ac:dyDescent="0.25">
      <c r="A2147" s="83">
        <v>6</v>
      </c>
      <c r="B2147" s="129" t="s">
        <v>234</v>
      </c>
      <c r="C2147" s="129" t="s">
        <v>147</v>
      </c>
      <c r="D2147" s="83">
        <v>1206</v>
      </c>
      <c r="E2147" s="103">
        <v>17303064.932</v>
      </c>
      <c r="F2147" s="129" t="s">
        <v>256</v>
      </c>
    </row>
    <row r="2148" spans="1:6" ht="16" thickBot="1" x14ac:dyDescent="0.25">
      <c r="A2148" s="83">
        <v>6</v>
      </c>
      <c r="B2148" s="129" t="s">
        <v>234</v>
      </c>
      <c r="C2148" s="129" t="s">
        <v>147</v>
      </c>
      <c r="D2148" s="83">
        <v>750</v>
      </c>
      <c r="E2148" s="103">
        <v>135574.33536999999</v>
      </c>
      <c r="F2148" s="129" t="s">
        <v>148</v>
      </c>
    </row>
    <row r="2149" spans="1:6" ht="16" thickBot="1" x14ac:dyDescent="0.25">
      <c r="A2149" s="83">
        <v>6</v>
      </c>
      <c r="B2149" s="129" t="s">
        <v>235</v>
      </c>
      <c r="C2149" s="129" t="s">
        <v>147</v>
      </c>
      <c r="D2149" s="83">
        <v>664</v>
      </c>
      <c r="E2149" s="103">
        <v>2577930.3050000002</v>
      </c>
      <c r="F2149" s="129" t="s">
        <v>256</v>
      </c>
    </row>
    <row r="2150" spans="1:6" ht="16" thickBot="1" x14ac:dyDescent="0.25">
      <c r="A2150" s="83">
        <v>6</v>
      </c>
      <c r="B2150" s="129" t="s">
        <v>235</v>
      </c>
      <c r="C2150" s="129" t="s">
        <v>147</v>
      </c>
      <c r="D2150" s="83">
        <v>1155</v>
      </c>
      <c r="E2150" s="103">
        <v>228376.61296</v>
      </c>
      <c r="F2150" s="129" t="s">
        <v>148</v>
      </c>
    </row>
    <row r="2151" spans="1:6" ht="16" thickBot="1" x14ac:dyDescent="0.25">
      <c r="A2151" s="83">
        <v>6</v>
      </c>
      <c r="B2151" s="129" t="s">
        <v>236</v>
      </c>
      <c r="C2151" s="129" t="s">
        <v>147</v>
      </c>
      <c r="D2151" s="83">
        <v>1295</v>
      </c>
      <c r="E2151" s="103">
        <v>8672119.0030000005</v>
      </c>
      <c r="F2151" s="129" t="s">
        <v>256</v>
      </c>
    </row>
    <row r="2152" spans="1:6" ht="16" thickBot="1" x14ac:dyDescent="0.25">
      <c r="A2152" s="83">
        <v>6</v>
      </c>
      <c r="B2152" s="129" t="s">
        <v>236</v>
      </c>
      <c r="C2152" s="129" t="s">
        <v>147</v>
      </c>
      <c r="D2152" s="83">
        <v>726</v>
      </c>
      <c r="E2152" s="103">
        <v>136948.17319999999</v>
      </c>
      <c r="F2152" s="129" t="s">
        <v>148</v>
      </c>
    </row>
    <row r="2153" spans="1:6" ht="16" thickBot="1" x14ac:dyDescent="0.25">
      <c r="A2153" s="83">
        <v>6</v>
      </c>
      <c r="B2153" s="129" t="s">
        <v>237</v>
      </c>
      <c r="C2153" s="129" t="s">
        <v>147</v>
      </c>
      <c r="D2153" s="83">
        <v>1229</v>
      </c>
      <c r="E2153" s="103">
        <v>8236885.676</v>
      </c>
      <c r="F2153" s="129" t="s">
        <v>256</v>
      </c>
    </row>
    <row r="2154" spans="1:6" ht="16" thickBot="1" x14ac:dyDescent="0.25">
      <c r="A2154" s="83">
        <v>6</v>
      </c>
      <c r="B2154" s="129" t="s">
        <v>237</v>
      </c>
      <c r="C2154" s="129" t="s">
        <v>147</v>
      </c>
      <c r="D2154" s="83">
        <v>645</v>
      </c>
      <c r="E2154" s="103">
        <v>167049.36256000001</v>
      </c>
      <c r="F2154" s="129" t="s">
        <v>148</v>
      </c>
    </row>
    <row r="2155" spans="1:6" ht="16" thickBot="1" x14ac:dyDescent="0.25">
      <c r="A2155" s="83">
        <v>6</v>
      </c>
      <c r="B2155" s="129" t="s">
        <v>238</v>
      </c>
      <c r="C2155" s="129" t="s">
        <v>147</v>
      </c>
      <c r="D2155" s="83">
        <v>1778</v>
      </c>
      <c r="E2155" s="103">
        <v>9010056.3159999996</v>
      </c>
      <c r="F2155" s="129" t="s">
        <v>256</v>
      </c>
    </row>
    <row r="2156" spans="1:6" ht="16" thickBot="1" x14ac:dyDescent="0.25">
      <c r="A2156" s="83">
        <v>6</v>
      </c>
      <c r="B2156" s="129" t="s">
        <v>238</v>
      </c>
      <c r="C2156" s="129" t="s">
        <v>147</v>
      </c>
      <c r="D2156" s="83">
        <v>1216</v>
      </c>
      <c r="E2156" s="103">
        <v>333886.01747999998</v>
      </c>
      <c r="F2156" s="129" t="s">
        <v>148</v>
      </c>
    </row>
    <row r="2157" spans="1:6" ht="16" thickBot="1" x14ac:dyDescent="0.25">
      <c r="A2157" s="83">
        <v>6</v>
      </c>
      <c r="B2157" s="129" t="s">
        <v>239</v>
      </c>
      <c r="C2157" s="129" t="s">
        <v>147</v>
      </c>
      <c r="D2157" s="83">
        <v>1143</v>
      </c>
      <c r="E2157" s="103">
        <v>8959938.2809999995</v>
      </c>
      <c r="F2157" s="129" t="s">
        <v>256</v>
      </c>
    </row>
    <row r="2158" spans="1:6" ht="16" thickBot="1" x14ac:dyDescent="0.25">
      <c r="A2158" s="83">
        <v>6</v>
      </c>
      <c r="B2158" s="129" t="s">
        <v>239</v>
      </c>
      <c r="C2158" s="129" t="s">
        <v>147</v>
      </c>
      <c r="D2158" s="83">
        <v>1059</v>
      </c>
      <c r="E2158" s="103">
        <v>274365.28706</v>
      </c>
      <c r="F2158" s="129" t="s">
        <v>148</v>
      </c>
    </row>
    <row r="2159" spans="1:6" ht="16" thickBot="1" x14ac:dyDescent="0.25">
      <c r="A2159" s="83">
        <v>6</v>
      </c>
      <c r="B2159" s="129" t="s">
        <v>240</v>
      </c>
      <c r="C2159" s="129" t="s">
        <v>147</v>
      </c>
      <c r="D2159" s="83">
        <v>948</v>
      </c>
      <c r="E2159" s="103">
        <v>3780516.8769999999</v>
      </c>
      <c r="F2159" s="129" t="s">
        <v>256</v>
      </c>
    </row>
    <row r="2160" spans="1:6" ht="16" thickBot="1" x14ac:dyDescent="0.25">
      <c r="A2160" s="83">
        <v>6</v>
      </c>
      <c r="B2160" s="129" t="s">
        <v>240</v>
      </c>
      <c r="C2160" s="129" t="s">
        <v>147</v>
      </c>
      <c r="D2160" s="83">
        <v>647</v>
      </c>
      <c r="E2160" s="103">
        <v>22569.249680000001</v>
      </c>
      <c r="F2160" s="129" t="s">
        <v>148</v>
      </c>
    </row>
    <row r="2161" spans="1:6" ht="16" thickBot="1" x14ac:dyDescent="0.25">
      <c r="A2161" s="83">
        <v>6</v>
      </c>
      <c r="B2161" s="129" t="s">
        <v>241</v>
      </c>
      <c r="C2161" s="129" t="s">
        <v>147</v>
      </c>
      <c r="D2161" s="83">
        <v>962</v>
      </c>
      <c r="E2161" s="103">
        <v>8693946.3650000002</v>
      </c>
      <c r="F2161" s="129" t="s">
        <v>256</v>
      </c>
    </row>
    <row r="2162" spans="1:6" ht="16" thickBot="1" x14ac:dyDescent="0.25">
      <c r="A2162" s="83">
        <v>6</v>
      </c>
      <c r="B2162" s="129" t="s">
        <v>241</v>
      </c>
      <c r="C2162" s="129" t="s">
        <v>147</v>
      </c>
      <c r="D2162" s="83">
        <v>604</v>
      </c>
      <c r="E2162" s="103">
        <v>120947.61975</v>
      </c>
      <c r="F2162" s="129" t="s">
        <v>148</v>
      </c>
    </row>
    <row r="2163" spans="1:6" ht="16" thickBot="1" x14ac:dyDescent="0.25">
      <c r="A2163" s="83">
        <v>6</v>
      </c>
      <c r="B2163" s="129" t="s">
        <v>242</v>
      </c>
      <c r="C2163" s="129" t="s">
        <v>147</v>
      </c>
      <c r="D2163" s="83">
        <v>53</v>
      </c>
      <c r="E2163" s="103">
        <v>571053.80700000003</v>
      </c>
      <c r="F2163" s="129" t="s">
        <v>256</v>
      </c>
    </row>
    <row r="2164" spans="1:6" ht="16" thickBot="1" x14ac:dyDescent="0.25">
      <c r="A2164" s="83">
        <v>6</v>
      </c>
      <c r="B2164" s="129" t="s">
        <v>242</v>
      </c>
      <c r="C2164" s="129" t="s">
        <v>147</v>
      </c>
      <c r="D2164" s="83">
        <v>11</v>
      </c>
      <c r="E2164" s="103">
        <v>27168.19569</v>
      </c>
      <c r="F2164" s="129" t="s">
        <v>148</v>
      </c>
    </row>
    <row r="2165" spans="1:6" ht="16" thickBot="1" x14ac:dyDescent="0.25">
      <c r="A2165" s="83">
        <v>6</v>
      </c>
      <c r="B2165" s="129" t="s">
        <v>243</v>
      </c>
      <c r="C2165" s="129" t="s">
        <v>147</v>
      </c>
      <c r="D2165" s="83">
        <v>1</v>
      </c>
      <c r="E2165" s="103">
        <v>14292.36</v>
      </c>
      <c r="F2165" s="129" t="s">
        <v>256</v>
      </c>
    </row>
    <row r="2166" spans="1:6" ht="16" thickBot="1" x14ac:dyDescent="0.25">
      <c r="A2166" s="83">
        <v>6</v>
      </c>
      <c r="B2166" s="129" t="s">
        <v>243</v>
      </c>
      <c r="C2166" s="129" t="s">
        <v>147</v>
      </c>
      <c r="D2166" s="83">
        <v>1</v>
      </c>
      <c r="E2166" s="103">
        <v>212.8</v>
      </c>
      <c r="F2166" s="129" t="s">
        <v>148</v>
      </c>
    </row>
    <row r="2167" spans="1:6" ht="16" thickBot="1" x14ac:dyDescent="0.25">
      <c r="A2167" s="83">
        <v>6</v>
      </c>
      <c r="B2167" s="129" t="s">
        <v>244</v>
      </c>
      <c r="C2167" s="129" t="s">
        <v>147</v>
      </c>
      <c r="D2167" s="83">
        <v>754</v>
      </c>
      <c r="E2167" s="103">
        <v>4614195.1229999997</v>
      </c>
      <c r="F2167" s="129" t="s">
        <v>256</v>
      </c>
    </row>
    <row r="2168" spans="1:6" ht="16" thickBot="1" x14ac:dyDescent="0.25">
      <c r="A2168" s="83">
        <v>6</v>
      </c>
      <c r="B2168" s="129" t="s">
        <v>244</v>
      </c>
      <c r="C2168" s="129" t="s">
        <v>147</v>
      </c>
      <c r="D2168" s="83">
        <v>361</v>
      </c>
      <c r="E2168" s="103">
        <v>60191.172330000001</v>
      </c>
      <c r="F2168" s="129" t="s">
        <v>148</v>
      </c>
    </row>
    <row r="2169" spans="1:6" ht="16" thickBot="1" x14ac:dyDescent="0.25">
      <c r="A2169" s="83">
        <v>6</v>
      </c>
      <c r="B2169" s="129" t="s">
        <v>245</v>
      </c>
      <c r="C2169" s="129" t="s">
        <v>147</v>
      </c>
      <c r="D2169" s="83">
        <v>769</v>
      </c>
      <c r="E2169" s="103">
        <v>7576604.1849999996</v>
      </c>
      <c r="F2169" s="129" t="s">
        <v>256</v>
      </c>
    </row>
    <row r="2170" spans="1:6" ht="16" thickBot="1" x14ac:dyDescent="0.25">
      <c r="A2170" s="83">
        <v>6</v>
      </c>
      <c r="B2170" s="129" t="s">
        <v>245</v>
      </c>
      <c r="C2170" s="129" t="s">
        <v>147</v>
      </c>
      <c r="D2170" s="83">
        <v>437</v>
      </c>
      <c r="E2170" s="103">
        <v>282449.79479999997</v>
      </c>
      <c r="F2170" s="129" t="s">
        <v>148</v>
      </c>
    </row>
    <row r="2171" spans="1:6" ht="16" thickBot="1" x14ac:dyDescent="0.25">
      <c r="A2171" s="83">
        <v>6</v>
      </c>
      <c r="B2171" s="129" t="s">
        <v>273</v>
      </c>
      <c r="C2171" s="129" t="s">
        <v>147</v>
      </c>
      <c r="D2171" s="83">
        <v>2</v>
      </c>
      <c r="E2171" s="103">
        <v>3375.68</v>
      </c>
      <c r="F2171" s="129" t="s">
        <v>148</v>
      </c>
    </row>
    <row r="2172" spans="1:6" ht="16" thickBot="1" x14ac:dyDescent="0.25">
      <c r="A2172" s="83">
        <v>6</v>
      </c>
      <c r="B2172" s="129" t="s">
        <v>246</v>
      </c>
      <c r="C2172" s="129" t="s">
        <v>147</v>
      </c>
      <c r="D2172" s="83">
        <v>1</v>
      </c>
      <c r="E2172" s="103">
        <v>18399.36</v>
      </c>
      <c r="F2172" s="129" t="s">
        <v>256</v>
      </c>
    </row>
    <row r="2173" spans="1:6" ht="16" thickBot="1" x14ac:dyDescent="0.25">
      <c r="A2173" s="83">
        <v>6</v>
      </c>
      <c r="B2173" s="129" t="s">
        <v>246</v>
      </c>
      <c r="C2173" s="129" t="s">
        <v>147</v>
      </c>
      <c r="D2173" s="83">
        <v>2</v>
      </c>
      <c r="E2173" s="103">
        <v>191.63040000000001</v>
      </c>
      <c r="F2173" s="129" t="s">
        <v>148</v>
      </c>
    </row>
    <row r="2174" spans="1:6" ht="16" thickBot="1" x14ac:dyDescent="0.25">
      <c r="A2174" s="83">
        <v>6</v>
      </c>
      <c r="B2174" s="129" t="s">
        <v>247</v>
      </c>
      <c r="C2174" s="129" t="s">
        <v>147</v>
      </c>
      <c r="D2174" s="83">
        <v>74</v>
      </c>
      <c r="E2174" s="103">
        <v>25845.44901</v>
      </c>
      <c r="F2174" s="129" t="s">
        <v>148</v>
      </c>
    </row>
    <row r="2175" spans="1:6" ht="16" thickBot="1" x14ac:dyDescent="0.25">
      <c r="A2175" s="83">
        <v>6</v>
      </c>
      <c r="B2175" s="129" t="s">
        <v>248</v>
      </c>
      <c r="C2175" s="129" t="s">
        <v>147</v>
      </c>
      <c r="D2175" s="83">
        <v>1</v>
      </c>
      <c r="E2175" s="83">
        <v>0</v>
      </c>
      <c r="F2175" s="129" t="s">
        <v>256</v>
      </c>
    </row>
    <row r="2176" spans="1:6" ht="16" thickBot="1" x14ac:dyDescent="0.25">
      <c r="A2176" s="83">
        <v>6</v>
      </c>
      <c r="B2176" s="129" t="s">
        <v>249</v>
      </c>
      <c r="C2176" s="129" t="s">
        <v>147</v>
      </c>
      <c r="D2176" s="83">
        <v>129</v>
      </c>
      <c r="E2176" s="103">
        <v>2481411.003</v>
      </c>
      <c r="F2176" s="129" t="s">
        <v>256</v>
      </c>
    </row>
    <row r="2177" spans="1:6" ht="16" thickBot="1" x14ac:dyDescent="0.25">
      <c r="A2177" s="83">
        <v>6</v>
      </c>
      <c r="B2177" s="129" t="s">
        <v>249</v>
      </c>
      <c r="C2177" s="129" t="s">
        <v>147</v>
      </c>
      <c r="D2177" s="83">
        <v>29</v>
      </c>
      <c r="E2177" s="103">
        <v>1071.24854</v>
      </c>
      <c r="F2177" s="129" t="s">
        <v>148</v>
      </c>
    </row>
    <row r="2178" spans="1:6" ht="16" thickBot="1" x14ac:dyDescent="0.25">
      <c r="A2178" s="83">
        <v>6</v>
      </c>
      <c r="B2178" s="129" t="s">
        <v>250</v>
      </c>
      <c r="C2178" s="129" t="s">
        <v>147</v>
      </c>
      <c r="D2178" s="83">
        <v>1106</v>
      </c>
      <c r="E2178" s="103">
        <v>9894718.7039999999</v>
      </c>
      <c r="F2178" s="129" t="s">
        <v>256</v>
      </c>
    </row>
    <row r="2179" spans="1:6" ht="16" thickBot="1" x14ac:dyDescent="0.25">
      <c r="A2179" s="83">
        <v>6</v>
      </c>
      <c r="B2179" s="129" t="s">
        <v>251</v>
      </c>
      <c r="C2179" s="129" t="s">
        <v>147</v>
      </c>
      <c r="D2179" s="83">
        <v>63</v>
      </c>
      <c r="E2179" s="103">
        <v>211901.402</v>
      </c>
      <c r="F2179" s="129" t="s">
        <v>256</v>
      </c>
    </row>
    <row r="2180" spans="1:6" ht="16" thickBot="1" x14ac:dyDescent="0.25">
      <c r="A2180" s="83">
        <v>6</v>
      </c>
      <c r="B2180" s="129" t="s">
        <v>252</v>
      </c>
      <c r="C2180" s="129" t="s">
        <v>147</v>
      </c>
      <c r="D2180" s="83">
        <v>64</v>
      </c>
      <c r="E2180" s="103">
        <v>180495.82500000001</v>
      </c>
      <c r="F2180" s="129" t="s">
        <v>256</v>
      </c>
    </row>
    <row r="2181" spans="1:6" ht="16" thickBot="1" x14ac:dyDescent="0.25">
      <c r="A2181" s="83">
        <v>6</v>
      </c>
      <c r="B2181" s="129" t="s">
        <v>252</v>
      </c>
      <c r="C2181" s="129" t="s">
        <v>147</v>
      </c>
      <c r="D2181" s="83">
        <v>30</v>
      </c>
      <c r="E2181" s="103">
        <v>738.45493999999997</v>
      </c>
      <c r="F2181" s="129" t="s">
        <v>148</v>
      </c>
    </row>
    <row r="2182" spans="1:6" ht="16" thickBot="1" x14ac:dyDescent="0.25">
      <c r="A2182" s="83">
        <v>6</v>
      </c>
      <c r="B2182" s="129" t="s">
        <v>253</v>
      </c>
      <c r="C2182" s="129" t="s">
        <v>147</v>
      </c>
      <c r="D2182" s="83">
        <v>1139</v>
      </c>
      <c r="E2182" s="103">
        <v>4330510.4730000002</v>
      </c>
      <c r="F2182" s="129" t="s">
        <v>256</v>
      </c>
    </row>
    <row r="2183" spans="1:6" ht="16" thickBot="1" x14ac:dyDescent="0.25">
      <c r="A2183" s="83">
        <v>6</v>
      </c>
      <c r="B2183" s="129" t="s">
        <v>253</v>
      </c>
      <c r="C2183" s="129" t="s">
        <v>147</v>
      </c>
      <c r="D2183" s="83">
        <v>535</v>
      </c>
      <c r="E2183" s="103">
        <v>63173.29189</v>
      </c>
      <c r="F2183" s="129" t="s">
        <v>148</v>
      </c>
    </row>
    <row r="2184" spans="1:6" ht="16" thickBot="1" x14ac:dyDescent="0.25">
      <c r="A2184" s="83">
        <v>6</v>
      </c>
      <c r="B2184" s="129" t="s">
        <v>151</v>
      </c>
      <c r="C2184" s="129" t="s">
        <v>152</v>
      </c>
      <c r="D2184" s="83">
        <v>2</v>
      </c>
      <c r="E2184" s="83">
        <v>1027768</v>
      </c>
      <c r="F2184" s="129" t="s">
        <v>148</v>
      </c>
    </row>
    <row r="2185" spans="1:6" ht="16" thickBot="1" x14ac:dyDescent="0.25">
      <c r="A2185" s="83">
        <v>6</v>
      </c>
      <c r="B2185" s="129" t="s">
        <v>153</v>
      </c>
      <c r="C2185" s="129" t="s">
        <v>152</v>
      </c>
      <c r="D2185" s="83">
        <v>3</v>
      </c>
      <c r="E2185" s="103">
        <v>113704.76</v>
      </c>
      <c r="F2185" s="129" t="s">
        <v>256</v>
      </c>
    </row>
    <row r="2186" spans="1:6" ht="16" thickBot="1" x14ac:dyDescent="0.25">
      <c r="A2186" s="83">
        <v>6</v>
      </c>
      <c r="B2186" s="129" t="s">
        <v>153</v>
      </c>
      <c r="C2186" s="129" t="s">
        <v>152</v>
      </c>
      <c r="D2186" s="83">
        <v>2</v>
      </c>
      <c r="E2186" s="103">
        <v>14471.823410000001</v>
      </c>
      <c r="F2186" s="129" t="s">
        <v>148</v>
      </c>
    </row>
    <row r="2187" spans="1:6" ht="16" thickBot="1" x14ac:dyDescent="0.25">
      <c r="A2187" s="83">
        <v>6</v>
      </c>
      <c r="B2187" s="129" t="s">
        <v>154</v>
      </c>
      <c r="C2187" s="129" t="s">
        <v>152</v>
      </c>
      <c r="D2187" s="83">
        <v>3</v>
      </c>
      <c r="E2187" s="103">
        <v>15706.099</v>
      </c>
      <c r="F2187" s="129" t="s">
        <v>256</v>
      </c>
    </row>
    <row r="2188" spans="1:6" ht="16" thickBot="1" x14ac:dyDescent="0.25">
      <c r="A2188" s="83">
        <v>6</v>
      </c>
      <c r="B2188" s="129" t="s">
        <v>156</v>
      </c>
      <c r="C2188" s="129" t="s">
        <v>152</v>
      </c>
      <c r="D2188" s="83">
        <v>12</v>
      </c>
      <c r="E2188" s="103">
        <v>94573.774000000005</v>
      </c>
      <c r="F2188" s="129" t="s">
        <v>256</v>
      </c>
    </row>
    <row r="2189" spans="1:6" ht="16" thickBot="1" x14ac:dyDescent="0.25">
      <c r="A2189" s="83">
        <v>6</v>
      </c>
      <c r="B2189" s="129" t="s">
        <v>156</v>
      </c>
      <c r="C2189" s="129" t="s">
        <v>152</v>
      </c>
      <c r="D2189" s="83">
        <v>1</v>
      </c>
      <c r="E2189" s="103">
        <v>9.8374799999999993</v>
      </c>
      <c r="F2189" s="129" t="s">
        <v>148</v>
      </c>
    </row>
    <row r="2190" spans="1:6" ht="16" thickBot="1" x14ac:dyDescent="0.25">
      <c r="A2190" s="83">
        <v>6</v>
      </c>
      <c r="B2190" s="129" t="s">
        <v>157</v>
      </c>
      <c r="C2190" s="129" t="s">
        <v>152</v>
      </c>
      <c r="D2190" s="83">
        <v>6</v>
      </c>
      <c r="E2190" s="103">
        <v>98702.823000000004</v>
      </c>
      <c r="F2190" s="129" t="s">
        <v>256</v>
      </c>
    </row>
    <row r="2191" spans="1:6" ht="16" thickBot="1" x14ac:dyDescent="0.25">
      <c r="A2191" s="83">
        <v>6</v>
      </c>
      <c r="B2191" s="129" t="s">
        <v>157</v>
      </c>
      <c r="C2191" s="129" t="s">
        <v>152</v>
      </c>
      <c r="D2191" s="83">
        <v>1</v>
      </c>
      <c r="E2191" s="103">
        <v>12.219060000000001</v>
      </c>
      <c r="F2191" s="129" t="s">
        <v>148</v>
      </c>
    </row>
    <row r="2192" spans="1:6" ht="16" thickBot="1" x14ac:dyDescent="0.25">
      <c r="A2192" s="83">
        <v>6</v>
      </c>
      <c r="B2192" s="129" t="s">
        <v>158</v>
      </c>
      <c r="C2192" s="129" t="s">
        <v>152</v>
      </c>
      <c r="D2192" s="83">
        <v>1</v>
      </c>
      <c r="E2192" s="83">
        <v>0</v>
      </c>
      <c r="F2192" s="129" t="s">
        <v>256</v>
      </c>
    </row>
    <row r="2193" spans="1:6" ht="16" thickBot="1" x14ac:dyDescent="0.25">
      <c r="A2193" s="83">
        <v>6</v>
      </c>
      <c r="B2193" s="129" t="s">
        <v>161</v>
      </c>
      <c r="C2193" s="129" t="s">
        <v>152</v>
      </c>
      <c r="D2193" s="83">
        <v>5</v>
      </c>
      <c r="E2193" s="103">
        <v>9151.4830000000002</v>
      </c>
      <c r="F2193" s="129" t="s">
        <v>256</v>
      </c>
    </row>
    <row r="2194" spans="1:6" ht="16" thickBot="1" x14ac:dyDescent="0.25">
      <c r="A2194" s="83">
        <v>6</v>
      </c>
      <c r="B2194" s="129" t="s">
        <v>162</v>
      </c>
      <c r="C2194" s="129" t="s">
        <v>152</v>
      </c>
      <c r="D2194" s="83">
        <v>1</v>
      </c>
      <c r="E2194" s="103">
        <v>2272.04</v>
      </c>
      <c r="F2194" s="129" t="s">
        <v>256</v>
      </c>
    </row>
    <row r="2195" spans="1:6" ht="16" thickBot="1" x14ac:dyDescent="0.25">
      <c r="A2195" s="83">
        <v>6</v>
      </c>
      <c r="B2195" s="129" t="s">
        <v>165</v>
      </c>
      <c r="C2195" s="129" t="s">
        <v>152</v>
      </c>
      <c r="D2195" s="83">
        <v>1</v>
      </c>
      <c r="E2195" s="103">
        <v>86.665000000000006</v>
      </c>
      <c r="F2195" s="129" t="s">
        <v>256</v>
      </c>
    </row>
    <row r="2196" spans="1:6" ht="16" thickBot="1" x14ac:dyDescent="0.25">
      <c r="A2196" s="83">
        <v>6</v>
      </c>
      <c r="B2196" s="129" t="s">
        <v>166</v>
      </c>
      <c r="C2196" s="129" t="s">
        <v>152</v>
      </c>
      <c r="D2196" s="83">
        <v>8</v>
      </c>
      <c r="E2196" s="103">
        <v>4476409.72</v>
      </c>
      <c r="F2196" s="129" t="s">
        <v>256</v>
      </c>
    </row>
    <row r="2197" spans="1:6" ht="16" thickBot="1" x14ac:dyDescent="0.25">
      <c r="A2197" s="83">
        <v>6</v>
      </c>
      <c r="B2197" s="129" t="s">
        <v>166</v>
      </c>
      <c r="C2197" s="129" t="s">
        <v>152</v>
      </c>
      <c r="D2197" s="83">
        <v>3</v>
      </c>
      <c r="E2197" s="103">
        <v>89106.099199999997</v>
      </c>
      <c r="F2197" s="129" t="s">
        <v>148</v>
      </c>
    </row>
    <row r="2198" spans="1:6" ht="16" thickBot="1" x14ac:dyDescent="0.25">
      <c r="A2198" s="83">
        <v>6</v>
      </c>
      <c r="B2198" s="129" t="s">
        <v>169</v>
      </c>
      <c r="C2198" s="129" t="s">
        <v>152</v>
      </c>
      <c r="D2198" s="83">
        <v>1</v>
      </c>
      <c r="E2198" s="103">
        <v>21161.4</v>
      </c>
      <c r="F2198" s="129" t="s">
        <v>256</v>
      </c>
    </row>
    <row r="2199" spans="1:6" ht="16" thickBot="1" x14ac:dyDescent="0.25">
      <c r="A2199" s="83">
        <v>6</v>
      </c>
      <c r="B2199" s="129" t="s">
        <v>170</v>
      </c>
      <c r="C2199" s="129" t="s">
        <v>152</v>
      </c>
      <c r="D2199" s="83">
        <v>2</v>
      </c>
      <c r="E2199" s="83">
        <v>262972</v>
      </c>
      <c r="F2199" s="129" t="s">
        <v>148</v>
      </c>
    </row>
    <row r="2200" spans="1:6" ht="16" thickBot="1" x14ac:dyDescent="0.25">
      <c r="A2200" s="83">
        <v>6</v>
      </c>
      <c r="B2200" s="129" t="s">
        <v>172</v>
      </c>
      <c r="C2200" s="129" t="s">
        <v>152</v>
      </c>
      <c r="D2200" s="83">
        <v>1</v>
      </c>
      <c r="E2200" s="103">
        <v>5664.027</v>
      </c>
      <c r="F2200" s="129" t="s">
        <v>256</v>
      </c>
    </row>
    <row r="2201" spans="1:6" ht="16" thickBot="1" x14ac:dyDescent="0.25">
      <c r="A2201" s="83">
        <v>6</v>
      </c>
      <c r="B2201" s="129" t="s">
        <v>173</v>
      </c>
      <c r="C2201" s="129" t="s">
        <v>152</v>
      </c>
      <c r="D2201" s="83">
        <v>1</v>
      </c>
      <c r="E2201" s="103">
        <v>727.85699999999997</v>
      </c>
      <c r="F2201" s="129" t="s">
        <v>256</v>
      </c>
    </row>
    <row r="2202" spans="1:6" ht="16" thickBot="1" x14ac:dyDescent="0.25">
      <c r="A2202" s="83">
        <v>6</v>
      </c>
      <c r="B2202" s="129" t="s">
        <v>174</v>
      </c>
      <c r="C2202" s="129" t="s">
        <v>152</v>
      </c>
      <c r="D2202" s="83">
        <v>1</v>
      </c>
      <c r="E2202" s="103">
        <v>635.20000000000005</v>
      </c>
      <c r="F2202" s="129" t="s">
        <v>256</v>
      </c>
    </row>
    <row r="2203" spans="1:6" ht="16" thickBot="1" x14ac:dyDescent="0.25">
      <c r="A2203" s="83">
        <v>6</v>
      </c>
      <c r="B2203" s="129" t="s">
        <v>175</v>
      </c>
      <c r="C2203" s="129" t="s">
        <v>152</v>
      </c>
      <c r="D2203" s="83">
        <v>4</v>
      </c>
      <c r="E2203" s="103">
        <v>12140.228999999999</v>
      </c>
      <c r="F2203" s="129" t="s">
        <v>256</v>
      </c>
    </row>
    <row r="2204" spans="1:6" ht="16" thickBot="1" x14ac:dyDescent="0.25">
      <c r="A2204" s="83">
        <v>6</v>
      </c>
      <c r="B2204" s="129" t="s">
        <v>178</v>
      </c>
      <c r="C2204" s="129" t="s">
        <v>152</v>
      </c>
      <c r="D2204" s="83">
        <v>3</v>
      </c>
      <c r="E2204" s="103">
        <v>12916.933999999999</v>
      </c>
      <c r="F2204" s="129" t="s">
        <v>256</v>
      </c>
    </row>
    <row r="2205" spans="1:6" ht="16" thickBot="1" x14ac:dyDescent="0.25">
      <c r="A2205" s="83">
        <v>6</v>
      </c>
      <c r="B2205" s="129" t="s">
        <v>182</v>
      </c>
      <c r="C2205" s="129" t="s">
        <v>152</v>
      </c>
      <c r="D2205" s="83">
        <v>1</v>
      </c>
      <c r="E2205" s="103">
        <v>87.757000000000005</v>
      </c>
      <c r="F2205" s="129" t="s">
        <v>256</v>
      </c>
    </row>
    <row r="2206" spans="1:6" ht="16" thickBot="1" x14ac:dyDescent="0.25">
      <c r="A2206" s="83">
        <v>6</v>
      </c>
      <c r="B2206" s="129" t="s">
        <v>184</v>
      </c>
      <c r="C2206" s="129" t="s">
        <v>152</v>
      </c>
      <c r="D2206" s="83">
        <v>5</v>
      </c>
      <c r="E2206" s="103">
        <v>143736.85200000001</v>
      </c>
      <c r="F2206" s="129" t="s">
        <v>256</v>
      </c>
    </row>
    <row r="2207" spans="1:6" ht="16" thickBot="1" x14ac:dyDescent="0.25">
      <c r="A2207" s="83">
        <v>6</v>
      </c>
      <c r="B2207" s="129" t="s">
        <v>185</v>
      </c>
      <c r="C2207" s="129" t="s">
        <v>152</v>
      </c>
      <c r="D2207" s="83">
        <v>3</v>
      </c>
      <c r="E2207" s="103">
        <v>12067.356</v>
      </c>
      <c r="F2207" s="129" t="s">
        <v>256</v>
      </c>
    </row>
    <row r="2208" spans="1:6" ht="16" thickBot="1" x14ac:dyDescent="0.25">
      <c r="A2208" s="83">
        <v>6</v>
      </c>
      <c r="B2208" s="129" t="s">
        <v>186</v>
      </c>
      <c r="C2208" s="129" t="s">
        <v>152</v>
      </c>
      <c r="D2208" s="83">
        <v>3</v>
      </c>
      <c r="E2208" s="103">
        <v>560.51</v>
      </c>
      <c r="F2208" s="129" t="s">
        <v>256</v>
      </c>
    </row>
    <row r="2209" spans="1:6" ht="16" thickBot="1" x14ac:dyDescent="0.25">
      <c r="A2209" s="83">
        <v>6</v>
      </c>
      <c r="B2209" s="129" t="s">
        <v>189</v>
      </c>
      <c r="C2209" s="129" t="s">
        <v>152</v>
      </c>
      <c r="D2209" s="83">
        <v>2</v>
      </c>
      <c r="E2209" s="103">
        <v>98.04</v>
      </c>
      <c r="F2209" s="129" t="s">
        <v>256</v>
      </c>
    </row>
    <row r="2210" spans="1:6" ht="16" thickBot="1" x14ac:dyDescent="0.25">
      <c r="A2210" s="83">
        <v>6</v>
      </c>
      <c r="B2210" s="129" t="s">
        <v>191</v>
      </c>
      <c r="C2210" s="129" t="s">
        <v>152</v>
      </c>
      <c r="D2210" s="83">
        <v>6</v>
      </c>
      <c r="E2210" s="103">
        <v>36718.000999999997</v>
      </c>
      <c r="F2210" s="129" t="s">
        <v>256</v>
      </c>
    </row>
    <row r="2211" spans="1:6" ht="16" thickBot="1" x14ac:dyDescent="0.25">
      <c r="A2211" s="83">
        <v>6</v>
      </c>
      <c r="B2211" s="129" t="s">
        <v>191</v>
      </c>
      <c r="C2211" s="129" t="s">
        <v>152</v>
      </c>
      <c r="D2211" s="83">
        <v>1</v>
      </c>
      <c r="E2211" s="103">
        <v>91.949749999999995</v>
      </c>
      <c r="F2211" s="129" t="s">
        <v>148</v>
      </c>
    </row>
    <row r="2212" spans="1:6" ht="16" thickBot="1" x14ac:dyDescent="0.25">
      <c r="A2212" s="83">
        <v>6</v>
      </c>
      <c r="B2212" s="129" t="s">
        <v>192</v>
      </c>
      <c r="C2212" s="129" t="s">
        <v>152</v>
      </c>
      <c r="D2212" s="83">
        <v>1</v>
      </c>
      <c r="E2212" s="103">
        <v>7694.3630000000003</v>
      </c>
      <c r="F2212" s="129" t="s">
        <v>256</v>
      </c>
    </row>
    <row r="2213" spans="1:6" ht="16" thickBot="1" x14ac:dyDescent="0.25">
      <c r="A2213" s="83">
        <v>6</v>
      </c>
      <c r="B2213" s="129" t="s">
        <v>193</v>
      </c>
      <c r="C2213" s="129" t="s">
        <v>152</v>
      </c>
      <c r="D2213" s="83">
        <v>10</v>
      </c>
      <c r="E2213" s="103">
        <v>7542216.4419999998</v>
      </c>
      <c r="F2213" s="129" t="s">
        <v>256</v>
      </c>
    </row>
    <row r="2214" spans="1:6" ht="16" thickBot="1" x14ac:dyDescent="0.25">
      <c r="A2214" s="83">
        <v>6</v>
      </c>
      <c r="B2214" s="129" t="s">
        <v>193</v>
      </c>
      <c r="C2214" s="129" t="s">
        <v>152</v>
      </c>
      <c r="D2214" s="83">
        <v>3</v>
      </c>
      <c r="E2214" s="103">
        <v>7521.5306</v>
      </c>
      <c r="F2214" s="129" t="s">
        <v>148</v>
      </c>
    </row>
    <row r="2215" spans="1:6" ht="16" thickBot="1" x14ac:dyDescent="0.25">
      <c r="A2215" s="83">
        <v>6</v>
      </c>
      <c r="B2215" s="129" t="s">
        <v>195</v>
      </c>
      <c r="C2215" s="129" t="s">
        <v>152</v>
      </c>
      <c r="D2215" s="83">
        <v>2</v>
      </c>
      <c r="E2215" s="103">
        <v>28543.826000000001</v>
      </c>
      <c r="F2215" s="129" t="s">
        <v>256</v>
      </c>
    </row>
    <row r="2216" spans="1:6" ht="16" thickBot="1" x14ac:dyDescent="0.25">
      <c r="A2216" s="83">
        <v>6</v>
      </c>
      <c r="B2216" s="129" t="s">
        <v>196</v>
      </c>
      <c r="C2216" s="129" t="s">
        <v>152</v>
      </c>
      <c r="D2216" s="83">
        <v>4</v>
      </c>
      <c r="E2216" s="103">
        <v>259.63900000000001</v>
      </c>
      <c r="F2216" s="129" t="s">
        <v>256</v>
      </c>
    </row>
    <row r="2217" spans="1:6" ht="16" thickBot="1" x14ac:dyDescent="0.25">
      <c r="A2217" s="83">
        <v>6</v>
      </c>
      <c r="B2217" s="129" t="s">
        <v>198</v>
      </c>
      <c r="C2217" s="129" t="s">
        <v>152</v>
      </c>
      <c r="D2217" s="83">
        <v>1</v>
      </c>
      <c r="E2217" s="103">
        <v>2547.1010000000001</v>
      </c>
      <c r="F2217" s="129" t="s">
        <v>256</v>
      </c>
    </row>
    <row r="2218" spans="1:6" ht="16" thickBot="1" x14ac:dyDescent="0.25">
      <c r="A2218" s="83">
        <v>6</v>
      </c>
      <c r="B2218" s="129" t="s">
        <v>200</v>
      </c>
      <c r="C2218" s="129" t="s">
        <v>152</v>
      </c>
      <c r="D2218" s="83">
        <v>3</v>
      </c>
      <c r="E2218" s="103">
        <v>20775.768</v>
      </c>
      <c r="F2218" s="129" t="s">
        <v>256</v>
      </c>
    </row>
    <row r="2219" spans="1:6" ht="16" thickBot="1" x14ac:dyDescent="0.25">
      <c r="A2219" s="83">
        <v>6</v>
      </c>
      <c r="B2219" s="129" t="s">
        <v>205</v>
      </c>
      <c r="C2219" s="129" t="s">
        <v>152</v>
      </c>
      <c r="D2219" s="83">
        <v>5</v>
      </c>
      <c r="E2219" s="103">
        <v>7645467.2800000003</v>
      </c>
      <c r="F2219" s="129" t="s">
        <v>256</v>
      </c>
    </row>
    <row r="2220" spans="1:6" ht="16" thickBot="1" x14ac:dyDescent="0.25">
      <c r="A2220" s="83">
        <v>6</v>
      </c>
      <c r="B2220" s="129" t="s">
        <v>205</v>
      </c>
      <c r="C2220" s="129" t="s">
        <v>152</v>
      </c>
      <c r="D2220" s="83">
        <v>3</v>
      </c>
      <c r="E2220" s="103">
        <v>207100.89535999999</v>
      </c>
      <c r="F2220" s="129" t="s">
        <v>148</v>
      </c>
    </row>
    <row r="2221" spans="1:6" ht="16" thickBot="1" x14ac:dyDescent="0.25">
      <c r="A2221" s="83">
        <v>6</v>
      </c>
      <c r="B2221" s="129" t="s">
        <v>206</v>
      </c>
      <c r="C2221" s="129" t="s">
        <v>152</v>
      </c>
      <c r="D2221" s="83">
        <v>2</v>
      </c>
      <c r="E2221" s="103">
        <v>10754.689</v>
      </c>
      <c r="F2221" s="129" t="s">
        <v>256</v>
      </c>
    </row>
    <row r="2222" spans="1:6" ht="16" thickBot="1" x14ac:dyDescent="0.25">
      <c r="A2222" s="83">
        <v>6</v>
      </c>
      <c r="B2222" s="129" t="s">
        <v>210</v>
      </c>
      <c r="C2222" s="129" t="s">
        <v>152</v>
      </c>
      <c r="D2222" s="83">
        <v>1</v>
      </c>
      <c r="E2222" s="103">
        <v>3670.279</v>
      </c>
      <c r="F2222" s="129" t="s">
        <v>256</v>
      </c>
    </row>
    <row r="2223" spans="1:6" ht="16" thickBot="1" x14ac:dyDescent="0.25">
      <c r="A2223" s="83">
        <v>6</v>
      </c>
      <c r="B2223" s="129" t="s">
        <v>213</v>
      </c>
      <c r="C2223" s="129" t="s">
        <v>152</v>
      </c>
      <c r="D2223" s="83">
        <v>3</v>
      </c>
      <c r="E2223" s="103">
        <v>3750.32</v>
      </c>
      <c r="F2223" s="129" t="s">
        <v>256</v>
      </c>
    </row>
    <row r="2224" spans="1:6" ht="16" thickBot="1" x14ac:dyDescent="0.25">
      <c r="A2224" s="83">
        <v>6</v>
      </c>
      <c r="B2224" s="129" t="s">
        <v>214</v>
      </c>
      <c r="C2224" s="129" t="s">
        <v>152</v>
      </c>
      <c r="D2224" s="83">
        <v>2</v>
      </c>
      <c r="E2224" s="103">
        <v>6665.0060000000003</v>
      </c>
      <c r="F2224" s="129" t="s">
        <v>256</v>
      </c>
    </row>
    <row r="2225" spans="1:6" ht="16" thickBot="1" x14ac:dyDescent="0.25">
      <c r="A2225" s="83">
        <v>6</v>
      </c>
      <c r="B2225" s="129" t="s">
        <v>215</v>
      </c>
      <c r="C2225" s="129" t="s">
        <v>152</v>
      </c>
      <c r="D2225" s="83">
        <v>2</v>
      </c>
      <c r="E2225" s="103">
        <v>40332.837</v>
      </c>
      <c r="F2225" s="129" t="s">
        <v>256</v>
      </c>
    </row>
    <row r="2226" spans="1:6" ht="16" thickBot="1" x14ac:dyDescent="0.25">
      <c r="A2226" s="83">
        <v>6</v>
      </c>
      <c r="B2226" s="129" t="s">
        <v>217</v>
      </c>
      <c r="C2226" s="129" t="s">
        <v>152</v>
      </c>
      <c r="D2226" s="83">
        <v>5</v>
      </c>
      <c r="E2226" s="103">
        <v>5774.8630000000003</v>
      </c>
      <c r="F2226" s="129" t="s">
        <v>256</v>
      </c>
    </row>
    <row r="2227" spans="1:6" ht="16" thickBot="1" x14ac:dyDescent="0.25">
      <c r="A2227" s="83">
        <v>6</v>
      </c>
      <c r="B2227" s="129" t="s">
        <v>218</v>
      </c>
      <c r="C2227" s="129" t="s">
        <v>152</v>
      </c>
      <c r="D2227" s="83">
        <v>14</v>
      </c>
      <c r="E2227" s="103">
        <v>180130.785</v>
      </c>
      <c r="F2227" s="129" t="s">
        <v>256</v>
      </c>
    </row>
    <row r="2228" spans="1:6" ht="16" thickBot="1" x14ac:dyDescent="0.25">
      <c r="A2228" s="83">
        <v>6</v>
      </c>
      <c r="B2228" s="129" t="s">
        <v>218</v>
      </c>
      <c r="C2228" s="129" t="s">
        <v>152</v>
      </c>
      <c r="D2228" s="83">
        <v>1</v>
      </c>
      <c r="E2228" s="103">
        <v>5115.8760000000002</v>
      </c>
      <c r="F2228" s="129" t="s">
        <v>148</v>
      </c>
    </row>
    <row r="2229" spans="1:6" ht="16" thickBot="1" x14ac:dyDescent="0.25">
      <c r="A2229" s="83">
        <v>6</v>
      </c>
      <c r="B2229" s="129" t="s">
        <v>221</v>
      </c>
      <c r="C2229" s="129" t="s">
        <v>152</v>
      </c>
      <c r="D2229" s="83">
        <v>1</v>
      </c>
      <c r="E2229" s="103">
        <v>1444.473</v>
      </c>
      <c r="F2229" s="129" t="s">
        <v>148</v>
      </c>
    </row>
    <row r="2230" spans="1:6" ht="16" thickBot="1" x14ac:dyDescent="0.25">
      <c r="A2230" s="83">
        <v>6</v>
      </c>
      <c r="B2230" s="129" t="s">
        <v>222</v>
      </c>
      <c r="C2230" s="129" t="s">
        <v>152</v>
      </c>
      <c r="D2230" s="83">
        <v>3</v>
      </c>
      <c r="E2230" s="103">
        <v>8436.6180000000004</v>
      </c>
      <c r="F2230" s="129" t="s">
        <v>256</v>
      </c>
    </row>
    <row r="2231" spans="1:6" ht="16" thickBot="1" x14ac:dyDescent="0.25">
      <c r="A2231" s="83">
        <v>6</v>
      </c>
      <c r="B2231" s="129" t="s">
        <v>223</v>
      </c>
      <c r="C2231" s="129" t="s">
        <v>152</v>
      </c>
      <c r="D2231" s="83">
        <v>4</v>
      </c>
      <c r="E2231" s="103">
        <v>13182.553</v>
      </c>
      <c r="F2231" s="129" t="s">
        <v>256</v>
      </c>
    </row>
    <row r="2232" spans="1:6" ht="16" thickBot="1" x14ac:dyDescent="0.25">
      <c r="A2232" s="83">
        <v>6</v>
      </c>
      <c r="B2232" s="129" t="s">
        <v>224</v>
      </c>
      <c r="C2232" s="129" t="s">
        <v>152</v>
      </c>
      <c r="D2232" s="83">
        <v>2</v>
      </c>
      <c r="E2232" s="103">
        <v>37072.32</v>
      </c>
      <c r="F2232" s="129" t="s">
        <v>256</v>
      </c>
    </row>
    <row r="2233" spans="1:6" ht="16" thickBot="1" x14ac:dyDescent="0.25">
      <c r="A2233" s="83">
        <v>6</v>
      </c>
      <c r="B2233" s="129" t="s">
        <v>226</v>
      </c>
      <c r="C2233" s="129" t="s">
        <v>152</v>
      </c>
      <c r="D2233" s="83">
        <v>2</v>
      </c>
      <c r="E2233" s="83">
        <v>261794</v>
      </c>
      <c r="F2233" s="129" t="s">
        <v>256</v>
      </c>
    </row>
    <row r="2234" spans="1:6" ht="16" thickBot="1" x14ac:dyDescent="0.25">
      <c r="A2234" s="83">
        <v>6</v>
      </c>
      <c r="B2234" s="129" t="s">
        <v>227</v>
      </c>
      <c r="C2234" s="129" t="s">
        <v>152</v>
      </c>
      <c r="D2234" s="83">
        <v>2</v>
      </c>
      <c r="E2234" s="103">
        <v>7153.7290000000003</v>
      </c>
      <c r="F2234" s="129" t="s">
        <v>256</v>
      </c>
    </row>
    <row r="2235" spans="1:6" ht="16" thickBot="1" x14ac:dyDescent="0.25">
      <c r="A2235" s="83">
        <v>6</v>
      </c>
      <c r="B2235" s="129" t="s">
        <v>228</v>
      </c>
      <c r="C2235" s="129" t="s">
        <v>152</v>
      </c>
      <c r="D2235" s="83">
        <v>2</v>
      </c>
      <c r="E2235" s="103">
        <v>357698.70899999997</v>
      </c>
      <c r="F2235" s="129" t="s">
        <v>256</v>
      </c>
    </row>
    <row r="2236" spans="1:6" ht="16" thickBot="1" x14ac:dyDescent="0.25">
      <c r="A2236" s="83">
        <v>6</v>
      </c>
      <c r="B2236" s="129" t="s">
        <v>228</v>
      </c>
      <c r="C2236" s="129" t="s">
        <v>152</v>
      </c>
      <c r="D2236" s="83">
        <v>2</v>
      </c>
      <c r="E2236" s="83">
        <v>178230</v>
      </c>
      <c r="F2236" s="129" t="s">
        <v>148</v>
      </c>
    </row>
    <row r="2237" spans="1:6" ht="16" thickBot="1" x14ac:dyDescent="0.25">
      <c r="A2237" s="83">
        <v>6</v>
      </c>
      <c r="B2237" s="129" t="s">
        <v>230</v>
      </c>
      <c r="C2237" s="129" t="s">
        <v>152</v>
      </c>
      <c r="D2237" s="83">
        <v>6</v>
      </c>
      <c r="E2237" s="103">
        <v>397930.114</v>
      </c>
      <c r="F2237" s="129" t="s">
        <v>256</v>
      </c>
    </row>
    <row r="2238" spans="1:6" ht="16" thickBot="1" x14ac:dyDescent="0.25">
      <c r="A2238" s="83">
        <v>6</v>
      </c>
      <c r="B2238" s="129" t="s">
        <v>230</v>
      </c>
      <c r="C2238" s="129" t="s">
        <v>152</v>
      </c>
      <c r="D2238" s="83">
        <v>1</v>
      </c>
      <c r="E2238" s="103">
        <v>4.484</v>
      </c>
      <c r="F2238" s="129" t="s">
        <v>148</v>
      </c>
    </row>
    <row r="2239" spans="1:6" ht="16" thickBot="1" x14ac:dyDescent="0.25">
      <c r="A2239" s="83">
        <v>6</v>
      </c>
      <c r="B2239" s="129" t="s">
        <v>231</v>
      </c>
      <c r="C2239" s="129" t="s">
        <v>152</v>
      </c>
      <c r="D2239" s="83">
        <v>26</v>
      </c>
      <c r="E2239" s="103">
        <v>3453724.068</v>
      </c>
      <c r="F2239" s="129" t="s">
        <v>256</v>
      </c>
    </row>
    <row r="2240" spans="1:6" ht="16" thickBot="1" x14ac:dyDescent="0.25">
      <c r="A2240" s="83">
        <v>6</v>
      </c>
      <c r="B2240" s="129" t="s">
        <v>231</v>
      </c>
      <c r="C2240" s="129" t="s">
        <v>152</v>
      </c>
      <c r="D2240" s="83">
        <v>17</v>
      </c>
      <c r="E2240" s="103">
        <v>3385.0295700000001</v>
      </c>
      <c r="F2240" s="129" t="s">
        <v>148</v>
      </c>
    </row>
    <row r="2241" spans="1:6" ht="16" thickBot="1" x14ac:dyDescent="0.25">
      <c r="A2241" s="83">
        <v>6</v>
      </c>
      <c r="B2241" s="129" t="s">
        <v>233</v>
      </c>
      <c r="C2241" s="129" t="s">
        <v>152</v>
      </c>
      <c r="D2241" s="83">
        <v>1</v>
      </c>
      <c r="E2241" s="103">
        <v>359.38099999999997</v>
      </c>
      <c r="F2241" s="129" t="s">
        <v>256</v>
      </c>
    </row>
    <row r="2242" spans="1:6" ht="16" thickBot="1" x14ac:dyDescent="0.25">
      <c r="A2242" s="83">
        <v>6</v>
      </c>
      <c r="B2242" s="129" t="s">
        <v>234</v>
      </c>
      <c r="C2242" s="129" t="s">
        <v>152</v>
      </c>
      <c r="D2242" s="83">
        <v>1</v>
      </c>
      <c r="E2242" s="103">
        <v>149757.68</v>
      </c>
      <c r="F2242" s="129" t="s">
        <v>256</v>
      </c>
    </row>
    <row r="2243" spans="1:6" ht="16" thickBot="1" x14ac:dyDescent="0.25">
      <c r="A2243" s="83">
        <v>6</v>
      </c>
      <c r="B2243" s="129" t="s">
        <v>235</v>
      </c>
      <c r="C2243" s="129" t="s">
        <v>152</v>
      </c>
      <c r="D2243" s="83">
        <v>10</v>
      </c>
      <c r="E2243" s="103">
        <v>181866388.19999999</v>
      </c>
      <c r="F2243" s="129" t="s">
        <v>256</v>
      </c>
    </row>
    <row r="2244" spans="1:6" ht="16" thickBot="1" x14ac:dyDescent="0.25">
      <c r="A2244" s="83">
        <v>6</v>
      </c>
      <c r="B2244" s="129" t="s">
        <v>235</v>
      </c>
      <c r="C2244" s="129" t="s">
        <v>152</v>
      </c>
      <c r="D2244" s="83">
        <v>1</v>
      </c>
      <c r="E2244" s="83">
        <v>0</v>
      </c>
      <c r="F2244" s="129" t="s">
        <v>148</v>
      </c>
    </row>
    <row r="2245" spans="1:6" ht="16" thickBot="1" x14ac:dyDescent="0.25">
      <c r="A2245" s="83">
        <v>6</v>
      </c>
      <c r="B2245" s="129" t="s">
        <v>236</v>
      </c>
      <c r="C2245" s="129" t="s">
        <v>152</v>
      </c>
      <c r="D2245" s="83">
        <v>2</v>
      </c>
      <c r="E2245" s="103">
        <v>14717.83</v>
      </c>
      <c r="F2245" s="129" t="s">
        <v>256</v>
      </c>
    </row>
    <row r="2246" spans="1:6" ht="16" thickBot="1" x14ac:dyDescent="0.25">
      <c r="A2246" s="83">
        <v>6</v>
      </c>
      <c r="B2246" s="129" t="s">
        <v>236</v>
      </c>
      <c r="C2246" s="129" t="s">
        <v>152</v>
      </c>
      <c r="D2246" s="83">
        <v>3</v>
      </c>
      <c r="E2246" s="103">
        <v>48679.040059999999</v>
      </c>
      <c r="F2246" s="129" t="s">
        <v>148</v>
      </c>
    </row>
    <row r="2247" spans="1:6" ht="16" thickBot="1" x14ac:dyDescent="0.25">
      <c r="A2247" s="83">
        <v>6</v>
      </c>
      <c r="B2247" s="129" t="s">
        <v>237</v>
      </c>
      <c r="C2247" s="129" t="s">
        <v>152</v>
      </c>
      <c r="D2247" s="83">
        <v>9</v>
      </c>
      <c r="E2247" s="103">
        <v>514666.42200000002</v>
      </c>
      <c r="F2247" s="129" t="s">
        <v>256</v>
      </c>
    </row>
    <row r="2248" spans="1:6" ht="16" thickBot="1" x14ac:dyDescent="0.25">
      <c r="A2248" s="83">
        <v>6</v>
      </c>
      <c r="B2248" s="129" t="s">
        <v>237</v>
      </c>
      <c r="C2248" s="129" t="s">
        <v>152</v>
      </c>
      <c r="D2248" s="83">
        <v>4</v>
      </c>
      <c r="E2248" s="103">
        <v>138317.60579999999</v>
      </c>
      <c r="F2248" s="129" t="s">
        <v>148</v>
      </c>
    </row>
    <row r="2249" spans="1:6" ht="16" thickBot="1" x14ac:dyDescent="0.25">
      <c r="A2249" s="83">
        <v>6</v>
      </c>
      <c r="B2249" s="129" t="s">
        <v>238</v>
      </c>
      <c r="C2249" s="129" t="s">
        <v>152</v>
      </c>
      <c r="D2249" s="83">
        <v>41</v>
      </c>
      <c r="E2249" s="103">
        <v>1331312.0919999999</v>
      </c>
      <c r="F2249" s="129" t="s">
        <v>256</v>
      </c>
    </row>
    <row r="2250" spans="1:6" ht="16" thickBot="1" x14ac:dyDescent="0.25">
      <c r="A2250" s="83">
        <v>6</v>
      </c>
      <c r="B2250" s="129" t="s">
        <v>238</v>
      </c>
      <c r="C2250" s="129" t="s">
        <v>152</v>
      </c>
      <c r="D2250" s="83">
        <v>33</v>
      </c>
      <c r="E2250" s="103">
        <v>102686.06087</v>
      </c>
      <c r="F2250" s="129" t="s">
        <v>148</v>
      </c>
    </row>
    <row r="2251" spans="1:6" ht="16" thickBot="1" x14ac:dyDescent="0.25">
      <c r="A2251" s="83">
        <v>6</v>
      </c>
      <c r="B2251" s="129" t="s">
        <v>239</v>
      </c>
      <c r="C2251" s="129" t="s">
        <v>152</v>
      </c>
      <c r="D2251" s="83">
        <v>41</v>
      </c>
      <c r="E2251" s="103">
        <v>37334273.816</v>
      </c>
      <c r="F2251" s="129" t="s">
        <v>256</v>
      </c>
    </row>
    <row r="2252" spans="1:6" ht="16" thickBot="1" x14ac:dyDescent="0.25">
      <c r="A2252" s="83">
        <v>6</v>
      </c>
      <c r="B2252" s="129" t="s">
        <v>239</v>
      </c>
      <c r="C2252" s="129" t="s">
        <v>152</v>
      </c>
      <c r="D2252" s="83">
        <v>34</v>
      </c>
      <c r="E2252" s="103">
        <v>4340140.48979</v>
      </c>
      <c r="F2252" s="129" t="s">
        <v>148</v>
      </c>
    </row>
    <row r="2253" spans="1:6" ht="16" thickBot="1" x14ac:dyDescent="0.25">
      <c r="A2253" s="83">
        <v>6</v>
      </c>
      <c r="B2253" s="129" t="s">
        <v>240</v>
      </c>
      <c r="C2253" s="129" t="s">
        <v>152</v>
      </c>
      <c r="D2253" s="83">
        <v>5</v>
      </c>
      <c r="E2253" s="103">
        <v>247978.12</v>
      </c>
      <c r="F2253" s="129" t="s">
        <v>256</v>
      </c>
    </row>
    <row r="2254" spans="1:6" ht="16" thickBot="1" x14ac:dyDescent="0.25">
      <c r="A2254" s="83">
        <v>6</v>
      </c>
      <c r="B2254" s="129" t="s">
        <v>240</v>
      </c>
      <c r="C2254" s="129" t="s">
        <v>152</v>
      </c>
      <c r="D2254" s="83">
        <v>4</v>
      </c>
      <c r="E2254" s="103">
        <v>80082.16992</v>
      </c>
      <c r="F2254" s="129" t="s">
        <v>148</v>
      </c>
    </row>
    <row r="2255" spans="1:6" ht="16" thickBot="1" x14ac:dyDescent="0.25">
      <c r="A2255" s="83">
        <v>6</v>
      </c>
      <c r="B2255" s="129" t="s">
        <v>241</v>
      </c>
      <c r="C2255" s="129" t="s">
        <v>152</v>
      </c>
      <c r="D2255" s="83">
        <v>3</v>
      </c>
      <c r="E2255" s="103">
        <v>82313.8</v>
      </c>
      <c r="F2255" s="129" t="s">
        <v>256</v>
      </c>
    </row>
    <row r="2256" spans="1:6" ht="16" thickBot="1" x14ac:dyDescent="0.25">
      <c r="A2256" s="83">
        <v>6</v>
      </c>
      <c r="B2256" s="129" t="s">
        <v>241</v>
      </c>
      <c r="C2256" s="129" t="s">
        <v>152</v>
      </c>
      <c r="D2256" s="83">
        <v>2</v>
      </c>
      <c r="E2256" s="83">
        <v>312796</v>
      </c>
      <c r="F2256" s="129" t="s">
        <v>148</v>
      </c>
    </row>
    <row r="2257" spans="1:6" ht="16" thickBot="1" x14ac:dyDescent="0.25">
      <c r="A2257" s="83">
        <v>6</v>
      </c>
      <c r="B2257" s="129" t="s">
        <v>243</v>
      </c>
      <c r="C2257" s="129" t="s">
        <v>152</v>
      </c>
      <c r="D2257" s="83">
        <v>1</v>
      </c>
      <c r="E2257" s="83">
        <v>0</v>
      </c>
      <c r="F2257" s="129" t="s">
        <v>256</v>
      </c>
    </row>
    <row r="2258" spans="1:6" ht="16" thickBot="1" x14ac:dyDescent="0.25">
      <c r="A2258" s="83">
        <v>6</v>
      </c>
      <c r="B2258" s="129" t="s">
        <v>245</v>
      </c>
      <c r="C2258" s="129" t="s">
        <v>152</v>
      </c>
      <c r="D2258" s="83">
        <v>11</v>
      </c>
      <c r="E2258" s="103">
        <v>13273412.851</v>
      </c>
      <c r="F2258" s="129" t="s">
        <v>256</v>
      </c>
    </row>
    <row r="2259" spans="1:6" ht="16" thickBot="1" x14ac:dyDescent="0.25">
      <c r="A2259" s="83">
        <v>6</v>
      </c>
      <c r="B2259" s="129" t="s">
        <v>245</v>
      </c>
      <c r="C2259" s="129" t="s">
        <v>152</v>
      </c>
      <c r="D2259" s="83">
        <v>7</v>
      </c>
      <c r="E2259" s="103">
        <v>1449916.66768</v>
      </c>
      <c r="F2259" s="129" t="s">
        <v>148</v>
      </c>
    </row>
    <row r="2260" spans="1:6" ht="16" thickBot="1" x14ac:dyDescent="0.25">
      <c r="A2260" s="83">
        <v>6</v>
      </c>
      <c r="B2260" s="129" t="s">
        <v>247</v>
      </c>
      <c r="C2260" s="129" t="s">
        <v>152</v>
      </c>
      <c r="D2260" s="83">
        <v>2</v>
      </c>
      <c r="E2260" s="83">
        <v>0</v>
      </c>
      <c r="F2260" s="129" t="s">
        <v>148</v>
      </c>
    </row>
    <row r="2261" spans="1:6" ht="16" thickBot="1" x14ac:dyDescent="0.25">
      <c r="A2261" s="83">
        <v>6</v>
      </c>
      <c r="B2261" s="129" t="s">
        <v>250</v>
      </c>
      <c r="C2261" s="129" t="s">
        <v>152</v>
      </c>
      <c r="D2261" s="83">
        <v>23</v>
      </c>
      <c r="E2261" s="103">
        <v>53078828.920999996</v>
      </c>
      <c r="F2261" s="129" t="s">
        <v>256</v>
      </c>
    </row>
    <row r="2262" spans="1:6" ht="16" thickBot="1" x14ac:dyDescent="0.25">
      <c r="A2262" s="83">
        <v>6</v>
      </c>
      <c r="B2262" s="129" t="s">
        <v>251</v>
      </c>
      <c r="C2262" s="129" t="s">
        <v>152</v>
      </c>
      <c r="D2262" s="83">
        <v>1</v>
      </c>
      <c r="E2262" s="103">
        <v>1000.966</v>
      </c>
      <c r="F2262" s="129" t="s">
        <v>256</v>
      </c>
    </row>
    <row r="2263" spans="1:6" ht="16" thickBot="1" x14ac:dyDescent="0.25">
      <c r="A2263" s="83">
        <v>6</v>
      </c>
      <c r="B2263" s="129" t="s">
        <v>252</v>
      </c>
      <c r="C2263" s="129" t="s">
        <v>152</v>
      </c>
      <c r="D2263" s="83">
        <v>3</v>
      </c>
      <c r="E2263" s="103">
        <v>30637.909</v>
      </c>
      <c r="F2263" s="129" t="s">
        <v>256</v>
      </c>
    </row>
    <row r="2264" spans="1:6" ht="16" thickBot="1" x14ac:dyDescent="0.25">
      <c r="A2264" s="83">
        <v>6</v>
      </c>
      <c r="B2264" s="129" t="s">
        <v>253</v>
      </c>
      <c r="C2264" s="129" t="s">
        <v>152</v>
      </c>
      <c r="D2264" s="83">
        <v>9</v>
      </c>
      <c r="E2264" s="103">
        <v>15177.593000000001</v>
      </c>
      <c r="F2264" s="129" t="s">
        <v>256</v>
      </c>
    </row>
    <row r="2265" spans="1:6" ht="16" thickBot="1" x14ac:dyDescent="0.25">
      <c r="A2265" s="83">
        <v>6</v>
      </c>
      <c r="B2265" s="129" t="s">
        <v>253</v>
      </c>
      <c r="C2265" s="129" t="s">
        <v>152</v>
      </c>
      <c r="D2265" s="83">
        <v>1</v>
      </c>
      <c r="E2265" s="103">
        <v>4.5256800000000004</v>
      </c>
      <c r="F2265" s="129" t="s">
        <v>148</v>
      </c>
    </row>
    <row r="2266" spans="1:6" ht="16" thickBot="1" x14ac:dyDescent="0.25">
      <c r="A2266" s="83">
        <v>6</v>
      </c>
      <c r="B2266" s="129" t="s">
        <v>146</v>
      </c>
      <c r="C2266" s="129" t="s">
        <v>149</v>
      </c>
      <c r="D2266" s="83">
        <v>792</v>
      </c>
      <c r="E2266" s="103">
        <v>14113.12931</v>
      </c>
      <c r="F2266" s="129" t="s">
        <v>148</v>
      </c>
    </row>
    <row r="2267" spans="1:6" ht="16" thickBot="1" x14ac:dyDescent="0.25">
      <c r="A2267" s="83">
        <v>6</v>
      </c>
      <c r="B2267" s="129" t="s">
        <v>150</v>
      </c>
      <c r="C2267" s="129" t="s">
        <v>149</v>
      </c>
      <c r="D2267" s="83">
        <v>443</v>
      </c>
      <c r="E2267" s="103">
        <v>9027.1271799999995</v>
      </c>
      <c r="F2267" s="129" t="s">
        <v>148</v>
      </c>
    </row>
    <row r="2268" spans="1:6" ht="16" thickBot="1" x14ac:dyDescent="0.25">
      <c r="A2268" s="83">
        <v>6</v>
      </c>
      <c r="B2268" s="129" t="s">
        <v>151</v>
      </c>
      <c r="C2268" s="129" t="s">
        <v>149</v>
      </c>
      <c r="D2268" s="83">
        <v>2</v>
      </c>
      <c r="E2268" s="103">
        <v>3575.6260000000002</v>
      </c>
      <c r="F2268" s="129" t="s">
        <v>256</v>
      </c>
    </row>
    <row r="2269" spans="1:6" ht="16" thickBot="1" x14ac:dyDescent="0.25">
      <c r="A2269" s="83">
        <v>6</v>
      </c>
      <c r="B2269" s="129" t="s">
        <v>151</v>
      </c>
      <c r="C2269" s="129" t="s">
        <v>149</v>
      </c>
      <c r="D2269" s="83">
        <v>11</v>
      </c>
      <c r="E2269" s="103">
        <v>57.897539999999999</v>
      </c>
      <c r="F2269" s="129" t="s">
        <v>148</v>
      </c>
    </row>
    <row r="2270" spans="1:6" ht="16" thickBot="1" x14ac:dyDescent="0.25">
      <c r="A2270" s="83">
        <v>6</v>
      </c>
      <c r="B2270" s="129" t="s">
        <v>153</v>
      </c>
      <c r="C2270" s="129" t="s">
        <v>149</v>
      </c>
      <c r="D2270" s="83">
        <v>1297</v>
      </c>
      <c r="E2270" s="103">
        <v>764833.973</v>
      </c>
      <c r="F2270" s="129" t="s">
        <v>256</v>
      </c>
    </row>
    <row r="2271" spans="1:6" ht="16" thickBot="1" x14ac:dyDescent="0.25">
      <c r="A2271" s="83">
        <v>6</v>
      </c>
      <c r="B2271" s="129" t="s">
        <v>153</v>
      </c>
      <c r="C2271" s="129" t="s">
        <v>149</v>
      </c>
      <c r="D2271" s="83">
        <v>1263</v>
      </c>
      <c r="E2271" s="103">
        <v>27155.090250000001</v>
      </c>
      <c r="F2271" s="129" t="s">
        <v>148</v>
      </c>
    </row>
    <row r="2272" spans="1:6" ht="16" thickBot="1" x14ac:dyDescent="0.25">
      <c r="A2272" s="83">
        <v>6</v>
      </c>
      <c r="B2272" s="129" t="s">
        <v>154</v>
      </c>
      <c r="C2272" s="129" t="s">
        <v>149</v>
      </c>
      <c r="D2272" s="83">
        <v>1207</v>
      </c>
      <c r="E2272" s="103">
        <v>1109792.3829999999</v>
      </c>
      <c r="F2272" s="129" t="s">
        <v>256</v>
      </c>
    </row>
    <row r="2273" spans="1:6" ht="16" thickBot="1" x14ac:dyDescent="0.25">
      <c r="A2273" s="83">
        <v>6</v>
      </c>
      <c r="B2273" s="129" t="s">
        <v>154</v>
      </c>
      <c r="C2273" s="129" t="s">
        <v>149</v>
      </c>
      <c r="D2273" s="83">
        <v>569</v>
      </c>
      <c r="E2273" s="103">
        <v>11701.7988</v>
      </c>
      <c r="F2273" s="129" t="s">
        <v>148</v>
      </c>
    </row>
    <row r="2274" spans="1:6" ht="16" thickBot="1" x14ac:dyDescent="0.25">
      <c r="A2274" s="83">
        <v>6</v>
      </c>
      <c r="B2274" s="129" t="s">
        <v>155</v>
      </c>
      <c r="C2274" s="129" t="s">
        <v>149</v>
      </c>
      <c r="D2274" s="83">
        <v>360</v>
      </c>
      <c r="E2274" s="103">
        <v>347621.90899999999</v>
      </c>
      <c r="F2274" s="129" t="s">
        <v>256</v>
      </c>
    </row>
    <row r="2275" spans="1:6" ht="16" thickBot="1" x14ac:dyDescent="0.25">
      <c r="A2275" s="83">
        <v>6</v>
      </c>
      <c r="B2275" s="129" t="s">
        <v>155</v>
      </c>
      <c r="C2275" s="129" t="s">
        <v>149</v>
      </c>
      <c r="D2275" s="83">
        <v>2658</v>
      </c>
      <c r="E2275" s="103">
        <v>62215.145369999998</v>
      </c>
      <c r="F2275" s="129" t="s">
        <v>148</v>
      </c>
    </row>
    <row r="2276" spans="1:6" ht="16" thickBot="1" x14ac:dyDescent="0.25">
      <c r="A2276" s="83">
        <v>6</v>
      </c>
      <c r="B2276" s="129" t="s">
        <v>156</v>
      </c>
      <c r="C2276" s="129" t="s">
        <v>149</v>
      </c>
      <c r="D2276" s="83">
        <v>2791</v>
      </c>
      <c r="E2276" s="103">
        <v>2736692.5</v>
      </c>
      <c r="F2276" s="129" t="s">
        <v>256</v>
      </c>
    </row>
    <row r="2277" spans="1:6" ht="16" thickBot="1" x14ac:dyDescent="0.25">
      <c r="A2277" s="83">
        <v>6</v>
      </c>
      <c r="B2277" s="129" t="s">
        <v>156</v>
      </c>
      <c r="C2277" s="129" t="s">
        <v>149</v>
      </c>
      <c r="D2277" s="83">
        <v>2720</v>
      </c>
      <c r="E2277" s="103">
        <v>87297.99106</v>
      </c>
      <c r="F2277" s="129" t="s">
        <v>148</v>
      </c>
    </row>
    <row r="2278" spans="1:6" ht="16" thickBot="1" x14ac:dyDescent="0.25">
      <c r="A2278" s="83">
        <v>6</v>
      </c>
      <c r="B2278" s="129" t="s">
        <v>157</v>
      </c>
      <c r="C2278" s="129" t="s">
        <v>149</v>
      </c>
      <c r="D2278" s="83">
        <v>3281</v>
      </c>
      <c r="E2278" s="103">
        <v>2481724.09</v>
      </c>
      <c r="F2278" s="129" t="s">
        <v>256</v>
      </c>
    </row>
    <row r="2279" spans="1:6" ht="16" thickBot="1" x14ac:dyDescent="0.25">
      <c r="A2279" s="83">
        <v>6</v>
      </c>
      <c r="B2279" s="129" t="s">
        <v>157</v>
      </c>
      <c r="C2279" s="129" t="s">
        <v>149</v>
      </c>
      <c r="D2279" s="83">
        <v>2272</v>
      </c>
      <c r="E2279" s="103">
        <v>45819.425710000003</v>
      </c>
      <c r="F2279" s="129" t="s">
        <v>148</v>
      </c>
    </row>
    <row r="2280" spans="1:6" ht="16" thickBot="1" x14ac:dyDescent="0.25">
      <c r="A2280" s="83">
        <v>6</v>
      </c>
      <c r="B2280" s="129" t="s">
        <v>158</v>
      </c>
      <c r="C2280" s="129" t="s">
        <v>149</v>
      </c>
      <c r="D2280" s="83">
        <v>263</v>
      </c>
      <c r="E2280" s="103">
        <v>276300.68</v>
      </c>
      <c r="F2280" s="129" t="s">
        <v>256</v>
      </c>
    </row>
    <row r="2281" spans="1:6" ht="16" thickBot="1" x14ac:dyDescent="0.25">
      <c r="A2281" s="83">
        <v>6</v>
      </c>
      <c r="B2281" s="129" t="s">
        <v>158</v>
      </c>
      <c r="C2281" s="129" t="s">
        <v>149</v>
      </c>
      <c r="D2281" s="83">
        <v>4</v>
      </c>
      <c r="E2281" s="103">
        <v>114.90624</v>
      </c>
      <c r="F2281" s="129" t="s">
        <v>148</v>
      </c>
    </row>
    <row r="2282" spans="1:6" ht="16" thickBot="1" x14ac:dyDescent="0.25">
      <c r="A2282" s="83">
        <v>6</v>
      </c>
      <c r="B2282" s="129" t="s">
        <v>159</v>
      </c>
      <c r="C2282" s="129" t="s">
        <v>149</v>
      </c>
      <c r="D2282" s="83">
        <v>552</v>
      </c>
      <c r="E2282" s="103">
        <v>514554.92800000001</v>
      </c>
      <c r="F2282" s="129" t="s">
        <v>256</v>
      </c>
    </row>
    <row r="2283" spans="1:6" ht="16" thickBot="1" x14ac:dyDescent="0.25">
      <c r="A2283" s="83">
        <v>6</v>
      </c>
      <c r="B2283" s="129" t="s">
        <v>160</v>
      </c>
      <c r="C2283" s="129" t="s">
        <v>149</v>
      </c>
      <c r="D2283" s="83">
        <v>646</v>
      </c>
      <c r="E2283" s="103">
        <v>478706.82799999998</v>
      </c>
      <c r="F2283" s="129" t="s">
        <v>256</v>
      </c>
    </row>
    <row r="2284" spans="1:6" ht="16" thickBot="1" x14ac:dyDescent="0.25">
      <c r="A2284" s="83">
        <v>6</v>
      </c>
      <c r="B2284" s="129" t="s">
        <v>160</v>
      </c>
      <c r="C2284" s="129" t="s">
        <v>149</v>
      </c>
      <c r="D2284" s="83">
        <v>643</v>
      </c>
      <c r="E2284" s="103">
        <v>28692.936819999999</v>
      </c>
      <c r="F2284" s="129" t="s">
        <v>148</v>
      </c>
    </row>
    <row r="2285" spans="1:6" ht="16" thickBot="1" x14ac:dyDescent="0.25">
      <c r="A2285" s="83">
        <v>6</v>
      </c>
      <c r="B2285" s="129" t="s">
        <v>161</v>
      </c>
      <c r="C2285" s="129" t="s">
        <v>149</v>
      </c>
      <c r="D2285" s="83">
        <v>442</v>
      </c>
      <c r="E2285" s="103">
        <v>426088.18300000002</v>
      </c>
      <c r="F2285" s="129" t="s">
        <v>256</v>
      </c>
    </row>
    <row r="2286" spans="1:6" ht="16" thickBot="1" x14ac:dyDescent="0.25">
      <c r="A2286" s="83">
        <v>6</v>
      </c>
      <c r="B2286" s="129" t="s">
        <v>162</v>
      </c>
      <c r="C2286" s="129" t="s">
        <v>149</v>
      </c>
      <c r="D2286" s="83">
        <v>708</v>
      </c>
      <c r="E2286" s="103">
        <v>732393.27800000005</v>
      </c>
      <c r="F2286" s="129" t="s">
        <v>256</v>
      </c>
    </row>
    <row r="2287" spans="1:6" ht="16" thickBot="1" x14ac:dyDescent="0.25">
      <c r="A2287" s="83">
        <v>6</v>
      </c>
      <c r="B2287" s="129" t="s">
        <v>163</v>
      </c>
      <c r="C2287" s="129" t="s">
        <v>149</v>
      </c>
      <c r="D2287" s="83">
        <v>84</v>
      </c>
      <c r="E2287" s="103">
        <v>61853.697999999997</v>
      </c>
      <c r="F2287" s="129" t="s">
        <v>256</v>
      </c>
    </row>
    <row r="2288" spans="1:6" ht="16" thickBot="1" x14ac:dyDescent="0.25">
      <c r="A2288" s="83">
        <v>6</v>
      </c>
      <c r="B2288" s="129" t="s">
        <v>163</v>
      </c>
      <c r="C2288" s="129" t="s">
        <v>149</v>
      </c>
      <c r="D2288" s="83">
        <v>7</v>
      </c>
      <c r="E2288" s="103">
        <v>152.53215</v>
      </c>
      <c r="F2288" s="129" t="s">
        <v>148</v>
      </c>
    </row>
    <row r="2289" spans="1:6" ht="16" thickBot="1" x14ac:dyDescent="0.25">
      <c r="A2289" s="83">
        <v>6</v>
      </c>
      <c r="B2289" s="129" t="s">
        <v>164</v>
      </c>
      <c r="C2289" s="129" t="s">
        <v>149</v>
      </c>
      <c r="D2289" s="83">
        <v>7240</v>
      </c>
      <c r="E2289" s="103">
        <v>5785658.3339999998</v>
      </c>
      <c r="F2289" s="129" t="s">
        <v>256</v>
      </c>
    </row>
    <row r="2290" spans="1:6" ht="16" thickBot="1" x14ac:dyDescent="0.25">
      <c r="A2290" s="83">
        <v>6</v>
      </c>
      <c r="B2290" s="129" t="s">
        <v>164</v>
      </c>
      <c r="C2290" s="129" t="s">
        <v>149</v>
      </c>
      <c r="D2290" s="83">
        <v>6929</v>
      </c>
      <c r="E2290" s="103">
        <v>112124.35935</v>
      </c>
      <c r="F2290" s="129" t="s">
        <v>148</v>
      </c>
    </row>
    <row r="2291" spans="1:6" ht="16" thickBot="1" x14ac:dyDescent="0.25">
      <c r="A2291" s="83">
        <v>6</v>
      </c>
      <c r="B2291" s="129" t="s">
        <v>165</v>
      </c>
      <c r="C2291" s="129" t="s">
        <v>149</v>
      </c>
      <c r="D2291" s="83">
        <v>101</v>
      </c>
      <c r="E2291" s="103">
        <v>83220.540999999997</v>
      </c>
      <c r="F2291" s="129" t="s">
        <v>256</v>
      </c>
    </row>
    <row r="2292" spans="1:6" ht="16" thickBot="1" x14ac:dyDescent="0.25">
      <c r="A2292" s="83">
        <v>6</v>
      </c>
      <c r="B2292" s="129" t="s">
        <v>166</v>
      </c>
      <c r="C2292" s="129" t="s">
        <v>149</v>
      </c>
      <c r="D2292" s="83">
        <v>6318</v>
      </c>
      <c r="E2292" s="103">
        <v>5205755.25</v>
      </c>
      <c r="F2292" s="129" t="s">
        <v>256</v>
      </c>
    </row>
    <row r="2293" spans="1:6" ht="16" thickBot="1" x14ac:dyDescent="0.25">
      <c r="A2293" s="83">
        <v>6</v>
      </c>
      <c r="B2293" s="129" t="s">
        <v>166</v>
      </c>
      <c r="C2293" s="129" t="s">
        <v>149</v>
      </c>
      <c r="D2293" s="83">
        <v>4087</v>
      </c>
      <c r="E2293" s="103">
        <v>90157.584409999996</v>
      </c>
      <c r="F2293" s="129" t="s">
        <v>148</v>
      </c>
    </row>
    <row r="2294" spans="1:6" ht="16" thickBot="1" x14ac:dyDescent="0.25">
      <c r="A2294" s="83">
        <v>6</v>
      </c>
      <c r="B2294" s="129" t="s">
        <v>167</v>
      </c>
      <c r="C2294" s="129" t="s">
        <v>149</v>
      </c>
      <c r="D2294" s="83">
        <v>33</v>
      </c>
      <c r="E2294" s="103">
        <v>29742.903999999999</v>
      </c>
      <c r="F2294" s="129" t="s">
        <v>256</v>
      </c>
    </row>
    <row r="2295" spans="1:6" ht="16" thickBot="1" x14ac:dyDescent="0.25">
      <c r="A2295" s="83">
        <v>6</v>
      </c>
      <c r="B2295" s="129" t="s">
        <v>168</v>
      </c>
      <c r="C2295" s="129" t="s">
        <v>149</v>
      </c>
      <c r="D2295" s="83">
        <v>2527</v>
      </c>
      <c r="E2295" s="103">
        <v>2203564.4730000002</v>
      </c>
      <c r="F2295" s="129" t="s">
        <v>256</v>
      </c>
    </row>
    <row r="2296" spans="1:6" ht="16" thickBot="1" x14ac:dyDescent="0.25">
      <c r="A2296" s="83">
        <v>6</v>
      </c>
      <c r="B2296" s="129" t="s">
        <v>168</v>
      </c>
      <c r="C2296" s="129" t="s">
        <v>149</v>
      </c>
      <c r="D2296" s="83">
        <v>2148</v>
      </c>
      <c r="E2296" s="103">
        <v>49294.035040000002</v>
      </c>
      <c r="F2296" s="129" t="s">
        <v>148</v>
      </c>
    </row>
    <row r="2297" spans="1:6" ht="16" thickBot="1" x14ac:dyDescent="0.25">
      <c r="A2297" s="83">
        <v>6</v>
      </c>
      <c r="B2297" s="129" t="s">
        <v>169</v>
      </c>
      <c r="C2297" s="129" t="s">
        <v>149</v>
      </c>
      <c r="D2297" s="83">
        <v>2885</v>
      </c>
      <c r="E2297" s="103">
        <v>2096384.017</v>
      </c>
      <c r="F2297" s="129" t="s">
        <v>256</v>
      </c>
    </row>
    <row r="2298" spans="1:6" ht="16" thickBot="1" x14ac:dyDescent="0.25">
      <c r="A2298" s="83">
        <v>6</v>
      </c>
      <c r="B2298" s="129" t="s">
        <v>169</v>
      </c>
      <c r="C2298" s="129" t="s">
        <v>149</v>
      </c>
      <c r="D2298" s="83">
        <v>1582</v>
      </c>
      <c r="E2298" s="103">
        <v>39244.324520000002</v>
      </c>
      <c r="F2298" s="129" t="s">
        <v>148</v>
      </c>
    </row>
    <row r="2299" spans="1:6" ht="16" thickBot="1" x14ac:dyDescent="0.25">
      <c r="A2299" s="83">
        <v>6</v>
      </c>
      <c r="B2299" s="129" t="s">
        <v>170</v>
      </c>
      <c r="C2299" s="129" t="s">
        <v>149</v>
      </c>
      <c r="D2299" s="83">
        <v>142</v>
      </c>
      <c r="E2299" s="103">
        <v>3243.62473</v>
      </c>
      <c r="F2299" s="129" t="s">
        <v>148</v>
      </c>
    </row>
    <row r="2300" spans="1:6" ht="16" thickBot="1" x14ac:dyDescent="0.25">
      <c r="A2300" s="83">
        <v>6</v>
      </c>
      <c r="B2300" s="129" t="s">
        <v>171</v>
      </c>
      <c r="C2300" s="129" t="s">
        <v>149</v>
      </c>
      <c r="D2300" s="83">
        <v>1192</v>
      </c>
      <c r="E2300" s="103">
        <v>1051434.977</v>
      </c>
      <c r="F2300" s="129" t="s">
        <v>256</v>
      </c>
    </row>
    <row r="2301" spans="1:6" ht="16" thickBot="1" x14ac:dyDescent="0.25">
      <c r="A2301" s="83">
        <v>6</v>
      </c>
      <c r="B2301" s="129" t="s">
        <v>171</v>
      </c>
      <c r="C2301" s="129" t="s">
        <v>149</v>
      </c>
      <c r="D2301" s="83">
        <v>1157</v>
      </c>
      <c r="E2301" s="103">
        <v>28598.721590000001</v>
      </c>
      <c r="F2301" s="129" t="s">
        <v>148</v>
      </c>
    </row>
    <row r="2302" spans="1:6" ht="16" thickBot="1" x14ac:dyDescent="0.25">
      <c r="A2302" s="83">
        <v>6</v>
      </c>
      <c r="B2302" s="129" t="s">
        <v>172</v>
      </c>
      <c r="C2302" s="129" t="s">
        <v>149</v>
      </c>
      <c r="D2302" s="83">
        <v>1050</v>
      </c>
      <c r="E2302" s="103">
        <v>946529.93</v>
      </c>
      <c r="F2302" s="129" t="s">
        <v>256</v>
      </c>
    </row>
    <row r="2303" spans="1:6" ht="16" thickBot="1" x14ac:dyDescent="0.25">
      <c r="A2303" s="83">
        <v>6</v>
      </c>
      <c r="B2303" s="129" t="s">
        <v>172</v>
      </c>
      <c r="C2303" s="129" t="s">
        <v>149</v>
      </c>
      <c r="D2303" s="83">
        <v>1847</v>
      </c>
      <c r="E2303" s="103">
        <v>51232.098740000001</v>
      </c>
      <c r="F2303" s="129" t="s">
        <v>148</v>
      </c>
    </row>
    <row r="2304" spans="1:6" ht="16" thickBot="1" x14ac:dyDescent="0.25">
      <c r="A2304" s="83">
        <v>6</v>
      </c>
      <c r="B2304" s="129" t="s">
        <v>173</v>
      </c>
      <c r="C2304" s="129" t="s">
        <v>149</v>
      </c>
      <c r="D2304" s="83">
        <v>2495</v>
      </c>
      <c r="E2304" s="103">
        <v>2035598.247</v>
      </c>
      <c r="F2304" s="129" t="s">
        <v>256</v>
      </c>
    </row>
    <row r="2305" spans="1:6" ht="16" thickBot="1" x14ac:dyDescent="0.25">
      <c r="A2305" s="83">
        <v>6</v>
      </c>
      <c r="B2305" s="129" t="s">
        <v>173</v>
      </c>
      <c r="C2305" s="129" t="s">
        <v>149</v>
      </c>
      <c r="D2305" s="83">
        <v>2028</v>
      </c>
      <c r="E2305" s="103">
        <v>33938.415979999998</v>
      </c>
      <c r="F2305" s="129" t="s">
        <v>148</v>
      </c>
    </row>
    <row r="2306" spans="1:6" ht="16" thickBot="1" x14ac:dyDescent="0.25">
      <c r="A2306" s="83">
        <v>6</v>
      </c>
      <c r="B2306" s="129" t="s">
        <v>174</v>
      </c>
      <c r="C2306" s="129" t="s">
        <v>149</v>
      </c>
      <c r="D2306" s="83">
        <v>577</v>
      </c>
      <c r="E2306" s="103">
        <v>566264.13899999997</v>
      </c>
      <c r="F2306" s="129" t="s">
        <v>256</v>
      </c>
    </row>
    <row r="2307" spans="1:6" ht="16" thickBot="1" x14ac:dyDescent="0.25">
      <c r="A2307" s="83">
        <v>6</v>
      </c>
      <c r="B2307" s="129" t="s">
        <v>174</v>
      </c>
      <c r="C2307" s="129" t="s">
        <v>149</v>
      </c>
      <c r="D2307" s="83">
        <v>206</v>
      </c>
      <c r="E2307" s="103">
        <v>5307.2663899999998</v>
      </c>
      <c r="F2307" s="129" t="s">
        <v>148</v>
      </c>
    </row>
    <row r="2308" spans="1:6" ht="16" thickBot="1" x14ac:dyDescent="0.25">
      <c r="A2308" s="83">
        <v>6</v>
      </c>
      <c r="B2308" s="129" t="s">
        <v>175</v>
      </c>
      <c r="C2308" s="129" t="s">
        <v>149</v>
      </c>
      <c r="D2308" s="83">
        <v>337</v>
      </c>
      <c r="E2308" s="103">
        <v>302037.397</v>
      </c>
      <c r="F2308" s="129" t="s">
        <v>256</v>
      </c>
    </row>
    <row r="2309" spans="1:6" ht="16" thickBot="1" x14ac:dyDescent="0.25">
      <c r="A2309" s="83">
        <v>6</v>
      </c>
      <c r="B2309" s="129" t="s">
        <v>176</v>
      </c>
      <c r="C2309" s="129" t="s">
        <v>149</v>
      </c>
      <c r="D2309" s="83">
        <v>191</v>
      </c>
      <c r="E2309" s="103">
        <v>151657.87700000001</v>
      </c>
      <c r="F2309" s="129" t="s">
        <v>256</v>
      </c>
    </row>
    <row r="2310" spans="1:6" ht="16" thickBot="1" x14ac:dyDescent="0.25">
      <c r="A2310" s="83">
        <v>6</v>
      </c>
      <c r="B2310" s="129" t="s">
        <v>176</v>
      </c>
      <c r="C2310" s="129" t="s">
        <v>149</v>
      </c>
      <c r="D2310" s="83">
        <v>112</v>
      </c>
      <c r="E2310" s="103">
        <v>1254.5895800000001</v>
      </c>
      <c r="F2310" s="129" t="s">
        <v>148</v>
      </c>
    </row>
    <row r="2311" spans="1:6" ht="16" thickBot="1" x14ac:dyDescent="0.25">
      <c r="A2311" s="83">
        <v>6</v>
      </c>
      <c r="B2311" s="129" t="s">
        <v>177</v>
      </c>
      <c r="C2311" s="129" t="s">
        <v>149</v>
      </c>
      <c r="D2311" s="83">
        <v>328</v>
      </c>
      <c r="E2311" s="103">
        <v>239990.163</v>
      </c>
      <c r="F2311" s="129" t="s">
        <v>256</v>
      </c>
    </row>
    <row r="2312" spans="1:6" ht="16" thickBot="1" x14ac:dyDescent="0.25">
      <c r="A2312" s="83">
        <v>6</v>
      </c>
      <c r="B2312" s="129" t="s">
        <v>177</v>
      </c>
      <c r="C2312" s="129" t="s">
        <v>149</v>
      </c>
      <c r="D2312" s="83">
        <v>157</v>
      </c>
      <c r="E2312" s="103">
        <v>2638.5800399999998</v>
      </c>
      <c r="F2312" s="129" t="s">
        <v>148</v>
      </c>
    </row>
    <row r="2313" spans="1:6" ht="16" thickBot="1" x14ac:dyDescent="0.25">
      <c r="A2313" s="83">
        <v>6</v>
      </c>
      <c r="B2313" s="129" t="s">
        <v>178</v>
      </c>
      <c r="C2313" s="129" t="s">
        <v>149</v>
      </c>
      <c r="D2313" s="83">
        <v>453</v>
      </c>
      <c r="E2313" s="103">
        <v>358862.62400000001</v>
      </c>
      <c r="F2313" s="129" t="s">
        <v>256</v>
      </c>
    </row>
    <row r="2314" spans="1:6" ht="16" thickBot="1" x14ac:dyDescent="0.25">
      <c r="A2314" s="83">
        <v>6</v>
      </c>
      <c r="B2314" s="129" t="s">
        <v>179</v>
      </c>
      <c r="C2314" s="129" t="s">
        <v>149</v>
      </c>
      <c r="D2314" s="83">
        <v>53</v>
      </c>
      <c r="E2314" s="103">
        <v>49294.766000000003</v>
      </c>
      <c r="F2314" s="129" t="s">
        <v>256</v>
      </c>
    </row>
    <row r="2315" spans="1:6" ht="16" thickBot="1" x14ac:dyDescent="0.25">
      <c r="A2315" s="83">
        <v>6</v>
      </c>
      <c r="B2315" s="129" t="s">
        <v>180</v>
      </c>
      <c r="C2315" s="129" t="s">
        <v>149</v>
      </c>
      <c r="D2315" s="83">
        <v>95</v>
      </c>
      <c r="E2315" s="103">
        <v>2519.4738400000001</v>
      </c>
      <c r="F2315" s="129" t="s">
        <v>148</v>
      </c>
    </row>
    <row r="2316" spans="1:6" ht="16" thickBot="1" x14ac:dyDescent="0.25">
      <c r="A2316" s="83">
        <v>6</v>
      </c>
      <c r="B2316" s="129" t="s">
        <v>181</v>
      </c>
      <c r="C2316" s="129" t="s">
        <v>149</v>
      </c>
      <c r="D2316" s="83">
        <v>313</v>
      </c>
      <c r="E2316" s="103">
        <v>200897.361</v>
      </c>
      <c r="F2316" s="129" t="s">
        <v>256</v>
      </c>
    </row>
    <row r="2317" spans="1:6" ht="16" thickBot="1" x14ac:dyDescent="0.25">
      <c r="A2317" s="83">
        <v>6</v>
      </c>
      <c r="B2317" s="129" t="s">
        <v>181</v>
      </c>
      <c r="C2317" s="129" t="s">
        <v>149</v>
      </c>
      <c r="D2317" s="83">
        <v>3749</v>
      </c>
      <c r="E2317" s="103">
        <v>79948.450719999993</v>
      </c>
      <c r="F2317" s="129" t="s">
        <v>148</v>
      </c>
    </row>
    <row r="2318" spans="1:6" ht="16" thickBot="1" x14ac:dyDescent="0.25">
      <c r="A2318" s="83">
        <v>6</v>
      </c>
      <c r="B2318" s="129" t="s">
        <v>182</v>
      </c>
      <c r="C2318" s="129" t="s">
        <v>149</v>
      </c>
      <c r="D2318" s="83">
        <v>75</v>
      </c>
      <c r="E2318" s="103">
        <v>64132.692999999999</v>
      </c>
      <c r="F2318" s="129" t="s">
        <v>256</v>
      </c>
    </row>
    <row r="2319" spans="1:6" ht="16" thickBot="1" x14ac:dyDescent="0.25">
      <c r="A2319" s="83">
        <v>6</v>
      </c>
      <c r="B2319" s="129" t="s">
        <v>183</v>
      </c>
      <c r="C2319" s="129" t="s">
        <v>149</v>
      </c>
      <c r="D2319" s="83">
        <v>367</v>
      </c>
      <c r="E2319" s="103">
        <v>301829.72100000002</v>
      </c>
      <c r="F2319" s="129" t="s">
        <v>256</v>
      </c>
    </row>
    <row r="2320" spans="1:6" ht="16" thickBot="1" x14ac:dyDescent="0.25">
      <c r="A2320" s="83">
        <v>6</v>
      </c>
      <c r="B2320" s="129" t="s">
        <v>184</v>
      </c>
      <c r="C2320" s="129" t="s">
        <v>149</v>
      </c>
      <c r="D2320" s="83">
        <v>837</v>
      </c>
      <c r="E2320" s="103">
        <v>722459.77300000004</v>
      </c>
      <c r="F2320" s="129" t="s">
        <v>256</v>
      </c>
    </row>
    <row r="2321" spans="1:6" ht="16" thickBot="1" x14ac:dyDescent="0.25">
      <c r="A2321" s="83">
        <v>6</v>
      </c>
      <c r="B2321" s="129" t="s">
        <v>184</v>
      </c>
      <c r="C2321" s="129" t="s">
        <v>149</v>
      </c>
      <c r="D2321" s="83">
        <v>7</v>
      </c>
      <c r="E2321" s="103">
        <v>108.44011999999999</v>
      </c>
      <c r="F2321" s="129" t="s">
        <v>148</v>
      </c>
    </row>
    <row r="2322" spans="1:6" ht="16" thickBot="1" x14ac:dyDescent="0.25">
      <c r="A2322" s="83">
        <v>6</v>
      </c>
      <c r="B2322" s="129" t="s">
        <v>185</v>
      </c>
      <c r="C2322" s="129" t="s">
        <v>149</v>
      </c>
      <c r="D2322" s="83">
        <v>306</v>
      </c>
      <c r="E2322" s="103">
        <v>187733.609</v>
      </c>
      <c r="F2322" s="129" t="s">
        <v>256</v>
      </c>
    </row>
    <row r="2323" spans="1:6" ht="16" thickBot="1" x14ac:dyDescent="0.25">
      <c r="A2323" s="83">
        <v>6</v>
      </c>
      <c r="B2323" s="129" t="s">
        <v>185</v>
      </c>
      <c r="C2323" s="129" t="s">
        <v>149</v>
      </c>
      <c r="D2323" s="83">
        <v>181</v>
      </c>
      <c r="E2323" s="103">
        <v>2380.8065999999999</v>
      </c>
      <c r="F2323" s="129" t="s">
        <v>148</v>
      </c>
    </row>
    <row r="2324" spans="1:6" ht="16" thickBot="1" x14ac:dyDescent="0.25">
      <c r="A2324" s="83">
        <v>6</v>
      </c>
      <c r="B2324" s="129" t="s">
        <v>186</v>
      </c>
      <c r="C2324" s="129" t="s">
        <v>149</v>
      </c>
      <c r="D2324" s="83">
        <v>165</v>
      </c>
      <c r="E2324" s="103">
        <v>151754.75</v>
      </c>
      <c r="F2324" s="129" t="s">
        <v>256</v>
      </c>
    </row>
    <row r="2325" spans="1:6" ht="16" thickBot="1" x14ac:dyDescent="0.25">
      <c r="A2325" s="83">
        <v>6</v>
      </c>
      <c r="B2325" s="129" t="s">
        <v>187</v>
      </c>
      <c r="C2325" s="129" t="s">
        <v>149</v>
      </c>
      <c r="D2325" s="83">
        <v>4</v>
      </c>
      <c r="E2325" s="103">
        <v>1916.894</v>
      </c>
      <c r="F2325" s="129" t="s">
        <v>256</v>
      </c>
    </row>
    <row r="2326" spans="1:6" ht="16" thickBot="1" x14ac:dyDescent="0.25">
      <c r="A2326" s="83">
        <v>6</v>
      </c>
      <c r="B2326" s="129" t="s">
        <v>188</v>
      </c>
      <c r="C2326" s="129" t="s">
        <v>149</v>
      </c>
      <c r="D2326" s="83">
        <v>2</v>
      </c>
      <c r="E2326" s="103">
        <v>1595.797</v>
      </c>
      <c r="F2326" s="129" t="s">
        <v>256</v>
      </c>
    </row>
    <row r="2327" spans="1:6" ht="16" thickBot="1" x14ac:dyDescent="0.25">
      <c r="A2327" s="83">
        <v>6</v>
      </c>
      <c r="B2327" s="129" t="s">
        <v>189</v>
      </c>
      <c r="C2327" s="129" t="s">
        <v>149</v>
      </c>
      <c r="D2327" s="83">
        <v>1801</v>
      </c>
      <c r="E2327" s="103">
        <v>1433584.2830000001</v>
      </c>
      <c r="F2327" s="129" t="s">
        <v>256</v>
      </c>
    </row>
    <row r="2328" spans="1:6" ht="16" thickBot="1" x14ac:dyDescent="0.25">
      <c r="A2328" s="83">
        <v>6</v>
      </c>
      <c r="B2328" s="129" t="s">
        <v>189</v>
      </c>
      <c r="C2328" s="129" t="s">
        <v>149</v>
      </c>
      <c r="D2328" s="83">
        <v>1125</v>
      </c>
      <c r="E2328" s="103">
        <v>22848.864539999999</v>
      </c>
      <c r="F2328" s="129" t="s">
        <v>148</v>
      </c>
    </row>
    <row r="2329" spans="1:6" ht="16" thickBot="1" x14ac:dyDescent="0.25">
      <c r="A2329" s="83">
        <v>6</v>
      </c>
      <c r="B2329" s="129" t="s">
        <v>190</v>
      </c>
      <c r="C2329" s="129" t="s">
        <v>149</v>
      </c>
      <c r="D2329" s="83">
        <v>197</v>
      </c>
      <c r="E2329" s="103">
        <v>174020.09</v>
      </c>
      <c r="F2329" s="129" t="s">
        <v>256</v>
      </c>
    </row>
    <row r="2330" spans="1:6" ht="16" thickBot="1" x14ac:dyDescent="0.25">
      <c r="A2330" s="83">
        <v>6</v>
      </c>
      <c r="B2330" s="129" t="s">
        <v>190</v>
      </c>
      <c r="C2330" s="129" t="s">
        <v>149</v>
      </c>
      <c r="D2330" s="83">
        <v>15</v>
      </c>
      <c r="E2330" s="103">
        <v>359.46231</v>
      </c>
      <c r="F2330" s="129" t="s">
        <v>148</v>
      </c>
    </row>
    <row r="2331" spans="1:6" ht="16" thickBot="1" x14ac:dyDescent="0.25">
      <c r="A2331" s="83">
        <v>6</v>
      </c>
      <c r="B2331" s="129" t="s">
        <v>191</v>
      </c>
      <c r="C2331" s="129" t="s">
        <v>149</v>
      </c>
      <c r="D2331" s="83">
        <v>1732</v>
      </c>
      <c r="E2331" s="103">
        <v>1115002.03</v>
      </c>
      <c r="F2331" s="129" t="s">
        <v>256</v>
      </c>
    </row>
    <row r="2332" spans="1:6" ht="16" thickBot="1" x14ac:dyDescent="0.25">
      <c r="A2332" s="83">
        <v>6</v>
      </c>
      <c r="B2332" s="129" t="s">
        <v>191</v>
      </c>
      <c r="C2332" s="129" t="s">
        <v>149</v>
      </c>
      <c r="D2332" s="83">
        <v>946</v>
      </c>
      <c r="E2332" s="103">
        <v>19755.709139999999</v>
      </c>
      <c r="F2332" s="129" t="s">
        <v>148</v>
      </c>
    </row>
    <row r="2333" spans="1:6" ht="16" thickBot="1" x14ac:dyDescent="0.25">
      <c r="A2333" s="83">
        <v>6</v>
      </c>
      <c r="B2333" s="129" t="s">
        <v>192</v>
      </c>
      <c r="C2333" s="129" t="s">
        <v>149</v>
      </c>
      <c r="D2333" s="83">
        <v>284</v>
      </c>
      <c r="E2333" s="103">
        <v>220831.399</v>
      </c>
      <c r="F2333" s="129" t="s">
        <v>256</v>
      </c>
    </row>
    <row r="2334" spans="1:6" ht="16" thickBot="1" x14ac:dyDescent="0.25">
      <c r="A2334" s="83">
        <v>6</v>
      </c>
      <c r="B2334" s="129" t="s">
        <v>192</v>
      </c>
      <c r="C2334" s="129" t="s">
        <v>149</v>
      </c>
      <c r="D2334" s="83">
        <v>167</v>
      </c>
      <c r="E2334" s="103">
        <v>3409.5311900000002</v>
      </c>
      <c r="F2334" s="129" t="s">
        <v>148</v>
      </c>
    </row>
    <row r="2335" spans="1:6" ht="16" thickBot="1" x14ac:dyDescent="0.25">
      <c r="A2335" s="83">
        <v>6</v>
      </c>
      <c r="B2335" s="129" t="s">
        <v>193</v>
      </c>
      <c r="C2335" s="129" t="s">
        <v>149</v>
      </c>
      <c r="D2335" s="83">
        <v>6932</v>
      </c>
      <c r="E2335" s="103">
        <v>5123458.0319999997</v>
      </c>
      <c r="F2335" s="129" t="s">
        <v>256</v>
      </c>
    </row>
    <row r="2336" spans="1:6" ht="16" thickBot="1" x14ac:dyDescent="0.25">
      <c r="A2336" s="83">
        <v>6</v>
      </c>
      <c r="B2336" s="129" t="s">
        <v>193</v>
      </c>
      <c r="C2336" s="129" t="s">
        <v>149</v>
      </c>
      <c r="D2336" s="83">
        <v>1748</v>
      </c>
      <c r="E2336" s="103">
        <v>32855.400119999998</v>
      </c>
      <c r="F2336" s="129" t="s">
        <v>148</v>
      </c>
    </row>
    <row r="2337" spans="1:6" ht="16" thickBot="1" x14ac:dyDescent="0.25">
      <c r="A2337" s="83">
        <v>6</v>
      </c>
      <c r="B2337" s="129" t="s">
        <v>194</v>
      </c>
      <c r="C2337" s="129" t="s">
        <v>149</v>
      </c>
      <c r="D2337" s="83">
        <v>160</v>
      </c>
      <c r="E2337" s="103">
        <v>107804.14</v>
      </c>
      <c r="F2337" s="129" t="s">
        <v>256</v>
      </c>
    </row>
    <row r="2338" spans="1:6" ht="16" thickBot="1" x14ac:dyDescent="0.25">
      <c r="A2338" s="83">
        <v>6</v>
      </c>
      <c r="B2338" s="129" t="s">
        <v>195</v>
      </c>
      <c r="C2338" s="129" t="s">
        <v>149</v>
      </c>
      <c r="D2338" s="83">
        <v>1008</v>
      </c>
      <c r="E2338" s="103">
        <v>785598.56200000003</v>
      </c>
      <c r="F2338" s="129" t="s">
        <v>256</v>
      </c>
    </row>
    <row r="2339" spans="1:6" ht="16" thickBot="1" x14ac:dyDescent="0.25">
      <c r="A2339" s="83">
        <v>6</v>
      </c>
      <c r="B2339" s="129" t="s">
        <v>195</v>
      </c>
      <c r="C2339" s="129" t="s">
        <v>149</v>
      </c>
      <c r="D2339" s="83">
        <v>609</v>
      </c>
      <c r="E2339" s="103">
        <v>10410.264880000001</v>
      </c>
      <c r="F2339" s="129" t="s">
        <v>148</v>
      </c>
    </row>
    <row r="2340" spans="1:6" ht="16" thickBot="1" x14ac:dyDescent="0.25">
      <c r="A2340" s="83">
        <v>6</v>
      </c>
      <c r="B2340" s="129" t="s">
        <v>196</v>
      </c>
      <c r="C2340" s="129" t="s">
        <v>149</v>
      </c>
      <c r="D2340" s="83">
        <v>228</v>
      </c>
      <c r="E2340" s="103">
        <v>166456.76</v>
      </c>
      <c r="F2340" s="129" t="s">
        <v>256</v>
      </c>
    </row>
    <row r="2341" spans="1:6" ht="16" thickBot="1" x14ac:dyDescent="0.25">
      <c r="A2341" s="83">
        <v>6</v>
      </c>
      <c r="B2341" s="129" t="s">
        <v>196</v>
      </c>
      <c r="C2341" s="129" t="s">
        <v>149</v>
      </c>
      <c r="D2341" s="83">
        <v>127</v>
      </c>
      <c r="E2341" s="103">
        <v>2061.30323</v>
      </c>
      <c r="F2341" s="129" t="s">
        <v>148</v>
      </c>
    </row>
    <row r="2342" spans="1:6" ht="16" thickBot="1" x14ac:dyDescent="0.25">
      <c r="A2342" s="83">
        <v>6</v>
      </c>
      <c r="B2342" s="129" t="s">
        <v>197</v>
      </c>
      <c r="C2342" s="129" t="s">
        <v>149</v>
      </c>
      <c r="D2342" s="83">
        <v>536</v>
      </c>
      <c r="E2342" s="103">
        <v>439553.53100000002</v>
      </c>
      <c r="F2342" s="129" t="s">
        <v>256</v>
      </c>
    </row>
    <row r="2343" spans="1:6" ht="16" thickBot="1" x14ac:dyDescent="0.25">
      <c r="A2343" s="83">
        <v>6</v>
      </c>
      <c r="B2343" s="129" t="s">
        <v>198</v>
      </c>
      <c r="C2343" s="129" t="s">
        <v>149</v>
      </c>
      <c r="D2343" s="83">
        <v>114</v>
      </c>
      <c r="E2343" s="103">
        <v>79953.625</v>
      </c>
      <c r="F2343" s="129" t="s">
        <v>256</v>
      </c>
    </row>
    <row r="2344" spans="1:6" ht="16" thickBot="1" x14ac:dyDescent="0.25">
      <c r="A2344" s="83">
        <v>6</v>
      </c>
      <c r="B2344" s="129" t="s">
        <v>199</v>
      </c>
      <c r="C2344" s="129" t="s">
        <v>149</v>
      </c>
      <c r="D2344" s="83">
        <v>521</v>
      </c>
      <c r="E2344" s="103">
        <v>296112.42300000001</v>
      </c>
      <c r="F2344" s="129" t="s">
        <v>256</v>
      </c>
    </row>
    <row r="2345" spans="1:6" ht="16" thickBot="1" x14ac:dyDescent="0.25">
      <c r="A2345" s="83">
        <v>6</v>
      </c>
      <c r="B2345" s="129" t="s">
        <v>200</v>
      </c>
      <c r="C2345" s="129" t="s">
        <v>149</v>
      </c>
      <c r="D2345" s="83">
        <v>404</v>
      </c>
      <c r="E2345" s="103">
        <v>331289.53499999997</v>
      </c>
      <c r="F2345" s="129" t="s">
        <v>256</v>
      </c>
    </row>
    <row r="2346" spans="1:6" ht="16" thickBot="1" x14ac:dyDescent="0.25">
      <c r="A2346" s="83">
        <v>6</v>
      </c>
      <c r="B2346" s="129" t="s">
        <v>201</v>
      </c>
      <c r="C2346" s="129" t="s">
        <v>149</v>
      </c>
      <c r="D2346" s="83">
        <v>121</v>
      </c>
      <c r="E2346" s="103">
        <v>71601.91</v>
      </c>
      <c r="F2346" s="129" t="s">
        <v>256</v>
      </c>
    </row>
    <row r="2347" spans="1:6" ht="16" thickBot="1" x14ac:dyDescent="0.25">
      <c r="A2347" s="83">
        <v>6</v>
      </c>
      <c r="B2347" s="129" t="s">
        <v>202</v>
      </c>
      <c r="C2347" s="129" t="s">
        <v>149</v>
      </c>
      <c r="D2347" s="83">
        <v>264</v>
      </c>
      <c r="E2347" s="103">
        <v>187188.71799999999</v>
      </c>
      <c r="F2347" s="129" t="s">
        <v>256</v>
      </c>
    </row>
    <row r="2348" spans="1:6" ht="16" thickBot="1" x14ac:dyDescent="0.25">
      <c r="A2348" s="83">
        <v>6</v>
      </c>
      <c r="B2348" s="129" t="s">
        <v>202</v>
      </c>
      <c r="C2348" s="129" t="s">
        <v>149</v>
      </c>
      <c r="D2348" s="83">
        <v>168</v>
      </c>
      <c r="E2348" s="103">
        <v>2899.0195399999998</v>
      </c>
      <c r="F2348" s="129" t="s">
        <v>148</v>
      </c>
    </row>
    <row r="2349" spans="1:6" ht="16" thickBot="1" x14ac:dyDescent="0.25">
      <c r="A2349" s="83">
        <v>6</v>
      </c>
      <c r="B2349" s="129" t="s">
        <v>203</v>
      </c>
      <c r="C2349" s="129" t="s">
        <v>149</v>
      </c>
      <c r="D2349" s="83">
        <v>348</v>
      </c>
      <c r="E2349" s="103">
        <v>235249.375</v>
      </c>
      <c r="F2349" s="129" t="s">
        <v>256</v>
      </c>
    </row>
    <row r="2350" spans="1:6" ht="16" thickBot="1" x14ac:dyDescent="0.25">
      <c r="A2350" s="83">
        <v>6</v>
      </c>
      <c r="B2350" s="129" t="s">
        <v>204</v>
      </c>
      <c r="C2350" s="129" t="s">
        <v>149</v>
      </c>
      <c r="D2350" s="83">
        <v>912</v>
      </c>
      <c r="E2350" s="103">
        <v>532342.34100000001</v>
      </c>
      <c r="F2350" s="129" t="s">
        <v>256</v>
      </c>
    </row>
    <row r="2351" spans="1:6" ht="16" thickBot="1" x14ac:dyDescent="0.25">
      <c r="A2351" s="83">
        <v>6</v>
      </c>
      <c r="B2351" s="129" t="s">
        <v>205</v>
      </c>
      <c r="C2351" s="129" t="s">
        <v>149</v>
      </c>
      <c r="D2351" s="83">
        <v>3404</v>
      </c>
      <c r="E2351" s="103">
        <v>2319936.7170000002</v>
      </c>
      <c r="F2351" s="129" t="s">
        <v>256</v>
      </c>
    </row>
    <row r="2352" spans="1:6" ht="16" thickBot="1" x14ac:dyDescent="0.25">
      <c r="A2352" s="83">
        <v>6</v>
      </c>
      <c r="B2352" s="129" t="s">
        <v>205</v>
      </c>
      <c r="C2352" s="129" t="s">
        <v>149</v>
      </c>
      <c r="D2352" s="83">
        <v>715</v>
      </c>
      <c r="E2352" s="103">
        <v>7830.6485000000002</v>
      </c>
      <c r="F2352" s="129" t="s">
        <v>148</v>
      </c>
    </row>
    <row r="2353" spans="1:6" ht="16" thickBot="1" x14ac:dyDescent="0.25">
      <c r="A2353" s="83">
        <v>6</v>
      </c>
      <c r="B2353" s="129" t="s">
        <v>206</v>
      </c>
      <c r="C2353" s="129" t="s">
        <v>149</v>
      </c>
      <c r="D2353" s="83">
        <v>210</v>
      </c>
      <c r="E2353" s="103">
        <v>167266.81299999999</v>
      </c>
      <c r="F2353" s="129" t="s">
        <v>256</v>
      </c>
    </row>
    <row r="2354" spans="1:6" ht="16" thickBot="1" x14ac:dyDescent="0.25">
      <c r="A2354" s="83">
        <v>6</v>
      </c>
      <c r="B2354" s="129" t="s">
        <v>206</v>
      </c>
      <c r="C2354" s="129" t="s">
        <v>149</v>
      </c>
      <c r="D2354" s="83">
        <v>126</v>
      </c>
      <c r="E2354" s="103">
        <v>2264.6413499999999</v>
      </c>
      <c r="F2354" s="129" t="s">
        <v>148</v>
      </c>
    </row>
    <row r="2355" spans="1:6" ht="16" thickBot="1" x14ac:dyDescent="0.25">
      <c r="A2355" s="83">
        <v>6</v>
      </c>
      <c r="B2355" s="129" t="s">
        <v>207</v>
      </c>
      <c r="C2355" s="129" t="s">
        <v>149</v>
      </c>
      <c r="D2355" s="83">
        <v>1</v>
      </c>
      <c r="E2355" s="103">
        <v>7.9359999999999999</v>
      </c>
      <c r="F2355" s="129" t="s">
        <v>148</v>
      </c>
    </row>
    <row r="2356" spans="1:6" ht="16" thickBot="1" x14ac:dyDescent="0.25">
      <c r="A2356" s="83">
        <v>6</v>
      </c>
      <c r="B2356" s="129" t="s">
        <v>208</v>
      </c>
      <c r="C2356" s="129" t="s">
        <v>149</v>
      </c>
      <c r="D2356" s="83">
        <v>47</v>
      </c>
      <c r="E2356" s="103">
        <v>22816.949000000001</v>
      </c>
      <c r="F2356" s="129" t="s">
        <v>256</v>
      </c>
    </row>
    <row r="2357" spans="1:6" ht="16" thickBot="1" x14ac:dyDescent="0.25">
      <c r="A2357" s="83">
        <v>6</v>
      </c>
      <c r="B2357" s="129" t="s">
        <v>209</v>
      </c>
      <c r="C2357" s="129" t="s">
        <v>149</v>
      </c>
      <c r="D2357" s="83">
        <v>1875</v>
      </c>
      <c r="E2357" s="103">
        <v>1040194.328</v>
      </c>
      <c r="F2357" s="129" t="s">
        <v>256</v>
      </c>
    </row>
    <row r="2358" spans="1:6" ht="16" thickBot="1" x14ac:dyDescent="0.25">
      <c r="A2358" s="83">
        <v>6</v>
      </c>
      <c r="B2358" s="129" t="s">
        <v>209</v>
      </c>
      <c r="C2358" s="129" t="s">
        <v>149</v>
      </c>
      <c r="D2358" s="83">
        <v>632</v>
      </c>
      <c r="E2358" s="103">
        <v>10098.57223</v>
      </c>
      <c r="F2358" s="129" t="s">
        <v>148</v>
      </c>
    </row>
    <row r="2359" spans="1:6" ht="16" thickBot="1" x14ac:dyDescent="0.25">
      <c r="A2359" s="83">
        <v>6</v>
      </c>
      <c r="B2359" s="129" t="s">
        <v>210</v>
      </c>
      <c r="C2359" s="129" t="s">
        <v>149</v>
      </c>
      <c r="D2359" s="83">
        <v>84</v>
      </c>
      <c r="E2359" s="103">
        <v>52296.906000000003</v>
      </c>
      <c r="F2359" s="129" t="s">
        <v>256</v>
      </c>
    </row>
    <row r="2360" spans="1:6" ht="16" thickBot="1" x14ac:dyDescent="0.25">
      <c r="A2360" s="83">
        <v>6</v>
      </c>
      <c r="B2360" s="129" t="s">
        <v>211</v>
      </c>
      <c r="C2360" s="129" t="s">
        <v>149</v>
      </c>
      <c r="D2360" s="83">
        <v>97</v>
      </c>
      <c r="E2360" s="103">
        <v>78772.413</v>
      </c>
      <c r="F2360" s="129" t="s">
        <v>256</v>
      </c>
    </row>
    <row r="2361" spans="1:6" ht="16" thickBot="1" x14ac:dyDescent="0.25">
      <c r="A2361" s="83">
        <v>6</v>
      </c>
      <c r="B2361" s="129" t="s">
        <v>212</v>
      </c>
      <c r="C2361" s="129" t="s">
        <v>149</v>
      </c>
      <c r="D2361" s="83">
        <v>8</v>
      </c>
      <c r="E2361" s="83">
        <v>4880</v>
      </c>
      <c r="F2361" s="129" t="s">
        <v>256</v>
      </c>
    </row>
    <row r="2362" spans="1:6" ht="16" thickBot="1" x14ac:dyDescent="0.25">
      <c r="A2362" s="83">
        <v>6</v>
      </c>
      <c r="B2362" s="129" t="s">
        <v>213</v>
      </c>
      <c r="C2362" s="129" t="s">
        <v>149</v>
      </c>
      <c r="D2362" s="83">
        <v>539</v>
      </c>
      <c r="E2362" s="103">
        <v>368491.88299999997</v>
      </c>
      <c r="F2362" s="129" t="s">
        <v>256</v>
      </c>
    </row>
    <row r="2363" spans="1:6" ht="16" thickBot="1" x14ac:dyDescent="0.25">
      <c r="A2363" s="83">
        <v>6</v>
      </c>
      <c r="B2363" s="129" t="s">
        <v>214</v>
      </c>
      <c r="C2363" s="129" t="s">
        <v>149</v>
      </c>
      <c r="D2363" s="83">
        <v>240</v>
      </c>
      <c r="E2363" s="103">
        <v>219154.93799999999</v>
      </c>
      <c r="F2363" s="129" t="s">
        <v>256</v>
      </c>
    </row>
    <row r="2364" spans="1:6" ht="16" thickBot="1" x14ac:dyDescent="0.25">
      <c r="A2364" s="83">
        <v>6</v>
      </c>
      <c r="B2364" s="129" t="s">
        <v>215</v>
      </c>
      <c r="C2364" s="129" t="s">
        <v>149</v>
      </c>
      <c r="D2364" s="83">
        <v>522</v>
      </c>
      <c r="E2364" s="103">
        <v>391492.54100000003</v>
      </c>
      <c r="F2364" s="129" t="s">
        <v>256</v>
      </c>
    </row>
    <row r="2365" spans="1:6" ht="16" thickBot="1" x14ac:dyDescent="0.25">
      <c r="A2365" s="83">
        <v>6</v>
      </c>
      <c r="B2365" s="129" t="s">
        <v>215</v>
      </c>
      <c r="C2365" s="129" t="s">
        <v>149</v>
      </c>
      <c r="D2365" s="83">
        <v>350</v>
      </c>
      <c r="E2365" s="103">
        <v>4598.8965600000001</v>
      </c>
      <c r="F2365" s="129" t="s">
        <v>148</v>
      </c>
    </row>
    <row r="2366" spans="1:6" ht="16" thickBot="1" x14ac:dyDescent="0.25">
      <c r="A2366" s="83">
        <v>6</v>
      </c>
      <c r="B2366" s="129" t="s">
        <v>216</v>
      </c>
      <c r="C2366" s="129" t="s">
        <v>149</v>
      </c>
      <c r="D2366" s="83">
        <v>81</v>
      </c>
      <c r="E2366" s="103">
        <v>40848.042999999998</v>
      </c>
      <c r="F2366" s="129" t="s">
        <v>256</v>
      </c>
    </row>
    <row r="2367" spans="1:6" ht="16" thickBot="1" x14ac:dyDescent="0.25">
      <c r="A2367" s="83">
        <v>6</v>
      </c>
      <c r="B2367" s="129" t="s">
        <v>217</v>
      </c>
      <c r="C2367" s="129" t="s">
        <v>149</v>
      </c>
      <c r="D2367" s="83">
        <v>742</v>
      </c>
      <c r="E2367" s="103">
        <v>503198.40100000001</v>
      </c>
      <c r="F2367" s="129" t="s">
        <v>256</v>
      </c>
    </row>
    <row r="2368" spans="1:6" ht="16" thickBot="1" x14ac:dyDescent="0.25">
      <c r="A2368" s="83">
        <v>6</v>
      </c>
      <c r="B2368" s="129" t="s">
        <v>217</v>
      </c>
      <c r="C2368" s="129" t="s">
        <v>149</v>
      </c>
      <c r="D2368" s="83">
        <v>434</v>
      </c>
      <c r="E2368" s="103">
        <v>4987.5914400000001</v>
      </c>
      <c r="F2368" s="129" t="s">
        <v>148</v>
      </c>
    </row>
    <row r="2369" spans="1:6" ht="16" thickBot="1" x14ac:dyDescent="0.25">
      <c r="A2369" s="83">
        <v>6</v>
      </c>
      <c r="B2369" s="129" t="s">
        <v>218</v>
      </c>
      <c r="C2369" s="129" t="s">
        <v>149</v>
      </c>
      <c r="D2369" s="83">
        <v>15070</v>
      </c>
      <c r="E2369" s="103">
        <v>7231748.4859999996</v>
      </c>
      <c r="F2369" s="129" t="s">
        <v>256</v>
      </c>
    </row>
    <row r="2370" spans="1:6" ht="16" thickBot="1" x14ac:dyDescent="0.25">
      <c r="A2370" s="83">
        <v>6</v>
      </c>
      <c r="B2370" s="129" t="s">
        <v>218</v>
      </c>
      <c r="C2370" s="129" t="s">
        <v>149</v>
      </c>
      <c r="D2370" s="83">
        <v>5488</v>
      </c>
      <c r="E2370" s="103">
        <v>121226.17876</v>
      </c>
      <c r="F2370" s="129" t="s">
        <v>148</v>
      </c>
    </row>
    <row r="2371" spans="1:6" ht="16" thickBot="1" x14ac:dyDescent="0.25">
      <c r="A2371" s="83">
        <v>6</v>
      </c>
      <c r="B2371" s="129" t="s">
        <v>219</v>
      </c>
      <c r="C2371" s="129" t="s">
        <v>149</v>
      </c>
      <c r="D2371" s="83">
        <v>10</v>
      </c>
      <c r="E2371" s="103">
        <v>6248.4120000000003</v>
      </c>
      <c r="F2371" s="129" t="s">
        <v>256</v>
      </c>
    </row>
    <row r="2372" spans="1:6" ht="16" thickBot="1" x14ac:dyDescent="0.25">
      <c r="A2372" s="83">
        <v>6</v>
      </c>
      <c r="B2372" s="129" t="s">
        <v>219</v>
      </c>
      <c r="C2372" s="129" t="s">
        <v>149</v>
      </c>
      <c r="D2372" s="83">
        <v>10</v>
      </c>
      <c r="E2372" s="103">
        <v>272.35379</v>
      </c>
      <c r="F2372" s="129" t="s">
        <v>148</v>
      </c>
    </row>
    <row r="2373" spans="1:6" ht="16" thickBot="1" x14ac:dyDescent="0.25">
      <c r="A2373" s="83">
        <v>6</v>
      </c>
      <c r="B2373" s="129" t="s">
        <v>220</v>
      </c>
      <c r="C2373" s="129" t="s">
        <v>149</v>
      </c>
      <c r="D2373" s="83">
        <v>493</v>
      </c>
      <c r="E2373" s="103">
        <v>326580.62400000001</v>
      </c>
      <c r="F2373" s="129" t="s">
        <v>256</v>
      </c>
    </row>
    <row r="2374" spans="1:6" ht="16" thickBot="1" x14ac:dyDescent="0.25">
      <c r="A2374" s="83">
        <v>6</v>
      </c>
      <c r="B2374" s="129" t="s">
        <v>221</v>
      </c>
      <c r="C2374" s="129" t="s">
        <v>149</v>
      </c>
      <c r="D2374" s="83">
        <v>918</v>
      </c>
      <c r="E2374" s="103">
        <v>636333.61600000004</v>
      </c>
      <c r="F2374" s="129" t="s">
        <v>256</v>
      </c>
    </row>
    <row r="2375" spans="1:6" ht="16" thickBot="1" x14ac:dyDescent="0.25">
      <c r="A2375" s="83">
        <v>6</v>
      </c>
      <c r="B2375" s="129" t="s">
        <v>221</v>
      </c>
      <c r="C2375" s="129" t="s">
        <v>149</v>
      </c>
      <c r="D2375" s="83">
        <v>630</v>
      </c>
      <c r="E2375" s="103">
        <v>10501.714019999999</v>
      </c>
      <c r="F2375" s="129" t="s">
        <v>148</v>
      </c>
    </row>
    <row r="2376" spans="1:6" ht="16" thickBot="1" x14ac:dyDescent="0.25">
      <c r="A2376" s="83">
        <v>6</v>
      </c>
      <c r="B2376" s="129" t="s">
        <v>222</v>
      </c>
      <c r="C2376" s="129" t="s">
        <v>149</v>
      </c>
      <c r="D2376" s="83">
        <v>369</v>
      </c>
      <c r="E2376" s="103">
        <v>252679.49299999999</v>
      </c>
      <c r="F2376" s="129" t="s">
        <v>256</v>
      </c>
    </row>
    <row r="2377" spans="1:6" ht="16" thickBot="1" x14ac:dyDescent="0.25">
      <c r="A2377" s="83">
        <v>6</v>
      </c>
      <c r="B2377" s="129" t="s">
        <v>222</v>
      </c>
      <c r="C2377" s="129" t="s">
        <v>149</v>
      </c>
      <c r="D2377" s="83">
        <v>194</v>
      </c>
      <c r="E2377" s="103">
        <v>1837.02475</v>
      </c>
      <c r="F2377" s="129" t="s">
        <v>148</v>
      </c>
    </row>
    <row r="2378" spans="1:6" ht="16" thickBot="1" x14ac:dyDescent="0.25">
      <c r="A2378" s="83">
        <v>6</v>
      </c>
      <c r="B2378" s="129" t="s">
        <v>223</v>
      </c>
      <c r="C2378" s="129" t="s">
        <v>149</v>
      </c>
      <c r="D2378" s="83">
        <v>382</v>
      </c>
      <c r="E2378" s="103">
        <v>300282.93199999997</v>
      </c>
      <c r="F2378" s="129" t="s">
        <v>256</v>
      </c>
    </row>
    <row r="2379" spans="1:6" ht="16" thickBot="1" x14ac:dyDescent="0.25">
      <c r="A2379" s="83">
        <v>6</v>
      </c>
      <c r="B2379" s="129" t="s">
        <v>223</v>
      </c>
      <c r="C2379" s="129" t="s">
        <v>149</v>
      </c>
      <c r="D2379" s="83">
        <v>227</v>
      </c>
      <c r="E2379" s="103">
        <v>4343.5350099999996</v>
      </c>
      <c r="F2379" s="129" t="s">
        <v>148</v>
      </c>
    </row>
    <row r="2380" spans="1:6" ht="16" thickBot="1" x14ac:dyDescent="0.25">
      <c r="A2380" s="83">
        <v>6</v>
      </c>
      <c r="B2380" s="129" t="s">
        <v>224</v>
      </c>
      <c r="C2380" s="129" t="s">
        <v>149</v>
      </c>
      <c r="D2380" s="83">
        <v>949</v>
      </c>
      <c r="E2380" s="103">
        <v>824418.70900000003</v>
      </c>
      <c r="F2380" s="129" t="s">
        <v>256</v>
      </c>
    </row>
    <row r="2381" spans="1:6" ht="16" thickBot="1" x14ac:dyDescent="0.25">
      <c r="A2381" s="83">
        <v>6</v>
      </c>
      <c r="B2381" s="129" t="s">
        <v>225</v>
      </c>
      <c r="C2381" s="129" t="s">
        <v>149</v>
      </c>
      <c r="D2381" s="83">
        <v>45</v>
      </c>
      <c r="E2381" s="103">
        <v>35341.726999999999</v>
      </c>
      <c r="F2381" s="129" t="s">
        <v>256</v>
      </c>
    </row>
    <row r="2382" spans="1:6" ht="16" thickBot="1" x14ac:dyDescent="0.25">
      <c r="A2382" s="83">
        <v>6</v>
      </c>
      <c r="B2382" s="129" t="s">
        <v>226</v>
      </c>
      <c r="C2382" s="129" t="s">
        <v>149</v>
      </c>
      <c r="D2382" s="83">
        <v>44</v>
      </c>
      <c r="E2382" s="103">
        <v>27855.418000000001</v>
      </c>
      <c r="F2382" s="129" t="s">
        <v>256</v>
      </c>
    </row>
    <row r="2383" spans="1:6" ht="16" thickBot="1" x14ac:dyDescent="0.25">
      <c r="A2383" s="83">
        <v>6</v>
      </c>
      <c r="B2383" s="129" t="s">
        <v>227</v>
      </c>
      <c r="C2383" s="129" t="s">
        <v>149</v>
      </c>
      <c r="D2383" s="83">
        <v>221</v>
      </c>
      <c r="E2383" s="103">
        <v>169820.79</v>
      </c>
      <c r="F2383" s="129" t="s">
        <v>256</v>
      </c>
    </row>
    <row r="2384" spans="1:6" ht="16" thickBot="1" x14ac:dyDescent="0.25">
      <c r="A2384" s="83">
        <v>6</v>
      </c>
      <c r="B2384" s="129" t="s">
        <v>227</v>
      </c>
      <c r="C2384" s="129" t="s">
        <v>149</v>
      </c>
      <c r="D2384" s="83">
        <v>132</v>
      </c>
      <c r="E2384" s="103">
        <v>2404.3379199999999</v>
      </c>
      <c r="F2384" s="129" t="s">
        <v>148</v>
      </c>
    </row>
    <row r="2385" spans="1:6" ht="16" thickBot="1" x14ac:dyDescent="0.25">
      <c r="A2385" s="83">
        <v>6</v>
      </c>
      <c r="B2385" s="129" t="s">
        <v>228</v>
      </c>
      <c r="C2385" s="129" t="s">
        <v>149</v>
      </c>
      <c r="D2385" s="83">
        <v>1351</v>
      </c>
      <c r="E2385" s="103">
        <v>1049817.9509999999</v>
      </c>
      <c r="F2385" s="129" t="s">
        <v>256</v>
      </c>
    </row>
    <row r="2386" spans="1:6" ht="16" thickBot="1" x14ac:dyDescent="0.25">
      <c r="A2386" s="83">
        <v>6</v>
      </c>
      <c r="B2386" s="129" t="s">
        <v>228</v>
      </c>
      <c r="C2386" s="129" t="s">
        <v>149</v>
      </c>
      <c r="D2386" s="83">
        <v>40</v>
      </c>
      <c r="E2386" s="103">
        <v>1028.5087599999999</v>
      </c>
      <c r="F2386" s="129" t="s">
        <v>148</v>
      </c>
    </row>
    <row r="2387" spans="1:6" ht="16" thickBot="1" x14ac:dyDescent="0.25">
      <c r="A2387" s="83">
        <v>6</v>
      </c>
      <c r="B2387" s="129" t="s">
        <v>229</v>
      </c>
      <c r="C2387" s="129" t="s">
        <v>149</v>
      </c>
      <c r="D2387" s="83">
        <v>733</v>
      </c>
      <c r="E2387" s="103">
        <v>588825.46799999999</v>
      </c>
      <c r="F2387" s="129" t="s">
        <v>256</v>
      </c>
    </row>
    <row r="2388" spans="1:6" ht="16" thickBot="1" x14ac:dyDescent="0.25">
      <c r="A2388" s="83">
        <v>6</v>
      </c>
      <c r="B2388" s="129" t="s">
        <v>230</v>
      </c>
      <c r="C2388" s="129" t="s">
        <v>149</v>
      </c>
      <c r="D2388" s="83">
        <v>8078</v>
      </c>
      <c r="E2388" s="103">
        <v>4028162.3829999999</v>
      </c>
      <c r="F2388" s="129" t="s">
        <v>256</v>
      </c>
    </row>
    <row r="2389" spans="1:6" ht="16" thickBot="1" x14ac:dyDescent="0.25">
      <c r="A2389" s="83">
        <v>6</v>
      </c>
      <c r="B2389" s="129" t="s">
        <v>230</v>
      </c>
      <c r="C2389" s="129" t="s">
        <v>149</v>
      </c>
      <c r="D2389" s="83">
        <v>3212</v>
      </c>
      <c r="E2389" s="103">
        <v>62608.789940000002</v>
      </c>
      <c r="F2389" s="129" t="s">
        <v>148</v>
      </c>
    </row>
    <row r="2390" spans="1:6" ht="16" thickBot="1" x14ac:dyDescent="0.25">
      <c r="A2390" s="83">
        <v>6</v>
      </c>
      <c r="B2390" s="129" t="s">
        <v>231</v>
      </c>
      <c r="C2390" s="129" t="s">
        <v>149</v>
      </c>
      <c r="D2390" s="83">
        <v>8590</v>
      </c>
      <c r="E2390" s="103">
        <v>5256564.2429999998</v>
      </c>
      <c r="F2390" s="129" t="s">
        <v>256</v>
      </c>
    </row>
    <row r="2391" spans="1:6" ht="16" thickBot="1" x14ac:dyDescent="0.25">
      <c r="A2391" s="83">
        <v>6</v>
      </c>
      <c r="B2391" s="129" t="s">
        <v>231</v>
      </c>
      <c r="C2391" s="129" t="s">
        <v>149</v>
      </c>
      <c r="D2391" s="83">
        <v>4736</v>
      </c>
      <c r="E2391" s="103">
        <v>86315.421140000006</v>
      </c>
      <c r="F2391" s="129" t="s">
        <v>148</v>
      </c>
    </row>
    <row r="2392" spans="1:6" ht="16" thickBot="1" x14ac:dyDescent="0.25">
      <c r="A2392" s="83">
        <v>6</v>
      </c>
      <c r="B2392" s="129" t="s">
        <v>232</v>
      </c>
      <c r="C2392" s="129" t="s">
        <v>149</v>
      </c>
      <c r="D2392" s="83">
        <v>9554</v>
      </c>
      <c r="E2392" s="103">
        <v>7033187.0889999997</v>
      </c>
      <c r="F2392" s="129" t="s">
        <v>256</v>
      </c>
    </row>
    <row r="2393" spans="1:6" ht="16" thickBot="1" x14ac:dyDescent="0.25">
      <c r="A2393" s="83">
        <v>6</v>
      </c>
      <c r="B2393" s="129" t="s">
        <v>232</v>
      </c>
      <c r="C2393" s="129" t="s">
        <v>149</v>
      </c>
      <c r="D2393" s="83">
        <v>7822</v>
      </c>
      <c r="E2393" s="103">
        <v>196482.58497</v>
      </c>
      <c r="F2393" s="129" t="s">
        <v>148</v>
      </c>
    </row>
    <row r="2394" spans="1:6" ht="16" thickBot="1" x14ac:dyDescent="0.25">
      <c r="A2394" s="83">
        <v>6</v>
      </c>
      <c r="B2394" s="129" t="s">
        <v>233</v>
      </c>
      <c r="C2394" s="129" t="s">
        <v>149</v>
      </c>
      <c r="D2394" s="83">
        <v>4395</v>
      </c>
      <c r="E2394" s="103">
        <v>2196185.6860000002</v>
      </c>
      <c r="F2394" s="129" t="s">
        <v>256</v>
      </c>
    </row>
    <row r="2395" spans="1:6" ht="16" thickBot="1" x14ac:dyDescent="0.25">
      <c r="A2395" s="83">
        <v>6</v>
      </c>
      <c r="B2395" s="129" t="s">
        <v>233</v>
      </c>
      <c r="C2395" s="129" t="s">
        <v>149</v>
      </c>
      <c r="D2395" s="83">
        <v>1388</v>
      </c>
      <c r="E2395" s="103">
        <v>50454.323190000003</v>
      </c>
      <c r="F2395" s="129" t="s">
        <v>148</v>
      </c>
    </row>
    <row r="2396" spans="1:6" ht="16" thickBot="1" x14ac:dyDescent="0.25">
      <c r="A2396" s="83">
        <v>6</v>
      </c>
      <c r="B2396" s="129" t="s">
        <v>234</v>
      </c>
      <c r="C2396" s="129" t="s">
        <v>149</v>
      </c>
      <c r="D2396" s="83">
        <v>19204</v>
      </c>
      <c r="E2396" s="103">
        <v>13477182.619999999</v>
      </c>
      <c r="F2396" s="129" t="s">
        <v>256</v>
      </c>
    </row>
    <row r="2397" spans="1:6" ht="16" thickBot="1" x14ac:dyDescent="0.25">
      <c r="A2397" s="83">
        <v>6</v>
      </c>
      <c r="B2397" s="129" t="s">
        <v>234</v>
      </c>
      <c r="C2397" s="129" t="s">
        <v>149</v>
      </c>
      <c r="D2397" s="83">
        <v>15686</v>
      </c>
      <c r="E2397" s="103">
        <v>224733.12972999999</v>
      </c>
      <c r="F2397" s="129" t="s">
        <v>148</v>
      </c>
    </row>
    <row r="2398" spans="1:6" ht="16" thickBot="1" x14ac:dyDescent="0.25">
      <c r="A2398" s="83">
        <v>6</v>
      </c>
      <c r="B2398" s="129" t="s">
        <v>235</v>
      </c>
      <c r="C2398" s="129" t="s">
        <v>149</v>
      </c>
      <c r="D2398" s="83">
        <v>8179</v>
      </c>
      <c r="E2398" s="103">
        <v>6482741.2790000001</v>
      </c>
      <c r="F2398" s="129" t="s">
        <v>256</v>
      </c>
    </row>
    <row r="2399" spans="1:6" ht="16" thickBot="1" x14ac:dyDescent="0.25">
      <c r="A2399" s="83">
        <v>6</v>
      </c>
      <c r="B2399" s="129" t="s">
        <v>235</v>
      </c>
      <c r="C2399" s="129" t="s">
        <v>149</v>
      </c>
      <c r="D2399" s="83">
        <v>10673</v>
      </c>
      <c r="E2399" s="103">
        <v>201000.99905000001</v>
      </c>
      <c r="F2399" s="129" t="s">
        <v>148</v>
      </c>
    </row>
    <row r="2400" spans="1:6" ht="16" thickBot="1" x14ac:dyDescent="0.25">
      <c r="A2400" s="83">
        <v>6</v>
      </c>
      <c r="B2400" s="129" t="s">
        <v>236</v>
      </c>
      <c r="C2400" s="129" t="s">
        <v>149</v>
      </c>
      <c r="D2400" s="83">
        <v>13638</v>
      </c>
      <c r="E2400" s="103">
        <v>9490678.9240000006</v>
      </c>
      <c r="F2400" s="129" t="s">
        <v>256</v>
      </c>
    </row>
    <row r="2401" spans="1:6" ht="16" thickBot="1" x14ac:dyDescent="0.25">
      <c r="A2401" s="83">
        <v>6</v>
      </c>
      <c r="B2401" s="129" t="s">
        <v>236</v>
      </c>
      <c r="C2401" s="129" t="s">
        <v>149</v>
      </c>
      <c r="D2401" s="83">
        <v>9358</v>
      </c>
      <c r="E2401" s="103">
        <v>134314.67628000001</v>
      </c>
      <c r="F2401" s="129" t="s">
        <v>148</v>
      </c>
    </row>
    <row r="2402" spans="1:6" ht="16" thickBot="1" x14ac:dyDescent="0.25">
      <c r="A2402" s="83">
        <v>6</v>
      </c>
      <c r="B2402" s="129" t="s">
        <v>237</v>
      </c>
      <c r="C2402" s="129" t="s">
        <v>149</v>
      </c>
      <c r="D2402" s="83">
        <v>25393</v>
      </c>
      <c r="E2402" s="103">
        <v>19744237.227000002</v>
      </c>
      <c r="F2402" s="129" t="s">
        <v>256</v>
      </c>
    </row>
    <row r="2403" spans="1:6" ht="16" thickBot="1" x14ac:dyDescent="0.25">
      <c r="A2403" s="83">
        <v>6</v>
      </c>
      <c r="B2403" s="129" t="s">
        <v>237</v>
      </c>
      <c r="C2403" s="129" t="s">
        <v>149</v>
      </c>
      <c r="D2403" s="83">
        <v>17552</v>
      </c>
      <c r="E2403" s="103">
        <v>406616.84726000001</v>
      </c>
      <c r="F2403" s="129" t="s">
        <v>148</v>
      </c>
    </row>
    <row r="2404" spans="1:6" ht="16" thickBot="1" x14ac:dyDescent="0.25">
      <c r="A2404" s="83">
        <v>6</v>
      </c>
      <c r="B2404" s="129" t="s">
        <v>238</v>
      </c>
      <c r="C2404" s="129" t="s">
        <v>149</v>
      </c>
      <c r="D2404" s="83">
        <v>10141</v>
      </c>
      <c r="E2404" s="103">
        <v>7359326.9170000004</v>
      </c>
      <c r="F2404" s="129" t="s">
        <v>256</v>
      </c>
    </row>
    <row r="2405" spans="1:6" ht="16" thickBot="1" x14ac:dyDescent="0.25">
      <c r="A2405" s="83">
        <v>6</v>
      </c>
      <c r="B2405" s="129" t="s">
        <v>238</v>
      </c>
      <c r="C2405" s="129" t="s">
        <v>149</v>
      </c>
      <c r="D2405" s="83">
        <v>6838</v>
      </c>
      <c r="E2405" s="103">
        <v>108802.79255</v>
      </c>
      <c r="F2405" s="129" t="s">
        <v>148</v>
      </c>
    </row>
    <row r="2406" spans="1:6" ht="16" thickBot="1" x14ac:dyDescent="0.25">
      <c r="A2406" s="83">
        <v>6</v>
      </c>
      <c r="B2406" s="129" t="s">
        <v>239</v>
      </c>
      <c r="C2406" s="129" t="s">
        <v>149</v>
      </c>
      <c r="D2406" s="83">
        <v>6331</v>
      </c>
      <c r="E2406" s="103">
        <v>4487319.4819999998</v>
      </c>
      <c r="F2406" s="129" t="s">
        <v>256</v>
      </c>
    </row>
    <row r="2407" spans="1:6" ht="16" thickBot="1" x14ac:dyDescent="0.25">
      <c r="A2407" s="83">
        <v>6</v>
      </c>
      <c r="B2407" s="129" t="s">
        <v>239</v>
      </c>
      <c r="C2407" s="129" t="s">
        <v>149</v>
      </c>
      <c r="D2407" s="83">
        <v>5864</v>
      </c>
      <c r="E2407" s="103">
        <v>92530.603839999996</v>
      </c>
      <c r="F2407" s="129" t="s">
        <v>148</v>
      </c>
    </row>
    <row r="2408" spans="1:6" ht="16" thickBot="1" x14ac:dyDescent="0.25">
      <c r="A2408" s="83">
        <v>6</v>
      </c>
      <c r="B2408" s="129" t="s">
        <v>240</v>
      </c>
      <c r="C2408" s="129" t="s">
        <v>149</v>
      </c>
      <c r="D2408" s="83">
        <v>6808</v>
      </c>
      <c r="E2408" s="103">
        <v>5047726.7989999996</v>
      </c>
      <c r="F2408" s="129" t="s">
        <v>256</v>
      </c>
    </row>
    <row r="2409" spans="1:6" ht="16" thickBot="1" x14ac:dyDescent="0.25">
      <c r="A2409" s="83">
        <v>6</v>
      </c>
      <c r="B2409" s="129" t="s">
        <v>240</v>
      </c>
      <c r="C2409" s="129" t="s">
        <v>149</v>
      </c>
      <c r="D2409" s="83">
        <v>4760</v>
      </c>
      <c r="E2409" s="103">
        <v>85168.129799999995</v>
      </c>
      <c r="F2409" s="129" t="s">
        <v>148</v>
      </c>
    </row>
    <row r="2410" spans="1:6" ht="16" thickBot="1" x14ac:dyDescent="0.25">
      <c r="A2410" s="83">
        <v>6</v>
      </c>
      <c r="B2410" s="129" t="s">
        <v>241</v>
      </c>
      <c r="C2410" s="129" t="s">
        <v>149</v>
      </c>
      <c r="D2410" s="83">
        <v>6673</v>
      </c>
      <c r="E2410" s="103">
        <v>4842363.2580000004</v>
      </c>
      <c r="F2410" s="129" t="s">
        <v>256</v>
      </c>
    </row>
    <row r="2411" spans="1:6" ht="16" thickBot="1" x14ac:dyDescent="0.25">
      <c r="A2411" s="83">
        <v>6</v>
      </c>
      <c r="B2411" s="129" t="s">
        <v>241</v>
      </c>
      <c r="C2411" s="129" t="s">
        <v>149</v>
      </c>
      <c r="D2411" s="83">
        <v>4080</v>
      </c>
      <c r="E2411" s="103">
        <v>110988.81475999999</v>
      </c>
      <c r="F2411" s="129" t="s">
        <v>148</v>
      </c>
    </row>
    <row r="2412" spans="1:6" ht="16" thickBot="1" x14ac:dyDescent="0.25">
      <c r="A2412" s="83">
        <v>6</v>
      </c>
      <c r="B2412" s="129" t="s">
        <v>244</v>
      </c>
      <c r="C2412" s="129" t="s">
        <v>149</v>
      </c>
      <c r="D2412" s="83">
        <v>14269</v>
      </c>
      <c r="E2412" s="103">
        <v>11364403.689999999</v>
      </c>
      <c r="F2412" s="129" t="s">
        <v>256</v>
      </c>
    </row>
    <row r="2413" spans="1:6" ht="16" thickBot="1" x14ac:dyDescent="0.25">
      <c r="A2413" s="83">
        <v>6</v>
      </c>
      <c r="B2413" s="129" t="s">
        <v>244</v>
      </c>
      <c r="C2413" s="129" t="s">
        <v>149</v>
      </c>
      <c r="D2413" s="83">
        <v>9571</v>
      </c>
      <c r="E2413" s="103">
        <v>247856.42319</v>
      </c>
      <c r="F2413" s="129" t="s">
        <v>148</v>
      </c>
    </row>
    <row r="2414" spans="1:6" ht="16" thickBot="1" x14ac:dyDescent="0.25">
      <c r="A2414" s="83">
        <v>6</v>
      </c>
      <c r="B2414" s="129" t="s">
        <v>245</v>
      </c>
      <c r="C2414" s="129" t="s">
        <v>149</v>
      </c>
      <c r="D2414" s="83">
        <v>8326</v>
      </c>
      <c r="E2414" s="103">
        <v>5993164.6679999996</v>
      </c>
      <c r="F2414" s="129" t="s">
        <v>256</v>
      </c>
    </row>
    <row r="2415" spans="1:6" ht="16" thickBot="1" x14ac:dyDescent="0.25">
      <c r="A2415" s="83">
        <v>6</v>
      </c>
      <c r="B2415" s="129" t="s">
        <v>245</v>
      </c>
      <c r="C2415" s="129" t="s">
        <v>149</v>
      </c>
      <c r="D2415" s="83">
        <v>4892</v>
      </c>
      <c r="E2415" s="103">
        <v>117722.28118000001</v>
      </c>
      <c r="F2415" s="129" t="s">
        <v>148</v>
      </c>
    </row>
    <row r="2416" spans="1:6" ht="16" thickBot="1" x14ac:dyDescent="0.25">
      <c r="A2416" s="83">
        <v>6</v>
      </c>
      <c r="B2416" s="129" t="s">
        <v>247</v>
      </c>
      <c r="C2416" s="129" t="s">
        <v>149</v>
      </c>
      <c r="D2416" s="83">
        <v>229</v>
      </c>
      <c r="E2416" s="103">
        <v>2883.90002</v>
      </c>
      <c r="F2416" s="129" t="s">
        <v>148</v>
      </c>
    </row>
    <row r="2417" spans="1:6" ht="16" thickBot="1" x14ac:dyDescent="0.25">
      <c r="A2417" s="83">
        <v>6</v>
      </c>
      <c r="B2417" s="129" t="s">
        <v>248</v>
      </c>
      <c r="C2417" s="129" t="s">
        <v>149</v>
      </c>
      <c r="D2417" s="83">
        <v>7</v>
      </c>
      <c r="E2417" s="103">
        <v>6049.9089999999997</v>
      </c>
      <c r="F2417" s="129" t="s">
        <v>256</v>
      </c>
    </row>
    <row r="2418" spans="1:6" ht="16" thickBot="1" x14ac:dyDescent="0.25">
      <c r="A2418" s="83">
        <v>6</v>
      </c>
      <c r="B2418" s="129" t="s">
        <v>249</v>
      </c>
      <c r="C2418" s="129" t="s">
        <v>149</v>
      </c>
      <c r="D2418" s="83">
        <v>311</v>
      </c>
      <c r="E2418" s="103">
        <v>272780.64500000002</v>
      </c>
      <c r="F2418" s="129" t="s">
        <v>256</v>
      </c>
    </row>
    <row r="2419" spans="1:6" ht="16" thickBot="1" x14ac:dyDescent="0.25">
      <c r="A2419" s="83">
        <v>6</v>
      </c>
      <c r="B2419" s="129" t="s">
        <v>249</v>
      </c>
      <c r="C2419" s="129" t="s">
        <v>149</v>
      </c>
      <c r="D2419" s="83">
        <v>144</v>
      </c>
      <c r="E2419" s="103">
        <v>1161.6488199999999</v>
      </c>
      <c r="F2419" s="129" t="s">
        <v>148</v>
      </c>
    </row>
    <row r="2420" spans="1:6" ht="16" thickBot="1" x14ac:dyDescent="0.25">
      <c r="A2420" s="83">
        <v>6</v>
      </c>
      <c r="B2420" s="129" t="s">
        <v>250</v>
      </c>
      <c r="C2420" s="129" t="s">
        <v>149</v>
      </c>
      <c r="D2420" s="83">
        <v>4035</v>
      </c>
      <c r="E2420" s="103">
        <v>3422768.8480000002</v>
      </c>
      <c r="F2420" s="129" t="s">
        <v>256</v>
      </c>
    </row>
    <row r="2421" spans="1:6" ht="16" thickBot="1" x14ac:dyDescent="0.25">
      <c r="A2421" s="83">
        <v>6</v>
      </c>
      <c r="B2421" s="129" t="s">
        <v>251</v>
      </c>
      <c r="C2421" s="129" t="s">
        <v>149</v>
      </c>
      <c r="D2421" s="83">
        <v>164</v>
      </c>
      <c r="E2421" s="103">
        <v>149235.272</v>
      </c>
      <c r="F2421" s="129" t="s">
        <v>256</v>
      </c>
    </row>
    <row r="2422" spans="1:6" ht="16" thickBot="1" x14ac:dyDescent="0.25">
      <c r="A2422" s="83">
        <v>6</v>
      </c>
      <c r="B2422" s="129" t="s">
        <v>252</v>
      </c>
      <c r="C2422" s="129" t="s">
        <v>149</v>
      </c>
      <c r="D2422" s="83">
        <v>672</v>
      </c>
      <c r="E2422" s="103">
        <v>501805.91600000003</v>
      </c>
      <c r="F2422" s="129" t="s">
        <v>256</v>
      </c>
    </row>
    <row r="2423" spans="1:6" ht="16" thickBot="1" x14ac:dyDescent="0.25">
      <c r="A2423" s="83">
        <v>6</v>
      </c>
      <c r="B2423" s="129" t="s">
        <v>252</v>
      </c>
      <c r="C2423" s="129" t="s">
        <v>149</v>
      </c>
      <c r="D2423" s="83">
        <v>421</v>
      </c>
      <c r="E2423" s="103">
        <v>5647.0865100000001</v>
      </c>
      <c r="F2423" s="129" t="s">
        <v>148</v>
      </c>
    </row>
    <row r="2424" spans="1:6" ht="16" thickBot="1" x14ac:dyDescent="0.25">
      <c r="A2424" s="83">
        <v>6</v>
      </c>
      <c r="B2424" s="129" t="s">
        <v>253</v>
      </c>
      <c r="C2424" s="129" t="s">
        <v>149</v>
      </c>
      <c r="D2424" s="83">
        <v>9575</v>
      </c>
      <c r="E2424" s="103">
        <v>6954896.5880000005</v>
      </c>
      <c r="F2424" s="129" t="s">
        <v>256</v>
      </c>
    </row>
    <row r="2425" spans="1:6" ht="16" thickBot="1" x14ac:dyDescent="0.25">
      <c r="A2425" s="83">
        <v>6</v>
      </c>
      <c r="B2425" s="129" t="s">
        <v>253</v>
      </c>
      <c r="C2425" s="129" t="s">
        <v>149</v>
      </c>
      <c r="D2425" s="83">
        <v>6732</v>
      </c>
      <c r="E2425" s="103">
        <v>89742.310379999995</v>
      </c>
      <c r="F2425" s="129" t="s">
        <v>148</v>
      </c>
    </row>
    <row r="2426" spans="1:6" ht="16" thickBot="1" x14ac:dyDescent="0.25">
      <c r="A2426" s="83"/>
      <c r="B2426" s="129"/>
      <c r="C2426" s="129"/>
      <c r="D2426" s="83"/>
      <c r="E2426" s="103"/>
      <c r="F2426" s="129"/>
    </row>
    <row r="2427" spans="1:6" ht="16" thickBot="1" x14ac:dyDescent="0.25">
      <c r="A2427" s="83"/>
      <c r="B2427" s="129"/>
      <c r="C2427" s="129"/>
      <c r="D2427" s="83"/>
      <c r="E2427" s="103"/>
      <c r="F2427" s="129"/>
    </row>
    <row r="2428" spans="1:6" ht="16" thickBot="1" x14ac:dyDescent="0.25">
      <c r="A2428" s="83"/>
      <c r="B2428" s="129"/>
      <c r="C2428" s="129"/>
      <c r="D2428" s="83"/>
      <c r="E2428" s="103"/>
      <c r="F2428" s="129"/>
    </row>
    <row r="2429" spans="1:6" ht="16" thickBot="1" x14ac:dyDescent="0.25">
      <c r="A2429" s="83"/>
      <c r="B2429" s="129"/>
      <c r="C2429" s="129"/>
      <c r="D2429" s="83"/>
      <c r="E2429" s="103"/>
      <c r="F2429" s="129"/>
    </row>
    <row r="2430" spans="1:6" ht="16" thickBot="1" x14ac:dyDescent="0.25">
      <c r="A2430" s="126"/>
      <c r="B2430" s="127"/>
      <c r="C2430" s="127"/>
      <c r="D2430" s="126"/>
      <c r="E2430" s="128"/>
      <c r="F2430" s="127"/>
    </row>
    <row r="2431" spans="1:6" ht="16" thickBot="1" x14ac:dyDescent="0.25">
      <c r="A2431" s="83"/>
      <c r="B2431" s="129"/>
      <c r="C2431" s="129"/>
      <c r="D2431" s="83"/>
      <c r="E2431" s="103"/>
      <c r="F2431" s="129"/>
    </row>
    <row r="2432" spans="1:6" ht="16" thickBot="1" x14ac:dyDescent="0.25">
      <c r="A2432" s="83"/>
      <c r="B2432" s="129"/>
      <c r="C2432" s="129"/>
      <c r="D2432" s="83"/>
      <c r="E2432" s="103"/>
      <c r="F2432" s="129"/>
    </row>
    <row r="2433" spans="1:6" ht="16" thickBot="1" x14ac:dyDescent="0.25">
      <c r="A2433" s="83"/>
      <c r="B2433" s="129"/>
      <c r="C2433" s="129"/>
      <c r="D2433" s="83"/>
      <c r="E2433" s="103"/>
      <c r="F2433" s="129"/>
    </row>
    <row r="2434" spans="1:6" ht="16" thickBot="1" x14ac:dyDescent="0.25">
      <c r="A2434" s="83"/>
      <c r="B2434" s="129"/>
      <c r="C2434" s="129"/>
      <c r="D2434" s="83"/>
      <c r="E2434" s="103"/>
      <c r="F2434" s="129"/>
    </row>
    <row r="2435" spans="1:6" ht="16" thickBot="1" x14ac:dyDescent="0.25">
      <c r="A2435" s="83"/>
      <c r="B2435" s="129"/>
      <c r="C2435" s="129"/>
      <c r="D2435" s="83"/>
      <c r="E2435" s="103"/>
      <c r="F2435" s="129"/>
    </row>
    <row r="2436" spans="1:6" ht="16" thickBot="1" x14ac:dyDescent="0.25">
      <c r="A2436" s="83"/>
      <c r="B2436" s="129"/>
      <c r="C2436" s="129"/>
      <c r="D2436" s="83"/>
      <c r="E2436" s="103"/>
      <c r="F2436" s="129"/>
    </row>
    <row r="2437" spans="1:6" ht="16" thickBot="1" x14ac:dyDescent="0.25">
      <c r="A2437" s="83"/>
      <c r="B2437" s="129"/>
      <c r="C2437" s="129"/>
      <c r="D2437" s="83"/>
      <c r="E2437" s="103"/>
      <c r="F2437" s="129"/>
    </row>
    <row r="2438" spans="1:6" ht="16" thickBot="1" x14ac:dyDescent="0.25">
      <c r="A2438" s="83"/>
      <c r="B2438" s="129"/>
      <c r="C2438" s="129"/>
      <c r="D2438" s="83"/>
      <c r="E2438" s="103"/>
      <c r="F2438" s="129"/>
    </row>
    <row r="2439" spans="1:6" ht="16" thickBot="1" x14ac:dyDescent="0.25">
      <c r="A2439" s="83"/>
      <c r="B2439" s="129"/>
      <c r="C2439" s="129"/>
      <c r="D2439" s="83"/>
      <c r="E2439" s="103"/>
      <c r="F2439" s="129"/>
    </row>
    <row r="2440" spans="1:6" ht="16" thickBot="1" x14ac:dyDescent="0.25">
      <c r="A2440" s="83"/>
      <c r="B2440" s="129"/>
      <c r="C2440" s="129"/>
      <c r="D2440" s="83"/>
      <c r="E2440" s="103"/>
      <c r="F2440" s="129"/>
    </row>
    <row r="2441" spans="1:6" ht="16" thickBot="1" x14ac:dyDescent="0.25">
      <c r="A2441" s="83"/>
      <c r="B2441" s="129"/>
      <c r="C2441" s="129"/>
      <c r="D2441" s="83"/>
      <c r="E2441" s="103"/>
      <c r="F2441" s="129"/>
    </row>
    <row r="2442" spans="1:6" ht="16" thickBot="1" x14ac:dyDescent="0.25">
      <c r="A2442" s="83"/>
      <c r="B2442" s="129"/>
      <c r="C2442" s="129"/>
      <c r="D2442" s="83"/>
      <c r="E2442" s="103"/>
      <c r="F2442" s="129"/>
    </row>
    <row r="2443" spans="1:6" ht="16" thickBot="1" x14ac:dyDescent="0.25">
      <c r="A2443" s="83"/>
      <c r="B2443" s="129"/>
      <c r="C2443" s="129"/>
      <c r="D2443" s="83"/>
      <c r="E2443" s="103"/>
      <c r="F2443" s="129"/>
    </row>
    <row r="2444" spans="1:6" ht="16" thickBot="1" x14ac:dyDescent="0.25">
      <c r="A2444" s="83"/>
      <c r="B2444" s="129"/>
      <c r="C2444" s="129"/>
      <c r="D2444" s="83"/>
      <c r="E2444" s="103"/>
      <c r="F2444" s="129"/>
    </row>
    <row r="2445" spans="1:6" ht="16" thickBot="1" x14ac:dyDescent="0.25">
      <c r="A2445" s="83"/>
      <c r="B2445" s="129"/>
      <c r="C2445" s="129"/>
      <c r="D2445" s="83"/>
      <c r="E2445" s="103"/>
      <c r="F2445" s="129"/>
    </row>
    <row r="2446" spans="1:6" ht="16" thickBot="1" x14ac:dyDescent="0.25">
      <c r="A2446" s="83"/>
      <c r="B2446" s="129"/>
      <c r="C2446" s="129"/>
      <c r="D2446" s="83"/>
      <c r="E2446" s="103"/>
      <c r="F2446" s="129"/>
    </row>
    <row r="2447" spans="1:6" ht="16" thickBot="1" x14ac:dyDescent="0.25">
      <c r="A2447" s="83"/>
      <c r="B2447" s="129"/>
      <c r="C2447" s="129"/>
      <c r="D2447" s="83"/>
      <c r="E2447" s="103"/>
      <c r="F2447" s="129"/>
    </row>
    <row r="2448" spans="1:6" ht="16" thickBot="1" x14ac:dyDescent="0.25">
      <c r="A2448" s="83"/>
      <c r="B2448" s="129"/>
      <c r="C2448" s="129"/>
      <c r="D2448" s="83"/>
      <c r="E2448" s="103"/>
      <c r="F2448" s="129"/>
    </row>
    <row r="2449" spans="1:6" ht="16" thickBot="1" x14ac:dyDescent="0.25">
      <c r="A2449" s="83"/>
      <c r="B2449" s="129"/>
      <c r="C2449" s="129"/>
      <c r="D2449" s="83"/>
      <c r="E2449" s="103"/>
      <c r="F2449" s="129"/>
    </row>
    <row r="2450" spans="1:6" ht="16" thickBot="1" x14ac:dyDescent="0.25">
      <c r="A2450" s="83"/>
      <c r="B2450" s="129"/>
      <c r="C2450" s="129"/>
      <c r="D2450" s="83"/>
      <c r="E2450" s="103"/>
      <c r="F2450" s="129"/>
    </row>
    <row r="2451" spans="1:6" ht="16" thickBot="1" x14ac:dyDescent="0.25">
      <c r="A2451" s="83"/>
      <c r="B2451" s="129"/>
      <c r="C2451" s="129"/>
      <c r="D2451" s="83"/>
      <c r="E2451" s="103"/>
      <c r="F2451" s="129"/>
    </row>
    <row r="2452" spans="1:6" ht="16" thickBot="1" x14ac:dyDescent="0.25">
      <c r="A2452" s="83"/>
      <c r="B2452" s="129"/>
      <c r="C2452" s="129"/>
      <c r="D2452" s="83"/>
      <c r="E2452" s="103"/>
      <c r="F2452" s="129"/>
    </row>
    <row r="2453" spans="1:6" ht="16" thickBot="1" x14ac:dyDescent="0.25">
      <c r="A2453" s="83"/>
      <c r="B2453" s="129"/>
      <c r="C2453" s="129"/>
      <c r="D2453" s="83"/>
      <c r="E2453" s="103"/>
      <c r="F2453" s="129"/>
    </row>
    <row r="2454" spans="1:6" ht="16" thickBot="1" x14ac:dyDescent="0.25">
      <c r="A2454" s="83"/>
      <c r="B2454" s="129"/>
      <c r="C2454" s="129"/>
      <c r="D2454" s="83"/>
      <c r="E2454" s="103"/>
      <c r="F2454" s="129"/>
    </row>
    <row r="2455" spans="1:6" ht="16" thickBot="1" x14ac:dyDescent="0.25">
      <c r="A2455" s="83"/>
      <c r="B2455" s="129"/>
      <c r="C2455" s="129"/>
      <c r="D2455" s="83"/>
      <c r="E2455" s="103"/>
      <c r="F2455" s="129"/>
    </row>
    <row r="2456" spans="1:6" ht="16" thickBot="1" x14ac:dyDescent="0.25">
      <c r="A2456" s="83"/>
      <c r="B2456" s="129"/>
      <c r="C2456" s="129"/>
      <c r="D2456" s="83"/>
      <c r="E2456" s="103"/>
      <c r="F2456" s="129"/>
    </row>
    <row r="2457" spans="1:6" ht="16" thickBot="1" x14ac:dyDescent="0.25">
      <c r="A2457" s="83"/>
      <c r="B2457" s="129"/>
      <c r="C2457" s="129"/>
      <c r="D2457" s="83"/>
      <c r="E2457" s="103"/>
      <c r="F2457" s="129"/>
    </row>
    <row r="2458" spans="1:6" ht="16" thickBot="1" x14ac:dyDescent="0.25">
      <c r="A2458" s="83"/>
      <c r="B2458" s="129"/>
      <c r="C2458" s="129"/>
      <c r="D2458" s="83"/>
      <c r="E2458" s="103"/>
      <c r="F2458" s="129"/>
    </row>
    <row r="2459" spans="1:6" ht="16" thickBot="1" x14ac:dyDescent="0.25">
      <c r="A2459" s="83"/>
      <c r="B2459" s="129"/>
      <c r="C2459" s="129"/>
      <c r="D2459" s="83"/>
      <c r="E2459" s="103"/>
      <c r="F2459" s="129"/>
    </row>
    <row r="2460" spans="1:6" ht="16" thickBot="1" x14ac:dyDescent="0.25">
      <c r="A2460" s="83"/>
      <c r="B2460" s="129"/>
      <c r="C2460" s="129"/>
      <c r="D2460" s="83"/>
      <c r="E2460" s="103"/>
      <c r="F2460" s="129"/>
    </row>
    <row r="2461" spans="1:6" ht="16" thickBot="1" x14ac:dyDescent="0.25">
      <c r="A2461" s="83"/>
      <c r="B2461" s="129"/>
      <c r="C2461" s="129"/>
      <c r="D2461" s="83"/>
      <c r="E2461" s="103"/>
      <c r="F2461" s="129"/>
    </row>
    <row r="2462" spans="1:6" ht="16" thickBot="1" x14ac:dyDescent="0.25">
      <c r="A2462" s="83"/>
      <c r="B2462" s="129"/>
      <c r="C2462" s="129"/>
      <c r="D2462" s="83"/>
      <c r="E2462" s="103"/>
      <c r="F2462" s="129"/>
    </row>
    <row r="2463" spans="1:6" ht="16" thickBot="1" x14ac:dyDescent="0.25">
      <c r="A2463" s="83"/>
      <c r="B2463" s="129"/>
      <c r="C2463" s="129"/>
      <c r="D2463" s="83"/>
      <c r="E2463" s="103"/>
      <c r="F2463" s="129"/>
    </row>
    <row r="2464" spans="1:6" ht="16" thickBot="1" x14ac:dyDescent="0.25">
      <c r="A2464" s="83"/>
      <c r="B2464" s="129"/>
      <c r="C2464" s="129"/>
      <c r="D2464" s="83"/>
      <c r="E2464" s="103"/>
      <c r="F2464" s="129"/>
    </row>
    <row r="2465" spans="1:6" ht="16" thickBot="1" x14ac:dyDescent="0.25">
      <c r="A2465" s="83"/>
      <c r="B2465" s="129"/>
      <c r="C2465" s="129"/>
      <c r="D2465" s="83"/>
      <c r="E2465" s="103"/>
      <c r="F2465" s="129"/>
    </row>
    <row r="2466" spans="1:6" ht="16" thickBot="1" x14ac:dyDescent="0.25">
      <c r="A2466" s="83"/>
      <c r="B2466" s="129"/>
      <c r="C2466" s="129"/>
      <c r="D2466" s="83"/>
      <c r="E2466" s="103"/>
      <c r="F2466" s="129"/>
    </row>
    <row r="2467" spans="1:6" ht="16" thickBot="1" x14ac:dyDescent="0.25">
      <c r="A2467" s="83"/>
      <c r="B2467" s="129"/>
      <c r="C2467" s="129"/>
      <c r="D2467" s="83"/>
      <c r="E2467" s="103"/>
      <c r="F2467" s="129"/>
    </row>
    <row r="2468" spans="1:6" ht="16" thickBot="1" x14ac:dyDescent="0.25">
      <c r="A2468" s="83"/>
      <c r="B2468" s="129"/>
      <c r="C2468" s="129"/>
      <c r="D2468" s="83"/>
      <c r="E2468" s="103"/>
      <c r="F2468" s="129"/>
    </row>
    <row r="2469" spans="1:6" ht="16" thickBot="1" x14ac:dyDescent="0.25">
      <c r="A2469" s="83"/>
      <c r="B2469" s="129"/>
      <c r="C2469" s="129"/>
      <c r="D2469" s="83"/>
      <c r="E2469" s="103"/>
      <c r="F2469" s="129"/>
    </row>
    <row r="2470" spans="1:6" ht="16" thickBot="1" x14ac:dyDescent="0.25">
      <c r="A2470" s="83"/>
      <c r="B2470" s="129"/>
      <c r="C2470" s="129"/>
      <c r="D2470" s="83"/>
      <c r="E2470" s="103"/>
      <c r="F2470" s="129"/>
    </row>
    <row r="2471" spans="1:6" ht="16" thickBot="1" x14ac:dyDescent="0.25">
      <c r="A2471" s="83"/>
      <c r="B2471" s="129"/>
      <c r="C2471" s="129"/>
      <c r="D2471" s="83"/>
      <c r="E2471" s="103"/>
      <c r="F2471" s="129"/>
    </row>
    <row r="2472" spans="1:6" ht="16" thickBot="1" x14ac:dyDescent="0.25">
      <c r="A2472" s="83"/>
      <c r="B2472" s="129"/>
      <c r="C2472" s="129"/>
      <c r="D2472" s="83"/>
      <c r="E2472" s="103"/>
      <c r="F2472" s="129"/>
    </row>
    <row r="2473" spans="1:6" ht="16" thickBot="1" x14ac:dyDescent="0.25">
      <c r="A2473" s="83"/>
      <c r="B2473" s="129"/>
      <c r="C2473" s="129"/>
      <c r="D2473" s="83"/>
      <c r="E2473" s="103"/>
      <c r="F2473" s="129"/>
    </row>
    <row r="2474" spans="1:6" ht="16" thickBot="1" x14ac:dyDescent="0.25">
      <c r="A2474" s="83"/>
      <c r="B2474" s="129"/>
      <c r="C2474" s="129"/>
      <c r="D2474" s="83"/>
      <c r="E2474" s="103"/>
      <c r="F2474" s="129"/>
    </row>
    <row r="2475" spans="1:6" ht="16" thickBot="1" x14ac:dyDescent="0.25">
      <c r="A2475" s="83"/>
      <c r="B2475" s="129"/>
      <c r="C2475" s="129"/>
      <c r="D2475" s="83"/>
      <c r="E2475" s="103"/>
      <c r="F2475" s="129"/>
    </row>
    <row r="2476" spans="1:6" ht="16" thickBot="1" x14ac:dyDescent="0.25">
      <c r="A2476" s="83"/>
      <c r="B2476" s="129"/>
      <c r="C2476" s="129"/>
      <c r="D2476" s="83"/>
      <c r="E2476" s="103"/>
      <c r="F2476" s="129"/>
    </row>
    <row r="2477" spans="1:6" ht="16" thickBot="1" x14ac:dyDescent="0.25">
      <c r="A2477" s="83"/>
      <c r="B2477" s="129"/>
      <c r="C2477" s="129"/>
      <c r="D2477" s="83"/>
      <c r="E2477" s="103"/>
      <c r="F2477" s="129"/>
    </row>
    <row r="2478" spans="1:6" ht="16" thickBot="1" x14ac:dyDescent="0.25">
      <c r="A2478" s="83"/>
      <c r="B2478" s="129"/>
      <c r="C2478" s="129"/>
      <c r="D2478" s="83"/>
      <c r="E2478" s="103"/>
      <c r="F2478" s="129"/>
    </row>
    <row r="2479" spans="1:6" ht="16" thickBot="1" x14ac:dyDescent="0.25">
      <c r="A2479" s="83"/>
      <c r="B2479" s="129"/>
      <c r="C2479" s="129"/>
      <c r="D2479" s="83"/>
      <c r="E2479" s="103"/>
      <c r="F2479" s="129"/>
    </row>
    <row r="2480" spans="1:6" ht="16" thickBot="1" x14ac:dyDescent="0.25">
      <c r="A2480" s="83"/>
      <c r="B2480" s="129"/>
      <c r="C2480" s="129"/>
      <c r="D2480" s="83"/>
      <c r="E2480" s="103"/>
      <c r="F2480" s="129"/>
    </row>
    <row r="2481" spans="1:6" ht="16" thickBot="1" x14ac:dyDescent="0.25">
      <c r="A2481" s="83"/>
      <c r="B2481" s="129"/>
      <c r="C2481" s="129"/>
      <c r="D2481" s="83"/>
      <c r="E2481" s="103"/>
      <c r="F2481" s="129"/>
    </row>
    <row r="2482" spans="1:6" ht="16" thickBot="1" x14ac:dyDescent="0.25">
      <c r="A2482" s="83"/>
      <c r="B2482" s="129"/>
      <c r="C2482" s="129"/>
      <c r="D2482" s="83"/>
      <c r="E2482" s="103"/>
      <c r="F2482" s="129"/>
    </row>
    <row r="2483" spans="1:6" ht="16" thickBot="1" x14ac:dyDescent="0.25">
      <c r="A2483" s="83"/>
      <c r="B2483" s="129"/>
      <c r="C2483" s="129"/>
      <c r="D2483" s="83"/>
      <c r="E2483" s="103"/>
      <c r="F2483" s="129"/>
    </row>
    <row r="2484" spans="1:6" ht="16" thickBot="1" x14ac:dyDescent="0.25">
      <c r="A2484" s="83"/>
      <c r="B2484" s="129"/>
      <c r="C2484" s="129"/>
      <c r="D2484" s="83"/>
      <c r="E2484" s="103"/>
      <c r="F2484" s="129"/>
    </row>
    <row r="2485" spans="1:6" ht="16" thickBot="1" x14ac:dyDescent="0.25">
      <c r="A2485" s="83"/>
      <c r="B2485" s="129"/>
      <c r="C2485" s="129"/>
      <c r="D2485" s="83"/>
      <c r="E2485" s="103"/>
      <c r="F2485" s="129"/>
    </row>
    <row r="2486" spans="1:6" ht="16" thickBot="1" x14ac:dyDescent="0.25">
      <c r="A2486" s="83"/>
      <c r="B2486" s="129"/>
      <c r="C2486" s="129"/>
      <c r="D2486" s="83"/>
      <c r="E2486" s="103"/>
      <c r="F2486" s="129"/>
    </row>
    <row r="2487" spans="1:6" ht="16" thickBot="1" x14ac:dyDescent="0.25">
      <c r="A2487" s="83"/>
      <c r="B2487" s="129"/>
      <c r="C2487" s="129"/>
      <c r="D2487" s="83"/>
      <c r="E2487" s="103"/>
      <c r="F2487" s="129"/>
    </row>
    <row r="2488" spans="1:6" ht="16" thickBot="1" x14ac:dyDescent="0.25">
      <c r="A2488" s="83"/>
      <c r="B2488" s="129"/>
      <c r="C2488" s="129"/>
      <c r="D2488" s="83"/>
      <c r="E2488" s="103"/>
      <c r="F2488" s="129"/>
    </row>
    <row r="2489" spans="1:6" ht="16" thickBot="1" x14ac:dyDescent="0.25">
      <c r="A2489" s="83"/>
      <c r="B2489" s="129"/>
      <c r="C2489" s="129"/>
      <c r="D2489" s="83"/>
      <c r="E2489" s="103"/>
      <c r="F2489" s="129"/>
    </row>
    <row r="2490" spans="1:6" ht="16" thickBot="1" x14ac:dyDescent="0.25">
      <c r="A2490" s="83"/>
      <c r="B2490" s="129"/>
      <c r="C2490" s="129"/>
      <c r="D2490" s="83"/>
      <c r="E2490" s="103"/>
      <c r="F2490" s="129"/>
    </row>
    <row r="2491" spans="1:6" ht="16" thickBot="1" x14ac:dyDescent="0.25">
      <c r="A2491" s="83"/>
      <c r="B2491" s="129"/>
      <c r="C2491" s="129"/>
      <c r="D2491" s="83"/>
      <c r="E2491" s="103"/>
      <c r="F2491" s="129"/>
    </row>
    <row r="2492" spans="1:6" ht="16" thickBot="1" x14ac:dyDescent="0.25">
      <c r="A2492" s="83"/>
      <c r="B2492" s="129"/>
      <c r="C2492" s="129"/>
      <c r="D2492" s="83"/>
      <c r="E2492" s="103"/>
      <c r="F2492" s="129"/>
    </row>
    <row r="2493" spans="1:6" ht="16" thickBot="1" x14ac:dyDescent="0.25">
      <c r="A2493" s="83"/>
      <c r="B2493" s="129"/>
      <c r="C2493" s="129"/>
      <c r="D2493" s="83"/>
      <c r="E2493" s="103"/>
      <c r="F2493" s="129"/>
    </row>
    <row r="2494" spans="1:6" ht="16" thickBot="1" x14ac:dyDescent="0.25">
      <c r="A2494" s="83"/>
      <c r="B2494" s="129"/>
      <c r="C2494" s="129"/>
      <c r="D2494" s="83"/>
      <c r="E2494" s="103"/>
      <c r="F2494" s="129"/>
    </row>
    <row r="2495" spans="1:6" ht="16" thickBot="1" x14ac:dyDescent="0.25">
      <c r="A2495" s="83"/>
      <c r="B2495" s="129"/>
      <c r="C2495" s="129"/>
      <c r="D2495" s="83"/>
      <c r="E2495" s="103"/>
      <c r="F2495" s="129"/>
    </row>
    <row r="2496" spans="1:6" ht="16" thickBot="1" x14ac:dyDescent="0.25">
      <c r="A2496" s="83"/>
      <c r="B2496" s="129"/>
      <c r="C2496" s="129"/>
      <c r="D2496" s="83"/>
      <c r="E2496" s="103"/>
      <c r="F2496" s="129"/>
    </row>
    <row r="2497" spans="1:6" ht="16" thickBot="1" x14ac:dyDescent="0.25">
      <c r="A2497" s="83"/>
      <c r="B2497" s="129"/>
      <c r="C2497" s="129"/>
      <c r="D2497" s="83"/>
      <c r="E2497" s="103"/>
      <c r="F2497" s="129"/>
    </row>
    <row r="2498" spans="1:6" ht="16" thickBot="1" x14ac:dyDescent="0.25">
      <c r="A2498" s="83"/>
      <c r="B2498" s="129"/>
      <c r="C2498" s="129"/>
      <c r="D2498" s="83"/>
      <c r="E2498" s="103"/>
      <c r="F2498" s="129"/>
    </row>
    <row r="2499" spans="1:6" ht="16" thickBot="1" x14ac:dyDescent="0.25">
      <c r="A2499" s="83"/>
      <c r="B2499" s="129"/>
      <c r="C2499" s="129"/>
      <c r="D2499" s="83"/>
      <c r="E2499" s="103"/>
      <c r="F2499" s="129"/>
    </row>
    <row r="2500" spans="1:6" ht="16" thickBot="1" x14ac:dyDescent="0.25">
      <c r="A2500" s="83"/>
      <c r="B2500" s="129"/>
      <c r="C2500" s="129"/>
      <c r="D2500" s="83"/>
      <c r="E2500" s="103"/>
      <c r="F2500" s="129"/>
    </row>
    <row r="2501" spans="1:6" ht="16" thickBot="1" x14ac:dyDescent="0.25">
      <c r="A2501" s="83"/>
      <c r="B2501" s="129"/>
      <c r="C2501" s="129"/>
      <c r="D2501" s="83"/>
      <c r="E2501" s="103"/>
      <c r="F2501" s="129"/>
    </row>
    <row r="2502" spans="1:6" ht="16" thickBot="1" x14ac:dyDescent="0.25">
      <c r="A2502" s="83"/>
      <c r="B2502" s="129"/>
      <c r="C2502" s="129"/>
      <c r="D2502" s="83"/>
      <c r="E2502" s="103"/>
      <c r="F2502" s="129"/>
    </row>
    <row r="2503" spans="1:6" ht="16" thickBot="1" x14ac:dyDescent="0.25">
      <c r="A2503" s="83"/>
      <c r="B2503" s="129"/>
      <c r="C2503" s="129"/>
      <c r="D2503" s="83"/>
      <c r="E2503" s="103"/>
      <c r="F2503" s="129"/>
    </row>
    <row r="2504" spans="1:6" ht="16" thickBot="1" x14ac:dyDescent="0.25">
      <c r="A2504" s="83"/>
      <c r="B2504" s="129"/>
      <c r="C2504" s="129"/>
      <c r="D2504" s="83"/>
      <c r="E2504" s="103"/>
      <c r="F2504" s="129"/>
    </row>
    <row r="2505" spans="1:6" ht="16" thickBot="1" x14ac:dyDescent="0.25">
      <c r="A2505" s="83"/>
      <c r="B2505" s="129"/>
      <c r="C2505" s="129"/>
      <c r="D2505" s="83"/>
      <c r="E2505" s="103"/>
      <c r="F2505" s="129"/>
    </row>
    <row r="2506" spans="1:6" ht="16" thickBot="1" x14ac:dyDescent="0.25">
      <c r="A2506" s="83"/>
      <c r="B2506" s="129"/>
      <c r="C2506" s="129"/>
      <c r="D2506" s="83"/>
      <c r="E2506" s="103"/>
      <c r="F2506" s="129"/>
    </row>
    <row r="2507" spans="1:6" ht="16" thickBot="1" x14ac:dyDescent="0.25">
      <c r="A2507" s="83"/>
      <c r="B2507" s="129"/>
      <c r="C2507" s="129"/>
      <c r="D2507" s="83"/>
      <c r="E2507" s="103"/>
      <c r="F2507" s="129"/>
    </row>
    <row r="2508" spans="1:6" ht="16" thickBot="1" x14ac:dyDescent="0.25">
      <c r="A2508" s="83"/>
      <c r="B2508" s="129"/>
      <c r="C2508" s="129"/>
      <c r="D2508" s="83"/>
      <c r="E2508" s="103"/>
      <c r="F2508" s="129"/>
    </row>
    <row r="2509" spans="1:6" ht="16" thickBot="1" x14ac:dyDescent="0.25">
      <c r="A2509" s="83"/>
      <c r="B2509" s="129"/>
      <c r="C2509" s="129"/>
      <c r="D2509" s="83"/>
      <c r="E2509" s="103"/>
      <c r="F2509" s="129"/>
    </row>
    <row r="2510" spans="1:6" ht="16" thickBot="1" x14ac:dyDescent="0.25">
      <c r="A2510" s="83"/>
      <c r="B2510" s="129"/>
      <c r="C2510" s="129"/>
      <c r="D2510" s="83"/>
      <c r="E2510" s="103"/>
      <c r="F2510" s="129"/>
    </row>
    <row r="2511" spans="1:6" ht="16" thickBot="1" x14ac:dyDescent="0.25">
      <c r="A2511" s="83"/>
      <c r="B2511" s="129"/>
      <c r="C2511" s="129"/>
      <c r="D2511" s="83"/>
      <c r="E2511" s="103"/>
      <c r="F2511" s="129"/>
    </row>
    <row r="2512" spans="1:6" ht="16" thickBot="1" x14ac:dyDescent="0.25">
      <c r="A2512" s="83"/>
      <c r="B2512" s="129"/>
      <c r="C2512" s="129"/>
      <c r="D2512" s="83"/>
      <c r="E2512" s="103"/>
      <c r="F2512" s="129"/>
    </row>
    <row r="2513" spans="1:6" ht="16" thickBot="1" x14ac:dyDescent="0.25">
      <c r="A2513" s="83"/>
      <c r="B2513" s="129"/>
      <c r="C2513" s="129"/>
      <c r="D2513" s="83"/>
      <c r="E2513" s="103"/>
      <c r="F2513" s="129"/>
    </row>
    <row r="2514" spans="1:6" ht="16" thickBot="1" x14ac:dyDescent="0.25">
      <c r="A2514" s="83"/>
      <c r="B2514" s="129"/>
      <c r="C2514" s="129"/>
      <c r="D2514" s="83"/>
      <c r="E2514" s="103"/>
      <c r="F2514" s="129"/>
    </row>
    <row r="2515" spans="1:6" ht="16" thickBot="1" x14ac:dyDescent="0.25">
      <c r="A2515" s="83"/>
      <c r="B2515" s="129"/>
      <c r="C2515" s="129"/>
      <c r="D2515" s="83"/>
      <c r="E2515" s="103"/>
      <c r="F2515" s="129"/>
    </row>
    <row r="2516" spans="1:6" ht="16" thickBot="1" x14ac:dyDescent="0.25">
      <c r="A2516" s="83"/>
      <c r="B2516" s="129"/>
      <c r="C2516" s="129"/>
      <c r="D2516" s="83"/>
      <c r="E2516" s="103"/>
      <c r="F2516" s="129"/>
    </row>
    <row r="2517" spans="1:6" ht="16" thickBot="1" x14ac:dyDescent="0.25">
      <c r="A2517" s="83"/>
      <c r="B2517" s="129"/>
      <c r="C2517" s="129"/>
      <c r="D2517" s="83"/>
      <c r="E2517" s="103"/>
      <c r="F2517" s="129"/>
    </row>
    <row r="2518" spans="1:6" ht="16" thickBot="1" x14ac:dyDescent="0.25">
      <c r="A2518" s="83"/>
      <c r="B2518" s="129"/>
      <c r="C2518" s="129"/>
      <c r="D2518" s="83"/>
      <c r="E2518" s="103"/>
      <c r="F2518" s="129"/>
    </row>
    <row r="2519" spans="1:6" ht="16" thickBot="1" x14ac:dyDescent="0.25">
      <c r="A2519" s="83"/>
      <c r="B2519" s="129"/>
      <c r="C2519" s="129"/>
      <c r="D2519" s="83"/>
      <c r="E2519" s="103"/>
      <c r="F2519" s="129"/>
    </row>
    <row r="2520" spans="1:6" ht="16" thickBot="1" x14ac:dyDescent="0.25">
      <c r="A2520" s="83"/>
      <c r="B2520" s="129"/>
      <c r="C2520" s="129"/>
      <c r="D2520" s="83"/>
      <c r="E2520" s="103"/>
      <c r="F2520" s="129"/>
    </row>
    <row r="2521" spans="1:6" ht="16" thickBot="1" x14ac:dyDescent="0.25">
      <c r="A2521" s="83"/>
      <c r="B2521" s="129"/>
      <c r="C2521" s="129"/>
      <c r="D2521" s="83"/>
      <c r="E2521" s="103"/>
      <c r="F2521" s="129"/>
    </row>
    <row r="2522" spans="1:6" ht="16" thickBot="1" x14ac:dyDescent="0.25">
      <c r="A2522" s="83"/>
      <c r="B2522" s="129"/>
      <c r="C2522" s="129"/>
      <c r="D2522" s="83"/>
      <c r="E2522" s="103"/>
      <c r="F2522" s="129"/>
    </row>
    <row r="2523" spans="1:6" ht="16" thickBot="1" x14ac:dyDescent="0.25">
      <c r="A2523" s="83"/>
      <c r="B2523" s="129"/>
      <c r="C2523" s="129"/>
      <c r="D2523" s="83"/>
      <c r="E2523" s="103"/>
      <c r="F2523" s="129"/>
    </row>
    <row r="2524" spans="1:6" ht="16" thickBot="1" x14ac:dyDescent="0.25">
      <c r="A2524" s="83"/>
      <c r="B2524" s="129"/>
      <c r="C2524" s="129"/>
      <c r="D2524" s="83"/>
      <c r="E2524" s="103"/>
      <c r="F2524" s="129"/>
    </row>
    <row r="2525" spans="1:6" ht="16" thickBot="1" x14ac:dyDescent="0.25">
      <c r="A2525" s="83"/>
      <c r="B2525" s="129"/>
      <c r="C2525" s="129"/>
      <c r="D2525" s="83"/>
      <c r="E2525" s="103"/>
      <c r="F2525" s="129"/>
    </row>
    <row r="2526" spans="1:6" ht="16" thickBot="1" x14ac:dyDescent="0.25">
      <c r="A2526" s="83"/>
      <c r="B2526" s="129"/>
      <c r="C2526" s="129"/>
      <c r="D2526" s="83"/>
      <c r="E2526" s="103"/>
      <c r="F2526" s="129"/>
    </row>
    <row r="2527" spans="1:6" ht="16" thickBot="1" x14ac:dyDescent="0.25">
      <c r="A2527" s="83"/>
      <c r="B2527" s="129"/>
      <c r="C2527" s="129"/>
      <c r="D2527" s="83"/>
      <c r="E2527" s="103"/>
      <c r="F2527" s="129"/>
    </row>
    <row r="2528" spans="1:6" ht="16" thickBot="1" x14ac:dyDescent="0.25">
      <c r="A2528" s="83"/>
      <c r="B2528" s="129"/>
      <c r="C2528" s="129"/>
      <c r="D2528" s="83"/>
      <c r="E2528" s="103"/>
      <c r="F2528" s="129"/>
    </row>
    <row r="2529" spans="1:6" ht="16" thickBot="1" x14ac:dyDescent="0.25">
      <c r="A2529" s="83"/>
      <c r="B2529" s="129"/>
      <c r="C2529" s="129"/>
      <c r="D2529" s="83"/>
      <c r="E2529" s="103"/>
      <c r="F2529" s="129"/>
    </row>
    <row r="2530" spans="1:6" ht="16" thickBot="1" x14ac:dyDescent="0.25">
      <c r="A2530" s="83"/>
      <c r="B2530" s="129"/>
      <c r="C2530" s="129"/>
      <c r="D2530" s="83"/>
      <c r="E2530" s="103"/>
      <c r="F2530" s="129"/>
    </row>
    <row r="2531" spans="1:6" ht="16" thickBot="1" x14ac:dyDescent="0.25">
      <c r="A2531" s="83"/>
      <c r="B2531" s="129"/>
      <c r="C2531" s="129"/>
      <c r="D2531" s="83"/>
      <c r="E2531" s="103"/>
      <c r="F2531" s="129"/>
    </row>
    <row r="2532" spans="1:6" ht="16" thickBot="1" x14ac:dyDescent="0.25">
      <c r="A2532" s="83"/>
      <c r="B2532" s="129"/>
      <c r="C2532" s="129"/>
      <c r="D2532" s="83"/>
      <c r="E2532" s="103"/>
      <c r="F2532" s="129"/>
    </row>
    <row r="2533" spans="1:6" ht="16" thickBot="1" x14ac:dyDescent="0.25">
      <c r="A2533" s="83"/>
      <c r="B2533" s="129"/>
      <c r="C2533" s="129"/>
      <c r="D2533" s="83"/>
      <c r="E2533" s="103"/>
      <c r="F2533" s="129"/>
    </row>
    <row r="2534" spans="1:6" ht="16" thickBot="1" x14ac:dyDescent="0.25">
      <c r="A2534" s="83"/>
      <c r="B2534" s="129"/>
      <c r="C2534" s="129"/>
      <c r="D2534" s="83"/>
      <c r="E2534" s="103"/>
      <c r="F2534" s="129"/>
    </row>
    <row r="2535" spans="1:6" ht="16" thickBot="1" x14ac:dyDescent="0.25">
      <c r="A2535" s="83"/>
      <c r="B2535" s="129"/>
      <c r="C2535" s="129"/>
      <c r="D2535" s="83"/>
      <c r="E2535" s="103"/>
      <c r="F2535" s="129"/>
    </row>
    <row r="2536" spans="1:6" ht="16" thickBot="1" x14ac:dyDescent="0.25">
      <c r="A2536" s="83"/>
      <c r="B2536" s="129"/>
      <c r="C2536" s="129"/>
      <c r="D2536" s="83"/>
      <c r="E2536" s="103"/>
      <c r="F2536" s="129"/>
    </row>
    <row r="2537" spans="1:6" ht="16" thickBot="1" x14ac:dyDescent="0.25">
      <c r="A2537" s="83"/>
      <c r="B2537" s="129"/>
      <c r="C2537" s="129"/>
      <c r="D2537" s="83"/>
      <c r="E2537" s="103"/>
      <c r="F2537" s="129"/>
    </row>
    <row r="2538" spans="1:6" ht="16" thickBot="1" x14ac:dyDescent="0.25">
      <c r="A2538" s="83"/>
      <c r="B2538" s="129"/>
      <c r="C2538" s="129"/>
      <c r="D2538" s="83"/>
      <c r="E2538" s="103"/>
      <c r="F2538" s="129"/>
    </row>
    <row r="2539" spans="1:6" ht="16" thickBot="1" x14ac:dyDescent="0.25">
      <c r="A2539" s="83"/>
      <c r="B2539" s="129"/>
      <c r="C2539" s="129"/>
      <c r="D2539" s="83"/>
      <c r="E2539" s="103"/>
      <c r="F2539" s="129"/>
    </row>
    <row r="2540" spans="1:6" ht="16" thickBot="1" x14ac:dyDescent="0.25">
      <c r="A2540" s="83"/>
      <c r="B2540" s="129"/>
      <c r="C2540" s="129"/>
      <c r="D2540" s="83"/>
      <c r="E2540" s="103"/>
      <c r="F2540" s="129"/>
    </row>
    <row r="2541" spans="1:6" ht="16" thickBot="1" x14ac:dyDescent="0.25">
      <c r="A2541" s="83"/>
      <c r="B2541" s="129"/>
      <c r="C2541" s="129"/>
      <c r="D2541" s="83"/>
      <c r="E2541" s="103"/>
      <c r="F2541" s="129"/>
    </row>
    <row r="2542" spans="1:6" ht="16" thickBot="1" x14ac:dyDescent="0.25">
      <c r="A2542" s="83"/>
      <c r="B2542" s="129"/>
      <c r="C2542" s="129"/>
      <c r="D2542" s="83"/>
      <c r="E2542" s="103"/>
      <c r="F2542" s="129"/>
    </row>
    <row r="2543" spans="1:6" ht="16" thickBot="1" x14ac:dyDescent="0.25">
      <c r="A2543" s="83"/>
      <c r="B2543" s="129"/>
      <c r="C2543" s="129"/>
      <c r="D2543" s="83"/>
      <c r="E2543" s="103"/>
      <c r="F2543" s="129"/>
    </row>
    <row r="2544" spans="1:6" ht="16" thickBot="1" x14ac:dyDescent="0.25">
      <c r="A2544" s="83"/>
      <c r="B2544" s="129"/>
      <c r="C2544" s="129"/>
      <c r="D2544" s="83"/>
      <c r="E2544" s="103"/>
      <c r="F2544" s="129"/>
    </row>
    <row r="2545" spans="1:6" ht="16" thickBot="1" x14ac:dyDescent="0.25">
      <c r="A2545" s="83"/>
      <c r="B2545" s="129"/>
      <c r="C2545" s="129"/>
      <c r="D2545" s="83"/>
      <c r="E2545" s="103"/>
      <c r="F2545" s="129"/>
    </row>
    <row r="2546" spans="1:6" ht="16" thickBot="1" x14ac:dyDescent="0.25">
      <c r="A2546" s="83"/>
      <c r="B2546" s="129"/>
      <c r="C2546" s="129"/>
      <c r="D2546" s="83"/>
      <c r="E2546" s="103"/>
      <c r="F2546" s="129"/>
    </row>
    <row r="2547" spans="1:6" ht="16" thickBot="1" x14ac:dyDescent="0.25">
      <c r="A2547" s="83"/>
      <c r="B2547" s="129"/>
      <c r="C2547" s="129"/>
      <c r="D2547" s="83"/>
      <c r="E2547" s="103"/>
      <c r="F2547" s="129"/>
    </row>
    <row r="2548" spans="1:6" ht="16" thickBot="1" x14ac:dyDescent="0.25">
      <c r="A2548" s="83"/>
      <c r="B2548" s="129"/>
      <c r="C2548" s="129"/>
      <c r="D2548" s="83"/>
      <c r="E2548" s="103"/>
      <c r="F2548" s="129"/>
    </row>
    <row r="2549" spans="1:6" ht="16" thickBot="1" x14ac:dyDescent="0.25">
      <c r="A2549" s="83"/>
      <c r="B2549" s="129"/>
      <c r="C2549" s="129"/>
      <c r="D2549" s="83"/>
      <c r="E2549" s="103"/>
      <c r="F2549" s="129"/>
    </row>
    <row r="2550" spans="1:6" ht="16" thickBot="1" x14ac:dyDescent="0.25">
      <c r="A2550" s="83"/>
      <c r="B2550" s="129"/>
      <c r="C2550" s="129"/>
      <c r="D2550" s="83"/>
      <c r="E2550" s="103"/>
      <c r="F2550" s="129"/>
    </row>
    <row r="2551" spans="1:6" ht="16" thickBot="1" x14ac:dyDescent="0.25">
      <c r="A2551" s="83"/>
      <c r="B2551" s="129"/>
      <c r="C2551" s="129"/>
      <c r="D2551" s="83"/>
      <c r="E2551" s="103"/>
      <c r="F2551" s="129"/>
    </row>
    <row r="2552" spans="1:6" ht="16" thickBot="1" x14ac:dyDescent="0.25">
      <c r="A2552" s="83"/>
      <c r="B2552" s="129"/>
      <c r="C2552" s="129"/>
      <c r="D2552" s="83"/>
      <c r="E2552" s="103"/>
      <c r="F2552" s="129"/>
    </row>
    <row r="2553" spans="1:6" ht="16" thickBot="1" x14ac:dyDescent="0.25">
      <c r="A2553" s="83"/>
      <c r="B2553" s="129"/>
      <c r="C2553" s="129"/>
      <c r="D2553" s="83"/>
      <c r="E2553" s="103"/>
      <c r="F2553" s="129"/>
    </row>
    <row r="2554" spans="1:6" ht="16" thickBot="1" x14ac:dyDescent="0.25">
      <c r="A2554" s="83"/>
      <c r="B2554" s="129"/>
      <c r="C2554" s="129"/>
      <c r="D2554" s="83"/>
      <c r="E2554" s="103"/>
      <c r="F2554" s="129"/>
    </row>
    <row r="2555" spans="1:6" ht="16" thickBot="1" x14ac:dyDescent="0.25">
      <c r="A2555" s="83"/>
      <c r="B2555" s="129"/>
      <c r="C2555" s="129"/>
      <c r="D2555" s="83"/>
      <c r="E2555" s="103"/>
      <c r="F2555" s="129"/>
    </row>
    <row r="2556" spans="1:6" ht="16" thickBot="1" x14ac:dyDescent="0.25">
      <c r="A2556" s="83"/>
      <c r="B2556" s="129"/>
      <c r="C2556" s="129"/>
      <c r="D2556" s="83"/>
      <c r="E2556" s="103"/>
      <c r="F2556" s="129"/>
    </row>
    <row r="2557" spans="1:6" ht="16" thickBot="1" x14ac:dyDescent="0.25">
      <c r="A2557" s="83"/>
      <c r="B2557" s="129"/>
      <c r="C2557" s="129"/>
      <c r="D2557" s="83"/>
      <c r="E2557" s="103"/>
      <c r="F2557" s="129"/>
    </row>
    <row r="2558" spans="1:6" ht="16" thickBot="1" x14ac:dyDescent="0.25">
      <c r="A2558" s="83"/>
      <c r="B2558" s="129"/>
      <c r="C2558" s="129"/>
      <c r="D2558" s="83"/>
      <c r="E2558" s="103"/>
      <c r="F2558" s="129"/>
    </row>
    <row r="2559" spans="1:6" ht="16" thickBot="1" x14ac:dyDescent="0.25">
      <c r="A2559" s="83"/>
      <c r="B2559" s="129"/>
      <c r="C2559" s="129"/>
      <c r="D2559" s="83"/>
      <c r="E2559" s="103"/>
      <c r="F2559" s="129"/>
    </row>
    <row r="2560" spans="1:6" ht="16" thickBot="1" x14ac:dyDescent="0.25">
      <c r="A2560" s="83"/>
      <c r="B2560" s="129"/>
      <c r="C2560" s="129"/>
      <c r="D2560" s="83"/>
      <c r="E2560" s="103"/>
      <c r="F2560" s="129"/>
    </row>
    <row r="2561" spans="1:6" ht="16" thickBot="1" x14ac:dyDescent="0.25">
      <c r="A2561" s="83"/>
      <c r="B2561" s="129"/>
      <c r="C2561" s="129"/>
      <c r="D2561" s="83"/>
      <c r="E2561" s="103"/>
      <c r="F2561" s="129"/>
    </row>
    <row r="2562" spans="1:6" ht="16" thickBot="1" x14ac:dyDescent="0.25">
      <c r="A2562" s="83"/>
      <c r="B2562" s="129"/>
      <c r="C2562" s="129"/>
      <c r="D2562" s="83"/>
      <c r="E2562" s="103"/>
      <c r="F2562" s="129"/>
    </row>
    <row r="2563" spans="1:6" ht="16" thickBot="1" x14ac:dyDescent="0.25">
      <c r="A2563" s="83"/>
      <c r="B2563" s="129"/>
      <c r="C2563" s="129"/>
      <c r="D2563" s="83"/>
      <c r="E2563" s="103"/>
      <c r="F2563" s="129"/>
    </row>
    <row r="2564" spans="1:6" ht="16" thickBot="1" x14ac:dyDescent="0.25">
      <c r="A2564" s="83"/>
      <c r="B2564" s="129"/>
      <c r="C2564" s="129"/>
      <c r="D2564" s="83"/>
      <c r="E2564" s="103"/>
      <c r="F2564" s="129"/>
    </row>
    <row r="2565" spans="1:6" ht="16" thickBot="1" x14ac:dyDescent="0.25">
      <c r="A2565" s="83"/>
      <c r="B2565" s="129"/>
      <c r="C2565" s="129"/>
      <c r="D2565" s="83"/>
      <c r="E2565" s="103"/>
      <c r="F2565" s="129"/>
    </row>
    <row r="2566" spans="1:6" ht="16" thickBot="1" x14ac:dyDescent="0.25">
      <c r="A2566" s="83"/>
      <c r="B2566" s="129"/>
      <c r="C2566" s="129"/>
      <c r="D2566" s="83"/>
      <c r="E2566" s="103"/>
      <c r="F2566" s="129"/>
    </row>
    <row r="2567" spans="1:6" ht="16" thickBot="1" x14ac:dyDescent="0.25">
      <c r="A2567" s="83"/>
      <c r="B2567" s="129"/>
      <c r="C2567" s="129"/>
      <c r="D2567" s="83"/>
      <c r="E2567" s="103"/>
      <c r="F2567" s="129"/>
    </row>
    <row r="2568" spans="1:6" ht="16" thickBot="1" x14ac:dyDescent="0.25">
      <c r="A2568" s="83"/>
      <c r="B2568" s="129"/>
      <c r="C2568" s="129"/>
      <c r="D2568" s="83"/>
      <c r="E2568" s="103"/>
      <c r="F2568" s="129"/>
    </row>
    <row r="2569" spans="1:6" ht="16" thickBot="1" x14ac:dyDescent="0.25">
      <c r="A2569" s="83"/>
      <c r="B2569" s="129"/>
      <c r="C2569" s="129"/>
      <c r="D2569" s="83"/>
      <c r="E2569" s="103"/>
      <c r="F2569" s="129"/>
    </row>
    <row r="2570" spans="1:6" ht="16" thickBot="1" x14ac:dyDescent="0.25">
      <c r="A2570" s="83"/>
      <c r="B2570" s="129"/>
      <c r="C2570" s="129"/>
      <c r="D2570" s="83"/>
      <c r="E2570" s="103"/>
      <c r="F2570" s="129"/>
    </row>
    <row r="2571" spans="1:6" ht="16" thickBot="1" x14ac:dyDescent="0.25">
      <c r="A2571" s="83"/>
      <c r="B2571" s="129"/>
      <c r="C2571" s="129"/>
      <c r="D2571" s="83"/>
      <c r="E2571" s="103"/>
      <c r="F2571" s="129"/>
    </row>
    <row r="2572" spans="1:6" ht="16" thickBot="1" x14ac:dyDescent="0.25">
      <c r="A2572" s="83"/>
      <c r="B2572" s="129"/>
      <c r="C2572" s="129"/>
      <c r="D2572" s="83"/>
      <c r="E2572" s="103"/>
      <c r="F2572" s="129"/>
    </row>
    <row r="2573" spans="1:6" ht="16" thickBot="1" x14ac:dyDescent="0.25">
      <c r="A2573" s="83"/>
      <c r="B2573" s="129"/>
      <c r="C2573" s="129"/>
      <c r="D2573" s="83"/>
      <c r="E2573" s="103"/>
      <c r="F2573" s="129"/>
    </row>
    <row r="2574" spans="1:6" ht="16" thickBot="1" x14ac:dyDescent="0.25">
      <c r="A2574" s="83"/>
      <c r="B2574" s="129"/>
      <c r="C2574" s="129"/>
      <c r="D2574" s="83"/>
      <c r="E2574" s="103"/>
      <c r="F2574" s="129"/>
    </row>
    <row r="2575" spans="1:6" ht="16" thickBot="1" x14ac:dyDescent="0.25">
      <c r="A2575" s="83"/>
      <c r="B2575" s="129"/>
      <c r="C2575" s="129"/>
      <c r="D2575" s="83"/>
      <c r="E2575" s="103"/>
      <c r="F2575" s="129"/>
    </row>
    <row r="2576" spans="1:6" ht="16" thickBot="1" x14ac:dyDescent="0.25">
      <c r="A2576" s="83"/>
      <c r="B2576" s="129"/>
      <c r="C2576" s="129"/>
      <c r="D2576" s="83"/>
      <c r="E2576" s="103"/>
      <c r="F2576" s="129"/>
    </row>
    <row r="2577" spans="1:6" ht="16" thickBot="1" x14ac:dyDescent="0.25">
      <c r="A2577" s="83"/>
      <c r="B2577" s="129"/>
      <c r="C2577" s="129"/>
      <c r="D2577" s="83"/>
      <c r="E2577" s="103"/>
      <c r="F2577" s="129"/>
    </row>
    <row r="2578" spans="1:6" ht="16" thickBot="1" x14ac:dyDescent="0.25">
      <c r="A2578" s="83"/>
      <c r="B2578" s="129"/>
      <c r="C2578" s="129"/>
      <c r="D2578" s="83"/>
      <c r="E2578" s="103"/>
      <c r="F2578" s="129"/>
    </row>
    <row r="2579" spans="1:6" ht="16" thickBot="1" x14ac:dyDescent="0.25">
      <c r="A2579" s="83"/>
      <c r="B2579" s="129"/>
      <c r="C2579" s="129"/>
      <c r="D2579" s="83"/>
      <c r="E2579" s="103"/>
      <c r="F2579" s="129"/>
    </row>
    <row r="2580" spans="1:6" ht="16" thickBot="1" x14ac:dyDescent="0.25">
      <c r="A2580" s="83"/>
      <c r="B2580" s="129"/>
      <c r="C2580" s="129"/>
      <c r="D2580" s="83"/>
      <c r="E2580" s="103"/>
      <c r="F2580" s="129"/>
    </row>
    <row r="2581" spans="1:6" ht="16" thickBot="1" x14ac:dyDescent="0.25">
      <c r="A2581" s="83"/>
      <c r="B2581" s="129"/>
      <c r="C2581" s="129"/>
      <c r="D2581" s="83"/>
      <c r="E2581" s="103"/>
      <c r="F2581" s="129"/>
    </row>
    <row r="2582" spans="1:6" ht="16" thickBot="1" x14ac:dyDescent="0.25">
      <c r="A2582" s="83"/>
      <c r="B2582" s="129"/>
      <c r="C2582" s="129"/>
      <c r="D2582" s="83"/>
      <c r="E2582" s="103"/>
      <c r="F2582" s="129"/>
    </row>
    <row r="2583" spans="1:6" ht="16" thickBot="1" x14ac:dyDescent="0.25">
      <c r="A2583" s="83"/>
      <c r="B2583" s="129"/>
      <c r="C2583" s="129"/>
      <c r="D2583" s="83"/>
      <c r="E2583" s="103"/>
      <c r="F2583" s="129"/>
    </row>
    <row r="2584" spans="1:6" ht="16" thickBot="1" x14ac:dyDescent="0.25">
      <c r="A2584" s="83"/>
      <c r="B2584" s="129"/>
      <c r="C2584" s="129"/>
      <c r="D2584" s="83"/>
      <c r="E2584" s="83"/>
      <c r="F2584" s="129"/>
    </row>
    <row r="2585" spans="1:6" ht="16" thickBot="1" x14ac:dyDescent="0.25">
      <c r="A2585" s="83"/>
      <c r="B2585" s="129"/>
      <c r="C2585" s="129"/>
      <c r="D2585" s="83"/>
      <c r="E2585" s="103"/>
      <c r="F2585" s="129"/>
    </row>
    <row r="2586" spans="1:6" ht="16" thickBot="1" x14ac:dyDescent="0.25">
      <c r="A2586" s="83"/>
      <c r="B2586" s="129"/>
      <c r="C2586" s="129"/>
      <c r="D2586" s="83"/>
      <c r="E2586" s="103"/>
      <c r="F2586" s="129"/>
    </row>
    <row r="2587" spans="1:6" ht="16" thickBot="1" x14ac:dyDescent="0.25">
      <c r="A2587" s="83"/>
      <c r="B2587" s="129"/>
      <c r="C2587" s="129"/>
      <c r="D2587" s="83"/>
      <c r="E2587" s="103"/>
      <c r="F2587" s="129"/>
    </row>
    <row r="2588" spans="1:6" ht="16" thickBot="1" x14ac:dyDescent="0.25">
      <c r="A2588" s="83"/>
      <c r="B2588" s="129"/>
      <c r="C2588" s="129"/>
      <c r="D2588" s="83"/>
      <c r="E2588" s="103"/>
      <c r="F2588" s="129"/>
    </row>
    <row r="2589" spans="1:6" ht="16" thickBot="1" x14ac:dyDescent="0.25">
      <c r="A2589" s="83"/>
      <c r="B2589" s="129"/>
      <c r="C2589" s="129"/>
      <c r="D2589" s="83"/>
      <c r="E2589" s="103"/>
      <c r="F2589" s="129"/>
    </row>
    <row r="2590" spans="1:6" ht="16" thickBot="1" x14ac:dyDescent="0.25">
      <c r="A2590" s="83"/>
      <c r="B2590" s="129"/>
      <c r="C2590" s="129"/>
      <c r="D2590" s="83"/>
      <c r="E2590" s="103"/>
      <c r="F2590" s="129"/>
    </row>
    <row r="2591" spans="1:6" ht="16" thickBot="1" x14ac:dyDescent="0.25">
      <c r="A2591" s="83"/>
      <c r="B2591" s="129"/>
      <c r="C2591" s="129"/>
      <c r="D2591" s="83"/>
      <c r="E2591" s="103"/>
      <c r="F2591" s="129"/>
    </row>
    <row r="2592" spans="1:6" ht="16" thickBot="1" x14ac:dyDescent="0.25">
      <c r="A2592" s="83"/>
      <c r="B2592" s="129"/>
      <c r="C2592" s="129"/>
      <c r="D2592" s="83"/>
      <c r="E2592" s="103"/>
      <c r="F2592" s="129"/>
    </row>
    <row r="2593" spans="1:6" ht="16" thickBot="1" x14ac:dyDescent="0.25">
      <c r="A2593" s="83"/>
      <c r="B2593" s="129"/>
      <c r="C2593" s="129"/>
      <c r="D2593" s="83"/>
      <c r="E2593" s="83"/>
      <c r="F2593" s="129"/>
    </row>
    <row r="2594" spans="1:6" ht="16" thickBot="1" x14ac:dyDescent="0.25">
      <c r="A2594" s="83"/>
      <c r="B2594" s="129"/>
      <c r="C2594" s="129"/>
      <c r="D2594" s="83"/>
      <c r="E2594" s="83"/>
      <c r="F2594" s="129"/>
    </row>
    <row r="2595" spans="1:6" ht="16" thickBot="1" x14ac:dyDescent="0.25">
      <c r="A2595" s="83"/>
      <c r="B2595" s="129"/>
      <c r="C2595" s="129"/>
      <c r="D2595" s="83"/>
      <c r="E2595" s="103"/>
      <c r="F2595" s="129"/>
    </row>
    <row r="2596" spans="1:6" ht="16" thickBot="1" x14ac:dyDescent="0.25">
      <c r="A2596" s="83"/>
      <c r="B2596" s="129"/>
      <c r="C2596" s="129"/>
      <c r="D2596" s="83"/>
      <c r="E2596" s="103"/>
      <c r="F2596" s="129"/>
    </row>
    <row r="2597" spans="1:6" ht="16" thickBot="1" x14ac:dyDescent="0.25">
      <c r="A2597" s="83"/>
      <c r="B2597" s="129"/>
      <c r="C2597" s="129"/>
      <c r="D2597" s="83"/>
      <c r="E2597" s="103"/>
      <c r="F2597" s="129"/>
    </row>
    <row r="2598" spans="1:6" ht="16" thickBot="1" x14ac:dyDescent="0.25">
      <c r="A2598" s="83"/>
      <c r="B2598" s="129"/>
      <c r="C2598" s="129"/>
      <c r="D2598" s="83"/>
      <c r="E2598" s="103"/>
      <c r="F2598" s="129"/>
    </row>
    <row r="2599" spans="1:6" ht="16" thickBot="1" x14ac:dyDescent="0.25">
      <c r="A2599" s="83"/>
      <c r="B2599" s="129"/>
      <c r="C2599" s="129"/>
      <c r="D2599" s="83"/>
      <c r="E2599" s="103"/>
      <c r="F2599" s="129"/>
    </row>
    <row r="2600" spans="1:6" ht="16" thickBot="1" x14ac:dyDescent="0.25">
      <c r="A2600" s="83"/>
      <c r="B2600" s="129"/>
      <c r="C2600" s="129"/>
      <c r="D2600" s="83"/>
      <c r="E2600" s="103"/>
      <c r="F2600" s="129"/>
    </row>
    <row r="2601" spans="1:6" ht="16" thickBot="1" x14ac:dyDescent="0.25">
      <c r="A2601" s="83"/>
      <c r="B2601" s="129"/>
      <c r="C2601" s="129"/>
      <c r="D2601" s="83"/>
      <c r="E2601" s="83"/>
      <c r="F2601" s="129"/>
    </row>
    <row r="2602" spans="1:6" ht="16" thickBot="1" x14ac:dyDescent="0.25">
      <c r="A2602" s="83"/>
      <c r="B2602" s="129"/>
      <c r="C2602" s="129"/>
      <c r="D2602" s="83"/>
      <c r="E2602" s="103"/>
      <c r="F2602" s="129"/>
    </row>
    <row r="2603" spans="1:6" ht="16" thickBot="1" x14ac:dyDescent="0.25">
      <c r="A2603" s="83"/>
      <c r="B2603" s="129"/>
      <c r="C2603" s="129"/>
      <c r="D2603" s="83"/>
      <c r="E2603" s="103"/>
      <c r="F2603" s="129"/>
    </row>
    <row r="2604" spans="1:6" ht="16" thickBot="1" x14ac:dyDescent="0.25">
      <c r="A2604" s="83"/>
      <c r="B2604" s="129"/>
      <c r="C2604" s="129"/>
      <c r="D2604" s="83"/>
      <c r="E2604" s="103"/>
      <c r="F2604" s="129"/>
    </row>
    <row r="2605" spans="1:6" ht="16" thickBot="1" x14ac:dyDescent="0.25">
      <c r="A2605" s="83"/>
      <c r="B2605" s="129"/>
      <c r="C2605" s="129"/>
      <c r="D2605" s="83"/>
      <c r="E2605" s="103"/>
      <c r="F2605" s="129"/>
    </row>
    <row r="2606" spans="1:6" ht="16" thickBot="1" x14ac:dyDescent="0.25">
      <c r="A2606" s="83"/>
      <c r="B2606" s="129"/>
      <c r="C2606" s="129"/>
      <c r="D2606" s="83"/>
      <c r="E2606" s="103"/>
      <c r="F2606" s="129"/>
    </row>
    <row r="2607" spans="1:6" ht="16" thickBot="1" x14ac:dyDescent="0.25">
      <c r="A2607" s="83"/>
      <c r="B2607" s="129"/>
      <c r="C2607" s="129"/>
      <c r="D2607" s="83"/>
      <c r="E2607" s="103"/>
      <c r="F2607" s="129"/>
    </row>
    <row r="2608" spans="1:6" ht="16" thickBot="1" x14ac:dyDescent="0.25">
      <c r="A2608" s="83"/>
      <c r="B2608" s="129"/>
      <c r="C2608" s="129"/>
      <c r="D2608" s="83"/>
      <c r="E2608" s="83"/>
      <c r="F2608" s="129"/>
    </row>
    <row r="2609" spans="1:6" ht="16" thickBot="1" x14ac:dyDescent="0.25">
      <c r="A2609" s="83"/>
      <c r="B2609" s="129"/>
      <c r="C2609" s="129"/>
      <c r="D2609" s="83"/>
      <c r="E2609" s="103"/>
      <c r="F2609" s="129"/>
    </row>
    <row r="2610" spans="1:6" ht="16" thickBot="1" x14ac:dyDescent="0.25">
      <c r="A2610" s="83"/>
      <c r="B2610" s="129"/>
      <c r="C2610" s="129"/>
      <c r="D2610" s="83"/>
      <c r="E2610" s="103"/>
      <c r="F2610" s="129"/>
    </row>
    <row r="2611" spans="1:6" ht="16" thickBot="1" x14ac:dyDescent="0.25">
      <c r="A2611" s="83"/>
      <c r="B2611" s="129"/>
      <c r="C2611" s="129"/>
      <c r="D2611" s="83"/>
      <c r="E2611" s="103"/>
      <c r="F2611" s="129"/>
    </row>
    <row r="2612" spans="1:6" ht="16" thickBot="1" x14ac:dyDescent="0.25">
      <c r="A2612" s="83"/>
      <c r="B2612" s="129"/>
      <c r="C2612" s="129"/>
      <c r="D2612" s="83"/>
      <c r="E2612" s="103"/>
      <c r="F2612" s="129"/>
    </row>
    <row r="2613" spans="1:6" ht="16" thickBot="1" x14ac:dyDescent="0.25">
      <c r="A2613" s="83"/>
      <c r="B2613" s="129"/>
      <c r="C2613" s="129"/>
      <c r="D2613" s="83"/>
      <c r="E2613" s="103"/>
      <c r="F2613" s="129"/>
    </row>
    <row r="2614" spans="1:6" ht="16" thickBot="1" x14ac:dyDescent="0.25">
      <c r="A2614" s="83"/>
      <c r="B2614" s="129"/>
      <c r="C2614" s="129"/>
      <c r="D2614" s="83"/>
      <c r="E2614" s="103"/>
      <c r="F2614" s="129"/>
    </row>
    <row r="2615" spans="1:6" ht="16" thickBot="1" x14ac:dyDescent="0.25">
      <c r="A2615" s="83"/>
      <c r="B2615" s="129"/>
      <c r="C2615" s="129"/>
      <c r="D2615" s="83"/>
      <c r="E2615" s="103"/>
      <c r="F2615" s="129"/>
    </row>
    <row r="2616" spans="1:6" ht="16" thickBot="1" x14ac:dyDescent="0.25">
      <c r="A2616" s="83"/>
      <c r="B2616" s="129"/>
      <c r="C2616" s="129"/>
      <c r="D2616" s="83"/>
      <c r="E2616" s="103"/>
      <c r="F2616" s="129"/>
    </row>
    <row r="2617" spans="1:6" ht="16" thickBot="1" x14ac:dyDescent="0.25">
      <c r="A2617" s="83"/>
      <c r="B2617" s="129"/>
      <c r="C2617" s="129"/>
      <c r="D2617" s="83"/>
      <c r="E2617" s="103"/>
      <c r="F2617" s="129"/>
    </row>
    <row r="2618" spans="1:6" ht="16" thickBot="1" x14ac:dyDescent="0.25">
      <c r="A2618" s="83"/>
      <c r="B2618" s="129"/>
      <c r="C2618" s="129"/>
      <c r="D2618" s="83"/>
      <c r="E2618" s="103"/>
      <c r="F2618" s="129"/>
    </row>
    <row r="2619" spans="1:6" ht="16" thickBot="1" x14ac:dyDescent="0.25">
      <c r="A2619" s="83"/>
      <c r="B2619" s="129"/>
      <c r="C2619" s="129"/>
      <c r="D2619" s="83"/>
      <c r="E2619" s="103"/>
      <c r="F2619" s="129"/>
    </row>
    <row r="2620" spans="1:6" ht="16" thickBot="1" x14ac:dyDescent="0.25">
      <c r="A2620" s="83"/>
      <c r="B2620" s="129"/>
      <c r="C2620" s="129"/>
      <c r="D2620" s="83"/>
      <c r="E2620" s="83"/>
      <c r="F2620" s="129"/>
    </row>
    <row r="2621" spans="1:6" ht="16" thickBot="1" x14ac:dyDescent="0.25">
      <c r="A2621" s="83"/>
      <c r="B2621" s="129"/>
      <c r="C2621" s="129"/>
      <c r="D2621" s="83"/>
      <c r="E2621" s="103"/>
      <c r="F2621" s="129"/>
    </row>
    <row r="2622" spans="1:6" ht="16" thickBot="1" x14ac:dyDescent="0.25">
      <c r="A2622" s="83"/>
      <c r="B2622" s="129"/>
      <c r="C2622" s="129"/>
      <c r="D2622" s="83"/>
      <c r="E2622" s="103"/>
      <c r="F2622" s="129"/>
    </row>
    <row r="2623" spans="1:6" ht="16" thickBot="1" x14ac:dyDescent="0.25">
      <c r="A2623" s="83"/>
      <c r="B2623" s="129"/>
      <c r="C2623" s="129"/>
      <c r="D2623" s="83"/>
      <c r="E2623" s="103"/>
      <c r="F2623" s="129"/>
    </row>
    <row r="2624" spans="1:6" ht="16" thickBot="1" x14ac:dyDescent="0.25">
      <c r="A2624" s="83"/>
      <c r="B2624" s="129"/>
      <c r="C2624" s="129"/>
      <c r="D2624" s="83"/>
      <c r="E2624" s="103"/>
      <c r="F2624" s="129"/>
    </row>
    <row r="2625" spans="1:6" ht="16" thickBot="1" x14ac:dyDescent="0.25">
      <c r="A2625" s="83"/>
      <c r="B2625" s="129"/>
      <c r="C2625" s="129"/>
      <c r="D2625" s="83"/>
      <c r="E2625" s="103"/>
      <c r="F2625" s="129"/>
    </row>
    <row r="2626" spans="1:6" ht="16" thickBot="1" x14ac:dyDescent="0.25">
      <c r="A2626" s="83"/>
      <c r="B2626" s="129"/>
      <c r="C2626" s="129"/>
      <c r="D2626" s="83"/>
      <c r="E2626" s="103"/>
      <c r="F2626" s="129"/>
    </row>
    <row r="2627" spans="1:6" ht="16" thickBot="1" x14ac:dyDescent="0.25">
      <c r="A2627" s="83"/>
      <c r="B2627" s="129"/>
      <c r="C2627" s="129"/>
      <c r="D2627" s="83"/>
      <c r="E2627" s="103"/>
      <c r="F2627" s="129"/>
    </row>
    <row r="2628" spans="1:6" ht="16" thickBot="1" x14ac:dyDescent="0.25">
      <c r="A2628" s="83"/>
      <c r="B2628" s="129"/>
      <c r="C2628" s="129"/>
      <c r="D2628" s="83"/>
      <c r="E2628" s="103"/>
      <c r="F2628" s="129"/>
    </row>
    <row r="2629" spans="1:6" ht="16" thickBot="1" x14ac:dyDescent="0.25">
      <c r="A2629" s="83"/>
      <c r="B2629" s="129"/>
      <c r="C2629" s="129"/>
      <c r="D2629" s="83"/>
      <c r="E2629" s="103"/>
      <c r="F2629" s="129"/>
    </row>
    <row r="2630" spans="1:6" ht="16" thickBot="1" x14ac:dyDescent="0.25">
      <c r="A2630" s="83"/>
      <c r="B2630" s="129"/>
      <c r="C2630" s="129"/>
      <c r="D2630" s="83"/>
      <c r="E2630" s="103"/>
      <c r="F2630" s="129"/>
    </row>
    <row r="2631" spans="1:6" ht="16" thickBot="1" x14ac:dyDescent="0.25">
      <c r="A2631" s="83"/>
      <c r="B2631" s="129"/>
      <c r="C2631" s="129"/>
      <c r="D2631" s="83"/>
      <c r="E2631" s="103"/>
      <c r="F2631" s="129"/>
    </row>
    <row r="2632" spans="1:6" ht="16" thickBot="1" x14ac:dyDescent="0.25">
      <c r="A2632" s="83"/>
      <c r="B2632" s="129"/>
      <c r="C2632" s="129"/>
      <c r="D2632" s="83"/>
      <c r="E2632" s="103"/>
      <c r="F2632" s="129"/>
    </row>
    <row r="2633" spans="1:6" ht="16" thickBot="1" x14ac:dyDescent="0.25">
      <c r="A2633" s="83"/>
      <c r="B2633" s="129"/>
      <c r="C2633" s="129"/>
      <c r="D2633" s="83"/>
      <c r="E2633" s="103"/>
      <c r="F2633" s="129"/>
    </row>
    <row r="2634" spans="1:6" ht="16" thickBot="1" x14ac:dyDescent="0.25">
      <c r="A2634" s="83"/>
      <c r="B2634" s="129"/>
      <c r="C2634" s="129"/>
      <c r="D2634" s="83"/>
      <c r="E2634" s="103"/>
      <c r="F2634" s="129"/>
    </row>
    <row r="2635" spans="1:6" ht="16" thickBot="1" x14ac:dyDescent="0.25">
      <c r="A2635" s="83"/>
      <c r="B2635" s="129"/>
      <c r="C2635" s="129"/>
      <c r="D2635" s="83"/>
      <c r="E2635" s="103"/>
      <c r="F2635" s="129"/>
    </row>
    <row r="2636" spans="1:6" ht="16" thickBot="1" x14ac:dyDescent="0.25">
      <c r="A2636" s="83"/>
      <c r="B2636" s="129"/>
      <c r="C2636" s="129"/>
      <c r="D2636" s="83"/>
      <c r="E2636" s="103"/>
      <c r="F2636" s="129"/>
    </row>
    <row r="2637" spans="1:6" ht="16" thickBot="1" x14ac:dyDescent="0.25">
      <c r="A2637" s="83"/>
      <c r="B2637" s="129"/>
      <c r="C2637" s="129"/>
      <c r="D2637" s="83"/>
      <c r="E2637" s="103"/>
      <c r="F2637" s="129"/>
    </row>
    <row r="2638" spans="1:6" ht="16" thickBot="1" x14ac:dyDescent="0.25">
      <c r="A2638" s="83"/>
      <c r="B2638" s="129"/>
      <c r="C2638" s="129"/>
      <c r="D2638" s="83"/>
      <c r="E2638" s="103"/>
      <c r="F2638" s="129"/>
    </row>
    <row r="2639" spans="1:6" ht="16" thickBot="1" x14ac:dyDescent="0.25">
      <c r="A2639" s="83"/>
      <c r="B2639" s="129"/>
      <c r="C2639" s="129"/>
      <c r="D2639" s="83"/>
      <c r="E2639" s="103"/>
      <c r="F2639" s="129"/>
    </row>
    <row r="2640" spans="1:6" ht="16" thickBot="1" x14ac:dyDescent="0.25">
      <c r="A2640" s="83"/>
      <c r="B2640" s="129"/>
      <c r="C2640" s="129"/>
      <c r="D2640" s="83"/>
      <c r="E2640" s="103"/>
      <c r="F2640" s="129"/>
    </row>
    <row r="2641" spans="1:6" ht="16" thickBot="1" x14ac:dyDescent="0.25">
      <c r="A2641" s="83"/>
      <c r="B2641" s="129"/>
      <c r="C2641" s="129"/>
      <c r="D2641" s="83"/>
      <c r="E2641" s="103"/>
      <c r="F2641" s="129"/>
    </row>
    <row r="2642" spans="1:6" ht="16" thickBot="1" x14ac:dyDescent="0.25">
      <c r="A2642" s="83"/>
      <c r="B2642" s="129"/>
      <c r="C2642" s="129"/>
      <c r="D2642" s="83"/>
      <c r="E2642" s="83"/>
      <c r="F2642" s="129"/>
    </row>
    <row r="2643" spans="1:6" ht="16" thickBot="1" x14ac:dyDescent="0.25">
      <c r="A2643" s="83"/>
      <c r="B2643" s="129"/>
      <c r="C2643" s="129"/>
      <c r="D2643" s="83"/>
      <c r="E2643" s="103"/>
      <c r="F2643" s="129"/>
    </row>
    <row r="2644" spans="1:6" ht="16" thickBot="1" x14ac:dyDescent="0.25">
      <c r="A2644" s="83"/>
      <c r="B2644" s="129"/>
      <c r="C2644" s="129"/>
      <c r="D2644" s="83"/>
      <c r="E2644" s="103"/>
      <c r="F2644" s="129"/>
    </row>
    <row r="2645" spans="1:6" ht="16" thickBot="1" x14ac:dyDescent="0.25">
      <c r="A2645" s="83"/>
      <c r="B2645" s="129"/>
      <c r="C2645" s="129"/>
      <c r="D2645" s="83"/>
      <c r="E2645" s="83"/>
      <c r="F2645" s="129"/>
    </row>
    <row r="2646" spans="1:6" ht="16" thickBot="1" x14ac:dyDescent="0.25">
      <c r="A2646" s="83"/>
      <c r="B2646" s="129"/>
      <c r="C2646" s="129"/>
      <c r="D2646" s="83"/>
      <c r="E2646" s="103"/>
      <c r="F2646" s="129"/>
    </row>
    <row r="2647" spans="1:6" ht="16" thickBot="1" x14ac:dyDescent="0.25">
      <c r="A2647" s="83"/>
      <c r="B2647" s="129"/>
      <c r="C2647" s="129"/>
      <c r="D2647" s="83"/>
      <c r="E2647" s="83"/>
      <c r="F2647" s="129"/>
    </row>
    <row r="2648" spans="1:6" ht="16" thickBot="1" x14ac:dyDescent="0.25">
      <c r="A2648" s="83"/>
      <c r="B2648" s="129"/>
      <c r="C2648" s="129"/>
      <c r="D2648" s="83"/>
      <c r="E2648" s="103"/>
      <c r="F2648" s="129"/>
    </row>
    <row r="2649" spans="1:6" ht="16" thickBot="1" x14ac:dyDescent="0.25">
      <c r="A2649" s="83"/>
      <c r="B2649" s="129"/>
      <c r="C2649" s="129"/>
      <c r="D2649" s="83"/>
      <c r="E2649" s="103"/>
      <c r="F2649" s="129"/>
    </row>
    <row r="2650" spans="1:6" ht="16" thickBot="1" x14ac:dyDescent="0.25">
      <c r="A2650" s="83"/>
      <c r="B2650" s="129"/>
      <c r="C2650" s="129"/>
      <c r="D2650" s="83"/>
      <c r="E2650" s="103"/>
      <c r="F2650" s="129"/>
    </row>
    <row r="2651" spans="1:6" ht="16" thickBot="1" x14ac:dyDescent="0.25">
      <c r="A2651" s="83"/>
      <c r="B2651" s="129"/>
      <c r="C2651" s="129"/>
      <c r="D2651" s="83"/>
      <c r="E2651" s="103"/>
      <c r="F2651" s="129"/>
    </row>
    <row r="2652" spans="1:6" ht="16" thickBot="1" x14ac:dyDescent="0.25">
      <c r="A2652" s="83"/>
      <c r="B2652" s="129"/>
      <c r="C2652" s="129"/>
      <c r="D2652" s="83"/>
      <c r="E2652" s="103"/>
      <c r="F2652" s="129"/>
    </row>
    <row r="2653" spans="1:6" ht="16" thickBot="1" x14ac:dyDescent="0.25">
      <c r="A2653" s="83"/>
      <c r="B2653" s="129"/>
      <c r="C2653" s="129"/>
      <c r="D2653" s="83"/>
      <c r="E2653" s="83"/>
      <c r="F2653" s="129"/>
    </row>
    <row r="2654" spans="1:6" ht="16" thickBot="1" x14ac:dyDescent="0.25">
      <c r="A2654" s="83"/>
      <c r="B2654" s="129"/>
      <c r="C2654" s="129"/>
      <c r="D2654" s="83"/>
      <c r="E2654" s="103"/>
      <c r="F2654" s="129"/>
    </row>
    <row r="2655" spans="1:6" ht="16" thickBot="1" x14ac:dyDescent="0.25">
      <c r="A2655" s="83"/>
      <c r="B2655" s="129"/>
      <c r="C2655" s="129"/>
      <c r="D2655" s="83"/>
      <c r="E2655" s="103"/>
      <c r="F2655" s="129"/>
    </row>
    <row r="2656" spans="1:6" ht="16" thickBot="1" x14ac:dyDescent="0.25">
      <c r="A2656" s="83"/>
      <c r="B2656" s="129"/>
      <c r="C2656" s="129"/>
      <c r="D2656" s="83"/>
      <c r="E2656" s="103"/>
      <c r="F2656" s="129"/>
    </row>
    <row r="2657" spans="1:6" ht="16" thickBot="1" x14ac:dyDescent="0.25">
      <c r="A2657" s="83"/>
      <c r="B2657" s="129"/>
      <c r="C2657" s="129"/>
      <c r="D2657" s="83"/>
      <c r="E2657" s="103"/>
      <c r="F2657" s="129"/>
    </row>
    <row r="2658" spans="1:6" ht="16" thickBot="1" x14ac:dyDescent="0.25">
      <c r="A2658" s="83"/>
      <c r="B2658" s="129"/>
      <c r="C2658" s="129"/>
      <c r="D2658" s="83"/>
      <c r="E2658" s="103"/>
      <c r="F2658" s="129"/>
    </row>
    <row r="2659" spans="1:6" ht="16" thickBot="1" x14ac:dyDescent="0.25">
      <c r="A2659" s="83"/>
      <c r="B2659" s="129"/>
      <c r="C2659" s="129"/>
      <c r="D2659" s="83"/>
      <c r="E2659" s="103"/>
      <c r="F2659" s="129"/>
    </row>
    <row r="2660" spans="1:6" ht="16" thickBot="1" x14ac:dyDescent="0.25">
      <c r="A2660" s="83"/>
      <c r="B2660" s="129"/>
      <c r="C2660" s="129"/>
      <c r="D2660" s="83"/>
      <c r="E2660" s="103"/>
      <c r="F2660" s="129"/>
    </row>
    <row r="2661" spans="1:6" ht="16" thickBot="1" x14ac:dyDescent="0.25">
      <c r="A2661" s="83"/>
      <c r="B2661" s="129"/>
      <c r="C2661" s="129"/>
      <c r="D2661" s="83"/>
      <c r="E2661" s="103"/>
      <c r="F2661" s="129"/>
    </row>
    <row r="2662" spans="1:6" ht="16" thickBot="1" x14ac:dyDescent="0.25">
      <c r="A2662" s="83"/>
      <c r="B2662" s="129"/>
      <c r="C2662" s="129"/>
      <c r="D2662" s="83"/>
      <c r="E2662" s="103"/>
      <c r="F2662" s="129"/>
    </row>
    <row r="2663" spans="1:6" ht="16" thickBot="1" x14ac:dyDescent="0.25">
      <c r="A2663" s="83"/>
      <c r="B2663" s="129"/>
      <c r="C2663" s="129"/>
      <c r="D2663" s="83"/>
      <c r="E2663" s="103"/>
      <c r="F2663" s="129"/>
    </row>
    <row r="2664" spans="1:6" ht="16" thickBot="1" x14ac:dyDescent="0.25">
      <c r="A2664" s="83"/>
      <c r="B2664" s="129"/>
      <c r="C2664" s="129"/>
      <c r="D2664" s="83"/>
      <c r="E2664" s="103"/>
      <c r="F2664" s="129"/>
    </row>
    <row r="2665" spans="1:6" ht="16" thickBot="1" x14ac:dyDescent="0.25">
      <c r="A2665" s="83"/>
      <c r="B2665" s="129"/>
      <c r="C2665" s="129"/>
      <c r="D2665" s="83"/>
      <c r="E2665" s="83"/>
      <c r="F2665" s="129"/>
    </row>
    <row r="2666" spans="1:6" ht="16" thickBot="1" x14ac:dyDescent="0.25">
      <c r="A2666" s="83"/>
      <c r="B2666" s="129"/>
      <c r="C2666" s="129"/>
      <c r="D2666" s="83"/>
      <c r="E2666" s="83"/>
      <c r="F2666" s="129"/>
    </row>
    <row r="2667" spans="1:6" ht="16" thickBot="1" x14ac:dyDescent="0.25">
      <c r="A2667" s="83"/>
      <c r="B2667" s="129"/>
      <c r="C2667" s="129"/>
      <c r="D2667" s="83"/>
      <c r="E2667" s="103"/>
      <c r="F2667" s="129"/>
    </row>
    <row r="2668" spans="1:6" ht="16" thickBot="1" x14ac:dyDescent="0.25">
      <c r="A2668" s="83"/>
      <c r="B2668" s="129"/>
      <c r="C2668" s="129"/>
      <c r="D2668" s="83"/>
      <c r="E2668" s="103"/>
      <c r="F2668" s="129"/>
    </row>
    <row r="2669" spans="1:6" ht="16" thickBot="1" x14ac:dyDescent="0.25">
      <c r="A2669" s="83"/>
      <c r="B2669" s="129"/>
      <c r="C2669" s="129"/>
      <c r="D2669" s="83"/>
      <c r="E2669" s="83"/>
      <c r="F2669" s="129"/>
    </row>
    <row r="2670" spans="1:6" ht="16" thickBot="1" x14ac:dyDescent="0.25">
      <c r="A2670" s="83"/>
      <c r="B2670" s="129"/>
      <c r="C2670" s="129"/>
      <c r="D2670" s="83"/>
      <c r="E2670" s="103"/>
      <c r="F2670" s="129"/>
    </row>
    <row r="2671" spans="1:6" ht="16" thickBot="1" x14ac:dyDescent="0.25">
      <c r="A2671" s="83"/>
      <c r="B2671" s="129"/>
      <c r="C2671" s="129"/>
      <c r="D2671" s="83"/>
      <c r="E2671" s="103"/>
      <c r="F2671" s="129"/>
    </row>
    <row r="2672" spans="1:6" ht="16" thickBot="1" x14ac:dyDescent="0.25">
      <c r="A2672" s="83"/>
      <c r="B2672" s="129"/>
      <c r="C2672" s="129"/>
      <c r="D2672" s="83"/>
      <c r="E2672" s="103"/>
      <c r="F2672" s="129"/>
    </row>
    <row r="2673" spans="1:6" ht="16" thickBot="1" x14ac:dyDescent="0.25">
      <c r="A2673" s="83"/>
      <c r="B2673" s="129"/>
      <c r="C2673" s="129"/>
      <c r="D2673" s="83"/>
      <c r="E2673" s="103"/>
      <c r="F2673" s="129"/>
    </row>
    <row r="2674" spans="1:6" ht="16" thickBot="1" x14ac:dyDescent="0.25">
      <c r="A2674" s="83"/>
      <c r="B2674" s="129"/>
      <c r="C2674" s="129"/>
      <c r="D2674" s="83"/>
      <c r="E2674" s="103"/>
      <c r="F2674" s="129"/>
    </row>
    <row r="2675" spans="1:6" ht="16" thickBot="1" x14ac:dyDescent="0.25">
      <c r="A2675" s="83"/>
      <c r="B2675" s="129"/>
      <c r="C2675" s="129"/>
      <c r="D2675" s="83"/>
      <c r="E2675" s="103"/>
      <c r="F2675" s="129"/>
    </row>
    <row r="2676" spans="1:6" ht="16" thickBot="1" x14ac:dyDescent="0.25">
      <c r="A2676" s="83"/>
      <c r="B2676" s="129"/>
      <c r="C2676" s="129"/>
      <c r="D2676" s="83"/>
      <c r="E2676" s="103"/>
      <c r="F2676" s="129"/>
    </row>
    <row r="2677" spans="1:6" ht="16" thickBot="1" x14ac:dyDescent="0.25">
      <c r="A2677" s="83"/>
      <c r="B2677" s="129"/>
      <c r="C2677" s="129"/>
      <c r="D2677" s="83"/>
      <c r="E2677" s="103"/>
      <c r="F2677" s="129"/>
    </row>
    <row r="2678" spans="1:6" ht="16" thickBot="1" x14ac:dyDescent="0.25">
      <c r="A2678" s="83"/>
      <c r="B2678" s="129"/>
      <c r="C2678" s="129"/>
      <c r="D2678" s="83"/>
      <c r="E2678" s="103"/>
      <c r="F2678" s="129"/>
    </row>
    <row r="2679" spans="1:6" ht="16" thickBot="1" x14ac:dyDescent="0.25">
      <c r="A2679" s="83"/>
      <c r="B2679" s="129"/>
      <c r="C2679" s="129"/>
      <c r="D2679" s="83"/>
      <c r="E2679" s="103"/>
      <c r="F2679" s="129"/>
    </row>
    <row r="2680" spans="1:6" ht="16" thickBot="1" x14ac:dyDescent="0.25">
      <c r="A2680" s="83"/>
      <c r="B2680" s="129"/>
      <c r="C2680" s="129"/>
      <c r="D2680" s="83"/>
      <c r="E2680" s="103"/>
      <c r="F2680" s="129"/>
    </row>
    <row r="2681" spans="1:6" ht="16" thickBot="1" x14ac:dyDescent="0.25">
      <c r="A2681" s="83"/>
      <c r="B2681" s="129"/>
      <c r="C2681" s="129"/>
      <c r="D2681" s="83"/>
      <c r="E2681" s="103"/>
      <c r="F2681" s="129"/>
    </row>
    <row r="2682" spans="1:6" ht="16" thickBot="1" x14ac:dyDescent="0.25">
      <c r="A2682" s="83"/>
      <c r="B2682" s="129"/>
      <c r="C2682" s="129"/>
      <c r="D2682" s="83"/>
      <c r="E2682" s="103"/>
      <c r="F2682" s="129"/>
    </row>
    <row r="2683" spans="1:6" ht="16" thickBot="1" x14ac:dyDescent="0.25">
      <c r="A2683" s="83"/>
      <c r="B2683" s="129"/>
      <c r="C2683" s="129"/>
      <c r="D2683" s="83"/>
      <c r="E2683" s="103"/>
      <c r="F2683" s="129"/>
    </row>
    <row r="2684" spans="1:6" ht="16" thickBot="1" x14ac:dyDescent="0.25">
      <c r="A2684" s="83"/>
      <c r="B2684" s="129"/>
      <c r="C2684" s="129"/>
      <c r="D2684" s="83"/>
      <c r="E2684" s="103"/>
      <c r="F2684" s="129"/>
    </row>
    <row r="2685" spans="1:6" ht="16" thickBot="1" x14ac:dyDescent="0.25">
      <c r="A2685" s="83"/>
      <c r="B2685" s="129"/>
      <c r="C2685" s="129"/>
      <c r="D2685" s="83"/>
      <c r="E2685" s="103"/>
      <c r="F2685" s="129"/>
    </row>
    <row r="2686" spans="1:6" ht="16" thickBot="1" x14ac:dyDescent="0.25">
      <c r="A2686" s="83"/>
      <c r="B2686" s="129"/>
      <c r="C2686" s="129"/>
      <c r="D2686" s="83"/>
      <c r="E2686" s="103"/>
      <c r="F2686" s="129"/>
    </row>
    <row r="2687" spans="1:6" ht="16" thickBot="1" x14ac:dyDescent="0.25">
      <c r="A2687" s="83"/>
      <c r="B2687" s="129"/>
      <c r="C2687" s="129"/>
      <c r="D2687" s="83"/>
      <c r="E2687" s="103"/>
      <c r="F2687" s="129"/>
    </row>
    <row r="2688" spans="1:6" ht="16" thickBot="1" x14ac:dyDescent="0.25">
      <c r="A2688" s="83"/>
      <c r="B2688" s="129"/>
      <c r="C2688" s="129"/>
      <c r="D2688" s="83"/>
      <c r="E2688" s="103"/>
      <c r="F2688" s="129"/>
    </row>
    <row r="2689" spans="1:6" ht="16" thickBot="1" x14ac:dyDescent="0.25">
      <c r="A2689" s="83"/>
      <c r="B2689" s="129"/>
      <c r="C2689" s="129"/>
      <c r="D2689" s="83"/>
      <c r="E2689" s="103"/>
      <c r="F2689" s="129"/>
    </row>
    <row r="2690" spans="1:6" ht="16" thickBot="1" x14ac:dyDescent="0.25">
      <c r="A2690" s="83"/>
      <c r="B2690" s="129"/>
      <c r="C2690" s="129"/>
      <c r="D2690" s="83"/>
      <c r="E2690" s="103"/>
      <c r="F2690" s="129"/>
    </row>
    <row r="2691" spans="1:6" ht="16" thickBot="1" x14ac:dyDescent="0.25">
      <c r="A2691" s="83"/>
      <c r="B2691" s="129"/>
      <c r="C2691" s="129"/>
      <c r="D2691" s="83"/>
      <c r="E2691" s="103"/>
      <c r="F2691" s="129"/>
    </row>
    <row r="2692" spans="1:6" ht="16" thickBot="1" x14ac:dyDescent="0.25">
      <c r="A2692" s="83"/>
      <c r="B2692" s="129"/>
      <c r="C2692" s="129"/>
      <c r="D2692" s="83"/>
      <c r="E2692" s="103"/>
      <c r="F2692" s="129"/>
    </row>
    <row r="2693" spans="1:6" ht="16" thickBot="1" x14ac:dyDescent="0.25">
      <c r="A2693" s="83"/>
      <c r="B2693" s="129"/>
      <c r="C2693" s="129"/>
      <c r="D2693" s="83"/>
      <c r="E2693" s="103"/>
      <c r="F2693" s="129"/>
    </row>
    <row r="2694" spans="1:6" ht="16" thickBot="1" x14ac:dyDescent="0.25">
      <c r="A2694" s="83"/>
      <c r="B2694" s="129"/>
      <c r="C2694" s="129"/>
      <c r="D2694" s="83"/>
      <c r="E2694" s="103"/>
      <c r="F2694" s="129"/>
    </row>
    <row r="2695" spans="1:6" ht="16" thickBot="1" x14ac:dyDescent="0.25">
      <c r="A2695" s="83"/>
      <c r="B2695" s="129"/>
      <c r="C2695" s="129"/>
      <c r="D2695" s="83"/>
      <c r="E2695" s="103"/>
      <c r="F2695" s="129"/>
    </row>
    <row r="2696" spans="1:6" ht="16" thickBot="1" x14ac:dyDescent="0.25">
      <c r="A2696" s="83"/>
      <c r="B2696" s="129"/>
      <c r="C2696" s="129"/>
      <c r="D2696" s="83"/>
      <c r="E2696" s="103"/>
      <c r="F2696" s="129"/>
    </row>
    <row r="2697" spans="1:6" ht="16" thickBot="1" x14ac:dyDescent="0.25">
      <c r="A2697" s="83"/>
      <c r="B2697" s="129"/>
      <c r="C2697" s="129"/>
      <c r="D2697" s="83"/>
      <c r="E2697" s="103"/>
      <c r="F2697" s="129"/>
    </row>
    <row r="2698" spans="1:6" ht="16" thickBot="1" x14ac:dyDescent="0.25">
      <c r="A2698" s="83"/>
      <c r="B2698" s="129"/>
      <c r="C2698" s="129"/>
      <c r="D2698" s="83"/>
      <c r="E2698" s="103"/>
      <c r="F2698" s="129"/>
    </row>
    <row r="2699" spans="1:6" ht="16" thickBot="1" x14ac:dyDescent="0.25">
      <c r="A2699" s="83"/>
      <c r="B2699" s="129"/>
      <c r="C2699" s="129"/>
      <c r="D2699" s="83"/>
      <c r="E2699" s="103"/>
      <c r="F2699" s="129"/>
    </row>
    <row r="2700" spans="1:6" ht="16" thickBot="1" x14ac:dyDescent="0.25">
      <c r="A2700" s="83"/>
      <c r="B2700" s="129"/>
      <c r="C2700" s="129"/>
      <c r="D2700" s="83"/>
      <c r="E2700" s="103"/>
      <c r="F2700" s="129"/>
    </row>
    <row r="2701" spans="1:6" ht="16" thickBot="1" x14ac:dyDescent="0.25">
      <c r="A2701" s="83"/>
      <c r="B2701" s="129"/>
      <c r="C2701" s="129"/>
      <c r="D2701" s="83"/>
      <c r="E2701" s="103"/>
      <c r="F2701" s="129"/>
    </row>
    <row r="2702" spans="1:6" ht="16" thickBot="1" x14ac:dyDescent="0.25">
      <c r="A2702" s="83"/>
      <c r="B2702" s="129"/>
      <c r="C2702" s="129"/>
      <c r="D2702" s="83"/>
      <c r="E2702" s="103"/>
      <c r="F2702" s="129"/>
    </row>
    <row r="2703" spans="1:6" ht="16" thickBot="1" x14ac:dyDescent="0.25">
      <c r="A2703" s="83"/>
      <c r="B2703" s="129"/>
      <c r="C2703" s="129"/>
      <c r="D2703" s="83"/>
      <c r="E2703" s="103"/>
      <c r="F2703" s="129"/>
    </row>
    <row r="2704" spans="1:6" ht="16" thickBot="1" x14ac:dyDescent="0.25">
      <c r="A2704" s="83"/>
      <c r="B2704" s="129"/>
      <c r="C2704" s="129"/>
      <c r="D2704" s="83"/>
      <c r="E2704" s="103"/>
      <c r="F2704" s="129"/>
    </row>
    <row r="2705" spans="1:6" ht="16" thickBot="1" x14ac:dyDescent="0.25">
      <c r="A2705" s="83"/>
      <c r="B2705" s="129"/>
      <c r="C2705" s="129"/>
      <c r="D2705" s="83"/>
      <c r="E2705" s="103"/>
      <c r="F2705" s="129"/>
    </row>
    <row r="2706" spans="1:6" ht="16" thickBot="1" x14ac:dyDescent="0.25">
      <c r="A2706" s="83"/>
      <c r="B2706" s="129"/>
      <c r="C2706" s="129"/>
      <c r="D2706" s="83"/>
      <c r="E2706" s="103"/>
      <c r="F2706" s="129"/>
    </row>
    <row r="2707" spans="1:6" ht="16" thickBot="1" x14ac:dyDescent="0.25">
      <c r="A2707" s="83"/>
      <c r="B2707" s="129"/>
      <c r="C2707" s="129"/>
      <c r="D2707" s="83"/>
      <c r="E2707" s="103"/>
      <c r="F2707" s="129"/>
    </row>
    <row r="2708" spans="1:6" ht="16" thickBot="1" x14ac:dyDescent="0.25">
      <c r="A2708" s="83"/>
      <c r="B2708" s="129"/>
      <c r="C2708" s="129"/>
      <c r="D2708" s="83"/>
      <c r="E2708" s="103"/>
      <c r="F2708" s="129"/>
    </row>
    <row r="2709" spans="1:6" ht="16" thickBot="1" x14ac:dyDescent="0.25">
      <c r="A2709" s="83"/>
      <c r="B2709" s="129"/>
      <c r="C2709" s="129"/>
      <c r="D2709" s="83"/>
      <c r="E2709" s="103"/>
      <c r="F2709" s="129"/>
    </row>
    <row r="2710" spans="1:6" ht="16" thickBot="1" x14ac:dyDescent="0.25">
      <c r="A2710" s="83"/>
      <c r="B2710" s="129"/>
      <c r="C2710" s="129"/>
      <c r="D2710" s="83"/>
      <c r="E2710" s="103"/>
      <c r="F2710" s="129"/>
    </row>
    <row r="2711" spans="1:6" ht="16" thickBot="1" x14ac:dyDescent="0.25">
      <c r="A2711" s="83"/>
      <c r="B2711" s="129"/>
      <c r="C2711" s="129"/>
      <c r="D2711" s="83"/>
      <c r="E2711" s="103"/>
      <c r="F2711" s="129"/>
    </row>
    <row r="2712" spans="1:6" ht="16" thickBot="1" x14ac:dyDescent="0.25">
      <c r="A2712" s="83"/>
      <c r="B2712" s="129"/>
      <c r="C2712" s="129"/>
      <c r="D2712" s="83"/>
      <c r="E2712" s="103"/>
      <c r="F2712" s="129"/>
    </row>
    <row r="2713" spans="1:6" ht="16" thickBot="1" x14ac:dyDescent="0.25">
      <c r="A2713" s="83"/>
      <c r="B2713" s="129"/>
      <c r="C2713" s="129"/>
      <c r="D2713" s="83"/>
      <c r="E2713" s="103"/>
      <c r="F2713" s="129"/>
    </row>
    <row r="2714" spans="1:6" ht="16" thickBot="1" x14ac:dyDescent="0.25">
      <c r="A2714" s="83"/>
      <c r="B2714" s="129"/>
      <c r="C2714" s="129"/>
      <c r="D2714" s="83"/>
      <c r="E2714" s="103"/>
      <c r="F2714" s="129"/>
    </row>
    <row r="2715" spans="1:6" ht="16" thickBot="1" x14ac:dyDescent="0.25">
      <c r="A2715" s="83"/>
      <c r="B2715" s="129"/>
      <c r="C2715" s="129"/>
      <c r="D2715" s="83"/>
      <c r="E2715" s="103"/>
      <c r="F2715" s="129"/>
    </row>
    <row r="2716" spans="1:6" ht="16" thickBot="1" x14ac:dyDescent="0.25">
      <c r="A2716" s="83"/>
      <c r="B2716" s="129"/>
      <c r="C2716" s="129"/>
      <c r="D2716" s="83"/>
      <c r="E2716" s="103"/>
      <c r="F2716" s="129"/>
    </row>
    <row r="2717" spans="1:6" ht="16" thickBot="1" x14ac:dyDescent="0.25">
      <c r="A2717" s="83"/>
      <c r="B2717" s="129"/>
      <c r="C2717" s="129"/>
      <c r="D2717" s="83"/>
      <c r="E2717" s="103"/>
      <c r="F2717" s="129"/>
    </row>
    <row r="2718" spans="1:6" ht="16" thickBot="1" x14ac:dyDescent="0.25">
      <c r="A2718" s="83"/>
      <c r="B2718" s="129"/>
      <c r="C2718" s="129"/>
      <c r="D2718" s="83"/>
      <c r="E2718" s="103"/>
      <c r="F2718" s="129"/>
    </row>
    <row r="2719" spans="1:6" ht="16" thickBot="1" x14ac:dyDescent="0.25">
      <c r="A2719" s="83"/>
      <c r="B2719" s="129"/>
      <c r="C2719" s="129"/>
      <c r="D2719" s="83"/>
      <c r="E2719" s="103"/>
      <c r="F2719" s="129"/>
    </row>
    <row r="2720" spans="1:6" ht="16" thickBot="1" x14ac:dyDescent="0.25">
      <c r="A2720" s="83"/>
      <c r="B2720" s="129"/>
      <c r="C2720" s="129"/>
      <c r="D2720" s="83"/>
      <c r="E2720" s="103"/>
      <c r="F2720" s="129"/>
    </row>
    <row r="2721" spans="1:6" ht="16" thickBot="1" x14ac:dyDescent="0.25">
      <c r="A2721" s="83"/>
      <c r="B2721" s="129"/>
      <c r="C2721" s="129"/>
      <c r="D2721" s="83"/>
      <c r="E2721" s="103"/>
      <c r="F2721" s="129"/>
    </row>
    <row r="2722" spans="1:6" ht="16" thickBot="1" x14ac:dyDescent="0.25">
      <c r="A2722" s="83"/>
      <c r="B2722" s="129"/>
      <c r="C2722" s="129"/>
      <c r="D2722" s="83"/>
      <c r="E2722" s="103"/>
      <c r="F2722" s="129"/>
    </row>
    <row r="2723" spans="1:6" ht="16" thickBot="1" x14ac:dyDescent="0.25">
      <c r="A2723" s="83"/>
      <c r="B2723" s="129"/>
      <c r="C2723" s="129"/>
      <c r="D2723" s="83"/>
      <c r="E2723" s="103"/>
      <c r="F2723" s="129"/>
    </row>
    <row r="2724" spans="1:6" ht="16" thickBot="1" x14ac:dyDescent="0.25">
      <c r="A2724" s="83"/>
      <c r="B2724" s="129"/>
      <c r="C2724" s="129"/>
      <c r="D2724" s="83"/>
      <c r="E2724" s="103"/>
      <c r="F2724" s="129"/>
    </row>
    <row r="2725" spans="1:6" ht="16" thickBot="1" x14ac:dyDescent="0.25">
      <c r="A2725" s="83"/>
      <c r="B2725" s="129"/>
      <c r="C2725" s="129"/>
      <c r="D2725" s="83"/>
      <c r="E2725" s="103"/>
      <c r="F2725" s="129"/>
    </row>
    <row r="2726" spans="1:6" ht="16" thickBot="1" x14ac:dyDescent="0.25">
      <c r="A2726" s="83"/>
      <c r="B2726" s="129"/>
      <c r="C2726" s="129"/>
      <c r="D2726" s="83"/>
      <c r="E2726" s="103"/>
      <c r="F2726" s="129"/>
    </row>
    <row r="2727" spans="1:6" ht="16" thickBot="1" x14ac:dyDescent="0.25">
      <c r="A2727" s="83"/>
      <c r="B2727" s="129"/>
      <c r="C2727" s="129"/>
      <c r="D2727" s="83"/>
      <c r="E2727" s="103"/>
      <c r="F2727" s="129"/>
    </row>
    <row r="2728" spans="1:6" ht="16" thickBot="1" x14ac:dyDescent="0.25">
      <c r="A2728" s="83"/>
      <c r="B2728" s="129"/>
      <c r="C2728" s="129"/>
      <c r="D2728" s="83"/>
      <c r="E2728" s="103"/>
      <c r="F2728" s="129"/>
    </row>
    <row r="2729" spans="1:6" ht="16" thickBot="1" x14ac:dyDescent="0.25">
      <c r="A2729" s="83"/>
      <c r="B2729" s="129"/>
      <c r="C2729" s="129"/>
      <c r="D2729" s="83"/>
      <c r="E2729" s="103"/>
      <c r="F2729" s="129"/>
    </row>
    <row r="2730" spans="1:6" ht="16" thickBot="1" x14ac:dyDescent="0.25">
      <c r="A2730" s="83"/>
      <c r="B2730" s="129"/>
      <c r="C2730" s="129"/>
      <c r="D2730" s="83"/>
      <c r="E2730" s="103"/>
      <c r="F2730" s="129"/>
    </row>
    <row r="2731" spans="1:6" ht="16" thickBot="1" x14ac:dyDescent="0.25">
      <c r="A2731" s="83"/>
      <c r="B2731" s="129"/>
      <c r="C2731" s="129"/>
      <c r="D2731" s="83"/>
      <c r="E2731" s="103"/>
      <c r="F2731" s="129"/>
    </row>
    <row r="2732" spans="1:6" ht="16" thickBot="1" x14ac:dyDescent="0.25">
      <c r="A2732" s="83"/>
      <c r="B2732" s="129"/>
      <c r="C2732" s="129"/>
      <c r="D2732" s="83"/>
      <c r="E2732" s="103"/>
      <c r="F2732" s="129"/>
    </row>
    <row r="2733" spans="1:6" ht="16" thickBot="1" x14ac:dyDescent="0.25">
      <c r="A2733" s="83"/>
      <c r="B2733" s="129"/>
      <c r="C2733" s="129"/>
      <c r="D2733" s="83"/>
      <c r="E2733" s="103"/>
      <c r="F2733" s="129"/>
    </row>
    <row r="2734" spans="1:6" ht="16" thickBot="1" x14ac:dyDescent="0.25">
      <c r="A2734" s="83"/>
      <c r="B2734" s="129"/>
      <c r="C2734" s="129"/>
      <c r="D2734" s="83"/>
      <c r="E2734" s="103"/>
      <c r="F2734" s="129"/>
    </row>
    <row r="2735" spans="1:6" ht="16" thickBot="1" x14ac:dyDescent="0.25">
      <c r="A2735" s="83"/>
      <c r="B2735" s="129"/>
      <c r="C2735" s="129"/>
      <c r="D2735" s="83"/>
      <c r="E2735" s="103"/>
      <c r="F2735" s="129"/>
    </row>
    <row r="2736" spans="1:6" ht="16" thickBot="1" x14ac:dyDescent="0.25">
      <c r="A2736" s="83"/>
      <c r="B2736" s="129"/>
      <c r="C2736" s="129"/>
      <c r="D2736" s="83"/>
      <c r="E2736" s="103"/>
      <c r="F2736" s="129"/>
    </row>
    <row r="2737" spans="1:6" ht="16" thickBot="1" x14ac:dyDescent="0.25">
      <c r="A2737" s="83"/>
      <c r="B2737" s="129"/>
      <c r="C2737" s="129"/>
      <c r="D2737" s="83"/>
      <c r="E2737" s="103"/>
      <c r="F2737" s="129"/>
    </row>
    <row r="2738" spans="1:6" ht="16" thickBot="1" x14ac:dyDescent="0.25">
      <c r="A2738" s="83"/>
      <c r="B2738" s="129"/>
      <c r="C2738" s="129"/>
      <c r="D2738" s="83"/>
      <c r="E2738" s="103"/>
      <c r="F2738" s="129"/>
    </row>
    <row r="2739" spans="1:6" ht="16" thickBot="1" x14ac:dyDescent="0.25">
      <c r="A2739" s="83"/>
      <c r="B2739" s="129"/>
      <c r="C2739" s="129"/>
      <c r="D2739" s="83"/>
      <c r="E2739" s="103"/>
      <c r="F2739" s="129"/>
    </row>
    <row r="2740" spans="1:6" ht="16" thickBot="1" x14ac:dyDescent="0.25">
      <c r="A2740" s="83"/>
      <c r="B2740" s="129"/>
      <c r="C2740" s="129"/>
      <c r="D2740" s="83"/>
      <c r="E2740" s="103"/>
      <c r="F2740" s="129"/>
    </row>
    <row r="2741" spans="1:6" ht="16" thickBot="1" x14ac:dyDescent="0.25">
      <c r="A2741" s="83"/>
      <c r="B2741" s="129"/>
      <c r="C2741" s="129"/>
      <c r="D2741" s="83"/>
      <c r="E2741" s="103"/>
      <c r="F2741" s="129"/>
    </row>
    <row r="2742" spans="1:6" ht="16" thickBot="1" x14ac:dyDescent="0.25">
      <c r="A2742" s="83"/>
      <c r="B2742" s="129"/>
      <c r="C2742" s="129"/>
      <c r="D2742" s="83"/>
      <c r="E2742" s="103"/>
      <c r="F2742" s="129"/>
    </row>
    <row r="2743" spans="1:6" ht="16" thickBot="1" x14ac:dyDescent="0.25">
      <c r="A2743" s="83"/>
      <c r="B2743" s="129"/>
      <c r="C2743" s="129"/>
      <c r="D2743" s="83"/>
      <c r="E2743" s="103"/>
      <c r="F2743" s="129"/>
    </row>
    <row r="2744" spans="1:6" ht="16" thickBot="1" x14ac:dyDescent="0.25">
      <c r="A2744" s="83"/>
      <c r="B2744" s="129"/>
      <c r="C2744" s="129"/>
      <c r="D2744" s="83"/>
      <c r="E2744" s="103"/>
      <c r="F2744" s="129"/>
    </row>
    <row r="2745" spans="1:6" ht="16" thickBot="1" x14ac:dyDescent="0.25">
      <c r="A2745" s="83"/>
      <c r="B2745" s="129"/>
      <c r="C2745" s="129"/>
      <c r="D2745" s="83"/>
      <c r="E2745" s="103"/>
      <c r="F2745" s="129"/>
    </row>
    <row r="2746" spans="1:6" ht="16" thickBot="1" x14ac:dyDescent="0.25">
      <c r="A2746" s="83"/>
      <c r="B2746" s="129"/>
      <c r="C2746" s="129"/>
      <c r="D2746" s="83"/>
      <c r="E2746" s="103"/>
      <c r="F2746" s="129"/>
    </row>
    <row r="2747" spans="1:6" ht="16" thickBot="1" x14ac:dyDescent="0.25">
      <c r="A2747" s="83"/>
      <c r="B2747" s="129"/>
      <c r="C2747" s="129"/>
      <c r="D2747" s="83"/>
      <c r="E2747" s="103"/>
      <c r="F2747" s="129"/>
    </row>
    <row r="2748" spans="1:6" ht="16" thickBot="1" x14ac:dyDescent="0.25">
      <c r="A2748" s="83"/>
      <c r="B2748" s="129"/>
      <c r="C2748" s="129"/>
      <c r="D2748" s="83"/>
      <c r="E2748" s="103"/>
      <c r="F2748" s="129"/>
    </row>
    <row r="2749" spans="1:6" ht="16" thickBot="1" x14ac:dyDescent="0.25">
      <c r="A2749" s="83"/>
      <c r="B2749" s="129"/>
      <c r="C2749" s="129"/>
      <c r="D2749" s="83"/>
      <c r="E2749" s="103"/>
      <c r="F2749" s="129"/>
    </row>
    <row r="2750" spans="1:6" ht="16" thickBot="1" x14ac:dyDescent="0.25">
      <c r="A2750" s="83"/>
      <c r="B2750" s="129"/>
      <c r="C2750" s="129"/>
      <c r="D2750" s="83"/>
      <c r="E2750" s="103"/>
      <c r="F2750" s="129"/>
    </row>
    <row r="2751" spans="1:6" ht="16" thickBot="1" x14ac:dyDescent="0.25">
      <c r="A2751" s="83"/>
      <c r="B2751" s="129"/>
      <c r="C2751" s="129"/>
      <c r="D2751" s="83"/>
      <c r="E2751" s="103"/>
      <c r="F2751" s="129"/>
    </row>
    <row r="2752" spans="1:6" ht="16" thickBot="1" x14ac:dyDescent="0.25">
      <c r="A2752" s="83"/>
      <c r="B2752" s="129"/>
      <c r="C2752" s="129"/>
      <c r="D2752" s="83"/>
      <c r="E2752" s="103"/>
      <c r="F2752" s="129"/>
    </row>
    <row r="2753" spans="1:6" ht="16" thickBot="1" x14ac:dyDescent="0.25">
      <c r="A2753" s="83"/>
      <c r="B2753" s="129"/>
      <c r="C2753" s="129"/>
      <c r="D2753" s="83"/>
      <c r="E2753" s="103"/>
      <c r="F2753" s="129"/>
    </row>
    <row r="2754" spans="1:6" ht="16" thickBot="1" x14ac:dyDescent="0.25">
      <c r="A2754" s="83"/>
      <c r="B2754" s="129"/>
      <c r="C2754" s="129"/>
      <c r="D2754" s="83"/>
      <c r="E2754" s="103"/>
      <c r="F2754" s="129"/>
    </row>
    <row r="2755" spans="1:6" ht="16" thickBot="1" x14ac:dyDescent="0.25">
      <c r="A2755" s="83"/>
      <c r="B2755" s="129"/>
      <c r="C2755" s="129"/>
      <c r="D2755" s="83"/>
      <c r="E2755" s="103"/>
      <c r="F2755" s="129"/>
    </row>
    <row r="2756" spans="1:6" ht="16" thickBot="1" x14ac:dyDescent="0.25">
      <c r="A2756" s="83"/>
      <c r="B2756" s="129"/>
      <c r="C2756" s="129"/>
      <c r="D2756" s="83"/>
      <c r="E2756" s="103"/>
      <c r="F2756" s="129"/>
    </row>
    <row r="2757" spans="1:6" ht="16" thickBot="1" x14ac:dyDescent="0.25">
      <c r="A2757" s="83"/>
      <c r="B2757" s="129"/>
      <c r="C2757" s="129"/>
      <c r="D2757" s="83"/>
      <c r="E2757" s="103"/>
      <c r="F2757" s="129"/>
    </row>
    <row r="2758" spans="1:6" ht="16" thickBot="1" x14ac:dyDescent="0.25">
      <c r="A2758" s="83"/>
      <c r="B2758" s="129"/>
      <c r="C2758" s="129"/>
      <c r="D2758" s="83"/>
      <c r="E2758" s="103"/>
      <c r="F2758" s="129"/>
    </row>
    <row r="2759" spans="1:6" ht="16" thickBot="1" x14ac:dyDescent="0.25">
      <c r="A2759" s="83"/>
      <c r="B2759" s="129"/>
      <c r="C2759" s="129"/>
      <c r="D2759" s="83"/>
      <c r="E2759" s="103"/>
      <c r="F2759" s="129"/>
    </row>
    <row r="2760" spans="1:6" ht="16" thickBot="1" x14ac:dyDescent="0.25">
      <c r="A2760" s="83"/>
      <c r="B2760" s="129"/>
      <c r="C2760" s="129"/>
      <c r="D2760" s="83"/>
      <c r="E2760" s="103"/>
      <c r="F2760" s="129"/>
    </row>
    <row r="2761" spans="1:6" ht="16" thickBot="1" x14ac:dyDescent="0.25">
      <c r="A2761" s="83"/>
      <c r="B2761" s="129"/>
      <c r="C2761" s="129"/>
      <c r="D2761" s="83"/>
      <c r="E2761" s="103"/>
      <c r="F2761" s="129"/>
    </row>
    <row r="2762" spans="1:6" ht="16" thickBot="1" x14ac:dyDescent="0.25">
      <c r="A2762" s="83"/>
      <c r="B2762" s="129"/>
      <c r="C2762" s="129"/>
      <c r="D2762" s="83"/>
      <c r="E2762" s="103"/>
      <c r="F2762" s="129"/>
    </row>
    <row r="2763" spans="1:6" ht="16" thickBot="1" x14ac:dyDescent="0.25">
      <c r="A2763" s="83"/>
      <c r="B2763" s="129"/>
      <c r="C2763" s="129"/>
      <c r="D2763" s="83"/>
      <c r="E2763" s="103"/>
      <c r="F2763" s="129"/>
    </row>
    <row r="2764" spans="1:6" ht="16" thickBot="1" x14ac:dyDescent="0.25">
      <c r="A2764" s="83"/>
      <c r="B2764" s="129"/>
      <c r="C2764" s="129"/>
      <c r="D2764" s="83"/>
      <c r="E2764" s="103"/>
      <c r="F2764" s="129"/>
    </row>
    <row r="2765" spans="1:6" ht="16" thickBot="1" x14ac:dyDescent="0.25">
      <c r="A2765" s="83"/>
      <c r="B2765" s="129"/>
      <c r="C2765" s="129"/>
      <c r="D2765" s="83"/>
      <c r="E2765" s="103"/>
      <c r="F2765" s="129"/>
    </row>
    <row r="2766" spans="1:6" ht="16" thickBot="1" x14ac:dyDescent="0.25">
      <c r="A2766" s="83"/>
      <c r="B2766" s="129"/>
      <c r="C2766" s="129"/>
      <c r="D2766" s="83"/>
      <c r="E2766" s="103"/>
      <c r="F2766" s="129"/>
    </row>
    <row r="2767" spans="1:6" ht="16" thickBot="1" x14ac:dyDescent="0.25">
      <c r="A2767" s="83"/>
      <c r="B2767" s="129"/>
      <c r="C2767" s="129"/>
      <c r="D2767" s="83"/>
      <c r="E2767" s="103"/>
      <c r="F2767" s="129"/>
    </row>
    <row r="2768" spans="1:6" ht="16" thickBot="1" x14ac:dyDescent="0.25">
      <c r="A2768" s="83"/>
      <c r="B2768" s="129"/>
      <c r="C2768" s="129"/>
      <c r="D2768" s="83"/>
      <c r="E2768" s="103"/>
      <c r="F2768" s="129"/>
    </row>
    <row r="2769" spans="1:6" ht="16" thickBot="1" x14ac:dyDescent="0.25">
      <c r="A2769" s="83"/>
      <c r="B2769" s="129"/>
      <c r="C2769" s="129"/>
      <c r="D2769" s="83"/>
      <c r="E2769" s="103"/>
      <c r="F2769" s="129"/>
    </row>
    <row r="2770" spans="1:6" ht="16" thickBot="1" x14ac:dyDescent="0.25">
      <c r="A2770" s="83"/>
      <c r="B2770" s="129"/>
      <c r="C2770" s="129"/>
      <c r="D2770" s="83"/>
      <c r="E2770" s="83"/>
      <c r="F2770" s="129"/>
    </row>
    <row r="2771" spans="1:6" ht="16" thickBot="1" x14ac:dyDescent="0.25">
      <c r="A2771" s="83"/>
      <c r="B2771" s="129"/>
      <c r="C2771" s="129"/>
      <c r="D2771" s="83"/>
      <c r="E2771" s="103"/>
      <c r="F2771" s="129"/>
    </row>
    <row r="2772" spans="1:6" ht="16" thickBot="1" x14ac:dyDescent="0.25">
      <c r="A2772" s="83"/>
      <c r="B2772" s="129"/>
      <c r="C2772" s="129"/>
      <c r="D2772" s="83"/>
      <c r="E2772" s="103"/>
      <c r="F2772" s="129"/>
    </row>
    <row r="2773" spans="1:6" ht="16" thickBot="1" x14ac:dyDescent="0.25">
      <c r="A2773" s="83"/>
      <c r="B2773" s="129"/>
      <c r="C2773" s="129"/>
      <c r="D2773" s="83"/>
      <c r="E2773" s="103"/>
      <c r="F2773" s="129"/>
    </row>
    <row r="2774" spans="1:6" ht="16" thickBot="1" x14ac:dyDescent="0.25">
      <c r="A2774" s="83"/>
      <c r="B2774" s="129"/>
      <c r="C2774" s="129"/>
      <c r="D2774" s="83"/>
      <c r="E2774" s="103"/>
      <c r="F2774" s="129"/>
    </row>
    <row r="2775" spans="1:6" ht="16" thickBot="1" x14ac:dyDescent="0.25">
      <c r="A2775" s="83"/>
      <c r="B2775" s="129"/>
      <c r="C2775" s="129"/>
      <c r="D2775" s="83"/>
      <c r="E2775" s="103"/>
      <c r="F2775" s="129"/>
    </row>
    <row r="2776" spans="1:6" ht="16" thickBot="1" x14ac:dyDescent="0.25">
      <c r="A2776" s="83"/>
      <c r="B2776" s="129"/>
      <c r="C2776" s="129"/>
      <c r="D2776" s="83"/>
      <c r="E2776" s="103"/>
      <c r="F2776" s="129"/>
    </row>
    <row r="2777" spans="1:6" ht="16" thickBot="1" x14ac:dyDescent="0.25">
      <c r="A2777" s="83"/>
      <c r="B2777" s="129"/>
      <c r="C2777" s="129"/>
      <c r="D2777" s="83"/>
      <c r="E2777" s="103"/>
      <c r="F2777" s="129"/>
    </row>
    <row r="2778" spans="1:6" ht="16" thickBot="1" x14ac:dyDescent="0.25">
      <c r="A2778" s="83"/>
      <c r="B2778" s="129"/>
      <c r="C2778" s="129"/>
      <c r="D2778" s="83"/>
      <c r="E2778" s="103"/>
      <c r="F2778" s="129"/>
    </row>
    <row r="2779" spans="1:6" ht="16" thickBot="1" x14ac:dyDescent="0.25">
      <c r="A2779" s="83"/>
      <c r="B2779" s="129"/>
      <c r="C2779" s="129"/>
      <c r="D2779" s="83"/>
      <c r="E2779" s="103"/>
      <c r="F2779" s="129"/>
    </row>
    <row r="2780" spans="1:6" ht="16" thickBot="1" x14ac:dyDescent="0.25">
      <c r="A2780" s="83"/>
      <c r="B2780" s="129"/>
      <c r="C2780" s="129"/>
      <c r="D2780" s="83"/>
      <c r="E2780" s="103"/>
      <c r="F2780" s="129"/>
    </row>
    <row r="2781" spans="1:6" ht="16" thickBot="1" x14ac:dyDescent="0.25">
      <c r="A2781" s="83"/>
      <c r="B2781" s="129"/>
      <c r="C2781" s="129"/>
      <c r="D2781" s="83"/>
      <c r="E2781" s="103"/>
      <c r="F2781" s="129"/>
    </row>
    <row r="2782" spans="1:6" ht="16" thickBot="1" x14ac:dyDescent="0.25">
      <c r="A2782" s="83"/>
      <c r="B2782" s="129"/>
      <c r="C2782" s="129"/>
      <c r="D2782" s="83"/>
      <c r="E2782" s="103"/>
      <c r="F2782" s="129"/>
    </row>
    <row r="2783" spans="1:6" ht="16" thickBot="1" x14ac:dyDescent="0.25">
      <c r="A2783" s="83"/>
      <c r="B2783" s="129"/>
      <c r="C2783" s="129"/>
      <c r="D2783" s="83"/>
      <c r="E2783" s="103"/>
      <c r="F2783" s="129"/>
    </row>
    <row r="2784" spans="1:6" ht="16" thickBot="1" x14ac:dyDescent="0.25">
      <c r="A2784" s="83"/>
      <c r="B2784" s="129"/>
      <c r="C2784" s="129"/>
      <c r="D2784" s="83"/>
      <c r="E2784" s="103"/>
      <c r="F2784" s="129"/>
    </row>
    <row r="2785" spans="1:6" ht="16" thickBot="1" x14ac:dyDescent="0.25">
      <c r="A2785" s="83"/>
      <c r="B2785" s="129"/>
      <c r="C2785" s="129"/>
      <c r="D2785" s="83"/>
      <c r="E2785" s="103"/>
      <c r="F2785" s="129"/>
    </row>
    <row r="2786" spans="1:6" ht="16" thickBot="1" x14ac:dyDescent="0.25">
      <c r="A2786" s="83"/>
      <c r="B2786" s="129"/>
      <c r="C2786" s="129"/>
      <c r="D2786" s="83"/>
      <c r="E2786" s="103"/>
      <c r="F2786" s="129"/>
    </row>
    <row r="2787" spans="1:6" ht="16" thickBot="1" x14ac:dyDescent="0.25">
      <c r="A2787" s="83"/>
      <c r="B2787" s="129"/>
      <c r="C2787" s="129"/>
      <c r="D2787" s="83"/>
      <c r="E2787" s="103"/>
      <c r="F2787" s="129"/>
    </row>
    <row r="2788" spans="1:6" ht="16" thickBot="1" x14ac:dyDescent="0.25">
      <c r="A2788" s="83"/>
      <c r="B2788" s="129"/>
      <c r="C2788" s="129"/>
      <c r="D2788" s="83"/>
      <c r="E2788" s="103"/>
      <c r="F2788" s="129"/>
    </row>
    <row r="2789" spans="1:6" ht="16" thickBot="1" x14ac:dyDescent="0.25">
      <c r="A2789" s="83"/>
      <c r="B2789" s="129"/>
      <c r="C2789" s="129"/>
      <c r="D2789" s="83"/>
      <c r="E2789" s="103"/>
      <c r="F2789" s="129"/>
    </row>
    <row r="2790" spans="1:6" ht="16" thickBot="1" x14ac:dyDescent="0.25">
      <c r="A2790" s="83"/>
      <c r="B2790" s="129"/>
      <c r="C2790" s="129"/>
      <c r="D2790" s="83"/>
      <c r="E2790" s="103"/>
      <c r="F2790" s="129"/>
    </row>
    <row r="2791" spans="1:6" ht="16" thickBot="1" x14ac:dyDescent="0.25">
      <c r="A2791" s="83"/>
      <c r="B2791" s="129"/>
      <c r="C2791" s="129"/>
      <c r="D2791" s="83"/>
      <c r="E2791" s="103"/>
      <c r="F2791" s="129"/>
    </row>
    <row r="2792" spans="1:6" ht="16" thickBot="1" x14ac:dyDescent="0.25">
      <c r="A2792" s="83"/>
      <c r="B2792" s="129"/>
      <c r="C2792" s="129"/>
      <c r="D2792" s="83"/>
      <c r="E2792" s="103"/>
      <c r="F2792" s="129"/>
    </row>
    <row r="2793" spans="1:6" ht="16" thickBot="1" x14ac:dyDescent="0.25">
      <c r="A2793" s="83"/>
      <c r="B2793" s="129"/>
      <c r="C2793" s="129"/>
      <c r="D2793" s="83"/>
      <c r="E2793" s="103"/>
      <c r="F2793" s="129"/>
    </row>
    <row r="2794" spans="1:6" ht="16" thickBot="1" x14ac:dyDescent="0.25">
      <c r="A2794" s="83"/>
      <c r="B2794" s="129"/>
      <c r="C2794" s="129"/>
      <c r="D2794" s="83"/>
      <c r="E2794" s="103"/>
      <c r="F2794" s="129"/>
    </row>
    <row r="2795" spans="1:6" ht="16" thickBot="1" x14ac:dyDescent="0.25">
      <c r="A2795" s="83"/>
      <c r="B2795" s="129"/>
      <c r="C2795" s="129"/>
      <c r="D2795" s="83"/>
      <c r="E2795" s="103"/>
      <c r="F2795" s="129"/>
    </row>
    <row r="2796" spans="1:6" ht="16" thickBot="1" x14ac:dyDescent="0.25">
      <c r="A2796" s="83"/>
      <c r="B2796" s="129"/>
      <c r="C2796" s="129"/>
      <c r="D2796" s="83"/>
      <c r="E2796" s="103"/>
      <c r="F2796" s="129"/>
    </row>
    <row r="2797" spans="1:6" ht="16" thickBot="1" x14ac:dyDescent="0.25">
      <c r="A2797" s="83"/>
      <c r="B2797" s="129"/>
      <c r="C2797" s="129"/>
      <c r="D2797" s="83"/>
      <c r="E2797" s="103"/>
      <c r="F2797" s="129"/>
    </row>
    <row r="2798" spans="1:6" ht="16" thickBot="1" x14ac:dyDescent="0.25">
      <c r="A2798" s="83"/>
      <c r="B2798" s="129"/>
      <c r="C2798" s="129"/>
      <c r="D2798" s="83"/>
      <c r="E2798" s="103"/>
      <c r="F2798" s="129"/>
    </row>
    <row r="2799" spans="1:6" ht="16" thickBot="1" x14ac:dyDescent="0.25">
      <c r="A2799" s="83"/>
      <c r="B2799" s="129"/>
      <c r="C2799" s="129"/>
      <c r="D2799" s="83"/>
      <c r="E2799" s="103"/>
      <c r="F2799" s="129"/>
    </row>
    <row r="2800" spans="1:6" ht="16" thickBot="1" x14ac:dyDescent="0.25">
      <c r="A2800" s="83"/>
      <c r="B2800" s="129"/>
      <c r="C2800" s="129"/>
      <c r="D2800" s="83"/>
      <c r="E2800" s="103"/>
      <c r="F2800" s="129"/>
    </row>
    <row r="2801" spans="1:6" ht="16" thickBot="1" x14ac:dyDescent="0.25">
      <c r="A2801" s="83"/>
      <c r="B2801" s="129"/>
      <c r="C2801" s="129"/>
      <c r="D2801" s="83"/>
      <c r="E2801" s="103"/>
      <c r="F2801" s="129"/>
    </row>
    <row r="2802" spans="1:6" ht="16" thickBot="1" x14ac:dyDescent="0.25">
      <c r="A2802" s="83"/>
      <c r="B2802" s="129"/>
      <c r="C2802" s="129"/>
      <c r="D2802" s="83"/>
      <c r="E2802" s="103"/>
      <c r="F2802" s="129"/>
    </row>
    <row r="2803" spans="1:6" ht="16" thickBot="1" x14ac:dyDescent="0.25">
      <c r="A2803" s="83"/>
      <c r="B2803" s="129"/>
      <c r="C2803" s="129"/>
      <c r="D2803" s="83"/>
      <c r="E2803" s="103"/>
      <c r="F2803" s="129"/>
    </row>
    <row r="2804" spans="1:6" ht="16" thickBot="1" x14ac:dyDescent="0.25">
      <c r="A2804" s="83"/>
      <c r="B2804" s="129"/>
      <c r="C2804" s="129"/>
      <c r="D2804" s="83"/>
      <c r="E2804" s="103"/>
      <c r="F2804" s="129"/>
    </row>
    <row r="2805" spans="1:6" ht="16" thickBot="1" x14ac:dyDescent="0.25">
      <c r="A2805" s="83"/>
      <c r="B2805" s="129"/>
      <c r="C2805" s="129"/>
      <c r="D2805" s="83"/>
      <c r="E2805" s="103"/>
      <c r="F2805" s="129"/>
    </row>
    <row r="2806" spans="1:6" ht="16" thickBot="1" x14ac:dyDescent="0.25">
      <c r="A2806" s="83"/>
      <c r="B2806" s="129"/>
      <c r="C2806" s="129"/>
      <c r="D2806" s="83"/>
      <c r="E2806" s="103"/>
      <c r="F2806" s="129"/>
    </row>
    <row r="2807" spans="1:6" ht="16" thickBot="1" x14ac:dyDescent="0.25">
      <c r="A2807" s="83"/>
      <c r="B2807" s="129"/>
      <c r="C2807" s="129"/>
      <c r="D2807" s="83"/>
      <c r="E2807" s="103"/>
      <c r="F2807" s="129"/>
    </row>
    <row r="2808" spans="1:6" ht="16" thickBot="1" x14ac:dyDescent="0.25">
      <c r="A2808" s="83"/>
      <c r="B2808" s="129"/>
      <c r="C2808" s="129"/>
      <c r="D2808" s="83"/>
      <c r="E2808" s="103"/>
      <c r="F2808" s="129"/>
    </row>
    <row r="2809" spans="1:6" ht="16" thickBot="1" x14ac:dyDescent="0.25">
      <c r="A2809" s="83"/>
      <c r="B2809" s="129"/>
      <c r="C2809" s="129"/>
      <c r="D2809" s="83"/>
      <c r="E2809" s="103"/>
      <c r="F2809" s="129"/>
    </row>
    <row r="2810" spans="1:6" ht="16" thickBot="1" x14ac:dyDescent="0.25">
      <c r="A2810" s="83"/>
      <c r="B2810" s="129"/>
      <c r="C2810" s="129"/>
      <c r="D2810" s="83"/>
      <c r="E2810" s="103"/>
      <c r="F2810" s="129"/>
    </row>
    <row r="2811" spans="1:6" ht="16" thickBot="1" x14ac:dyDescent="0.25">
      <c r="A2811" s="83"/>
      <c r="B2811" s="129"/>
      <c r="C2811" s="129"/>
      <c r="D2811" s="83"/>
      <c r="E2811" s="103"/>
      <c r="F2811" s="129"/>
    </row>
    <row r="2812" spans="1:6" ht="16" thickBot="1" x14ac:dyDescent="0.25">
      <c r="A2812" s="83"/>
      <c r="B2812" s="129"/>
      <c r="C2812" s="129"/>
      <c r="D2812" s="83"/>
      <c r="E2812" s="103"/>
      <c r="F2812" s="129"/>
    </row>
    <row r="2813" spans="1:6" ht="16" thickBot="1" x14ac:dyDescent="0.25">
      <c r="A2813" s="83"/>
      <c r="B2813" s="129"/>
      <c r="C2813" s="129"/>
      <c r="D2813" s="83"/>
      <c r="E2813" s="103"/>
      <c r="F2813" s="129"/>
    </row>
    <row r="2814" spans="1:6" ht="16" thickBot="1" x14ac:dyDescent="0.25">
      <c r="A2814" s="83"/>
      <c r="B2814" s="129"/>
      <c r="C2814" s="129"/>
      <c r="D2814" s="83"/>
      <c r="E2814" s="103"/>
      <c r="F2814" s="129"/>
    </row>
    <row r="2815" spans="1:6" ht="16" thickBot="1" x14ac:dyDescent="0.25">
      <c r="A2815" s="83"/>
      <c r="B2815" s="129"/>
      <c r="C2815" s="129"/>
      <c r="D2815" s="83"/>
      <c r="E2815" s="103"/>
      <c r="F2815" s="129"/>
    </row>
    <row r="2816" spans="1:6" ht="16" thickBot="1" x14ac:dyDescent="0.25">
      <c r="A2816" s="83"/>
      <c r="B2816" s="129"/>
      <c r="C2816" s="129"/>
      <c r="D2816" s="83"/>
      <c r="E2816" s="103"/>
      <c r="F2816" s="129"/>
    </row>
    <row r="2817" spans="1:6" ht="16" thickBot="1" x14ac:dyDescent="0.25">
      <c r="A2817" s="83"/>
      <c r="B2817" s="129"/>
      <c r="C2817" s="129"/>
      <c r="D2817" s="83"/>
      <c r="E2817" s="103"/>
      <c r="F2817" s="129"/>
    </row>
    <row r="2818" spans="1:6" ht="16" thickBot="1" x14ac:dyDescent="0.25">
      <c r="A2818" s="83"/>
      <c r="B2818" s="129"/>
      <c r="C2818" s="129"/>
      <c r="D2818" s="83"/>
      <c r="E2818" s="103"/>
      <c r="F2818" s="129"/>
    </row>
    <row r="2819" spans="1:6" ht="16" thickBot="1" x14ac:dyDescent="0.25">
      <c r="A2819" s="83"/>
      <c r="B2819" s="129"/>
      <c r="C2819" s="129"/>
      <c r="D2819" s="83"/>
      <c r="E2819" s="103"/>
      <c r="F2819" s="129"/>
    </row>
    <row r="2820" spans="1:6" ht="16" thickBot="1" x14ac:dyDescent="0.25">
      <c r="A2820" s="83"/>
      <c r="B2820" s="129"/>
      <c r="C2820" s="129"/>
      <c r="D2820" s="83"/>
      <c r="E2820" s="103"/>
      <c r="F2820" s="129"/>
    </row>
    <row r="2821" spans="1:6" ht="16" thickBot="1" x14ac:dyDescent="0.25">
      <c r="A2821" s="83"/>
      <c r="B2821" s="129"/>
      <c r="C2821" s="129"/>
      <c r="D2821" s="83"/>
      <c r="E2821" s="103"/>
      <c r="F2821" s="129"/>
    </row>
    <row r="2822" spans="1:6" ht="16" thickBot="1" x14ac:dyDescent="0.25">
      <c r="A2822" s="83"/>
      <c r="B2822" s="129"/>
      <c r="C2822" s="129"/>
      <c r="D2822" s="83"/>
      <c r="E2822" s="103"/>
      <c r="F2822" s="129"/>
    </row>
    <row r="2823" spans="1:6" ht="16" thickBot="1" x14ac:dyDescent="0.25">
      <c r="A2823" s="83"/>
      <c r="B2823" s="129"/>
      <c r="C2823" s="129"/>
      <c r="D2823" s="83"/>
      <c r="E2823" s="103"/>
      <c r="F2823" s="129"/>
    </row>
    <row r="2824" spans="1:6" ht="16" thickBot="1" x14ac:dyDescent="0.25">
      <c r="A2824" s="83"/>
      <c r="B2824" s="129"/>
      <c r="C2824" s="129"/>
      <c r="D2824" s="83"/>
      <c r="E2824" s="103"/>
      <c r="F2824" s="129"/>
    </row>
    <row r="2825" spans="1:6" ht="16" thickBot="1" x14ac:dyDescent="0.25">
      <c r="A2825" s="83"/>
      <c r="B2825" s="129"/>
      <c r="C2825" s="129"/>
      <c r="D2825" s="83"/>
      <c r="E2825" s="103"/>
      <c r="F2825" s="129"/>
    </row>
    <row r="2826" spans="1:6" ht="16" thickBot="1" x14ac:dyDescent="0.25">
      <c r="A2826" s="83"/>
      <c r="B2826" s="129"/>
      <c r="C2826" s="129"/>
      <c r="D2826" s="83"/>
      <c r="E2826" s="103"/>
      <c r="F2826" s="129"/>
    </row>
    <row r="2827" spans="1:6" ht="16" thickBot="1" x14ac:dyDescent="0.25">
      <c r="A2827" s="83"/>
      <c r="B2827" s="129"/>
      <c r="C2827" s="129"/>
      <c r="D2827" s="83"/>
      <c r="E2827" s="103"/>
      <c r="F2827" s="129"/>
    </row>
    <row r="2828" spans="1:6" ht="16" thickBot="1" x14ac:dyDescent="0.25">
      <c r="A2828" s="83"/>
      <c r="B2828" s="129"/>
      <c r="C2828" s="129"/>
      <c r="D2828" s="83"/>
      <c r="E2828" s="103"/>
      <c r="F2828" s="129"/>
    </row>
    <row r="2829" spans="1:6" ht="16" thickBot="1" x14ac:dyDescent="0.25">
      <c r="A2829" s="83"/>
      <c r="B2829" s="129"/>
      <c r="C2829" s="129"/>
      <c r="D2829" s="83"/>
      <c r="E2829" s="103"/>
      <c r="F2829" s="129"/>
    </row>
    <row r="2830" spans="1:6" ht="16" thickBot="1" x14ac:dyDescent="0.25">
      <c r="A2830" s="83"/>
      <c r="B2830" s="129"/>
      <c r="C2830" s="129"/>
      <c r="D2830" s="83"/>
      <c r="E2830" s="103"/>
      <c r="F2830" s="129"/>
    </row>
    <row r="2831" spans="1:6" ht="16" thickBot="1" x14ac:dyDescent="0.25">
      <c r="A2831" s="83"/>
      <c r="B2831" s="129"/>
      <c r="C2831" s="129"/>
      <c r="D2831" s="83"/>
      <c r="E2831" s="103"/>
      <c r="F2831" s="129"/>
    </row>
    <row r="2832" spans="1:6" ht="16" thickBot="1" x14ac:dyDescent="0.25">
      <c r="A2832" s="83"/>
      <c r="B2832" s="129"/>
      <c r="C2832" s="129"/>
      <c r="D2832" s="83"/>
      <c r="E2832" s="103"/>
      <c r="F2832" s="129"/>
    </row>
    <row r="2833" spans="1:6" ht="16" thickBot="1" x14ac:dyDescent="0.25">
      <c r="A2833" s="83"/>
      <c r="B2833" s="129"/>
      <c r="C2833" s="129"/>
      <c r="D2833" s="83"/>
      <c r="E2833" s="103"/>
      <c r="F2833" s="129"/>
    </row>
    <row r="2834" spans="1:6" ht="16" thickBot="1" x14ac:dyDescent="0.25">
      <c r="A2834" s="83"/>
      <c r="B2834" s="129"/>
      <c r="C2834" s="129"/>
      <c r="D2834" s="83"/>
      <c r="E2834" s="103"/>
      <c r="F2834" s="129"/>
    </row>
    <row r="2835" spans="1:6" ht="16" thickBot="1" x14ac:dyDescent="0.25">
      <c r="A2835" s="83"/>
      <c r="B2835" s="129"/>
      <c r="C2835" s="129"/>
      <c r="D2835" s="83"/>
      <c r="E2835" s="103"/>
      <c r="F2835" s="129"/>
    </row>
    <row r="2836" spans="1:6" ht="16" thickBot="1" x14ac:dyDescent="0.25">
      <c r="A2836" s="83"/>
      <c r="B2836" s="129"/>
      <c r="C2836" s="129"/>
      <c r="D2836" s="83"/>
      <c r="E2836" s="103"/>
      <c r="F2836" s="129"/>
    </row>
    <row r="2837" spans="1:6" ht="16" thickBot="1" x14ac:dyDescent="0.25">
      <c r="A2837" s="83"/>
      <c r="B2837" s="129"/>
      <c r="C2837" s="129"/>
      <c r="D2837" s="83"/>
      <c r="E2837" s="103"/>
      <c r="F2837" s="129"/>
    </row>
    <row r="2838" spans="1:6" ht="16" thickBot="1" x14ac:dyDescent="0.25">
      <c r="A2838" s="83"/>
      <c r="B2838" s="129"/>
      <c r="C2838" s="129"/>
      <c r="D2838" s="83"/>
      <c r="E2838" s="103"/>
      <c r="F2838" s="129"/>
    </row>
    <row r="2839" spans="1:6" ht="16" thickBot="1" x14ac:dyDescent="0.25">
      <c r="A2839" s="83"/>
      <c r="B2839" s="129"/>
      <c r="C2839" s="129"/>
      <c r="D2839" s="83"/>
      <c r="E2839" s="103"/>
      <c r="F2839" s="129"/>
    </row>
    <row r="2840" spans="1:6" ht="16" thickBot="1" x14ac:dyDescent="0.25">
      <c r="A2840" s="83"/>
      <c r="B2840" s="129"/>
      <c r="C2840" s="129"/>
      <c r="D2840" s="83"/>
      <c r="E2840" s="103"/>
      <c r="F2840" s="129"/>
    </row>
    <row r="2841" spans="1:6" ht="16" thickBot="1" x14ac:dyDescent="0.25">
      <c r="A2841" s="83"/>
      <c r="B2841" s="129"/>
      <c r="C2841" s="129"/>
      <c r="D2841" s="83"/>
      <c r="E2841" s="103"/>
      <c r="F2841" s="129"/>
    </row>
    <row r="2842" spans="1:6" ht="16" thickBot="1" x14ac:dyDescent="0.25">
      <c r="A2842" s="83"/>
      <c r="B2842" s="129"/>
      <c r="C2842" s="129"/>
      <c r="D2842" s="83"/>
      <c r="E2842" s="103"/>
      <c r="F2842" s="129"/>
    </row>
    <row r="2843" spans="1:6" ht="16" thickBot="1" x14ac:dyDescent="0.25">
      <c r="A2843" s="83"/>
      <c r="B2843" s="129"/>
      <c r="C2843" s="129"/>
      <c r="D2843" s="83"/>
      <c r="E2843" s="103"/>
      <c r="F2843" s="129"/>
    </row>
    <row r="2844" spans="1:6" ht="16" thickBot="1" x14ac:dyDescent="0.25">
      <c r="A2844" s="83"/>
      <c r="B2844" s="129"/>
      <c r="C2844" s="129"/>
      <c r="D2844" s="83"/>
      <c r="E2844" s="103"/>
      <c r="F2844" s="129"/>
    </row>
    <row r="2845" spans="1:6" ht="16" thickBot="1" x14ac:dyDescent="0.25">
      <c r="A2845" s="83"/>
      <c r="B2845" s="129"/>
      <c r="C2845" s="129"/>
      <c r="D2845" s="83"/>
      <c r="E2845" s="103"/>
      <c r="F2845" s="129"/>
    </row>
    <row r="2846" spans="1:6" ht="16" thickBot="1" x14ac:dyDescent="0.25">
      <c r="A2846" s="83"/>
      <c r="B2846" s="129"/>
      <c r="C2846" s="129"/>
      <c r="D2846" s="83"/>
      <c r="E2846" s="103"/>
      <c r="F2846" s="129"/>
    </row>
    <row r="2847" spans="1:6" ht="16" thickBot="1" x14ac:dyDescent="0.25">
      <c r="A2847" s="83"/>
      <c r="B2847" s="129"/>
      <c r="C2847" s="129"/>
      <c r="D2847" s="83"/>
      <c r="E2847" s="103"/>
      <c r="F2847" s="129"/>
    </row>
    <row r="2848" spans="1:6" ht="16" thickBot="1" x14ac:dyDescent="0.25">
      <c r="A2848" s="83"/>
      <c r="B2848" s="129"/>
      <c r="C2848" s="129"/>
      <c r="D2848" s="83"/>
      <c r="E2848" s="103"/>
      <c r="F2848" s="129"/>
    </row>
    <row r="2849" spans="1:6" ht="16" thickBot="1" x14ac:dyDescent="0.25">
      <c r="A2849" s="83"/>
      <c r="B2849" s="129"/>
      <c r="C2849" s="129"/>
      <c r="D2849" s="83"/>
      <c r="E2849" s="103"/>
      <c r="F2849" s="129"/>
    </row>
    <row r="2850" spans="1:6" ht="16" thickBot="1" x14ac:dyDescent="0.25">
      <c r="A2850" s="83"/>
      <c r="B2850" s="129"/>
      <c r="C2850" s="129"/>
      <c r="D2850" s="83"/>
      <c r="E2850" s="103"/>
      <c r="F2850" s="129"/>
    </row>
    <row r="2851" spans="1:6" ht="16" thickBot="1" x14ac:dyDescent="0.25">
      <c r="A2851" s="83"/>
      <c r="B2851" s="129"/>
      <c r="C2851" s="129"/>
      <c r="D2851" s="83"/>
      <c r="E2851" s="103"/>
      <c r="F2851" s="129"/>
    </row>
    <row r="2852" spans="1:6" ht="16" thickBot="1" x14ac:dyDescent="0.25">
      <c r="A2852" s="83"/>
      <c r="B2852" s="129"/>
      <c r="C2852" s="129"/>
      <c r="D2852" s="83"/>
      <c r="E2852" s="103"/>
      <c r="F2852" s="129"/>
    </row>
    <row r="2853" spans="1:6" ht="16" thickBot="1" x14ac:dyDescent="0.25">
      <c r="A2853" s="83"/>
      <c r="B2853" s="129"/>
      <c r="C2853" s="129"/>
      <c r="D2853" s="83"/>
      <c r="E2853" s="103"/>
      <c r="F2853" s="129"/>
    </row>
    <row r="2854" spans="1:6" ht="16" thickBot="1" x14ac:dyDescent="0.25">
      <c r="A2854" s="83"/>
      <c r="B2854" s="129"/>
      <c r="C2854" s="129"/>
      <c r="D2854" s="83"/>
      <c r="E2854" s="103"/>
      <c r="F2854" s="129"/>
    </row>
    <row r="2855" spans="1:6" ht="16" thickBot="1" x14ac:dyDescent="0.25">
      <c r="A2855" s="83"/>
      <c r="B2855" s="129"/>
      <c r="C2855" s="129"/>
      <c r="D2855" s="83"/>
      <c r="E2855" s="103"/>
      <c r="F2855" s="129"/>
    </row>
    <row r="2856" spans="1:6" ht="16" thickBot="1" x14ac:dyDescent="0.25">
      <c r="A2856" s="83"/>
      <c r="B2856" s="129"/>
      <c r="C2856" s="129"/>
      <c r="D2856" s="83"/>
      <c r="E2856" s="103"/>
      <c r="F2856" s="129"/>
    </row>
    <row r="2857" spans="1:6" ht="16" thickBot="1" x14ac:dyDescent="0.25">
      <c r="A2857" s="83"/>
      <c r="B2857" s="129"/>
      <c r="C2857" s="129"/>
      <c r="D2857" s="83"/>
      <c r="E2857" s="103"/>
      <c r="F2857" s="129"/>
    </row>
    <row r="2858" spans="1:6" ht="16" thickBot="1" x14ac:dyDescent="0.25">
      <c r="A2858" s="83"/>
      <c r="B2858" s="129"/>
      <c r="C2858" s="129"/>
      <c r="D2858" s="83"/>
      <c r="E2858" s="103"/>
      <c r="F2858" s="129"/>
    </row>
    <row r="2859" spans="1:6" ht="16" thickBot="1" x14ac:dyDescent="0.25">
      <c r="A2859" s="83"/>
      <c r="B2859" s="129"/>
      <c r="C2859" s="129"/>
      <c r="D2859" s="83"/>
      <c r="E2859" s="103"/>
      <c r="F2859" s="129"/>
    </row>
    <row r="2860" spans="1:6" ht="16" thickBot="1" x14ac:dyDescent="0.25">
      <c r="A2860" s="83"/>
      <c r="B2860" s="129"/>
      <c r="C2860" s="129"/>
      <c r="D2860" s="83"/>
      <c r="E2860" s="103"/>
      <c r="F2860" s="129"/>
    </row>
    <row r="2861" spans="1:6" ht="16" thickBot="1" x14ac:dyDescent="0.25">
      <c r="A2861" s="83"/>
      <c r="B2861" s="129"/>
      <c r="C2861" s="129"/>
      <c r="D2861" s="83"/>
      <c r="E2861" s="103"/>
      <c r="F2861" s="129"/>
    </row>
    <row r="2862" spans="1:6" ht="16" thickBot="1" x14ac:dyDescent="0.25">
      <c r="A2862" s="83"/>
      <c r="B2862" s="129"/>
      <c r="C2862" s="129"/>
      <c r="D2862" s="83"/>
      <c r="E2862" s="103"/>
      <c r="F2862" s="129"/>
    </row>
    <row r="2863" spans="1:6" ht="16" thickBot="1" x14ac:dyDescent="0.25">
      <c r="A2863" s="83"/>
      <c r="B2863" s="129"/>
      <c r="C2863" s="129"/>
      <c r="D2863" s="83"/>
      <c r="E2863" s="103"/>
      <c r="F2863" s="129"/>
    </row>
    <row r="2864" spans="1:6" ht="16" thickBot="1" x14ac:dyDescent="0.25">
      <c r="A2864" s="83"/>
      <c r="B2864" s="129"/>
      <c r="C2864" s="129"/>
      <c r="D2864" s="83"/>
      <c r="E2864" s="103"/>
      <c r="F2864" s="129"/>
    </row>
    <row r="2865" spans="1:6" ht="16" thickBot="1" x14ac:dyDescent="0.25">
      <c r="A2865" s="83"/>
      <c r="B2865" s="129"/>
      <c r="C2865" s="129"/>
      <c r="D2865" s="83"/>
      <c r="E2865" s="103"/>
      <c r="F2865" s="129"/>
    </row>
    <row r="2866" spans="1:6" ht="16" thickBot="1" x14ac:dyDescent="0.25">
      <c r="A2866" s="83"/>
      <c r="B2866" s="129"/>
      <c r="C2866" s="129"/>
      <c r="D2866" s="83"/>
      <c r="E2866" s="103"/>
      <c r="F2866" s="129"/>
    </row>
    <row r="2867" spans="1:6" ht="16" thickBot="1" x14ac:dyDescent="0.25">
      <c r="A2867" s="83"/>
      <c r="B2867" s="129"/>
      <c r="C2867" s="129"/>
      <c r="D2867" s="83"/>
      <c r="E2867" s="103"/>
      <c r="F2867" s="129"/>
    </row>
    <row r="2868" spans="1:6" ht="16" thickBot="1" x14ac:dyDescent="0.25">
      <c r="A2868" s="83"/>
      <c r="B2868" s="129"/>
      <c r="C2868" s="129"/>
      <c r="D2868" s="83"/>
      <c r="E2868" s="103"/>
      <c r="F2868" s="129"/>
    </row>
    <row r="2869" spans="1:6" ht="16" thickBot="1" x14ac:dyDescent="0.25">
      <c r="A2869" s="83"/>
      <c r="B2869" s="129"/>
      <c r="C2869" s="129"/>
      <c r="D2869" s="83"/>
      <c r="E2869" s="103"/>
      <c r="F2869" s="129"/>
    </row>
    <row r="2870" spans="1:6" ht="16" thickBot="1" x14ac:dyDescent="0.25">
      <c r="A2870" s="83"/>
      <c r="B2870" s="129"/>
      <c r="C2870" s="129"/>
      <c r="D2870" s="83"/>
      <c r="E2870" s="103"/>
      <c r="F2870" s="129"/>
    </row>
    <row r="2871" spans="1:6" ht="16" thickBot="1" x14ac:dyDescent="0.25">
      <c r="A2871" s="83"/>
      <c r="B2871" s="129"/>
      <c r="C2871" s="129"/>
      <c r="D2871" s="83"/>
      <c r="E2871" s="103"/>
      <c r="F2871" s="129"/>
    </row>
    <row r="2872" spans="1:6" ht="16" thickBot="1" x14ac:dyDescent="0.25">
      <c r="A2872" s="83"/>
      <c r="B2872" s="129"/>
      <c r="C2872" s="129"/>
      <c r="D2872" s="83"/>
      <c r="E2872" s="103"/>
      <c r="F2872" s="129"/>
    </row>
    <row r="2873" spans="1:6" ht="16" thickBot="1" x14ac:dyDescent="0.25">
      <c r="A2873" s="83"/>
      <c r="B2873" s="129"/>
      <c r="C2873" s="129"/>
      <c r="D2873" s="83"/>
      <c r="E2873" s="103"/>
      <c r="F2873" s="129"/>
    </row>
    <row r="2874" spans="1:6" ht="16" thickBot="1" x14ac:dyDescent="0.25">
      <c r="A2874" s="83"/>
      <c r="B2874" s="129"/>
      <c r="C2874" s="129"/>
      <c r="D2874" s="83"/>
      <c r="E2874" s="103"/>
      <c r="F2874" s="129"/>
    </row>
    <row r="2875" spans="1:6" ht="16" thickBot="1" x14ac:dyDescent="0.25">
      <c r="A2875" s="83"/>
      <c r="B2875" s="129"/>
      <c r="C2875" s="129"/>
      <c r="D2875" s="83"/>
      <c r="E2875" s="103"/>
      <c r="F2875" s="129"/>
    </row>
    <row r="2876" spans="1:6" ht="16" thickBot="1" x14ac:dyDescent="0.25">
      <c r="A2876" s="83"/>
      <c r="B2876" s="129"/>
      <c r="C2876" s="129"/>
      <c r="D2876" s="83"/>
      <c r="E2876" s="103"/>
      <c r="F2876" s="129"/>
    </row>
    <row r="2877" spans="1:6" ht="16" thickBot="1" x14ac:dyDescent="0.25">
      <c r="A2877" s="83"/>
      <c r="B2877" s="129"/>
      <c r="C2877" s="129"/>
      <c r="D2877" s="83"/>
      <c r="E2877" s="103"/>
      <c r="F2877" s="129"/>
    </row>
    <row r="2878" spans="1:6" ht="16" thickBot="1" x14ac:dyDescent="0.25">
      <c r="A2878" s="83"/>
      <c r="B2878" s="129"/>
      <c r="C2878" s="129"/>
      <c r="D2878" s="83"/>
      <c r="E2878" s="103"/>
      <c r="F2878" s="129"/>
    </row>
    <row r="2879" spans="1:6" ht="16" thickBot="1" x14ac:dyDescent="0.25">
      <c r="A2879" s="83"/>
      <c r="B2879" s="129"/>
      <c r="C2879" s="129"/>
      <c r="D2879" s="83"/>
      <c r="E2879" s="103"/>
      <c r="F2879" s="129"/>
    </row>
    <row r="2880" spans="1:6" ht="16" thickBot="1" x14ac:dyDescent="0.25">
      <c r="A2880" s="83"/>
      <c r="B2880" s="129"/>
      <c r="C2880" s="129"/>
      <c r="D2880" s="83"/>
      <c r="E2880" s="103"/>
      <c r="F2880" s="129"/>
    </row>
    <row r="2881" spans="1:6" ht="16" thickBot="1" x14ac:dyDescent="0.25">
      <c r="A2881" s="83"/>
      <c r="B2881" s="129"/>
      <c r="C2881" s="129"/>
      <c r="D2881" s="83"/>
      <c r="E2881" s="103"/>
      <c r="F2881" s="129"/>
    </row>
    <row r="2882" spans="1:6" ht="16" thickBot="1" x14ac:dyDescent="0.25">
      <c r="A2882" s="83"/>
      <c r="B2882" s="129"/>
      <c r="C2882" s="129"/>
      <c r="D2882" s="83"/>
      <c r="E2882" s="103"/>
      <c r="F2882" s="129"/>
    </row>
    <row r="2883" spans="1:6" ht="16" thickBot="1" x14ac:dyDescent="0.25">
      <c r="A2883" s="83"/>
      <c r="B2883" s="129"/>
      <c r="C2883" s="129"/>
      <c r="D2883" s="83"/>
      <c r="E2883" s="103"/>
      <c r="F2883" s="129"/>
    </row>
    <row r="2884" spans="1:6" ht="16" thickBot="1" x14ac:dyDescent="0.25">
      <c r="A2884" s="83"/>
      <c r="B2884" s="129"/>
      <c r="C2884" s="129"/>
      <c r="D2884" s="83"/>
      <c r="E2884" s="103"/>
      <c r="F2884" s="129"/>
    </row>
    <row r="2885" spans="1:6" ht="16" thickBot="1" x14ac:dyDescent="0.25">
      <c r="A2885" s="83"/>
      <c r="B2885" s="129"/>
      <c r="C2885" s="129"/>
      <c r="D2885" s="83"/>
      <c r="E2885" s="103"/>
      <c r="F2885" s="129"/>
    </row>
    <row r="2886" spans="1:6" ht="16" thickBot="1" x14ac:dyDescent="0.25">
      <c r="A2886" s="83"/>
      <c r="B2886" s="129"/>
      <c r="C2886" s="129"/>
      <c r="D2886" s="83"/>
      <c r="E2886" s="103"/>
      <c r="F2886" s="129"/>
    </row>
    <row r="2887" spans="1:6" ht="16" thickBot="1" x14ac:dyDescent="0.25">
      <c r="A2887" s="83"/>
      <c r="B2887" s="129"/>
      <c r="C2887" s="129"/>
      <c r="D2887" s="83"/>
      <c r="E2887" s="103"/>
      <c r="F2887" s="129"/>
    </row>
    <row r="2888" spans="1:6" ht="16" thickBot="1" x14ac:dyDescent="0.25">
      <c r="A2888" s="83"/>
      <c r="B2888" s="129"/>
      <c r="C2888" s="129"/>
      <c r="D2888" s="83"/>
      <c r="E2888" s="103"/>
      <c r="F2888" s="129"/>
    </row>
    <row r="2889" spans="1:6" ht="16" thickBot="1" x14ac:dyDescent="0.25">
      <c r="A2889" s="83"/>
      <c r="B2889" s="129"/>
      <c r="C2889" s="129"/>
      <c r="D2889" s="83"/>
      <c r="E2889" s="103"/>
      <c r="F2889" s="129"/>
    </row>
    <row r="2890" spans="1:6" ht="16" thickBot="1" x14ac:dyDescent="0.25">
      <c r="A2890" s="83"/>
      <c r="B2890" s="129"/>
      <c r="C2890" s="129"/>
      <c r="D2890" s="83"/>
      <c r="E2890" s="103"/>
      <c r="F2890" s="129"/>
    </row>
    <row r="2891" spans="1:6" ht="16" thickBot="1" x14ac:dyDescent="0.25">
      <c r="A2891" s="83"/>
      <c r="B2891" s="129"/>
      <c r="C2891" s="129"/>
      <c r="D2891" s="83"/>
      <c r="E2891" s="103"/>
      <c r="F2891" s="129"/>
    </row>
    <row r="2892" spans="1:6" ht="16" thickBot="1" x14ac:dyDescent="0.25">
      <c r="A2892" s="83"/>
      <c r="B2892" s="129"/>
      <c r="C2892" s="129"/>
      <c r="D2892" s="83"/>
      <c r="E2892" s="103"/>
      <c r="F2892" s="129"/>
    </row>
    <row r="2893" spans="1:6" ht="16" thickBot="1" x14ac:dyDescent="0.25">
      <c r="A2893" s="83"/>
      <c r="B2893" s="129"/>
      <c r="C2893" s="129"/>
      <c r="D2893" s="83"/>
      <c r="E2893" s="103"/>
      <c r="F2893" s="129"/>
    </row>
    <row r="2894" spans="1:6" ht="16" thickBot="1" x14ac:dyDescent="0.25">
      <c r="A2894" s="83"/>
      <c r="B2894" s="129"/>
      <c r="C2894" s="129"/>
      <c r="D2894" s="83"/>
      <c r="E2894" s="103"/>
      <c r="F2894" s="129"/>
    </row>
    <row r="2895" spans="1:6" ht="16" thickBot="1" x14ac:dyDescent="0.25">
      <c r="A2895" s="83"/>
      <c r="B2895" s="129"/>
      <c r="C2895" s="129"/>
      <c r="D2895" s="83"/>
      <c r="E2895" s="103"/>
      <c r="F2895" s="129"/>
    </row>
    <row r="2896" spans="1:6" ht="16" thickBot="1" x14ac:dyDescent="0.25">
      <c r="A2896" s="83"/>
      <c r="B2896" s="129"/>
      <c r="C2896" s="129"/>
      <c r="D2896" s="83"/>
      <c r="E2896" s="103"/>
      <c r="F2896" s="129"/>
    </row>
    <row r="2897" spans="1:6" ht="16" thickBot="1" x14ac:dyDescent="0.25">
      <c r="A2897" s="83"/>
      <c r="B2897" s="129"/>
      <c r="C2897" s="129"/>
      <c r="D2897" s="83"/>
      <c r="E2897" s="103"/>
      <c r="F2897" s="129"/>
    </row>
    <row r="2898" spans="1:6" ht="16" thickBot="1" x14ac:dyDescent="0.25">
      <c r="A2898" s="83"/>
      <c r="B2898" s="129"/>
      <c r="C2898" s="129"/>
      <c r="D2898" s="83"/>
      <c r="E2898" s="103"/>
      <c r="F2898" s="129"/>
    </row>
    <row r="2899" spans="1:6" ht="16" thickBot="1" x14ac:dyDescent="0.25">
      <c r="A2899" s="83"/>
      <c r="B2899" s="129"/>
      <c r="C2899" s="129"/>
      <c r="D2899" s="83"/>
      <c r="E2899" s="103"/>
      <c r="F2899" s="129"/>
    </row>
    <row r="2900" spans="1:6" ht="16" thickBot="1" x14ac:dyDescent="0.25">
      <c r="A2900" s="83"/>
      <c r="B2900" s="129"/>
      <c r="C2900" s="129"/>
      <c r="D2900" s="83"/>
      <c r="E2900" s="103"/>
      <c r="F2900" s="129"/>
    </row>
    <row r="2901" spans="1:6" ht="16" thickBot="1" x14ac:dyDescent="0.25">
      <c r="A2901" s="83"/>
      <c r="B2901" s="129"/>
      <c r="C2901" s="129"/>
      <c r="D2901" s="83"/>
      <c r="E2901" s="103"/>
      <c r="F2901" s="129"/>
    </row>
    <row r="2902" spans="1:6" ht="16" thickBot="1" x14ac:dyDescent="0.25">
      <c r="A2902" s="83"/>
      <c r="B2902" s="129"/>
      <c r="C2902" s="129"/>
      <c r="D2902" s="83"/>
      <c r="E2902" s="103"/>
      <c r="F2902" s="129"/>
    </row>
    <row r="2903" spans="1:6" ht="16" thickBot="1" x14ac:dyDescent="0.25">
      <c r="A2903" s="83"/>
      <c r="B2903" s="129"/>
      <c r="C2903" s="129"/>
      <c r="D2903" s="83"/>
      <c r="E2903" s="103"/>
      <c r="F2903" s="129"/>
    </row>
    <row r="2904" spans="1:6" ht="16" thickBot="1" x14ac:dyDescent="0.25">
      <c r="A2904" s="83"/>
      <c r="B2904" s="129"/>
      <c r="C2904" s="129"/>
      <c r="D2904" s="83"/>
      <c r="E2904" s="103"/>
      <c r="F2904" s="129"/>
    </row>
    <row r="2905" spans="1:6" ht="16" thickBot="1" x14ac:dyDescent="0.25">
      <c r="A2905" s="83"/>
      <c r="B2905" s="129"/>
      <c r="C2905" s="129"/>
      <c r="D2905" s="83"/>
      <c r="E2905" s="103"/>
      <c r="F2905" s="129"/>
    </row>
    <row r="2906" spans="1:6" ht="16" thickBot="1" x14ac:dyDescent="0.25">
      <c r="A2906" s="83"/>
      <c r="B2906" s="129"/>
      <c r="C2906" s="129"/>
      <c r="D2906" s="83"/>
      <c r="E2906" s="103"/>
      <c r="F2906" s="129"/>
    </row>
    <row r="2907" spans="1:6" ht="16" thickBot="1" x14ac:dyDescent="0.25">
      <c r="A2907" s="83"/>
      <c r="B2907" s="129"/>
      <c r="C2907" s="129"/>
      <c r="D2907" s="83"/>
      <c r="E2907" s="103"/>
      <c r="F2907" s="129"/>
    </row>
    <row r="2908" spans="1:6" ht="16" thickBot="1" x14ac:dyDescent="0.25">
      <c r="A2908" s="83"/>
      <c r="B2908" s="129"/>
      <c r="C2908" s="129"/>
      <c r="D2908" s="83"/>
      <c r="E2908" s="103"/>
      <c r="F2908" s="129"/>
    </row>
    <row r="2909" spans="1:6" ht="16" thickBot="1" x14ac:dyDescent="0.25">
      <c r="A2909" s="83"/>
      <c r="B2909" s="129"/>
      <c r="C2909" s="129"/>
      <c r="D2909" s="83"/>
      <c r="E2909" s="103"/>
      <c r="F2909" s="129"/>
    </row>
    <row r="2910" spans="1:6" ht="16" thickBot="1" x14ac:dyDescent="0.25">
      <c r="A2910" s="83"/>
      <c r="B2910" s="129"/>
      <c r="C2910" s="129"/>
      <c r="D2910" s="83"/>
      <c r="E2910" s="103"/>
      <c r="F2910" s="129"/>
    </row>
    <row r="2911" spans="1:6" ht="16" thickBot="1" x14ac:dyDescent="0.25">
      <c r="A2911" s="83"/>
      <c r="B2911" s="129"/>
      <c r="C2911" s="129"/>
      <c r="D2911" s="83"/>
      <c r="E2911" s="103"/>
      <c r="F2911" s="129"/>
    </row>
    <row r="2912" spans="1:6" ht="16" thickBot="1" x14ac:dyDescent="0.25">
      <c r="A2912" s="83"/>
      <c r="B2912" s="129"/>
      <c r="C2912" s="129"/>
      <c r="D2912" s="83"/>
      <c r="E2912" s="103"/>
      <c r="F2912" s="129"/>
    </row>
    <row r="2913" spans="1:6" ht="16" thickBot="1" x14ac:dyDescent="0.25">
      <c r="A2913" s="83"/>
      <c r="B2913" s="129"/>
      <c r="C2913" s="129"/>
      <c r="D2913" s="83"/>
      <c r="E2913" s="103"/>
      <c r="F2913" s="129"/>
    </row>
    <row r="2914" spans="1:6" ht="16" thickBot="1" x14ac:dyDescent="0.25">
      <c r="A2914" s="83"/>
      <c r="B2914" s="129"/>
      <c r="C2914" s="129"/>
      <c r="D2914" s="83"/>
      <c r="E2914" s="103"/>
      <c r="F2914" s="129"/>
    </row>
    <row r="2915" spans="1:6" ht="16" thickBot="1" x14ac:dyDescent="0.25">
      <c r="A2915" s="83"/>
      <c r="B2915" s="129"/>
      <c r="C2915" s="129"/>
      <c r="D2915" s="83"/>
      <c r="E2915" s="103"/>
      <c r="F2915" s="129"/>
    </row>
    <row r="2916" spans="1:6" ht="16" thickBot="1" x14ac:dyDescent="0.25">
      <c r="A2916" s="83"/>
      <c r="B2916" s="129"/>
      <c r="C2916" s="129"/>
      <c r="D2916" s="83"/>
      <c r="E2916" s="103"/>
      <c r="F2916" s="129"/>
    </row>
    <row r="2917" spans="1:6" ht="16" thickBot="1" x14ac:dyDescent="0.25">
      <c r="A2917" s="83"/>
      <c r="B2917" s="129"/>
      <c r="C2917" s="129"/>
      <c r="D2917" s="83"/>
      <c r="E2917" s="103"/>
      <c r="F2917" s="129"/>
    </row>
    <row r="2918" spans="1:6" ht="16" thickBot="1" x14ac:dyDescent="0.25">
      <c r="A2918" s="83"/>
      <c r="B2918" s="129"/>
      <c r="C2918" s="129"/>
      <c r="D2918" s="83"/>
      <c r="E2918" s="103"/>
      <c r="F2918" s="129"/>
    </row>
    <row r="2919" spans="1:6" ht="16" thickBot="1" x14ac:dyDescent="0.25">
      <c r="A2919" s="83"/>
      <c r="B2919" s="129"/>
      <c r="C2919" s="129"/>
      <c r="D2919" s="83"/>
      <c r="E2919" s="103"/>
      <c r="F2919" s="129"/>
    </row>
    <row r="2920" spans="1:6" ht="16" thickBot="1" x14ac:dyDescent="0.25">
      <c r="A2920" s="83"/>
      <c r="B2920" s="129"/>
      <c r="C2920" s="129"/>
      <c r="D2920" s="83"/>
      <c r="E2920" s="103"/>
      <c r="F2920" s="129"/>
    </row>
    <row r="2921" spans="1:6" ht="16" thickBot="1" x14ac:dyDescent="0.25">
      <c r="A2921" s="83"/>
      <c r="B2921" s="129"/>
      <c r="C2921" s="129"/>
      <c r="D2921" s="83"/>
      <c r="E2921" s="103"/>
      <c r="F2921" s="129"/>
    </row>
    <row r="2922" spans="1:6" ht="16" thickBot="1" x14ac:dyDescent="0.25">
      <c r="A2922" s="83"/>
      <c r="B2922" s="129"/>
      <c r="C2922" s="129"/>
      <c r="D2922" s="83"/>
      <c r="E2922" s="103"/>
      <c r="F2922" s="129"/>
    </row>
    <row r="2923" spans="1:6" ht="16" thickBot="1" x14ac:dyDescent="0.25">
      <c r="A2923" s="83"/>
      <c r="B2923" s="129"/>
      <c r="C2923" s="129"/>
      <c r="D2923" s="83"/>
      <c r="E2923" s="103"/>
      <c r="F2923" s="129"/>
    </row>
    <row r="2924" spans="1:6" ht="16" thickBot="1" x14ac:dyDescent="0.25">
      <c r="A2924" s="83"/>
      <c r="B2924" s="129"/>
      <c r="C2924" s="129"/>
      <c r="D2924" s="83"/>
      <c r="E2924" s="103"/>
      <c r="F2924" s="129"/>
    </row>
    <row r="2925" spans="1:6" ht="16" thickBot="1" x14ac:dyDescent="0.25">
      <c r="A2925" s="83"/>
      <c r="B2925" s="129"/>
      <c r="C2925" s="129"/>
      <c r="D2925" s="83"/>
      <c r="E2925" s="103"/>
      <c r="F2925" s="129"/>
    </row>
    <row r="2926" spans="1:6" ht="16" thickBot="1" x14ac:dyDescent="0.25">
      <c r="A2926" s="83"/>
      <c r="B2926" s="129"/>
      <c r="C2926" s="129"/>
      <c r="D2926" s="83"/>
      <c r="E2926" s="103"/>
      <c r="F2926" s="129"/>
    </row>
    <row r="2927" spans="1:6" ht="16" thickBot="1" x14ac:dyDescent="0.25">
      <c r="A2927" s="83"/>
      <c r="B2927" s="129"/>
      <c r="C2927" s="129"/>
      <c r="D2927" s="83"/>
      <c r="E2927" s="103"/>
      <c r="F2927" s="129"/>
    </row>
    <row r="2928" spans="1:6" ht="16" thickBot="1" x14ac:dyDescent="0.25">
      <c r="A2928" s="83"/>
      <c r="B2928" s="129"/>
      <c r="C2928" s="129"/>
      <c r="D2928" s="83"/>
      <c r="E2928" s="103"/>
      <c r="F2928" s="129"/>
    </row>
    <row r="2929" spans="1:6" ht="16" thickBot="1" x14ac:dyDescent="0.25">
      <c r="A2929" s="83"/>
      <c r="B2929" s="129"/>
      <c r="C2929" s="129"/>
      <c r="D2929" s="83"/>
      <c r="E2929" s="103"/>
      <c r="F2929" s="129"/>
    </row>
    <row r="2930" spans="1:6" ht="16" thickBot="1" x14ac:dyDescent="0.25">
      <c r="A2930" s="83"/>
      <c r="B2930" s="129"/>
      <c r="C2930" s="129"/>
      <c r="D2930" s="83"/>
      <c r="E2930" s="103"/>
      <c r="F2930" s="129"/>
    </row>
    <row r="2931" spans="1:6" ht="16" thickBot="1" x14ac:dyDescent="0.25">
      <c r="A2931" s="83"/>
      <c r="B2931" s="129"/>
      <c r="C2931" s="129"/>
      <c r="D2931" s="83"/>
      <c r="E2931" s="103"/>
      <c r="F2931" s="129"/>
    </row>
    <row r="2932" spans="1:6" ht="16" thickBot="1" x14ac:dyDescent="0.25">
      <c r="A2932" s="83"/>
      <c r="B2932" s="129"/>
      <c r="C2932" s="129"/>
      <c r="D2932" s="83"/>
      <c r="E2932" s="103"/>
      <c r="F2932" s="129"/>
    </row>
    <row r="2933" spans="1:6" ht="16" thickBot="1" x14ac:dyDescent="0.25">
      <c r="A2933" s="83"/>
      <c r="B2933" s="129"/>
      <c r="C2933" s="129"/>
      <c r="D2933" s="83"/>
      <c r="E2933" s="103"/>
      <c r="F2933" s="129"/>
    </row>
    <row r="2934" spans="1:6" ht="16" thickBot="1" x14ac:dyDescent="0.25">
      <c r="A2934" s="83"/>
      <c r="B2934" s="129"/>
      <c r="C2934" s="129"/>
      <c r="D2934" s="83"/>
      <c r="E2934" s="103"/>
      <c r="F2934" s="129"/>
    </row>
    <row r="2935" spans="1:6" ht="16" thickBot="1" x14ac:dyDescent="0.25">
      <c r="A2935" s="83"/>
      <c r="B2935" s="129"/>
      <c r="C2935" s="129"/>
      <c r="D2935" s="83"/>
      <c r="E2935" s="103"/>
      <c r="F2935" s="129"/>
    </row>
    <row r="2936" spans="1:6" ht="16" thickBot="1" x14ac:dyDescent="0.25">
      <c r="A2936" s="83"/>
      <c r="B2936" s="129"/>
      <c r="C2936" s="129"/>
      <c r="D2936" s="83"/>
      <c r="E2936" s="103"/>
      <c r="F2936" s="129"/>
    </row>
    <row r="2937" spans="1:6" ht="16" thickBot="1" x14ac:dyDescent="0.25">
      <c r="A2937" s="83"/>
      <c r="B2937" s="129"/>
      <c r="C2937" s="129"/>
      <c r="D2937" s="83"/>
      <c r="E2937" s="103"/>
      <c r="F2937" s="129"/>
    </row>
    <row r="2938" spans="1:6" ht="16" thickBot="1" x14ac:dyDescent="0.25">
      <c r="A2938" s="83"/>
      <c r="B2938" s="129"/>
      <c r="C2938" s="129"/>
      <c r="D2938" s="83"/>
      <c r="E2938" s="103"/>
      <c r="F2938" s="129"/>
    </row>
    <row r="2939" spans="1:6" ht="16" thickBot="1" x14ac:dyDescent="0.25">
      <c r="A2939" s="83"/>
      <c r="B2939" s="129"/>
      <c r="C2939" s="129"/>
      <c r="D2939" s="83"/>
      <c r="E2939" s="103"/>
      <c r="F2939" s="129"/>
    </row>
    <row r="2940" spans="1:6" ht="16" thickBot="1" x14ac:dyDescent="0.25">
      <c r="A2940" s="83"/>
      <c r="B2940" s="129"/>
      <c r="C2940" s="129"/>
      <c r="D2940" s="83"/>
      <c r="E2940" s="103"/>
      <c r="F2940" s="129"/>
    </row>
    <row r="2941" spans="1:6" ht="16" thickBot="1" x14ac:dyDescent="0.25">
      <c r="A2941" s="83"/>
      <c r="B2941" s="129"/>
      <c r="C2941" s="129"/>
      <c r="D2941" s="83"/>
      <c r="E2941" s="103"/>
      <c r="F2941" s="129"/>
    </row>
    <row r="2942" spans="1:6" ht="16" thickBot="1" x14ac:dyDescent="0.25">
      <c r="A2942" s="83"/>
      <c r="B2942" s="129"/>
      <c r="C2942" s="129"/>
      <c r="D2942" s="83"/>
      <c r="E2942" s="103"/>
      <c r="F2942" s="129"/>
    </row>
    <row r="2943" spans="1:6" ht="16" thickBot="1" x14ac:dyDescent="0.25">
      <c r="A2943" s="83"/>
      <c r="B2943" s="129"/>
      <c r="C2943" s="129"/>
      <c r="D2943" s="83"/>
      <c r="E2943" s="103"/>
      <c r="F2943" s="129"/>
    </row>
    <row r="2944" spans="1:6" ht="16" thickBot="1" x14ac:dyDescent="0.25">
      <c r="A2944" s="83"/>
      <c r="B2944" s="129"/>
      <c r="C2944" s="129"/>
      <c r="D2944" s="83"/>
      <c r="E2944" s="103"/>
      <c r="F2944" s="129"/>
    </row>
    <row r="2945" spans="1:6" ht="16" thickBot="1" x14ac:dyDescent="0.25">
      <c r="A2945" s="83"/>
      <c r="B2945" s="129"/>
      <c r="C2945" s="129"/>
      <c r="D2945" s="83"/>
      <c r="E2945" s="103"/>
      <c r="F2945" s="129"/>
    </row>
    <row r="2946" spans="1:6" ht="16" thickBot="1" x14ac:dyDescent="0.25">
      <c r="A2946" s="83"/>
      <c r="B2946" s="129"/>
      <c r="C2946" s="129"/>
      <c r="D2946" s="83"/>
      <c r="E2946" s="103"/>
      <c r="F2946" s="129"/>
    </row>
    <row r="2947" spans="1:6" ht="16" thickBot="1" x14ac:dyDescent="0.25">
      <c r="A2947" s="83"/>
      <c r="B2947" s="129"/>
      <c r="C2947" s="129"/>
      <c r="D2947" s="83"/>
      <c r="E2947" s="103"/>
      <c r="F2947" s="129"/>
    </row>
    <row r="2948" spans="1:6" ht="16" thickBot="1" x14ac:dyDescent="0.25">
      <c r="A2948" s="83"/>
      <c r="B2948" s="129"/>
      <c r="C2948" s="129"/>
      <c r="D2948" s="83"/>
      <c r="E2948" s="103"/>
      <c r="F2948" s="129"/>
    </row>
    <row r="2949" spans="1:6" ht="16" thickBot="1" x14ac:dyDescent="0.25">
      <c r="A2949" s="83"/>
      <c r="B2949" s="129"/>
      <c r="C2949" s="129"/>
      <c r="D2949" s="83"/>
      <c r="E2949" s="103"/>
      <c r="F2949" s="129"/>
    </row>
    <row r="2950" spans="1:6" ht="16" thickBot="1" x14ac:dyDescent="0.25">
      <c r="A2950" s="83"/>
      <c r="B2950" s="129"/>
      <c r="C2950" s="129"/>
      <c r="D2950" s="83"/>
      <c r="E2950" s="103"/>
      <c r="F2950" s="129"/>
    </row>
    <row r="2951" spans="1:6" ht="16" thickBot="1" x14ac:dyDescent="0.25">
      <c r="A2951" s="83"/>
      <c r="B2951" s="129"/>
      <c r="C2951" s="129"/>
      <c r="D2951" s="83"/>
      <c r="E2951" s="103"/>
      <c r="F2951" s="129"/>
    </row>
    <row r="2952" spans="1:6" ht="16" thickBot="1" x14ac:dyDescent="0.25">
      <c r="A2952" s="83"/>
      <c r="B2952" s="129"/>
      <c r="C2952" s="129"/>
      <c r="D2952" s="83"/>
      <c r="E2952" s="103"/>
      <c r="F2952" s="129"/>
    </row>
    <row r="2953" spans="1:6" ht="16" thickBot="1" x14ac:dyDescent="0.25">
      <c r="A2953" s="83"/>
      <c r="B2953" s="129"/>
      <c r="C2953" s="129"/>
      <c r="D2953" s="83"/>
      <c r="E2953" s="103"/>
      <c r="F2953" s="129"/>
    </row>
    <row r="2954" spans="1:6" ht="16" thickBot="1" x14ac:dyDescent="0.25">
      <c r="A2954" s="83"/>
      <c r="B2954" s="129"/>
      <c r="C2954" s="129"/>
      <c r="D2954" s="83"/>
      <c r="E2954" s="103"/>
      <c r="F2954" s="129"/>
    </row>
    <row r="2955" spans="1:6" ht="16" thickBot="1" x14ac:dyDescent="0.25">
      <c r="A2955" s="83"/>
      <c r="B2955" s="129"/>
      <c r="C2955" s="129"/>
      <c r="D2955" s="83"/>
      <c r="E2955" s="103"/>
      <c r="F2955" s="129"/>
    </row>
    <row r="2956" spans="1:6" ht="16" thickBot="1" x14ac:dyDescent="0.25">
      <c r="A2956" s="83"/>
      <c r="B2956" s="129"/>
      <c r="C2956" s="129"/>
      <c r="D2956" s="83"/>
      <c r="E2956" s="103"/>
      <c r="F2956" s="129"/>
    </row>
    <row r="2957" spans="1:6" ht="16" thickBot="1" x14ac:dyDescent="0.25">
      <c r="A2957" s="83"/>
      <c r="B2957" s="129"/>
      <c r="C2957" s="129"/>
      <c r="D2957" s="83"/>
      <c r="E2957" s="103"/>
      <c r="F2957" s="129"/>
    </row>
    <row r="2958" spans="1:6" ht="16" thickBot="1" x14ac:dyDescent="0.25">
      <c r="A2958" s="83"/>
      <c r="B2958" s="129"/>
      <c r="C2958" s="129"/>
      <c r="D2958" s="83"/>
      <c r="E2958" s="103"/>
      <c r="F2958" s="129"/>
    </row>
    <row r="2959" spans="1:6" ht="16" thickBot="1" x14ac:dyDescent="0.25">
      <c r="A2959" s="83"/>
      <c r="B2959" s="129"/>
      <c r="C2959" s="129"/>
      <c r="D2959" s="83"/>
      <c r="E2959" s="103"/>
      <c r="F2959" s="129"/>
    </row>
    <row r="2960" spans="1:6" ht="16" thickBot="1" x14ac:dyDescent="0.25">
      <c r="A2960" s="83"/>
      <c r="B2960" s="129"/>
      <c r="C2960" s="129"/>
      <c r="D2960" s="83"/>
      <c r="E2960" s="103"/>
      <c r="F2960" s="129"/>
    </row>
    <row r="2961" spans="1:6" ht="16" thickBot="1" x14ac:dyDescent="0.25">
      <c r="A2961" s="83"/>
      <c r="B2961" s="129"/>
      <c r="C2961" s="129"/>
      <c r="D2961" s="83"/>
      <c r="E2961" s="103"/>
      <c r="F2961" s="129"/>
    </row>
    <row r="2962" spans="1:6" ht="16" thickBot="1" x14ac:dyDescent="0.25">
      <c r="A2962" s="83"/>
      <c r="B2962" s="129"/>
      <c r="C2962" s="129"/>
      <c r="D2962" s="83"/>
      <c r="E2962" s="103"/>
      <c r="F2962" s="129"/>
    </row>
    <row r="2963" spans="1:6" ht="16" thickBot="1" x14ac:dyDescent="0.25">
      <c r="A2963" s="83"/>
      <c r="B2963" s="129"/>
      <c r="C2963" s="129"/>
      <c r="D2963" s="83"/>
      <c r="E2963" s="103"/>
      <c r="F2963" s="129"/>
    </row>
    <row r="2964" spans="1:6" ht="16" thickBot="1" x14ac:dyDescent="0.25">
      <c r="A2964" s="83"/>
      <c r="B2964" s="129"/>
      <c r="C2964" s="129"/>
      <c r="D2964" s="83"/>
      <c r="E2964" s="103"/>
      <c r="F2964" s="129"/>
    </row>
    <row r="2965" spans="1:6" ht="16" thickBot="1" x14ac:dyDescent="0.25">
      <c r="A2965" s="83"/>
      <c r="B2965" s="129"/>
      <c r="C2965" s="129"/>
      <c r="D2965" s="83"/>
      <c r="E2965" s="103"/>
      <c r="F2965" s="129"/>
    </row>
    <row r="2966" spans="1:6" ht="16" thickBot="1" x14ac:dyDescent="0.25">
      <c r="A2966" s="83"/>
      <c r="B2966" s="129"/>
      <c r="C2966" s="129"/>
      <c r="D2966" s="83"/>
      <c r="E2966" s="103"/>
      <c r="F2966" s="129"/>
    </row>
    <row r="2967" spans="1:6" ht="16" thickBot="1" x14ac:dyDescent="0.25">
      <c r="A2967" s="83"/>
      <c r="B2967" s="129"/>
      <c r="C2967" s="129"/>
      <c r="D2967" s="83"/>
      <c r="E2967" s="103"/>
      <c r="F2967" s="129"/>
    </row>
    <row r="2968" spans="1:6" ht="16" thickBot="1" x14ac:dyDescent="0.25">
      <c r="A2968" s="83"/>
      <c r="B2968" s="129"/>
      <c r="C2968" s="129"/>
      <c r="D2968" s="83"/>
      <c r="E2968" s="103"/>
      <c r="F2968" s="129"/>
    </row>
    <row r="2969" spans="1:6" ht="16" thickBot="1" x14ac:dyDescent="0.25">
      <c r="A2969" s="83"/>
      <c r="B2969" s="129"/>
      <c r="C2969" s="129"/>
      <c r="D2969" s="83"/>
      <c r="E2969" s="103"/>
      <c r="F2969" s="129"/>
    </row>
    <row r="2970" spans="1:6" ht="16" thickBot="1" x14ac:dyDescent="0.25">
      <c r="A2970" s="83"/>
      <c r="B2970" s="129"/>
      <c r="C2970" s="129"/>
      <c r="D2970" s="83"/>
      <c r="E2970" s="103"/>
      <c r="F2970" s="129"/>
    </row>
    <row r="2971" spans="1:6" ht="16" thickBot="1" x14ac:dyDescent="0.25">
      <c r="A2971" s="83"/>
      <c r="B2971" s="129"/>
      <c r="C2971" s="129"/>
      <c r="D2971" s="83"/>
      <c r="E2971" s="103"/>
      <c r="F2971" s="129"/>
    </row>
    <row r="2972" spans="1:6" ht="16" thickBot="1" x14ac:dyDescent="0.25">
      <c r="A2972" s="83"/>
      <c r="B2972" s="129"/>
      <c r="C2972" s="129"/>
      <c r="D2972" s="83"/>
      <c r="E2972" s="103"/>
      <c r="F2972" s="129"/>
    </row>
    <row r="2973" spans="1:6" ht="16" thickBot="1" x14ac:dyDescent="0.25">
      <c r="A2973" s="83"/>
      <c r="B2973" s="129"/>
      <c r="C2973" s="129"/>
      <c r="D2973" s="83"/>
      <c r="E2973" s="103"/>
      <c r="F2973" s="129"/>
    </row>
    <row r="2974" spans="1:6" ht="16" thickBot="1" x14ac:dyDescent="0.25">
      <c r="A2974" s="83"/>
      <c r="B2974" s="129"/>
      <c r="C2974" s="129"/>
      <c r="D2974" s="83"/>
      <c r="E2974" s="103"/>
      <c r="F2974" s="129"/>
    </row>
    <row r="2975" spans="1:6" ht="16" thickBot="1" x14ac:dyDescent="0.25">
      <c r="A2975" s="83"/>
      <c r="B2975" s="129"/>
      <c r="C2975" s="129"/>
      <c r="D2975" s="83"/>
      <c r="E2975" s="103"/>
      <c r="F2975" s="129"/>
    </row>
    <row r="2976" spans="1:6" ht="16" thickBot="1" x14ac:dyDescent="0.25">
      <c r="A2976" s="83"/>
      <c r="B2976" s="129"/>
      <c r="C2976" s="129"/>
      <c r="D2976" s="83"/>
      <c r="E2976" s="103"/>
      <c r="F2976" s="129"/>
    </row>
    <row r="2977" spans="1:6" ht="16" thickBot="1" x14ac:dyDescent="0.25">
      <c r="A2977" s="83"/>
      <c r="B2977" s="129"/>
      <c r="C2977" s="129"/>
      <c r="D2977" s="83"/>
      <c r="E2977" s="103"/>
      <c r="F2977" s="129"/>
    </row>
    <row r="2978" spans="1:6" ht="16" thickBot="1" x14ac:dyDescent="0.25">
      <c r="A2978" s="83"/>
      <c r="B2978" s="129"/>
      <c r="C2978" s="129"/>
      <c r="D2978" s="83"/>
      <c r="E2978" s="103"/>
      <c r="F2978" s="129"/>
    </row>
    <row r="2979" spans="1:6" ht="16" thickBot="1" x14ac:dyDescent="0.25">
      <c r="A2979" s="83"/>
      <c r="B2979" s="129"/>
      <c r="C2979" s="129"/>
      <c r="D2979" s="83"/>
      <c r="E2979" s="103"/>
      <c r="F2979" s="129"/>
    </row>
    <row r="2980" spans="1:6" ht="16" thickBot="1" x14ac:dyDescent="0.25">
      <c r="A2980" s="83"/>
      <c r="B2980" s="129"/>
      <c r="C2980" s="129"/>
      <c r="D2980" s="83"/>
      <c r="E2980" s="103"/>
      <c r="F2980" s="129"/>
    </row>
    <row r="2981" spans="1:6" ht="16" thickBot="1" x14ac:dyDescent="0.25">
      <c r="A2981" s="83"/>
      <c r="B2981" s="129"/>
      <c r="C2981" s="129"/>
      <c r="D2981" s="83"/>
      <c r="E2981" s="103"/>
      <c r="F2981" s="129"/>
    </row>
    <row r="2982" spans="1:6" ht="16" thickBot="1" x14ac:dyDescent="0.25">
      <c r="A2982" s="83"/>
      <c r="B2982" s="129"/>
      <c r="C2982" s="129"/>
      <c r="D2982" s="83"/>
      <c r="E2982" s="103"/>
      <c r="F2982" s="129"/>
    </row>
    <row r="2983" spans="1:6" ht="16" thickBot="1" x14ac:dyDescent="0.25">
      <c r="A2983" s="83"/>
      <c r="B2983" s="129"/>
      <c r="C2983" s="129"/>
      <c r="D2983" s="83"/>
      <c r="E2983" s="103"/>
      <c r="F2983" s="129"/>
    </row>
    <row r="2984" spans="1:6" ht="16" thickBot="1" x14ac:dyDescent="0.25">
      <c r="A2984" s="83"/>
      <c r="B2984" s="129"/>
      <c r="C2984" s="129"/>
      <c r="D2984" s="83"/>
      <c r="E2984" s="103"/>
      <c r="F2984" s="129"/>
    </row>
    <row r="2985" spans="1:6" ht="16" thickBot="1" x14ac:dyDescent="0.25">
      <c r="A2985" s="83"/>
      <c r="B2985" s="129"/>
      <c r="C2985" s="129"/>
      <c r="D2985" s="83"/>
      <c r="E2985" s="103"/>
      <c r="F2985" s="129"/>
    </row>
    <row r="2986" spans="1:6" ht="16" thickBot="1" x14ac:dyDescent="0.25">
      <c r="A2986" s="83"/>
      <c r="B2986" s="129"/>
      <c r="C2986" s="129"/>
      <c r="D2986" s="83"/>
      <c r="E2986" s="103"/>
      <c r="F2986" s="129"/>
    </row>
    <row r="2987" spans="1:6" ht="16" thickBot="1" x14ac:dyDescent="0.25">
      <c r="A2987" s="83"/>
      <c r="B2987" s="129"/>
      <c r="C2987" s="129"/>
      <c r="D2987" s="83"/>
      <c r="E2987" s="103"/>
      <c r="F2987" s="129"/>
    </row>
    <row r="2988" spans="1:6" ht="16" thickBot="1" x14ac:dyDescent="0.25">
      <c r="A2988" s="83"/>
      <c r="B2988" s="129"/>
      <c r="C2988" s="129"/>
      <c r="D2988" s="83"/>
      <c r="E2988" s="103"/>
      <c r="F2988" s="129"/>
    </row>
    <row r="2989" spans="1:6" ht="16" thickBot="1" x14ac:dyDescent="0.25">
      <c r="A2989" s="83"/>
      <c r="B2989" s="129"/>
      <c r="C2989" s="129"/>
      <c r="D2989" s="83"/>
      <c r="E2989" s="83"/>
      <c r="F2989" s="129"/>
    </row>
    <row r="2990" spans="1:6" ht="16" thickBot="1" x14ac:dyDescent="0.25">
      <c r="A2990" s="83"/>
      <c r="B2990" s="129"/>
      <c r="C2990" s="129"/>
      <c r="D2990" s="83"/>
      <c r="E2990" s="103"/>
      <c r="F2990" s="129"/>
    </row>
    <row r="2991" spans="1:6" ht="16" thickBot="1" x14ac:dyDescent="0.25">
      <c r="A2991" s="83"/>
      <c r="B2991" s="129"/>
      <c r="C2991" s="129"/>
      <c r="D2991" s="83"/>
      <c r="E2991" s="103"/>
      <c r="F2991" s="129"/>
    </row>
    <row r="2992" spans="1:6" ht="16" thickBot="1" x14ac:dyDescent="0.25">
      <c r="A2992" s="83"/>
      <c r="B2992" s="129"/>
      <c r="C2992" s="129"/>
      <c r="D2992" s="83"/>
      <c r="E2992" s="103"/>
      <c r="F2992" s="129"/>
    </row>
    <row r="2993" spans="1:6" ht="16" thickBot="1" x14ac:dyDescent="0.25">
      <c r="A2993" s="83"/>
      <c r="B2993" s="129"/>
      <c r="C2993" s="129"/>
      <c r="D2993" s="83"/>
      <c r="E2993" s="103"/>
      <c r="F2993" s="129"/>
    </row>
    <row r="2994" spans="1:6" ht="16" thickBot="1" x14ac:dyDescent="0.25">
      <c r="A2994" s="83"/>
      <c r="B2994" s="129"/>
      <c r="C2994" s="129"/>
      <c r="D2994" s="83"/>
      <c r="E2994" s="103"/>
      <c r="F2994" s="129"/>
    </row>
    <row r="2995" spans="1:6" ht="16" thickBot="1" x14ac:dyDescent="0.25">
      <c r="A2995" s="83"/>
      <c r="B2995" s="129"/>
      <c r="C2995" s="129"/>
      <c r="D2995" s="83"/>
      <c r="E2995" s="103"/>
      <c r="F2995" s="129"/>
    </row>
    <row r="2996" spans="1:6" ht="16" thickBot="1" x14ac:dyDescent="0.25">
      <c r="A2996" s="83"/>
      <c r="B2996" s="129"/>
      <c r="C2996" s="129"/>
      <c r="D2996" s="83"/>
      <c r="E2996" s="103"/>
      <c r="F2996" s="129"/>
    </row>
    <row r="2997" spans="1:6" ht="16" thickBot="1" x14ac:dyDescent="0.25">
      <c r="A2997" s="83"/>
      <c r="B2997" s="129"/>
      <c r="C2997" s="129"/>
      <c r="D2997" s="83"/>
      <c r="E2997" s="103"/>
      <c r="F2997" s="129"/>
    </row>
    <row r="2998" spans="1:6" ht="16" thickBot="1" x14ac:dyDescent="0.25">
      <c r="A2998" s="83"/>
      <c r="B2998" s="129"/>
      <c r="C2998" s="129"/>
      <c r="D2998" s="83"/>
      <c r="E2998" s="83"/>
      <c r="F2998" s="129"/>
    </row>
    <row r="2999" spans="1:6" ht="16" thickBot="1" x14ac:dyDescent="0.25">
      <c r="A2999" s="83"/>
      <c r="B2999" s="129"/>
      <c r="C2999" s="129"/>
      <c r="D2999" s="83"/>
      <c r="E2999" s="103"/>
      <c r="F2999" s="129"/>
    </row>
    <row r="3000" spans="1:6" ht="16" thickBot="1" x14ac:dyDescent="0.25">
      <c r="A3000" s="83"/>
      <c r="B3000" s="129"/>
      <c r="C3000" s="129"/>
      <c r="D3000" s="83"/>
      <c r="E3000" s="103"/>
      <c r="F3000" s="129"/>
    </row>
    <row r="3001" spans="1:6" ht="16" thickBot="1" x14ac:dyDescent="0.25">
      <c r="A3001" s="83"/>
      <c r="B3001" s="129"/>
      <c r="C3001" s="129"/>
      <c r="D3001" s="83"/>
      <c r="E3001" s="103"/>
      <c r="F3001" s="129"/>
    </row>
    <row r="3002" spans="1:6" ht="16" thickBot="1" x14ac:dyDescent="0.25">
      <c r="A3002" s="83"/>
      <c r="B3002" s="129"/>
      <c r="C3002" s="129"/>
      <c r="D3002" s="83"/>
      <c r="E3002" s="103"/>
      <c r="F3002" s="129"/>
    </row>
    <row r="3003" spans="1:6" ht="16" thickBot="1" x14ac:dyDescent="0.25">
      <c r="A3003" s="83"/>
      <c r="B3003" s="129"/>
      <c r="C3003" s="129"/>
      <c r="D3003" s="83"/>
      <c r="E3003" s="83"/>
      <c r="F3003" s="129"/>
    </row>
    <row r="3004" spans="1:6" ht="16" thickBot="1" x14ac:dyDescent="0.25">
      <c r="A3004" s="83"/>
      <c r="B3004" s="129"/>
      <c r="C3004" s="129"/>
      <c r="D3004" s="83"/>
      <c r="E3004" s="103"/>
      <c r="F3004" s="129"/>
    </row>
    <row r="3005" spans="1:6" ht="16" thickBot="1" x14ac:dyDescent="0.25">
      <c r="A3005" s="83"/>
      <c r="B3005" s="129"/>
      <c r="C3005" s="129"/>
      <c r="D3005" s="83"/>
      <c r="E3005" s="103"/>
      <c r="F3005" s="129"/>
    </row>
    <row r="3006" spans="1:6" ht="16" thickBot="1" x14ac:dyDescent="0.25">
      <c r="A3006" s="83"/>
      <c r="B3006" s="129"/>
      <c r="C3006" s="129"/>
      <c r="D3006" s="83"/>
      <c r="E3006" s="83"/>
      <c r="F3006" s="129"/>
    </row>
    <row r="3007" spans="1:6" ht="16" thickBot="1" x14ac:dyDescent="0.25">
      <c r="A3007" s="83"/>
      <c r="B3007" s="129"/>
      <c r="C3007" s="129"/>
      <c r="D3007" s="83"/>
      <c r="E3007" s="103"/>
      <c r="F3007" s="129"/>
    </row>
    <row r="3008" spans="1:6" ht="16" thickBot="1" x14ac:dyDescent="0.25">
      <c r="A3008" s="83"/>
      <c r="B3008" s="129"/>
      <c r="C3008" s="129"/>
      <c r="D3008" s="83"/>
      <c r="E3008" s="103"/>
      <c r="F3008" s="129"/>
    </row>
    <row r="3009" spans="1:6" ht="16" thickBot="1" x14ac:dyDescent="0.25">
      <c r="A3009" s="83"/>
      <c r="B3009" s="129"/>
      <c r="C3009" s="129"/>
      <c r="D3009" s="83"/>
      <c r="E3009" s="103"/>
      <c r="F3009" s="129"/>
    </row>
    <row r="3010" spans="1:6" ht="16" thickBot="1" x14ac:dyDescent="0.25">
      <c r="A3010" s="83"/>
      <c r="B3010" s="129"/>
      <c r="C3010" s="129"/>
      <c r="D3010" s="83"/>
      <c r="E3010" s="103"/>
      <c r="F3010" s="129"/>
    </row>
    <row r="3011" spans="1:6" ht="16" thickBot="1" x14ac:dyDescent="0.25">
      <c r="A3011" s="83"/>
      <c r="B3011" s="129"/>
      <c r="C3011" s="129"/>
      <c r="D3011" s="83"/>
      <c r="E3011" s="103"/>
      <c r="F3011" s="129"/>
    </row>
    <row r="3012" spans="1:6" ht="16" thickBot="1" x14ac:dyDescent="0.25">
      <c r="A3012" s="83"/>
      <c r="B3012" s="129"/>
      <c r="C3012" s="129"/>
      <c r="D3012" s="83"/>
      <c r="E3012" s="103"/>
      <c r="F3012" s="129"/>
    </row>
    <row r="3013" spans="1:6" ht="16" thickBot="1" x14ac:dyDescent="0.25">
      <c r="A3013" s="83"/>
      <c r="B3013" s="129"/>
      <c r="C3013" s="129"/>
      <c r="D3013" s="83"/>
      <c r="E3013" s="83"/>
      <c r="F3013" s="129"/>
    </row>
    <row r="3014" spans="1:6" ht="16" thickBot="1" x14ac:dyDescent="0.25">
      <c r="A3014" s="83"/>
      <c r="B3014" s="129"/>
      <c r="C3014" s="129"/>
      <c r="D3014" s="83"/>
      <c r="E3014" s="103"/>
      <c r="F3014" s="129"/>
    </row>
    <row r="3015" spans="1:6" ht="16" thickBot="1" x14ac:dyDescent="0.25">
      <c r="A3015" s="83"/>
      <c r="B3015" s="129"/>
      <c r="C3015" s="129"/>
      <c r="D3015" s="83"/>
      <c r="E3015" s="103"/>
      <c r="F3015" s="129"/>
    </row>
    <row r="3016" spans="1:6" ht="16" thickBot="1" x14ac:dyDescent="0.25">
      <c r="A3016" s="83"/>
      <c r="B3016" s="129"/>
      <c r="C3016" s="129"/>
      <c r="D3016" s="83"/>
      <c r="E3016" s="83"/>
      <c r="F3016" s="129"/>
    </row>
    <row r="3017" spans="1:6" ht="16" thickBot="1" x14ac:dyDescent="0.25">
      <c r="A3017" s="83"/>
      <c r="B3017" s="129"/>
      <c r="C3017" s="129"/>
      <c r="D3017" s="83"/>
      <c r="E3017" s="103"/>
      <c r="F3017" s="129"/>
    </row>
    <row r="3018" spans="1:6" ht="16" thickBot="1" x14ac:dyDescent="0.25">
      <c r="A3018" s="83"/>
      <c r="B3018" s="129"/>
      <c r="C3018" s="129"/>
      <c r="D3018" s="83"/>
      <c r="E3018" s="103"/>
      <c r="F3018" s="129"/>
    </row>
    <row r="3019" spans="1:6" ht="16" thickBot="1" x14ac:dyDescent="0.25">
      <c r="A3019" s="83"/>
      <c r="B3019" s="129"/>
      <c r="C3019" s="129"/>
      <c r="D3019" s="83"/>
      <c r="E3019" s="103"/>
      <c r="F3019" s="129"/>
    </row>
    <row r="3020" spans="1:6" ht="16" thickBot="1" x14ac:dyDescent="0.25">
      <c r="A3020" s="83"/>
      <c r="B3020" s="129"/>
      <c r="C3020" s="129"/>
      <c r="D3020" s="83"/>
      <c r="E3020" s="103"/>
      <c r="F3020" s="129"/>
    </row>
    <row r="3021" spans="1:6" ht="16" thickBot="1" x14ac:dyDescent="0.25">
      <c r="A3021" s="83"/>
      <c r="B3021" s="129"/>
      <c r="C3021" s="129"/>
      <c r="D3021" s="83"/>
      <c r="E3021" s="103"/>
      <c r="F3021" s="129"/>
    </row>
    <row r="3022" spans="1:6" ht="16" thickBot="1" x14ac:dyDescent="0.25">
      <c r="A3022" s="83"/>
      <c r="B3022" s="129"/>
      <c r="C3022" s="129"/>
      <c r="D3022" s="83"/>
      <c r="E3022" s="103"/>
      <c r="F3022" s="129"/>
    </row>
    <row r="3023" spans="1:6" ht="16" thickBot="1" x14ac:dyDescent="0.25">
      <c r="A3023" s="83"/>
      <c r="B3023" s="129"/>
      <c r="C3023" s="129"/>
      <c r="D3023" s="83"/>
      <c r="E3023" s="103"/>
      <c r="F3023" s="129"/>
    </row>
    <row r="3024" spans="1:6" ht="16" thickBot="1" x14ac:dyDescent="0.25">
      <c r="A3024" s="83"/>
      <c r="B3024" s="129"/>
      <c r="C3024" s="129"/>
      <c r="D3024" s="83"/>
      <c r="E3024" s="103"/>
      <c r="F3024" s="129"/>
    </row>
    <row r="3025" spans="1:6" ht="16" thickBot="1" x14ac:dyDescent="0.25">
      <c r="A3025" s="83"/>
      <c r="B3025" s="129"/>
      <c r="C3025" s="129"/>
      <c r="D3025" s="83"/>
      <c r="E3025" s="103"/>
      <c r="F3025" s="129"/>
    </row>
    <row r="3026" spans="1:6" ht="16" thickBot="1" x14ac:dyDescent="0.25">
      <c r="A3026" s="83"/>
      <c r="B3026" s="129"/>
      <c r="C3026" s="129"/>
      <c r="D3026" s="83"/>
      <c r="E3026" s="103"/>
      <c r="F3026" s="129"/>
    </row>
    <row r="3027" spans="1:6" ht="16" thickBot="1" x14ac:dyDescent="0.25">
      <c r="A3027" s="83"/>
      <c r="B3027" s="129"/>
      <c r="C3027" s="129"/>
      <c r="D3027" s="83"/>
      <c r="E3027" s="103"/>
      <c r="F3027" s="129"/>
    </row>
    <row r="3028" spans="1:6" ht="16" thickBot="1" x14ac:dyDescent="0.25">
      <c r="A3028" s="83"/>
      <c r="B3028" s="129"/>
      <c r="C3028" s="129"/>
      <c r="D3028" s="83"/>
      <c r="E3028" s="103"/>
      <c r="F3028" s="129"/>
    </row>
    <row r="3029" spans="1:6" ht="16" thickBot="1" x14ac:dyDescent="0.25">
      <c r="A3029" s="83"/>
      <c r="B3029" s="129"/>
      <c r="C3029" s="129"/>
      <c r="D3029" s="83"/>
      <c r="E3029" s="103"/>
      <c r="F3029" s="129"/>
    </row>
    <row r="3030" spans="1:6" ht="16" thickBot="1" x14ac:dyDescent="0.25">
      <c r="A3030" s="83"/>
      <c r="B3030" s="129"/>
      <c r="C3030" s="129"/>
      <c r="D3030" s="83"/>
      <c r="E3030" s="103"/>
      <c r="F3030" s="129"/>
    </row>
    <row r="3031" spans="1:6" ht="16" thickBot="1" x14ac:dyDescent="0.25">
      <c r="A3031" s="83"/>
      <c r="B3031" s="129"/>
      <c r="C3031" s="129"/>
      <c r="D3031" s="83"/>
      <c r="E3031" s="103"/>
      <c r="F3031" s="129"/>
    </row>
    <row r="3032" spans="1:6" ht="16" thickBot="1" x14ac:dyDescent="0.25">
      <c r="A3032" s="83"/>
      <c r="B3032" s="129"/>
      <c r="C3032" s="129"/>
      <c r="D3032" s="83"/>
      <c r="E3032" s="103"/>
      <c r="F3032" s="129"/>
    </row>
    <row r="3033" spans="1:6" ht="16" thickBot="1" x14ac:dyDescent="0.25">
      <c r="A3033" s="83"/>
      <c r="B3033" s="129"/>
      <c r="C3033" s="129"/>
      <c r="D3033" s="83"/>
      <c r="E3033" s="103"/>
      <c r="F3033" s="129"/>
    </row>
    <row r="3034" spans="1:6" ht="16" thickBot="1" x14ac:dyDescent="0.25">
      <c r="A3034" s="83"/>
      <c r="B3034" s="129"/>
      <c r="C3034" s="129"/>
      <c r="D3034" s="83"/>
      <c r="E3034" s="103"/>
      <c r="F3034" s="129"/>
    </row>
    <row r="3035" spans="1:6" ht="16" thickBot="1" x14ac:dyDescent="0.25">
      <c r="A3035" s="83"/>
      <c r="B3035" s="129"/>
      <c r="C3035" s="129"/>
      <c r="D3035" s="83"/>
      <c r="E3035" s="103"/>
      <c r="F3035" s="129"/>
    </row>
    <row r="3036" spans="1:6" ht="16" thickBot="1" x14ac:dyDescent="0.25">
      <c r="A3036" s="83"/>
      <c r="B3036" s="129"/>
      <c r="C3036" s="129"/>
      <c r="D3036" s="83"/>
      <c r="E3036" s="103"/>
      <c r="F3036" s="129"/>
    </row>
    <row r="3037" spans="1:6" ht="16" thickBot="1" x14ac:dyDescent="0.25">
      <c r="A3037" s="83"/>
      <c r="B3037" s="129"/>
      <c r="C3037" s="129"/>
      <c r="D3037" s="83"/>
      <c r="E3037" s="103"/>
      <c r="F3037" s="129"/>
    </row>
    <row r="3038" spans="1:6" ht="16" thickBot="1" x14ac:dyDescent="0.25">
      <c r="A3038" s="83"/>
      <c r="B3038" s="129"/>
      <c r="C3038" s="129"/>
      <c r="D3038" s="83"/>
      <c r="E3038" s="103"/>
      <c r="F3038" s="129"/>
    </row>
    <row r="3039" spans="1:6" ht="16" thickBot="1" x14ac:dyDescent="0.25">
      <c r="A3039" s="83"/>
      <c r="B3039" s="129"/>
      <c r="C3039" s="129"/>
      <c r="D3039" s="83"/>
      <c r="E3039" s="103"/>
      <c r="F3039" s="129"/>
    </row>
    <row r="3040" spans="1:6" ht="16" thickBot="1" x14ac:dyDescent="0.25">
      <c r="A3040" s="83"/>
      <c r="B3040" s="129"/>
      <c r="C3040" s="129"/>
      <c r="D3040" s="83"/>
      <c r="E3040" s="103"/>
      <c r="F3040" s="129"/>
    </row>
    <row r="3041" spans="1:6" ht="16" thickBot="1" x14ac:dyDescent="0.25">
      <c r="A3041" s="83"/>
      <c r="B3041" s="129"/>
      <c r="C3041" s="129"/>
      <c r="D3041" s="83"/>
      <c r="E3041" s="103"/>
      <c r="F3041" s="129"/>
    </row>
    <row r="3042" spans="1:6" ht="16" thickBot="1" x14ac:dyDescent="0.25">
      <c r="A3042" s="83"/>
      <c r="B3042" s="129"/>
      <c r="C3042" s="129"/>
      <c r="D3042" s="83"/>
      <c r="E3042" s="103"/>
      <c r="F3042" s="129"/>
    </row>
    <row r="3043" spans="1:6" ht="16" thickBot="1" x14ac:dyDescent="0.25">
      <c r="A3043" s="83"/>
      <c r="B3043" s="129"/>
      <c r="C3043" s="129"/>
      <c r="D3043" s="83"/>
      <c r="E3043" s="103"/>
      <c r="F3043" s="129"/>
    </row>
    <row r="3044" spans="1:6" ht="16" thickBot="1" x14ac:dyDescent="0.25">
      <c r="A3044" s="83"/>
      <c r="B3044" s="129"/>
      <c r="C3044" s="129"/>
      <c r="D3044" s="83"/>
      <c r="E3044" s="103"/>
      <c r="F3044" s="129"/>
    </row>
    <row r="3045" spans="1:6" ht="16" thickBot="1" x14ac:dyDescent="0.25">
      <c r="A3045" s="83"/>
      <c r="B3045" s="129"/>
      <c r="C3045" s="129"/>
      <c r="D3045" s="83"/>
      <c r="E3045" s="103"/>
      <c r="F3045" s="129"/>
    </row>
    <row r="3046" spans="1:6" ht="16" thickBot="1" x14ac:dyDescent="0.25">
      <c r="A3046" s="83"/>
      <c r="B3046" s="129"/>
      <c r="C3046" s="129"/>
      <c r="D3046" s="83"/>
      <c r="E3046" s="103"/>
      <c r="F3046" s="129"/>
    </row>
    <row r="3047" spans="1:6" ht="16" thickBot="1" x14ac:dyDescent="0.25">
      <c r="A3047" s="83"/>
      <c r="B3047" s="129"/>
      <c r="C3047" s="129"/>
      <c r="D3047" s="83"/>
      <c r="E3047" s="103"/>
      <c r="F3047" s="129"/>
    </row>
    <row r="3048" spans="1:6" ht="16" thickBot="1" x14ac:dyDescent="0.25">
      <c r="A3048" s="83"/>
      <c r="B3048" s="129"/>
      <c r="C3048" s="129"/>
      <c r="D3048" s="83"/>
      <c r="E3048" s="103"/>
      <c r="F3048" s="129"/>
    </row>
    <row r="3049" spans="1:6" ht="16" thickBot="1" x14ac:dyDescent="0.25">
      <c r="A3049" s="83"/>
      <c r="B3049" s="129"/>
      <c r="C3049" s="129"/>
      <c r="D3049" s="83"/>
      <c r="E3049" s="103"/>
      <c r="F3049" s="129"/>
    </row>
    <row r="3050" spans="1:6" ht="16" thickBot="1" x14ac:dyDescent="0.25">
      <c r="A3050" s="83"/>
      <c r="B3050" s="129"/>
      <c r="C3050" s="129"/>
      <c r="D3050" s="83"/>
      <c r="E3050" s="83"/>
      <c r="F3050" s="129"/>
    </row>
    <row r="3051" spans="1:6" ht="16" thickBot="1" x14ac:dyDescent="0.25">
      <c r="A3051" s="83"/>
      <c r="B3051" s="129"/>
      <c r="C3051" s="129"/>
      <c r="D3051" s="83"/>
      <c r="E3051" s="103"/>
      <c r="F3051" s="129"/>
    </row>
    <row r="3052" spans="1:6" ht="16" thickBot="1" x14ac:dyDescent="0.25">
      <c r="A3052" s="83"/>
      <c r="B3052" s="129"/>
      <c r="C3052" s="129"/>
      <c r="D3052" s="83"/>
      <c r="E3052" s="103"/>
      <c r="F3052" s="129"/>
    </row>
    <row r="3053" spans="1:6" ht="16" thickBot="1" x14ac:dyDescent="0.25">
      <c r="A3053" s="83"/>
      <c r="B3053" s="129"/>
      <c r="C3053" s="129"/>
      <c r="D3053" s="83"/>
      <c r="E3053" s="103"/>
      <c r="F3053" s="129"/>
    </row>
    <row r="3054" spans="1:6" ht="16" thickBot="1" x14ac:dyDescent="0.25">
      <c r="A3054" s="83"/>
      <c r="B3054" s="129"/>
      <c r="C3054" s="129"/>
      <c r="D3054" s="83"/>
      <c r="E3054" s="103"/>
      <c r="F3054" s="129"/>
    </row>
    <row r="3055" spans="1:6" ht="16" thickBot="1" x14ac:dyDescent="0.25">
      <c r="A3055" s="83"/>
      <c r="B3055" s="129"/>
      <c r="C3055" s="129"/>
      <c r="D3055" s="83"/>
      <c r="E3055" s="103"/>
      <c r="F3055" s="129"/>
    </row>
    <row r="3056" spans="1:6" ht="16" thickBot="1" x14ac:dyDescent="0.25">
      <c r="A3056" s="83"/>
      <c r="B3056" s="129"/>
      <c r="C3056" s="129"/>
      <c r="D3056" s="83"/>
      <c r="E3056" s="103"/>
      <c r="F3056" s="129"/>
    </row>
    <row r="3057" spans="1:6" ht="16" thickBot="1" x14ac:dyDescent="0.25">
      <c r="A3057" s="83"/>
      <c r="B3057" s="129"/>
      <c r="C3057" s="129"/>
      <c r="D3057" s="83"/>
      <c r="E3057" s="103"/>
      <c r="F3057" s="129"/>
    </row>
    <row r="3058" spans="1:6" ht="16" thickBot="1" x14ac:dyDescent="0.25">
      <c r="A3058" s="83"/>
      <c r="B3058" s="129"/>
      <c r="C3058" s="129"/>
      <c r="D3058" s="83"/>
      <c r="E3058" s="83"/>
      <c r="F3058" s="129"/>
    </row>
    <row r="3059" spans="1:6" ht="16" thickBot="1" x14ac:dyDescent="0.25">
      <c r="A3059" s="83"/>
      <c r="B3059" s="129"/>
      <c r="C3059" s="129"/>
      <c r="D3059" s="83"/>
      <c r="E3059" s="103"/>
      <c r="F3059" s="129"/>
    </row>
    <row r="3060" spans="1:6" ht="16" thickBot="1" x14ac:dyDescent="0.25">
      <c r="A3060" s="83"/>
      <c r="B3060" s="129"/>
      <c r="C3060" s="129"/>
      <c r="D3060" s="83"/>
      <c r="E3060" s="103"/>
      <c r="F3060" s="129"/>
    </row>
    <row r="3061" spans="1:6" ht="16" thickBot="1" x14ac:dyDescent="0.25">
      <c r="A3061" s="83"/>
      <c r="B3061" s="129"/>
      <c r="C3061" s="129"/>
      <c r="D3061" s="83"/>
      <c r="E3061" s="103"/>
      <c r="F3061" s="129"/>
    </row>
    <row r="3062" spans="1:6" ht="16" thickBot="1" x14ac:dyDescent="0.25">
      <c r="A3062" s="83"/>
      <c r="B3062" s="129"/>
      <c r="C3062" s="129"/>
      <c r="D3062" s="83"/>
      <c r="E3062" s="103"/>
      <c r="F3062" s="129"/>
    </row>
    <row r="3063" spans="1:6" ht="16" thickBot="1" x14ac:dyDescent="0.25">
      <c r="A3063" s="83"/>
      <c r="B3063" s="129"/>
      <c r="C3063" s="129"/>
      <c r="D3063" s="83"/>
      <c r="E3063" s="103"/>
      <c r="F3063" s="129"/>
    </row>
    <row r="3064" spans="1:6" ht="16" thickBot="1" x14ac:dyDescent="0.25">
      <c r="A3064" s="83"/>
      <c r="B3064" s="129"/>
      <c r="C3064" s="129"/>
      <c r="D3064" s="83"/>
      <c r="E3064" s="103"/>
      <c r="F3064" s="129"/>
    </row>
    <row r="3065" spans="1:6" ht="16" thickBot="1" x14ac:dyDescent="0.25">
      <c r="A3065" s="83"/>
      <c r="B3065" s="129"/>
      <c r="C3065" s="129"/>
      <c r="D3065" s="83"/>
      <c r="E3065" s="103"/>
      <c r="F3065" s="129"/>
    </row>
    <row r="3066" spans="1:6" ht="16" thickBot="1" x14ac:dyDescent="0.25">
      <c r="A3066" s="83"/>
      <c r="B3066" s="129"/>
      <c r="C3066" s="129"/>
      <c r="D3066" s="83"/>
      <c r="E3066" s="103"/>
      <c r="F3066" s="129"/>
    </row>
    <row r="3067" spans="1:6" ht="16" thickBot="1" x14ac:dyDescent="0.25">
      <c r="A3067" s="83"/>
      <c r="B3067" s="129"/>
      <c r="C3067" s="129"/>
      <c r="D3067" s="83"/>
      <c r="E3067" s="103"/>
      <c r="F3067" s="129"/>
    </row>
    <row r="3068" spans="1:6" ht="16" thickBot="1" x14ac:dyDescent="0.25">
      <c r="A3068" s="83"/>
      <c r="B3068" s="129"/>
      <c r="C3068" s="129"/>
      <c r="D3068" s="83"/>
      <c r="E3068" s="103"/>
      <c r="F3068" s="129"/>
    </row>
    <row r="3069" spans="1:6" ht="16" thickBot="1" x14ac:dyDescent="0.25">
      <c r="A3069" s="83"/>
      <c r="B3069" s="129"/>
      <c r="C3069" s="129"/>
      <c r="D3069" s="83"/>
      <c r="E3069" s="103"/>
      <c r="F3069" s="129"/>
    </row>
    <row r="3070" spans="1:6" ht="16" thickBot="1" x14ac:dyDescent="0.25">
      <c r="A3070" s="83"/>
      <c r="B3070" s="129"/>
      <c r="C3070" s="129"/>
      <c r="D3070" s="83"/>
      <c r="E3070" s="83"/>
      <c r="F3070" s="129"/>
    </row>
    <row r="3071" spans="1:6" ht="16" thickBot="1" x14ac:dyDescent="0.25">
      <c r="A3071" s="83"/>
      <c r="B3071" s="129"/>
      <c r="C3071" s="129"/>
      <c r="D3071" s="83"/>
      <c r="E3071" s="103"/>
      <c r="F3071" s="129"/>
    </row>
    <row r="3072" spans="1:6" ht="16" thickBot="1" x14ac:dyDescent="0.25">
      <c r="A3072" s="83"/>
      <c r="B3072" s="129"/>
      <c r="C3072" s="129"/>
      <c r="D3072" s="83"/>
      <c r="E3072" s="103"/>
      <c r="F3072" s="129"/>
    </row>
    <row r="3073" spans="1:6" ht="16" thickBot="1" x14ac:dyDescent="0.25">
      <c r="A3073" s="83"/>
      <c r="B3073" s="129"/>
      <c r="C3073" s="129"/>
      <c r="D3073" s="83"/>
      <c r="E3073" s="103"/>
      <c r="F3073" s="129"/>
    </row>
    <row r="3074" spans="1:6" ht="16" thickBot="1" x14ac:dyDescent="0.25">
      <c r="A3074" s="83"/>
      <c r="B3074" s="129"/>
      <c r="C3074" s="129"/>
      <c r="D3074" s="83"/>
      <c r="E3074" s="83"/>
      <c r="F3074" s="129"/>
    </row>
    <row r="3075" spans="1:6" ht="16" thickBot="1" x14ac:dyDescent="0.25">
      <c r="A3075" s="83"/>
      <c r="B3075" s="129"/>
      <c r="C3075" s="129"/>
      <c r="D3075" s="83"/>
      <c r="E3075" s="103"/>
      <c r="F3075" s="129"/>
    </row>
    <row r="3076" spans="1:6" ht="16" thickBot="1" x14ac:dyDescent="0.25">
      <c r="A3076" s="83"/>
      <c r="B3076" s="129"/>
      <c r="C3076" s="129"/>
      <c r="D3076" s="83"/>
      <c r="E3076" s="103"/>
      <c r="F3076" s="129"/>
    </row>
    <row r="3077" spans="1:6" ht="16" thickBot="1" x14ac:dyDescent="0.25">
      <c r="A3077" s="83"/>
      <c r="B3077" s="129"/>
      <c r="C3077" s="129"/>
      <c r="D3077" s="83"/>
      <c r="E3077" s="103"/>
      <c r="F3077" s="129"/>
    </row>
    <row r="3078" spans="1:6" ht="16" thickBot="1" x14ac:dyDescent="0.25">
      <c r="A3078" s="83"/>
      <c r="B3078" s="129"/>
      <c r="C3078" s="129"/>
      <c r="D3078" s="83"/>
      <c r="E3078" s="103"/>
      <c r="F3078" s="129"/>
    </row>
    <row r="3079" spans="1:6" ht="16" thickBot="1" x14ac:dyDescent="0.25">
      <c r="A3079" s="83"/>
      <c r="B3079" s="129"/>
      <c r="C3079" s="129"/>
      <c r="D3079" s="83"/>
      <c r="E3079" s="103"/>
      <c r="F3079" s="129"/>
    </row>
    <row r="3080" spans="1:6" ht="16" thickBot="1" x14ac:dyDescent="0.25">
      <c r="A3080" s="83"/>
      <c r="B3080" s="129"/>
      <c r="C3080" s="129"/>
      <c r="D3080" s="83"/>
      <c r="E3080" s="103"/>
      <c r="F3080" s="129"/>
    </row>
    <row r="3081" spans="1:6" ht="16" thickBot="1" x14ac:dyDescent="0.25">
      <c r="A3081" s="83"/>
      <c r="B3081" s="129"/>
      <c r="C3081" s="129"/>
      <c r="D3081" s="83"/>
      <c r="E3081" s="103"/>
      <c r="F3081" s="129"/>
    </row>
    <row r="3082" spans="1:6" ht="16" thickBot="1" x14ac:dyDescent="0.25">
      <c r="A3082" s="83"/>
      <c r="B3082" s="129"/>
      <c r="C3082" s="129"/>
      <c r="D3082" s="83"/>
      <c r="E3082" s="103"/>
      <c r="F3082" s="129"/>
    </row>
    <row r="3083" spans="1:6" ht="16" thickBot="1" x14ac:dyDescent="0.25">
      <c r="A3083" s="83"/>
      <c r="B3083" s="129"/>
      <c r="C3083" s="129"/>
      <c r="D3083" s="83"/>
      <c r="E3083" s="103"/>
      <c r="F3083" s="129"/>
    </row>
    <row r="3084" spans="1:6" ht="16" thickBot="1" x14ac:dyDescent="0.25">
      <c r="A3084" s="83"/>
      <c r="B3084" s="129"/>
      <c r="C3084" s="129"/>
      <c r="D3084" s="83"/>
      <c r="E3084" s="103"/>
      <c r="F3084" s="129"/>
    </row>
    <row r="3085" spans="1:6" ht="16" thickBot="1" x14ac:dyDescent="0.25">
      <c r="A3085" s="83"/>
      <c r="B3085" s="129"/>
      <c r="C3085" s="129"/>
      <c r="D3085" s="83"/>
      <c r="E3085" s="103"/>
      <c r="F3085" s="129"/>
    </row>
    <row r="3086" spans="1:6" ht="16" thickBot="1" x14ac:dyDescent="0.25">
      <c r="A3086" s="83"/>
      <c r="B3086" s="129"/>
      <c r="C3086" s="129"/>
      <c r="D3086" s="83"/>
      <c r="E3086" s="103"/>
      <c r="F3086" s="129"/>
    </row>
    <row r="3087" spans="1:6" ht="16" thickBot="1" x14ac:dyDescent="0.25">
      <c r="A3087" s="83"/>
      <c r="B3087" s="129"/>
      <c r="C3087" s="129"/>
      <c r="D3087" s="83"/>
      <c r="E3087" s="103"/>
      <c r="F3087" s="129"/>
    </row>
    <row r="3088" spans="1:6" ht="16" thickBot="1" x14ac:dyDescent="0.25">
      <c r="A3088" s="83"/>
      <c r="B3088" s="129"/>
      <c r="C3088" s="129"/>
      <c r="D3088" s="83"/>
      <c r="E3088" s="103"/>
      <c r="F3088" s="129"/>
    </row>
    <row r="3089" spans="1:6" ht="16" thickBot="1" x14ac:dyDescent="0.25">
      <c r="A3089" s="83"/>
      <c r="B3089" s="129"/>
      <c r="C3089" s="129"/>
      <c r="D3089" s="83"/>
      <c r="E3089" s="103"/>
      <c r="F3089" s="129"/>
    </row>
    <row r="3090" spans="1:6" ht="16" thickBot="1" x14ac:dyDescent="0.25">
      <c r="A3090" s="83"/>
      <c r="B3090" s="129"/>
      <c r="C3090" s="129"/>
      <c r="D3090" s="83"/>
      <c r="E3090" s="103"/>
      <c r="F3090" s="129"/>
    </row>
    <row r="3091" spans="1:6" ht="16" thickBot="1" x14ac:dyDescent="0.25">
      <c r="A3091" s="83"/>
      <c r="B3091" s="129"/>
      <c r="C3091" s="129"/>
      <c r="D3091" s="83"/>
      <c r="E3091" s="103"/>
      <c r="F3091" s="129"/>
    </row>
    <row r="3092" spans="1:6" ht="16" thickBot="1" x14ac:dyDescent="0.25">
      <c r="A3092" s="83"/>
      <c r="B3092" s="129"/>
      <c r="C3092" s="129"/>
      <c r="D3092" s="83"/>
      <c r="E3092" s="103"/>
      <c r="F3092" s="129"/>
    </row>
    <row r="3093" spans="1:6" ht="16" thickBot="1" x14ac:dyDescent="0.25">
      <c r="A3093" s="83"/>
      <c r="B3093" s="129"/>
      <c r="C3093" s="129"/>
      <c r="D3093" s="83"/>
      <c r="E3093" s="103"/>
      <c r="F3093" s="129"/>
    </row>
    <row r="3094" spans="1:6" ht="16" thickBot="1" x14ac:dyDescent="0.25">
      <c r="A3094" s="83"/>
      <c r="B3094" s="129"/>
      <c r="C3094" s="129"/>
      <c r="D3094" s="83"/>
      <c r="E3094" s="103"/>
      <c r="F3094" s="129"/>
    </row>
    <row r="3095" spans="1:6" ht="16" thickBot="1" x14ac:dyDescent="0.25">
      <c r="A3095" s="83"/>
      <c r="B3095" s="129"/>
      <c r="C3095" s="129"/>
      <c r="D3095" s="83"/>
      <c r="E3095" s="103"/>
      <c r="F3095" s="129"/>
    </row>
    <row r="3096" spans="1:6" ht="16" thickBot="1" x14ac:dyDescent="0.25">
      <c r="A3096" s="83"/>
      <c r="B3096" s="129"/>
      <c r="C3096" s="129"/>
      <c r="D3096" s="83"/>
      <c r="E3096" s="103"/>
      <c r="F3096" s="129"/>
    </row>
    <row r="3097" spans="1:6" ht="16" thickBot="1" x14ac:dyDescent="0.25">
      <c r="A3097" s="83"/>
      <c r="B3097" s="129"/>
      <c r="C3097" s="129"/>
      <c r="D3097" s="83"/>
      <c r="E3097" s="103"/>
      <c r="F3097" s="129"/>
    </row>
    <row r="3098" spans="1:6" ht="16" thickBot="1" x14ac:dyDescent="0.25">
      <c r="A3098" s="83"/>
      <c r="B3098" s="129"/>
      <c r="C3098" s="129"/>
      <c r="D3098" s="83"/>
      <c r="E3098" s="103"/>
      <c r="F3098" s="129"/>
    </row>
    <row r="3099" spans="1:6" ht="16" thickBot="1" x14ac:dyDescent="0.25">
      <c r="A3099" s="83"/>
      <c r="B3099" s="129"/>
      <c r="C3099" s="129"/>
      <c r="D3099" s="83"/>
      <c r="E3099" s="103"/>
      <c r="F3099" s="129"/>
    </row>
    <row r="3100" spans="1:6" ht="16" thickBot="1" x14ac:dyDescent="0.25">
      <c r="A3100" s="83"/>
      <c r="B3100" s="129"/>
      <c r="C3100" s="129"/>
      <c r="D3100" s="83"/>
      <c r="E3100" s="103"/>
      <c r="F3100" s="129"/>
    </row>
    <row r="3101" spans="1:6" ht="16" thickBot="1" x14ac:dyDescent="0.25">
      <c r="A3101" s="83"/>
      <c r="B3101" s="129"/>
      <c r="C3101" s="129"/>
      <c r="D3101" s="83"/>
      <c r="E3101" s="103"/>
      <c r="F3101" s="129"/>
    </row>
    <row r="3102" spans="1:6" ht="16" thickBot="1" x14ac:dyDescent="0.25">
      <c r="A3102" s="83"/>
      <c r="B3102" s="129"/>
      <c r="C3102" s="129"/>
      <c r="D3102" s="83"/>
      <c r="E3102" s="103"/>
      <c r="F3102" s="129"/>
    </row>
    <row r="3103" spans="1:6" ht="16" thickBot="1" x14ac:dyDescent="0.25">
      <c r="A3103" s="83"/>
      <c r="B3103" s="129"/>
      <c r="C3103" s="129"/>
      <c r="D3103" s="83"/>
      <c r="E3103" s="103"/>
      <c r="F3103" s="129"/>
    </row>
    <row r="3104" spans="1:6" ht="16" thickBot="1" x14ac:dyDescent="0.25">
      <c r="A3104" s="83"/>
      <c r="B3104" s="129"/>
      <c r="C3104" s="129"/>
      <c r="D3104" s="83"/>
      <c r="E3104" s="103"/>
      <c r="F3104" s="129"/>
    </row>
    <row r="3105" spans="1:6" ht="16" thickBot="1" x14ac:dyDescent="0.25">
      <c r="A3105" s="83"/>
      <c r="B3105" s="129"/>
      <c r="C3105" s="129"/>
      <c r="D3105" s="83"/>
      <c r="E3105" s="103"/>
      <c r="F3105" s="129"/>
    </row>
    <row r="3106" spans="1:6" ht="16" thickBot="1" x14ac:dyDescent="0.25">
      <c r="A3106" s="83"/>
      <c r="B3106" s="129"/>
      <c r="C3106" s="129"/>
      <c r="D3106" s="83"/>
      <c r="E3106" s="103"/>
      <c r="F3106" s="129"/>
    </row>
    <row r="3107" spans="1:6" ht="16" thickBot="1" x14ac:dyDescent="0.25">
      <c r="A3107" s="83"/>
      <c r="B3107" s="129"/>
      <c r="C3107" s="129"/>
      <c r="D3107" s="83"/>
      <c r="E3107" s="103"/>
      <c r="F3107" s="129"/>
    </row>
    <row r="3108" spans="1:6" ht="16" thickBot="1" x14ac:dyDescent="0.25">
      <c r="A3108" s="83"/>
      <c r="B3108" s="129"/>
      <c r="C3108" s="129"/>
      <c r="D3108" s="83"/>
      <c r="E3108" s="103"/>
      <c r="F3108" s="129"/>
    </row>
    <row r="3109" spans="1:6" ht="16" thickBot="1" x14ac:dyDescent="0.25">
      <c r="A3109" s="83"/>
      <c r="B3109" s="129"/>
      <c r="C3109" s="129"/>
      <c r="D3109" s="83"/>
      <c r="E3109" s="103"/>
      <c r="F3109" s="129"/>
    </row>
    <row r="3110" spans="1:6" ht="16" thickBot="1" x14ac:dyDescent="0.25">
      <c r="A3110" s="83"/>
      <c r="B3110" s="129"/>
      <c r="C3110" s="129"/>
      <c r="D3110" s="83"/>
      <c r="E3110" s="103"/>
      <c r="F3110" s="129"/>
    </row>
    <row r="3111" spans="1:6" ht="16" thickBot="1" x14ac:dyDescent="0.25">
      <c r="A3111" s="83"/>
      <c r="B3111" s="129"/>
      <c r="C3111" s="129"/>
      <c r="D3111" s="83"/>
      <c r="E3111" s="103"/>
      <c r="F3111" s="129"/>
    </row>
    <row r="3112" spans="1:6" ht="16" thickBot="1" x14ac:dyDescent="0.25">
      <c r="A3112" s="83"/>
      <c r="B3112" s="129"/>
      <c r="C3112" s="129"/>
      <c r="D3112" s="83"/>
      <c r="E3112" s="103"/>
      <c r="F3112" s="129"/>
    </row>
    <row r="3113" spans="1:6" ht="16" thickBot="1" x14ac:dyDescent="0.25">
      <c r="A3113" s="83"/>
      <c r="B3113" s="129"/>
      <c r="C3113" s="129"/>
      <c r="D3113" s="83"/>
      <c r="E3113" s="103"/>
      <c r="F3113" s="129"/>
    </row>
    <row r="3114" spans="1:6" ht="16" thickBot="1" x14ac:dyDescent="0.25">
      <c r="A3114" s="83"/>
      <c r="B3114" s="129"/>
      <c r="C3114" s="129"/>
      <c r="D3114" s="83"/>
      <c r="E3114" s="103"/>
      <c r="F3114" s="129"/>
    </row>
    <row r="3115" spans="1:6" ht="16" thickBot="1" x14ac:dyDescent="0.25">
      <c r="A3115" s="83"/>
      <c r="B3115" s="129"/>
      <c r="C3115" s="129"/>
      <c r="D3115" s="83"/>
      <c r="E3115" s="103"/>
      <c r="F3115" s="129"/>
    </row>
    <row r="3116" spans="1:6" ht="16" thickBot="1" x14ac:dyDescent="0.25">
      <c r="A3116" s="83"/>
      <c r="B3116" s="129"/>
      <c r="C3116" s="129"/>
      <c r="D3116" s="83"/>
      <c r="E3116" s="103"/>
      <c r="F3116" s="129"/>
    </row>
    <row r="3117" spans="1:6" ht="16" thickBot="1" x14ac:dyDescent="0.25">
      <c r="A3117" s="83"/>
      <c r="B3117" s="129"/>
      <c r="C3117" s="129"/>
      <c r="D3117" s="83"/>
      <c r="E3117" s="103"/>
      <c r="F3117" s="129"/>
    </row>
    <row r="3118" spans="1:6" ht="16" thickBot="1" x14ac:dyDescent="0.25">
      <c r="A3118" s="83"/>
      <c r="B3118" s="129"/>
      <c r="C3118" s="129"/>
      <c r="D3118" s="83"/>
      <c r="E3118" s="103"/>
      <c r="F3118" s="129"/>
    </row>
    <row r="3119" spans="1:6" ht="16" thickBot="1" x14ac:dyDescent="0.25">
      <c r="A3119" s="83"/>
      <c r="B3119" s="129"/>
      <c r="C3119" s="129"/>
      <c r="D3119" s="83"/>
      <c r="E3119" s="103"/>
      <c r="F3119" s="129"/>
    </row>
    <row r="3120" spans="1:6" ht="16" thickBot="1" x14ac:dyDescent="0.25">
      <c r="A3120" s="83"/>
      <c r="B3120" s="129"/>
      <c r="C3120" s="129"/>
      <c r="D3120" s="83"/>
      <c r="E3120" s="103"/>
      <c r="F3120" s="129"/>
    </row>
    <row r="3121" spans="1:6" ht="16" thickBot="1" x14ac:dyDescent="0.25">
      <c r="A3121" s="83"/>
      <c r="B3121" s="129"/>
      <c r="C3121" s="129"/>
      <c r="D3121" s="83"/>
      <c r="E3121" s="103"/>
      <c r="F3121" s="129"/>
    </row>
    <row r="3122" spans="1:6" ht="16" thickBot="1" x14ac:dyDescent="0.25">
      <c r="A3122" s="83"/>
      <c r="B3122" s="129"/>
      <c r="C3122" s="129"/>
      <c r="D3122" s="83"/>
      <c r="E3122" s="103"/>
      <c r="F3122" s="129"/>
    </row>
    <row r="3123" spans="1:6" ht="16" thickBot="1" x14ac:dyDescent="0.25">
      <c r="A3123" s="83"/>
      <c r="B3123" s="129"/>
      <c r="C3123" s="129"/>
      <c r="D3123" s="83"/>
      <c r="E3123" s="103"/>
      <c r="F3123" s="129"/>
    </row>
    <row r="3124" spans="1:6" ht="16" thickBot="1" x14ac:dyDescent="0.25">
      <c r="A3124" s="83"/>
      <c r="B3124" s="129"/>
      <c r="C3124" s="129"/>
      <c r="D3124" s="83"/>
      <c r="E3124" s="103"/>
      <c r="F3124" s="129"/>
    </row>
    <row r="3125" spans="1:6" ht="16" thickBot="1" x14ac:dyDescent="0.25">
      <c r="A3125" s="83"/>
      <c r="B3125" s="129"/>
      <c r="C3125" s="129"/>
      <c r="D3125" s="83"/>
      <c r="E3125" s="103"/>
      <c r="F3125" s="129"/>
    </row>
    <row r="3126" spans="1:6" ht="16" thickBot="1" x14ac:dyDescent="0.25">
      <c r="A3126" s="83"/>
      <c r="B3126" s="129"/>
      <c r="C3126" s="129"/>
      <c r="D3126" s="83"/>
      <c r="E3126" s="103"/>
      <c r="F3126" s="129"/>
    </row>
    <row r="3127" spans="1:6" ht="16" thickBot="1" x14ac:dyDescent="0.25">
      <c r="A3127" s="83"/>
      <c r="B3127" s="129"/>
      <c r="C3127" s="129"/>
      <c r="D3127" s="83"/>
      <c r="E3127" s="103"/>
      <c r="F3127" s="129"/>
    </row>
    <row r="3128" spans="1:6" ht="16" thickBot="1" x14ac:dyDescent="0.25">
      <c r="A3128" s="83"/>
      <c r="B3128" s="129"/>
      <c r="C3128" s="129"/>
      <c r="D3128" s="83"/>
      <c r="E3128" s="103"/>
      <c r="F3128" s="129"/>
    </row>
    <row r="3129" spans="1:6" ht="16" thickBot="1" x14ac:dyDescent="0.25">
      <c r="A3129" s="83"/>
      <c r="B3129" s="129"/>
      <c r="C3129" s="129"/>
      <c r="D3129" s="83"/>
      <c r="E3129" s="103"/>
      <c r="F3129" s="129"/>
    </row>
    <row r="3130" spans="1:6" ht="16" thickBot="1" x14ac:dyDescent="0.25">
      <c r="A3130" s="83"/>
      <c r="B3130" s="129"/>
      <c r="C3130" s="129"/>
      <c r="D3130" s="83"/>
      <c r="E3130" s="103"/>
      <c r="F3130" s="129"/>
    </row>
    <row r="3131" spans="1:6" ht="16" thickBot="1" x14ac:dyDescent="0.25">
      <c r="A3131" s="83"/>
      <c r="B3131" s="129"/>
      <c r="C3131" s="129"/>
      <c r="D3131" s="83"/>
      <c r="E3131" s="103"/>
      <c r="F3131" s="129"/>
    </row>
    <row r="3132" spans="1:6" ht="16" thickBot="1" x14ac:dyDescent="0.25">
      <c r="A3132" s="83"/>
      <c r="B3132" s="129"/>
      <c r="C3132" s="129"/>
      <c r="D3132" s="83"/>
      <c r="E3132" s="103"/>
      <c r="F3132" s="129"/>
    </row>
    <row r="3133" spans="1:6" ht="16" thickBot="1" x14ac:dyDescent="0.25">
      <c r="A3133" s="83"/>
      <c r="B3133" s="129"/>
      <c r="C3133" s="129"/>
      <c r="D3133" s="83"/>
      <c r="E3133" s="103"/>
      <c r="F3133" s="129"/>
    </row>
    <row r="3134" spans="1:6" ht="16" thickBot="1" x14ac:dyDescent="0.25">
      <c r="A3134" s="83"/>
      <c r="B3134" s="129"/>
      <c r="C3134" s="129"/>
      <c r="D3134" s="83"/>
      <c r="E3134" s="103"/>
      <c r="F3134" s="129"/>
    </row>
    <row r="3135" spans="1:6" ht="16" thickBot="1" x14ac:dyDescent="0.25">
      <c r="A3135" s="83"/>
      <c r="B3135" s="129"/>
      <c r="C3135" s="129"/>
      <c r="D3135" s="83"/>
      <c r="E3135" s="103"/>
      <c r="F3135" s="129"/>
    </row>
    <row r="3136" spans="1:6" ht="16" thickBot="1" x14ac:dyDescent="0.25">
      <c r="A3136" s="83"/>
      <c r="B3136" s="129"/>
      <c r="C3136" s="129"/>
      <c r="D3136" s="83"/>
      <c r="E3136" s="103"/>
      <c r="F3136" s="129"/>
    </row>
    <row r="3137" spans="1:6" ht="16" thickBot="1" x14ac:dyDescent="0.25">
      <c r="A3137" s="83"/>
      <c r="B3137" s="129"/>
      <c r="C3137" s="129"/>
      <c r="D3137" s="83"/>
      <c r="E3137" s="103"/>
      <c r="F3137" s="129"/>
    </row>
    <row r="3138" spans="1:6" ht="16" thickBot="1" x14ac:dyDescent="0.25">
      <c r="A3138" s="83"/>
      <c r="B3138" s="129"/>
      <c r="C3138" s="129"/>
      <c r="D3138" s="83"/>
      <c r="E3138" s="103"/>
      <c r="F3138" s="129"/>
    </row>
    <row r="3139" spans="1:6" ht="16" thickBot="1" x14ac:dyDescent="0.25">
      <c r="A3139" s="83"/>
      <c r="B3139" s="129"/>
      <c r="C3139" s="129"/>
      <c r="D3139" s="83"/>
      <c r="E3139" s="103"/>
      <c r="F3139" s="129"/>
    </row>
    <row r="3140" spans="1:6" ht="16" thickBot="1" x14ac:dyDescent="0.25">
      <c r="A3140" s="83"/>
      <c r="B3140" s="129"/>
      <c r="C3140" s="129"/>
      <c r="D3140" s="83"/>
      <c r="E3140" s="103"/>
      <c r="F3140" s="129"/>
    </row>
    <row r="3141" spans="1:6" ht="16" thickBot="1" x14ac:dyDescent="0.25">
      <c r="A3141" s="83"/>
      <c r="B3141" s="129"/>
      <c r="C3141" s="129"/>
      <c r="D3141" s="83"/>
      <c r="E3141" s="103"/>
      <c r="F3141" s="129"/>
    </row>
    <row r="3142" spans="1:6" ht="16" thickBot="1" x14ac:dyDescent="0.25">
      <c r="A3142" s="83"/>
      <c r="B3142" s="129"/>
      <c r="C3142" s="129"/>
      <c r="D3142" s="83"/>
      <c r="E3142" s="103"/>
      <c r="F3142" s="129"/>
    </row>
    <row r="3143" spans="1:6" ht="16" thickBot="1" x14ac:dyDescent="0.25">
      <c r="A3143" s="83"/>
      <c r="B3143" s="129"/>
      <c r="C3143" s="129"/>
      <c r="D3143" s="83"/>
      <c r="E3143" s="103"/>
      <c r="F3143" s="129"/>
    </row>
    <row r="3144" spans="1:6" ht="16" thickBot="1" x14ac:dyDescent="0.25">
      <c r="A3144" s="83"/>
      <c r="B3144" s="129"/>
      <c r="C3144" s="129"/>
      <c r="D3144" s="83"/>
      <c r="E3144" s="103"/>
      <c r="F3144" s="129"/>
    </row>
    <row r="3145" spans="1:6" ht="16" thickBot="1" x14ac:dyDescent="0.25">
      <c r="A3145" s="83"/>
      <c r="B3145" s="129"/>
      <c r="C3145" s="129"/>
      <c r="D3145" s="83"/>
      <c r="E3145" s="103"/>
      <c r="F3145" s="129"/>
    </row>
    <row r="3146" spans="1:6" ht="16" thickBot="1" x14ac:dyDescent="0.25">
      <c r="A3146" s="83"/>
      <c r="B3146" s="129"/>
      <c r="C3146" s="129"/>
      <c r="D3146" s="83"/>
      <c r="E3146" s="103"/>
      <c r="F3146" s="129"/>
    </row>
    <row r="3147" spans="1:6" ht="16" thickBot="1" x14ac:dyDescent="0.25">
      <c r="A3147" s="83"/>
      <c r="B3147" s="129"/>
      <c r="C3147" s="129"/>
      <c r="D3147" s="83"/>
      <c r="E3147" s="103"/>
      <c r="F3147" s="129"/>
    </row>
    <row r="3148" spans="1:6" ht="16" thickBot="1" x14ac:dyDescent="0.25">
      <c r="A3148" s="83"/>
      <c r="B3148" s="129"/>
      <c r="C3148" s="129"/>
      <c r="D3148" s="83"/>
      <c r="E3148" s="103"/>
      <c r="F3148" s="129"/>
    </row>
    <row r="3149" spans="1:6" ht="16" thickBot="1" x14ac:dyDescent="0.25">
      <c r="A3149" s="83"/>
      <c r="B3149" s="129"/>
      <c r="C3149" s="129"/>
      <c r="D3149" s="83"/>
      <c r="E3149" s="103"/>
      <c r="F3149" s="129"/>
    </row>
    <row r="3150" spans="1:6" ht="16" thickBot="1" x14ac:dyDescent="0.25">
      <c r="A3150" s="83"/>
      <c r="B3150" s="129"/>
      <c r="C3150" s="129"/>
      <c r="D3150" s="83"/>
      <c r="E3150" s="103"/>
      <c r="F3150" s="129"/>
    </row>
    <row r="3151" spans="1:6" ht="16" thickBot="1" x14ac:dyDescent="0.25">
      <c r="A3151" s="83"/>
      <c r="B3151" s="129"/>
      <c r="C3151" s="129"/>
      <c r="D3151" s="83"/>
      <c r="E3151" s="103"/>
      <c r="F3151" s="129"/>
    </row>
    <row r="3152" spans="1:6" ht="16" thickBot="1" x14ac:dyDescent="0.25">
      <c r="A3152" s="83"/>
      <c r="B3152" s="129"/>
      <c r="C3152" s="129"/>
      <c r="D3152" s="83"/>
      <c r="E3152" s="103"/>
      <c r="F3152" s="129"/>
    </row>
    <row r="3153" spans="1:6" ht="16" thickBot="1" x14ac:dyDescent="0.25">
      <c r="A3153" s="83"/>
      <c r="B3153" s="129"/>
      <c r="C3153" s="129"/>
      <c r="D3153" s="83"/>
      <c r="E3153" s="103"/>
      <c r="F3153" s="129"/>
    </row>
    <row r="3154" spans="1:6" ht="16" thickBot="1" x14ac:dyDescent="0.25">
      <c r="A3154" s="83"/>
      <c r="B3154" s="129"/>
      <c r="C3154" s="129"/>
      <c r="D3154" s="83"/>
      <c r="E3154" s="103"/>
      <c r="F3154" s="129"/>
    </row>
    <row r="3155" spans="1:6" ht="16" thickBot="1" x14ac:dyDescent="0.25">
      <c r="A3155" s="83"/>
      <c r="B3155" s="129"/>
      <c r="C3155" s="129"/>
      <c r="D3155" s="83"/>
      <c r="E3155" s="103"/>
      <c r="F3155" s="129"/>
    </row>
    <row r="3156" spans="1:6" ht="16" thickBot="1" x14ac:dyDescent="0.25">
      <c r="A3156" s="83"/>
      <c r="B3156" s="129"/>
      <c r="C3156" s="129"/>
      <c r="D3156" s="83"/>
      <c r="E3156" s="103"/>
      <c r="F3156" s="129"/>
    </row>
    <row r="3157" spans="1:6" ht="16" thickBot="1" x14ac:dyDescent="0.25">
      <c r="A3157" s="83"/>
      <c r="B3157" s="129"/>
      <c r="C3157" s="129"/>
      <c r="D3157" s="83"/>
      <c r="E3157" s="103"/>
      <c r="F3157" s="129"/>
    </row>
    <row r="3158" spans="1:6" ht="16" thickBot="1" x14ac:dyDescent="0.25">
      <c r="A3158" s="83"/>
      <c r="B3158" s="129"/>
      <c r="C3158" s="129"/>
      <c r="D3158" s="83"/>
      <c r="E3158" s="103"/>
      <c r="F3158" s="129"/>
    </row>
    <row r="3159" spans="1:6" ht="16" thickBot="1" x14ac:dyDescent="0.25">
      <c r="A3159" s="83"/>
      <c r="B3159" s="129"/>
      <c r="C3159" s="129"/>
      <c r="D3159" s="83"/>
      <c r="E3159" s="103"/>
      <c r="F3159" s="129"/>
    </row>
    <row r="3160" spans="1:6" ht="16" thickBot="1" x14ac:dyDescent="0.25">
      <c r="A3160" s="83"/>
      <c r="B3160" s="129"/>
      <c r="C3160" s="129"/>
      <c r="D3160" s="83"/>
      <c r="E3160" s="103"/>
      <c r="F3160" s="129"/>
    </row>
    <row r="3161" spans="1:6" ht="16" thickBot="1" x14ac:dyDescent="0.25">
      <c r="A3161" s="83"/>
      <c r="B3161" s="129"/>
      <c r="C3161" s="129"/>
      <c r="D3161" s="83"/>
      <c r="E3161" s="103"/>
      <c r="F3161" s="129"/>
    </row>
    <row r="3162" spans="1:6" ht="16" thickBot="1" x14ac:dyDescent="0.25">
      <c r="A3162" s="83"/>
      <c r="B3162" s="129"/>
      <c r="C3162" s="129"/>
      <c r="D3162" s="83"/>
      <c r="E3162" s="103"/>
      <c r="F3162" s="129"/>
    </row>
    <row r="3163" spans="1:6" ht="16" thickBot="1" x14ac:dyDescent="0.25">
      <c r="A3163" s="83"/>
      <c r="B3163" s="129"/>
      <c r="C3163" s="129"/>
      <c r="D3163" s="83"/>
      <c r="E3163" s="103"/>
      <c r="F3163" s="129"/>
    </row>
    <row r="3164" spans="1:6" ht="16" thickBot="1" x14ac:dyDescent="0.25">
      <c r="A3164" s="83"/>
      <c r="B3164" s="129"/>
      <c r="C3164" s="129"/>
      <c r="D3164" s="83"/>
      <c r="E3164" s="103"/>
      <c r="F3164" s="129"/>
    </row>
    <row r="3165" spans="1:6" ht="16" thickBot="1" x14ac:dyDescent="0.25">
      <c r="A3165" s="83"/>
      <c r="B3165" s="129"/>
      <c r="C3165" s="129"/>
      <c r="D3165" s="83"/>
      <c r="E3165" s="103"/>
      <c r="F3165" s="129"/>
    </row>
    <row r="3166" spans="1:6" ht="16" thickBot="1" x14ac:dyDescent="0.25">
      <c r="A3166" s="83"/>
      <c r="B3166" s="129"/>
      <c r="C3166" s="129"/>
      <c r="D3166" s="83"/>
      <c r="E3166" s="103"/>
      <c r="F3166" s="129"/>
    </row>
    <row r="3167" spans="1:6" ht="16" thickBot="1" x14ac:dyDescent="0.25">
      <c r="A3167" s="83"/>
      <c r="B3167" s="129"/>
      <c r="C3167" s="129"/>
      <c r="D3167" s="83"/>
      <c r="E3167" s="103"/>
      <c r="F3167" s="129"/>
    </row>
    <row r="3168" spans="1:6" ht="16" thickBot="1" x14ac:dyDescent="0.25">
      <c r="A3168" s="83"/>
      <c r="B3168" s="129"/>
      <c r="C3168" s="129"/>
      <c r="D3168" s="83"/>
      <c r="E3168" s="103"/>
      <c r="F3168" s="129"/>
    </row>
    <row r="3169" spans="1:6" ht="16" thickBot="1" x14ac:dyDescent="0.25">
      <c r="A3169" s="83"/>
      <c r="B3169" s="129"/>
      <c r="C3169" s="129"/>
      <c r="D3169" s="83"/>
      <c r="E3169" s="103"/>
      <c r="F3169" s="129"/>
    </row>
    <row r="3170" spans="1:6" ht="16" thickBot="1" x14ac:dyDescent="0.25">
      <c r="A3170" s="83"/>
      <c r="B3170" s="129"/>
      <c r="C3170" s="129"/>
      <c r="D3170" s="83"/>
      <c r="E3170" s="103"/>
      <c r="F3170" s="129"/>
    </row>
    <row r="3171" spans="1:6" ht="16" thickBot="1" x14ac:dyDescent="0.25">
      <c r="A3171" s="83"/>
      <c r="B3171" s="129"/>
      <c r="C3171" s="129"/>
      <c r="D3171" s="83"/>
      <c r="E3171" s="103"/>
      <c r="F3171" s="129"/>
    </row>
    <row r="3172" spans="1:6" ht="16" thickBot="1" x14ac:dyDescent="0.25">
      <c r="A3172" s="83"/>
      <c r="B3172" s="129"/>
      <c r="C3172" s="129"/>
      <c r="D3172" s="83"/>
      <c r="E3172" s="103"/>
      <c r="F3172" s="129"/>
    </row>
    <row r="3173" spans="1:6" ht="16" thickBot="1" x14ac:dyDescent="0.25">
      <c r="A3173" s="83"/>
      <c r="B3173" s="129"/>
      <c r="C3173" s="129"/>
      <c r="D3173" s="83"/>
      <c r="E3173" s="103"/>
      <c r="F3173" s="129"/>
    </row>
    <row r="3174" spans="1:6" ht="16" thickBot="1" x14ac:dyDescent="0.25">
      <c r="A3174" s="83"/>
      <c r="B3174" s="129"/>
      <c r="C3174" s="129"/>
      <c r="D3174" s="83"/>
      <c r="E3174" s="103"/>
      <c r="F3174" s="129"/>
    </row>
    <row r="3175" spans="1:6" ht="16" thickBot="1" x14ac:dyDescent="0.25">
      <c r="A3175" s="83"/>
      <c r="B3175" s="129"/>
      <c r="C3175" s="129"/>
      <c r="D3175" s="83"/>
      <c r="E3175" s="83"/>
      <c r="F3175" s="129"/>
    </row>
    <row r="3176" spans="1:6" ht="16" thickBot="1" x14ac:dyDescent="0.25">
      <c r="A3176" s="83"/>
      <c r="B3176" s="129"/>
      <c r="C3176" s="129"/>
      <c r="D3176" s="83"/>
      <c r="E3176" s="103"/>
      <c r="F3176" s="129"/>
    </row>
    <row r="3177" spans="1:6" ht="16" thickBot="1" x14ac:dyDescent="0.25">
      <c r="A3177" s="83"/>
      <c r="B3177" s="129"/>
      <c r="C3177" s="129"/>
      <c r="D3177" s="83"/>
      <c r="E3177" s="103"/>
      <c r="F3177" s="129"/>
    </row>
    <row r="3178" spans="1:6" ht="16" thickBot="1" x14ac:dyDescent="0.25">
      <c r="A3178" s="83"/>
      <c r="B3178" s="129"/>
      <c r="C3178" s="129"/>
      <c r="D3178" s="83"/>
      <c r="E3178" s="103"/>
      <c r="F3178" s="129"/>
    </row>
    <row r="3179" spans="1:6" ht="16" thickBot="1" x14ac:dyDescent="0.25">
      <c r="A3179" s="83"/>
      <c r="B3179" s="129"/>
      <c r="C3179" s="129"/>
      <c r="D3179" s="83"/>
      <c r="E3179" s="103"/>
      <c r="F3179" s="129"/>
    </row>
    <row r="3180" spans="1:6" ht="16" thickBot="1" x14ac:dyDescent="0.25">
      <c r="A3180" s="83"/>
      <c r="B3180" s="129"/>
      <c r="C3180" s="129"/>
      <c r="D3180" s="83"/>
      <c r="E3180" s="103"/>
      <c r="F3180" s="129"/>
    </row>
    <row r="3181" spans="1:6" ht="16" thickBot="1" x14ac:dyDescent="0.25">
      <c r="A3181" s="83"/>
      <c r="B3181" s="129"/>
      <c r="C3181" s="129"/>
      <c r="D3181" s="83"/>
      <c r="E3181" s="103"/>
      <c r="F3181" s="129"/>
    </row>
    <row r="3182" spans="1:6" ht="16" thickBot="1" x14ac:dyDescent="0.25">
      <c r="A3182" s="83"/>
      <c r="B3182" s="129"/>
      <c r="C3182" s="129"/>
      <c r="D3182" s="83"/>
      <c r="E3182" s="103"/>
      <c r="F3182" s="129"/>
    </row>
    <row r="3183" spans="1:6" ht="16" thickBot="1" x14ac:dyDescent="0.25">
      <c r="A3183" s="83"/>
      <c r="B3183" s="129"/>
      <c r="C3183" s="129"/>
      <c r="D3183" s="83"/>
      <c r="E3183" s="103"/>
      <c r="F3183" s="129"/>
    </row>
    <row r="3184" spans="1:6" ht="16" thickBot="1" x14ac:dyDescent="0.25">
      <c r="A3184" s="83"/>
      <c r="B3184" s="129"/>
      <c r="C3184" s="129"/>
      <c r="D3184" s="83"/>
      <c r="E3184" s="103"/>
      <c r="F3184" s="129"/>
    </row>
    <row r="3185" spans="1:6" ht="16" thickBot="1" x14ac:dyDescent="0.25">
      <c r="A3185" s="83"/>
      <c r="B3185" s="129"/>
      <c r="C3185" s="129"/>
      <c r="D3185" s="83"/>
      <c r="E3185" s="103"/>
      <c r="F3185" s="129"/>
    </row>
    <row r="3186" spans="1:6" ht="16" thickBot="1" x14ac:dyDescent="0.25">
      <c r="A3186" s="83"/>
      <c r="B3186" s="129"/>
      <c r="C3186" s="129"/>
      <c r="D3186" s="83"/>
      <c r="E3186" s="103"/>
      <c r="F3186" s="129"/>
    </row>
    <row r="3187" spans="1:6" ht="16" thickBot="1" x14ac:dyDescent="0.25">
      <c r="A3187" s="83"/>
      <c r="B3187" s="129"/>
      <c r="C3187" s="129"/>
      <c r="D3187" s="83"/>
      <c r="E3187" s="103"/>
      <c r="F3187" s="129"/>
    </row>
    <row r="3188" spans="1:6" ht="16" thickBot="1" x14ac:dyDescent="0.25">
      <c r="A3188" s="83"/>
      <c r="B3188" s="129"/>
      <c r="C3188" s="129"/>
      <c r="D3188" s="83"/>
      <c r="E3188" s="103"/>
      <c r="F3188" s="129"/>
    </row>
    <row r="3189" spans="1:6" ht="16" thickBot="1" x14ac:dyDescent="0.25">
      <c r="A3189" s="83"/>
      <c r="B3189" s="129"/>
      <c r="C3189" s="129"/>
      <c r="D3189" s="83"/>
      <c r="E3189" s="103"/>
      <c r="F3189" s="129"/>
    </row>
    <row r="3190" spans="1:6" ht="16" thickBot="1" x14ac:dyDescent="0.25">
      <c r="A3190" s="83"/>
      <c r="B3190" s="129"/>
      <c r="C3190" s="129"/>
      <c r="D3190" s="83"/>
      <c r="E3190" s="103"/>
      <c r="F3190" s="129"/>
    </row>
    <row r="3191" spans="1:6" ht="16" thickBot="1" x14ac:dyDescent="0.25">
      <c r="A3191" s="83"/>
      <c r="B3191" s="129"/>
      <c r="C3191" s="129"/>
      <c r="D3191" s="83"/>
      <c r="E3191" s="103"/>
      <c r="F3191" s="129"/>
    </row>
    <row r="3192" spans="1:6" ht="16" thickBot="1" x14ac:dyDescent="0.25">
      <c r="A3192" s="83"/>
      <c r="B3192" s="129"/>
      <c r="C3192" s="129"/>
      <c r="D3192" s="83"/>
      <c r="E3192" s="103"/>
      <c r="F3192" s="129"/>
    </row>
    <row r="3193" spans="1:6" ht="16" thickBot="1" x14ac:dyDescent="0.25">
      <c r="A3193" s="83"/>
      <c r="B3193" s="129"/>
      <c r="C3193" s="129"/>
      <c r="D3193" s="83"/>
      <c r="E3193" s="103"/>
      <c r="F3193" s="129"/>
    </row>
    <row r="3194" spans="1:6" ht="16" thickBot="1" x14ac:dyDescent="0.25">
      <c r="A3194" s="83"/>
      <c r="B3194" s="129"/>
      <c r="C3194" s="129"/>
      <c r="D3194" s="83"/>
      <c r="E3194" s="103"/>
      <c r="F3194" s="129"/>
    </row>
    <row r="3195" spans="1:6" ht="16" thickBot="1" x14ac:dyDescent="0.25">
      <c r="A3195" s="83"/>
      <c r="B3195" s="129"/>
      <c r="C3195" s="129"/>
      <c r="D3195" s="83"/>
      <c r="E3195" s="103"/>
      <c r="F3195" s="129"/>
    </row>
    <row r="3196" spans="1:6" ht="16" thickBot="1" x14ac:dyDescent="0.25">
      <c r="A3196" s="83"/>
      <c r="B3196" s="129"/>
      <c r="C3196" s="129"/>
      <c r="D3196" s="83"/>
      <c r="E3196" s="103"/>
      <c r="F3196" s="129"/>
    </row>
    <row r="3197" spans="1:6" ht="16" thickBot="1" x14ac:dyDescent="0.25">
      <c r="A3197" s="83"/>
      <c r="B3197" s="129"/>
      <c r="C3197" s="129"/>
      <c r="D3197" s="83"/>
      <c r="E3197" s="103"/>
      <c r="F3197" s="129"/>
    </row>
    <row r="3198" spans="1:6" ht="16" thickBot="1" x14ac:dyDescent="0.25">
      <c r="A3198" s="83"/>
      <c r="B3198" s="129"/>
      <c r="C3198" s="129"/>
      <c r="D3198" s="83"/>
      <c r="E3198" s="103"/>
      <c r="F3198" s="129"/>
    </row>
    <row r="3199" spans="1:6" ht="16" thickBot="1" x14ac:dyDescent="0.25">
      <c r="A3199" s="83"/>
      <c r="B3199" s="129"/>
      <c r="C3199" s="129"/>
      <c r="D3199" s="83"/>
      <c r="E3199" s="103"/>
      <c r="F3199" s="129"/>
    </row>
    <row r="3200" spans="1:6" ht="16" thickBot="1" x14ac:dyDescent="0.25">
      <c r="A3200" s="83"/>
      <c r="B3200" s="129"/>
      <c r="C3200" s="129"/>
      <c r="D3200" s="83"/>
      <c r="E3200" s="103"/>
      <c r="F3200" s="129"/>
    </row>
    <row r="3201" spans="1:6" ht="16" thickBot="1" x14ac:dyDescent="0.25">
      <c r="A3201" s="83"/>
      <c r="B3201" s="129"/>
      <c r="C3201" s="129"/>
      <c r="D3201" s="83"/>
      <c r="E3201" s="103"/>
      <c r="F3201" s="129"/>
    </row>
    <row r="3202" spans="1:6" ht="16" thickBot="1" x14ac:dyDescent="0.25">
      <c r="A3202" s="83"/>
      <c r="B3202" s="129"/>
      <c r="C3202" s="129"/>
      <c r="D3202" s="83"/>
      <c r="E3202" s="103"/>
      <c r="F3202" s="129"/>
    </row>
    <row r="3203" spans="1:6" ht="16" thickBot="1" x14ac:dyDescent="0.25">
      <c r="A3203" s="83"/>
      <c r="B3203" s="129"/>
      <c r="C3203" s="129"/>
      <c r="D3203" s="83"/>
      <c r="E3203" s="103"/>
      <c r="F3203" s="129"/>
    </row>
    <row r="3204" spans="1:6" ht="16" thickBot="1" x14ac:dyDescent="0.25">
      <c r="A3204" s="83"/>
      <c r="B3204" s="129"/>
      <c r="C3204" s="129"/>
      <c r="D3204" s="83"/>
      <c r="E3204" s="103"/>
      <c r="F3204" s="129"/>
    </row>
    <row r="3205" spans="1:6" ht="16" thickBot="1" x14ac:dyDescent="0.25">
      <c r="A3205" s="83"/>
      <c r="B3205" s="129"/>
      <c r="C3205" s="129"/>
      <c r="D3205" s="83"/>
      <c r="E3205" s="103"/>
      <c r="F3205" s="129"/>
    </row>
    <row r="3206" spans="1:6" ht="16" thickBot="1" x14ac:dyDescent="0.25">
      <c r="A3206" s="83"/>
      <c r="B3206" s="129"/>
      <c r="C3206" s="129"/>
      <c r="D3206" s="83"/>
      <c r="E3206" s="103"/>
      <c r="F3206" s="129"/>
    </row>
    <row r="3207" spans="1:6" ht="16" thickBot="1" x14ac:dyDescent="0.25">
      <c r="A3207" s="83"/>
      <c r="B3207" s="129"/>
      <c r="C3207" s="129"/>
      <c r="D3207" s="83"/>
      <c r="E3207" s="103"/>
      <c r="F3207" s="129"/>
    </row>
    <row r="3208" spans="1:6" ht="16" thickBot="1" x14ac:dyDescent="0.25">
      <c r="A3208" s="83"/>
      <c r="B3208" s="129"/>
      <c r="C3208" s="129"/>
      <c r="D3208" s="83"/>
      <c r="E3208" s="103"/>
      <c r="F3208" s="129"/>
    </row>
    <row r="3209" spans="1:6" ht="16" thickBot="1" x14ac:dyDescent="0.25">
      <c r="A3209" s="83"/>
      <c r="B3209" s="129"/>
      <c r="C3209" s="129"/>
      <c r="D3209" s="83"/>
      <c r="E3209" s="103"/>
      <c r="F3209" s="129"/>
    </row>
    <row r="3210" spans="1:6" ht="16" thickBot="1" x14ac:dyDescent="0.25">
      <c r="A3210" s="83"/>
      <c r="B3210" s="129"/>
      <c r="C3210" s="129"/>
      <c r="D3210" s="83"/>
      <c r="E3210" s="103"/>
      <c r="F3210" s="129"/>
    </row>
    <row r="3211" spans="1:6" ht="16" thickBot="1" x14ac:dyDescent="0.25">
      <c r="A3211" s="83"/>
      <c r="B3211" s="129"/>
      <c r="C3211" s="129"/>
      <c r="D3211" s="83"/>
      <c r="E3211" s="103"/>
      <c r="F3211" s="129"/>
    </row>
    <row r="3212" spans="1:6" ht="16" thickBot="1" x14ac:dyDescent="0.25">
      <c r="A3212" s="83"/>
      <c r="B3212" s="129"/>
      <c r="C3212" s="129"/>
      <c r="D3212" s="83"/>
      <c r="E3212" s="103"/>
      <c r="F3212" s="129"/>
    </row>
    <row r="3213" spans="1:6" ht="16" thickBot="1" x14ac:dyDescent="0.25">
      <c r="A3213" s="83"/>
      <c r="B3213" s="129"/>
      <c r="C3213" s="129"/>
      <c r="D3213" s="83"/>
      <c r="E3213" s="103"/>
      <c r="F3213" s="129"/>
    </row>
    <row r="3214" spans="1:6" ht="16" thickBot="1" x14ac:dyDescent="0.25">
      <c r="A3214" s="83"/>
      <c r="B3214" s="129"/>
      <c r="C3214" s="129"/>
      <c r="D3214" s="83"/>
      <c r="E3214" s="103"/>
      <c r="F3214" s="129"/>
    </row>
    <row r="3215" spans="1:6" ht="16" thickBot="1" x14ac:dyDescent="0.25">
      <c r="A3215" s="83"/>
      <c r="B3215" s="129"/>
      <c r="C3215" s="129"/>
      <c r="D3215" s="83"/>
      <c r="E3215" s="103"/>
      <c r="F3215" s="129"/>
    </row>
    <row r="3216" spans="1:6" ht="16" thickBot="1" x14ac:dyDescent="0.25">
      <c r="A3216" s="83"/>
      <c r="B3216" s="129"/>
      <c r="C3216" s="129"/>
      <c r="D3216" s="83"/>
      <c r="E3216" s="103"/>
      <c r="F3216" s="129"/>
    </row>
    <row r="3217" spans="1:6" ht="16" thickBot="1" x14ac:dyDescent="0.25">
      <c r="A3217" s="83"/>
      <c r="B3217" s="129"/>
      <c r="C3217" s="129"/>
      <c r="D3217" s="83"/>
      <c r="E3217" s="103"/>
      <c r="F3217" s="129"/>
    </row>
    <row r="3218" spans="1:6" ht="16" thickBot="1" x14ac:dyDescent="0.25">
      <c r="A3218" s="83"/>
      <c r="B3218" s="129"/>
      <c r="C3218" s="129"/>
      <c r="D3218" s="83"/>
      <c r="E3218" s="103"/>
      <c r="F3218" s="129"/>
    </row>
    <row r="3219" spans="1:6" ht="16" thickBot="1" x14ac:dyDescent="0.25">
      <c r="A3219" s="83"/>
      <c r="B3219" s="129"/>
      <c r="C3219" s="129"/>
      <c r="D3219" s="83"/>
      <c r="E3219" s="103"/>
      <c r="F3219" s="129"/>
    </row>
    <row r="3220" spans="1:6" ht="16" thickBot="1" x14ac:dyDescent="0.25">
      <c r="A3220" s="83"/>
      <c r="B3220" s="129"/>
      <c r="C3220" s="129"/>
      <c r="D3220" s="83"/>
      <c r="E3220" s="103"/>
      <c r="F3220" s="129"/>
    </row>
    <row r="3221" spans="1:6" ht="16" thickBot="1" x14ac:dyDescent="0.25">
      <c r="A3221" s="83"/>
      <c r="B3221" s="129"/>
      <c r="C3221" s="129"/>
      <c r="D3221" s="83"/>
      <c r="E3221" s="103"/>
      <c r="F3221" s="129"/>
    </row>
    <row r="3222" spans="1:6" ht="16" thickBot="1" x14ac:dyDescent="0.25">
      <c r="A3222" s="83"/>
      <c r="B3222" s="129"/>
      <c r="C3222" s="129"/>
      <c r="D3222" s="83"/>
      <c r="E3222" s="103"/>
      <c r="F3222" s="129"/>
    </row>
    <row r="3223" spans="1:6" ht="16" thickBot="1" x14ac:dyDescent="0.25">
      <c r="A3223" s="83"/>
      <c r="B3223" s="129"/>
      <c r="C3223" s="129"/>
      <c r="D3223" s="83"/>
      <c r="E3223" s="103"/>
      <c r="F3223" s="129"/>
    </row>
    <row r="3224" spans="1:6" ht="16" thickBot="1" x14ac:dyDescent="0.25">
      <c r="A3224" s="83"/>
      <c r="B3224" s="129"/>
      <c r="C3224" s="129"/>
      <c r="D3224" s="83"/>
      <c r="E3224" s="103"/>
      <c r="F3224" s="129"/>
    </row>
    <row r="3225" spans="1:6" ht="16" thickBot="1" x14ac:dyDescent="0.25">
      <c r="A3225" s="83"/>
      <c r="B3225" s="129"/>
      <c r="C3225" s="129"/>
      <c r="D3225" s="83"/>
      <c r="E3225" s="103"/>
      <c r="F3225" s="129"/>
    </row>
    <row r="3226" spans="1:6" ht="16" thickBot="1" x14ac:dyDescent="0.25">
      <c r="A3226" s="83"/>
      <c r="B3226" s="129"/>
      <c r="C3226" s="129"/>
      <c r="D3226" s="83"/>
      <c r="E3226" s="103"/>
      <c r="F3226" s="129"/>
    </row>
    <row r="3227" spans="1:6" ht="16" thickBot="1" x14ac:dyDescent="0.25">
      <c r="A3227" s="83"/>
      <c r="B3227" s="129"/>
      <c r="C3227" s="129"/>
      <c r="D3227" s="83"/>
      <c r="E3227" s="103"/>
      <c r="F3227" s="129"/>
    </row>
    <row r="3228" spans="1:6" ht="16" thickBot="1" x14ac:dyDescent="0.25">
      <c r="A3228" s="83"/>
      <c r="B3228" s="129"/>
      <c r="C3228" s="129"/>
      <c r="D3228" s="83"/>
      <c r="E3228" s="103"/>
      <c r="F3228" s="129"/>
    </row>
    <row r="3229" spans="1:6" ht="16" thickBot="1" x14ac:dyDescent="0.25">
      <c r="A3229" s="83"/>
      <c r="B3229" s="129"/>
      <c r="C3229" s="129"/>
      <c r="D3229" s="83"/>
      <c r="E3229" s="103"/>
      <c r="F3229" s="129"/>
    </row>
    <row r="3230" spans="1:6" ht="16" thickBot="1" x14ac:dyDescent="0.25">
      <c r="A3230" s="83"/>
      <c r="B3230" s="129"/>
      <c r="C3230" s="129"/>
      <c r="D3230" s="83"/>
      <c r="E3230" s="103"/>
      <c r="F3230" s="129"/>
    </row>
    <row r="3231" spans="1:6" ht="16" thickBot="1" x14ac:dyDescent="0.25">
      <c r="A3231" s="83"/>
      <c r="B3231" s="129"/>
      <c r="C3231" s="129"/>
      <c r="D3231" s="83"/>
      <c r="E3231" s="103"/>
      <c r="F3231" s="129"/>
    </row>
    <row r="3232" spans="1:6" ht="16" thickBot="1" x14ac:dyDescent="0.25">
      <c r="A3232" s="83"/>
      <c r="B3232" s="129"/>
      <c r="C3232" s="129"/>
      <c r="D3232" s="83"/>
      <c r="E3232" s="103"/>
      <c r="F3232" s="129"/>
    </row>
    <row r="3233" spans="1:6" ht="16" thickBot="1" x14ac:dyDescent="0.25">
      <c r="A3233" s="83"/>
      <c r="B3233" s="129"/>
      <c r="C3233" s="129"/>
      <c r="D3233" s="83"/>
      <c r="E3233" s="103"/>
      <c r="F3233" s="129"/>
    </row>
    <row r="3234" spans="1:6" ht="16" thickBot="1" x14ac:dyDescent="0.25">
      <c r="A3234" s="83"/>
      <c r="B3234" s="129"/>
      <c r="C3234" s="129"/>
      <c r="D3234" s="83"/>
      <c r="E3234" s="103"/>
      <c r="F3234" s="129"/>
    </row>
    <row r="3235" spans="1:6" ht="16" thickBot="1" x14ac:dyDescent="0.25">
      <c r="A3235" s="83"/>
      <c r="B3235" s="129"/>
      <c r="C3235" s="129"/>
      <c r="D3235" s="83"/>
      <c r="E3235" s="103"/>
      <c r="F3235" s="129"/>
    </row>
    <row r="3236" spans="1:6" ht="16" thickBot="1" x14ac:dyDescent="0.25">
      <c r="A3236" s="83"/>
      <c r="B3236" s="129"/>
      <c r="C3236" s="129"/>
      <c r="D3236" s="83"/>
      <c r="E3236" s="103"/>
      <c r="F3236" s="129"/>
    </row>
    <row r="3237" spans="1:6" ht="16" thickBot="1" x14ac:dyDescent="0.25">
      <c r="A3237" s="83"/>
      <c r="B3237" s="129"/>
      <c r="C3237" s="129"/>
      <c r="D3237" s="83"/>
      <c r="E3237" s="103"/>
      <c r="F3237" s="129"/>
    </row>
    <row r="3238" spans="1:6" ht="16" thickBot="1" x14ac:dyDescent="0.25">
      <c r="A3238" s="83"/>
      <c r="B3238" s="129"/>
      <c r="C3238" s="129"/>
      <c r="D3238" s="83"/>
      <c r="E3238" s="103"/>
      <c r="F3238" s="129"/>
    </row>
    <row r="3239" spans="1:6" ht="16" thickBot="1" x14ac:dyDescent="0.25">
      <c r="A3239" s="83"/>
      <c r="B3239" s="129"/>
      <c r="C3239" s="129"/>
      <c r="D3239" s="83"/>
      <c r="E3239" s="103"/>
      <c r="F3239" s="129"/>
    </row>
    <row r="3240" spans="1:6" ht="16" thickBot="1" x14ac:dyDescent="0.25">
      <c r="A3240" s="83"/>
      <c r="B3240" s="129"/>
      <c r="C3240" s="129"/>
      <c r="D3240" s="83"/>
      <c r="E3240" s="103"/>
      <c r="F3240" s="129"/>
    </row>
    <row r="3241" spans="1:6" ht="16" thickBot="1" x14ac:dyDescent="0.25">
      <c r="A3241" s="83"/>
      <c r="B3241" s="129"/>
      <c r="C3241" s="129"/>
      <c r="D3241" s="83"/>
      <c r="E3241" s="103"/>
      <c r="F3241" s="129"/>
    </row>
    <row r="3242" spans="1:6" ht="16" thickBot="1" x14ac:dyDescent="0.25">
      <c r="A3242" s="83"/>
      <c r="B3242" s="129"/>
      <c r="C3242" s="129"/>
      <c r="D3242" s="83"/>
      <c r="E3242" s="103"/>
      <c r="F3242" s="129"/>
    </row>
    <row r="3243" spans="1:6" ht="16" thickBot="1" x14ac:dyDescent="0.25">
      <c r="A3243" s="83"/>
      <c r="B3243" s="129"/>
      <c r="C3243" s="129"/>
      <c r="D3243" s="83"/>
      <c r="E3243" s="103"/>
      <c r="F3243" s="129"/>
    </row>
    <row r="3244" spans="1:6" ht="16" thickBot="1" x14ac:dyDescent="0.25">
      <c r="A3244" s="83"/>
      <c r="B3244" s="129"/>
      <c r="C3244" s="129"/>
      <c r="D3244" s="83"/>
      <c r="E3244" s="103"/>
      <c r="F3244" s="129"/>
    </row>
    <row r="3245" spans="1:6" ht="16" thickBot="1" x14ac:dyDescent="0.25">
      <c r="A3245" s="83"/>
      <c r="B3245" s="129"/>
      <c r="C3245" s="129"/>
      <c r="D3245" s="83"/>
      <c r="E3245" s="103"/>
      <c r="F3245" s="129"/>
    </row>
    <row r="3246" spans="1:6" ht="16" thickBot="1" x14ac:dyDescent="0.25">
      <c r="A3246" s="83"/>
      <c r="B3246" s="129"/>
      <c r="C3246" s="129"/>
      <c r="D3246" s="83"/>
      <c r="E3246" s="103"/>
      <c r="F3246" s="129"/>
    </row>
    <row r="3247" spans="1:6" ht="16" thickBot="1" x14ac:dyDescent="0.25">
      <c r="A3247" s="83"/>
      <c r="B3247" s="129"/>
      <c r="C3247" s="129"/>
      <c r="D3247" s="83"/>
      <c r="E3247" s="103"/>
      <c r="F3247" s="129"/>
    </row>
    <row r="3248" spans="1:6" ht="16" thickBot="1" x14ac:dyDescent="0.25">
      <c r="A3248" s="83"/>
      <c r="B3248" s="129"/>
      <c r="C3248" s="129"/>
      <c r="D3248" s="83"/>
      <c r="E3248" s="103"/>
      <c r="F3248" s="129"/>
    </row>
    <row r="3249" spans="1:6" ht="16" thickBot="1" x14ac:dyDescent="0.25">
      <c r="A3249" s="83"/>
      <c r="B3249" s="129"/>
      <c r="C3249" s="129"/>
      <c r="D3249" s="83"/>
      <c r="E3249" s="103"/>
      <c r="F3249" s="129"/>
    </row>
    <row r="3250" spans="1:6" ht="16" thickBot="1" x14ac:dyDescent="0.25">
      <c r="A3250" s="83"/>
      <c r="B3250" s="129"/>
      <c r="C3250" s="129"/>
      <c r="D3250" s="83"/>
      <c r="E3250" s="103"/>
      <c r="F3250" s="129"/>
    </row>
    <row r="3251" spans="1:6" ht="16" thickBot="1" x14ac:dyDescent="0.25">
      <c r="A3251" s="83"/>
      <c r="B3251" s="129"/>
      <c r="C3251" s="129"/>
      <c r="D3251" s="83"/>
      <c r="E3251" s="103"/>
      <c r="F3251" s="129"/>
    </row>
    <row r="3252" spans="1:6" ht="16" thickBot="1" x14ac:dyDescent="0.25">
      <c r="A3252" s="83"/>
      <c r="B3252" s="129"/>
      <c r="C3252" s="129"/>
      <c r="D3252" s="83"/>
      <c r="E3252" s="103"/>
      <c r="F3252" s="129"/>
    </row>
    <row r="3253" spans="1:6" ht="16" thickBot="1" x14ac:dyDescent="0.25">
      <c r="A3253" s="83"/>
      <c r="B3253" s="129"/>
      <c r="C3253" s="129"/>
      <c r="D3253" s="83"/>
      <c r="E3253" s="103"/>
      <c r="F3253" s="129"/>
    </row>
    <row r="3254" spans="1:6" ht="16" thickBot="1" x14ac:dyDescent="0.25">
      <c r="A3254" s="83"/>
      <c r="B3254" s="129"/>
      <c r="C3254" s="129"/>
      <c r="D3254" s="83"/>
      <c r="E3254" s="103"/>
      <c r="F3254" s="129"/>
    </row>
    <row r="3255" spans="1:6" ht="16" thickBot="1" x14ac:dyDescent="0.25">
      <c r="A3255" s="83"/>
      <c r="B3255" s="129"/>
      <c r="C3255" s="129"/>
      <c r="D3255" s="83"/>
      <c r="E3255" s="103"/>
      <c r="F3255" s="129"/>
    </row>
    <row r="3256" spans="1:6" ht="16" thickBot="1" x14ac:dyDescent="0.25">
      <c r="A3256" s="83"/>
      <c r="B3256" s="129"/>
      <c r="C3256" s="129"/>
      <c r="D3256" s="83"/>
      <c r="E3256" s="103"/>
      <c r="F3256" s="129"/>
    </row>
    <row r="3257" spans="1:6" ht="16" thickBot="1" x14ac:dyDescent="0.25">
      <c r="A3257" s="83"/>
      <c r="B3257" s="129"/>
      <c r="C3257" s="129"/>
      <c r="D3257" s="83"/>
      <c r="E3257" s="103"/>
      <c r="F3257" s="129"/>
    </row>
    <row r="3258" spans="1:6" ht="16" thickBot="1" x14ac:dyDescent="0.25">
      <c r="A3258" s="83"/>
      <c r="B3258" s="129"/>
      <c r="C3258" s="129"/>
      <c r="D3258" s="83"/>
      <c r="E3258" s="103"/>
      <c r="F3258" s="129"/>
    </row>
    <row r="3259" spans="1:6" ht="16" thickBot="1" x14ac:dyDescent="0.25">
      <c r="A3259" s="83"/>
      <c r="B3259" s="129"/>
      <c r="C3259" s="129"/>
      <c r="D3259" s="83"/>
      <c r="E3259" s="103"/>
      <c r="F3259" s="129"/>
    </row>
    <row r="3260" spans="1:6" ht="16" thickBot="1" x14ac:dyDescent="0.25">
      <c r="A3260" s="83"/>
      <c r="B3260" s="129"/>
      <c r="C3260" s="129"/>
      <c r="D3260" s="83"/>
      <c r="E3260" s="103"/>
      <c r="F3260" s="129"/>
    </row>
    <row r="3261" spans="1:6" ht="16" thickBot="1" x14ac:dyDescent="0.25">
      <c r="A3261" s="83"/>
      <c r="B3261" s="129"/>
      <c r="C3261" s="129"/>
      <c r="D3261" s="83"/>
      <c r="E3261" s="103"/>
      <c r="F3261" s="129"/>
    </row>
    <row r="3262" spans="1:6" ht="16" thickBot="1" x14ac:dyDescent="0.25">
      <c r="A3262" s="83"/>
      <c r="B3262" s="129"/>
      <c r="C3262" s="129"/>
      <c r="D3262" s="83"/>
      <c r="E3262" s="103"/>
      <c r="F3262" s="129"/>
    </row>
    <row r="3263" spans="1:6" ht="16" thickBot="1" x14ac:dyDescent="0.25">
      <c r="A3263" s="83"/>
      <c r="B3263" s="129"/>
      <c r="C3263" s="129"/>
      <c r="D3263" s="83"/>
      <c r="E3263" s="103"/>
      <c r="F3263" s="129"/>
    </row>
    <row r="3264" spans="1:6" ht="16" thickBot="1" x14ac:dyDescent="0.25">
      <c r="A3264" s="83"/>
      <c r="B3264" s="129"/>
      <c r="C3264" s="129"/>
      <c r="D3264" s="83"/>
      <c r="E3264" s="103"/>
      <c r="F3264" s="129"/>
    </row>
    <row r="3265" spans="1:6" ht="16" thickBot="1" x14ac:dyDescent="0.25">
      <c r="A3265" s="83"/>
      <c r="B3265" s="129"/>
      <c r="C3265" s="129"/>
      <c r="D3265" s="83"/>
      <c r="E3265" s="103"/>
      <c r="F3265" s="129"/>
    </row>
    <row r="3266" spans="1:6" ht="16" thickBot="1" x14ac:dyDescent="0.25">
      <c r="A3266" s="83"/>
      <c r="B3266" s="129"/>
      <c r="C3266" s="129"/>
      <c r="D3266" s="83"/>
      <c r="E3266" s="103"/>
      <c r="F3266" s="129"/>
    </row>
    <row r="3267" spans="1:6" ht="16" thickBot="1" x14ac:dyDescent="0.25">
      <c r="A3267" s="83"/>
      <c r="B3267" s="129"/>
      <c r="C3267" s="129"/>
      <c r="D3267" s="83"/>
      <c r="E3267" s="103"/>
      <c r="F3267" s="129"/>
    </row>
    <row r="3268" spans="1:6" ht="16" thickBot="1" x14ac:dyDescent="0.25">
      <c r="A3268" s="83"/>
      <c r="B3268" s="129"/>
      <c r="C3268" s="129"/>
      <c r="D3268" s="83"/>
      <c r="E3268" s="103"/>
      <c r="F3268" s="129"/>
    </row>
    <row r="3269" spans="1:6" ht="16" thickBot="1" x14ac:dyDescent="0.25">
      <c r="A3269" s="83"/>
      <c r="B3269" s="129"/>
      <c r="C3269" s="129"/>
      <c r="D3269" s="83"/>
      <c r="E3269" s="103"/>
      <c r="F3269" s="129"/>
    </row>
    <row r="3270" spans="1:6" ht="16" thickBot="1" x14ac:dyDescent="0.25">
      <c r="A3270" s="83"/>
      <c r="B3270" s="129"/>
      <c r="C3270" s="129"/>
      <c r="D3270" s="83"/>
      <c r="E3270" s="103"/>
      <c r="F3270" s="129"/>
    </row>
    <row r="3271" spans="1:6" ht="16" thickBot="1" x14ac:dyDescent="0.25">
      <c r="A3271" s="83"/>
      <c r="B3271" s="129"/>
      <c r="C3271" s="129"/>
      <c r="D3271" s="83"/>
      <c r="E3271" s="103"/>
      <c r="F3271" s="129"/>
    </row>
    <row r="3272" spans="1:6" ht="16" thickBot="1" x14ac:dyDescent="0.25">
      <c r="A3272" s="83"/>
      <c r="B3272" s="129"/>
      <c r="C3272" s="129"/>
      <c r="D3272" s="83"/>
      <c r="E3272" s="103"/>
      <c r="F3272" s="129"/>
    </row>
    <row r="3273" spans="1:6" ht="16" thickBot="1" x14ac:dyDescent="0.25">
      <c r="A3273" s="83"/>
      <c r="B3273" s="129"/>
      <c r="C3273" s="129"/>
      <c r="D3273" s="83"/>
      <c r="E3273" s="103"/>
      <c r="F3273" s="129"/>
    </row>
    <row r="3274" spans="1:6" ht="16" thickBot="1" x14ac:dyDescent="0.25">
      <c r="A3274" s="83"/>
      <c r="B3274" s="129"/>
      <c r="C3274" s="129"/>
      <c r="D3274" s="83"/>
      <c r="E3274" s="103"/>
      <c r="F3274" s="129"/>
    </row>
    <row r="3275" spans="1:6" ht="16" thickBot="1" x14ac:dyDescent="0.25">
      <c r="A3275" s="83"/>
      <c r="B3275" s="129"/>
      <c r="C3275" s="129"/>
      <c r="D3275" s="83"/>
      <c r="E3275" s="103"/>
      <c r="F3275" s="129"/>
    </row>
    <row r="3276" spans="1:6" ht="16" thickBot="1" x14ac:dyDescent="0.25">
      <c r="A3276" s="83"/>
      <c r="B3276" s="129"/>
      <c r="C3276" s="129"/>
      <c r="D3276" s="83"/>
      <c r="E3276" s="103"/>
      <c r="F3276" s="129"/>
    </row>
    <row r="3277" spans="1:6" ht="16" thickBot="1" x14ac:dyDescent="0.25">
      <c r="A3277" s="83"/>
      <c r="B3277" s="129"/>
      <c r="C3277" s="129"/>
      <c r="D3277" s="83"/>
      <c r="E3277" s="103"/>
      <c r="F3277" s="129"/>
    </row>
    <row r="3278" spans="1:6" ht="16" thickBot="1" x14ac:dyDescent="0.25">
      <c r="A3278" s="83"/>
      <c r="B3278" s="129"/>
      <c r="C3278" s="129"/>
      <c r="D3278" s="83"/>
      <c r="E3278" s="103"/>
      <c r="F3278" s="129"/>
    </row>
    <row r="3279" spans="1:6" ht="16" thickBot="1" x14ac:dyDescent="0.25">
      <c r="A3279" s="83"/>
      <c r="B3279" s="129"/>
      <c r="C3279" s="129"/>
      <c r="D3279" s="83"/>
      <c r="E3279" s="103"/>
      <c r="F3279" s="129"/>
    </row>
    <row r="3280" spans="1:6" ht="16" thickBot="1" x14ac:dyDescent="0.25">
      <c r="A3280" s="83"/>
      <c r="B3280" s="129"/>
      <c r="C3280" s="129"/>
      <c r="D3280" s="83"/>
      <c r="E3280" s="103"/>
      <c r="F3280" s="129"/>
    </row>
    <row r="3281" spans="1:6" ht="16" thickBot="1" x14ac:dyDescent="0.25">
      <c r="A3281" s="83"/>
      <c r="B3281" s="129"/>
      <c r="C3281" s="129"/>
      <c r="D3281" s="83"/>
      <c r="E3281" s="103"/>
      <c r="F3281" s="129"/>
    </row>
    <row r="3282" spans="1:6" ht="16" thickBot="1" x14ac:dyDescent="0.25">
      <c r="A3282" s="83"/>
      <c r="B3282" s="129"/>
      <c r="C3282" s="129"/>
      <c r="D3282" s="83"/>
      <c r="E3282" s="103"/>
      <c r="F3282" s="129"/>
    </row>
    <row r="3283" spans="1:6" ht="16" thickBot="1" x14ac:dyDescent="0.25">
      <c r="A3283" s="83"/>
      <c r="B3283" s="129"/>
      <c r="C3283" s="129"/>
      <c r="D3283" s="83"/>
      <c r="E3283" s="103"/>
      <c r="F3283" s="129"/>
    </row>
    <row r="3284" spans="1:6" ht="16" thickBot="1" x14ac:dyDescent="0.25">
      <c r="A3284" s="83"/>
      <c r="B3284" s="129"/>
      <c r="C3284" s="129"/>
      <c r="D3284" s="83"/>
      <c r="E3284" s="103"/>
      <c r="F3284" s="129"/>
    </row>
    <row r="3285" spans="1:6" ht="16" thickBot="1" x14ac:dyDescent="0.25">
      <c r="A3285" s="83"/>
      <c r="B3285" s="129"/>
      <c r="C3285" s="129"/>
      <c r="D3285" s="83"/>
      <c r="E3285" s="103"/>
      <c r="F3285" s="129"/>
    </row>
    <row r="3286" spans="1:6" ht="16" thickBot="1" x14ac:dyDescent="0.25">
      <c r="A3286" s="83"/>
      <c r="B3286" s="129"/>
      <c r="C3286" s="129"/>
      <c r="D3286" s="83"/>
      <c r="E3286" s="103"/>
      <c r="F3286" s="129"/>
    </row>
    <row r="3287" spans="1:6" ht="16" thickBot="1" x14ac:dyDescent="0.25">
      <c r="A3287" s="83"/>
      <c r="B3287" s="129"/>
      <c r="C3287" s="129"/>
      <c r="D3287" s="83"/>
      <c r="E3287" s="103"/>
      <c r="F3287" s="129"/>
    </row>
    <row r="3288" spans="1:6" ht="16" thickBot="1" x14ac:dyDescent="0.25">
      <c r="A3288" s="83"/>
      <c r="B3288" s="129"/>
      <c r="C3288" s="129"/>
      <c r="D3288" s="83"/>
      <c r="E3288" s="103"/>
      <c r="F3288" s="129"/>
    </row>
    <row r="3289" spans="1:6" ht="16" thickBot="1" x14ac:dyDescent="0.25">
      <c r="A3289" s="83"/>
      <c r="B3289" s="129"/>
      <c r="C3289" s="129"/>
      <c r="D3289" s="83"/>
      <c r="E3289" s="103"/>
      <c r="F3289" s="129"/>
    </row>
    <row r="3290" spans="1:6" ht="16" thickBot="1" x14ac:dyDescent="0.25">
      <c r="A3290" s="83"/>
      <c r="B3290" s="129"/>
      <c r="C3290" s="129"/>
      <c r="D3290" s="83"/>
      <c r="E3290" s="103"/>
      <c r="F3290" s="129"/>
    </row>
    <row r="3291" spans="1:6" ht="16" thickBot="1" x14ac:dyDescent="0.25">
      <c r="A3291" s="83"/>
      <c r="B3291" s="129"/>
      <c r="C3291" s="129"/>
      <c r="D3291" s="83"/>
      <c r="E3291" s="103"/>
      <c r="F3291" s="129"/>
    </row>
    <row r="3292" spans="1:6" ht="16" thickBot="1" x14ac:dyDescent="0.25">
      <c r="A3292" s="83"/>
      <c r="B3292" s="129"/>
      <c r="C3292" s="129"/>
      <c r="D3292" s="83"/>
      <c r="E3292" s="103"/>
      <c r="F3292" s="129"/>
    </row>
    <row r="3293" spans="1:6" ht="16" thickBot="1" x14ac:dyDescent="0.25">
      <c r="A3293" s="83"/>
      <c r="B3293" s="129"/>
      <c r="C3293" s="129"/>
      <c r="D3293" s="83"/>
      <c r="E3293" s="103"/>
      <c r="F3293" s="129"/>
    </row>
    <row r="3294" spans="1:6" ht="16" thickBot="1" x14ac:dyDescent="0.25">
      <c r="A3294" s="83"/>
      <c r="B3294" s="129"/>
      <c r="C3294" s="129"/>
      <c r="D3294" s="83"/>
      <c r="E3294" s="103"/>
      <c r="F3294" s="129"/>
    </row>
    <row r="3295" spans="1:6" ht="16" thickBot="1" x14ac:dyDescent="0.25">
      <c r="A3295" s="83"/>
      <c r="B3295" s="129"/>
      <c r="C3295" s="129"/>
      <c r="D3295" s="83"/>
      <c r="E3295" s="103"/>
      <c r="F3295" s="129"/>
    </row>
    <row r="3296" spans="1:6" ht="16" thickBot="1" x14ac:dyDescent="0.25">
      <c r="A3296" s="83"/>
      <c r="B3296" s="129"/>
      <c r="C3296" s="129"/>
      <c r="D3296" s="83"/>
      <c r="E3296" s="103"/>
      <c r="F3296" s="129"/>
    </row>
    <row r="3297" spans="1:6" ht="16" thickBot="1" x14ac:dyDescent="0.25">
      <c r="A3297" s="83"/>
      <c r="B3297" s="129"/>
      <c r="C3297" s="129"/>
      <c r="D3297" s="83"/>
      <c r="E3297" s="103"/>
      <c r="F3297" s="129"/>
    </row>
    <row r="3298" spans="1:6" ht="16" thickBot="1" x14ac:dyDescent="0.25">
      <c r="A3298" s="83"/>
      <c r="B3298" s="129"/>
      <c r="C3298" s="129"/>
      <c r="D3298" s="83"/>
      <c r="E3298" s="103"/>
      <c r="F3298" s="129"/>
    </row>
    <row r="3299" spans="1:6" ht="16" thickBot="1" x14ac:dyDescent="0.25">
      <c r="A3299" s="83"/>
      <c r="B3299" s="129"/>
      <c r="C3299" s="129"/>
      <c r="D3299" s="83"/>
      <c r="E3299" s="103"/>
      <c r="F3299" s="129"/>
    </row>
    <row r="3300" spans="1:6" ht="16" thickBot="1" x14ac:dyDescent="0.25">
      <c r="A3300" s="83"/>
      <c r="B3300" s="129"/>
      <c r="C3300" s="129"/>
      <c r="D3300" s="83"/>
      <c r="E3300" s="103"/>
      <c r="F3300" s="129"/>
    </row>
    <row r="3301" spans="1:6" ht="16" thickBot="1" x14ac:dyDescent="0.25">
      <c r="A3301" s="83"/>
      <c r="B3301" s="129"/>
      <c r="C3301" s="129"/>
      <c r="D3301" s="83"/>
      <c r="E3301" s="103"/>
      <c r="F3301" s="129"/>
    </row>
    <row r="3302" spans="1:6" ht="16" thickBot="1" x14ac:dyDescent="0.25">
      <c r="A3302" s="83"/>
      <c r="B3302" s="129"/>
      <c r="C3302" s="129"/>
      <c r="D3302" s="83"/>
      <c r="E3302" s="103"/>
      <c r="F3302" s="129"/>
    </row>
    <row r="3303" spans="1:6" ht="16" thickBot="1" x14ac:dyDescent="0.25">
      <c r="A3303" s="83"/>
      <c r="B3303" s="129"/>
      <c r="C3303" s="129"/>
      <c r="D3303" s="83"/>
      <c r="E3303" s="103"/>
      <c r="F3303" s="129"/>
    </row>
    <row r="3304" spans="1:6" ht="16" thickBot="1" x14ac:dyDescent="0.25">
      <c r="A3304" s="83"/>
      <c r="B3304" s="129"/>
      <c r="C3304" s="129"/>
      <c r="D3304" s="83"/>
      <c r="E3304" s="103"/>
      <c r="F3304" s="129"/>
    </row>
    <row r="3305" spans="1:6" ht="16" thickBot="1" x14ac:dyDescent="0.25">
      <c r="A3305" s="83"/>
      <c r="B3305" s="129"/>
      <c r="C3305" s="129"/>
      <c r="D3305" s="83"/>
      <c r="E3305" s="103"/>
      <c r="F3305" s="129"/>
    </row>
    <row r="3306" spans="1:6" ht="16" thickBot="1" x14ac:dyDescent="0.25">
      <c r="A3306" s="83"/>
      <c r="B3306" s="129"/>
      <c r="C3306" s="129"/>
      <c r="D3306" s="83"/>
      <c r="E3306" s="103"/>
      <c r="F3306" s="129"/>
    </row>
    <row r="3307" spans="1:6" ht="16" thickBot="1" x14ac:dyDescent="0.25">
      <c r="A3307" s="83"/>
      <c r="B3307" s="129"/>
      <c r="C3307" s="129"/>
      <c r="D3307" s="83"/>
      <c r="E3307" s="103"/>
      <c r="F3307" s="129"/>
    </row>
    <row r="3308" spans="1:6" ht="16" thickBot="1" x14ac:dyDescent="0.25">
      <c r="A3308" s="83"/>
      <c r="B3308" s="129"/>
      <c r="C3308" s="129"/>
      <c r="D3308" s="83"/>
      <c r="E3308" s="103"/>
      <c r="F3308" s="129"/>
    </row>
    <row r="3309" spans="1:6" ht="16" thickBot="1" x14ac:dyDescent="0.25">
      <c r="A3309" s="83"/>
      <c r="B3309" s="129"/>
      <c r="C3309" s="129"/>
      <c r="D3309" s="83"/>
      <c r="E3309" s="103"/>
      <c r="F3309" s="129"/>
    </row>
    <row r="3310" spans="1:6" ht="16" thickBot="1" x14ac:dyDescent="0.25">
      <c r="A3310" s="83"/>
      <c r="B3310" s="129"/>
      <c r="C3310" s="129"/>
      <c r="D3310" s="83"/>
      <c r="E3310" s="103"/>
      <c r="F3310" s="129"/>
    </row>
    <row r="3311" spans="1:6" ht="16" thickBot="1" x14ac:dyDescent="0.25">
      <c r="A3311" s="83"/>
      <c r="B3311" s="129"/>
      <c r="C3311" s="129"/>
      <c r="D3311" s="83"/>
      <c r="E3311" s="103"/>
      <c r="F3311" s="129"/>
    </row>
    <row r="3312" spans="1:6" ht="16" thickBot="1" x14ac:dyDescent="0.25">
      <c r="A3312" s="83"/>
      <c r="B3312" s="129"/>
      <c r="C3312" s="129"/>
      <c r="D3312" s="83"/>
      <c r="E3312" s="103"/>
      <c r="F3312" s="129"/>
    </row>
    <row r="3313" spans="1:6" ht="16" thickBot="1" x14ac:dyDescent="0.25">
      <c r="A3313" s="83"/>
      <c r="B3313" s="129"/>
      <c r="C3313" s="129"/>
      <c r="D3313" s="83"/>
      <c r="E3313" s="103"/>
      <c r="F3313" s="129"/>
    </row>
    <row r="3314" spans="1:6" ht="16" thickBot="1" x14ac:dyDescent="0.25">
      <c r="A3314" s="83"/>
      <c r="B3314" s="129"/>
      <c r="C3314" s="129"/>
      <c r="D3314" s="83"/>
      <c r="E3314" s="103"/>
      <c r="F3314" s="129"/>
    </row>
    <row r="3315" spans="1:6" ht="16" thickBot="1" x14ac:dyDescent="0.25">
      <c r="A3315" s="83"/>
      <c r="B3315" s="129"/>
      <c r="C3315" s="129"/>
      <c r="D3315" s="83"/>
      <c r="E3315" s="103"/>
      <c r="F3315" s="129"/>
    </row>
    <row r="3316" spans="1:6" ht="16" thickBot="1" x14ac:dyDescent="0.25">
      <c r="A3316" s="83"/>
      <c r="B3316" s="129"/>
      <c r="C3316" s="129"/>
      <c r="D3316" s="83"/>
      <c r="E3316" s="103"/>
      <c r="F3316" s="129"/>
    </row>
    <row r="3317" spans="1:6" ht="16" thickBot="1" x14ac:dyDescent="0.25">
      <c r="A3317" s="83"/>
      <c r="B3317" s="129"/>
      <c r="C3317" s="129"/>
      <c r="D3317" s="83"/>
      <c r="E3317" s="103"/>
      <c r="F3317" s="129"/>
    </row>
    <row r="3318" spans="1:6" ht="16" thickBot="1" x14ac:dyDescent="0.25">
      <c r="A3318" s="83"/>
      <c r="B3318" s="129"/>
      <c r="C3318" s="129"/>
      <c r="D3318" s="83"/>
      <c r="E3318" s="103"/>
      <c r="F3318" s="129"/>
    </row>
    <row r="3319" spans="1:6" ht="16" thickBot="1" x14ac:dyDescent="0.25">
      <c r="A3319" s="83"/>
      <c r="B3319" s="129"/>
      <c r="C3319" s="129"/>
      <c r="D3319" s="83"/>
      <c r="E3319" s="103"/>
      <c r="F3319" s="129"/>
    </row>
    <row r="3320" spans="1:6" ht="16" thickBot="1" x14ac:dyDescent="0.25">
      <c r="A3320" s="83"/>
      <c r="B3320" s="129"/>
      <c r="C3320" s="129"/>
      <c r="D3320" s="83"/>
      <c r="E3320" s="103"/>
      <c r="F3320" s="129"/>
    </row>
    <row r="3321" spans="1:6" ht="16" thickBot="1" x14ac:dyDescent="0.25">
      <c r="A3321" s="83"/>
      <c r="B3321" s="129"/>
      <c r="C3321" s="129"/>
      <c r="D3321" s="83"/>
      <c r="E3321" s="103"/>
      <c r="F3321" s="129"/>
    </row>
    <row r="3322" spans="1:6" ht="16" thickBot="1" x14ac:dyDescent="0.25">
      <c r="A3322" s="83"/>
      <c r="B3322" s="129"/>
      <c r="C3322" s="129"/>
      <c r="D3322" s="83"/>
      <c r="E3322" s="103"/>
      <c r="F3322" s="129"/>
    </row>
    <row r="3323" spans="1:6" ht="16" thickBot="1" x14ac:dyDescent="0.25">
      <c r="A3323" s="83"/>
      <c r="B3323" s="129"/>
      <c r="C3323" s="129"/>
      <c r="D3323" s="83"/>
      <c r="E3323" s="103"/>
      <c r="F3323" s="129"/>
    </row>
    <row r="3324" spans="1:6" ht="16" thickBot="1" x14ac:dyDescent="0.25">
      <c r="A3324" s="83"/>
      <c r="B3324" s="129"/>
      <c r="C3324" s="129"/>
      <c r="D3324" s="83"/>
      <c r="E3324" s="103"/>
      <c r="F3324" s="129"/>
    </row>
    <row r="3325" spans="1:6" ht="16" thickBot="1" x14ac:dyDescent="0.25">
      <c r="A3325" s="83"/>
      <c r="B3325" s="129"/>
      <c r="C3325" s="129"/>
      <c r="D3325" s="83"/>
      <c r="E3325" s="103"/>
      <c r="F3325" s="129"/>
    </row>
    <row r="3326" spans="1:6" ht="16" thickBot="1" x14ac:dyDescent="0.25">
      <c r="A3326" s="83"/>
      <c r="B3326" s="129"/>
      <c r="C3326" s="129"/>
      <c r="D3326" s="83"/>
      <c r="E3326" s="103"/>
      <c r="F3326" s="129"/>
    </row>
    <row r="3327" spans="1:6" ht="16" thickBot="1" x14ac:dyDescent="0.25">
      <c r="A3327" s="83"/>
      <c r="B3327" s="129"/>
      <c r="C3327" s="129"/>
      <c r="D3327" s="83"/>
      <c r="E3327" s="103"/>
      <c r="F3327" s="129"/>
    </row>
    <row r="3328" spans="1:6" ht="16" thickBot="1" x14ac:dyDescent="0.25">
      <c r="A3328" s="83"/>
      <c r="B3328" s="129"/>
      <c r="C3328" s="129"/>
      <c r="D3328" s="83"/>
      <c r="E3328" s="103"/>
      <c r="F3328" s="129"/>
    </row>
    <row r="3329" spans="1:6" ht="16" thickBot="1" x14ac:dyDescent="0.25">
      <c r="A3329" s="83"/>
      <c r="B3329" s="129"/>
      <c r="C3329" s="129"/>
      <c r="D3329" s="83"/>
      <c r="E3329" s="103"/>
      <c r="F3329" s="129"/>
    </row>
    <row r="3330" spans="1:6" ht="16" thickBot="1" x14ac:dyDescent="0.25">
      <c r="A3330" s="83"/>
      <c r="B3330" s="129"/>
      <c r="C3330" s="129"/>
      <c r="D3330" s="83"/>
      <c r="E3330" s="103"/>
      <c r="F3330" s="129"/>
    </row>
    <row r="3331" spans="1:6" ht="16" thickBot="1" x14ac:dyDescent="0.25">
      <c r="A3331" s="83"/>
      <c r="B3331" s="129"/>
      <c r="C3331" s="129"/>
      <c r="D3331" s="83"/>
      <c r="E3331" s="103"/>
      <c r="F3331" s="129"/>
    </row>
    <row r="3332" spans="1:6" ht="16" thickBot="1" x14ac:dyDescent="0.25">
      <c r="A3332" s="83"/>
      <c r="B3332" s="129"/>
      <c r="C3332" s="129"/>
      <c r="D3332" s="83"/>
      <c r="E3332" s="103"/>
      <c r="F3332" s="129"/>
    </row>
    <row r="3333" spans="1:6" ht="16" thickBot="1" x14ac:dyDescent="0.25">
      <c r="A3333" s="83"/>
      <c r="B3333" s="129"/>
      <c r="C3333" s="129"/>
      <c r="D3333" s="83"/>
      <c r="E3333" s="103"/>
      <c r="F3333" s="129"/>
    </row>
    <row r="3334" spans="1:6" ht="16" thickBot="1" x14ac:dyDescent="0.25">
      <c r="A3334" s="83"/>
      <c r="B3334" s="129"/>
      <c r="C3334" s="129"/>
      <c r="D3334" s="83"/>
      <c r="E3334" s="103"/>
      <c r="F3334" s="129"/>
    </row>
    <row r="3335" spans="1:6" ht="16" thickBot="1" x14ac:dyDescent="0.25">
      <c r="A3335" s="83"/>
      <c r="B3335" s="129"/>
      <c r="C3335" s="129"/>
      <c r="D3335" s="83"/>
      <c r="E3335" s="103"/>
      <c r="F3335" s="129"/>
    </row>
    <row r="3336" spans="1:6" ht="16" thickBot="1" x14ac:dyDescent="0.25">
      <c r="A3336" s="83"/>
      <c r="B3336" s="129"/>
      <c r="C3336" s="129"/>
      <c r="D3336" s="83"/>
      <c r="E3336" s="103"/>
      <c r="F3336" s="129"/>
    </row>
    <row r="3337" spans="1:6" ht="16" thickBot="1" x14ac:dyDescent="0.25">
      <c r="A3337" s="83"/>
      <c r="B3337" s="129"/>
      <c r="C3337" s="129"/>
      <c r="D3337" s="83"/>
      <c r="E3337" s="103"/>
      <c r="F3337" s="129"/>
    </row>
    <row r="3338" spans="1:6" ht="16" thickBot="1" x14ac:dyDescent="0.25">
      <c r="A3338" s="83"/>
      <c r="B3338" s="129"/>
      <c r="C3338" s="129"/>
      <c r="D3338" s="83"/>
      <c r="E3338" s="103"/>
      <c r="F3338" s="129"/>
    </row>
    <row r="3339" spans="1:6" ht="16" thickBot="1" x14ac:dyDescent="0.25">
      <c r="A3339" s="83"/>
      <c r="B3339" s="129"/>
      <c r="C3339" s="129"/>
      <c r="D3339" s="83"/>
      <c r="E3339" s="103"/>
      <c r="F3339" s="129"/>
    </row>
    <row r="3340" spans="1:6" ht="16" thickBot="1" x14ac:dyDescent="0.25">
      <c r="A3340" s="83"/>
      <c r="B3340" s="129"/>
      <c r="C3340" s="129"/>
      <c r="D3340" s="83"/>
      <c r="E3340" s="103"/>
      <c r="F3340" s="129"/>
    </row>
    <row r="3341" spans="1:6" ht="16" thickBot="1" x14ac:dyDescent="0.25">
      <c r="A3341" s="83"/>
      <c r="B3341" s="129"/>
      <c r="C3341" s="129"/>
      <c r="D3341" s="83"/>
      <c r="E3341" s="103"/>
      <c r="F3341" s="129"/>
    </row>
    <row r="3342" spans="1:6" ht="16" thickBot="1" x14ac:dyDescent="0.25">
      <c r="A3342" s="83"/>
      <c r="B3342" s="129"/>
      <c r="C3342" s="129"/>
      <c r="D3342" s="83"/>
      <c r="E3342" s="103"/>
      <c r="F3342" s="129"/>
    </row>
    <row r="3343" spans="1:6" ht="16" thickBot="1" x14ac:dyDescent="0.25">
      <c r="A3343" s="83"/>
      <c r="B3343" s="129"/>
      <c r="C3343" s="129"/>
      <c r="D3343" s="83"/>
      <c r="E3343" s="103"/>
      <c r="F3343" s="129"/>
    </row>
    <row r="3344" spans="1:6" ht="16" thickBot="1" x14ac:dyDescent="0.25">
      <c r="A3344" s="83"/>
      <c r="B3344" s="129"/>
      <c r="C3344" s="129"/>
      <c r="D3344" s="83"/>
      <c r="E3344" s="103"/>
      <c r="F3344" s="129"/>
    </row>
    <row r="3345" spans="1:6" ht="16" thickBot="1" x14ac:dyDescent="0.25">
      <c r="A3345" s="83"/>
      <c r="B3345" s="129"/>
      <c r="C3345" s="129"/>
      <c r="D3345" s="83"/>
      <c r="E3345" s="103"/>
      <c r="F3345" s="129"/>
    </row>
    <row r="3346" spans="1:6" ht="16" thickBot="1" x14ac:dyDescent="0.25">
      <c r="A3346" s="83"/>
      <c r="B3346" s="129"/>
      <c r="C3346" s="129"/>
      <c r="D3346" s="83"/>
      <c r="E3346" s="103"/>
      <c r="F3346" s="129"/>
    </row>
    <row r="3347" spans="1:6" ht="16" thickBot="1" x14ac:dyDescent="0.25">
      <c r="A3347" s="83"/>
      <c r="B3347" s="129"/>
      <c r="C3347" s="129"/>
      <c r="D3347" s="83"/>
      <c r="E3347" s="103"/>
      <c r="F3347" s="129"/>
    </row>
    <row r="3348" spans="1:6" ht="16" thickBot="1" x14ac:dyDescent="0.25">
      <c r="A3348" s="83"/>
      <c r="B3348" s="129"/>
      <c r="C3348" s="129"/>
      <c r="D3348" s="83"/>
      <c r="E3348" s="103"/>
      <c r="F3348" s="129"/>
    </row>
    <row r="3349" spans="1:6" ht="16" thickBot="1" x14ac:dyDescent="0.25">
      <c r="A3349" s="83"/>
      <c r="B3349" s="129"/>
      <c r="C3349" s="129"/>
      <c r="D3349" s="83"/>
      <c r="E3349" s="103"/>
      <c r="F3349" s="129"/>
    </row>
    <row r="3350" spans="1:6" ht="16" thickBot="1" x14ac:dyDescent="0.25">
      <c r="A3350" s="83"/>
      <c r="B3350" s="129"/>
      <c r="C3350" s="129"/>
      <c r="D3350" s="83"/>
      <c r="E3350" s="103"/>
      <c r="F3350" s="129"/>
    </row>
    <row r="3351" spans="1:6" ht="16" thickBot="1" x14ac:dyDescent="0.25">
      <c r="A3351" s="83"/>
      <c r="B3351" s="129"/>
      <c r="C3351" s="129"/>
      <c r="D3351" s="83"/>
      <c r="E3351" s="103"/>
      <c r="F3351" s="129"/>
    </row>
    <row r="3352" spans="1:6" ht="16" thickBot="1" x14ac:dyDescent="0.25">
      <c r="A3352" s="83"/>
      <c r="B3352" s="129"/>
      <c r="C3352" s="129"/>
      <c r="D3352" s="83"/>
      <c r="E3352" s="103"/>
      <c r="F3352" s="129"/>
    </row>
    <row r="3353" spans="1:6" ht="16" thickBot="1" x14ac:dyDescent="0.25">
      <c r="A3353" s="83"/>
      <c r="B3353" s="129"/>
      <c r="C3353" s="129"/>
      <c r="D3353" s="83"/>
      <c r="E3353" s="103"/>
      <c r="F3353" s="129"/>
    </row>
    <row r="3354" spans="1:6" ht="16" thickBot="1" x14ac:dyDescent="0.25">
      <c r="A3354" s="83"/>
      <c r="B3354" s="129"/>
      <c r="C3354" s="129"/>
      <c r="D3354" s="83"/>
      <c r="E3354" s="103"/>
      <c r="F3354" s="129"/>
    </row>
    <row r="3355" spans="1:6" ht="16" thickBot="1" x14ac:dyDescent="0.25">
      <c r="A3355" s="83"/>
      <c r="B3355" s="129"/>
      <c r="C3355" s="129"/>
      <c r="D3355" s="83"/>
      <c r="E3355" s="103"/>
      <c r="F3355" s="129"/>
    </row>
    <row r="3356" spans="1:6" ht="16" thickBot="1" x14ac:dyDescent="0.25">
      <c r="A3356" s="83"/>
      <c r="B3356" s="129"/>
      <c r="C3356" s="129"/>
      <c r="D3356" s="83"/>
      <c r="E3356" s="103"/>
      <c r="F3356" s="129"/>
    </row>
    <row r="3357" spans="1:6" ht="16" thickBot="1" x14ac:dyDescent="0.25">
      <c r="A3357" s="83"/>
      <c r="B3357" s="129"/>
      <c r="C3357" s="129"/>
      <c r="D3357" s="83"/>
      <c r="E3357" s="103"/>
      <c r="F3357" s="129"/>
    </row>
    <row r="3358" spans="1:6" ht="16" thickBot="1" x14ac:dyDescent="0.25">
      <c r="A3358" s="83"/>
      <c r="B3358" s="129"/>
      <c r="C3358" s="129"/>
      <c r="D3358" s="83"/>
      <c r="E3358" s="103"/>
      <c r="F3358" s="129"/>
    </row>
    <row r="3359" spans="1:6" ht="16" thickBot="1" x14ac:dyDescent="0.25">
      <c r="A3359" s="83"/>
      <c r="B3359" s="129"/>
      <c r="C3359" s="129"/>
      <c r="D3359" s="83"/>
      <c r="E3359" s="103"/>
      <c r="F3359" s="129"/>
    </row>
    <row r="3360" spans="1:6" ht="16" thickBot="1" x14ac:dyDescent="0.25">
      <c r="A3360" s="83"/>
      <c r="B3360" s="129"/>
      <c r="C3360" s="129"/>
      <c r="D3360" s="83"/>
      <c r="E3360" s="103"/>
      <c r="F3360" s="129"/>
    </row>
    <row r="3361" spans="1:6" ht="16" thickBot="1" x14ac:dyDescent="0.25">
      <c r="A3361" s="83"/>
      <c r="B3361" s="129"/>
      <c r="C3361" s="129"/>
      <c r="D3361" s="83"/>
      <c r="E3361" s="103"/>
      <c r="F3361" s="129"/>
    </row>
    <row r="3362" spans="1:6" ht="16" thickBot="1" x14ac:dyDescent="0.25">
      <c r="A3362" s="83"/>
      <c r="B3362" s="129"/>
      <c r="C3362" s="129"/>
      <c r="D3362" s="83"/>
      <c r="E3362" s="103"/>
      <c r="F3362" s="129"/>
    </row>
    <row r="3363" spans="1:6" ht="16" thickBot="1" x14ac:dyDescent="0.25">
      <c r="A3363" s="83"/>
      <c r="B3363" s="129"/>
      <c r="C3363" s="129"/>
      <c r="D3363" s="83"/>
      <c r="E3363" s="103"/>
      <c r="F3363" s="129"/>
    </row>
    <row r="3364" spans="1:6" ht="16" thickBot="1" x14ac:dyDescent="0.25">
      <c r="A3364" s="83"/>
      <c r="B3364" s="129"/>
      <c r="C3364" s="129"/>
      <c r="D3364" s="83"/>
      <c r="E3364" s="103"/>
      <c r="F3364" s="129"/>
    </row>
    <row r="3365" spans="1:6" ht="16" thickBot="1" x14ac:dyDescent="0.25">
      <c r="A3365" s="83"/>
      <c r="B3365" s="129"/>
      <c r="C3365" s="129"/>
      <c r="D3365" s="83"/>
      <c r="E3365" s="103"/>
      <c r="F3365" s="129"/>
    </row>
    <row r="3366" spans="1:6" ht="16" thickBot="1" x14ac:dyDescent="0.25">
      <c r="A3366" s="83"/>
      <c r="B3366" s="129"/>
      <c r="C3366" s="129"/>
      <c r="D3366" s="83"/>
      <c r="E3366" s="103"/>
      <c r="F3366" s="129"/>
    </row>
    <row r="3367" spans="1:6" ht="16" thickBot="1" x14ac:dyDescent="0.25">
      <c r="A3367" s="83"/>
      <c r="B3367" s="129"/>
      <c r="C3367" s="129"/>
      <c r="D3367" s="83"/>
      <c r="E3367" s="103"/>
      <c r="F3367" s="129"/>
    </row>
    <row r="3368" spans="1:6" ht="16" thickBot="1" x14ac:dyDescent="0.25">
      <c r="A3368" s="83"/>
      <c r="B3368" s="129"/>
      <c r="C3368" s="129"/>
      <c r="D3368" s="83"/>
      <c r="E3368" s="103"/>
      <c r="F3368" s="129"/>
    </row>
    <row r="3369" spans="1:6" ht="16" thickBot="1" x14ac:dyDescent="0.25">
      <c r="A3369" s="83"/>
      <c r="B3369" s="129"/>
      <c r="C3369" s="129"/>
      <c r="D3369" s="83"/>
      <c r="E3369" s="103"/>
      <c r="F3369" s="129"/>
    </row>
    <row r="3370" spans="1:6" ht="16" thickBot="1" x14ac:dyDescent="0.25">
      <c r="A3370" s="83"/>
      <c r="B3370" s="129"/>
      <c r="C3370" s="129"/>
      <c r="D3370" s="83"/>
      <c r="E3370" s="103"/>
      <c r="F3370" s="129"/>
    </row>
    <row r="3371" spans="1:6" ht="16" thickBot="1" x14ac:dyDescent="0.25">
      <c r="A3371" s="83"/>
      <c r="B3371" s="129"/>
      <c r="C3371" s="129"/>
      <c r="D3371" s="83"/>
      <c r="E3371" s="103"/>
      <c r="F3371" s="129"/>
    </row>
    <row r="3372" spans="1:6" ht="16" thickBot="1" x14ac:dyDescent="0.25">
      <c r="A3372" s="83"/>
      <c r="B3372" s="129"/>
      <c r="C3372" s="129"/>
      <c r="D3372" s="83"/>
      <c r="E3372" s="103"/>
      <c r="F3372" s="129"/>
    </row>
    <row r="3373" spans="1:6" ht="16" thickBot="1" x14ac:dyDescent="0.25">
      <c r="A3373" s="83"/>
      <c r="B3373" s="129"/>
      <c r="C3373" s="129"/>
      <c r="D3373" s="83"/>
      <c r="E3373" s="103"/>
      <c r="F3373" s="129"/>
    </row>
    <row r="3374" spans="1:6" ht="16" thickBot="1" x14ac:dyDescent="0.25">
      <c r="A3374" s="83"/>
      <c r="B3374" s="129"/>
      <c r="C3374" s="129"/>
      <c r="D3374" s="83"/>
      <c r="E3374" s="103"/>
      <c r="F3374" s="129"/>
    </row>
    <row r="3375" spans="1:6" ht="16" thickBot="1" x14ac:dyDescent="0.25">
      <c r="A3375" s="83"/>
      <c r="B3375" s="129"/>
      <c r="C3375" s="129"/>
      <c r="D3375" s="83"/>
      <c r="E3375" s="103"/>
      <c r="F3375" s="129"/>
    </row>
    <row r="3376" spans="1:6" ht="16" thickBot="1" x14ac:dyDescent="0.25">
      <c r="A3376" s="83"/>
      <c r="B3376" s="129"/>
      <c r="C3376" s="129"/>
      <c r="D3376" s="83"/>
      <c r="E3376" s="103"/>
      <c r="F3376" s="129"/>
    </row>
    <row r="3377" spans="1:6" ht="16" thickBot="1" x14ac:dyDescent="0.25">
      <c r="A3377" s="83"/>
      <c r="B3377" s="129"/>
      <c r="C3377" s="129"/>
      <c r="D3377" s="83"/>
      <c r="E3377" s="103"/>
      <c r="F3377" s="129"/>
    </row>
    <row r="3378" spans="1:6" ht="16" thickBot="1" x14ac:dyDescent="0.25">
      <c r="A3378" s="83"/>
      <c r="B3378" s="129"/>
      <c r="C3378" s="129"/>
      <c r="D3378" s="83"/>
      <c r="E3378" s="103"/>
      <c r="F3378" s="129"/>
    </row>
    <row r="3379" spans="1:6" ht="16" thickBot="1" x14ac:dyDescent="0.25">
      <c r="A3379" s="83"/>
      <c r="B3379" s="129"/>
      <c r="C3379" s="129"/>
      <c r="D3379" s="83"/>
      <c r="E3379" s="103"/>
      <c r="F3379" s="129"/>
    </row>
    <row r="3380" spans="1:6" ht="16" thickBot="1" x14ac:dyDescent="0.25">
      <c r="A3380" s="83"/>
      <c r="B3380" s="129"/>
      <c r="C3380" s="129"/>
      <c r="D3380" s="83"/>
      <c r="E3380" s="103"/>
      <c r="F3380" s="129"/>
    </row>
    <row r="3381" spans="1:6" ht="16" thickBot="1" x14ac:dyDescent="0.25">
      <c r="A3381" s="83"/>
      <c r="B3381" s="129"/>
      <c r="C3381" s="129"/>
      <c r="D3381" s="83"/>
      <c r="E3381" s="103"/>
      <c r="F3381" s="129"/>
    </row>
    <row r="3382" spans="1:6" ht="16" thickBot="1" x14ac:dyDescent="0.25">
      <c r="A3382" s="83"/>
      <c r="B3382" s="129"/>
      <c r="C3382" s="129"/>
      <c r="D3382" s="83"/>
      <c r="E3382" s="103"/>
      <c r="F3382" s="129"/>
    </row>
    <row r="3383" spans="1:6" ht="16" thickBot="1" x14ac:dyDescent="0.25">
      <c r="A3383" s="83"/>
      <c r="B3383" s="129"/>
      <c r="C3383" s="129"/>
      <c r="D3383" s="83"/>
      <c r="E3383" s="103"/>
      <c r="F3383" s="129"/>
    </row>
    <row r="3384" spans="1:6" ht="16" thickBot="1" x14ac:dyDescent="0.25">
      <c r="A3384" s="83"/>
      <c r="B3384" s="129"/>
      <c r="C3384" s="129"/>
      <c r="D3384" s="83"/>
      <c r="E3384" s="103"/>
      <c r="F3384" s="129"/>
    </row>
    <row r="3385" spans="1:6" ht="16" thickBot="1" x14ac:dyDescent="0.25">
      <c r="A3385" s="83"/>
      <c r="B3385" s="129"/>
      <c r="C3385" s="129"/>
      <c r="D3385" s="83"/>
      <c r="E3385" s="103"/>
      <c r="F3385" s="129"/>
    </row>
    <row r="3386" spans="1:6" ht="16" thickBot="1" x14ac:dyDescent="0.25">
      <c r="A3386" s="83"/>
      <c r="B3386" s="129"/>
      <c r="C3386" s="129"/>
      <c r="D3386" s="83"/>
      <c r="E3386" s="103"/>
      <c r="F3386" s="129"/>
    </row>
    <row r="3387" spans="1:6" ht="16" thickBot="1" x14ac:dyDescent="0.25">
      <c r="A3387" s="83"/>
      <c r="B3387" s="129"/>
      <c r="C3387" s="129"/>
      <c r="D3387" s="83"/>
      <c r="E3387" s="103"/>
      <c r="F3387" s="129"/>
    </row>
    <row r="3388" spans="1:6" ht="16" thickBot="1" x14ac:dyDescent="0.25">
      <c r="A3388" s="83"/>
      <c r="B3388" s="129"/>
      <c r="C3388" s="129"/>
      <c r="D3388" s="83"/>
      <c r="E3388" s="103"/>
      <c r="F3388" s="129"/>
    </row>
    <row r="3389" spans="1:6" ht="16" thickBot="1" x14ac:dyDescent="0.25">
      <c r="A3389" s="83"/>
      <c r="B3389" s="129"/>
      <c r="C3389" s="129"/>
      <c r="D3389" s="83"/>
      <c r="E3389" s="103"/>
      <c r="F3389" s="129"/>
    </row>
    <row r="3390" spans="1:6" ht="16" thickBot="1" x14ac:dyDescent="0.25">
      <c r="A3390" s="83"/>
      <c r="B3390" s="129"/>
      <c r="C3390" s="129"/>
      <c r="D3390" s="83"/>
      <c r="E3390" s="103"/>
      <c r="F3390" s="129"/>
    </row>
    <row r="3391" spans="1:6" ht="16" thickBot="1" x14ac:dyDescent="0.25">
      <c r="A3391" s="83"/>
      <c r="B3391" s="129"/>
      <c r="C3391" s="129"/>
      <c r="D3391" s="83"/>
      <c r="E3391" s="103"/>
      <c r="F3391" s="129"/>
    </row>
    <row r="3392" spans="1:6" ht="16" thickBot="1" x14ac:dyDescent="0.25">
      <c r="A3392" s="83"/>
      <c r="B3392" s="129"/>
      <c r="C3392" s="129"/>
      <c r="D3392" s="83"/>
      <c r="E3392" s="103"/>
      <c r="F3392" s="129"/>
    </row>
    <row r="3393" spans="1:6" ht="16" thickBot="1" x14ac:dyDescent="0.25">
      <c r="A3393" s="83"/>
      <c r="B3393" s="129"/>
      <c r="C3393" s="129"/>
      <c r="D3393" s="83"/>
      <c r="E3393" s="103"/>
      <c r="F3393" s="129"/>
    </row>
    <row r="3394" spans="1:6" ht="16" thickBot="1" x14ac:dyDescent="0.25">
      <c r="A3394" s="83"/>
      <c r="B3394" s="129"/>
      <c r="C3394" s="129"/>
      <c r="D3394" s="83"/>
      <c r="E3394" s="83"/>
      <c r="F3394" s="129"/>
    </row>
    <row r="3395" spans="1:6" ht="16" thickBot="1" x14ac:dyDescent="0.25">
      <c r="A3395" s="83"/>
      <c r="B3395" s="129"/>
      <c r="C3395" s="129"/>
      <c r="D3395" s="83"/>
      <c r="E3395" s="103"/>
      <c r="F3395" s="129"/>
    </row>
    <row r="3396" spans="1:6" ht="16" thickBot="1" x14ac:dyDescent="0.25">
      <c r="A3396" s="83"/>
      <c r="B3396" s="129"/>
      <c r="C3396" s="129"/>
      <c r="D3396" s="83"/>
      <c r="E3396" s="103"/>
      <c r="F3396" s="129"/>
    </row>
    <row r="3397" spans="1:6" ht="16" thickBot="1" x14ac:dyDescent="0.25">
      <c r="A3397" s="83"/>
      <c r="B3397" s="129"/>
      <c r="C3397" s="129"/>
      <c r="D3397" s="83"/>
      <c r="E3397" s="103"/>
      <c r="F3397" s="129"/>
    </row>
    <row r="3398" spans="1:6" ht="16" thickBot="1" x14ac:dyDescent="0.25">
      <c r="A3398" s="83"/>
      <c r="B3398" s="129"/>
      <c r="C3398" s="129"/>
      <c r="D3398" s="83"/>
      <c r="E3398" s="103"/>
      <c r="F3398" s="129"/>
    </row>
    <row r="3399" spans="1:6" ht="16" thickBot="1" x14ac:dyDescent="0.25">
      <c r="A3399" s="83"/>
      <c r="B3399" s="129"/>
      <c r="C3399" s="129"/>
      <c r="D3399" s="83"/>
      <c r="E3399" s="103"/>
      <c r="F3399" s="129"/>
    </row>
    <row r="3400" spans="1:6" ht="16" thickBot="1" x14ac:dyDescent="0.25">
      <c r="A3400" s="83"/>
      <c r="B3400" s="129"/>
      <c r="C3400" s="129"/>
      <c r="D3400" s="83"/>
      <c r="E3400" s="103"/>
      <c r="F3400" s="129"/>
    </row>
    <row r="3401" spans="1:6" ht="16" thickBot="1" x14ac:dyDescent="0.25">
      <c r="A3401" s="83"/>
      <c r="B3401" s="129"/>
      <c r="C3401" s="129"/>
      <c r="D3401" s="83"/>
      <c r="E3401" s="103"/>
      <c r="F3401" s="129"/>
    </row>
    <row r="3402" spans="1:6" ht="16" thickBot="1" x14ac:dyDescent="0.25">
      <c r="A3402" s="83"/>
      <c r="B3402" s="129"/>
      <c r="C3402" s="129"/>
      <c r="D3402" s="83"/>
      <c r="E3402" s="103"/>
      <c r="F3402" s="129"/>
    </row>
    <row r="3403" spans="1:6" ht="16" thickBot="1" x14ac:dyDescent="0.25">
      <c r="A3403" s="83"/>
      <c r="B3403" s="129"/>
      <c r="C3403" s="129"/>
      <c r="D3403" s="83"/>
      <c r="E3403" s="83"/>
      <c r="F3403" s="129"/>
    </row>
    <row r="3404" spans="1:6" ht="16" thickBot="1" x14ac:dyDescent="0.25">
      <c r="A3404" s="83"/>
      <c r="B3404" s="129"/>
      <c r="C3404" s="129"/>
      <c r="D3404" s="83"/>
      <c r="E3404" s="103"/>
      <c r="F3404" s="129"/>
    </row>
    <row r="3405" spans="1:6" ht="16" thickBot="1" x14ac:dyDescent="0.25">
      <c r="A3405" s="83"/>
      <c r="B3405" s="129"/>
      <c r="C3405" s="129"/>
      <c r="D3405" s="83"/>
      <c r="E3405" s="103"/>
      <c r="F3405" s="129"/>
    </row>
    <row r="3406" spans="1:6" ht="16" thickBot="1" x14ac:dyDescent="0.25">
      <c r="A3406" s="83"/>
      <c r="B3406" s="129"/>
      <c r="C3406" s="129"/>
      <c r="D3406" s="83"/>
      <c r="E3406" s="103"/>
      <c r="F3406" s="129"/>
    </row>
    <row r="3407" spans="1:6" ht="16" thickBot="1" x14ac:dyDescent="0.25">
      <c r="A3407" s="83"/>
      <c r="B3407" s="129"/>
      <c r="C3407" s="129"/>
      <c r="D3407" s="83"/>
      <c r="E3407" s="103"/>
      <c r="F3407" s="129"/>
    </row>
    <row r="3408" spans="1:6" ht="16" thickBot="1" x14ac:dyDescent="0.25">
      <c r="A3408" s="83"/>
      <c r="B3408" s="129"/>
      <c r="C3408" s="129"/>
      <c r="D3408" s="83"/>
      <c r="E3408" s="103"/>
      <c r="F3408" s="129"/>
    </row>
    <row r="3409" spans="1:6" ht="16" thickBot="1" x14ac:dyDescent="0.25">
      <c r="A3409" s="83"/>
      <c r="B3409" s="129"/>
      <c r="C3409" s="129"/>
      <c r="D3409" s="83"/>
      <c r="E3409" s="103"/>
      <c r="F3409" s="129"/>
    </row>
    <row r="3410" spans="1:6" ht="16" thickBot="1" x14ac:dyDescent="0.25">
      <c r="A3410" s="83"/>
      <c r="B3410" s="129"/>
      <c r="C3410" s="129"/>
      <c r="D3410" s="83"/>
      <c r="E3410" s="103"/>
      <c r="F3410" s="129"/>
    </row>
    <row r="3411" spans="1:6" ht="16" thickBot="1" x14ac:dyDescent="0.25">
      <c r="A3411" s="83"/>
      <c r="B3411" s="129"/>
      <c r="C3411" s="129"/>
      <c r="D3411" s="83"/>
      <c r="E3411" s="83"/>
      <c r="F3411" s="129"/>
    </row>
    <row r="3412" spans="1:6" ht="16" thickBot="1" x14ac:dyDescent="0.25">
      <c r="A3412" s="83"/>
      <c r="B3412" s="129"/>
      <c r="C3412" s="129"/>
      <c r="D3412" s="83"/>
      <c r="E3412" s="103"/>
      <c r="F3412" s="129"/>
    </row>
    <row r="3413" spans="1:6" ht="16" thickBot="1" x14ac:dyDescent="0.25">
      <c r="A3413" s="83"/>
      <c r="B3413" s="129"/>
      <c r="C3413" s="129"/>
      <c r="D3413" s="83"/>
      <c r="E3413" s="103"/>
      <c r="F3413" s="129"/>
    </row>
    <row r="3414" spans="1:6" ht="16" thickBot="1" x14ac:dyDescent="0.25">
      <c r="A3414" s="83"/>
      <c r="B3414" s="129"/>
      <c r="C3414" s="129"/>
      <c r="D3414" s="83"/>
      <c r="E3414" s="103"/>
      <c r="F3414" s="129"/>
    </row>
    <row r="3415" spans="1:6" ht="16" thickBot="1" x14ac:dyDescent="0.25">
      <c r="A3415" s="83"/>
      <c r="B3415" s="129"/>
      <c r="C3415" s="129"/>
      <c r="D3415" s="83"/>
      <c r="E3415" s="103"/>
      <c r="F3415" s="129"/>
    </row>
    <row r="3416" spans="1:6" ht="16" thickBot="1" x14ac:dyDescent="0.25">
      <c r="A3416" s="83"/>
      <c r="B3416" s="129"/>
      <c r="C3416" s="129"/>
      <c r="D3416" s="83"/>
      <c r="E3416" s="103"/>
      <c r="F3416" s="129"/>
    </row>
    <row r="3417" spans="1:6" ht="16" thickBot="1" x14ac:dyDescent="0.25">
      <c r="A3417" s="83"/>
      <c r="B3417" s="129"/>
      <c r="C3417" s="129"/>
      <c r="D3417" s="83"/>
      <c r="E3417" s="103"/>
      <c r="F3417" s="129"/>
    </row>
    <row r="3418" spans="1:6" ht="16" thickBot="1" x14ac:dyDescent="0.25">
      <c r="A3418" s="83"/>
      <c r="B3418" s="129"/>
      <c r="C3418" s="129"/>
      <c r="D3418" s="83"/>
      <c r="E3418" s="83"/>
      <c r="F3418" s="129"/>
    </row>
    <row r="3419" spans="1:6" ht="16" thickBot="1" x14ac:dyDescent="0.25">
      <c r="A3419" s="83"/>
      <c r="B3419" s="129"/>
      <c r="C3419" s="129"/>
      <c r="D3419" s="83"/>
      <c r="E3419" s="103"/>
      <c r="F3419" s="129"/>
    </row>
    <row r="3420" spans="1:6" ht="16" thickBot="1" x14ac:dyDescent="0.25">
      <c r="A3420" s="83"/>
      <c r="B3420" s="129"/>
      <c r="C3420" s="129"/>
      <c r="D3420" s="83"/>
      <c r="E3420" s="103"/>
      <c r="F3420" s="129"/>
    </row>
    <row r="3421" spans="1:6" ht="16" thickBot="1" x14ac:dyDescent="0.25">
      <c r="A3421" s="83"/>
      <c r="B3421" s="129"/>
      <c r="C3421" s="129"/>
      <c r="D3421" s="83"/>
      <c r="E3421" s="103"/>
      <c r="F3421" s="129"/>
    </row>
    <row r="3422" spans="1:6" ht="16" thickBot="1" x14ac:dyDescent="0.25">
      <c r="A3422" s="83"/>
      <c r="B3422" s="129"/>
      <c r="C3422" s="129"/>
      <c r="D3422" s="83"/>
      <c r="E3422" s="103"/>
      <c r="F3422" s="129"/>
    </row>
    <row r="3423" spans="1:6" ht="16" thickBot="1" x14ac:dyDescent="0.25">
      <c r="A3423" s="83"/>
      <c r="B3423" s="129"/>
      <c r="C3423" s="129"/>
      <c r="D3423" s="83"/>
      <c r="E3423" s="103"/>
      <c r="F3423" s="129"/>
    </row>
    <row r="3424" spans="1:6" ht="16" thickBot="1" x14ac:dyDescent="0.25">
      <c r="A3424" s="83"/>
      <c r="B3424" s="129"/>
      <c r="C3424" s="129"/>
      <c r="D3424" s="83"/>
      <c r="E3424" s="103"/>
      <c r="F3424" s="129"/>
    </row>
    <row r="3425" spans="1:6" ht="16" thickBot="1" x14ac:dyDescent="0.25">
      <c r="A3425" s="83"/>
      <c r="B3425" s="129"/>
      <c r="C3425" s="129"/>
      <c r="D3425" s="83"/>
      <c r="E3425" s="103"/>
      <c r="F3425" s="129"/>
    </row>
    <row r="3426" spans="1:6" ht="16" thickBot="1" x14ac:dyDescent="0.25">
      <c r="A3426" s="83"/>
      <c r="B3426" s="129"/>
      <c r="C3426" s="129"/>
      <c r="D3426" s="83"/>
      <c r="E3426" s="103"/>
      <c r="F3426" s="129"/>
    </row>
    <row r="3427" spans="1:6" ht="16" thickBot="1" x14ac:dyDescent="0.25">
      <c r="A3427" s="83"/>
      <c r="B3427" s="129"/>
      <c r="C3427" s="129"/>
      <c r="D3427" s="83"/>
      <c r="E3427" s="103"/>
      <c r="F3427" s="129"/>
    </row>
    <row r="3428" spans="1:6" ht="16" thickBot="1" x14ac:dyDescent="0.25">
      <c r="A3428" s="83"/>
      <c r="B3428" s="129"/>
      <c r="C3428" s="129"/>
      <c r="D3428" s="83"/>
      <c r="E3428" s="103"/>
      <c r="F3428" s="129"/>
    </row>
    <row r="3429" spans="1:6" ht="16" thickBot="1" x14ac:dyDescent="0.25">
      <c r="A3429" s="83"/>
      <c r="B3429" s="129"/>
      <c r="C3429" s="129"/>
      <c r="D3429" s="83"/>
      <c r="E3429" s="103"/>
      <c r="F3429" s="129"/>
    </row>
    <row r="3430" spans="1:6" ht="16" thickBot="1" x14ac:dyDescent="0.25">
      <c r="A3430" s="83"/>
      <c r="B3430" s="129"/>
      <c r="C3430" s="129"/>
      <c r="D3430" s="83"/>
      <c r="E3430" s="103"/>
      <c r="F3430" s="129"/>
    </row>
    <row r="3431" spans="1:6" ht="16" thickBot="1" x14ac:dyDescent="0.25">
      <c r="A3431" s="83"/>
      <c r="B3431" s="129"/>
      <c r="C3431" s="129"/>
      <c r="D3431" s="83"/>
      <c r="E3431" s="103"/>
      <c r="F3431" s="129"/>
    </row>
    <row r="3432" spans="1:6" ht="16" thickBot="1" x14ac:dyDescent="0.25">
      <c r="A3432" s="83"/>
      <c r="B3432" s="129"/>
      <c r="C3432" s="129"/>
      <c r="D3432" s="83"/>
      <c r="E3432" s="103"/>
      <c r="F3432" s="129"/>
    </row>
    <row r="3433" spans="1:6" ht="16" thickBot="1" x14ac:dyDescent="0.25">
      <c r="A3433" s="83"/>
      <c r="B3433" s="129"/>
      <c r="C3433" s="129"/>
      <c r="D3433" s="83"/>
      <c r="E3433" s="103"/>
      <c r="F3433" s="129"/>
    </row>
    <row r="3434" spans="1:6" ht="16" thickBot="1" x14ac:dyDescent="0.25">
      <c r="A3434" s="83"/>
      <c r="B3434" s="129"/>
      <c r="C3434" s="129"/>
      <c r="D3434" s="83"/>
      <c r="E3434" s="103"/>
      <c r="F3434" s="129"/>
    </row>
    <row r="3435" spans="1:6" ht="16" thickBot="1" x14ac:dyDescent="0.25">
      <c r="A3435" s="83"/>
      <c r="B3435" s="129"/>
      <c r="C3435" s="129"/>
      <c r="D3435" s="83"/>
      <c r="E3435" s="103"/>
      <c r="F3435" s="129"/>
    </row>
    <row r="3436" spans="1:6" ht="16" thickBot="1" x14ac:dyDescent="0.25">
      <c r="A3436" s="83"/>
      <c r="B3436" s="129"/>
      <c r="C3436" s="129"/>
      <c r="D3436" s="83"/>
      <c r="E3436" s="103"/>
      <c r="F3436" s="129"/>
    </row>
    <row r="3437" spans="1:6" ht="16" thickBot="1" x14ac:dyDescent="0.25">
      <c r="A3437" s="83"/>
      <c r="B3437" s="129"/>
      <c r="C3437" s="129"/>
      <c r="D3437" s="83"/>
      <c r="E3437" s="103"/>
      <c r="F3437" s="129"/>
    </row>
    <row r="3438" spans="1:6" ht="16" thickBot="1" x14ac:dyDescent="0.25">
      <c r="A3438" s="83"/>
      <c r="B3438" s="129"/>
      <c r="C3438" s="129"/>
      <c r="D3438" s="83"/>
      <c r="E3438" s="103"/>
      <c r="F3438" s="129"/>
    </row>
    <row r="3439" spans="1:6" ht="16" thickBot="1" x14ac:dyDescent="0.25">
      <c r="A3439" s="83"/>
      <c r="B3439" s="129"/>
      <c r="C3439" s="129"/>
      <c r="D3439" s="83"/>
      <c r="E3439" s="103"/>
      <c r="F3439" s="129"/>
    </row>
    <row r="3440" spans="1:6" ht="16" thickBot="1" x14ac:dyDescent="0.25">
      <c r="A3440" s="83"/>
      <c r="B3440" s="129"/>
      <c r="C3440" s="129"/>
      <c r="D3440" s="83"/>
      <c r="E3440" s="103"/>
      <c r="F3440" s="129"/>
    </row>
    <row r="3441" spans="1:6" ht="16" thickBot="1" x14ac:dyDescent="0.25">
      <c r="A3441" s="83"/>
      <c r="B3441" s="129"/>
      <c r="C3441" s="129"/>
      <c r="D3441" s="83"/>
      <c r="E3441" s="103"/>
      <c r="F3441" s="129"/>
    </row>
    <row r="3442" spans="1:6" ht="16" thickBot="1" x14ac:dyDescent="0.25">
      <c r="A3442" s="83"/>
      <c r="B3442" s="129"/>
      <c r="C3442" s="129"/>
      <c r="D3442" s="83"/>
      <c r="E3442" s="103"/>
      <c r="F3442" s="129"/>
    </row>
    <row r="3443" spans="1:6" ht="16" thickBot="1" x14ac:dyDescent="0.25">
      <c r="A3443" s="83"/>
      <c r="B3443" s="129"/>
      <c r="C3443" s="129"/>
      <c r="D3443" s="83"/>
      <c r="E3443" s="103"/>
      <c r="F3443" s="129"/>
    </row>
    <row r="3444" spans="1:6" ht="16" thickBot="1" x14ac:dyDescent="0.25">
      <c r="A3444" s="83"/>
      <c r="B3444" s="129"/>
      <c r="C3444" s="129"/>
      <c r="D3444" s="83"/>
      <c r="E3444" s="103"/>
      <c r="F3444" s="129"/>
    </row>
    <row r="3445" spans="1:6" ht="16" thickBot="1" x14ac:dyDescent="0.25">
      <c r="A3445" s="83"/>
      <c r="B3445" s="129"/>
      <c r="C3445" s="129"/>
      <c r="D3445" s="83"/>
      <c r="E3445" s="103"/>
      <c r="F3445" s="129"/>
    </row>
    <row r="3446" spans="1:6" ht="16" thickBot="1" x14ac:dyDescent="0.25">
      <c r="A3446" s="83"/>
      <c r="B3446" s="129"/>
      <c r="C3446" s="129"/>
      <c r="D3446" s="83"/>
      <c r="E3446" s="103"/>
      <c r="F3446" s="129"/>
    </row>
    <row r="3447" spans="1:6" ht="16" thickBot="1" x14ac:dyDescent="0.25">
      <c r="A3447" s="83"/>
      <c r="B3447" s="129"/>
      <c r="C3447" s="129"/>
      <c r="D3447" s="83"/>
      <c r="E3447" s="103"/>
      <c r="F3447" s="129"/>
    </row>
    <row r="3448" spans="1:6" ht="16" thickBot="1" x14ac:dyDescent="0.25">
      <c r="A3448" s="83"/>
      <c r="B3448" s="129"/>
      <c r="C3448" s="129"/>
      <c r="D3448" s="83"/>
      <c r="E3448" s="103"/>
      <c r="F3448" s="129"/>
    </row>
    <row r="3449" spans="1:6" ht="16" thickBot="1" x14ac:dyDescent="0.25">
      <c r="A3449" s="83"/>
      <c r="B3449" s="129"/>
      <c r="C3449" s="129"/>
      <c r="D3449" s="83"/>
      <c r="E3449" s="103"/>
      <c r="F3449" s="129"/>
    </row>
    <row r="3450" spans="1:6" ht="16" thickBot="1" x14ac:dyDescent="0.25">
      <c r="A3450" s="83"/>
      <c r="B3450" s="129"/>
      <c r="C3450" s="129"/>
      <c r="D3450" s="83"/>
      <c r="E3450" s="103"/>
      <c r="F3450" s="129"/>
    </row>
    <row r="3451" spans="1:6" ht="16" thickBot="1" x14ac:dyDescent="0.25">
      <c r="A3451" s="83"/>
      <c r="B3451" s="129"/>
      <c r="C3451" s="129"/>
      <c r="D3451" s="83"/>
      <c r="E3451" s="103"/>
      <c r="F3451" s="129"/>
    </row>
    <row r="3452" spans="1:6" ht="16" thickBot="1" x14ac:dyDescent="0.25">
      <c r="A3452" s="83"/>
      <c r="B3452" s="129"/>
      <c r="C3452" s="129"/>
      <c r="D3452" s="83"/>
      <c r="E3452" s="103"/>
      <c r="F3452" s="129"/>
    </row>
    <row r="3453" spans="1:6" ht="16" thickBot="1" x14ac:dyDescent="0.25">
      <c r="A3453" s="83"/>
      <c r="B3453" s="129"/>
      <c r="C3453" s="129"/>
      <c r="D3453" s="83"/>
      <c r="E3453" s="103"/>
      <c r="F3453" s="129"/>
    </row>
    <row r="3454" spans="1:6" ht="16" thickBot="1" x14ac:dyDescent="0.25">
      <c r="A3454" s="83"/>
      <c r="B3454" s="129"/>
      <c r="C3454" s="129"/>
      <c r="D3454" s="83"/>
      <c r="E3454" s="103"/>
      <c r="F3454" s="129"/>
    </row>
    <row r="3455" spans="1:6" ht="16" thickBot="1" x14ac:dyDescent="0.25">
      <c r="A3455" s="83"/>
      <c r="B3455" s="129"/>
      <c r="C3455" s="129"/>
      <c r="D3455" s="83"/>
      <c r="E3455" s="83"/>
      <c r="F3455" s="129"/>
    </row>
    <row r="3456" spans="1:6" ht="16" thickBot="1" x14ac:dyDescent="0.25">
      <c r="A3456" s="83"/>
      <c r="B3456" s="129"/>
      <c r="C3456" s="129"/>
      <c r="D3456" s="83"/>
      <c r="E3456" s="103"/>
      <c r="F3456" s="129"/>
    </row>
    <row r="3457" spans="1:6" ht="16" thickBot="1" x14ac:dyDescent="0.25">
      <c r="A3457" s="83"/>
      <c r="B3457" s="129"/>
      <c r="C3457" s="129"/>
      <c r="D3457" s="83"/>
      <c r="E3457" s="103"/>
      <c r="F3457" s="129"/>
    </row>
    <row r="3458" spans="1:6" ht="16" thickBot="1" x14ac:dyDescent="0.25">
      <c r="A3458" s="83"/>
      <c r="B3458" s="129"/>
      <c r="C3458" s="129"/>
      <c r="D3458" s="83"/>
      <c r="E3458" s="103"/>
      <c r="F3458" s="129"/>
    </row>
    <row r="3459" spans="1:6" ht="16" thickBot="1" x14ac:dyDescent="0.25">
      <c r="A3459" s="83"/>
      <c r="B3459" s="129"/>
      <c r="C3459" s="129"/>
      <c r="D3459" s="83"/>
      <c r="E3459" s="103"/>
      <c r="F3459" s="129"/>
    </row>
    <row r="3460" spans="1:6" ht="16" thickBot="1" x14ac:dyDescent="0.25">
      <c r="A3460" s="83"/>
      <c r="B3460" s="129"/>
      <c r="C3460" s="129"/>
      <c r="D3460" s="83"/>
      <c r="E3460" s="103"/>
      <c r="F3460" s="129"/>
    </row>
    <row r="3461" spans="1:6" ht="16" thickBot="1" x14ac:dyDescent="0.25">
      <c r="A3461" s="83"/>
      <c r="B3461" s="129"/>
      <c r="C3461" s="129"/>
      <c r="D3461" s="83"/>
      <c r="E3461" s="103"/>
      <c r="F3461" s="129"/>
    </row>
    <row r="3462" spans="1:6" ht="16" thickBot="1" x14ac:dyDescent="0.25">
      <c r="A3462" s="83"/>
      <c r="B3462" s="129"/>
      <c r="C3462" s="129"/>
      <c r="D3462" s="83"/>
      <c r="E3462" s="103"/>
      <c r="F3462" s="129"/>
    </row>
    <row r="3463" spans="1:6" ht="16" thickBot="1" x14ac:dyDescent="0.25">
      <c r="A3463" s="83"/>
      <c r="B3463" s="129"/>
      <c r="C3463" s="129"/>
      <c r="D3463" s="83"/>
      <c r="E3463" s="83"/>
      <c r="F3463" s="129"/>
    </row>
    <row r="3464" spans="1:6" ht="16" thickBot="1" x14ac:dyDescent="0.25">
      <c r="A3464" s="83"/>
      <c r="B3464" s="129"/>
      <c r="C3464" s="129"/>
      <c r="D3464" s="83"/>
      <c r="E3464" s="103"/>
      <c r="F3464" s="129"/>
    </row>
    <row r="3465" spans="1:6" ht="16" thickBot="1" x14ac:dyDescent="0.25">
      <c r="A3465" s="83"/>
      <c r="B3465" s="129"/>
      <c r="C3465" s="129"/>
      <c r="D3465" s="83"/>
      <c r="E3465" s="103"/>
      <c r="F3465" s="129"/>
    </row>
    <row r="3466" spans="1:6" ht="16" thickBot="1" x14ac:dyDescent="0.25">
      <c r="A3466" s="83"/>
      <c r="B3466" s="129"/>
      <c r="C3466" s="129"/>
      <c r="D3466" s="83"/>
      <c r="E3466" s="103"/>
      <c r="F3466" s="129"/>
    </row>
    <row r="3467" spans="1:6" ht="16" thickBot="1" x14ac:dyDescent="0.25">
      <c r="A3467" s="83"/>
      <c r="B3467" s="129"/>
      <c r="C3467" s="129"/>
      <c r="D3467" s="83"/>
      <c r="E3467" s="103"/>
      <c r="F3467" s="129"/>
    </row>
    <row r="3468" spans="1:6" ht="16" thickBot="1" x14ac:dyDescent="0.25">
      <c r="A3468" s="83"/>
      <c r="B3468" s="129"/>
      <c r="C3468" s="129"/>
      <c r="D3468" s="83"/>
      <c r="E3468" s="103"/>
      <c r="F3468" s="129"/>
    </row>
    <row r="3469" spans="1:6" ht="16" thickBot="1" x14ac:dyDescent="0.25">
      <c r="A3469" s="83"/>
      <c r="B3469" s="129"/>
      <c r="C3469" s="129"/>
      <c r="D3469" s="83"/>
      <c r="E3469" s="103"/>
      <c r="F3469" s="129"/>
    </row>
    <row r="3470" spans="1:6" ht="16" thickBot="1" x14ac:dyDescent="0.25">
      <c r="A3470" s="83"/>
      <c r="B3470" s="129"/>
      <c r="C3470" s="129"/>
      <c r="D3470" s="83"/>
      <c r="E3470" s="103"/>
      <c r="F3470" s="129"/>
    </row>
    <row r="3471" spans="1:6" ht="16" thickBot="1" x14ac:dyDescent="0.25">
      <c r="A3471" s="83"/>
      <c r="B3471" s="129"/>
      <c r="C3471" s="129"/>
      <c r="D3471" s="83"/>
      <c r="E3471" s="103"/>
      <c r="F3471" s="129"/>
    </row>
    <row r="3472" spans="1:6" ht="16" thickBot="1" x14ac:dyDescent="0.25">
      <c r="A3472" s="83"/>
      <c r="B3472" s="129"/>
      <c r="C3472" s="129"/>
      <c r="D3472" s="83"/>
      <c r="E3472" s="103"/>
      <c r="F3472" s="129"/>
    </row>
    <row r="3473" spans="1:6" ht="16" thickBot="1" x14ac:dyDescent="0.25">
      <c r="A3473" s="83"/>
      <c r="B3473" s="129"/>
      <c r="C3473" s="129"/>
      <c r="D3473" s="83"/>
      <c r="E3473" s="103"/>
      <c r="F3473" s="129"/>
    </row>
    <row r="3474" spans="1:6" ht="16" thickBot="1" x14ac:dyDescent="0.25">
      <c r="A3474" s="83"/>
      <c r="B3474" s="129"/>
      <c r="C3474" s="129"/>
      <c r="D3474" s="83"/>
      <c r="E3474" s="103"/>
      <c r="F3474" s="129"/>
    </row>
    <row r="3475" spans="1:6" ht="16" thickBot="1" x14ac:dyDescent="0.25">
      <c r="A3475" s="83"/>
      <c r="B3475" s="129"/>
      <c r="C3475" s="129"/>
      <c r="D3475" s="83"/>
      <c r="E3475" s="83"/>
      <c r="F3475" s="129"/>
    </row>
    <row r="3476" spans="1:6" ht="16" thickBot="1" x14ac:dyDescent="0.25">
      <c r="A3476" s="83"/>
      <c r="B3476" s="129"/>
      <c r="C3476" s="129"/>
      <c r="D3476" s="83"/>
      <c r="E3476" s="83"/>
      <c r="F3476" s="129"/>
    </row>
    <row r="3477" spans="1:6" ht="16" thickBot="1" x14ac:dyDescent="0.25">
      <c r="A3477" s="83"/>
      <c r="B3477" s="129"/>
      <c r="C3477" s="129"/>
      <c r="D3477" s="83"/>
      <c r="E3477" s="103"/>
      <c r="F3477" s="129"/>
    </row>
    <row r="3478" spans="1:6" ht="16" thickBot="1" x14ac:dyDescent="0.25">
      <c r="A3478" s="83"/>
      <c r="B3478" s="129"/>
      <c r="C3478" s="129"/>
      <c r="D3478" s="83"/>
      <c r="E3478" s="103"/>
      <c r="F3478" s="129"/>
    </row>
    <row r="3479" spans="1:6" ht="16" thickBot="1" x14ac:dyDescent="0.25">
      <c r="A3479" s="83"/>
      <c r="B3479" s="129"/>
      <c r="C3479" s="129"/>
      <c r="D3479" s="83"/>
      <c r="E3479" s="83"/>
      <c r="F3479" s="129"/>
    </row>
    <row r="3480" spans="1:6" ht="16" thickBot="1" x14ac:dyDescent="0.25">
      <c r="A3480" s="83"/>
      <c r="B3480" s="129"/>
      <c r="C3480" s="129"/>
      <c r="D3480" s="83"/>
      <c r="E3480" s="103"/>
      <c r="F3480" s="129"/>
    </row>
    <row r="3481" spans="1:6" ht="16" thickBot="1" x14ac:dyDescent="0.25">
      <c r="A3481" s="83"/>
      <c r="B3481" s="129"/>
      <c r="C3481" s="129"/>
      <c r="D3481" s="83"/>
      <c r="E3481" s="103"/>
      <c r="F3481" s="129"/>
    </row>
    <row r="3482" spans="1:6" ht="16" thickBot="1" x14ac:dyDescent="0.25">
      <c r="A3482" s="83"/>
      <c r="B3482" s="129"/>
      <c r="C3482" s="129"/>
      <c r="D3482" s="83"/>
      <c r="E3482" s="103"/>
      <c r="F3482" s="129"/>
    </row>
    <row r="3483" spans="1:6" ht="16" thickBot="1" x14ac:dyDescent="0.25">
      <c r="A3483" s="83"/>
      <c r="B3483" s="129"/>
      <c r="C3483" s="129"/>
      <c r="D3483" s="83"/>
      <c r="E3483" s="103"/>
      <c r="F3483" s="129"/>
    </row>
    <row r="3484" spans="1:6" ht="16" thickBot="1" x14ac:dyDescent="0.25">
      <c r="A3484" s="83"/>
      <c r="B3484" s="129"/>
      <c r="C3484" s="129"/>
      <c r="D3484" s="83"/>
      <c r="E3484" s="103"/>
      <c r="F3484" s="129"/>
    </row>
    <row r="3485" spans="1:6" ht="16" thickBot="1" x14ac:dyDescent="0.25">
      <c r="A3485" s="83"/>
      <c r="B3485" s="129"/>
      <c r="C3485" s="129"/>
      <c r="D3485" s="83"/>
      <c r="E3485" s="103"/>
      <c r="F3485" s="129"/>
    </row>
    <row r="3486" spans="1:6" ht="16" thickBot="1" x14ac:dyDescent="0.25">
      <c r="A3486" s="83"/>
      <c r="B3486" s="129"/>
      <c r="C3486" s="129"/>
      <c r="D3486" s="83"/>
      <c r="E3486" s="103"/>
      <c r="F3486" s="129"/>
    </row>
    <row r="3487" spans="1:6" ht="16" thickBot="1" x14ac:dyDescent="0.25">
      <c r="A3487" s="83"/>
      <c r="B3487" s="129"/>
      <c r="C3487" s="129"/>
      <c r="D3487" s="83"/>
      <c r="E3487" s="103"/>
      <c r="F3487" s="129"/>
    </row>
    <row r="3488" spans="1:6" ht="16" thickBot="1" x14ac:dyDescent="0.25">
      <c r="A3488" s="83"/>
      <c r="B3488" s="129"/>
      <c r="C3488" s="129"/>
      <c r="D3488" s="83"/>
      <c r="E3488" s="103"/>
      <c r="F3488" s="129"/>
    </row>
    <row r="3489" spans="1:6" ht="16" thickBot="1" x14ac:dyDescent="0.25">
      <c r="A3489" s="83"/>
      <c r="B3489" s="129"/>
      <c r="C3489" s="129"/>
      <c r="D3489" s="83"/>
      <c r="E3489" s="103"/>
      <c r="F3489" s="129"/>
    </row>
    <row r="3490" spans="1:6" ht="16" thickBot="1" x14ac:dyDescent="0.25">
      <c r="A3490" s="83"/>
      <c r="B3490" s="129"/>
      <c r="C3490" s="129"/>
      <c r="D3490" s="83"/>
      <c r="E3490" s="103"/>
      <c r="F3490" s="129"/>
    </row>
    <row r="3491" spans="1:6" ht="16" thickBot="1" x14ac:dyDescent="0.25">
      <c r="A3491" s="83"/>
      <c r="B3491" s="129"/>
      <c r="C3491" s="129"/>
      <c r="D3491" s="83"/>
      <c r="E3491" s="103"/>
      <c r="F3491" s="129"/>
    </row>
    <row r="3492" spans="1:6" ht="16" thickBot="1" x14ac:dyDescent="0.25">
      <c r="A3492" s="83"/>
      <c r="B3492" s="129"/>
      <c r="C3492" s="129"/>
      <c r="D3492" s="83"/>
      <c r="E3492" s="103"/>
      <c r="F3492" s="129"/>
    </row>
    <row r="3493" spans="1:6" ht="16" thickBot="1" x14ac:dyDescent="0.25">
      <c r="A3493" s="83"/>
      <c r="B3493" s="129"/>
      <c r="C3493" s="129"/>
      <c r="D3493" s="83"/>
      <c r="E3493" s="103"/>
      <c r="F3493" s="129"/>
    </row>
    <row r="3494" spans="1:6" ht="16" thickBot="1" x14ac:dyDescent="0.25">
      <c r="A3494" s="83"/>
      <c r="B3494" s="129"/>
      <c r="C3494" s="129"/>
      <c r="D3494" s="83"/>
      <c r="E3494" s="103"/>
      <c r="F3494" s="129"/>
    </row>
    <row r="3495" spans="1:6" ht="16" thickBot="1" x14ac:dyDescent="0.25">
      <c r="A3495" s="83"/>
      <c r="B3495" s="129"/>
      <c r="C3495" s="129"/>
      <c r="D3495" s="83"/>
      <c r="E3495" s="103"/>
      <c r="F3495" s="129"/>
    </row>
    <row r="3496" spans="1:6" ht="16" thickBot="1" x14ac:dyDescent="0.25">
      <c r="A3496" s="83"/>
      <c r="B3496" s="129"/>
      <c r="C3496" s="129"/>
      <c r="D3496" s="83"/>
      <c r="E3496" s="103"/>
      <c r="F3496" s="129"/>
    </row>
    <row r="3497" spans="1:6" ht="16" thickBot="1" x14ac:dyDescent="0.25">
      <c r="A3497" s="83"/>
      <c r="B3497" s="129"/>
      <c r="C3497" s="129"/>
      <c r="D3497" s="83"/>
      <c r="E3497" s="103"/>
      <c r="F3497" s="129"/>
    </row>
    <row r="3498" spans="1:6" ht="16" thickBot="1" x14ac:dyDescent="0.25">
      <c r="A3498" s="83"/>
      <c r="B3498" s="129"/>
      <c r="C3498" s="129"/>
      <c r="D3498" s="83"/>
      <c r="E3498" s="103"/>
      <c r="F3498" s="129"/>
    </row>
    <row r="3499" spans="1:6" ht="16" thickBot="1" x14ac:dyDescent="0.25">
      <c r="A3499" s="83"/>
      <c r="B3499" s="129"/>
      <c r="C3499" s="129"/>
      <c r="D3499" s="83"/>
      <c r="E3499" s="103"/>
      <c r="F3499" s="129"/>
    </row>
    <row r="3500" spans="1:6" ht="16" thickBot="1" x14ac:dyDescent="0.25">
      <c r="A3500" s="83"/>
      <c r="B3500" s="129"/>
      <c r="C3500" s="129"/>
      <c r="D3500" s="83"/>
      <c r="E3500" s="103"/>
      <c r="F3500" s="129"/>
    </row>
    <row r="3501" spans="1:6" ht="16" thickBot="1" x14ac:dyDescent="0.25">
      <c r="A3501" s="83"/>
      <c r="B3501" s="129"/>
      <c r="C3501" s="129"/>
      <c r="D3501" s="83"/>
      <c r="E3501" s="103"/>
      <c r="F3501" s="129"/>
    </row>
    <row r="3502" spans="1:6" ht="16" thickBot="1" x14ac:dyDescent="0.25">
      <c r="A3502" s="83"/>
      <c r="B3502" s="129"/>
      <c r="C3502" s="129"/>
      <c r="D3502" s="83"/>
      <c r="E3502" s="103"/>
      <c r="F3502" s="129"/>
    </row>
    <row r="3503" spans="1:6" ht="16" thickBot="1" x14ac:dyDescent="0.25">
      <c r="A3503" s="83"/>
      <c r="B3503" s="129"/>
      <c r="C3503" s="129"/>
      <c r="D3503" s="83"/>
      <c r="E3503" s="103"/>
      <c r="F3503" s="129"/>
    </row>
    <row r="3504" spans="1:6" ht="16" thickBot="1" x14ac:dyDescent="0.25">
      <c r="A3504" s="83"/>
      <c r="B3504" s="129"/>
      <c r="C3504" s="129"/>
      <c r="D3504" s="83"/>
      <c r="E3504" s="103"/>
      <c r="F3504" s="129"/>
    </row>
    <row r="3505" spans="1:6" ht="16" thickBot="1" x14ac:dyDescent="0.25">
      <c r="A3505" s="83"/>
      <c r="B3505" s="129"/>
      <c r="C3505" s="129"/>
      <c r="D3505" s="83"/>
      <c r="E3505" s="103"/>
      <c r="F3505" s="129"/>
    </row>
    <row r="3506" spans="1:6" ht="16" thickBot="1" x14ac:dyDescent="0.25">
      <c r="A3506" s="83"/>
      <c r="B3506" s="129"/>
      <c r="C3506" s="129"/>
      <c r="D3506" s="83"/>
      <c r="E3506" s="103"/>
      <c r="F3506" s="129"/>
    </row>
    <row r="3507" spans="1:6" ht="16" thickBot="1" x14ac:dyDescent="0.25">
      <c r="A3507" s="83"/>
      <c r="B3507" s="129"/>
      <c r="C3507" s="129"/>
      <c r="D3507" s="83"/>
      <c r="E3507" s="103"/>
      <c r="F3507" s="129"/>
    </row>
    <row r="3508" spans="1:6" ht="16" thickBot="1" x14ac:dyDescent="0.25">
      <c r="A3508" s="83"/>
      <c r="B3508" s="129"/>
      <c r="C3508" s="129"/>
      <c r="D3508" s="83"/>
      <c r="E3508" s="103"/>
      <c r="F3508" s="129"/>
    </row>
    <row r="3509" spans="1:6" ht="16" thickBot="1" x14ac:dyDescent="0.25">
      <c r="A3509" s="83"/>
      <c r="B3509" s="129"/>
      <c r="C3509" s="129"/>
      <c r="D3509" s="83"/>
      <c r="E3509" s="103"/>
      <c r="F3509" s="129"/>
    </row>
    <row r="3510" spans="1:6" ht="16" thickBot="1" x14ac:dyDescent="0.25">
      <c r="A3510" s="83"/>
      <c r="B3510" s="129"/>
      <c r="C3510" s="129"/>
      <c r="D3510" s="83"/>
      <c r="E3510" s="103"/>
      <c r="F3510" s="129"/>
    </row>
    <row r="3511" spans="1:6" ht="16" thickBot="1" x14ac:dyDescent="0.25">
      <c r="A3511" s="83"/>
      <c r="B3511" s="129"/>
      <c r="C3511" s="129"/>
      <c r="D3511" s="83"/>
      <c r="E3511" s="103"/>
      <c r="F3511" s="129"/>
    </row>
    <row r="3512" spans="1:6" ht="16" thickBot="1" x14ac:dyDescent="0.25">
      <c r="A3512" s="83"/>
      <c r="B3512" s="129"/>
      <c r="C3512" s="129"/>
      <c r="D3512" s="83"/>
      <c r="E3512" s="103"/>
      <c r="F3512" s="129"/>
    </row>
    <row r="3513" spans="1:6" ht="16" thickBot="1" x14ac:dyDescent="0.25">
      <c r="A3513" s="83"/>
      <c r="B3513" s="129"/>
      <c r="C3513" s="129"/>
      <c r="D3513" s="83"/>
      <c r="E3513" s="103"/>
      <c r="F3513" s="129"/>
    </row>
    <row r="3514" spans="1:6" ht="16" thickBot="1" x14ac:dyDescent="0.25">
      <c r="A3514" s="83"/>
      <c r="B3514" s="129"/>
      <c r="C3514" s="129"/>
      <c r="D3514" s="83"/>
      <c r="E3514" s="103"/>
      <c r="F3514" s="129"/>
    </row>
    <row r="3515" spans="1:6" ht="16" thickBot="1" x14ac:dyDescent="0.25">
      <c r="A3515" s="83"/>
      <c r="B3515" s="129"/>
      <c r="C3515" s="129"/>
      <c r="D3515" s="83"/>
      <c r="E3515" s="103"/>
      <c r="F3515" s="129"/>
    </row>
    <row r="3516" spans="1:6" ht="16" thickBot="1" x14ac:dyDescent="0.25">
      <c r="A3516" s="83"/>
      <c r="B3516" s="129"/>
      <c r="C3516" s="129"/>
      <c r="D3516" s="83"/>
      <c r="E3516" s="103"/>
      <c r="F3516" s="129"/>
    </row>
    <row r="3517" spans="1:6" ht="16" thickBot="1" x14ac:dyDescent="0.25">
      <c r="A3517" s="83"/>
      <c r="B3517" s="129"/>
      <c r="C3517" s="129"/>
      <c r="D3517" s="83"/>
      <c r="E3517" s="103"/>
      <c r="F3517" s="129"/>
    </row>
    <row r="3518" spans="1:6" ht="16" thickBot="1" x14ac:dyDescent="0.25">
      <c r="A3518" s="83"/>
      <c r="B3518" s="129"/>
      <c r="C3518" s="129"/>
      <c r="D3518" s="83"/>
      <c r="E3518" s="103"/>
      <c r="F3518" s="129"/>
    </row>
    <row r="3519" spans="1:6" ht="16" thickBot="1" x14ac:dyDescent="0.25">
      <c r="A3519" s="83"/>
      <c r="B3519" s="129"/>
      <c r="C3519" s="129"/>
      <c r="D3519" s="83"/>
      <c r="E3519" s="103"/>
      <c r="F3519" s="129"/>
    </row>
    <row r="3520" spans="1:6" ht="16" thickBot="1" x14ac:dyDescent="0.25">
      <c r="A3520" s="83"/>
      <c r="B3520" s="129"/>
      <c r="C3520" s="129"/>
      <c r="D3520" s="83"/>
      <c r="E3520" s="103"/>
      <c r="F3520" s="129"/>
    </row>
    <row r="3521" spans="1:6" ht="16" thickBot="1" x14ac:dyDescent="0.25">
      <c r="A3521" s="83"/>
      <c r="B3521" s="129"/>
      <c r="C3521" s="129"/>
      <c r="D3521" s="83"/>
      <c r="E3521" s="103"/>
      <c r="F3521" s="129"/>
    </row>
    <row r="3522" spans="1:6" ht="16" thickBot="1" x14ac:dyDescent="0.25">
      <c r="A3522" s="83"/>
      <c r="B3522" s="129"/>
      <c r="C3522" s="129"/>
      <c r="D3522" s="83"/>
      <c r="E3522" s="103"/>
      <c r="F3522" s="129"/>
    </row>
    <row r="3523" spans="1:6" ht="16" thickBot="1" x14ac:dyDescent="0.25">
      <c r="A3523" s="83"/>
      <c r="B3523" s="129"/>
      <c r="C3523" s="129"/>
      <c r="D3523" s="83"/>
      <c r="E3523" s="103"/>
      <c r="F3523" s="129"/>
    </row>
    <row r="3524" spans="1:6" ht="16" thickBot="1" x14ac:dyDescent="0.25">
      <c r="A3524" s="83"/>
      <c r="B3524" s="129"/>
      <c r="C3524" s="129"/>
      <c r="D3524" s="83"/>
      <c r="E3524" s="103"/>
      <c r="F3524" s="129"/>
    </row>
    <row r="3525" spans="1:6" ht="16" thickBot="1" x14ac:dyDescent="0.25">
      <c r="A3525" s="83"/>
      <c r="B3525" s="129"/>
      <c r="C3525" s="129"/>
      <c r="D3525" s="83"/>
      <c r="E3525" s="103"/>
      <c r="F3525" s="129"/>
    </row>
    <row r="3526" spans="1:6" ht="16" thickBot="1" x14ac:dyDescent="0.25">
      <c r="A3526" s="83"/>
      <c r="B3526" s="129"/>
      <c r="C3526" s="129"/>
      <c r="D3526" s="83"/>
      <c r="E3526" s="103"/>
      <c r="F3526" s="129"/>
    </row>
    <row r="3527" spans="1:6" ht="16" thickBot="1" x14ac:dyDescent="0.25">
      <c r="A3527" s="83"/>
      <c r="B3527" s="129"/>
      <c r="C3527" s="129"/>
      <c r="D3527" s="83"/>
      <c r="E3527" s="103"/>
      <c r="F3527" s="129"/>
    </row>
    <row r="3528" spans="1:6" ht="16" thickBot="1" x14ac:dyDescent="0.25">
      <c r="A3528" s="83"/>
      <c r="B3528" s="129"/>
      <c r="C3528" s="129"/>
      <c r="D3528" s="83"/>
      <c r="E3528" s="103"/>
      <c r="F3528" s="129"/>
    </row>
    <row r="3529" spans="1:6" ht="16" thickBot="1" x14ac:dyDescent="0.25">
      <c r="A3529" s="83"/>
      <c r="B3529" s="129"/>
      <c r="C3529" s="129"/>
      <c r="D3529" s="83"/>
      <c r="E3529" s="103"/>
      <c r="F3529" s="129"/>
    </row>
    <row r="3530" spans="1:6" ht="16" thickBot="1" x14ac:dyDescent="0.25">
      <c r="A3530" s="83"/>
      <c r="B3530" s="129"/>
      <c r="C3530" s="129"/>
      <c r="D3530" s="83"/>
      <c r="E3530" s="103"/>
      <c r="F3530" s="129"/>
    </row>
    <row r="3531" spans="1:6" ht="16" thickBot="1" x14ac:dyDescent="0.25">
      <c r="A3531" s="83"/>
      <c r="B3531" s="129"/>
      <c r="C3531" s="129"/>
      <c r="D3531" s="83"/>
      <c r="E3531" s="103"/>
      <c r="F3531" s="129"/>
    </row>
    <row r="3532" spans="1:6" ht="16" thickBot="1" x14ac:dyDescent="0.25">
      <c r="A3532" s="83"/>
      <c r="B3532" s="129"/>
      <c r="C3532" s="129"/>
      <c r="D3532" s="83"/>
      <c r="E3532" s="103"/>
      <c r="F3532" s="129"/>
    </row>
    <row r="3533" spans="1:6" ht="16" thickBot="1" x14ac:dyDescent="0.25">
      <c r="A3533" s="83"/>
      <c r="B3533" s="129"/>
      <c r="C3533" s="129"/>
      <c r="D3533" s="83"/>
      <c r="E3533" s="103"/>
      <c r="F3533" s="129"/>
    </row>
    <row r="3534" spans="1:6" ht="16" thickBot="1" x14ac:dyDescent="0.25">
      <c r="A3534" s="83"/>
      <c r="B3534" s="129"/>
      <c r="C3534" s="129"/>
      <c r="D3534" s="83"/>
      <c r="E3534" s="103"/>
      <c r="F3534" s="129"/>
    </row>
    <row r="3535" spans="1:6" ht="16" thickBot="1" x14ac:dyDescent="0.25">
      <c r="A3535" s="83"/>
      <c r="B3535" s="129"/>
      <c r="C3535" s="129"/>
      <c r="D3535" s="83"/>
      <c r="E3535" s="103"/>
      <c r="F3535" s="129"/>
    </row>
    <row r="3536" spans="1:6" ht="16" thickBot="1" x14ac:dyDescent="0.25">
      <c r="A3536" s="83"/>
      <c r="B3536" s="129"/>
      <c r="C3536" s="129"/>
      <c r="D3536" s="83"/>
      <c r="E3536" s="103"/>
      <c r="F3536" s="129"/>
    </row>
    <row r="3537" spans="1:6" ht="16" thickBot="1" x14ac:dyDescent="0.25">
      <c r="A3537" s="83"/>
      <c r="B3537" s="129"/>
      <c r="C3537" s="129"/>
      <c r="D3537" s="83"/>
      <c r="E3537" s="103"/>
      <c r="F3537" s="129"/>
    </row>
    <row r="3538" spans="1:6" ht="16" thickBot="1" x14ac:dyDescent="0.25">
      <c r="A3538" s="83"/>
      <c r="B3538" s="129"/>
      <c r="C3538" s="129"/>
      <c r="D3538" s="83"/>
      <c r="E3538" s="103"/>
      <c r="F3538" s="129"/>
    </row>
    <row r="3539" spans="1:6" ht="16" thickBot="1" x14ac:dyDescent="0.25">
      <c r="A3539" s="83"/>
      <c r="B3539" s="129"/>
      <c r="C3539" s="129"/>
      <c r="D3539" s="83"/>
      <c r="E3539" s="103"/>
      <c r="F3539" s="129"/>
    </row>
    <row r="3540" spans="1:6" ht="16" thickBot="1" x14ac:dyDescent="0.25">
      <c r="A3540" s="83"/>
      <c r="B3540" s="129"/>
      <c r="C3540" s="129"/>
      <c r="D3540" s="83"/>
      <c r="E3540" s="103"/>
      <c r="F3540" s="129"/>
    </row>
    <row r="3541" spans="1:6" ht="16" thickBot="1" x14ac:dyDescent="0.25">
      <c r="A3541" s="83"/>
      <c r="B3541" s="129"/>
      <c r="C3541" s="129"/>
      <c r="D3541" s="83"/>
      <c r="E3541" s="103"/>
      <c r="F3541" s="129"/>
    </row>
    <row r="3542" spans="1:6" ht="16" thickBot="1" x14ac:dyDescent="0.25">
      <c r="A3542" s="83"/>
      <c r="B3542" s="129"/>
      <c r="C3542" s="129"/>
      <c r="D3542" s="83"/>
      <c r="E3542" s="103"/>
      <c r="F3542" s="129"/>
    </row>
    <row r="3543" spans="1:6" ht="16" thickBot="1" x14ac:dyDescent="0.25">
      <c r="A3543" s="83"/>
      <c r="B3543" s="129"/>
      <c r="C3543" s="129"/>
      <c r="D3543" s="83"/>
      <c r="E3543" s="103"/>
      <c r="F3543" s="129"/>
    </row>
    <row r="3544" spans="1:6" ht="16" thickBot="1" x14ac:dyDescent="0.25">
      <c r="A3544" s="83"/>
      <c r="B3544" s="129"/>
      <c r="C3544" s="129"/>
      <c r="D3544" s="83"/>
      <c r="E3544" s="103"/>
      <c r="F3544" s="129"/>
    </row>
    <row r="3545" spans="1:6" ht="16" thickBot="1" x14ac:dyDescent="0.25">
      <c r="A3545" s="83"/>
      <c r="B3545" s="129"/>
      <c r="C3545" s="129"/>
      <c r="D3545" s="83"/>
      <c r="E3545" s="103"/>
      <c r="F3545" s="129"/>
    </row>
    <row r="3546" spans="1:6" ht="16" thickBot="1" x14ac:dyDescent="0.25">
      <c r="A3546" s="83"/>
      <c r="B3546" s="129"/>
      <c r="C3546" s="129"/>
      <c r="D3546" s="83"/>
      <c r="E3546" s="103"/>
      <c r="F3546" s="129"/>
    </row>
    <row r="3547" spans="1:6" ht="16" thickBot="1" x14ac:dyDescent="0.25">
      <c r="A3547" s="83"/>
      <c r="B3547" s="129"/>
      <c r="C3547" s="129"/>
      <c r="D3547" s="83"/>
      <c r="E3547" s="103"/>
      <c r="F3547" s="129"/>
    </row>
    <row r="3548" spans="1:6" ht="16" thickBot="1" x14ac:dyDescent="0.25">
      <c r="A3548" s="83"/>
      <c r="B3548" s="129"/>
      <c r="C3548" s="129"/>
      <c r="D3548" s="83"/>
      <c r="E3548" s="103"/>
      <c r="F3548" s="129"/>
    </row>
    <row r="3549" spans="1:6" ht="16" thickBot="1" x14ac:dyDescent="0.25">
      <c r="A3549" s="83"/>
      <c r="B3549" s="129"/>
      <c r="C3549" s="129"/>
      <c r="D3549" s="83"/>
      <c r="E3549" s="103"/>
      <c r="F3549" s="129"/>
    </row>
    <row r="3550" spans="1:6" ht="16" thickBot="1" x14ac:dyDescent="0.25">
      <c r="A3550" s="83"/>
      <c r="B3550" s="129"/>
      <c r="C3550" s="129"/>
      <c r="D3550" s="83"/>
      <c r="E3550" s="103"/>
      <c r="F3550" s="129"/>
    </row>
    <row r="3551" spans="1:6" ht="16" thickBot="1" x14ac:dyDescent="0.25">
      <c r="A3551" s="83"/>
      <c r="B3551" s="129"/>
      <c r="C3551" s="129"/>
      <c r="D3551" s="83"/>
      <c r="E3551" s="103"/>
      <c r="F3551" s="129"/>
    </row>
    <row r="3552" spans="1:6" ht="16" thickBot="1" x14ac:dyDescent="0.25">
      <c r="A3552" s="83"/>
      <c r="B3552" s="129"/>
      <c r="C3552" s="129"/>
      <c r="D3552" s="83"/>
      <c r="E3552" s="103"/>
      <c r="F3552" s="129"/>
    </row>
    <row r="3553" spans="1:6" ht="16" thickBot="1" x14ac:dyDescent="0.25">
      <c r="A3553" s="83"/>
      <c r="B3553" s="129"/>
      <c r="C3553" s="129"/>
      <c r="D3553" s="83"/>
      <c r="E3553" s="103"/>
      <c r="F3553" s="129"/>
    </row>
    <row r="3554" spans="1:6" ht="16" thickBot="1" x14ac:dyDescent="0.25">
      <c r="A3554" s="83"/>
      <c r="B3554" s="129"/>
      <c r="C3554" s="129"/>
      <c r="D3554" s="83"/>
      <c r="E3554" s="103"/>
      <c r="F3554" s="129"/>
    </row>
    <row r="3555" spans="1:6" ht="16" thickBot="1" x14ac:dyDescent="0.25">
      <c r="A3555" s="83"/>
      <c r="B3555" s="129"/>
      <c r="C3555" s="129"/>
      <c r="D3555" s="83"/>
      <c r="E3555" s="103"/>
      <c r="F3555" s="129"/>
    </row>
    <row r="3556" spans="1:6" ht="16" thickBot="1" x14ac:dyDescent="0.25">
      <c r="A3556" s="83"/>
      <c r="B3556" s="129"/>
      <c r="C3556" s="129"/>
      <c r="D3556" s="83"/>
      <c r="E3556" s="103"/>
      <c r="F3556" s="129"/>
    </row>
    <row r="3557" spans="1:6" ht="16" thickBot="1" x14ac:dyDescent="0.25">
      <c r="A3557" s="83"/>
      <c r="B3557" s="129"/>
      <c r="C3557" s="129"/>
      <c r="D3557" s="83"/>
      <c r="E3557" s="103"/>
      <c r="F3557" s="129"/>
    </row>
    <row r="3558" spans="1:6" ht="16" thickBot="1" x14ac:dyDescent="0.25">
      <c r="A3558" s="83"/>
      <c r="B3558" s="129"/>
      <c r="C3558" s="129"/>
      <c r="D3558" s="83"/>
      <c r="E3558" s="103"/>
      <c r="F3558" s="129"/>
    </row>
    <row r="3559" spans="1:6" ht="16" thickBot="1" x14ac:dyDescent="0.25">
      <c r="A3559" s="83"/>
      <c r="B3559" s="129"/>
      <c r="C3559" s="129"/>
      <c r="D3559" s="83"/>
      <c r="E3559" s="103"/>
      <c r="F3559" s="129"/>
    </row>
    <row r="3560" spans="1:6" ht="16" thickBot="1" x14ac:dyDescent="0.25">
      <c r="A3560" s="83"/>
      <c r="B3560" s="129"/>
      <c r="C3560" s="129"/>
      <c r="D3560" s="83"/>
      <c r="E3560" s="103"/>
      <c r="F3560" s="129"/>
    </row>
    <row r="3561" spans="1:6" ht="16" thickBot="1" x14ac:dyDescent="0.25">
      <c r="A3561" s="83"/>
      <c r="B3561" s="129"/>
      <c r="C3561" s="129"/>
      <c r="D3561" s="83"/>
      <c r="E3561" s="103"/>
      <c r="F3561" s="129"/>
    </row>
    <row r="3562" spans="1:6" ht="16" thickBot="1" x14ac:dyDescent="0.25">
      <c r="A3562" s="83"/>
      <c r="B3562" s="129"/>
      <c r="C3562" s="129"/>
      <c r="D3562" s="83"/>
      <c r="E3562" s="103"/>
      <c r="F3562" s="129"/>
    </row>
    <row r="3563" spans="1:6" ht="16" thickBot="1" x14ac:dyDescent="0.25">
      <c r="A3563" s="83"/>
      <c r="B3563" s="129"/>
      <c r="C3563" s="129"/>
      <c r="D3563" s="83"/>
      <c r="E3563" s="103"/>
      <c r="F3563" s="129"/>
    </row>
    <row r="3564" spans="1:6" ht="16" thickBot="1" x14ac:dyDescent="0.25">
      <c r="A3564" s="83"/>
      <c r="B3564" s="129"/>
      <c r="C3564" s="129"/>
      <c r="D3564" s="83"/>
      <c r="E3564" s="103"/>
      <c r="F3564" s="129"/>
    </row>
    <row r="3565" spans="1:6" ht="16" thickBot="1" x14ac:dyDescent="0.25">
      <c r="A3565" s="83"/>
      <c r="B3565" s="129"/>
      <c r="C3565" s="129"/>
      <c r="D3565" s="83"/>
      <c r="E3565" s="103"/>
      <c r="F3565" s="129"/>
    </row>
    <row r="3566" spans="1:6" ht="16" thickBot="1" x14ac:dyDescent="0.25">
      <c r="A3566" s="83"/>
      <c r="B3566" s="129"/>
      <c r="C3566" s="129"/>
      <c r="D3566" s="83"/>
      <c r="E3566" s="103"/>
      <c r="F3566" s="129"/>
    </row>
    <row r="3567" spans="1:6" ht="16" thickBot="1" x14ac:dyDescent="0.25">
      <c r="A3567" s="83"/>
      <c r="B3567" s="129"/>
      <c r="C3567" s="129"/>
      <c r="D3567" s="83"/>
      <c r="E3567" s="103"/>
      <c r="F3567" s="129"/>
    </row>
    <row r="3568" spans="1:6" ht="16" thickBot="1" x14ac:dyDescent="0.25">
      <c r="A3568" s="83"/>
      <c r="B3568" s="129"/>
      <c r="C3568" s="129"/>
      <c r="D3568" s="83"/>
      <c r="E3568" s="103"/>
      <c r="F3568" s="129"/>
    </row>
    <row r="3569" spans="1:6" ht="16" thickBot="1" x14ac:dyDescent="0.25">
      <c r="A3569" s="83"/>
      <c r="B3569" s="129"/>
      <c r="C3569" s="129"/>
      <c r="D3569" s="83"/>
      <c r="E3569" s="103"/>
      <c r="F3569" s="129"/>
    </row>
    <row r="3570" spans="1:6" ht="16" thickBot="1" x14ac:dyDescent="0.25">
      <c r="A3570" s="83"/>
      <c r="B3570" s="129"/>
      <c r="C3570" s="129"/>
      <c r="D3570" s="83"/>
      <c r="E3570" s="103"/>
      <c r="F3570" s="129"/>
    </row>
    <row r="3571" spans="1:6" ht="16" thickBot="1" x14ac:dyDescent="0.25">
      <c r="A3571" s="83"/>
      <c r="B3571" s="129"/>
      <c r="C3571" s="129"/>
      <c r="D3571" s="83"/>
      <c r="E3571" s="103"/>
      <c r="F3571" s="129"/>
    </row>
    <row r="3572" spans="1:6" ht="16" thickBot="1" x14ac:dyDescent="0.25">
      <c r="A3572" s="83"/>
      <c r="B3572" s="129"/>
      <c r="C3572" s="129"/>
      <c r="D3572" s="83"/>
      <c r="E3572" s="103"/>
      <c r="F3572" s="129"/>
    </row>
    <row r="3573" spans="1:6" ht="16" thickBot="1" x14ac:dyDescent="0.25">
      <c r="A3573" s="83"/>
      <c r="B3573" s="129"/>
      <c r="C3573" s="129"/>
      <c r="D3573" s="83"/>
      <c r="E3573" s="103"/>
      <c r="F3573" s="129"/>
    </row>
    <row r="3574" spans="1:6" ht="16" thickBot="1" x14ac:dyDescent="0.25">
      <c r="A3574" s="83"/>
      <c r="B3574" s="129"/>
      <c r="C3574" s="129"/>
      <c r="D3574" s="83"/>
      <c r="E3574" s="103"/>
      <c r="F3574" s="129"/>
    </row>
    <row r="3575" spans="1:6" ht="16" thickBot="1" x14ac:dyDescent="0.25">
      <c r="A3575" s="83"/>
      <c r="B3575" s="129"/>
      <c r="C3575" s="129"/>
      <c r="D3575" s="83"/>
      <c r="E3575" s="103"/>
      <c r="F3575" s="129"/>
    </row>
    <row r="3576" spans="1:6" ht="16" thickBot="1" x14ac:dyDescent="0.25">
      <c r="A3576" s="83"/>
      <c r="B3576" s="129"/>
      <c r="C3576" s="129"/>
      <c r="D3576" s="83"/>
      <c r="E3576" s="103"/>
      <c r="F3576" s="129"/>
    </row>
    <row r="3577" spans="1:6" ht="16" thickBot="1" x14ac:dyDescent="0.25">
      <c r="A3577" s="83"/>
      <c r="B3577" s="129"/>
      <c r="C3577" s="129"/>
      <c r="D3577" s="83"/>
      <c r="E3577" s="103"/>
      <c r="F3577" s="129"/>
    </row>
    <row r="3578" spans="1:6" ht="16" thickBot="1" x14ac:dyDescent="0.25">
      <c r="A3578" s="83"/>
      <c r="B3578" s="129"/>
      <c r="C3578" s="129"/>
      <c r="D3578" s="83"/>
      <c r="E3578" s="103"/>
      <c r="F3578" s="129"/>
    </row>
    <row r="3579" spans="1:6" ht="16" thickBot="1" x14ac:dyDescent="0.25">
      <c r="A3579" s="83"/>
      <c r="B3579" s="129"/>
      <c r="C3579" s="129"/>
      <c r="D3579" s="83"/>
      <c r="E3579" s="103"/>
      <c r="F3579" s="129"/>
    </row>
    <row r="3580" spans="1:6" ht="16" thickBot="1" x14ac:dyDescent="0.25">
      <c r="A3580" s="83"/>
      <c r="B3580" s="129"/>
      <c r="C3580" s="129"/>
      <c r="D3580" s="83"/>
      <c r="E3580" s="83"/>
      <c r="F3580" s="129"/>
    </row>
    <row r="3581" spans="1:6" ht="16" thickBot="1" x14ac:dyDescent="0.25">
      <c r="A3581" s="83"/>
      <c r="B3581" s="129"/>
      <c r="C3581" s="129"/>
      <c r="D3581" s="83"/>
      <c r="E3581" s="103"/>
      <c r="F3581" s="129"/>
    </row>
    <row r="3582" spans="1:6" ht="16" thickBot="1" x14ac:dyDescent="0.25">
      <c r="A3582" s="83"/>
      <c r="B3582" s="129"/>
      <c r="C3582" s="129"/>
      <c r="D3582" s="83"/>
      <c r="E3582" s="103"/>
      <c r="F3582" s="129"/>
    </row>
    <row r="3583" spans="1:6" ht="16" thickBot="1" x14ac:dyDescent="0.25">
      <c r="A3583" s="83"/>
      <c r="B3583" s="129"/>
      <c r="C3583" s="129"/>
      <c r="D3583" s="83"/>
      <c r="E3583" s="103"/>
      <c r="F3583" s="129"/>
    </row>
    <row r="3584" spans="1:6" ht="16" thickBot="1" x14ac:dyDescent="0.25">
      <c r="A3584" s="83"/>
      <c r="B3584" s="129"/>
      <c r="C3584" s="129"/>
      <c r="D3584" s="83"/>
      <c r="E3584" s="103"/>
      <c r="F3584" s="129"/>
    </row>
    <row r="3585" spans="1:6" ht="16" thickBot="1" x14ac:dyDescent="0.25">
      <c r="A3585" s="83"/>
      <c r="B3585" s="129"/>
      <c r="C3585" s="129"/>
      <c r="D3585" s="83"/>
      <c r="E3585" s="103"/>
      <c r="F3585" s="129"/>
    </row>
    <row r="3586" spans="1:6" ht="16" thickBot="1" x14ac:dyDescent="0.25">
      <c r="A3586" s="83"/>
      <c r="B3586" s="129"/>
      <c r="C3586" s="129"/>
      <c r="D3586" s="83"/>
      <c r="E3586" s="103"/>
      <c r="F3586" s="129"/>
    </row>
    <row r="3587" spans="1:6" ht="16" thickBot="1" x14ac:dyDescent="0.25">
      <c r="A3587" s="83"/>
      <c r="B3587" s="129"/>
      <c r="C3587" s="129"/>
      <c r="D3587" s="83"/>
      <c r="E3587" s="103"/>
      <c r="F3587" s="129"/>
    </row>
    <row r="3588" spans="1:6" ht="16" thickBot="1" x14ac:dyDescent="0.25">
      <c r="A3588" s="83"/>
      <c r="B3588" s="129"/>
      <c r="C3588" s="129"/>
      <c r="D3588" s="83"/>
      <c r="E3588" s="103"/>
      <c r="F3588" s="129"/>
    </row>
    <row r="3589" spans="1:6" ht="16" thickBot="1" x14ac:dyDescent="0.25">
      <c r="A3589" s="83"/>
      <c r="B3589" s="129"/>
      <c r="C3589" s="129"/>
      <c r="D3589" s="83"/>
      <c r="E3589" s="103"/>
      <c r="F3589" s="129"/>
    </row>
    <row r="3590" spans="1:6" ht="16" thickBot="1" x14ac:dyDescent="0.25">
      <c r="A3590" s="83"/>
      <c r="B3590" s="129"/>
      <c r="C3590" s="129"/>
      <c r="D3590" s="83"/>
      <c r="E3590" s="103"/>
      <c r="F3590" s="129"/>
    </row>
    <row r="3591" spans="1:6" ht="16" thickBot="1" x14ac:dyDescent="0.25">
      <c r="A3591" s="83"/>
      <c r="B3591" s="129"/>
      <c r="C3591" s="129"/>
      <c r="D3591" s="83"/>
      <c r="E3591" s="103"/>
      <c r="F3591" s="129"/>
    </row>
    <row r="3592" spans="1:6" ht="16" thickBot="1" x14ac:dyDescent="0.25">
      <c r="A3592" s="83"/>
      <c r="B3592" s="129"/>
      <c r="C3592" s="129"/>
      <c r="D3592" s="83"/>
      <c r="E3592" s="103"/>
      <c r="F3592" s="129"/>
    </row>
    <row r="3593" spans="1:6" ht="16" thickBot="1" x14ac:dyDescent="0.25">
      <c r="A3593" s="83"/>
      <c r="B3593" s="129"/>
      <c r="C3593" s="129"/>
      <c r="D3593" s="83"/>
      <c r="E3593" s="103"/>
      <c r="F3593" s="129"/>
    </row>
    <row r="3594" spans="1:6" ht="16" thickBot="1" x14ac:dyDescent="0.25">
      <c r="A3594" s="83"/>
      <c r="B3594" s="129"/>
      <c r="C3594" s="129"/>
      <c r="D3594" s="83"/>
      <c r="E3594" s="103"/>
      <c r="F3594" s="129"/>
    </row>
    <row r="3595" spans="1:6" ht="16" thickBot="1" x14ac:dyDescent="0.25">
      <c r="A3595" s="83"/>
      <c r="B3595" s="129"/>
      <c r="C3595" s="129"/>
      <c r="D3595" s="83"/>
      <c r="E3595" s="103"/>
      <c r="F3595" s="129"/>
    </row>
    <row r="3596" spans="1:6" ht="16" thickBot="1" x14ac:dyDescent="0.25">
      <c r="A3596" s="83"/>
      <c r="B3596" s="129"/>
      <c r="C3596" s="129"/>
      <c r="D3596" s="83"/>
      <c r="E3596" s="103"/>
      <c r="F3596" s="129"/>
    </row>
    <row r="3597" spans="1:6" ht="16" thickBot="1" x14ac:dyDescent="0.25">
      <c r="A3597" s="83"/>
      <c r="B3597" s="129"/>
      <c r="C3597" s="129"/>
      <c r="D3597" s="83"/>
      <c r="E3597" s="103"/>
      <c r="F3597" s="129"/>
    </row>
    <row r="3598" spans="1:6" ht="16" thickBot="1" x14ac:dyDescent="0.25">
      <c r="A3598" s="83"/>
      <c r="B3598" s="129"/>
      <c r="C3598" s="129"/>
      <c r="D3598" s="83"/>
      <c r="E3598" s="103"/>
      <c r="F3598" s="129"/>
    </row>
    <row r="3599" spans="1:6" ht="16" thickBot="1" x14ac:dyDescent="0.25">
      <c r="A3599" s="83"/>
      <c r="B3599" s="129"/>
      <c r="C3599" s="129"/>
      <c r="D3599" s="83"/>
      <c r="E3599" s="103"/>
      <c r="F3599" s="129"/>
    </row>
    <row r="3600" spans="1:6" ht="16" thickBot="1" x14ac:dyDescent="0.25">
      <c r="A3600" s="83"/>
      <c r="B3600" s="129"/>
      <c r="C3600" s="129"/>
      <c r="D3600" s="83"/>
      <c r="E3600" s="103"/>
      <c r="F3600" s="129"/>
    </row>
    <row r="3601" spans="1:6" ht="16" thickBot="1" x14ac:dyDescent="0.25">
      <c r="A3601" s="83"/>
      <c r="B3601" s="129"/>
      <c r="C3601" s="129"/>
      <c r="D3601" s="83"/>
      <c r="E3601" s="103"/>
      <c r="F3601" s="129"/>
    </row>
    <row r="3602" spans="1:6" ht="16" thickBot="1" x14ac:dyDescent="0.25">
      <c r="A3602" s="83"/>
      <c r="B3602" s="129"/>
      <c r="C3602" s="129"/>
      <c r="D3602" s="83"/>
      <c r="E3602" s="103"/>
      <c r="F3602" s="129"/>
    </row>
    <row r="3603" spans="1:6" ht="16" thickBot="1" x14ac:dyDescent="0.25">
      <c r="A3603" s="83"/>
      <c r="B3603" s="129"/>
      <c r="C3603" s="129"/>
      <c r="D3603" s="83"/>
      <c r="E3603" s="103"/>
      <c r="F3603" s="129"/>
    </row>
    <row r="3604" spans="1:6" ht="16" thickBot="1" x14ac:dyDescent="0.25">
      <c r="A3604" s="83"/>
      <c r="B3604" s="129"/>
      <c r="C3604" s="129"/>
      <c r="D3604" s="83"/>
      <c r="E3604" s="103"/>
      <c r="F3604" s="129"/>
    </row>
    <row r="3605" spans="1:6" ht="16" thickBot="1" x14ac:dyDescent="0.25">
      <c r="A3605" s="83"/>
      <c r="B3605" s="129"/>
      <c r="C3605" s="129"/>
      <c r="D3605" s="83"/>
      <c r="E3605" s="103"/>
      <c r="F3605" s="129"/>
    </row>
    <row r="3606" spans="1:6" ht="16" thickBot="1" x14ac:dyDescent="0.25">
      <c r="A3606" s="83"/>
      <c r="B3606" s="129"/>
      <c r="C3606" s="129"/>
      <c r="D3606" s="83"/>
      <c r="E3606" s="103"/>
      <c r="F3606" s="129"/>
    </row>
    <row r="3607" spans="1:6" ht="16" thickBot="1" x14ac:dyDescent="0.25">
      <c r="A3607" s="83"/>
      <c r="B3607" s="129"/>
      <c r="C3607" s="129"/>
      <c r="D3607" s="83"/>
      <c r="E3607" s="103"/>
      <c r="F3607" s="129"/>
    </row>
    <row r="3608" spans="1:6" ht="16" thickBot="1" x14ac:dyDescent="0.25">
      <c r="A3608" s="83"/>
      <c r="B3608" s="129"/>
      <c r="C3608" s="129"/>
      <c r="D3608" s="83"/>
      <c r="E3608" s="103"/>
      <c r="F3608" s="129"/>
    </row>
    <row r="3609" spans="1:6" ht="16" thickBot="1" x14ac:dyDescent="0.25">
      <c r="A3609" s="83"/>
      <c r="B3609" s="129"/>
      <c r="C3609" s="129"/>
      <c r="D3609" s="83"/>
      <c r="E3609" s="103"/>
      <c r="F3609" s="129"/>
    </row>
    <row r="3610" spans="1:6" ht="16" thickBot="1" x14ac:dyDescent="0.25">
      <c r="A3610" s="83"/>
      <c r="B3610" s="129"/>
      <c r="C3610" s="129"/>
      <c r="D3610" s="83"/>
      <c r="E3610" s="103"/>
      <c r="F3610" s="129"/>
    </row>
    <row r="3611" spans="1:6" ht="16" thickBot="1" x14ac:dyDescent="0.25">
      <c r="A3611" s="83"/>
      <c r="B3611" s="129"/>
      <c r="C3611" s="129"/>
      <c r="D3611" s="83"/>
      <c r="E3611" s="103"/>
      <c r="F3611" s="129"/>
    </row>
    <row r="3612" spans="1:6" ht="16" thickBot="1" x14ac:dyDescent="0.25">
      <c r="A3612" s="83"/>
      <c r="B3612" s="129"/>
      <c r="C3612" s="129"/>
      <c r="D3612" s="83"/>
      <c r="E3612" s="103"/>
      <c r="F3612" s="129"/>
    </row>
    <row r="3613" spans="1:6" ht="16" thickBot="1" x14ac:dyDescent="0.25">
      <c r="A3613" s="83"/>
      <c r="B3613" s="129"/>
      <c r="C3613" s="129"/>
      <c r="D3613" s="83"/>
      <c r="E3613" s="103"/>
      <c r="F3613" s="129"/>
    </row>
    <row r="3614" spans="1:6" ht="16" thickBot="1" x14ac:dyDescent="0.25">
      <c r="A3614" s="83"/>
      <c r="B3614" s="129"/>
      <c r="C3614" s="129"/>
      <c r="D3614" s="83"/>
      <c r="E3614" s="103"/>
      <c r="F3614" s="129"/>
    </row>
    <row r="3615" spans="1:6" ht="16" thickBot="1" x14ac:dyDescent="0.25">
      <c r="A3615" s="83"/>
      <c r="B3615" s="129"/>
      <c r="C3615" s="129"/>
      <c r="D3615" s="83"/>
      <c r="E3615" s="103"/>
      <c r="F3615" s="129"/>
    </row>
    <row r="3616" spans="1:6" ht="16" thickBot="1" x14ac:dyDescent="0.25">
      <c r="A3616" s="83"/>
      <c r="B3616" s="129"/>
      <c r="C3616" s="129"/>
      <c r="D3616" s="83"/>
      <c r="E3616" s="103"/>
      <c r="F3616" s="129"/>
    </row>
    <row r="3617" spans="1:6" ht="16" thickBot="1" x14ac:dyDescent="0.25">
      <c r="A3617" s="83"/>
      <c r="B3617" s="129"/>
      <c r="C3617" s="129"/>
      <c r="D3617" s="83"/>
      <c r="E3617" s="103"/>
      <c r="F3617" s="129"/>
    </row>
    <row r="3618" spans="1:6" ht="16" thickBot="1" x14ac:dyDescent="0.25">
      <c r="A3618" s="83"/>
      <c r="B3618" s="129"/>
      <c r="C3618" s="129"/>
      <c r="D3618" s="83"/>
      <c r="E3618" s="103"/>
      <c r="F3618" s="129"/>
    </row>
    <row r="3619" spans="1:6" ht="16" thickBot="1" x14ac:dyDescent="0.25">
      <c r="A3619" s="83"/>
      <c r="B3619" s="129"/>
      <c r="C3619" s="129"/>
      <c r="D3619" s="83"/>
      <c r="E3619" s="103"/>
      <c r="F3619" s="129"/>
    </row>
    <row r="3620" spans="1:6" ht="16" thickBot="1" x14ac:dyDescent="0.25">
      <c r="A3620" s="83"/>
      <c r="B3620" s="129"/>
      <c r="C3620" s="129"/>
      <c r="D3620" s="83"/>
      <c r="E3620" s="103"/>
      <c r="F3620" s="129"/>
    </row>
    <row r="3621" spans="1:6" ht="16" thickBot="1" x14ac:dyDescent="0.25">
      <c r="A3621" s="83"/>
      <c r="B3621" s="129"/>
      <c r="C3621" s="129"/>
      <c r="D3621" s="83"/>
      <c r="E3621" s="103"/>
      <c r="F3621" s="129"/>
    </row>
    <row r="3622" spans="1:6" ht="16" thickBot="1" x14ac:dyDescent="0.25">
      <c r="A3622" s="83"/>
      <c r="B3622" s="129"/>
      <c r="C3622" s="129"/>
      <c r="D3622" s="83"/>
      <c r="E3622" s="103"/>
      <c r="F3622" s="129"/>
    </row>
    <row r="3623" spans="1:6" ht="16" thickBot="1" x14ac:dyDescent="0.25">
      <c r="A3623" s="83"/>
      <c r="B3623" s="129"/>
      <c r="C3623" s="129"/>
      <c r="D3623" s="83"/>
      <c r="E3623" s="103"/>
      <c r="F3623" s="129"/>
    </row>
    <row r="3624" spans="1:6" ht="16" thickBot="1" x14ac:dyDescent="0.25">
      <c r="A3624" s="83"/>
      <c r="B3624" s="129"/>
      <c r="C3624" s="129"/>
      <c r="D3624" s="83"/>
      <c r="E3624" s="103"/>
      <c r="F3624" s="129"/>
    </row>
    <row r="3625" spans="1:6" ht="16" thickBot="1" x14ac:dyDescent="0.25">
      <c r="A3625" s="83"/>
      <c r="B3625" s="129"/>
      <c r="C3625" s="129"/>
      <c r="D3625" s="83"/>
      <c r="E3625" s="103"/>
      <c r="F3625" s="129"/>
    </row>
    <row r="3626" spans="1:6" ht="16" thickBot="1" x14ac:dyDescent="0.25">
      <c r="A3626" s="83"/>
      <c r="B3626" s="129"/>
      <c r="C3626" s="129"/>
      <c r="D3626" s="83"/>
      <c r="E3626" s="103"/>
      <c r="F3626" s="129"/>
    </row>
    <row r="3627" spans="1:6" ht="16" thickBot="1" x14ac:dyDescent="0.25">
      <c r="A3627" s="83"/>
      <c r="B3627" s="129"/>
      <c r="C3627" s="129"/>
      <c r="D3627" s="83"/>
      <c r="E3627" s="103"/>
      <c r="F3627" s="129"/>
    </row>
    <row r="3628" spans="1:6" ht="16" thickBot="1" x14ac:dyDescent="0.25">
      <c r="A3628" s="83"/>
      <c r="B3628" s="129"/>
      <c r="C3628" s="129"/>
      <c r="D3628" s="83"/>
      <c r="E3628" s="103"/>
      <c r="F3628" s="129"/>
    </row>
    <row r="3629" spans="1:6" ht="16" thickBot="1" x14ac:dyDescent="0.25">
      <c r="A3629" s="83"/>
      <c r="B3629" s="129"/>
      <c r="C3629" s="129"/>
      <c r="D3629" s="83"/>
      <c r="E3629" s="103"/>
      <c r="F3629" s="129"/>
    </row>
    <row r="3630" spans="1:6" ht="16" thickBot="1" x14ac:dyDescent="0.25">
      <c r="A3630" s="83"/>
      <c r="B3630" s="129"/>
      <c r="C3630" s="129"/>
      <c r="D3630" s="83"/>
      <c r="E3630" s="103"/>
      <c r="F3630" s="129"/>
    </row>
    <row r="3631" spans="1:6" ht="16" thickBot="1" x14ac:dyDescent="0.25">
      <c r="A3631" s="83"/>
      <c r="B3631" s="129"/>
      <c r="C3631" s="129"/>
      <c r="D3631" s="83"/>
      <c r="E3631" s="103"/>
      <c r="F3631" s="129"/>
    </row>
    <row r="3632" spans="1:6" ht="16" thickBot="1" x14ac:dyDescent="0.25">
      <c r="A3632" s="83"/>
      <c r="B3632" s="129"/>
      <c r="C3632" s="129"/>
      <c r="D3632" s="83"/>
      <c r="E3632" s="103"/>
      <c r="F3632" s="129"/>
    </row>
    <row r="3633" spans="1:6" ht="16" thickBot="1" x14ac:dyDescent="0.25">
      <c r="A3633" s="83"/>
      <c r="B3633" s="129"/>
      <c r="C3633" s="129"/>
      <c r="D3633" s="83"/>
      <c r="E3633" s="103"/>
      <c r="F3633" s="129"/>
    </row>
    <row r="3634" spans="1:6" ht="16" thickBot="1" x14ac:dyDescent="0.25">
      <c r="A3634" s="83"/>
      <c r="B3634" s="129"/>
      <c r="C3634" s="129"/>
      <c r="D3634" s="83"/>
      <c r="E3634" s="103"/>
      <c r="F3634" s="129"/>
    </row>
    <row r="3635" spans="1:6" ht="16" thickBot="1" x14ac:dyDescent="0.25">
      <c r="A3635" s="83"/>
      <c r="B3635" s="129"/>
      <c r="C3635" s="129"/>
      <c r="D3635" s="83"/>
      <c r="E3635" s="103"/>
      <c r="F3635" s="129"/>
    </row>
    <row r="3636" spans="1:6" ht="16" thickBot="1" x14ac:dyDescent="0.25">
      <c r="A3636" s="83"/>
      <c r="B3636" s="129"/>
      <c r="C3636" s="129"/>
      <c r="D3636" s="83"/>
      <c r="E3636" s="103"/>
      <c r="F3636" s="129"/>
    </row>
    <row r="3637" spans="1:6" ht="16" thickBot="1" x14ac:dyDescent="0.25">
      <c r="A3637" s="83"/>
      <c r="B3637" s="129"/>
      <c r="C3637" s="129"/>
      <c r="D3637" s="83"/>
      <c r="E3637" s="103"/>
      <c r="F3637" s="129"/>
    </row>
    <row r="3638" spans="1:6" ht="16" thickBot="1" x14ac:dyDescent="0.25">
      <c r="A3638" s="83"/>
      <c r="B3638" s="129"/>
      <c r="C3638" s="129"/>
      <c r="D3638" s="83"/>
      <c r="E3638" s="103"/>
      <c r="F3638" s="129"/>
    </row>
    <row r="3639" spans="1:6" ht="16" thickBot="1" x14ac:dyDescent="0.25">
      <c r="A3639" s="83"/>
      <c r="B3639" s="129"/>
      <c r="C3639" s="129"/>
      <c r="D3639" s="83"/>
      <c r="E3639" s="103"/>
      <c r="F3639" s="129"/>
    </row>
    <row r="3640" spans="1:6" ht="16" thickBot="1" x14ac:dyDescent="0.25">
      <c r="A3640" s="83"/>
      <c r="B3640" s="129"/>
      <c r="C3640" s="129"/>
      <c r="D3640" s="83"/>
      <c r="E3640" s="103"/>
      <c r="F3640" s="129"/>
    </row>
    <row r="3641" spans="1:6" ht="16" thickBot="1" x14ac:dyDescent="0.25">
      <c r="A3641" s="83"/>
      <c r="B3641" s="129"/>
      <c r="C3641" s="129"/>
      <c r="D3641" s="83"/>
      <c r="E3641" s="103"/>
      <c r="F3641" s="129"/>
    </row>
    <row r="3642" spans="1:6" ht="16" thickBot="1" x14ac:dyDescent="0.25">
      <c r="A3642" s="83"/>
      <c r="B3642" s="129"/>
      <c r="C3642" s="129"/>
      <c r="D3642" s="83"/>
      <c r="E3642" s="103"/>
      <c r="F3642" s="129"/>
    </row>
    <row r="3643" spans="1:6" ht="16" thickBot="1" x14ac:dyDescent="0.25">
      <c r="A3643" s="83"/>
      <c r="B3643" s="129"/>
      <c r="C3643" s="129"/>
      <c r="D3643" s="83"/>
      <c r="E3643" s="103"/>
      <c r="F3643" s="129"/>
    </row>
    <row r="3644" spans="1:6" ht="16" thickBot="1" x14ac:dyDescent="0.25">
      <c r="A3644" s="83"/>
      <c r="B3644" s="129"/>
      <c r="C3644" s="129"/>
      <c r="D3644" s="83"/>
      <c r="E3644" s="103"/>
      <c r="F3644" s="129"/>
    </row>
    <row r="3645" spans="1:6" ht="16" thickBot="1" x14ac:dyDescent="0.25">
      <c r="A3645" s="126"/>
      <c r="B3645" s="127"/>
      <c r="C3645" s="127"/>
      <c r="D3645" s="126"/>
      <c r="E3645" s="128"/>
      <c r="F3645" s="127"/>
    </row>
    <row r="3646" spans="1:6" ht="16" thickBot="1" x14ac:dyDescent="0.25">
      <c r="A3646" s="83"/>
      <c r="B3646" s="129"/>
      <c r="C3646" s="129"/>
      <c r="D3646" s="83"/>
      <c r="E3646" s="103"/>
      <c r="F3646" s="129"/>
    </row>
    <row r="3647" spans="1:6" ht="16" thickBot="1" x14ac:dyDescent="0.25">
      <c r="A3647" s="83"/>
      <c r="B3647" s="129"/>
      <c r="C3647" s="129"/>
      <c r="D3647" s="83"/>
      <c r="E3647" s="103"/>
      <c r="F3647" s="129"/>
    </row>
    <row r="3648" spans="1:6" ht="16" thickBot="1" x14ac:dyDescent="0.25">
      <c r="A3648" s="83"/>
      <c r="B3648" s="129"/>
      <c r="C3648" s="129"/>
      <c r="D3648" s="83"/>
      <c r="E3648" s="103"/>
      <c r="F3648" s="129"/>
    </row>
    <row r="3649" spans="1:6" ht="16" thickBot="1" x14ac:dyDescent="0.25">
      <c r="A3649" s="83"/>
      <c r="B3649" s="129"/>
      <c r="C3649" s="129"/>
      <c r="D3649" s="83"/>
      <c r="E3649" s="103"/>
      <c r="F3649" s="129"/>
    </row>
    <row r="3650" spans="1:6" ht="16" thickBot="1" x14ac:dyDescent="0.25">
      <c r="A3650" s="83"/>
      <c r="B3650" s="129"/>
      <c r="C3650" s="129"/>
      <c r="D3650" s="83"/>
      <c r="E3650" s="103"/>
      <c r="F3650" s="129"/>
    </row>
    <row r="3651" spans="1:6" ht="16" thickBot="1" x14ac:dyDescent="0.25">
      <c r="A3651" s="83"/>
      <c r="B3651" s="129"/>
      <c r="C3651" s="129"/>
      <c r="D3651" s="83"/>
      <c r="E3651" s="103"/>
      <c r="F3651" s="129"/>
    </row>
    <row r="3652" spans="1:6" ht="16" thickBot="1" x14ac:dyDescent="0.25">
      <c r="A3652" s="83"/>
      <c r="B3652" s="129"/>
      <c r="C3652" s="129"/>
      <c r="D3652" s="83"/>
      <c r="E3652" s="103"/>
      <c r="F3652" s="129"/>
    </row>
    <row r="3653" spans="1:6" ht="16" thickBot="1" x14ac:dyDescent="0.25">
      <c r="A3653" s="83"/>
      <c r="B3653" s="129"/>
      <c r="C3653" s="129"/>
      <c r="D3653" s="83"/>
      <c r="E3653" s="103"/>
      <c r="F3653" s="129"/>
    </row>
    <row r="3654" spans="1:6" ht="16" thickBot="1" x14ac:dyDescent="0.25">
      <c r="A3654" s="83"/>
      <c r="B3654" s="129"/>
      <c r="C3654" s="129"/>
      <c r="D3654" s="83"/>
      <c r="E3654" s="103"/>
      <c r="F3654" s="129"/>
    </row>
    <row r="3655" spans="1:6" ht="16" thickBot="1" x14ac:dyDescent="0.25">
      <c r="A3655" s="83"/>
      <c r="B3655" s="129"/>
      <c r="C3655" s="129"/>
      <c r="D3655" s="83"/>
      <c r="E3655" s="103"/>
      <c r="F3655" s="129"/>
    </row>
    <row r="3656" spans="1:6" ht="16" thickBot="1" x14ac:dyDescent="0.25">
      <c r="A3656" s="83"/>
      <c r="B3656" s="129"/>
      <c r="C3656" s="129"/>
      <c r="D3656" s="83"/>
      <c r="E3656" s="103"/>
      <c r="F3656" s="129"/>
    </row>
    <row r="3657" spans="1:6" ht="16" thickBot="1" x14ac:dyDescent="0.25">
      <c r="A3657" s="83"/>
      <c r="B3657" s="129"/>
      <c r="C3657" s="129"/>
      <c r="D3657" s="83"/>
      <c r="E3657" s="103"/>
      <c r="F3657" s="129"/>
    </row>
    <row r="3658" spans="1:6" ht="16" thickBot="1" x14ac:dyDescent="0.25">
      <c r="A3658" s="83"/>
      <c r="B3658" s="129"/>
      <c r="C3658" s="129"/>
      <c r="D3658" s="83"/>
      <c r="E3658" s="103"/>
      <c r="F3658" s="129"/>
    </row>
    <row r="3659" spans="1:6" ht="16" thickBot="1" x14ac:dyDescent="0.25">
      <c r="A3659" s="83"/>
      <c r="B3659" s="129"/>
      <c r="C3659" s="129"/>
      <c r="D3659" s="83"/>
      <c r="E3659" s="103"/>
      <c r="F3659" s="129"/>
    </row>
    <row r="3660" spans="1:6" ht="16" thickBot="1" x14ac:dyDescent="0.25">
      <c r="A3660" s="83"/>
      <c r="B3660" s="129"/>
      <c r="C3660" s="129"/>
      <c r="D3660" s="83"/>
      <c r="E3660" s="103"/>
      <c r="F3660" s="129"/>
    </row>
    <row r="3661" spans="1:6" ht="16" thickBot="1" x14ac:dyDescent="0.25">
      <c r="A3661" s="83"/>
      <c r="B3661" s="129"/>
      <c r="C3661" s="129"/>
      <c r="D3661" s="83"/>
      <c r="E3661" s="103"/>
      <c r="F3661" s="129"/>
    </row>
    <row r="3662" spans="1:6" ht="16" thickBot="1" x14ac:dyDescent="0.25">
      <c r="A3662" s="83"/>
      <c r="B3662" s="129"/>
      <c r="C3662" s="129"/>
      <c r="D3662" s="83"/>
      <c r="E3662" s="103"/>
      <c r="F3662" s="129"/>
    </row>
    <row r="3663" spans="1:6" ht="16" thickBot="1" x14ac:dyDescent="0.25">
      <c r="A3663" s="83"/>
      <c r="B3663" s="129"/>
      <c r="C3663" s="129"/>
      <c r="D3663" s="83"/>
      <c r="E3663" s="103"/>
      <c r="F3663" s="129"/>
    </row>
    <row r="3664" spans="1:6" ht="16" thickBot="1" x14ac:dyDescent="0.25">
      <c r="A3664" s="83"/>
      <c r="B3664" s="129"/>
      <c r="C3664" s="129"/>
      <c r="D3664" s="83"/>
      <c r="E3664" s="103"/>
      <c r="F3664" s="129"/>
    </row>
    <row r="3665" spans="1:6" ht="16" thickBot="1" x14ac:dyDescent="0.25">
      <c r="A3665" s="83"/>
      <c r="B3665" s="129"/>
      <c r="C3665" s="129"/>
      <c r="D3665" s="83"/>
      <c r="E3665" s="103"/>
      <c r="F3665" s="129"/>
    </row>
    <row r="3666" spans="1:6" ht="16" thickBot="1" x14ac:dyDescent="0.25">
      <c r="A3666" s="83"/>
      <c r="B3666" s="129"/>
      <c r="C3666" s="129"/>
      <c r="D3666" s="83"/>
      <c r="E3666" s="103"/>
      <c r="F3666" s="129"/>
    </row>
    <row r="3667" spans="1:6" ht="16" thickBot="1" x14ac:dyDescent="0.25">
      <c r="A3667" s="83"/>
      <c r="B3667" s="129"/>
      <c r="C3667" s="129"/>
      <c r="D3667" s="83"/>
      <c r="E3667" s="103"/>
      <c r="F3667" s="129"/>
    </row>
    <row r="3668" spans="1:6" ht="16" thickBot="1" x14ac:dyDescent="0.25">
      <c r="A3668" s="83"/>
      <c r="B3668" s="129"/>
      <c r="C3668" s="129"/>
      <c r="D3668" s="83"/>
      <c r="E3668" s="103"/>
      <c r="F3668" s="129"/>
    </row>
    <row r="3669" spans="1:6" ht="16" thickBot="1" x14ac:dyDescent="0.25">
      <c r="A3669" s="83"/>
      <c r="B3669" s="129"/>
      <c r="C3669" s="129"/>
      <c r="D3669" s="83"/>
      <c r="E3669" s="103"/>
      <c r="F3669" s="129"/>
    </row>
    <row r="3670" spans="1:6" ht="16" thickBot="1" x14ac:dyDescent="0.25">
      <c r="A3670" s="83"/>
      <c r="B3670" s="129"/>
      <c r="C3670" s="129"/>
      <c r="D3670" s="83"/>
      <c r="E3670" s="103"/>
      <c r="F3670" s="129"/>
    </row>
    <row r="3671" spans="1:6" ht="16" thickBot="1" x14ac:dyDescent="0.25">
      <c r="A3671" s="83"/>
      <c r="B3671" s="129"/>
      <c r="C3671" s="129"/>
      <c r="D3671" s="83"/>
      <c r="E3671" s="103"/>
      <c r="F3671" s="129"/>
    </row>
    <row r="3672" spans="1:6" ht="16" thickBot="1" x14ac:dyDescent="0.25">
      <c r="A3672" s="83"/>
      <c r="B3672" s="129"/>
      <c r="C3672" s="129"/>
      <c r="D3672" s="83"/>
      <c r="E3672" s="103"/>
      <c r="F3672" s="129"/>
    </row>
    <row r="3673" spans="1:6" ht="16" thickBot="1" x14ac:dyDescent="0.25">
      <c r="A3673" s="83"/>
      <c r="B3673" s="129"/>
      <c r="C3673" s="129"/>
      <c r="D3673" s="83"/>
      <c r="E3673" s="103"/>
      <c r="F3673" s="129"/>
    </row>
    <row r="3674" spans="1:6" ht="16" thickBot="1" x14ac:dyDescent="0.25">
      <c r="A3674" s="83"/>
      <c r="B3674" s="129"/>
      <c r="C3674" s="129"/>
      <c r="D3674" s="83"/>
      <c r="E3674" s="103"/>
      <c r="F3674" s="129"/>
    </row>
    <row r="3675" spans="1:6" ht="16" thickBot="1" x14ac:dyDescent="0.25">
      <c r="A3675" s="83"/>
      <c r="B3675" s="129"/>
      <c r="C3675" s="129"/>
      <c r="D3675" s="83"/>
      <c r="E3675" s="103"/>
      <c r="F3675" s="129"/>
    </row>
    <row r="3676" spans="1:6" ht="16" thickBot="1" x14ac:dyDescent="0.25">
      <c r="A3676" s="83"/>
      <c r="B3676" s="129"/>
      <c r="C3676" s="129"/>
      <c r="D3676" s="83"/>
      <c r="E3676" s="103"/>
      <c r="F3676" s="129"/>
    </row>
    <row r="3677" spans="1:6" ht="16" thickBot="1" x14ac:dyDescent="0.25">
      <c r="A3677" s="83"/>
      <c r="B3677" s="129"/>
      <c r="C3677" s="129"/>
      <c r="D3677" s="83"/>
      <c r="E3677" s="103"/>
      <c r="F3677" s="129"/>
    </row>
    <row r="3678" spans="1:6" ht="16" thickBot="1" x14ac:dyDescent="0.25">
      <c r="A3678" s="83"/>
      <c r="B3678" s="129"/>
      <c r="C3678" s="129"/>
      <c r="D3678" s="83"/>
      <c r="E3678" s="103"/>
      <c r="F3678" s="129"/>
    </row>
    <row r="3679" spans="1:6" ht="16" thickBot="1" x14ac:dyDescent="0.25">
      <c r="A3679" s="83"/>
      <c r="B3679" s="129"/>
      <c r="C3679" s="129"/>
      <c r="D3679" s="83"/>
      <c r="E3679" s="103"/>
      <c r="F3679" s="129"/>
    </row>
    <row r="3680" spans="1:6" ht="16" thickBot="1" x14ac:dyDescent="0.25">
      <c r="A3680" s="83"/>
      <c r="B3680" s="129"/>
      <c r="C3680" s="129"/>
      <c r="D3680" s="83"/>
      <c r="E3680" s="103"/>
      <c r="F3680" s="129"/>
    </row>
    <row r="3681" spans="1:6" ht="16" thickBot="1" x14ac:dyDescent="0.25">
      <c r="A3681" s="83"/>
      <c r="B3681" s="129"/>
      <c r="C3681" s="129"/>
      <c r="D3681" s="83"/>
      <c r="E3681" s="103"/>
      <c r="F3681" s="129"/>
    </row>
    <row r="3682" spans="1:6" ht="16" thickBot="1" x14ac:dyDescent="0.25">
      <c r="A3682" s="83"/>
      <c r="B3682" s="129"/>
      <c r="C3682" s="129"/>
      <c r="D3682" s="83"/>
      <c r="E3682" s="103"/>
      <c r="F3682" s="129"/>
    </row>
    <row r="3683" spans="1:6" ht="16" thickBot="1" x14ac:dyDescent="0.25">
      <c r="A3683" s="83"/>
      <c r="B3683" s="129"/>
      <c r="C3683" s="129"/>
      <c r="D3683" s="83"/>
      <c r="E3683" s="103"/>
      <c r="F3683" s="129"/>
    </row>
    <row r="3684" spans="1:6" ht="16" thickBot="1" x14ac:dyDescent="0.25">
      <c r="A3684" s="83"/>
      <c r="B3684" s="129"/>
      <c r="C3684" s="129"/>
      <c r="D3684" s="83"/>
      <c r="E3684" s="103"/>
      <c r="F3684" s="129"/>
    </row>
    <row r="3685" spans="1:6" ht="16" thickBot="1" x14ac:dyDescent="0.25">
      <c r="A3685" s="83"/>
      <c r="B3685" s="129"/>
      <c r="C3685" s="129"/>
      <c r="D3685" s="83"/>
      <c r="E3685" s="103"/>
      <c r="F3685" s="129"/>
    </row>
    <row r="3686" spans="1:6" ht="16" thickBot="1" x14ac:dyDescent="0.25">
      <c r="A3686" s="83"/>
      <c r="B3686" s="129"/>
      <c r="C3686" s="129"/>
      <c r="D3686" s="83"/>
      <c r="E3686" s="103"/>
      <c r="F3686" s="129"/>
    </row>
    <row r="3687" spans="1:6" ht="16" thickBot="1" x14ac:dyDescent="0.25">
      <c r="A3687" s="83"/>
      <c r="B3687" s="129"/>
      <c r="C3687" s="129"/>
      <c r="D3687" s="83"/>
      <c r="E3687" s="103"/>
      <c r="F3687" s="129"/>
    </row>
    <row r="3688" spans="1:6" ht="16" thickBot="1" x14ac:dyDescent="0.25">
      <c r="A3688" s="83"/>
      <c r="B3688" s="129"/>
      <c r="C3688" s="129"/>
      <c r="D3688" s="83"/>
      <c r="E3688" s="103"/>
      <c r="F3688" s="129"/>
    </row>
    <row r="3689" spans="1:6" ht="16" thickBot="1" x14ac:dyDescent="0.25">
      <c r="A3689" s="83"/>
      <c r="B3689" s="129"/>
      <c r="C3689" s="129"/>
      <c r="D3689" s="83"/>
      <c r="E3689" s="103"/>
      <c r="F3689" s="129"/>
    </row>
    <row r="3690" spans="1:6" ht="16" thickBot="1" x14ac:dyDescent="0.25">
      <c r="A3690" s="83"/>
      <c r="B3690" s="129"/>
      <c r="C3690" s="129"/>
      <c r="D3690" s="83"/>
      <c r="E3690" s="103"/>
      <c r="F3690" s="129"/>
    </row>
    <row r="3691" spans="1:6" ht="16" thickBot="1" x14ac:dyDescent="0.25">
      <c r="A3691" s="83"/>
      <c r="B3691" s="129"/>
      <c r="C3691" s="129"/>
      <c r="D3691" s="83"/>
      <c r="E3691" s="103"/>
      <c r="F3691" s="129"/>
    </row>
    <row r="3692" spans="1:6" ht="16" thickBot="1" x14ac:dyDescent="0.25">
      <c r="A3692" s="83"/>
      <c r="B3692" s="129"/>
      <c r="C3692" s="129"/>
      <c r="D3692" s="83"/>
      <c r="E3692" s="103"/>
      <c r="F3692" s="129"/>
    </row>
    <row r="3693" spans="1:6" ht="16" thickBot="1" x14ac:dyDescent="0.25">
      <c r="A3693" s="83"/>
      <c r="B3693" s="129"/>
      <c r="C3693" s="129"/>
      <c r="D3693" s="83"/>
      <c r="E3693" s="103"/>
      <c r="F3693" s="129"/>
    </row>
    <row r="3694" spans="1:6" ht="16" thickBot="1" x14ac:dyDescent="0.25">
      <c r="A3694" s="83"/>
      <c r="B3694" s="129"/>
      <c r="C3694" s="129"/>
      <c r="D3694" s="83"/>
      <c r="E3694" s="103"/>
      <c r="F3694" s="129"/>
    </row>
    <row r="3695" spans="1:6" ht="16" thickBot="1" x14ac:dyDescent="0.25">
      <c r="A3695" s="83"/>
      <c r="B3695" s="129"/>
      <c r="C3695" s="129"/>
      <c r="D3695" s="83"/>
      <c r="E3695" s="103"/>
      <c r="F3695" s="129"/>
    </row>
    <row r="3696" spans="1:6" ht="16" thickBot="1" x14ac:dyDescent="0.25">
      <c r="A3696" s="83"/>
      <c r="B3696" s="129"/>
      <c r="C3696" s="129"/>
      <c r="D3696" s="83"/>
      <c r="E3696" s="103"/>
      <c r="F3696" s="129"/>
    </row>
    <row r="3697" spans="1:6" ht="16" thickBot="1" x14ac:dyDescent="0.25">
      <c r="A3697" s="83"/>
      <c r="B3697" s="129"/>
      <c r="C3697" s="129"/>
      <c r="D3697" s="83"/>
      <c r="E3697" s="103"/>
      <c r="F3697" s="129"/>
    </row>
    <row r="3698" spans="1:6" ht="16" thickBot="1" x14ac:dyDescent="0.25">
      <c r="A3698" s="83"/>
      <c r="B3698" s="129"/>
      <c r="C3698" s="129"/>
      <c r="D3698" s="83"/>
      <c r="E3698" s="103"/>
      <c r="F3698" s="129"/>
    </row>
    <row r="3699" spans="1:6" ht="16" thickBot="1" x14ac:dyDescent="0.25">
      <c r="A3699" s="83"/>
      <c r="B3699" s="129"/>
      <c r="C3699" s="129"/>
      <c r="D3699" s="83"/>
      <c r="E3699" s="103"/>
      <c r="F3699" s="129"/>
    </row>
    <row r="3700" spans="1:6" ht="16" thickBot="1" x14ac:dyDescent="0.25">
      <c r="A3700" s="83"/>
      <c r="B3700" s="129"/>
      <c r="C3700" s="129"/>
      <c r="D3700" s="83"/>
      <c r="E3700" s="103"/>
      <c r="F3700" s="129"/>
    </row>
    <row r="3701" spans="1:6" ht="16" thickBot="1" x14ac:dyDescent="0.25">
      <c r="A3701" s="83"/>
      <c r="B3701" s="129"/>
      <c r="C3701" s="129"/>
      <c r="D3701" s="83"/>
      <c r="E3701" s="103"/>
      <c r="F3701" s="129"/>
    </row>
    <row r="3702" spans="1:6" ht="16" thickBot="1" x14ac:dyDescent="0.25">
      <c r="A3702" s="83"/>
      <c r="B3702" s="129"/>
      <c r="C3702" s="129"/>
      <c r="D3702" s="83"/>
      <c r="E3702" s="103"/>
      <c r="F3702" s="129"/>
    </row>
    <row r="3703" spans="1:6" ht="16" thickBot="1" x14ac:dyDescent="0.25">
      <c r="A3703" s="83"/>
      <c r="B3703" s="129"/>
      <c r="C3703" s="129"/>
      <c r="D3703" s="83"/>
      <c r="E3703" s="103"/>
      <c r="F3703" s="129"/>
    </row>
    <row r="3704" spans="1:6" ht="16" thickBot="1" x14ac:dyDescent="0.25">
      <c r="A3704" s="83"/>
      <c r="B3704" s="129"/>
      <c r="C3704" s="129"/>
      <c r="D3704" s="83"/>
      <c r="E3704" s="103"/>
      <c r="F3704" s="129"/>
    </row>
    <row r="3705" spans="1:6" ht="16" thickBot="1" x14ac:dyDescent="0.25">
      <c r="A3705" s="83"/>
      <c r="B3705" s="129"/>
      <c r="C3705" s="129"/>
      <c r="D3705" s="83"/>
      <c r="E3705" s="103"/>
      <c r="F3705" s="129"/>
    </row>
    <row r="3706" spans="1:6" ht="16" thickBot="1" x14ac:dyDescent="0.25">
      <c r="A3706" s="83"/>
      <c r="B3706" s="129"/>
      <c r="C3706" s="129"/>
      <c r="D3706" s="83"/>
      <c r="E3706" s="103"/>
      <c r="F3706" s="129"/>
    </row>
    <row r="3707" spans="1:6" ht="16" thickBot="1" x14ac:dyDescent="0.25">
      <c r="A3707" s="83"/>
      <c r="B3707" s="129"/>
      <c r="C3707" s="129"/>
      <c r="D3707" s="83"/>
      <c r="E3707" s="103"/>
      <c r="F3707" s="129"/>
    </row>
    <row r="3708" spans="1:6" ht="16" thickBot="1" x14ac:dyDescent="0.25">
      <c r="A3708" s="83"/>
      <c r="B3708" s="129"/>
      <c r="C3708" s="129"/>
      <c r="D3708" s="83"/>
      <c r="E3708" s="103"/>
      <c r="F3708" s="129"/>
    </row>
    <row r="3709" spans="1:6" ht="16" thickBot="1" x14ac:dyDescent="0.25">
      <c r="A3709" s="83"/>
      <c r="B3709" s="129"/>
      <c r="C3709" s="129"/>
      <c r="D3709" s="83"/>
      <c r="E3709" s="103"/>
      <c r="F3709" s="129"/>
    </row>
    <row r="3710" spans="1:6" ht="16" thickBot="1" x14ac:dyDescent="0.25">
      <c r="A3710" s="83"/>
      <c r="B3710" s="129"/>
      <c r="C3710" s="129"/>
      <c r="D3710" s="83"/>
      <c r="E3710" s="103"/>
      <c r="F3710" s="129"/>
    </row>
    <row r="3711" spans="1:6" ht="16" thickBot="1" x14ac:dyDescent="0.25">
      <c r="A3711" s="83"/>
      <c r="B3711" s="129"/>
      <c r="C3711" s="129"/>
      <c r="D3711" s="83"/>
      <c r="E3711" s="103"/>
      <c r="F3711" s="129"/>
    </row>
    <row r="3712" spans="1:6" ht="16" thickBot="1" x14ac:dyDescent="0.25">
      <c r="A3712" s="83"/>
      <c r="B3712" s="129"/>
      <c r="C3712" s="129"/>
      <c r="D3712" s="83"/>
      <c r="E3712" s="103"/>
      <c r="F3712" s="129"/>
    </row>
    <row r="3713" spans="1:6" ht="16" thickBot="1" x14ac:dyDescent="0.25">
      <c r="A3713" s="83"/>
      <c r="B3713" s="129"/>
      <c r="C3713" s="129"/>
      <c r="D3713" s="83"/>
      <c r="E3713" s="103"/>
      <c r="F3713" s="129"/>
    </row>
    <row r="3714" spans="1:6" ht="16" thickBot="1" x14ac:dyDescent="0.25">
      <c r="A3714" s="83"/>
      <c r="B3714" s="129"/>
      <c r="C3714" s="129"/>
      <c r="D3714" s="83"/>
      <c r="E3714" s="103"/>
      <c r="F3714" s="129"/>
    </row>
    <row r="3715" spans="1:6" ht="16" thickBot="1" x14ac:dyDescent="0.25">
      <c r="A3715" s="83"/>
      <c r="B3715" s="129"/>
      <c r="C3715" s="129"/>
      <c r="D3715" s="83"/>
      <c r="E3715" s="103"/>
      <c r="F3715" s="129"/>
    </row>
    <row r="3716" spans="1:6" ht="16" thickBot="1" x14ac:dyDescent="0.25">
      <c r="A3716" s="83"/>
      <c r="B3716" s="129"/>
      <c r="C3716" s="129"/>
      <c r="D3716" s="83"/>
      <c r="E3716" s="103"/>
      <c r="F3716" s="129"/>
    </row>
    <row r="3717" spans="1:6" ht="16" thickBot="1" x14ac:dyDescent="0.25">
      <c r="A3717" s="83"/>
      <c r="B3717" s="129"/>
      <c r="C3717" s="129"/>
      <c r="D3717" s="83"/>
      <c r="E3717" s="103"/>
      <c r="F3717" s="129"/>
    </row>
    <row r="3718" spans="1:6" ht="16" thickBot="1" x14ac:dyDescent="0.25">
      <c r="A3718" s="83"/>
      <c r="B3718" s="129"/>
      <c r="C3718" s="129"/>
      <c r="D3718" s="83"/>
      <c r="E3718" s="103"/>
      <c r="F3718" s="129"/>
    </row>
    <row r="3719" spans="1:6" ht="16" thickBot="1" x14ac:dyDescent="0.25">
      <c r="A3719" s="83"/>
      <c r="B3719" s="129"/>
      <c r="C3719" s="129"/>
      <c r="D3719" s="83"/>
      <c r="E3719" s="103"/>
      <c r="F3719" s="129"/>
    </row>
    <row r="3720" spans="1:6" ht="16" thickBot="1" x14ac:dyDescent="0.25">
      <c r="A3720" s="83"/>
      <c r="B3720" s="129"/>
      <c r="C3720" s="129"/>
      <c r="D3720" s="83"/>
      <c r="E3720" s="103"/>
      <c r="F3720" s="129"/>
    </row>
    <row r="3721" spans="1:6" ht="16" thickBot="1" x14ac:dyDescent="0.25">
      <c r="A3721" s="83"/>
      <c r="B3721" s="129"/>
      <c r="C3721" s="129"/>
      <c r="D3721" s="83"/>
      <c r="E3721" s="103"/>
      <c r="F3721" s="129"/>
    </row>
    <row r="3722" spans="1:6" ht="16" thickBot="1" x14ac:dyDescent="0.25">
      <c r="A3722" s="83"/>
      <c r="B3722" s="129"/>
      <c r="C3722" s="129"/>
      <c r="D3722" s="83"/>
      <c r="E3722" s="103"/>
      <c r="F3722" s="129"/>
    </row>
    <row r="3723" spans="1:6" ht="16" thickBot="1" x14ac:dyDescent="0.25">
      <c r="A3723" s="83"/>
      <c r="B3723" s="129"/>
      <c r="C3723" s="129"/>
      <c r="D3723" s="83"/>
      <c r="E3723" s="103"/>
      <c r="F3723" s="129"/>
    </row>
    <row r="3724" spans="1:6" ht="16" thickBot="1" x14ac:dyDescent="0.25">
      <c r="A3724" s="83"/>
      <c r="B3724" s="129"/>
      <c r="C3724" s="129"/>
      <c r="D3724" s="83"/>
      <c r="E3724" s="103"/>
      <c r="F3724" s="129"/>
    </row>
    <row r="3725" spans="1:6" ht="16" thickBot="1" x14ac:dyDescent="0.25">
      <c r="A3725" s="83"/>
      <c r="B3725" s="129"/>
      <c r="C3725" s="129"/>
      <c r="D3725" s="83"/>
      <c r="E3725" s="103"/>
      <c r="F3725" s="129"/>
    </row>
    <row r="3726" spans="1:6" ht="16" thickBot="1" x14ac:dyDescent="0.25">
      <c r="A3726" s="83"/>
      <c r="B3726" s="129"/>
      <c r="C3726" s="129"/>
      <c r="D3726" s="83"/>
      <c r="E3726" s="103"/>
      <c r="F3726" s="129"/>
    </row>
    <row r="3727" spans="1:6" ht="16" thickBot="1" x14ac:dyDescent="0.25">
      <c r="A3727" s="83"/>
      <c r="B3727" s="129"/>
      <c r="C3727" s="129"/>
      <c r="D3727" s="83"/>
      <c r="E3727" s="103"/>
      <c r="F3727" s="129"/>
    </row>
    <row r="3728" spans="1:6" ht="16" thickBot="1" x14ac:dyDescent="0.25">
      <c r="A3728" s="83"/>
      <c r="B3728" s="129"/>
      <c r="C3728" s="129"/>
      <c r="D3728" s="83"/>
      <c r="E3728" s="103"/>
      <c r="F3728" s="129"/>
    </row>
    <row r="3729" spans="1:6" ht="16" thickBot="1" x14ac:dyDescent="0.25">
      <c r="A3729" s="83"/>
      <c r="B3729" s="129"/>
      <c r="C3729" s="129"/>
      <c r="D3729" s="83"/>
      <c r="E3729" s="103"/>
      <c r="F3729" s="129"/>
    </row>
    <row r="3730" spans="1:6" ht="16" thickBot="1" x14ac:dyDescent="0.25">
      <c r="A3730" s="83"/>
      <c r="B3730" s="129"/>
      <c r="C3730" s="129"/>
      <c r="D3730" s="83"/>
      <c r="E3730" s="103"/>
      <c r="F3730" s="129"/>
    </row>
    <row r="3731" spans="1:6" ht="16" thickBot="1" x14ac:dyDescent="0.25">
      <c r="A3731" s="83"/>
      <c r="B3731" s="129"/>
      <c r="C3731" s="129"/>
      <c r="D3731" s="83"/>
      <c r="E3731" s="103"/>
      <c r="F3731" s="129"/>
    </row>
    <row r="3732" spans="1:6" ht="16" thickBot="1" x14ac:dyDescent="0.25">
      <c r="A3732" s="83"/>
      <c r="B3732" s="129"/>
      <c r="C3732" s="129"/>
      <c r="D3732" s="83"/>
      <c r="E3732" s="103"/>
      <c r="F3732" s="129"/>
    </row>
    <row r="3733" spans="1:6" ht="16" thickBot="1" x14ac:dyDescent="0.25">
      <c r="A3733" s="83"/>
      <c r="B3733" s="129"/>
      <c r="C3733" s="129"/>
      <c r="D3733" s="83"/>
      <c r="E3733" s="103"/>
      <c r="F3733" s="129"/>
    </row>
    <row r="3734" spans="1:6" ht="16" thickBot="1" x14ac:dyDescent="0.25">
      <c r="A3734" s="83"/>
      <c r="B3734" s="129"/>
      <c r="C3734" s="129"/>
      <c r="D3734" s="83"/>
      <c r="E3734" s="103"/>
      <c r="F3734" s="129"/>
    </row>
    <row r="3735" spans="1:6" ht="16" thickBot="1" x14ac:dyDescent="0.25">
      <c r="A3735" s="83"/>
      <c r="B3735" s="129"/>
      <c r="C3735" s="129"/>
      <c r="D3735" s="83"/>
      <c r="E3735" s="103"/>
      <c r="F3735" s="129"/>
    </row>
    <row r="3736" spans="1:6" ht="16" thickBot="1" x14ac:dyDescent="0.25">
      <c r="A3736" s="83"/>
      <c r="B3736" s="129"/>
      <c r="C3736" s="129"/>
      <c r="D3736" s="83"/>
      <c r="E3736" s="103"/>
      <c r="F3736" s="129"/>
    </row>
    <row r="3737" spans="1:6" ht="16" thickBot="1" x14ac:dyDescent="0.25">
      <c r="A3737" s="83"/>
      <c r="B3737" s="129"/>
      <c r="C3737" s="129"/>
      <c r="D3737" s="83"/>
      <c r="E3737" s="103"/>
      <c r="F3737" s="129"/>
    </row>
    <row r="3738" spans="1:6" ht="16" thickBot="1" x14ac:dyDescent="0.25">
      <c r="A3738" s="83"/>
      <c r="B3738" s="129"/>
      <c r="C3738" s="129"/>
      <c r="D3738" s="83"/>
      <c r="E3738" s="103"/>
      <c r="F3738" s="129"/>
    </row>
    <row r="3739" spans="1:6" ht="16" thickBot="1" x14ac:dyDescent="0.25">
      <c r="A3739" s="83"/>
      <c r="B3739" s="129"/>
      <c r="C3739" s="129"/>
      <c r="D3739" s="83"/>
      <c r="E3739" s="103"/>
      <c r="F3739" s="129"/>
    </row>
    <row r="3740" spans="1:6" ht="16" thickBot="1" x14ac:dyDescent="0.25">
      <c r="A3740" s="83"/>
      <c r="B3740" s="129"/>
      <c r="C3740" s="129"/>
      <c r="D3740" s="83"/>
      <c r="E3740" s="103"/>
      <c r="F3740" s="129"/>
    </row>
    <row r="3741" spans="1:6" ht="16" thickBot="1" x14ac:dyDescent="0.25">
      <c r="A3741" s="83"/>
      <c r="B3741" s="129"/>
      <c r="C3741" s="129"/>
      <c r="D3741" s="83"/>
      <c r="E3741" s="103"/>
      <c r="F3741" s="129"/>
    </row>
    <row r="3742" spans="1:6" ht="16" thickBot="1" x14ac:dyDescent="0.25">
      <c r="A3742" s="83"/>
      <c r="B3742" s="129"/>
      <c r="C3742" s="129"/>
      <c r="D3742" s="83"/>
      <c r="E3742" s="103"/>
      <c r="F3742" s="129"/>
    </row>
    <row r="3743" spans="1:6" ht="16" thickBot="1" x14ac:dyDescent="0.25">
      <c r="A3743" s="83"/>
      <c r="B3743" s="129"/>
      <c r="C3743" s="129"/>
      <c r="D3743" s="83"/>
      <c r="E3743" s="103"/>
      <c r="F3743" s="129"/>
    </row>
    <row r="3744" spans="1:6" ht="16" thickBot="1" x14ac:dyDescent="0.25">
      <c r="A3744" s="83"/>
      <c r="B3744" s="129"/>
      <c r="C3744" s="129"/>
      <c r="D3744" s="83"/>
      <c r="E3744" s="103"/>
      <c r="F3744" s="129"/>
    </row>
    <row r="3745" spans="1:6" ht="16" thickBot="1" x14ac:dyDescent="0.25">
      <c r="A3745" s="83"/>
      <c r="B3745" s="129"/>
      <c r="C3745" s="129"/>
      <c r="D3745" s="83"/>
      <c r="E3745" s="103"/>
      <c r="F3745" s="129"/>
    </row>
    <row r="3746" spans="1:6" ht="16" thickBot="1" x14ac:dyDescent="0.25">
      <c r="A3746" s="83"/>
      <c r="B3746" s="129"/>
      <c r="C3746" s="129"/>
      <c r="D3746" s="83"/>
      <c r="E3746" s="103"/>
      <c r="F3746" s="129"/>
    </row>
    <row r="3747" spans="1:6" ht="16" thickBot="1" x14ac:dyDescent="0.25">
      <c r="A3747" s="83"/>
      <c r="B3747" s="129"/>
      <c r="C3747" s="129"/>
      <c r="D3747" s="83"/>
      <c r="E3747" s="103"/>
      <c r="F3747" s="129"/>
    </row>
    <row r="3748" spans="1:6" ht="16" thickBot="1" x14ac:dyDescent="0.25">
      <c r="A3748" s="83"/>
      <c r="B3748" s="129"/>
      <c r="C3748" s="129"/>
      <c r="D3748" s="83"/>
      <c r="E3748" s="103"/>
      <c r="F3748" s="129"/>
    </row>
    <row r="3749" spans="1:6" ht="16" thickBot="1" x14ac:dyDescent="0.25">
      <c r="A3749" s="83"/>
      <c r="B3749" s="129"/>
      <c r="C3749" s="129"/>
      <c r="D3749" s="83"/>
      <c r="E3749" s="103"/>
      <c r="F3749" s="129"/>
    </row>
    <row r="3750" spans="1:6" ht="16" thickBot="1" x14ac:dyDescent="0.25">
      <c r="A3750" s="83"/>
      <c r="B3750" s="129"/>
      <c r="C3750" s="129"/>
      <c r="D3750" s="83"/>
      <c r="E3750" s="103"/>
      <c r="F3750" s="129"/>
    </row>
    <row r="3751" spans="1:6" ht="16" thickBot="1" x14ac:dyDescent="0.25">
      <c r="A3751" s="83"/>
      <c r="B3751" s="129"/>
      <c r="C3751" s="129"/>
      <c r="D3751" s="83"/>
      <c r="E3751" s="103"/>
      <c r="F3751" s="129"/>
    </row>
    <row r="3752" spans="1:6" ht="16" thickBot="1" x14ac:dyDescent="0.25">
      <c r="A3752" s="83"/>
      <c r="B3752" s="129"/>
      <c r="C3752" s="129"/>
      <c r="D3752" s="83"/>
      <c r="E3752" s="103"/>
      <c r="F3752" s="129"/>
    </row>
    <row r="3753" spans="1:6" ht="16" thickBot="1" x14ac:dyDescent="0.25">
      <c r="A3753" s="83"/>
      <c r="B3753" s="129"/>
      <c r="C3753" s="129"/>
      <c r="D3753" s="83"/>
      <c r="E3753" s="103"/>
      <c r="F3753" s="129"/>
    </row>
    <row r="3754" spans="1:6" ht="16" thickBot="1" x14ac:dyDescent="0.25">
      <c r="A3754" s="83"/>
      <c r="B3754" s="129"/>
      <c r="C3754" s="129"/>
      <c r="D3754" s="83"/>
      <c r="E3754" s="103"/>
      <c r="F3754" s="129"/>
    </row>
    <row r="3755" spans="1:6" ht="16" thickBot="1" x14ac:dyDescent="0.25">
      <c r="A3755" s="83"/>
      <c r="B3755" s="129"/>
      <c r="C3755" s="129"/>
      <c r="D3755" s="83"/>
      <c r="E3755" s="103"/>
      <c r="F3755" s="129"/>
    </row>
    <row r="3756" spans="1:6" ht="16" thickBot="1" x14ac:dyDescent="0.25">
      <c r="A3756" s="83"/>
      <c r="B3756" s="129"/>
      <c r="C3756" s="129"/>
      <c r="D3756" s="83"/>
      <c r="E3756" s="103"/>
      <c r="F3756" s="129"/>
    </row>
    <row r="3757" spans="1:6" ht="16" thickBot="1" x14ac:dyDescent="0.25">
      <c r="A3757" s="83"/>
      <c r="B3757" s="129"/>
      <c r="C3757" s="129"/>
      <c r="D3757" s="83"/>
      <c r="E3757" s="103"/>
      <c r="F3757" s="129"/>
    </row>
    <row r="3758" spans="1:6" ht="16" thickBot="1" x14ac:dyDescent="0.25">
      <c r="A3758" s="83"/>
      <c r="B3758" s="129"/>
      <c r="C3758" s="129"/>
      <c r="D3758" s="83"/>
      <c r="E3758" s="103"/>
      <c r="F3758" s="129"/>
    </row>
    <row r="3759" spans="1:6" ht="16" thickBot="1" x14ac:dyDescent="0.25">
      <c r="A3759" s="83"/>
      <c r="B3759" s="129"/>
      <c r="C3759" s="129"/>
      <c r="D3759" s="83"/>
      <c r="E3759" s="103"/>
      <c r="F3759" s="129"/>
    </row>
    <row r="3760" spans="1:6" ht="16" thickBot="1" x14ac:dyDescent="0.25">
      <c r="A3760" s="83"/>
      <c r="B3760" s="129"/>
      <c r="C3760" s="129"/>
      <c r="D3760" s="83"/>
      <c r="E3760" s="103"/>
      <c r="F3760" s="129"/>
    </row>
    <row r="3761" spans="1:6" ht="16" thickBot="1" x14ac:dyDescent="0.25">
      <c r="A3761" s="83"/>
      <c r="B3761" s="129"/>
      <c r="C3761" s="129"/>
      <c r="D3761" s="83"/>
      <c r="E3761" s="103"/>
      <c r="F3761" s="129"/>
    </row>
    <row r="3762" spans="1:6" ht="16" thickBot="1" x14ac:dyDescent="0.25">
      <c r="A3762" s="83"/>
      <c r="B3762" s="129"/>
      <c r="C3762" s="129"/>
      <c r="D3762" s="83"/>
      <c r="E3762" s="103"/>
      <c r="F3762" s="129"/>
    </row>
    <row r="3763" spans="1:6" ht="16" thickBot="1" x14ac:dyDescent="0.25">
      <c r="A3763" s="83"/>
      <c r="B3763" s="129"/>
      <c r="C3763" s="129"/>
      <c r="D3763" s="83"/>
      <c r="E3763" s="103"/>
      <c r="F3763" s="129"/>
    </row>
    <row r="3764" spans="1:6" ht="16" thickBot="1" x14ac:dyDescent="0.25">
      <c r="A3764" s="83"/>
      <c r="B3764" s="129"/>
      <c r="C3764" s="129"/>
      <c r="D3764" s="83"/>
      <c r="E3764" s="103"/>
      <c r="F3764" s="129"/>
    </row>
    <row r="3765" spans="1:6" ht="16" thickBot="1" x14ac:dyDescent="0.25">
      <c r="A3765" s="83"/>
      <c r="B3765" s="129"/>
      <c r="C3765" s="129"/>
      <c r="D3765" s="83"/>
      <c r="E3765" s="103"/>
      <c r="F3765" s="129"/>
    </row>
    <row r="3766" spans="1:6" ht="16" thickBot="1" x14ac:dyDescent="0.25">
      <c r="A3766" s="83"/>
      <c r="B3766" s="129"/>
      <c r="C3766" s="129"/>
      <c r="D3766" s="83"/>
      <c r="E3766" s="103"/>
      <c r="F3766" s="129"/>
    </row>
    <row r="3767" spans="1:6" ht="16" thickBot="1" x14ac:dyDescent="0.25">
      <c r="A3767" s="83"/>
      <c r="B3767" s="129"/>
      <c r="C3767" s="129"/>
      <c r="D3767" s="83"/>
      <c r="E3767" s="103"/>
      <c r="F3767" s="129"/>
    </row>
    <row r="3768" spans="1:6" ht="16" thickBot="1" x14ac:dyDescent="0.25">
      <c r="A3768" s="83"/>
      <c r="B3768" s="129"/>
      <c r="C3768" s="129"/>
      <c r="D3768" s="83"/>
      <c r="E3768" s="103"/>
      <c r="F3768" s="129"/>
    </row>
    <row r="3769" spans="1:6" ht="16" thickBot="1" x14ac:dyDescent="0.25">
      <c r="A3769" s="83"/>
      <c r="B3769" s="129"/>
      <c r="C3769" s="129"/>
      <c r="D3769" s="83"/>
      <c r="E3769" s="103"/>
      <c r="F3769" s="129"/>
    </row>
    <row r="3770" spans="1:6" ht="16" thickBot="1" x14ac:dyDescent="0.25">
      <c r="A3770" s="83"/>
      <c r="B3770" s="129"/>
      <c r="C3770" s="129"/>
      <c r="D3770" s="83"/>
      <c r="E3770" s="103"/>
      <c r="F3770" s="129"/>
    </row>
    <row r="3771" spans="1:6" ht="16" thickBot="1" x14ac:dyDescent="0.25">
      <c r="A3771" s="83"/>
      <c r="B3771" s="129"/>
      <c r="C3771" s="129"/>
      <c r="D3771" s="83"/>
      <c r="E3771" s="103"/>
      <c r="F3771" s="129"/>
    </row>
    <row r="3772" spans="1:6" ht="16" thickBot="1" x14ac:dyDescent="0.25">
      <c r="A3772" s="83"/>
      <c r="B3772" s="129"/>
      <c r="C3772" s="129"/>
      <c r="D3772" s="83"/>
      <c r="E3772" s="103"/>
      <c r="F3772" s="129"/>
    </row>
    <row r="3773" spans="1:6" ht="16" thickBot="1" x14ac:dyDescent="0.25">
      <c r="A3773" s="83"/>
      <c r="B3773" s="129"/>
      <c r="C3773" s="129"/>
      <c r="D3773" s="83"/>
      <c r="E3773" s="103"/>
      <c r="F3773" s="129"/>
    </row>
    <row r="3774" spans="1:6" ht="16" thickBot="1" x14ac:dyDescent="0.25">
      <c r="A3774" s="83"/>
      <c r="B3774" s="129"/>
      <c r="C3774" s="129"/>
      <c r="D3774" s="83"/>
      <c r="E3774" s="103"/>
      <c r="F3774" s="129"/>
    </row>
    <row r="3775" spans="1:6" ht="16" thickBot="1" x14ac:dyDescent="0.25">
      <c r="A3775" s="83"/>
      <c r="B3775" s="129"/>
      <c r="C3775" s="129"/>
      <c r="D3775" s="83"/>
      <c r="E3775" s="103"/>
      <c r="F3775" s="129"/>
    </row>
    <row r="3776" spans="1:6" ht="16" thickBot="1" x14ac:dyDescent="0.25">
      <c r="A3776" s="83"/>
      <c r="B3776" s="129"/>
      <c r="C3776" s="129"/>
      <c r="D3776" s="83"/>
      <c r="E3776" s="103"/>
      <c r="F3776" s="129"/>
    </row>
    <row r="3777" spans="1:6" ht="16" thickBot="1" x14ac:dyDescent="0.25">
      <c r="A3777" s="83"/>
      <c r="B3777" s="129"/>
      <c r="C3777" s="129"/>
      <c r="D3777" s="83"/>
      <c r="E3777" s="103"/>
      <c r="F3777" s="129"/>
    </row>
    <row r="3778" spans="1:6" ht="16" thickBot="1" x14ac:dyDescent="0.25">
      <c r="A3778" s="83"/>
      <c r="B3778" s="129"/>
      <c r="C3778" s="129"/>
      <c r="D3778" s="83"/>
      <c r="E3778" s="103"/>
      <c r="F3778" s="129"/>
    </row>
    <row r="3779" spans="1:6" ht="16" thickBot="1" x14ac:dyDescent="0.25">
      <c r="A3779" s="83"/>
      <c r="B3779" s="129"/>
      <c r="C3779" s="129"/>
      <c r="D3779" s="83"/>
      <c r="E3779" s="103"/>
      <c r="F3779" s="129"/>
    </row>
    <row r="3780" spans="1:6" ht="16" thickBot="1" x14ac:dyDescent="0.25">
      <c r="A3780" s="83"/>
      <c r="B3780" s="129"/>
      <c r="C3780" s="129"/>
      <c r="D3780" s="83"/>
      <c r="E3780" s="103"/>
      <c r="F3780" s="129"/>
    </row>
    <row r="3781" spans="1:6" ht="16" thickBot="1" x14ac:dyDescent="0.25">
      <c r="A3781" s="83"/>
      <c r="B3781" s="129"/>
      <c r="C3781" s="129"/>
      <c r="D3781" s="83"/>
      <c r="E3781" s="103"/>
      <c r="F3781" s="129"/>
    </row>
    <row r="3782" spans="1:6" ht="16" thickBot="1" x14ac:dyDescent="0.25">
      <c r="A3782" s="83"/>
      <c r="B3782" s="129"/>
      <c r="C3782" s="129"/>
      <c r="D3782" s="83"/>
      <c r="E3782" s="103"/>
      <c r="F3782" s="129"/>
    </row>
    <row r="3783" spans="1:6" ht="16" thickBot="1" x14ac:dyDescent="0.25">
      <c r="A3783" s="83"/>
      <c r="B3783" s="129"/>
      <c r="C3783" s="129"/>
      <c r="D3783" s="83"/>
      <c r="E3783" s="103"/>
      <c r="F3783" s="129"/>
    </row>
    <row r="3784" spans="1:6" ht="16" thickBot="1" x14ac:dyDescent="0.25">
      <c r="A3784" s="83"/>
      <c r="B3784" s="129"/>
      <c r="C3784" s="129"/>
      <c r="D3784" s="83"/>
      <c r="E3784" s="103"/>
      <c r="F3784" s="129"/>
    </row>
    <row r="3785" spans="1:6" ht="16" thickBot="1" x14ac:dyDescent="0.25">
      <c r="A3785" s="83"/>
      <c r="B3785" s="129"/>
      <c r="C3785" s="129"/>
      <c r="D3785" s="83"/>
      <c r="E3785" s="103"/>
      <c r="F3785" s="129"/>
    </row>
    <row r="3786" spans="1:6" ht="16" thickBot="1" x14ac:dyDescent="0.25">
      <c r="A3786" s="83"/>
      <c r="B3786" s="129"/>
      <c r="C3786" s="129"/>
      <c r="D3786" s="83"/>
      <c r="E3786" s="103"/>
      <c r="F3786" s="129"/>
    </row>
    <row r="3787" spans="1:6" ht="16" thickBot="1" x14ac:dyDescent="0.25">
      <c r="A3787" s="83"/>
      <c r="B3787" s="129"/>
      <c r="C3787" s="129"/>
      <c r="D3787" s="83"/>
      <c r="E3787" s="103"/>
      <c r="F3787" s="129"/>
    </row>
    <row r="3788" spans="1:6" ht="16" thickBot="1" x14ac:dyDescent="0.25">
      <c r="A3788" s="83"/>
      <c r="B3788" s="129"/>
      <c r="C3788" s="129"/>
      <c r="D3788" s="83"/>
      <c r="E3788" s="103"/>
      <c r="F3788" s="129"/>
    </row>
    <row r="3789" spans="1:6" ht="16" thickBot="1" x14ac:dyDescent="0.25">
      <c r="A3789" s="83"/>
      <c r="B3789" s="129"/>
      <c r="C3789" s="129"/>
      <c r="D3789" s="83"/>
      <c r="E3789" s="103"/>
      <c r="F3789" s="129"/>
    </row>
    <row r="3790" spans="1:6" ht="16" thickBot="1" x14ac:dyDescent="0.25">
      <c r="A3790" s="83"/>
      <c r="B3790" s="129"/>
      <c r="C3790" s="129"/>
      <c r="D3790" s="83"/>
      <c r="E3790" s="103"/>
      <c r="F3790" s="129"/>
    </row>
    <row r="3791" spans="1:6" ht="16" thickBot="1" x14ac:dyDescent="0.25">
      <c r="A3791" s="83"/>
      <c r="B3791" s="129"/>
      <c r="C3791" s="129"/>
      <c r="D3791" s="83"/>
      <c r="E3791" s="103"/>
      <c r="F3791" s="129"/>
    </row>
    <row r="3792" spans="1:6" ht="16" thickBot="1" x14ac:dyDescent="0.25">
      <c r="A3792" s="83"/>
      <c r="B3792" s="129"/>
      <c r="C3792" s="129"/>
      <c r="D3792" s="83"/>
      <c r="E3792" s="103"/>
      <c r="F3792" s="129"/>
    </row>
    <row r="3793" spans="1:6" ht="16" thickBot="1" x14ac:dyDescent="0.25">
      <c r="A3793" s="83"/>
      <c r="B3793" s="129"/>
      <c r="C3793" s="129"/>
      <c r="D3793" s="83"/>
      <c r="E3793" s="103"/>
      <c r="F3793" s="129"/>
    </row>
    <row r="3794" spans="1:6" ht="16" thickBot="1" x14ac:dyDescent="0.25">
      <c r="A3794" s="83"/>
      <c r="B3794" s="129"/>
      <c r="C3794" s="129"/>
      <c r="D3794" s="83"/>
      <c r="E3794" s="103"/>
      <c r="F3794" s="129"/>
    </row>
    <row r="3795" spans="1:6" ht="16" thickBot="1" x14ac:dyDescent="0.25">
      <c r="A3795" s="83"/>
      <c r="B3795" s="129"/>
      <c r="C3795" s="129"/>
      <c r="D3795" s="83"/>
      <c r="E3795" s="103"/>
      <c r="F3795" s="129"/>
    </row>
    <row r="3796" spans="1:6" ht="16" thickBot="1" x14ac:dyDescent="0.25">
      <c r="A3796" s="83"/>
      <c r="B3796" s="129"/>
      <c r="C3796" s="129"/>
      <c r="D3796" s="83"/>
      <c r="E3796" s="103"/>
      <c r="F3796" s="129"/>
    </row>
    <row r="3797" spans="1:6" ht="16" thickBot="1" x14ac:dyDescent="0.25">
      <c r="A3797" s="83"/>
      <c r="B3797" s="129"/>
      <c r="C3797" s="129"/>
      <c r="D3797" s="83"/>
      <c r="E3797" s="103"/>
      <c r="F3797" s="129"/>
    </row>
    <row r="3798" spans="1:6" ht="16" thickBot="1" x14ac:dyDescent="0.25">
      <c r="A3798" s="83"/>
      <c r="B3798" s="129"/>
      <c r="C3798" s="129"/>
      <c r="D3798" s="83"/>
      <c r="E3798" s="103"/>
      <c r="F3798" s="129"/>
    </row>
    <row r="3799" spans="1:6" ht="16" thickBot="1" x14ac:dyDescent="0.25">
      <c r="A3799" s="83"/>
      <c r="B3799" s="129"/>
      <c r="C3799" s="129"/>
      <c r="D3799" s="83"/>
      <c r="E3799" s="83"/>
      <c r="F3799" s="129"/>
    </row>
    <row r="3800" spans="1:6" ht="16" thickBot="1" x14ac:dyDescent="0.25">
      <c r="A3800" s="83"/>
      <c r="B3800" s="129"/>
      <c r="C3800" s="129"/>
      <c r="D3800" s="83"/>
      <c r="E3800" s="103"/>
      <c r="F3800" s="129"/>
    </row>
    <row r="3801" spans="1:6" ht="16" thickBot="1" x14ac:dyDescent="0.25">
      <c r="A3801" s="83"/>
      <c r="B3801" s="129"/>
      <c r="C3801" s="129"/>
      <c r="D3801" s="83"/>
      <c r="E3801" s="103"/>
      <c r="F3801" s="129"/>
    </row>
    <row r="3802" spans="1:6" ht="16" thickBot="1" x14ac:dyDescent="0.25">
      <c r="A3802" s="83"/>
      <c r="B3802" s="129"/>
      <c r="C3802" s="129"/>
      <c r="D3802" s="83"/>
      <c r="E3802" s="103"/>
      <c r="F3802" s="129"/>
    </row>
    <row r="3803" spans="1:6" ht="16" thickBot="1" x14ac:dyDescent="0.25">
      <c r="A3803" s="83"/>
      <c r="B3803" s="129"/>
      <c r="C3803" s="129"/>
      <c r="D3803" s="83"/>
      <c r="E3803" s="103"/>
      <c r="F3803" s="129"/>
    </row>
    <row r="3804" spans="1:6" ht="16" thickBot="1" x14ac:dyDescent="0.25">
      <c r="A3804" s="83"/>
      <c r="B3804" s="129"/>
      <c r="C3804" s="129"/>
      <c r="D3804" s="83"/>
      <c r="E3804" s="103"/>
      <c r="F3804" s="129"/>
    </row>
    <row r="3805" spans="1:6" ht="16" thickBot="1" x14ac:dyDescent="0.25">
      <c r="A3805" s="83"/>
      <c r="B3805" s="129"/>
      <c r="C3805" s="129"/>
      <c r="D3805" s="83"/>
      <c r="E3805" s="103"/>
      <c r="F3805" s="129"/>
    </row>
    <row r="3806" spans="1:6" ht="16" thickBot="1" x14ac:dyDescent="0.25">
      <c r="A3806" s="83"/>
      <c r="B3806" s="129"/>
      <c r="C3806" s="129"/>
      <c r="D3806" s="83"/>
      <c r="E3806" s="103"/>
      <c r="F3806" s="129"/>
    </row>
    <row r="3807" spans="1:6" ht="16" thickBot="1" x14ac:dyDescent="0.25">
      <c r="A3807" s="83"/>
      <c r="B3807" s="129"/>
      <c r="C3807" s="129"/>
      <c r="D3807" s="83"/>
      <c r="E3807" s="103"/>
      <c r="F3807" s="129"/>
    </row>
    <row r="3808" spans="1:6" ht="16" thickBot="1" x14ac:dyDescent="0.25">
      <c r="A3808" s="83"/>
      <c r="B3808" s="129"/>
      <c r="C3808" s="129"/>
      <c r="D3808" s="83"/>
      <c r="E3808" s="83"/>
      <c r="F3808" s="129"/>
    </row>
    <row r="3809" spans="1:6" ht="16" thickBot="1" x14ac:dyDescent="0.25">
      <c r="A3809" s="83"/>
      <c r="B3809" s="129"/>
      <c r="C3809" s="129"/>
      <c r="D3809" s="83"/>
      <c r="E3809" s="103"/>
      <c r="F3809" s="129"/>
    </row>
    <row r="3810" spans="1:6" ht="16" thickBot="1" x14ac:dyDescent="0.25">
      <c r="A3810" s="83"/>
      <c r="B3810" s="129"/>
      <c r="C3810" s="129"/>
      <c r="D3810" s="83"/>
      <c r="E3810" s="103"/>
      <c r="F3810" s="129"/>
    </row>
    <row r="3811" spans="1:6" ht="16" thickBot="1" x14ac:dyDescent="0.25">
      <c r="A3811" s="83"/>
      <c r="B3811" s="129"/>
      <c r="C3811" s="129"/>
      <c r="D3811" s="83"/>
      <c r="E3811" s="103"/>
      <c r="F3811" s="129"/>
    </row>
    <row r="3812" spans="1:6" ht="16" thickBot="1" x14ac:dyDescent="0.25">
      <c r="A3812" s="83"/>
      <c r="B3812" s="129"/>
      <c r="C3812" s="129"/>
      <c r="D3812" s="83"/>
      <c r="E3812" s="103"/>
      <c r="F3812" s="129"/>
    </row>
    <row r="3813" spans="1:6" ht="16" thickBot="1" x14ac:dyDescent="0.25">
      <c r="A3813" s="83"/>
      <c r="B3813" s="129"/>
      <c r="C3813" s="129"/>
      <c r="D3813" s="83"/>
      <c r="E3813" s="103"/>
      <c r="F3813" s="129"/>
    </row>
    <row r="3814" spans="1:6" ht="16" thickBot="1" x14ac:dyDescent="0.25">
      <c r="A3814" s="83"/>
      <c r="B3814" s="129"/>
      <c r="C3814" s="129"/>
      <c r="D3814" s="83"/>
      <c r="E3814" s="103"/>
      <c r="F3814" s="129"/>
    </row>
    <row r="3815" spans="1:6" ht="16" thickBot="1" x14ac:dyDescent="0.25">
      <c r="A3815" s="83"/>
      <c r="B3815" s="129"/>
      <c r="C3815" s="129"/>
      <c r="D3815" s="83"/>
      <c r="E3815" s="103"/>
      <c r="F3815" s="129"/>
    </row>
    <row r="3816" spans="1:6" ht="16" thickBot="1" x14ac:dyDescent="0.25">
      <c r="A3816" s="83"/>
      <c r="B3816" s="129"/>
      <c r="C3816" s="129"/>
      <c r="D3816" s="83"/>
      <c r="E3816" s="83"/>
      <c r="F3816" s="129"/>
    </row>
    <row r="3817" spans="1:6" ht="16" thickBot="1" x14ac:dyDescent="0.25">
      <c r="A3817" s="83"/>
      <c r="B3817" s="129"/>
      <c r="C3817" s="129"/>
      <c r="D3817" s="83"/>
      <c r="E3817" s="103"/>
      <c r="F3817" s="129"/>
    </row>
    <row r="3818" spans="1:6" ht="16" thickBot="1" x14ac:dyDescent="0.25">
      <c r="A3818" s="83"/>
      <c r="B3818" s="129"/>
      <c r="C3818" s="129"/>
      <c r="D3818" s="83"/>
      <c r="E3818" s="103"/>
      <c r="F3818" s="129"/>
    </row>
    <row r="3819" spans="1:6" ht="16" thickBot="1" x14ac:dyDescent="0.25">
      <c r="A3819" s="83"/>
      <c r="B3819" s="129"/>
      <c r="C3819" s="129"/>
      <c r="D3819" s="83"/>
      <c r="E3819" s="103"/>
      <c r="F3819" s="129"/>
    </row>
    <row r="3820" spans="1:6" ht="16" thickBot="1" x14ac:dyDescent="0.25">
      <c r="A3820" s="83"/>
      <c r="B3820" s="129"/>
      <c r="C3820" s="129"/>
      <c r="D3820" s="83"/>
      <c r="E3820" s="103"/>
      <c r="F3820" s="129"/>
    </row>
    <row r="3821" spans="1:6" ht="16" thickBot="1" x14ac:dyDescent="0.25">
      <c r="A3821" s="83"/>
      <c r="B3821" s="129"/>
      <c r="C3821" s="129"/>
      <c r="D3821" s="83"/>
      <c r="E3821" s="103"/>
      <c r="F3821" s="129"/>
    </row>
    <row r="3822" spans="1:6" ht="16" thickBot="1" x14ac:dyDescent="0.25">
      <c r="A3822" s="83"/>
      <c r="B3822" s="129"/>
      <c r="C3822" s="129"/>
      <c r="D3822" s="83"/>
      <c r="E3822" s="103"/>
      <c r="F3822" s="129"/>
    </row>
    <row r="3823" spans="1:6" ht="16" thickBot="1" x14ac:dyDescent="0.25">
      <c r="A3823" s="83"/>
      <c r="B3823" s="129"/>
      <c r="C3823" s="129"/>
      <c r="D3823" s="83"/>
      <c r="E3823" s="83"/>
      <c r="F3823" s="129"/>
    </row>
    <row r="3824" spans="1:6" ht="16" thickBot="1" x14ac:dyDescent="0.25">
      <c r="A3824" s="83"/>
      <c r="B3824" s="129"/>
      <c r="C3824" s="129"/>
      <c r="D3824" s="83"/>
      <c r="E3824" s="103"/>
      <c r="F3824" s="129"/>
    </row>
    <row r="3825" spans="1:6" ht="16" thickBot="1" x14ac:dyDescent="0.25">
      <c r="A3825" s="83"/>
      <c r="B3825" s="129"/>
      <c r="C3825" s="129"/>
      <c r="D3825" s="83"/>
      <c r="E3825" s="103"/>
      <c r="F3825" s="129"/>
    </row>
    <row r="3826" spans="1:6" ht="16" thickBot="1" x14ac:dyDescent="0.25">
      <c r="A3826" s="83"/>
      <c r="B3826" s="129"/>
      <c r="C3826" s="129"/>
      <c r="D3826" s="83"/>
      <c r="E3826" s="83"/>
      <c r="F3826" s="129"/>
    </row>
    <row r="3827" spans="1:6" ht="16" thickBot="1" x14ac:dyDescent="0.25">
      <c r="A3827" s="83"/>
      <c r="B3827" s="129"/>
      <c r="C3827" s="129"/>
      <c r="D3827" s="83"/>
      <c r="E3827" s="103"/>
      <c r="F3827" s="129"/>
    </row>
    <row r="3828" spans="1:6" ht="16" thickBot="1" x14ac:dyDescent="0.25">
      <c r="A3828" s="83"/>
      <c r="B3828" s="129"/>
      <c r="C3828" s="129"/>
      <c r="D3828" s="83"/>
      <c r="E3828" s="103"/>
      <c r="F3828" s="129"/>
    </row>
    <row r="3829" spans="1:6" ht="16" thickBot="1" x14ac:dyDescent="0.25">
      <c r="A3829" s="83"/>
      <c r="B3829" s="129"/>
      <c r="C3829" s="129"/>
      <c r="D3829" s="83"/>
      <c r="E3829" s="103"/>
      <c r="F3829" s="129"/>
    </row>
    <row r="3830" spans="1:6" ht="16" thickBot="1" x14ac:dyDescent="0.25">
      <c r="A3830" s="83"/>
      <c r="B3830" s="129"/>
      <c r="C3830" s="129"/>
      <c r="D3830" s="83"/>
      <c r="E3830" s="103"/>
      <c r="F3830" s="129"/>
    </row>
    <row r="3831" spans="1:6" ht="16" thickBot="1" x14ac:dyDescent="0.25">
      <c r="A3831" s="83"/>
      <c r="B3831" s="129"/>
      <c r="C3831" s="129"/>
      <c r="D3831" s="83"/>
      <c r="E3831" s="103"/>
      <c r="F3831" s="129"/>
    </row>
    <row r="3832" spans="1:6" ht="16" thickBot="1" x14ac:dyDescent="0.25">
      <c r="A3832" s="83"/>
      <c r="B3832" s="129"/>
      <c r="C3832" s="129"/>
      <c r="D3832" s="83"/>
      <c r="E3832" s="103"/>
      <c r="F3832" s="129"/>
    </row>
    <row r="3833" spans="1:6" ht="16" thickBot="1" x14ac:dyDescent="0.25">
      <c r="A3833" s="83"/>
      <c r="B3833" s="129"/>
      <c r="C3833" s="129"/>
      <c r="D3833" s="83"/>
      <c r="E3833" s="103"/>
      <c r="F3833" s="129"/>
    </row>
    <row r="3834" spans="1:6" ht="16" thickBot="1" x14ac:dyDescent="0.25">
      <c r="A3834" s="83"/>
      <c r="B3834" s="129"/>
      <c r="C3834" s="129"/>
      <c r="D3834" s="83"/>
      <c r="E3834" s="103"/>
      <c r="F3834" s="129"/>
    </row>
    <row r="3835" spans="1:6" ht="16" thickBot="1" x14ac:dyDescent="0.25">
      <c r="A3835" s="83"/>
      <c r="B3835" s="129"/>
      <c r="C3835" s="129"/>
      <c r="D3835" s="83"/>
      <c r="E3835" s="103"/>
      <c r="F3835" s="129"/>
    </row>
    <row r="3836" spans="1:6" ht="16" thickBot="1" x14ac:dyDescent="0.25">
      <c r="A3836" s="83"/>
      <c r="B3836" s="129"/>
      <c r="C3836" s="129"/>
      <c r="D3836" s="83"/>
      <c r="E3836" s="103"/>
      <c r="F3836" s="129"/>
    </row>
    <row r="3837" spans="1:6" ht="16" thickBot="1" x14ac:dyDescent="0.25">
      <c r="A3837" s="83"/>
      <c r="B3837" s="129"/>
      <c r="C3837" s="129"/>
      <c r="D3837" s="83"/>
      <c r="E3837" s="103"/>
      <c r="F3837" s="129"/>
    </row>
    <row r="3838" spans="1:6" ht="16" thickBot="1" x14ac:dyDescent="0.25">
      <c r="A3838" s="83"/>
      <c r="B3838" s="129"/>
      <c r="C3838" s="129"/>
      <c r="D3838" s="83"/>
      <c r="E3838" s="103"/>
      <c r="F3838" s="129"/>
    </row>
    <row r="3839" spans="1:6" ht="16" thickBot="1" x14ac:dyDescent="0.25">
      <c r="A3839" s="83"/>
      <c r="B3839" s="129"/>
      <c r="C3839" s="129"/>
      <c r="D3839" s="83"/>
      <c r="E3839" s="103"/>
      <c r="F3839" s="129"/>
    </row>
    <row r="3840" spans="1:6" ht="16" thickBot="1" x14ac:dyDescent="0.25">
      <c r="A3840" s="83"/>
      <c r="B3840" s="129"/>
      <c r="C3840" s="129"/>
      <c r="D3840" s="83"/>
      <c r="E3840" s="103"/>
      <c r="F3840" s="129"/>
    </row>
    <row r="3841" spans="1:6" ht="16" thickBot="1" x14ac:dyDescent="0.25">
      <c r="A3841" s="83"/>
      <c r="B3841" s="129"/>
      <c r="C3841" s="129"/>
      <c r="D3841" s="83"/>
      <c r="E3841" s="103"/>
      <c r="F3841" s="129"/>
    </row>
    <row r="3842" spans="1:6" ht="16" thickBot="1" x14ac:dyDescent="0.25">
      <c r="A3842" s="83"/>
      <c r="B3842" s="129"/>
      <c r="C3842" s="129"/>
      <c r="D3842" s="83"/>
      <c r="E3842" s="103"/>
      <c r="F3842" s="129"/>
    </row>
    <row r="3843" spans="1:6" ht="16" thickBot="1" x14ac:dyDescent="0.25">
      <c r="A3843" s="83"/>
      <c r="B3843" s="129"/>
      <c r="C3843" s="129"/>
      <c r="D3843" s="83"/>
      <c r="E3843" s="103"/>
      <c r="F3843" s="129"/>
    </row>
    <row r="3844" spans="1:6" ht="16" thickBot="1" x14ac:dyDescent="0.25">
      <c r="A3844" s="83"/>
      <c r="B3844" s="129"/>
      <c r="C3844" s="129"/>
      <c r="D3844" s="83"/>
      <c r="E3844" s="103"/>
      <c r="F3844" s="129"/>
    </row>
    <row r="3845" spans="1:6" ht="16" thickBot="1" x14ac:dyDescent="0.25">
      <c r="A3845" s="83"/>
      <c r="B3845" s="129"/>
      <c r="C3845" s="129"/>
      <c r="D3845" s="83"/>
      <c r="E3845" s="103"/>
      <c r="F3845" s="129"/>
    </row>
    <row r="3846" spans="1:6" ht="16" thickBot="1" x14ac:dyDescent="0.25">
      <c r="A3846" s="83"/>
      <c r="B3846" s="129"/>
      <c r="C3846" s="129"/>
      <c r="D3846" s="83"/>
      <c r="E3846" s="103"/>
      <c r="F3846" s="129"/>
    </row>
    <row r="3847" spans="1:6" ht="16" thickBot="1" x14ac:dyDescent="0.25">
      <c r="A3847" s="83"/>
      <c r="B3847" s="129"/>
      <c r="C3847" s="129"/>
      <c r="D3847" s="83"/>
      <c r="E3847" s="103"/>
      <c r="F3847" s="129"/>
    </row>
    <row r="3848" spans="1:6" ht="16" thickBot="1" x14ac:dyDescent="0.25">
      <c r="A3848" s="83"/>
      <c r="B3848" s="129"/>
      <c r="C3848" s="129"/>
      <c r="D3848" s="83"/>
      <c r="E3848" s="103"/>
      <c r="F3848" s="129"/>
    </row>
    <row r="3849" spans="1:6" ht="16" thickBot="1" x14ac:dyDescent="0.25">
      <c r="A3849" s="83"/>
      <c r="B3849" s="129"/>
      <c r="C3849" s="129"/>
      <c r="D3849" s="83"/>
      <c r="E3849" s="103"/>
      <c r="F3849" s="129"/>
    </row>
    <row r="3850" spans="1:6" ht="16" thickBot="1" x14ac:dyDescent="0.25">
      <c r="A3850" s="83"/>
      <c r="B3850" s="129"/>
      <c r="C3850" s="129"/>
      <c r="D3850" s="83"/>
      <c r="E3850" s="103"/>
      <c r="F3850" s="129"/>
    </row>
    <row r="3851" spans="1:6" ht="16" thickBot="1" x14ac:dyDescent="0.25">
      <c r="A3851" s="83"/>
      <c r="B3851" s="129"/>
      <c r="C3851" s="129"/>
      <c r="D3851" s="83"/>
      <c r="E3851" s="103"/>
      <c r="F3851" s="129"/>
    </row>
    <row r="3852" spans="1:6" ht="16" thickBot="1" x14ac:dyDescent="0.25">
      <c r="A3852" s="83"/>
      <c r="B3852" s="129"/>
      <c r="C3852" s="129"/>
      <c r="D3852" s="83"/>
      <c r="E3852" s="103"/>
      <c r="F3852" s="129"/>
    </row>
    <row r="3853" spans="1:6" ht="16" thickBot="1" x14ac:dyDescent="0.25">
      <c r="A3853" s="83"/>
      <c r="B3853" s="129"/>
      <c r="C3853" s="129"/>
      <c r="D3853" s="83"/>
      <c r="E3853" s="83"/>
      <c r="F3853" s="129"/>
    </row>
    <row r="3854" spans="1:6" ht="16" thickBot="1" x14ac:dyDescent="0.25">
      <c r="A3854" s="83"/>
      <c r="B3854" s="129"/>
      <c r="C3854" s="129"/>
      <c r="D3854" s="83"/>
      <c r="E3854" s="103"/>
      <c r="F3854" s="129"/>
    </row>
    <row r="3855" spans="1:6" ht="16" thickBot="1" x14ac:dyDescent="0.25">
      <c r="A3855" s="83"/>
      <c r="B3855" s="129"/>
      <c r="C3855" s="129"/>
      <c r="D3855" s="83"/>
      <c r="E3855" s="103"/>
      <c r="F3855" s="129"/>
    </row>
    <row r="3856" spans="1:6" ht="16" thickBot="1" x14ac:dyDescent="0.25">
      <c r="A3856" s="83"/>
      <c r="B3856" s="129"/>
      <c r="C3856" s="129"/>
      <c r="D3856" s="83"/>
      <c r="E3856" s="103"/>
      <c r="F3856" s="129"/>
    </row>
    <row r="3857" spans="1:6" ht="16" thickBot="1" x14ac:dyDescent="0.25">
      <c r="A3857" s="83"/>
      <c r="B3857" s="129"/>
      <c r="C3857" s="129"/>
      <c r="D3857" s="83"/>
      <c r="E3857" s="83"/>
      <c r="F3857" s="129"/>
    </row>
    <row r="3858" spans="1:6" ht="16" thickBot="1" x14ac:dyDescent="0.25">
      <c r="A3858" s="83"/>
      <c r="B3858" s="129"/>
      <c r="C3858" s="129"/>
      <c r="D3858" s="83"/>
      <c r="E3858" s="103"/>
      <c r="F3858" s="129"/>
    </row>
    <row r="3859" spans="1:6" ht="16" thickBot="1" x14ac:dyDescent="0.25">
      <c r="A3859" s="83"/>
      <c r="B3859" s="129"/>
      <c r="C3859" s="129"/>
      <c r="D3859" s="83"/>
      <c r="E3859" s="103"/>
      <c r="F3859" s="129"/>
    </row>
    <row r="3860" spans="1:6" ht="16" thickBot="1" x14ac:dyDescent="0.25">
      <c r="A3860" s="83"/>
      <c r="B3860" s="129"/>
      <c r="C3860" s="129"/>
      <c r="D3860" s="83"/>
      <c r="E3860" s="83"/>
      <c r="F3860" s="129"/>
    </row>
    <row r="3861" spans="1:6" ht="16" thickBot="1" x14ac:dyDescent="0.25">
      <c r="A3861" s="83"/>
      <c r="B3861" s="129"/>
      <c r="C3861" s="129"/>
      <c r="D3861" s="83"/>
      <c r="E3861" s="103"/>
      <c r="F3861" s="129"/>
    </row>
    <row r="3862" spans="1:6" ht="16" thickBot="1" x14ac:dyDescent="0.25">
      <c r="A3862" s="83"/>
      <c r="B3862" s="129"/>
      <c r="C3862" s="129"/>
      <c r="D3862" s="83"/>
      <c r="E3862" s="103"/>
      <c r="F3862" s="129"/>
    </row>
    <row r="3863" spans="1:6" ht="16" thickBot="1" x14ac:dyDescent="0.25">
      <c r="A3863" s="83"/>
      <c r="B3863" s="129"/>
      <c r="C3863" s="129"/>
      <c r="D3863" s="83"/>
      <c r="E3863" s="103"/>
      <c r="F3863" s="129"/>
    </row>
    <row r="3864" spans="1:6" ht="16" thickBot="1" x14ac:dyDescent="0.25">
      <c r="A3864" s="83"/>
      <c r="B3864" s="129"/>
      <c r="C3864" s="129"/>
      <c r="D3864" s="83"/>
      <c r="E3864" s="103"/>
      <c r="F3864" s="129"/>
    </row>
    <row r="3865" spans="1:6" ht="16" thickBot="1" x14ac:dyDescent="0.25">
      <c r="A3865" s="83"/>
      <c r="B3865" s="129"/>
      <c r="C3865" s="129"/>
      <c r="D3865" s="83"/>
      <c r="E3865" s="103"/>
      <c r="F3865" s="129"/>
    </row>
    <row r="3866" spans="1:6" ht="16" thickBot="1" x14ac:dyDescent="0.25">
      <c r="A3866" s="83"/>
      <c r="B3866" s="129"/>
      <c r="C3866" s="129"/>
      <c r="D3866" s="83"/>
      <c r="E3866" s="103"/>
      <c r="F3866" s="129"/>
    </row>
    <row r="3867" spans="1:6" ht="16" thickBot="1" x14ac:dyDescent="0.25">
      <c r="A3867" s="83"/>
      <c r="B3867" s="129"/>
      <c r="C3867" s="129"/>
      <c r="D3867" s="83"/>
      <c r="E3867" s="103"/>
      <c r="F3867" s="129"/>
    </row>
    <row r="3868" spans="1:6" ht="16" thickBot="1" x14ac:dyDescent="0.25">
      <c r="A3868" s="83"/>
      <c r="B3868" s="129"/>
      <c r="C3868" s="129"/>
      <c r="D3868" s="83"/>
      <c r="E3868" s="103"/>
      <c r="F3868" s="129"/>
    </row>
    <row r="3869" spans="1:6" ht="16" thickBot="1" x14ac:dyDescent="0.25">
      <c r="A3869" s="83"/>
      <c r="B3869" s="129"/>
      <c r="C3869" s="129"/>
      <c r="D3869" s="83"/>
      <c r="E3869" s="103"/>
      <c r="F3869" s="129"/>
    </row>
    <row r="3870" spans="1:6" ht="16" thickBot="1" x14ac:dyDescent="0.25">
      <c r="A3870" s="83"/>
      <c r="B3870" s="129"/>
      <c r="C3870" s="129"/>
      <c r="D3870" s="83"/>
      <c r="E3870" s="103"/>
      <c r="F3870" s="129"/>
    </row>
    <row r="3871" spans="1:6" ht="16" thickBot="1" x14ac:dyDescent="0.25">
      <c r="A3871" s="83"/>
      <c r="B3871" s="129"/>
      <c r="C3871" s="129"/>
      <c r="D3871" s="83"/>
      <c r="E3871" s="103"/>
      <c r="F3871" s="129"/>
    </row>
    <row r="3872" spans="1:6" ht="16" thickBot="1" x14ac:dyDescent="0.25">
      <c r="A3872" s="83"/>
      <c r="B3872" s="129"/>
      <c r="C3872" s="129"/>
      <c r="D3872" s="83"/>
      <c r="E3872" s="103"/>
      <c r="F3872" s="129"/>
    </row>
    <row r="3873" spans="1:6" ht="16" thickBot="1" x14ac:dyDescent="0.25">
      <c r="A3873" s="83"/>
      <c r="B3873" s="129"/>
      <c r="C3873" s="129"/>
      <c r="D3873" s="83"/>
      <c r="E3873" s="103"/>
      <c r="F3873" s="129"/>
    </row>
    <row r="3874" spans="1:6" ht="16" thickBot="1" x14ac:dyDescent="0.25">
      <c r="A3874" s="83"/>
      <c r="B3874" s="129"/>
      <c r="C3874" s="129"/>
      <c r="D3874" s="83"/>
      <c r="E3874" s="103"/>
      <c r="F3874" s="129"/>
    </row>
    <row r="3875" spans="1:6" ht="16" thickBot="1" x14ac:dyDescent="0.25">
      <c r="A3875" s="83"/>
      <c r="B3875" s="129"/>
      <c r="C3875" s="129"/>
      <c r="D3875" s="83"/>
      <c r="E3875" s="103"/>
      <c r="F3875" s="129"/>
    </row>
    <row r="3876" spans="1:6" ht="16" thickBot="1" x14ac:dyDescent="0.25">
      <c r="A3876" s="83"/>
      <c r="B3876" s="129"/>
      <c r="C3876" s="129"/>
      <c r="D3876" s="83"/>
      <c r="E3876" s="103"/>
      <c r="F3876" s="129"/>
    </row>
    <row r="3877" spans="1:6" ht="16" thickBot="1" x14ac:dyDescent="0.25">
      <c r="A3877" s="83"/>
      <c r="B3877" s="129"/>
      <c r="C3877" s="129"/>
      <c r="D3877" s="83"/>
      <c r="E3877" s="103"/>
      <c r="F3877" s="129"/>
    </row>
    <row r="3878" spans="1:6" ht="16" thickBot="1" x14ac:dyDescent="0.25">
      <c r="A3878" s="83"/>
      <c r="B3878" s="129"/>
      <c r="C3878" s="129"/>
      <c r="D3878" s="83"/>
      <c r="E3878" s="103"/>
      <c r="F3878" s="129"/>
    </row>
    <row r="3879" spans="1:6" ht="16" thickBot="1" x14ac:dyDescent="0.25">
      <c r="A3879" s="83"/>
      <c r="B3879" s="129"/>
      <c r="C3879" s="129"/>
      <c r="D3879" s="83"/>
      <c r="E3879" s="103"/>
      <c r="F3879" s="129"/>
    </row>
    <row r="3880" spans="1:6" ht="16" thickBot="1" x14ac:dyDescent="0.25">
      <c r="A3880" s="83"/>
      <c r="B3880" s="129"/>
      <c r="C3880" s="129"/>
      <c r="D3880" s="83"/>
      <c r="E3880" s="83"/>
      <c r="F3880" s="129"/>
    </row>
    <row r="3881" spans="1:6" ht="16" thickBot="1" x14ac:dyDescent="0.25">
      <c r="A3881" s="83"/>
      <c r="B3881" s="129"/>
      <c r="C3881" s="129"/>
      <c r="D3881" s="83"/>
      <c r="E3881" s="83"/>
      <c r="F3881" s="129"/>
    </row>
    <row r="3882" spans="1:6" ht="16" thickBot="1" x14ac:dyDescent="0.25">
      <c r="A3882" s="83"/>
      <c r="B3882" s="129"/>
      <c r="C3882" s="129"/>
      <c r="D3882" s="83"/>
      <c r="E3882" s="103"/>
      <c r="F3882" s="129"/>
    </row>
    <row r="3883" spans="1:6" ht="16" thickBot="1" x14ac:dyDescent="0.25">
      <c r="A3883" s="83"/>
      <c r="B3883" s="129"/>
      <c r="C3883" s="129"/>
      <c r="D3883" s="83"/>
      <c r="E3883" s="103"/>
      <c r="F3883" s="129"/>
    </row>
    <row r="3884" spans="1:6" ht="16" thickBot="1" x14ac:dyDescent="0.25">
      <c r="A3884" s="83"/>
      <c r="B3884" s="129"/>
      <c r="C3884" s="129"/>
      <c r="D3884" s="83"/>
      <c r="E3884" s="83"/>
      <c r="F3884" s="129"/>
    </row>
    <row r="3885" spans="1:6" ht="16" thickBot="1" x14ac:dyDescent="0.25">
      <c r="A3885" s="83"/>
      <c r="B3885" s="129"/>
      <c r="C3885" s="129"/>
      <c r="D3885" s="83"/>
      <c r="E3885" s="103"/>
      <c r="F3885" s="129"/>
    </row>
    <row r="3886" spans="1:6" ht="16" thickBot="1" x14ac:dyDescent="0.25">
      <c r="A3886" s="83"/>
      <c r="B3886" s="129"/>
      <c r="C3886" s="129"/>
      <c r="D3886" s="83"/>
      <c r="E3886" s="103"/>
      <c r="F3886" s="129"/>
    </row>
    <row r="3887" spans="1:6" ht="16" thickBot="1" x14ac:dyDescent="0.25">
      <c r="A3887" s="83"/>
      <c r="B3887" s="129"/>
      <c r="C3887" s="129"/>
      <c r="D3887" s="83"/>
      <c r="E3887" s="103"/>
      <c r="F3887" s="129"/>
    </row>
    <row r="3888" spans="1:6" ht="16" thickBot="1" x14ac:dyDescent="0.25">
      <c r="A3888" s="83"/>
      <c r="B3888" s="129"/>
      <c r="C3888" s="129"/>
      <c r="D3888" s="83"/>
      <c r="E3888" s="103"/>
      <c r="F3888" s="129"/>
    </row>
    <row r="3889" spans="1:6" ht="16" thickBot="1" x14ac:dyDescent="0.25">
      <c r="A3889" s="83"/>
      <c r="B3889" s="129"/>
      <c r="C3889" s="129"/>
      <c r="D3889" s="83"/>
      <c r="E3889" s="103"/>
      <c r="F3889" s="129"/>
    </row>
    <row r="3890" spans="1:6" ht="16" thickBot="1" x14ac:dyDescent="0.25">
      <c r="A3890" s="83"/>
      <c r="B3890" s="129"/>
      <c r="C3890" s="129"/>
      <c r="D3890" s="83"/>
      <c r="E3890" s="103"/>
      <c r="F3890" s="129"/>
    </row>
    <row r="3891" spans="1:6" ht="16" thickBot="1" x14ac:dyDescent="0.25">
      <c r="A3891" s="83"/>
      <c r="B3891" s="129"/>
      <c r="C3891" s="129"/>
      <c r="D3891" s="83"/>
      <c r="E3891" s="103"/>
      <c r="F3891" s="129"/>
    </row>
    <row r="3892" spans="1:6" ht="16" thickBot="1" x14ac:dyDescent="0.25">
      <c r="A3892" s="83"/>
      <c r="B3892" s="129"/>
      <c r="C3892" s="129"/>
      <c r="D3892" s="83"/>
      <c r="E3892" s="103"/>
      <c r="F3892" s="129"/>
    </row>
    <row r="3893" spans="1:6" ht="16" thickBot="1" x14ac:dyDescent="0.25">
      <c r="A3893" s="83"/>
      <c r="B3893" s="129"/>
      <c r="C3893" s="129"/>
      <c r="D3893" s="83"/>
      <c r="E3893" s="103"/>
      <c r="F3893" s="129"/>
    </row>
    <row r="3894" spans="1:6" ht="16" thickBot="1" x14ac:dyDescent="0.25">
      <c r="A3894" s="83"/>
      <c r="B3894" s="129"/>
      <c r="C3894" s="129"/>
      <c r="D3894" s="83"/>
      <c r="E3894" s="103"/>
      <c r="F3894" s="129"/>
    </row>
    <row r="3895" spans="1:6" ht="16" thickBot="1" x14ac:dyDescent="0.25">
      <c r="A3895" s="83"/>
      <c r="B3895" s="129"/>
      <c r="C3895" s="129"/>
      <c r="D3895" s="83"/>
      <c r="E3895" s="103"/>
      <c r="F3895" s="129"/>
    </row>
    <row r="3896" spans="1:6" ht="16" thickBot="1" x14ac:dyDescent="0.25">
      <c r="A3896" s="83"/>
      <c r="B3896" s="129"/>
      <c r="C3896" s="129"/>
      <c r="D3896" s="83"/>
      <c r="E3896" s="103"/>
      <c r="F3896" s="129"/>
    </row>
    <row r="3897" spans="1:6" ht="16" thickBot="1" x14ac:dyDescent="0.25">
      <c r="A3897" s="83"/>
      <c r="B3897" s="129"/>
      <c r="C3897" s="129"/>
      <c r="D3897" s="83"/>
      <c r="E3897" s="103"/>
      <c r="F3897" s="129"/>
    </row>
    <row r="3898" spans="1:6" ht="16" thickBot="1" x14ac:dyDescent="0.25">
      <c r="A3898" s="83"/>
      <c r="B3898" s="129"/>
      <c r="C3898" s="129"/>
      <c r="D3898" s="83"/>
      <c r="E3898" s="103"/>
      <c r="F3898" s="129"/>
    </row>
    <row r="3899" spans="1:6" ht="16" thickBot="1" x14ac:dyDescent="0.25">
      <c r="A3899" s="83"/>
      <c r="B3899" s="129"/>
      <c r="C3899" s="129"/>
      <c r="D3899" s="83"/>
      <c r="E3899" s="103"/>
      <c r="F3899" s="129"/>
    </row>
    <row r="3900" spans="1:6" ht="16" thickBot="1" x14ac:dyDescent="0.25">
      <c r="A3900" s="83"/>
      <c r="B3900" s="129"/>
      <c r="C3900" s="129"/>
      <c r="D3900" s="83"/>
      <c r="E3900" s="103"/>
      <c r="F3900" s="129"/>
    </row>
    <row r="3901" spans="1:6" ht="16" thickBot="1" x14ac:dyDescent="0.25">
      <c r="A3901" s="83"/>
      <c r="B3901" s="129"/>
      <c r="C3901" s="129"/>
      <c r="D3901" s="83"/>
      <c r="E3901" s="103"/>
      <c r="F3901" s="129"/>
    </row>
    <row r="3902" spans="1:6" ht="16" thickBot="1" x14ac:dyDescent="0.25">
      <c r="A3902" s="83"/>
      <c r="B3902" s="129"/>
      <c r="C3902" s="129"/>
      <c r="D3902" s="83"/>
      <c r="E3902" s="103"/>
      <c r="F3902" s="129"/>
    </row>
    <row r="3903" spans="1:6" ht="16" thickBot="1" x14ac:dyDescent="0.25">
      <c r="A3903" s="83"/>
      <c r="B3903" s="129"/>
      <c r="C3903" s="129"/>
      <c r="D3903" s="83"/>
      <c r="E3903" s="103"/>
      <c r="F3903" s="129"/>
    </row>
    <row r="3904" spans="1:6" ht="16" thickBot="1" x14ac:dyDescent="0.25">
      <c r="A3904" s="83"/>
      <c r="B3904" s="129"/>
      <c r="C3904" s="129"/>
      <c r="D3904" s="83"/>
      <c r="E3904" s="103"/>
      <c r="F3904" s="129"/>
    </row>
    <row r="3905" spans="1:6" ht="16" thickBot="1" x14ac:dyDescent="0.25">
      <c r="A3905" s="83"/>
      <c r="B3905" s="129"/>
      <c r="C3905" s="129"/>
      <c r="D3905" s="83"/>
      <c r="E3905" s="103"/>
      <c r="F3905" s="129"/>
    </row>
    <row r="3906" spans="1:6" ht="16" thickBot="1" x14ac:dyDescent="0.25">
      <c r="A3906" s="83"/>
      <c r="B3906" s="129"/>
      <c r="C3906" s="129"/>
      <c r="D3906" s="83"/>
      <c r="E3906" s="103"/>
      <c r="F3906" s="129"/>
    </row>
    <row r="3907" spans="1:6" ht="16" thickBot="1" x14ac:dyDescent="0.25">
      <c r="A3907" s="83"/>
      <c r="B3907" s="129"/>
      <c r="C3907" s="129"/>
      <c r="D3907" s="83"/>
      <c r="E3907" s="103"/>
      <c r="F3907" s="129"/>
    </row>
    <row r="3908" spans="1:6" ht="16" thickBot="1" x14ac:dyDescent="0.25">
      <c r="A3908" s="83"/>
      <c r="B3908" s="129"/>
      <c r="C3908" s="129"/>
      <c r="D3908" s="83"/>
      <c r="E3908" s="103"/>
      <c r="F3908" s="129"/>
    </row>
    <row r="3909" spans="1:6" ht="16" thickBot="1" x14ac:dyDescent="0.25">
      <c r="A3909" s="83"/>
      <c r="B3909" s="129"/>
      <c r="C3909" s="129"/>
      <c r="D3909" s="83"/>
      <c r="E3909" s="103"/>
      <c r="F3909" s="129"/>
    </row>
    <row r="3910" spans="1:6" ht="16" thickBot="1" x14ac:dyDescent="0.25">
      <c r="A3910" s="83"/>
      <c r="B3910" s="129"/>
      <c r="C3910" s="129"/>
      <c r="D3910" s="83"/>
      <c r="E3910" s="103"/>
      <c r="F3910" s="129"/>
    </row>
    <row r="3911" spans="1:6" ht="16" thickBot="1" x14ac:dyDescent="0.25">
      <c r="A3911" s="83"/>
      <c r="B3911" s="129"/>
      <c r="C3911" s="129"/>
      <c r="D3911" s="83"/>
      <c r="E3911" s="103"/>
      <c r="F3911" s="129"/>
    </row>
    <row r="3912" spans="1:6" ht="16" thickBot="1" x14ac:dyDescent="0.25">
      <c r="A3912" s="83"/>
      <c r="B3912" s="129"/>
      <c r="C3912" s="129"/>
      <c r="D3912" s="83"/>
      <c r="E3912" s="103"/>
      <c r="F3912" s="129"/>
    </row>
    <row r="3913" spans="1:6" ht="16" thickBot="1" x14ac:dyDescent="0.25">
      <c r="A3913" s="83"/>
      <c r="B3913" s="129"/>
      <c r="C3913" s="129"/>
      <c r="D3913" s="83"/>
      <c r="E3913" s="103"/>
      <c r="F3913" s="129"/>
    </row>
    <row r="3914" spans="1:6" ht="16" thickBot="1" x14ac:dyDescent="0.25">
      <c r="A3914" s="83"/>
      <c r="B3914" s="129"/>
      <c r="C3914" s="129"/>
      <c r="D3914" s="83"/>
      <c r="E3914" s="103"/>
      <c r="F3914" s="129"/>
    </row>
    <row r="3915" spans="1:6" ht="16" thickBot="1" x14ac:dyDescent="0.25">
      <c r="A3915" s="83"/>
      <c r="B3915" s="129"/>
      <c r="C3915" s="129"/>
      <c r="D3915" s="83"/>
      <c r="E3915" s="103"/>
      <c r="F3915" s="129"/>
    </row>
    <row r="3916" spans="1:6" ht="16" thickBot="1" x14ac:dyDescent="0.25">
      <c r="A3916" s="83"/>
      <c r="B3916" s="129"/>
      <c r="C3916" s="129"/>
      <c r="D3916" s="83"/>
      <c r="E3916" s="103"/>
      <c r="F3916" s="129"/>
    </row>
    <row r="3917" spans="1:6" ht="16" thickBot="1" x14ac:dyDescent="0.25">
      <c r="A3917" s="83"/>
      <c r="B3917" s="129"/>
      <c r="C3917" s="129"/>
      <c r="D3917" s="83"/>
      <c r="E3917" s="103"/>
      <c r="F3917" s="129"/>
    </row>
    <row r="3918" spans="1:6" ht="16" thickBot="1" x14ac:dyDescent="0.25">
      <c r="A3918" s="83"/>
      <c r="B3918" s="129"/>
      <c r="C3918" s="129"/>
      <c r="D3918" s="83"/>
      <c r="E3918" s="103"/>
      <c r="F3918" s="129"/>
    </row>
    <row r="3919" spans="1:6" ht="16" thickBot="1" x14ac:dyDescent="0.25">
      <c r="A3919" s="83"/>
      <c r="B3919" s="129"/>
      <c r="C3919" s="129"/>
      <c r="D3919" s="83"/>
      <c r="E3919" s="103"/>
      <c r="F3919" s="129"/>
    </row>
    <row r="3920" spans="1:6" ht="16" thickBot="1" x14ac:dyDescent="0.25">
      <c r="A3920" s="83"/>
      <c r="B3920" s="129"/>
      <c r="C3920" s="129"/>
      <c r="D3920" s="83"/>
      <c r="E3920" s="103"/>
      <c r="F3920" s="129"/>
    </row>
    <row r="3921" spans="1:6" ht="16" thickBot="1" x14ac:dyDescent="0.25">
      <c r="A3921" s="83"/>
      <c r="B3921" s="129"/>
      <c r="C3921" s="129"/>
      <c r="D3921" s="83"/>
      <c r="E3921" s="103"/>
      <c r="F3921" s="129"/>
    </row>
    <row r="3922" spans="1:6" ht="16" thickBot="1" x14ac:dyDescent="0.25">
      <c r="A3922" s="83"/>
      <c r="B3922" s="129"/>
      <c r="C3922" s="129"/>
      <c r="D3922" s="83"/>
      <c r="E3922" s="103"/>
      <c r="F3922" s="129"/>
    </row>
    <row r="3923" spans="1:6" ht="16" thickBot="1" x14ac:dyDescent="0.25">
      <c r="A3923" s="83"/>
      <c r="B3923" s="129"/>
      <c r="C3923" s="129"/>
      <c r="D3923" s="83"/>
      <c r="E3923" s="103"/>
      <c r="F3923" s="129"/>
    </row>
    <row r="3924" spans="1:6" ht="16" thickBot="1" x14ac:dyDescent="0.25">
      <c r="A3924" s="83"/>
      <c r="B3924" s="129"/>
      <c r="C3924" s="129"/>
      <c r="D3924" s="83"/>
      <c r="E3924" s="103"/>
      <c r="F3924" s="129"/>
    </row>
    <row r="3925" spans="1:6" ht="16" thickBot="1" x14ac:dyDescent="0.25">
      <c r="A3925" s="83"/>
      <c r="B3925" s="129"/>
      <c r="C3925" s="129"/>
      <c r="D3925" s="83"/>
      <c r="E3925" s="103"/>
      <c r="F3925" s="129"/>
    </row>
    <row r="3926" spans="1:6" ht="16" thickBot="1" x14ac:dyDescent="0.25">
      <c r="A3926" s="83"/>
      <c r="B3926" s="129"/>
      <c r="C3926" s="129"/>
      <c r="D3926" s="83"/>
      <c r="E3926" s="103"/>
      <c r="F3926" s="129"/>
    </row>
    <row r="3927" spans="1:6" ht="16" thickBot="1" x14ac:dyDescent="0.25">
      <c r="A3927" s="83"/>
      <c r="B3927" s="129"/>
      <c r="C3927" s="129"/>
      <c r="D3927" s="83"/>
      <c r="E3927" s="103"/>
      <c r="F3927" s="129"/>
    </row>
    <row r="3928" spans="1:6" ht="16" thickBot="1" x14ac:dyDescent="0.25">
      <c r="A3928" s="83"/>
      <c r="B3928" s="129"/>
      <c r="C3928" s="129"/>
      <c r="D3928" s="83"/>
      <c r="E3928" s="103"/>
      <c r="F3928" s="129"/>
    </row>
    <row r="3929" spans="1:6" ht="16" thickBot="1" x14ac:dyDescent="0.25">
      <c r="A3929" s="83"/>
      <c r="B3929" s="129"/>
      <c r="C3929" s="129"/>
      <c r="D3929" s="83"/>
      <c r="E3929" s="103"/>
      <c r="F3929" s="129"/>
    </row>
    <row r="3930" spans="1:6" ht="16" thickBot="1" x14ac:dyDescent="0.25">
      <c r="A3930" s="83"/>
      <c r="B3930" s="129"/>
      <c r="C3930" s="129"/>
      <c r="D3930" s="83"/>
      <c r="E3930" s="103"/>
      <c r="F3930" s="129"/>
    </row>
    <row r="3931" spans="1:6" ht="16" thickBot="1" x14ac:dyDescent="0.25">
      <c r="A3931" s="83"/>
      <c r="B3931" s="129"/>
      <c r="C3931" s="129"/>
      <c r="D3931" s="83"/>
      <c r="E3931" s="103"/>
      <c r="F3931" s="129"/>
    </row>
    <row r="3932" spans="1:6" ht="16" thickBot="1" x14ac:dyDescent="0.25">
      <c r="A3932" s="83"/>
      <c r="B3932" s="129"/>
      <c r="C3932" s="129"/>
      <c r="D3932" s="83"/>
      <c r="E3932" s="103"/>
      <c r="F3932" s="129"/>
    </row>
    <row r="3933" spans="1:6" ht="16" thickBot="1" x14ac:dyDescent="0.25">
      <c r="A3933" s="83"/>
      <c r="B3933" s="129"/>
      <c r="C3933" s="129"/>
      <c r="D3933" s="83"/>
      <c r="E3933" s="103"/>
      <c r="F3933" s="129"/>
    </row>
    <row r="3934" spans="1:6" ht="16" thickBot="1" x14ac:dyDescent="0.25">
      <c r="A3934" s="83"/>
      <c r="B3934" s="129"/>
      <c r="C3934" s="129"/>
      <c r="D3934" s="83"/>
      <c r="E3934" s="103"/>
      <c r="F3934" s="129"/>
    </row>
    <row r="3935" spans="1:6" ht="16" thickBot="1" x14ac:dyDescent="0.25">
      <c r="A3935" s="83"/>
      <c r="B3935" s="129"/>
      <c r="C3935" s="129"/>
      <c r="D3935" s="83"/>
      <c r="E3935" s="103"/>
      <c r="F3935" s="129"/>
    </row>
    <row r="3936" spans="1:6" ht="16" thickBot="1" x14ac:dyDescent="0.25">
      <c r="A3936" s="83"/>
      <c r="B3936" s="129"/>
      <c r="C3936" s="129"/>
      <c r="D3936" s="83"/>
      <c r="E3936" s="103"/>
      <c r="F3936" s="129"/>
    </row>
    <row r="3937" spans="1:6" ht="16" thickBot="1" x14ac:dyDescent="0.25">
      <c r="A3937" s="83"/>
      <c r="B3937" s="129"/>
      <c r="C3937" s="129"/>
      <c r="D3937" s="83"/>
      <c r="E3937" s="103"/>
      <c r="F3937" s="129"/>
    </row>
    <row r="3938" spans="1:6" ht="16" thickBot="1" x14ac:dyDescent="0.25">
      <c r="A3938" s="83"/>
      <c r="B3938" s="129"/>
      <c r="C3938" s="129"/>
      <c r="D3938" s="83"/>
      <c r="E3938" s="103"/>
      <c r="F3938" s="129"/>
    </row>
    <row r="3939" spans="1:6" ht="16" thickBot="1" x14ac:dyDescent="0.25">
      <c r="A3939" s="83"/>
      <c r="B3939" s="129"/>
      <c r="C3939" s="129"/>
      <c r="D3939" s="83"/>
      <c r="E3939" s="103"/>
      <c r="F3939" s="129"/>
    </row>
    <row r="3940" spans="1:6" ht="16" thickBot="1" x14ac:dyDescent="0.25">
      <c r="A3940" s="83"/>
      <c r="B3940" s="129"/>
      <c r="C3940" s="129"/>
      <c r="D3940" s="83"/>
      <c r="E3940" s="103"/>
      <c r="F3940" s="129"/>
    </row>
    <row r="3941" spans="1:6" ht="16" thickBot="1" x14ac:dyDescent="0.25">
      <c r="A3941" s="83"/>
      <c r="B3941" s="129"/>
      <c r="C3941" s="129"/>
      <c r="D3941" s="83"/>
      <c r="E3941" s="103"/>
      <c r="F3941" s="129"/>
    </row>
    <row r="3942" spans="1:6" ht="16" thickBot="1" x14ac:dyDescent="0.25">
      <c r="A3942" s="83"/>
      <c r="B3942" s="129"/>
      <c r="C3942" s="129"/>
      <c r="D3942" s="83"/>
      <c r="E3942" s="103"/>
      <c r="F3942" s="129"/>
    </row>
    <row r="3943" spans="1:6" ht="16" thickBot="1" x14ac:dyDescent="0.25">
      <c r="A3943" s="83"/>
      <c r="B3943" s="129"/>
      <c r="C3943" s="129"/>
      <c r="D3943" s="83"/>
      <c r="E3943" s="103"/>
      <c r="F3943" s="129"/>
    </row>
    <row r="3944" spans="1:6" ht="16" thickBot="1" x14ac:dyDescent="0.25">
      <c r="A3944" s="83"/>
      <c r="B3944" s="129"/>
      <c r="C3944" s="129"/>
      <c r="D3944" s="83"/>
      <c r="E3944" s="103"/>
      <c r="F3944" s="129"/>
    </row>
    <row r="3945" spans="1:6" ht="16" thickBot="1" x14ac:dyDescent="0.25">
      <c r="A3945" s="83"/>
      <c r="B3945" s="129"/>
      <c r="C3945" s="129"/>
      <c r="D3945" s="83"/>
      <c r="E3945" s="103"/>
      <c r="F3945" s="129"/>
    </row>
    <row r="3946" spans="1:6" ht="16" thickBot="1" x14ac:dyDescent="0.25">
      <c r="A3946" s="83"/>
      <c r="B3946" s="129"/>
      <c r="C3946" s="129"/>
      <c r="D3946" s="83"/>
      <c r="E3946" s="103"/>
      <c r="F3946" s="129"/>
    </row>
    <row r="3947" spans="1:6" ht="16" thickBot="1" x14ac:dyDescent="0.25">
      <c r="A3947" s="83"/>
      <c r="B3947" s="129"/>
      <c r="C3947" s="129"/>
      <c r="D3947" s="83"/>
      <c r="E3947" s="103"/>
      <c r="F3947" s="129"/>
    </row>
    <row r="3948" spans="1:6" ht="16" thickBot="1" x14ac:dyDescent="0.25">
      <c r="A3948" s="83"/>
      <c r="B3948" s="129"/>
      <c r="C3948" s="129"/>
      <c r="D3948" s="83"/>
      <c r="E3948" s="103"/>
      <c r="F3948" s="129"/>
    </row>
    <row r="3949" spans="1:6" ht="16" thickBot="1" x14ac:dyDescent="0.25">
      <c r="A3949" s="83"/>
      <c r="B3949" s="129"/>
      <c r="C3949" s="129"/>
      <c r="D3949" s="83"/>
      <c r="E3949" s="103"/>
      <c r="F3949" s="129"/>
    </row>
    <row r="3950" spans="1:6" ht="16" thickBot="1" x14ac:dyDescent="0.25">
      <c r="A3950" s="83"/>
      <c r="B3950" s="129"/>
      <c r="C3950" s="129"/>
      <c r="D3950" s="83"/>
      <c r="E3950" s="103"/>
      <c r="F3950" s="129"/>
    </row>
    <row r="3951" spans="1:6" ht="16" thickBot="1" x14ac:dyDescent="0.25">
      <c r="A3951" s="83"/>
      <c r="B3951" s="129"/>
      <c r="C3951" s="129"/>
      <c r="D3951" s="83"/>
      <c r="E3951" s="103"/>
      <c r="F3951" s="129"/>
    </row>
    <row r="3952" spans="1:6" ht="16" thickBot="1" x14ac:dyDescent="0.25">
      <c r="A3952" s="83"/>
      <c r="B3952" s="129"/>
      <c r="C3952" s="129"/>
      <c r="D3952" s="83"/>
      <c r="E3952" s="103"/>
      <c r="F3952" s="129"/>
    </row>
    <row r="3953" spans="1:6" ht="16" thickBot="1" x14ac:dyDescent="0.25">
      <c r="A3953" s="83"/>
      <c r="B3953" s="129"/>
      <c r="C3953" s="129"/>
      <c r="D3953" s="83"/>
      <c r="E3953" s="103"/>
      <c r="F3953" s="129"/>
    </row>
    <row r="3954" spans="1:6" ht="16" thickBot="1" x14ac:dyDescent="0.25">
      <c r="A3954" s="83"/>
      <c r="B3954" s="129"/>
      <c r="C3954" s="129"/>
      <c r="D3954" s="83"/>
      <c r="E3954" s="103"/>
      <c r="F3954" s="129"/>
    </row>
    <row r="3955" spans="1:6" ht="16" thickBot="1" x14ac:dyDescent="0.25">
      <c r="A3955" s="83"/>
      <c r="B3955" s="129"/>
      <c r="C3955" s="129"/>
      <c r="D3955" s="83"/>
      <c r="E3955" s="103"/>
      <c r="F3955" s="129"/>
    </row>
    <row r="3956" spans="1:6" ht="16" thickBot="1" x14ac:dyDescent="0.25">
      <c r="A3956" s="83"/>
      <c r="B3956" s="129"/>
      <c r="C3956" s="129"/>
      <c r="D3956" s="83"/>
      <c r="E3956" s="103"/>
      <c r="F3956" s="129"/>
    </row>
    <row r="3957" spans="1:6" ht="16" thickBot="1" x14ac:dyDescent="0.25">
      <c r="A3957" s="83"/>
      <c r="B3957" s="129"/>
      <c r="C3957" s="129"/>
      <c r="D3957" s="83"/>
      <c r="E3957" s="103"/>
      <c r="F3957" s="129"/>
    </row>
    <row r="3958" spans="1:6" ht="16" thickBot="1" x14ac:dyDescent="0.25">
      <c r="A3958" s="83"/>
      <c r="B3958" s="129"/>
      <c r="C3958" s="129"/>
      <c r="D3958" s="83"/>
      <c r="E3958" s="103"/>
      <c r="F3958" s="129"/>
    </row>
    <row r="3959" spans="1:6" ht="16" thickBot="1" x14ac:dyDescent="0.25">
      <c r="A3959" s="83"/>
      <c r="B3959" s="129"/>
      <c r="C3959" s="129"/>
      <c r="D3959" s="83"/>
      <c r="E3959" s="103"/>
      <c r="F3959" s="129"/>
    </row>
    <row r="3960" spans="1:6" ht="16" thickBot="1" x14ac:dyDescent="0.25">
      <c r="A3960" s="83"/>
      <c r="B3960" s="129"/>
      <c r="C3960" s="129"/>
      <c r="D3960" s="83"/>
      <c r="E3960" s="103"/>
      <c r="F3960" s="129"/>
    </row>
    <row r="3961" spans="1:6" ht="16" thickBot="1" x14ac:dyDescent="0.25">
      <c r="A3961" s="83"/>
      <c r="B3961" s="129"/>
      <c r="C3961" s="129"/>
      <c r="D3961" s="83"/>
      <c r="E3961" s="103"/>
      <c r="F3961" s="129"/>
    </row>
    <row r="3962" spans="1:6" ht="16" thickBot="1" x14ac:dyDescent="0.25">
      <c r="A3962" s="83"/>
      <c r="B3962" s="129"/>
      <c r="C3962" s="129"/>
      <c r="D3962" s="83"/>
      <c r="E3962" s="103"/>
      <c r="F3962" s="129"/>
    </row>
    <row r="3963" spans="1:6" ht="16" thickBot="1" x14ac:dyDescent="0.25">
      <c r="A3963" s="83"/>
      <c r="B3963" s="129"/>
      <c r="C3963" s="129"/>
      <c r="D3963" s="83"/>
      <c r="E3963" s="103"/>
      <c r="F3963" s="129"/>
    </row>
    <row r="3964" spans="1:6" ht="16" thickBot="1" x14ac:dyDescent="0.25">
      <c r="A3964" s="83"/>
      <c r="B3964" s="129"/>
      <c r="C3964" s="129"/>
      <c r="D3964" s="83"/>
      <c r="E3964" s="103"/>
      <c r="F3964" s="129"/>
    </row>
    <row r="3965" spans="1:6" ht="16" thickBot="1" x14ac:dyDescent="0.25">
      <c r="A3965" s="83"/>
      <c r="B3965" s="129"/>
      <c r="C3965" s="129"/>
      <c r="D3965" s="83"/>
      <c r="E3965" s="103"/>
      <c r="F3965" s="129"/>
    </row>
    <row r="3966" spans="1:6" ht="16" thickBot="1" x14ac:dyDescent="0.25">
      <c r="A3966" s="83"/>
      <c r="B3966" s="129"/>
      <c r="C3966" s="129"/>
      <c r="D3966" s="83"/>
      <c r="E3966" s="103"/>
      <c r="F3966" s="129"/>
    </row>
    <row r="3967" spans="1:6" ht="16" thickBot="1" x14ac:dyDescent="0.25">
      <c r="A3967" s="83"/>
      <c r="B3967" s="129"/>
      <c r="C3967" s="129"/>
      <c r="D3967" s="83"/>
      <c r="E3967" s="103"/>
      <c r="F3967" s="129"/>
    </row>
    <row r="3968" spans="1:6" ht="16" thickBot="1" x14ac:dyDescent="0.25">
      <c r="A3968" s="83"/>
      <c r="B3968" s="129"/>
      <c r="C3968" s="129"/>
      <c r="D3968" s="83"/>
      <c r="E3968" s="103"/>
      <c r="F3968" s="129"/>
    </row>
    <row r="3969" spans="1:6" ht="16" thickBot="1" x14ac:dyDescent="0.25">
      <c r="A3969" s="83"/>
      <c r="B3969" s="129"/>
      <c r="C3969" s="129"/>
      <c r="D3969" s="83"/>
      <c r="E3969" s="103"/>
      <c r="F3969" s="129"/>
    </row>
    <row r="3970" spans="1:6" ht="16" thickBot="1" x14ac:dyDescent="0.25">
      <c r="A3970" s="83"/>
      <c r="B3970" s="129"/>
      <c r="C3970" s="129"/>
      <c r="D3970" s="83"/>
      <c r="E3970" s="103"/>
      <c r="F3970" s="129"/>
    </row>
    <row r="3971" spans="1:6" ht="16" thickBot="1" x14ac:dyDescent="0.25">
      <c r="A3971" s="83"/>
      <c r="B3971" s="129"/>
      <c r="C3971" s="129"/>
      <c r="D3971" s="83"/>
      <c r="E3971" s="103"/>
      <c r="F3971" s="129"/>
    </row>
    <row r="3972" spans="1:6" ht="16" thickBot="1" x14ac:dyDescent="0.25">
      <c r="A3972" s="83"/>
      <c r="B3972" s="129"/>
      <c r="C3972" s="129"/>
      <c r="D3972" s="83"/>
      <c r="E3972" s="103"/>
      <c r="F3972" s="129"/>
    </row>
    <row r="3973" spans="1:6" ht="16" thickBot="1" x14ac:dyDescent="0.25">
      <c r="A3973" s="83"/>
      <c r="B3973" s="129"/>
      <c r="C3973" s="129"/>
      <c r="D3973" s="83"/>
      <c r="E3973" s="103"/>
      <c r="F3973" s="129"/>
    </row>
    <row r="3974" spans="1:6" ht="16" thickBot="1" x14ac:dyDescent="0.25">
      <c r="A3974" s="83"/>
      <c r="B3974" s="129"/>
      <c r="C3974" s="129"/>
      <c r="D3974" s="83"/>
      <c r="E3974" s="103"/>
      <c r="F3974" s="129"/>
    </row>
    <row r="3975" spans="1:6" ht="16" thickBot="1" x14ac:dyDescent="0.25">
      <c r="A3975" s="83"/>
      <c r="B3975" s="129"/>
      <c r="C3975" s="129"/>
      <c r="D3975" s="83"/>
      <c r="E3975" s="103"/>
      <c r="F3975" s="129"/>
    </row>
    <row r="3976" spans="1:6" ht="16" thickBot="1" x14ac:dyDescent="0.25">
      <c r="A3976" s="83"/>
      <c r="B3976" s="129"/>
      <c r="C3976" s="129"/>
      <c r="D3976" s="83"/>
      <c r="E3976" s="103"/>
      <c r="F3976" s="129"/>
    </row>
    <row r="3977" spans="1:6" ht="16" thickBot="1" x14ac:dyDescent="0.25">
      <c r="A3977" s="83"/>
      <c r="B3977" s="129"/>
      <c r="C3977" s="129"/>
      <c r="D3977" s="83"/>
      <c r="E3977" s="103"/>
      <c r="F3977" s="129"/>
    </row>
    <row r="3978" spans="1:6" ht="16" thickBot="1" x14ac:dyDescent="0.25">
      <c r="A3978" s="83"/>
      <c r="B3978" s="129"/>
      <c r="C3978" s="129"/>
      <c r="D3978" s="83"/>
      <c r="E3978" s="103"/>
      <c r="F3978" s="129"/>
    </row>
    <row r="3979" spans="1:6" ht="16" thickBot="1" x14ac:dyDescent="0.25">
      <c r="A3979" s="83"/>
      <c r="B3979" s="129"/>
      <c r="C3979" s="129"/>
      <c r="D3979" s="83"/>
      <c r="E3979" s="103"/>
      <c r="F3979" s="129"/>
    </row>
    <row r="3980" spans="1:6" ht="16" thickBot="1" x14ac:dyDescent="0.25">
      <c r="A3980" s="83"/>
      <c r="B3980" s="129"/>
      <c r="C3980" s="129"/>
      <c r="D3980" s="83"/>
      <c r="E3980" s="103"/>
      <c r="F3980" s="129"/>
    </row>
    <row r="3981" spans="1:6" ht="16" thickBot="1" x14ac:dyDescent="0.25">
      <c r="A3981" s="83"/>
      <c r="B3981" s="129"/>
      <c r="C3981" s="129"/>
      <c r="D3981" s="83"/>
      <c r="E3981" s="103"/>
      <c r="F3981" s="129"/>
    </row>
    <row r="3982" spans="1:6" ht="16" thickBot="1" x14ac:dyDescent="0.25">
      <c r="A3982" s="83"/>
      <c r="B3982" s="129"/>
      <c r="C3982" s="129"/>
      <c r="D3982" s="83"/>
      <c r="E3982" s="103"/>
      <c r="F3982" s="129"/>
    </row>
    <row r="3983" spans="1:6" ht="16" thickBot="1" x14ac:dyDescent="0.25">
      <c r="A3983" s="83"/>
      <c r="B3983" s="129"/>
      <c r="C3983" s="129"/>
      <c r="D3983" s="83"/>
      <c r="E3983" s="103"/>
      <c r="F3983" s="129"/>
    </row>
    <row r="3984" spans="1:6" ht="16" thickBot="1" x14ac:dyDescent="0.25">
      <c r="A3984" s="83"/>
      <c r="B3984" s="129"/>
      <c r="C3984" s="129"/>
      <c r="D3984" s="83"/>
      <c r="E3984" s="103"/>
      <c r="F3984" s="129"/>
    </row>
    <row r="3985" spans="1:6" ht="16" thickBot="1" x14ac:dyDescent="0.25">
      <c r="A3985" s="83"/>
      <c r="B3985" s="129"/>
      <c r="C3985" s="129"/>
      <c r="D3985" s="83"/>
      <c r="E3985" s="83"/>
      <c r="F3985" s="129"/>
    </row>
    <row r="3986" spans="1:6" ht="16" thickBot="1" x14ac:dyDescent="0.25">
      <c r="A3986" s="83"/>
      <c r="B3986" s="129"/>
      <c r="C3986" s="129"/>
      <c r="D3986" s="83"/>
      <c r="E3986" s="103"/>
      <c r="F3986" s="129"/>
    </row>
    <row r="3987" spans="1:6" ht="16" thickBot="1" x14ac:dyDescent="0.25">
      <c r="A3987" s="83"/>
      <c r="B3987" s="129"/>
      <c r="C3987" s="129"/>
      <c r="D3987" s="83"/>
      <c r="E3987" s="103"/>
      <c r="F3987" s="129"/>
    </row>
    <row r="3988" spans="1:6" ht="16" thickBot="1" x14ac:dyDescent="0.25">
      <c r="A3988" s="83"/>
      <c r="B3988" s="129"/>
      <c r="C3988" s="129"/>
      <c r="D3988" s="83"/>
      <c r="E3988" s="103"/>
      <c r="F3988" s="129"/>
    </row>
    <row r="3989" spans="1:6" ht="16" thickBot="1" x14ac:dyDescent="0.25">
      <c r="A3989" s="83"/>
      <c r="B3989" s="129"/>
      <c r="C3989" s="129"/>
      <c r="D3989" s="83"/>
      <c r="E3989" s="103"/>
      <c r="F3989" s="129"/>
    </row>
    <row r="3990" spans="1:6" ht="16" thickBot="1" x14ac:dyDescent="0.25">
      <c r="A3990" s="83"/>
      <c r="B3990" s="129"/>
      <c r="C3990" s="129"/>
      <c r="D3990" s="83"/>
      <c r="E3990" s="103"/>
      <c r="F3990" s="129"/>
    </row>
    <row r="3991" spans="1:6" ht="16" thickBot="1" x14ac:dyDescent="0.25">
      <c r="A3991" s="83"/>
      <c r="B3991" s="129"/>
      <c r="C3991" s="129"/>
      <c r="D3991" s="83"/>
      <c r="E3991" s="103"/>
      <c r="F3991" s="129"/>
    </row>
    <row r="3992" spans="1:6" ht="16" thickBot="1" x14ac:dyDescent="0.25">
      <c r="A3992" s="83"/>
      <c r="B3992" s="129"/>
      <c r="C3992" s="129"/>
      <c r="D3992" s="83"/>
      <c r="E3992" s="103"/>
      <c r="F3992" s="129"/>
    </row>
    <row r="3993" spans="1:6" ht="16" thickBot="1" x14ac:dyDescent="0.25">
      <c r="A3993" s="83"/>
      <c r="B3993" s="129"/>
      <c r="C3993" s="129"/>
      <c r="D3993" s="83"/>
      <c r="E3993" s="103"/>
      <c r="F3993" s="129"/>
    </row>
    <row r="3994" spans="1:6" ht="16" thickBot="1" x14ac:dyDescent="0.25">
      <c r="A3994" s="83"/>
      <c r="B3994" s="129"/>
      <c r="C3994" s="129"/>
      <c r="D3994" s="83"/>
      <c r="E3994" s="103"/>
      <c r="F3994" s="129"/>
    </row>
    <row r="3995" spans="1:6" ht="16" thickBot="1" x14ac:dyDescent="0.25">
      <c r="A3995" s="83"/>
      <c r="B3995" s="129"/>
      <c r="C3995" s="129"/>
      <c r="D3995" s="83"/>
      <c r="E3995" s="103"/>
      <c r="F3995" s="129"/>
    </row>
    <row r="3996" spans="1:6" ht="16" thickBot="1" x14ac:dyDescent="0.25">
      <c r="A3996" s="83"/>
      <c r="B3996" s="129"/>
      <c r="C3996" s="129"/>
      <c r="D3996" s="83"/>
      <c r="E3996" s="103"/>
      <c r="F3996" s="129"/>
    </row>
    <row r="3997" spans="1:6" ht="16" thickBot="1" x14ac:dyDescent="0.25">
      <c r="A3997" s="83"/>
      <c r="B3997" s="129"/>
      <c r="C3997" s="129"/>
      <c r="D3997" s="83"/>
      <c r="E3997" s="103"/>
      <c r="F3997" s="129"/>
    </row>
    <row r="3998" spans="1:6" ht="16" thickBot="1" x14ac:dyDescent="0.25">
      <c r="A3998" s="83"/>
      <c r="B3998" s="129"/>
      <c r="C3998" s="129"/>
      <c r="D3998" s="83"/>
      <c r="E3998" s="103"/>
      <c r="F3998" s="129"/>
    </row>
    <row r="3999" spans="1:6" ht="16" thickBot="1" x14ac:dyDescent="0.25">
      <c r="A3999" s="83"/>
      <c r="B3999" s="129"/>
      <c r="C3999" s="129"/>
      <c r="D3999" s="83"/>
      <c r="E3999" s="103"/>
      <c r="F3999" s="129"/>
    </row>
    <row r="4000" spans="1:6" ht="16" thickBot="1" x14ac:dyDescent="0.25">
      <c r="A4000" s="83"/>
      <c r="B4000" s="129"/>
      <c r="C4000" s="129"/>
      <c r="D4000" s="83"/>
      <c r="E4000" s="103"/>
      <c r="F4000" s="129"/>
    </row>
    <row r="4001" spans="1:6" ht="16" thickBot="1" x14ac:dyDescent="0.25">
      <c r="A4001" s="83"/>
      <c r="B4001" s="129"/>
      <c r="C4001" s="129"/>
      <c r="D4001" s="83"/>
      <c r="E4001" s="103"/>
      <c r="F4001" s="129"/>
    </row>
    <row r="4002" spans="1:6" ht="16" thickBot="1" x14ac:dyDescent="0.25">
      <c r="A4002" s="83"/>
      <c r="B4002" s="129"/>
      <c r="C4002" s="129"/>
      <c r="D4002" s="83"/>
      <c r="E4002" s="103"/>
      <c r="F4002" s="129"/>
    </row>
    <row r="4003" spans="1:6" ht="16" thickBot="1" x14ac:dyDescent="0.25">
      <c r="A4003" s="83"/>
      <c r="B4003" s="129"/>
      <c r="C4003" s="129"/>
      <c r="D4003" s="83"/>
      <c r="E4003" s="103"/>
      <c r="F4003" s="129"/>
    </row>
    <row r="4004" spans="1:6" ht="16" thickBot="1" x14ac:dyDescent="0.25">
      <c r="A4004" s="83"/>
      <c r="B4004" s="129"/>
      <c r="C4004" s="129"/>
      <c r="D4004" s="83"/>
      <c r="E4004" s="103"/>
      <c r="F4004" s="129"/>
    </row>
    <row r="4005" spans="1:6" ht="16" thickBot="1" x14ac:dyDescent="0.25">
      <c r="A4005" s="83"/>
      <c r="B4005" s="129"/>
      <c r="C4005" s="129"/>
      <c r="D4005" s="83"/>
      <c r="E4005" s="103"/>
      <c r="F4005" s="129"/>
    </row>
    <row r="4006" spans="1:6" ht="16" thickBot="1" x14ac:dyDescent="0.25">
      <c r="A4006" s="83"/>
      <c r="B4006" s="129"/>
      <c r="C4006" s="129"/>
      <c r="D4006" s="83"/>
      <c r="E4006" s="103"/>
      <c r="F4006" s="129"/>
    </row>
    <row r="4007" spans="1:6" ht="16" thickBot="1" x14ac:dyDescent="0.25">
      <c r="A4007" s="83"/>
      <c r="B4007" s="129"/>
      <c r="C4007" s="129"/>
      <c r="D4007" s="83"/>
      <c r="E4007" s="103"/>
      <c r="F4007" s="129"/>
    </row>
    <row r="4008" spans="1:6" ht="16" thickBot="1" x14ac:dyDescent="0.25">
      <c r="A4008" s="83"/>
      <c r="B4008" s="129"/>
      <c r="C4008" s="129"/>
      <c r="D4008" s="83"/>
      <c r="E4008" s="103"/>
      <c r="F4008" s="129"/>
    </row>
    <row r="4009" spans="1:6" ht="16" thickBot="1" x14ac:dyDescent="0.25">
      <c r="A4009" s="83"/>
      <c r="B4009" s="129"/>
      <c r="C4009" s="129"/>
      <c r="D4009" s="83"/>
      <c r="E4009" s="103"/>
      <c r="F4009" s="129"/>
    </row>
    <row r="4010" spans="1:6" ht="16" thickBot="1" x14ac:dyDescent="0.25">
      <c r="A4010" s="83"/>
      <c r="B4010" s="129"/>
      <c r="C4010" s="129"/>
      <c r="D4010" s="83"/>
      <c r="E4010" s="103"/>
      <c r="F4010" s="129"/>
    </row>
    <row r="4011" spans="1:6" ht="16" thickBot="1" x14ac:dyDescent="0.25">
      <c r="A4011" s="83"/>
      <c r="B4011" s="129"/>
      <c r="C4011" s="129"/>
      <c r="D4011" s="83"/>
      <c r="E4011" s="103"/>
      <c r="F4011" s="129"/>
    </row>
    <row r="4012" spans="1:6" ht="16" thickBot="1" x14ac:dyDescent="0.25">
      <c r="A4012" s="83"/>
      <c r="B4012" s="129"/>
      <c r="C4012" s="129"/>
      <c r="D4012" s="83"/>
      <c r="E4012" s="103"/>
      <c r="F4012" s="129"/>
    </row>
    <row r="4013" spans="1:6" ht="16" thickBot="1" x14ac:dyDescent="0.25">
      <c r="A4013" s="83"/>
      <c r="B4013" s="129"/>
      <c r="C4013" s="129"/>
      <c r="D4013" s="83"/>
      <c r="E4013" s="103"/>
      <c r="F4013" s="129"/>
    </row>
    <row r="4014" spans="1:6" ht="16" thickBot="1" x14ac:dyDescent="0.25">
      <c r="A4014" s="83"/>
      <c r="B4014" s="129"/>
      <c r="C4014" s="129"/>
      <c r="D4014" s="83"/>
      <c r="E4014" s="103"/>
      <c r="F4014" s="129"/>
    </row>
    <row r="4015" spans="1:6" ht="16" thickBot="1" x14ac:dyDescent="0.25">
      <c r="A4015" s="83"/>
      <c r="B4015" s="129"/>
      <c r="C4015" s="129"/>
      <c r="D4015" s="83"/>
      <c r="E4015" s="103"/>
      <c r="F4015" s="129"/>
    </row>
    <row r="4016" spans="1:6" ht="16" thickBot="1" x14ac:dyDescent="0.25">
      <c r="A4016" s="83"/>
      <c r="B4016" s="129"/>
      <c r="C4016" s="129"/>
      <c r="D4016" s="83"/>
      <c r="E4016" s="103"/>
      <c r="F4016" s="129"/>
    </row>
    <row r="4017" spans="1:6" ht="16" thickBot="1" x14ac:dyDescent="0.25">
      <c r="A4017" s="83"/>
      <c r="B4017" s="129"/>
      <c r="C4017" s="129"/>
      <c r="D4017" s="83"/>
      <c r="E4017" s="103"/>
      <c r="F4017" s="129"/>
    </row>
    <row r="4018" spans="1:6" ht="16" thickBot="1" x14ac:dyDescent="0.25">
      <c r="A4018" s="83"/>
      <c r="B4018" s="129"/>
      <c r="C4018" s="129"/>
      <c r="D4018" s="83"/>
      <c r="E4018" s="103"/>
      <c r="F4018" s="129"/>
    </row>
    <row r="4019" spans="1:6" ht="16" thickBot="1" x14ac:dyDescent="0.25">
      <c r="A4019" s="83"/>
      <c r="B4019" s="129"/>
      <c r="C4019" s="129"/>
      <c r="D4019" s="83"/>
      <c r="E4019" s="103"/>
      <c r="F4019" s="129"/>
    </row>
    <row r="4020" spans="1:6" ht="16" thickBot="1" x14ac:dyDescent="0.25">
      <c r="A4020" s="83"/>
      <c r="B4020" s="129"/>
      <c r="C4020" s="129"/>
      <c r="D4020" s="83"/>
      <c r="E4020" s="103"/>
      <c r="F4020" s="129"/>
    </row>
    <row r="4021" spans="1:6" ht="16" thickBot="1" x14ac:dyDescent="0.25">
      <c r="A4021" s="83"/>
      <c r="B4021" s="129"/>
      <c r="C4021" s="129"/>
      <c r="D4021" s="83"/>
      <c r="E4021" s="103"/>
      <c r="F4021" s="129"/>
    </row>
    <row r="4022" spans="1:6" ht="16" thickBot="1" x14ac:dyDescent="0.25">
      <c r="A4022" s="83"/>
      <c r="B4022" s="129"/>
      <c r="C4022" s="129"/>
      <c r="D4022" s="83"/>
      <c r="E4022" s="103"/>
      <c r="F4022" s="129"/>
    </row>
    <row r="4023" spans="1:6" ht="16" thickBot="1" x14ac:dyDescent="0.25">
      <c r="A4023" s="83"/>
      <c r="B4023" s="129"/>
      <c r="C4023" s="129"/>
      <c r="D4023" s="83"/>
      <c r="E4023" s="103"/>
      <c r="F4023" s="129"/>
    </row>
    <row r="4024" spans="1:6" ht="16" thickBot="1" x14ac:dyDescent="0.25">
      <c r="A4024" s="83"/>
      <c r="B4024" s="129"/>
      <c r="C4024" s="129"/>
      <c r="D4024" s="83"/>
      <c r="E4024" s="103"/>
      <c r="F4024" s="129"/>
    </row>
    <row r="4025" spans="1:6" ht="16" thickBot="1" x14ac:dyDescent="0.25">
      <c r="A4025" s="83"/>
      <c r="B4025" s="129"/>
      <c r="C4025" s="129"/>
      <c r="D4025" s="83"/>
      <c r="E4025" s="103"/>
      <c r="F4025" s="129"/>
    </row>
    <row r="4026" spans="1:6" ht="16" thickBot="1" x14ac:dyDescent="0.25">
      <c r="A4026" s="83"/>
      <c r="B4026" s="129"/>
      <c r="C4026" s="129"/>
      <c r="D4026" s="83"/>
      <c r="E4026" s="103"/>
      <c r="F4026" s="129"/>
    </row>
    <row r="4027" spans="1:6" ht="16" thickBot="1" x14ac:dyDescent="0.25">
      <c r="A4027" s="83"/>
      <c r="B4027" s="129"/>
      <c r="C4027" s="129"/>
      <c r="D4027" s="83"/>
      <c r="E4027" s="103"/>
      <c r="F4027" s="129"/>
    </row>
    <row r="4028" spans="1:6" ht="16" thickBot="1" x14ac:dyDescent="0.25">
      <c r="A4028" s="83"/>
      <c r="B4028" s="129"/>
      <c r="C4028" s="129"/>
      <c r="D4028" s="83"/>
      <c r="E4028" s="103"/>
      <c r="F4028" s="129"/>
    </row>
    <row r="4029" spans="1:6" ht="16" thickBot="1" x14ac:dyDescent="0.25">
      <c r="A4029" s="83"/>
      <c r="B4029" s="129"/>
      <c r="C4029" s="129"/>
      <c r="D4029" s="83"/>
      <c r="E4029" s="103"/>
      <c r="F4029" s="129"/>
    </row>
    <row r="4030" spans="1:6" ht="16" thickBot="1" x14ac:dyDescent="0.25">
      <c r="A4030" s="83"/>
      <c r="B4030" s="129"/>
      <c r="C4030" s="129"/>
      <c r="D4030" s="83"/>
      <c r="E4030" s="103"/>
      <c r="F4030" s="129"/>
    </row>
    <row r="4031" spans="1:6" ht="16" thickBot="1" x14ac:dyDescent="0.25">
      <c r="A4031" s="83"/>
      <c r="B4031" s="129"/>
      <c r="C4031" s="129"/>
      <c r="D4031" s="83"/>
      <c r="E4031" s="103"/>
      <c r="F4031" s="129"/>
    </row>
    <row r="4032" spans="1:6" ht="16" thickBot="1" x14ac:dyDescent="0.25">
      <c r="A4032" s="83"/>
      <c r="B4032" s="129"/>
      <c r="C4032" s="129"/>
      <c r="D4032" s="83"/>
      <c r="E4032" s="103"/>
      <c r="F4032" s="129"/>
    </row>
    <row r="4033" spans="1:6" ht="16" thickBot="1" x14ac:dyDescent="0.25">
      <c r="A4033" s="83"/>
      <c r="B4033" s="129"/>
      <c r="C4033" s="129"/>
      <c r="D4033" s="83"/>
      <c r="E4033" s="103"/>
      <c r="F4033" s="129"/>
    </row>
    <row r="4034" spans="1:6" ht="16" thickBot="1" x14ac:dyDescent="0.25">
      <c r="A4034" s="83"/>
      <c r="B4034" s="129"/>
      <c r="C4034" s="129"/>
      <c r="D4034" s="83"/>
      <c r="E4034" s="103"/>
      <c r="F4034" s="129"/>
    </row>
    <row r="4035" spans="1:6" ht="16" thickBot="1" x14ac:dyDescent="0.25">
      <c r="A4035" s="83"/>
      <c r="B4035" s="129"/>
      <c r="C4035" s="129"/>
      <c r="D4035" s="83"/>
      <c r="E4035" s="103"/>
      <c r="F4035" s="129"/>
    </row>
    <row r="4036" spans="1:6" ht="16" thickBot="1" x14ac:dyDescent="0.25">
      <c r="A4036" s="83"/>
      <c r="B4036" s="129"/>
      <c r="C4036" s="129"/>
      <c r="D4036" s="83"/>
      <c r="E4036" s="103"/>
      <c r="F4036" s="129"/>
    </row>
    <row r="4037" spans="1:6" ht="16" thickBot="1" x14ac:dyDescent="0.25">
      <c r="A4037" s="83"/>
      <c r="B4037" s="129"/>
      <c r="C4037" s="129"/>
      <c r="D4037" s="83"/>
      <c r="E4037" s="103"/>
      <c r="F4037" s="129"/>
    </row>
    <row r="4038" spans="1:6" ht="16" thickBot="1" x14ac:dyDescent="0.25">
      <c r="A4038" s="83"/>
      <c r="B4038" s="129"/>
      <c r="C4038" s="129"/>
      <c r="D4038" s="83"/>
      <c r="E4038" s="103"/>
      <c r="F4038" s="129"/>
    </row>
    <row r="4039" spans="1:6" ht="16" thickBot="1" x14ac:dyDescent="0.25">
      <c r="A4039" s="83"/>
      <c r="B4039" s="129"/>
      <c r="C4039" s="129"/>
      <c r="D4039" s="83"/>
      <c r="E4039" s="103"/>
      <c r="F4039" s="129"/>
    </row>
    <row r="4040" spans="1:6" ht="16" thickBot="1" x14ac:dyDescent="0.25">
      <c r="A4040" s="83"/>
      <c r="B4040" s="129"/>
      <c r="C4040" s="129"/>
      <c r="D4040" s="83"/>
      <c r="E4040" s="103"/>
      <c r="F4040" s="129"/>
    </row>
    <row r="4041" spans="1:6" ht="16" thickBot="1" x14ac:dyDescent="0.25">
      <c r="A4041" s="83"/>
      <c r="B4041" s="129"/>
      <c r="C4041" s="129"/>
      <c r="D4041" s="83"/>
      <c r="E4041" s="103"/>
      <c r="F4041" s="129"/>
    </row>
    <row r="4042" spans="1:6" ht="16" thickBot="1" x14ac:dyDescent="0.25">
      <c r="A4042" s="83"/>
      <c r="B4042" s="129"/>
      <c r="C4042" s="129"/>
      <c r="D4042" s="83"/>
      <c r="E4042" s="103"/>
      <c r="F4042" s="129"/>
    </row>
    <row r="4043" spans="1:6" ht="16" thickBot="1" x14ac:dyDescent="0.25">
      <c r="A4043" s="83"/>
      <c r="B4043" s="129"/>
      <c r="C4043" s="129"/>
      <c r="D4043" s="83"/>
      <c r="E4043" s="103"/>
      <c r="F4043" s="129"/>
    </row>
    <row r="4044" spans="1:6" ht="16" thickBot="1" x14ac:dyDescent="0.25">
      <c r="A4044" s="83"/>
      <c r="B4044" s="129"/>
      <c r="C4044" s="129"/>
      <c r="D4044" s="83"/>
      <c r="E4044" s="103"/>
      <c r="F4044" s="129"/>
    </row>
    <row r="4045" spans="1:6" ht="16" thickBot="1" x14ac:dyDescent="0.25">
      <c r="A4045" s="83"/>
      <c r="B4045" s="129"/>
      <c r="C4045" s="129"/>
      <c r="D4045" s="83"/>
      <c r="E4045" s="103"/>
      <c r="F4045" s="129"/>
    </row>
    <row r="4046" spans="1:6" ht="16" thickBot="1" x14ac:dyDescent="0.25">
      <c r="A4046" s="83"/>
      <c r="B4046" s="129"/>
      <c r="C4046" s="129"/>
      <c r="D4046" s="83"/>
      <c r="E4046" s="103"/>
      <c r="F4046" s="129"/>
    </row>
    <row r="4047" spans="1:6" ht="16" thickBot="1" x14ac:dyDescent="0.25">
      <c r="A4047" s="83"/>
      <c r="B4047" s="129"/>
      <c r="C4047" s="129"/>
      <c r="D4047" s="83"/>
      <c r="E4047" s="103"/>
      <c r="F4047" s="129"/>
    </row>
    <row r="4048" spans="1:6" ht="16" thickBot="1" x14ac:dyDescent="0.25">
      <c r="A4048" s="83"/>
      <c r="B4048" s="129"/>
      <c r="C4048" s="129"/>
      <c r="D4048" s="83"/>
      <c r="E4048" s="103"/>
      <c r="F4048" s="129"/>
    </row>
    <row r="4049" spans="1:6" ht="16" thickBot="1" x14ac:dyDescent="0.25">
      <c r="A4049" s="83"/>
      <c r="B4049" s="129"/>
      <c r="C4049" s="129"/>
      <c r="D4049" s="83"/>
      <c r="E4049" s="103"/>
      <c r="F4049" s="129"/>
    </row>
    <row r="4050" spans="1:6" ht="16" thickBot="1" x14ac:dyDescent="0.25">
      <c r="A4050" s="83"/>
      <c r="B4050" s="129"/>
      <c r="C4050" s="129"/>
      <c r="D4050" s="83"/>
      <c r="E4050" s="103"/>
      <c r="F4050" s="129"/>
    </row>
    <row r="4051" spans="1:6" ht="16" thickBot="1" x14ac:dyDescent="0.25">
      <c r="A4051" s="83"/>
      <c r="B4051" s="129"/>
      <c r="C4051" s="129"/>
      <c r="D4051" s="83"/>
      <c r="E4051" s="103"/>
      <c r="F4051" s="129"/>
    </row>
    <row r="4052" spans="1:6" ht="16" thickBot="1" x14ac:dyDescent="0.25">
      <c r="A4052" s="83"/>
      <c r="B4052" s="129"/>
      <c r="C4052" s="129"/>
      <c r="D4052" s="83"/>
      <c r="E4052" s="103"/>
      <c r="F4052" s="129"/>
    </row>
    <row r="4053" spans="1:6" ht="16" thickBot="1" x14ac:dyDescent="0.25">
      <c r="A4053" s="83"/>
      <c r="B4053" s="129"/>
      <c r="C4053" s="129"/>
      <c r="D4053" s="83"/>
      <c r="E4053" s="103"/>
      <c r="F4053" s="129"/>
    </row>
    <row r="4054" spans="1:6" ht="16" thickBot="1" x14ac:dyDescent="0.25">
      <c r="A4054" s="83"/>
      <c r="B4054" s="129"/>
      <c r="C4054" s="129"/>
      <c r="D4054" s="83"/>
      <c r="E4054" s="103"/>
      <c r="F4054" s="129"/>
    </row>
    <row r="4055" spans="1:6" ht="16" thickBot="1" x14ac:dyDescent="0.25">
      <c r="A4055" s="83"/>
      <c r="B4055" s="129"/>
      <c r="C4055" s="129"/>
      <c r="D4055" s="83"/>
      <c r="E4055" s="103"/>
      <c r="F4055" s="129"/>
    </row>
    <row r="4056" spans="1:6" ht="16" thickBot="1" x14ac:dyDescent="0.25">
      <c r="A4056" s="83"/>
      <c r="B4056" s="129"/>
      <c r="C4056" s="129"/>
      <c r="D4056" s="83"/>
      <c r="E4056" s="103"/>
      <c r="F4056" s="129"/>
    </row>
    <row r="4057" spans="1:6" ht="16" thickBot="1" x14ac:dyDescent="0.25">
      <c r="A4057" s="83"/>
      <c r="B4057" s="129"/>
      <c r="C4057" s="129"/>
      <c r="D4057" s="83"/>
      <c r="E4057" s="103"/>
      <c r="F4057" s="129"/>
    </row>
    <row r="4058" spans="1:6" ht="16" thickBot="1" x14ac:dyDescent="0.25">
      <c r="A4058" s="83"/>
      <c r="B4058" s="129"/>
      <c r="C4058" s="129"/>
      <c r="D4058" s="83"/>
      <c r="E4058" s="103"/>
      <c r="F4058" s="129"/>
    </row>
    <row r="4059" spans="1:6" ht="16" thickBot="1" x14ac:dyDescent="0.25">
      <c r="A4059" s="83"/>
      <c r="B4059" s="129"/>
      <c r="C4059" s="129"/>
      <c r="D4059" s="83"/>
      <c r="E4059" s="103"/>
      <c r="F4059" s="129"/>
    </row>
    <row r="4060" spans="1:6" ht="16" thickBot="1" x14ac:dyDescent="0.25">
      <c r="A4060" s="83"/>
      <c r="B4060" s="129"/>
      <c r="C4060" s="129"/>
      <c r="D4060" s="83"/>
      <c r="E4060" s="103"/>
      <c r="F4060" s="129"/>
    </row>
    <row r="4061" spans="1:6" ht="16" thickBot="1" x14ac:dyDescent="0.25">
      <c r="A4061" s="83"/>
      <c r="B4061" s="129"/>
      <c r="C4061" s="129"/>
      <c r="D4061" s="83"/>
      <c r="E4061" s="103"/>
      <c r="F4061" s="129"/>
    </row>
    <row r="4062" spans="1:6" ht="16" thickBot="1" x14ac:dyDescent="0.25">
      <c r="A4062" s="83"/>
      <c r="B4062" s="129"/>
      <c r="C4062" s="129"/>
      <c r="D4062" s="83"/>
      <c r="E4062" s="103"/>
      <c r="F4062" s="129"/>
    </row>
    <row r="4063" spans="1:6" ht="16" thickBot="1" x14ac:dyDescent="0.25">
      <c r="A4063" s="83"/>
      <c r="B4063" s="129"/>
      <c r="C4063" s="129"/>
      <c r="D4063" s="83"/>
      <c r="E4063" s="103"/>
      <c r="F4063" s="129"/>
    </row>
    <row r="4064" spans="1:6" ht="16" thickBot="1" x14ac:dyDescent="0.25">
      <c r="A4064" s="83"/>
      <c r="B4064" s="129"/>
      <c r="C4064" s="129"/>
      <c r="D4064" s="83"/>
      <c r="E4064" s="103"/>
      <c r="F4064" s="129"/>
    </row>
    <row r="4065" spans="1:6" ht="16" thickBot="1" x14ac:dyDescent="0.25">
      <c r="A4065" s="83"/>
      <c r="B4065" s="129"/>
      <c r="C4065" s="129"/>
      <c r="D4065" s="83"/>
      <c r="E4065" s="103"/>
      <c r="F4065" s="129"/>
    </row>
    <row r="4066" spans="1:6" ht="16" thickBot="1" x14ac:dyDescent="0.25">
      <c r="A4066" s="83"/>
      <c r="B4066" s="129"/>
      <c r="C4066" s="129"/>
      <c r="D4066" s="83"/>
      <c r="E4066" s="103"/>
      <c r="F4066" s="129"/>
    </row>
    <row r="4067" spans="1:6" ht="16" thickBot="1" x14ac:dyDescent="0.25">
      <c r="A4067" s="83"/>
      <c r="B4067" s="129"/>
      <c r="C4067" s="129"/>
      <c r="D4067" s="83"/>
      <c r="E4067" s="103"/>
      <c r="F4067" s="129"/>
    </row>
    <row r="4068" spans="1:6" ht="16" thickBot="1" x14ac:dyDescent="0.25">
      <c r="A4068" s="83"/>
      <c r="B4068" s="129"/>
      <c r="C4068" s="129"/>
      <c r="D4068" s="83"/>
      <c r="E4068" s="103"/>
      <c r="F4068" s="129"/>
    </row>
    <row r="4069" spans="1:6" ht="16" thickBot="1" x14ac:dyDescent="0.25">
      <c r="A4069" s="83"/>
      <c r="B4069" s="129"/>
      <c r="C4069" s="129"/>
      <c r="D4069" s="83"/>
      <c r="E4069" s="103"/>
      <c r="F4069" s="129"/>
    </row>
    <row r="4070" spans="1:6" ht="16" thickBot="1" x14ac:dyDescent="0.25">
      <c r="A4070" s="83"/>
      <c r="B4070" s="129"/>
      <c r="C4070" s="129"/>
      <c r="D4070" s="83"/>
      <c r="E4070" s="103"/>
      <c r="F4070" s="129"/>
    </row>
    <row r="4071" spans="1:6" ht="16" thickBot="1" x14ac:dyDescent="0.25">
      <c r="A4071" s="83"/>
      <c r="B4071" s="129"/>
      <c r="C4071" s="129"/>
      <c r="D4071" s="83"/>
      <c r="E4071" s="103"/>
      <c r="F4071" s="129"/>
    </row>
    <row r="4072" spans="1:6" ht="16" thickBot="1" x14ac:dyDescent="0.25">
      <c r="A4072" s="83"/>
      <c r="B4072" s="129"/>
      <c r="C4072" s="129"/>
      <c r="D4072" s="83"/>
      <c r="E4072" s="103"/>
      <c r="F4072" s="129"/>
    </row>
    <row r="4073" spans="1:6" ht="16" thickBot="1" x14ac:dyDescent="0.25">
      <c r="A4073" s="83"/>
      <c r="B4073" s="129"/>
      <c r="C4073" s="129"/>
      <c r="D4073" s="83"/>
      <c r="E4073" s="103"/>
      <c r="F4073" s="129"/>
    </row>
    <row r="4074" spans="1:6" ht="16" thickBot="1" x14ac:dyDescent="0.25">
      <c r="A4074" s="83"/>
      <c r="B4074" s="129"/>
      <c r="C4074" s="129"/>
      <c r="D4074" s="83"/>
      <c r="E4074" s="103"/>
      <c r="F4074" s="129"/>
    </row>
    <row r="4075" spans="1:6" ht="16" thickBot="1" x14ac:dyDescent="0.25">
      <c r="A4075" s="83"/>
      <c r="B4075" s="129"/>
      <c r="C4075" s="129"/>
      <c r="D4075" s="83"/>
      <c r="E4075" s="103"/>
      <c r="F4075" s="129"/>
    </row>
    <row r="4076" spans="1:6" ht="16" thickBot="1" x14ac:dyDescent="0.25">
      <c r="A4076" s="83"/>
      <c r="B4076" s="129"/>
      <c r="C4076" s="129"/>
      <c r="D4076" s="83"/>
      <c r="E4076" s="103"/>
      <c r="F4076" s="129"/>
    </row>
    <row r="4077" spans="1:6" ht="16" thickBot="1" x14ac:dyDescent="0.25">
      <c r="A4077" s="83"/>
      <c r="B4077" s="129"/>
      <c r="C4077" s="129"/>
      <c r="D4077" s="83"/>
      <c r="E4077" s="103"/>
      <c r="F4077" s="129"/>
    </row>
    <row r="4078" spans="1:6" ht="16" thickBot="1" x14ac:dyDescent="0.25">
      <c r="A4078" s="83"/>
      <c r="B4078" s="129"/>
      <c r="C4078" s="129"/>
      <c r="D4078" s="83"/>
      <c r="E4078" s="103"/>
      <c r="F4078" s="129"/>
    </row>
    <row r="4079" spans="1:6" ht="16" thickBot="1" x14ac:dyDescent="0.25">
      <c r="A4079" s="83"/>
      <c r="B4079" s="129"/>
      <c r="C4079" s="129"/>
      <c r="D4079" s="83"/>
      <c r="E4079" s="103"/>
      <c r="F4079" s="129"/>
    </row>
    <row r="4080" spans="1:6" ht="16" thickBot="1" x14ac:dyDescent="0.25">
      <c r="A4080" s="83"/>
      <c r="B4080" s="129"/>
      <c r="C4080" s="129"/>
      <c r="D4080" s="83"/>
      <c r="E4080" s="103"/>
      <c r="F4080" s="129"/>
    </row>
    <row r="4081" spans="1:6" ht="16" thickBot="1" x14ac:dyDescent="0.25">
      <c r="A4081" s="83"/>
      <c r="B4081" s="129"/>
      <c r="C4081" s="129"/>
      <c r="D4081" s="83"/>
      <c r="E4081" s="103"/>
      <c r="F4081" s="129"/>
    </row>
    <row r="4082" spans="1:6" ht="16" thickBot="1" x14ac:dyDescent="0.25">
      <c r="A4082" s="83"/>
      <c r="B4082" s="129"/>
      <c r="C4082" s="129"/>
      <c r="D4082" s="83"/>
      <c r="E4082" s="103"/>
      <c r="F4082" s="129"/>
    </row>
    <row r="4083" spans="1:6" ht="16" thickBot="1" x14ac:dyDescent="0.25">
      <c r="A4083" s="83"/>
      <c r="B4083" s="129"/>
      <c r="C4083" s="129"/>
      <c r="D4083" s="83"/>
      <c r="E4083" s="103"/>
      <c r="F4083" s="129"/>
    </row>
    <row r="4084" spans="1:6" ht="16" thickBot="1" x14ac:dyDescent="0.25">
      <c r="A4084" s="83"/>
      <c r="B4084" s="129"/>
      <c r="C4084" s="129"/>
      <c r="D4084" s="83"/>
      <c r="E4084" s="103"/>
      <c r="F4084" s="129"/>
    </row>
    <row r="4085" spans="1:6" ht="16" thickBot="1" x14ac:dyDescent="0.25">
      <c r="A4085" s="83"/>
      <c r="B4085" s="129"/>
      <c r="C4085" s="129"/>
      <c r="D4085" s="83"/>
      <c r="E4085" s="103"/>
      <c r="F4085" s="129"/>
    </row>
    <row r="4086" spans="1:6" ht="16" thickBot="1" x14ac:dyDescent="0.25">
      <c r="A4086" s="83"/>
      <c r="B4086" s="129"/>
      <c r="C4086" s="129"/>
      <c r="D4086" s="83"/>
      <c r="E4086" s="103"/>
      <c r="F4086" s="129"/>
    </row>
    <row r="4087" spans="1:6" ht="16" thickBot="1" x14ac:dyDescent="0.25">
      <c r="A4087" s="83"/>
      <c r="B4087" s="129"/>
      <c r="C4087" s="129"/>
      <c r="D4087" s="83"/>
      <c r="E4087" s="103"/>
      <c r="F4087" s="129"/>
    </row>
    <row r="4088" spans="1:6" ht="16" thickBot="1" x14ac:dyDescent="0.25">
      <c r="A4088" s="83"/>
      <c r="B4088" s="129"/>
      <c r="C4088" s="129"/>
      <c r="D4088" s="83"/>
      <c r="E4088" s="103"/>
      <c r="F4088" s="129"/>
    </row>
    <row r="4089" spans="1:6" ht="16" thickBot="1" x14ac:dyDescent="0.25">
      <c r="A4089" s="83"/>
      <c r="B4089" s="129"/>
      <c r="C4089" s="129"/>
      <c r="D4089" s="83"/>
      <c r="E4089" s="103"/>
      <c r="F4089" s="129"/>
    </row>
    <row r="4090" spans="1:6" ht="16" thickBot="1" x14ac:dyDescent="0.25">
      <c r="A4090" s="83"/>
      <c r="B4090" s="129"/>
      <c r="C4090" s="129"/>
      <c r="D4090" s="83"/>
      <c r="E4090" s="103"/>
      <c r="F4090" s="129"/>
    </row>
    <row r="4091" spans="1:6" ht="16" thickBot="1" x14ac:dyDescent="0.25">
      <c r="A4091" s="83"/>
      <c r="B4091" s="129"/>
      <c r="C4091" s="129"/>
      <c r="D4091" s="83"/>
      <c r="E4091" s="103"/>
      <c r="F4091" s="129"/>
    </row>
    <row r="4092" spans="1:6" ht="16" thickBot="1" x14ac:dyDescent="0.25">
      <c r="A4092" s="83"/>
      <c r="B4092" s="129"/>
      <c r="C4092" s="129"/>
      <c r="D4092" s="83"/>
      <c r="E4092" s="103"/>
      <c r="F4092" s="129"/>
    </row>
    <row r="4093" spans="1:6" ht="16" thickBot="1" x14ac:dyDescent="0.25">
      <c r="A4093" s="83"/>
      <c r="B4093" s="129"/>
      <c r="C4093" s="129"/>
      <c r="D4093" s="83"/>
      <c r="E4093" s="103"/>
      <c r="F4093" s="129"/>
    </row>
    <row r="4094" spans="1:6" ht="16" thickBot="1" x14ac:dyDescent="0.25">
      <c r="A4094" s="83"/>
      <c r="B4094" s="129"/>
      <c r="C4094" s="129"/>
      <c r="D4094" s="83"/>
      <c r="E4094" s="103"/>
      <c r="F4094" s="129"/>
    </row>
    <row r="4095" spans="1:6" ht="16" thickBot="1" x14ac:dyDescent="0.25">
      <c r="A4095" s="83"/>
      <c r="B4095" s="129"/>
      <c r="C4095" s="129"/>
      <c r="D4095" s="83"/>
      <c r="E4095" s="103"/>
      <c r="F4095" s="129"/>
    </row>
    <row r="4096" spans="1:6" ht="16" thickBot="1" x14ac:dyDescent="0.25">
      <c r="A4096" s="83"/>
      <c r="B4096" s="129"/>
      <c r="C4096" s="129"/>
      <c r="D4096" s="83"/>
      <c r="E4096" s="103"/>
      <c r="F4096" s="129"/>
    </row>
    <row r="4097" spans="1:6" ht="16" thickBot="1" x14ac:dyDescent="0.25">
      <c r="A4097" s="83"/>
      <c r="B4097" s="129"/>
      <c r="C4097" s="129"/>
      <c r="D4097" s="83"/>
      <c r="E4097" s="103"/>
      <c r="F4097" s="129"/>
    </row>
    <row r="4098" spans="1:6" ht="16" thickBot="1" x14ac:dyDescent="0.25">
      <c r="A4098" s="83"/>
      <c r="B4098" s="129"/>
      <c r="C4098" s="129"/>
      <c r="D4098" s="83"/>
      <c r="E4098" s="103"/>
      <c r="F4098" s="129"/>
    </row>
    <row r="4099" spans="1:6" ht="16" thickBot="1" x14ac:dyDescent="0.25">
      <c r="A4099" s="83"/>
      <c r="B4099" s="129"/>
      <c r="C4099" s="129"/>
      <c r="D4099" s="83"/>
      <c r="E4099" s="103"/>
      <c r="F4099" s="129"/>
    </row>
    <row r="4100" spans="1:6" ht="16" thickBot="1" x14ac:dyDescent="0.25">
      <c r="A4100" s="83"/>
      <c r="B4100" s="129"/>
      <c r="C4100" s="129"/>
      <c r="D4100" s="83"/>
      <c r="E4100" s="103"/>
      <c r="F4100" s="129"/>
    </row>
    <row r="4101" spans="1:6" ht="16" thickBot="1" x14ac:dyDescent="0.25">
      <c r="A4101" s="83"/>
      <c r="B4101" s="129"/>
      <c r="C4101" s="129"/>
      <c r="D4101" s="83"/>
      <c r="E4101" s="103"/>
      <c r="F4101" s="129"/>
    </row>
    <row r="4102" spans="1:6" ht="16" thickBot="1" x14ac:dyDescent="0.25">
      <c r="A4102" s="83"/>
      <c r="B4102" s="129"/>
      <c r="C4102" s="129"/>
      <c r="D4102" s="83"/>
      <c r="E4102" s="103"/>
      <c r="F4102" s="129"/>
    </row>
    <row r="4103" spans="1:6" ht="16" thickBot="1" x14ac:dyDescent="0.25">
      <c r="A4103" s="83"/>
      <c r="B4103" s="129"/>
      <c r="C4103" s="129"/>
      <c r="D4103" s="83"/>
      <c r="E4103" s="103"/>
      <c r="F4103" s="129"/>
    </row>
    <row r="4104" spans="1:6" ht="16" thickBot="1" x14ac:dyDescent="0.25">
      <c r="A4104" s="83"/>
      <c r="B4104" s="129"/>
      <c r="C4104" s="129"/>
      <c r="D4104" s="83"/>
      <c r="E4104" s="103"/>
      <c r="F4104" s="129"/>
    </row>
    <row r="4105" spans="1:6" ht="16" thickBot="1" x14ac:dyDescent="0.25">
      <c r="A4105" s="83"/>
      <c r="B4105" s="129"/>
      <c r="C4105" s="129"/>
      <c r="D4105" s="83"/>
      <c r="E4105" s="103"/>
      <c r="F4105" s="129"/>
    </row>
    <row r="4106" spans="1:6" ht="16" thickBot="1" x14ac:dyDescent="0.25">
      <c r="A4106" s="83"/>
      <c r="B4106" s="129"/>
      <c r="C4106" s="129"/>
      <c r="D4106" s="83"/>
      <c r="E4106" s="103"/>
      <c r="F4106" s="129"/>
    </row>
    <row r="4107" spans="1:6" ht="16" thickBot="1" x14ac:dyDescent="0.25">
      <c r="A4107" s="83"/>
      <c r="B4107" s="129"/>
      <c r="C4107" s="129"/>
      <c r="D4107" s="83"/>
      <c r="E4107" s="103"/>
      <c r="F4107" s="129"/>
    </row>
    <row r="4108" spans="1:6" ht="16" thickBot="1" x14ac:dyDescent="0.25">
      <c r="A4108" s="83"/>
      <c r="B4108" s="129"/>
      <c r="C4108" s="129"/>
      <c r="D4108" s="83"/>
      <c r="E4108" s="103"/>
      <c r="F4108" s="129"/>
    </row>
    <row r="4109" spans="1:6" ht="16" thickBot="1" x14ac:dyDescent="0.25">
      <c r="A4109" s="83"/>
      <c r="B4109" s="129"/>
      <c r="C4109" s="129"/>
      <c r="D4109" s="83"/>
      <c r="E4109" s="103"/>
      <c r="F4109" s="129"/>
    </row>
    <row r="4110" spans="1:6" ht="16" thickBot="1" x14ac:dyDescent="0.25">
      <c r="A4110" s="83"/>
      <c r="B4110" s="129"/>
      <c r="C4110" s="129"/>
      <c r="D4110" s="83"/>
      <c r="E4110" s="103"/>
      <c r="F4110" s="129"/>
    </row>
    <row r="4111" spans="1:6" ht="16" thickBot="1" x14ac:dyDescent="0.25">
      <c r="A4111" s="83"/>
      <c r="B4111" s="129"/>
      <c r="C4111" s="129"/>
      <c r="D4111" s="83"/>
      <c r="E4111" s="103"/>
      <c r="F4111" s="129"/>
    </row>
    <row r="4112" spans="1:6" ht="16" thickBot="1" x14ac:dyDescent="0.25">
      <c r="A4112" s="83"/>
      <c r="B4112" s="129"/>
      <c r="C4112" s="129"/>
      <c r="D4112" s="83"/>
      <c r="E4112" s="103"/>
      <c r="F4112" s="129"/>
    </row>
    <row r="4113" spans="1:6" ht="16" thickBot="1" x14ac:dyDescent="0.25">
      <c r="A4113" s="83"/>
      <c r="B4113" s="129"/>
      <c r="C4113" s="129"/>
      <c r="D4113" s="83"/>
      <c r="E4113" s="103"/>
      <c r="F4113" s="129"/>
    </row>
    <row r="4114" spans="1:6" ht="16" thickBot="1" x14ac:dyDescent="0.25">
      <c r="A4114" s="83"/>
      <c r="B4114" s="129"/>
      <c r="C4114" s="129"/>
      <c r="D4114" s="83"/>
      <c r="E4114" s="103"/>
      <c r="F4114" s="129"/>
    </row>
    <row r="4115" spans="1:6" ht="16" thickBot="1" x14ac:dyDescent="0.25">
      <c r="A4115" s="83"/>
      <c r="B4115" s="129"/>
      <c r="C4115" s="129"/>
      <c r="D4115" s="83"/>
      <c r="E4115" s="103"/>
      <c r="F4115" s="129"/>
    </row>
    <row r="4116" spans="1:6" ht="16" thickBot="1" x14ac:dyDescent="0.25">
      <c r="A4116" s="83"/>
      <c r="B4116" s="129"/>
      <c r="C4116" s="129"/>
      <c r="D4116" s="83"/>
      <c r="E4116" s="103"/>
      <c r="F4116" s="129"/>
    </row>
    <row r="4117" spans="1:6" ht="16" thickBot="1" x14ac:dyDescent="0.25">
      <c r="A4117" s="83"/>
      <c r="B4117" s="129"/>
      <c r="C4117" s="129"/>
      <c r="D4117" s="83"/>
      <c r="E4117" s="103"/>
      <c r="F4117" s="129"/>
    </row>
    <row r="4118" spans="1:6" ht="16" thickBot="1" x14ac:dyDescent="0.25">
      <c r="A4118" s="83"/>
      <c r="B4118" s="129"/>
      <c r="C4118" s="129"/>
      <c r="D4118" s="83"/>
      <c r="E4118" s="103"/>
      <c r="F4118" s="129"/>
    </row>
    <row r="4119" spans="1:6" ht="16" thickBot="1" x14ac:dyDescent="0.25">
      <c r="A4119" s="83"/>
      <c r="B4119" s="129"/>
      <c r="C4119" s="129"/>
      <c r="D4119" s="83"/>
      <c r="E4119" s="103"/>
      <c r="F4119" s="129"/>
    </row>
    <row r="4120" spans="1:6" ht="16" thickBot="1" x14ac:dyDescent="0.25">
      <c r="A4120" s="83"/>
      <c r="B4120" s="129"/>
      <c r="C4120" s="129"/>
      <c r="D4120" s="83"/>
      <c r="E4120" s="103"/>
      <c r="F4120" s="129"/>
    </row>
    <row r="4121" spans="1:6" ht="16" thickBot="1" x14ac:dyDescent="0.25">
      <c r="A4121" s="83"/>
      <c r="B4121" s="129"/>
      <c r="C4121" s="129"/>
      <c r="D4121" s="83"/>
      <c r="E4121" s="103"/>
      <c r="F4121" s="129"/>
    </row>
    <row r="4122" spans="1:6" ht="16" thickBot="1" x14ac:dyDescent="0.25">
      <c r="A4122" s="83"/>
      <c r="B4122" s="129"/>
      <c r="C4122" s="129"/>
      <c r="D4122" s="83"/>
      <c r="E4122" s="103"/>
      <c r="F4122" s="129"/>
    </row>
    <row r="4123" spans="1:6" ht="16" thickBot="1" x14ac:dyDescent="0.25">
      <c r="A4123" s="83"/>
      <c r="B4123" s="129"/>
      <c r="C4123" s="129"/>
      <c r="D4123" s="83"/>
      <c r="E4123" s="103"/>
      <c r="F4123" s="129"/>
    </row>
    <row r="4124" spans="1:6" ht="16" thickBot="1" x14ac:dyDescent="0.25">
      <c r="A4124" s="83"/>
      <c r="B4124" s="129"/>
      <c r="C4124" s="129"/>
      <c r="D4124" s="83"/>
      <c r="E4124" s="103"/>
      <c r="F4124" s="129"/>
    </row>
    <row r="4125" spans="1:6" ht="16" thickBot="1" x14ac:dyDescent="0.25">
      <c r="A4125" s="83"/>
      <c r="B4125" s="129"/>
      <c r="C4125" s="129"/>
      <c r="D4125" s="83"/>
      <c r="E4125" s="103"/>
      <c r="F4125" s="129"/>
    </row>
    <row r="4126" spans="1:6" ht="16" thickBot="1" x14ac:dyDescent="0.25">
      <c r="A4126" s="83"/>
      <c r="B4126" s="129"/>
      <c r="C4126" s="129"/>
      <c r="D4126" s="83"/>
      <c r="E4126" s="103"/>
      <c r="F4126" s="129"/>
    </row>
    <row r="4127" spans="1:6" ht="16" thickBot="1" x14ac:dyDescent="0.25">
      <c r="A4127" s="83"/>
      <c r="B4127" s="129"/>
      <c r="C4127" s="129"/>
      <c r="D4127" s="83"/>
      <c r="E4127" s="103"/>
      <c r="F4127" s="129"/>
    </row>
    <row r="4128" spans="1:6" ht="16" thickBot="1" x14ac:dyDescent="0.25">
      <c r="A4128" s="83"/>
      <c r="B4128" s="129"/>
      <c r="C4128" s="129"/>
      <c r="D4128" s="83"/>
      <c r="E4128" s="103"/>
      <c r="F4128" s="129"/>
    </row>
    <row r="4129" spans="1:6" ht="16" thickBot="1" x14ac:dyDescent="0.25">
      <c r="A4129" s="83"/>
      <c r="B4129" s="129"/>
      <c r="C4129" s="129"/>
      <c r="D4129" s="83"/>
      <c r="E4129" s="103"/>
      <c r="F4129" s="129"/>
    </row>
    <row r="4130" spans="1:6" ht="16" thickBot="1" x14ac:dyDescent="0.25">
      <c r="A4130" s="83"/>
      <c r="B4130" s="129"/>
      <c r="C4130" s="129"/>
      <c r="D4130" s="83"/>
      <c r="E4130" s="103"/>
      <c r="F4130" s="129"/>
    </row>
    <row r="4131" spans="1:6" ht="16" thickBot="1" x14ac:dyDescent="0.25">
      <c r="A4131" s="83"/>
      <c r="B4131" s="129"/>
      <c r="C4131" s="129"/>
      <c r="D4131" s="83"/>
      <c r="E4131" s="103"/>
      <c r="F4131" s="129"/>
    </row>
    <row r="4132" spans="1:6" ht="16" thickBot="1" x14ac:dyDescent="0.25">
      <c r="A4132" s="83"/>
      <c r="B4132" s="129"/>
      <c r="C4132" s="129"/>
      <c r="D4132" s="83"/>
      <c r="E4132" s="103"/>
      <c r="F4132" s="129"/>
    </row>
    <row r="4133" spans="1:6" ht="16" thickBot="1" x14ac:dyDescent="0.25">
      <c r="A4133" s="83"/>
      <c r="B4133" s="129"/>
      <c r="C4133" s="129"/>
      <c r="D4133" s="83"/>
      <c r="E4133" s="103"/>
      <c r="F4133" s="129"/>
    </row>
    <row r="4134" spans="1:6" ht="16" thickBot="1" x14ac:dyDescent="0.25">
      <c r="A4134" s="83"/>
      <c r="B4134" s="129"/>
      <c r="C4134" s="129"/>
      <c r="D4134" s="83"/>
      <c r="E4134" s="103"/>
      <c r="F4134" s="129"/>
    </row>
    <row r="4135" spans="1:6" ht="16" thickBot="1" x14ac:dyDescent="0.25">
      <c r="A4135" s="83"/>
      <c r="B4135" s="129"/>
      <c r="C4135" s="129"/>
      <c r="D4135" s="83"/>
      <c r="E4135" s="103"/>
      <c r="F4135" s="129"/>
    </row>
    <row r="4136" spans="1:6" ht="16" thickBot="1" x14ac:dyDescent="0.25">
      <c r="A4136" s="83"/>
      <c r="B4136" s="129"/>
      <c r="C4136" s="129"/>
      <c r="D4136" s="83"/>
      <c r="E4136" s="103"/>
      <c r="F4136" s="129"/>
    </row>
    <row r="4137" spans="1:6" ht="16" thickBot="1" x14ac:dyDescent="0.25">
      <c r="A4137" s="83"/>
      <c r="B4137" s="129"/>
      <c r="C4137" s="129"/>
      <c r="D4137" s="83"/>
      <c r="E4137" s="103"/>
      <c r="F4137" s="129"/>
    </row>
    <row r="4138" spans="1:6" ht="16" thickBot="1" x14ac:dyDescent="0.25">
      <c r="A4138" s="83"/>
      <c r="B4138" s="129"/>
      <c r="C4138" s="129"/>
      <c r="D4138" s="83"/>
      <c r="E4138" s="103"/>
      <c r="F4138" s="129"/>
    </row>
    <row r="4139" spans="1:6" ht="16" thickBot="1" x14ac:dyDescent="0.25">
      <c r="A4139" s="83"/>
      <c r="B4139" s="129"/>
      <c r="C4139" s="129"/>
      <c r="D4139" s="83"/>
      <c r="E4139" s="103"/>
      <c r="F4139" s="129"/>
    </row>
    <row r="4140" spans="1:6" ht="16" thickBot="1" x14ac:dyDescent="0.25">
      <c r="A4140" s="83"/>
      <c r="B4140" s="129"/>
      <c r="C4140" s="129"/>
      <c r="D4140" s="83"/>
      <c r="E4140" s="103"/>
      <c r="F4140" s="129"/>
    </row>
    <row r="4141" spans="1:6" ht="16" thickBot="1" x14ac:dyDescent="0.25">
      <c r="A4141" s="83"/>
      <c r="B4141" s="129"/>
      <c r="C4141" s="129"/>
      <c r="D4141" s="83"/>
      <c r="E4141" s="103"/>
      <c r="F4141" s="129"/>
    </row>
    <row r="4142" spans="1:6" ht="16" thickBot="1" x14ac:dyDescent="0.25">
      <c r="A4142" s="83"/>
      <c r="B4142" s="129"/>
      <c r="C4142" s="129"/>
      <c r="D4142" s="83"/>
      <c r="E4142" s="103"/>
      <c r="F4142" s="129"/>
    </row>
    <row r="4143" spans="1:6" ht="16" thickBot="1" x14ac:dyDescent="0.25">
      <c r="A4143" s="83"/>
      <c r="B4143" s="129"/>
      <c r="C4143" s="129"/>
      <c r="D4143" s="83"/>
      <c r="E4143" s="103"/>
      <c r="F4143" s="129"/>
    </row>
    <row r="4144" spans="1:6" ht="16" thickBot="1" x14ac:dyDescent="0.25">
      <c r="A4144" s="83"/>
      <c r="B4144" s="129"/>
      <c r="C4144" s="129"/>
      <c r="D4144" s="83"/>
      <c r="E4144" s="103"/>
      <c r="F4144" s="129"/>
    </row>
    <row r="4145" spans="1:6" ht="16" thickBot="1" x14ac:dyDescent="0.25">
      <c r="A4145" s="83"/>
      <c r="B4145" s="129"/>
      <c r="C4145" s="129"/>
      <c r="D4145" s="83"/>
      <c r="E4145" s="103"/>
      <c r="F4145" s="129"/>
    </row>
    <row r="4146" spans="1:6" ht="16" thickBot="1" x14ac:dyDescent="0.25">
      <c r="A4146" s="83"/>
      <c r="B4146" s="129"/>
      <c r="C4146" s="129"/>
      <c r="D4146" s="83"/>
      <c r="E4146" s="103"/>
      <c r="F4146" s="129"/>
    </row>
    <row r="4147" spans="1:6" ht="16" thickBot="1" x14ac:dyDescent="0.25">
      <c r="A4147" s="83"/>
      <c r="B4147" s="129"/>
      <c r="C4147" s="129"/>
      <c r="D4147" s="83"/>
      <c r="E4147" s="103"/>
      <c r="F4147" s="129"/>
    </row>
    <row r="4148" spans="1:6" ht="16" thickBot="1" x14ac:dyDescent="0.25">
      <c r="A4148" s="83"/>
      <c r="B4148" s="129"/>
      <c r="C4148" s="129"/>
      <c r="D4148" s="83"/>
      <c r="E4148" s="103"/>
      <c r="F4148" s="129"/>
    </row>
    <row r="4149" spans="1:6" ht="16" thickBot="1" x14ac:dyDescent="0.25">
      <c r="A4149" s="83"/>
      <c r="B4149" s="129"/>
      <c r="C4149" s="129"/>
      <c r="D4149" s="83"/>
      <c r="E4149" s="103"/>
      <c r="F4149" s="129"/>
    </row>
    <row r="4150" spans="1:6" ht="16" thickBot="1" x14ac:dyDescent="0.25">
      <c r="A4150" s="83"/>
      <c r="B4150" s="129"/>
      <c r="C4150" s="129"/>
      <c r="D4150" s="83"/>
      <c r="E4150" s="103"/>
      <c r="F4150" s="129"/>
    </row>
    <row r="4151" spans="1:6" ht="16" thickBot="1" x14ac:dyDescent="0.25">
      <c r="A4151" s="83"/>
      <c r="B4151" s="129"/>
      <c r="C4151" s="129"/>
      <c r="D4151" s="83"/>
      <c r="E4151" s="103"/>
      <c r="F4151" s="129"/>
    </row>
    <row r="4152" spans="1:6" ht="16" thickBot="1" x14ac:dyDescent="0.25">
      <c r="A4152" s="83"/>
      <c r="B4152" s="129"/>
      <c r="C4152" s="129"/>
      <c r="D4152" s="83"/>
      <c r="E4152" s="103"/>
      <c r="F4152" s="129"/>
    </row>
    <row r="4153" spans="1:6" ht="16" thickBot="1" x14ac:dyDescent="0.25">
      <c r="A4153" s="83"/>
      <c r="B4153" s="129"/>
      <c r="C4153" s="129"/>
      <c r="D4153" s="83"/>
      <c r="E4153" s="103"/>
      <c r="F4153" s="129"/>
    </row>
    <row r="4154" spans="1:6" ht="16" thickBot="1" x14ac:dyDescent="0.25">
      <c r="A4154" s="83"/>
      <c r="B4154" s="129"/>
      <c r="C4154" s="129"/>
      <c r="D4154" s="83"/>
      <c r="E4154" s="103"/>
      <c r="F4154" s="129"/>
    </row>
    <row r="4155" spans="1:6" ht="16" thickBot="1" x14ac:dyDescent="0.25">
      <c r="A4155" s="83"/>
      <c r="B4155" s="129"/>
      <c r="C4155" s="129"/>
      <c r="D4155" s="83"/>
      <c r="E4155" s="103"/>
      <c r="F4155" s="129"/>
    </row>
    <row r="4156" spans="1:6" ht="16" thickBot="1" x14ac:dyDescent="0.25">
      <c r="A4156" s="83"/>
      <c r="B4156" s="129"/>
      <c r="C4156" s="129"/>
      <c r="D4156" s="83"/>
      <c r="E4156" s="103"/>
      <c r="F4156" s="129"/>
    </row>
    <row r="4157" spans="1:6" ht="16" thickBot="1" x14ac:dyDescent="0.25">
      <c r="A4157" s="83"/>
      <c r="B4157" s="129"/>
      <c r="C4157" s="129"/>
      <c r="D4157" s="83"/>
      <c r="E4157" s="103"/>
      <c r="F4157" s="129"/>
    </row>
    <row r="4158" spans="1:6" ht="16" thickBot="1" x14ac:dyDescent="0.25">
      <c r="A4158" s="83"/>
      <c r="B4158" s="129"/>
      <c r="C4158" s="129"/>
      <c r="D4158" s="83"/>
      <c r="E4158" s="103"/>
      <c r="F4158" s="129"/>
    </row>
    <row r="4159" spans="1:6" ht="16" thickBot="1" x14ac:dyDescent="0.25">
      <c r="A4159" s="83"/>
      <c r="B4159" s="129"/>
      <c r="C4159" s="129"/>
      <c r="D4159" s="83"/>
      <c r="E4159" s="103"/>
      <c r="F4159" s="129"/>
    </row>
    <row r="4160" spans="1:6" ht="16" thickBot="1" x14ac:dyDescent="0.25">
      <c r="A4160" s="83"/>
      <c r="B4160" s="129"/>
      <c r="C4160" s="129"/>
      <c r="D4160" s="83"/>
      <c r="E4160" s="103"/>
      <c r="F4160" s="129"/>
    </row>
    <row r="4161" spans="1:6" ht="16" thickBot="1" x14ac:dyDescent="0.25">
      <c r="A4161" s="83"/>
      <c r="B4161" s="129"/>
      <c r="C4161" s="129"/>
      <c r="D4161" s="83"/>
      <c r="E4161" s="103"/>
      <c r="F4161" s="129"/>
    </row>
    <row r="4162" spans="1:6" ht="16" thickBot="1" x14ac:dyDescent="0.25">
      <c r="A4162" s="83"/>
      <c r="B4162" s="129"/>
      <c r="C4162" s="129"/>
      <c r="D4162" s="83"/>
      <c r="E4162" s="103"/>
      <c r="F4162" s="129"/>
    </row>
    <row r="4163" spans="1:6" ht="16" thickBot="1" x14ac:dyDescent="0.25">
      <c r="A4163" s="83"/>
      <c r="B4163" s="129"/>
      <c r="C4163" s="129"/>
      <c r="D4163" s="83"/>
      <c r="E4163" s="103"/>
      <c r="F4163" s="129"/>
    </row>
    <row r="4164" spans="1:6" ht="16" thickBot="1" x14ac:dyDescent="0.25">
      <c r="A4164" s="83"/>
      <c r="B4164" s="129"/>
      <c r="C4164" s="129"/>
      <c r="D4164" s="83"/>
      <c r="E4164" s="103"/>
      <c r="F4164" s="129"/>
    </row>
    <row r="4165" spans="1:6" ht="16" thickBot="1" x14ac:dyDescent="0.25">
      <c r="A4165" s="83"/>
      <c r="B4165" s="129"/>
      <c r="C4165" s="129"/>
      <c r="D4165" s="83"/>
      <c r="E4165" s="103"/>
      <c r="F4165" s="129"/>
    </row>
    <row r="4166" spans="1:6" ht="16" thickBot="1" x14ac:dyDescent="0.25">
      <c r="A4166" s="83"/>
      <c r="B4166" s="129"/>
      <c r="C4166" s="129"/>
      <c r="D4166" s="83"/>
      <c r="E4166" s="103"/>
      <c r="F4166" s="129"/>
    </row>
    <row r="4167" spans="1:6" ht="16" thickBot="1" x14ac:dyDescent="0.25">
      <c r="A4167" s="83"/>
      <c r="B4167" s="129"/>
      <c r="C4167" s="129"/>
      <c r="D4167" s="83"/>
      <c r="E4167" s="103"/>
      <c r="F4167" s="129"/>
    </row>
    <row r="4168" spans="1:6" ht="16" thickBot="1" x14ac:dyDescent="0.25">
      <c r="A4168" s="83"/>
      <c r="B4168" s="129"/>
      <c r="C4168" s="129"/>
      <c r="D4168" s="83"/>
      <c r="E4168" s="103"/>
      <c r="F4168" s="129"/>
    </row>
    <row r="4169" spans="1:6" ht="16" thickBot="1" x14ac:dyDescent="0.25">
      <c r="A4169" s="83"/>
      <c r="B4169" s="129"/>
      <c r="C4169" s="129"/>
      <c r="D4169" s="83"/>
      <c r="E4169" s="103"/>
      <c r="F4169" s="129"/>
    </row>
    <row r="4170" spans="1:6" ht="16" thickBot="1" x14ac:dyDescent="0.25">
      <c r="A4170" s="83"/>
      <c r="B4170" s="129"/>
      <c r="C4170" s="129"/>
      <c r="D4170" s="83"/>
      <c r="E4170" s="103"/>
      <c r="F4170" s="129"/>
    </row>
    <row r="4171" spans="1:6" ht="16" thickBot="1" x14ac:dyDescent="0.25">
      <c r="A4171" s="83"/>
      <c r="B4171" s="129"/>
      <c r="C4171" s="129"/>
      <c r="D4171" s="83"/>
      <c r="E4171" s="103"/>
      <c r="F4171" s="129"/>
    </row>
    <row r="4172" spans="1:6" ht="16" thickBot="1" x14ac:dyDescent="0.25">
      <c r="A4172" s="83"/>
      <c r="B4172" s="129"/>
      <c r="C4172" s="129"/>
      <c r="D4172" s="83"/>
      <c r="E4172" s="103"/>
      <c r="F4172" s="129"/>
    </row>
    <row r="4173" spans="1:6" ht="16" thickBot="1" x14ac:dyDescent="0.25">
      <c r="A4173" s="83"/>
      <c r="B4173" s="129"/>
      <c r="C4173" s="129"/>
      <c r="D4173" s="83"/>
      <c r="E4173" s="103"/>
      <c r="F4173" s="129"/>
    </row>
    <row r="4174" spans="1:6" ht="16" thickBot="1" x14ac:dyDescent="0.25">
      <c r="A4174" s="83"/>
      <c r="B4174" s="129"/>
      <c r="C4174" s="129"/>
      <c r="D4174" s="83"/>
      <c r="E4174" s="103"/>
      <c r="F4174" s="129"/>
    </row>
    <row r="4175" spans="1:6" ht="16" thickBot="1" x14ac:dyDescent="0.25">
      <c r="A4175" s="83"/>
      <c r="B4175" s="129"/>
      <c r="C4175" s="129"/>
      <c r="D4175" s="83"/>
      <c r="E4175" s="103"/>
      <c r="F4175" s="129"/>
    </row>
    <row r="4176" spans="1:6" ht="16" thickBot="1" x14ac:dyDescent="0.25">
      <c r="A4176" s="83"/>
      <c r="B4176" s="129"/>
      <c r="C4176" s="129"/>
      <c r="D4176" s="83"/>
      <c r="E4176" s="103"/>
      <c r="F4176" s="129"/>
    </row>
    <row r="4177" spans="1:6" ht="16" thickBot="1" x14ac:dyDescent="0.25">
      <c r="A4177" s="83"/>
      <c r="B4177" s="129"/>
      <c r="C4177" s="129"/>
      <c r="D4177" s="83"/>
      <c r="E4177" s="103"/>
      <c r="F4177" s="129"/>
    </row>
    <row r="4178" spans="1:6" ht="16" thickBot="1" x14ac:dyDescent="0.25">
      <c r="A4178" s="83"/>
      <c r="B4178" s="129"/>
      <c r="C4178" s="129"/>
      <c r="D4178" s="83"/>
      <c r="E4178" s="103"/>
      <c r="F4178" s="129"/>
    </row>
    <row r="4179" spans="1:6" ht="16" thickBot="1" x14ac:dyDescent="0.25">
      <c r="A4179" s="83"/>
      <c r="B4179" s="129"/>
      <c r="C4179" s="129"/>
      <c r="D4179" s="83"/>
      <c r="E4179" s="103"/>
      <c r="F4179" s="129"/>
    </row>
    <row r="4180" spans="1:6" ht="16" thickBot="1" x14ac:dyDescent="0.25">
      <c r="A4180" s="83"/>
      <c r="B4180" s="129"/>
      <c r="C4180" s="129"/>
      <c r="D4180" s="83"/>
      <c r="E4180" s="103"/>
      <c r="F4180" s="129"/>
    </row>
    <row r="4181" spans="1:6" ht="16" thickBot="1" x14ac:dyDescent="0.25">
      <c r="A4181" s="83"/>
      <c r="B4181" s="129"/>
      <c r="C4181" s="129"/>
      <c r="D4181" s="83"/>
      <c r="E4181" s="103"/>
      <c r="F4181" s="129"/>
    </row>
    <row r="4182" spans="1:6" ht="16" thickBot="1" x14ac:dyDescent="0.25">
      <c r="A4182" s="83"/>
      <c r="B4182" s="129"/>
      <c r="C4182" s="129"/>
      <c r="D4182" s="83"/>
      <c r="E4182" s="103"/>
      <c r="F4182" s="129"/>
    </row>
    <row r="4183" spans="1:6" ht="16" thickBot="1" x14ac:dyDescent="0.25">
      <c r="A4183" s="83"/>
      <c r="B4183" s="129"/>
      <c r="C4183" s="129"/>
      <c r="D4183" s="83"/>
      <c r="E4183" s="103"/>
      <c r="F4183" s="129"/>
    </row>
    <row r="4184" spans="1:6" ht="16" thickBot="1" x14ac:dyDescent="0.25">
      <c r="A4184" s="83"/>
      <c r="B4184" s="129"/>
      <c r="C4184" s="129"/>
      <c r="D4184" s="83"/>
      <c r="E4184" s="103"/>
      <c r="F4184" s="129"/>
    </row>
    <row r="4185" spans="1:6" ht="16" thickBot="1" x14ac:dyDescent="0.25">
      <c r="A4185" s="83"/>
      <c r="B4185" s="129"/>
      <c r="C4185" s="129"/>
      <c r="D4185" s="83"/>
      <c r="E4185" s="103"/>
      <c r="F4185" s="129"/>
    </row>
    <row r="4186" spans="1:6" ht="16" thickBot="1" x14ac:dyDescent="0.25">
      <c r="A4186" s="83"/>
      <c r="B4186" s="129"/>
      <c r="C4186" s="129"/>
      <c r="D4186" s="83"/>
      <c r="E4186" s="103"/>
      <c r="F4186" s="129"/>
    </row>
    <row r="4187" spans="1:6" ht="16" thickBot="1" x14ac:dyDescent="0.25">
      <c r="A4187" s="83"/>
      <c r="B4187" s="129"/>
      <c r="C4187" s="129"/>
      <c r="D4187" s="83"/>
      <c r="E4187" s="103"/>
      <c r="F4187" s="129"/>
    </row>
    <row r="4188" spans="1:6" ht="16" thickBot="1" x14ac:dyDescent="0.25">
      <c r="A4188" s="83"/>
      <c r="B4188" s="129"/>
      <c r="C4188" s="129"/>
      <c r="D4188" s="83"/>
      <c r="E4188" s="103"/>
      <c r="F4188" s="129"/>
    </row>
    <row r="4189" spans="1:6" ht="16" thickBot="1" x14ac:dyDescent="0.25">
      <c r="A4189" s="83"/>
      <c r="B4189" s="129"/>
      <c r="C4189" s="129"/>
      <c r="D4189" s="83"/>
      <c r="E4189" s="103"/>
      <c r="F4189" s="129"/>
    </row>
    <row r="4190" spans="1:6" ht="16" thickBot="1" x14ac:dyDescent="0.25">
      <c r="A4190" s="83"/>
      <c r="B4190" s="129"/>
      <c r="C4190" s="129"/>
      <c r="D4190" s="83"/>
      <c r="E4190" s="103"/>
      <c r="F4190" s="129"/>
    </row>
    <row r="4191" spans="1:6" ht="16" thickBot="1" x14ac:dyDescent="0.25">
      <c r="A4191" s="83"/>
      <c r="B4191" s="129"/>
      <c r="C4191" s="129"/>
      <c r="D4191" s="83"/>
      <c r="E4191" s="103"/>
      <c r="F4191" s="129"/>
    </row>
    <row r="4192" spans="1:6" ht="16" thickBot="1" x14ac:dyDescent="0.25">
      <c r="A4192" s="83"/>
      <c r="B4192" s="129"/>
      <c r="C4192" s="129"/>
      <c r="D4192" s="83"/>
      <c r="E4192" s="103"/>
      <c r="F4192" s="129"/>
    </row>
    <row r="4193" spans="1:6" ht="16" thickBot="1" x14ac:dyDescent="0.25">
      <c r="A4193" s="83"/>
      <c r="B4193" s="129"/>
      <c r="C4193" s="129"/>
      <c r="D4193" s="83"/>
      <c r="E4193" s="103"/>
      <c r="F4193" s="129"/>
    </row>
    <row r="4194" spans="1:6" ht="16" thickBot="1" x14ac:dyDescent="0.25">
      <c r="A4194" s="83"/>
      <c r="B4194" s="129"/>
      <c r="C4194" s="129"/>
      <c r="D4194" s="83"/>
      <c r="E4194" s="103"/>
      <c r="F4194" s="129"/>
    </row>
    <row r="4195" spans="1:6" ht="16" thickBot="1" x14ac:dyDescent="0.25">
      <c r="A4195" s="83"/>
      <c r="B4195" s="129"/>
      <c r="C4195" s="129"/>
      <c r="D4195" s="83"/>
      <c r="E4195" s="103"/>
      <c r="F4195" s="129"/>
    </row>
    <row r="4196" spans="1:6" ht="16" thickBot="1" x14ac:dyDescent="0.25">
      <c r="A4196" s="83"/>
      <c r="B4196" s="129"/>
      <c r="C4196" s="129"/>
      <c r="D4196" s="83"/>
      <c r="E4196" s="103"/>
      <c r="F4196" s="129"/>
    </row>
    <row r="4197" spans="1:6" ht="16" thickBot="1" x14ac:dyDescent="0.25">
      <c r="A4197" s="83"/>
      <c r="B4197" s="129"/>
      <c r="C4197" s="129"/>
      <c r="D4197" s="83"/>
      <c r="E4197" s="103"/>
      <c r="F4197" s="129"/>
    </row>
    <row r="4198" spans="1:6" ht="16" thickBot="1" x14ac:dyDescent="0.25">
      <c r="A4198" s="83"/>
      <c r="B4198" s="129"/>
      <c r="C4198" s="129"/>
      <c r="D4198" s="83"/>
      <c r="E4198" s="103"/>
      <c r="F4198" s="129"/>
    </row>
    <row r="4199" spans="1:6" ht="16" thickBot="1" x14ac:dyDescent="0.25">
      <c r="A4199" s="83"/>
      <c r="B4199" s="129"/>
      <c r="C4199" s="129"/>
      <c r="D4199" s="83"/>
      <c r="E4199" s="103"/>
      <c r="F4199" s="129"/>
    </row>
    <row r="4200" spans="1:6" ht="16" thickBot="1" x14ac:dyDescent="0.25">
      <c r="A4200" s="83"/>
      <c r="B4200" s="129"/>
      <c r="C4200" s="129"/>
      <c r="D4200" s="83"/>
      <c r="E4200" s="103"/>
      <c r="F4200" s="129"/>
    </row>
    <row r="4201" spans="1:6" ht="16" thickBot="1" x14ac:dyDescent="0.25">
      <c r="A4201" s="83"/>
      <c r="B4201" s="129"/>
      <c r="C4201" s="129"/>
      <c r="D4201" s="83"/>
      <c r="E4201" s="103"/>
      <c r="F4201" s="129"/>
    </row>
    <row r="4202" spans="1:6" ht="16" thickBot="1" x14ac:dyDescent="0.25">
      <c r="A4202" s="83"/>
      <c r="B4202" s="129"/>
      <c r="C4202" s="129"/>
      <c r="D4202" s="83"/>
      <c r="E4202" s="103"/>
      <c r="F4202" s="129"/>
    </row>
    <row r="4203" spans="1:6" ht="16" thickBot="1" x14ac:dyDescent="0.25">
      <c r="A4203" s="83"/>
      <c r="B4203" s="129"/>
      <c r="C4203" s="129"/>
      <c r="D4203" s="83"/>
      <c r="E4203" s="103"/>
      <c r="F4203" s="129"/>
    </row>
    <row r="4204" spans="1:6" ht="16" thickBot="1" x14ac:dyDescent="0.25">
      <c r="A4204" s="83"/>
      <c r="B4204" s="129"/>
      <c r="C4204" s="129"/>
      <c r="D4204" s="83"/>
      <c r="E4204" s="83"/>
      <c r="F4204" s="129"/>
    </row>
    <row r="4205" spans="1:6" ht="16" thickBot="1" x14ac:dyDescent="0.25">
      <c r="A4205" s="83"/>
      <c r="B4205" s="129"/>
      <c r="C4205" s="129"/>
      <c r="D4205" s="83"/>
      <c r="E4205" s="103"/>
      <c r="F4205" s="129"/>
    </row>
    <row r="4206" spans="1:6" ht="16" thickBot="1" x14ac:dyDescent="0.25">
      <c r="A4206" s="83"/>
      <c r="B4206" s="129"/>
      <c r="C4206" s="129"/>
      <c r="D4206" s="83"/>
      <c r="E4206" s="103"/>
      <c r="F4206" s="129"/>
    </row>
    <row r="4207" spans="1:6" ht="16" thickBot="1" x14ac:dyDescent="0.25">
      <c r="A4207" s="83"/>
      <c r="B4207" s="129"/>
      <c r="C4207" s="129"/>
      <c r="D4207" s="83"/>
      <c r="E4207" s="103"/>
      <c r="F4207" s="129"/>
    </row>
    <row r="4208" spans="1:6" ht="16" thickBot="1" x14ac:dyDescent="0.25">
      <c r="A4208" s="83"/>
      <c r="B4208" s="129"/>
      <c r="C4208" s="129"/>
      <c r="D4208" s="83"/>
      <c r="E4208" s="103"/>
      <c r="F4208" s="129"/>
    </row>
    <row r="4209" spans="1:6" ht="16" thickBot="1" x14ac:dyDescent="0.25">
      <c r="A4209" s="83"/>
      <c r="B4209" s="129"/>
      <c r="C4209" s="129"/>
      <c r="D4209" s="83"/>
      <c r="E4209" s="103"/>
      <c r="F4209" s="129"/>
    </row>
    <row r="4210" spans="1:6" ht="16" thickBot="1" x14ac:dyDescent="0.25">
      <c r="A4210" s="83"/>
      <c r="B4210" s="129"/>
      <c r="C4210" s="129"/>
      <c r="D4210" s="83"/>
      <c r="E4210" s="103"/>
      <c r="F4210" s="129"/>
    </row>
    <row r="4211" spans="1:6" ht="16" thickBot="1" x14ac:dyDescent="0.25">
      <c r="A4211" s="83"/>
      <c r="B4211" s="129"/>
      <c r="C4211" s="129"/>
      <c r="D4211" s="83"/>
      <c r="E4211" s="103"/>
      <c r="F4211" s="129"/>
    </row>
    <row r="4212" spans="1:6" ht="16" thickBot="1" x14ac:dyDescent="0.25">
      <c r="A4212" s="83"/>
      <c r="B4212" s="129"/>
      <c r="C4212" s="129"/>
      <c r="D4212" s="83"/>
      <c r="E4212" s="103"/>
      <c r="F4212" s="129"/>
    </row>
    <row r="4213" spans="1:6" ht="16" thickBot="1" x14ac:dyDescent="0.25">
      <c r="A4213" s="83"/>
      <c r="B4213" s="129"/>
      <c r="C4213" s="129"/>
      <c r="D4213" s="83"/>
      <c r="E4213" s="83"/>
      <c r="F4213" s="129"/>
    </row>
    <row r="4214" spans="1:6" ht="16" thickBot="1" x14ac:dyDescent="0.25">
      <c r="A4214" s="83"/>
      <c r="B4214" s="129"/>
      <c r="C4214" s="129"/>
      <c r="D4214" s="83"/>
      <c r="E4214" s="103"/>
      <c r="F4214" s="129"/>
    </row>
    <row r="4215" spans="1:6" ht="16" thickBot="1" x14ac:dyDescent="0.25">
      <c r="A4215" s="83"/>
      <c r="B4215" s="129"/>
      <c r="C4215" s="129"/>
      <c r="D4215" s="83"/>
      <c r="E4215" s="103"/>
      <c r="F4215" s="129"/>
    </row>
    <row r="4216" spans="1:6" ht="16" thickBot="1" x14ac:dyDescent="0.25">
      <c r="A4216" s="83"/>
      <c r="B4216" s="129"/>
      <c r="C4216" s="129"/>
      <c r="D4216" s="83"/>
      <c r="E4216" s="103"/>
      <c r="F4216" s="129"/>
    </row>
    <row r="4217" spans="1:6" ht="16" thickBot="1" x14ac:dyDescent="0.25">
      <c r="A4217" s="83"/>
      <c r="B4217" s="129"/>
      <c r="C4217" s="129"/>
      <c r="D4217" s="83"/>
      <c r="E4217" s="103"/>
      <c r="F4217" s="129"/>
    </row>
    <row r="4218" spans="1:6" ht="16" thickBot="1" x14ac:dyDescent="0.25">
      <c r="A4218" s="83"/>
      <c r="B4218" s="129"/>
      <c r="C4218" s="129"/>
      <c r="D4218" s="83"/>
      <c r="E4218" s="103"/>
      <c r="F4218" s="129"/>
    </row>
    <row r="4219" spans="1:6" ht="16" thickBot="1" x14ac:dyDescent="0.25">
      <c r="A4219" s="83"/>
      <c r="B4219" s="129"/>
      <c r="C4219" s="129"/>
      <c r="D4219" s="83"/>
      <c r="E4219" s="103"/>
      <c r="F4219" s="129"/>
    </row>
    <row r="4220" spans="1:6" ht="16" thickBot="1" x14ac:dyDescent="0.25">
      <c r="A4220" s="83"/>
      <c r="B4220" s="129"/>
      <c r="C4220" s="129"/>
      <c r="D4220" s="83"/>
      <c r="E4220" s="103"/>
      <c r="F4220" s="129"/>
    </row>
    <row r="4221" spans="1:6" ht="16" thickBot="1" x14ac:dyDescent="0.25">
      <c r="A4221" s="83"/>
      <c r="B4221" s="129"/>
      <c r="C4221" s="129"/>
      <c r="D4221" s="83"/>
      <c r="E4221" s="83"/>
      <c r="F4221" s="129"/>
    </row>
    <row r="4222" spans="1:6" ht="16" thickBot="1" x14ac:dyDescent="0.25">
      <c r="A4222" s="83"/>
      <c r="B4222" s="129"/>
      <c r="C4222" s="129"/>
      <c r="D4222" s="83"/>
      <c r="E4222" s="103"/>
      <c r="F4222" s="129"/>
    </row>
    <row r="4223" spans="1:6" ht="16" thickBot="1" x14ac:dyDescent="0.25">
      <c r="A4223" s="83"/>
      <c r="B4223" s="129"/>
      <c r="C4223" s="129"/>
      <c r="D4223" s="83"/>
      <c r="E4223" s="103"/>
      <c r="F4223" s="129"/>
    </row>
    <row r="4224" spans="1:6" ht="16" thickBot="1" x14ac:dyDescent="0.25">
      <c r="A4224" s="83"/>
      <c r="B4224" s="129"/>
      <c r="C4224" s="129"/>
      <c r="D4224" s="83"/>
      <c r="E4224" s="103"/>
      <c r="F4224" s="129"/>
    </row>
    <row r="4225" spans="1:6" ht="16" thickBot="1" x14ac:dyDescent="0.25">
      <c r="A4225" s="83"/>
      <c r="B4225" s="129"/>
      <c r="C4225" s="129"/>
      <c r="D4225" s="83"/>
      <c r="E4225" s="103"/>
      <c r="F4225" s="129"/>
    </row>
    <row r="4226" spans="1:6" ht="16" thickBot="1" x14ac:dyDescent="0.25">
      <c r="A4226" s="83"/>
      <c r="B4226" s="129"/>
      <c r="C4226" s="129"/>
      <c r="D4226" s="83"/>
      <c r="E4226" s="103"/>
      <c r="F4226" s="129"/>
    </row>
    <row r="4227" spans="1:6" ht="16" thickBot="1" x14ac:dyDescent="0.25">
      <c r="A4227" s="83"/>
      <c r="B4227" s="129"/>
      <c r="C4227" s="129"/>
      <c r="D4227" s="83"/>
      <c r="E4227" s="103"/>
      <c r="F4227" s="129"/>
    </row>
    <row r="4228" spans="1:6" ht="16" thickBot="1" x14ac:dyDescent="0.25">
      <c r="A4228" s="83"/>
      <c r="B4228" s="129"/>
      <c r="C4228" s="129"/>
      <c r="D4228" s="83"/>
      <c r="E4228" s="83"/>
      <c r="F4228" s="129"/>
    </row>
    <row r="4229" spans="1:6" ht="16" thickBot="1" x14ac:dyDescent="0.25">
      <c r="A4229" s="83"/>
      <c r="B4229" s="129"/>
      <c r="C4229" s="129"/>
      <c r="D4229" s="83"/>
      <c r="E4229" s="103"/>
      <c r="F4229" s="129"/>
    </row>
    <row r="4230" spans="1:6" ht="16" thickBot="1" x14ac:dyDescent="0.25">
      <c r="A4230" s="83"/>
      <c r="B4230" s="129"/>
      <c r="C4230" s="129"/>
      <c r="D4230" s="83"/>
      <c r="E4230" s="103"/>
      <c r="F4230" s="129"/>
    </row>
    <row r="4231" spans="1:6" ht="16" thickBot="1" x14ac:dyDescent="0.25">
      <c r="A4231" s="83"/>
      <c r="B4231" s="129"/>
      <c r="C4231" s="129"/>
      <c r="D4231" s="83"/>
      <c r="E4231" s="103"/>
      <c r="F4231" s="129"/>
    </row>
    <row r="4232" spans="1:6" ht="16" thickBot="1" x14ac:dyDescent="0.25">
      <c r="A4232" s="83"/>
      <c r="B4232" s="129"/>
      <c r="C4232" s="129"/>
      <c r="D4232" s="83"/>
      <c r="E4232" s="103"/>
      <c r="F4232" s="129"/>
    </row>
    <row r="4233" spans="1:6" ht="16" thickBot="1" x14ac:dyDescent="0.25">
      <c r="A4233" s="83"/>
      <c r="B4233" s="129"/>
      <c r="C4233" s="129"/>
      <c r="D4233" s="83"/>
      <c r="E4233" s="103"/>
      <c r="F4233" s="129"/>
    </row>
    <row r="4234" spans="1:6" ht="16" thickBot="1" x14ac:dyDescent="0.25">
      <c r="A4234" s="83"/>
      <c r="B4234" s="129"/>
      <c r="C4234" s="129"/>
      <c r="D4234" s="83"/>
      <c r="E4234" s="103"/>
      <c r="F4234" s="129"/>
    </row>
    <row r="4235" spans="1:6" ht="16" thickBot="1" x14ac:dyDescent="0.25">
      <c r="A4235" s="83"/>
      <c r="B4235" s="129"/>
      <c r="C4235" s="129"/>
      <c r="D4235" s="83"/>
      <c r="E4235" s="103"/>
      <c r="F4235" s="129"/>
    </row>
    <row r="4236" spans="1:6" ht="16" thickBot="1" x14ac:dyDescent="0.25">
      <c r="A4236" s="83"/>
      <c r="B4236" s="129"/>
      <c r="C4236" s="129"/>
      <c r="D4236" s="83"/>
      <c r="E4236" s="103"/>
      <c r="F4236" s="129"/>
    </row>
    <row r="4237" spans="1:6" ht="16" thickBot="1" x14ac:dyDescent="0.25">
      <c r="A4237" s="83"/>
      <c r="B4237" s="129"/>
      <c r="C4237" s="129"/>
      <c r="D4237" s="83"/>
      <c r="E4237" s="103"/>
      <c r="F4237" s="129"/>
    </row>
    <row r="4238" spans="1:6" ht="16" thickBot="1" x14ac:dyDescent="0.25">
      <c r="A4238" s="83"/>
      <c r="B4238" s="129"/>
      <c r="C4238" s="129"/>
      <c r="D4238" s="83"/>
      <c r="E4238" s="103"/>
      <c r="F4238" s="129"/>
    </row>
    <row r="4239" spans="1:6" ht="16" thickBot="1" x14ac:dyDescent="0.25">
      <c r="A4239" s="83"/>
      <c r="B4239" s="129"/>
      <c r="C4239" s="129"/>
      <c r="D4239" s="83"/>
      <c r="E4239" s="103"/>
      <c r="F4239" s="129"/>
    </row>
    <row r="4240" spans="1:6" ht="16" thickBot="1" x14ac:dyDescent="0.25">
      <c r="A4240" s="83"/>
      <c r="B4240" s="129"/>
      <c r="C4240" s="129"/>
      <c r="D4240" s="83"/>
      <c r="E4240" s="103"/>
      <c r="F4240" s="129"/>
    </row>
    <row r="4241" spans="1:6" ht="16" thickBot="1" x14ac:dyDescent="0.25">
      <c r="A4241" s="83"/>
      <c r="B4241" s="129"/>
      <c r="C4241" s="129"/>
      <c r="D4241" s="83"/>
      <c r="E4241" s="103"/>
      <c r="F4241" s="129"/>
    </row>
    <row r="4242" spans="1:6" ht="16" thickBot="1" x14ac:dyDescent="0.25">
      <c r="A4242" s="83"/>
      <c r="B4242" s="129"/>
      <c r="C4242" s="129"/>
      <c r="D4242" s="83"/>
      <c r="E4242" s="103"/>
      <c r="F4242" s="129"/>
    </row>
    <row r="4243" spans="1:6" ht="16" thickBot="1" x14ac:dyDescent="0.25">
      <c r="A4243" s="83"/>
      <c r="B4243" s="129"/>
      <c r="C4243" s="129"/>
      <c r="D4243" s="83"/>
      <c r="E4243" s="103"/>
      <c r="F4243" s="129"/>
    </row>
    <row r="4244" spans="1:6" ht="16" thickBot="1" x14ac:dyDescent="0.25">
      <c r="A4244" s="83"/>
      <c r="B4244" s="129"/>
      <c r="C4244" s="129"/>
      <c r="D4244" s="83"/>
      <c r="E4244" s="103"/>
      <c r="F4244" s="129"/>
    </row>
    <row r="4245" spans="1:6" ht="16" thickBot="1" x14ac:dyDescent="0.25">
      <c r="A4245" s="83"/>
      <c r="B4245" s="129"/>
      <c r="C4245" s="129"/>
      <c r="D4245" s="83"/>
      <c r="E4245" s="103"/>
      <c r="F4245" s="129"/>
    </row>
    <row r="4246" spans="1:6" ht="16" thickBot="1" x14ac:dyDescent="0.25">
      <c r="A4246" s="83"/>
      <c r="B4246" s="129"/>
      <c r="C4246" s="129"/>
      <c r="D4246" s="83"/>
      <c r="E4246" s="103"/>
      <c r="F4246" s="129"/>
    </row>
    <row r="4247" spans="1:6" ht="16" thickBot="1" x14ac:dyDescent="0.25">
      <c r="A4247" s="83"/>
      <c r="B4247" s="129"/>
      <c r="C4247" s="129"/>
      <c r="D4247" s="83"/>
      <c r="E4247" s="103"/>
      <c r="F4247" s="129"/>
    </row>
    <row r="4248" spans="1:6" ht="16" thickBot="1" x14ac:dyDescent="0.25">
      <c r="A4248" s="83"/>
      <c r="B4248" s="129"/>
      <c r="C4248" s="129"/>
      <c r="D4248" s="83"/>
      <c r="E4248" s="103"/>
      <c r="F4248" s="129"/>
    </row>
    <row r="4249" spans="1:6" ht="16" thickBot="1" x14ac:dyDescent="0.25">
      <c r="A4249" s="83"/>
      <c r="B4249" s="129"/>
      <c r="C4249" s="129"/>
      <c r="D4249" s="83"/>
      <c r="E4249" s="103"/>
      <c r="F4249" s="129"/>
    </row>
    <row r="4250" spans="1:6" ht="16" thickBot="1" x14ac:dyDescent="0.25">
      <c r="A4250" s="83"/>
      <c r="B4250" s="129"/>
      <c r="C4250" s="129"/>
      <c r="D4250" s="83"/>
      <c r="E4250" s="103"/>
      <c r="F4250" s="129"/>
    </row>
    <row r="4251" spans="1:6" ht="16" thickBot="1" x14ac:dyDescent="0.25">
      <c r="A4251" s="83"/>
      <c r="B4251" s="129"/>
      <c r="C4251" s="129"/>
      <c r="D4251" s="83"/>
      <c r="E4251" s="103"/>
      <c r="F4251" s="129"/>
    </row>
    <row r="4252" spans="1:6" ht="16" thickBot="1" x14ac:dyDescent="0.25">
      <c r="A4252" s="83"/>
      <c r="B4252" s="129"/>
      <c r="C4252" s="129"/>
      <c r="D4252" s="83"/>
      <c r="E4252" s="103"/>
      <c r="F4252" s="129"/>
    </row>
    <row r="4253" spans="1:6" ht="16" thickBot="1" x14ac:dyDescent="0.25">
      <c r="A4253" s="83"/>
      <c r="B4253" s="129"/>
      <c r="C4253" s="129"/>
      <c r="D4253" s="83"/>
      <c r="E4253" s="83"/>
      <c r="F4253" s="129"/>
    </row>
    <row r="4254" spans="1:6" ht="16" thickBot="1" x14ac:dyDescent="0.25">
      <c r="A4254" s="83"/>
      <c r="B4254" s="129"/>
      <c r="C4254" s="129"/>
      <c r="D4254" s="83"/>
      <c r="E4254" s="103"/>
      <c r="F4254" s="129"/>
    </row>
    <row r="4255" spans="1:6" ht="16" thickBot="1" x14ac:dyDescent="0.25">
      <c r="A4255" s="83"/>
      <c r="B4255" s="129"/>
      <c r="C4255" s="129"/>
      <c r="D4255" s="83"/>
      <c r="E4255" s="103"/>
      <c r="F4255" s="129"/>
    </row>
    <row r="4256" spans="1:6" ht="16" thickBot="1" x14ac:dyDescent="0.25">
      <c r="A4256" s="83"/>
      <c r="B4256" s="129"/>
      <c r="C4256" s="129"/>
      <c r="D4256" s="83"/>
      <c r="E4256" s="103"/>
      <c r="F4256" s="129"/>
    </row>
    <row r="4257" spans="1:6" ht="16" thickBot="1" x14ac:dyDescent="0.25">
      <c r="A4257" s="83"/>
      <c r="B4257" s="129"/>
      <c r="C4257" s="129"/>
      <c r="D4257" s="83"/>
      <c r="E4257" s="103"/>
      <c r="F4257" s="129"/>
    </row>
    <row r="4258" spans="1:6" ht="16" thickBot="1" x14ac:dyDescent="0.25">
      <c r="A4258" s="83"/>
      <c r="B4258" s="129"/>
      <c r="C4258" s="129"/>
      <c r="D4258" s="83"/>
      <c r="E4258" s="83"/>
      <c r="F4258" s="129"/>
    </row>
    <row r="4259" spans="1:6" ht="16" thickBot="1" x14ac:dyDescent="0.25">
      <c r="A4259" s="83"/>
      <c r="B4259" s="129"/>
      <c r="C4259" s="129"/>
      <c r="D4259" s="83"/>
      <c r="E4259" s="103"/>
      <c r="F4259" s="129"/>
    </row>
    <row r="4260" spans="1:6" ht="16" thickBot="1" x14ac:dyDescent="0.25">
      <c r="A4260" s="83"/>
      <c r="B4260" s="129"/>
      <c r="C4260" s="129"/>
      <c r="D4260" s="83"/>
      <c r="E4260" s="103"/>
      <c r="F4260" s="129"/>
    </row>
    <row r="4261" spans="1:6" ht="16" thickBot="1" x14ac:dyDescent="0.25">
      <c r="A4261" s="83"/>
      <c r="B4261" s="129"/>
      <c r="C4261" s="129"/>
      <c r="D4261" s="83"/>
      <c r="E4261" s="103"/>
      <c r="F4261" s="129"/>
    </row>
    <row r="4262" spans="1:6" ht="16" thickBot="1" x14ac:dyDescent="0.25">
      <c r="A4262" s="83"/>
      <c r="B4262" s="129"/>
      <c r="C4262" s="129"/>
      <c r="D4262" s="83"/>
      <c r="E4262" s="83"/>
      <c r="F4262" s="129"/>
    </row>
    <row r="4263" spans="1:6" ht="16" thickBot="1" x14ac:dyDescent="0.25">
      <c r="A4263" s="83"/>
      <c r="B4263" s="129"/>
      <c r="C4263" s="129"/>
      <c r="D4263" s="83"/>
      <c r="E4263" s="103"/>
      <c r="F4263" s="129"/>
    </row>
    <row r="4264" spans="1:6" ht="16" thickBot="1" x14ac:dyDescent="0.25">
      <c r="A4264" s="83"/>
      <c r="B4264" s="129"/>
      <c r="C4264" s="129"/>
      <c r="D4264" s="83"/>
      <c r="E4264" s="103"/>
      <c r="F4264" s="129"/>
    </row>
    <row r="4265" spans="1:6" ht="16" thickBot="1" x14ac:dyDescent="0.25">
      <c r="A4265" s="83"/>
      <c r="B4265" s="129"/>
      <c r="C4265" s="129"/>
      <c r="D4265" s="83"/>
      <c r="E4265" s="83"/>
      <c r="F4265" s="129"/>
    </row>
    <row r="4266" spans="1:6" ht="16" thickBot="1" x14ac:dyDescent="0.25">
      <c r="A4266" s="83"/>
      <c r="B4266" s="129"/>
      <c r="C4266" s="129"/>
      <c r="D4266" s="83"/>
      <c r="E4266" s="103"/>
      <c r="F4266" s="129"/>
    </row>
    <row r="4267" spans="1:6" ht="16" thickBot="1" x14ac:dyDescent="0.25">
      <c r="A4267" s="83"/>
      <c r="B4267" s="129"/>
      <c r="C4267" s="129"/>
      <c r="D4267" s="83"/>
      <c r="E4267" s="103"/>
      <c r="F4267" s="129"/>
    </row>
    <row r="4268" spans="1:6" ht="16" thickBot="1" x14ac:dyDescent="0.25">
      <c r="A4268" s="83"/>
      <c r="B4268" s="129"/>
      <c r="C4268" s="129"/>
      <c r="D4268" s="83"/>
      <c r="E4268" s="103"/>
      <c r="F4268" s="129"/>
    </row>
    <row r="4269" spans="1:6" ht="16" thickBot="1" x14ac:dyDescent="0.25">
      <c r="A4269" s="83"/>
      <c r="B4269" s="129"/>
      <c r="C4269" s="129"/>
      <c r="D4269" s="83"/>
      <c r="E4269" s="103"/>
      <c r="F4269" s="129"/>
    </row>
    <row r="4270" spans="1:6" ht="16" thickBot="1" x14ac:dyDescent="0.25">
      <c r="A4270" s="83"/>
      <c r="B4270" s="129"/>
      <c r="C4270" s="129"/>
      <c r="D4270" s="83"/>
      <c r="E4270" s="103"/>
      <c r="F4270" s="129"/>
    </row>
    <row r="4271" spans="1:6" ht="16" thickBot="1" x14ac:dyDescent="0.25">
      <c r="A4271" s="83"/>
      <c r="B4271" s="129"/>
      <c r="C4271" s="129"/>
      <c r="D4271" s="83"/>
      <c r="E4271" s="103"/>
      <c r="F4271" s="129"/>
    </row>
    <row r="4272" spans="1:6" ht="16" thickBot="1" x14ac:dyDescent="0.25">
      <c r="A4272" s="83"/>
      <c r="B4272" s="129"/>
      <c r="C4272" s="129"/>
      <c r="D4272" s="83"/>
      <c r="E4272" s="103"/>
      <c r="F4272" s="129"/>
    </row>
    <row r="4273" spans="1:6" ht="16" thickBot="1" x14ac:dyDescent="0.25">
      <c r="A4273" s="83"/>
      <c r="B4273" s="129"/>
      <c r="C4273" s="129"/>
      <c r="D4273" s="83"/>
      <c r="E4273" s="103"/>
      <c r="F4273" s="129"/>
    </row>
    <row r="4274" spans="1:6" ht="16" thickBot="1" x14ac:dyDescent="0.25">
      <c r="A4274" s="83"/>
      <c r="B4274" s="129"/>
      <c r="C4274" s="129"/>
      <c r="D4274" s="83"/>
      <c r="E4274" s="103"/>
      <c r="F4274" s="129"/>
    </row>
    <row r="4275" spans="1:6" ht="16" thickBot="1" x14ac:dyDescent="0.25">
      <c r="A4275" s="83"/>
      <c r="B4275" s="129"/>
      <c r="C4275" s="129"/>
      <c r="D4275" s="83"/>
      <c r="E4275" s="103"/>
      <c r="F4275" s="129"/>
    </row>
    <row r="4276" spans="1:6" ht="16" thickBot="1" x14ac:dyDescent="0.25">
      <c r="A4276" s="83"/>
      <c r="B4276" s="129"/>
      <c r="C4276" s="129"/>
      <c r="D4276" s="83"/>
      <c r="E4276" s="103"/>
      <c r="F4276" s="129"/>
    </row>
    <row r="4277" spans="1:6" ht="16" thickBot="1" x14ac:dyDescent="0.25">
      <c r="A4277" s="83"/>
      <c r="B4277" s="129"/>
      <c r="C4277" s="129"/>
      <c r="D4277" s="83"/>
      <c r="E4277" s="103"/>
      <c r="F4277" s="129"/>
    </row>
    <row r="4278" spans="1:6" ht="16" thickBot="1" x14ac:dyDescent="0.25">
      <c r="A4278" s="83"/>
      <c r="B4278" s="129"/>
      <c r="C4278" s="129"/>
      <c r="D4278" s="83"/>
      <c r="E4278" s="103"/>
      <c r="F4278" s="129"/>
    </row>
    <row r="4279" spans="1:6" ht="16" thickBot="1" x14ac:dyDescent="0.25">
      <c r="A4279" s="83"/>
      <c r="B4279" s="129"/>
      <c r="C4279" s="129"/>
      <c r="D4279" s="83"/>
      <c r="E4279" s="103"/>
      <c r="F4279" s="129"/>
    </row>
    <row r="4280" spans="1:6" ht="16" thickBot="1" x14ac:dyDescent="0.25">
      <c r="A4280" s="83"/>
      <c r="B4280" s="129"/>
      <c r="C4280" s="129"/>
      <c r="D4280" s="83"/>
      <c r="E4280" s="103"/>
      <c r="F4280" s="129"/>
    </row>
    <row r="4281" spans="1:6" ht="16" thickBot="1" x14ac:dyDescent="0.25">
      <c r="A4281" s="83"/>
      <c r="B4281" s="129"/>
      <c r="C4281" s="129"/>
      <c r="D4281" s="83"/>
      <c r="E4281" s="103"/>
      <c r="F4281" s="129"/>
    </row>
    <row r="4282" spans="1:6" ht="16" thickBot="1" x14ac:dyDescent="0.25">
      <c r="A4282" s="83"/>
      <c r="B4282" s="129"/>
      <c r="C4282" s="129"/>
      <c r="D4282" s="83"/>
      <c r="E4282" s="103"/>
      <c r="F4282" s="129"/>
    </row>
    <row r="4283" spans="1:6" ht="16" thickBot="1" x14ac:dyDescent="0.25">
      <c r="A4283" s="83"/>
      <c r="B4283" s="129"/>
      <c r="C4283" s="129"/>
      <c r="D4283" s="83"/>
      <c r="E4283" s="103"/>
      <c r="F4283" s="129"/>
    </row>
    <row r="4284" spans="1:6" ht="16" thickBot="1" x14ac:dyDescent="0.25">
      <c r="A4284" s="83"/>
      <c r="B4284" s="129"/>
      <c r="C4284" s="129"/>
      <c r="D4284" s="83"/>
      <c r="E4284" s="103"/>
      <c r="F4284" s="129"/>
    </row>
    <row r="4285" spans="1:6" ht="16" thickBot="1" x14ac:dyDescent="0.25">
      <c r="A4285" s="83"/>
      <c r="B4285" s="129"/>
      <c r="C4285" s="129"/>
      <c r="D4285" s="83"/>
      <c r="E4285" s="83"/>
      <c r="F4285" s="129"/>
    </row>
    <row r="4286" spans="1:6" ht="16" thickBot="1" x14ac:dyDescent="0.25">
      <c r="A4286" s="83"/>
      <c r="B4286" s="129"/>
      <c r="C4286" s="129"/>
      <c r="D4286" s="83"/>
      <c r="E4286" s="83"/>
      <c r="F4286" s="129"/>
    </row>
    <row r="4287" spans="1:6" ht="16" thickBot="1" x14ac:dyDescent="0.25">
      <c r="A4287" s="83"/>
      <c r="B4287" s="129"/>
      <c r="C4287" s="129"/>
      <c r="D4287" s="83"/>
      <c r="E4287" s="103"/>
      <c r="F4287" s="129"/>
    </row>
    <row r="4288" spans="1:6" ht="16" thickBot="1" x14ac:dyDescent="0.25">
      <c r="A4288" s="83"/>
      <c r="B4288" s="129"/>
      <c r="C4288" s="129"/>
      <c r="D4288" s="83"/>
      <c r="E4288" s="103"/>
      <c r="F4288" s="129"/>
    </row>
    <row r="4289" spans="1:6" ht="16" thickBot="1" x14ac:dyDescent="0.25">
      <c r="A4289" s="83"/>
      <c r="B4289" s="129"/>
      <c r="C4289" s="129"/>
      <c r="D4289" s="83"/>
      <c r="E4289" s="83"/>
      <c r="F4289" s="129"/>
    </row>
    <row r="4290" spans="1:6" ht="16" thickBot="1" x14ac:dyDescent="0.25">
      <c r="A4290" s="83"/>
      <c r="B4290" s="129"/>
      <c r="C4290" s="129"/>
      <c r="D4290" s="83"/>
      <c r="E4290" s="103"/>
      <c r="F4290" s="129"/>
    </row>
    <row r="4291" spans="1:6" ht="16" thickBot="1" x14ac:dyDescent="0.25">
      <c r="A4291" s="83"/>
      <c r="B4291" s="129"/>
      <c r="C4291" s="129"/>
      <c r="D4291" s="83"/>
      <c r="E4291" s="103"/>
      <c r="F4291" s="129"/>
    </row>
    <row r="4292" spans="1:6" ht="16" thickBot="1" x14ac:dyDescent="0.25">
      <c r="A4292" s="83"/>
      <c r="B4292" s="129"/>
      <c r="C4292" s="129"/>
      <c r="D4292" s="83"/>
      <c r="E4292" s="103"/>
      <c r="F4292" s="129"/>
    </row>
    <row r="4293" spans="1:6" ht="16" thickBot="1" x14ac:dyDescent="0.25">
      <c r="A4293" s="83"/>
      <c r="B4293" s="129"/>
      <c r="C4293" s="129"/>
      <c r="D4293" s="83"/>
      <c r="E4293" s="103"/>
      <c r="F4293" s="129"/>
    </row>
    <row r="4294" spans="1:6" ht="16" thickBot="1" x14ac:dyDescent="0.25">
      <c r="A4294" s="83"/>
      <c r="B4294" s="129"/>
      <c r="C4294" s="129"/>
      <c r="D4294" s="83"/>
      <c r="E4294" s="103"/>
      <c r="F4294" s="129"/>
    </row>
    <row r="4295" spans="1:6" ht="16" thickBot="1" x14ac:dyDescent="0.25">
      <c r="A4295" s="83"/>
      <c r="B4295" s="129"/>
      <c r="C4295" s="129"/>
      <c r="D4295" s="83"/>
      <c r="E4295" s="103"/>
      <c r="F4295" s="129"/>
    </row>
    <row r="4296" spans="1:6" ht="16" thickBot="1" x14ac:dyDescent="0.25">
      <c r="A4296" s="83"/>
      <c r="B4296" s="129"/>
      <c r="C4296" s="129"/>
      <c r="D4296" s="83"/>
      <c r="E4296" s="103"/>
      <c r="F4296" s="129"/>
    </row>
    <row r="4297" spans="1:6" ht="16" thickBot="1" x14ac:dyDescent="0.25">
      <c r="A4297" s="83"/>
      <c r="B4297" s="129"/>
      <c r="C4297" s="129"/>
      <c r="D4297" s="83"/>
      <c r="E4297" s="103"/>
      <c r="F4297" s="129"/>
    </row>
    <row r="4298" spans="1:6" ht="16" thickBot="1" x14ac:dyDescent="0.25">
      <c r="A4298" s="83"/>
      <c r="B4298" s="129"/>
      <c r="C4298" s="129"/>
      <c r="D4298" s="83"/>
      <c r="E4298" s="103"/>
      <c r="F4298" s="129"/>
    </row>
    <row r="4299" spans="1:6" ht="16" thickBot="1" x14ac:dyDescent="0.25">
      <c r="A4299" s="83"/>
      <c r="B4299" s="129"/>
      <c r="C4299" s="129"/>
      <c r="D4299" s="83"/>
      <c r="E4299" s="103"/>
      <c r="F4299" s="129"/>
    </row>
    <row r="4300" spans="1:6" ht="16" thickBot="1" x14ac:dyDescent="0.25">
      <c r="A4300" s="83"/>
      <c r="B4300" s="129"/>
      <c r="C4300" s="129"/>
      <c r="D4300" s="83"/>
      <c r="E4300" s="103"/>
      <c r="F4300" s="129"/>
    </row>
    <row r="4301" spans="1:6" ht="16" thickBot="1" x14ac:dyDescent="0.25">
      <c r="A4301" s="83"/>
      <c r="B4301" s="129"/>
      <c r="C4301" s="129"/>
      <c r="D4301" s="83"/>
      <c r="E4301" s="103"/>
      <c r="F4301" s="129"/>
    </row>
    <row r="4302" spans="1:6" ht="16" thickBot="1" x14ac:dyDescent="0.25">
      <c r="A4302" s="83"/>
      <c r="B4302" s="129"/>
      <c r="C4302" s="129"/>
      <c r="D4302" s="83"/>
      <c r="E4302" s="103"/>
      <c r="F4302" s="129"/>
    </row>
    <row r="4303" spans="1:6" ht="16" thickBot="1" x14ac:dyDescent="0.25">
      <c r="A4303" s="83"/>
      <c r="B4303" s="129"/>
      <c r="C4303" s="129"/>
      <c r="D4303" s="83"/>
      <c r="E4303" s="103"/>
      <c r="F4303" s="129"/>
    </row>
    <row r="4304" spans="1:6" ht="16" thickBot="1" x14ac:dyDescent="0.25">
      <c r="A4304" s="83"/>
      <c r="B4304" s="129"/>
      <c r="C4304" s="129"/>
      <c r="D4304" s="83"/>
      <c r="E4304" s="103"/>
      <c r="F4304" s="129"/>
    </row>
    <row r="4305" spans="1:6" ht="16" thickBot="1" x14ac:dyDescent="0.25">
      <c r="A4305" s="83"/>
      <c r="B4305" s="129"/>
      <c r="C4305" s="129"/>
      <c r="D4305" s="83"/>
      <c r="E4305" s="103"/>
      <c r="F4305" s="129"/>
    </row>
    <row r="4306" spans="1:6" ht="16" thickBot="1" x14ac:dyDescent="0.25">
      <c r="A4306" s="83"/>
      <c r="B4306" s="129"/>
      <c r="C4306" s="129"/>
      <c r="D4306" s="83"/>
      <c r="E4306" s="103"/>
      <c r="F4306" s="129"/>
    </row>
    <row r="4307" spans="1:6" ht="16" thickBot="1" x14ac:dyDescent="0.25">
      <c r="A4307" s="83"/>
      <c r="B4307" s="129"/>
      <c r="C4307" s="129"/>
      <c r="D4307" s="83"/>
      <c r="E4307" s="103"/>
      <c r="F4307" s="129"/>
    </row>
    <row r="4308" spans="1:6" ht="16" thickBot="1" x14ac:dyDescent="0.25">
      <c r="A4308" s="83"/>
      <c r="B4308" s="129"/>
      <c r="C4308" s="129"/>
      <c r="D4308" s="83"/>
      <c r="E4308" s="103"/>
      <c r="F4308" s="129"/>
    </row>
    <row r="4309" spans="1:6" ht="16" thickBot="1" x14ac:dyDescent="0.25">
      <c r="A4309" s="83"/>
      <c r="B4309" s="129"/>
      <c r="C4309" s="129"/>
      <c r="D4309" s="83"/>
      <c r="E4309" s="103"/>
      <c r="F4309" s="129"/>
    </row>
    <row r="4310" spans="1:6" ht="16" thickBot="1" x14ac:dyDescent="0.25">
      <c r="A4310" s="83"/>
      <c r="B4310" s="129"/>
      <c r="C4310" s="129"/>
      <c r="D4310" s="83"/>
      <c r="E4310" s="103"/>
      <c r="F4310" s="129"/>
    </row>
    <row r="4311" spans="1:6" ht="16" thickBot="1" x14ac:dyDescent="0.25">
      <c r="A4311" s="83"/>
      <c r="B4311" s="129"/>
      <c r="C4311" s="129"/>
      <c r="D4311" s="83"/>
      <c r="E4311" s="103"/>
      <c r="F4311" s="129"/>
    </row>
    <row r="4312" spans="1:6" ht="16" thickBot="1" x14ac:dyDescent="0.25">
      <c r="A4312" s="83"/>
      <c r="B4312" s="129"/>
      <c r="C4312" s="129"/>
      <c r="D4312" s="83"/>
      <c r="E4312" s="103"/>
      <c r="F4312" s="129"/>
    </row>
    <row r="4313" spans="1:6" ht="16" thickBot="1" x14ac:dyDescent="0.25">
      <c r="A4313" s="83"/>
      <c r="B4313" s="129"/>
      <c r="C4313" s="129"/>
      <c r="D4313" s="83"/>
      <c r="E4313" s="103"/>
      <c r="F4313" s="129"/>
    </row>
    <row r="4314" spans="1:6" ht="16" thickBot="1" x14ac:dyDescent="0.25">
      <c r="A4314" s="83"/>
      <c r="B4314" s="129"/>
      <c r="C4314" s="129"/>
      <c r="D4314" s="83"/>
      <c r="E4314" s="103"/>
      <c r="F4314" s="129"/>
    </row>
    <row r="4315" spans="1:6" ht="16" thickBot="1" x14ac:dyDescent="0.25">
      <c r="A4315" s="83"/>
      <c r="B4315" s="129"/>
      <c r="C4315" s="129"/>
      <c r="D4315" s="83"/>
      <c r="E4315" s="103"/>
      <c r="F4315" s="129"/>
    </row>
    <row r="4316" spans="1:6" ht="16" thickBot="1" x14ac:dyDescent="0.25">
      <c r="A4316" s="83"/>
      <c r="B4316" s="129"/>
      <c r="C4316" s="129"/>
      <c r="D4316" s="83"/>
      <c r="E4316" s="103"/>
      <c r="F4316" s="129"/>
    </row>
    <row r="4317" spans="1:6" ht="16" thickBot="1" x14ac:dyDescent="0.25">
      <c r="A4317" s="83"/>
      <c r="B4317" s="129"/>
      <c r="C4317" s="129"/>
      <c r="D4317" s="83"/>
      <c r="E4317" s="103"/>
      <c r="F4317" s="129"/>
    </row>
    <row r="4318" spans="1:6" ht="16" thickBot="1" x14ac:dyDescent="0.25">
      <c r="A4318" s="83"/>
      <c r="B4318" s="129"/>
      <c r="C4318" s="129"/>
      <c r="D4318" s="83"/>
      <c r="E4318" s="103"/>
      <c r="F4318" s="129"/>
    </row>
    <row r="4319" spans="1:6" ht="16" thickBot="1" x14ac:dyDescent="0.25">
      <c r="A4319" s="83"/>
      <c r="B4319" s="129"/>
      <c r="C4319" s="129"/>
      <c r="D4319" s="83"/>
      <c r="E4319" s="103"/>
      <c r="F4319" s="129"/>
    </row>
    <row r="4320" spans="1:6" ht="16" thickBot="1" x14ac:dyDescent="0.25">
      <c r="A4320" s="83"/>
      <c r="B4320" s="129"/>
      <c r="C4320" s="129"/>
      <c r="D4320" s="83"/>
      <c r="E4320" s="103"/>
      <c r="F4320" s="129"/>
    </row>
    <row r="4321" spans="1:6" ht="16" thickBot="1" x14ac:dyDescent="0.25">
      <c r="A4321" s="83"/>
      <c r="B4321" s="129"/>
      <c r="C4321" s="129"/>
      <c r="D4321" s="83"/>
      <c r="E4321" s="103"/>
      <c r="F4321" s="129"/>
    </row>
    <row r="4322" spans="1:6" ht="16" thickBot="1" x14ac:dyDescent="0.25">
      <c r="A4322" s="83"/>
      <c r="B4322" s="129"/>
      <c r="C4322" s="129"/>
      <c r="D4322" s="83"/>
      <c r="E4322" s="103"/>
      <c r="F4322" s="129"/>
    </row>
    <row r="4323" spans="1:6" ht="16" thickBot="1" x14ac:dyDescent="0.25">
      <c r="A4323" s="83"/>
      <c r="B4323" s="129"/>
      <c r="C4323" s="129"/>
      <c r="D4323" s="83"/>
      <c r="E4323" s="103"/>
      <c r="F4323" s="129"/>
    </row>
    <row r="4324" spans="1:6" ht="16" thickBot="1" x14ac:dyDescent="0.25">
      <c r="A4324" s="83"/>
      <c r="B4324" s="129"/>
      <c r="C4324" s="129"/>
      <c r="D4324" s="83"/>
      <c r="E4324" s="103"/>
      <c r="F4324" s="129"/>
    </row>
    <row r="4325" spans="1:6" ht="16" thickBot="1" x14ac:dyDescent="0.25">
      <c r="A4325" s="83"/>
      <c r="B4325" s="129"/>
      <c r="C4325" s="129"/>
      <c r="D4325" s="83"/>
      <c r="E4325" s="103"/>
      <c r="F4325" s="129"/>
    </row>
    <row r="4326" spans="1:6" ht="16" thickBot="1" x14ac:dyDescent="0.25">
      <c r="A4326" s="83"/>
      <c r="B4326" s="129"/>
      <c r="C4326" s="129"/>
      <c r="D4326" s="83"/>
      <c r="E4326" s="103"/>
      <c r="F4326" s="129"/>
    </row>
    <row r="4327" spans="1:6" ht="16" thickBot="1" x14ac:dyDescent="0.25">
      <c r="A4327" s="83"/>
      <c r="B4327" s="129"/>
      <c r="C4327" s="129"/>
      <c r="D4327" s="83"/>
      <c r="E4327" s="103"/>
      <c r="F4327" s="129"/>
    </row>
    <row r="4328" spans="1:6" ht="16" thickBot="1" x14ac:dyDescent="0.25">
      <c r="A4328" s="83"/>
      <c r="B4328" s="129"/>
      <c r="C4328" s="129"/>
      <c r="D4328" s="83"/>
      <c r="E4328" s="103"/>
      <c r="F4328" s="129"/>
    </row>
    <row r="4329" spans="1:6" ht="16" thickBot="1" x14ac:dyDescent="0.25">
      <c r="A4329" s="83"/>
      <c r="B4329" s="129"/>
      <c r="C4329" s="129"/>
      <c r="D4329" s="83"/>
      <c r="E4329" s="103"/>
      <c r="F4329" s="129"/>
    </row>
    <row r="4330" spans="1:6" ht="16" thickBot="1" x14ac:dyDescent="0.25">
      <c r="A4330" s="83"/>
      <c r="B4330" s="129"/>
      <c r="C4330" s="129"/>
      <c r="D4330" s="83"/>
      <c r="E4330" s="103"/>
      <c r="F4330" s="129"/>
    </row>
    <row r="4331" spans="1:6" ht="16" thickBot="1" x14ac:dyDescent="0.25">
      <c r="A4331" s="83"/>
      <c r="B4331" s="129"/>
      <c r="C4331" s="129"/>
      <c r="D4331" s="83"/>
      <c r="E4331" s="103"/>
      <c r="F4331" s="129"/>
    </row>
    <row r="4332" spans="1:6" ht="16" thickBot="1" x14ac:dyDescent="0.25">
      <c r="A4332" s="83"/>
      <c r="B4332" s="129"/>
      <c r="C4332" s="129"/>
      <c r="D4332" s="83"/>
      <c r="E4332" s="103"/>
      <c r="F4332" s="129"/>
    </row>
    <row r="4333" spans="1:6" ht="16" thickBot="1" x14ac:dyDescent="0.25">
      <c r="A4333" s="83"/>
      <c r="B4333" s="129"/>
      <c r="C4333" s="129"/>
      <c r="D4333" s="83"/>
      <c r="E4333" s="103"/>
      <c r="F4333" s="129"/>
    </row>
    <row r="4334" spans="1:6" ht="16" thickBot="1" x14ac:dyDescent="0.25">
      <c r="A4334" s="83"/>
      <c r="B4334" s="129"/>
      <c r="C4334" s="129"/>
      <c r="D4334" s="83"/>
      <c r="E4334" s="103"/>
      <c r="F4334" s="129"/>
    </row>
    <row r="4335" spans="1:6" ht="16" thickBot="1" x14ac:dyDescent="0.25">
      <c r="A4335" s="83"/>
      <c r="B4335" s="129"/>
      <c r="C4335" s="129"/>
      <c r="D4335" s="83"/>
      <c r="E4335" s="103"/>
      <c r="F4335" s="129"/>
    </row>
    <row r="4336" spans="1:6" ht="16" thickBot="1" x14ac:dyDescent="0.25">
      <c r="A4336" s="83"/>
      <c r="B4336" s="129"/>
      <c r="C4336" s="129"/>
      <c r="D4336" s="83"/>
      <c r="E4336" s="103"/>
      <c r="F4336" s="129"/>
    </row>
    <row r="4337" spans="1:6" ht="16" thickBot="1" x14ac:dyDescent="0.25">
      <c r="A4337" s="83"/>
      <c r="B4337" s="129"/>
      <c r="C4337" s="129"/>
      <c r="D4337" s="83"/>
      <c r="E4337" s="103"/>
      <c r="F4337" s="129"/>
    </row>
    <row r="4338" spans="1:6" ht="16" thickBot="1" x14ac:dyDescent="0.25">
      <c r="A4338" s="83"/>
      <c r="B4338" s="129"/>
      <c r="C4338" s="129"/>
      <c r="D4338" s="83"/>
      <c r="E4338" s="103"/>
      <c r="F4338" s="129"/>
    </row>
    <row r="4339" spans="1:6" ht="16" thickBot="1" x14ac:dyDescent="0.25">
      <c r="A4339" s="83"/>
      <c r="B4339" s="129"/>
      <c r="C4339" s="129"/>
      <c r="D4339" s="83"/>
      <c r="E4339" s="103"/>
      <c r="F4339" s="129"/>
    </row>
    <row r="4340" spans="1:6" ht="16" thickBot="1" x14ac:dyDescent="0.25">
      <c r="A4340" s="83"/>
      <c r="B4340" s="129"/>
      <c r="C4340" s="129"/>
      <c r="D4340" s="83"/>
      <c r="E4340" s="103"/>
      <c r="F4340" s="129"/>
    </row>
    <row r="4341" spans="1:6" ht="16" thickBot="1" x14ac:dyDescent="0.25">
      <c r="A4341" s="83"/>
      <c r="B4341" s="129"/>
      <c r="C4341" s="129"/>
      <c r="D4341" s="83"/>
      <c r="E4341" s="103"/>
      <c r="F4341" s="129"/>
    </row>
    <row r="4342" spans="1:6" ht="16" thickBot="1" x14ac:dyDescent="0.25">
      <c r="A4342" s="83"/>
      <c r="B4342" s="129"/>
      <c r="C4342" s="129"/>
      <c r="D4342" s="83"/>
      <c r="E4342" s="103"/>
      <c r="F4342" s="129"/>
    </row>
    <row r="4343" spans="1:6" ht="16" thickBot="1" x14ac:dyDescent="0.25">
      <c r="A4343" s="83"/>
      <c r="B4343" s="129"/>
      <c r="C4343" s="129"/>
      <c r="D4343" s="83"/>
      <c r="E4343" s="103"/>
      <c r="F4343" s="129"/>
    </row>
    <row r="4344" spans="1:6" ht="16" thickBot="1" x14ac:dyDescent="0.25">
      <c r="A4344" s="83"/>
      <c r="B4344" s="129"/>
      <c r="C4344" s="129"/>
      <c r="D4344" s="83"/>
      <c r="E4344" s="103"/>
      <c r="F4344" s="129"/>
    </row>
    <row r="4345" spans="1:6" ht="16" thickBot="1" x14ac:dyDescent="0.25">
      <c r="A4345" s="83"/>
      <c r="B4345" s="129"/>
      <c r="C4345" s="129"/>
      <c r="D4345" s="83"/>
      <c r="E4345" s="103"/>
      <c r="F4345" s="129"/>
    </row>
    <row r="4346" spans="1:6" ht="16" thickBot="1" x14ac:dyDescent="0.25">
      <c r="A4346" s="83"/>
      <c r="B4346" s="129"/>
      <c r="C4346" s="129"/>
      <c r="D4346" s="83"/>
      <c r="E4346" s="103"/>
      <c r="F4346" s="129"/>
    </row>
    <row r="4347" spans="1:6" ht="16" thickBot="1" x14ac:dyDescent="0.25">
      <c r="A4347" s="83"/>
      <c r="B4347" s="129"/>
      <c r="C4347" s="129"/>
      <c r="D4347" s="83"/>
      <c r="E4347" s="103"/>
      <c r="F4347" s="129"/>
    </row>
    <row r="4348" spans="1:6" ht="16" thickBot="1" x14ac:dyDescent="0.25">
      <c r="A4348" s="83"/>
      <c r="B4348" s="129"/>
      <c r="C4348" s="129"/>
      <c r="D4348" s="83"/>
      <c r="E4348" s="103"/>
      <c r="F4348" s="129"/>
    </row>
    <row r="4349" spans="1:6" ht="16" thickBot="1" x14ac:dyDescent="0.25">
      <c r="A4349" s="83"/>
      <c r="B4349" s="129"/>
      <c r="C4349" s="129"/>
      <c r="D4349" s="83"/>
      <c r="E4349" s="103"/>
      <c r="F4349" s="129"/>
    </row>
    <row r="4350" spans="1:6" ht="16" thickBot="1" x14ac:dyDescent="0.25">
      <c r="A4350" s="83"/>
      <c r="B4350" s="129"/>
      <c r="C4350" s="129"/>
      <c r="D4350" s="83"/>
      <c r="E4350" s="103"/>
      <c r="F4350" s="129"/>
    </row>
    <row r="4351" spans="1:6" ht="16" thickBot="1" x14ac:dyDescent="0.25">
      <c r="A4351" s="83"/>
      <c r="B4351" s="129"/>
      <c r="C4351" s="129"/>
      <c r="D4351" s="83"/>
      <c r="E4351" s="103"/>
      <c r="F4351" s="129"/>
    </row>
    <row r="4352" spans="1:6" ht="16" thickBot="1" x14ac:dyDescent="0.25">
      <c r="A4352" s="83"/>
      <c r="B4352" s="129"/>
      <c r="C4352" s="129"/>
      <c r="D4352" s="83"/>
      <c r="E4352" s="103"/>
      <c r="F4352" s="129"/>
    </row>
    <row r="4353" spans="1:6" ht="16" thickBot="1" x14ac:dyDescent="0.25">
      <c r="A4353" s="83"/>
      <c r="B4353" s="129"/>
      <c r="C4353" s="129"/>
      <c r="D4353" s="83"/>
      <c r="E4353" s="103"/>
      <c r="F4353" s="129"/>
    </row>
    <row r="4354" spans="1:6" ht="16" thickBot="1" x14ac:dyDescent="0.25">
      <c r="A4354" s="83"/>
      <c r="B4354" s="129"/>
      <c r="C4354" s="129"/>
      <c r="D4354" s="83"/>
      <c r="E4354" s="103"/>
      <c r="F4354" s="129"/>
    </row>
    <row r="4355" spans="1:6" ht="16" thickBot="1" x14ac:dyDescent="0.25">
      <c r="A4355" s="83"/>
      <c r="B4355" s="129"/>
      <c r="C4355" s="129"/>
      <c r="D4355" s="83"/>
      <c r="E4355" s="103"/>
      <c r="F4355" s="129"/>
    </row>
    <row r="4356" spans="1:6" ht="16" thickBot="1" x14ac:dyDescent="0.25">
      <c r="A4356" s="83"/>
      <c r="B4356" s="129"/>
      <c r="C4356" s="129"/>
      <c r="D4356" s="83"/>
      <c r="E4356" s="103"/>
      <c r="F4356" s="129"/>
    </row>
    <row r="4357" spans="1:6" ht="16" thickBot="1" x14ac:dyDescent="0.25">
      <c r="A4357" s="83"/>
      <c r="B4357" s="129"/>
      <c r="C4357" s="129"/>
      <c r="D4357" s="83"/>
      <c r="E4357" s="103"/>
      <c r="F4357" s="129"/>
    </row>
    <row r="4358" spans="1:6" ht="16" thickBot="1" x14ac:dyDescent="0.25">
      <c r="A4358" s="83"/>
      <c r="B4358" s="129"/>
      <c r="C4358" s="129"/>
      <c r="D4358" s="83"/>
      <c r="E4358" s="103"/>
      <c r="F4358" s="129"/>
    </row>
    <row r="4359" spans="1:6" ht="16" thickBot="1" x14ac:dyDescent="0.25">
      <c r="A4359" s="83"/>
      <c r="B4359" s="129"/>
      <c r="C4359" s="129"/>
      <c r="D4359" s="83"/>
      <c r="E4359" s="103"/>
      <c r="F4359" s="129"/>
    </row>
    <row r="4360" spans="1:6" ht="16" thickBot="1" x14ac:dyDescent="0.25">
      <c r="A4360" s="83"/>
      <c r="B4360" s="129"/>
      <c r="C4360" s="129"/>
      <c r="D4360" s="83"/>
      <c r="E4360" s="103"/>
      <c r="F4360" s="129"/>
    </row>
    <row r="4361" spans="1:6" ht="16" thickBot="1" x14ac:dyDescent="0.25">
      <c r="A4361" s="83"/>
      <c r="B4361" s="129"/>
      <c r="C4361" s="129"/>
      <c r="D4361" s="83"/>
      <c r="E4361" s="103"/>
      <c r="F4361" s="129"/>
    </row>
    <row r="4362" spans="1:6" ht="16" thickBot="1" x14ac:dyDescent="0.25">
      <c r="A4362" s="83"/>
      <c r="B4362" s="129"/>
      <c r="C4362" s="129"/>
      <c r="D4362" s="83"/>
      <c r="E4362" s="103"/>
      <c r="F4362" s="129"/>
    </row>
    <row r="4363" spans="1:6" ht="16" thickBot="1" x14ac:dyDescent="0.25">
      <c r="A4363" s="83"/>
      <c r="B4363" s="129"/>
      <c r="C4363" s="129"/>
      <c r="D4363" s="83"/>
      <c r="E4363" s="103"/>
      <c r="F4363" s="129"/>
    </row>
    <row r="4364" spans="1:6" ht="16" thickBot="1" x14ac:dyDescent="0.25">
      <c r="A4364" s="83"/>
      <c r="B4364" s="129"/>
      <c r="C4364" s="129"/>
      <c r="D4364" s="83"/>
      <c r="E4364" s="103"/>
      <c r="F4364" s="129"/>
    </row>
    <row r="4365" spans="1:6" ht="16" thickBot="1" x14ac:dyDescent="0.25">
      <c r="A4365" s="83"/>
      <c r="B4365" s="129"/>
      <c r="C4365" s="129"/>
      <c r="D4365" s="83"/>
      <c r="E4365" s="103"/>
      <c r="F4365" s="129"/>
    </row>
    <row r="4366" spans="1:6" ht="16" thickBot="1" x14ac:dyDescent="0.25">
      <c r="A4366" s="83"/>
      <c r="B4366" s="129"/>
      <c r="C4366" s="129"/>
      <c r="D4366" s="83"/>
      <c r="E4366" s="103"/>
      <c r="F4366" s="129"/>
    </row>
    <row r="4367" spans="1:6" ht="16" thickBot="1" x14ac:dyDescent="0.25">
      <c r="A4367" s="83"/>
      <c r="B4367" s="129"/>
      <c r="C4367" s="129"/>
      <c r="D4367" s="83"/>
      <c r="E4367" s="103"/>
      <c r="F4367" s="129"/>
    </row>
    <row r="4368" spans="1:6" ht="16" thickBot="1" x14ac:dyDescent="0.25">
      <c r="A4368" s="83"/>
      <c r="B4368" s="129"/>
      <c r="C4368" s="129"/>
      <c r="D4368" s="83"/>
      <c r="E4368" s="103"/>
      <c r="F4368" s="129"/>
    </row>
    <row r="4369" spans="1:6" ht="16" thickBot="1" x14ac:dyDescent="0.25">
      <c r="A4369" s="83"/>
      <c r="B4369" s="129"/>
      <c r="C4369" s="129"/>
      <c r="D4369" s="83"/>
      <c r="E4369" s="103"/>
      <c r="F4369" s="129"/>
    </row>
    <row r="4370" spans="1:6" ht="16" thickBot="1" x14ac:dyDescent="0.25">
      <c r="A4370" s="83"/>
      <c r="B4370" s="129"/>
      <c r="C4370" s="129"/>
      <c r="D4370" s="83"/>
      <c r="E4370" s="103"/>
      <c r="F4370" s="129"/>
    </row>
    <row r="4371" spans="1:6" ht="16" thickBot="1" x14ac:dyDescent="0.25">
      <c r="A4371" s="83"/>
      <c r="B4371" s="129"/>
      <c r="C4371" s="129"/>
      <c r="D4371" s="83"/>
      <c r="E4371" s="103"/>
      <c r="F4371" s="129"/>
    </row>
    <row r="4372" spans="1:6" ht="16" thickBot="1" x14ac:dyDescent="0.25">
      <c r="A4372" s="83"/>
      <c r="B4372" s="129"/>
      <c r="C4372" s="129"/>
      <c r="D4372" s="83"/>
      <c r="E4372" s="103"/>
      <c r="F4372" s="129"/>
    </row>
    <row r="4373" spans="1:6" ht="16" thickBot="1" x14ac:dyDescent="0.25">
      <c r="A4373" s="83"/>
      <c r="B4373" s="129"/>
      <c r="C4373" s="129"/>
      <c r="D4373" s="83"/>
      <c r="E4373" s="103"/>
      <c r="F4373" s="129"/>
    </row>
    <row r="4374" spans="1:6" ht="16" thickBot="1" x14ac:dyDescent="0.25">
      <c r="A4374" s="83"/>
      <c r="B4374" s="129"/>
      <c r="C4374" s="129"/>
      <c r="D4374" s="83"/>
      <c r="E4374" s="103"/>
      <c r="F4374" s="129"/>
    </row>
    <row r="4375" spans="1:6" ht="16" thickBot="1" x14ac:dyDescent="0.25">
      <c r="A4375" s="83"/>
      <c r="B4375" s="129"/>
      <c r="C4375" s="129"/>
      <c r="D4375" s="83"/>
      <c r="E4375" s="103"/>
      <c r="F4375" s="129"/>
    </row>
    <row r="4376" spans="1:6" ht="16" thickBot="1" x14ac:dyDescent="0.25">
      <c r="A4376" s="83"/>
      <c r="B4376" s="129"/>
      <c r="C4376" s="129"/>
      <c r="D4376" s="83"/>
      <c r="E4376" s="103"/>
      <c r="F4376" s="129"/>
    </row>
    <row r="4377" spans="1:6" ht="16" thickBot="1" x14ac:dyDescent="0.25">
      <c r="A4377" s="83"/>
      <c r="B4377" s="129"/>
      <c r="C4377" s="129"/>
      <c r="D4377" s="83"/>
      <c r="E4377" s="103"/>
      <c r="F4377" s="129"/>
    </row>
    <row r="4378" spans="1:6" ht="16" thickBot="1" x14ac:dyDescent="0.25">
      <c r="A4378" s="83"/>
      <c r="B4378" s="129"/>
      <c r="C4378" s="129"/>
      <c r="D4378" s="83"/>
      <c r="E4378" s="103"/>
      <c r="F4378" s="129"/>
    </row>
    <row r="4379" spans="1:6" ht="16" thickBot="1" x14ac:dyDescent="0.25">
      <c r="A4379" s="83"/>
      <c r="B4379" s="129"/>
      <c r="C4379" s="129"/>
      <c r="D4379" s="83"/>
      <c r="E4379" s="103"/>
      <c r="F4379" s="129"/>
    </row>
    <row r="4380" spans="1:6" ht="16" thickBot="1" x14ac:dyDescent="0.25">
      <c r="A4380" s="83"/>
      <c r="B4380" s="129"/>
      <c r="C4380" s="129"/>
      <c r="D4380" s="83"/>
      <c r="E4380" s="103"/>
      <c r="F4380" s="129"/>
    </row>
    <row r="4381" spans="1:6" ht="16" thickBot="1" x14ac:dyDescent="0.25">
      <c r="A4381" s="83"/>
      <c r="B4381" s="129"/>
      <c r="C4381" s="129"/>
      <c r="D4381" s="83"/>
      <c r="E4381" s="103"/>
      <c r="F4381" s="129"/>
    </row>
    <row r="4382" spans="1:6" ht="16" thickBot="1" x14ac:dyDescent="0.25">
      <c r="A4382" s="83"/>
      <c r="B4382" s="129"/>
      <c r="C4382" s="129"/>
      <c r="D4382" s="83"/>
      <c r="E4382" s="103"/>
      <c r="F4382" s="129"/>
    </row>
    <row r="4383" spans="1:6" ht="16" thickBot="1" x14ac:dyDescent="0.25">
      <c r="A4383" s="83"/>
      <c r="B4383" s="129"/>
      <c r="C4383" s="129"/>
      <c r="D4383" s="83"/>
      <c r="E4383" s="103"/>
      <c r="F4383" s="129"/>
    </row>
    <row r="4384" spans="1:6" ht="16" thickBot="1" x14ac:dyDescent="0.25">
      <c r="A4384" s="83"/>
      <c r="B4384" s="129"/>
      <c r="C4384" s="129"/>
      <c r="D4384" s="83"/>
      <c r="E4384" s="103"/>
      <c r="F4384" s="129"/>
    </row>
    <row r="4385" spans="1:6" ht="16" thickBot="1" x14ac:dyDescent="0.25">
      <c r="A4385" s="83"/>
      <c r="B4385" s="129"/>
      <c r="C4385" s="129"/>
      <c r="D4385" s="83"/>
      <c r="E4385" s="103"/>
      <c r="F4385" s="129"/>
    </row>
    <row r="4386" spans="1:6" ht="16" thickBot="1" x14ac:dyDescent="0.25">
      <c r="A4386" s="83"/>
      <c r="B4386" s="129"/>
      <c r="C4386" s="129"/>
      <c r="D4386" s="83"/>
      <c r="E4386" s="103"/>
      <c r="F4386" s="129"/>
    </row>
    <row r="4387" spans="1:6" ht="16" thickBot="1" x14ac:dyDescent="0.25">
      <c r="A4387" s="83"/>
      <c r="B4387" s="129"/>
      <c r="C4387" s="129"/>
      <c r="D4387" s="83"/>
      <c r="E4387" s="103"/>
      <c r="F4387" s="129"/>
    </row>
    <row r="4388" spans="1:6" ht="16" thickBot="1" x14ac:dyDescent="0.25">
      <c r="A4388" s="83"/>
      <c r="B4388" s="129"/>
      <c r="C4388" s="129"/>
      <c r="D4388" s="83"/>
      <c r="E4388" s="103"/>
      <c r="F4388" s="129"/>
    </row>
    <row r="4389" spans="1:6" ht="16" thickBot="1" x14ac:dyDescent="0.25">
      <c r="A4389" s="83"/>
      <c r="B4389" s="129"/>
      <c r="C4389" s="129"/>
      <c r="D4389" s="83"/>
      <c r="E4389" s="103"/>
      <c r="F4389" s="129"/>
    </row>
    <row r="4390" spans="1:6" ht="16" thickBot="1" x14ac:dyDescent="0.25">
      <c r="A4390" s="83"/>
      <c r="B4390" s="129"/>
      <c r="C4390" s="129"/>
      <c r="D4390" s="83"/>
      <c r="E4390" s="83"/>
      <c r="F4390" s="129"/>
    </row>
    <row r="4391" spans="1:6" ht="16" thickBot="1" x14ac:dyDescent="0.25">
      <c r="A4391" s="83"/>
      <c r="B4391" s="129"/>
      <c r="C4391" s="129"/>
      <c r="D4391" s="83"/>
      <c r="E4391" s="103"/>
      <c r="F4391" s="129"/>
    </row>
    <row r="4392" spans="1:6" ht="16" thickBot="1" x14ac:dyDescent="0.25">
      <c r="A4392" s="83"/>
      <c r="B4392" s="129"/>
      <c r="C4392" s="129"/>
      <c r="D4392" s="83"/>
      <c r="E4392" s="103"/>
      <c r="F4392" s="129"/>
    </row>
    <row r="4393" spans="1:6" ht="16" thickBot="1" x14ac:dyDescent="0.25">
      <c r="A4393" s="83"/>
      <c r="B4393" s="129"/>
      <c r="C4393" s="129"/>
      <c r="D4393" s="83"/>
      <c r="E4393" s="103"/>
      <c r="F4393" s="129"/>
    </row>
    <row r="4394" spans="1:6" ht="16" thickBot="1" x14ac:dyDescent="0.25">
      <c r="A4394" s="83"/>
      <c r="B4394" s="129"/>
      <c r="C4394" s="129"/>
      <c r="D4394" s="83"/>
      <c r="E4394" s="103"/>
      <c r="F4394" s="129"/>
    </row>
    <row r="4395" spans="1:6" ht="16" thickBot="1" x14ac:dyDescent="0.25">
      <c r="A4395" s="83"/>
      <c r="B4395" s="129"/>
      <c r="C4395" s="129"/>
      <c r="D4395" s="83"/>
      <c r="E4395" s="103"/>
      <c r="F4395" s="129"/>
    </row>
    <row r="4396" spans="1:6" ht="16" thickBot="1" x14ac:dyDescent="0.25">
      <c r="A4396" s="83"/>
      <c r="B4396" s="129"/>
      <c r="C4396" s="129"/>
      <c r="D4396" s="83"/>
      <c r="E4396" s="103"/>
      <c r="F4396" s="129"/>
    </row>
    <row r="4397" spans="1:6" ht="16" thickBot="1" x14ac:dyDescent="0.25">
      <c r="A4397" s="83"/>
      <c r="B4397" s="129"/>
      <c r="C4397" s="129"/>
      <c r="D4397" s="83"/>
      <c r="E4397" s="103"/>
      <c r="F4397" s="129"/>
    </row>
    <row r="4398" spans="1:6" ht="16" thickBot="1" x14ac:dyDescent="0.25">
      <c r="A4398" s="83"/>
      <c r="B4398" s="129"/>
      <c r="C4398" s="129"/>
      <c r="D4398" s="83"/>
      <c r="E4398" s="103"/>
      <c r="F4398" s="129"/>
    </row>
    <row r="4399" spans="1:6" ht="16" thickBot="1" x14ac:dyDescent="0.25">
      <c r="A4399" s="83"/>
      <c r="B4399" s="129"/>
      <c r="C4399" s="129"/>
      <c r="D4399" s="83"/>
      <c r="E4399" s="103"/>
      <c r="F4399" s="129"/>
    </row>
    <row r="4400" spans="1:6" ht="16" thickBot="1" x14ac:dyDescent="0.25">
      <c r="A4400" s="83"/>
      <c r="B4400" s="129"/>
      <c r="C4400" s="129"/>
      <c r="D4400" s="83"/>
      <c r="E4400" s="103"/>
      <c r="F4400" s="129"/>
    </row>
    <row r="4401" spans="1:6" ht="16" thickBot="1" x14ac:dyDescent="0.25">
      <c r="A4401" s="83"/>
      <c r="B4401" s="129"/>
      <c r="C4401" s="129"/>
      <c r="D4401" s="83"/>
      <c r="E4401" s="103"/>
      <c r="F4401" s="129"/>
    </row>
    <row r="4402" spans="1:6" ht="16" thickBot="1" x14ac:dyDescent="0.25">
      <c r="A4402" s="83"/>
      <c r="B4402" s="129"/>
      <c r="C4402" s="129"/>
      <c r="D4402" s="83"/>
      <c r="E4402" s="103"/>
      <c r="F4402" s="129"/>
    </row>
    <row r="4403" spans="1:6" ht="16" thickBot="1" x14ac:dyDescent="0.25">
      <c r="A4403" s="83"/>
      <c r="B4403" s="129"/>
      <c r="C4403" s="129"/>
      <c r="D4403" s="83"/>
      <c r="E4403" s="103"/>
      <c r="F4403" s="129"/>
    </row>
    <row r="4404" spans="1:6" ht="16" thickBot="1" x14ac:dyDescent="0.25">
      <c r="A4404" s="83"/>
      <c r="B4404" s="129"/>
      <c r="C4404" s="129"/>
      <c r="D4404" s="83"/>
      <c r="E4404" s="103"/>
      <c r="F4404" s="129"/>
    </row>
    <row r="4405" spans="1:6" ht="16" thickBot="1" x14ac:dyDescent="0.25">
      <c r="A4405" s="83"/>
      <c r="B4405" s="129"/>
      <c r="C4405" s="129"/>
      <c r="D4405" s="83"/>
      <c r="E4405" s="103"/>
      <c r="F4405" s="129"/>
    </row>
    <row r="4406" spans="1:6" ht="16" thickBot="1" x14ac:dyDescent="0.25">
      <c r="A4406" s="83"/>
      <c r="B4406" s="129"/>
      <c r="C4406" s="129"/>
      <c r="D4406" s="83"/>
      <c r="E4406" s="103"/>
      <c r="F4406" s="129"/>
    </row>
    <row r="4407" spans="1:6" ht="16" thickBot="1" x14ac:dyDescent="0.25">
      <c r="A4407" s="83"/>
      <c r="B4407" s="129"/>
      <c r="C4407" s="129"/>
      <c r="D4407" s="83"/>
      <c r="E4407" s="103"/>
      <c r="F4407" s="129"/>
    </row>
    <row r="4408" spans="1:6" ht="16" thickBot="1" x14ac:dyDescent="0.25">
      <c r="A4408" s="83"/>
      <c r="B4408" s="129"/>
      <c r="C4408" s="129"/>
      <c r="D4408" s="83"/>
      <c r="E4408" s="103"/>
      <c r="F4408" s="129"/>
    </row>
    <row r="4409" spans="1:6" ht="16" thickBot="1" x14ac:dyDescent="0.25">
      <c r="A4409" s="83"/>
      <c r="B4409" s="129"/>
      <c r="C4409" s="129"/>
      <c r="D4409" s="83"/>
      <c r="E4409" s="103"/>
      <c r="F4409" s="129"/>
    </row>
    <row r="4410" spans="1:6" ht="16" thickBot="1" x14ac:dyDescent="0.25">
      <c r="A4410" s="83"/>
      <c r="B4410" s="129"/>
      <c r="C4410" s="129"/>
      <c r="D4410" s="83"/>
      <c r="E4410" s="103"/>
      <c r="F4410" s="129"/>
    </row>
    <row r="4411" spans="1:6" ht="16" thickBot="1" x14ac:dyDescent="0.25">
      <c r="A4411" s="83"/>
      <c r="B4411" s="129"/>
      <c r="C4411" s="129"/>
      <c r="D4411" s="83"/>
      <c r="E4411" s="103"/>
      <c r="F4411" s="129"/>
    </row>
    <row r="4412" spans="1:6" ht="16" thickBot="1" x14ac:dyDescent="0.25">
      <c r="A4412" s="83"/>
      <c r="B4412" s="129"/>
      <c r="C4412" s="129"/>
      <c r="D4412" s="83"/>
      <c r="E4412" s="103"/>
      <c r="F4412" s="129"/>
    </row>
    <row r="4413" spans="1:6" ht="16" thickBot="1" x14ac:dyDescent="0.25">
      <c r="A4413" s="83"/>
      <c r="B4413" s="129"/>
      <c r="C4413" s="129"/>
      <c r="D4413" s="83"/>
      <c r="E4413" s="103"/>
      <c r="F4413" s="129"/>
    </row>
    <row r="4414" spans="1:6" ht="16" thickBot="1" x14ac:dyDescent="0.25">
      <c r="A4414" s="83"/>
      <c r="B4414" s="129"/>
      <c r="C4414" s="129"/>
      <c r="D4414" s="83"/>
      <c r="E4414" s="103"/>
      <c r="F4414" s="129"/>
    </row>
    <row r="4415" spans="1:6" ht="16" thickBot="1" x14ac:dyDescent="0.25">
      <c r="A4415" s="83"/>
      <c r="B4415" s="129"/>
      <c r="C4415" s="129"/>
      <c r="D4415" s="83"/>
      <c r="E4415" s="103"/>
      <c r="F4415" s="129"/>
    </row>
    <row r="4416" spans="1:6" ht="16" thickBot="1" x14ac:dyDescent="0.25">
      <c r="A4416" s="83"/>
      <c r="B4416" s="129"/>
      <c r="C4416" s="129"/>
      <c r="D4416" s="83"/>
      <c r="E4416" s="103"/>
      <c r="F4416" s="129"/>
    </row>
    <row r="4417" spans="1:6" ht="16" thickBot="1" x14ac:dyDescent="0.25">
      <c r="A4417" s="83"/>
      <c r="B4417" s="129"/>
      <c r="C4417" s="129"/>
      <c r="D4417" s="83"/>
      <c r="E4417" s="103"/>
      <c r="F4417" s="129"/>
    </row>
    <row r="4418" spans="1:6" ht="16" thickBot="1" x14ac:dyDescent="0.25">
      <c r="A4418" s="83"/>
      <c r="B4418" s="129"/>
      <c r="C4418" s="129"/>
      <c r="D4418" s="83"/>
      <c r="E4418" s="103"/>
      <c r="F4418" s="129"/>
    </row>
    <row r="4419" spans="1:6" ht="16" thickBot="1" x14ac:dyDescent="0.25">
      <c r="A4419" s="83"/>
      <c r="B4419" s="129"/>
      <c r="C4419" s="129"/>
      <c r="D4419" s="83"/>
      <c r="E4419" s="103"/>
      <c r="F4419" s="129"/>
    </row>
    <row r="4420" spans="1:6" ht="16" thickBot="1" x14ac:dyDescent="0.25">
      <c r="A4420" s="83"/>
      <c r="B4420" s="129"/>
      <c r="C4420" s="129"/>
      <c r="D4420" s="83"/>
      <c r="E4420" s="103"/>
      <c r="F4420" s="129"/>
    </row>
    <row r="4421" spans="1:6" ht="16" thickBot="1" x14ac:dyDescent="0.25">
      <c r="A4421" s="83"/>
      <c r="B4421" s="129"/>
      <c r="C4421" s="129"/>
      <c r="D4421" s="83"/>
      <c r="E4421" s="103"/>
      <c r="F4421" s="129"/>
    </row>
    <row r="4422" spans="1:6" ht="16" thickBot="1" x14ac:dyDescent="0.25">
      <c r="A4422" s="83"/>
      <c r="B4422" s="129"/>
      <c r="C4422" s="129"/>
      <c r="D4422" s="83"/>
      <c r="E4422" s="103"/>
      <c r="F4422" s="129"/>
    </row>
    <row r="4423" spans="1:6" ht="16" thickBot="1" x14ac:dyDescent="0.25">
      <c r="A4423" s="83"/>
      <c r="B4423" s="129"/>
      <c r="C4423" s="129"/>
      <c r="D4423" s="83"/>
      <c r="E4423" s="103"/>
      <c r="F4423" s="129"/>
    </row>
    <row r="4424" spans="1:6" ht="16" thickBot="1" x14ac:dyDescent="0.25">
      <c r="A4424" s="83"/>
      <c r="B4424" s="129"/>
      <c r="C4424" s="129"/>
      <c r="D4424" s="83"/>
      <c r="E4424" s="103"/>
      <c r="F4424" s="129"/>
    </row>
    <row r="4425" spans="1:6" ht="16" thickBot="1" x14ac:dyDescent="0.25">
      <c r="A4425" s="83"/>
      <c r="B4425" s="129"/>
      <c r="C4425" s="129"/>
      <c r="D4425" s="83"/>
      <c r="E4425" s="103"/>
      <c r="F4425" s="129"/>
    </row>
    <row r="4426" spans="1:6" ht="16" thickBot="1" x14ac:dyDescent="0.25">
      <c r="A4426" s="83"/>
      <c r="B4426" s="129"/>
      <c r="C4426" s="129"/>
      <c r="D4426" s="83"/>
      <c r="E4426" s="103"/>
      <c r="F4426" s="129"/>
    </row>
    <row r="4427" spans="1:6" ht="16" thickBot="1" x14ac:dyDescent="0.25">
      <c r="A4427" s="83"/>
      <c r="B4427" s="129"/>
      <c r="C4427" s="129"/>
      <c r="D4427" s="83"/>
      <c r="E4427" s="103"/>
      <c r="F4427" s="129"/>
    </row>
    <row r="4428" spans="1:6" ht="16" thickBot="1" x14ac:dyDescent="0.25">
      <c r="A4428" s="83"/>
      <c r="B4428" s="129"/>
      <c r="C4428" s="129"/>
      <c r="D4428" s="83"/>
      <c r="E4428" s="103"/>
      <c r="F4428" s="129"/>
    </row>
    <row r="4429" spans="1:6" ht="16" thickBot="1" x14ac:dyDescent="0.25">
      <c r="A4429" s="83"/>
      <c r="B4429" s="129"/>
      <c r="C4429" s="129"/>
      <c r="D4429" s="83"/>
      <c r="E4429" s="103"/>
      <c r="F4429" s="129"/>
    </row>
    <row r="4430" spans="1:6" ht="16" thickBot="1" x14ac:dyDescent="0.25">
      <c r="A4430" s="83"/>
      <c r="B4430" s="129"/>
      <c r="C4430" s="129"/>
      <c r="D4430" s="83"/>
      <c r="E4430" s="103"/>
      <c r="F4430" s="129"/>
    </row>
    <row r="4431" spans="1:6" ht="16" thickBot="1" x14ac:dyDescent="0.25">
      <c r="A4431" s="83"/>
      <c r="B4431" s="129"/>
      <c r="C4431" s="129"/>
      <c r="D4431" s="83"/>
      <c r="E4431" s="103"/>
      <c r="F4431" s="129"/>
    </row>
    <row r="4432" spans="1:6" ht="16" thickBot="1" x14ac:dyDescent="0.25">
      <c r="A4432" s="83"/>
      <c r="B4432" s="129"/>
      <c r="C4432" s="129"/>
      <c r="D4432" s="83"/>
      <c r="E4432" s="103"/>
      <c r="F4432" s="129"/>
    </row>
    <row r="4433" spans="1:6" ht="16" thickBot="1" x14ac:dyDescent="0.25">
      <c r="A4433" s="83"/>
      <c r="B4433" s="129"/>
      <c r="C4433" s="129"/>
      <c r="D4433" s="83"/>
      <c r="E4433" s="103"/>
      <c r="F4433" s="129"/>
    </row>
    <row r="4434" spans="1:6" ht="16" thickBot="1" x14ac:dyDescent="0.25">
      <c r="A4434" s="83"/>
      <c r="B4434" s="129"/>
      <c r="C4434" s="129"/>
      <c r="D4434" s="83"/>
      <c r="E4434" s="103"/>
      <c r="F4434" s="129"/>
    </row>
    <row r="4435" spans="1:6" ht="16" thickBot="1" x14ac:dyDescent="0.25">
      <c r="A4435" s="83"/>
      <c r="B4435" s="129"/>
      <c r="C4435" s="129"/>
      <c r="D4435" s="83"/>
      <c r="E4435" s="103"/>
      <c r="F4435" s="129"/>
    </row>
    <row r="4436" spans="1:6" ht="16" thickBot="1" x14ac:dyDescent="0.25">
      <c r="A4436" s="83"/>
      <c r="B4436" s="129"/>
      <c r="C4436" s="129"/>
      <c r="D4436" s="83"/>
      <c r="E4436" s="103"/>
      <c r="F4436" s="129"/>
    </row>
    <row r="4437" spans="1:6" ht="16" thickBot="1" x14ac:dyDescent="0.25">
      <c r="A4437" s="83"/>
      <c r="B4437" s="129"/>
      <c r="C4437" s="129"/>
      <c r="D4437" s="83"/>
      <c r="E4437" s="103"/>
      <c r="F4437" s="129"/>
    </row>
    <row r="4438" spans="1:6" ht="16" thickBot="1" x14ac:dyDescent="0.25">
      <c r="A4438" s="83"/>
      <c r="B4438" s="129"/>
      <c r="C4438" s="129"/>
      <c r="D4438" s="83"/>
      <c r="E4438" s="103"/>
      <c r="F4438" s="129"/>
    </row>
    <row r="4439" spans="1:6" ht="16" thickBot="1" x14ac:dyDescent="0.25">
      <c r="A4439" s="83"/>
      <c r="B4439" s="129"/>
      <c r="C4439" s="129"/>
      <c r="D4439" s="83"/>
      <c r="E4439" s="103"/>
      <c r="F4439" s="129"/>
    </row>
    <row r="4440" spans="1:6" ht="16" thickBot="1" x14ac:dyDescent="0.25">
      <c r="A4440" s="83"/>
      <c r="B4440" s="129"/>
      <c r="C4440" s="129"/>
      <c r="D4440" s="83"/>
      <c r="E4440" s="103"/>
      <c r="F4440" s="129"/>
    </row>
    <row r="4441" spans="1:6" ht="16" thickBot="1" x14ac:dyDescent="0.25">
      <c r="A4441" s="83"/>
      <c r="B4441" s="129"/>
      <c r="C4441" s="129"/>
      <c r="D4441" s="83"/>
      <c r="E4441" s="103"/>
      <c r="F4441" s="129"/>
    </row>
    <row r="4442" spans="1:6" ht="16" thickBot="1" x14ac:dyDescent="0.25">
      <c r="A4442" s="83"/>
      <c r="B4442" s="129"/>
      <c r="C4442" s="129"/>
      <c r="D4442" s="83"/>
      <c r="E4442" s="103"/>
      <c r="F4442" s="129"/>
    </row>
    <row r="4443" spans="1:6" ht="16" thickBot="1" x14ac:dyDescent="0.25">
      <c r="A4443" s="83"/>
      <c r="B4443" s="129"/>
      <c r="C4443" s="129"/>
      <c r="D4443" s="83"/>
      <c r="E4443" s="103"/>
      <c r="F4443" s="129"/>
    </row>
    <row r="4444" spans="1:6" ht="16" thickBot="1" x14ac:dyDescent="0.25">
      <c r="A4444" s="83"/>
      <c r="B4444" s="129"/>
      <c r="C4444" s="129"/>
      <c r="D4444" s="83"/>
      <c r="E4444" s="103"/>
      <c r="F4444" s="129"/>
    </row>
    <row r="4445" spans="1:6" ht="16" thickBot="1" x14ac:dyDescent="0.25">
      <c r="A4445" s="83"/>
      <c r="B4445" s="129"/>
      <c r="C4445" s="129"/>
      <c r="D4445" s="83"/>
      <c r="E4445" s="103"/>
      <c r="F4445" s="129"/>
    </row>
    <row r="4446" spans="1:6" ht="16" thickBot="1" x14ac:dyDescent="0.25">
      <c r="A4446" s="83"/>
      <c r="B4446" s="129"/>
      <c r="C4446" s="129"/>
      <c r="D4446" s="83"/>
      <c r="E4446" s="103"/>
      <c r="F4446" s="129"/>
    </row>
    <row r="4447" spans="1:6" ht="16" thickBot="1" x14ac:dyDescent="0.25">
      <c r="A4447" s="83"/>
      <c r="B4447" s="129"/>
      <c r="C4447" s="129"/>
      <c r="D4447" s="83"/>
      <c r="E4447" s="103"/>
      <c r="F4447" s="129"/>
    </row>
    <row r="4448" spans="1:6" ht="16" thickBot="1" x14ac:dyDescent="0.25">
      <c r="A4448" s="83"/>
      <c r="B4448" s="129"/>
      <c r="C4448" s="129"/>
      <c r="D4448" s="83"/>
      <c r="E4448" s="103"/>
      <c r="F4448" s="129"/>
    </row>
    <row r="4449" spans="1:6" ht="16" thickBot="1" x14ac:dyDescent="0.25">
      <c r="A4449" s="83"/>
      <c r="B4449" s="129"/>
      <c r="C4449" s="129"/>
      <c r="D4449" s="83"/>
      <c r="E4449" s="103"/>
      <c r="F4449" s="129"/>
    </row>
    <row r="4450" spans="1:6" ht="16" thickBot="1" x14ac:dyDescent="0.25">
      <c r="A4450" s="83"/>
      <c r="B4450" s="129"/>
      <c r="C4450" s="129"/>
      <c r="D4450" s="83"/>
      <c r="E4450" s="103"/>
      <c r="F4450" s="129"/>
    </row>
    <row r="4451" spans="1:6" ht="16" thickBot="1" x14ac:dyDescent="0.25">
      <c r="A4451" s="83"/>
      <c r="B4451" s="129"/>
      <c r="C4451" s="129"/>
      <c r="D4451" s="83"/>
      <c r="E4451" s="103"/>
      <c r="F4451" s="129"/>
    </row>
    <row r="4452" spans="1:6" ht="16" thickBot="1" x14ac:dyDescent="0.25">
      <c r="A4452" s="83"/>
      <c r="B4452" s="129"/>
      <c r="C4452" s="129"/>
      <c r="D4452" s="83"/>
      <c r="E4452" s="103"/>
      <c r="F4452" s="129"/>
    </row>
    <row r="4453" spans="1:6" ht="16" thickBot="1" x14ac:dyDescent="0.25">
      <c r="A4453" s="83"/>
      <c r="B4453" s="129"/>
      <c r="C4453" s="129"/>
      <c r="D4453" s="83"/>
      <c r="E4453" s="103"/>
      <c r="F4453" s="129"/>
    </row>
    <row r="4454" spans="1:6" ht="16" thickBot="1" x14ac:dyDescent="0.25">
      <c r="A4454" s="83"/>
      <c r="B4454" s="129"/>
      <c r="C4454" s="129"/>
      <c r="D4454" s="83"/>
      <c r="E4454" s="103"/>
      <c r="F4454" s="129"/>
    </row>
    <row r="4455" spans="1:6" ht="16" thickBot="1" x14ac:dyDescent="0.25">
      <c r="A4455" s="83"/>
      <c r="B4455" s="129"/>
      <c r="C4455" s="129"/>
      <c r="D4455" s="83"/>
      <c r="E4455" s="103"/>
      <c r="F4455" s="129"/>
    </row>
    <row r="4456" spans="1:6" ht="16" thickBot="1" x14ac:dyDescent="0.25">
      <c r="A4456" s="83"/>
      <c r="B4456" s="129"/>
      <c r="C4456" s="129"/>
      <c r="D4456" s="83"/>
      <c r="E4456" s="103"/>
      <c r="F4456" s="129"/>
    </row>
    <row r="4457" spans="1:6" ht="16" thickBot="1" x14ac:dyDescent="0.25">
      <c r="A4457" s="83"/>
      <c r="B4457" s="129"/>
      <c r="C4457" s="129"/>
      <c r="D4457" s="83"/>
      <c r="E4457" s="103"/>
      <c r="F4457" s="129"/>
    </row>
    <row r="4458" spans="1:6" ht="16" thickBot="1" x14ac:dyDescent="0.25">
      <c r="A4458" s="83"/>
      <c r="B4458" s="129"/>
      <c r="C4458" s="129"/>
      <c r="D4458" s="83"/>
      <c r="E4458" s="103"/>
      <c r="F4458" s="129"/>
    </row>
    <row r="4459" spans="1:6" ht="16" thickBot="1" x14ac:dyDescent="0.25">
      <c r="A4459" s="83"/>
      <c r="B4459" s="129"/>
      <c r="C4459" s="129"/>
      <c r="D4459" s="83"/>
      <c r="E4459" s="103"/>
      <c r="F4459" s="129"/>
    </row>
    <row r="4460" spans="1:6" ht="16" thickBot="1" x14ac:dyDescent="0.25">
      <c r="A4460" s="83"/>
      <c r="B4460" s="129"/>
      <c r="C4460" s="129"/>
      <c r="D4460" s="83"/>
      <c r="E4460" s="103"/>
      <c r="F4460" s="129"/>
    </row>
    <row r="4461" spans="1:6" ht="16" thickBot="1" x14ac:dyDescent="0.25">
      <c r="A4461" s="83"/>
      <c r="B4461" s="129"/>
      <c r="C4461" s="129"/>
      <c r="D4461" s="83"/>
      <c r="E4461" s="103"/>
      <c r="F4461" s="129"/>
    </row>
    <row r="4462" spans="1:6" ht="16" thickBot="1" x14ac:dyDescent="0.25">
      <c r="A4462" s="83"/>
      <c r="B4462" s="129"/>
      <c r="C4462" s="129"/>
      <c r="D4462" s="83"/>
      <c r="E4462" s="103"/>
      <c r="F4462" s="129"/>
    </row>
    <row r="4463" spans="1:6" ht="16" thickBot="1" x14ac:dyDescent="0.25">
      <c r="A4463" s="83"/>
      <c r="B4463" s="129"/>
      <c r="C4463" s="129"/>
      <c r="D4463" s="83"/>
      <c r="E4463" s="103"/>
      <c r="F4463" s="129"/>
    </row>
    <row r="4464" spans="1:6" ht="16" thickBot="1" x14ac:dyDescent="0.25">
      <c r="A4464" s="83"/>
      <c r="B4464" s="129"/>
      <c r="C4464" s="129"/>
      <c r="D4464" s="83"/>
      <c r="E4464" s="103"/>
      <c r="F4464" s="129"/>
    </row>
    <row r="4465" spans="1:6" ht="16" thickBot="1" x14ac:dyDescent="0.25">
      <c r="A4465" s="83"/>
      <c r="B4465" s="129"/>
      <c r="C4465" s="129"/>
      <c r="D4465" s="83"/>
      <c r="E4465" s="103"/>
      <c r="F4465" s="129"/>
    </row>
    <row r="4466" spans="1:6" ht="16" thickBot="1" x14ac:dyDescent="0.25">
      <c r="A4466" s="83"/>
      <c r="B4466" s="129"/>
      <c r="C4466" s="129"/>
      <c r="D4466" s="83"/>
      <c r="E4466" s="103"/>
      <c r="F4466" s="129"/>
    </row>
    <row r="4467" spans="1:6" ht="16" thickBot="1" x14ac:dyDescent="0.25">
      <c r="A4467" s="83"/>
      <c r="B4467" s="129"/>
      <c r="C4467" s="129"/>
      <c r="D4467" s="83"/>
      <c r="E4467" s="103"/>
      <c r="F4467" s="129"/>
    </row>
    <row r="4468" spans="1:6" ht="16" thickBot="1" x14ac:dyDescent="0.25">
      <c r="A4468" s="83"/>
      <c r="B4468" s="129"/>
      <c r="C4468" s="129"/>
      <c r="D4468" s="83"/>
      <c r="E4468" s="103"/>
      <c r="F4468" s="129"/>
    </row>
    <row r="4469" spans="1:6" ht="16" thickBot="1" x14ac:dyDescent="0.25">
      <c r="A4469" s="83"/>
      <c r="B4469" s="129"/>
      <c r="C4469" s="129"/>
      <c r="D4469" s="83"/>
      <c r="E4469" s="103"/>
      <c r="F4469" s="129"/>
    </row>
    <row r="4470" spans="1:6" ht="16" thickBot="1" x14ac:dyDescent="0.25">
      <c r="A4470" s="83"/>
      <c r="B4470" s="129"/>
      <c r="C4470" s="129"/>
      <c r="D4470" s="83"/>
      <c r="E4470" s="103"/>
      <c r="F4470" s="129"/>
    </row>
    <row r="4471" spans="1:6" ht="16" thickBot="1" x14ac:dyDescent="0.25">
      <c r="A4471" s="83"/>
      <c r="B4471" s="129"/>
      <c r="C4471" s="129"/>
      <c r="D4471" s="83"/>
      <c r="E4471" s="103"/>
      <c r="F4471" s="129"/>
    </row>
    <row r="4472" spans="1:6" ht="16" thickBot="1" x14ac:dyDescent="0.25">
      <c r="A4472" s="83"/>
      <c r="B4472" s="129"/>
      <c r="C4472" s="129"/>
      <c r="D4472" s="83"/>
      <c r="E4472" s="103"/>
      <c r="F4472" s="129"/>
    </row>
    <row r="4473" spans="1:6" ht="16" thickBot="1" x14ac:dyDescent="0.25">
      <c r="A4473" s="83"/>
      <c r="B4473" s="129"/>
      <c r="C4473" s="129"/>
      <c r="D4473" s="83"/>
      <c r="E4473" s="103"/>
      <c r="F4473" s="129"/>
    </row>
    <row r="4474" spans="1:6" ht="16" thickBot="1" x14ac:dyDescent="0.25">
      <c r="A4474" s="83"/>
      <c r="B4474" s="129"/>
      <c r="C4474" s="129"/>
      <c r="D4474" s="83"/>
      <c r="E4474" s="103"/>
      <c r="F4474" s="129"/>
    </row>
    <row r="4475" spans="1:6" ht="16" thickBot="1" x14ac:dyDescent="0.25">
      <c r="A4475" s="83"/>
      <c r="B4475" s="129"/>
      <c r="C4475" s="129"/>
      <c r="D4475" s="83"/>
      <c r="E4475" s="103"/>
      <c r="F4475" s="129"/>
    </row>
    <row r="4476" spans="1:6" ht="16" thickBot="1" x14ac:dyDescent="0.25">
      <c r="A4476" s="83"/>
      <c r="B4476" s="129"/>
      <c r="C4476" s="129"/>
      <c r="D4476" s="83"/>
      <c r="E4476" s="103"/>
      <c r="F4476" s="129"/>
    </row>
    <row r="4477" spans="1:6" ht="16" thickBot="1" x14ac:dyDescent="0.25">
      <c r="A4477" s="83"/>
      <c r="B4477" s="129"/>
      <c r="C4477" s="129"/>
      <c r="D4477" s="83"/>
      <c r="E4477" s="103"/>
      <c r="F4477" s="129"/>
    </row>
    <row r="4478" spans="1:6" ht="16" thickBot="1" x14ac:dyDescent="0.25">
      <c r="A4478" s="83"/>
      <c r="B4478" s="129"/>
      <c r="C4478" s="129"/>
      <c r="D4478" s="83"/>
      <c r="E4478" s="103"/>
      <c r="F4478" s="129"/>
    </row>
    <row r="4479" spans="1:6" ht="16" thickBot="1" x14ac:dyDescent="0.25">
      <c r="A4479" s="83"/>
      <c r="B4479" s="129"/>
      <c r="C4479" s="129"/>
      <c r="D4479" s="83"/>
      <c r="E4479" s="103"/>
      <c r="F4479" s="129"/>
    </row>
    <row r="4480" spans="1:6" ht="16" thickBot="1" x14ac:dyDescent="0.25">
      <c r="A4480" s="83"/>
      <c r="B4480" s="129"/>
      <c r="C4480" s="129"/>
      <c r="D4480" s="83"/>
      <c r="E4480" s="103"/>
      <c r="F4480" s="129"/>
    </row>
    <row r="4481" spans="1:6" ht="16" thickBot="1" x14ac:dyDescent="0.25">
      <c r="A4481" s="83"/>
      <c r="B4481" s="129"/>
      <c r="C4481" s="129"/>
      <c r="D4481" s="83"/>
      <c r="E4481" s="103"/>
      <c r="F4481" s="129"/>
    </row>
    <row r="4482" spans="1:6" ht="16" thickBot="1" x14ac:dyDescent="0.25">
      <c r="A4482" s="83"/>
      <c r="B4482" s="129"/>
      <c r="C4482" s="129"/>
      <c r="D4482" s="83"/>
      <c r="E4482" s="103"/>
      <c r="F4482" s="129"/>
    </row>
    <row r="4483" spans="1:6" ht="16" thickBot="1" x14ac:dyDescent="0.25">
      <c r="A4483" s="83"/>
      <c r="B4483" s="129"/>
      <c r="C4483" s="129"/>
      <c r="D4483" s="83"/>
      <c r="E4483" s="103"/>
      <c r="F4483" s="129"/>
    </row>
    <row r="4484" spans="1:6" ht="16" thickBot="1" x14ac:dyDescent="0.25">
      <c r="A4484" s="83"/>
      <c r="B4484" s="129"/>
      <c r="C4484" s="129"/>
      <c r="D4484" s="83"/>
      <c r="E4484" s="103"/>
      <c r="F4484" s="129"/>
    </row>
    <row r="4485" spans="1:6" ht="16" thickBot="1" x14ac:dyDescent="0.25">
      <c r="A4485" s="83"/>
      <c r="B4485" s="129"/>
      <c r="C4485" s="129"/>
      <c r="D4485" s="83"/>
      <c r="E4485" s="103"/>
      <c r="F4485" s="129"/>
    </row>
    <row r="4486" spans="1:6" ht="16" thickBot="1" x14ac:dyDescent="0.25">
      <c r="A4486" s="83"/>
      <c r="B4486" s="129"/>
      <c r="C4486" s="129"/>
      <c r="D4486" s="83"/>
      <c r="E4486" s="103"/>
      <c r="F4486" s="129"/>
    </row>
    <row r="4487" spans="1:6" ht="16" thickBot="1" x14ac:dyDescent="0.25">
      <c r="A4487" s="83"/>
      <c r="B4487" s="129"/>
      <c r="C4487" s="129"/>
      <c r="D4487" s="83"/>
      <c r="E4487" s="103"/>
      <c r="F4487" s="129"/>
    </row>
    <row r="4488" spans="1:6" ht="16" thickBot="1" x14ac:dyDescent="0.25">
      <c r="A4488" s="83"/>
      <c r="B4488" s="129"/>
      <c r="C4488" s="129"/>
      <c r="D4488" s="83"/>
      <c r="E4488" s="103"/>
      <c r="F4488" s="129"/>
    </row>
    <row r="4489" spans="1:6" ht="16" thickBot="1" x14ac:dyDescent="0.25">
      <c r="A4489" s="83"/>
      <c r="B4489" s="129"/>
      <c r="C4489" s="129"/>
      <c r="D4489" s="83"/>
      <c r="E4489" s="103"/>
      <c r="F4489" s="129"/>
    </row>
    <row r="4490" spans="1:6" ht="16" thickBot="1" x14ac:dyDescent="0.25">
      <c r="A4490" s="83"/>
      <c r="B4490" s="129"/>
      <c r="C4490" s="129"/>
      <c r="D4490" s="83"/>
      <c r="E4490" s="103"/>
      <c r="F4490" s="129"/>
    </row>
    <row r="4491" spans="1:6" ht="16" thickBot="1" x14ac:dyDescent="0.25">
      <c r="A4491" s="83"/>
      <c r="B4491" s="129"/>
      <c r="C4491" s="129"/>
      <c r="D4491" s="83"/>
      <c r="E4491" s="103"/>
      <c r="F4491" s="129"/>
    </row>
    <row r="4492" spans="1:6" ht="16" thickBot="1" x14ac:dyDescent="0.25">
      <c r="A4492" s="83"/>
      <c r="B4492" s="129"/>
      <c r="C4492" s="129"/>
      <c r="D4492" s="83"/>
      <c r="E4492" s="103"/>
      <c r="F4492" s="129"/>
    </row>
    <row r="4493" spans="1:6" ht="16" thickBot="1" x14ac:dyDescent="0.25">
      <c r="A4493" s="83"/>
      <c r="B4493" s="129"/>
      <c r="C4493" s="129"/>
      <c r="D4493" s="83"/>
      <c r="E4493" s="103"/>
      <c r="F4493" s="129"/>
    </row>
    <row r="4494" spans="1:6" ht="16" thickBot="1" x14ac:dyDescent="0.25">
      <c r="A4494" s="83"/>
      <c r="B4494" s="129"/>
      <c r="C4494" s="129"/>
      <c r="D4494" s="83"/>
      <c r="E4494" s="103"/>
      <c r="F4494" s="129"/>
    </row>
    <row r="4495" spans="1:6" ht="16" thickBot="1" x14ac:dyDescent="0.25">
      <c r="A4495" s="83"/>
      <c r="B4495" s="129"/>
      <c r="C4495" s="129"/>
      <c r="D4495" s="83"/>
      <c r="E4495" s="103"/>
      <c r="F4495" s="129"/>
    </row>
    <row r="4496" spans="1:6" ht="16" thickBot="1" x14ac:dyDescent="0.25">
      <c r="A4496" s="83"/>
      <c r="B4496" s="129"/>
      <c r="C4496" s="129"/>
      <c r="D4496" s="83"/>
      <c r="E4496" s="103"/>
      <c r="F4496" s="129"/>
    </row>
    <row r="4497" spans="1:6" ht="16" thickBot="1" x14ac:dyDescent="0.25">
      <c r="A4497" s="83"/>
      <c r="B4497" s="129"/>
      <c r="C4497" s="129"/>
      <c r="D4497" s="83"/>
      <c r="E4497" s="103"/>
      <c r="F4497" s="129"/>
    </row>
    <row r="4498" spans="1:6" ht="16" thickBot="1" x14ac:dyDescent="0.25">
      <c r="A4498" s="83"/>
      <c r="B4498" s="129"/>
      <c r="C4498" s="129"/>
      <c r="D4498" s="83"/>
      <c r="E4498" s="103"/>
      <c r="F4498" s="129"/>
    </row>
    <row r="4499" spans="1:6" ht="16" thickBot="1" x14ac:dyDescent="0.25">
      <c r="A4499" s="83"/>
      <c r="B4499" s="129"/>
      <c r="C4499" s="129"/>
      <c r="D4499" s="83"/>
      <c r="E4499" s="103"/>
      <c r="F4499" s="129"/>
    </row>
    <row r="4500" spans="1:6" ht="16" thickBot="1" x14ac:dyDescent="0.25">
      <c r="A4500" s="83"/>
      <c r="B4500" s="129"/>
      <c r="C4500" s="129"/>
      <c r="D4500" s="83"/>
      <c r="E4500" s="103"/>
      <c r="F4500" s="129"/>
    </row>
    <row r="4501" spans="1:6" ht="16" thickBot="1" x14ac:dyDescent="0.25">
      <c r="A4501" s="83"/>
      <c r="B4501" s="129"/>
      <c r="C4501" s="129"/>
      <c r="D4501" s="83"/>
      <c r="E4501" s="103"/>
      <c r="F4501" s="129"/>
    </row>
    <row r="4502" spans="1:6" ht="16" thickBot="1" x14ac:dyDescent="0.25">
      <c r="A4502" s="83"/>
      <c r="B4502" s="129"/>
      <c r="C4502" s="129"/>
      <c r="D4502" s="83"/>
      <c r="E4502" s="103"/>
      <c r="F4502" s="129"/>
    </row>
    <row r="4503" spans="1:6" ht="16" thickBot="1" x14ac:dyDescent="0.25">
      <c r="A4503" s="83"/>
      <c r="B4503" s="129"/>
      <c r="C4503" s="129"/>
      <c r="D4503" s="83"/>
      <c r="E4503" s="103"/>
      <c r="F4503" s="129"/>
    </row>
    <row r="4504" spans="1:6" ht="16" thickBot="1" x14ac:dyDescent="0.25">
      <c r="A4504" s="83"/>
      <c r="B4504" s="129"/>
      <c r="C4504" s="129"/>
      <c r="D4504" s="83"/>
      <c r="E4504" s="103"/>
      <c r="F4504" s="129"/>
    </row>
    <row r="4505" spans="1:6" ht="16" thickBot="1" x14ac:dyDescent="0.25">
      <c r="A4505" s="83"/>
      <c r="B4505" s="129"/>
      <c r="C4505" s="129"/>
      <c r="D4505" s="83"/>
      <c r="E4505" s="103"/>
      <c r="F4505" s="129"/>
    </row>
    <row r="4506" spans="1:6" ht="16" thickBot="1" x14ac:dyDescent="0.25">
      <c r="A4506" s="83"/>
      <c r="B4506" s="129"/>
      <c r="C4506" s="129"/>
      <c r="D4506" s="83"/>
      <c r="E4506" s="103"/>
      <c r="F4506" s="129"/>
    </row>
    <row r="4507" spans="1:6" ht="16" thickBot="1" x14ac:dyDescent="0.25">
      <c r="A4507" s="83"/>
      <c r="B4507" s="129"/>
      <c r="C4507" s="129"/>
      <c r="D4507" s="83"/>
      <c r="E4507" s="103"/>
      <c r="F4507" s="129"/>
    </row>
    <row r="4508" spans="1:6" ht="16" thickBot="1" x14ac:dyDescent="0.25">
      <c r="A4508" s="83"/>
      <c r="B4508" s="129"/>
      <c r="C4508" s="129"/>
      <c r="D4508" s="83"/>
      <c r="E4508" s="103"/>
      <c r="F4508" s="129"/>
    </row>
    <row r="4509" spans="1:6" ht="16" thickBot="1" x14ac:dyDescent="0.25">
      <c r="A4509" s="83"/>
      <c r="B4509" s="129"/>
      <c r="C4509" s="129"/>
      <c r="D4509" s="83"/>
      <c r="E4509" s="103"/>
      <c r="F4509" s="129"/>
    </row>
    <row r="4510" spans="1:6" ht="16" thickBot="1" x14ac:dyDescent="0.25">
      <c r="A4510" s="83"/>
      <c r="B4510" s="129"/>
      <c r="C4510" s="129"/>
      <c r="D4510" s="83"/>
      <c r="E4510" s="103"/>
      <c r="F4510" s="129"/>
    </row>
    <row r="4511" spans="1:6" ht="16" thickBot="1" x14ac:dyDescent="0.25">
      <c r="A4511" s="83"/>
      <c r="B4511" s="129"/>
      <c r="C4511" s="129"/>
      <c r="D4511" s="83"/>
      <c r="E4511" s="103"/>
      <c r="F4511" s="129"/>
    </row>
    <row r="4512" spans="1:6" ht="16" thickBot="1" x14ac:dyDescent="0.25">
      <c r="A4512" s="83"/>
      <c r="B4512" s="129"/>
      <c r="C4512" s="129"/>
      <c r="D4512" s="83"/>
      <c r="E4512" s="103"/>
      <c r="F4512" s="129"/>
    </row>
    <row r="4513" spans="1:6" ht="16" thickBot="1" x14ac:dyDescent="0.25">
      <c r="A4513" s="83"/>
      <c r="B4513" s="129"/>
      <c r="C4513" s="129"/>
      <c r="D4513" s="83"/>
      <c r="E4513" s="103"/>
      <c r="F4513" s="129"/>
    </row>
    <row r="4514" spans="1:6" ht="16" thickBot="1" x14ac:dyDescent="0.25">
      <c r="A4514" s="83"/>
      <c r="B4514" s="129"/>
      <c r="C4514" s="129"/>
      <c r="D4514" s="83"/>
      <c r="E4514" s="103"/>
      <c r="F4514" s="129"/>
    </row>
    <row r="4515" spans="1:6" ht="16" thickBot="1" x14ac:dyDescent="0.25">
      <c r="A4515" s="83"/>
      <c r="B4515" s="129"/>
      <c r="C4515" s="129"/>
      <c r="D4515" s="83"/>
      <c r="E4515" s="103"/>
      <c r="F4515" s="129"/>
    </row>
    <row r="4516" spans="1:6" ht="16" thickBot="1" x14ac:dyDescent="0.25">
      <c r="A4516" s="83"/>
      <c r="B4516" s="129"/>
      <c r="C4516" s="129"/>
      <c r="D4516" s="83"/>
      <c r="E4516" s="103"/>
      <c r="F4516" s="129"/>
    </row>
    <row r="4517" spans="1:6" ht="16" thickBot="1" x14ac:dyDescent="0.25">
      <c r="A4517" s="83"/>
      <c r="B4517" s="129"/>
      <c r="C4517" s="129"/>
      <c r="D4517" s="83"/>
      <c r="E4517" s="103"/>
      <c r="F4517" s="129"/>
    </row>
    <row r="4518" spans="1:6" ht="16" thickBot="1" x14ac:dyDescent="0.25">
      <c r="A4518" s="83"/>
      <c r="B4518" s="129"/>
      <c r="C4518" s="129"/>
      <c r="D4518" s="83"/>
      <c r="E4518" s="103"/>
      <c r="F4518" s="129"/>
    </row>
    <row r="4519" spans="1:6" ht="16" thickBot="1" x14ac:dyDescent="0.25">
      <c r="A4519" s="83"/>
      <c r="B4519" s="129"/>
      <c r="C4519" s="129"/>
      <c r="D4519" s="83"/>
      <c r="E4519" s="103"/>
      <c r="F4519" s="129"/>
    </row>
    <row r="4520" spans="1:6" ht="16" thickBot="1" x14ac:dyDescent="0.25">
      <c r="A4520" s="83"/>
      <c r="B4520" s="129"/>
      <c r="C4520" s="129"/>
      <c r="D4520" s="83"/>
      <c r="E4520" s="103"/>
      <c r="F4520" s="129"/>
    </row>
    <row r="4521" spans="1:6" ht="16" thickBot="1" x14ac:dyDescent="0.25">
      <c r="A4521" s="83"/>
      <c r="B4521" s="129"/>
      <c r="C4521" s="129"/>
      <c r="D4521" s="83"/>
      <c r="E4521" s="103"/>
      <c r="F4521" s="129"/>
    </row>
    <row r="4522" spans="1:6" ht="16" thickBot="1" x14ac:dyDescent="0.25">
      <c r="A4522" s="83"/>
      <c r="B4522" s="129"/>
      <c r="C4522" s="129"/>
      <c r="D4522" s="83"/>
      <c r="E4522" s="103"/>
      <c r="F4522" s="129"/>
    </row>
    <row r="4523" spans="1:6" ht="16" thickBot="1" x14ac:dyDescent="0.25">
      <c r="A4523" s="83"/>
      <c r="B4523" s="129"/>
      <c r="C4523" s="129"/>
      <c r="D4523" s="83"/>
      <c r="E4523" s="103"/>
      <c r="F4523" s="129"/>
    </row>
    <row r="4524" spans="1:6" ht="16" thickBot="1" x14ac:dyDescent="0.25">
      <c r="A4524" s="83"/>
      <c r="B4524" s="129"/>
      <c r="C4524" s="129"/>
      <c r="D4524" s="83"/>
      <c r="E4524" s="103"/>
      <c r="F4524" s="129"/>
    </row>
    <row r="4525" spans="1:6" ht="16" thickBot="1" x14ac:dyDescent="0.25">
      <c r="A4525" s="83"/>
      <c r="B4525" s="129"/>
      <c r="C4525" s="129"/>
      <c r="D4525" s="83"/>
      <c r="E4525" s="103"/>
      <c r="F4525" s="129"/>
    </row>
    <row r="4526" spans="1:6" ht="16" thickBot="1" x14ac:dyDescent="0.25">
      <c r="A4526" s="83"/>
      <c r="B4526" s="129"/>
      <c r="C4526" s="129"/>
      <c r="D4526" s="83"/>
      <c r="E4526" s="103"/>
      <c r="F4526" s="129"/>
    </row>
    <row r="4527" spans="1:6" ht="16" thickBot="1" x14ac:dyDescent="0.25">
      <c r="A4527" s="83"/>
      <c r="B4527" s="129"/>
      <c r="C4527" s="129"/>
      <c r="D4527" s="83"/>
      <c r="E4527" s="103"/>
      <c r="F4527" s="129"/>
    </row>
    <row r="4528" spans="1:6" ht="16" thickBot="1" x14ac:dyDescent="0.25">
      <c r="A4528" s="83"/>
      <c r="B4528" s="129"/>
      <c r="C4528" s="129"/>
      <c r="D4528" s="83"/>
      <c r="E4528" s="103"/>
      <c r="F4528" s="129"/>
    </row>
    <row r="4529" spans="1:6" ht="16" thickBot="1" x14ac:dyDescent="0.25">
      <c r="A4529" s="83"/>
      <c r="B4529" s="129"/>
      <c r="C4529" s="129"/>
      <c r="D4529" s="83"/>
      <c r="E4529" s="103"/>
      <c r="F4529" s="129"/>
    </row>
    <row r="4530" spans="1:6" ht="16" thickBot="1" x14ac:dyDescent="0.25">
      <c r="A4530" s="83"/>
      <c r="B4530" s="129"/>
      <c r="C4530" s="129"/>
      <c r="D4530" s="83"/>
      <c r="E4530" s="103"/>
      <c r="F4530" s="129"/>
    </row>
    <row r="4531" spans="1:6" ht="16" thickBot="1" x14ac:dyDescent="0.25">
      <c r="A4531" s="83"/>
      <c r="B4531" s="129"/>
      <c r="C4531" s="129"/>
      <c r="D4531" s="83"/>
      <c r="E4531" s="103"/>
      <c r="F4531" s="129"/>
    </row>
    <row r="4532" spans="1:6" ht="16" thickBot="1" x14ac:dyDescent="0.25">
      <c r="A4532" s="83"/>
      <c r="B4532" s="129"/>
      <c r="C4532" s="129"/>
      <c r="D4532" s="83"/>
      <c r="E4532" s="103"/>
      <c r="F4532" s="129"/>
    </row>
    <row r="4533" spans="1:6" ht="16" thickBot="1" x14ac:dyDescent="0.25">
      <c r="A4533" s="83"/>
      <c r="B4533" s="129"/>
      <c r="C4533" s="129"/>
      <c r="D4533" s="83"/>
      <c r="E4533" s="103"/>
      <c r="F4533" s="129"/>
    </row>
    <row r="4534" spans="1:6" ht="16" thickBot="1" x14ac:dyDescent="0.25">
      <c r="A4534" s="83"/>
      <c r="B4534" s="129"/>
      <c r="C4534" s="129"/>
      <c r="D4534" s="83"/>
      <c r="E4534" s="103"/>
      <c r="F4534" s="129"/>
    </row>
    <row r="4535" spans="1:6" ht="16" thickBot="1" x14ac:dyDescent="0.25">
      <c r="A4535" s="83"/>
      <c r="B4535" s="129"/>
      <c r="C4535" s="129"/>
      <c r="D4535" s="83"/>
      <c r="E4535" s="103"/>
      <c r="F4535" s="129"/>
    </row>
    <row r="4536" spans="1:6" ht="16" thickBot="1" x14ac:dyDescent="0.25">
      <c r="A4536" s="83"/>
      <c r="B4536" s="129"/>
      <c r="C4536" s="129"/>
      <c r="D4536" s="83"/>
      <c r="E4536" s="103"/>
      <c r="F4536" s="129"/>
    </row>
    <row r="4537" spans="1:6" ht="16" thickBot="1" x14ac:dyDescent="0.25">
      <c r="A4537" s="83"/>
      <c r="B4537" s="129"/>
      <c r="C4537" s="129"/>
      <c r="D4537" s="83"/>
      <c r="E4537" s="103"/>
      <c r="F4537" s="129"/>
    </row>
    <row r="4538" spans="1:6" ht="16" thickBot="1" x14ac:dyDescent="0.25">
      <c r="A4538" s="83"/>
      <c r="B4538" s="129"/>
      <c r="C4538" s="129"/>
      <c r="D4538" s="83"/>
      <c r="E4538" s="103"/>
      <c r="F4538" s="129"/>
    </row>
    <row r="4539" spans="1:6" ht="16" thickBot="1" x14ac:dyDescent="0.25">
      <c r="A4539" s="83"/>
      <c r="B4539" s="129"/>
      <c r="C4539" s="129"/>
      <c r="D4539" s="83"/>
      <c r="E4539" s="103"/>
      <c r="F4539" s="129"/>
    </row>
    <row r="4540" spans="1:6" ht="16" thickBot="1" x14ac:dyDescent="0.25">
      <c r="A4540" s="83"/>
      <c r="B4540" s="129"/>
      <c r="C4540" s="129"/>
      <c r="D4540" s="83"/>
      <c r="E4540" s="103"/>
      <c r="F4540" s="129"/>
    </row>
    <row r="4541" spans="1:6" ht="16" thickBot="1" x14ac:dyDescent="0.25">
      <c r="A4541" s="83"/>
      <c r="B4541" s="129"/>
      <c r="C4541" s="129"/>
      <c r="D4541" s="83"/>
      <c r="E4541" s="103"/>
      <c r="F4541" s="129"/>
    </row>
    <row r="4542" spans="1:6" ht="16" thickBot="1" x14ac:dyDescent="0.25">
      <c r="A4542" s="83"/>
      <c r="B4542" s="129"/>
      <c r="C4542" s="129"/>
      <c r="D4542" s="83"/>
      <c r="E4542" s="103"/>
      <c r="F4542" s="129"/>
    </row>
    <row r="4543" spans="1:6" ht="16" thickBot="1" x14ac:dyDescent="0.25">
      <c r="A4543" s="83"/>
      <c r="B4543" s="129"/>
      <c r="C4543" s="129"/>
      <c r="D4543" s="83"/>
      <c r="E4543" s="103"/>
      <c r="F4543" s="129"/>
    </row>
    <row r="4544" spans="1:6" ht="16" thickBot="1" x14ac:dyDescent="0.25">
      <c r="A4544" s="83"/>
      <c r="B4544" s="129"/>
      <c r="C4544" s="129"/>
      <c r="D4544" s="83"/>
      <c r="E4544" s="103"/>
      <c r="F4544" s="129"/>
    </row>
    <row r="4545" spans="1:6" ht="16" thickBot="1" x14ac:dyDescent="0.25">
      <c r="A4545" s="83"/>
      <c r="B4545" s="129"/>
      <c r="C4545" s="129"/>
      <c r="D4545" s="83"/>
      <c r="E4545" s="103"/>
      <c r="F4545" s="129"/>
    </row>
    <row r="4546" spans="1:6" ht="16" thickBot="1" x14ac:dyDescent="0.25">
      <c r="A4546" s="83"/>
      <c r="B4546" s="129"/>
      <c r="C4546" s="129"/>
      <c r="D4546" s="83"/>
      <c r="E4546" s="103"/>
      <c r="F4546" s="129"/>
    </row>
    <row r="4547" spans="1:6" ht="16" thickBot="1" x14ac:dyDescent="0.25">
      <c r="A4547" s="83"/>
      <c r="B4547" s="129"/>
      <c r="C4547" s="129"/>
      <c r="D4547" s="83"/>
      <c r="E4547" s="103"/>
      <c r="F4547" s="129"/>
    </row>
    <row r="4548" spans="1:6" ht="16" thickBot="1" x14ac:dyDescent="0.25">
      <c r="A4548" s="83"/>
      <c r="B4548" s="129"/>
      <c r="C4548" s="129"/>
      <c r="D4548" s="83"/>
      <c r="E4548" s="103"/>
      <c r="F4548" s="129"/>
    </row>
    <row r="4549" spans="1:6" ht="16" thickBot="1" x14ac:dyDescent="0.25">
      <c r="A4549" s="83"/>
      <c r="B4549" s="129"/>
      <c r="C4549" s="129"/>
      <c r="D4549" s="83"/>
      <c r="E4549" s="103"/>
      <c r="F4549" s="129"/>
    </row>
    <row r="4550" spans="1:6" ht="16" thickBot="1" x14ac:dyDescent="0.25">
      <c r="A4550" s="83"/>
      <c r="B4550" s="129"/>
      <c r="C4550" s="129"/>
      <c r="D4550" s="83"/>
      <c r="E4550" s="103"/>
      <c r="F4550" s="129"/>
    </row>
    <row r="4551" spans="1:6" ht="16" thickBot="1" x14ac:dyDescent="0.25">
      <c r="A4551" s="83"/>
      <c r="B4551" s="129"/>
      <c r="C4551" s="129"/>
      <c r="D4551" s="83"/>
      <c r="E4551" s="103"/>
      <c r="F4551" s="129"/>
    </row>
    <row r="4552" spans="1:6" ht="16" thickBot="1" x14ac:dyDescent="0.25">
      <c r="A4552" s="83"/>
      <c r="B4552" s="129"/>
      <c r="C4552" s="129"/>
      <c r="D4552" s="83"/>
      <c r="E4552" s="103"/>
      <c r="F4552" s="129"/>
    </row>
    <row r="4553" spans="1:6" ht="16" thickBot="1" x14ac:dyDescent="0.25">
      <c r="A4553" s="83"/>
      <c r="B4553" s="129"/>
      <c r="C4553" s="129"/>
      <c r="D4553" s="83"/>
      <c r="E4553" s="103"/>
      <c r="F4553" s="129"/>
    </row>
    <row r="4554" spans="1:6" ht="16" thickBot="1" x14ac:dyDescent="0.25">
      <c r="A4554" s="83"/>
      <c r="B4554" s="129"/>
      <c r="C4554" s="129"/>
      <c r="D4554" s="83"/>
      <c r="E4554" s="103"/>
      <c r="F4554" s="129"/>
    </row>
    <row r="4555" spans="1:6" ht="16" thickBot="1" x14ac:dyDescent="0.25">
      <c r="A4555" s="83"/>
      <c r="B4555" s="129"/>
      <c r="C4555" s="129"/>
      <c r="D4555" s="83"/>
      <c r="E4555" s="103"/>
      <c r="F4555" s="129"/>
    </row>
    <row r="4556" spans="1:6" ht="16" thickBot="1" x14ac:dyDescent="0.25">
      <c r="A4556" s="83"/>
      <c r="B4556" s="129"/>
      <c r="C4556" s="129"/>
      <c r="D4556" s="83"/>
      <c r="E4556" s="103"/>
      <c r="F4556" s="129"/>
    </row>
    <row r="4557" spans="1:6" ht="16" thickBot="1" x14ac:dyDescent="0.25">
      <c r="A4557" s="83"/>
      <c r="B4557" s="129"/>
      <c r="C4557" s="129"/>
      <c r="D4557" s="83"/>
      <c r="E4557" s="103"/>
      <c r="F4557" s="129"/>
    </row>
    <row r="4558" spans="1:6" ht="16" thickBot="1" x14ac:dyDescent="0.25">
      <c r="A4558" s="83"/>
      <c r="B4558" s="129"/>
      <c r="C4558" s="129"/>
      <c r="D4558" s="83"/>
      <c r="E4558" s="103"/>
      <c r="F4558" s="129"/>
    </row>
    <row r="4559" spans="1:6" ht="16" thickBot="1" x14ac:dyDescent="0.25">
      <c r="A4559" s="83"/>
      <c r="B4559" s="129"/>
      <c r="C4559" s="129"/>
      <c r="D4559" s="83"/>
      <c r="E4559" s="103"/>
      <c r="F4559" s="129"/>
    </row>
    <row r="4560" spans="1:6" ht="16" thickBot="1" x14ac:dyDescent="0.25">
      <c r="A4560" s="83"/>
      <c r="B4560" s="129"/>
      <c r="C4560" s="129"/>
      <c r="D4560" s="83"/>
      <c r="E4560" s="103"/>
      <c r="F4560" s="129"/>
    </row>
    <row r="4561" spans="1:6" ht="16" thickBot="1" x14ac:dyDescent="0.25">
      <c r="A4561" s="83"/>
      <c r="B4561" s="129"/>
      <c r="C4561" s="129"/>
      <c r="D4561" s="83"/>
      <c r="E4561" s="103"/>
      <c r="F4561" s="129"/>
    </row>
    <row r="4562" spans="1:6" ht="16" thickBot="1" x14ac:dyDescent="0.25">
      <c r="A4562" s="83"/>
      <c r="B4562" s="129"/>
      <c r="C4562" s="129"/>
      <c r="D4562" s="83"/>
      <c r="E4562" s="103"/>
      <c r="F4562" s="129"/>
    </row>
    <row r="4563" spans="1:6" ht="16" thickBot="1" x14ac:dyDescent="0.25">
      <c r="A4563" s="83"/>
      <c r="B4563" s="129"/>
      <c r="C4563" s="129"/>
      <c r="D4563" s="83"/>
      <c r="E4563" s="103"/>
      <c r="F4563" s="129"/>
    </row>
    <row r="4564" spans="1:6" ht="16" thickBot="1" x14ac:dyDescent="0.25">
      <c r="A4564" s="83"/>
      <c r="B4564" s="129"/>
      <c r="C4564" s="129"/>
      <c r="D4564" s="83"/>
      <c r="E4564" s="103"/>
      <c r="F4564" s="129"/>
    </row>
    <row r="4565" spans="1:6" ht="16" thickBot="1" x14ac:dyDescent="0.25">
      <c r="A4565" s="83"/>
      <c r="B4565" s="129"/>
      <c r="C4565" s="129"/>
      <c r="D4565" s="83"/>
      <c r="E4565" s="103"/>
      <c r="F4565" s="129"/>
    </row>
    <row r="4566" spans="1:6" ht="16" thickBot="1" x14ac:dyDescent="0.25">
      <c r="A4566" s="83"/>
      <c r="B4566" s="129"/>
      <c r="C4566" s="129"/>
      <c r="D4566" s="83"/>
      <c r="E4566" s="103"/>
      <c r="F4566" s="129"/>
    </row>
    <row r="4567" spans="1:6" ht="16" thickBot="1" x14ac:dyDescent="0.25">
      <c r="A4567" s="83"/>
      <c r="B4567" s="129"/>
      <c r="C4567" s="129"/>
      <c r="D4567" s="83"/>
      <c r="E4567" s="103"/>
      <c r="F4567" s="129"/>
    </row>
    <row r="4568" spans="1:6" ht="16" thickBot="1" x14ac:dyDescent="0.25">
      <c r="A4568" s="83"/>
      <c r="B4568" s="129"/>
      <c r="C4568" s="129"/>
      <c r="D4568" s="83"/>
      <c r="E4568" s="103"/>
      <c r="F4568" s="129"/>
    </row>
    <row r="4569" spans="1:6" ht="16" thickBot="1" x14ac:dyDescent="0.25">
      <c r="A4569" s="83"/>
      <c r="B4569" s="129"/>
      <c r="C4569" s="129"/>
      <c r="D4569" s="83"/>
      <c r="E4569" s="103"/>
      <c r="F4569" s="129"/>
    </row>
    <row r="4570" spans="1:6" ht="16" thickBot="1" x14ac:dyDescent="0.25">
      <c r="A4570" s="83"/>
      <c r="B4570" s="129"/>
      <c r="C4570" s="129"/>
      <c r="D4570" s="83"/>
      <c r="E4570" s="103"/>
      <c r="F4570" s="129"/>
    </row>
    <row r="4571" spans="1:6" ht="16" thickBot="1" x14ac:dyDescent="0.25">
      <c r="A4571" s="83"/>
      <c r="B4571" s="129"/>
      <c r="C4571" s="129"/>
      <c r="D4571" s="83"/>
      <c r="E4571" s="103"/>
      <c r="F4571" s="129"/>
    </row>
    <row r="4572" spans="1:6" ht="16" thickBot="1" x14ac:dyDescent="0.25">
      <c r="A4572" s="83"/>
      <c r="B4572" s="129"/>
      <c r="C4572" s="129"/>
      <c r="D4572" s="83"/>
      <c r="E4572" s="103"/>
      <c r="F4572" s="129"/>
    </row>
    <row r="4573" spans="1:6" ht="16" thickBot="1" x14ac:dyDescent="0.25">
      <c r="A4573" s="83"/>
      <c r="B4573" s="129"/>
      <c r="C4573" s="129"/>
      <c r="D4573" s="83"/>
      <c r="E4573" s="103"/>
      <c r="F4573" s="129"/>
    </row>
    <row r="4574" spans="1:6" ht="16" thickBot="1" x14ac:dyDescent="0.25">
      <c r="A4574" s="83"/>
      <c r="B4574" s="129"/>
      <c r="C4574" s="129"/>
      <c r="D4574" s="83"/>
      <c r="E4574" s="103"/>
      <c r="F4574" s="129"/>
    </row>
    <row r="4575" spans="1:6" ht="16" thickBot="1" x14ac:dyDescent="0.25">
      <c r="A4575" s="83"/>
      <c r="B4575" s="129"/>
      <c r="C4575" s="129"/>
      <c r="D4575" s="83"/>
      <c r="E4575" s="103"/>
      <c r="F4575" s="129"/>
    </row>
    <row r="4576" spans="1:6" ht="16" thickBot="1" x14ac:dyDescent="0.25">
      <c r="A4576" s="83"/>
      <c r="B4576" s="129"/>
      <c r="C4576" s="129"/>
      <c r="D4576" s="83"/>
      <c r="E4576" s="103"/>
      <c r="F4576" s="129"/>
    </row>
    <row r="4577" spans="1:6" ht="16" thickBot="1" x14ac:dyDescent="0.25">
      <c r="A4577" s="83"/>
      <c r="B4577" s="129"/>
      <c r="C4577" s="129"/>
      <c r="D4577" s="83"/>
      <c r="E4577" s="103"/>
      <c r="F4577" s="129"/>
    </row>
    <row r="4578" spans="1:6" ht="16" thickBot="1" x14ac:dyDescent="0.25">
      <c r="A4578" s="83"/>
      <c r="B4578" s="129"/>
      <c r="C4578" s="129"/>
      <c r="D4578" s="83"/>
      <c r="E4578" s="103"/>
      <c r="F4578" s="129"/>
    </row>
    <row r="4579" spans="1:6" ht="16" thickBot="1" x14ac:dyDescent="0.25">
      <c r="A4579" s="83"/>
      <c r="B4579" s="129"/>
      <c r="C4579" s="129"/>
      <c r="D4579" s="83"/>
      <c r="E4579" s="103"/>
      <c r="F4579" s="129"/>
    </row>
    <row r="4580" spans="1:6" ht="16" thickBot="1" x14ac:dyDescent="0.25">
      <c r="A4580" s="83"/>
      <c r="B4580" s="129"/>
      <c r="C4580" s="129"/>
      <c r="D4580" s="83"/>
      <c r="E4580" s="103"/>
      <c r="F4580" s="129"/>
    </row>
    <row r="4581" spans="1:6" ht="16" thickBot="1" x14ac:dyDescent="0.25">
      <c r="A4581" s="83"/>
      <c r="B4581" s="129"/>
      <c r="C4581" s="129"/>
      <c r="D4581" s="83"/>
      <c r="E4581" s="103"/>
      <c r="F4581" s="129"/>
    </row>
    <row r="4582" spans="1:6" ht="16" thickBot="1" x14ac:dyDescent="0.25">
      <c r="A4582" s="83"/>
      <c r="B4582" s="129"/>
      <c r="C4582" s="129"/>
      <c r="D4582" s="83"/>
      <c r="E4582" s="103"/>
      <c r="F4582" s="129"/>
    </row>
    <row r="4583" spans="1:6" ht="16" thickBot="1" x14ac:dyDescent="0.25">
      <c r="A4583" s="83"/>
      <c r="B4583" s="129"/>
      <c r="C4583" s="129"/>
      <c r="D4583" s="83"/>
      <c r="E4583" s="103"/>
      <c r="F4583" s="129"/>
    </row>
    <row r="4584" spans="1:6" ht="16" thickBot="1" x14ac:dyDescent="0.25">
      <c r="A4584" s="83"/>
      <c r="B4584" s="129"/>
      <c r="C4584" s="129"/>
      <c r="D4584" s="83"/>
      <c r="E4584" s="103"/>
      <c r="F4584" s="129"/>
    </row>
    <row r="4585" spans="1:6" ht="16" thickBot="1" x14ac:dyDescent="0.25">
      <c r="A4585" s="83"/>
      <c r="B4585" s="129"/>
      <c r="C4585" s="129"/>
      <c r="D4585" s="83"/>
      <c r="E4585" s="103"/>
      <c r="F4585" s="129"/>
    </row>
    <row r="4586" spans="1:6" ht="16" thickBot="1" x14ac:dyDescent="0.25">
      <c r="A4586" s="83"/>
      <c r="B4586" s="129"/>
      <c r="C4586" s="129"/>
      <c r="D4586" s="83"/>
      <c r="E4586" s="103"/>
      <c r="F4586" s="129"/>
    </row>
    <row r="4587" spans="1:6" ht="16" thickBot="1" x14ac:dyDescent="0.25">
      <c r="A4587" s="83"/>
      <c r="B4587" s="129"/>
      <c r="C4587" s="129"/>
      <c r="D4587" s="83"/>
      <c r="E4587" s="103"/>
      <c r="F4587" s="129"/>
    </row>
    <row r="4588" spans="1:6" ht="16" thickBot="1" x14ac:dyDescent="0.25">
      <c r="A4588" s="83"/>
      <c r="B4588" s="129"/>
      <c r="C4588" s="129"/>
      <c r="D4588" s="83"/>
      <c r="E4588" s="103"/>
      <c r="F4588" s="129"/>
    </row>
    <row r="4589" spans="1:6" ht="16" thickBot="1" x14ac:dyDescent="0.25">
      <c r="A4589" s="83"/>
      <c r="B4589" s="129"/>
      <c r="C4589" s="129"/>
      <c r="D4589" s="83"/>
      <c r="E4589" s="103"/>
      <c r="F4589" s="129"/>
    </row>
    <row r="4590" spans="1:6" ht="16" thickBot="1" x14ac:dyDescent="0.25">
      <c r="A4590" s="83"/>
      <c r="B4590" s="129"/>
      <c r="C4590" s="129"/>
      <c r="D4590" s="83"/>
      <c r="E4590" s="103"/>
      <c r="F4590" s="129"/>
    </row>
    <row r="4591" spans="1:6" ht="16" thickBot="1" x14ac:dyDescent="0.25">
      <c r="A4591" s="83"/>
      <c r="B4591" s="129"/>
      <c r="C4591" s="129"/>
      <c r="D4591" s="83"/>
      <c r="E4591" s="103"/>
      <c r="F4591" s="129"/>
    </row>
    <row r="4592" spans="1:6" ht="16" thickBot="1" x14ac:dyDescent="0.25">
      <c r="A4592" s="83"/>
      <c r="B4592" s="129"/>
      <c r="C4592" s="129"/>
      <c r="D4592" s="83"/>
      <c r="E4592" s="103"/>
      <c r="F4592" s="129"/>
    </row>
    <row r="4593" spans="1:6" ht="16" thickBot="1" x14ac:dyDescent="0.25">
      <c r="A4593" s="83"/>
      <c r="B4593" s="129"/>
      <c r="C4593" s="129"/>
      <c r="D4593" s="83"/>
      <c r="E4593" s="103"/>
      <c r="F4593" s="129"/>
    </row>
    <row r="4594" spans="1:6" ht="16" thickBot="1" x14ac:dyDescent="0.25">
      <c r="A4594" s="83"/>
      <c r="B4594" s="129"/>
      <c r="C4594" s="129"/>
      <c r="D4594" s="83"/>
      <c r="E4594" s="103"/>
      <c r="F4594" s="129"/>
    </row>
    <row r="4595" spans="1:6" ht="16" thickBot="1" x14ac:dyDescent="0.25">
      <c r="A4595" s="83"/>
      <c r="B4595" s="129"/>
      <c r="C4595" s="129"/>
      <c r="D4595" s="83"/>
      <c r="E4595" s="103"/>
      <c r="F4595" s="129"/>
    </row>
    <row r="4596" spans="1:6" ht="16" thickBot="1" x14ac:dyDescent="0.25">
      <c r="A4596" s="83"/>
      <c r="B4596" s="129"/>
      <c r="C4596" s="129"/>
      <c r="D4596" s="83"/>
      <c r="E4596" s="103"/>
      <c r="F4596" s="129"/>
    </row>
    <row r="4597" spans="1:6" ht="16" thickBot="1" x14ac:dyDescent="0.25">
      <c r="A4597" s="83"/>
      <c r="B4597" s="129"/>
      <c r="C4597" s="129"/>
      <c r="D4597" s="83"/>
      <c r="E4597" s="103"/>
      <c r="F4597" s="129"/>
    </row>
    <row r="4598" spans="1:6" ht="16" thickBot="1" x14ac:dyDescent="0.25">
      <c r="A4598" s="83"/>
      <c r="B4598" s="129"/>
      <c r="C4598" s="129"/>
      <c r="D4598" s="83"/>
      <c r="E4598" s="103"/>
      <c r="F4598" s="129"/>
    </row>
    <row r="4599" spans="1:6" ht="16" thickBot="1" x14ac:dyDescent="0.25">
      <c r="A4599" s="83"/>
      <c r="B4599" s="129"/>
      <c r="C4599" s="129"/>
      <c r="D4599" s="83"/>
      <c r="E4599" s="103"/>
      <c r="F4599" s="129"/>
    </row>
    <row r="4600" spans="1:6" ht="16" thickBot="1" x14ac:dyDescent="0.25">
      <c r="A4600" s="83"/>
      <c r="B4600" s="129"/>
      <c r="C4600" s="129"/>
      <c r="D4600" s="83"/>
      <c r="E4600" s="103"/>
      <c r="F4600" s="129"/>
    </row>
    <row r="4601" spans="1:6" ht="16" thickBot="1" x14ac:dyDescent="0.25">
      <c r="A4601" s="83"/>
      <c r="B4601" s="129"/>
      <c r="C4601" s="129"/>
      <c r="D4601" s="83"/>
      <c r="E4601" s="103"/>
      <c r="F4601" s="129"/>
    </row>
    <row r="4602" spans="1:6" ht="16" thickBot="1" x14ac:dyDescent="0.25">
      <c r="A4602" s="83"/>
      <c r="B4602" s="129"/>
      <c r="C4602" s="129"/>
      <c r="D4602" s="83"/>
      <c r="E4602" s="103"/>
      <c r="F4602" s="129"/>
    </row>
    <row r="4603" spans="1:6" ht="16" thickBot="1" x14ac:dyDescent="0.25">
      <c r="A4603" s="83"/>
      <c r="B4603" s="129"/>
      <c r="C4603" s="129"/>
      <c r="D4603" s="83"/>
      <c r="E4603" s="103"/>
      <c r="F4603" s="129"/>
    </row>
    <row r="4604" spans="1:6" ht="16" thickBot="1" x14ac:dyDescent="0.25">
      <c r="A4604" s="83"/>
      <c r="B4604" s="129"/>
      <c r="C4604" s="129"/>
      <c r="D4604" s="83"/>
      <c r="E4604" s="103"/>
      <c r="F4604" s="129"/>
    </row>
    <row r="4605" spans="1:6" ht="16" thickBot="1" x14ac:dyDescent="0.25">
      <c r="A4605" s="83"/>
      <c r="B4605" s="129"/>
      <c r="C4605" s="129"/>
      <c r="D4605" s="83"/>
      <c r="E4605" s="103"/>
      <c r="F4605" s="129"/>
    </row>
    <row r="4606" spans="1:6" ht="16" thickBot="1" x14ac:dyDescent="0.25">
      <c r="A4606" s="83"/>
      <c r="B4606" s="129"/>
      <c r="C4606" s="129"/>
      <c r="D4606" s="83"/>
      <c r="E4606" s="103"/>
      <c r="F4606" s="129"/>
    </row>
    <row r="4607" spans="1:6" ht="16" thickBot="1" x14ac:dyDescent="0.25">
      <c r="A4607" s="83"/>
      <c r="B4607" s="129"/>
      <c r="C4607" s="129"/>
      <c r="D4607" s="83"/>
      <c r="E4607" s="103"/>
      <c r="F4607" s="129"/>
    </row>
    <row r="4608" spans="1:6" ht="16" thickBot="1" x14ac:dyDescent="0.25">
      <c r="A4608" s="83"/>
      <c r="B4608" s="129"/>
      <c r="C4608" s="129"/>
      <c r="D4608" s="83"/>
      <c r="E4608" s="103"/>
      <c r="F4608" s="129"/>
    </row>
    <row r="4609" spans="1:6" ht="16" thickBot="1" x14ac:dyDescent="0.25">
      <c r="A4609" s="83"/>
      <c r="B4609" s="129"/>
      <c r="C4609" s="129"/>
      <c r="D4609" s="83"/>
      <c r="E4609" s="103"/>
      <c r="F4609" s="129"/>
    </row>
    <row r="4610" spans="1:6" ht="16" thickBot="1" x14ac:dyDescent="0.25">
      <c r="A4610" s="83"/>
      <c r="B4610" s="129"/>
      <c r="C4610" s="129"/>
      <c r="D4610" s="83"/>
      <c r="E4610" s="103"/>
      <c r="F4610" s="129"/>
    </row>
    <row r="4611" spans="1:6" ht="16" thickBot="1" x14ac:dyDescent="0.25">
      <c r="A4611" s="83"/>
      <c r="B4611" s="129"/>
      <c r="C4611" s="129"/>
      <c r="D4611" s="83"/>
      <c r="E4611" s="103"/>
      <c r="F4611" s="129"/>
    </row>
    <row r="4612" spans="1:6" ht="16" thickBot="1" x14ac:dyDescent="0.25">
      <c r="A4612" s="83"/>
      <c r="B4612" s="129"/>
      <c r="C4612" s="129"/>
      <c r="D4612" s="83"/>
      <c r="E4612" s="103"/>
      <c r="F4612" s="129"/>
    </row>
    <row r="4613" spans="1:6" ht="16" thickBot="1" x14ac:dyDescent="0.25">
      <c r="A4613" s="83"/>
      <c r="B4613" s="129"/>
      <c r="C4613" s="129"/>
      <c r="D4613" s="83"/>
      <c r="E4613" s="103"/>
      <c r="F4613" s="129"/>
    </row>
    <row r="4614" spans="1:6" ht="16" thickBot="1" x14ac:dyDescent="0.25">
      <c r="A4614" s="83"/>
      <c r="B4614" s="129"/>
      <c r="C4614" s="129"/>
      <c r="D4614" s="83"/>
      <c r="E4614" s="103"/>
      <c r="F4614" s="129"/>
    </row>
    <row r="4615" spans="1:6" ht="16" thickBot="1" x14ac:dyDescent="0.25">
      <c r="A4615" s="83"/>
      <c r="B4615" s="129"/>
      <c r="C4615" s="129"/>
      <c r="D4615" s="83"/>
      <c r="E4615" s="103"/>
      <c r="F4615" s="129"/>
    </row>
    <row r="4616" spans="1:6" ht="16" thickBot="1" x14ac:dyDescent="0.25">
      <c r="A4616" s="83"/>
      <c r="B4616" s="129"/>
      <c r="C4616" s="129"/>
      <c r="D4616" s="83"/>
      <c r="E4616" s="103"/>
      <c r="F4616" s="129"/>
    </row>
    <row r="4617" spans="1:6" ht="16" thickBot="1" x14ac:dyDescent="0.25">
      <c r="A4617" s="83"/>
      <c r="B4617" s="129"/>
      <c r="C4617" s="129"/>
      <c r="D4617" s="83"/>
      <c r="E4617" s="103"/>
      <c r="F4617" s="129"/>
    </row>
    <row r="4618" spans="1:6" ht="16" thickBot="1" x14ac:dyDescent="0.25">
      <c r="A4618" s="83"/>
      <c r="B4618" s="129"/>
      <c r="C4618" s="129"/>
      <c r="D4618" s="83"/>
      <c r="E4618" s="83"/>
      <c r="F4618" s="129"/>
    </row>
    <row r="4619" spans="1:6" ht="16" thickBot="1" x14ac:dyDescent="0.25">
      <c r="A4619" s="83"/>
      <c r="B4619" s="129"/>
      <c r="C4619" s="129"/>
      <c r="D4619" s="83"/>
      <c r="E4619" s="103"/>
      <c r="F4619" s="129"/>
    </row>
    <row r="4620" spans="1:6" ht="16" thickBot="1" x14ac:dyDescent="0.25">
      <c r="A4620" s="83"/>
      <c r="B4620" s="129"/>
      <c r="C4620" s="129"/>
      <c r="D4620" s="83"/>
      <c r="E4620" s="103"/>
      <c r="F4620" s="129"/>
    </row>
    <row r="4621" spans="1:6" ht="16" thickBot="1" x14ac:dyDescent="0.25">
      <c r="A4621" s="83"/>
      <c r="B4621" s="129"/>
      <c r="C4621" s="129"/>
      <c r="D4621" s="83"/>
      <c r="E4621" s="103"/>
      <c r="F4621" s="129"/>
    </row>
    <row r="4622" spans="1:6" ht="16" thickBot="1" x14ac:dyDescent="0.25">
      <c r="A4622" s="83"/>
      <c r="B4622" s="129"/>
      <c r="C4622" s="129"/>
      <c r="D4622" s="83"/>
      <c r="E4622" s="103"/>
      <c r="F4622" s="129"/>
    </row>
    <row r="4623" spans="1:6" ht="16" thickBot="1" x14ac:dyDescent="0.25">
      <c r="A4623" s="83"/>
      <c r="B4623" s="129"/>
      <c r="C4623" s="129"/>
      <c r="D4623" s="83"/>
      <c r="E4623" s="103"/>
      <c r="F4623" s="129"/>
    </row>
    <row r="4624" spans="1:6" ht="16" thickBot="1" x14ac:dyDescent="0.25">
      <c r="A4624" s="83"/>
      <c r="B4624" s="129"/>
      <c r="C4624" s="129"/>
      <c r="D4624" s="83"/>
      <c r="E4624" s="103"/>
      <c r="F4624" s="129"/>
    </row>
    <row r="4625" spans="1:6" ht="16" thickBot="1" x14ac:dyDescent="0.25">
      <c r="A4625" s="83"/>
      <c r="B4625" s="129"/>
      <c r="C4625" s="129"/>
      <c r="D4625" s="83"/>
      <c r="E4625" s="83"/>
      <c r="F4625" s="129"/>
    </row>
    <row r="4626" spans="1:6" ht="16" thickBot="1" x14ac:dyDescent="0.25">
      <c r="A4626" s="83"/>
      <c r="B4626" s="129"/>
      <c r="C4626" s="129"/>
      <c r="D4626" s="83"/>
      <c r="E4626" s="103"/>
      <c r="F4626" s="129"/>
    </row>
    <row r="4627" spans="1:6" ht="16" thickBot="1" x14ac:dyDescent="0.25">
      <c r="A4627" s="83"/>
      <c r="B4627" s="129"/>
      <c r="C4627" s="129"/>
      <c r="D4627" s="83"/>
      <c r="E4627" s="103"/>
      <c r="F4627" s="129"/>
    </row>
    <row r="4628" spans="1:6" ht="16" thickBot="1" x14ac:dyDescent="0.25">
      <c r="A4628" s="83"/>
      <c r="B4628" s="129"/>
      <c r="C4628" s="129"/>
      <c r="D4628" s="83"/>
      <c r="E4628" s="103"/>
      <c r="F4628" s="129"/>
    </row>
    <row r="4629" spans="1:6" ht="16" thickBot="1" x14ac:dyDescent="0.25">
      <c r="A4629" s="83"/>
      <c r="B4629" s="129"/>
      <c r="C4629" s="129"/>
      <c r="D4629" s="83"/>
      <c r="E4629" s="103"/>
      <c r="F4629" s="129"/>
    </row>
    <row r="4630" spans="1:6" ht="16" thickBot="1" x14ac:dyDescent="0.25">
      <c r="A4630" s="83"/>
      <c r="B4630" s="129"/>
      <c r="C4630" s="129"/>
      <c r="D4630" s="83"/>
      <c r="E4630" s="83"/>
      <c r="F4630" s="129"/>
    </row>
    <row r="4631" spans="1:6" ht="16" thickBot="1" x14ac:dyDescent="0.25">
      <c r="A4631" s="83"/>
      <c r="B4631" s="129"/>
      <c r="C4631" s="129"/>
      <c r="D4631" s="83"/>
      <c r="E4631" s="103"/>
      <c r="F4631" s="129"/>
    </row>
    <row r="4632" spans="1:6" ht="16" thickBot="1" x14ac:dyDescent="0.25">
      <c r="A4632" s="83"/>
      <c r="B4632" s="129"/>
      <c r="C4632" s="129"/>
      <c r="D4632" s="83"/>
      <c r="E4632" s="83"/>
      <c r="F4632" s="129"/>
    </row>
    <row r="4633" spans="1:6" ht="16" thickBot="1" x14ac:dyDescent="0.25">
      <c r="A4633" s="83"/>
      <c r="B4633" s="129"/>
      <c r="C4633" s="129"/>
      <c r="D4633" s="83"/>
      <c r="E4633" s="103"/>
      <c r="F4633" s="129"/>
    </row>
    <row r="4634" spans="1:6" ht="16" thickBot="1" x14ac:dyDescent="0.25">
      <c r="A4634" s="83"/>
      <c r="B4634" s="129"/>
      <c r="C4634" s="129"/>
      <c r="D4634" s="83"/>
      <c r="E4634" s="103"/>
      <c r="F4634" s="129"/>
    </row>
    <row r="4635" spans="1:6" ht="16" thickBot="1" x14ac:dyDescent="0.25">
      <c r="A4635" s="83"/>
      <c r="B4635" s="129"/>
      <c r="C4635" s="129"/>
      <c r="D4635" s="83"/>
      <c r="E4635" s="103"/>
      <c r="F4635" s="129"/>
    </row>
    <row r="4636" spans="1:6" ht="16" thickBot="1" x14ac:dyDescent="0.25">
      <c r="A4636" s="83"/>
      <c r="B4636" s="129"/>
      <c r="C4636" s="129"/>
      <c r="D4636" s="83"/>
      <c r="E4636" s="103"/>
      <c r="F4636" s="129"/>
    </row>
    <row r="4637" spans="1:6" ht="16" thickBot="1" x14ac:dyDescent="0.25">
      <c r="A4637" s="83"/>
      <c r="B4637" s="129"/>
      <c r="C4637" s="129"/>
      <c r="D4637" s="83"/>
      <c r="E4637" s="103"/>
      <c r="F4637" s="129"/>
    </row>
    <row r="4638" spans="1:6" ht="16" thickBot="1" x14ac:dyDescent="0.25">
      <c r="A4638" s="83"/>
      <c r="B4638" s="129"/>
      <c r="C4638" s="129"/>
      <c r="D4638" s="83"/>
      <c r="E4638" s="103"/>
      <c r="F4638" s="129"/>
    </row>
    <row r="4639" spans="1:6" ht="16" thickBot="1" x14ac:dyDescent="0.25">
      <c r="A4639" s="83"/>
      <c r="B4639" s="129"/>
      <c r="C4639" s="129"/>
      <c r="D4639" s="83"/>
      <c r="E4639" s="103"/>
      <c r="F4639" s="129"/>
    </row>
    <row r="4640" spans="1:6" ht="16" thickBot="1" x14ac:dyDescent="0.25">
      <c r="A4640" s="83"/>
      <c r="B4640" s="129"/>
      <c r="C4640" s="129"/>
      <c r="D4640" s="83"/>
      <c r="E4640" s="103"/>
      <c r="F4640" s="129"/>
    </row>
    <row r="4641" spans="1:6" ht="16" thickBot="1" x14ac:dyDescent="0.25">
      <c r="A4641" s="83"/>
      <c r="B4641" s="129"/>
      <c r="C4641" s="129"/>
      <c r="D4641" s="83"/>
      <c r="E4641" s="103"/>
      <c r="F4641" s="129"/>
    </row>
    <row r="4642" spans="1:6" ht="16" thickBot="1" x14ac:dyDescent="0.25">
      <c r="A4642" s="83"/>
      <c r="B4642" s="129"/>
      <c r="C4642" s="129"/>
      <c r="D4642" s="83"/>
      <c r="E4642" s="103"/>
      <c r="F4642" s="129"/>
    </row>
    <row r="4643" spans="1:6" ht="16" thickBot="1" x14ac:dyDescent="0.25">
      <c r="A4643" s="83"/>
      <c r="B4643" s="129"/>
      <c r="C4643" s="129"/>
      <c r="D4643" s="83"/>
      <c r="E4643" s="103"/>
      <c r="F4643" s="129"/>
    </row>
    <row r="4644" spans="1:6" ht="16" thickBot="1" x14ac:dyDescent="0.25">
      <c r="A4644" s="83"/>
      <c r="B4644" s="129"/>
      <c r="C4644" s="129"/>
      <c r="D4644" s="83"/>
      <c r="E4644" s="103"/>
      <c r="F4644" s="129"/>
    </row>
    <row r="4645" spans="1:6" ht="16" thickBot="1" x14ac:dyDescent="0.25">
      <c r="A4645" s="83"/>
      <c r="B4645" s="129"/>
      <c r="C4645" s="129"/>
      <c r="D4645" s="83"/>
      <c r="E4645" s="103"/>
      <c r="F4645" s="129"/>
    </row>
    <row r="4646" spans="1:6" ht="16" thickBot="1" x14ac:dyDescent="0.25">
      <c r="A4646" s="83"/>
      <c r="B4646" s="129"/>
      <c r="C4646" s="129"/>
      <c r="D4646" s="83"/>
      <c r="E4646" s="103"/>
      <c r="F4646" s="129"/>
    </row>
    <row r="4647" spans="1:6" ht="16" thickBot="1" x14ac:dyDescent="0.25">
      <c r="A4647" s="83"/>
      <c r="B4647" s="129"/>
      <c r="C4647" s="129"/>
      <c r="D4647" s="83"/>
      <c r="E4647" s="103"/>
      <c r="F4647" s="129"/>
    </row>
    <row r="4648" spans="1:6" ht="16" thickBot="1" x14ac:dyDescent="0.25">
      <c r="A4648" s="83"/>
      <c r="B4648" s="129"/>
      <c r="C4648" s="129"/>
      <c r="D4648" s="83"/>
      <c r="E4648" s="103"/>
      <c r="F4648" s="129"/>
    </row>
    <row r="4649" spans="1:6" ht="16" thickBot="1" x14ac:dyDescent="0.25">
      <c r="A4649" s="83"/>
      <c r="B4649" s="129"/>
      <c r="C4649" s="129"/>
      <c r="D4649" s="83"/>
      <c r="E4649" s="103"/>
      <c r="F4649" s="129"/>
    </row>
    <row r="4650" spans="1:6" ht="16" thickBot="1" x14ac:dyDescent="0.25">
      <c r="A4650" s="83"/>
      <c r="B4650" s="129"/>
      <c r="C4650" s="129"/>
      <c r="D4650" s="83"/>
      <c r="E4650" s="103"/>
      <c r="F4650" s="129"/>
    </row>
    <row r="4651" spans="1:6" ht="16" thickBot="1" x14ac:dyDescent="0.25">
      <c r="A4651" s="83"/>
      <c r="B4651" s="129"/>
      <c r="C4651" s="129"/>
      <c r="D4651" s="83"/>
      <c r="E4651" s="103"/>
      <c r="F4651" s="129"/>
    </row>
    <row r="4652" spans="1:6" ht="16" thickBot="1" x14ac:dyDescent="0.25">
      <c r="A4652" s="83"/>
      <c r="B4652" s="129"/>
      <c r="C4652" s="129"/>
      <c r="D4652" s="83"/>
      <c r="E4652" s="103"/>
      <c r="F4652" s="129"/>
    </row>
    <row r="4653" spans="1:6" ht="16" thickBot="1" x14ac:dyDescent="0.25">
      <c r="A4653" s="83"/>
      <c r="B4653" s="129"/>
      <c r="C4653" s="129"/>
      <c r="D4653" s="83"/>
      <c r="E4653" s="103"/>
      <c r="F4653" s="129"/>
    </row>
    <row r="4654" spans="1:6" ht="16" thickBot="1" x14ac:dyDescent="0.25">
      <c r="A4654" s="83"/>
      <c r="B4654" s="129"/>
      <c r="C4654" s="129"/>
      <c r="D4654" s="83"/>
      <c r="E4654" s="103"/>
      <c r="F4654" s="129"/>
    </row>
    <row r="4655" spans="1:6" ht="16" thickBot="1" x14ac:dyDescent="0.25">
      <c r="A4655" s="83"/>
      <c r="B4655" s="129"/>
      <c r="C4655" s="129"/>
      <c r="D4655" s="83"/>
      <c r="E4655" s="103"/>
      <c r="F4655" s="129"/>
    </row>
    <row r="4656" spans="1:6" ht="16" thickBot="1" x14ac:dyDescent="0.25">
      <c r="A4656" s="83"/>
      <c r="B4656" s="129"/>
      <c r="C4656" s="129"/>
      <c r="D4656" s="83"/>
      <c r="E4656" s="103"/>
      <c r="F4656" s="129"/>
    </row>
    <row r="4657" spans="1:6" ht="16" thickBot="1" x14ac:dyDescent="0.25">
      <c r="A4657" s="83"/>
      <c r="B4657" s="129"/>
      <c r="C4657" s="129"/>
      <c r="D4657" s="83"/>
      <c r="E4657" s="103"/>
      <c r="F4657" s="129"/>
    </row>
    <row r="4658" spans="1:6" ht="16" thickBot="1" x14ac:dyDescent="0.25">
      <c r="A4658" s="83"/>
      <c r="B4658" s="129"/>
      <c r="C4658" s="129"/>
      <c r="D4658" s="83"/>
      <c r="E4658" s="83"/>
      <c r="F4658" s="129"/>
    </row>
    <row r="4659" spans="1:6" ht="16" thickBot="1" x14ac:dyDescent="0.25">
      <c r="A4659" s="83"/>
      <c r="B4659" s="129"/>
      <c r="C4659" s="129"/>
      <c r="D4659" s="83"/>
      <c r="E4659" s="83"/>
      <c r="F4659" s="129"/>
    </row>
    <row r="4660" spans="1:6" ht="16" thickBot="1" x14ac:dyDescent="0.25">
      <c r="A4660" s="83"/>
      <c r="B4660" s="129"/>
      <c r="C4660" s="129"/>
      <c r="D4660" s="83"/>
      <c r="E4660" s="103"/>
      <c r="F4660" s="129"/>
    </row>
    <row r="4661" spans="1:6" ht="16" thickBot="1" x14ac:dyDescent="0.25">
      <c r="A4661" s="83"/>
      <c r="B4661" s="129"/>
      <c r="C4661" s="129"/>
      <c r="D4661" s="83"/>
      <c r="E4661" s="103"/>
      <c r="F4661" s="129"/>
    </row>
    <row r="4662" spans="1:6" ht="16" thickBot="1" x14ac:dyDescent="0.25">
      <c r="A4662" s="83"/>
      <c r="B4662" s="129"/>
      <c r="C4662" s="129"/>
      <c r="D4662" s="83"/>
      <c r="E4662" s="103"/>
      <c r="F4662" s="129"/>
    </row>
    <row r="4663" spans="1:6" ht="16" thickBot="1" x14ac:dyDescent="0.25">
      <c r="A4663" s="83"/>
      <c r="B4663" s="129"/>
      <c r="C4663" s="129"/>
      <c r="D4663" s="83"/>
      <c r="E4663" s="103"/>
      <c r="F4663" s="129"/>
    </row>
    <row r="4664" spans="1:6" ht="16" thickBot="1" x14ac:dyDescent="0.25">
      <c r="A4664" s="83"/>
      <c r="B4664" s="129"/>
      <c r="C4664" s="129"/>
      <c r="D4664" s="83"/>
      <c r="E4664" s="103"/>
      <c r="F4664" s="129"/>
    </row>
    <row r="4665" spans="1:6" ht="16" thickBot="1" x14ac:dyDescent="0.25">
      <c r="A4665" s="83"/>
      <c r="B4665" s="129"/>
      <c r="C4665" s="129"/>
      <c r="D4665" s="83"/>
      <c r="E4665" s="103"/>
      <c r="F4665" s="129"/>
    </row>
    <row r="4666" spans="1:6" ht="16" thickBot="1" x14ac:dyDescent="0.25">
      <c r="A4666" s="83"/>
      <c r="B4666" s="129"/>
      <c r="C4666" s="129"/>
      <c r="D4666" s="83"/>
      <c r="E4666" s="83"/>
      <c r="F4666" s="129"/>
    </row>
    <row r="4667" spans="1:6" ht="16" thickBot="1" x14ac:dyDescent="0.25">
      <c r="A4667" s="83"/>
      <c r="B4667" s="129"/>
      <c r="C4667" s="129"/>
      <c r="D4667" s="83"/>
      <c r="E4667" s="103"/>
      <c r="F4667" s="129"/>
    </row>
    <row r="4668" spans="1:6" ht="16" thickBot="1" x14ac:dyDescent="0.25">
      <c r="A4668" s="83"/>
      <c r="B4668" s="129"/>
      <c r="C4668" s="129"/>
      <c r="D4668" s="83"/>
      <c r="E4668" s="103"/>
      <c r="F4668" s="129"/>
    </row>
    <row r="4669" spans="1:6" ht="16" thickBot="1" x14ac:dyDescent="0.25">
      <c r="A4669" s="83"/>
      <c r="B4669" s="129"/>
      <c r="C4669" s="129"/>
      <c r="D4669" s="83"/>
      <c r="E4669" s="103"/>
      <c r="F4669" s="129"/>
    </row>
    <row r="4670" spans="1:6" ht="16" thickBot="1" x14ac:dyDescent="0.25">
      <c r="A4670" s="83"/>
      <c r="B4670" s="129"/>
      <c r="C4670" s="129"/>
      <c r="D4670" s="83"/>
      <c r="E4670" s="103"/>
      <c r="F4670" s="129"/>
    </row>
    <row r="4671" spans="1:6" ht="16" thickBot="1" x14ac:dyDescent="0.25">
      <c r="A4671" s="83"/>
      <c r="B4671" s="129"/>
      <c r="C4671" s="129"/>
      <c r="D4671" s="83"/>
      <c r="E4671" s="103"/>
      <c r="F4671" s="129"/>
    </row>
    <row r="4672" spans="1:6" ht="16" thickBot="1" x14ac:dyDescent="0.25">
      <c r="A4672" s="83"/>
      <c r="B4672" s="129"/>
      <c r="C4672" s="129"/>
      <c r="D4672" s="83"/>
      <c r="E4672" s="103"/>
      <c r="F4672" s="129"/>
    </row>
    <row r="4673" spans="1:6" ht="16" thickBot="1" x14ac:dyDescent="0.25">
      <c r="A4673" s="83"/>
      <c r="B4673" s="129"/>
      <c r="C4673" s="129"/>
      <c r="D4673" s="83"/>
      <c r="E4673" s="103"/>
      <c r="F4673" s="129"/>
    </row>
    <row r="4674" spans="1:6" ht="16" thickBot="1" x14ac:dyDescent="0.25">
      <c r="A4674" s="83"/>
      <c r="B4674" s="129"/>
      <c r="C4674" s="129"/>
      <c r="D4674" s="83"/>
      <c r="E4674" s="103"/>
      <c r="F4674" s="129"/>
    </row>
    <row r="4675" spans="1:6" ht="16" thickBot="1" x14ac:dyDescent="0.25">
      <c r="A4675" s="83"/>
      <c r="B4675" s="129"/>
      <c r="C4675" s="129"/>
      <c r="D4675" s="83"/>
      <c r="E4675" s="103"/>
      <c r="F4675" s="129"/>
    </row>
    <row r="4676" spans="1:6" ht="16" thickBot="1" x14ac:dyDescent="0.25">
      <c r="A4676" s="83"/>
      <c r="B4676" s="129"/>
      <c r="C4676" s="129"/>
      <c r="D4676" s="83"/>
      <c r="E4676" s="103"/>
      <c r="F4676" s="129"/>
    </row>
    <row r="4677" spans="1:6" ht="16" thickBot="1" x14ac:dyDescent="0.25">
      <c r="A4677" s="83"/>
      <c r="B4677" s="129"/>
      <c r="C4677" s="129"/>
      <c r="D4677" s="83"/>
      <c r="E4677" s="103"/>
      <c r="F4677" s="129"/>
    </row>
    <row r="4678" spans="1:6" ht="16" thickBot="1" x14ac:dyDescent="0.25">
      <c r="A4678" s="83"/>
      <c r="B4678" s="129"/>
      <c r="C4678" s="129"/>
      <c r="D4678" s="83"/>
      <c r="E4678" s="103"/>
      <c r="F4678" s="129"/>
    </row>
    <row r="4679" spans="1:6" ht="16" thickBot="1" x14ac:dyDescent="0.25">
      <c r="A4679" s="83"/>
      <c r="B4679" s="129"/>
      <c r="C4679" s="129"/>
      <c r="D4679" s="83"/>
      <c r="E4679" s="103"/>
      <c r="F4679" s="129"/>
    </row>
    <row r="4680" spans="1:6" ht="16" thickBot="1" x14ac:dyDescent="0.25">
      <c r="A4680" s="83"/>
      <c r="B4680" s="129"/>
      <c r="C4680" s="129"/>
      <c r="D4680" s="83"/>
      <c r="E4680" s="103"/>
      <c r="F4680" s="129"/>
    </row>
    <row r="4681" spans="1:6" ht="16" thickBot="1" x14ac:dyDescent="0.25">
      <c r="A4681" s="83"/>
      <c r="B4681" s="129"/>
      <c r="C4681" s="129"/>
      <c r="D4681" s="83"/>
      <c r="E4681" s="103"/>
      <c r="F4681" s="129"/>
    </row>
    <row r="4682" spans="1:6" ht="16" thickBot="1" x14ac:dyDescent="0.25">
      <c r="A4682" s="83"/>
      <c r="B4682" s="129"/>
      <c r="C4682" s="129"/>
      <c r="D4682" s="83"/>
      <c r="E4682" s="103"/>
      <c r="F4682" s="129"/>
    </row>
    <row r="4683" spans="1:6" ht="16" thickBot="1" x14ac:dyDescent="0.25">
      <c r="A4683" s="83"/>
      <c r="B4683" s="129"/>
      <c r="C4683" s="129"/>
      <c r="D4683" s="83"/>
      <c r="E4683" s="103"/>
      <c r="F4683" s="129"/>
    </row>
    <row r="4684" spans="1:6" ht="16" thickBot="1" x14ac:dyDescent="0.25">
      <c r="A4684" s="83"/>
      <c r="B4684" s="129"/>
      <c r="C4684" s="129"/>
      <c r="D4684" s="83"/>
      <c r="E4684" s="103"/>
      <c r="F4684" s="129"/>
    </row>
    <row r="4685" spans="1:6" ht="16" thickBot="1" x14ac:dyDescent="0.25">
      <c r="A4685" s="83"/>
      <c r="B4685" s="129"/>
      <c r="C4685" s="129"/>
      <c r="D4685" s="83"/>
      <c r="E4685" s="103"/>
      <c r="F4685" s="129"/>
    </row>
    <row r="4686" spans="1:6" ht="16" thickBot="1" x14ac:dyDescent="0.25">
      <c r="A4686" s="83"/>
      <c r="B4686" s="129"/>
      <c r="C4686" s="129"/>
      <c r="D4686" s="83"/>
      <c r="E4686" s="83"/>
      <c r="F4686" s="129"/>
    </row>
    <row r="4687" spans="1:6" ht="16" thickBot="1" x14ac:dyDescent="0.25">
      <c r="A4687" s="83"/>
      <c r="B4687" s="129"/>
      <c r="C4687" s="129"/>
      <c r="D4687" s="83"/>
      <c r="E4687" s="83"/>
      <c r="F4687" s="129"/>
    </row>
    <row r="4688" spans="1:6" ht="16" thickBot="1" x14ac:dyDescent="0.25">
      <c r="A4688" s="83"/>
      <c r="B4688" s="129"/>
      <c r="C4688" s="129"/>
      <c r="D4688" s="83"/>
      <c r="E4688" s="103"/>
      <c r="F4688" s="129"/>
    </row>
    <row r="4689" spans="1:6" ht="16" thickBot="1" x14ac:dyDescent="0.25">
      <c r="A4689" s="83"/>
      <c r="B4689" s="129"/>
      <c r="C4689" s="129"/>
      <c r="D4689" s="83"/>
      <c r="E4689" s="103"/>
      <c r="F4689" s="129"/>
    </row>
    <row r="4690" spans="1:6" ht="16" thickBot="1" x14ac:dyDescent="0.25">
      <c r="A4690" s="83"/>
      <c r="B4690" s="129"/>
      <c r="C4690" s="129"/>
      <c r="D4690" s="83"/>
      <c r="E4690" s="83"/>
      <c r="F4690" s="129"/>
    </row>
    <row r="4691" spans="1:6" ht="16" thickBot="1" x14ac:dyDescent="0.25">
      <c r="A4691" s="83"/>
      <c r="B4691" s="129"/>
      <c r="C4691" s="129"/>
      <c r="D4691" s="83"/>
      <c r="E4691" s="103"/>
      <c r="F4691" s="129"/>
    </row>
    <row r="4692" spans="1:6" ht="16" thickBot="1" x14ac:dyDescent="0.25">
      <c r="A4692" s="83"/>
      <c r="B4692" s="129"/>
      <c r="C4692" s="129"/>
      <c r="D4692" s="83"/>
      <c r="E4692" s="103"/>
      <c r="F4692" s="129"/>
    </row>
    <row r="4693" spans="1:6" ht="16" thickBot="1" x14ac:dyDescent="0.25">
      <c r="A4693" s="83"/>
      <c r="B4693" s="129"/>
      <c r="C4693" s="129"/>
      <c r="D4693" s="83"/>
      <c r="E4693" s="103"/>
      <c r="F4693" s="129"/>
    </row>
    <row r="4694" spans="1:6" ht="16" thickBot="1" x14ac:dyDescent="0.25">
      <c r="A4694" s="83"/>
      <c r="B4694" s="129"/>
      <c r="C4694" s="129"/>
      <c r="D4694" s="83"/>
      <c r="E4694" s="103"/>
      <c r="F4694" s="129"/>
    </row>
    <row r="4695" spans="1:6" ht="16" thickBot="1" x14ac:dyDescent="0.25">
      <c r="A4695" s="83"/>
      <c r="B4695" s="129"/>
      <c r="C4695" s="129"/>
      <c r="D4695" s="83"/>
      <c r="E4695" s="103"/>
      <c r="F4695" s="129"/>
    </row>
    <row r="4696" spans="1:6" ht="16" thickBot="1" x14ac:dyDescent="0.25">
      <c r="A4696" s="83"/>
      <c r="B4696" s="129"/>
      <c r="C4696" s="129"/>
      <c r="D4696" s="83"/>
      <c r="E4696" s="103"/>
      <c r="F4696" s="129"/>
    </row>
    <row r="4697" spans="1:6" ht="16" thickBot="1" x14ac:dyDescent="0.25">
      <c r="A4697" s="83"/>
      <c r="B4697" s="129"/>
      <c r="C4697" s="129"/>
      <c r="D4697" s="83"/>
      <c r="E4697" s="103"/>
      <c r="F4697" s="129"/>
    </row>
    <row r="4698" spans="1:6" ht="16" thickBot="1" x14ac:dyDescent="0.25">
      <c r="A4698" s="83"/>
      <c r="B4698" s="129"/>
      <c r="C4698" s="129"/>
      <c r="D4698" s="83"/>
      <c r="E4698" s="103"/>
      <c r="F4698" s="129"/>
    </row>
    <row r="4699" spans="1:6" ht="16" thickBot="1" x14ac:dyDescent="0.25">
      <c r="A4699" s="83"/>
      <c r="B4699" s="129"/>
      <c r="C4699" s="129"/>
      <c r="D4699" s="83"/>
      <c r="E4699" s="103"/>
      <c r="F4699" s="129"/>
    </row>
    <row r="4700" spans="1:6" ht="16" thickBot="1" x14ac:dyDescent="0.25">
      <c r="A4700" s="83"/>
      <c r="B4700" s="129"/>
      <c r="C4700" s="129"/>
      <c r="D4700" s="83"/>
      <c r="E4700" s="103"/>
      <c r="F4700" s="129"/>
    </row>
    <row r="4701" spans="1:6" ht="16" thickBot="1" x14ac:dyDescent="0.25">
      <c r="A4701" s="83"/>
      <c r="B4701" s="129"/>
      <c r="C4701" s="129"/>
      <c r="D4701" s="83"/>
      <c r="E4701" s="103"/>
      <c r="F4701" s="129"/>
    </row>
    <row r="4702" spans="1:6" ht="16" thickBot="1" x14ac:dyDescent="0.25">
      <c r="A4702" s="83"/>
      <c r="B4702" s="129"/>
      <c r="C4702" s="129"/>
      <c r="D4702" s="83"/>
      <c r="E4702" s="103"/>
      <c r="F4702" s="129"/>
    </row>
    <row r="4703" spans="1:6" ht="16" thickBot="1" x14ac:dyDescent="0.25">
      <c r="A4703" s="83"/>
      <c r="B4703" s="129"/>
      <c r="C4703" s="129"/>
      <c r="D4703" s="83"/>
      <c r="E4703" s="103"/>
      <c r="F4703" s="129"/>
    </row>
    <row r="4704" spans="1:6" ht="16" thickBot="1" x14ac:dyDescent="0.25">
      <c r="A4704" s="83"/>
      <c r="B4704" s="129"/>
      <c r="C4704" s="129"/>
      <c r="D4704" s="83"/>
      <c r="E4704" s="103"/>
      <c r="F4704" s="129"/>
    </row>
    <row r="4705" spans="1:6" ht="16" thickBot="1" x14ac:dyDescent="0.25">
      <c r="A4705" s="83"/>
      <c r="B4705" s="129"/>
      <c r="C4705" s="129"/>
      <c r="D4705" s="83"/>
      <c r="E4705" s="103"/>
      <c r="F4705" s="129"/>
    </row>
    <row r="4706" spans="1:6" ht="16" thickBot="1" x14ac:dyDescent="0.25">
      <c r="A4706" s="83"/>
      <c r="B4706" s="129"/>
      <c r="C4706" s="129"/>
      <c r="D4706" s="83"/>
      <c r="E4706" s="103"/>
      <c r="F4706" s="129"/>
    </row>
    <row r="4707" spans="1:6" ht="16" thickBot="1" x14ac:dyDescent="0.25">
      <c r="A4707" s="83"/>
      <c r="B4707" s="129"/>
      <c r="C4707" s="129"/>
      <c r="D4707" s="83"/>
      <c r="E4707" s="103"/>
      <c r="F4707" s="129"/>
    </row>
    <row r="4708" spans="1:6" ht="16" thickBot="1" x14ac:dyDescent="0.25">
      <c r="A4708" s="83"/>
      <c r="B4708" s="129"/>
      <c r="C4708" s="129"/>
      <c r="D4708" s="83"/>
      <c r="E4708" s="103"/>
      <c r="F4708" s="129"/>
    </row>
    <row r="4709" spans="1:6" ht="16" thickBot="1" x14ac:dyDescent="0.25">
      <c r="A4709" s="83"/>
      <c r="B4709" s="129"/>
      <c r="C4709" s="129"/>
      <c r="D4709" s="83"/>
      <c r="E4709" s="103"/>
      <c r="F4709" s="129"/>
    </row>
    <row r="4710" spans="1:6" ht="16" thickBot="1" x14ac:dyDescent="0.25">
      <c r="A4710" s="83"/>
      <c r="B4710" s="129"/>
      <c r="C4710" s="129"/>
      <c r="D4710" s="83"/>
      <c r="E4710" s="103"/>
      <c r="F4710" s="129"/>
    </row>
    <row r="4711" spans="1:6" ht="16" thickBot="1" x14ac:dyDescent="0.25">
      <c r="A4711" s="83"/>
      <c r="B4711" s="129"/>
      <c r="C4711" s="129"/>
      <c r="D4711" s="83"/>
      <c r="E4711" s="103"/>
      <c r="F4711" s="129"/>
    </row>
    <row r="4712" spans="1:6" ht="16" thickBot="1" x14ac:dyDescent="0.25">
      <c r="A4712" s="83"/>
      <c r="B4712" s="129"/>
      <c r="C4712" s="129"/>
      <c r="D4712" s="83"/>
      <c r="E4712" s="103"/>
      <c r="F4712" s="129"/>
    </row>
    <row r="4713" spans="1:6" ht="16" thickBot="1" x14ac:dyDescent="0.25">
      <c r="A4713" s="83"/>
      <c r="B4713" s="129"/>
      <c r="C4713" s="129"/>
      <c r="D4713" s="83"/>
      <c r="E4713" s="103"/>
      <c r="F4713" s="129"/>
    </row>
    <row r="4714" spans="1:6" ht="16" thickBot="1" x14ac:dyDescent="0.25">
      <c r="A4714" s="83"/>
      <c r="B4714" s="129"/>
      <c r="C4714" s="129"/>
      <c r="D4714" s="83"/>
      <c r="E4714" s="103"/>
      <c r="F4714" s="129"/>
    </row>
    <row r="4715" spans="1:6" ht="16" thickBot="1" x14ac:dyDescent="0.25">
      <c r="A4715" s="83"/>
      <c r="B4715" s="129"/>
      <c r="C4715" s="129"/>
      <c r="D4715" s="83"/>
      <c r="E4715" s="103"/>
      <c r="F4715" s="129"/>
    </row>
    <row r="4716" spans="1:6" ht="16" thickBot="1" x14ac:dyDescent="0.25">
      <c r="A4716" s="83"/>
      <c r="B4716" s="129"/>
      <c r="C4716" s="129"/>
      <c r="D4716" s="83"/>
      <c r="E4716" s="103"/>
      <c r="F4716" s="129"/>
    </row>
    <row r="4717" spans="1:6" ht="16" thickBot="1" x14ac:dyDescent="0.25">
      <c r="A4717" s="83"/>
      <c r="B4717" s="129"/>
      <c r="C4717" s="129"/>
      <c r="D4717" s="83"/>
      <c r="E4717" s="103"/>
      <c r="F4717" s="129"/>
    </row>
    <row r="4718" spans="1:6" ht="16" thickBot="1" x14ac:dyDescent="0.25">
      <c r="A4718" s="83"/>
      <c r="B4718" s="129"/>
      <c r="C4718" s="129"/>
      <c r="D4718" s="83"/>
      <c r="E4718" s="103"/>
      <c r="F4718" s="129"/>
    </row>
    <row r="4719" spans="1:6" ht="16" thickBot="1" x14ac:dyDescent="0.25">
      <c r="A4719" s="83"/>
      <c r="B4719" s="129"/>
      <c r="C4719" s="129"/>
      <c r="D4719" s="83"/>
      <c r="E4719" s="103"/>
      <c r="F4719" s="129"/>
    </row>
    <row r="4720" spans="1:6" ht="16" thickBot="1" x14ac:dyDescent="0.25">
      <c r="A4720" s="83"/>
      <c r="B4720" s="129"/>
      <c r="C4720" s="129"/>
      <c r="D4720" s="83"/>
      <c r="E4720" s="103"/>
      <c r="F4720" s="129"/>
    </row>
    <row r="4721" spans="1:6" ht="16" thickBot="1" x14ac:dyDescent="0.25">
      <c r="A4721" s="83"/>
      <c r="B4721" s="129"/>
      <c r="C4721" s="129"/>
      <c r="D4721" s="83"/>
      <c r="E4721" s="103"/>
      <c r="F4721" s="129"/>
    </row>
    <row r="4722" spans="1:6" ht="16" thickBot="1" x14ac:dyDescent="0.25">
      <c r="A4722" s="83"/>
      <c r="B4722" s="129"/>
      <c r="C4722" s="129"/>
      <c r="D4722" s="83"/>
      <c r="E4722" s="103"/>
      <c r="F4722" s="129"/>
    </row>
    <row r="4723" spans="1:6" ht="16" thickBot="1" x14ac:dyDescent="0.25">
      <c r="A4723" s="83"/>
      <c r="B4723" s="129"/>
      <c r="C4723" s="129"/>
      <c r="D4723" s="83"/>
      <c r="E4723" s="103"/>
      <c r="F4723" s="129"/>
    </row>
    <row r="4724" spans="1:6" ht="16" thickBot="1" x14ac:dyDescent="0.25">
      <c r="A4724" s="83"/>
      <c r="B4724" s="129"/>
      <c r="C4724" s="129"/>
      <c r="D4724" s="83"/>
      <c r="E4724" s="103"/>
      <c r="F4724" s="129"/>
    </row>
    <row r="4725" spans="1:6" ht="16" thickBot="1" x14ac:dyDescent="0.25">
      <c r="A4725" s="83"/>
      <c r="B4725" s="129"/>
      <c r="C4725" s="129"/>
      <c r="D4725" s="83"/>
      <c r="E4725" s="103"/>
      <c r="F4725" s="129"/>
    </row>
    <row r="4726" spans="1:6" ht="16" thickBot="1" x14ac:dyDescent="0.25">
      <c r="A4726" s="83"/>
      <c r="B4726" s="129"/>
      <c r="C4726" s="129"/>
      <c r="D4726" s="83"/>
      <c r="E4726" s="103"/>
      <c r="F4726" s="129"/>
    </row>
    <row r="4727" spans="1:6" ht="16" thickBot="1" x14ac:dyDescent="0.25">
      <c r="A4727" s="83"/>
      <c r="B4727" s="129"/>
      <c r="C4727" s="129"/>
      <c r="D4727" s="83"/>
      <c r="E4727" s="103"/>
      <c r="F4727" s="129"/>
    </row>
    <row r="4728" spans="1:6" ht="16" thickBot="1" x14ac:dyDescent="0.25">
      <c r="A4728" s="83"/>
      <c r="B4728" s="129"/>
      <c r="C4728" s="129"/>
      <c r="D4728" s="83"/>
      <c r="E4728" s="103"/>
      <c r="F4728" s="129"/>
    </row>
    <row r="4729" spans="1:6" ht="16" thickBot="1" x14ac:dyDescent="0.25">
      <c r="A4729" s="83"/>
      <c r="B4729" s="129"/>
      <c r="C4729" s="129"/>
      <c r="D4729" s="83"/>
      <c r="E4729" s="103"/>
      <c r="F4729" s="129"/>
    </row>
    <row r="4730" spans="1:6" ht="16" thickBot="1" x14ac:dyDescent="0.25">
      <c r="A4730" s="83"/>
      <c r="B4730" s="129"/>
      <c r="C4730" s="129"/>
      <c r="D4730" s="83"/>
      <c r="E4730" s="103"/>
      <c r="F4730" s="129"/>
    </row>
    <row r="4731" spans="1:6" ht="16" thickBot="1" x14ac:dyDescent="0.25">
      <c r="A4731" s="83"/>
      <c r="B4731" s="129"/>
      <c r="C4731" s="129"/>
      <c r="D4731" s="83"/>
      <c r="E4731" s="103"/>
      <c r="F4731" s="129"/>
    </row>
    <row r="4732" spans="1:6" ht="16" thickBot="1" x14ac:dyDescent="0.25">
      <c r="A4732" s="83"/>
      <c r="B4732" s="129"/>
      <c r="C4732" s="129"/>
      <c r="D4732" s="83"/>
      <c r="E4732" s="103"/>
      <c r="F4732" s="129"/>
    </row>
    <row r="4733" spans="1:6" ht="16" thickBot="1" x14ac:dyDescent="0.25">
      <c r="A4733" s="83"/>
      <c r="B4733" s="129"/>
      <c r="C4733" s="129"/>
      <c r="D4733" s="83"/>
      <c r="E4733" s="103"/>
      <c r="F4733" s="129"/>
    </row>
    <row r="4734" spans="1:6" ht="16" thickBot="1" x14ac:dyDescent="0.25">
      <c r="A4734" s="83"/>
      <c r="B4734" s="129"/>
      <c r="C4734" s="129"/>
      <c r="D4734" s="83"/>
      <c r="E4734" s="103"/>
      <c r="F4734" s="129"/>
    </row>
    <row r="4735" spans="1:6" ht="16" thickBot="1" x14ac:dyDescent="0.25">
      <c r="A4735" s="83"/>
      <c r="B4735" s="129"/>
      <c r="C4735" s="129"/>
      <c r="D4735" s="83"/>
      <c r="E4735" s="103"/>
      <c r="F4735" s="129"/>
    </row>
    <row r="4736" spans="1:6" ht="16" thickBot="1" x14ac:dyDescent="0.25">
      <c r="A4736" s="83"/>
      <c r="B4736" s="129"/>
      <c r="C4736" s="129"/>
      <c r="D4736" s="83"/>
      <c r="E4736" s="103"/>
      <c r="F4736" s="129"/>
    </row>
    <row r="4737" spans="1:6" ht="16" thickBot="1" x14ac:dyDescent="0.25">
      <c r="A4737" s="83"/>
      <c r="B4737" s="129"/>
      <c r="C4737" s="129"/>
      <c r="D4737" s="83"/>
      <c r="E4737" s="103"/>
      <c r="F4737" s="129"/>
    </row>
    <row r="4738" spans="1:6" ht="16" thickBot="1" x14ac:dyDescent="0.25">
      <c r="A4738" s="83"/>
      <c r="B4738" s="129"/>
      <c r="C4738" s="129"/>
      <c r="D4738" s="83"/>
      <c r="E4738" s="103"/>
      <c r="F4738" s="129"/>
    </row>
    <row r="4739" spans="1:6" ht="16" thickBot="1" x14ac:dyDescent="0.25">
      <c r="A4739" s="83"/>
      <c r="B4739" s="129"/>
      <c r="C4739" s="129"/>
      <c r="D4739" s="83"/>
      <c r="E4739" s="103"/>
      <c r="F4739" s="129"/>
    </row>
    <row r="4740" spans="1:6" ht="16" thickBot="1" x14ac:dyDescent="0.25">
      <c r="A4740" s="83"/>
      <c r="B4740" s="129"/>
      <c r="C4740" s="129"/>
      <c r="D4740" s="83"/>
      <c r="E4740" s="103"/>
      <c r="F4740" s="129"/>
    </row>
    <row r="4741" spans="1:6" ht="16" thickBot="1" x14ac:dyDescent="0.25">
      <c r="A4741" s="83"/>
      <c r="B4741" s="129"/>
      <c r="C4741" s="129"/>
      <c r="D4741" s="83"/>
      <c r="E4741" s="103"/>
      <c r="F4741" s="129"/>
    </row>
    <row r="4742" spans="1:6" ht="16" thickBot="1" x14ac:dyDescent="0.25">
      <c r="A4742" s="83"/>
      <c r="B4742" s="129"/>
      <c r="C4742" s="129"/>
      <c r="D4742" s="83"/>
      <c r="E4742" s="103"/>
      <c r="F4742" s="129"/>
    </row>
    <row r="4743" spans="1:6" ht="16" thickBot="1" x14ac:dyDescent="0.25">
      <c r="A4743" s="83"/>
      <c r="B4743" s="129"/>
      <c r="C4743" s="129"/>
      <c r="D4743" s="83"/>
      <c r="E4743" s="103"/>
      <c r="F4743" s="129"/>
    </row>
    <row r="4744" spans="1:6" ht="16" thickBot="1" x14ac:dyDescent="0.25">
      <c r="A4744" s="83"/>
      <c r="B4744" s="129"/>
      <c r="C4744" s="129"/>
      <c r="D4744" s="83"/>
      <c r="E4744" s="103"/>
      <c r="F4744" s="129"/>
    </row>
    <row r="4745" spans="1:6" ht="16" thickBot="1" x14ac:dyDescent="0.25">
      <c r="A4745" s="83"/>
      <c r="B4745" s="129"/>
      <c r="C4745" s="129"/>
      <c r="D4745" s="83"/>
      <c r="E4745" s="103"/>
      <c r="F4745" s="129"/>
    </row>
    <row r="4746" spans="1:6" ht="16" thickBot="1" x14ac:dyDescent="0.25">
      <c r="A4746" s="83"/>
      <c r="B4746" s="129"/>
      <c r="C4746" s="129"/>
      <c r="D4746" s="83"/>
      <c r="E4746" s="103"/>
      <c r="F4746" s="129"/>
    </row>
    <row r="4747" spans="1:6" ht="16" thickBot="1" x14ac:dyDescent="0.25">
      <c r="A4747" s="83"/>
      <c r="B4747" s="129"/>
      <c r="C4747" s="129"/>
      <c r="D4747" s="83"/>
      <c r="E4747" s="103"/>
      <c r="F4747" s="129"/>
    </row>
    <row r="4748" spans="1:6" ht="16" thickBot="1" x14ac:dyDescent="0.25">
      <c r="A4748" s="83"/>
      <c r="B4748" s="129"/>
      <c r="C4748" s="129"/>
      <c r="D4748" s="83"/>
      <c r="E4748" s="103"/>
      <c r="F4748" s="129"/>
    </row>
    <row r="4749" spans="1:6" ht="16" thickBot="1" x14ac:dyDescent="0.25">
      <c r="A4749" s="83"/>
      <c r="B4749" s="129"/>
      <c r="C4749" s="129"/>
      <c r="D4749" s="83"/>
      <c r="E4749" s="103"/>
      <c r="F4749" s="129"/>
    </row>
    <row r="4750" spans="1:6" ht="16" thickBot="1" x14ac:dyDescent="0.25">
      <c r="A4750" s="83"/>
      <c r="B4750" s="129"/>
      <c r="C4750" s="129"/>
      <c r="D4750" s="83"/>
      <c r="E4750" s="103"/>
      <c r="F4750" s="129"/>
    </row>
    <row r="4751" spans="1:6" ht="16" thickBot="1" x14ac:dyDescent="0.25">
      <c r="A4751" s="83"/>
      <c r="B4751" s="129"/>
      <c r="C4751" s="129"/>
      <c r="D4751" s="83"/>
      <c r="E4751" s="103"/>
      <c r="F4751" s="129"/>
    </row>
    <row r="4752" spans="1:6" ht="16" thickBot="1" x14ac:dyDescent="0.25">
      <c r="A4752" s="83"/>
      <c r="B4752" s="129"/>
      <c r="C4752" s="129"/>
      <c r="D4752" s="83"/>
      <c r="E4752" s="103"/>
      <c r="F4752" s="129"/>
    </row>
    <row r="4753" spans="1:6" ht="16" thickBot="1" x14ac:dyDescent="0.25">
      <c r="A4753" s="83"/>
      <c r="B4753" s="129"/>
      <c r="C4753" s="129"/>
      <c r="D4753" s="83"/>
      <c r="E4753" s="103"/>
      <c r="F4753" s="129"/>
    </row>
    <row r="4754" spans="1:6" ht="16" thickBot="1" x14ac:dyDescent="0.25">
      <c r="A4754" s="83"/>
      <c r="B4754" s="129"/>
      <c r="C4754" s="129"/>
      <c r="D4754" s="83"/>
      <c r="E4754" s="103"/>
      <c r="F4754" s="129"/>
    </row>
    <row r="4755" spans="1:6" ht="16" thickBot="1" x14ac:dyDescent="0.25">
      <c r="A4755" s="83"/>
      <c r="B4755" s="129"/>
      <c r="C4755" s="129"/>
      <c r="D4755" s="83"/>
      <c r="E4755" s="103"/>
      <c r="F4755" s="129"/>
    </row>
    <row r="4756" spans="1:6" ht="16" thickBot="1" x14ac:dyDescent="0.25">
      <c r="A4756" s="83"/>
      <c r="B4756" s="129"/>
      <c r="C4756" s="129"/>
      <c r="D4756" s="83"/>
      <c r="E4756" s="103"/>
      <c r="F4756" s="129"/>
    </row>
    <row r="4757" spans="1:6" ht="16" thickBot="1" x14ac:dyDescent="0.25">
      <c r="A4757" s="83"/>
      <c r="B4757" s="129"/>
      <c r="C4757" s="129"/>
      <c r="D4757" s="83"/>
      <c r="E4757" s="103"/>
      <c r="F4757" s="129"/>
    </row>
    <row r="4758" spans="1:6" ht="16" thickBot="1" x14ac:dyDescent="0.25">
      <c r="A4758" s="83"/>
      <c r="B4758" s="129"/>
      <c r="C4758" s="129"/>
      <c r="D4758" s="83"/>
      <c r="E4758" s="103"/>
      <c r="F4758" s="129"/>
    </row>
    <row r="4759" spans="1:6" ht="16" thickBot="1" x14ac:dyDescent="0.25">
      <c r="A4759" s="83"/>
      <c r="B4759" s="129"/>
      <c r="C4759" s="129"/>
      <c r="D4759" s="83"/>
      <c r="E4759" s="103"/>
      <c r="F4759" s="129"/>
    </row>
    <row r="4760" spans="1:6" ht="16" thickBot="1" x14ac:dyDescent="0.25">
      <c r="A4760" s="83"/>
      <c r="B4760" s="129"/>
      <c r="C4760" s="129"/>
      <c r="D4760" s="83"/>
      <c r="E4760" s="103"/>
      <c r="F4760" s="129"/>
    </row>
    <row r="4761" spans="1:6" ht="16" thickBot="1" x14ac:dyDescent="0.25">
      <c r="A4761" s="83"/>
      <c r="B4761" s="129"/>
      <c r="C4761" s="129"/>
      <c r="D4761" s="83"/>
      <c r="E4761" s="103"/>
      <c r="F4761" s="129"/>
    </row>
    <row r="4762" spans="1:6" ht="16" thickBot="1" x14ac:dyDescent="0.25">
      <c r="A4762" s="83"/>
      <c r="B4762" s="129"/>
      <c r="C4762" s="129"/>
      <c r="D4762" s="83"/>
      <c r="E4762" s="103"/>
      <c r="F4762" s="129"/>
    </row>
    <row r="4763" spans="1:6" ht="16" thickBot="1" x14ac:dyDescent="0.25">
      <c r="A4763" s="83"/>
      <c r="B4763" s="129"/>
      <c r="C4763" s="129"/>
      <c r="D4763" s="83"/>
      <c r="E4763" s="103"/>
      <c r="F4763" s="129"/>
    </row>
    <row r="4764" spans="1:6" ht="16" thickBot="1" x14ac:dyDescent="0.25">
      <c r="A4764" s="83"/>
      <c r="B4764" s="129"/>
      <c r="C4764" s="129"/>
      <c r="D4764" s="83"/>
      <c r="E4764" s="103"/>
      <c r="F4764" s="129"/>
    </row>
    <row r="4765" spans="1:6" ht="16" thickBot="1" x14ac:dyDescent="0.25">
      <c r="A4765" s="83"/>
      <c r="B4765" s="129"/>
      <c r="C4765" s="129"/>
      <c r="D4765" s="83"/>
      <c r="E4765" s="103"/>
      <c r="F4765" s="129"/>
    </row>
    <row r="4766" spans="1:6" ht="16" thickBot="1" x14ac:dyDescent="0.25">
      <c r="A4766" s="83"/>
      <c r="B4766" s="129"/>
      <c r="C4766" s="129"/>
      <c r="D4766" s="83"/>
      <c r="E4766" s="103"/>
      <c r="F4766" s="129"/>
    </row>
    <row r="4767" spans="1:6" ht="16" thickBot="1" x14ac:dyDescent="0.25">
      <c r="A4767" s="83"/>
      <c r="B4767" s="129"/>
      <c r="C4767" s="129"/>
      <c r="D4767" s="83"/>
      <c r="E4767" s="103"/>
      <c r="F4767" s="129"/>
    </row>
    <row r="4768" spans="1:6" ht="16" thickBot="1" x14ac:dyDescent="0.25">
      <c r="A4768" s="83"/>
      <c r="B4768" s="129"/>
      <c r="C4768" s="129"/>
      <c r="D4768" s="83"/>
      <c r="E4768" s="103"/>
      <c r="F4768" s="129"/>
    </row>
    <row r="4769" spans="1:6" ht="16" thickBot="1" x14ac:dyDescent="0.25">
      <c r="A4769" s="83"/>
      <c r="B4769" s="129"/>
      <c r="C4769" s="129"/>
      <c r="D4769" s="83"/>
      <c r="E4769" s="103"/>
      <c r="F4769" s="129"/>
    </row>
    <row r="4770" spans="1:6" ht="16" thickBot="1" x14ac:dyDescent="0.25">
      <c r="A4770" s="83"/>
      <c r="B4770" s="129"/>
      <c r="C4770" s="129"/>
      <c r="D4770" s="83"/>
      <c r="E4770" s="103"/>
      <c r="F4770" s="129"/>
    </row>
    <row r="4771" spans="1:6" ht="16" thickBot="1" x14ac:dyDescent="0.25">
      <c r="A4771" s="83"/>
      <c r="B4771" s="129"/>
      <c r="C4771" s="129"/>
      <c r="D4771" s="83"/>
      <c r="E4771" s="103"/>
      <c r="F4771" s="129"/>
    </row>
    <row r="4772" spans="1:6" ht="16" thickBot="1" x14ac:dyDescent="0.25">
      <c r="A4772" s="83"/>
      <c r="B4772" s="129"/>
      <c r="C4772" s="129"/>
      <c r="D4772" s="83"/>
      <c r="E4772" s="103"/>
      <c r="F4772" s="129"/>
    </row>
    <row r="4773" spans="1:6" ht="16" thickBot="1" x14ac:dyDescent="0.25">
      <c r="A4773" s="83"/>
      <c r="B4773" s="129"/>
      <c r="C4773" s="129"/>
      <c r="D4773" s="83"/>
      <c r="E4773" s="103"/>
      <c r="F4773" s="129"/>
    </row>
    <row r="4774" spans="1:6" ht="16" thickBot="1" x14ac:dyDescent="0.25">
      <c r="A4774" s="83"/>
      <c r="B4774" s="129"/>
      <c r="C4774" s="129"/>
      <c r="D4774" s="83"/>
      <c r="E4774" s="103"/>
      <c r="F4774" s="129"/>
    </row>
    <row r="4775" spans="1:6" ht="16" thickBot="1" x14ac:dyDescent="0.25">
      <c r="A4775" s="83"/>
      <c r="B4775" s="129"/>
      <c r="C4775" s="129"/>
      <c r="D4775" s="83"/>
      <c r="E4775" s="103"/>
      <c r="F4775" s="129"/>
    </row>
    <row r="4776" spans="1:6" ht="16" thickBot="1" x14ac:dyDescent="0.25">
      <c r="A4776" s="83"/>
      <c r="B4776" s="129"/>
      <c r="C4776" s="129"/>
      <c r="D4776" s="83"/>
      <c r="E4776" s="103"/>
      <c r="F4776" s="129"/>
    </row>
    <row r="4777" spans="1:6" ht="16" thickBot="1" x14ac:dyDescent="0.25">
      <c r="A4777" s="83"/>
      <c r="B4777" s="129"/>
      <c r="C4777" s="129"/>
      <c r="D4777" s="83"/>
      <c r="E4777" s="103"/>
      <c r="F4777" s="129"/>
    </row>
    <row r="4778" spans="1:6" ht="16" thickBot="1" x14ac:dyDescent="0.25">
      <c r="A4778" s="83"/>
      <c r="B4778" s="129"/>
      <c r="C4778" s="129"/>
      <c r="D4778" s="83"/>
      <c r="E4778" s="103"/>
      <c r="F4778" s="129"/>
    </row>
    <row r="4779" spans="1:6" ht="16" thickBot="1" x14ac:dyDescent="0.25">
      <c r="A4779" s="83"/>
      <c r="B4779" s="129"/>
      <c r="C4779" s="129"/>
      <c r="D4779" s="83"/>
      <c r="E4779" s="103"/>
      <c r="F4779" s="129"/>
    </row>
    <row r="4780" spans="1:6" ht="16" thickBot="1" x14ac:dyDescent="0.25">
      <c r="A4780" s="83"/>
      <c r="B4780" s="129"/>
      <c r="C4780" s="129"/>
      <c r="D4780" s="83"/>
      <c r="E4780" s="103"/>
      <c r="F4780" s="129"/>
    </row>
    <row r="4781" spans="1:6" ht="16" thickBot="1" x14ac:dyDescent="0.25">
      <c r="A4781" s="83"/>
      <c r="B4781" s="129"/>
      <c r="C4781" s="129"/>
      <c r="D4781" s="83"/>
      <c r="E4781" s="103"/>
      <c r="F4781" s="129"/>
    </row>
    <row r="4782" spans="1:6" ht="16" thickBot="1" x14ac:dyDescent="0.25">
      <c r="A4782" s="83"/>
      <c r="B4782" s="129"/>
      <c r="C4782" s="129"/>
      <c r="D4782" s="83"/>
      <c r="E4782" s="103"/>
      <c r="F4782" s="129"/>
    </row>
    <row r="4783" spans="1:6" ht="16" thickBot="1" x14ac:dyDescent="0.25">
      <c r="A4783" s="83"/>
      <c r="B4783" s="129"/>
      <c r="C4783" s="129"/>
      <c r="D4783" s="83"/>
      <c r="E4783" s="103"/>
      <c r="F4783" s="129"/>
    </row>
    <row r="4784" spans="1:6" ht="16" thickBot="1" x14ac:dyDescent="0.25">
      <c r="A4784" s="83"/>
      <c r="B4784" s="129"/>
      <c r="C4784" s="129"/>
      <c r="D4784" s="83"/>
      <c r="E4784" s="103"/>
      <c r="F4784" s="129"/>
    </row>
    <row r="4785" spans="1:6" ht="16" thickBot="1" x14ac:dyDescent="0.25">
      <c r="A4785" s="83"/>
      <c r="B4785" s="129"/>
      <c r="C4785" s="129"/>
      <c r="D4785" s="83"/>
      <c r="E4785" s="103"/>
      <c r="F4785" s="129"/>
    </row>
    <row r="4786" spans="1:6" ht="16" thickBot="1" x14ac:dyDescent="0.25">
      <c r="A4786" s="83"/>
      <c r="B4786" s="129"/>
      <c r="C4786" s="129"/>
      <c r="D4786" s="83"/>
      <c r="E4786" s="103"/>
      <c r="F4786" s="129"/>
    </row>
    <row r="4787" spans="1:6" ht="16" thickBot="1" x14ac:dyDescent="0.25">
      <c r="A4787" s="83"/>
      <c r="B4787" s="129"/>
      <c r="C4787" s="129"/>
      <c r="D4787" s="83"/>
      <c r="E4787" s="103"/>
      <c r="F4787" s="129"/>
    </row>
    <row r="4788" spans="1:6" ht="16" thickBot="1" x14ac:dyDescent="0.25">
      <c r="A4788" s="83"/>
      <c r="B4788" s="129"/>
      <c r="C4788" s="129"/>
      <c r="D4788" s="83"/>
      <c r="E4788" s="103"/>
      <c r="F4788" s="129"/>
    </row>
    <row r="4789" spans="1:6" ht="16" thickBot="1" x14ac:dyDescent="0.25">
      <c r="A4789" s="83"/>
      <c r="B4789" s="129"/>
      <c r="C4789" s="129"/>
      <c r="D4789" s="83"/>
      <c r="E4789" s="103"/>
      <c r="F4789" s="129"/>
    </row>
    <row r="4790" spans="1:6" ht="16" thickBot="1" x14ac:dyDescent="0.25">
      <c r="A4790" s="83"/>
      <c r="B4790" s="129"/>
      <c r="C4790" s="129"/>
      <c r="D4790" s="83"/>
      <c r="E4790" s="103"/>
      <c r="F4790" s="129"/>
    </row>
    <row r="4791" spans="1:6" ht="16" thickBot="1" x14ac:dyDescent="0.25">
      <c r="A4791" s="83"/>
      <c r="B4791" s="129"/>
      <c r="C4791" s="129"/>
      <c r="D4791" s="83"/>
      <c r="E4791" s="83"/>
      <c r="F4791" s="129"/>
    </row>
    <row r="4792" spans="1:6" ht="16" thickBot="1" x14ac:dyDescent="0.25">
      <c r="A4792" s="83"/>
      <c r="B4792" s="129"/>
      <c r="C4792" s="129"/>
      <c r="D4792" s="83"/>
      <c r="E4792" s="103"/>
      <c r="F4792" s="129"/>
    </row>
    <row r="4793" spans="1:6" ht="16" thickBot="1" x14ac:dyDescent="0.25">
      <c r="A4793" s="83"/>
      <c r="B4793" s="129"/>
      <c r="C4793" s="129"/>
      <c r="D4793" s="83"/>
      <c r="E4793" s="103"/>
      <c r="F4793" s="129"/>
    </row>
    <row r="4794" spans="1:6" ht="16" thickBot="1" x14ac:dyDescent="0.25">
      <c r="A4794" s="83"/>
      <c r="B4794" s="129"/>
      <c r="C4794" s="129"/>
      <c r="D4794" s="83"/>
      <c r="E4794" s="103"/>
      <c r="F4794" s="129"/>
    </row>
    <row r="4795" spans="1:6" ht="16" thickBot="1" x14ac:dyDescent="0.25">
      <c r="A4795" s="83"/>
      <c r="B4795" s="129"/>
      <c r="C4795" s="129"/>
      <c r="D4795" s="83"/>
      <c r="E4795" s="103"/>
      <c r="F4795" s="129"/>
    </row>
    <row r="4796" spans="1:6" ht="16" thickBot="1" x14ac:dyDescent="0.25">
      <c r="A4796" s="83"/>
      <c r="B4796" s="129"/>
      <c r="C4796" s="129"/>
      <c r="D4796" s="83"/>
      <c r="E4796" s="103"/>
      <c r="F4796" s="129"/>
    </row>
    <row r="4797" spans="1:6" ht="16" thickBot="1" x14ac:dyDescent="0.25">
      <c r="A4797" s="83"/>
      <c r="B4797" s="129"/>
      <c r="C4797" s="129"/>
      <c r="D4797" s="83"/>
      <c r="E4797" s="103"/>
      <c r="F4797" s="129"/>
    </row>
    <row r="4798" spans="1:6" ht="16" thickBot="1" x14ac:dyDescent="0.25">
      <c r="A4798" s="83"/>
      <c r="B4798" s="129"/>
      <c r="C4798" s="129"/>
      <c r="D4798" s="83"/>
      <c r="E4798" s="103"/>
      <c r="F4798" s="129"/>
    </row>
    <row r="4799" spans="1:6" ht="16" thickBot="1" x14ac:dyDescent="0.25">
      <c r="A4799" s="83"/>
      <c r="B4799" s="129"/>
      <c r="C4799" s="129"/>
      <c r="D4799" s="83"/>
      <c r="E4799" s="103"/>
      <c r="F4799" s="129"/>
    </row>
    <row r="4800" spans="1:6" ht="16" thickBot="1" x14ac:dyDescent="0.25">
      <c r="A4800" s="83"/>
      <c r="B4800" s="129"/>
      <c r="C4800" s="129"/>
      <c r="D4800" s="83"/>
      <c r="E4800" s="103"/>
      <c r="F4800" s="129"/>
    </row>
    <row r="4801" spans="1:6" ht="16" thickBot="1" x14ac:dyDescent="0.25">
      <c r="A4801" s="83"/>
      <c r="B4801" s="129"/>
      <c r="C4801" s="129"/>
      <c r="D4801" s="83"/>
      <c r="E4801" s="103"/>
      <c r="F4801" s="129"/>
    </row>
    <row r="4802" spans="1:6" ht="16" thickBot="1" x14ac:dyDescent="0.25">
      <c r="A4802" s="83"/>
      <c r="B4802" s="129"/>
      <c r="C4802" s="129"/>
      <c r="D4802" s="83"/>
      <c r="E4802" s="103"/>
      <c r="F4802" s="129"/>
    </row>
    <row r="4803" spans="1:6" ht="16" thickBot="1" x14ac:dyDescent="0.25">
      <c r="A4803" s="83"/>
      <c r="B4803" s="129"/>
      <c r="C4803" s="129"/>
      <c r="D4803" s="83"/>
      <c r="E4803" s="103"/>
      <c r="F4803" s="129"/>
    </row>
    <row r="4804" spans="1:6" ht="16" thickBot="1" x14ac:dyDescent="0.25">
      <c r="A4804" s="83"/>
      <c r="B4804" s="129"/>
      <c r="C4804" s="129"/>
      <c r="D4804" s="83"/>
      <c r="E4804" s="103"/>
      <c r="F4804" s="129"/>
    </row>
    <row r="4805" spans="1:6" ht="16" thickBot="1" x14ac:dyDescent="0.25">
      <c r="A4805" s="83"/>
      <c r="B4805" s="129"/>
      <c r="C4805" s="129"/>
      <c r="D4805" s="83"/>
      <c r="E4805" s="103"/>
      <c r="F4805" s="129"/>
    </row>
    <row r="4806" spans="1:6" ht="16" thickBot="1" x14ac:dyDescent="0.25">
      <c r="A4806" s="83"/>
      <c r="B4806" s="129"/>
      <c r="C4806" s="129"/>
      <c r="D4806" s="83"/>
      <c r="E4806" s="103"/>
      <c r="F4806" s="129"/>
    </row>
    <row r="4807" spans="1:6" ht="16" thickBot="1" x14ac:dyDescent="0.25">
      <c r="A4807" s="83"/>
      <c r="B4807" s="129"/>
      <c r="C4807" s="129"/>
      <c r="D4807" s="83"/>
      <c r="E4807" s="103"/>
      <c r="F4807" s="129"/>
    </row>
    <row r="4808" spans="1:6" ht="16" thickBot="1" x14ac:dyDescent="0.25">
      <c r="A4808" s="83"/>
      <c r="B4808" s="129"/>
      <c r="C4808" s="129"/>
      <c r="D4808" s="83"/>
      <c r="E4808" s="103"/>
      <c r="F4808" s="129"/>
    </row>
    <row r="4809" spans="1:6" ht="16" thickBot="1" x14ac:dyDescent="0.25">
      <c r="A4809" s="83"/>
      <c r="B4809" s="129"/>
      <c r="C4809" s="129"/>
      <c r="D4809" s="83"/>
      <c r="E4809" s="103"/>
      <c r="F4809" s="129"/>
    </row>
    <row r="4810" spans="1:6" ht="16" thickBot="1" x14ac:dyDescent="0.25">
      <c r="A4810" s="83"/>
      <c r="B4810" s="129"/>
      <c r="C4810" s="129"/>
      <c r="D4810" s="83"/>
      <c r="E4810" s="103"/>
      <c r="F4810" s="129"/>
    </row>
    <row r="4811" spans="1:6" ht="16" thickBot="1" x14ac:dyDescent="0.25">
      <c r="A4811" s="83"/>
      <c r="B4811" s="129"/>
      <c r="C4811" s="129"/>
      <c r="D4811" s="83"/>
      <c r="E4811" s="103"/>
      <c r="F4811" s="129"/>
    </row>
    <row r="4812" spans="1:6" ht="16" thickBot="1" x14ac:dyDescent="0.25">
      <c r="A4812" s="83"/>
      <c r="B4812" s="129"/>
      <c r="C4812" s="129"/>
      <c r="D4812" s="83"/>
      <c r="E4812" s="103"/>
      <c r="F4812" s="129"/>
    </row>
    <row r="4813" spans="1:6" ht="16" thickBot="1" x14ac:dyDescent="0.25">
      <c r="A4813" s="83"/>
      <c r="B4813" s="129"/>
      <c r="C4813" s="129"/>
      <c r="D4813" s="83"/>
      <c r="E4813" s="103"/>
      <c r="F4813" s="129"/>
    </row>
    <row r="4814" spans="1:6" ht="16" thickBot="1" x14ac:dyDescent="0.25">
      <c r="A4814" s="83"/>
      <c r="B4814" s="129"/>
      <c r="C4814" s="129"/>
      <c r="D4814" s="83"/>
      <c r="E4814" s="103"/>
      <c r="F4814" s="129"/>
    </row>
    <row r="4815" spans="1:6" ht="16" thickBot="1" x14ac:dyDescent="0.25">
      <c r="A4815" s="83"/>
      <c r="B4815" s="129"/>
      <c r="C4815" s="129"/>
      <c r="D4815" s="83"/>
      <c r="E4815" s="103"/>
      <c r="F4815" s="129"/>
    </row>
    <row r="4816" spans="1:6" ht="16" thickBot="1" x14ac:dyDescent="0.25">
      <c r="A4816" s="83"/>
      <c r="B4816" s="129"/>
      <c r="C4816" s="129"/>
      <c r="D4816" s="83"/>
      <c r="E4816" s="103"/>
      <c r="F4816" s="129"/>
    </row>
    <row r="4817" spans="1:6" ht="16" thickBot="1" x14ac:dyDescent="0.25">
      <c r="A4817" s="83"/>
      <c r="B4817" s="129"/>
      <c r="C4817" s="129"/>
      <c r="D4817" s="83"/>
      <c r="E4817" s="103"/>
      <c r="F4817" s="129"/>
    </row>
    <row r="4818" spans="1:6" ht="16" thickBot="1" x14ac:dyDescent="0.25">
      <c r="A4818" s="83"/>
      <c r="B4818" s="129"/>
      <c r="C4818" s="129"/>
      <c r="D4818" s="83"/>
      <c r="E4818" s="103"/>
      <c r="F4818" s="129"/>
    </row>
    <row r="4819" spans="1:6" ht="16" thickBot="1" x14ac:dyDescent="0.25">
      <c r="A4819" s="83"/>
      <c r="B4819" s="129"/>
      <c r="C4819" s="129"/>
      <c r="D4819" s="83"/>
      <c r="E4819" s="103"/>
      <c r="F4819" s="129"/>
    </row>
    <row r="4820" spans="1:6" ht="16" thickBot="1" x14ac:dyDescent="0.25">
      <c r="A4820" s="83"/>
      <c r="B4820" s="129"/>
      <c r="C4820" s="129"/>
      <c r="D4820" s="83"/>
      <c r="E4820" s="103"/>
      <c r="F4820" s="129"/>
    </row>
    <row r="4821" spans="1:6" ht="16" thickBot="1" x14ac:dyDescent="0.25">
      <c r="A4821" s="83"/>
      <c r="B4821" s="129"/>
      <c r="C4821" s="129"/>
      <c r="D4821" s="83"/>
      <c r="E4821" s="103"/>
      <c r="F4821" s="129"/>
    </row>
    <row r="4822" spans="1:6" ht="16" thickBot="1" x14ac:dyDescent="0.25">
      <c r="A4822" s="83"/>
      <c r="B4822" s="129"/>
      <c r="C4822" s="129"/>
      <c r="D4822" s="83"/>
      <c r="E4822" s="103"/>
      <c r="F4822" s="129"/>
    </row>
    <row r="4823" spans="1:6" ht="16" thickBot="1" x14ac:dyDescent="0.25">
      <c r="A4823" s="83"/>
      <c r="B4823" s="129"/>
      <c r="C4823" s="129"/>
      <c r="D4823" s="83"/>
      <c r="E4823" s="103"/>
      <c r="F4823" s="129"/>
    </row>
    <row r="4824" spans="1:6" ht="16" thickBot="1" x14ac:dyDescent="0.25">
      <c r="A4824" s="83"/>
      <c r="B4824" s="129"/>
      <c r="C4824" s="129"/>
      <c r="D4824" s="83"/>
      <c r="E4824" s="103"/>
      <c r="F4824" s="129"/>
    </row>
    <row r="4825" spans="1:6" ht="16" thickBot="1" x14ac:dyDescent="0.25">
      <c r="A4825" s="83"/>
      <c r="B4825" s="129"/>
      <c r="C4825" s="129"/>
      <c r="D4825" s="83"/>
      <c r="E4825" s="103"/>
      <c r="F4825" s="129"/>
    </row>
    <row r="4826" spans="1:6" ht="16" thickBot="1" x14ac:dyDescent="0.25">
      <c r="A4826" s="83"/>
      <c r="B4826" s="129"/>
      <c r="C4826" s="129"/>
      <c r="D4826" s="83"/>
      <c r="E4826" s="103"/>
      <c r="F4826" s="129"/>
    </row>
    <row r="4827" spans="1:6" ht="16" thickBot="1" x14ac:dyDescent="0.25">
      <c r="A4827" s="83"/>
      <c r="B4827" s="129"/>
      <c r="C4827" s="129"/>
      <c r="D4827" s="83"/>
      <c r="E4827" s="103"/>
      <c r="F4827" s="129"/>
    </row>
    <row r="4828" spans="1:6" ht="16" thickBot="1" x14ac:dyDescent="0.25">
      <c r="A4828" s="83"/>
      <c r="B4828" s="129"/>
      <c r="C4828" s="129"/>
      <c r="D4828" s="83"/>
      <c r="E4828" s="103"/>
      <c r="F4828" s="129"/>
    </row>
    <row r="4829" spans="1:6" ht="16" thickBot="1" x14ac:dyDescent="0.25">
      <c r="A4829" s="83"/>
      <c r="B4829" s="129"/>
      <c r="C4829" s="129"/>
      <c r="D4829" s="83"/>
      <c r="E4829" s="103"/>
      <c r="F4829" s="129"/>
    </row>
    <row r="4830" spans="1:6" ht="16" thickBot="1" x14ac:dyDescent="0.25">
      <c r="A4830" s="83"/>
      <c r="B4830" s="129"/>
      <c r="C4830" s="129"/>
      <c r="D4830" s="83"/>
      <c r="E4830" s="103"/>
      <c r="F4830" s="129"/>
    </row>
    <row r="4831" spans="1:6" ht="16" thickBot="1" x14ac:dyDescent="0.25">
      <c r="A4831" s="83"/>
      <c r="B4831" s="129"/>
      <c r="C4831" s="129"/>
      <c r="D4831" s="83"/>
      <c r="E4831" s="103"/>
      <c r="F4831" s="129"/>
    </row>
    <row r="4832" spans="1:6" ht="16" thickBot="1" x14ac:dyDescent="0.25">
      <c r="A4832" s="83"/>
      <c r="B4832" s="129"/>
      <c r="C4832" s="129"/>
      <c r="D4832" s="83"/>
      <c r="E4832" s="103"/>
      <c r="F4832" s="129"/>
    </row>
    <row r="4833" spans="1:6" ht="16" thickBot="1" x14ac:dyDescent="0.25">
      <c r="A4833" s="83"/>
      <c r="B4833" s="129"/>
      <c r="C4833" s="129"/>
      <c r="D4833" s="83"/>
      <c r="E4833" s="103"/>
      <c r="F4833" s="129"/>
    </row>
    <row r="4834" spans="1:6" ht="16" thickBot="1" x14ac:dyDescent="0.25">
      <c r="A4834" s="83"/>
      <c r="B4834" s="129"/>
      <c r="C4834" s="129"/>
      <c r="D4834" s="83"/>
      <c r="E4834" s="103"/>
      <c r="F4834" s="129"/>
    </row>
    <row r="4835" spans="1:6" ht="16" thickBot="1" x14ac:dyDescent="0.25">
      <c r="A4835" s="83"/>
      <c r="B4835" s="129"/>
      <c r="C4835" s="129"/>
      <c r="D4835" s="83"/>
      <c r="E4835" s="103"/>
      <c r="F4835" s="129"/>
    </row>
    <row r="4836" spans="1:6" ht="16" thickBot="1" x14ac:dyDescent="0.25">
      <c r="A4836" s="83"/>
      <c r="B4836" s="129"/>
      <c r="C4836" s="129"/>
      <c r="D4836" s="83"/>
      <c r="E4836" s="103"/>
      <c r="F4836" s="129"/>
    </row>
    <row r="4837" spans="1:6" ht="16" thickBot="1" x14ac:dyDescent="0.25">
      <c r="A4837" s="83"/>
      <c r="B4837" s="129"/>
      <c r="C4837" s="129"/>
      <c r="D4837" s="83"/>
      <c r="E4837" s="103"/>
      <c r="F4837" s="129"/>
    </row>
    <row r="4838" spans="1:6" ht="16" thickBot="1" x14ac:dyDescent="0.25">
      <c r="A4838" s="83"/>
      <c r="B4838" s="129"/>
      <c r="C4838" s="129"/>
      <c r="D4838" s="83"/>
      <c r="E4838" s="103"/>
      <c r="F4838" s="129"/>
    </row>
    <row r="4839" spans="1:6" ht="16" thickBot="1" x14ac:dyDescent="0.25">
      <c r="A4839" s="83"/>
      <c r="B4839" s="129"/>
      <c r="C4839" s="129"/>
      <c r="D4839" s="83"/>
      <c r="E4839" s="103"/>
      <c r="F4839" s="129"/>
    </row>
    <row r="4840" spans="1:6" ht="16" thickBot="1" x14ac:dyDescent="0.25">
      <c r="A4840" s="83"/>
      <c r="B4840" s="129"/>
      <c r="C4840" s="129"/>
      <c r="D4840" s="83"/>
      <c r="E4840" s="103"/>
      <c r="F4840" s="129"/>
    </row>
    <row r="4841" spans="1:6" ht="16" thickBot="1" x14ac:dyDescent="0.25">
      <c r="A4841" s="83"/>
      <c r="B4841" s="129"/>
      <c r="C4841" s="129"/>
      <c r="D4841" s="83"/>
      <c r="E4841" s="103"/>
      <c r="F4841" s="129"/>
    </row>
    <row r="4842" spans="1:6" ht="16" thickBot="1" x14ac:dyDescent="0.25">
      <c r="A4842" s="83"/>
      <c r="B4842" s="129"/>
      <c r="C4842" s="129"/>
      <c r="D4842" s="83"/>
      <c r="E4842" s="103"/>
      <c r="F4842" s="129"/>
    </row>
    <row r="4843" spans="1:6" ht="16" thickBot="1" x14ac:dyDescent="0.25">
      <c r="A4843" s="83"/>
      <c r="B4843" s="129"/>
      <c r="C4843" s="129"/>
      <c r="D4843" s="83"/>
      <c r="E4843" s="103"/>
      <c r="F4843" s="129"/>
    </row>
    <row r="4844" spans="1:6" ht="16" thickBot="1" x14ac:dyDescent="0.25">
      <c r="A4844" s="83"/>
      <c r="B4844" s="129"/>
      <c r="C4844" s="129"/>
      <c r="D4844" s="83"/>
      <c r="E4844" s="103"/>
      <c r="F4844" s="129"/>
    </row>
    <row r="4845" spans="1:6" ht="16" thickBot="1" x14ac:dyDescent="0.25">
      <c r="A4845" s="83"/>
      <c r="B4845" s="129"/>
      <c r="C4845" s="129"/>
      <c r="D4845" s="83"/>
      <c r="E4845" s="103"/>
      <c r="F4845" s="129"/>
    </row>
    <row r="4846" spans="1:6" ht="16" thickBot="1" x14ac:dyDescent="0.25">
      <c r="A4846" s="83"/>
      <c r="B4846" s="129"/>
      <c r="C4846" s="129"/>
      <c r="D4846" s="83"/>
      <c r="E4846" s="103"/>
      <c r="F4846" s="129"/>
    </row>
    <row r="4847" spans="1:6" ht="16" thickBot="1" x14ac:dyDescent="0.25">
      <c r="A4847" s="83"/>
      <c r="B4847" s="129"/>
      <c r="C4847" s="129"/>
      <c r="D4847" s="83"/>
      <c r="E4847" s="103"/>
      <c r="F4847" s="129"/>
    </row>
    <row r="4848" spans="1:6" ht="16" thickBot="1" x14ac:dyDescent="0.25">
      <c r="A4848" s="83"/>
      <c r="B4848" s="129"/>
      <c r="C4848" s="129"/>
      <c r="D4848" s="83"/>
      <c r="E4848" s="103"/>
      <c r="F4848" s="129"/>
    </row>
    <row r="4849" spans="1:6" ht="16" thickBot="1" x14ac:dyDescent="0.25">
      <c r="A4849" s="83"/>
      <c r="B4849" s="129"/>
      <c r="C4849" s="129"/>
      <c r="D4849" s="83"/>
      <c r="E4849" s="103"/>
      <c r="F4849" s="129"/>
    </row>
    <row r="4850" spans="1:6" ht="16" thickBot="1" x14ac:dyDescent="0.25">
      <c r="A4850" s="83"/>
      <c r="B4850" s="129"/>
      <c r="C4850" s="129"/>
      <c r="D4850" s="83"/>
      <c r="E4850" s="103"/>
      <c r="F4850" s="129"/>
    </row>
    <row r="4851" spans="1:6" ht="16" thickBot="1" x14ac:dyDescent="0.25">
      <c r="A4851" s="83"/>
      <c r="B4851" s="129"/>
      <c r="C4851" s="129"/>
      <c r="D4851" s="83"/>
      <c r="E4851" s="103"/>
      <c r="F4851" s="129"/>
    </row>
    <row r="4852" spans="1:6" ht="16" thickBot="1" x14ac:dyDescent="0.25">
      <c r="A4852" s="83"/>
      <c r="B4852" s="129"/>
      <c r="C4852" s="129"/>
      <c r="D4852" s="83"/>
      <c r="E4852" s="103"/>
      <c r="F4852" s="129"/>
    </row>
    <row r="4853" spans="1:6" ht="16" thickBot="1" x14ac:dyDescent="0.25">
      <c r="A4853" s="83"/>
      <c r="B4853" s="129"/>
      <c r="C4853" s="129"/>
      <c r="D4853" s="83"/>
      <c r="E4853" s="103"/>
      <c r="F4853" s="129"/>
    </row>
    <row r="4854" spans="1:6" ht="16" thickBot="1" x14ac:dyDescent="0.25">
      <c r="A4854" s="83"/>
      <c r="B4854" s="129"/>
      <c r="C4854" s="129"/>
      <c r="D4854" s="83"/>
      <c r="E4854" s="103"/>
      <c r="F4854" s="129"/>
    </row>
    <row r="4855" spans="1:6" ht="16" thickBot="1" x14ac:dyDescent="0.25">
      <c r="A4855" s="83"/>
      <c r="B4855" s="129"/>
      <c r="C4855" s="129"/>
      <c r="D4855" s="83"/>
      <c r="E4855" s="103"/>
      <c r="F4855" s="129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3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F321" sqref="AF321:AN322"/>
    </sheetView>
  </sheetViews>
  <sheetFormatPr baseColWidth="10" defaultColWidth="9" defaultRowHeight="15" x14ac:dyDescent="0.2"/>
  <cols>
    <col min="2" max="2" width="14.5" customWidth="1"/>
    <col min="3" max="3" width="2.83203125" style="1" customWidth="1"/>
    <col min="16" max="16" width="2.83203125" style="1" customWidth="1"/>
    <col min="17" max="17" width="17.1640625" bestFit="1" customWidth="1"/>
    <col min="18" max="18" width="14.83203125" bestFit="1" customWidth="1"/>
    <col min="19" max="19" width="17.1640625" bestFit="1" customWidth="1"/>
    <col min="20" max="20" width="14.83203125" bestFit="1" customWidth="1"/>
    <col min="21" max="21" width="17.1640625" bestFit="1" customWidth="1"/>
    <col min="22" max="22" width="14.83203125" bestFit="1" customWidth="1"/>
    <col min="23" max="23" width="16.5" style="34" bestFit="1" customWidth="1"/>
    <col min="24" max="24" width="12.83203125" style="34" bestFit="1" customWidth="1"/>
    <col min="25" max="25" width="16.5" style="34" bestFit="1" customWidth="1"/>
    <col min="26" max="26" width="12.83203125" style="34" bestFit="1" customWidth="1"/>
    <col min="27" max="27" width="16.5" style="34" bestFit="1" customWidth="1"/>
    <col min="28" max="28" width="12.83203125" style="34" bestFit="1" customWidth="1"/>
    <col min="29" max="29" width="16.5" bestFit="1" customWidth="1"/>
    <col min="30" max="30" width="12.83203125" bestFit="1" customWidth="1"/>
    <col min="31" max="31" width="16.5" bestFit="1" customWidth="1"/>
    <col min="32" max="32" width="12.83203125" bestFit="1" customWidth="1"/>
    <col min="33" max="33" width="16.5" bestFit="1" customWidth="1"/>
    <col min="34" max="34" width="12.83203125" bestFit="1" customWidth="1"/>
    <col min="35" max="35" width="16.5" bestFit="1" customWidth="1"/>
    <col min="36" max="36" width="14.83203125" bestFit="1" customWidth="1"/>
    <col min="37" max="37" width="16.5" bestFit="1" customWidth="1"/>
    <col min="38" max="38" width="14.83203125" bestFit="1" customWidth="1"/>
    <col min="39" max="39" width="16.5" bestFit="1" customWidth="1"/>
    <col min="40" max="40" width="14.83203125" bestFit="1" customWidth="1"/>
    <col min="41" max="41" width="2.6640625" style="1" customWidth="1"/>
    <col min="53" max="53" width="9.1640625" customWidth="1"/>
    <col min="54" max="54" width="2.83203125" style="1" customWidth="1"/>
    <col min="67" max="67" width="2.83203125" style="1" customWidth="1"/>
  </cols>
  <sheetData>
    <row r="1" spans="1:68" ht="30" customHeight="1" thickBot="1" x14ac:dyDescent="0.25">
      <c r="A1" s="296" t="s">
        <v>283</v>
      </c>
      <c r="B1" s="296"/>
      <c r="D1" s="294" t="s">
        <v>17</v>
      </c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7"/>
      <c r="Q1" s="294" t="s">
        <v>254</v>
      </c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P1" s="298" t="s">
        <v>18</v>
      </c>
      <c r="AQ1" s="298"/>
      <c r="AR1" s="298"/>
      <c r="AS1" s="298"/>
      <c r="AT1" s="298"/>
      <c r="AU1" s="298"/>
      <c r="AV1" s="298"/>
      <c r="AW1" s="298"/>
      <c r="AX1" s="298"/>
      <c r="AY1" s="298"/>
      <c r="AZ1" s="298"/>
      <c r="BA1" s="299"/>
      <c r="BC1" s="295" t="s">
        <v>19</v>
      </c>
      <c r="BD1" s="295"/>
      <c r="BE1" s="295"/>
      <c r="BF1" s="295"/>
      <c r="BG1" s="295"/>
      <c r="BH1" s="295"/>
      <c r="BI1" s="295"/>
      <c r="BJ1" s="295"/>
      <c r="BK1" s="295"/>
      <c r="BL1" s="295"/>
      <c r="BM1" s="295"/>
      <c r="BN1" s="295"/>
      <c r="BO1" s="32"/>
    </row>
    <row r="2" spans="1:68" ht="16" thickBot="1" x14ac:dyDescent="0.25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130">
        <v>45658</v>
      </c>
      <c r="R2" s="131"/>
      <c r="S2" s="130">
        <v>45689</v>
      </c>
      <c r="T2" s="131"/>
      <c r="U2" s="130">
        <v>45717</v>
      </c>
      <c r="V2" s="140"/>
      <c r="W2" s="142">
        <v>45748</v>
      </c>
      <c r="X2" s="143"/>
      <c r="Y2" s="142">
        <v>45778</v>
      </c>
      <c r="Z2" s="143"/>
      <c r="AA2" s="142">
        <v>45809</v>
      </c>
      <c r="AB2" s="148"/>
      <c r="AC2" s="252">
        <v>45839</v>
      </c>
      <c r="AD2" s="253"/>
      <c r="AE2" s="252">
        <v>45870</v>
      </c>
      <c r="AF2" s="254"/>
      <c r="AG2" s="123">
        <v>45901</v>
      </c>
      <c r="AH2" s="253"/>
      <c r="AI2" s="116">
        <v>45931</v>
      </c>
      <c r="AJ2" s="122"/>
      <c r="AK2" s="116">
        <v>45962</v>
      </c>
      <c r="AL2" s="255"/>
      <c r="AM2" s="123">
        <v>45992</v>
      </c>
      <c r="AN2" s="253"/>
      <c r="AP2" s="3">
        <v>45658</v>
      </c>
      <c r="AQ2" s="3">
        <v>45689</v>
      </c>
      <c r="AR2" s="3">
        <v>45717</v>
      </c>
      <c r="AS2" s="3">
        <v>45748</v>
      </c>
      <c r="AT2" s="3">
        <v>45778</v>
      </c>
      <c r="AU2" s="4">
        <v>45809</v>
      </c>
      <c r="AV2" s="3">
        <v>45839</v>
      </c>
      <c r="AW2" s="3">
        <v>45870</v>
      </c>
      <c r="AX2" s="3">
        <v>45901</v>
      </c>
      <c r="AY2" s="3">
        <v>45931</v>
      </c>
      <c r="AZ2" s="3">
        <v>45962</v>
      </c>
      <c r="BA2" s="3">
        <v>45992</v>
      </c>
      <c r="BC2" s="3">
        <v>45658</v>
      </c>
      <c r="BD2" s="3">
        <v>45689</v>
      </c>
      <c r="BE2" s="3">
        <v>45717</v>
      </c>
      <c r="BF2" s="3">
        <v>45748</v>
      </c>
      <c r="BG2" s="3">
        <v>45778</v>
      </c>
      <c r="BH2" s="4">
        <v>45809</v>
      </c>
      <c r="BI2" s="3">
        <v>45839</v>
      </c>
      <c r="BJ2" s="3">
        <v>45870</v>
      </c>
      <c r="BK2" s="3">
        <v>45901</v>
      </c>
      <c r="BL2" s="3">
        <v>45931</v>
      </c>
      <c r="BM2" s="3">
        <v>45962</v>
      </c>
      <c r="BN2" s="3">
        <v>45992</v>
      </c>
      <c r="BO2" s="33"/>
    </row>
    <row r="3" spans="1:68" ht="16" thickBot="1" x14ac:dyDescent="0.25">
      <c r="A3" s="121"/>
      <c r="B3" s="121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Q3" s="117" t="s">
        <v>272</v>
      </c>
      <c r="R3" s="118" t="s">
        <v>271</v>
      </c>
      <c r="S3" s="117" t="s">
        <v>272</v>
      </c>
      <c r="T3" s="118" t="s">
        <v>271</v>
      </c>
      <c r="U3" s="117" t="s">
        <v>272</v>
      </c>
      <c r="V3" s="141" t="s">
        <v>271</v>
      </c>
      <c r="W3" s="137" t="s">
        <v>272</v>
      </c>
      <c r="X3" s="138" t="s">
        <v>271</v>
      </c>
      <c r="Y3" s="137" t="s">
        <v>272</v>
      </c>
      <c r="Z3" s="138" t="s">
        <v>271</v>
      </c>
      <c r="AA3" s="137" t="s">
        <v>272</v>
      </c>
      <c r="AB3" s="138" t="s">
        <v>271</v>
      </c>
      <c r="AC3" s="141" t="s">
        <v>272</v>
      </c>
      <c r="AD3" s="118" t="s">
        <v>271</v>
      </c>
      <c r="AE3" s="117" t="s">
        <v>272</v>
      </c>
      <c r="AF3" s="118" t="s">
        <v>271</v>
      </c>
      <c r="AG3" s="117" t="s">
        <v>272</v>
      </c>
      <c r="AH3" s="118" t="s">
        <v>271</v>
      </c>
      <c r="AI3" s="117" t="s">
        <v>272</v>
      </c>
      <c r="AJ3" s="118" t="s">
        <v>271</v>
      </c>
      <c r="AK3" s="117" t="s">
        <v>272</v>
      </c>
      <c r="AL3" s="141" t="s">
        <v>271</v>
      </c>
      <c r="AM3" s="117" t="s">
        <v>272</v>
      </c>
      <c r="AN3" s="118" t="s">
        <v>271</v>
      </c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1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33"/>
    </row>
    <row r="4" spans="1:68" ht="16" thickBot="1" x14ac:dyDescent="0.25">
      <c r="A4" s="5" t="s">
        <v>31</v>
      </c>
      <c r="B4" t="s">
        <v>136</v>
      </c>
      <c r="Q4" s="15"/>
      <c r="R4" s="132"/>
      <c r="S4" s="15"/>
      <c r="T4" s="132"/>
      <c r="U4" s="37"/>
      <c r="V4" s="34"/>
      <c r="W4" s="134"/>
      <c r="X4" s="132"/>
      <c r="Y4" s="145"/>
      <c r="Z4" s="146"/>
      <c r="AA4" s="134"/>
      <c r="AB4" s="132"/>
      <c r="AE4" s="24"/>
      <c r="AF4" s="25"/>
      <c r="AG4" s="24"/>
      <c r="AH4" s="25"/>
      <c r="AI4" s="15"/>
      <c r="AK4" s="15"/>
      <c r="AM4" s="15"/>
      <c r="AN4" s="12"/>
      <c r="AP4" s="84">
        <v>9</v>
      </c>
      <c r="AQ4" s="84">
        <v>11</v>
      </c>
      <c r="AR4" s="84">
        <v>12</v>
      </c>
      <c r="AS4" s="84">
        <v>10</v>
      </c>
      <c r="AT4" s="84">
        <v>9</v>
      </c>
      <c r="AU4" s="84">
        <v>6</v>
      </c>
      <c r="BF4" s="84"/>
      <c r="BG4" s="84"/>
      <c r="BH4" s="85"/>
      <c r="BP4" t="s">
        <v>139</v>
      </c>
    </row>
    <row r="5" spans="1:68" ht="16" thickBot="1" x14ac:dyDescent="0.25">
      <c r="A5" s="5" t="s">
        <v>32</v>
      </c>
      <c r="B5" t="s">
        <v>136</v>
      </c>
      <c r="Q5" s="15"/>
      <c r="R5" s="132"/>
      <c r="S5" s="15"/>
      <c r="T5" s="132"/>
      <c r="U5" s="15"/>
      <c r="V5" s="34"/>
      <c r="W5" s="134"/>
      <c r="X5" s="132"/>
      <c r="Y5" s="134"/>
      <c r="Z5" s="132"/>
      <c r="AA5" s="134"/>
      <c r="AB5" s="132"/>
      <c r="AE5" s="15"/>
      <c r="AF5" s="12"/>
      <c r="AG5" s="15"/>
      <c r="AH5" s="12"/>
      <c r="AI5" s="15"/>
      <c r="AK5" s="15"/>
      <c r="AM5" s="15"/>
      <c r="AN5" s="12"/>
      <c r="AP5" s="84">
        <v>8</v>
      </c>
      <c r="AQ5" s="84">
        <v>10</v>
      </c>
      <c r="AR5" s="84">
        <v>7</v>
      </c>
      <c r="AS5" s="84">
        <v>6</v>
      </c>
      <c r="AT5" s="84">
        <v>6</v>
      </c>
      <c r="AU5" s="84">
        <v>3</v>
      </c>
      <c r="BF5" s="84"/>
      <c r="BG5" s="84"/>
      <c r="BH5" s="85"/>
      <c r="BP5" t="s">
        <v>255</v>
      </c>
    </row>
    <row r="6" spans="1:68" ht="16" thickBot="1" x14ac:dyDescent="0.25">
      <c r="A6" s="5" t="s">
        <v>33</v>
      </c>
      <c r="B6" t="s">
        <v>136</v>
      </c>
      <c r="Q6" s="15"/>
      <c r="R6" s="132"/>
      <c r="S6" s="15"/>
      <c r="T6" s="132"/>
      <c r="U6" s="15"/>
      <c r="V6" s="34"/>
      <c r="W6" s="134"/>
      <c r="X6" s="132"/>
      <c r="Y6" s="134"/>
      <c r="Z6" s="132"/>
      <c r="AA6" s="134"/>
      <c r="AB6" s="132"/>
      <c r="AE6" s="15"/>
      <c r="AF6" s="12"/>
      <c r="AG6" s="15"/>
      <c r="AH6" s="12"/>
      <c r="AI6" s="15"/>
      <c r="AK6" s="15"/>
      <c r="AM6" s="15"/>
      <c r="AN6" s="12"/>
      <c r="AP6" s="84">
        <v>10</v>
      </c>
      <c r="AQ6" s="84">
        <v>3</v>
      </c>
      <c r="AR6" s="84">
        <v>2</v>
      </c>
      <c r="AS6" s="84">
        <v>6</v>
      </c>
      <c r="AT6" s="84">
        <v>2</v>
      </c>
      <c r="AU6" s="84">
        <v>2</v>
      </c>
      <c r="BF6" s="84"/>
      <c r="BG6" s="84"/>
      <c r="BH6" s="85"/>
    </row>
    <row r="7" spans="1:68" ht="16" thickBot="1" x14ac:dyDescent="0.25">
      <c r="A7" s="5" t="s">
        <v>34</v>
      </c>
      <c r="B7" t="s">
        <v>136</v>
      </c>
      <c r="Q7" s="15"/>
      <c r="R7" s="132"/>
      <c r="S7" s="15"/>
      <c r="T7" s="132"/>
      <c r="U7" s="15"/>
      <c r="V7" s="34"/>
      <c r="W7" s="134"/>
      <c r="X7" s="132"/>
      <c r="Y7" s="134"/>
      <c r="Z7" s="132"/>
      <c r="AA7" s="134"/>
      <c r="AB7" s="132"/>
      <c r="AE7" s="15"/>
      <c r="AF7" s="12"/>
      <c r="AG7" s="15"/>
      <c r="AH7" s="12"/>
      <c r="AI7" s="15"/>
      <c r="AK7" s="15"/>
      <c r="AM7" s="15"/>
      <c r="AN7" s="12"/>
      <c r="AP7" s="84">
        <v>21</v>
      </c>
      <c r="AQ7" s="84">
        <v>17</v>
      </c>
      <c r="AR7" s="84">
        <v>22</v>
      </c>
      <c r="AS7" s="84">
        <v>14</v>
      </c>
      <c r="AT7" s="84">
        <v>16</v>
      </c>
      <c r="AU7" s="84">
        <v>10</v>
      </c>
      <c r="BF7" s="84"/>
      <c r="BG7" s="84"/>
      <c r="BH7" s="84"/>
      <c r="BP7" t="s">
        <v>269</v>
      </c>
    </row>
    <row r="8" spans="1:68" ht="16" thickBot="1" x14ac:dyDescent="0.25">
      <c r="A8" s="5" t="s">
        <v>35</v>
      </c>
      <c r="B8" t="s">
        <v>136</v>
      </c>
      <c r="Q8" s="15"/>
      <c r="R8" s="132"/>
      <c r="S8" s="15"/>
      <c r="T8" s="132"/>
      <c r="U8" s="15"/>
      <c r="V8" s="34"/>
      <c r="W8" s="134"/>
      <c r="X8" s="132"/>
      <c r="Y8" s="134"/>
      <c r="Z8" s="132"/>
      <c r="AA8" s="134"/>
      <c r="AB8" s="132"/>
      <c r="AE8" s="15"/>
      <c r="AF8" s="12"/>
      <c r="AG8" s="15"/>
      <c r="AH8" s="12"/>
      <c r="AI8" s="15"/>
      <c r="AK8" s="15"/>
      <c r="AM8" s="15"/>
      <c r="AN8" s="12"/>
      <c r="AP8" s="84">
        <v>7</v>
      </c>
      <c r="AQ8" s="84">
        <v>4</v>
      </c>
      <c r="AR8" s="84">
        <v>5</v>
      </c>
      <c r="AS8" s="84">
        <v>7</v>
      </c>
      <c r="AT8" s="84">
        <v>3</v>
      </c>
      <c r="AU8" s="84">
        <v>5</v>
      </c>
      <c r="BF8" s="84"/>
      <c r="BG8" s="84"/>
      <c r="BH8" s="85"/>
      <c r="BP8" t="s">
        <v>270</v>
      </c>
    </row>
    <row r="9" spans="1:68" ht="16" thickBot="1" x14ac:dyDescent="0.25">
      <c r="A9" s="5" t="s">
        <v>36</v>
      </c>
      <c r="B9" t="s">
        <v>136</v>
      </c>
      <c r="Q9" s="15"/>
      <c r="R9" s="132"/>
      <c r="S9" s="15"/>
      <c r="T9" s="132"/>
      <c r="U9" s="15"/>
      <c r="V9" s="34"/>
      <c r="W9" s="134"/>
      <c r="X9" s="132"/>
      <c r="Y9" s="134"/>
      <c r="Z9" s="132"/>
      <c r="AA9" s="134"/>
      <c r="AB9" s="132"/>
      <c r="AE9" s="15"/>
      <c r="AF9" s="12"/>
      <c r="AG9" s="15"/>
      <c r="AH9" s="12"/>
      <c r="AI9" s="15"/>
      <c r="AK9" s="15"/>
      <c r="AM9" s="15"/>
      <c r="AN9" s="12"/>
      <c r="AP9" s="84">
        <v>17</v>
      </c>
      <c r="AQ9" s="84">
        <v>1</v>
      </c>
      <c r="AR9" s="84">
        <v>15</v>
      </c>
      <c r="AS9" s="84">
        <v>15</v>
      </c>
      <c r="AT9" s="84">
        <v>12</v>
      </c>
      <c r="AU9" s="84">
        <v>1</v>
      </c>
      <c r="BF9" s="84"/>
      <c r="BG9" s="84"/>
      <c r="BH9" s="84"/>
    </row>
    <row r="10" spans="1:68" ht="16" thickBot="1" x14ac:dyDescent="0.25">
      <c r="A10" s="5" t="s">
        <v>37</v>
      </c>
      <c r="B10" t="s">
        <v>136</v>
      </c>
      <c r="Q10" s="15"/>
      <c r="R10" s="132"/>
      <c r="S10" s="15"/>
      <c r="T10" s="132"/>
      <c r="U10" s="15"/>
      <c r="V10" s="34"/>
      <c r="W10" s="134"/>
      <c r="X10" s="132"/>
      <c r="Y10" s="134"/>
      <c r="Z10" s="132"/>
      <c r="AA10" s="134"/>
      <c r="AB10" s="132"/>
      <c r="AE10" s="15"/>
      <c r="AF10" s="12"/>
      <c r="AG10" s="15"/>
      <c r="AH10" s="12"/>
      <c r="AI10" s="15"/>
      <c r="AK10" s="15"/>
      <c r="AM10" s="15"/>
      <c r="AN10" s="12"/>
      <c r="AP10" s="84">
        <v>2</v>
      </c>
      <c r="AQ10" s="84">
        <v>5</v>
      </c>
      <c r="AR10" s="84">
        <v>5</v>
      </c>
      <c r="AS10" s="84">
        <v>2</v>
      </c>
      <c r="AT10" s="84">
        <v>4</v>
      </c>
      <c r="AU10" s="85"/>
      <c r="BF10" s="84"/>
      <c r="BG10" s="84"/>
      <c r="BH10" s="85"/>
    </row>
    <row r="11" spans="1:68" ht="16" thickBot="1" x14ac:dyDescent="0.25">
      <c r="A11" s="5" t="s">
        <v>38</v>
      </c>
      <c r="B11" t="s">
        <v>136</v>
      </c>
      <c r="H11">
        <v>1</v>
      </c>
      <c r="I11">
        <v>1</v>
      </c>
      <c r="Q11" s="15"/>
      <c r="R11" s="132"/>
      <c r="S11" s="15"/>
      <c r="T11" s="132"/>
      <c r="U11" s="15"/>
      <c r="V11" s="34"/>
      <c r="W11" s="134"/>
      <c r="X11" s="132"/>
      <c r="Y11" s="134">
        <v>1</v>
      </c>
      <c r="Z11" s="132">
        <v>4.4803239994507749E-2</v>
      </c>
      <c r="AA11" s="134">
        <v>1</v>
      </c>
      <c r="AB11" s="132">
        <v>0.21857638000074076</v>
      </c>
      <c r="AE11" s="15"/>
      <c r="AF11" s="12"/>
      <c r="AG11" s="15"/>
      <c r="AH11" s="12"/>
      <c r="AI11" s="15"/>
      <c r="AK11" s="15"/>
      <c r="AM11" s="15"/>
      <c r="AN11" s="12"/>
      <c r="AP11" s="84">
        <v>26</v>
      </c>
      <c r="AQ11" s="84">
        <v>24</v>
      </c>
      <c r="AR11" s="84">
        <v>25</v>
      </c>
      <c r="AS11" s="84">
        <v>19</v>
      </c>
      <c r="AT11" s="84">
        <v>23</v>
      </c>
      <c r="AU11" s="84">
        <v>13</v>
      </c>
      <c r="BF11" s="84"/>
      <c r="BG11" s="84"/>
      <c r="BH11" s="85"/>
    </row>
    <row r="12" spans="1:68" ht="16" thickBot="1" x14ac:dyDescent="0.25">
      <c r="A12" s="5" t="s">
        <v>39</v>
      </c>
      <c r="B12" t="s">
        <v>136</v>
      </c>
      <c r="Q12" s="15"/>
      <c r="R12" s="132"/>
      <c r="S12" s="15"/>
      <c r="T12" s="132"/>
      <c r="U12" s="15"/>
      <c r="V12" s="34"/>
      <c r="W12" s="134"/>
      <c r="X12" s="132"/>
      <c r="Y12" s="134"/>
      <c r="Z12" s="132"/>
      <c r="AA12" s="134"/>
      <c r="AB12" s="132"/>
      <c r="AE12" s="15"/>
      <c r="AF12" s="12"/>
      <c r="AG12" s="15"/>
      <c r="AH12" s="12"/>
      <c r="AI12" s="15"/>
      <c r="AK12" s="15"/>
      <c r="AM12" s="15"/>
      <c r="AN12" s="12"/>
      <c r="AP12" s="84">
        <v>1</v>
      </c>
      <c r="AQ12" s="85"/>
      <c r="AR12" s="84">
        <v>1</v>
      </c>
      <c r="AS12" s="85"/>
      <c r="AT12" s="84">
        <v>1</v>
      </c>
      <c r="AU12" s="85"/>
      <c r="BF12" s="84"/>
      <c r="BG12" s="85"/>
      <c r="BH12" s="85"/>
    </row>
    <row r="13" spans="1:68" ht="16" thickBot="1" x14ac:dyDescent="0.25">
      <c r="A13" s="5" t="s">
        <v>40</v>
      </c>
      <c r="B13" t="s">
        <v>136</v>
      </c>
      <c r="G13">
        <v>1</v>
      </c>
      <c r="Q13" s="15"/>
      <c r="R13" s="132"/>
      <c r="S13" s="15"/>
      <c r="T13" s="132"/>
      <c r="U13" s="15"/>
      <c r="V13" s="34"/>
      <c r="W13" s="134">
        <v>1</v>
      </c>
      <c r="X13" s="132">
        <v>1.0581365800026106</v>
      </c>
      <c r="Y13" s="134"/>
      <c r="Z13" s="132"/>
      <c r="AA13" s="134"/>
      <c r="AB13" s="132"/>
      <c r="AE13" s="15"/>
      <c r="AF13" s="12"/>
      <c r="AG13" s="15"/>
      <c r="AH13" s="12"/>
      <c r="AI13" s="15"/>
      <c r="AK13" s="15"/>
      <c r="AM13" s="15"/>
      <c r="AN13" s="12"/>
      <c r="AP13" s="84">
        <v>5</v>
      </c>
      <c r="AQ13" s="84">
        <v>4</v>
      </c>
      <c r="AR13" s="84">
        <v>7</v>
      </c>
      <c r="AS13" s="84">
        <v>4</v>
      </c>
      <c r="AT13" s="84">
        <v>5</v>
      </c>
      <c r="AU13" s="84">
        <v>3</v>
      </c>
      <c r="BF13" s="84"/>
      <c r="BG13" s="84"/>
      <c r="BH13" s="85"/>
    </row>
    <row r="14" spans="1:68" ht="16" thickBot="1" x14ac:dyDescent="0.25">
      <c r="A14" s="5" t="s">
        <v>41</v>
      </c>
      <c r="B14" t="s">
        <v>136</v>
      </c>
      <c r="Q14" s="15"/>
      <c r="R14" s="132"/>
      <c r="S14" s="15"/>
      <c r="T14" s="132"/>
      <c r="U14" s="15"/>
      <c r="V14" s="34"/>
      <c r="W14" s="134"/>
      <c r="X14" s="132"/>
      <c r="Y14" s="134"/>
      <c r="Z14" s="132"/>
      <c r="AA14" s="134"/>
      <c r="AB14" s="132"/>
      <c r="AE14" s="15"/>
      <c r="AF14" s="12"/>
      <c r="AG14" s="15"/>
      <c r="AH14" s="12"/>
      <c r="AI14" s="15"/>
      <c r="AK14" s="15"/>
      <c r="AM14" s="15"/>
      <c r="AN14" s="12"/>
      <c r="AP14" s="85"/>
      <c r="AQ14" s="85"/>
      <c r="AR14" s="85"/>
      <c r="AS14" s="85"/>
      <c r="AT14" s="85"/>
      <c r="AU14" s="85"/>
      <c r="BF14" s="85"/>
      <c r="BG14" s="84"/>
      <c r="BH14" s="85"/>
    </row>
    <row r="15" spans="1:68" ht="16" thickBot="1" x14ac:dyDescent="0.25">
      <c r="A15" s="5" t="s">
        <v>42</v>
      </c>
      <c r="B15" t="s">
        <v>136</v>
      </c>
      <c r="Q15" s="15"/>
      <c r="R15" s="132"/>
      <c r="S15" s="15"/>
      <c r="T15" s="132"/>
      <c r="U15" s="15"/>
      <c r="V15" s="34"/>
      <c r="W15" s="134"/>
      <c r="X15" s="132"/>
      <c r="Y15" s="134"/>
      <c r="Z15" s="132"/>
      <c r="AA15" s="134"/>
      <c r="AB15" s="132"/>
      <c r="AE15" s="15"/>
      <c r="AF15" s="12"/>
      <c r="AG15" s="15"/>
      <c r="AH15" s="12"/>
      <c r="AI15" s="15"/>
      <c r="AK15" s="15"/>
      <c r="AM15" s="15"/>
      <c r="AN15" s="12"/>
      <c r="AP15" s="84">
        <v>2</v>
      </c>
      <c r="AQ15" s="84">
        <v>2</v>
      </c>
      <c r="AR15" s="84">
        <v>1</v>
      </c>
      <c r="AS15" s="84">
        <v>2</v>
      </c>
      <c r="AT15" s="84">
        <v>2</v>
      </c>
      <c r="AU15" s="85"/>
      <c r="BF15" s="84"/>
      <c r="BG15" s="84"/>
      <c r="BH15" s="85"/>
    </row>
    <row r="16" spans="1:68" ht="16" thickBot="1" x14ac:dyDescent="0.25">
      <c r="A16" s="5" t="s">
        <v>43</v>
      </c>
      <c r="B16" t="s">
        <v>136</v>
      </c>
      <c r="D16">
        <v>1</v>
      </c>
      <c r="F16">
        <v>1</v>
      </c>
      <c r="Q16" s="15"/>
      <c r="R16" s="132"/>
      <c r="S16" s="15"/>
      <c r="T16" s="132"/>
      <c r="U16" s="15"/>
      <c r="V16" s="34"/>
      <c r="W16" s="134"/>
      <c r="X16" s="132"/>
      <c r="Y16" s="134"/>
      <c r="Z16" s="132"/>
      <c r="AA16" s="134"/>
      <c r="AB16" s="132"/>
      <c r="AE16" s="15"/>
      <c r="AF16" s="12"/>
      <c r="AG16" s="15"/>
      <c r="AH16" s="12"/>
      <c r="AI16" s="15"/>
      <c r="AK16" s="15"/>
      <c r="AM16" s="15"/>
      <c r="AN16" s="12"/>
      <c r="AP16" s="84">
        <v>9</v>
      </c>
      <c r="AQ16" s="84">
        <v>3</v>
      </c>
      <c r="AR16" s="84">
        <v>4</v>
      </c>
      <c r="AS16" s="84">
        <v>7</v>
      </c>
      <c r="AT16" s="84">
        <v>5</v>
      </c>
      <c r="AU16" s="84">
        <v>9</v>
      </c>
      <c r="BF16" s="84"/>
      <c r="BG16" s="84"/>
      <c r="BH16" s="84"/>
    </row>
    <row r="17" spans="1:60" ht="16" thickBot="1" x14ac:dyDescent="0.25">
      <c r="A17" s="5" t="s">
        <v>44</v>
      </c>
      <c r="B17" t="s">
        <v>136</v>
      </c>
      <c r="Q17" s="15"/>
      <c r="R17" s="132"/>
      <c r="S17" s="15"/>
      <c r="T17" s="132"/>
      <c r="U17" s="15"/>
      <c r="V17" s="34"/>
      <c r="W17" s="134"/>
      <c r="X17" s="132"/>
      <c r="Y17" s="134"/>
      <c r="Z17" s="132"/>
      <c r="AA17" s="134"/>
      <c r="AB17" s="132"/>
      <c r="AE17" s="15"/>
      <c r="AF17" s="12"/>
      <c r="AG17" s="15"/>
      <c r="AH17" s="12"/>
      <c r="AI17" s="15"/>
      <c r="AK17" s="15"/>
      <c r="AM17" s="15"/>
      <c r="AN17" s="12"/>
      <c r="AP17" s="84">
        <v>2</v>
      </c>
      <c r="AQ17" s="85"/>
      <c r="AR17" s="84">
        <v>1</v>
      </c>
      <c r="AS17" s="84">
        <v>1</v>
      </c>
      <c r="AT17" s="84">
        <v>1</v>
      </c>
      <c r="AU17" s="84">
        <v>1</v>
      </c>
      <c r="BF17" s="84"/>
      <c r="BG17" s="84"/>
      <c r="BH17" s="85"/>
    </row>
    <row r="18" spans="1:60" ht="16" thickBot="1" x14ac:dyDescent="0.25">
      <c r="A18" s="5" t="s">
        <v>45</v>
      </c>
      <c r="B18" t="s">
        <v>136</v>
      </c>
      <c r="G18">
        <v>2</v>
      </c>
      <c r="Q18" s="15"/>
      <c r="R18" s="132"/>
      <c r="S18" s="15"/>
      <c r="T18" s="132"/>
      <c r="U18" s="15"/>
      <c r="V18" s="34"/>
      <c r="W18" s="134">
        <v>2</v>
      </c>
      <c r="X18" s="132">
        <v>3.5115277850018174</v>
      </c>
      <c r="Y18" s="134"/>
      <c r="Z18" s="132"/>
      <c r="AA18" s="134"/>
      <c r="AB18" s="132"/>
      <c r="AE18" s="15"/>
      <c r="AF18" s="12"/>
      <c r="AG18" s="15"/>
      <c r="AH18" s="12"/>
      <c r="AI18" s="15"/>
      <c r="AK18" s="15"/>
      <c r="AM18" s="15"/>
      <c r="AN18" s="12"/>
      <c r="AP18" s="84">
        <v>23</v>
      </c>
      <c r="AQ18" s="84">
        <v>20</v>
      </c>
      <c r="AR18" s="84">
        <v>22</v>
      </c>
      <c r="AS18" s="84">
        <v>13</v>
      </c>
      <c r="AT18" s="84">
        <v>13</v>
      </c>
      <c r="AU18" s="84">
        <v>10</v>
      </c>
      <c r="BF18" s="84"/>
      <c r="BG18" s="84"/>
      <c r="BH18" s="85"/>
    </row>
    <row r="19" spans="1:60" ht="16" thickBot="1" x14ac:dyDescent="0.25">
      <c r="A19" s="5" t="s">
        <v>46</v>
      </c>
      <c r="B19" t="s">
        <v>136</v>
      </c>
      <c r="Q19" s="15"/>
      <c r="R19" s="132"/>
      <c r="S19" s="15"/>
      <c r="T19" s="132"/>
      <c r="U19" s="15"/>
      <c r="V19" s="34"/>
      <c r="W19" s="134"/>
      <c r="X19" s="132"/>
      <c r="Y19" s="134"/>
      <c r="Z19" s="132"/>
      <c r="AA19" s="134"/>
      <c r="AB19" s="132"/>
      <c r="AE19" s="15"/>
      <c r="AF19" s="12"/>
      <c r="AG19" s="15"/>
      <c r="AH19" s="12"/>
      <c r="AI19" s="15"/>
      <c r="AK19" s="15"/>
      <c r="AM19" s="15"/>
      <c r="AN19" s="12"/>
      <c r="AP19" s="84">
        <v>2</v>
      </c>
      <c r="AQ19" s="84">
        <v>2</v>
      </c>
      <c r="AR19" s="84">
        <v>2</v>
      </c>
      <c r="AS19" s="84">
        <v>2</v>
      </c>
      <c r="AT19" s="85"/>
      <c r="AU19" s="85"/>
      <c r="BF19" s="84"/>
      <c r="BG19" s="85"/>
      <c r="BH19" s="85"/>
    </row>
    <row r="20" spans="1:60" ht="16" thickBot="1" x14ac:dyDescent="0.25">
      <c r="A20" s="5" t="s">
        <v>47</v>
      </c>
      <c r="B20" t="s">
        <v>136</v>
      </c>
      <c r="Q20" s="15"/>
      <c r="R20" s="132"/>
      <c r="S20" s="15"/>
      <c r="T20" s="132"/>
      <c r="U20" s="15"/>
      <c r="V20" s="34"/>
      <c r="W20" s="134"/>
      <c r="X20" s="132"/>
      <c r="Y20" s="134"/>
      <c r="Z20" s="132"/>
      <c r="AA20" s="134"/>
      <c r="AB20" s="132"/>
      <c r="AE20" s="15"/>
      <c r="AF20" s="12"/>
      <c r="AG20" s="15"/>
      <c r="AH20" s="12"/>
      <c r="AI20" s="15"/>
      <c r="AK20" s="15"/>
      <c r="AM20" s="15"/>
      <c r="AN20" s="12"/>
      <c r="AP20" s="84">
        <v>27</v>
      </c>
      <c r="AQ20" s="84">
        <v>27</v>
      </c>
      <c r="AR20" s="84">
        <v>32</v>
      </c>
      <c r="AS20" s="84">
        <v>36</v>
      </c>
      <c r="AT20" s="84">
        <v>23</v>
      </c>
      <c r="AU20" s="84">
        <v>34</v>
      </c>
      <c r="BF20" s="84"/>
      <c r="BG20" s="84"/>
      <c r="BH20" s="84"/>
    </row>
    <row r="21" spans="1:60" ht="16" thickBot="1" x14ac:dyDescent="0.25">
      <c r="A21" s="5" t="s">
        <v>48</v>
      </c>
      <c r="B21" t="s">
        <v>136</v>
      </c>
      <c r="Q21" s="15"/>
      <c r="R21" s="132"/>
      <c r="S21" s="15"/>
      <c r="T21" s="132"/>
      <c r="U21" s="15"/>
      <c r="V21" s="34"/>
      <c r="W21" s="134"/>
      <c r="X21" s="132"/>
      <c r="Y21" s="134"/>
      <c r="Z21" s="132"/>
      <c r="AA21" s="134"/>
      <c r="AB21" s="132"/>
      <c r="AE21" s="15"/>
      <c r="AF21" s="12"/>
      <c r="AG21" s="15"/>
      <c r="AH21" s="12"/>
      <c r="AI21" s="15"/>
      <c r="AK21" s="15"/>
      <c r="AM21" s="15"/>
      <c r="AN21" s="12"/>
      <c r="AP21" s="85"/>
      <c r="AQ21" s="85"/>
      <c r="AR21" s="84">
        <v>1</v>
      </c>
      <c r="AS21" s="85"/>
      <c r="AT21" s="85"/>
      <c r="AU21" s="85"/>
      <c r="BF21" s="85"/>
      <c r="BG21" s="85"/>
      <c r="BH21" s="85"/>
    </row>
    <row r="22" spans="1:60" ht="16" thickBot="1" x14ac:dyDescent="0.25">
      <c r="A22" s="5" t="s">
        <v>49</v>
      </c>
      <c r="B22" t="s">
        <v>136</v>
      </c>
      <c r="F22">
        <v>1</v>
      </c>
      <c r="Q22" s="15"/>
      <c r="R22" s="132"/>
      <c r="S22" s="15"/>
      <c r="T22" s="132"/>
      <c r="U22" s="15">
        <v>1</v>
      </c>
      <c r="V22" s="34">
        <v>8.0324000009568408E-3</v>
      </c>
      <c r="W22" s="134"/>
      <c r="X22" s="132"/>
      <c r="Y22" s="134"/>
      <c r="Z22" s="132"/>
      <c r="AA22" s="134"/>
      <c r="AB22" s="132"/>
      <c r="AE22" s="15"/>
      <c r="AF22" s="12"/>
      <c r="AG22" s="15"/>
      <c r="AH22" s="12"/>
      <c r="AI22" s="15"/>
      <c r="AK22" s="15"/>
      <c r="AM22" s="15"/>
      <c r="AN22" s="12"/>
      <c r="AP22" s="84">
        <v>16</v>
      </c>
      <c r="AQ22" s="84">
        <v>13</v>
      </c>
      <c r="AR22" s="84">
        <v>15</v>
      </c>
      <c r="AS22" s="84">
        <v>10</v>
      </c>
      <c r="AT22" s="84">
        <v>5</v>
      </c>
      <c r="AU22" s="84">
        <v>7</v>
      </c>
      <c r="BF22" s="84"/>
      <c r="BG22" s="84"/>
      <c r="BH22" s="85"/>
    </row>
    <row r="23" spans="1:60" ht="16" thickBot="1" x14ac:dyDescent="0.25">
      <c r="A23" s="5" t="s">
        <v>50</v>
      </c>
      <c r="B23" t="s">
        <v>136</v>
      </c>
      <c r="Q23" s="15"/>
      <c r="R23" s="132"/>
      <c r="S23" s="15"/>
      <c r="T23" s="132"/>
      <c r="U23" s="15"/>
      <c r="V23" s="34"/>
      <c r="W23" s="134"/>
      <c r="X23" s="132"/>
      <c r="Y23" s="134"/>
      <c r="Z23" s="132"/>
      <c r="AA23" s="134"/>
      <c r="AB23" s="132"/>
      <c r="AE23" s="15"/>
      <c r="AF23" s="12"/>
      <c r="AG23" s="15"/>
      <c r="AH23" s="12"/>
      <c r="AI23" s="15"/>
      <c r="AK23" s="15"/>
      <c r="AM23" s="15"/>
      <c r="AN23" s="12"/>
      <c r="AP23" s="84">
        <v>1</v>
      </c>
      <c r="AQ23" s="84">
        <v>1</v>
      </c>
      <c r="AR23" s="84">
        <v>4</v>
      </c>
      <c r="AS23" s="84">
        <v>4</v>
      </c>
      <c r="AT23" s="84">
        <v>4</v>
      </c>
      <c r="AU23" s="84">
        <v>4</v>
      </c>
      <c r="BF23" s="84"/>
      <c r="BG23" s="84"/>
      <c r="BH23" s="85"/>
    </row>
    <row r="24" spans="1:60" ht="16" thickBot="1" x14ac:dyDescent="0.25">
      <c r="A24" s="5" t="s">
        <v>51</v>
      </c>
      <c r="B24" t="s">
        <v>136</v>
      </c>
      <c r="Q24" s="15"/>
      <c r="R24" s="132"/>
      <c r="S24" s="15"/>
      <c r="T24" s="132"/>
      <c r="U24" s="15"/>
      <c r="V24" s="34"/>
      <c r="W24" s="134"/>
      <c r="X24" s="132"/>
      <c r="Y24" s="134"/>
      <c r="Z24" s="132"/>
      <c r="AA24" s="134"/>
      <c r="AB24" s="132"/>
      <c r="AE24" s="15"/>
      <c r="AF24" s="12"/>
      <c r="AG24" s="15"/>
      <c r="AH24" s="12"/>
      <c r="AI24" s="15"/>
      <c r="AK24" s="15"/>
      <c r="AM24" s="15"/>
      <c r="AN24" s="12"/>
      <c r="AP24" s="85"/>
      <c r="AQ24" s="84">
        <v>1</v>
      </c>
      <c r="AR24" s="85"/>
      <c r="AS24" s="85"/>
      <c r="AT24" s="85"/>
      <c r="AU24" s="84">
        <v>1</v>
      </c>
      <c r="BF24" s="85"/>
      <c r="BG24" s="85"/>
      <c r="BH24" s="85"/>
    </row>
    <row r="25" spans="1:60" ht="16" thickBot="1" x14ac:dyDescent="0.25">
      <c r="A25" s="5" t="s">
        <v>52</v>
      </c>
      <c r="B25" t="s">
        <v>136</v>
      </c>
      <c r="G25">
        <v>1</v>
      </c>
      <c r="Q25" s="15"/>
      <c r="R25" s="132"/>
      <c r="S25" s="15"/>
      <c r="T25" s="132"/>
      <c r="U25" s="15"/>
      <c r="V25" s="34"/>
      <c r="W25" s="134">
        <v>1</v>
      </c>
      <c r="X25" s="132">
        <v>5.0347219999821391E-2</v>
      </c>
      <c r="Y25" s="134"/>
      <c r="Z25" s="132"/>
      <c r="AA25" s="134"/>
      <c r="AB25" s="132"/>
      <c r="AE25" s="15"/>
      <c r="AF25" s="12"/>
      <c r="AG25" s="15"/>
      <c r="AH25" s="12"/>
      <c r="AI25" s="15"/>
      <c r="AK25" s="15"/>
      <c r="AM25" s="15"/>
      <c r="AN25" s="12"/>
      <c r="AP25" s="84">
        <v>4</v>
      </c>
      <c r="AQ25" s="84">
        <v>3</v>
      </c>
      <c r="AR25" s="84">
        <v>3</v>
      </c>
      <c r="AS25" s="84">
        <v>7</v>
      </c>
      <c r="AT25" s="84">
        <v>4</v>
      </c>
      <c r="AU25" s="84">
        <v>3</v>
      </c>
      <c r="BF25" s="84"/>
      <c r="BG25" s="84"/>
      <c r="BH25" s="85"/>
    </row>
    <row r="26" spans="1:60" ht="16" thickBot="1" x14ac:dyDescent="0.25">
      <c r="A26" s="5" t="s">
        <v>53</v>
      </c>
      <c r="B26" t="s">
        <v>136</v>
      </c>
      <c r="Q26" s="15"/>
      <c r="R26" s="132"/>
      <c r="S26" s="15"/>
      <c r="T26" s="132"/>
      <c r="U26" s="15"/>
      <c r="V26" s="34"/>
      <c r="W26" s="134"/>
      <c r="X26" s="132"/>
      <c r="Y26" s="134"/>
      <c r="Z26" s="132"/>
      <c r="AA26" s="134"/>
      <c r="AB26" s="132"/>
      <c r="AE26" s="15"/>
      <c r="AF26" s="12"/>
      <c r="AG26" s="15"/>
      <c r="AH26" s="12"/>
      <c r="AI26" s="15"/>
      <c r="AK26" s="15"/>
      <c r="AM26" s="15"/>
      <c r="AN26" s="12"/>
      <c r="AP26" s="84">
        <v>6</v>
      </c>
      <c r="AQ26" s="84">
        <v>6</v>
      </c>
      <c r="AR26" s="84">
        <v>7</v>
      </c>
      <c r="AS26" s="84">
        <v>6</v>
      </c>
      <c r="AT26" s="84">
        <v>5</v>
      </c>
      <c r="AU26" s="84">
        <v>3</v>
      </c>
      <c r="BF26" s="84"/>
      <c r="BG26" s="84"/>
      <c r="BH26" s="85"/>
    </row>
    <row r="27" spans="1:60" ht="16" thickBot="1" x14ac:dyDescent="0.25">
      <c r="A27" s="5" t="s">
        <v>54</v>
      </c>
      <c r="B27" t="s">
        <v>136</v>
      </c>
      <c r="Q27" s="15"/>
      <c r="R27" s="132"/>
      <c r="S27" s="15"/>
      <c r="T27" s="132"/>
      <c r="U27" s="15"/>
      <c r="V27" s="34"/>
      <c r="W27" s="134"/>
      <c r="X27" s="132"/>
      <c r="Y27" s="134"/>
      <c r="Z27" s="132"/>
      <c r="AA27" s="134"/>
      <c r="AB27" s="132"/>
      <c r="AE27" s="15"/>
      <c r="AF27" s="12"/>
      <c r="AG27" s="15"/>
      <c r="AH27" s="12"/>
      <c r="AI27" s="15"/>
      <c r="AK27" s="15"/>
      <c r="AM27" s="15"/>
      <c r="AN27" s="12"/>
      <c r="AP27" s="84">
        <v>6</v>
      </c>
      <c r="AQ27" s="84">
        <v>9</v>
      </c>
      <c r="AR27" s="84">
        <v>12</v>
      </c>
      <c r="AS27" s="84">
        <v>6</v>
      </c>
      <c r="AT27" s="84">
        <v>9</v>
      </c>
      <c r="AU27" s="84">
        <v>5</v>
      </c>
      <c r="BF27" s="84"/>
      <c r="BG27" s="84"/>
      <c r="BH27" s="85"/>
    </row>
    <row r="28" spans="1:60" ht="16" thickBot="1" x14ac:dyDescent="0.25">
      <c r="A28" s="5" t="s">
        <v>55</v>
      </c>
      <c r="B28" t="s">
        <v>136</v>
      </c>
      <c r="Q28" s="15"/>
      <c r="R28" s="132"/>
      <c r="S28" s="15"/>
      <c r="T28" s="132"/>
      <c r="U28" s="15"/>
      <c r="V28" s="34"/>
      <c r="W28" s="134"/>
      <c r="X28" s="132"/>
      <c r="Y28" s="134"/>
      <c r="Z28" s="132"/>
      <c r="AA28" s="134"/>
      <c r="AB28" s="132"/>
      <c r="AE28" s="15"/>
      <c r="AF28" s="12"/>
      <c r="AG28" s="15"/>
      <c r="AH28" s="12"/>
      <c r="AI28" s="15"/>
      <c r="AK28" s="15"/>
      <c r="AM28" s="15"/>
      <c r="AN28" s="12"/>
      <c r="AP28" s="84">
        <v>6</v>
      </c>
      <c r="AQ28" s="84">
        <v>3</v>
      </c>
      <c r="AR28" s="84">
        <v>5</v>
      </c>
      <c r="AS28" s="84">
        <v>3</v>
      </c>
      <c r="AT28" s="84">
        <v>4</v>
      </c>
      <c r="AU28" s="84">
        <v>4</v>
      </c>
      <c r="BF28" s="84"/>
      <c r="BG28" s="84"/>
      <c r="BH28" s="85"/>
    </row>
    <row r="29" spans="1:60" ht="16" thickBot="1" x14ac:dyDescent="0.25">
      <c r="A29" s="5" t="s">
        <v>56</v>
      </c>
      <c r="B29" t="s">
        <v>136</v>
      </c>
      <c r="Q29" s="15"/>
      <c r="R29" s="132"/>
      <c r="S29" s="15"/>
      <c r="T29" s="132"/>
      <c r="U29" s="15"/>
      <c r="V29" s="34"/>
      <c r="W29" s="134"/>
      <c r="X29" s="132"/>
      <c r="Y29" s="134"/>
      <c r="Z29" s="132"/>
      <c r="AA29" s="134"/>
      <c r="AB29" s="132"/>
      <c r="AE29" s="15"/>
      <c r="AF29" s="12"/>
      <c r="AG29" s="15"/>
      <c r="AH29" s="12"/>
      <c r="AI29" s="15"/>
      <c r="AK29" s="15"/>
      <c r="AM29" s="15"/>
      <c r="AN29" s="12"/>
      <c r="AP29" s="84">
        <v>7</v>
      </c>
      <c r="AQ29" s="84">
        <v>7</v>
      </c>
      <c r="AR29" s="84">
        <v>8</v>
      </c>
      <c r="AS29" s="84">
        <v>6</v>
      </c>
      <c r="AT29" s="84">
        <v>4</v>
      </c>
      <c r="AU29" s="84">
        <v>5</v>
      </c>
      <c r="BF29" s="84"/>
      <c r="BG29" s="84"/>
      <c r="BH29" s="85"/>
    </row>
    <row r="30" spans="1:60" ht="16" thickBot="1" x14ac:dyDescent="0.25">
      <c r="A30" s="5" t="s">
        <v>57</v>
      </c>
      <c r="B30" t="s">
        <v>136</v>
      </c>
      <c r="Q30" s="15"/>
      <c r="R30" s="132"/>
      <c r="S30" s="15"/>
      <c r="T30" s="132"/>
      <c r="U30" s="15"/>
      <c r="V30" s="34"/>
      <c r="W30" s="134"/>
      <c r="X30" s="132"/>
      <c r="Y30" s="134"/>
      <c r="Z30" s="132"/>
      <c r="AA30" s="134"/>
      <c r="AB30" s="132"/>
      <c r="AE30" s="15"/>
      <c r="AF30" s="12"/>
      <c r="AG30" s="15"/>
      <c r="AH30" s="12"/>
      <c r="AI30" s="15"/>
      <c r="AK30" s="15"/>
      <c r="AM30" s="15"/>
      <c r="AN30" s="12"/>
      <c r="AP30" s="84">
        <v>4</v>
      </c>
      <c r="AQ30" s="84">
        <v>6</v>
      </c>
      <c r="AR30" s="84">
        <v>3</v>
      </c>
      <c r="AS30" s="84">
        <v>3</v>
      </c>
      <c r="AT30" s="84">
        <v>2</v>
      </c>
      <c r="AU30" s="85"/>
      <c r="BF30" s="84"/>
      <c r="BG30" s="84"/>
      <c r="BH30" s="85"/>
    </row>
    <row r="31" spans="1:60" ht="16" thickBot="1" x14ac:dyDescent="0.25">
      <c r="A31" s="5" t="s">
        <v>58</v>
      </c>
      <c r="B31" t="s">
        <v>136</v>
      </c>
      <c r="E31">
        <v>1</v>
      </c>
      <c r="Q31" s="15"/>
      <c r="R31" s="132"/>
      <c r="S31" s="15">
        <v>1</v>
      </c>
      <c r="T31" s="132">
        <v>1.8958329994347878E-2</v>
      </c>
      <c r="U31" s="15"/>
      <c r="V31" s="34"/>
      <c r="W31" s="134"/>
      <c r="X31" s="132"/>
      <c r="Y31" s="134"/>
      <c r="Z31" s="132"/>
      <c r="AA31" s="134"/>
      <c r="AB31" s="132"/>
      <c r="AE31" s="15"/>
      <c r="AF31" s="12"/>
      <c r="AG31" s="15"/>
      <c r="AH31" s="12"/>
      <c r="AI31" s="15"/>
      <c r="AK31" s="15"/>
      <c r="AM31" s="15"/>
      <c r="AN31" s="12"/>
      <c r="AP31" s="84">
        <v>4</v>
      </c>
      <c r="AQ31" s="84">
        <v>7</v>
      </c>
      <c r="AR31" s="84">
        <v>9</v>
      </c>
      <c r="AS31" s="84">
        <v>5</v>
      </c>
      <c r="AT31" s="84">
        <v>4</v>
      </c>
      <c r="AU31" s="84">
        <v>3</v>
      </c>
      <c r="BF31" s="84"/>
      <c r="BG31" s="84"/>
      <c r="BH31" s="85"/>
    </row>
    <row r="32" spans="1:60" ht="16" thickBot="1" x14ac:dyDescent="0.25">
      <c r="A32" s="5" t="s">
        <v>59</v>
      </c>
      <c r="B32" t="s">
        <v>136</v>
      </c>
      <c r="Q32" s="15"/>
      <c r="R32" s="132"/>
      <c r="S32" s="15"/>
      <c r="T32" s="132"/>
      <c r="U32" s="15"/>
      <c r="V32" s="34"/>
      <c r="W32" s="134"/>
      <c r="X32" s="132"/>
      <c r="Y32" s="134"/>
      <c r="Z32" s="132"/>
      <c r="AA32" s="134"/>
      <c r="AB32" s="132"/>
      <c r="AE32" s="15"/>
      <c r="AF32" s="12"/>
      <c r="AG32" s="15"/>
      <c r="AH32" s="12"/>
      <c r="AI32" s="15"/>
      <c r="AK32" s="15"/>
      <c r="AM32" s="15"/>
      <c r="AN32" s="12"/>
      <c r="AP32" s="84">
        <v>2</v>
      </c>
      <c r="AQ32" s="84">
        <v>1</v>
      </c>
      <c r="AR32" s="84">
        <v>3</v>
      </c>
      <c r="AS32" s="84">
        <v>2</v>
      </c>
      <c r="AT32" s="84">
        <v>2</v>
      </c>
      <c r="AU32" s="85"/>
      <c r="BF32" s="84"/>
      <c r="BG32" s="85"/>
      <c r="BH32" s="84"/>
    </row>
    <row r="33" spans="1:60" ht="16" thickBot="1" x14ac:dyDescent="0.25">
      <c r="A33" s="5" t="s">
        <v>60</v>
      </c>
      <c r="B33" t="s">
        <v>136</v>
      </c>
      <c r="Q33" s="15"/>
      <c r="R33" s="132"/>
      <c r="S33" s="15"/>
      <c r="T33" s="132"/>
      <c r="U33" s="15"/>
      <c r="V33" s="34"/>
      <c r="W33" s="134"/>
      <c r="X33" s="132"/>
      <c r="Y33" s="134"/>
      <c r="Z33" s="132"/>
      <c r="AA33" s="134"/>
      <c r="AB33" s="132"/>
      <c r="AE33" s="15"/>
      <c r="AF33" s="12"/>
      <c r="AG33" s="15"/>
      <c r="AH33" s="12"/>
      <c r="AI33" s="15"/>
      <c r="AK33" s="15"/>
      <c r="AM33" s="15"/>
      <c r="AN33" s="12"/>
      <c r="AP33" s="85"/>
      <c r="AQ33" s="85"/>
      <c r="AR33" s="84">
        <v>1</v>
      </c>
      <c r="AS33" s="85"/>
      <c r="AT33" s="85"/>
      <c r="AU33" s="85"/>
      <c r="BF33" s="85"/>
      <c r="BG33" s="85"/>
      <c r="BH33" s="85"/>
    </row>
    <row r="34" spans="1:60" ht="16" thickBot="1" x14ac:dyDescent="0.25">
      <c r="A34" s="5" t="s">
        <v>61</v>
      </c>
      <c r="B34" t="s">
        <v>136</v>
      </c>
      <c r="Q34" s="15"/>
      <c r="R34" s="132"/>
      <c r="S34" s="15"/>
      <c r="T34" s="132"/>
      <c r="U34" s="15"/>
      <c r="V34" s="34"/>
      <c r="W34" s="134"/>
      <c r="X34" s="132"/>
      <c r="Y34" s="134"/>
      <c r="Z34" s="132"/>
      <c r="AA34" s="134"/>
      <c r="AB34" s="132"/>
      <c r="AE34" s="15"/>
      <c r="AF34" s="12"/>
      <c r="AG34" s="15"/>
      <c r="AH34" s="12"/>
      <c r="AI34" s="15"/>
      <c r="AK34" s="15"/>
      <c r="AM34" s="15"/>
      <c r="AN34" s="12"/>
      <c r="AP34" s="85"/>
      <c r="AQ34" s="85"/>
      <c r="AR34" s="85"/>
      <c r="AS34" s="85"/>
      <c r="AT34" s="85"/>
      <c r="AU34" s="85"/>
      <c r="BF34" s="85"/>
      <c r="BG34" s="85"/>
      <c r="BH34" s="85"/>
    </row>
    <row r="35" spans="1:60" ht="16" thickBot="1" x14ac:dyDescent="0.25">
      <c r="A35" s="5" t="s">
        <v>62</v>
      </c>
      <c r="B35" t="s">
        <v>136</v>
      </c>
      <c r="Q35" s="15"/>
      <c r="R35" s="132"/>
      <c r="S35" s="15"/>
      <c r="T35" s="132"/>
      <c r="U35" s="15"/>
      <c r="V35" s="34"/>
      <c r="W35" s="134"/>
      <c r="X35" s="132"/>
      <c r="Y35" s="134"/>
      <c r="Z35" s="132"/>
      <c r="AA35" s="134"/>
      <c r="AB35" s="132"/>
      <c r="AE35" s="15"/>
      <c r="AF35" s="12"/>
      <c r="AG35" s="15"/>
      <c r="AH35" s="12"/>
      <c r="AI35" s="15"/>
      <c r="AK35" s="15"/>
      <c r="AM35" s="15"/>
      <c r="AN35" s="12"/>
      <c r="AP35" s="84">
        <v>10</v>
      </c>
      <c r="AQ35" s="84">
        <v>8</v>
      </c>
      <c r="AR35" s="84">
        <v>12</v>
      </c>
      <c r="AS35" s="84">
        <v>8</v>
      </c>
      <c r="AT35" s="84">
        <v>9</v>
      </c>
      <c r="AU35" s="84">
        <v>5</v>
      </c>
      <c r="BF35" s="84"/>
      <c r="BG35" s="84"/>
      <c r="BH35" s="85"/>
    </row>
    <row r="36" spans="1:60" ht="16" thickBot="1" x14ac:dyDescent="0.25">
      <c r="A36" s="5" t="s">
        <v>63</v>
      </c>
      <c r="B36" t="s">
        <v>136</v>
      </c>
      <c r="Q36" s="15"/>
      <c r="R36" s="132"/>
      <c r="S36" s="15"/>
      <c r="T36" s="132"/>
      <c r="U36" s="15"/>
      <c r="V36" s="34"/>
      <c r="W36" s="134"/>
      <c r="X36" s="132"/>
      <c r="Y36" s="134"/>
      <c r="Z36" s="132"/>
      <c r="AA36" s="134"/>
      <c r="AB36" s="132"/>
      <c r="AE36" s="15"/>
      <c r="AF36" s="12"/>
      <c r="AG36" s="15"/>
      <c r="AH36" s="12"/>
      <c r="AI36" s="15"/>
      <c r="AK36" s="15"/>
      <c r="AM36" s="15"/>
      <c r="AN36" s="12"/>
      <c r="AP36" s="85"/>
      <c r="AQ36" s="85"/>
      <c r="AR36" s="85"/>
      <c r="AS36" s="85"/>
      <c r="AT36" s="85"/>
      <c r="AU36" s="85"/>
      <c r="BF36" s="85"/>
      <c r="BG36" s="85"/>
      <c r="BH36" s="85"/>
    </row>
    <row r="37" spans="1:60" ht="16" thickBot="1" x14ac:dyDescent="0.25">
      <c r="A37" s="5" t="s">
        <v>64</v>
      </c>
      <c r="B37" t="s">
        <v>136</v>
      </c>
      <c r="Q37" s="15"/>
      <c r="R37" s="132"/>
      <c r="S37" s="15"/>
      <c r="T37" s="132"/>
      <c r="U37" s="15"/>
      <c r="V37" s="34"/>
      <c r="W37" s="134"/>
      <c r="X37" s="132"/>
      <c r="Y37" s="134"/>
      <c r="Z37" s="132"/>
      <c r="AA37" s="134"/>
      <c r="AB37" s="132"/>
      <c r="AE37" s="15"/>
      <c r="AF37" s="12"/>
      <c r="AG37" s="15"/>
      <c r="AH37" s="12"/>
      <c r="AI37" s="15"/>
      <c r="AK37" s="15"/>
      <c r="AM37" s="15"/>
      <c r="AN37" s="12"/>
      <c r="AP37" s="84">
        <v>16</v>
      </c>
      <c r="AQ37" s="84">
        <v>4</v>
      </c>
      <c r="AR37" s="84">
        <v>13</v>
      </c>
      <c r="AS37" s="84">
        <v>17</v>
      </c>
      <c r="AT37" s="84">
        <v>15</v>
      </c>
      <c r="AU37" s="84">
        <v>3</v>
      </c>
      <c r="BF37" s="84"/>
      <c r="BG37" s="84"/>
      <c r="BH37" s="84"/>
    </row>
    <row r="38" spans="1:60" ht="16" thickBot="1" x14ac:dyDescent="0.25">
      <c r="A38" s="5" t="s">
        <v>65</v>
      </c>
      <c r="B38" t="s">
        <v>136</v>
      </c>
      <c r="Q38" s="15"/>
      <c r="R38" s="132"/>
      <c r="S38" s="15"/>
      <c r="T38" s="132"/>
      <c r="U38" s="15"/>
      <c r="V38" s="34"/>
      <c r="W38" s="134"/>
      <c r="X38" s="132"/>
      <c r="Y38" s="134"/>
      <c r="Z38" s="132"/>
      <c r="AA38" s="134"/>
      <c r="AB38" s="132"/>
      <c r="AE38" s="15"/>
      <c r="AF38" s="12"/>
      <c r="AG38" s="15"/>
      <c r="AH38" s="12"/>
      <c r="AI38" s="15"/>
      <c r="AK38" s="15"/>
      <c r="AM38" s="15"/>
      <c r="AN38" s="12"/>
      <c r="AP38" s="84">
        <v>3</v>
      </c>
      <c r="AQ38" s="84">
        <v>3</v>
      </c>
      <c r="AR38" s="84">
        <v>3</v>
      </c>
      <c r="AS38" s="84">
        <v>2</v>
      </c>
      <c r="AT38" s="84">
        <v>3</v>
      </c>
      <c r="AU38" s="84">
        <v>2</v>
      </c>
      <c r="BF38" s="84"/>
      <c r="BG38" s="84"/>
      <c r="BH38" s="85"/>
    </row>
    <row r="39" spans="1:60" ht="16" thickBot="1" x14ac:dyDescent="0.25">
      <c r="A39" s="5" t="s">
        <v>66</v>
      </c>
      <c r="B39" t="s">
        <v>136</v>
      </c>
      <c r="D39">
        <v>1</v>
      </c>
      <c r="Q39" s="15"/>
      <c r="R39" s="132"/>
      <c r="S39" s="15"/>
      <c r="T39" s="132"/>
      <c r="U39" s="15"/>
      <c r="V39" s="34"/>
      <c r="W39" s="134"/>
      <c r="X39" s="132"/>
      <c r="Y39" s="134"/>
      <c r="Z39" s="132"/>
      <c r="AA39" s="134"/>
      <c r="AB39" s="132"/>
      <c r="AE39" s="15"/>
      <c r="AF39" s="12"/>
      <c r="AG39" s="15"/>
      <c r="AH39" s="12"/>
      <c r="AI39" s="15"/>
      <c r="AK39" s="15"/>
      <c r="AM39" s="15"/>
      <c r="AN39" s="12"/>
      <c r="AP39" s="85"/>
      <c r="AQ39" s="84">
        <v>1</v>
      </c>
      <c r="AR39" s="85"/>
      <c r="AS39" s="85"/>
      <c r="AT39" s="85"/>
      <c r="AU39" s="85"/>
      <c r="BF39" s="85"/>
      <c r="BG39" s="85"/>
      <c r="BH39" s="85"/>
    </row>
    <row r="40" spans="1:60" ht="16" thickBot="1" x14ac:dyDescent="0.25">
      <c r="A40" s="5" t="s">
        <v>67</v>
      </c>
      <c r="B40" t="s">
        <v>136</v>
      </c>
      <c r="Q40" s="15"/>
      <c r="R40" s="132"/>
      <c r="S40" s="15"/>
      <c r="T40" s="132"/>
      <c r="U40" s="15"/>
      <c r="V40" s="34"/>
      <c r="W40" s="134"/>
      <c r="X40" s="132"/>
      <c r="Y40" s="134"/>
      <c r="Z40" s="132"/>
      <c r="AA40" s="134"/>
      <c r="AB40" s="132"/>
      <c r="AE40" s="15"/>
      <c r="AF40" s="12"/>
      <c r="AG40" s="15"/>
      <c r="AH40" s="12"/>
      <c r="AI40" s="15"/>
      <c r="AK40" s="15"/>
      <c r="AM40" s="15"/>
      <c r="AN40" s="12"/>
      <c r="AP40" s="84">
        <v>1</v>
      </c>
      <c r="AQ40" s="84">
        <v>1</v>
      </c>
      <c r="AR40" s="84">
        <v>1</v>
      </c>
      <c r="AS40" s="84">
        <v>1</v>
      </c>
      <c r="AT40" s="84">
        <v>1</v>
      </c>
      <c r="AU40" s="84">
        <v>1</v>
      </c>
      <c r="BF40" s="84"/>
      <c r="BG40" s="85"/>
      <c r="BH40" s="85"/>
    </row>
    <row r="41" spans="1:60" ht="16" thickBot="1" x14ac:dyDescent="0.25">
      <c r="A41" s="5" t="s">
        <v>68</v>
      </c>
      <c r="B41" t="s">
        <v>136</v>
      </c>
      <c r="Q41" s="15"/>
      <c r="R41" s="132"/>
      <c r="S41" s="15"/>
      <c r="T41" s="132"/>
      <c r="U41" s="15"/>
      <c r="V41" s="34"/>
      <c r="W41" s="134"/>
      <c r="X41" s="132"/>
      <c r="Y41" s="134"/>
      <c r="Z41" s="132"/>
      <c r="AA41" s="134"/>
      <c r="AB41" s="132"/>
      <c r="AE41" s="15"/>
      <c r="AF41" s="12"/>
      <c r="AG41" s="15"/>
      <c r="AH41" s="12"/>
      <c r="AI41" s="15"/>
      <c r="AK41" s="15"/>
      <c r="AM41" s="15"/>
      <c r="AN41" s="12"/>
      <c r="AP41" s="85"/>
      <c r="AQ41" s="84">
        <v>1</v>
      </c>
      <c r="AR41" s="85"/>
      <c r="AS41" s="84">
        <v>1</v>
      </c>
      <c r="AT41" s="85"/>
      <c r="AU41" s="85"/>
      <c r="BF41" s="84"/>
      <c r="BG41" s="84"/>
      <c r="BH41" s="85"/>
    </row>
    <row r="42" spans="1:60" ht="16" thickBot="1" x14ac:dyDescent="0.25">
      <c r="A42" s="5" t="s">
        <v>69</v>
      </c>
      <c r="B42" t="s">
        <v>136</v>
      </c>
      <c r="Q42" s="15"/>
      <c r="R42" s="132"/>
      <c r="S42" s="15"/>
      <c r="T42" s="132"/>
      <c r="U42" s="15"/>
      <c r="V42" s="34"/>
      <c r="W42" s="134"/>
      <c r="X42" s="132"/>
      <c r="Y42" s="134"/>
      <c r="Z42" s="132"/>
      <c r="AA42" s="134"/>
      <c r="AB42" s="132"/>
      <c r="AE42" s="15"/>
      <c r="AF42" s="12"/>
      <c r="AG42" s="15"/>
      <c r="AH42" s="12"/>
      <c r="AI42" s="15"/>
      <c r="AK42" s="15"/>
      <c r="AM42" s="15"/>
      <c r="AN42" s="12"/>
      <c r="AP42" s="85"/>
      <c r="AQ42" s="85"/>
      <c r="AR42" s="85"/>
      <c r="AS42" s="85"/>
      <c r="AT42" s="85"/>
      <c r="AU42" s="85"/>
      <c r="BF42" s="85"/>
      <c r="BG42" s="85"/>
      <c r="BH42" s="85"/>
    </row>
    <row r="43" spans="1:60" ht="16" thickBot="1" x14ac:dyDescent="0.25">
      <c r="A43" s="5" t="s">
        <v>70</v>
      </c>
      <c r="B43" t="s">
        <v>136</v>
      </c>
      <c r="D43">
        <v>1</v>
      </c>
      <c r="F43">
        <v>2</v>
      </c>
      <c r="G43">
        <v>1</v>
      </c>
      <c r="H43">
        <v>1</v>
      </c>
      <c r="I43">
        <v>1</v>
      </c>
      <c r="Q43" s="15">
        <v>1</v>
      </c>
      <c r="R43" s="132">
        <v>0.94474536999769043</v>
      </c>
      <c r="S43" s="15"/>
      <c r="T43" s="132"/>
      <c r="U43" s="15">
        <v>1</v>
      </c>
      <c r="V43" s="34">
        <v>1.7060180005501024E-2</v>
      </c>
      <c r="W43" s="134">
        <v>1</v>
      </c>
      <c r="X43" s="132">
        <v>5.6724540001596324E-2</v>
      </c>
      <c r="Y43" s="134">
        <v>1</v>
      </c>
      <c r="Z43" s="132">
        <v>0.11614584000199102</v>
      </c>
      <c r="AA43" s="134">
        <v>1</v>
      </c>
      <c r="AB43" s="132">
        <v>0.10396991000015987</v>
      </c>
      <c r="AE43" s="15"/>
      <c r="AF43" s="12"/>
      <c r="AG43" s="15"/>
      <c r="AH43" s="12"/>
      <c r="AI43" s="15"/>
      <c r="AK43" s="15"/>
      <c r="AM43" s="15"/>
      <c r="AN43" s="12"/>
      <c r="AP43" s="84">
        <v>6</v>
      </c>
      <c r="AQ43" s="84">
        <v>9</v>
      </c>
      <c r="AR43" s="84">
        <v>10</v>
      </c>
      <c r="AS43" s="84">
        <v>14</v>
      </c>
      <c r="AT43" s="84">
        <v>5</v>
      </c>
      <c r="AU43" s="84">
        <v>6</v>
      </c>
      <c r="BF43" s="84"/>
      <c r="BG43" s="84"/>
      <c r="BH43" s="85"/>
    </row>
    <row r="44" spans="1:60" ht="16" thickBot="1" x14ac:dyDescent="0.25">
      <c r="A44" s="5" t="s">
        <v>71</v>
      </c>
      <c r="B44" t="s">
        <v>136</v>
      </c>
      <c r="Q44" s="15"/>
      <c r="R44" s="132"/>
      <c r="S44" s="15"/>
      <c r="T44" s="132"/>
      <c r="U44" s="15"/>
      <c r="V44" s="34"/>
      <c r="W44" s="134"/>
      <c r="X44" s="132"/>
      <c r="Y44" s="134"/>
      <c r="Z44" s="132"/>
      <c r="AA44" s="134"/>
      <c r="AB44" s="132"/>
      <c r="AE44" s="15"/>
      <c r="AF44" s="12"/>
      <c r="AG44" s="15"/>
      <c r="AH44" s="12"/>
      <c r="AI44" s="15"/>
      <c r="AK44" s="15"/>
      <c r="AM44" s="15"/>
      <c r="AN44" s="12"/>
      <c r="AP44" s="84">
        <v>1</v>
      </c>
      <c r="AQ44" s="84">
        <v>2</v>
      </c>
      <c r="AR44" s="84">
        <v>4</v>
      </c>
      <c r="AS44" s="84">
        <v>2</v>
      </c>
      <c r="AT44" s="84">
        <v>1</v>
      </c>
      <c r="AU44" s="84">
        <v>2</v>
      </c>
      <c r="BF44" s="84"/>
      <c r="BG44" s="84"/>
      <c r="BH44" s="85"/>
    </row>
    <row r="45" spans="1:60" ht="16" thickBot="1" x14ac:dyDescent="0.25">
      <c r="A45" s="5" t="s">
        <v>72</v>
      </c>
      <c r="B45" t="s">
        <v>136</v>
      </c>
      <c r="Q45" s="15"/>
      <c r="R45" s="132"/>
      <c r="S45" s="15"/>
      <c r="T45" s="132"/>
      <c r="U45" s="15"/>
      <c r="V45" s="34"/>
      <c r="W45" s="134"/>
      <c r="X45" s="132"/>
      <c r="Y45" s="134"/>
      <c r="Z45" s="132"/>
      <c r="AA45" s="134"/>
      <c r="AB45" s="132"/>
      <c r="AE45" s="15"/>
      <c r="AF45" s="12"/>
      <c r="AG45" s="15"/>
      <c r="AH45" s="12"/>
      <c r="AI45" s="15"/>
      <c r="AK45" s="15"/>
      <c r="AM45" s="15"/>
      <c r="AN45" s="12"/>
      <c r="AP45" s="84">
        <v>6</v>
      </c>
      <c r="AQ45" s="84">
        <v>10</v>
      </c>
      <c r="AR45" s="84">
        <v>10</v>
      </c>
      <c r="AS45" s="84">
        <v>12</v>
      </c>
      <c r="AT45" s="84">
        <v>6</v>
      </c>
      <c r="AU45" s="84">
        <v>3</v>
      </c>
      <c r="BF45" s="84"/>
      <c r="BG45" s="84"/>
      <c r="BH45" s="85"/>
    </row>
    <row r="46" spans="1:60" ht="16" thickBot="1" x14ac:dyDescent="0.25">
      <c r="A46" s="5" t="s">
        <v>73</v>
      </c>
      <c r="B46" t="s">
        <v>136</v>
      </c>
      <c r="Q46" s="15"/>
      <c r="R46" s="132"/>
      <c r="S46" s="15"/>
      <c r="T46" s="132"/>
      <c r="U46" s="15"/>
      <c r="V46" s="34"/>
      <c r="W46" s="134"/>
      <c r="X46" s="132"/>
      <c r="Y46" s="134"/>
      <c r="Z46" s="132"/>
      <c r="AA46" s="134"/>
      <c r="AB46" s="132"/>
      <c r="AE46" s="15"/>
      <c r="AF46" s="12"/>
      <c r="AG46" s="15"/>
      <c r="AH46" s="12"/>
      <c r="AI46" s="15"/>
      <c r="AK46" s="15"/>
      <c r="AM46" s="15"/>
      <c r="AN46" s="12"/>
      <c r="AP46" s="84">
        <v>2</v>
      </c>
      <c r="AQ46" s="85"/>
      <c r="AR46" s="85"/>
      <c r="AS46" s="85"/>
      <c r="AT46" s="84">
        <v>1</v>
      </c>
      <c r="AU46" s="85"/>
      <c r="BF46" s="85"/>
      <c r="BG46" s="85"/>
      <c r="BH46" s="85"/>
    </row>
    <row r="47" spans="1:60" ht="16" thickBot="1" x14ac:dyDescent="0.25">
      <c r="A47" s="5" t="s">
        <v>74</v>
      </c>
      <c r="B47" t="s">
        <v>136</v>
      </c>
      <c r="F47">
        <v>1</v>
      </c>
      <c r="Q47" s="15"/>
      <c r="R47" s="132"/>
      <c r="S47" s="15"/>
      <c r="T47" s="132"/>
      <c r="U47" s="15">
        <v>1</v>
      </c>
      <c r="V47" s="34">
        <v>8.2592590006242972E-2</v>
      </c>
      <c r="W47" s="134"/>
      <c r="X47" s="132"/>
      <c r="Y47" s="134"/>
      <c r="Z47" s="132"/>
      <c r="AA47" s="134"/>
      <c r="AB47" s="132"/>
      <c r="AE47" s="15"/>
      <c r="AF47" s="12"/>
      <c r="AG47" s="15"/>
      <c r="AH47" s="12"/>
      <c r="AI47" s="15"/>
      <c r="AK47" s="15"/>
      <c r="AM47" s="15"/>
      <c r="AN47" s="12"/>
      <c r="AP47" s="84">
        <v>53</v>
      </c>
      <c r="AQ47" s="84">
        <v>30</v>
      </c>
      <c r="AR47" s="84">
        <v>46</v>
      </c>
      <c r="AS47" s="84">
        <v>34</v>
      </c>
      <c r="AT47" s="84">
        <v>30</v>
      </c>
      <c r="AU47" s="84">
        <v>23</v>
      </c>
      <c r="BF47" s="84"/>
      <c r="BG47" s="84"/>
      <c r="BH47" s="84"/>
    </row>
    <row r="48" spans="1:60" ht="16" thickBot="1" x14ac:dyDescent="0.25">
      <c r="A48" s="5" t="s">
        <v>75</v>
      </c>
      <c r="B48" t="s">
        <v>136</v>
      </c>
      <c r="Q48" s="15"/>
      <c r="R48" s="132"/>
      <c r="S48" s="15"/>
      <c r="T48" s="132"/>
      <c r="U48" s="15"/>
      <c r="V48" s="34"/>
      <c r="W48" s="134"/>
      <c r="X48" s="132"/>
      <c r="Y48" s="134"/>
      <c r="Z48" s="132"/>
      <c r="AA48" s="134"/>
      <c r="AB48" s="132"/>
      <c r="AE48" s="15"/>
      <c r="AF48" s="12"/>
      <c r="AG48" s="15"/>
      <c r="AH48" s="12"/>
      <c r="AI48" s="15"/>
      <c r="AK48" s="15"/>
      <c r="AM48" s="15"/>
      <c r="AN48" s="12"/>
      <c r="AP48" s="84">
        <v>2</v>
      </c>
      <c r="AQ48" s="84">
        <v>1</v>
      </c>
      <c r="AR48" s="84">
        <v>1</v>
      </c>
      <c r="AS48" s="84">
        <v>2</v>
      </c>
      <c r="AT48" s="84">
        <v>2</v>
      </c>
      <c r="AU48" s="84">
        <v>1</v>
      </c>
      <c r="BF48" s="84"/>
      <c r="BG48" s="84"/>
      <c r="BH48" s="85"/>
    </row>
    <row r="49" spans="1:60" ht="16" thickBot="1" x14ac:dyDescent="0.25">
      <c r="A49" s="5" t="s">
        <v>76</v>
      </c>
      <c r="B49" t="s">
        <v>136</v>
      </c>
      <c r="Q49" s="15"/>
      <c r="R49" s="132"/>
      <c r="S49" s="15"/>
      <c r="T49" s="132"/>
      <c r="U49" s="15"/>
      <c r="V49" s="34"/>
      <c r="W49" s="134"/>
      <c r="X49" s="132"/>
      <c r="Y49" s="134"/>
      <c r="Z49" s="132"/>
      <c r="AA49" s="134"/>
      <c r="AB49" s="132"/>
      <c r="AE49" s="15"/>
      <c r="AF49" s="12"/>
      <c r="AG49" s="15"/>
      <c r="AH49" s="12"/>
      <c r="AI49" s="15"/>
      <c r="AK49" s="15"/>
      <c r="AM49" s="15"/>
      <c r="AN49" s="12"/>
      <c r="AP49" s="84">
        <v>12</v>
      </c>
      <c r="AQ49" s="84">
        <v>14</v>
      </c>
      <c r="AR49" s="84">
        <v>13</v>
      </c>
      <c r="AS49" s="84">
        <v>10</v>
      </c>
      <c r="AT49" s="84">
        <v>17</v>
      </c>
      <c r="AU49" s="84">
        <v>11</v>
      </c>
      <c r="BF49" s="84"/>
      <c r="BG49" s="84"/>
      <c r="BH49" s="85"/>
    </row>
    <row r="50" spans="1:60" ht="16" thickBot="1" x14ac:dyDescent="0.25">
      <c r="A50" s="5" t="s">
        <v>77</v>
      </c>
      <c r="B50" t="s">
        <v>136</v>
      </c>
      <c r="Q50" s="15"/>
      <c r="R50" s="132"/>
      <c r="S50" s="15"/>
      <c r="T50" s="132"/>
      <c r="U50" s="15"/>
      <c r="V50" s="34"/>
      <c r="W50" s="134"/>
      <c r="X50" s="132"/>
      <c r="Y50" s="134"/>
      <c r="Z50" s="132"/>
      <c r="AA50" s="134"/>
      <c r="AB50" s="132"/>
      <c r="AE50" s="15"/>
      <c r="AF50" s="12"/>
      <c r="AG50" s="15"/>
      <c r="AH50" s="12"/>
      <c r="AI50" s="15"/>
      <c r="AK50" s="15"/>
      <c r="AM50" s="15"/>
      <c r="AN50" s="12"/>
      <c r="AP50" s="84">
        <v>1</v>
      </c>
      <c r="AQ50" s="84">
        <v>1</v>
      </c>
      <c r="AR50" s="85"/>
      <c r="AS50" s="84">
        <v>1</v>
      </c>
      <c r="AT50" s="85"/>
      <c r="AU50" s="85"/>
      <c r="BF50" s="84"/>
      <c r="BG50" s="84"/>
      <c r="BH50" s="85"/>
    </row>
    <row r="51" spans="1:60" ht="16" thickBot="1" x14ac:dyDescent="0.25">
      <c r="A51" s="5" t="s">
        <v>78</v>
      </c>
      <c r="B51" t="s">
        <v>136</v>
      </c>
      <c r="Q51" s="15"/>
      <c r="R51" s="132"/>
      <c r="S51" s="15"/>
      <c r="T51" s="132"/>
      <c r="U51" s="15"/>
      <c r="V51" s="34"/>
      <c r="W51" s="134"/>
      <c r="X51" s="132"/>
      <c r="Y51" s="134"/>
      <c r="Z51" s="132"/>
      <c r="AA51" s="134"/>
      <c r="AB51" s="132"/>
      <c r="AE51" s="15"/>
      <c r="AF51" s="12"/>
      <c r="AG51" s="15"/>
      <c r="AH51" s="12"/>
      <c r="AI51" s="15"/>
      <c r="AK51" s="15"/>
      <c r="AM51" s="15"/>
      <c r="AN51" s="12"/>
      <c r="AP51" s="85"/>
      <c r="AQ51" s="85"/>
      <c r="AR51" s="84">
        <v>1</v>
      </c>
      <c r="AS51" s="85"/>
      <c r="AT51" s="85"/>
      <c r="AU51" s="85"/>
      <c r="BF51" s="85"/>
      <c r="BG51" s="85"/>
      <c r="BH51" s="85"/>
    </row>
    <row r="52" spans="1:60" ht="16" thickBot="1" x14ac:dyDescent="0.25">
      <c r="A52" s="5" t="s">
        <v>79</v>
      </c>
      <c r="B52" t="s">
        <v>136</v>
      </c>
      <c r="Q52" s="15"/>
      <c r="R52" s="132"/>
      <c r="S52" s="15"/>
      <c r="T52" s="132"/>
      <c r="U52" s="15"/>
      <c r="V52" s="34"/>
      <c r="W52" s="134"/>
      <c r="X52" s="132"/>
      <c r="Y52" s="134"/>
      <c r="Z52" s="132"/>
      <c r="AA52" s="134"/>
      <c r="AB52" s="132"/>
      <c r="AE52" s="15"/>
      <c r="AF52" s="12"/>
      <c r="AG52" s="15"/>
      <c r="AH52" s="12"/>
      <c r="AI52" s="15"/>
      <c r="AK52" s="15"/>
      <c r="AM52" s="15"/>
      <c r="AN52" s="12"/>
      <c r="AP52" s="84">
        <v>1</v>
      </c>
      <c r="AQ52" s="84">
        <v>3</v>
      </c>
      <c r="AR52" s="84">
        <v>2</v>
      </c>
      <c r="AS52" s="84">
        <v>3</v>
      </c>
      <c r="AT52" s="84">
        <v>1</v>
      </c>
      <c r="AU52" s="85"/>
      <c r="BF52" s="84"/>
      <c r="BG52" s="84"/>
      <c r="BH52" s="85"/>
    </row>
    <row r="53" spans="1:60" ht="16" thickBot="1" x14ac:dyDescent="0.25">
      <c r="A53" s="5" t="s">
        <v>80</v>
      </c>
      <c r="B53" t="s">
        <v>136</v>
      </c>
      <c r="Q53" s="15"/>
      <c r="R53" s="132"/>
      <c r="S53" s="15"/>
      <c r="T53" s="132"/>
      <c r="U53" s="15"/>
      <c r="V53" s="34"/>
      <c r="W53" s="134"/>
      <c r="X53" s="132"/>
      <c r="Y53" s="134"/>
      <c r="Z53" s="132"/>
      <c r="AA53" s="134"/>
      <c r="AB53" s="132"/>
      <c r="AE53" s="15"/>
      <c r="AF53" s="12"/>
      <c r="AG53" s="15"/>
      <c r="AH53" s="12"/>
      <c r="AI53" s="15"/>
      <c r="AK53" s="15"/>
      <c r="AM53" s="15"/>
      <c r="AN53" s="12"/>
      <c r="AP53" s="84">
        <v>1</v>
      </c>
      <c r="AQ53" s="85"/>
      <c r="AR53" s="85"/>
      <c r="AS53" s="84">
        <v>1</v>
      </c>
      <c r="AT53" s="85"/>
      <c r="AU53" s="85"/>
      <c r="BF53" s="84"/>
      <c r="BG53" s="85"/>
      <c r="BH53" s="85"/>
    </row>
    <row r="54" spans="1:60" ht="16" thickBot="1" x14ac:dyDescent="0.25">
      <c r="A54" s="5" t="s">
        <v>81</v>
      </c>
      <c r="B54" t="s">
        <v>136</v>
      </c>
      <c r="Q54" s="15"/>
      <c r="R54" s="132"/>
      <c r="S54" s="15"/>
      <c r="T54" s="132"/>
      <c r="U54" s="15"/>
      <c r="V54" s="34"/>
      <c r="W54" s="134"/>
      <c r="X54" s="132"/>
      <c r="Y54" s="134"/>
      <c r="Z54" s="132"/>
      <c r="AA54" s="134"/>
      <c r="AB54" s="132"/>
      <c r="AE54" s="15"/>
      <c r="AF54" s="12"/>
      <c r="AG54" s="15"/>
      <c r="AH54" s="12"/>
      <c r="AI54" s="15"/>
      <c r="AK54" s="15"/>
      <c r="AM54" s="15"/>
      <c r="AN54" s="12"/>
      <c r="AP54" s="84">
        <v>1</v>
      </c>
      <c r="AQ54" s="84">
        <v>1</v>
      </c>
      <c r="AR54" s="84">
        <v>3</v>
      </c>
      <c r="AS54" s="84">
        <v>2</v>
      </c>
      <c r="AT54" s="84">
        <v>1</v>
      </c>
      <c r="AU54" s="84">
        <v>3</v>
      </c>
      <c r="BF54" s="84"/>
      <c r="BG54" s="84"/>
      <c r="BH54" s="85"/>
    </row>
    <row r="55" spans="1:60" ht="16" thickBot="1" x14ac:dyDescent="0.25">
      <c r="A55" s="5" t="s">
        <v>82</v>
      </c>
      <c r="B55" t="s">
        <v>136</v>
      </c>
      <c r="Q55" s="15"/>
      <c r="R55" s="132"/>
      <c r="S55" s="15"/>
      <c r="T55" s="132"/>
      <c r="U55" s="15"/>
      <c r="V55" s="34"/>
      <c r="W55" s="134"/>
      <c r="X55" s="132"/>
      <c r="Y55" s="134"/>
      <c r="Z55" s="132"/>
      <c r="AA55" s="134"/>
      <c r="AB55" s="132"/>
      <c r="AE55" s="15"/>
      <c r="AF55" s="12"/>
      <c r="AG55" s="15"/>
      <c r="AH55" s="12"/>
      <c r="AI55" s="15"/>
      <c r="AK55" s="15"/>
      <c r="AM55" s="15"/>
      <c r="AN55" s="12"/>
      <c r="AP55" s="85"/>
      <c r="AQ55" s="85"/>
      <c r="AR55" s="85"/>
      <c r="AS55" s="85"/>
      <c r="AT55" s="85"/>
      <c r="AU55" s="85"/>
      <c r="BF55" s="85"/>
      <c r="BG55" s="85"/>
      <c r="BH55" s="85"/>
    </row>
    <row r="56" spans="1:60" ht="16" thickBot="1" x14ac:dyDescent="0.25">
      <c r="A56" s="5" t="s">
        <v>83</v>
      </c>
      <c r="B56" t="s">
        <v>136</v>
      </c>
      <c r="Q56" s="15"/>
      <c r="R56" s="132"/>
      <c r="S56" s="15"/>
      <c r="T56" s="132"/>
      <c r="U56" s="15"/>
      <c r="V56" s="34"/>
      <c r="W56" s="134"/>
      <c r="X56" s="132"/>
      <c r="Y56" s="134"/>
      <c r="Z56" s="132"/>
      <c r="AA56" s="134"/>
      <c r="AB56" s="132"/>
      <c r="AE56" s="15"/>
      <c r="AF56" s="12"/>
      <c r="AG56" s="15"/>
      <c r="AH56" s="12"/>
      <c r="AI56" s="15"/>
      <c r="AK56" s="15"/>
      <c r="AM56" s="15"/>
      <c r="AN56" s="12"/>
      <c r="AP56" s="84">
        <v>3</v>
      </c>
      <c r="AQ56" s="84">
        <v>2</v>
      </c>
      <c r="AR56" s="84">
        <v>2</v>
      </c>
      <c r="AS56" s="84">
        <v>1</v>
      </c>
      <c r="AT56" s="84">
        <v>1</v>
      </c>
      <c r="AU56" s="84">
        <v>1</v>
      </c>
      <c r="BF56" s="85"/>
      <c r="BG56" s="85"/>
      <c r="BH56" s="85"/>
    </row>
    <row r="57" spans="1:60" ht="16" thickBot="1" x14ac:dyDescent="0.25">
      <c r="A57" s="5" t="s">
        <v>84</v>
      </c>
      <c r="B57" t="s">
        <v>136</v>
      </c>
      <c r="G57">
        <v>2</v>
      </c>
      <c r="Q57" s="15"/>
      <c r="R57" s="132"/>
      <c r="S57" s="15"/>
      <c r="T57" s="132"/>
      <c r="U57" s="15"/>
      <c r="V57" s="34"/>
      <c r="W57" s="134">
        <v>2</v>
      </c>
      <c r="X57" s="132">
        <v>6.5769679997174535E-2</v>
      </c>
      <c r="Y57" s="134"/>
      <c r="Z57" s="132"/>
      <c r="AA57" s="134"/>
      <c r="AB57" s="132"/>
      <c r="AE57" s="15"/>
      <c r="AF57" s="12"/>
      <c r="AG57" s="15"/>
      <c r="AH57" s="12"/>
      <c r="AI57" s="15"/>
      <c r="AK57" s="15"/>
      <c r="AM57" s="15"/>
      <c r="AN57" s="12"/>
      <c r="AP57" s="84">
        <v>3</v>
      </c>
      <c r="AQ57" s="84">
        <v>3</v>
      </c>
      <c r="AR57" s="84">
        <v>2</v>
      </c>
      <c r="AS57" s="84">
        <v>1</v>
      </c>
      <c r="AT57" s="84">
        <v>2</v>
      </c>
      <c r="AU57" s="84">
        <v>3</v>
      </c>
      <c r="BF57" s="84"/>
      <c r="BG57" s="84"/>
      <c r="BH57" s="85"/>
    </row>
    <row r="58" spans="1:60" ht="16" thickBot="1" x14ac:dyDescent="0.25">
      <c r="A58" s="5" t="s">
        <v>85</v>
      </c>
      <c r="B58" t="s">
        <v>136</v>
      </c>
      <c r="D58">
        <v>1</v>
      </c>
      <c r="Q58" s="15"/>
      <c r="R58" s="132"/>
      <c r="S58" s="15"/>
      <c r="T58" s="132"/>
      <c r="U58" s="15"/>
      <c r="V58" s="34"/>
      <c r="W58" s="134"/>
      <c r="X58" s="132"/>
      <c r="Y58" s="134"/>
      <c r="Z58" s="132"/>
      <c r="AA58" s="134"/>
      <c r="AB58" s="132"/>
      <c r="AE58" s="15"/>
      <c r="AF58" s="12"/>
      <c r="AG58" s="15"/>
      <c r="AH58" s="12"/>
      <c r="AI58" s="15"/>
      <c r="AK58" s="15"/>
      <c r="AM58" s="15"/>
      <c r="AN58" s="12"/>
      <c r="AP58" s="84">
        <v>10</v>
      </c>
      <c r="AQ58" s="84">
        <v>1</v>
      </c>
      <c r="AR58" s="84">
        <v>1</v>
      </c>
      <c r="AS58" s="84">
        <v>9</v>
      </c>
      <c r="AT58" s="84">
        <v>8</v>
      </c>
      <c r="AU58" s="84">
        <v>2</v>
      </c>
      <c r="BF58" s="84"/>
      <c r="BG58" s="84"/>
      <c r="BH58" s="85"/>
    </row>
    <row r="59" spans="1:60" ht="16" thickBot="1" x14ac:dyDescent="0.25">
      <c r="A59" s="5" t="s">
        <v>86</v>
      </c>
      <c r="B59" t="s">
        <v>136</v>
      </c>
      <c r="F59">
        <v>2</v>
      </c>
      <c r="I59">
        <v>1</v>
      </c>
      <c r="Q59" s="15"/>
      <c r="R59" s="132"/>
      <c r="S59" s="15"/>
      <c r="T59" s="132"/>
      <c r="U59" s="15">
        <v>1</v>
      </c>
      <c r="V59" s="34">
        <v>0.21456019000470405</v>
      </c>
      <c r="W59" s="134"/>
      <c r="X59" s="132"/>
      <c r="Y59" s="134"/>
      <c r="Z59" s="132"/>
      <c r="AA59" s="134">
        <v>1</v>
      </c>
      <c r="AB59" s="132">
        <v>2.9375000005529728E-2</v>
      </c>
      <c r="AE59" s="15"/>
      <c r="AF59" s="12"/>
      <c r="AG59" s="15"/>
      <c r="AH59" s="12"/>
      <c r="AI59" s="15"/>
      <c r="AK59" s="15"/>
      <c r="AM59" s="15"/>
      <c r="AN59" s="12"/>
      <c r="AP59" s="84">
        <v>12</v>
      </c>
      <c r="AQ59" s="84">
        <v>19</v>
      </c>
      <c r="AR59" s="84">
        <v>12</v>
      </c>
      <c r="AS59" s="84">
        <v>13</v>
      </c>
      <c r="AT59" s="84">
        <v>12</v>
      </c>
      <c r="AU59" s="84">
        <v>10</v>
      </c>
      <c r="BF59" s="84"/>
      <c r="BG59" s="84"/>
      <c r="BH59" s="85"/>
    </row>
    <row r="60" spans="1:60" ht="16" thickBot="1" x14ac:dyDescent="0.25">
      <c r="A60" s="5" t="s">
        <v>87</v>
      </c>
      <c r="B60" t="s">
        <v>136</v>
      </c>
      <c r="Q60" s="15"/>
      <c r="R60" s="132"/>
      <c r="S60" s="15"/>
      <c r="T60" s="132"/>
      <c r="U60" s="15"/>
      <c r="V60" s="34"/>
      <c r="W60" s="134"/>
      <c r="X60" s="132"/>
      <c r="Y60" s="134"/>
      <c r="Z60" s="132"/>
      <c r="AA60" s="134"/>
      <c r="AB60" s="132"/>
      <c r="AE60" s="15"/>
      <c r="AF60" s="12"/>
      <c r="AG60" s="15"/>
      <c r="AH60" s="12"/>
      <c r="AI60" s="15"/>
      <c r="AK60" s="15"/>
      <c r="AM60" s="15"/>
      <c r="AN60" s="12"/>
      <c r="AP60" s="84">
        <v>1</v>
      </c>
      <c r="AQ60" s="85"/>
      <c r="AR60" s="84">
        <v>3</v>
      </c>
      <c r="AS60" s="84">
        <v>1</v>
      </c>
      <c r="AT60" s="84">
        <v>2</v>
      </c>
      <c r="AU60" s="84">
        <v>2</v>
      </c>
      <c r="BF60" s="84"/>
      <c r="BG60" s="84"/>
      <c r="BH60" s="85"/>
    </row>
    <row r="61" spans="1:60" ht="16" thickBot="1" x14ac:dyDescent="0.25">
      <c r="A61" s="5" t="s">
        <v>88</v>
      </c>
      <c r="B61" t="s">
        <v>136</v>
      </c>
      <c r="Q61" s="15"/>
      <c r="R61" s="132"/>
      <c r="S61" s="15"/>
      <c r="T61" s="132"/>
      <c r="U61" s="15"/>
      <c r="V61" s="34"/>
      <c r="W61" s="134"/>
      <c r="X61" s="132"/>
      <c r="Y61" s="134"/>
      <c r="Z61" s="132"/>
      <c r="AA61" s="134"/>
      <c r="AB61" s="132"/>
      <c r="AE61" s="15"/>
      <c r="AF61" s="12"/>
      <c r="AG61" s="15"/>
      <c r="AH61" s="12"/>
      <c r="AI61" s="15"/>
      <c r="AK61" s="15"/>
      <c r="AM61" s="15"/>
      <c r="AN61" s="12"/>
      <c r="AP61" s="85"/>
      <c r="AQ61" s="85"/>
      <c r="AR61" s="85"/>
      <c r="AS61" s="85"/>
      <c r="AT61" s="85"/>
      <c r="AU61" s="85"/>
      <c r="BF61" s="85"/>
      <c r="BG61" s="85"/>
      <c r="BH61" s="85"/>
    </row>
    <row r="62" spans="1:60" ht="16" thickBot="1" x14ac:dyDescent="0.25">
      <c r="A62" s="5" t="s">
        <v>89</v>
      </c>
      <c r="B62" t="s">
        <v>136</v>
      </c>
      <c r="Q62" s="15"/>
      <c r="R62" s="132"/>
      <c r="S62" s="15"/>
      <c r="T62" s="132"/>
      <c r="U62" s="15"/>
      <c r="V62" s="34"/>
      <c r="W62" s="134"/>
      <c r="X62" s="132"/>
      <c r="Y62" s="134"/>
      <c r="Z62" s="132"/>
      <c r="AA62" s="134"/>
      <c r="AB62" s="132"/>
      <c r="AE62" s="15"/>
      <c r="AF62" s="12"/>
      <c r="AG62" s="15"/>
      <c r="AH62" s="12"/>
      <c r="AI62" s="15"/>
      <c r="AK62" s="15"/>
      <c r="AM62" s="15"/>
      <c r="AN62" s="12"/>
      <c r="AP62" s="84">
        <v>1</v>
      </c>
      <c r="AQ62" s="85"/>
      <c r="AR62" s="84">
        <v>1</v>
      </c>
      <c r="AS62" s="84">
        <v>1</v>
      </c>
      <c r="AT62" s="85"/>
      <c r="AU62" s="85"/>
      <c r="BF62" s="84"/>
      <c r="BG62" s="84"/>
      <c r="BH62" s="85"/>
    </row>
    <row r="63" spans="1:60" ht="16" thickBot="1" x14ac:dyDescent="0.25">
      <c r="A63" s="5" t="s">
        <v>90</v>
      </c>
      <c r="B63" t="s">
        <v>136</v>
      </c>
      <c r="F63">
        <v>3</v>
      </c>
      <c r="Q63" s="15"/>
      <c r="R63" s="132"/>
      <c r="S63" s="15"/>
      <c r="T63" s="132"/>
      <c r="U63" s="15">
        <v>2</v>
      </c>
      <c r="V63" s="34">
        <v>0.15376735999961966</v>
      </c>
      <c r="W63" s="134"/>
      <c r="X63" s="132"/>
      <c r="Y63" s="134"/>
      <c r="Z63" s="132"/>
      <c r="AA63" s="134"/>
      <c r="AB63" s="132"/>
      <c r="AE63" s="15"/>
      <c r="AF63" s="12"/>
      <c r="AG63" s="15"/>
      <c r="AH63" s="12"/>
      <c r="AI63" s="15"/>
      <c r="AK63" s="15"/>
      <c r="AM63" s="15"/>
      <c r="AN63" s="12"/>
      <c r="AP63" s="84">
        <v>6</v>
      </c>
      <c r="AQ63" s="84">
        <v>7</v>
      </c>
      <c r="AR63" s="84">
        <v>2</v>
      </c>
      <c r="AS63" s="84">
        <v>7</v>
      </c>
      <c r="AT63" s="84">
        <v>6</v>
      </c>
      <c r="AU63" s="84">
        <v>4</v>
      </c>
      <c r="BF63" s="84"/>
      <c r="BG63" s="84"/>
      <c r="BH63" s="84"/>
    </row>
    <row r="64" spans="1:60" ht="16" thickBot="1" x14ac:dyDescent="0.25">
      <c r="A64" s="5" t="s">
        <v>91</v>
      </c>
      <c r="B64" t="s">
        <v>136</v>
      </c>
      <c r="F64">
        <v>1</v>
      </c>
      <c r="Q64" s="15"/>
      <c r="R64" s="132"/>
      <c r="S64" s="15"/>
      <c r="T64" s="132"/>
      <c r="U64" s="15">
        <v>1</v>
      </c>
      <c r="V64" s="34">
        <v>0.21163194000109797</v>
      </c>
      <c r="W64" s="134"/>
      <c r="X64" s="132"/>
      <c r="Y64" s="134"/>
      <c r="Z64" s="132"/>
      <c r="AA64" s="134"/>
      <c r="AB64" s="132"/>
      <c r="AE64" s="15"/>
      <c r="AF64" s="12"/>
      <c r="AG64" s="15"/>
      <c r="AH64" s="12"/>
      <c r="AI64" s="15"/>
      <c r="AK64" s="15"/>
      <c r="AM64" s="15"/>
      <c r="AN64" s="12"/>
      <c r="AP64" s="84">
        <v>1</v>
      </c>
      <c r="AQ64" s="84">
        <v>1</v>
      </c>
      <c r="AR64" s="85"/>
      <c r="AS64" s="84">
        <v>1</v>
      </c>
      <c r="AT64" s="84">
        <v>1</v>
      </c>
      <c r="AU64" s="84">
        <v>1</v>
      </c>
      <c r="BF64" s="84"/>
      <c r="BG64" s="84"/>
      <c r="BH64" s="85"/>
    </row>
    <row r="65" spans="1:60" ht="16" thickBot="1" x14ac:dyDescent="0.25">
      <c r="A65" s="5" t="s">
        <v>92</v>
      </c>
      <c r="B65" t="s">
        <v>136</v>
      </c>
      <c r="Q65" s="15"/>
      <c r="R65" s="132"/>
      <c r="S65" s="15"/>
      <c r="T65" s="132"/>
      <c r="U65" s="15"/>
      <c r="V65" s="34"/>
      <c r="W65" s="134"/>
      <c r="X65" s="132"/>
      <c r="Y65" s="134"/>
      <c r="Z65" s="132"/>
      <c r="AA65" s="134"/>
      <c r="AB65" s="132"/>
      <c r="AE65" s="15"/>
      <c r="AF65" s="12"/>
      <c r="AG65" s="15"/>
      <c r="AH65" s="12"/>
      <c r="AI65" s="15"/>
      <c r="AK65" s="15"/>
      <c r="AM65" s="15"/>
      <c r="AN65" s="12"/>
      <c r="AP65" s="85"/>
      <c r="AQ65" s="85"/>
      <c r="AR65" s="85"/>
      <c r="AS65" s="85"/>
      <c r="AT65" s="85"/>
      <c r="AU65" s="85"/>
      <c r="BF65" s="85"/>
      <c r="BG65" s="85"/>
      <c r="BH65" s="85"/>
    </row>
    <row r="66" spans="1:60" ht="16" thickBot="1" x14ac:dyDescent="0.25">
      <c r="A66" s="5" t="s">
        <v>93</v>
      </c>
      <c r="B66" t="s">
        <v>136</v>
      </c>
      <c r="Q66" s="15"/>
      <c r="R66" s="132"/>
      <c r="S66" s="15"/>
      <c r="T66" s="132"/>
      <c r="U66" s="15"/>
      <c r="V66" s="34"/>
      <c r="W66" s="134"/>
      <c r="X66" s="132"/>
      <c r="Y66" s="134"/>
      <c r="Z66" s="132"/>
      <c r="AA66" s="134"/>
      <c r="AB66" s="132"/>
      <c r="AE66" s="15"/>
      <c r="AF66" s="12"/>
      <c r="AG66" s="15"/>
      <c r="AH66" s="12"/>
      <c r="AI66" s="15"/>
      <c r="AK66" s="15"/>
      <c r="AM66" s="15"/>
      <c r="AN66" s="12"/>
      <c r="AP66" s="85"/>
      <c r="AQ66" s="85"/>
      <c r="AR66" s="85"/>
      <c r="AS66" s="85"/>
      <c r="AT66" s="85"/>
      <c r="AU66" s="85"/>
      <c r="BF66" s="85"/>
      <c r="BG66" s="85"/>
      <c r="BH66" s="85"/>
    </row>
    <row r="67" spans="1:60" ht="16" thickBot="1" x14ac:dyDescent="0.25">
      <c r="A67" s="5" t="s">
        <v>94</v>
      </c>
      <c r="B67" t="s">
        <v>136</v>
      </c>
      <c r="Q67" s="15"/>
      <c r="R67" s="132"/>
      <c r="S67" s="15"/>
      <c r="T67" s="132"/>
      <c r="U67" s="15"/>
      <c r="V67" s="34"/>
      <c r="W67" s="134"/>
      <c r="X67" s="132"/>
      <c r="Y67" s="134"/>
      <c r="Z67" s="132"/>
      <c r="AA67" s="134"/>
      <c r="AB67" s="132"/>
      <c r="AE67" s="15"/>
      <c r="AF67" s="12"/>
      <c r="AG67" s="15"/>
      <c r="AH67" s="12"/>
      <c r="AI67" s="15"/>
      <c r="AK67" s="15"/>
      <c r="AM67" s="15"/>
      <c r="AN67" s="12"/>
      <c r="AP67" s="84">
        <v>1</v>
      </c>
      <c r="AQ67" s="85"/>
      <c r="AR67" s="85"/>
      <c r="AS67" s="84">
        <v>4</v>
      </c>
      <c r="AT67" s="84">
        <v>1</v>
      </c>
      <c r="AU67" s="84">
        <v>2</v>
      </c>
      <c r="BF67" s="84"/>
      <c r="BG67" s="84"/>
      <c r="BH67" s="85"/>
    </row>
    <row r="68" spans="1:60" ht="16" thickBot="1" x14ac:dyDescent="0.25">
      <c r="A68" s="5" t="s">
        <v>95</v>
      </c>
      <c r="B68" t="s">
        <v>136</v>
      </c>
      <c r="Q68" s="15"/>
      <c r="R68" s="132"/>
      <c r="S68" s="15"/>
      <c r="T68" s="132"/>
      <c r="U68" s="15"/>
      <c r="V68" s="34"/>
      <c r="W68" s="134"/>
      <c r="X68" s="132"/>
      <c r="Y68" s="134"/>
      <c r="Z68" s="132"/>
      <c r="AA68" s="134"/>
      <c r="AB68" s="132"/>
      <c r="AE68" s="15"/>
      <c r="AF68" s="12"/>
      <c r="AG68" s="15"/>
      <c r="AH68" s="12"/>
      <c r="AI68" s="15"/>
      <c r="AK68" s="15"/>
      <c r="AM68" s="15"/>
      <c r="AN68" s="12"/>
      <c r="AP68" s="84">
        <v>3</v>
      </c>
      <c r="AQ68" s="84">
        <v>2</v>
      </c>
      <c r="AR68" s="84">
        <v>4</v>
      </c>
      <c r="AS68" s="84">
        <v>4</v>
      </c>
      <c r="AT68" s="84">
        <v>5</v>
      </c>
      <c r="AU68" s="84">
        <v>3</v>
      </c>
      <c r="BF68" s="84"/>
      <c r="BG68" s="84"/>
      <c r="BH68" s="85"/>
    </row>
    <row r="69" spans="1:60" ht="16" thickBot="1" x14ac:dyDescent="0.25">
      <c r="A69" s="5" t="s">
        <v>96</v>
      </c>
      <c r="B69" t="s">
        <v>136</v>
      </c>
      <c r="Q69" s="15"/>
      <c r="R69" s="132"/>
      <c r="S69" s="15"/>
      <c r="T69" s="132"/>
      <c r="U69" s="15"/>
      <c r="V69" s="34"/>
      <c r="W69" s="134"/>
      <c r="X69" s="132"/>
      <c r="Y69" s="134"/>
      <c r="Z69" s="132"/>
      <c r="AA69" s="134"/>
      <c r="AB69" s="132"/>
      <c r="AE69" s="15"/>
      <c r="AF69" s="12"/>
      <c r="AG69" s="15"/>
      <c r="AH69" s="12"/>
      <c r="AI69" s="15"/>
      <c r="AK69" s="15"/>
      <c r="AM69" s="15"/>
      <c r="AN69" s="12"/>
      <c r="AP69" s="84">
        <v>7</v>
      </c>
      <c r="AQ69" s="84">
        <v>5</v>
      </c>
      <c r="AR69" s="84">
        <v>7</v>
      </c>
      <c r="AS69" s="84">
        <v>9</v>
      </c>
      <c r="AT69" s="84">
        <v>4</v>
      </c>
      <c r="AU69" s="84">
        <v>5</v>
      </c>
      <c r="BF69" s="84"/>
      <c r="BG69" s="84"/>
      <c r="BH69" s="85"/>
    </row>
    <row r="70" spans="1:60" ht="16" thickBot="1" x14ac:dyDescent="0.25">
      <c r="A70" s="5" t="s">
        <v>97</v>
      </c>
      <c r="B70" t="s">
        <v>136</v>
      </c>
      <c r="Q70" s="15"/>
      <c r="R70" s="132"/>
      <c r="S70" s="15"/>
      <c r="T70" s="132"/>
      <c r="U70" s="15"/>
      <c r="V70" s="34"/>
      <c r="W70" s="134"/>
      <c r="X70" s="132"/>
      <c r="Y70" s="134"/>
      <c r="Z70" s="132"/>
      <c r="AA70" s="134"/>
      <c r="AB70" s="132"/>
      <c r="AE70" s="15"/>
      <c r="AF70" s="12"/>
      <c r="AG70" s="15"/>
      <c r="AH70" s="12"/>
      <c r="AI70" s="15"/>
      <c r="AK70" s="15"/>
      <c r="AM70" s="15"/>
      <c r="AN70" s="12"/>
      <c r="AP70" s="84">
        <v>2</v>
      </c>
      <c r="AQ70" s="85"/>
      <c r="AR70" s="84">
        <v>1</v>
      </c>
      <c r="AS70" s="85"/>
      <c r="AT70" s="84">
        <v>1</v>
      </c>
      <c r="AU70" s="84">
        <v>1</v>
      </c>
      <c r="BF70" s="84"/>
      <c r="BG70" s="84"/>
      <c r="BH70" s="85"/>
    </row>
    <row r="71" spans="1:60" ht="16" thickBot="1" x14ac:dyDescent="0.25">
      <c r="A71" s="5" t="s">
        <v>98</v>
      </c>
      <c r="B71" t="s">
        <v>136</v>
      </c>
      <c r="Q71" s="15"/>
      <c r="R71" s="132"/>
      <c r="S71" s="15"/>
      <c r="T71" s="132"/>
      <c r="U71" s="15"/>
      <c r="V71" s="34"/>
      <c r="W71" s="134"/>
      <c r="X71" s="132"/>
      <c r="Y71" s="134"/>
      <c r="Z71" s="132"/>
      <c r="AA71" s="134"/>
      <c r="AB71" s="132"/>
      <c r="AE71" s="15"/>
      <c r="AF71" s="12"/>
      <c r="AG71" s="15"/>
      <c r="AH71" s="12"/>
      <c r="AI71" s="15"/>
      <c r="AK71" s="15"/>
      <c r="AM71" s="15"/>
      <c r="AN71" s="12"/>
      <c r="AP71" s="84">
        <v>4</v>
      </c>
      <c r="AQ71" s="84">
        <v>7</v>
      </c>
      <c r="AR71" s="84">
        <v>4</v>
      </c>
      <c r="AS71" s="84">
        <v>4</v>
      </c>
      <c r="AT71" s="84">
        <v>4</v>
      </c>
      <c r="AU71" s="84">
        <v>3</v>
      </c>
      <c r="BF71" s="84"/>
      <c r="BG71" s="84"/>
      <c r="BH71" s="85"/>
    </row>
    <row r="72" spans="1:60" ht="16" thickBot="1" x14ac:dyDescent="0.25">
      <c r="A72" s="5" t="s">
        <v>99</v>
      </c>
      <c r="B72" t="s">
        <v>136</v>
      </c>
      <c r="F72">
        <v>1</v>
      </c>
      <c r="I72">
        <v>1</v>
      </c>
      <c r="Q72" s="15"/>
      <c r="R72" s="132"/>
      <c r="S72" s="15"/>
      <c r="T72" s="132"/>
      <c r="U72" s="15"/>
      <c r="V72" s="34"/>
      <c r="W72" s="134"/>
      <c r="X72" s="132"/>
      <c r="Y72" s="134"/>
      <c r="Z72" s="132"/>
      <c r="AA72" s="134">
        <v>1</v>
      </c>
      <c r="AB72" s="132">
        <v>3.3356480002112221E-2</v>
      </c>
      <c r="AE72" s="15"/>
      <c r="AF72" s="12"/>
      <c r="AG72" s="15"/>
      <c r="AH72" s="12"/>
      <c r="AI72" s="15"/>
      <c r="AK72" s="15"/>
      <c r="AM72" s="15"/>
      <c r="AN72" s="12"/>
      <c r="AP72" s="84">
        <v>50</v>
      </c>
      <c r="AQ72" s="84">
        <v>40</v>
      </c>
      <c r="AR72" s="84">
        <v>43</v>
      </c>
      <c r="AS72" s="84">
        <v>29</v>
      </c>
      <c r="AT72" s="84">
        <v>38</v>
      </c>
      <c r="AU72" s="84">
        <v>36</v>
      </c>
      <c r="BF72" s="84"/>
      <c r="BG72" s="84"/>
      <c r="BH72" s="84"/>
    </row>
    <row r="73" spans="1:60" ht="16" thickBot="1" x14ac:dyDescent="0.25">
      <c r="A73" s="5" t="s">
        <v>100</v>
      </c>
      <c r="B73" t="s">
        <v>136</v>
      </c>
      <c r="Q73" s="15"/>
      <c r="R73" s="132"/>
      <c r="S73" s="15"/>
      <c r="T73" s="132"/>
      <c r="U73" s="15"/>
      <c r="V73" s="34"/>
      <c r="W73" s="134"/>
      <c r="X73" s="132"/>
      <c r="Y73" s="134"/>
      <c r="Z73" s="132"/>
      <c r="AA73" s="134"/>
      <c r="AB73" s="132"/>
      <c r="AE73" s="15"/>
      <c r="AF73" s="12"/>
      <c r="AG73" s="15"/>
      <c r="AH73" s="12"/>
      <c r="AI73" s="15"/>
      <c r="AK73" s="15"/>
      <c r="AM73" s="15"/>
      <c r="AN73" s="12"/>
      <c r="AP73" s="84">
        <v>2</v>
      </c>
      <c r="AQ73" s="84">
        <v>1</v>
      </c>
      <c r="AR73" s="85"/>
      <c r="AS73" s="84">
        <v>3</v>
      </c>
      <c r="AT73" s="84">
        <v>2</v>
      </c>
      <c r="AU73" s="84">
        <v>1</v>
      </c>
      <c r="BF73" s="84"/>
      <c r="BG73" s="85"/>
      <c r="BH73" s="85"/>
    </row>
    <row r="74" spans="1:60" ht="16" thickBot="1" x14ac:dyDescent="0.25">
      <c r="A74" s="5" t="s">
        <v>101</v>
      </c>
      <c r="B74" t="s">
        <v>136</v>
      </c>
      <c r="Q74" s="15"/>
      <c r="R74" s="132"/>
      <c r="S74" s="15"/>
      <c r="T74" s="132"/>
      <c r="U74" s="15"/>
      <c r="V74" s="34"/>
      <c r="W74" s="134"/>
      <c r="X74" s="132"/>
      <c r="Y74" s="134"/>
      <c r="Z74" s="132"/>
      <c r="AA74" s="134"/>
      <c r="AB74" s="132"/>
      <c r="AE74" s="15"/>
      <c r="AF74" s="12"/>
      <c r="AG74" s="15"/>
      <c r="AH74" s="12"/>
      <c r="AI74" s="15"/>
      <c r="AK74" s="15"/>
      <c r="AM74" s="15"/>
      <c r="AN74" s="12"/>
      <c r="AP74" s="85"/>
      <c r="AQ74" s="85"/>
      <c r="AR74" s="85"/>
      <c r="AS74" s="85"/>
      <c r="AT74" s="85"/>
      <c r="AU74" s="84">
        <v>1</v>
      </c>
      <c r="BF74" s="84"/>
      <c r="BG74" s="84"/>
      <c r="BH74" s="85"/>
    </row>
    <row r="75" spans="1:60" ht="16" thickBot="1" x14ac:dyDescent="0.25">
      <c r="A75" s="5" t="s">
        <v>102</v>
      </c>
      <c r="B75" t="s">
        <v>136</v>
      </c>
      <c r="E75">
        <v>1</v>
      </c>
      <c r="Q75" s="15"/>
      <c r="R75" s="132"/>
      <c r="S75" s="15"/>
      <c r="T75" s="132"/>
      <c r="U75" s="15">
        <v>1</v>
      </c>
      <c r="V75" s="34">
        <v>3.0131134300027043</v>
      </c>
      <c r="W75" s="134"/>
      <c r="X75" s="132"/>
      <c r="Y75" s="134"/>
      <c r="Z75" s="132"/>
      <c r="AA75" s="134"/>
      <c r="AB75" s="132"/>
      <c r="AE75" s="15"/>
      <c r="AF75" s="12"/>
      <c r="AG75" s="15"/>
      <c r="AH75" s="12"/>
      <c r="AI75" s="15"/>
      <c r="AK75" s="15"/>
      <c r="AM75" s="15"/>
      <c r="AN75" s="12"/>
      <c r="AP75" s="84">
        <v>21</v>
      </c>
      <c r="AQ75" s="84">
        <v>13</v>
      </c>
      <c r="AR75" s="84">
        <v>20</v>
      </c>
      <c r="AS75" s="84">
        <v>21</v>
      </c>
      <c r="AT75" s="84">
        <v>9</v>
      </c>
      <c r="AU75" s="84">
        <v>10</v>
      </c>
      <c r="BF75" s="84"/>
      <c r="BG75" s="84"/>
      <c r="BH75" s="84"/>
    </row>
    <row r="76" spans="1:60" ht="16" thickBot="1" x14ac:dyDescent="0.25">
      <c r="A76" s="5" t="s">
        <v>103</v>
      </c>
      <c r="B76" t="s">
        <v>136</v>
      </c>
      <c r="Q76" s="15"/>
      <c r="R76" s="132"/>
      <c r="S76" s="15"/>
      <c r="T76" s="132"/>
      <c r="U76" s="15"/>
      <c r="V76" s="34"/>
      <c r="W76" s="134"/>
      <c r="X76" s="132"/>
      <c r="Y76" s="134"/>
      <c r="Z76" s="132"/>
      <c r="AA76" s="134"/>
      <c r="AB76" s="132"/>
      <c r="AE76" s="15"/>
      <c r="AF76" s="12"/>
      <c r="AG76" s="15"/>
      <c r="AH76" s="12"/>
      <c r="AI76" s="15"/>
      <c r="AK76" s="15"/>
      <c r="AM76" s="15"/>
      <c r="AN76" s="12"/>
      <c r="AP76" s="84">
        <v>4</v>
      </c>
      <c r="AQ76" s="84">
        <v>5</v>
      </c>
      <c r="AR76" s="84">
        <v>7</v>
      </c>
      <c r="AS76" s="84">
        <v>4</v>
      </c>
      <c r="AT76" s="84">
        <v>5</v>
      </c>
      <c r="AU76" s="84">
        <v>5</v>
      </c>
      <c r="BF76" s="84"/>
      <c r="BG76" s="84"/>
      <c r="BH76" s="85"/>
    </row>
    <row r="77" spans="1:60" ht="16" thickBot="1" x14ac:dyDescent="0.25">
      <c r="A77" s="5" t="s">
        <v>104</v>
      </c>
      <c r="B77" t="s">
        <v>136</v>
      </c>
      <c r="Q77" s="15"/>
      <c r="R77" s="132"/>
      <c r="S77" s="15"/>
      <c r="T77" s="132"/>
      <c r="U77" s="15"/>
      <c r="V77" s="34"/>
      <c r="W77" s="134"/>
      <c r="X77" s="132"/>
      <c r="Y77" s="134"/>
      <c r="Z77" s="132"/>
      <c r="AA77" s="134"/>
      <c r="AB77" s="132"/>
      <c r="AE77" s="15"/>
      <c r="AF77" s="12"/>
      <c r="AG77" s="15"/>
      <c r="AH77" s="12"/>
      <c r="AI77" s="15"/>
      <c r="AK77" s="15"/>
      <c r="AM77" s="15"/>
      <c r="AN77" s="12"/>
      <c r="AP77" s="84">
        <v>4</v>
      </c>
      <c r="AQ77" s="84">
        <v>4</v>
      </c>
      <c r="AR77" s="84">
        <v>4</v>
      </c>
      <c r="AS77" s="84">
        <v>3</v>
      </c>
      <c r="AT77" s="84">
        <v>3</v>
      </c>
      <c r="AU77" s="84">
        <v>1</v>
      </c>
      <c r="BF77" s="84"/>
      <c r="BG77" s="84"/>
      <c r="BH77" s="85"/>
    </row>
    <row r="78" spans="1:60" ht="16" thickBot="1" x14ac:dyDescent="0.25">
      <c r="A78" s="5" t="s">
        <v>105</v>
      </c>
      <c r="B78" t="s">
        <v>136</v>
      </c>
      <c r="Q78" s="15"/>
      <c r="R78" s="132"/>
      <c r="S78" s="15"/>
      <c r="T78" s="132"/>
      <c r="U78" s="15"/>
      <c r="V78" s="34"/>
      <c r="W78" s="134"/>
      <c r="X78" s="132"/>
      <c r="Y78" s="134"/>
      <c r="Z78" s="132"/>
      <c r="AA78" s="134"/>
      <c r="AB78" s="132"/>
      <c r="AE78" s="15"/>
      <c r="AF78" s="12"/>
      <c r="AG78" s="15"/>
      <c r="AH78" s="12"/>
      <c r="AI78" s="15"/>
      <c r="AK78" s="15"/>
      <c r="AM78" s="15"/>
      <c r="AN78" s="12"/>
      <c r="AP78" s="84">
        <v>4</v>
      </c>
      <c r="AQ78" s="84">
        <v>3</v>
      </c>
      <c r="AR78" s="84">
        <v>2</v>
      </c>
      <c r="AS78" s="84">
        <v>2</v>
      </c>
      <c r="AT78" s="84">
        <v>1</v>
      </c>
      <c r="AU78" s="84">
        <v>4</v>
      </c>
      <c r="BF78" s="84"/>
      <c r="BG78" s="84"/>
      <c r="BH78" s="85"/>
    </row>
    <row r="79" spans="1:60" ht="16" thickBot="1" x14ac:dyDescent="0.25">
      <c r="A79" s="5" t="s">
        <v>106</v>
      </c>
      <c r="B79" t="s">
        <v>136</v>
      </c>
      <c r="Q79" s="15"/>
      <c r="R79" s="132"/>
      <c r="S79" s="15"/>
      <c r="T79" s="132"/>
      <c r="U79" s="15"/>
      <c r="V79" s="34"/>
      <c r="W79" s="134"/>
      <c r="X79" s="132"/>
      <c r="Y79" s="134"/>
      <c r="Z79" s="132"/>
      <c r="AA79" s="134"/>
      <c r="AB79" s="132"/>
      <c r="AE79" s="15"/>
      <c r="AF79" s="12"/>
      <c r="AG79" s="15"/>
      <c r="AH79" s="12"/>
      <c r="AI79" s="15"/>
      <c r="AK79" s="15"/>
      <c r="AM79" s="15"/>
      <c r="AN79" s="12"/>
      <c r="AP79" s="85"/>
      <c r="AQ79" s="84">
        <v>2</v>
      </c>
      <c r="AR79" s="84">
        <v>1</v>
      </c>
      <c r="AS79" s="85"/>
      <c r="AT79" s="84">
        <v>1</v>
      </c>
      <c r="AU79" s="85"/>
      <c r="BF79" s="85"/>
      <c r="BG79" s="85"/>
      <c r="BH79" s="85"/>
    </row>
    <row r="80" spans="1:60" ht="16" thickBot="1" x14ac:dyDescent="0.25">
      <c r="A80" s="5" t="s">
        <v>107</v>
      </c>
      <c r="B80" t="s">
        <v>136</v>
      </c>
      <c r="Q80" s="15"/>
      <c r="R80" s="132"/>
      <c r="S80" s="15"/>
      <c r="T80" s="132"/>
      <c r="U80" s="15"/>
      <c r="V80" s="34"/>
      <c r="W80" s="134"/>
      <c r="X80" s="132"/>
      <c r="Y80" s="134"/>
      <c r="Z80" s="132"/>
      <c r="AA80" s="134"/>
      <c r="AB80" s="132"/>
      <c r="AE80" s="15"/>
      <c r="AF80" s="12"/>
      <c r="AG80" s="15"/>
      <c r="AH80" s="12"/>
      <c r="AI80" s="15"/>
      <c r="AK80" s="15"/>
      <c r="AM80" s="15"/>
      <c r="AN80" s="12"/>
      <c r="AP80" s="85"/>
      <c r="AQ80" s="85"/>
      <c r="AR80" s="85"/>
      <c r="AS80" s="85"/>
      <c r="AT80" s="85"/>
      <c r="AU80" s="85"/>
      <c r="BF80" s="85"/>
      <c r="BG80" s="85"/>
      <c r="BH80" s="85"/>
    </row>
    <row r="81" spans="1:60" ht="16" thickBot="1" x14ac:dyDescent="0.25">
      <c r="A81" s="5" t="s">
        <v>108</v>
      </c>
      <c r="B81" t="s">
        <v>136</v>
      </c>
      <c r="Q81" s="15"/>
      <c r="R81" s="132"/>
      <c r="S81" s="15"/>
      <c r="T81" s="132"/>
      <c r="U81" s="15"/>
      <c r="V81" s="34"/>
      <c r="W81" s="134"/>
      <c r="X81" s="132"/>
      <c r="Y81" s="134"/>
      <c r="Z81" s="132"/>
      <c r="AA81" s="134"/>
      <c r="AB81" s="132"/>
      <c r="AE81" s="15"/>
      <c r="AF81" s="12"/>
      <c r="AG81" s="15"/>
      <c r="AH81" s="12"/>
      <c r="AI81" s="15"/>
      <c r="AK81" s="15"/>
      <c r="AM81" s="15"/>
      <c r="AN81" s="12"/>
      <c r="AP81" s="84">
        <v>1</v>
      </c>
      <c r="AQ81" s="84">
        <v>1</v>
      </c>
      <c r="AR81" s="84">
        <v>3</v>
      </c>
      <c r="AS81" s="84">
        <v>1</v>
      </c>
      <c r="AT81" s="84">
        <v>1</v>
      </c>
      <c r="AU81" s="84">
        <v>1</v>
      </c>
      <c r="BF81" s="84"/>
      <c r="BG81" s="84"/>
      <c r="BH81" s="85"/>
    </row>
    <row r="82" spans="1:60" ht="16" thickBot="1" x14ac:dyDescent="0.25">
      <c r="A82" s="5" t="s">
        <v>109</v>
      </c>
      <c r="B82" t="s">
        <v>136</v>
      </c>
      <c r="Q82" s="15"/>
      <c r="R82" s="132"/>
      <c r="S82" s="15"/>
      <c r="T82" s="132"/>
      <c r="U82" s="15"/>
      <c r="V82" s="34"/>
      <c r="W82" s="134"/>
      <c r="X82" s="132"/>
      <c r="Y82" s="134"/>
      <c r="Z82" s="132"/>
      <c r="AA82" s="134"/>
      <c r="AB82" s="132"/>
      <c r="AE82" s="15"/>
      <c r="AF82" s="12"/>
      <c r="AG82" s="15"/>
      <c r="AH82" s="12"/>
      <c r="AI82" s="15"/>
      <c r="AK82" s="15"/>
      <c r="AM82" s="15"/>
      <c r="AN82" s="12"/>
      <c r="AP82" s="84">
        <v>3</v>
      </c>
      <c r="AQ82" s="84">
        <v>5</v>
      </c>
      <c r="AR82" s="84">
        <v>2</v>
      </c>
      <c r="AS82" s="84">
        <v>3</v>
      </c>
      <c r="AT82" s="84">
        <v>2</v>
      </c>
      <c r="AU82" s="84">
        <v>4</v>
      </c>
      <c r="BF82" s="84"/>
      <c r="BG82" s="84"/>
      <c r="BH82" s="85"/>
    </row>
    <row r="83" spans="1:60" ht="16" thickBot="1" x14ac:dyDescent="0.25">
      <c r="A83" s="5" t="s">
        <v>110</v>
      </c>
      <c r="B83" t="s">
        <v>136</v>
      </c>
      <c r="Q83" s="15"/>
      <c r="R83" s="132"/>
      <c r="S83" s="15"/>
      <c r="T83" s="132"/>
      <c r="U83" s="15"/>
      <c r="V83" s="34"/>
      <c r="W83" s="134"/>
      <c r="X83" s="132"/>
      <c r="Y83" s="134"/>
      <c r="Z83" s="132"/>
      <c r="AA83" s="134"/>
      <c r="AB83" s="132"/>
      <c r="AE83" s="15"/>
      <c r="AF83" s="12"/>
      <c r="AG83" s="15"/>
      <c r="AH83" s="12"/>
      <c r="AI83" s="15"/>
      <c r="AK83" s="15"/>
      <c r="AM83" s="15"/>
      <c r="AN83" s="12"/>
      <c r="AP83" s="84">
        <v>11</v>
      </c>
      <c r="AQ83" s="84">
        <v>8</v>
      </c>
      <c r="AR83" s="84">
        <v>7</v>
      </c>
      <c r="AS83" s="84">
        <v>6</v>
      </c>
      <c r="AT83" s="84">
        <v>6</v>
      </c>
      <c r="AU83" s="84">
        <v>3</v>
      </c>
      <c r="BF83" s="84"/>
      <c r="BG83" s="84"/>
      <c r="BH83" s="85"/>
    </row>
    <row r="84" spans="1:60" ht="16" thickBot="1" x14ac:dyDescent="0.25">
      <c r="A84" s="5" t="s">
        <v>111</v>
      </c>
      <c r="B84" t="s">
        <v>136</v>
      </c>
      <c r="D84">
        <v>1</v>
      </c>
      <c r="F84">
        <v>5</v>
      </c>
      <c r="H84">
        <v>1</v>
      </c>
      <c r="I84">
        <v>1</v>
      </c>
      <c r="Q84" s="15"/>
      <c r="R84" s="132"/>
      <c r="S84" s="15"/>
      <c r="T84" s="132"/>
      <c r="U84" s="15">
        <v>3</v>
      </c>
      <c r="V84" s="34">
        <v>0.22174382999946829</v>
      </c>
      <c r="W84" s="134"/>
      <c r="X84" s="132"/>
      <c r="Y84" s="134">
        <v>1</v>
      </c>
      <c r="Z84" s="132">
        <v>0.29836805000377353</v>
      </c>
      <c r="AA84" s="134">
        <v>1</v>
      </c>
      <c r="AB84" s="132">
        <v>8.2291700018686242E-3</v>
      </c>
      <c r="AE84" s="15"/>
      <c r="AF84" s="12"/>
      <c r="AG84" s="15"/>
      <c r="AH84" s="12"/>
      <c r="AI84" s="15"/>
      <c r="AK84" s="15"/>
      <c r="AM84" s="15"/>
      <c r="AN84" s="12"/>
      <c r="AP84" s="84">
        <v>131</v>
      </c>
      <c r="AQ84" s="84">
        <v>108</v>
      </c>
      <c r="AR84" s="84">
        <v>88</v>
      </c>
      <c r="AS84" s="84">
        <v>82</v>
      </c>
      <c r="AT84" s="84">
        <v>87</v>
      </c>
      <c r="AU84" s="84">
        <v>72</v>
      </c>
      <c r="BF84" s="84"/>
      <c r="BG84" s="84"/>
      <c r="BH84" s="84"/>
    </row>
    <row r="85" spans="1:60" ht="16" thickBot="1" x14ac:dyDescent="0.25">
      <c r="A85" s="5" t="s">
        <v>112</v>
      </c>
      <c r="B85" t="s">
        <v>136</v>
      </c>
      <c r="D85">
        <v>3</v>
      </c>
      <c r="E85">
        <v>4</v>
      </c>
      <c r="F85">
        <v>1</v>
      </c>
      <c r="G85">
        <v>1</v>
      </c>
      <c r="I85">
        <v>4</v>
      </c>
      <c r="Q85" s="15">
        <v>3</v>
      </c>
      <c r="R85" s="132">
        <v>1.1650385799997214</v>
      </c>
      <c r="S85" s="15">
        <v>3</v>
      </c>
      <c r="T85" s="132">
        <v>0.76840663666613784</v>
      </c>
      <c r="U85" s="134"/>
      <c r="V85" s="34"/>
      <c r="W85" s="134">
        <v>1</v>
      </c>
      <c r="X85" s="132">
        <v>8.239583000249695E-2</v>
      </c>
      <c r="Y85" s="134"/>
      <c r="Z85" s="132"/>
      <c r="AA85" s="134">
        <v>3</v>
      </c>
      <c r="AB85" s="132">
        <v>0.83900077333237277</v>
      </c>
      <c r="AE85" s="15"/>
      <c r="AF85" s="12"/>
      <c r="AG85" s="15"/>
      <c r="AH85" s="12"/>
      <c r="AI85" s="15"/>
      <c r="AK85" s="15"/>
      <c r="AM85" s="15"/>
      <c r="AN85" s="12"/>
      <c r="AP85" s="84">
        <v>170</v>
      </c>
      <c r="AQ85" s="84">
        <v>138</v>
      </c>
      <c r="AR85" s="84">
        <v>150</v>
      </c>
      <c r="AS85" s="84">
        <v>122</v>
      </c>
      <c r="AT85" s="84">
        <v>107</v>
      </c>
      <c r="AU85" s="84">
        <v>71</v>
      </c>
      <c r="BF85" s="84"/>
      <c r="BG85" s="84"/>
      <c r="BH85" s="84"/>
    </row>
    <row r="86" spans="1:60" ht="16" thickBot="1" x14ac:dyDescent="0.25">
      <c r="A86" s="5" t="s">
        <v>113</v>
      </c>
      <c r="B86" t="s">
        <v>136</v>
      </c>
      <c r="Q86" s="15"/>
      <c r="R86" s="132"/>
      <c r="S86" s="15"/>
      <c r="T86" s="132"/>
      <c r="U86" s="15"/>
      <c r="V86" s="34"/>
      <c r="W86" s="134"/>
      <c r="X86" s="132"/>
      <c r="Y86" s="134"/>
      <c r="Z86" s="132"/>
      <c r="AA86" s="134"/>
      <c r="AB86" s="132"/>
      <c r="AE86" s="15"/>
      <c r="AF86" s="12"/>
      <c r="AG86" s="15"/>
      <c r="AH86" s="12"/>
      <c r="AI86" s="15"/>
      <c r="AK86" s="15"/>
      <c r="AM86" s="15"/>
      <c r="AN86" s="12"/>
      <c r="AP86" s="84">
        <v>22</v>
      </c>
      <c r="AQ86" s="84">
        <v>11</v>
      </c>
      <c r="AR86" s="84">
        <v>15</v>
      </c>
      <c r="AS86" s="84">
        <v>14</v>
      </c>
      <c r="AT86" s="84">
        <v>13</v>
      </c>
      <c r="AU86" s="84">
        <v>8</v>
      </c>
      <c r="BF86" s="84"/>
      <c r="BG86" s="84"/>
      <c r="BH86" s="85"/>
    </row>
    <row r="87" spans="1:60" ht="16" thickBot="1" x14ac:dyDescent="0.25">
      <c r="A87" s="5" t="s">
        <v>114</v>
      </c>
      <c r="B87" t="s">
        <v>136</v>
      </c>
      <c r="G87">
        <v>1</v>
      </c>
      <c r="H87">
        <v>1</v>
      </c>
      <c r="Q87" s="15"/>
      <c r="R87" s="132"/>
      <c r="S87" s="15"/>
      <c r="T87" s="132"/>
      <c r="U87" s="15"/>
      <c r="V87" s="34"/>
      <c r="W87" s="134">
        <v>1</v>
      </c>
      <c r="X87" s="132">
        <v>3.9942130002600607E-2</v>
      </c>
      <c r="Y87" s="134">
        <v>1</v>
      </c>
      <c r="Z87" s="132">
        <v>0.12269675999414176</v>
      </c>
      <c r="AA87" s="134"/>
      <c r="AB87" s="132"/>
      <c r="AE87" s="15"/>
      <c r="AF87" s="12"/>
      <c r="AG87" s="15"/>
      <c r="AH87" s="12"/>
      <c r="AI87" s="15"/>
      <c r="AK87" s="15"/>
      <c r="AM87" s="15"/>
      <c r="AN87" s="12"/>
      <c r="AP87" s="84">
        <v>16</v>
      </c>
      <c r="AQ87" s="84">
        <v>11</v>
      </c>
      <c r="AR87" s="84">
        <v>16</v>
      </c>
      <c r="AS87" s="84">
        <v>12</v>
      </c>
      <c r="AT87" s="84">
        <v>11</v>
      </c>
      <c r="AU87" s="84">
        <v>6</v>
      </c>
      <c r="BF87" s="84"/>
      <c r="BG87" s="84"/>
      <c r="BH87" s="84"/>
    </row>
    <row r="88" spans="1:60" ht="16" thickBot="1" x14ac:dyDescent="0.25">
      <c r="A88" s="5" t="s">
        <v>115</v>
      </c>
      <c r="B88" t="s">
        <v>136</v>
      </c>
      <c r="D88">
        <v>2</v>
      </c>
      <c r="F88">
        <v>2</v>
      </c>
      <c r="G88">
        <v>3</v>
      </c>
      <c r="H88">
        <v>2</v>
      </c>
      <c r="I88">
        <v>5</v>
      </c>
      <c r="Q88" s="15">
        <v>1</v>
      </c>
      <c r="R88" s="132">
        <v>3.2578472200038959</v>
      </c>
      <c r="S88" s="15"/>
      <c r="T88" s="132"/>
      <c r="U88" s="15">
        <v>1</v>
      </c>
      <c r="V88" s="34">
        <v>4.3229169998085126E-2</v>
      </c>
      <c r="W88" s="134">
        <v>3</v>
      </c>
      <c r="X88" s="132">
        <v>7.4182100002265841E-2</v>
      </c>
      <c r="Y88" s="134">
        <v>2</v>
      </c>
      <c r="Z88" s="132">
        <v>0.2814236099984555</v>
      </c>
      <c r="AA88" s="134">
        <v>4</v>
      </c>
      <c r="AB88" s="132">
        <v>1.1047656249993452</v>
      </c>
      <c r="AE88" s="15"/>
      <c r="AF88" s="12"/>
      <c r="AG88" s="15"/>
      <c r="AH88" s="12"/>
      <c r="AI88" s="15"/>
      <c r="AK88" s="15"/>
      <c r="AM88" s="15"/>
      <c r="AN88" s="12"/>
      <c r="AP88" s="84">
        <v>73</v>
      </c>
      <c r="AQ88" s="84">
        <v>64</v>
      </c>
      <c r="AR88" s="84">
        <v>63</v>
      </c>
      <c r="AS88" s="84">
        <v>68</v>
      </c>
      <c r="AT88" s="84">
        <v>65</v>
      </c>
      <c r="AU88" s="84">
        <v>41</v>
      </c>
      <c r="BF88" s="84"/>
      <c r="BG88" s="84"/>
      <c r="BH88" s="84"/>
    </row>
    <row r="89" spans="1:60" ht="16" thickBot="1" x14ac:dyDescent="0.25">
      <c r="A89" s="5" t="s">
        <v>116</v>
      </c>
      <c r="B89" t="s">
        <v>136</v>
      </c>
      <c r="F89">
        <v>2</v>
      </c>
      <c r="H89">
        <v>1</v>
      </c>
      <c r="I89">
        <v>1</v>
      </c>
      <c r="Q89" s="15"/>
      <c r="R89" s="132"/>
      <c r="S89" s="15"/>
      <c r="T89" s="132"/>
      <c r="U89" s="15"/>
      <c r="V89" s="34"/>
      <c r="W89" s="134"/>
      <c r="X89" s="132"/>
      <c r="Y89" s="134">
        <v>1</v>
      </c>
      <c r="Z89" s="132">
        <v>1.1850347200015676</v>
      </c>
      <c r="AA89" s="134"/>
      <c r="AB89" s="132"/>
      <c r="AE89" s="15"/>
      <c r="AF89" s="12"/>
      <c r="AG89" s="15"/>
      <c r="AH89" s="12"/>
      <c r="AI89" s="15"/>
      <c r="AK89" s="15"/>
      <c r="AM89" s="15"/>
      <c r="AN89" s="12"/>
      <c r="AP89" s="84">
        <v>69</v>
      </c>
      <c r="AQ89" s="84">
        <v>67</v>
      </c>
      <c r="AR89" s="84">
        <v>76</v>
      </c>
      <c r="AS89" s="84">
        <v>40</v>
      </c>
      <c r="AT89" s="84">
        <v>41</v>
      </c>
      <c r="AU89" s="84">
        <v>37</v>
      </c>
      <c r="BF89" s="84"/>
      <c r="BG89" s="84"/>
      <c r="BH89" s="84"/>
    </row>
    <row r="90" spans="1:60" ht="16" thickBot="1" x14ac:dyDescent="0.25">
      <c r="A90" s="5" t="s">
        <v>117</v>
      </c>
      <c r="B90" t="s">
        <v>136</v>
      </c>
      <c r="D90">
        <v>2</v>
      </c>
      <c r="F90">
        <v>3</v>
      </c>
      <c r="G90">
        <v>3</v>
      </c>
      <c r="H90">
        <v>1</v>
      </c>
      <c r="Q90" s="15">
        <v>1</v>
      </c>
      <c r="R90" s="132">
        <v>0.36844907000340754</v>
      </c>
      <c r="S90" s="15"/>
      <c r="T90" s="132"/>
      <c r="U90" s="15">
        <v>1</v>
      </c>
      <c r="V90" s="34">
        <v>0.14313656999729574</v>
      </c>
      <c r="W90" s="134">
        <v>2</v>
      </c>
      <c r="X90" s="132">
        <v>0.55526620499585988</v>
      </c>
      <c r="Y90" s="134">
        <v>1</v>
      </c>
      <c r="Z90" s="132">
        <v>0.14568287000292912</v>
      </c>
      <c r="AA90" s="134">
        <v>1</v>
      </c>
      <c r="AB90" s="132">
        <v>4.9557754599954933</v>
      </c>
      <c r="AE90" s="15"/>
      <c r="AF90" s="12"/>
      <c r="AG90" s="15"/>
      <c r="AH90" s="12"/>
      <c r="AI90" s="15"/>
      <c r="AK90" s="15"/>
      <c r="AM90" s="15"/>
      <c r="AN90" s="12"/>
      <c r="AP90" s="84">
        <v>80</v>
      </c>
      <c r="AQ90" s="84">
        <v>78</v>
      </c>
      <c r="AR90" s="84">
        <v>71</v>
      </c>
      <c r="AS90" s="84">
        <v>61</v>
      </c>
      <c r="AT90" s="84">
        <v>60</v>
      </c>
      <c r="AU90" s="84">
        <v>53</v>
      </c>
      <c r="BF90" s="84"/>
      <c r="BG90" s="84"/>
      <c r="BH90" s="85"/>
    </row>
    <row r="91" spans="1:60" ht="16" thickBot="1" x14ac:dyDescent="0.25">
      <c r="A91" s="5" t="s">
        <v>118</v>
      </c>
      <c r="B91" t="s">
        <v>136</v>
      </c>
      <c r="F91">
        <v>1</v>
      </c>
      <c r="G91">
        <v>1</v>
      </c>
      <c r="Q91" s="15"/>
      <c r="R91" s="132"/>
      <c r="S91" s="15"/>
      <c r="T91" s="132"/>
      <c r="U91" s="15"/>
      <c r="V91" s="34"/>
      <c r="W91" s="134">
        <v>1</v>
      </c>
      <c r="X91" s="132">
        <v>3.3298609996563755E-2</v>
      </c>
      <c r="Y91" s="134"/>
      <c r="Z91" s="132"/>
      <c r="AA91" s="134"/>
      <c r="AB91" s="132"/>
      <c r="AE91" s="15"/>
      <c r="AF91" s="12"/>
      <c r="AG91" s="15"/>
      <c r="AH91" s="12"/>
      <c r="AI91" s="15"/>
      <c r="AK91" s="15"/>
      <c r="AM91" s="15"/>
      <c r="AN91" s="12"/>
      <c r="AP91" s="84">
        <v>70</v>
      </c>
      <c r="AQ91" s="84">
        <v>60</v>
      </c>
      <c r="AR91" s="84">
        <v>63</v>
      </c>
      <c r="AS91" s="84">
        <v>55</v>
      </c>
      <c r="AT91" s="84">
        <v>41</v>
      </c>
      <c r="AU91" s="84">
        <v>49</v>
      </c>
      <c r="BF91" s="84"/>
      <c r="BG91" s="84"/>
      <c r="BH91" s="84"/>
    </row>
    <row r="92" spans="1:60" ht="16" thickBot="1" x14ac:dyDescent="0.25">
      <c r="A92" s="5" t="s">
        <v>119</v>
      </c>
      <c r="B92" t="s">
        <v>136</v>
      </c>
      <c r="D92">
        <v>1</v>
      </c>
      <c r="F92">
        <v>3</v>
      </c>
      <c r="G92">
        <v>2</v>
      </c>
      <c r="H92">
        <v>3</v>
      </c>
      <c r="Q92" s="15"/>
      <c r="R92" s="132"/>
      <c r="S92" s="15"/>
      <c r="T92" s="132"/>
      <c r="U92" s="15">
        <v>1</v>
      </c>
      <c r="V92" s="34">
        <v>1.0418055600021034</v>
      </c>
      <c r="W92" s="134">
        <v>1</v>
      </c>
      <c r="X92" s="132">
        <v>1.2863657400012016</v>
      </c>
      <c r="Y92" s="134">
        <v>3</v>
      </c>
      <c r="Z92" s="132">
        <v>0.36893132666349021</v>
      </c>
      <c r="AA92" s="134"/>
      <c r="AB92" s="132"/>
      <c r="AE92" s="15"/>
      <c r="AF92" s="12"/>
      <c r="AG92" s="15"/>
      <c r="AH92" s="12"/>
      <c r="AI92" s="15"/>
      <c r="AK92" s="15"/>
      <c r="AM92" s="15"/>
      <c r="AN92" s="12"/>
      <c r="AP92" s="84">
        <v>124</v>
      </c>
      <c r="AQ92" s="84">
        <v>89</v>
      </c>
      <c r="AR92" s="84">
        <v>98</v>
      </c>
      <c r="AS92" s="84">
        <v>105</v>
      </c>
      <c r="AT92" s="84">
        <v>80</v>
      </c>
      <c r="AU92" s="84">
        <v>68</v>
      </c>
      <c r="BF92" s="84"/>
      <c r="BG92" s="84"/>
      <c r="BH92" s="84"/>
    </row>
    <row r="93" spans="1:60" ht="16" thickBot="1" x14ac:dyDescent="0.25">
      <c r="A93" s="5" t="s">
        <v>120</v>
      </c>
      <c r="B93" t="s">
        <v>136</v>
      </c>
      <c r="D93">
        <v>1</v>
      </c>
      <c r="Q93" s="15">
        <v>1</v>
      </c>
      <c r="R93" s="132">
        <v>0.34570602000167128</v>
      </c>
      <c r="S93" s="15"/>
      <c r="T93" s="132"/>
      <c r="U93" s="15"/>
      <c r="V93" s="34"/>
      <c r="W93" s="134"/>
      <c r="X93" s="132"/>
      <c r="Y93" s="134"/>
      <c r="Z93" s="132"/>
      <c r="AA93" s="134"/>
      <c r="AB93" s="132"/>
      <c r="AE93" s="15"/>
      <c r="AF93" s="12"/>
      <c r="AG93" s="15"/>
      <c r="AH93" s="12"/>
      <c r="AI93" s="15"/>
      <c r="AK93" s="15"/>
      <c r="AM93" s="15"/>
      <c r="AN93" s="12"/>
      <c r="AP93" s="84">
        <v>66</v>
      </c>
      <c r="AQ93" s="84">
        <v>75</v>
      </c>
      <c r="AR93" s="84">
        <v>67</v>
      </c>
      <c r="AS93" s="84">
        <v>60</v>
      </c>
      <c r="AT93" s="84">
        <v>54</v>
      </c>
      <c r="AU93" s="84">
        <v>49</v>
      </c>
      <c r="BF93" s="84"/>
      <c r="BG93" s="84"/>
      <c r="BH93" s="84"/>
    </row>
    <row r="94" spans="1:60" ht="16" thickBot="1" x14ac:dyDescent="0.25">
      <c r="A94" s="5" t="s">
        <v>121</v>
      </c>
      <c r="B94" t="s">
        <v>136</v>
      </c>
      <c r="D94">
        <v>2</v>
      </c>
      <c r="F94">
        <v>2</v>
      </c>
      <c r="G94">
        <v>2</v>
      </c>
      <c r="Q94" s="15">
        <v>1</v>
      </c>
      <c r="R94" s="132">
        <v>0.11267361000500387</v>
      </c>
      <c r="S94" s="15"/>
      <c r="T94" s="132"/>
      <c r="U94" s="40">
        <v>1</v>
      </c>
      <c r="V94" s="34">
        <v>1.4398149993212428E-2</v>
      </c>
      <c r="W94" s="134">
        <v>2</v>
      </c>
      <c r="X94" s="132">
        <v>0.54547454000203288</v>
      </c>
      <c r="Y94" s="134"/>
      <c r="Z94" s="132"/>
      <c r="AA94" s="134"/>
      <c r="AB94" s="132"/>
      <c r="AE94" s="15"/>
      <c r="AF94" s="12"/>
      <c r="AG94" s="15"/>
      <c r="AH94" s="12"/>
      <c r="AI94" s="15"/>
      <c r="AK94" s="15"/>
      <c r="AM94" s="15"/>
      <c r="AN94" s="12"/>
      <c r="AP94" s="84">
        <v>88</v>
      </c>
      <c r="AQ94" s="84">
        <v>71</v>
      </c>
      <c r="AR94" s="84">
        <v>77</v>
      </c>
      <c r="AS94" s="84">
        <v>76</v>
      </c>
      <c r="AT94" s="84">
        <v>56</v>
      </c>
      <c r="AU94" s="84">
        <v>37</v>
      </c>
      <c r="BF94" s="84"/>
      <c r="BG94" s="84"/>
      <c r="BH94" s="85"/>
    </row>
    <row r="95" spans="1:60" ht="16" thickBot="1" x14ac:dyDescent="0.25">
      <c r="A95" s="7" t="s">
        <v>122</v>
      </c>
      <c r="B95" t="s">
        <v>136</v>
      </c>
      <c r="I95">
        <v>2</v>
      </c>
      <c r="Q95" s="15"/>
      <c r="R95" s="132"/>
      <c r="S95" s="15"/>
      <c r="T95" s="132"/>
      <c r="U95" s="15"/>
      <c r="V95" s="34"/>
      <c r="W95" s="134"/>
      <c r="X95" s="132"/>
      <c r="Y95" s="134"/>
      <c r="Z95" s="132"/>
      <c r="AA95" s="134">
        <v>2</v>
      </c>
      <c r="AB95" s="132">
        <v>2.775462999852607E-2</v>
      </c>
      <c r="AE95" s="15"/>
      <c r="AF95" s="12"/>
      <c r="AG95" s="15"/>
      <c r="AH95" s="12"/>
      <c r="AI95" s="15"/>
      <c r="AK95" s="15"/>
      <c r="AM95" s="15"/>
      <c r="AN95" s="12"/>
      <c r="AP95" s="84">
        <v>56</v>
      </c>
      <c r="AQ95" s="84">
        <v>54</v>
      </c>
      <c r="AR95" s="84">
        <v>47</v>
      </c>
      <c r="AS95" s="84">
        <v>44</v>
      </c>
      <c r="AT95" s="84">
        <v>38</v>
      </c>
      <c r="AU95" s="84">
        <v>42</v>
      </c>
      <c r="BF95" s="84"/>
      <c r="BG95" s="84"/>
      <c r="BH95" s="85"/>
    </row>
    <row r="96" spans="1:60" ht="16" thickBot="1" x14ac:dyDescent="0.25">
      <c r="A96" s="5" t="s">
        <v>123</v>
      </c>
      <c r="B96" t="s">
        <v>136</v>
      </c>
      <c r="Q96" s="15"/>
      <c r="R96" s="132"/>
      <c r="S96" s="15"/>
      <c r="T96" s="132"/>
      <c r="U96" s="15"/>
      <c r="V96" s="34"/>
      <c r="W96" s="134"/>
      <c r="X96" s="132"/>
      <c r="Y96" s="134"/>
      <c r="Z96" s="132"/>
      <c r="AA96" s="134"/>
      <c r="AB96" s="132"/>
      <c r="AE96" s="15"/>
      <c r="AF96" s="12"/>
      <c r="AG96" s="15"/>
      <c r="AH96" s="12"/>
      <c r="AI96" s="15"/>
      <c r="AK96" s="15"/>
      <c r="AM96" s="15"/>
      <c r="AN96" s="12"/>
      <c r="AP96" s="84">
        <v>1</v>
      </c>
      <c r="AQ96" s="84">
        <v>1</v>
      </c>
      <c r="AR96" s="84">
        <v>3</v>
      </c>
      <c r="AS96" s="84">
        <v>2</v>
      </c>
      <c r="AT96" s="84">
        <v>2</v>
      </c>
      <c r="AU96" s="85"/>
      <c r="BF96" s="84"/>
      <c r="BG96" s="84"/>
      <c r="BH96" s="85"/>
    </row>
    <row r="97" spans="1:66" ht="16" thickBot="1" x14ac:dyDescent="0.25">
      <c r="A97" s="5" t="s">
        <v>124</v>
      </c>
      <c r="B97" t="s">
        <v>136</v>
      </c>
      <c r="Q97" s="15"/>
      <c r="R97" s="132"/>
      <c r="S97" s="15"/>
      <c r="T97" s="132"/>
      <c r="U97" s="15"/>
      <c r="V97" s="34"/>
      <c r="W97" s="134"/>
      <c r="X97" s="132"/>
      <c r="Y97" s="134"/>
      <c r="Z97" s="132"/>
      <c r="AA97" s="134"/>
      <c r="AB97" s="132"/>
      <c r="AE97" s="15"/>
      <c r="AF97" s="12"/>
      <c r="AG97" s="15"/>
      <c r="AH97" s="12"/>
      <c r="AI97" s="15"/>
      <c r="AK97" s="15"/>
      <c r="AM97" s="15"/>
      <c r="AN97" s="12"/>
      <c r="AP97" s="85"/>
      <c r="AQ97" s="85"/>
      <c r="AR97" s="85"/>
      <c r="AS97" s="85"/>
      <c r="AT97" s="85"/>
      <c r="AU97" s="85"/>
      <c r="BF97" s="85"/>
      <c r="BG97" s="85"/>
      <c r="BH97" s="85"/>
    </row>
    <row r="98" spans="1:66" ht="16" thickBot="1" x14ac:dyDescent="0.25">
      <c r="A98" s="5" t="s">
        <v>125</v>
      </c>
      <c r="B98" t="s">
        <v>136</v>
      </c>
      <c r="F98">
        <v>2</v>
      </c>
      <c r="I98">
        <v>1</v>
      </c>
      <c r="Q98" s="15"/>
      <c r="R98" s="132"/>
      <c r="S98" s="15"/>
      <c r="T98" s="132"/>
      <c r="U98" s="15"/>
      <c r="V98" s="34"/>
      <c r="W98" s="134"/>
      <c r="X98" s="132"/>
      <c r="Y98" s="134"/>
      <c r="Z98" s="132"/>
      <c r="AA98" s="134">
        <v>1</v>
      </c>
      <c r="AB98" s="132">
        <v>4.3171289995370898E-2</v>
      </c>
      <c r="AE98" s="15"/>
      <c r="AF98" s="12"/>
      <c r="AG98" s="15"/>
      <c r="AH98" s="12"/>
      <c r="AI98" s="15"/>
      <c r="AK98" s="15"/>
      <c r="AM98" s="15"/>
      <c r="AN98" s="12"/>
      <c r="AP98" s="84">
        <v>30</v>
      </c>
      <c r="AQ98" s="84">
        <v>32</v>
      </c>
      <c r="AR98" s="84">
        <v>27</v>
      </c>
      <c r="AS98" s="84">
        <v>33</v>
      </c>
      <c r="AT98" s="84">
        <v>23</v>
      </c>
      <c r="AU98" s="84">
        <v>23</v>
      </c>
      <c r="BF98" s="84"/>
      <c r="BG98" s="84"/>
      <c r="BH98" s="85"/>
    </row>
    <row r="99" spans="1:66" ht="16" thickBot="1" x14ac:dyDescent="0.25">
      <c r="A99" s="5" t="s">
        <v>126</v>
      </c>
      <c r="B99" t="s">
        <v>136</v>
      </c>
      <c r="E99">
        <v>2</v>
      </c>
      <c r="Q99" s="15"/>
      <c r="R99" s="132"/>
      <c r="S99" s="15">
        <v>1</v>
      </c>
      <c r="T99" s="132">
        <v>1.2155208399999538</v>
      </c>
      <c r="U99" s="15"/>
      <c r="V99" s="34"/>
      <c r="W99" s="134"/>
      <c r="X99" s="132"/>
      <c r="Y99" s="134"/>
      <c r="Z99" s="132"/>
      <c r="AA99" s="134"/>
      <c r="AB99" s="132"/>
      <c r="AE99" s="15"/>
      <c r="AF99" s="12"/>
      <c r="AG99" s="15"/>
      <c r="AH99" s="12"/>
      <c r="AI99" s="15"/>
      <c r="AK99" s="15"/>
      <c r="AM99" s="15"/>
      <c r="AN99" s="12"/>
      <c r="AP99" s="84">
        <v>44</v>
      </c>
      <c r="AQ99" s="84">
        <v>36</v>
      </c>
      <c r="AR99" s="84">
        <v>42</v>
      </c>
      <c r="AS99" s="84">
        <v>47</v>
      </c>
      <c r="AT99" s="84">
        <v>29</v>
      </c>
      <c r="AU99" s="84">
        <v>22</v>
      </c>
      <c r="BF99" s="84"/>
      <c r="BG99" s="84"/>
      <c r="BH99" s="84"/>
    </row>
    <row r="100" spans="1:66" ht="16" thickBot="1" x14ac:dyDescent="0.25">
      <c r="A100" s="5">
        <v>99228</v>
      </c>
      <c r="B100" t="s">
        <v>136</v>
      </c>
      <c r="Q100" s="15"/>
      <c r="R100" s="132"/>
      <c r="S100" s="15"/>
      <c r="T100" s="132"/>
      <c r="U100" s="15"/>
      <c r="V100" s="34"/>
      <c r="W100" s="134"/>
      <c r="X100" s="132"/>
      <c r="Y100" s="134"/>
      <c r="Z100" s="132"/>
      <c r="AA100" s="134"/>
      <c r="AB100" s="132"/>
      <c r="AE100" s="15"/>
      <c r="AF100" s="12"/>
      <c r="AG100" s="15"/>
      <c r="AH100" s="12"/>
      <c r="AI100" s="15"/>
      <c r="AK100" s="15"/>
      <c r="AM100" s="15"/>
      <c r="AN100" s="12"/>
      <c r="AP100" s="84"/>
      <c r="AQ100" s="84"/>
      <c r="AR100" s="84"/>
      <c r="AS100" s="84"/>
      <c r="AT100" s="84"/>
      <c r="AU100" s="84"/>
      <c r="BF100" s="85"/>
      <c r="BG100" s="85"/>
      <c r="BH100" s="85"/>
    </row>
    <row r="101" spans="1:66" ht="16" thickBot="1" x14ac:dyDescent="0.25">
      <c r="A101" s="5" t="s">
        <v>127</v>
      </c>
      <c r="B101" t="s">
        <v>136</v>
      </c>
      <c r="Q101" s="15"/>
      <c r="R101" s="132"/>
      <c r="S101" s="15"/>
      <c r="T101" s="132"/>
      <c r="U101" s="15"/>
      <c r="V101" s="34"/>
      <c r="W101" s="134"/>
      <c r="X101" s="132"/>
      <c r="Y101" s="134"/>
      <c r="Z101" s="132"/>
      <c r="AA101" s="134"/>
      <c r="AB101" s="132"/>
      <c r="AE101" s="15"/>
      <c r="AF101" s="12"/>
      <c r="AG101" s="15"/>
      <c r="AH101" s="12"/>
      <c r="AI101" s="15"/>
      <c r="AK101" s="15"/>
      <c r="AM101" s="15"/>
      <c r="AN101" s="12"/>
      <c r="AP101" s="85"/>
      <c r="AQ101" s="85"/>
      <c r="AR101" s="85"/>
      <c r="AS101" s="85"/>
      <c r="AT101" s="85"/>
      <c r="AU101" s="85"/>
      <c r="BF101" s="85"/>
      <c r="BG101" s="85"/>
      <c r="BH101" s="85"/>
    </row>
    <row r="102" spans="1:66" ht="16" thickBot="1" x14ac:dyDescent="0.25">
      <c r="A102" s="5" t="s">
        <v>128</v>
      </c>
      <c r="B102" t="s">
        <v>136</v>
      </c>
      <c r="Q102" s="15"/>
      <c r="R102" s="132"/>
      <c r="S102" s="15"/>
      <c r="T102" s="132"/>
      <c r="U102" s="15"/>
      <c r="V102" s="34"/>
      <c r="W102" s="134"/>
      <c r="X102" s="132"/>
      <c r="Y102" s="134"/>
      <c r="Z102" s="132"/>
      <c r="AA102" s="134"/>
      <c r="AB102" s="132"/>
      <c r="AE102" s="15"/>
      <c r="AF102" s="12"/>
      <c r="AG102" s="15"/>
      <c r="AH102" s="12"/>
      <c r="AI102" s="15"/>
      <c r="AK102" s="15"/>
      <c r="AM102" s="15"/>
      <c r="AN102" s="12"/>
      <c r="AP102" s="84">
        <v>15</v>
      </c>
      <c r="AQ102" s="84">
        <v>11</v>
      </c>
      <c r="AR102" s="84">
        <v>16</v>
      </c>
      <c r="AS102" s="84">
        <v>4</v>
      </c>
      <c r="AT102" s="84">
        <v>1</v>
      </c>
      <c r="AU102" s="84">
        <v>1</v>
      </c>
      <c r="BF102" s="84"/>
      <c r="BG102" s="84"/>
      <c r="BH102" s="85"/>
    </row>
    <row r="103" spans="1:66" ht="16" thickBot="1" x14ac:dyDescent="0.25">
      <c r="A103" s="5" t="s">
        <v>129</v>
      </c>
      <c r="B103" t="s">
        <v>136</v>
      </c>
      <c r="Q103" s="15"/>
      <c r="R103" s="132"/>
      <c r="S103" s="15"/>
      <c r="T103" s="132"/>
      <c r="U103" s="15"/>
      <c r="V103" s="34"/>
      <c r="W103" s="134"/>
      <c r="X103" s="132"/>
      <c r="Y103" s="134"/>
      <c r="Z103" s="132"/>
      <c r="AA103" s="134"/>
      <c r="AB103" s="132"/>
      <c r="AE103" s="15"/>
      <c r="AF103" s="12"/>
      <c r="AG103" s="15"/>
      <c r="AH103" s="12"/>
      <c r="AI103" s="15"/>
      <c r="AK103" s="15"/>
      <c r="AM103" s="15"/>
      <c r="AN103" s="12"/>
      <c r="AP103" s="85"/>
      <c r="AQ103" s="85"/>
      <c r="AR103" s="85"/>
      <c r="AS103" s="85"/>
      <c r="AT103" s="85"/>
      <c r="AU103" s="85"/>
      <c r="BF103" s="85"/>
      <c r="BG103" s="85"/>
      <c r="BH103" s="85"/>
    </row>
    <row r="104" spans="1:66" ht="16" thickBot="1" x14ac:dyDescent="0.25">
      <c r="A104" s="5" t="s">
        <v>130</v>
      </c>
      <c r="B104" t="s">
        <v>136</v>
      </c>
      <c r="Q104" s="15"/>
      <c r="R104" s="132"/>
      <c r="S104" s="15"/>
      <c r="T104" s="132"/>
      <c r="U104" s="15"/>
      <c r="V104" s="34"/>
      <c r="W104" s="134"/>
      <c r="X104" s="132"/>
      <c r="Y104" s="134"/>
      <c r="Z104" s="132"/>
      <c r="AA104" s="134"/>
      <c r="AB104" s="132"/>
      <c r="AE104" s="15"/>
      <c r="AF104" s="12"/>
      <c r="AG104" s="15"/>
      <c r="AH104" s="12"/>
      <c r="AI104" s="15"/>
      <c r="AK104" s="15"/>
      <c r="AM104" s="15"/>
      <c r="AN104" s="12"/>
      <c r="AP104" s="84">
        <v>10</v>
      </c>
      <c r="AQ104" s="84">
        <v>9</v>
      </c>
      <c r="AR104" s="84">
        <v>8</v>
      </c>
      <c r="AS104" s="84">
        <v>4</v>
      </c>
      <c r="AT104" s="84">
        <v>6</v>
      </c>
      <c r="AU104" s="84">
        <v>3</v>
      </c>
      <c r="BF104" s="84"/>
      <c r="BG104" s="84"/>
      <c r="BH104" s="85"/>
    </row>
    <row r="105" spans="1:66" ht="16" thickBot="1" x14ac:dyDescent="0.25">
      <c r="A105" s="5" t="s">
        <v>131</v>
      </c>
      <c r="B105" t="s">
        <v>136</v>
      </c>
      <c r="F105">
        <v>3</v>
      </c>
      <c r="G105">
        <v>1</v>
      </c>
      <c r="H105">
        <v>1</v>
      </c>
      <c r="Q105" s="15"/>
      <c r="R105" s="132"/>
      <c r="S105" s="15"/>
      <c r="T105" s="132"/>
      <c r="U105" s="15"/>
      <c r="V105" s="34"/>
      <c r="W105" s="134">
        <v>1</v>
      </c>
      <c r="X105" s="132">
        <v>1.5729170001577586E-2</v>
      </c>
      <c r="Y105" s="134">
        <v>1</v>
      </c>
      <c r="Z105" s="132">
        <v>4.3703709998226259E-2</v>
      </c>
      <c r="AA105" s="134"/>
      <c r="AB105" s="132"/>
      <c r="AE105" s="15"/>
      <c r="AF105" s="12"/>
      <c r="AG105" s="15"/>
      <c r="AH105" s="12"/>
      <c r="AI105" s="15"/>
      <c r="AK105" s="15"/>
      <c r="AM105" s="15"/>
      <c r="AN105" s="12"/>
      <c r="AP105" s="84">
        <v>53</v>
      </c>
      <c r="AQ105" s="84">
        <v>41</v>
      </c>
      <c r="AR105" s="84">
        <v>45</v>
      </c>
      <c r="AS105" s="84">
        <v>52</v>
      </c>
      <c r="AT105" s="84">
        <v>33</v>
      </c>
      <c r="AU105" s="84">
        <v>52</v>
      </c>
      <c r="BF105" s="84"/>
      <c r="BG105" s="84"/>
      <c r="BH105" s="84"/>
    </row>
    <row r="106" spans="1:66" ht="16" thickBot="1" x14ac:dyDescent="0.25">
      <c r="A106" s="5" t="s">
        <v>132</v>
      </c>
      <c r="B106" t="s">
        <v>136</v>
      </c>
      <c r="Q106" s="15"/>
      <c r="R106" s="132"/>
      <c r="S106" s="15"/>
      <c r="T106" s="132"/>
      <c r="U106" s="15"/>
      <c r="V106" s="34"/>
      <c r="W106" s="134"/>
      <c r="X106" s="132"/>
      <c r="Y106" s="134"/>
      <c r="Z106" s="132"/>
      <c r="AA106" s="134"/>
      <c r="AB106" s="132"/>
      <c r="AE106" s="15"/>
      <c r="AF106" s="12"/>
      <c r="AG106" s="15"/>
      <c r="AH106" s="12"/>
      <c r="AI106" s="15"/>
      <c r="AK106" s="15"/>
      <c r="AM106" s="15"/>
      <c r="AN106" s="12"/>
      <c r="AP106" s="84">
        <v>4</v>
      </c>
      <c r="AQ106" s="84">
        <v>1</v>
      </c>
      <c r="AR106" s="84">
        <v>1</v>
      </c>
      <c r="AS106" s="84">
        <v>1</v>
      </c>
      <c r="AT106" s="84">
        <v>1</v>
      </c>
      <c r="AU106" s="84">
        <v>4</v>
      </c>
      <c r="BF106" s="84"/>
      <c r="BG106" s="84"/>
      <c r="BH106" s="85"/>
    </row>
    <row r="107" spans="1:66" ht="16" thickBot="1" x14ac:dyDescent="0.25">
      <c r="A107" s="5" t="s">
        <v>133</v>
      </c>
      <c r="B107" t="s">
        <v>136</v>
      </c>
      <c r="Q107" s="15"/>
      <c r="R107" s="132"/>
      <c r="S107" s="15"/>
      <c r="T107" s="132"/>
      <c r="U107" s="15"/>
      <c r="V107" s="34"/>
      <c r="W107" s="134"/>
      <c r="X107" s="132"/>
      <c r="Y107" s="134"/>
      <c r="Z107" s="132"/>
      <c r="AA107" s="134"/>
      <c r="AB107" s="132"/>
      <c r="AE107" s="15"/>
      <c r="AF107" s="12"/>
      <c r="AG107" s="15"/>
      <c r="AH107" s="12"/>
      <c r="AI107" s="15"/>
      <c r="AK107" s="15"/>
      <c r="AM107" s="15"/>
      <c r="AN107" s="12"/>
      <c r="AP107" s="84">
        <v>4</v>
      </c>
      <c r="AQ107" s="85"/>
      <c r="AR107" s="84">
        <v>2</v>
      </c>
      <c r="AS107" s="84">
        <v>4</v>
      </c>
      <c r="AT107" s="84">
        <v>4</v>
      </c>
      <c r="AU107" s="84">
        <v>1</v>
      </c>
      <c r="BF107" s="84"/>
      <c r="BG107" s="84"/>
      <c r="BH107" s="85"/>
    </row>
    <row r="108" spans="1:66" ht="16" thickBot="1" x14ac:dyDescent="0.25">
      <c r="A108" s="5" t="s">
        <v>134</v>
      </c>
      <c r="B108" t="s">
        <v>136</v>
      </c>
      <c r="Q108" s="15"/>
      <c r="R108" s="132"/>
      <c r="S108" s="15"/>
      <c r="T108" s="132"/>
      <c r="U108" s="15"/>
      <c r="V108" s="34"/>
      <c r="W108" s="134"/>
      <c r="X108" s="132"/>
      <c r="Y108" s="134"/>
      <c r="Z108" s="132"/>
      <c r="AA108" s="134"/>
      <c r="AB108" s="132"/>
      <c r="AE108" s="15"/>
      <c r="AF108" s="12"/>
      <c r="AG108" s="15"/>
      <c r="AH108" s="12"/>
      <c r="AI108" s="15"/>
      <c r="AK108" s="15"/>
      <c r="AM108" s="15"/>
      <c r="AN108" s="12"/>
      <c r="AP108" s="84">
        <v>39</v>
      </c>
      <c r="AQ108" s="84">
        <v>35</v>
      </c>
      <c r="AR108" s="84">
        <v>34</v>
      </c>
      <c r="AS108" s="84">
        <v>21</v>
      </c>
      <c r="AT108" s="84">
        <v>24</v>
      </c>
      <c r="AU108" s="84">
        <v>27</v>
      </c>
      <c r="BC108" s="13"/>
      <c r="BD108" s="13"/>
      <c r="BE108" s="13"/>
      <c r="BF108" s="115"/>
      <c r="BG108" s="115"/>
      <c r="BH108" s="115"/>
      <c r="BI108" s="13"/>
      <c r="BJ108" s="13"/>
      <c r="BK108" s="13"/>
      <c r="BL108" s="13"/>
      <c r="BM108" s="13"/>
      <c r="BN108" s="13"/>
    </row>
    <row r="109" spans="1:66" ht="16" thickBot="1" x14ac:dyDescent="0.25">
      <c r="A109" s="211"/>
      <c r="B109" s="62"/>
      <c r="C109" s="61"/>
      <c r="D109" s="62">
        <f t="shared" ref="D109:AN109" si="0">SUM(D4:D108)</f>
        <v>16</v>
      </c>
      <c r="E109" s="62">
        <f t="shared" si="0"/>
        <v>8</v>
      </c>
      <c r="F109" s="62">
        <f t="shared" si="0"/>
        <v>36</v>
      </c>
      <c r="G109" s="62">
        <f t="shared" si="0"/>
        <v>21</v>
      </c>
      <c r="H109" s="62">
        <f t="shared" si="0"/>
        <v>12</v>
      </c>
      <c r="I109" s="62">
        <f t="shared" si="0"/>
        <v>18</v>
      </c>
      <c r="J109" s="62">
        <f t="shared" si="0"/>
        <v>0</v>
      </c>
      <c r="K109" s="62">
        <f t="shared" si="0"/>
        <v>0</v>
      </c>
      <c r="L109" s="62">
        <f t="shared" si="0"/>
        <v>0</v>
      </c>
      <c r="M109" s="62">
        <f t="shared" si="0"/>
        <v>0</v>
      </c>
      <c r="N109" s="62">
        <f t="shared" si="0"/>
        <v>0</v>
      </c>
      <c r="O109" s="62">
        <f t="shared" si="0"/>
        <v>0</v>
      </c>
      <c r="P109" s="62"/>
      <c r="Q109" s="62">
        <f t="shared" si="0"/>
        <v>8</v>
      </c>
      <c r="R109" s="223">
        <f>AVERAGE(R4:R108)</f>
        <v>1.0324099783352316</v>
      </c>
      <c r="S109" s="62">
        <f t="shared" si="0"/>
        <v>5</v>
      </c>
      <c r="T109" s="223">
        <f>AVERAGE(T4:T108)</f>
        <v>0.66762860222014642</v>
      </c>
      <c r="U109" s="62">
        <f t="shared" si="0"/>
        <v>15</v>
      </c>
      <c r="V109" s="223">
        <f>AVERAGE(V4:V108)</f>
        <v>0.43042261416758265</v>
      </c>
      <c r="W109" s="62">
        <f t="shared" si="0"/>
        <v>19</v>
      </c>
      <c r="X109" s="223">
        <f>AVERAGE(X4:X108)</f>
        <v>0.56732001000058607</v>
      </c>
      <c r="Y109" s="62">
        <f t="shared" si="0"/>
        <v>12</v>
      </c>
      <c r="Z109" s="223">
        <f>AVERAGE(Z4:Z108)</f>
        <v>0.28964334740656478</v>
      </c>
      <c r="AA109" s="62">
        <f t="shared" si="0"/>
        <v>16</v>
      </c>
      <c r="AB109" s="223">
        <f>AVERAGE(AB4:AB108)</f>
        <v>0.73639747183315196</v>
      </c>
      <c r="AC109" s="62">
        <f t="shared" si="0"/>
        <v>0</v>
      </c>
      <c r="AD109" s="62">
        <f t="shared" si="0"/>
        <v>0</v>
      </c>
      <c r="AE109" s="62">
        <f t="shared" si="0"/>
        <v>0</v>
      </c>
      <c r="AF109" s="62">
        <f t="shared" si="0"/>
        <v>0</v>
      </c>
      <c r="AG109" s="62">
        <f t="shared" si="0"/>
        <v>0</v>
      </c>
      <c r="AH109" s="62">
        <f t="shared" si="0"/>
        <v>0</v>
      </c>
      <c r="AI109" s="62">
        <f t="shared" si="0"/>
        <v>0</v>
      </c>
      <c r="AJ109" s="62">
        <f t="shared" si="0"/>
        <v>0</v>
      </c>
      <c r="AK109" s="62">
        <f t="shared" si="0"/>
        <v>0</v>
      </c>
      <c r="AL109" s="62">
        <f t="shared" si="0"/>
        <v>0</v>
      </c>
      <c r="AM109" s="185">
        <f t="shared" si="0"/>
        <v>0</v>
      </c>
      <c r="AN109" s="190">
        <f t="shared" si="0"/>
        <v>0</v>
      </c>
      <c r="AO109" s="62"/>
      <c r="AP109" s="62">
        <f>SUM(AP4:AP108)</f>
        <v>1662</v>
      </c>
      <c r="AQ109" s="62">
        <f>SUM(AQ4:AQ108)</f>
        <v>1400</v>
      </c>
      <c r="AR109" s="62">
        <f>SUM(AR4:AR108)</f>
        <v>1490</v>
      </c>
      <c r="AS109" s="62">
        <f t="shared" ref="AS109:AU109" si="1">SUM(AS4:AS108)</f>
        <v>1340</v>
      </c>
      <c r="AT109" s="62">
        <f t="shared" si="1"/>
        <v>1151</v>
      </c>
      <c r="AU109" s="62">
        <f t="shared" si="1"/>
        <v>961</v>
      </c>
      <c r="AV109" s="62">
        <f>SUM(AV4:AV108)</f>
        <v>0</v>
      </c>
      <c r="AW109" s="62">
        <f>SUM(AW4:AW108)</f>
        <v>0</v>
      </c>
      <c r="AX109" s="62">
        <f>SUM(AX4:AX108)</f>
        <v>0</v>
      </c>
      <c r="AY109" s="62">
        <f t="shared" ref="AY109:BA109" si="2">SUM(AY4:AY108)</f>
        <v>0</v>
      </c>
      <c r="AZ109" s="62">
        <f t="shared" si="2"/>
        <v>0</v>
      </c>
      <c r="BA109" s="190">
        <f t="shared" si="2"/>
        <v>0</v>
      </c>
      <c r="BF109" s="215"/>
      <c r="BG109" s="215"/>
      <c r="BH109" s="215"/>
    </row>
    <row r="110" spans="1:66" ht="16" thickBot="1" x14ac:dyDescent="0.25">
      <c r="A110" s="5" t="s">
        <v>31</v>
      </c>
      <c r="B110" t="s">
        <v>137</v>
      </c>
      <c r="G110">
        <v>2</v>
      </c>
      <c r="Q110" s="15"/>
      <c r="R110" s="132"/>
      <c r="S110" s="15"/>
      <c r="T110" s="132"/>
      <c r="U110" s="37"/>
      <c r="V110" s="34"/>
      <c r="W110" s="134"/>
      <c r="X110" s="132"/>
      <c r="Y110" s="134"/>
      <c r="Z110" s="132"/>
      <c r="AA110" s="134"/>
      <c r="AB110" s="132"/>
      <c r="AC110" s="15"/>
      <c r="AD110" s="12"/>
      <c r="AE110" s="15"/>
      <c r="AF110" s="12"/>
      <c r="AG110" s="15"/>
      <c r="AH110" s="12"/>
      <c r="AI110" s="15"/>
      <c r="AK110" s="15"/>
      <c r="AM110" s="15"/>
      <c r="AN110" s="12"/>
      <c r="AP110" s="84">
        <v>21</v>
      </c>
      <c r="AQ110" s="84">
        <v>18</v>
      </c>
      <c r="AR110" s="84">
        <v>20</v>
      </c>
      <c r="AS110">
        <v>19</v>
      </c>
      <c r="AT110">
        <v>21</v>
      </c>
      <c r="AU110">
        <v>9</v>
      </c>
      <c r="BF110" s="84"/>
      <c r="BG110" s="84"/>
      <c r="BH110" s="85"/>
    </row>
    <row r="111" spans="1:66" ht="16" thickBot="1" x14ac:dyDescent="0.25">
      <c r="A111" s="5" t="s">
        <v>32</v>
      </c>
      <c r="B111" t="s">
        <v>137</v>
      </c>
      <c r="F111">
        <v>1</v>
      </c>
      <c r="Q111" s="15"/>
      <c r="R111" s="132"/>
      <c r="S111" s="15"/>
      <c r="T111" s="132"/>
      <c r="U111" s="15">
        <v>1</v>
      </c>
      <c r="V111" s="34">
        <v>2.9757060199990519</v>
      </c>
      <c r="W111" s="134"/>
      <c r="X111" s="132"/>
      <c r="Y111" s="134"/>
      <c r="Z111" s="132"/>
      <c r="AA111" s="134"/>
      <c r="AB111" s="132"/>
      <c r="AC111" s="15"/>
      <c r="AD111" s="12"/>
      <c r="AE111" s="15"/>
      <c r="AF111" s="12"/>
      <c r="AG111" s="15"/>
      <c r="AH111" s="12"/>
      <c r="AI111" s="15"/>
      <c r="AK111" s="15"/>
      <c r="AM111" s="15"/>
      <c r="AN111" s="12"/>
      <c r="AP111" s="84">
        <v>8</v>
      </c>
      <c r="AQ111" s="84">
        <v>8</v>
      </c>
      <c r="AR111" s="84">
        <v>4</v>
      </c>
      <c r="AS111">
        <v>4</v>
      </c>
      <c r="AT111">
        <v>3</v>
      </c>
      <c r="BF111" s="84"/>
      <c r="BG111" s="84"/>
      <c r="BH111" s="85"/>
    </row>
    <row r="112" spans="1:66" ht="16" thickBot="1" x14ac:dyDescent="0.25">
      <c r="A112" s="5" t="s">
        <v>33</v>
      </c>
      <c r="B112" t="s">
        <v>137</v>
      </c>
      <c r="Q112" s="15"/>
      <c r="R112" s="132"/>
      <c r="S112" s="15"/>
      <c r="T112" s="132"/>
      <c r="U112" s="15"/>
      <c r="V112" s="34"/>
      <c r="W112" s="134"/>
      <c r="X112" s="132"/>
      <c r="Y112" s="134"/>
      <c r="Z112" s="132"/>
      <c r="AA112" s="134"/>
      <c r="AB112" s="132"/>
      <c r="AC112" s="15"/>
      <c r="AD112" s="12"/>
      <c r="AE112" s="15"/>
      <c r="AF112" s="12"/>
      <c r="AG112" s="15"/>
      <c r="AH112" s="12"/>
      <c r="AI112" s="15"/>
      <c r="AK112" s="15"/>
      <c r="AM112" s="15"/>
      <c r="AN112" s="12"/>
      <c r="AP112" s="84">
        <v>1</v>
      </c>
      <c r="AQ112" s="84"/>
      <c r="AR112" s="84"/>
      <c r="BF112" s="84"/>
      <c r="BG112" s="84"/>
      <c r="BH112" s="85"/>
    </row>
    <row r="113" spans="1:60" ht="16" thickBot="1" x14ac:dyDescent="0.25">
      <c r="A113" s="5" t="s">
        <v>34</v>
      </c>
      <c r="B113" t="s">
        <v>137</v>
      </c>
      <c r="D113">
        <v>5</v>
      </c>
      <c r="E113">
        <v>2</v>
      </c>
      <c r="F113">
        <v>12</v>
      </c>
      <c r="G113">
        <v>13</v>
      </c>
      <c r="H113">
        <v>11</v>
      </c>
      <c r="I113">
        <v>5</v>
      </c>
      <c r="Q113" s="15">
        <v>7</v>
      </c>
      <c r="R113" s="132">
        <v>3.2532142828557489</v>
      </c>
      <c r="S113" s="15">
        <v>1</v>
      </c>
      <c r="T113" s="132">
        <v>7.5856490002479404E-2</v>
      </c>
      <c r="U113" s="124">
        <v>11</v>
      </c>
      <c r="V113" s="34">
        <v>0.28478114363679197</v>
      </c>
      <c r="W113" s="134">
        <v>10</v>
      </c>
      <c r="X113" s="132">
        <v>7.8951390001020624E-2</v>
      </c>
      <c r="Y113" s="134">
        <v>11</v>
      </c>
      <c r="Z113" s="132">
        <v>0.25033459545308934</v>
      </c>
      <c r="AA113" s="134">
        <v>5</v>
      </c>
      <c r="AB113" s="132">
        <v>0.25337037199933549</v>
      </c>
      <c r="AC113" s="15"/>
      <c r="AD113" s="12"/>
      <c r="AE113" s="15"/>
      <c r="AF113" s="12"/>
      <c r="AG113" s="15"/>
      <c r="AH113" s="12"/>
      <c r="AI113" s="15"/>
      <c r="AK113" s="15"/>
      <c r="AM113" s="15"/>
      <c r="AN113" s="12"/>
      <c r="AP113" s="84">
        <v>90</v>
      </c>
      <c r="AQ113" s="84">
        <v>52</v>
      </c>
      <c r="AR113" s="84">
        <v>87</v>
      </c>
      <c r="AS113">
        <v>80</v>
      </c>
      <c r="AT113">
        <v>70</v>
      </c>
      <c r="AU113">
        <v>45</v>
      </c>
      <c r="BF113" s="84"/>
      <c r="BG113" s="84"/>
      <c r="BH113" s="84"/>
    </row>
    <row r="114" spans="1:60" ht="16" thickBot="1" x14ac:dyDescent="0.25">
      <c r="A114" s="5" t="s">
        <v>35</v>
      </c>
      <c r="B114" t="s">
        <v>137</v>
      </c>
      <c r="D114">
        <v>8</v>
      </c>
      <c r="F114">
        <v>4</v>
      </c>
      <c r="G114">
        <v>6</v>
      </c>
      <c r="H114">
        <v>7</v>
      </c>
      <c r="I114">
        <v>2</v>
      </c>
      <c r="Q114" s="15">
        <v>7</v>
      </c>
      <c r="R114" s="132">
        <v>0.12181878428340756</v>
      </c>
      <c r="S114" s="15"/>
      <c r="T114" s="132"/>
      <c r="U114" s="15">
        <v>2</v>
      </c>
      <c r="V114" s="34">
        <v>1.0911689799977466</v>
      </c>
      <c r="W114" s="134">
        <v>4</v>
      </c>
      <c r="X114" s="132">
        <v>0.21173321750029572</v>
      </c>
      <c r="Y114" s="134">
        <v>7</v>
      </c>
      <c r="Z114" s="132">
        <v>1.0946395500005954</v>
      </c>
      <c r="AA114" s="134">
        <v>2</v>
      </c>
      <c r="AB114" s="132">
        <v>2.2486979200002679</v>
      </c>
      <c r="AC114" s="15"/>
      <c r="AD114" s="12"/>
      <c r="AE114" s="15"/>
      <c r="AF114" s="12"/>
      <c r="AG114" s="15"/>
      <c r="AH114" s="12"/>
      <c r="AI114" s="15"/>
      <c r="AK114" s="15"/>
      <c r="AM114" s="15"/>
      <c r="AN114" s="12"/>
      <c r="AP114" s="84">
        <v>51</v>
      </c>
      <c r="AQ114" s="84">
        <v>54</v>
      </c>
      <c r="AR114" s="84">
        <v>65</v>
      </c>
      <c r="AS114">
        <v>39</v>
      </c>
      <c r="AT114">
        <v>36</v>
      </c>
      <c r="AU114">
        <v>22</v>
      </c>
      <c r="BF114" s="84"/>
      <c r="BG114" s="84"/>
      <c r="BH114" s="84"/>
    </row>
    <row r="115" spans="1:60" ht="16" thickBot="1" x14ac:dyDescent="0.25">
      <c r="A115" s="5" t="s">
        <v>36</v>
      </c>
      <c r="B115" t="s">
        <v>137</v>
      </c>
      <c r="D115">
        <v>4</v>
      </c>
      <c r="E115">
        <v>2</v>
      </c>
      <c r="F115">
        <v>15</v>
      </c>
      <c r="G115">
        <v>6</v>
      </c>
      <c r="H115">
        <v>7</v>
      </c>
      <c r="I115">
        <v>1</v>
      </c>
      <c r="Q115" s="15">
        <v>3</v>
      </c>
      <c r="R115" s="132">
        <v>0.11145833333284827</v>
      </c>
      <c r="S115" s="15"/>
      <c r="T115" s="132"/>
      <c r="U115" s="15">
        <v>10</v>
      </c>
      <c r="V115" s="34">
        <v>0.45284027800007609</v>
      </c>
      <c r="W115" s="134">
        <v>3</v>
      </c>
      <c r="X115" s="132">
        <v>8.5586420000860627E-2</v>
      </c>
      <c r="Y115" s="134">
        <v>7</v>
      </c>
      <c r="Z115" s="132">
        <v>2.0149123671445914</v>
      </c>
      <c r="AA115" s="134">
        <v>1</v>
      </c>
      <c r="AB115" s="132">
        <v>1.5717589994892478E-2</v>
      </c>
      <c r="AC115" s="15"/>
      <c r="AD115" s="12"/>
      <c r="AE115" s="15"/>
      <c r="AF115" s="12"/>
      <c r="AG115" s="15"/>
      <c r="AH115" s="12"/>
      <c r="AI115" s="15"/>
      <c r="AK115" s="15"/>
      <c r="AM115" s="15"/>
      <c r="AN115" s="12"/>
      <c r="AP115" s="84">
        <v>77</v>
      </c>
      <c r="AQ115" s="84">
        <v>15</v>
      </c>
      <c r="AR115" s="84">
        <v>67</v>
      </c>
      <c r="AS115">
        <v>86</v>
      </c>
      <c r="AT115">
        <v>60</v>
      </c>
      <c r="AU115">
        <v>22</v>
      </c>
      <c r="BF115" s="84"/>
      <c r="BG115" s="84"/>
      <c r="BH115" s="84"/>
    </row>
    <row r="116" spans="1:60" ht="16" thickBot="1" x14ac:dyDescent="0.25">
      <c r="A116" s="5" t="s">
        <v>37</v>
      </c>
      <c r="B116" t="s">
        <v>137</v>
      </c>
      <c r="D116">
        <v>5</v>
      </c>
      <c r="E116">
        <v>1</v>
      </c>
      <c r="F116">
        <v>15</v>
      </c>
      <c r="G116">
        <v>10</v>
      </c>
      <c r="H116">
        <v>6</v>
      </c>
      <c r="I116">
        <v>4</v>
      </c>
      <c r="Q116" s="15">
        <v>4</v>
      </c>
      <c r="R116" s="132">
        <v>0.30932292000034067</v>
      </c>
      <c r="S116" s="15">
        <v>1</v>
      </c>
      <c r="T116" s="132">
        <v>0.26387732000148389</v>
      </c>
      <c r="U116" s="15">
        <v>12</v>
      </c>
      <c r="V116" s="34">
        <v>0.17782986083451155</v>
      </c>
      <c r="W116" s="134">
        <v>10</v>
      </c>
      <c r="X116" s="132">
        <v>0.10528009300105623</v>
      </c>
      <c r="Y116" s="134">
        <v>5</v>
      </c>
      <c r="Z116" s="132">
        <v>0.23953935000026833</v>
      </c>
      <c r="AA116" s="134">
        <v>4</v>
      </c>
      <c r="AB116" s="132">
        <v>0.11881655000070168</v>
      </c>
      <c r="AC116" s="15"/>
      <c r="AD116" s="12"/>
      <c r="AE116" s="15"/>
      <c r="AF116" s="12"/>
      <c r="AG116" s="15"/>
      <c r="AH116" s="12"/>
      <c r="AI116" s="15"/>
      <c r="AK116" s="15"/>
      <c r="AM116" s="15"/>
      <c r="AN116" s="12"/>
      <c r="AP116" s="84">
        <v>91</v>
      </c>
      <c r="AQ116" s="84">
        <v>98</v>
      </c>
      <c r="AR116" s="84">
        <v>114</v>
      </c>
      <c r="AS116">
        <v>86</v>
      </c>
      <c r="AT116">
        <v>73</v>
      </c>
      <c r="AU116">
        <v>31</v>
      </c>
      <c r="BF116" s="84"/>
      <c r="BG116" s="84"/>
      <c r="BH116" s="84"/>
    </row>
    <row r="117" spans="1:60" ht="16" thickBot="1" x14ac:dyDescent="0.25">
      <c r="A117" s="5" t="s">
        <v>38</v>
      </c>
      <c r="B117" t="s">
        <v>137</v>
      </c>
      <c r="D117">
        <v>3</v>
      </c>
      <c r="E117">
        <v>6</v>
      </c>
      <c r="F117">
        <v>14</v>
      </c>
      <c r="G117">
        <v>15</v>
      </c>
      <c r="H117">
        <v>9</v>
      </c>
      <c r="I117">
        <v>17</v>
      </c>
      <c r="Q117" s="15">
        <v>4</v>
      </c>
      <c r="R117" s="132">
        <v>0.14942129500013834</v>
      </c>
      <c r="S117" s="15">
        <v>5</v>
      </c>
      <c r="T117" s="132">
        <v>0.44403009399829896</v>
      </c>
      <c r="U117" s="15">
        <v>13</v>
      </c>
      <c r="V117" s="34">
        <v>0.13387820384489785</v>
      </c>
      <c r="W117" s="134">
        <v>15</v>
      </c>
      <c r="X117" s="132">
        <v>9.8071758666386205E-2</v>
      </c>
      <c r="Y117" s="134">
        <v>9</v>
      </c>
      <c r="Z117" s="132">
        <v>0.32953189333218486</v>
      </c>
      <c r="AA117" s="134">
        <v>17</v>
      </c>
      <c r="AB117" s="132">
        <v>9.1548884117133536E-2</v>
      </c>
      <c r="AC117" s="15"/>
      <c r="AD117" s="12"/>
      <c r="AE117" s="15"/>
      <c r="AF117" s="12"/>
      <c r="AG117" s="15"/>
      <c r="AH117" s="12"/>
      <c r="AI117" s="15"/>
      <c r="AK117" s="15"/>
      <c r="AM117" s="15"/>
      <c r="AN117" s="12"/>
      <c r="AP117" s="84">
        <v>160</v>
      </c>
      <c r="AQ117" s="84">
        <v>129</v>
      </c>
      <c r="AR117" s="84">
        <v>152</v>
      </c>
      <c r="AS117">
        <v>140</v>
      </c>
      <c r="AT117">
        <v>93</v>
      </c>
      <c r="AU117">
        <v>67</v>
      </c>
      <c r="BF117" s="84"/>
      <c r="BG117" s="84"/>
      <c r="BH117" s="84"/>
    </row>
    <row r="118" spans="1:60" ht="16" thickBot="1" x14ac:dyDescent="0.25">
      <c r="A118" s="5" t="s">
        <v>39</v>
      </c>
      <c r="B118" t="s">
        <v>137</v>
      </c>
      <c r="F118">
        <v>2</v>
      </c>
      <c r="H118">
        <v>1</v>
      </c>
      <c r="I118">
        <v>2</v>
      </c>
      <c r="Q118" s="15"/>
      <c r="R118" s="132"/>
      <c r="S118" s="15"/>
      <c r="T118" s="132"/>
      <c r="U118" s="15">
        <v>1</v>
      </c>
      <c r="V118" s="34">
        <v>1.1898140000994317E-2</v>
      </c>
      <c r="W118" s="134"/>
      <c r="X118" s="132"/>
      <c r="Y118" s="134">
        <v>1</v>
      </c>
      <c r="Z118" s="132">
        <v>3.1620369998563547E-2</v>
      </c>
      <c r="AA118" s="134">
        <v>2</v>
      </c>
      <c r="AB118" s="132">
        <v>1.685763999921619E-2</v>
      </c>
      <c r="AC118" s="15"/>
      <c r="AD118" s="12"/>
      <c r="AE118" s="15"/>
      <c r="AF118" s="12"/>
      <c r="AG118" s="15"/>
      <c r="AH118" s="12"/>
      <c r="AI118" s="15"/>
      <c r="AK118" s="15"/>
      <c r="AM118" s="15"/>
      <c r="AN118" s="12"/>
      <c r="AP118" s="84">
        <v>15</v>
      </c>
      <c r="AQ118" s="85">
        <v>20</v>
      </c>
      <c r="AR118" s="84">
        <v>16</v>
      </c>
      <c r="AS118">
        <v>8</v>
      </c>
      <c r="AT118">
        <v>10</v>
      </c>
      <c r="AU118">
        <v>10</v>
      </c>
      <c r="BF118" s="84"/>
      <c r="BG118" s="84"/>
      <c r="BH118" s="84"/>
    </row>
    <row r="119" spans="1:60" ht="16" thickBot="1" x14ac:dyDescent="0.25">
      <c r="A119" s="5" t="s">
        <v>40</v>
      </c>
      <c r="B119" t="s">
        <v>137</v>
      </c>
      <c r="D119">
        <v>1</v>
      </c>
      <c r="F119">
        <v>4</v>
      </c>
      <c r="G119">
        <v>2</v>
      </c>
      <c r="H119">
        <v>6</v>
      </c>
      <c r="I119">
        <v>1</v>
      </c>
      <c r="Q119" s="15">
        <v>1</v>
      </c>
      <c r="R119" s="132">
        <v>2.5405100001080427E-2</v>
      </c>
      <c r="S119" s="15"/>
      <c r="T119" s="132"/>
      <c r="U119" s="15">
        <v>4</v>
      </c>
      <c r="V119" s="34">
        <v>0.43317418749757053</v>
      </c>
      <c r="W119" s="134">
        <v>1</v>
      </c>
      <c r="X119" s="132">
        <v>6.246528000338003E-2</v>
      </c>
      <c r="Y119" s="134">
        <v>5</v>
      </c>
      <c r="Z119" s="132">
        <v>0.51823610999854286</v>
      </c>
      <c r="AA119" s="134">
        <v>1</v>
      </c>
      <c r="AB119" s="132">
        <v>4.6423610001511406E-2</v>
      </c>
      <c r="AC119" s="15"/>
      <c r="AD119" s="12"/>
      <c r="AE119" s="15"/>
      <c r="AF119" s="12"/>
      <c r="AG119" s="15"/>
      <c r="AH119" s="12"/>
      <c r="AI119" s="15"/>
      <c r="AK119" s="15"/>
      <c r="AM119" s="15"/>
      <c r="AN119" s="12"/>
      <c r="AP119" s="84">
        <v>40</v>
      </c>
      <c r="AQ119" s="84">
        <v>43</v>
      </c>
      <c r="AR119" s="84">
        <v>42</v>
      </c>
      <c r="AS119">
        <v>28</v>
      </c>
      <c r="AT119">
        <v>20</v>
      </c>
      <c r="AU119">
        <v>17</v>
      </c>
      <c r="BF119" s="84"/>
      <c r="BG119" s="84"/>
      <c r="BH119" s="85"/>
    </row>
    <row r="120" spans="1:60" ht="16" thickBot="1" x14ac:dyDescent="0.25">
      <c r="A120" s="5" t="s">
        <v>41</v>
      </c>
      <c r="B120" t="s">
        <v>137</v>
      </c>
      <c r="Q120" s="15"/>
      <c r="R120" s="132"/>
      <c r="S120" s="15"/>
      <c r="T120" s="132"/>
      <c r="U120" s="15"/>
      <c r="V120" s="34"/>
      <c r="W120" s="134"/>
      <c r="X120" s="132"/>
      <c r="Y120" s="134"/>
      <c r="Z120" s="132"/>
      <c r="AA120" s="134"/>
      <c r="AB120" s="132"/>
      <c r="AC120" s="15"/>
      <c r="AD120" s="12"/>
      <c r="AE120" s="15"/>
      <c r="AF120" s="12"/>
      <c r="AG120" s="15"/>
      <c r="AH120" s="12"/>
      <c r="AI120" s="15"/>
      <c r="AK120" s="15"/>
      <c r="AM120" s="15"/>
      <c r="AN120" s="12"/>
      <c r="AP120" s="85">
        <v>1</v>
      </c>
      <c r="AQ120" s="85"/>
      <c r="AR120" s="85"/>
      <c r="BF120" s="85"/>
      <c r="BG120" s="85"/>
      <c r="BH120" s="85"/>
    </row>
    <row r="121" spans="1:60" ht="16" thickBot="1" x14ac:dyDescent="0.25">
      <c r="A121" s="5" t="s">
        <v>42</v>
      </c>
      <c r="B121" t="s">
        <v>137</v>
      </c>
      <c r="D121">
        <v>3</v>
      </c>
      <c r="F121">
        <v>2</v>
      </c>
      <c r="G121">
        <v>1</v>
      </c>
      <c r="H121">
        <v>1</v>
      </c>
      <c r="I121">
        <v>1</v>
      </c>
      <c r="Q121" s="15">
        <v>2</v>
      </c>
      <c r="R121" s="132">
        <v>1.4918974997272016E-2</v>
      </c>
      <c r="S121" s="15"/>
      <c r="T121" s="132"/>
      <c r="U121" s="15">
        <v>2</v>
      </c>
      <c r="V121" s="34">
        <v>0.21901041999808513</v>
      </c>
      <c r="W121" s="134">
        <v>1</v>
      </c>
      <c r="X121" s="132">
        <v>8.8657399974181317E-3</v>
      </c>
      <c r="Y121" s="134">
        <v>1</v>
      </c>
      <c r="Z121" s="132">
        <v>1.806712999677984E-2</v>
      </c>
      <c r="AA121" s="134">
        <v>1</v>
      </c>
      <c r="AB121" s="132">
        <v>5.7581020002544392E-2</v>
      </c>
      <c r="AC121" s="15"/>
      <c r="AD121" s="12"/>
      <c r="AE121" s="15"/>
      <c r="AF121" s="12"/>
      <c r="AG121" s="15"/>
      <c r="AH121" s="12"/>
      <c r="AI121" s="15"/>
      <c r="AK121" s="15"/>
      <c r="AM121" s="15"/>
      <c r="AN121" s="12"/>
      <c r="AP121" s="84">
        <v>24</v>
      </c>
      <c r="AQ121" s="84">
        <v>28</v>
      </c>
      <c r="AR121" s="84">
        <v>35</v>
      </c>
      <c r="AS121">
        <v>18</v>
      </c>
      <c r="AT121">
        <v>18</v>
      </c>
      <c r="AU121">
        <v>13</v>
      </c>
      <c r="BF121" s="84"/>
      <c r="BG121" s="84"/>
      <c r="BH121" s="85"/>
    </row>
    <row r="122" spans="1:60" ht="16" thickBot="1" x14ac:dyDescent="0.25">
      <c r="A122" s="5" t="s">
        <v>43</v>
      </c>
      <c r="B122" t="s">
        <v>137</v>
      </c>
      <c r="D122">
        <v>6</v>
      </c>
      <c r="F122">
        <v>2</v>
      </c>
      <c r="G122">
        <v>2</v>
      </c>
      <c r="I122">
        <v>3</v>
      </c>
      <c r="Q122" s="15">
        <v>6</v>
      </c>
      <c r="R122" s="132">
        <v>0.15473765166583084</v>
      </c>
      <c r="S122" s="15"/>
      <c r="T122" s="132"/>
      <c r="U122" s="15"/>
      <c r="V122" s="34"/>
      <c r="W122" s="134">
        <v>2</v>
      </c>
      <c r="X122" s="132">
        <v>0.33189815000150702</v>
      </c>
      <c r="Y122" s="134"/>
      <c r="Z122" s="132"/>
      <c r="AA122" s="134">
        <v>3</v>
      </c>
      <c r="AB122" s="132">
        <v>2.8317896668644E-2</v>
      </c>
      <c r="AC122" s="15"/>
      <c r="AD122" s="12"/>
      <c r="AE122" s="15"/>
      <c r="AF122" s="12"/>
      <c r="AG122" s="15"/>
      <c r="AH122" s="12"/>
      <c r="AI122" s="15"/>
      <c r="AK122" s="15"/>
      <c r="AM122" s="15"/>
      <c r="AN122" s="12"/>
      <c r="AP122" s="84">
        <v>84</v>
      </c>
      <c r="AQ122" s="84">
        <v>59</v>
      </c>
      <c r="AR122" s="84">
        <v>65</v>
      </c>
      <c r="AS122">
        <v>63</v>
      </c>
      <c r="AT122">
        <v>46</v>
      </c>
      <c r="AU122">
        <v>43</v>
      </c>
      <c r="BF122" s="84"/>
      <c r="BG122" s="84"/>
      <c r="BH122" s="84"/>
    </row>
    <row r="123" spans="1:60" ht="16" thickBot="1" x14ac:dyDescent="0.25">
      <c r="A123" s="5" t="s">
        <v>44</v>
      </c>
      <c r="B123" t="s">
        <v>137</v>
      </c>
      <c r="Q123" s="15"/>
      <c r="R123" s="132"/>
      <c r="S123" s="15"/>
      <c r="T123" s="132"/>
      <c r="U123" s="15"/>
      <c r="V123" s="34"/>
      <c r="W123" s="134"/>
      <c r="X123" s="132"/>
      <c r="Y123" s="134"/>
      <c r="Z123" s="132"/>
      <c r="AA123" s="134"/>
      <c r="AB123" s="132"/>
      <c r="AC123" s="15"/>
      <c r="AD123" s="12"/>
      <c r="AE123" s="15"/>
      <c r="AF123" s="12"/>
      <c r="AG123" s="15"/>
      <c r="AH123" s="12"/>
      <c r="AI123" s="15"/>
      <c r="AK123" s="15"/>
      <c r="AM123" s="15"/>
      <c r="AN123" s="12"/>
      <c r="AP123" s="84">
        <v>5</v>
      </c>
      <c r="AQ123" s="85"/>
      <c r="AR123" s="84">
        <v>6</v>
      </c>
      <c r="AS123">
        <v>3</v>
      </c>
      <c r="AT123">
        <v>3</v>
      </c>
      <c r="AU123">
        <v>1</v>
      </c>
      <c r="BF123" s="84"/>
      <c r="BG123" s="84"/>
      <c r="BH123" s="85"/>
    </row>
    <row r="124" spans="1:60" ht="16" thickBot="1" x14ac:dyDescent="0.25">
      <c r="A124" s="5" t="s">
        <v>45</v>
      </c>
      <c r="B124" t="s">
        <v>137</v>
      </c>
      <c r="D124">
        <v>29</v>
      </c>
      <c r="E124">
        <v>4</v>
      </c>
      <c r="F124">
        <v>54</v>
      </c>
      <c r="G124">
        <v>33</v>
      </c>
      <c r="H124">
        <v>22</v>
      </c>
      <c r="I124">
        <v>27</v>
      </c>
      <c r="Q124" s="15">
        <v>25</v>
      </c>
      <c r="R124" s="132">
        <v>0.17582685000001219</v>
      </c>
      <c r="S124" s="15">
        <v>4</v>
      </c>
      <c r="T124" s="132">
        <v>6.4606482501403661E-2</v>
      </c>
      <c r="U124" s="15">
        <v>47</v>
      </c>
      <c r="V124" s="34">
        <v>0.34226457766000867</v>
      </c>
      <c r="W124" s="134">
        <v>31</v>
      </c>
      <c r="X124" s="132">
        <v>0.14253845645045307</v>
      </c>
      <c r="Y124" s="134">
        <v>21</v>
      </c>
      <c r="Z124" s="132">
        <v>0.17408344333394088</v>
      </c>
      <c r="AA124" s="134">
        <v>26</v>
      </c>
      <c r="AB124" s="132">
        <v>0.15698539999889013</v>
      </c>
      <c r="AC124" s="15"/>
      <c r="AD124" s="12"/>
      <c r="AE124" s="15"/>
      <c r="AF124" s="12"/>
      <c r="AG124" s="15"/>
      <c r="AH124" s="12"/>
      <c r="AI124" s="15"/>
      <c r="AK124" s="15"/>
      <c r="AM124" s="15"/>
      <c r="AN124" s="12"/>
      <c r="AP124" s="84">
        <v>316</v>
      </c>
      <c r="AQ124" s="84">
        <v>393</v>
      </c>
      <c r="AR124" s="84">
        <v>317</v>
      </c>
      <c r="AS124">
        <v>220</v>
      </c>
      <c r="AT124">
        <v>202</v>
      </c>
      <c r="AU124">
        <v>162</v>
      </c>
      <c r="BF124" s="84"/>
      <c r="BG124" s="84"/>
      <c r="BH124" s="85"/>
    </row>
    <row r="125" spans="1:60" ht="16" thickBot="1" x14ac:dyDescent="0.25">
      <c r="A125" s="5" t="s">
        <v>46</v>
      </c>
      <c r="B125" t="s">
        <v>137</v>
      </c>
      <c r="Q125" s="15"/>
      <c r="R125" s="132"/>
      <c r="S125" s="15"/>
      <c r="T125" s="132"/>
      <c r="U125" s="15"/>
      <c r="V125" s="34"/>
      <c r="W125" s="134"/>
      <c r="X125" s="132"/>
      <c r="Y125" s="134"/>
      <c r="Z125" s="132"/>
      <c r="AA125" s="134"/>
      <c r="AB125" s="132"/>
      <c r="AC125" s="15"/>
      <c r="AD125" s="12"/>
      <c r="AE125" s="15"/>
      <c r="AF125" s="12"/>
      <c r="AG125" s="15"/>
      <c r="AH125" s="12"/>
      <c r="AI125" s="15"/>
      <c r="AK125" s="15"/>
      <c r="AM125" s="15"/>
      <c r="AN125" s="12"/>
      <c r="AP125" s="84">
        <v>4</v>
      </c>
      <c r="AQ125" s="84">
        <v>5</v>
      </c>
      <c r="AR125" s="84">
        <v>7</v>
      </c>
      <c r="AS125">
        <v>5</v>
      </c>
      <c r="AT125">
        <v>2</v>
      </c>
      <c r="AU125">
        <v>1</v>
      </c>
      <c r="BF125" s="84"/>
      <c r="BG125" s="84"/>
      <c r="BH125" s="85"/>
    </row>
    <row r="126" spans="1:60" ht="16" thickBot="1" x14ac:dyDescent="0.25">
      <c r="A126" s="5" t="s">
        <v>47</v>
      </c>
      <c r="B126" t="s">
        <v>137</v>
      </c>
      <c r="D126">
        <v>17</v>
      </c>
      <c r="E126">
        <v>1</v>
      </c>
      <c r="F126">
        <v>21</v>
      </c>
      <c r="G126">
        <v>21</v>
      </c>
      <c r="H126">
        <v>11</v>
      </c>
      <c r="I126">
        <v>17</v>
      </c>
      <c r="Q126" s="15">
        <v>17</v>
      </c>
      <c r="R126" s="132">
        <v>0.33126565882369452</v>
      </c>
      <c r="S126" s="15">
        <v>1</v>
      </c>
      <c r="T126" s="132">
        <v>2.5520830000459682E-2</v>
      </c>
      <c r="U126" s="15">
        <v>19</v>
      </c>
      <c r="V126" s="34">
        <v>0.29416422947351267</v>
      </c>
      <c r="W126" s="134">
        <v>20</v>
      </c>
      <c r="X126" s="132">
        <v>0.15438830800048892</v>
      </c>
      <c r="Y126" s="134">
        <v>11</v>
      </c>
      <c r="Z126" s="132">
        <v>0.7757070700000358</v>
      </c>
      <c r="AA126" s="134">
        <v>16</v>
      </c>
      <c r="AB126" s="132">
        <v>0.16794270687387325</v>
      </c>
      <c r="AC126" s="15"/>
      <c r="AD126" s="12"/>
      <c r="AE126" s="15"/>
      <c r="AF126" s="12"/>
      <c r="AG126" s="15"/>
      <c r="AH126" s="12"/>
      <c r="AI126" s="15"/>
      <c r="AK126" s="15"/>
      <c r="AM126" s="15"/>
      <c r="AN126" s="12"/>
      <c r="AP126" s="84">
        <v>168</v>
      </c>
      <c r="AQ126" s="84">
        <v>167</v>
      </c>
      <c r="AR126" s="84">
        <v>186</v>
      </c>
      <c r="AS126">
        <v>121</v>
      </c>
      <c r="AT126">
        <v>108</v>
      </c>
      <c r="AU126">
        <v>89</v>
      </c>
      <c r="BF126" s="84"/>
      <c r="BG126" s="84"/>
      <c r="BH126" s="84"/>
    </row>
    <row r="127" spans="1:60" ht="16" thickBot="1" x14ac:dyDescent="0.25">
      <c r="A127" s="5" t="s">
        <v>48</v>
      </c>
      <c r="B127" t="s">
        <v>137</v>
      </c>
      <c r="H127">
        <v>1</v>
      </c>
      <c r="Q127" s="15"/>
      <c r="R127" s="132"/>
      <c r="S127" s="15"/>
      <c r="T127" s="132"/>
      <c r="U127" s="15"/>
      <c r="V127" s="34"/>
      <c r="W127" s="134"/>
      <c r="X127" s="132"/>
      <c r="Y127" s="134">
        <v>1</v>
      </c>
      <c r="Z127" s="132">
        <v>2.8703709998808336E-2</v>
      </c>
      <c r="AA127" s="134"/>
      <c r="AB127" s="132"/>
      <c r="AC127" s="15"/>
      <c r="AD127" s="12"/>
      <c r="AE127" s="15"/>
      <c r="AF127" s="12"/>
      <c r="AG127" s="15"/>
      <c r="AH127" s="12"/>
      <c r="AI127" s="15"/>
      <c r="AK127" s="15"/>
      <c r="AM127" s="15"/>
      <c r="AN127" s="12"/>
      <c r="AP127" s="85">
        <v>1</v>
      </c>
      <c r="AQ127" s="85">
        <v>1</v>
      </c>
      <c r="AR127" s="84"/>
      <c r="AS127">
        <v>2</v>
      </c>
      <c r="AT127">
        <v>2</v>
      </c>
      <c r="AU127">
        <v>1</v>
      </c>
      <c r="BF127" s="84"/>
      <c r="BG127" s="85"/>
      <c r="BH127" s="84"/>
    </row>
    <row r="128" spans="1:60" ht="16" thickBot="1" x14ac:dyDescent="0.25">
      <c r="A128" s="5" t="s">
        <v>49</v>
      </c>
      <c r="B128" t="s">
        <v>137</v>
      </c>
      <c r="D128">
        <v>16</v>
      </c>
      <c r="E128">
        <v>2</v>
      </c>
      <c r="F128">
        <v>19</v>
      </c>
      <c r="G128">
        <v>15</v>
      </c>
      <c r="H128">
        <v>6</v>
      </c>
      <c r="I128">
        <v>9</v>
      </c>
      <c r="Q128" s="15">
        <v>12</v>
      </c>
      <c r="R128" s="132">
        <v>6.1321375000261469E-2</v>
      </c>
      <c r="S128" s="15">
        <v>2</v>
      </c>
      <c r="T128" s="132">
        <v>3.6093750000873115E-2</v>
      </c>
      <c r="U128" s="15">
        <v>17</v>
      </c>
      <c r="V128" s="34">
        <v>0.24240468470645068</v>
      </c>
      <c r="W128" s="134">
        <v>14</v>
      </c>
      <c r="X128" s="132">
        <v>0.26543898714226088</v>
      </c>
      <c r="Y128" s="134">
        <v>6</v>
      </c>
      <c r="Z128" s="132">
        <v>0.55979166833397664</v>
      </c>
      <c r="AA128" s="134">
        <v>9</v>
      </c>
      <c r="AB128" s="132">
        <v>8.7509002222052212E-2</v>
      </c>
      <c r="AC128" s="15"/>
      <c r="AD128" s="12"/>
      <c r="AE128" s="15"/>
      <c r="AF128" s="12"/>
      <c r="AG128" s="15"/>
      <c r="AH128" s="12"/>
      <c r="AI128" s="15"/>
      <c r="AK128" s="15"/>
      <c r="AM128" s="15"/>
      <c r="AN128" s="12"/>
      <c r="AP128" s="84">
        <v>122</v>
      </c>
      <c r="AQ128" s="84">
        <v>145</v>
      </c>
      <c r="AR128" s="84">
        <v>139</v>
      </c>
      <c r="AS128">
        <v>91</v>
      </c>
      <c r="AT128">
        <v>84</v>
      </c>
      <c r="AU128">
        <v>69</v>
      </c>
      <c r="BF128" s="84"/>
      <c r="BG128" s="84"/>
      <c r="BH128" s="84"/>
    </row>
    <row r="129" spans="1:60" ht="16" thickBot="1" x14ac:dyDescent="0.25">
      <c r="A129" s="5" t="s">
        <v>50</v>
      </c>
      <c r="B129" t="s">
        <v>137</v>
      </c>
      <c r="D129">
        <v>8</v>
      </c>
      <c r="E129">
        <v>2</v>
      </c>
      <c r="F129">
        <v>14</v>
      </c>
      <c r="G129">
        <v>7</v>
      </c>
      <c r="H129">
        <v>10</v>
      </c>
      <c r="I129">
        <v>14</v>
      </c>
      <c r="Q129" s="15">
        <v>9</v>
      </c>
      <c r="R129" s="132">
        <v>0.84650462798324755</v>
      </c>
      <c r="S129" s="15">
        <v>1</v>
      </c>
      <c r="T129" s="132">
        <v>2.3310179996769875E-2</v>
      </c>
      <c r="U129" s="15">
        <v>10</v>
      </c>
      <c r="V129" s="34">
        <v>0.82857523099955865</v>
      </c>
      <c r="W129" s="134">
        <v>7</v>
      </c>
      <c r="X129" s="132">
        <v>0.82409226285796777</v>
      </c>
      <c r="Y129" s="134">
        <v>10</v>
      </c>
      <c r="Z129" s="132">
        <v>0.81135185199891569</v>
      </c>
      <c r="AA129" s="134">
        <v>10</v>
      </c>
      <c r="AB129" s="132">
        <v>0.4840624990014476</v>
      </c>
      <c r="AC129" s="15"/>
      <c r="AD129" s="12"/>
      <c r="AE129" s="15"/>
      <c r="AF129" s="12"/>
      <c r="AG129" s="15"/>
      <c r="AH129" s="12"/>
      <c r="AI129" s="15"/>
      <c r="AK129" s="15"/>
      <c r="AM129" s="15"/>
      <c r="AN129" s="12"/>
      <c r="AP129" s="84">
        <v>138</v>
      </c>
      <c r="AQ129" s="84">
        <v>69</v>
      </c>
      <c r="AR129" s="84">
        <v>114</v>
      </c>
      <c r="AS129">
        <v>119</v>
      </c>
      <c r="AT129">
        <v>86</v>
      </c>
      <c r="AU129">
        <v>56</v>
      </c>
      <c r="BF129" s="84"/>
      <c r="BG129" s="84"/>
      <c r="BH129" s="84"/>
    </row>
    <row r="130" spans="1:60" ht="16" thickBot="1" x14ac:dyDescent="0.25">
      <c r="A130" s="5" t="s">
        <v>51</v>
      </c>
      <c r="B130" t="s">
        <v>137</v>
      </c>
      <c r="Q130" s="15"/>
      <c r="R130" s="132"/>
      <c r="S130" s="15"/>
      <c r="T130" s="132"/>
      <c r="U130" s="15"/>
      <c r="V130" s="34"/>
      <c r="W130" s="134"/>
      <c r="X130" s="132"/>
      <c r="Y130" s="134"/>
      <c r="Z130" s="132"/>
      <c r="AA130" s="134"/>
      <c r="AB130" s="132"/>
      <c r="AC130" s="15"/>
      <c r="AD130" s="12"/>
      <c r="AE130" s="15"/>
      <c r="AF130" s="12"/>
      <c r="AG130" s="15"/>
      <c r="AH130" s="12"/>
      <c r="AI130" s="15"/>
      <c r="AK130" s="15"/>
      <c r="AM130" s="15"/>
      <c r="AN130" s="12"/>
      <c r="AP130" s="85">
        <v>7</v>
      </c>
      <c r="AQ130" s="84">
        <v>3</v>
      </c>
      <c r="AR130" s="85">
        <v>5</v>
      </c>
      <c r="AS130">
        <v>1</v>
      </c>
      <c r="AU130">
        <v>2</v>
      </c>
      <c r="BF130" s="84"/>
      <c r="BG130" s="84"/>
      <c r="BH130" s="85"/>
    </row>
    <row r="131" spans="1:60" ht="16" thickBot="1" x14ac:dyDescent="0.25">
      <c r="A131" s="5" t="s">
        <v>52</v>
      </c>
      <c r="B131" t="s">
        <v>137</v>
      </c>
      <c r="D131">
        <v>1</v>
      </c>
      <c r="E131">
        <v>1</v>
      </c>
      <c r="F131">
        <v>5</v>
      </c>
      <c r="G131">
        <v>5</v>
      </c>
      <c r="H131">
        <v>5</v>
      </c>
      <c r="I131">
        <v>4</v>
      </c>
      <c r="Q131" s="15">
        <v>1</v>
      </c>
      <c r="R131" s="132">
        <v>0.23269675999472383</v>
      </c>
      <c r="S131" s="15">
        <v>1</v>
      </c>
      <c r="T131" s="132">
        <v>2.2939810005482286E-2</v>
      </c>
      <c r="U131" s="15">
        <v>4</v>
      </c>
      <c r="V131" s="34">
        <v>0.31187499999759893</v>
      </c>
      <c r="W131" s="134">
        <v>5</v>
      </c>
      <c r="X131" s="132">
        <v>0.13320138799899722</v>
      </c>
      <c r="Y131" s="134">
        <v>5</v>
      </c>
      <c r="Z131" s="132">
        <v>0.12654861199989681</v>
      </c>
      <c r="AA131" s="134">
        <v>5</v>
      </c>
      <c r="AB131" s="132">
        <v>1.2572129639986087</v>
      </c>
      <c r="AC131" s="15"/>
      <c r="AD131" s="12"/>
      <c r="AE131" s="15"/>
      <c r="AF131" s="12"/>
      <c r="AG131" s="15"/>
      <c r="AH131" s="12"/>
      <c r="AI131" s="15"/>
      <c r="AK131" s="15"/>
      <c r="AM131" s="15"/>
      <c r="AN131" s="12"/>
      <c r="AP131" s="84">
        <v>52</v>
      </c>
      <c r="AQ131" s="84">
        <v>67</v>
      </c>
      <c r="AR131" s="84">
        <v>67</v>
      </c>
      <c r="AS131">
        <v>51</v>
      </c>
      <c r="AT131">
        <v>47</v>
      </c>
      <c r="AU131">
        <v>27</v>
      </c>
      <c r="BF131" s="84"/>
      <c r="BG131" s="84"/>
      <c r="BH131" s="84"/>
    </row>
    <row r="132" spans="1:60" ht="16" thickBot="1" x14ac:dyDescent="0.25">
      <c r="A132" s="5" t="s">
        <v>53</v>
      </c>
      <c r="B132" t="s">
        <v>137</v>
      </c>
      <c r="D132">
        <v>1</v>
      </c>
      <c r="F132">
        <v>3</v>
      </c>
      <c r="G132">
        <v>2</v>
      </c>
      <c r="H132">
        <v>3</v>
      </c>
      <c r="I132">
        <v>1</v>
      </c>
      <c r="Q132" s="15"/>
      <c r="R132" s="132"/>
      <c r="S132" s="15"/>
      <c r="T132" s="132"/>
      <c r="U132" s="15">
        <v>2</v>
      </c>
      <c r="V132" s="34">
        <v>0.60300346999792964</v>
      </c>
      <c r="W132" s="134">
        <v>2</v>
      </c>
      <c r="X132" s="132">
        <v>1.8408569998427993E-2</v>
      </c>
      <c r="Y132" s="134">
        <v>2</v>
      </c>
      <c r="Z132" s="132">
        <v>2.2683564849976392</v>
      </c>
      <c r="AA132" s="134"/>
      <c r="AB132" s="132"/>
      <c r="AC132" s="15"/>
      <c r="AD132" s="12"/>
      <c r="AE132" s="15"/>
      <c r="AF132" s="12"/>
      <c r="AG132" s="15"/>
      <c r="AH132" s="12"/>
      <c r="AI132" s="15"/>
      <c r="AK132" s="15"/>
      <c r="AM132" s="15"/>
      <c r="AN132" s="12"/>
      <c r="AP132" s="84">
        <v>52</v>
      </c>
      <c r="AQ132" s="84">
        <v>62</v>
      </c>
      <c r="AR132" s="84">
        <v>41</v>
      </c>
      <c r="AS132">
        <v>52</v>
      </c>
      <c r="AT132">
        <v>28</v>
      </c>
      <c r="AU132">
        <v>23</v>
      </c>
      <c r="BF132" s="84"/>
      <c r="BG132" s="84"/>
      <c r="BH132" s="84"/>
    </row>
    <row r="133" spans="1:60" ht="16" thickBot="1" x14ac:dyDescent="0.25">
      <c r="A133" s="5" t="s">
        <v>54</v>
      </c>
      <c r="B133" t="s">
        <v>137</v>
      </c>
      <c r="D133">
        <v>5</v>
      </c>
      <c r="E133">
        <v>2</v>
      </c>
      <c r="F133">
        <v>15</v>
      </c>
      <c r="G133">
        <v>11</v>
      </c>
      <c r="H133">
        <v>8</v>
      </c>
      <c r="I133">
        <v>9</v>
      </c>
      <c r="Q133" s="15">
        <v>5</v>
      </c>
      <c r="R133" s="132">
        <v>0.10147221999941394</v>
      </c>
      <c r="S133" s="15">
        <v>1</v>
      </c>
      <c r="T133" s="132">
        <v>2.8356479997455608E-2</v>
      </c>
      <c r="U133" s="15">
        <v>11</v>
      </c>
      <c r="V133" s="34">
        <v>0.24272095999979434</v>
      </c>
      <c r="W133" s="134">
        <v>11</v>
      </c>
      <c r="X133" s="132">
        <v>0.11847643090996743</v>
      </c>
      <c r="Y133" s="134">
        <v>8</v>
      </c>
      <c r="Z133" s="132">
        <v>0.5333492487507101</v>
      </c>
      <c r="AA133" s="134">
        <v>9</v>
      </c>
      <c r="AB133" s="132">
        <v>8.6445472221789207E-2</v>
      </c>
      <c r="AC133" s="15"/>
      <c r="AD133" s="12"/>
      <c r="AE133" s="15"/>
      <c r="AF133" s="12"/>
      <c r="AG133" s="15"/>
      <c r="AH133" s="12"/>
      <c r="AI133" s="15"/>
      <c r="AK133" s="15"/>
      <c r="AM133" s="15"/>
      <c r="AN133" s="12"/>
      <c r="AP133" s="84">
        <v>139</v>
      </c>
      <c r="AQ133" s="84">
        <v>135</v>
      </c>
      <c r="AR133" s="84">
        <v>138</v>
      </c>
      <c r="AS133">
        <v>82</v>
      </c>
      <c r="AT133">
        <v>84</v>
      </c>
      <c r="AU133">
        <v>62</v>
      </c>
      <c r="BF133" s="84"/>
      <c r="BG133" s="84"/>
      <c r="BH133" s="84"/>
    </row>
    <row r="134" spans="1:60" ht="16" thickBot="1" x14ac:dyDescent="0.25">
      <c r="A134" s="5" t="s">
        <v>55</v>
      </c>
      <c r="B134" t="s">
        <v>137</v>
      </c>
      <c r="D134">
        <v>2</v>
      </c>
      <c r="F134">
        <v>4</v>
      </c>
      <c r="G134">
        <v>1</v>
      </c>
      <c r="H134">
        <v>2</v>
      </c>
      <c r="I134">
        <v>1</v>
      </c>
      <c r="Q134" s="15">
        <v>1</v>
      </c>
      <c r="R134" s="132">
        <v>1.7164349999802653E-2</v>
      </c>
      <c r="S134" s="15"/>
      <c r="T134" s="132"/>
      <c r="U134" s="15">
        <v>3</v>
      </c>
      <c r="V134" s="34">
        <v>0.42008873666782165</v>
      </c>
      <c r="W134" s="134">
        <v>1</v>
      </c>
      <c r="X134" s="132">
        <v>0.10954861000209348</v>
      </c>
      <c r="Y134" s="134">
        <v>2</v>
      </c>
      <c r="Z134" s="132">
        <v>2.2673614999803249E-2</v>
      </c>
      <c r="AA134" s="134">
        <v>1</v>
      </c>
      <c r="AB134" s="132">
        <v>7.5324069999624044E-2</v>
      </c>
      <c r="AC134" s="15"/>
      <c r="AD134" s="12"/>
      <c r="AE134" s="15"/>
      <c r="AF134" s="12"/>
      <c r="AG134" s="15"/>
      <c r="AH134" s="12"/>
      <c r="AI134" s="15"/>
      <c r="AK134" s="15"/>
      <c r="AM134" s="15"/>
      <c r="AN134" s="12"/>
      <c r="AP134" s="84">
        <v>30</v>
      </c>
      <c r="AQ134" s="84">
        <v>37</v>
      </c>
      <c r="AR134" s="84">
        <v>25</v>
      </c>
      <c r="AS134">
        <v>23</v>
      </c>
      <c r="AT134">
        <v>17</v>
      </c>
      <c r="AU134">
        <v>16</v>
      </c>
      <c r="BF134" s="84"/>
      <c r="BG134" s="84"/>
      <c r="BH134" s="85"/>
    </row>
    <row r="135" spans="1:60" ht="16" thickBot="1" x14ac:dyDescent="0.25">
      <c r="A135" s="5" t="s">
        <v>56</v>
      </c>
      <c r="B135" t="s">
        <v>137</v>
      </c>
      <c r="D135">
        <v>2</v>
      </c>
      <c r="F135">
        <v>1</v>
      </c>
      <c r="G135">
        <v>1</v>
      </c>
      <c r="H135">
        <v>1</v>
      </c>
      <c r="Q135" s="15">
        <v>2</v>
      </c>
      <c r="R135" s="132">
        <v>9.0567130002455087E-2</v>
      </c>
      <c r="S135" s="15"/>
      <c r="T135" s="132"/>
      <c r="U135" s="15">
        <v>1</v>
      </c>
      <c r="V135" s="34">
        <v>0.10878472000331385</v>
      </c>
      <c r="W135" s="134">
        <v>1</v>
      </c>
      <c r="X135" s="132">
        <v>1.1006939996150322E-2</v>
      </c>
      <c r="Y135" s="134">
        <v>1</v>
      </c>
      <c r="Z135" s="132">
        <v>3.6967590000131167E-2</v>
      </c>
      <c r="AA135" s="134"/>
      <c r="AB135" s="132"/>
      <c r="AC135" s="15"/>
      <c r="AD135" s="12"/>
      <c r="AE135" s="15"/>
      <c r="AF135" s="12"/>
      <c r="AG135" s="15"/>
      <c r="AH135" s="12"/>
      <c r="AI135" s="15"/>
      <c r="AK135" s="15"/>
      <c r="AM135" s="15"/>
      <c r="AN135" s="12"/>
      <c r="AP135" s="84">
        <v>17</v>
      </c>
      <c r="AQ135" s="84">
        <v>22</v>
      </c>
      <c r="AR135" s="84">
        <v>29</v>
      </c>
      <c r="AS135">
        <v>15</v>
      </c>
      <c r="AT135">
        <v>11</v>
      </c>
      <c r="AU135">
        <v>12</v>
      </c>
      <c r="BF135" s="84"/>
      <c r="BG135" s="84"/>
      <c r="BH135" s="85"/>
    </row>
    <row r="136" spans="1:60" ht="16" thickBot="1" x14ac:dyDescent="0.25">
      <c r="A136" s="5" t="s">
        <v>57</v>
      </c>
      <c r="B136" t="s">
        <v>137</v>
      </c>
      <c r="D136">
        <v>1</v>
      </c>
      <c r="E136">
        <v>1</v>
      </c>
      <c r="F136">
        <v>4</v>
      </c>
      <c r="H136">
        <v>1</v>
      </c>
      <c r="I136">
        <v>1</v>
      </c>
      <c r="Q136" s="15"/>
      <c r="R136" s="132"/>
      <c r="S136" s="15">
        <v>1</v>
      </c>
      <c r="T136" s="132">
        <v>0.16479165999771794</v>
      </c>
      <c r="U136" s="15">
        <v>2</v>
      </c>
      <c r="V136" s="34">
        <v>0.19137731500086375</v>
      </c>
      <c r="W136" s="134"/>
      <c r="X136" s="132"/>
      <c r="Y136" s="134">
        <v>1</v>
      </c>
      <c r="Z136" s="132">
        <v>1.0787039995193481E-2</v>
      </c>
      <c r="AA136" s="134">
        <v>1</v>
      </c>
      <c r="AB136" s="132">
        <v>6.6134259999671485E-2</v>
      </c>
      <c r="AC136" s="15"/>
      <c r="AD136" s="12"/>
      <c r="AE136" s="15"/>
      <c r="AF136" s="12"/>
      <c r="AG136" s="15"/>
      <c r="AH136" s="12"/>
      <c r="AI136" s="15"/>
      <c r="AK136" s="15"/>
      <c r="AM136" s="15"/>
      <c r="AN136" s="12"/>
      <c r="AP136" s="84">
        <v>11</v>
      </c>
      <c r="AQ136" s="84">
        <v>17</v>
      </c>
      <c r="AR136" s="84">
        <v>10</v>
      </c>
      <c r="AS136">
        <v>7</v>
      </c>
      <c r="AT136">
        <v>10</v>
      </c>
      <c r="AU136">
        <v>4</v>
      </c>
      <c r="BF136" s="84"/>
      <c r="BG136" s="84"/>
      <c r="BH136" s="85"/>
    </row>
    <row r="137" spans="1:60" ht="16" thickBot="1" x14ac:dyDescent="0.25">
      <c r="A137" s="5" t="s">
        <v>58</v>
      </c>
      <c r="B137" t="s">
        <v>137</v>
      </c>
      <c r="D137">
        <v>3</v>
      </c>
      <c r="F137">
        <v>4</v>
      </c>
      <c r="G137">
        <v>1</v>
      </c>
      <c r="I137">
        <v>1</v>
      </c>
      <c r="Q137" s="15">
        <v>4</v>
      </c>
      <c r="R137" s="132">
        <v>0.99045428250246914</v>
      </c>
      <c r="S137" s="15"/>
      <c r="T137" s="132"/>
      <c r="U137" s="15">
        <v>2</v>
      </c>
      <c r="V137" s="34">
        <v>8.4091434997390024E-2</v>
      </c>
      <c r="W137" s="134"/>
      <c r="X137" s="132"/>
      <c r="Y137" s="134"/>
      <c r="Z137" s="132"/>
      <c r="AA137" s="134">
        <v>1</v>
      </c>
      <c r="AB137" s="132">
        <v>0.13052084000082687</v>
      </c>
      <c r="AC137" s="15"/>
      <c r="AD137" s="12"/>
      <c r="AE137" s="15"/>
      <c r="AF137" s="12"/>
      <c r="AG137" s="15"/>
      <c r="AH137" s="12"/>
      <c r="AI137" s="15"/>
      <c r="AK137" s="15"/>
      <c r="AM137" s="15"/>
      <c r="AN137" s="12"/>
      <c r="AP137" s="84">
        <v>17</v>
      </c>
      <c r="AQ137" s="84">
        <v>16</v>
      </c>
      <c r="AR137" s="84">
        <v>17</v>
      </c>
      <c r="AS137">
        <v>15</v>
      </c>
      <c r="AT137">
        <v>12</v>
      </c>
      <c r="AU137">
        <v>6</v>
      </c>
      <c r="BF137" s="84"/>
      <c r="BG137" s="84"/>
      <c r="BH137" s="85"/>
    </row>
    <row r="138" spans="1:60" ht="16" thickBot="1" x14ac:dyDescent="0.25">
      <c r="A138" s="5" t="s">
        <v>59</v>
      </c>
      <c r="B138" t="s">
        <v>137</v>
      </c>
      <c r="D138">
        <v>2</v>
      </c>
      <c r="F138">
        <v>1</v>
      </c>
      <c r="G138">
        <v>1</v>
      </c>
      <c r="I138">
        <v>1</v>
      </c>
      <c r="Q138" s="15">
        <v>1</v>
      </c>
      <c r="R138" s="132">
        <v>6.8310189999465365E-2</v>
      </c>
      <c r="S138" s="15"/>
      <c r="T138" s="132"/>
      <c r="U138" s="15">
        <v>1</v>
      </c>
      <c r="V138" s="34">
        <v>0.42930555999919306</v>
      </c>
      <c r="W138" s="134">
        <v>1</v>
      </c>
      <c r="X138" s="132">
        <v>0.36337963000551099</v>
      </c>
      <c r="Y138" s="134"/>
      <c r="Z138" s="132"/>
      <c r="AA138" s="134">
        <v>1</v>
      </c>
      <c r="AB138" s="132">
        <v>4.0709027800039621</v>
      </c>
      <c r="AC138" s="15"/>
      <c r="AD138" s="12"/>
      <c r="AE138" s="15"/>
      <c r="AF138" s="12"/>
      <c r="AG138" s="15"/>
      <c r="AH138" s="12"/>
      <c r="AI138" s="15"/>
      <c r="AK138" s="15"/>
      <c r="AM138" s="15"/>
      <c r="AN138" s="12"/>
      <c r="AP138" s="84">
        <v>28</v>
      </c>
      <c r="AQ138" s="84">
        <v>12</v>
      </c>
      <c r="AR138" s="84">
        <v>25</v>
      </c>
      <c r="AS138">
        <v>29</v>
      </c>
      <c r="AT138">
        <v>19</v>
      </c>
      <c r="AU138">
        <v>13</v>
      </c>
      <c r="BF138" s="84"/>
      <c r="BG138" s="84"/>
      <c r="BH138" s="84"/>
    </row>
    <row r="139" spans="1:60" ht="16" thickBot="1" x14ac:dyDescent="0.25">
      <c r="A139" s="5" t="s">
        <v>60</v>
      </c>
      <c r="B139" t="s">
        <v>137</v>
      </c>
      <c r="Q139" s="15"/>
      <c r="R139" s="132"/>
      <c r="S139" s="15"/>
      <c r="T139" s="132"/>
      <c r="U139" s="15"/>
      <c r="V139" s="34"/>
      <c r="W139" s="134"/>
      <c r="X139" s="132"/>
      <c r="Y139" s="134"/>
      <c r="Z139" s="132"/>
      <c r="AA139" s="134"/>
      <c r="AB139" s="132"/>
      <c r="AC139" s="15"/>
      <c r="AD139" s="12"/>
      <c r="AE139" s="15"/>
      <c r="AF139" s="12"/>
      <c r="AG139" s="15"/>
      <c r="AH139" s="12"/>
      <c r="AI139" s="15"/>
      <c r="AK139" s="15"/>
      <c r="AM139" s="15"/>
      <c r="AN139" s="12"/>
      <c r="AP139" s="85">
        <v>3</v>
      </c>
      <c r="AQ139" s="85">
        <v>6</v>
      </c>
      <c r="AR139" s="84">
        <v>5</v>
      </c>
      <c r="AS139">
        <v>5</v>
      </c>
      <c r="AT139">
        <v>1</v>
      </c>
      <c r="AU139">
        <v>3</v>
      </c>
      <c r="BF139" s="84"/>
      <c r="BG139" s="84"/>
      <c r="BH139" s="85"/>
    </row>
    <row r="140" spans="1:60" ht="16" thickBot="1" x14ac:dyDescent="0.25">
      <c r="A140" s="5" t="s">
        <v>61</v>
      </c>
      <c r="B140" t="s">
        <v>137</v>
      </c>
      <c r="Q140" s="15"/>
      <c r="R140" s="132"/>
      <c r="S140" s="15"/>
      <c r="T140" s="132"/>
      <c r="U140" s="15"/>
      <c r="V140" s="34"/>
      <c r="W140" s="134"/>
      <c r="X140" s="132"/>
      <c r="Y140" s="134"/>
      <c r="Z140" s="132"/>
      <c r="AA140" s="134"/>
      <c r="AB140" s="132"/>
      <c r="AC140" s="15"/>
      <c r="AD140" s="12"/>
      <c r="AE140" s="15"/>
      <c r="AF140" s="12"/>
      <c r="AG140" s="15"/>
      <c r="AH140" s="12"/>
      <c r="AI140" s="15"/>
      <c r="AK140" s="15"/>
      <c r="AM140" s="15"/>
      <c r="AN140" s="12"/>
      <c r="AP140" s="85"/>
      <c r="AQ140" s="85">
        <v>2</v>
      </c>
      <c r="AR140" s="85"/>
      <c r="AU140">
        <v>1</v>
      </c>
      <c r="BF140" s="84"/>
      <c r="BG140" s="85"/>
      <c r="BH140" s="85"/>
    </row>
    <row r="141" spans="1:60" ht="16" thickBot="1" x14ac:dyDescent="0.25">
      <c r="A141" s="5" t="s">
        <v>62</v>
      </c>
      <c r="B141" t="s">
        <v>137</v>
      </c>
      <c r="D141">
        <v>4</v>
      </c>
      <c r="F141">
        <v>5</v>
      </c>
      <c r="G141">
        <v>6</v>
      </c>
      <c r="H141">
        <v>3</v>
      </c>
      <c r="I141">
        <v>3</v>
      </c>
      <c r="Q141" s="15">
        <v>4</v>
      </c>
      <c r="R141" s="132">
        <v>0.23343460499745561</v>
      </c>
      <c r="S141" s="15"/>
      <c r="T141" s="132"/>
      <c r="U141" s="15">
        <v>4</v>
      </c>
      <c r="V141" s="34">
        <v>0.70250578499872063</v>
      </c>
      <c r="W141" s="134">
        <v>4</v>
      </c>
      <c r="X141" s="132">
        <v>1.216938654999467</v>
      </c>
      <c r="Y141" s="134">
        <v>3</v>
      </c>
      <c r="Z141" s="132">
        <v>0.83305940999950201</v>
      </c>
      <c r="AA141" s="134">
        <v>3</v>
      </c>
      <c r="AB141" s="132">
        <v>2.4953896599981817</v>
      </c>
      <c r="AC141" s="15"/>
      <c r="AD141" s="12"/>
      <c r="AE141" s="15"/>
      <c r="AF141" s="12"/>
      <c r="AG141" s="15"/>
      <c r="AH141" s="12"/>
      <c r="AI141" s="15"/>
      <c r="AK141" s="15"/>
      <c r="AM141" s="15"/>
      <c r="AN141" s="12"/>
      <c r="AP141" s="84">
        <v>59</v>
      </c>
      <c r="AQ141" s="84">
        <v>88</v>
      </c>
      <c r="AR141" s="84">
        <v>70</v>
      </c>
      <c r="AS141">
        <v>48</v>
      </c>
      <c r="AT141">
        <v>46</v>
      </c>
      <c r="AU141">
        <v>26</v>
      </c>
      <c r="BF141" s="84"/>
      <c r="BG141" s="84"/>
      <c r="BH141" s="85"/>
    </row>
    <row r="142" spans="1:60" ht="16" thickBot="1" x14ac:dyDescent="0.25">
      <c r="A142" s="5" t="s">
        <v>63</v>
      </c>
      <c r="B142" t="s">
        <v>137</v>
      </c>
      <c r="D142">
        <v>1</v>
      </c>
      <c r="Q142" s="15">
        <v>1</v>
      </c>
      <c r="R142" s="132">
        <v>1.2071760000253562E-2</v>
      </c>
      <c r="S142" s="15"/>
      <c r="T142" s="132"/>
      <c r="U142" s="15"/>
      <c r="V142" s="34"/>
      <c r="W142" s="134"/>
      <c r="X142" s="132"/>
      <c r="Y142" s="134"/>
      <c r="Z142" s="132"/>
      <c r="AA142" s="134"/>
      <c r="AB142" s="132"/>
      <c r="AC142" s="15"/>
      <c r="AD142" s="12"/>
      <c r="AE142" s="15"/>
      <c r="AF142" s="12"/>
      <c r="AG142" s="15"/>
      <c r="AH142" s="12"/>
      <c r="AI142" s="15"/>
      <c r="AK142" s="15"/>
      <c r="AM142" s="15"/>
      <c r="AN142" s="12"/>
      <c r="AP142" s="85">
        <v>5</v>
      </c>
      <c r="AQ142" s="85">
        <v>3</v>
      </c>
      <c r="AR142" s="85">
        <v>7</v>
      </c>
      <c r="AS142">
        <v>1</v>
      </c>
      <c r="AT142">
        <v>3</v>
      </c>
      <c r="AU142">
        <v>3</v>
      </c>
      <c r="BF142" s="84"/>
      <c r="BG142" s="84"/>
      <c r="BH142" s="85"/>
    </row>
    <row r="143" spans="1:60" ht="16" thickBot="1" x14ac:dyDescent="0.25">
      <c r="A143" s="5" t="s">
        <v>64</v>
      </c>
      <c r="B143" t="s">
        <v>137</v>
      </c>
      <c r="E143">
        <v>2</v>
      </c>
      <c r="G143">
        <v>1</v>
      </c>
      <c r="Q143" s="15"/>
      <c r="R143" s="132"/>
      <c r="S143" s="15">
        <v>2</v>
      </c>
      <c r="T143" s="132">
        <v>5.4311340001731878E-2</v>
      </c>
      <c r="U143" s="15"/>
      <c r="V143" s="34"/>
      <c r="W143" s="134">
        <v>1</v>
      </c>
      <c r="X143" s="132">
        <v>0.29035879999719327</v>
      </c>
      <c r="Y143" s="134"/>
      <c r="Z143" s="132"/>
      <c r="AA143" s="134"/>
      <c r="AB143" s="132"/>
      <c r="AC143" s="15"/>
      <c r="AD143" s="12"/>
      <c r="AE143" s="15"/>
      <c r="AF143" s="12"/>
      <c r="AG143" s="15"/>
      <c r="AH143" s="12"/>
      <c r="AI143" s="15"/>
      <c r="AK143" s="15"/>
      <c r="AM143" s="15"/>
      <c r="AN143" s="12"/>
      <c r="AP143" s="84">
        <v>44</v>
      </c>
      <c r="AQ143" s="84">
        <v>15</v>
      </c>
      <c r="AR143" s="84">
        <v>39</v>
      </c>
      <c r="AS143">
        <v>44</v>
      </c>
      <c r="AT143">
        <v>40</v>
      </c>
      <c r="AU143">
        <v>17</v>
      </c>
      <c r="BF143" s="84"/>
      <c r="BG143" s="84"/>
      <c r="BH143" s="84"/>
    </row>
    <row r="144" spans="1:60" ht="16" thickBot="1" x14ac:dyDescent="0.25">
      <c r="A144" s="5" t="s">
        <v>65</v>
      </c>
      <c r="B144" t="s">
        <v>137</v>
      </c>
      <c r="D144">
        <v>2</v>
      </c>
      <c r="F144">
        <v>3</v>
      </c>
      <c r="G144">
        <v>8</v>
      </c>
      <c r="H144">
        <v>1</v>
      </c>
      <c r="I144">
        <v>6</v>
      </c>
      <c r="Q144" s="15">
        <v>2</v>
      </c>
      <c r="R144" s="132">
        <v>0.10256365500026732</v>
      </c>
      <c r="S144" s="15"/>
      <c r="T144" s="132"/>
      <c r="U144" s="15">
        <v>3</v>
      </c>
      <c r="V144" s="34">
        <v>0.31153163666749606</v>
      </c>
      <c r="W144" s="134">
        <v>8</v>
      </c>
      <c r="X144" s="132">
        <v>0.24083044124927255</v>
      </c>
      <c r="Y144" s="134">
        <v>1</v>
      </c>
      <c r="Z144" s="132">
        <v>7.8356399972108193E-3</v>
      </c>
      <c r="AA144" s="134">
        <v>5</v>
      </c>
      <c r="AB144" s="132">
        <v>3.1298611999955026E-2</v>
      </c>
      <c r="AC144" s="15"/>
      <c r="AD144" s="12"/>
      <c r="AE144" s="15"/>
      <c r="AF144" s="12"/>
      <c r="AG144" s="15"/>
      <c r="AH144" s="12"/>
      <c r="AI144" s="15"/>
      <c r="AK144" s="15"/>
      <c r="AM144" s="15"/>
      <c r="AN144" s="12"/>
      <c r="AP144" s="84">
        <v>43</v>
      </c>
      <c r="AQ144" s="84">
        <v>40</v>
      </c>
      <c r="AR144" s="84">
        <v>45</v>
      </c>
      <c r="AS144">
        <v>36</v>
      </c>
      <c r="AT144">
        <v>26</v>
      </c>
      <c r="AU144">
        <v>28</v>
      </c>
      <c r="BF144" s="84"/>
      <c r="BG144" s="84"/>
      <c r="BH144" s="84"/>
    </row>
    <row r="145" spans="1:60" ht="16" thickBot="1" x14ac:dyDescent="0.25">
      <c r="A145" s="5" t="s">
        <v>66</v>
      </c>
      <c r="B145" t="s">
        <v>137</v>
      </c>
      <c r="G145">
        <v>4</v>
      </c>
      <c r="H145">
        <v>1</v>
      </c>
      <c r="Q145" s="15"/>
      <c r="R145" s="132"/>
      <c r="S145" s="15"/>
      <c r="T145" s="132"/>
      <c r="U145" s="15"/>
      <c r="V145" s="34"/>
      <c r="W145" s="134">
        <v>4</v>
      </c>
      <c r="X145" s="132">
        <v>0.11275173750073009</v>
      </c>
      <c r="Y145" s="134">
        <v>1</v>
      </c>
      <c r="Z145" s="132">
        <v>4.0509259997634217E-2</v>
      </c>
      <c r="AA145" s="134"/>
      <c r="AB145" s="132"/>
      <c r="AC145" s="15"/>
      <c r="AD145" s="12"/>
      <c r="AE145" s="15"/>
      <c r="AF145" s="12"/>
      <c r="AG145" s="15"/>
      <c r="AH145" s="12"/>
      <c r="AI145" s="15"/>
      <c r="AK145" s="15"/>
      <c r="AM145" s="15"/>
      <c r="AN145" s="12"/>
      <c r="AP145" s="85">
        <v>12</v>
      </c>
      <c r="AQ145" s="84">
        <v>15</v>
      </c>
      <c r="AR145" s="85">
        <v>16</v>
      </c>
      <c r="AS145">
        <v>11</v>
      </c>
      <c r="AT145">
        <v>5</v>
      </c>
      <c r="AU145">
        <v>8</v>
      </c>
      <c r="BF145" s="84"/>
      <c r="BG145" s="84"/>
      <c r="BH145" s="85"/>
    </row>
    <row r="146" spans="1:60" ht="16" thickBot="1" x14ac:dyDescent="0.25">
      <c r="A146" s="5" t="s">
        <v>67</v>
      </c>
      <c r="B146" t="s">
        <v>137</v>
      </c>
      <c r="D146">
        <v>1</v>
      </c>
      <c r="G146">
        <v>2</v>
      </c>
      <c r="I146">
        <v>1</v>
      </c>
      <c r="Q146" s="15">
        <v>1</v>
      </c>
      <c r="R146" s="132">
        <v>0.2623842600005446</v>
      </c>
      <c r="S146" s="15"/>
      <c r="T146" s="132"/>
      <c r="U146" s="15"/>
      <c r="V146" s="34"/>
      <c r="W146" s="134">
        <v>2</v>
      </c>
      <c r="X146" s="132">
        <v>0.29261574499832932</v>
      </c>
      <c r="Y146" s="134"/>
      <c r="Z146" s="132"/>
      <c r="AA146" s="134">
        <v>1</v>
      </c>
      <c r="AB146" s="132">
        <v>2.2713541699995403</v>
      </c>
      <c r="AC146" s="15"/>
      <c r="AD146" s="12"/>
      <c r="AE146" s="15"/>
      <c r="AF146" s="12"/>
      <c r="AG146" s="15"/>
      <c r="AH146" s="12"/>
      <c r="AI146" s="15"/>
      <c r="AK146" s="15"/>
      <c r="AM146" s="15"/>
      <c r="AN146" s="12"/>
      <c r="AP146" s="84">
        <v>6</v>
      </c>
      <c r="AQ146" s="84">
        <v>9</v>
      </c>
      <c r="AR146" s="84">
        <v>10</v>
      </c>
      <c r="AS146">
        <v>4</v>
      </c>
      <c r="AT146">
        <v>10</v>
      </c>
      <c r="AU146">
        <v>6</v>
      </c>
      <c r="BF146" s="84"/>
      <c r="BG146" s="84"/>
      <c r="BH146" s="85"/>
    </row>
    <row r="147" spans="1:60" ht="16" thickBot="1" x14ac:dyDescent="0.25">
      <c r="A147" s="5" t="s">
        <v>68</v>
      </c>
      <c r="B147" t="s">
        <v>137</v>
      </c>
      <c r="Q147" s="15"/>
      <c r="R147" s="132"/>
      <c r="S147" s="15"/>
      <c r="T147" s="132"/>
      <c r="U147" s="15"/>
      <c r="V147" s="34"/>
      <c r="W147" s="134"/>
      <c r="X147" s="132"/>
      <c r="Y147" s="134"/>
      <c r="Z147" s="132"/>
      <c r="AA147" s="134"/>
      <c r="AB147" s="132"/>
      <c r="AC147" s="15"/>
      <c r="AD147" s="12"/>
      <c r="AE147" s="15"/>
      <c r="AF147" s="12"/>
      <c r="AG147" s="15"/>
      <c r="AH147" s="12"/>
      <c r="AI147" s="15"/>
      <c r="AK147" s="15"/>
      <c r="AM147" s="15"/>
      <c r="AN147" s="12"/>
      <c r="AP147" s="85"/>
      <c r="AQ147" s="84"/>
      <c r="AR147" s="85"/>
      <c r="BF147" s="85"/>
      <c r="BG147" s="85"/>
      <c r="BH147" s="85"/>
    </row>
    <row r="148" spans="1:60" ht="16" thickBot="1" x14ac:dyDescent="0.25">
      <c r="A148" s="5" t="s">
        <v>69</v>
      </c>
      <c r="B148" t="s">
        <v>137</v>
      </c>
      <c r="Q148" s="15"/>
      <c r="R148" s="132"/>
      <c r="S148" s="15"/>
      <c r="T148" s="132"/>
      <c r="U148" s="15"/>
      <c r="V148" s="34"/>
      <c r="W148" s="134"/>
      <c r="X148" s="132"/>
      <c r="Y148" s="134"/>
      <c r="Z148" s="132"/>
      <c r="AA148" s="134"/>
      <c r="AB148" s="132"/>
      <c r="AC148" s="15"/>
      <c r="AD148" s="12"/>
      <c r="AE148" s="15"/>
      <c r="AF148" s="12"/>
      <c r="AG148" s="15"/>
      <c r="AH148" s="12"/>
      <c r="AI148" s="15"/>
      <c r="AK148" s="15"/>
      <c r="AM148" s="15"/>
      <c r="AN148" s="12"/>
      <c r="AP148" s="85"/>
      <c r="AQ148" s="85"/>
      <c r="AR148" s="85"/>
      <c r="AU148">
        <v>1</v>
      </c>
      <c r="BF148" s="85"/>
      <c r="BG148" s="85"/>
      <c r="BH148" s="85"/>
    </row>
    <row r="149" spans="1:60" ht="16" thickBot="1" x14ac:dyDescent="0.25">
      <c r="A149" s="5" t="s">
        <v>70</v>
      </c>
      <c r="B149" t="s">
        <v>137</v>
      </c>
      <c r="D149">
        <v>3</v>
      </c>
      <c r="F149">
        <v>5</v>
      </c>
      <c r="G149">
        <v>4</v>
      </c>
      <c r="H149">
        <v>7</v>
      </c>
      <c r="I149">
        <v>7</v>
      </c>
      <c r="Q149" s="15">
        <v>3</v>
      </c>
      <c r="R149" s="132">
        <v>1.8099074100003538</v>
      </c>
      <c r="S149" s="15"/>
      <c r="T149" s="132"/>
      <c r="U149" s="15">
        <v>4</v>
      </c>
      <c r="V149" s="34">
        <v>0.35779514250134525</v>
      </c>
      <c r="W149" s="134">
        <v>3</v>
      </c>
      <c r="X149" s="132">
        <v>0.26611882999956532</v>
      </c>
      <c r="Y149" s="134">
        <v>7</v>
      </c>
      <c r="Z149" s="132">
        <v>0.15792989285546355</v>
      </c>
      <c r="AA149" s="134">
        <v>6</v>
      </c>
      <c r="AB149" s="132">
        <v>7.3084490000231497E-2</v>
      </c>
      <c r="AC149" s="15"/>
      <c r="AD149" s="12"/>
      <c r="AE149" s="15"/>
      <c r="AF149" s="12"/>
      <c r="AG149" s="15"/>
      <c r="AH149" s="12"/>
      <c r="AI149" s="15"/>
      <c r="AK149" s="15"/>
      <c r="AM149" s="15"/>
      <c r="AN149" s="12"/>
      <c r="AP149" s="84">
        <v>91</v>
      </c>
      <c r="AQ149" s="84">
        <v>81</v>
      </c>
      <c r="AR149" s="84">
        <v>72</v>
      </c>
      <c r="AS149">
        <v>80</v>
      </c>
      <c r="AT149">
        <v>61</v>
      </c>
      <c r="AU149">
        <v>43</v>
      </c>
      <c r="BF149" s="84"/>
      <c r="BG149" s="84"/>
      <c r="BH149" s="84"/>
    </row>
    <row r="150" spans="1:60" ht="16" thickBot="1" x14ac:dyDescent="0.25">
      <c r="A150" s="5" t="s">
        <v>71</v>
      </c>
      <c r="B150" t="s">
        <v>137</v>
      </c>
      <c r="D150">
        <v>4</v>
      </c>
      <c r="F150">
        <v>2</v>
      </c>
      <c r="G150">
        <v>2</v>
      </c>
      <c r="H150">
        <v>2</v>
      </c>
      <c r="I150">
        <v>2</v>
      </c>
      <c r="Q150" s="15">
        <v>4</v>
      </c>
      <c r="R150" s="132">
        <v>6.7748844998277491E-2</v>
      </c>
      <c r="S150" s="15"/>
      <c r="T150" s="132"/>
      <c r="U150" s="15">
        <v>1</v>
      </c>
      <c r="V150" s="34">
        <v>0.15501157000107924</v>
      </c>
      <c r="W150" s="134">
        <v>2</v>
      </c>
      <c r="X150" s="132">
        <v>0.12215855999966152</v>
      </c>
      <c r="Y150" s="134">
        <v>2</v>
      </c>
      <c r="Z150" s="132">
        <v>0.10326388999965275</v>
      </c>
      <c r="AA150" s="134">
        <v>2</v>
      </c>
      <c r="AB150" s="132">
        <v>9.7771990000182996E-2</v>
      </c>
      <c r="AC150" s="15"/>
      <c r="AD150" s="12"/>
      <c r="AE150" s="15"/>
      <c r="AF150" s="12"/>
      <c r="AG150" s="15"/>
      <c r="AH150" s="12"/>
      <c r="AI150" s="15"/>
      <c r="AK150" s="15"/>
      <c r="AM150" s="15"/>
      <c r="AN150" s="12"/>
      <c r="AP150" s="84">
        <v>19</v>
      </c>
      <c r="AQ150" s="84">
        <v>17</v>
      </c>
      <c r="AR150" s="84">
        <v>13</v>
      </c>
      <c r="AS150">
        <v>11</v>
      </c>
      <c r="AT150">
        <v>9</v>
      </c>
      <c r="AU150">
        <v>11</v>
      </c>
      <c r="BF150" s="84"/>
      <c r="BG150" s="84"/>
      <c r="BH150" s="85"/>
    </row>
    <row r="151" spans="1:60" ht="16" thickBot="1" x14ac:dyDescent="0.25">
      <c r="A151" s="5" t="s">
        <v>72</v>
      </c>
      <c r="B151" t="s">
        <v>137</v>
      </c>
      <c r="D151">
        <v>5</v>
      </c>
      <c r="E151">
        <v>1</v>
      </c>
      <c r="F151">
        <v>9</v>
      </c>
      <c r="G151">
        <v>4</v>
      </c>
      <c r="H151">
        <v>3</v>
      </c>
      <c r="I151">
        <v>2</v>
      </c>
      <c r="Q151" s="15">
        <v>4</v>
      </c>
      <c r="R151" s="132">
        <v>0.23054398499880335</v>
      </c>
      <c r="S151" s="15">
        <v>1</v>
      </c>
      <c r="T151" s="132">
        <v>7.4895830002787989E-2</v>
      </c>
      <c r="U151" s="15">
        <v>7</v>
      </c>
      <c r="V151" s="34">
        <v>0.14509920571435941</v>
      </c>
      <c r="W151" s="134">
        <v>4</v>
      </c>
      <c r="X151" s="132">
        <v>0.23047164249874186</v>
      </c>
      <c r="Y151" s="134">
        <v>3</v>
      </c>
      <c r="Z151" s="132">
        <v>2.1792978399995868</v>
      </c>
      <c r="AA151" s="134">
        <v>2</v>
      </c>
      <c r="AB151" s="132">
        <v>1.5359317149996059</v>
      </c>
      <c r="AC151" s="15"/>
      <c r="AD151" s="12"/>
      <c r="AE151" s="15"/>
      <c r="AF151" s="12"/>
      <c r="AG151" s="15"/>
      <c r="AH151" s="12"/>
      <c r="AI151" s="15"/>
      <c r="AK151" s="15"/>
      <c r="AM151" s="15"/>
      <c r="AN151" s="12"/>
      <c r="AP151" s="84">
        <v>70</v>
      </c>
      <c r="AQ151" s="84">
        <v>56</v>
      </c>
      <c r="AR151" s="84">
        <v>66</v>
      </c>
      <c r="AS151">
        <v>75</v>
      </c>
      <c r="AT151">
        <v>46</v>
      </c>
      <c r="AU151">
        <v>43</v>
      </c>
      <c r="BF151" s="84"/>
      <c r="BG151" s="84"/>
      <c r="BH151" s="84"/>
    </row>
    <row r="152" spans="1:60" ht="16" thickBot="1" x14ac:dyDescent="0.25">
      <c r="A152" s="5" t="s">
        <v>73</v>
      </c>
      <c r="B152" t="s">
        <v>137</v>
      </c>
      <c r="D152">
        <v>1</v>
      </c>
      <c r="Q152" s="15">
        <v>1</v>
      </c>
      <c r="R152" s="132">
        <v>0.17439813999953913</v>
      </c>
      <c r="S152" s="15"/>
      <c r="T152" s="132"/>
      <c r="U152" s="15"/>
      <c r="V152" s="34"/>
      <c r="W152" s="134"/>
      <c r="X152" s="132"/>
      <c r="Y152" s="134"/>
      <c r="Z152" s="132"/>
      <c r="AA152" s="134"/>
      <c r="AB152" s="132"/>
      <c r="AC152" s="15"/>
      <c r="AD152" s="12"/>
      <c r="AE152" s="15"/>
      <c r="AF152" s="12"/>
      <c r="AG152" s="15"/>
      <c r="AH152" s="12"/>
      <c r="AI152" s="15"/>
      <c r="AK152" s="15"/>
      <c r="AM152" s="15"/>
      <c r="AN152" s="12"/>
      <c r="AP152" s="84">
        <v>6</v>
      </c>
      <c r="AQ152" s="85">
        <v>3</v>
      </c>
      <c r="AR152" s="85">
        <v>5</v>
      </c>
      <c r="AS152">
        <v>3</v>
      </c>
      <c r="AT152">
        <v>2</v>
      </c>
      <c r="AU152">
        <v>1</v>
      </c>
      <c r="BF152" s="84"/>
      <c r="BG152" s="84"/>
      <c r="BH152" s="85"/>
    </row>
    <row r="153" spans="1:60" ht="16" thickBot="1" x14ac:dyDescent="0.25">
      <c r="A153" s="5" t="s">
        <v>74</v>
      </c>
      <c r="B153" t="s">
        <v>137</v>
      </c>
      <c r="D153">
        <v>19</v>
      </c>
      <c r="E153">
        <v>3</v>
      </c>
      <c r="F153">
        <v>37</v>
      </c>
      <c r="G153">
        <v>20</v>
      </c>
      <c r="H153">
        <v>26</v>
      </c>
      <c r="I153">
        <v>21</v>
      </c>
      <c r="Q153" s="15">
        <v>11</v>
      </c>
      <c r="R153" s="132">
        <v>0.16138047272794542</v>
      </c>
      <c r="S153" s="15">
        <v>4</v>
      </c>
      <c r="T153" s="132">
        <v>1.8530063675007113</v>
      </c>
      <c r="U153" s="15">
        <v>35</v>
      </c>
      <c r="V153" s="34">
        <v>0.31711805657126074</v>
      </c>
      <c r="W153" s="134">
        <v>18</v>
      </c>
      <c r="X153" s="132">
        <v>0.28951324500061065</v>
      </c>
      <c r="Y153" s="134">
        <v>26</v>
      </c>
      <c r="Z153" s="132">
        <v>0.32543847923023772</v>
      </c>
      <c r="AA153" s="134">
        <v>18</v>
      </c>
      <c r="AB153" s="132">
        <v>0.20380851388836163</v>
      </c>
      <c r="AC153" s="15"/>
      <c r="AD153" s="12"/>
      <c r="AE153" s="15"/>
      <c r="AF153" s="12"/>
      <c r="AG153" s="15"/>
      <c r="AH153" s="12"/>
      <c r="AI153" s="15"/>
      <c r="AK153" s="15"/>
      <c r="AM153" s="15"/>
      <c r="AN153" s="12"/>
      <c r="AP153" s="84">
        <v>284</v>
      </c>
      <c r="AQ153" s="84">
        <v>269</v>
      </c>
      <c r="AR153" s="84">
        <v>284</v>
      </c>
      <c r="AS153">
        <v>253</v>
      </c>
      <c r="AT153">
        <v>184</v>
      </c>
      <c r="AU153">
        <v>130</v>
      </c>
      <c r="BF153" s="84"/>
      <c r="BG153" s="84"/>
      <c r="BH153" s="84"/>
    </row>
    <row r="154" spans="1:60" ht="16" thickBot="1" x14ac:dyDescent="0.25">
      <c r="A154" s="5" t="s">
        <v>75</v>
      </c>
      <c r="B154" t="s">
        <v>137</v>
      </c>
      <c r="D154">
        <v>2</v>
      </c>
      <c r="F154">
        <v>2</v>
      </c>
      <c r="H154">
        <v>2</v>
      </c>
      <c r="I154">
        <v>2</v>
      </c>
      <c r="Q154" s="15">
        <v>2</v>
      </c>
      <c r="R154" s="132">
        <v>0.25976852000167128</v>
      </c>
      <c r="S154" s="15"/>
      <c r="T154" s="132"/>
      <c r="U154" s="15">
        <v>2</v>
      </c>
      <c r="V154" s="34">
        <v>0.64986111499820254</v>
      </c>
      <c r="W154" s="134"/>
      <c r="X154" s="132"/>
      <c r="Y154" s="134">
        <v>2</v>
      </c>
      <c r="Z154" s="132">
        <v>5.2407409999432275E-2</v>
      </c>
      <c r="AA154" s="134">
        <v>2</v>
      </c>
      <c r="AB154" s="132">
        <v>3.1498839998675976E-2</v>
      </c>
      <c r="AC154" s="15"/>
      <c r="AD154" s="12"/>
      <c r="AE154" s="15"/>
      <c r="AF154" s="12"/>
      <c r="AG154" s="15"/>
      <c r="AH154" s="12"/>
      <c r="AI154" s="15"/>
      <c r="AK154" s="15"/>
      <c r="AM154" s="15"/>
      <c r="AN154" s="12"/>
      <c r="AP154" s="84">
        <v>7</v>
      </c>
      <c r="AQ154" s="84">
        <v>10</v>
      </c>
      <c r="AR154" s="84">
        <v>6</v>
      </c>
      <c r="AS154">
        <v>6</v>
      </c>
      <c r="AT154">
        <v>7</v>
      </c>
      <c r="AU154">
        <v>2</v>
      </c>
      <c r="BF154" s="84"/>
      <c r="BG154" s="84"/>
      <c r="BH154" s="85"/>
    </row>
    <row r="155" spans="1:60" ht="16" thickBot="1" x14ac:dyDescent="0.25">
      <c r="A155" s="5" t="s">
        <v>76</v>
      </c>
      <c r="B155" t="s">
        <v>137</v>
      </c>
      <c r="D155">
        <v>1</v>
      </c>
      <c r="F155">
        <v>9</v>
      </c>
      <c r="G155">
        <v>5</v>
      </c>
      <c r="H155">
        <v>3</v>
      </c>
      <c r="I155">
        <v>9</v>
      </c>
      <c r="Q155" s="15">
        <v>1</v>
      </c>
      <c r="R155" s="132">
        <v>1.3807869996526279E-2</v>
      </c>
      <c r="S155" s="15"/>
      <c r="T155" s="132"/>
      <c r="U155" s="15">
        <v>7</v>
      </c>
      <c r="V155" s="34">
        <v>1.2900578714293911</v>
      </c>
      <c r="W155" s="134">
        <v>5</v>
      </c>
      <c r="X155" s="132">
        <v>6.5284721998614265E-2</v>
      </c>
      <c r="Y155" s="134">
        <v>3</v>
      </c>
      <c r="Z155" s="132">
        <v>0.23917823333128277</v>
      </c>
      <c r="AA155" s="134">
        <v>9</v>
      </c>
      <c r="AB155" s="132">
        <v>7.5474537778063677E-2</v>
      </c>
      <c r="AC155" s="15"/>
      <c r="AD155" s="12"/>
      <c r="AE155" s="15"/>
      <c r="AF155" s="12"/>
      <c r="AG155" s="15"/>
      <c r="AH155" s="12"/>
      <c r="AI155" s="15"/>
      <c r="AK155" s="15"/>
      <c r="AM155" s="15"/>
      <c r="AN155" s="12"/>
      <c r="AP155" s="84">
        <v>41</v>
      </c>
      <c r="AQ155" s="84">
        <v>59</v>
      </c>
      <c r="AR155" s="84">
        <v>42</v>
      </c>
      <c r="AS155">
        <v>27</v>
      </c>
      <c r="AT155">
        <v>38</v>
      </c>
      <c r="AU155">
        <v>31</v>
      </c>
      <c r="BF155" s="84"/>
      <c r="BG155" s="84"/>
      <c r="BH155" s="84"/>
    </row>
    <row r="156" spans="1:60" ht="16" thickBot="1" x14ac:dyDescent="0.25">
      <c r="A156" s="5" t="s">
        <v>77</v>
      </c>
      <c r="B156" t="s">
        <v>137</v>
      </c>
      <c r="D156">
        <v>1</v>
      </c>
      <c r="F156">
        <v>1</v>
      </c>
      <c r="Q156" s="15">
        <v>1</v>
      </c>
      <c r="R156" s="132">
        <v>0.20417823999741813</v>
      </c>
      <c r="S156" s="15"/>
      <c r="T156" s="132"/>
      <c r="U156" s="15">
        <v>1</v>
      </c>
      <c r="V156" s="34">
        <v>1.9432870001764968E-2</v>
      </c>
      <c r="W156" s="134"/>
      <c r="X156" s="132"/>
      <c r="Y156" s="134"/>
      <c r="Z156" s="132"/>
      <c r="AA156" s="134"/>
      <c r="AB156" s="132"/>
      <c r="AC156" s="15"/>
      <c r="AD156" s="12"/>
      <c r="AE156" s="15"/>
      <c r="AF156" s="12"/>
      <c r="AG156" s="15"/>
      <c r="AH156" s="12"/>
      <c r="AI156" s="15"/>
      <c r="AK156" s="15"/>
      <c r="AM156" s="15"/>
      <c r="AN156" s="12"/>
      <c r="AP156" s="84">
        <v>10</v>
      </c>
      <c r="AQ156" s="84">
        <v>11</v>
      </c>
      <c r="AR156" s="85">
        <v>17</v>
      </c>
      <c r="AS156">
        <v>10</v>
      </c>
      <c r="AT156">
        <v>7</v>
      </c>
      <c r="AU156">
        <v>8</v>
      </c>
      <c r="BF156" s="84"/>
      <c r="BG156" s="84"/>
      <c r="BH156" s="85"/>
    </row>
    <row r="157" spans="1:60" ht="16" thickBot="1" x14ac:dyDescent="0.25">
      <c r="A157" s="5" t="s">
        <v>78</v>
      </c>
      <c r="B157" t="s">
        <v>137</v>
      </c>
      <c r="F157">
        <v>1</v>
      </c>
      <c r="G157">
        <v>7</v>
      </c>
      <c r="H157">
        <v>2</v>
      </c>
      <c r="Q157" s="15"/>
      <c r="R157" s="132"/>
      <c r="S157" s="15"/>
      <c r="T157" s="132"/>
      <c r="U157" s="15"/>
      <c r="V157" s="34"/>
      <c r="W157" s="134">
        <v>7</v>
      </c>
      <c r="X157" s="132">
        <v>1.1536540985710286</v>
      </c>
      <c r="Y157" s="134">
        <v>2</v>
      </c>
      <c r="Z157" s="132">
        <v>4.3848379998962628E-2</v>
      </c>
      <c r="AA157" s="134"/>
      <c r="AB157" s="132"/>
      <c r="AC157" s="15"/>
      <c r="AD157" s="12"/>
      <c r="AE157" s="15"/>
      <c r="AF157" s="12"/>
      <c r="AG157" s="15"/>
      <c r="AH157" s="12"/>
      <c r="AI157" s="15"/>
      <c r="AK157" s="15"/>
      <c r="AM157" s="15"/>
      <c r="AN157" s="12"/>
      <c r="AP157" s="85">
        <v>26</v>
      </c>
      <c r="AQ157" s="85">
        <v>32</v>
      </c>
      <c r="AR157" s="84">
        <v>26</v>
      </c>
      <c r="AS157">
        <v>23</v>
      </c>
      <c r="AT157">
        <v>21</v>
      </c>
      <c r="AU157">
        <v>17</v>
      </c>
      <c r="BF157" s="84"/>
      <c r="BG157" s="84"/>
      <c r="BH157" s="85"/>
    </row>
    <row r="158" spans="1:60" ht="16" thickBot="1" x14ac:dyDescent="0.25">
      <c r="A158" s="5" t="s">
        <v>79</v>
      </c>
      <c r="B158" t="s">
        <v>137</v>
      </c>
      <c r="Q158" s="15"/>
      <c r="R158" s="132"/>
      <c r="S158" s="15"/>
      <c r="T158" s="132"/>
      <c r="U158" s="15"/>
      <c r="V158" s="34"/>
      <c r="W158" s="134"/>
      <c r="X158" s="132"/>
      <c r="Y158" s="134"/>
      <c r="Z158" s="132"/>
      <c r="AA158" s="134"/>
      <c r="AB158" s="132"/>
      <c r="AC158" s="15"/>
      <c r="AD158" s="12"/>
      <c r="AE158" s="15"/>
      <c r="AF158" s="12"/>
      <c r="AG158" s="15"/>
      <c r="AH158" s="12"/>
      <c r="AI158" s="15"/>
      <c r="AK158" s="15"/>
      <c r="AM158" s="15"/>
      <c r="AN158" s="12"/>
      <c r="AP158" s="84">
        <v>4</v>
      </c>
      <c r="AQ158" s="84">
        <v>3</v>
      </c>
      <c r="AR158" s="84">
        <v>5</v>
      </c>
      <c r="AS158">
        <v>3</v>
      </c>
      <c r="AT158">
        <v>2</v>
      </c>
      <c r="AU158">
        <v>2</v>
      </c>
      <c r="BF158" s="84"/>
      <c r="BG158" s="84"/>
      <c r="BH158" s="85"/>
    </row>
    <row r="159" spans="1:60" ht="16" thickBot="1" x14ac:dyDescent="0.25">
      <c r="A159" s="5" t="s">
        <v>80</v>
      </c>
      <c r="B159" t="s">
        <v>137</v>
      </c>
      <c r="D159">
        <v>3</v>
      </c>
      <c r="E159">
        <v>2</v>
      </c>
      <c r="F159">
        <v>5</v>
      </c>
      <c r="H159">
        <v>2</v>
      </c>
      <c r="I159">
        <v>5</v>
      </c>
      <c r="Q159" s="15">
        <v>2</v>
      </c>
      <c r="R159" s="132">
        <v>0.16707175999908941</v>
      </c>
      <c r="S159" s="15">
        <v>2</v>
      </c>
      <c r="T159" s="132">
        <v>0.273553240000183</v>
      </c>
      <c r="U159" s="15">
        <v>4</v>
      </c>
      <c r="V159" s="34">
        <v>0.22733506999793462</v>
      </c>
      <c r="W159" s="134"/>
      <c r="X159" s="132"/>
      <c r="Y159" s="134">
        <v>2</v>
      </c>
      <c r="Z159" s="132">
        <v>0.13440393499695347</v>
      </c>
      <c r="AA159" s="134">
        <v>5</v>
      </c>
      <c r="AB159" s="132">
        <v>0.23112037200044142</v>
      </c>
      <c r="AC159" s="15"/>
      <c r="AD159" s="12"/>
      <c r="AE159" s="15"/>
      <c r="AF159" s="12"/>
      <c r="AG159" s="15"/>
      <c r="AH159" s="12"/>
      <c r="AI159" s="15"/>
      <c r="AK159" s="15"/>
      <c r="AM159" s="15"/>
      <c r="AN159" s="12"/>
      <c r="AP159" s="84">
        <v>21</v>
      </c>
      <c r="AQ159" s="85">
        <v>26</v>
      </c>
      <c r="AR159" s="85">
        <v>23</v>
      </c>
      <c r="AS159">
        <v>16</v>
      </c>
      <c r="AT159">
        <v>19</v>
      </c>
      <c r="AU159">
        <v>14</v>
      </c>
      <c r="BF159" s="84"/>
      <c r="BG159" s="84"/>
      <c r="BH159" s="85"/>
    </row>
    <row r="160" spans="1:60" ht="16" thickBot="1" x14ac:dyDescent="0.25">
      <c r="A160" s="5" t="s">
        <v>81</v>
      </c>
      <c r="B160" t="s">
        <v>137</v>
      </c>
      <c r="D160">
        <v>4</v>
      </c>
      <c r="F160">
        <v>3</v>
      </c>
      <c r="G160">
        <v>1</v>
      </c>
      <c r="H160">
        <v>2</v>
      </c>
      <c r="I160">
        <v>2</v>
      </c>
      <c r="Q160" s="15">
        <v>3</v>
      </c>
      <c r="R160" s="132">
        <v>0.2312191333330702</v>
      </c>
      <c r="S160" s="15"/>
      <c r="T160" s="132"/>
      <c r="U160" s="15">
        <v>3</v>
      </c>
      <c r="V160" s="34">
        <v>0.37471450333396206</v>
      </c>
      <c r="W160" s="134">
        <v>1</v>
      </c>
      <c r="X160" s="132">
        <v>0.13055555000028107</v>
      </c>
      <c r="Y160" s="134">
        <v>2</v>
      </c>
      <c r="Z160" s="132">
        <v>0.15357060000314959</v>
      </c>
      <c r="AA160" s="134">
        <v>2</v>
      </c>
      <c r="AB160" s="132">
        <v>0.33207754500108422</v>
      </c>
      <c r="AC160" s="15"/>
      <c r="AD160" s="12"/>
      <c r="AE160" s="15"/>
      <c r="AF160" s="12"/>
      <c r="AG160" s="15"/>
      <c r="AH160" s="12"/>
      <c r="AI160" s="15"/>
      <c r="AK160" s="15"/>
      <c r="AM160" s="15"/>
      <c r="AN160" s="12"/>
      <c r="AP160" s="84">
        <v>21</v>
      </c>
      <c r="AQ160" s="84">
        <v>21</v>
      </c>
      <c r="AR160" s="84">
        <v>14</v>
      </c>
      <c r="AS160">
        <v>11</v>
      </c>
      <c r="AT160">
        <v>9</v>
      </c>
      <c r="AU160">
        <v>7</v>
      </c>
      <c r="BF160" s="84"/>
      <c r="BG160" s="84"/>
      <c r="BH160" s="85"/>
    </row>
    <row r="161" spans="1:60" ht="16" thickBot="1" x14ac:dyDescent="0.25">
      <c r="A161" s="5" t="s">
        <v>82</v>
      </c>
      <c r="B161" t="s">
        <v>137</v>
      </c>
      <c r="Q161" s="15"/>
      <c r="R161" s="132"/>
      <c r="S161" s="15"/>
      <c r="T161" s="132"/>
      <c r="U161" s="15"/>
      <c r="V161" s="34"/>
      <c r="W161" s="134"/>
      <c r="X161" s="132"/>
      <c r="Y161" s="134"/>
      <c r="Z161" s="132"/>
      <c r="AA161" s="134"/>
      <c r="AB161" s="132"/>
      <c r="AC161" s="15"/>
      <c r="AD161" s="12"/>
      <c r="AE161" s="15"/>
      <c r="AF161" s="12"/>
      <c r="AG161" s="15"/>
      <c r="AH161" s="12"/>
      <c r="AI161" s="15"/>
      <c r="AK161" s="15"/>
      <c r="AM161" s="15"/>
      <c r="AN161" s="12"/>
      <c r="AP161" s="85">
        <v>2</v>
      </c>
      <c r="AQ161" s="85"/>
      <c r="AR161" s="85">
        <v>5</v>
      </c>
      <c r="AS161">
        <v>1</v>
      </c>
      <c r="AT161">
        <v>1</v>
      </c>
      <c r="AU161">
        <v>3</v>
      </c>
      <c r="BF161" s="84"/>
      <c r="BG161" s="84"/>
      <c r="BH161" s="85"/>
    </row>
    <row r="162" spans="1:60" ht="16" thickBot="1" x14ac:dyDescent="0.25">
      <c r="A162" s="5" t="s">
        <v>83</v>
      </c>
      <c r="B162" t="s">
        <v>137</v>
      </c>
      <c r="D162">
        <v>3</v>
      </c>
      <c r="F162">
        <v>1</v>
      </c>
      <c r="I162">
        <v>2</v>
      </c>
      <c r="Q162" s="15"/>
      <c r="R162" s="132"/>
      <c r="S162" s="15">
        <v>2</v>
      </c>
      <c r="T162" s="132">
        <v>4.6821469899987278</v>
      </c>
      <c r="U162" s="15">
        <v>1</v>
      </c>
      <c r="V162" s="34">
        <v>1.2592589999258053E-2</v>
      </c>
      <c r="W162" s="134"/>
      <c r="X162" s="132"/>
      <c r="Y162" s="134"/>
      <c r="Z162" s="132"/>
      <c r="AA162" s="134">
        <v>2</v>
      </c>
      <c r="AB162" s="132">
        <v>0.77089120000164257</v>
      </c>
      <c r="AC162" s="15"/>
      <c r="AD162" s="12"/>
      <c r="AE162" s="15"/>
      <c r="AF162" s="12"/>
      <c r="AG162" s="15"/>
      <c r="AH162" s="12"/>
      <c r="AI162" s="15"/>
      <c r="AK162" s="15"/>
      <c r="AM162" s="15"/>
      <c r="AN162" s="12"/>
      <c r="AP162" s="84">
        <v>19</v>
      </c>
      <c r="AQ162" s="84">
        <v>18</v>
      </c>
      <c r="AR162" s="84">
        <v>20</v>
      </c>
      <c r="AS162">
        <v>12</v>
      </c>
      <c r="AT162">
        <v>8</v>
      </c>
      <c r="AU162">
        <v>8</v>
      </c>
      <c r="BF162" s="84"/>
      <c r="BG162" s="84"/>
      <c r="BH162" s="85"/>
    </row>
    <row r="163" spans="1:60" ht="16" thickBot="1" x14ac:dyDescent="0.25">
      <c r="A163" s="5" t="s">
        <v>84</v>
      </c>
      <c r="B163" t="s">
        <v>137</v>
      </c>
      <c r="D163">
        <v>1</v>
      </c>
      <c r="Q163" s="15">
        <v>1</v>
      </c>
      <c r="R163" s="132">
        <v>0.19331017999502365</v>
      </c>
      <c r="S163" s="15"/>
      <c r="T163" s="132"/>
      <c r="U163" s="15"/>
      <c r="V163" s="34"/>
      <c r="W163" s="134"/>
      <c r="X163" s="132"/>
      <c r="Y163" s="134"/>
      <c r="Z163" s="132"/>
      <c r="AA163" s="134"/>
      <c r="AB163" s="132"/>
      <c r="AC163" s="15"/>
      <c r="AD163" s="12"/>
      <c r="AE163" s="15"/>
      <c r="AF163" s="12"/>
      <c r="AG163" s="15"/>
      <c r="AH163" s="12"/>
      <c r="AI163" s="15"/>
      <c r="AK163" s="15"/>
      <c r="AM163" s="15"/>
      <c r="AN163" s="12"/>
      <c r="AP163" s="84">
        <v>11</v>
      </c>
      <c r="AQ163" s="84">
        <v>11</v>
      </c>
      <c r="AR163" s="84">
        <v>12</v>
      </c>
      <c r="AS163">
        <v>16</v>
      </c>
      <c r="AT163">
        <v>7</v>
      </c>
      <c r="AU163">
        <v>8</v>
      </c>
      <c r="BF163" s="84"/>
      <c r="BG163" s="84"/>
      <c r="BH163" s="85"/>
    </row>
    <row r="164" spans="1:60" ht="16" thickBot="1" x14ac:dyDescent="0.25">
      <c r="A164" s="5" t="s">
        <v>85</v>
      </c>
      <c r="B164" t="s">
        <v>137</v>
      </c>
      <c r="D164">
        <v>2</v>
      </c>
      <c r="E164">
        <v>1</v>
      </c>
      <c r="F164">
        <v>4</v>
      </c>
      <c r="G164">
        <v>5</v>
      </c>
      <c r="H164">
        <v>3</v>
      </c>
      <c r="I164">
        <v>5</v>
      </c>
      <c r="Q164" s="15">
        <v>1</v>
      </c>
      <c r="R164" s="132">
        <v>1.4224539998394903E-2</v>
      </c>
      <c r="S164" s="15">
        <v>1</v>
      </c>
      <c r="T164" s="132">
        <v>0.13460648000182118</v>
      </c>
      <c r="U164" s="15">
        <v>3</v>
      </c>
      <c r="V164" s="34">
        <v>0.12802854666612498</v>
      </c>
      <c r="W164" s="134">
        <v>4</v>
      </c>
      <c r="X164" s="132">
        <v>0.60074363750209159</v>
      </c>
      <c r="Y164" s="134">
        <v>3</v>
      </c>
      <c r="Z164" s="132">
        <v>0.47313271666644141</v>
      </c>
      <c r="AA164" s="134">
        <v>3</v>
      </c>
      <c r="AB164" s="132">
        <v>0.44298611000219051</v>
      </c>
      <c r="AC164" s="15"/>
      <c r="AD164" s="12"/>
      <c r="AE164" s="15"/>
      <c r="AF164" s="12"/>
      <c r="AG164" s="15"/>
      <c r="AH164" s="12"/>
      <c r="AI164" s="15"/>
      <c r="AK164" s="15"/>
      <c r="AM164" s="15"/>
      <c r="AN164" s="12"/>
      <c r="AP164" s="84">
        <v>47</v>
      </c>
      <c r="AQ164" s="84">
        <v>38</v>
      </c>
      <c r="AR164" s="84">
        <v>34</v>
      </c>
      <c r="AS164">
        <v>39</v>
      </c>
      <c r="AT164">
        <v>31</v>
      </c>
      <c r="AU164">
        <v>34</v>
      </c>
      <c r="BF164" s="84"/>
      <c r="BG164" s="84"/>
      <c r="BH164" s="85"/>
    </row>
    <row r="165" spans="1:60" ht="16" thickBot="1" x14ac:dyDescent="0.25">
      <c r="A165" s="5" t="s">
        <v>86</v>
      </c>
      <c r="B165" t="s">
        <v>137</v>
      </c>
      <c r="D165">
        <v>10</v>
      </c>
      <c r="E165">
        <v>2</v>
      </c>
      <c r="F165">
        <v>10</v>
      </c>
      <c r="G165">
        <v>10</v>
      </c>
      <c r="H165">
        <v>9</v>
      </c>
      <c r="I165">
        <v>6</v>
      </c>
      <c r="Q165" s="15">
        <v>7</v>
      </c>
      <c r="R165" s="132">
        <v>2.2750479471422813</v>
      </c>
      <c r="S165" s="15">
        <v>1</v>
      </c>
      <c r="T165" s="132">
        <v>3.4386579995043576E-2</v>
      </c>
      <c r="U165" s="15">
        <v>9</v>
      </c>
      <c r="V165" s="34">
        <v>0.20807999000034114</v>
      </c>
      <c r="W165" s="134">
        <v>9</v>
      </c>
      <c r="X165" s="132">
        <v>1.0962577155563242</v>
      </c>
      <c r="Y165" s="134">
        <v>8</v>
      </c>
      <c r="Z165" s="132">
        <v>0.52800636749907426</v>
      </c>
      <c r="AA165" s="134">
        <v>6</v>
      </c>
      <c r="AB165" s="132">
        <v>0.25320794999909896</v>
      </c>
      <c r="AC165" s="15"/>
      <c r="AD165" s="12"/>
      <c r="AE165" s="15"/>
      <c r="AF165" s="12"/>
      <c r="AG165" s="15"/>
      <c r="AH165" s="12"/>
      <c r="AI165" s="15"/>
      <c r="AK165" s="15"/>
      <c r="AM165" s="15"/>
      <c r="AN165" s="12"/>
      <c r="AP165" s="84">
        <v>133</v>
      </c>
      <c r="AQ165" s="84">
        <v>131</v>
      </c>
      <c r="AR165" s="84">
        <v>121</v>
      </c>
      <c r="AS165">
        <v>97</v>
      </c>
      <c r="AT165">
        <v>73</v>
      </c>
      <c r="AU165">
        <v>57</v>
      </c>
      <c r="BF165" s="84"/>
      <c r="BG165" s="84"/>
      <c r="BH165" s="84"/>
    </row>
    <row r="166" spans="1:60" ht="16" thickBot="1" x14ac:dyDescent="0.25">
      <c r="A166" s="5" t="s">
        <v>87</v>
      </c>
      <c r="B166" t="s">
        <v>137</v>
      </c>
      <c r="H166">
        <v>1</v>
      </c>
      <c r="Q166" s="15"/>
      <c r="R166" s="132"/>
      <c r="S166" s="15"/>
      <c r="T166" s="132"/>
      <c r="U166" s="15"/>
      <c r="V166" s="34"/>
      <c r="W166" s="134"/>
      <c r="X166" s="132"/>
      <c r="Y166" s="134">
        <v>1</v>
      </c>
      <c r="Z166" s="132">
        <v>1.5319791700021597</v>
      </c>
      <c r="AA166" s="134"/>
      <c r="AB166" s="132"/>
      <c r="AC166" s="15"/>
      <c r="AD166" s="12"/>
      <c r="AE166" s="15"/>
      <c r="AF166" s="12"/>
      <c r="AG166" s="15"/>
      <c r="AH166" s="12"/>
      <c r="AI166" s="15"/>
      <c r="AK166" s="15"/>
      <c r="AM166" s="15"/>
      <c r="AN166" s="12"/>
      <c r="AP166" s="84">
        <v>8</v>
      </c>
      <c r="AQ166" s="85">
        <v>5</v>
      </c>
      <c r="AR166" s="84">
        <v>10</v>
      </c>
      <c r="AS166">
        <v>7</v>
      </c>
      <c r="AT166">
        <v>7</v>
      </c>
      <c r="AU166">
        <v>3</v>
      </c>
      <c r="BF166" s="84"/>
      <c r="BG166" s="84"/>
      <c r="BH166" s="85"/>
    </row>
    <row r="167" spans="1:60" ht="16" thickBot="1" x14ac:dyDescent="0.25">
      <c r="A167" s="5" t="s">
        <v>88</v>
      </c>
      <c r="B167" t="s">
        <v>137</v>
      </c>
      <c r="Q167" s="15"/>
      <c r="R167" s="132"/>
      <c r="S167" s="15"/>
      <c r="T167" s="132"/>
      <c r="U167" s="15"/>
      <c r="V167" s="34"/>
      <c r="W167" s="134"/>
      <c r="X167" s="132"/>
      <c r="Y167" s="134"/>
      <c r="Z167" s="132"/>
      <c r="AA167" s="134"/>
      <c r="AB167" s="132"/>
      <c r="AC167" s="15"/>
      <c r="AD167" s="12"/>
      <c r="AE167" s="15"/>
      <c r="AF167" s="12"/>
      <c r="AG167" s="15"/>
      <c r="AH167" s="12"/>
      <c r="AI167" s="15"/>
      <c r="AK167" s="15"/>
      <c r="AM167" s="15"/>
      <c r="AN167" s="12"/>
      <c r="AP167" s="85"/>
      <c r="AQ167" s="85"/>
      <c r="AR167" s="85"/>
      <c r="BF167" s="85"/>
      <c r="BG167" s="85"/>
      <c r="BH167" s="85"/>
    </row>
    <row r="168" spans="1:60" ht="16" thickBot="1" x14ac:dyDescent="0.25">
      <c r="A168" s="5" t="s">
        <v>89</v>
      </c>
      <c r="B168" t="s">
        <v>137</v>
      </c>
      <c r="Q168" s="15"/>
      <c r="R168" s="132"/>
      <c r="S168" s="15"/>
      <c r="T168" s="132"/>
      <c r="U168" s="15"/>
      <c r="V168" s="34"/>
      <c r="W168" s="134"/>
      <c r="X168" s="132"/>
      <c r="Y168" s="134"/>
      <c r="Z168" s="132"/>
      <c r="AA168" s="134"/>
      <c r="AB168" s="132"/>
      <c r="AC168" s="15"/>
      <c r="AD168" s="12"/>
      <c r="AE168" s="15"/>
      <c r="AF168" s="12"/>
      <c r="AG168" s="15"/>
      <c r="AH168" s="12"/>
      <c r="AI168" s="15"/>
      <c r="AK168" s="15"/>
      <c r="AM168" s="15"/>
      <c r="AN168" s="12"/>
      <c r="AP168" s="84">
        <v>2</v>
      </c>
      <c r="AQ168" s="85"/>
      <c r="AR168" s="84">
        <v>1</v>
      </c>
      <c r="AS168">
        <v>3</v>
      </c>
      <c r="AT168">
        <v>2</v>
      </c>
      <c r="AU168">
        <v>1</v>
      </c>
      <c r="BF168" s="84"/>
      <c r="BG168" s="84"/>
      <c r="BH168" s="85"/>
    </row>
    <row r="169" spans="1:60" ht="16" thickBot="1" x14ac:dyDescent="0.25">
      <c r="A169" s="5" t="s">
        <v>90</v>
      </c>
      <c r="B169" t="s">
        <v>137</v>
      </c>
      <c r="D169">
        <v>2</v>
      </c>
      <c r="F169">
        <v>6</v>
      </c>
      <c r="G169">
        <v>4</v>
      </c>
      <c r="H169">
        <v>3</v>
      </c>
      <c r="I169">
        <v>1</v>
      </c>
      <c r="Q169" s="15">
        <v>2</v>
      </c>
      <c r="R169" s="132">
        <v>2.3524304997408763E-2</v>
      </c>
      <c r="S169" s="15"/>
      <c r="T169" s="132"/>
      <c r="U169" s="15">
        <v>6</v>
      </c>
      <c r="V169" s="34">
        <v>0.13112075666746628</v>
      </c>
      <c r="W169" s="134">
        <v>4</v>
      </c>
      <c r="X169" s="132">
        <v>9.3067125000743545E-2</v>
      </c>
      <c r="Y169" s="134">
        <v>3</v>
      </c>
      <c r="Z169" s="132">
        <v>0.45299768666639767</v>
      </c>
      <c r="AA169" s="134">
        <v>1</v>
      </c>
      <c r="AB169" s="132">
        <v>0.32535880000068573</v>
      </c>
      <c r="AC169" s="15"/>
      <c r="AD169" s="12"/>
      <c r="AE169" s="15"/>
      <c r="AF169" s="12"/>
      <c r="AG169" s="15"/>
      <c r="AH169" s="12"/>
      <c r="AI169" s="15"/>
      <c r="AK169" s="15"/>
      <c r="AM169" s="15"/>
      <c r="AN169" s="12"/>
      <c r="AP169" s="84">
        <v>65</v>
      </c>
      <c r="AQ169" s="84">
        <v>74</v>
      </c>
      <c r="AR169" s="84">
        <v>73</v>
      </c>
      <c r="AS169">
        <v>53</v>
      </c>
      <c r="AT169">
        <v>41</v>
      </c>
      <c r="AU169">
        <v>32</v>
      </c>
      <c r="BF169" s="84"/>
      <c r="BG169" s="84"/>
      <c r="BH169" s="84"/>
    </row>
    <row r="170" spans="1:60" ht="16" thickBot="1" x14ac:dyDescent="0.25">
      <c r="A170" s="5" t="s">
        <v>91</v>
      </c>
      <c r="B170" t="s">
        <v>137</v>
      </c>
      <c r="E170">
        <v>1</v>
      </c>
      <c r="F170">
        <v>1</v>
      </c>
      <c r="Q170" s="15"/>
      <c r="R170" s="132"/>
      <c r="S170" s="15"/>
      <c r="T170" s="132"/>
      <c r="U170" s="15">
        <v>1</v>
      </c>
      <c r="V170" s="34">
        <v>0.13864582999667618</v>
      </c>
      <c r="W170" s="134"/>
      <c r="X170" s="132"/>
      <c r="Y170" s="134"/>
      <c r="Z170" s="132"/>
      <c r="AA170" s="134"/>
      <c r="AB170" s="132"/>
      <c r="AC170" s="15"/>
      <c r="AD170" s="12"/>
      <c r="AE170" s="15"/>
      <c r="AF170" s="12"/>
      <c r="AG170" s="15"/>
      <c r="AH170" s="12"/>
      <c r="AI170" s="15"/>
      <c r="AK170" s="15"/>
      <c r="AM170" s="15"/>
      <c r="AN170" s="12"/>
      <c r="AP170" s="84">
        <v>6</v>
      </c>
      <c r="AQ170" s="84">
        <v>5</v>
      </c>
      <c r="AR170" s="85">
        <v>2</v>
      </c>
      <c r="AS170">
        <v>2</v>
      </c>
      <c r="AT170">
        <v>3</v>
      </c>
      <c r="AU170">
        <v>3</v>
      </c>
      <c r="BF170" s="84"/>
      <c r="BG170" s="84"/>
      <c r="BH170" s="85"/>
    </row>
    <row r="171" spans="1:60" ht="16" thickBot="1" x14ac:dyDescent="0.25">
      <c r="A171" s="5" t="s">
        <v>92</v>
      </c>
      <c r="B171" t="s">
        <v>137</v>
      </c>
      <c r="G171">
        <v>1</v>
      </c>
      <c r="Q171" s="15"/>
      <c r="R171" s="132"/>
      <c r="S171" s="15"/>
      <c r="T171" s="132"/>
      <c r="U171" s="15"/>
      <c r="V171" s="34"/>
      <c r="W171" s="134">
        <v>1</v>
      </c>
      <c r="X171" s="132">
        <v>0.10376157000428066</v>
      </c>
      <c r="Y171" s="134"/>
      <c r="Z171" s="132"/>
      <c r="AA171" s="134"/>
      <c r="AB171" s="132"/>
      <c r="AC171" s="15"/>
      <c r="AD171" s="12"/>
      <c r="AE171" s="15"/>
      <c r="AF171" s="12"/>
      <c r="AG171" s="15"/>
      <c r="AH171" s="12"/>
      <c r="AI171" s="15"/>
      <c r="AK171" s="15"/>
      <c r="AM171" s="15"/>
      <c r="AN171" s="12"/>
      <c r="AP171" s="85">
        <v>6</v>
      </c>
      <c r="AQ171" s="85">
        <v>4</v>
      </c>
      <c r="AR171" s="85">
        <v>9</v>
      </c>
      <c r="AS171">
        <v>3</v>
      </c>
      <c r="AT171">
        <v>3</v>
      </c>
      <c r="AU171">
        <v>2</v>
      </c>
      <c r="BF171" s="84"/>
      <c r="BG171" s="84"/>
      <c r="BH171" s="85"/>
    </row>
    <row r="172" spans="1:60" ht="16" thickBot="1" x14ac:dyDescent="0.25">
      <c r="A172" s="5" t="s">
        <v>93</v>
      </c>
      <c r="B172" t="s">
        <v>137</v>
      </c>
      <c r="Q172" s="15"/>
      <c r="R172" s="132"/>
      <c r="S172" s="15"/>
      <c r="T172" s="132"/>
      <c r="U172" s="15"/>
      <c r="V172" s="34"/>
      <c r="W172" s="134"/>
      <c r="X172" s="132"/>
      <c r="Y172" s="134"/>
      <c r="Z172" s="132"/>
      <c r="AA172" s="134"/>
      <c r="AB172" s="132"/>
      <c r="AC172" s="15"/>
      <c r="AD172" s="12"/>
      <c r="AE172" s="15"/>
      <c r="AF172" s="12"/>
      <c r="AG172" s="15"/>
      <c r="AH172" s="12"/>
      <c r="AI172" s="15"/>
      <c r="AK172" s="15"/>
      <c r="AM172" s="15"/>
      <c r="AN172" s="12"/>
      <c r="AP172" s="85"/>
      <c r="AQ172" s="85"/>
      <c r="AR172" s="85"/>
      <c r="BF172" s="85"/>
      <c r="BG172" s="85"/>
      <c r="BH172" s="85"/>
    </row>
    <row r="173" spans="1:60" ht="16" thickBot="1" x14ac:dyDescent="0.25">
      <c r="A173" s="5" t="s">
        <v>94</v>
      </c>
      <c r="B173" t="s">
        <v>137</v>
      </c>
      <c r="D173">
        <v>1</v>
      </c>
      <c r="E173">
        <v>1</v>
      </c>
      <c r="F173">
        <v>3</v>
      </c>
      <c r="G173">
        <v>1</v>
      </c>
      <c r="H173">
        <v>3</v>
      </c>
      <c r="I173">
        <v>2</v>
      </c>
      <c r="Q173" s="15"/>
      <c r="R173" s="132"/>
      <c r="S173" s="15">
        <v>1</v>
      </c>
      <c r="T173" s="132">
        <v>5.6481499996152706E-3</v>
      </c>
      <c r="U173" s="15">
        <v>1</v>
      </c>
      <c r="V173" s="34">
        <v>0.53703704000508878</v>
      </c>
      <c r="W173" s="134">
        <v>1</v>
      </c>
      <c r="X173" s="132">
        <v>0.26965277999988757</v>
      </c>
      <c r="Y173" s="134">
        <v>3</v>
      </c>
      <c r="Z173" s="132">
        <v>4.5983796665192735E-2</v>
      </c>
      <c r="AA173" s="134">
        <v>2</v>
      </c>
      <c r="AB173" s="132">
        <v>0.1273958349993336</v>
      </c>
      <c r="AC173" s="15"/>
      <c r="AD173" s="12"/>
      <c r="AE173" s="15"/>
      <c r="AF173" s="12"/>
      <c r="AG173" s="15"/>
      <c r="AH173" s="12"/>
      <c r="AI173" s="15"/>
      <c r="AK173" s="15"/>
      <c r="AM173" s="15"/>
      <c r="AN173" s="12"/>
      <c r="AP173" s="84">
        <v>23</v>
      </c>
      <c r="AQ173" s="85">
        <v>22</v>
      </c>
      <c r="AR173" s="85">
        <v>33</v>
      </c>
      <c r="AS173">
        <v>22</v>
      </c>
      <c r="AT173">
        <v>24</v>
      </c>
      <c r="AU173">
        <v>11</v>
      </c>
      <c r="BF173" s="84"/>
      <c r="BG173" s="84"/>
      <c r="BH173" s="84"/>
    </row>
    <row r="174" spans="1:60" ht="16" thickBot="1" x14ac:dyDescent="0.25">
      <c r="A174" s="5" t="s">
        <v>95</v>
      </c>
      <c r="B174" t="s">
        <v>137</v>
      </c>
      <c r="D174">
        <v>1</v>
      </c>
      <c r="G174">
        <v>1</v>
      </c>
      <c r="H174">
        <v>2</v>
      </c>
      <c r="Q174" s="15"/>
      <c r="R174" s="132"/>
      <c r="S174" s="15"/>
      <c r="T174" s="132"/>
      <c r="U174" s="15"/>
      <c r="V174" s="34"/>
      <c r="W174" s="134">
        <v>1</v>
      </c>
      <c r="X174" s="132">
        <v>8.6898150002525654E-2</v>
      </c>
      <c r="Y174" s="134">
        <v>2</v>
      </c>
      <c r="Z174" s="132">
        <v>6.8952545003412524E-2</v>
      </c>
      <c r="AA174" s="134"/>
      <c r="AB174" s="132"/>
      <c r="AC174" s="15"/>
      <c r="AD174" s="12"/>
      <c r="AE174" s="15"/>
      <c r="AF174" s="12"/>
      <c r="AG174" s="15"/>
      <c r="AH174" s="12"/>
      <c r="AI174" s="15"/>
      <c r="AK174" s="15"/>
      <c r="AM174" s="15"/>
      <c r="AN174" s="12"/>
      <c r="AP174" s="84">
        <v>17</v>
      </c>
      <c r="AQ174" s="84">
        <v>11</v>
      </c>
      <c r="AR174" s="84">
        <v>10</v>
      </c>
      <c r="AS174">
        <v>14</v>
      </c>
      <c r="AT174">
        <v>8</v>
      </c>
      <c r="AU174">
        <v>7</v>
      </c>
      <c r="BF174" s="84"/>
      <c r="BG174" s="84"/>
      <c r="BH174" s="85"/>
    </row>
    <row r="175" spans="1:60" ht="16" thickBot="1" x14ac:dyDescent="0.25">
      <c r="A175" s="5" t="s">
        <v>96</v>
      </c>
      <c r="B175" t="s">
        <v>137</v>
      </c>
      <c r="D175">
        <v>1</v>
      </c>
      <c r="G175">
        <v>5</v>
      </c>
      <c r="I175">
        <v>1</v>
      </c>
      <c r="Q175" s="15">
        <v>1</v>
      </c>
      <c r="R175" s="132">
        <v>9.3402779995813034E-2</v>
      </c>
      <c r="S175" s="15"/>
      <c r="T175" s="132"/>
      <c r="U175" s="124"/>
      <c r="V175" s="34"/>
      <c r="W175" s="134">
        <v>4</v>
      </c>
      <c r="X175" s="132">
        <v>1.2035098400010611</v>
      </c>
      <c r="Y175" s="134"/>
      <c r="Z175" s="132"/>
      <c r="AA175" s="134">
        <v>1</v>
      </c>
      <c r="AB175" s="132">
        <v>9.7453700000187382E-3</v>
      </c>
      <c r="AC175" s="15"/>
      <c r="AD175" s="12"/>
      <c r="AE175" s="15"/>
      <c r="AF175" s="12"/>
      <c r="AG175" s="15"/>
      <c r="AH175" s="12"/>
      <c r="AI175" s="15"/>
      <c r="AK175" s="15"/>
      <c r="AM175" s="15"/>
      <c r="AN175" s="12"/>
      <c r="AP175" s="84">
        <v>17</v>
      </c>
      <c r="AQ175" s="84">
        <v>26</v>
      </c>
      <c r="AR175" s="84">
        <v>28</v>
      </c>
      <c r="AS175">
        <v>15</v>
      </c>
      <c r="AT175">
        <v>7</v>
      </c>
      <c r="AU175">
        <v>11</v>
      </c>
      <c r="BF175" s="84"/>
      <c r="BG175" s="84"/>
      <c r="BH175" s="85"/>
    </row>
    <row r="176" spans="1:60" ht="16" thickBot="1" x14ac:dyDescent="0.25">
      <c r="A176" s="5" t="s">
        <v>97</v>
      </c>
      <c r="B176" t="s">
        <v>137</v>
      </c>
      <c r="Q176" s="15"/>
      <c r="R176" s="132"/>
      <c r="S176" s="15"/>
      <c r="T176" s="132"/>
      <c r="U176" s="15"/>
      <c r="V176" s="34"/>
      <c r="W176" s="134"/>
      <c r="X176" s="132"/>
      <c r="Y176" s="134"/>
      <c r="Z176" s="132"/>
      <c r="AA176" s="134"/>
      <c r="AB176" s="132"/>
      <c r="AC176" s="15"/>
      <c r="AD176" s="12"/>
      <c r="AE176" s="15"/>
      <c r="AF176" s="12"/>
      <c r="AG176" s="15"/>
      <c r="AH176" s="12"/>
      <c r="AI176" s="15"/>
      <c r="AK176" s="15"/>
      <c r="AM176" s="15"/>
      <c r="AN176" s="12"/>
      <c r="AP176" s="84">
        <v>6</v>
      </c>
      <c r="AQ176" s="85">
        <v>1</v>
      </c>
      <c r="AR176" s="84">
        <v>5</v>
      </c>
      <c r="AS176">
        <v>5</v>
      </c>
      <c r="AT176">
        <v>4</v>
      </c>
      <c r="AU176">
        <v>1</v>
      </c>
      <c r="BF176" s="84"/>
      <c r="BG176" s="84"/>
      <c r="BH176" s="85"/>
    </row>
    <row r="177" spans="1:60" ht="16" thickBot="1" x14ac:dyDescent="0.25">
      <c r="A177" s="5" t="s">
        <v>98</v>
      </c>
      <c r="B177" t="s">
        <v>137</v>
      </c>
      <c r="D177">
        <v>3</v>
      </c>
      <c r="F177">
        <v>1</v>
      </c>
      <c r="H177">
        <v>6</v>
      </c>
      <c r="I177">
        <v>1</v>
      </c>
      <c r="Q177" s="15">
        <v>3</v>
      </c>
      <c r="R177" s="132">
        <v>5.7087193332942356E-2</v>
      </c>
      <c r="S177" s="15"/>
      <c r="T177" s="132"/>
      <c r="U177" s="15">
        <v>1</v>
      </c>
      <c r="V177" s="34">
        <v>0.15796295999462018</v>
      </c>
      <c r="W177" s="134"/>
      <c r="X177" s="132"/>
      <c r="Y177" s="134">
        <v>6</v>
      </c>
      <c r="Z177" s="132">
        <v>0.28219521333448938</v>
      </c>
      <c r="AA177" s="134">
        <v>1</v>
      </c>
      <c r="AB177" s="132">
        <v>0.38101852000545477</v>
      </c>
      <c r="AC177" s="15"/>
      <c r="AD177" s="12"/>
      <c r="AE177" s="15"/>
      <c r="AF177" s="12"/>
      <c r="AG177" s="15"/>
      <c r="AH177" s="12"/>
      <c r="AI177" s="15"/>
      <c r="AK177" s="15"/>
      <c r="AM177" s="15"/>
      <c r="AN177" s="12"/>
      <c r="AP177" s="84">
        <v>28</v>
      </c>
      <c r="AQ177" s="84">
        <v>32</v>
      </c>
      <c r="AR177" s="84">
        <v>28</v>
      </c>
      <c r="AS177">
        <v>21</v>
      </c>
      <c r="AT177">
        <v>16</v>
      </c>
      <c r="AU177">
        <v>13</v>
      </c>
      <c r="BF177" s="84"/>
      <c r="BG177" s="84"/>
      <c r="BH177" s="85"/>
    </row>
    <row r="178" spans="1:60" ht="16" thickBot="1" x14ac:dyDescent="0.25">
      <c r="A178" s="5" t="s">
        <v>99</v>
      </c>
      <c r="B178" t="s">
        <v>137</v>
      </c>
      <c r="D178">
        <v>109</v>
      </c>
      <c r="E178">
        <v>11</v>
      </c>
      <c r="F178">
        <v>116</v>
      </c>
      <c r="G178">
        <v>89</v>
      </c>
      <c r="H178">
        <v>45</v>
      </c>
      <c r="I178">
        <v>64</v>
      </c>
      <c r="Q178" s="15">
        <v>92</v>
      </c>
      <c r="R178" s="132">
        <v>0.34751937391244964</v>
      </c>
      <c r="S178" s="15">
        <v>6</v>
      </c>
      <c r="T178" s="132">
        <v>7.3123068332885552E-2</v>
      </c>
      <c r="U178" s="134">
        <v>99</v>
      </c>
      <c r="V178" s="34">
        <v>0.51374193313103844</v>
      </c>
      <c r="W178" s="134">
        <v>85</v>
      </c>
      <c r="X178" s="132">
        <v>0.20995656317579287</v>
      </c>
      <c r="Y178" s="134">
        <v>44</v>
      </c>
      <c r="Z178" s="132">
        <v>0.2799100375000721</v>
      </c>
      <c r="AA178" s="134">
        <v>56</v>
      </c>
      <c r="AB178" s="132">
        <v>0.2796044142855213</v>
      </c>
      <c r="AC178" s="15"/>
      <c r="AD178" s="12"/>
      <c r="AE178" s="15"/>
      <c r="AF178" s="12"/>
      <c r="AG178" s="15"/>
      <c r="AH178" s="12"/>
      <c r="AI178" s="15"/>
      <c r="AK178" s="15"/>
      <c r="AM178" s="15"/>
      <c r="AN178" s="12"/>
      <c r="AP178" s="84">
        <v>434</v>
      </c>
      <c r="AQ178" s="84">
        <v>388</v>
      </c>
      <c r="AR178" s="84">
        <v>490</v>
      </c>
      <c r="AS178">
        <v>318</v>
      </c>
      <c r="AT178">
        <v>358</v>
      </c>
      <c r="AU178">
        <v>229</v>
      </c>
      <c r="BF178" s="84"/>
      <c r="BG178" s="84"/>
      <c r="BH178" s="84"/>
    </row>
    <row r="179" spans="1:60" ht="16" thickBot="1" x14ac:dyDescent="0.25">
      <c r="A179" s="5" t="s">
        <v>100</v>
      </c>
      <c r="B179" t="s">
        <v>137</v>
      </c>
      <c r="Q179" s="15"/>
      <c r="R179" s="132"/>
      <c r="S179" s="15"/>
      <c r="T179" s="132"/>
      <c r="U179" s="15"/>
      <c r="V179" s="34"/>
      <c r="W179" s="134"/>
      <c r="X179" s="132"/>
      <c r="Y179" s="134"/>
      <c r="Z179" s="132"/>
      <c r="AA179" s="134"/>
      <c r="AB179" s="132"/>
      <c r="AC179" s="15"/>
      <c r="AD179" s="12"/>
      <c r="AE179" s="15"/>
      <c r="AF179" s="12"/>
      <c r="AG179" s="15"/>
      <c r="AH179" s="12"/>
      <c r="AI179" s="15"/>
      <c r="AK179" s="15"/>
      <c r="AM179" s="15"/>
      <c r="AN179" s="12"/>
      <c r="AP179" s="84"/>
      <c r="AQ179" s="84"/>
      <c r="AR179" s="85">
        <v>1</v>
      </c>
      <c r="AS179">
        <v>1</v>
      </c>
      <c r="BF179" s="84"/>
      <c r="BG179" s="85"/>
      <c r="BH179" s="85"/>
    </row>
    <row r="180" spans="1:60" ht="16" thickBot="1" x14ac:dyDescent="0.25">
      <c r="A180" s="5" t="s">
        <v>101</v>
      </c>
      <c r="B180" t="s">
        <v>137</v>
      </c>
      <c r="F180">
        <v>2</v>
      </c>
      <c r="H180">
        <v>2</v>
      </c>
      <c r="Q180" s="15"/>
      <c r="R180" s="132"/>
      <c r="S180" s="15"/>
      <c r="T180" s="132"/>
      <c r="U180" s="15"/>
      <c r="V180" s="34"/>
      <c r="W180" s="134"/>
      <c r="X180" s="132"/>
      <c r="Y180" s="134">
        <v>2</v>
      </c>
      <c r="Z180" s="132">
        <v>0.74691551000069012</v>
      </c>
      <c r="AA180" s="134"/>
      <c r="AB180" s="132"/>
      <c r="AC180" s="15"/>
      <c r="AD180" s="12"/>
      <c r="AE180" s="15"/>
      <c r="AF180" s="12"/>
      <c r="AG180" s="15"/>
      <c r="AH180" s="12"/>
      <c r="AI180" s="15"/>
      <c r="AK180" s="15"/>
      <c r="AM180" s="15"/>
      <c r="AN180" s="12"/>
      <c r="AP180" s="85">
        <v>14</v>
      </c>
      <c r="AQ180" s="85">
        <v>8</v>
      </c>
      <c r="AR180" s="85">
        <v>17</v>
      </c>
      <c r="AS180">
        <v>12</v>
      </c>
      <c r="AT180">
        <v>6</v>
      </c>
      <c r="AU180">
        <v>9</v>
      </c>
      <c r="BF180" s="84"/>
      <c r="BG180" s="84"/>
      <c r="BH180" s="85"/>
    </row>
    <row r="181" spans="1:60" ht="16" thickBot="1" x14ac:dyDescent="0.25">
      <c r="A181" s="5" t="s">
        <v>102</v>
      </c>
      <c r="B181" t="s">
        <v>137</v>
      </c>
      <c r="D181">
        <v>4</v>
      </c>
      <c r="E181">
        <v>2</v>
      </c>
      <c r="F181">
        <v>10</v>
      </c>
      <c r="G181">
        <v>3</v>
      </c>
      <c r="H181">
        <v>5</v>
      </c>
      <c r="I181">
        <v>11</v>
      </c>
      <c r="Q181" s="15">
        <v>4</v>
      </c>
      <c r="R181" s="132">
        <v>8.5784147498998209E-2</v>
      </c>
      <c r="S181" s="15">
        <v>1</v>
      </c>
      <c r="T181" s="132">
        <v>1.3773140002740547E-2</v>
      </c>
      <c r="U181" s="15">
        <v>9</v>
      </c>
      <c r="V181" s="34">
        <v>0.10271604888839647</v>
      </c>
      <c r="W181" s="134">
        <v>3</v>
      </c>
      <c r="X181" s="132">
        <v>0.22790509000090728</v>
      </c>
      <c r="Y181" s="134">
        <v>5</v>
      </c>
      <c r="Z181" s="132">
        <v>3.1009260000428186E-2</v>
      </c>
      <c r="AA181" s="134">
        <v>10</v>
      </c>
      <c r="AB181" s="132">
        <v>0.65827546299915407</v>
      </c>
      <c r="AC181" s="15"/>
      <c r="AD181" s="12"/>
      <c r="AE181" s="15"/>
      <c r="AF181" s="12"/>
      <c r="AG181" s="15"/>
      <c r="AH181" s="12"/>
      <c r="AI181" s="15"/>
      <c r="AK181" s="15"/>
      <c r="AM181" s="15"/>
      <c r="AN181" s="12"/>
      <c r="AP181" s="84">
        <v>69</v>
      </c>
      <c r="AQ181" s="84">
        <v>37</v>
      </c>
      <c r="AR181" s="84">
        <v>64</v>
      </c>
      <c r="AS181">
        <v>54</v>
      </c>
      <c r="AT181">
        <v>40</v>
      </c>
      <c r="AU181">
        <v>27</v>
      </c>
      <c r="BF181" s="84"/>
      <c r="BG181" s="84"/>
      <c r="BH181" s="84"/>
    </row>
    <row r="182" spans="1:60" ht="16" thickBot="1" x14ac:dyDescent="0.25">
      <c r="A182" s="5" t="s">
        <v>103</v>
      </c>
      <c r="B182" t="s">
        <v>137</v>
      </c>
      <c r="D182">
        <v>1</v>
      </c>
      <c r="E182">
        <v>1</v>
      </c>
      <c r="I182">
        <v>1</v>
      </c>
      <c r="Q182" s="15">
        <v>1</v>
      </c>
      <c r="R182" s="132">
        <v>0.20791666000150144</v>
      </c>
      <c r="S182" s="15"/>
      <c r="T182" s="132"/>
      <c r="U182" s="15"/>
      <c r="V182" s="34"/>
      <c r="W182" s="134"/>
      <c r="X182" s="132"/>
      <c r="Y182" s="134"/>
      <c r="Z182" s="132"/>
      <c r="AA182" s="134">
        <v>1</v>
      </c>
      <c r="AB182" s="132">
        <v>2.3657400000956841E-2</v>
      </c>
      <c r="AC182" s="15"/>
      <c r="AD182" s="12"/>
      <c r="AE182" s="15"/>
      <c r="AF182" s="12"/>
      <c r="AG182" s="15"/>
      <c r="AH182" s="12"/>
      <c r="AI182" s="15"/>
      <c r="AK182" s="15"/>
      <c r="AM182" s="15"/>
      <c r="AN182" s="12"/>
      <c r="AP182" s="84">
        <v>11</v>
      </c>
      <c r="AQ182" s="84">
        <v>15</v>
      </c>
      <c r="AR182" s="84">
        <v>18</v>
      </c>
      <c r="AS182">
        <v>11</v>
      </c>
      <c r="AT182">
        <v>6</v>
      </c>
      <c r="AU182">
        <v>6</v>
      </c>
      <c r="BF182" s="84"/>
      <c r="BG182" s="84"/>
      <c r="BH182" s="85"/>
    </row>
    <row r="183" spans="1:60" ht="16" thickBot="1" x14ac:dyDescent="0.25">
      <c r="A183" s="5" t="s">
        <v>104</v>
      </c>
      <c r="B183" t="s">
        <v>137</v>
      </c>
      <c r="D183">
        <v>2</v>
      </c>
      <c r="F183">
        <v>1</v>
      </c>
      <c r="G183">
        <v>1</v>
      </c>
      <c r="Q183" s="15">
        <v>1</v>
      </c>
      <c r="R183" s="132">
        <v>1.511573999596294E-2</v>
      </c>
      <c r="S183" s="15"/>
      <c r="T183" s="132"/>
      <c r="U183" s="15">
        <v>1</v>
      </c>
      <c r="V183" s="34">
        <v>0.91686343000037596</v>
      </c>
      <c r="W183" s="134">
        <v>1</v>
      </c>
      <c r="X183" s="132">
        <v>5.3935199975967407E-3</v>
      </c>
      <c r="Y183" s="134"/>
      <c r="Z183" s="132"/>
      <c r="AA183" s="134"/>
      <c r="AB183" s="132"/>
      <c r="AC183" s="15"/>
      <c r="AD183" s="12"/>
      <c r="AE183" s="15"/>
      <c r="AF183" s="12"/>
      <c r="AG183" s="15"/>
      <c r="AH183" s="12"/>
      <c r="AI183" s="15"/>
      <c r="AK183" s="15"/>
      <c r="AM183" s="15"/>
      <c r="AN183" s="12"/>
      <c r="AP183" s="84">
        <v>15</v>
      </c>
      <c r="AQ183" s="84">
        <v>17</v>
      </c>
      <c r="AR183" s="84">
        <v>15</v>
      </c>
      <c r="AS183">
        <v>21</v>
      </c>
      <c r="AT183">
        <v>10</v>
      </c>
      <c r="AU183">
        <v>11</v>
      </c>
      <c r="BF183" s="84"/>
      <c r="BG183" s="84"/>
      <c r="BH183" s="85"/>
    </row>
    <row r="184" spans="1:60" ht="16" thickBot="1" x14ac:dyDescent="0.25">
      <c r="A184" s="5" t="s">
        <v>105</v>
      </c>
      <c r="B184" t="s">
        <v>137</v>
      </c>
      <c r="D184">
        <v>2</v>
      </c>
      <c r="F184">
        <v>8</v>
      </c>
      <c r="G184">
        <v>4</v>
      </c>
      <c r="H184">
        <v>6</v>
      </c>
      <c r="I184">
        <v>2</v>
      </c>
      <c r="Q184" s="15">
        <v>2</v>
      </c>
      <c r="R184" s="132">
        <v>0.13449074000163819</v>
      </c>
      <c r="S184" s="15"/>
      <c r="T184" s="132"/>
      <c r="U184" s="15">
        <v>6</v>
      </c>
      <c r="V184" s="34">
        <v>0.77663387166709674</v>
      </c>
      <c r="W184" s="134">
        <v>4</v>
      </c>
      <c r="X184" s="132">
        <v>0.12175635999847145</v>
      </c>
      <c r="Y184" s="134">
        <v>6</v>
      </c>
      <c r="Z184" s="132">
        <v>0.20341435166604546</v>
      </c>
      <c r="AA184" s="134">
        <v>2</v>
      </c>
      <c r="AB184" s="132">
        <v>0.25363426000330946</v>
      </c>
      <c r="AC184" s="15"/>
      <c r="AD184" s="12"/>
      <c r="AE184" s="15"/>
      <c r="AF184" s="12"/>
      <c r="AG184" s="15"/>
      <c r="AH184" s="12"/>
      <c r="AI184" s="15"/>
      <c r="AK184" s="15"/>
      <c r="AM184" s="15"/>
      <c r="AN184" s="12"/>
      <c r="AP184" s="84">
        <v>74</v>
      </c>
      <c r="AQ184" s="84">
        <v>71</v>
      </c>
      <c r="AR184" s="84">
        <v>65</v>
      </c>
      <c r="AS184">
        <v>61</v>
      </c>
      <c r="AT184">
        <v>47</v>
      </c>
      <c r="AU184">
        <v>34</v>
      </c>
      <c r="BF184" s="84"/>
      <c r="BG184" s="84"/>
      <c r="BH184" s="85"/>
    </row>
    <row r="185" spans="1:60" ht="16" thickBot="1" x14ac:dyDescent="0.25">
      <c r="A185" s="5" t="s">
        <v>106</v>
      </c>
      <c r="B185" t="s">
        <v>137</v>
      </c>
      <c r="I185">
        <v>1</v>
      </c>
      <c r="Q185" s="15"/>
      <c r="R185" s="132"/>
      <c r="S185" s="15"/>
      <c r="T185" s="132"/>
      <c r="U185" s="15"/>
      <c r="V185" s="34"/>
      <c r="W185" s="134"/>
      <c r="X185" s="132"/>
      <c r="Y185" s="134"/>
      <c r="Z185" s="132"/>
      <c r="AA185" s="134">
        <v>1</v>
      </c>
      <c r="AB185" s="132">
        <v>4.7326389998488594E-2</v>
      </c>
      <c r="AC185" s="15"/>
      <c r="AD185" s="12"/>
      <c r="AE185" s="15"/>
      <c r="AF185" s="12"/>
      <c r="AG185" s="15"/>
      <c r="AH185" s="12"/>
      <c r="AI185" s="15"/>
      <c r="AK185" s="15"/>
      <c r="AM185" s="15"/>
      <c r="AN185" s="12"/>
      <c r="AP185" s="85">
        <v>3</v>
      </c>
      <c r="AQ185" s="84">
        <v>1</v>
      </c>
      <c r="AR185" s="84">
        <v>4</v>
      </c>
      <c r="AS185">
        <v>2</v>
      </c>
      <c r="AT185">
        <v>3</v>
      </c>
      <c r="AU185">
        <v>1</v>
      </c>
      <c r="BF185" s="84"/>
      <c r="BG185" s="84"/>
      <c r="BH185" s="85"/>
    </row>
    <row r="186" spans="1:60" ht="16" thickBot="1" x14ac:dyDescent="0.25">
      <c r="A186" s="5" t="s">
        <v>107</v>
      </c>
      <c r="B186" t="s">
        <v>137</v>
      </c>
      <c r="Q186" s="15"/>
      <c r="R186" s="132"/>
      <c r="S186" s="15"/>
      <c r="T186" s="132"/>
      <c r="U186" s="15"/>
      <c r="V186" s="34"/>
      <c r="W186" s="134"/>
      <c r="X186" s="132"/>
      <c r="Y186" s="134"/>
      <c r="Z186" s="132"/>
      <c r="AA186" s="134"/>
      <c r="AB186" s="132"/>
      <c r="AC186" s="15"/>
      <c r="AD186" s="12"/>
      <c r="AE186" s="15"/>
      <c r="AF186" s="12"/>
      <c r="AG186" s="15"/>
      <c r="AH186" s="12"/>
      <c r="AI186" s="15"/>
      <c r="AK186" s="15"/>
      <c r="AM186" s="15"/>
      <c r="AN186" s="12"/>
      <c r="AP186" s="85">
        <v>2</v>
      </c>
      <c r="AQ186" s="85">
        <v>4</v>
      </c>
      <c r="AR186" s="85">
        <v>3</v>
      </c>
      <c r="AS186">
        <v>3</v>
      </c>
      <c r="AT186">
        <v>1</v>
      </c>
      <c r="AU186">
        <v>1</v>
      </c>
      <c r="BF186" s="84"/>
      <c r="BG186" s="84"/>
      <c r="BH186" s="84"/>
    </row>
    <row r="187" spans="1:60" ht="16" thickBot="1" x14ac:dyDescent="0.25">
      <c r="A187" s="5" t="s">
        <v>108</v>
      </c>
      <c r="B187" t="s">
        <v>137</v>
      </c>
      <c r="D187">
        <v>2</v>
      </c>
      <c r="Q187" s="15">
        <v>2</v>
      </c>
      <c r="R187" s="132">
        <v>0.10828125000261934</v>
      </c>
      <c r="S187" s="15"/>
      <c r="T187" s="132"/>
      <c r="U187" s="15"/>
      <c r="V187" s="34"/>
      <c r="W187" s="134"/>
      <c r="X187" s="132"/>
      <c r="Y187" s="134"/>
      <c r="Z187" s="132"/>
      <c r="AA187" s="134"/>
      <c r="AB187" s="132"/>
      <c r="AC187" s="15"/>
      <c r="AD187" s="12"/>
      <c r="AE187" s="15"/>
      <c r="AF187" s="12"/>
      <c r="AG187" s="15"/>
      <c r="AH187" s="12"/>
      <c r="AI187" s="15"/>
      <c r="AK187" s="15"/>
      <c r="AM187" s="15"/>
      <c r="AN187" s="12"/>
      <c r="AP187" s="84">
        <v>10</v>
      </c>
      <c r="AQ187" s="84">
        <v>14</v>
      </c>
      <c r="AR187" s="84">
        <v>16</v>
      </c>
      <c r="AS187">
        <v>15</v>
      </c>
      <c r="AT187">
        <v>8</v>
      </c>
      <c r="AU187">
        <v>4</v>
      </c>
      <c r="BF187" s="84"/>
      <c r="BG187" s="84"/>
      <c r="BH187" s="85"/>
    </row>
    <row r="188" spans="1:60" ht="16" thickBot="1" x14ac:dyDescent="0.25">
      <c r="A188" s="5" t="s">
        <v>109</v>
      </c>
      <c r="B188" t="s">
        <v>137</v>
      </c>
      <c r="D188">
        <v>3</v>
      </c>
      <c r="E188">
        <v>1</v>
      </c>
      <c r="F188">
        <v>6</v>
      </c>
      <c r="G188">
        <v>5</v>
      </c>
      <c r="H188">
        <v>3</v>
      </c>
      <c r="I188">
        <v>3</v>
      </c>
      <c r="Q188" s="15"/>
      <c r="R188" s="132"/>
      <c r="S188" s="15">
        <v>1</v>
      </c>
      <c r="T188" s="132">
        <v>0.30517361999955028</v>
      </c>
      <c r="U188" s="15">
        <v>4</v>
      </c>
      <c r="V188" s="34">
        <v>0.25140046249907755</v>
      </c>
      <c r="W188" s="134">
        <v>5</v>
      </c>
      <c r="X188" s="132">
        <v>0.21284722400014289</v>
      </c>
      <c r="Y188" s="134">
        <v>3</v>
      </c>
      <c r="Z188" s="132">
        <v>0.80979552333398408</v>
      </c>
      <c r="AA188" s="134">
        <v>3</v>
      </c>
      <c r="AB188" s="132">
        <v>1.3084876533345475</v>
      </c>
      <c r="AC188" s="15"/>
      <c r="AD188" s="12"/>
      <c r="AE188" s="15"/>
      <c r="AF188" s="12"/>
      <c r="AG188" s="15"/>
      <c r="AH188" s="12"/>
      <c r="AI188" s="15"/>
      <c r="AK188" s="15"/>
      <c r="AM188" s="15"/>
      <c r="AN188" s="12"/>
      <c r="AP188" s="84">
        <v>63</v>
      </c>
      <c r="AQ188" s="84">
        <v>65</v>
      </c>
      <c r="AR188" s="84">
        <v>59</v>
      </c>
      <c r="AS188">
        <v>34</v>
      </c>
      <c r="AT188">
        <v>30</v>
      </c>
      <c r="AU188">
        <v>37</v>
      </c>
      <c r="BF188" s="84"/>
      <c r="BG188" s="84"/>
      <c r="BH188" s="84"/>
    </row>
    <row r="189" spans="1:60" ht="16" thickBot="1" x14ac:dyDescent="0.25">
      <c r="A189" s="5" t="s">
        <v>110</v>
      </c>
      <c r="B189" t="s">
        <v>137</v>
      </c>
      <c r="D189">
        <v>4</v>
      </c>
      <c r="F189">
        <v>4</v>
      </c>
      <c r="G189">
        <v>4</v>
      </c>
      <c r="H189">
        <v>3</v>
      </c>
      <c r="I189">
        <v>3</v>
      </c>
      <c r="Q189" s="15">
        <v>4</v>
      </c>
      <c r="R189" s="132">
        <v>0.46691261500200198</v>
      </c>
      <c r="S189" s="15"/>
      <c r="T189" s="132"/>
      <c r="U189" s="15">
        <v>4</v>
      </c>
      <c r="V189" s="34">
        <v>0.55551793999984511</v>
      </c>
      <c r="W189" s="134">
        <v>4</v>
      </c>
      <c r="X189" s="132">
        <v>0.10576967749875621</v>
      </c>
      <c r="Y189" s="134">
        <v>3</v>
      </c>
      <c r="Z189" s="132">
        <v>6.7002316667640116E-2</v>
      </c>
      <c r="AA189" s="134">
        <v>3</v>
      </c>
      <c r="AB189" s="132">
        <v>7.000771666692647E-2</v>
      </c>
      <c r="AC189" s="15"/>
      <c r="AD189" s="12"/>
      <c r="AE189" s="15"/>
      <c r="AF189" s="12"/>
      <c r="AG189" s="15"/>
      <c r="AH189" s="12"/>
      <c r="AI189" s="15"/>
      <c r="AK189" s="15"/>
      <c r="AM189" s="15"/>
      <c r="AN189" s="12"/>
      <c r="AP189" s="84">
        <v>29</v>
      </c>
      <c r="AQ189" s="84">
        <v>38</v>
      </c>
      <c r="AR189" s="84">
        <v>26</v>
      </c>
      <c r="AS189">
        <v>17</v>
      </c>
      <c r="AT189">
        <v>17</v>
      </c>
      <c r="AU189">
        <v>13</v>
      </c>
      <c r="BF189" s="84"/>
      <c r="BG189" s="84"/>
      <c r="BH189" s="85"/>
    </row>
    <row r="190" spans="1:60" ht="16" thickBot="1" x14ac:dyDescent="0.25">
      <c r="A190" s="5" t="s">
        <v>111</v>
      </c>
      <c r="B190" t="s">
        <v>137</v>
      </c>
      <c r="D190">
        <v>46</v>
      </c>
      <c r="E190">
        <v>4</v>
      </c>
      <c r="F190">
        <v>75</v>
      </c>
      <c r="G190">
        <v>69</v>
      </c>
      <c r="H190">
        <v>46</v>
      </c>
      <c r="I190">
        <v>36</v>
      </c>
      <c r="Q190" s="15">
        <v>35</v>
      </c>
      <c r="R190" s="132">
        <v>0.80036970914183514</v>
      </c>
      <c r="S190" s="15">
        <v>4</v>
      </c>
      <c r="T190" s="132">
        <v>2.4421209500014811</v>
      </c>
      <c r="U190" s="124">
        <v>59</v>
      </c>
      <c r="V190" s="34">
        <v>0.45643655830497015</v>
      </c>
      <c r="W190" s="134">
        <v>65</v>
      </c>
      <c r="X190" s="132">
        <v>0.44991079123059396</v>
      </c>
      <c r="Y190" s="134">
        <v>42</v>
      </c>
      <c r="Z190" s="132">
        <v>0.32624972428606097</v>
      </c>
      <c r="AA190" s="134">
        <v>32</v>
      </c>
      <c r="AB190" s="132">
        <v>0.32782805281203764</v>
      </c>
      <c r="AC190" s="15"/>
      <c r="AD190" s="12"/>
      <c r="AE190" s="15"/>
      <c r="AF190" s="12"/>
      <c r="AG190" s="15"/>
      <c r="AH190" s="12"/>
      <c r="AI190" s="15"/>
      <c r="AK190" s="15"/>
      <c r="AM190" s="15"/>
      <c r="AN190" s="12"/>
      <c r="AP190" s="84">
        <v>426</v>
      </c>
      <c r="AQ190" s="84">
        <v>382</v>
      </c>
      <c r="AR190" s="84">
        <v>421</v>
      </c>
      <c r="AS190">
        <v>330</v>
      </c>
      <c r="AT190">
        <v>249</v>
      </c>
      <c r="AU190">
        <v>254</v>
      </c>
      <c r="BF190" s="84"/>
      <c r="BG190" s="84"/>
      <c r="BH190" s="84"/>
    </row>
    <row r="191" spans="1:60" ht="16" thickBot="1" x14ac:dyDescent="0.25">
      <c r="A191" s="5" t="s">
        <v>112</v>
      </c>
      <c r="B191" t="s">
        <v>137</v>
      </c>
      <c r="D191">
        <v>53</v>
      </c>
      <c r="E191">
        <v>10</v>
      </c>
      <c r="F191">
        <v>89</v>
      </c>
      <c r="G191">
        <v>79</v>
      </c>
      <c r="H191">
        <v>44</v>
      </c>
      <c r="I191">
        <v>41</v>
      </c>
      <c r="Q191" s="15">
        <v>43</v>
      </c>
      <c r="R191" s="132">
        <v>0.58321839943968112</v>
      </c>
      <c r="S191" s="15">
        <v>10</v>
      </c>
      <c r="T191" s="132">
        <v>1.697126158001629</v>
      </c>
      <c r="U191" s="134">
        <v>71</v>
      </c>
      <c r="V191" s="34">
        <v>0.80256911873195191</v>
      </c>
      <c r="W191" s="134">
        <v>76</v>
      </c>
      <c r="X191" s="132">
        <v>0.40507553552609016</v>
      </c>
      <c r="Y191" s="134">
        <v>34</v>
      </c>
      <c r="Z191" s="132">
        <v>0.13191142352918497</v>
      </c>
      <c r="AA191" s="134">
        <v>36</v>
      </c>
      <c r="AB191" s="132">
        <v>0.28282214444475862</v>
      </c>
      <c r="AC191" s="15"/>
      <c r="AD191" s="12"/>
      <c r="AE191" s="15"/>
      <c r="AF191" s="12"/>
      <c r="AG191" s="15"/>
      <c r="AH191" s="12"/>
      <c r="AI191" s="15"/>
      <c r="AK191" s="15"/>
      <c r="AM191" s="15"/>
      <c r="AN191" s="12"/>
      <c r="AP191" s="84">
        <v>517</v>
      </c>
      <c r="AQ191" s="84">
        <v>406</v>
      </c>
      <c r="AR191" s="84">
        <v>573</v>
      </c>
      <c r="AS191">
        <v>415</v>
      </c>
      <c r="AT191">
        <v>341</v>
      </c>
      <c r="AU191">
        <v>222</v>
      </c>
      <c r="BF191" s="84"/>
      <c r="BG191" s="84"/>
      <c r="BH191" s="84"/>
    </row>
    <row r="192" spans="1:60" ht="16" thickBot="1" x14ac:dyDescent="0.25">
      <c r="A192" s="5" t="s">
        <v>113</v>
      </c>
      <c r="B192" t="s">
        <v>137</v>
      </c>
      <c r="D192">
        <v>23</v>
      </c>
      <c r="F192">
        <v>37</v>
      </c>
      <c r="G192">
        <v>33</v>
      </c>
      <c r="H192">
        <v>25</v>
      </c>
      <c r="I192">
        <v>17</v>
      </c>
      <c r="Q192" s="15">
        <v>23</v>
      </c>
      <c r="R192" s="132">
        <v>0.4985502213040372</v>
      </c>
      <c r="S192" s="15"/>
      <c r="T192" s="132"/>
      <c r="U192" s="134">
        <v>32</v>
      </c>
      <c r="V192" s="34">
        <v>0.24015335562467044</v>
      </c>
      <c r="W192" s="134">
        <v>31</v>
      </c>
      <c r="X192" s="132">
        <v>0.52583146709577944</v>
      </c>
      <c r="Y192" s="134">
        <v>25</v>
      </c>
      <c r="Z192" s="132">
        <v>0.64245416880119588</v>
      </c>
      <c r="AA192" s="134">
        <v>16</v>
      </c>
      <c r="AB192" s="132">
        <v>0.30380208437463807</v>
      </c>
      <c r="AC192" s="15"/>
      <c r="AD192" s="12"/>
      <c r="AE192" s="15"/>
      <c r="AF192" s="12"/>
      <c r="AG192" s="15"/>
      <c r="AH192" s="12"/>
      <c r="AI192" s="15"/>
      <c r="AK192" s="15"/>
      <c r="AM192" s="15"/>
      <c r="AN192" s="12"/>
      <c r="AP192" s="84">
        <v>357</v>
      </c>
      <c r="AQ192" s="84">
        <v>342</v>
      </c>
      <c r="AR192" s="84">
        <v>406</v>
      </c>
      <c r="AS192">
        <v>282</v>
      </c>
      <c r="AT192">
        <v>194</v>
      </c>
      <c r="AU192">
        <v>151</v>
      </c>
      <c r="BF192" s="84"/>
      <c r="BG192" s="84"/>
      <c r="BH192" s="84"/>
    </row>
    <row r="193" spans="1:60" ht="16" thickBot="1" x14ac:dyDescent="0.25">
      <c r="A193" s="5" t="s">
        <v>114</v>
      </c>
      <c r="B193" t="s">
        <v>137</v>
      </c>
      <c r="D193">
        <v>23</v>
      </c>
      <c r="E193">
        <v>2</v>
      </c>
      <c r="F193">
        <v>43</v>
      </c>
      <c r="G193">
        <v>38</v>
      </c>
      <c r="H193">
        <v>23</v>
      </c>
      <c r="I193">
        <v>33</v>
      </c>
      <c r="Q193" s="15">
        <v>18</v>
      </c>
      <c r="R193" s="132">
        <v>0.72639789055513881</v>
      </c>
      <c r="S193" s="15">
        <v>3</v>
      </c>
      <c r="T193" s="132">
        <v>1.097766203332867</v>
      </c>
      <c r="U193" s="134">
        <v>29</v>
      </c>
      <c r="V193" s="34">
        <v>0.17382982103399941</v>
      </c>
      <c r="W193" s="134">
        <v>37</v>
      </c>
      <c r="X193" s="132">
        <v>0.22100569270165776</v>
      </c>
      <c r="Y193" s="134">
        <v>23</v>
      </c>
      <c r="Z193" s="132">
        <v>0.50995420826043503</v>
      </c>
      <c r="AA193" s="134">
        <v>26</v>
      </c>
      <c r="AB193" s="132">
        <v>0.4153525638464019</v>
      </c>
      <c r="AC193" s="15"/>
      <c r="AD193" s="12"/>
      <c r="AE193" s="15"/>
      <c r="AF193" s="12"/>
      <c r="AG193" s="15"/>
      <c r="AH193" s="12"/>
      <c r="AI193" s="15"/>
      <c r="AK193" s="15"/>
      <c r="AM193" s="15"/>
      <c r="AN193" s="12"/>
      <c r="AP193" s="84">
        <v>228</v>
      </c>
      <c r="AQ193" s="84">
        <v>184</v>
      </c>
      <c r="AR193" s="84">
        <v>240</v>
      </c>
      <c r="AS193">
        <v>203</v>
      </c>
      <c r="AT193">
        <v>150</v>
      </c>
      <c r="AU193">
        <v>94</v>
      </c>
      <c r="BF193" s="84"/>
      <c r="BG193" s="84"/>
      <c r="BH193" s="84"/>
    </row>
    <row r="194" spans="1:60" ht="16" thickBot="1" x14ac:dyDescent="0.25">
      <c r="A194" s="5" t="s">
        <v>115</v>
      </c>
      <c r="B194" t="s">
        <v>137</v>
      </c>
      <c r="D194">
        <v>95</v>
      </c>
      <c r="E194">
        <v>16</v>
      </c>
      <c r="F194">
        <v>114</v>
      </c>
      <c r="G194">
        <v>94</v>
      </c>
      <c r="H194">
        <v>86</v>
      </c>
      <c r="I194">
        <v>89</v>
      </c>
      <c r="Q194" s="15">
        <v>81</v>
      </c>
      <c r="R194" s="132">
        <v>0.32541966740766692</v>
      </c>
      <c r="S194" s="15">
        <v>17</v>
      </c>
      <c r="T194" s="132">
        <v>0.92903799117630115</v>
      </c>
      <c r="U194" s="134">
        <v>96</v>
      </c>
      <c r="V194" s="34">
        <v>0.30752893604168702</v>
      </c>
      <c r="W194" s="134">
        <v>90</v>
      </c>
      <c r="X194" s="132">
        <v>0.32330092577815067</v>
      </c>
      <c r="Y194" s="134">
        <v>84</v>
      </c>
      <c r="Z194" s="132">
        <v>0.47228560369027645</v>
      </c>
      <c r="AA194" s="134">
        <v>81</v>
      </c>
      <c r="AB194" s="132">
        <v>0.39355867049312954</v>
      </c>
      <c r="AC194" s="15"/>
      <c r="AD194" s="12"/>
      <c r="AE194" s="15"/>
      <c r="AF194" s="12"/>
      <c r="AG194" s="15"/>
      <c r="AH194" s="12"/>
      <c r="AI194" s="15"/>
      <c r="AK194" s="15"/>
      <c r="AM194" s="15"/>
      <c r="AN194" s="12"/>
      <c r="AP194" s="84">
        <v>1105</v>
      </c>
      <c r="AQ194" s="84">
        <v>1080</v>
      </c>
      <c r="AR194" s="84">
        <v>1087</v>
      </c>
      <c r="AS194">
        <v>844</v>
      </c>
      <c r="AT194">
        <v>699</v>
      </c>
      <c r="AU194">
        <v>517</v>
      </c>
      <c r="BF194" s="84"/>
      <c r="BG194" s="84"/>
      <c r="BH194" s="84"/>
    </row>
    <row r="195" spans="1:60" ht="16" thickBot="1" x14ac:dyDescent="0.25">
      <c r="A195" s="5" t="s">
        <v>116</v>
      </c>
      <c r="B195" t="s">
        <v>137</v>
      </c>
      <c r="D195">
        <v>41</v>
      </c>
      <c r="E195">
        <v>3</v>
      </c>
      <c r="F195">
        <v>62</v>
      </c>
      <c r="G195">
        <v>52</v>
      </c>
      <c r="H195">
        <v>38</v>
      </c>
      <c r="I195">
        <v>42</v>
      </c>
      <c r="Q195" s="15">
        <v>37</v>
      </c>
      <c r="R195" s="132">
        <v>0.27853885108118914</v>
      </c>
      <c r="S195" s="15">
        <v>2</v>
      </c>
      <c r="T195" s="132">
        <v>0.17299190000267117</v>
      </c>
      <c r="U195" s="134">
        <v>54</v>
      </c>
      <c r="V195" s="34">
        <v>0.4946412037039678</v>
      </c>
      <c r="W195" s="134">
        <v>51</v>
      </c>
      <c r="X195" s="132">
        <v>0.54175835254892601</v>
      </c>
      <c r="Y195" s="134">
        <v>38</v>
      </c>
      <c r="Z195" s="132">
        <v>0.64472983657795246</v>
      </c>
      <c r="AA195" s="134">
        <v>39</v>
      </c>
      <c r="AB195" s="132">
        <v>0.5930659430766051</v>
      </c>
      <c r="AC195" s="15"/>
      <c r="AD195" s="12"/>
      <c r="AE195" s="15"/>
      <c r="AF195" s="12"/>
      <c r="AG195" s="15"/>
      <c r="AH195" s="12"/>
      <c r="AI195" s="15"/>
      <c r="AK195" s="15"/>
      <c r="AM195" s="15"/>
      <c r="AN195" s="12"/>
      <c r="AP195" s="84">
        <v>519</v>
      </c>
      <c r="AQ195" s="84">
        <v>554</v>
      </c>
      <c r="AR195" s="84">
        <v>535</v>
      </c>
      <c r="AS195">
        <v>393</v>
      </c>
      <c r="AT195">
        <v>336</v>
      </c>
      <c r="AU195">
        <v>251</v>
      </c>
      <c r="BF195" s="84"/>
      <c r="BG195" s="84"/>
      <c r="BH195" s="84"/>
    </row>
    <row r="196" spans="1:60" ht="16" thickBot="1" x14ac:dyDescent="0.25">
      <c r="A196" s="5" t="s">
        <v>117</v>
      </c>
      <c r="B196" t="s">
        <v>137</v>
      </c>
      <c r="D196">
        <v>143</v>
      </c>
      <c r="E196">
        <v>20</v>
      </c>
      <c r="F196">
        <v>171</v>
      </c>
      <c r="G196">
        <v>139</v>
      </c>
      <c r="H196">
        <v>107</v>
      </c>
      <c r="I196">
        <v>92</v>
      </c>
      <c r="Q196" s="15">
        <v>130</v>
      </c>
      <c r="R196" s="132">
        <v>0.21338381353813859</v>
      </c>
      <c r="S196" s="15">
        <v>16</v>
      </c>
      <c r="T196" s="132">
        <v>0.88558955500138836</v>
      </c>
      <c r="U196" s="134">
        <v>150</v>
      </c>
      <c r="V196" s="34">
        <v>0.22119290143683126</v>
      </c>
      <c r="W196" s="134">
        <v>137</v>
      </c>
      <c r="X196" s="132">
        <v>0.20850897204377528</v>
      </c>
      <c r="Y196" s="134">
        <v>106</v>
      </c>
      <c r="Z196" s="132">
        <v>0.20779896085006394</v>
      </c>
      <c r="AA196" s="134">
        <v>89</v>
      </c>
      <c r="AB196" s="132">
        <v>0.30752509842682996</v>
      </c>
      <c r="AC196" s="15"/>
      <c r="AD196" s="12"/>
      <c r="AE196" s="15"/>
      <c r="AF196" s="12"/>
      <c r="AG196" s="15"/>
      <c r="AH196" s="12"/>
      <c r="AI196" s="15"/>
      <c r="AK196" s="15"/>
      <c r="AM196" s="15"/>
      <c r="AN196" s="12"/>
      <c r="AP196" s="84">
        <v>1027</v>
      </c>
      <c r="AQ196" s="84">
        <v>1064</v>
      </c>
      <c r="AR196" s="84">
        <v>952</v>
      </c>
      <c r="AS196">
        <v>733</v>
      </c>
      <c r="AT196">
        <v>631</v>
      </c>
      <c r="AU196">
        <v>500</v>
      </c>
      <c r="BF196" s="84"/>
      <c r="BG196" s="84"/>
      <c r="BH196" s="84"/>
    </row>
    <row r="197" spans="1:60" ht="16" thickBot="1" x14ac:dyDescent="0.25">
      <c r="A197" s="5" t="s">
        <v>118</v>
      </c>
      <c r="B197" t="s">
        <v>137</v>
      </c>
      <c r="D197">
        <v>125</v>
      </c>
      <c r="E197">
        <v>27</v>
      </c>
      <c r="F197">
        <v>190</v>
      </c>
      <c r="G197">
        <v>143</v>
      </c>
      <c r="H197">
        <v>96</v>
      </c>
      <c r="I197">
        <v>103</v>
      </c>
      <c r="Q197" s="15">
        <v>112</v>
      </c>
      <c r="R197" s="132">
        <v>0.23734137250039566</v>
      </c>
      <c r="S197" s="15">
        <v>25</v>
      </c>
      <c r="T197" s="132">
        <v>0.21757731400168268</v>
      </c>
      <c r="U197" s="134">
        <v>155</v>
      </c>
      <c r="V197" s="34">
        <v>0.31886320193495316</v>
      </c>
      <c r="W197" s="134">
        <v>140</v>
      </c>
      <c r="X197" s="132">
        <v>0.26962318149962811</v>
      </c>
      <c r="Y197" s="134">
        <v>96</v>
      </c>
      <c r="Z197" s="132">
        <v>0.19991512302082506</v>
      </c>
      <c r="AA197" s="134">
        <v>98</v>
      </c>
      <c r="AB197" s="132">
        <v>0.23342072918336382</v>
      </c>
      <c r="AC197" s="15"/>
      <c r="AD197" s="12"/>
      <c r="AE197" s="15"/>
      <c r="AF197" s="12"/>
      <c r="AG197" s="15"/>
      <c r="AH197" s="12"/>
      <c r="AI197" s="15"/>
      <c r="AK197" s="15"/>
      <c r="AM197" s="15"/>
      <c r="AN197" s="12"/>
      <c r="AP197" s="84">
        <v>1127</v>
      </c>
      <c r="AQ197" s="84">
        <v>1113</v>
      </c>
      <c r="AR197" s="84">
        <v>1154</v>
      </c>
      <c r="AS197">
        <v>794</v>
      </c>
      <c r="AT197">
        <v>702</v>
      </c>
      <c r="AU197">
        <v>585</v>
      </c>
      <c r="BF197" s="84"/>
      <c r="BG197" s="84"/>
      <c r="BH197" s="84"/>
    </row>
    <row r="198" spans="1:60" ht="16" thickBot="1" x14ac:dyDescent="0.25">
      <c r="A198" s="5" t="s">
        <v>119</v>
      </c>
      <c r="B198" t="s">
        <v>137</v>
      </c>
      <c r="D198">
        <v>61</v>
      </c>
      <c r="E198">
        <v>13</v>
      </c>
      <c r="F198">
        <v>81</v>
      </c>
      <c r="G198">
        <v>58</v>
      </c>
      <c r="H198">
        <v>52</v>
      </c>
      <c r="I198">
        <v>45</v>
      </c>
      <c r="Q198" s="15">
        <v>52</v>
      </c>
      <c r="R198" s="132">
        <v>0.25969106192370905</v>
      </c>
      <c r="S198" s="15">
        <v>11</v>
      </c>
      <c r="T198" s="132">
        <v>4.2476851818553936E-2</v>
      </c>
      <c r="U198" s="134">
        <v>67</v>
      </c>
      <c r="V198" s="34">
        <v>0.25196742029828473</v>
      </c>
      <c r="W198" s="134">
        <v>53</v>
      </c>
      <c r="X198" s="132">
        <v>0.21735739905633172</v>
      </c>
      <c r="Y198" s="134">
        <v>52</v>
      </c>
      <c r="Z198" s="132">
        <v>0.42929264673106304</v>
      </c>
      <c r="AA198" s="134">
        <v>42</v>
      </c>
      <c r="AB198" s="132">
        <v>0.41000247999892009</v>
      </c>
      <c r="AC198" s="15"/>
      <c r="AD198" s="12"/>
      <c r="AE198" s="15"/>
      <c r="AF198" s="12"/>
      <c r="AG198" s="15"/>
      <c r="AH198" s="12"/>
      <c r="AI198" s="15"/>
      <c r="AK198" s="15"/>
      <c r="AM198" s="15"/>
      <c r="AN198" s="12"/>
      <c r="AP198" s="84">
        <v>518</v>
      </c>
      <c r="AQ198" s="84">
        <v>513</v>
      </c>
      <c r="AR198" s="84">
        <v>498</v>
      </c>
      <c r="AS198">
        <v>398</v>
      </c>
      <c r="AT198">
        <v>340</v>
      </c>
      <c r="AU198">
        <v>211</v>
      </c>
      <c r="BF198" s="84"/>
      <c r="BG198" s="84"/>
      <c r="BH198" s="84"/>
    </row>
    <row r="199" spans="1:60" ht="16" thickBot="1" x14ac:dyDescent="0.25">
      <c r="A199" s="5" t="s">
        <v>120</v>
      </c>
      <c r="B199" t="s">
        <v>137</v>
      </c>
      <c r="D199">
        <v>39</v>
      </c>
      <c r="E199">
        <v>3</v>
      </c>
      <c r="F199">
        <v>53</v>
      </c>
      <c r="G199">
        <v>43</v>
      </c>
      <c r="H199">
        <v>32</v>
      </c>
      <c r="I199">
        <v>29</v>
      </c>
      <c r="Q199" s="15">
        <v>35</v>
      </c>
      <c r="R199" s="132">
        <v>0.51794212828598185</v>
      </c>
      <c r="S199" s="15">
        <v>3</v>
      </c>
      <c r="T199" s="132">
        <v>0.19527778000095472</v>
      </c>
      <c r="U199" s="134">
        <v>39</v>
      </c>
      <c r="V199" s="34">
        <v>0.34427676871695068</v>
      </c>
      <c r="W199" s="134">
        <v>42</v>
      </c>
      <c r="X199" s="132">
        <v>0.34043485499933013</v>
      </c>
      <c r="Y199" s="134">
        <v>31</v>
      </c>
      <c r="Z199" s="132">
        <v>0.26621117032317992</v>
      </c>
      <c r="AA199" s="134">
        <v>26</v>
      </c>
      <c r="AB199" s="132">
        <v>0.32181089576876659</v>
      </c>
      <c r="AC199" s="15"/>
      <c r="AD199" s="12"/>
      <c r="AE199" s="15"/>
      <c r="AF199" s="12"/>
      <c r="AG199" s="15"/>
      <c r="AH199" s="12"/>
      <c r="AI199" s="15"/>
      <c r="AK199" s="15"/>
      <c r="AM199" s="15"/>
      <c r="AN199" s="12"/>
      <c r="AP199" s="84">
        <v>350</v>
      </c>
      <c r="AQ199" s="84">
        <v>458</v>
      </c>
      <c r="AR199" s="84">
        <v>367</v>
      </c>
      <c r="AS199">
        <v>252</v>
      </c>
      <c r="AT199">
        <v>244</v>
      </c>
      <c r="AU199">
        <v>179</v>
      </c>
      <c r="BF199" s="84"/>
      <c r="BG199" s="84"/>
      <c r="BH199" s="84"/>
    </row>
    <row r="200" spans="1:60" ht="16" thickBot="1" x14ac:dyDescent="0.25">
      <c r="A200" s="5" t="s">
        <v>121</v>
      </c>
      <c r="B200" t="s">
        <v>137</v>
      </c>
      <c r="D200">
        <v>44</v>
      </c>
      <c r="E200">
        <v>3</v>
      </c>
      <c r="F200">
        <v>70</v>
      </c>
      <c r="G200">
        <v>51</v>
      </c>
      <c r="H200">
        <v>36</v>
      </c>
      <c r="I200">
        <v>50</v>
      </c>
      <c r="Q200" s="15">
        <v>44</v>
      </c>
      <c r="R200" s="132">
        <v>0.2872485275005271</v>
      </c>
      <c r="S200" s="15">
        <v>4</v>
      </c>
      <c r="T200" s="132">
        <v>0.37054398250074883</v>
      </c>
      <c r="U200" s="136">
        <v>62</v>
      </c>
      <c r="V200" s="34">
        <v>0.14610905725719697</v>
      </c>
      <c r="W200" s="134">
        <v>50</v>
      </c>
      <c r="X200" s="132">
        <v>0.14229328840025118</v>
      </c>
      <c r="Y200" s="134">
        <v>36</v>
      </c>
      <c r="Z200" s="132">
        <v>0.39217753388806564</v>
      </c>
      <c r="AA200" s="134">
        <v>49</v>
      </c>
      <c r="AB200" s="132">
        <v>0.28969647571499751</v>
      </c>
      <c r="AC200" s="15"/>
      <c r="AD200" s="12"/>
      <c r="AE200" s="15"/>
      <c r="AF200" s="12"/>
      <c r="AG200" s="15"/>
      <c r="AH200" s="12"/>
      <c r="AI200" s="15"/>
      <c r="AK200" s="15"/>
      <c r="AM200" s="15"/>
      <c r="AN200" s="12"/>
      <c r="AP200" s="84">
        <v>418</v>
      </c>
      <c r="AQ200" s="84">
        <v>460</v>
      </c>
      <c r="AR200" s="84">
        <v>411</v>
      </c>
      <c r="AS200">
        <v>304</v>
      </c>
      <c r="AT200">
        <v>306</v>
      </c>
      <c r="AU200">
        <v>182</v>
      </c>
      <c r="BF200" s="84"/>
      <c r="BG200" s="84"/>
      <c r="BH200" s="84"/>
    </row>
    <row r="201" spans="1:60" ht="16" thickBot="1" x14ac:dyDescent="0.25">
      <c r="A201" s="7" t="s">
        <v>122</v>
      </c>
      <c r="B201" t="s">
        <v>137</v>
      </c>
      <c r="D201">
        <v>37</v>
      </c>
      <c r="E201">
        <v>8</v>
      </c>
      <c r="F201">
        <v>49</v>
      </c>
      <c r="G201">
        <v>35</v>
      </c>
      <c r="H201">
        <v>26</v>
      </c>
      <c r="I201">
        <v>33</v>
      </c>
      <c r="Q201" s="15">
        <v>39</v>
      </c>
      <c r="R201" s="132">
        <v>0.31896961102589</v>
      </c>
      <c r="S201" s="15">
        <v>6</v>
      </c>
      <c r="T201" s="132">
        <v>3.3412426666473038E-2</v>
      </c>
      <c r="U201" s="134">
        <v>45</v>
      </c>
      <c r="V201" s="34">
        <v>0.19114686177716875</v>
      </c>
      <c r="W201" s="134">
        <v>33</v>
      </c>
      <c r="X201" s="132">
        <v>0.10609743393940858</v>
      </c>
      <c r="Y201" s="134">
        <v>26</v>
      </c>
      <c r="Z201" s="132">
        <v>0.16983929769188622</v>
      </c>
      <c r="AA201" s="134">
        <v>30</v>
      </c>
      <c r="AB201" s="132">
        <v>0.17529089433398137</v>
      </c>
      <c r="AC201" s="15"/>
      <c r="AD201" s="12"/>
      <c r="AE201" s="15"/>
      <c r="AF201" s="12"/>
      <c r="AG201" s="15"/>
      <c r="AH201" s="12"/>
      <c r="AI201" s="15"/>
      <c r="AK201" s="15"/>
      <c r="AM201" s="15"/>
      <c r="AN201" s="12"/>
      <c r="AP201" s="84">
        <v>287</v>
      </c>
      <c r="AQ201" s="84">
        <v>267</v>
      </c>
      <c r="AR201" s="84">
        <v>275</v>
      </c>
      <c r="AS201">
        <v>232</v>
      </c>
      <c r="AT201">
        <v>202</v>
      </c>
      <c r="AU201">
        <v>154</v>
      </c>
      <c r="BF201" s="84"/>
      <c r="BG201" s="84"/>
      <c r="BH201" s="84"/>
    </row>
    <row r="202" spans="1:60" ht="16" thickBot="1" x14ac:dyDescent="0.25">
      <c r="A202" s="5" t="s">
        <v>123</v>
      </c>
      <c r="B202" t="s">
        <v>137</v>
      </c>
      <c r="Q202" s="15"/>
      <c r="R202" s="132"/>
      <c r="S202" s="15"/>
      <c r="T202" s="132"/>
      <c r="U202" s="134"/>
      <c r="V202" s="34"/>
      <c r="W202" s="134"/>
      <c r="X202" s="132"/>
      <c r="Y202" s="134"/>
      <c r="Z202" s="132"/>
      <c r="AA202" s="134"/>
      <c r="AB202" s="132"/>
      <c r="AC202" s="15"/>
      <c r="AD202" s="12"/>
      <c r="AE202" s="15"/>
      <c r="AF202" s="12"/>
      <c r="AG202" s="15"/>
      <c r="AH202" s="12"/>
      <c r="AI202" s="15"/>
      <c r="AK202" s="15"/>
      <c r="AM202" s="15"/>
      <c r="AN202" s="12"/>
      <c r="AP202" s="84"/>
      <c r="AQ202" s="84"/>
      <c r="AR202" s="84"/>
      <c r="BF202" s="85"/>
      <c r="BG202" s="85"/>
      <c r="BH202" s="85"/>
    </row>
    <row r="203" spans="1:60" ht="16" thickBot="1" x14ac:dyDescent="0.25">
      <c r="A203" s="5" t="s">
        <v>124</v>
      </c>
      <c r="B203" t="s">
        <v>137</v>
      </c>
      <c r="Q203" s="15"/>
      <c r="R203" s="132"/>
      <c r="S203" s="15"/>
      <c r="T203" s="132"/>
      <c r="U203" s="134"/>
      <c r="V203" s="34"/>
      <c r="W203" s="134"/>
      <c r="X203" s="132"/>
      <c r="Y203" s="134"/>
      <c r="Z203" s="132"/>
      <c r="AA203" s="134"/>
      <c r="AB203" s="132"/>
      <c r="AC203" s="15"/>
      <c r="AD203" s="12"/>
      <c r="AE203" s="15"/>
      <c r="AF203" s="12"/>
      <c r="AG203" s="15"/>
      <c r="AH203" s="12"/>
      <c r="AI203" s="15"/>
      <c r="AK203" s="15"/>
      <c r="AM203" s="15"/>
      <c r="AN203" s="12"/>
      <c r="AP203" s="85"/>
      <c r="AQ203" s="85"/>
      <c r="AR203" s="85"/>
      <c r="BF203" s="85"/>
      <c r="BG203" s="85"/>
      <c r="BH203" s="85"/>
    </row>
    <row r="204" spans="1:60" ht="16" thickBot="1" x14ac:dyDescent="0.25">
      <c r="A204" s="5" t="s">
        <v>125</v>
      </c>
      <c r="B204" t="s">
        <v>137</v>
      </c>
      <c r="D204">
        <v>51</v>
      </c>
      <c r="E204">
        <v>10</v>
      </c>
      <c r="F204">
        <v>70</v>
      </c>
      <c r="G204">
        <v>69</v>
      </c>
      <c r="H204">
        <v>30</v>
      </c>
      <c r="I204">
        <v>52</v>
      </c>
      <c r="Q204" s="15">
        <v>41</v>
      </c>
      <c r="R204" s="132">
        <v>0.242440154389819</v>
      </c>
      <c r="S204" s="15">
        <v>10</v>
      </c>
      <c r="T204" s="132">
        <v>0.43917013799946292</v>
      </c>
      <c r="U204" s="134">
        <v>61</v>
      </c>
      <c r="V204" s="34">
        <v>0.17599764754103503</v>
      </c>
      <c r="W204" s="134">
        <v>67</v>
      </c>
      <c r="X204" s="132">
        <v>0.3157623344773875</v>
      </c>
      <c r="Y204" s="134">
        <v>29</v>
      </c>
      <c r="Z204" s="132">
        <v>0.46248323724159551</v>
      </c>
      <c r="AA204" s="134">
        <v>48</v>
      </c>
      <c r="AB204" s="132">
        <v>0.32265287333378484</v>
      </c>
      <c r="AC204" s="15"/>
      <c r="AD204" s="12"/>
      <c r="AE204" s="15"/>
      <c r="AF204" s="12"/>
      <c r="AG204" s="15"/>
      <c r="AH204" s="12"/>
      <c r="AI204" s="15"/>
      <c r="AK204" s="15"/>
      <c r="AM204" s="15"/>
      <c r="AN204" s="12"/>
      <c r="AP204" s="84">
        <v>530</v>
      </c>
      <c r="AQ204" s="84">
        <v>631</v>
      </c>
      <c r="AR204" s="84">
        <v>609</v>
      </c>
      <c r="AS204">
        <v>362</v>
      </c>
      <c r="AT204">
        <v>379</v>
      </c>
      <c r="AU204">
        <v>260</v>
      </c>
      <c r="BF204" s="84"/>
      <c r="BG204" s="84"/>
      <c r="BH204" s="84"/>
    </row>
    <row r="205" spans="1:60" ht="16" thickBot="1" x14ac:dyDescent="0.25">
      <c r="A205" s="5" t="s">
        <v>126</v>
      </c>
      <c r="B205" t="s">
        <v>137</v>
      </c>
      <c r="D205">
        <v>30</v>
      </c>
      <c r="E205">
        <v>5</v>
      </c>
      <c r="F205">
        <v>55</v>
      </c>
      <c r="G205">
        <v>43</v>
      </c>
      <c r="H205">
        <v>34</v>
      </c>
      <c r="I205">
        <v>32</v>
      </c>
      <c r="Q205" s="15">
        <v>28</v>
      </c>
      <c r="R205" s="132">
        <v>0.22852637178636673</v>
      </c>
      <c r="S205" s="15">
        <v>5</v>
      </c>
      <c r="T205" s="132">
        <v>1.1928634240000975</v>
      </c>
      <c r="U205" s="134">
        <v>47</v>
      </c>
      <c r="V205" s="34">
        <v>0.35251600702139646</v>
      </c>
      <c r="W205" s="134">
        <v>42</v>
      </c>
      <c r="X205" s="132">
        <v>0.7749319333325686</v>
      </c>
      <c r="Y205" s="134">
        <v>33</v>
      </c>
      <c r="Z205" s="132">
        <v>0.49141449272693455</v>
      </c>
      <c r="AA205" s="134">
        <v>30</v>
      </c>
      <c r="AB205" s="132">
        <v>0.37997993833341753</v>
      </c>
      <c r="AC205" s="15"/>
      <c r="AD205" s="12"/>
      <c r="AE205" s="15"/>
      <c r="AF205" s="12"/>
      <c r="AG205" s="15"/>
      <c r="AH205" s="12"/>
      <c r="AI205" s="15"/>
      <c r="AK205" s="15"/>
      <c r="AM205" s="15"/>
      <c r="AN205" s="12"/>
      <c r="AP205" s="84">
        <v>387</v>
      </c>
      <c r="AQ205" s="84">
        <v>281</v>
      </c>
      <c r="AR205" s="84">
        <v>440</v>
      </c>
      <c r="AS205">
        <v>303</v>
      </c>
      <c r="AT205">
        <v>267</v>
      </c>
      <c r="AU205">
        <v>147</v>
      </c>
      <c r="BF205" s="84"/>
      <c r="BG205" s="84"/>
      <c r="BH205" s="84"/>
    </row>
    <row r="206" spans="1:60" ht="16" thickBot="1" x14ac:dyDescent="0.25">
      <c r="A206" s="5">
        <v>99228</v>
      </c>
      <c r="B206" t="s">
        <v>137</v>
      </c>
      <c r="Q206" s="15"/>
      <c r="R206" s="132"/>
      <c r="S206" s="15"/>
      <c r="T206" s="132"/>
      <c r="U206" s="124"/>
      <c r="V206" s="34"/>
      <c r="W206" s="134"/>
      <c r="X206" s="132"/>
      <c r="Y206" s="134"/>
      <c r="Z206" s="132"/>
      <c r="AA206" s="134"/>
      <c r="AB206" s="132"/>
      <c r="AC206" s="15"/>
      <c r="AD206" s="12"/>
      <c r="AE206" s="15"/>
      <c r="AF206" s="12"/>
      <c r="AG206" s="15"/>
      <c r="AH206" s="12"/>
      <c r="AI206" s="15"/>
      <c r="AK206" s="15"/>
      <c r="AM206" s="15"/>
      <c r="AN206" s="12"/>
      <c r="AP206" s="84"/>
      <c r="AQ206" s="84"/>
      <c r="AR206" s="84"/>
      <c r="AS206" s="84"/>
      <c r="AT206" s="84"/>
      <c r="AU206" s="84"/>
      <c r="BF206" s="85"/>
      <c r="BG206" s="85"/>
      <c r="BH206" s="85"/>
    </row>
    <row r="207" spans="1:60" ht="16" thickBot="1" x14ac:dyDescent="0.25">
      <c r="A207" s="5" t="s">
        <v>127</v>
      </c>
      <c r="B207" t="s">
        <v>137</v>
      </c>
      <c r="Q207" s="15"/>
      <c r="R207" s="132"/>
      <c r="S207" s="15"/>
      <c r="T207" s="132"/>
      <c r="U207" s="15"/>
      <c r="V207" s="34"/>
      <c r="W207" s="134"/>
      <c r="X207" s="132"/>
      <c r="Y207" s="134"/>
      <c r="Z207" s="132"/>
      <c r="AA207" s="134"/>
      <c r="AB207" s="132"/>
      <c r="AC207" s="15"/>
      <c r="AD207" s="12"/>
      <c r="AE207" s="15"/>
      <c r="AF207" s="12"/>
      <c r="AG207" s="15"/>
      <c r="AH207" s="12"/>
      <c r="AI207" s="15"/>
      <c r="AK207" s="15"/>
      <c r="AM207" s="15"/>
      <c r="AN207" s="12"/>
      <c r="AP207" s="85"/>
      <c r="AQ207" s="85"/>
      <c r="AR207" s="85"/>
      <c r="AS207" s="85"/>
      <c r="AT207" s="85"/>
      <c r="AU207" s="85"/>
      <c r="BF207" s="85"/>
      <c r="BG207" s="85"/>
      <c r="BH207" s="85"/>
    </row>
    <row r="208" spans="1:60" ht="16" thickBot="1" x14ac:dyDescent="0.25">
      <c r="A208" s="5" t="s">
        <v>128</v>
      </c>
      <c r="B208" t="s">
        <v>137</v>
      </c>
      <c r="Q208" s="15"/>
      <c r="R208" s="132"/>
      <c r="S208" s="15"/>
      <c r="T208" s="132"/>
      <c r="U208" s="15"/>
      <c r="V208" s="34"/>
      <c r="W208" s="134"/>
      <c r="X208" s="132"/>
      <c r="Y208" s="134"/>
      <c r="Z208" s="132"/>
      <c r="AA208" s="134"/>
      <c r="AB208" s="132"/>
      <c r="AC208" s="15"/>
      <c r="AD208" s="12"/>
      <c r="AE208" s="15"/>
      <c r="AF208" s="12"/>
      <c r="AG208" s="15"/>
      <c r="AH208" s="12"/>
      <c r="AI208" s="15"/>
      <c r="AK208" s="15"/>
      <c r="AM208" s="15"/>
      <c r="AN208" s="12"/>
      <c r="AP208" s="84">
        <v>3</v>
      </c>
      <c r="AQ208" s="84">
        <v>4</v>
      </c>
      <c r="AR208" s="84">
        <v>4</v>
      </c>
      <c r="AS208" s="84"/>
      <c r="AT208" s="84"/>
      <c r="AU208" s="84"/>
      <c r="BF208" s="84"/>
      <c r="BG208" s="85"/>
      <c r="BH208" s="85"/>
    </row>
    <row r="209" spans="1:66" ht="16" thickBot="1" x14ac:dyDescent="0.25">
      <c r="A209" s="5" t="s">
        <v>129</v>
      </c>
      <c r="B209" t="s">
        <v>137</v>
      </c>
      <c r="Q209" s="15"/>
      <c r="R209" s="132"/>
      <c r="S209" s="15"/>
      <c r="T209" s="132"/>
      <c r="U209" s="15"/>
      <c r="V209" s="34"/>
      <c r="W209" s="134"/>
      <c r="X209" s="132"/>
      <c r="Y209" s="134"/>
      <c r="Z209" s="132"/>
      <c r="AA209" s="134"/>
      <c r="AB209" s="132"/>
      <c r="AC209" s="15"/>
      <c r="AD209" s="12"/>
      <c r="AE209" s="15"/>
      <c r="AF209" s="12"/>
      <c r="AG209" s="15"/>
      <c r="AH209" s="12"/>
      <c r="AI209" s="15"/>
      <c r="AK209" s="15"/>
      <c r="AM209" s="15"/>
      <c r="AN209" s="12"/>
      <c r="AP209" s="85"/>
      <c r="AQ209" s="85"/>
      <c r="AR209" s="85"/>
      <c r="AS209" s="85"/>
      <c r="AT209" s="85"/>
      <c r="AU209" s="85"/>
      <c r="BF209" s="85"/>
      <c r="BG209" s="85"/>
      <c r="BH209" s="85"/>
    </row>
    <row r="210" spans="1:66" ht="16" thickBot="1" x14ac:dyDescent="0.25">
      <c r="A210" s="5" t="s">
        <v>130</v>
      </c>
      <c r="B210" t="s">
        <v>137</v>
      </c>
      <c r="D210">
        <v>1</v>
      </c>
      <c r="E210">
        <v>2</v>
      </c>
      <c r="F210">
        <v>2</v>
      </c>
      <c r="G210">
        <v>4</v>
      </c>
      <c r="H210">
        <v>1</v>
      </c>
      <c r="I210">
        <v>1</v>
      </c>
      <c r="Q210" s="15">
        <v>1</v>
      </c>
      <c r="R210" s="132">
        <v>5.1354170005652122E-2</v>
      </c>
      <c r="S210" s="15">
        <v>1</v>
      </c>
      <c r="T210" s="132">
        <v>9.3518499998026527E-3</v>
      </c>
      <c r="U210" s="15">
        <v>1</v>
      </c>
      <c r="V210" s="34">
        <v>2.7326389994414058E-2</v>
      </c>
      <c r="W210" s="134">
        <v>4</v>
      </c>
      <c r="X210" s="132">
        <v>7.4794557500354131E-2</v>
      </c>
      <c r="Y210" s="134">
        <v>1</v>
      </c>
      <c r="Z210" s="132">
        <v>6.4317129996197764E-2</v>
      </c>
      <c r="AA210" s="134">
        <v>1</v>
      </c>
      <c r="AB210" s="132">
        <v>7.3611100015114062E-3</v>
      </c>
      <c r="AC210" s="15"/>
      <c r="AD210" s="12"/>
      <c r="AE210" s="15"/>
      <c r="AF210" s="12"/>
      <c r="AG210" s="15"/>
      <c r="AH210" s="12"/>
      <c r="AI210" s="15"/>
      <c r="AK210" s="15"/>
      <c r="AM210" s="15"/>
      <c r="AN210" s="12"/>
      <c r="AP210" s="84">
        <v>22</v>
      </c>
      <c r="AQ210" s="84">
        <v>25</v>
      </c>
      <c r="AR210" s="84">
        <v>19</v>
      </c>
      <c r="AS210" s="84">
        <v>14</v>
      </c>
      <c r="AT210" s="84">
        <v>9</v>
      </c>
      <c r="AU210" s="84">
        <v>10</v>
      </c>
      <c r="BF210" s="84"/>
      <c r="BG210" s="84"/>
      <c r="BH210" s="85"/>
    </row>
    <row r="211" spans="1:66" ht="16" thickBot="1" x14ac:dyDescent="0.25">
      <c r="A211" s="5" t="s">
        <v>131</v>
      </c>
      <c r="B211" t="s">
        <v>137</v>
      </c>
      <c r="D211">
        <v>34</v>
      </c>
      <c r="E211">
        <v>6</v>
      </c>
      <c r="F211">
        <v>35</v>
      </c>
      <c r="G211">
        <v>28</v>
      </c>
      <c r="H211">
        <v>25</v>
      </c>
      <c r="I211">
        <v>15</v>
      </c>
      <c r="Q211" s="15">
        <v>30</v>
      </c>
      <c r="R211" s="132">
        <v>0.25005208366637816</v>
      </c>
      <c r="S211" s="15">
        <v>5</v>
      </c>
      <c r="T211" s="132">
        <v>0.27543981399794576</v>
      </c>
      <c r="U211" s="134">
        <v>32</v>
      </c>
      <c r="V211" s="34">
        <v>0.20826027187558793</v>
      </c>
      <c r="W211" s="134">
        <v>26</v>
      </c>
      <c r="X211" s="132">
        <v>0.40526353307751167</v>
      </c>
      <c r="Y211" s="134">
        <v>25</v>
      </c>
      <c r="Z211" s="132">
        <v>0.11287870520056459</v>
      </c>
      <c r="AA211" s="134">
        <v>17</v>
      </c>
      <c r="AB211" s="132">
        <v>0.69937772235254458</v>
      </c>
      <c r="AC211" s="15"/>
      <c r="AD211" s="12"/>
      <c r="AE211" s="15"/>
      <c r="AF211" s="12"/>
      <c r="AG211" s="15"/>
      <c r="AH211" s="12"/>
      <c r="AI211" s="15"/>
      <c r="AK211" s="15"/>
      <c r="AM211" s="15"/>
      <c r="AN211" s="12"/>
      <c r="AP211" s="84">
        <v>254</v>
      </c>
      <c r="AQ211" s="84">
        <v>246</v>
      </c>
      <c r="AR211" s="84">
        <v>267</v>
      </c>
      <c r="AS211" s="84">
        <v>215</v>
      </c>
      <c r="AT211" s="84">
        <v>125</v>
      </c>
      <c r="AU211" s="84">
        <v>118</v>
      </c>
      <c r="BF211" s="84"/>
      <c r="BG211" s="84"/>
      <c r="BH211" s="84"/>
    </row>
    <row r="212" spans="1:66" ht="16" thickBot="1" x14ac:dyDescent="0.25">
      <c r="A212" s="5" t="s">
        <v>132</v>
      </c>
      <c r="B212" t="s">
        <v>137</v>
      </c>
      <c r="D212">
        <v>2</v>
      </c>
      <c r="G212">
        <v>1</v>
      </c>
      <c r="I212">
        <v>1</v>
      </c>
      <c r="Q212" s="15">
        <v>1</v>
      </c>
      <c r="R212" s="132">
        <v>7.3842600031639449E-3</v>
      </c>
      <c r="S212" s="15"/>
      <c r="T212" s="132"/>
      <c r="U212" s="135"/>
      <c r="V212" s="34"/>
      <c r="W212" s="134">
        <v>1</v>
      </c>
      <c r="X212" s="132">
        <v>8.7731500025256537E-3</v>
      </c>
      <c r="Y212" s="134"/>
      <c r="Z212" s="132"/>
      <c r="AA212" s="134">
        <v>1</v>
      </c>
      <c r="AB212" s="132">
        <v>1.2639004599986947</v>
      </c>
      <c r="AC212" s="15"/>
      <c r="AD212" s="12"/>
      <c r="AE212" s="15"/>
      <c r="AF212" s="12"/>
      <c r="AG212" s="15"/>
      <c r="AH212" s="12"/>
      <c r="AI212" s="15"/>
      <c r="AK212" s="15"/>
      <c r="AM212" s="15"/>
      <c r="AN212" s="12"/>
      <c r="AP212" s="84">
        <v>7</v>
      </c>
      <c r="AQ212" s="84">
        <v>7</v>
      </c>
      <c r="AR212" s="84">
        <v>9</v>
      </c>
      <c r="AS212" s="84">
        <v>4</v>
      </c>
      <c r="AT212" s="84">
        <v>5</v>
      </c>
      <c r="AU212" s="85">
        <v>4</v>
      </c>
      <c r="BF212" s="84"/>
      <c r="BG212" s="84"/>
      <c r="BH212" s="85"/>
    </row>
    <row r="213" spans="1:66" ht="16" thickBot="1" x14ac:dyDescent="0.25">
      <c r="A213" s="5" t="s">
        <v>133</v>
      </c>
      <c r="B213" t="s">
        <v>137</v>
      </c>
      <c r="D213">
        <v>5</v>
      </c>
      <c r="E213">
        <v>2</v>
      </c>
      <c r="F213">
        <v>6</v>
      </c>
      <c r="G213">
        <v>4</v>
      </c>
      <c r="H213">
        <v>2</v>
      </c>
      <c r="Q213" s="15">
        <v>5</v>
      </c>
      <c r="R213" s="132">
        <v>6.1810188001254575E-2</v>
      </c>
      <c r="S213" s="15">
        <v>1</v>
      </c>
      <c r="T213" s="132">
        <v>8.4490700028254651E-3</v>
      </c>
      <c r="U213" s="15">
        <v>7</v>
      </c>
      <c r="V213" s="34">
        <v>0.55471891571297804</v>
      </c>
      <c r="W213" s="134">
        <v>4</v>
      </c>
      <c r="X213" s="132">
        <v>5.4256364999673679E-2</v>
      </c>
      <c r="Y213" s="134">
        <v>2</v>
      </c>
      <c r="Z213" s="132">
        <v>0.22940972000287729</v>
      </c>
      <c r="AA213" s="134"/>
      <c r="AB213" s="132"/>
      <c r="AC213" s="15"/>
      <c r="AD213" s="12"/>
      <c r="AE213" s="15"/>
      <c r="AF213" s="12"/>
      <c r="AG213" s="15"/>
      <c r="AH213" s="12"/>
      <c r="AI213" s="15"/>
      <c r="AK213" s="15"/>
      <c r="AM213" s="15"/>
      <c r="AN213" s="12"/>
      <c r="AP213" s="84">
        <v>33</v>
      </c>
      <c r="AQ213" s="85"/>
      <c r="AR213" s="84">
        <v>34</v>
      </c>
      <c r="AS213" s="84">
        <v>33</v>
      </c>
      <c r="AT213" s="84">
        <v>13</v>
      </c>
      <c r="AU213" s="84">
        <v>19</v>
      </c>
      <c r="BF213" s="84"/>
      <c r="BG213" s="84"/>
      <c r="BH213" s="85"/>
    </row>
    <row r="214" spans="1:66" ht="16" thickBot="1" x14ac:dyDescent="0.25">
      <c r="A214" s="5" t="s">
        <v>134</v>
      </c>
      <c r="B214" t="s">
        <v>137</v>
      </c>
      <c r="D214">
        <v>71</v>
      </c>
      <c r="E214">
        <v>8</v>
      </c>
      <c r="F214">
        <v>41</v>
      </c>
      <c r="G214">
        <v>54</v>
      </c>
      <c r="H214">
        <v>38</v>
      </c>
      <c r="I214">
        <v>32</v>
      </c>
      <c r="Q214" s="15">
        <v>63</v>
      </c>
      <c r="R214" s="132">
        <v>0.13264660507908077</v>
      </c>
      <c r="S214" s="15">
        <v>5</v>
      </c>
      <c r="T214" s="132">
        <v>6.1481479999201838E-2</v>
      </c>
      <c r="U214" s="15">
        <v>32</v>
      </c>
      <c r="V214" s="34">
        <v>0.12760199656213445</v>
      </c>
      <c r="W214" s="134">
        <v>54</v>
      </c>
      <c r="X214" s="132">
        <v>0.32179333796308063</v>
      </c>
      <c r="Y214" s="134">
        <v>37</v>
      </c>
      <c r="Z214" s="132">
        <v>0.477893518918938</v>
      </c>
      <c r="AA214" s="134">
        <v>30</v>
      </c>
      <c r="AB214" s="132">
        <v>0.41889351866702784</v>
      </c>
      <c r="AC214" s="15"/>
      <c r="AD214" s="12"/>
      <c r="AE214" s="15"/>
      <c r="AF214" s="12"/>
      <c r="AG214" s="15"/>
      <c r="AH214" s="12"/>
      <c r="AI214" s="15"/>
      <c r="AK214" s="15"/>
      <c r="AM214" s="15"/>
      <c r="AN214" s="12"/>
      <c r="AP214" s="84">
        <v>322</v>
      </c>
      <c r="AQ214" s="84">
        <v>326</v>
      </c>
      <c r="AR214" s="84">
        <v>321</v>
      </c>
      <c r="AS214" s="84">
        <v>254</v>
      </c>
      <c r="AT214" s="84">
        <v>169</v>
      </c>
      <c r="AU214" s="84">
        <v>182</v>
      </c>
      <c r="BC214" s="13"/>
      <c r="BD214" s="13"/>
      <c r="BE214" s="13"/>
      <c r="BF214" s="115"/>
      <c r="BG214" s="115"/>
      <c r="BH214" s="115"/>
      <c r="BI214" s="13"/>
      <c r="BJ214" s="13"/>
      <c r="BK214" s="13"/>
      <c r="BL214" s="13"/>
      <c r="BM214" s="13"/>
      <c r="BN214" s="13"/>
    </row>
    <row r="215" spans="1:66" ht="16" thickBot="1" x14ac:dyDescent="0.25">
      <c r="A215" s="294" t="s">
        <v>258</v>
      </c>
      <c r="B215" s="294"/>
      <c r="D215" s="185">
        <f t="shared" ref="D215:AI215" si="3">SUM(D110:D214)</f>
        <v>1248</v>
      </c>
      <c r="E215" s="62">
        <f t="shared" si="3"/>
        <v>194</v>
      </c>
      <c r="F215" s="62">
        <f t="shared" si="3"/>
        <v>1714</v>
      </c>
      <c r="G215" s="62">
        <f t="shared" si="3"/>
        <v>1389</v>
      </c>
      <c r="H215" s="62">
        <f t="shared" si="3"/>
        <v>1004</v>
      </c>
      <c r="I215" s="62">
        <f t="shared" si="3"/>
        <v>1027</v>
      </c>
      <c r="J215" s="62">
        <f t="shared" si="3"/>
        <v>0</v>
      </c>
      <c r="K215" s="62">
        <f t="shared" si="3"/>
        <v>0</v>
      </c>
      <c r="L215" s="62">
        <f t="shared" si="3"/>
        <v>0</v>
      </c>
      <c r="M215" s="62">
        <f t="shared" si="3"/>
        <v>0</v>
      </c>
      <c r="N215" s="62">
        <f t="shared" si="3"/>
        <v>0</v>
      </c>
      <c r="O215" s="62">
        <f t="shared" si="3"/>
        <v>0</v>
      </c>
      <c r="P215" s="62">
        <f t="shared" si="3"/>
        <v>0</v>
      </c>
      <c r="Q215" s="62">
        <f t="shared" si="3"/>
        <v>1090</v>
      </c>
      <c r="R215" s="223">
        <f>AVERAGE(R110:R214)</f>
        <v>0.32859784376572448</v>
      </c>
      <c r="S215" s="62">
        <f t="shared" si="3"/>
        <v>168</v>
      </c>
      <c r="T215" s="223">
        <f>AVERAGE(T110:T214)</f>
        <v>0.49275486291690274</v>
      </c>
      <c r="U215" s="62">
        <f t="shared" si="3"/>
        <v>1430</v>
      </c>
      <c r="V215" s="223">
        <f>AVERAGE(V110:V214)</f>
        <v>0.38499815575578195</v>
      </c>
      <c r="W215" s="62">
        <f t="shared" si="3"/>
        <v>1327</v>
      </c>
      <c r="X215" s="223">
        <f>AVERAGE(X110:X214)</f>
        <v>0.28353025835902168</v>
      </c>
      <c r="Y215" s="62">
        <f t="shared" si="3"/>
        <v>977</v>
      </c>
      <c r="Z215" s="223">
        <f>AVERAGE(Z110:Z214)</f>
        <v>0.41723315592719462</v>
      </c>
      <c r="AA215" s="62">
        <f t="shared" si="3"/>
        <v>953</v>
      </c>
      <c r="AB215" s="223">
        <f>AVERAGE(AB110:AB214)</f>
        <v>0.46672775258432331</v>
      </c>
      <c r="AC215" s="62">
        <f t="shared" si="3"/>
        <v>0</v>
      </c>
      <c r="AD215" s="62">
        <f t="shared" si="3"/>
        <v>0</v>
      </c>
      <c r="AE215" s="62">
        <f t="shared" si="3"/>
        <v>0</v>
      </c>
      <c r="AF215" s="62">
        <f t="shared" si="3"/>
        <v>0</v>
      </c>
      <c r="AG215" s="62">
        <f t="shared" si="3"/>
        <v>0</v>
      </c>
      <c r="AH215" s="62">
        <f t="shared" si="3"/>
        <v>0</v>
      </c>
      <c r="AI215" s="62">
        <f t="shared" si="3"/>
        <v>0</v>
      </c>
      <c r="AJ215" s="62">
        <f t="shared" ref="AJ215:BA215" si="4">SUM(AJ110:AJ214)</f>
        <v>0</v>
      </c>
      <c r="AK215" s="62">
        <f t="shared" si="4"/>
        <v>0</v>
      </c>
      <c r="AL215" s="62">
        <f t="shared" si="4"/>
        <v>0</v>
      </c>
      <c r="AM215" s="185">
        <f t="shared" si="4"/>
        <v>0</v>
      </c>
      <c r="AN215" s="190">
        <f t="shared" si="4"/>
        <v>0</v>
      </c>
      <c r="AO215" s="62">
        <f t="shared" si="4"/>
        <v>0</v>
      </c>
      <c r="AP215" s="62">
        <f t="shared" si="4"/>
        <v>12093</v>
      </c>
      <c r="AQ215" s="62">
        <f t="shared" si="4"/>
        <v>11820</v>
      </c>
      <c r="AR215" s="62">
        <f t="shared" si="4"/>
        <v>12349</v>
      </c>
      <c r="AS215" s="62">
        <f t="shared" si="4"/>
        <v>9298</v>
      </c>
      <c r="AT215" s="62">
        <f t="shared" si="4"/>
        <v>7823</v>
      </c>
      <c r="AU215" s="62">
        <f t="shared" si="4"/>
        <v>5831</v>
      </c>
      <c r="AV215" s="62">
        <f t="shared" si="4"/>
        <v>0</v>
      </c>
      <c r="AW215" s="62">
        <f t="shared" si="4"/>
        <v>0</v>
      </c>
      <c r="AX215" s="62">
        <f t="shared" si="4"/>
        <v>0</v>
      </c>
      <c r="AY215" s="62">
        <f t="shared" si="4"/>
        <v>0</v>
      </c>
      <c r="AZ215" s="62">
        <f t="shared" si="4"/>
        <v>0</v>
      </c>
      <c r="BA215" s="190">
        <f t="shared" si="4"/>
        <v>0</v>
      </c>
      <c r="BF215" s="215"/>
      <c r="BG215" s="215"/>
      <c r="BH215" s="215"/>
    </row>
    <row r="216" spans="1:66" ht="16" thickBot="1" x14ac:dyDescent="0.25">
      <c r="A216" s="5" t="s">
        <v>31</v>
      </c>
      <c r="B216" t="s">
        <v>135</v>
      </c>
      <c r="Q216" s="15"/>
      <c r="R216" s="132"/>
      <c r="S216" s="15"/>
      <c r="T216" s="132"/>
      <c r="U216" s="15"/>
      <c r="V216" s="34"/>
      <c r="W216" s="134"/>
      <c r="X216" s="132"/>
      <c r="Y216" s="124"/>
      <c r="Z216" s="132"/>
      <c r="AA216" s="124"/>
      <c r="AB216" s="132"/>
      <c r="AE216" s="15"/>
      <c r="AF216" s="12"/>
      <c r="AI216" s="15"/>
      <c r="AK216" s="15"/>
      <c r="AM216" s="15"/>
      <c r="AN216" s="12"/>
      <c r="BF216" s="85"/>
      <c r="BG216" s="85"/>
      <c r="BH216" s="85"/>
    </row>
    <row r="217" spans="1:66" ht="16" thickBot="1" x14ac:dyDescent="0.25">
      <c r="A217" s="5" t="s">
        <v>32</v>
      </c>
      <c r="B217" t="s">
        <v>135</v>
      </c>
      <c r="Q217" s="15"/>
      <c r="R217" s="132"/>
      <c r="S217" s="15"/>
      <c r="T217" s="132"/>
      <c r="U217" s="15"/>
      <c r="V217" s="34"/>
      <c r="W217" s="134"/>
      <c r="X217" s="132"/>
      <c r="Y217" s="124"/>
      <c r="Z217" s="132"/>
      <c r="AA217" s="124"/>
      <c r="AB217" s="132"/>
      <c r="AE217" s="15"/>
      <c r="AF217" s="12"/>
      <c r="AI217" s="15"/>
      <c r="AK217" s="15"/>
      <c r="AM217" s="15"/>
      <c r="AN217" s="12"/>
      <c r="BF217" s="85"/>
      <c r="BG217" s="85"/>
      <c r="BH217" s="85"/>
    </row>
    <row r="218" spans="1:66" ht="16" thickBot="1" x14ac:dyDescent="0.25">
      <c r="A218" s="5" t="s">
        <v>33</v>
      </c>
      <c r="B218" t="s">
        <v>135</v>
      </c>
      <c r="Q218" s="15"/>
      <c r="R218" s="132"/>
      <c r="S218" s="15"/>
      <c r="T218" s="132"/>
      <c r="U218" s="15"/>
      <c r="V218" s="34"/>
      <c r="W218" s="134"/>
      <c r="X218" s="132"/>
      <c r="Y218" s="124"/>
      <c r="Z218" s="132"/>
      <c r="AA218" s="124"/>
      <c r="AB218" s="132"/>
      <c r="AE218" s="15"/>
      <c r="AF218" s="12"/>
      <c r="AI218" s="15"/>
      <c r="AK218" s="15"/>
      <c r="AM218" s="15"/>
      <c r="AN218" s="12"/>
      <c r="BF218" s="85"/>
      <c r="BG218" s="85"/>
      <c r="BH218" s="85"/>
    </row>
    <row r="219" spans="1:66" ht="16" thickBot="1" x14ac:dyDescent="0.25">
      <c r="A219" s="5" t="s">
        <v>34</v>
      </c>
      <c r="B219" t="s">
        <v>135</v>
      </c>
      <c r="Q219" s="15"/>
      <c r="R219" s="132"/>
      <c r="S219" s="15"/>
      <c r="T219" s="132"/>
      <c r="U219" s="15"/>
      <c r="V219" s="34"/>
      <c r="W219" s="134"/>
      <c r="X219" s="132"/>
      <c r="Y219" s="124"/>
      <c r="Z219" s="132"/>
      <c r="AA219" s="124"/>
      <c r="AB219" s="132"/>
      <c r="AE219" s="15"/>
      <c r="AF219" s="12"/>
      <c r="AI219" s="15"/>
      <c r="AK219" s="15"/>
      <c r="AM219" s="15"/>
      <c r="AN219" s="12"/>
      <c r="BF219" s="85"/>
      <c r="BG219" s="85"/>
      <c r="BH219" s="85"/>
    </row>
    <row r="220" spans="1:66" ht="16" thickBot="1" x14ac:dyDescent="0.25">
      <c r="A220" s="5" t="s">
        <v>35</v>
      </c>
      <c r="B220" t="s">
        <v>135</v>
      </c>
      <c r="Q220" s="15"/>
      <c r="R220" s="132"/>
      <c r="S220" s="15"/>
      <c r="T220" s="132"/>
      <c r="U220" s="15"/>
      <c r="V220" s="34"/>
      <c r="W220" s="134"/>
      <c r="X220" s="132"/>
      <c r="Y220" s="124"/>
      <c r="Z220" s="132"/>
      <c r="AA220" s="124"/>
      <c r="AB220" s="132"/>
      <c r="AE220" s="15"/>
      <c r="AF220" s="12"/>
      <c r="AI220" s="15"/>
      <c r="AK220" s="15"/>
      <c r="AM220" s="15"/>
      <c r="AN220" s="12"/>
      <c r="BF220" s="84"/>
      <c r="BG220" s="84"/>
      <c r="BH220" s="85"/>
    </row>
    <row r="221" spans="1:66" ht="16" thickBot="1" x14ac:dyDescent="0.25">
      <c r="A221" s="5" t="s">
        <v>36</v>
      </c>
      <c r="B221" t="s">
        <v>135</v>
      </c>
      <c r="Q221" s="15"/>
      <c r="R221" s="132"/>
      <c r="S221" s="15"/>
      <c r="T221" s="132"/>
      <c r="U221" s="15"/>
      <c r="V221" s="34"/>
      <c r="W221" s="134"/>
      <c r="X221" s="132"/>
      <c r="Y221" s="124"/>
      <c r="Z221" s="132"/>
      <c r="AA221" s="124"/>
      <c r="AB221" s="132"/>
      <c r="AE221" s="15"/>
      <c r="AF221" s="12"/>
      <c r="AI221" s="15"/>
      <c r="AK221" s="15"/>
      <c r="AM221" s="15"/>
      <c r="AN221" s="12"/>
      <c r="BF221" s="85"/>
      <c r="BG221" s="85"/>
      <c r="BH221" s="85"/>
    </row>
    <row r="222" spans="1:66" ht="16" thickBot="1" x14ac:dyDescent="0.25">
      <c r="A222" s="5" t="s">
        <v>37</v>
      </c>
      <c r="B222" t="s">
        <v>135</v>
      </c>
      <c r="Q222" s="15"/>
      <c r="R222" s="132"/>
      <c r="S222" s="15"/>
      <c r="T222" s="132"/>
      <c r="U222" s="15"/>
      <c r="V222" s="34"/>
      <c r="W222" s="134"/>
      <c r="X222" s="132"/>
      <c r="Y222" s="124"/>
      <c r="Z222" s="132"/>
      <c r="AA222" s="124"/>
      <c r="AB222" s="132"/>
      <c r="AE222" s="15"/>
      <c r="AF222" s="12"/>
      <c r="AI222" s="15"/>
      <c r="AK222" s="15"/>
      <c r="AM222" s="15"/>
      <c r="AN222" s="12"/>
      <c r="BF222" s="85"/>
      <c r="BG222" s="85"/>
      <c r="BH222" s="85"/>
    </row>
    <row r="223" spans="1:66" ht="16" thickBot="1" x14ac:dyDescent="0.25">
      <c r="A223" s="5" t="s">
        <v>38</v>
      </c>
      <c r="B223" t="s">
        <v>135</v>
      </c>
      <c r="Q223" s="15"/>
      <c r="R223" s="132"/>
      <c r="S223" s="15"/>
      <c r="T223" s="132"/>
      <c r="U223" s="15"/>
      <c r="V223" s="34"/>
      <c r="W223" s="134"/>
      <c r="X223" s="132"/>
      <c r="Y223" s="124"/>
      <c r="Z223" s="132"/>
      <c r="AA223" s="124"/>
      <c r="AB223" s="132"/>
      <c r="AE223" s="15"/>
      <c r="AF223" s="12"/>
      <c r="AI223" s="15"/>
      <c r="AK223" s="15"/>
      <c r="AM223" s="15"/>
      <c r="AN223" s="12"/>
      <c r="BF223" s="85"/>
      <c r="BG223" s="85"/>
      <c r="BH223" s="85"/>
    </row>
    <row r="224" spans="1:66" ht="16" thickBot="1" x14ac:dyDescent="0.25">
      <c r="A224" s="5" t="s">
        <v>39</v>
      </c>
      <c r="B224" t="s">
        <v>135</v>
      </c>
      <c r="Q224" s="15"/>
      <c r="R224" s="132"/>
      <c r="S224" s="15"/>
      <c r="T224" s="132"/>
      <c r="U224" s="15"/>
      <c r="V224" s="34"/>
      <c r="W224" s="134"/>
      <c r="X224" s="132"/>
      <c r="Y224" s="124"/>
      <c r="Z224" s="132"/>
      <c r="AA224" s="124"/>
      <c r="AB224" s="132"/>
      <c r="AE224" s="15"/>
      <c r="AF224" s="12"/>
      <c r="AI224" s="15"/>
      <c r="AK224" s="15"/>
      <c r="AM224" s="15"/>
      <c r="AN224" s="12"/>
      <c r="BF224" s="85"/>
      <c r="BG224" s="85"/>
      <c r="BH224" s="85"/>
    </row>
    <row r="225" spans="1:60" ht="16" thickBot="1" x14ac:dyDescent="0.25">
      <c r="A225" s="5" t="s">
        <v>40</v>
      </c>
      <c r="B225" t="s">
        <v>135</v>
      </c>
      <c r="Q225" s="15"/>
      <c r="R225" s="132"/>
      <c r="S225" s="15"/>
      <c r="T225" s="132"/>
      <c r="U225" s="15"/>
      <c r="V225" s="34"/>
      <c r="W225" s="134"/>
      <c r="X225" s="132"/>
      <c r="Y225" s="124"/>
      <c r="Z225" s="132"/>
      <c r="AA225" s="124"/>
      <c r="AB225" s="132"/>
      <c r="AE225" s="15"/>
      <c r="AF225" s="12"/>
      <c r="AI225" s="15"/>
      <c r="AK225" s="15"/>
      <c r="AM225" s="15"/>
      <c r="AN225" s="12"/>
      <c r="BF225" s="85"/>
      <c r="BG225" s="85"/>
      <c r="BH225" s="85"/>
    </row>
    <row r="226" spans="1:60" ht="16" thickBot="1" x14ac:dyDescent="0.25">
      <c r="A226" s="5" t="s">
        <v>41</v>
      </c>
      <c r="B226" t="s">
        <v>135</v>
      </c>
      <c r="Q226" s="15"/>
      <c r="R226" s="132"/>
      <c r="S226" s="15"/>
      <c r="T226" s="132"/>
      <c r="U226" s="15"/>
      <c r="V226" s="34"/>
      <c r="W226" s="134"/>
      <c r="X226" s="132"/>
      <c r="Y226" s="124"/>
      <c r="Z226" s="132"/>
      <c r="AA226" s="124"/>
      <c r="AB226" s="132"/>
      <c r="AE226" s="15"/>
      <c r="AF226" s="12"/>
      <c r="AI226" s="15"/>
      <c r="AK226" s="15"/>
      <c r="AM226" s="15"/>
      <c r="AN226" s="12"/>
      <c r="BF226" s="85"/>
      <c r="BG226" s="85"/>
      <c r="BH226" s="85"/>
    </row>
    <row r="227" spans="1:60" ht="16" thickBot="1" x14ac:dyDescent="0.25">
      <c r="A227" s="5" t="s">
        <v>42</v>
      </c>
      <c r="B227" t="s">
        <v>135</v>
      </c>
      <c r="Q227" s="15"/>
      <c r="R227" s="132"/>
      <c r="S227" s="15"/>
      <c r="T227" s="132"/>
      <c r="U227" s="15"/>
      <c r="V227" s="34"/>
      <c r="W227" s="134"/>
      <c r="X227" s="132"/>
      <c r="Y227" s="124"/>
      <c r="Z227" s="132"/>
      <c r="AA227" s="124"/>
      <c r="AB227" s="132"/>
      <c r="AE227" s="15"/>
      <c r="AF227" s="12"/>
      <c r="AI227" s="15"/>
      <c r="AK227" s="15"/>
      <c r="AM227" s="15"/>
      <c r="AN227" s="12"/>
      <c r="BF227" s="85"/>
      <c r="BG227" s="85"/>
      <c r="BH227" s="85"/>
    </row>
    <row r="228" spans="1:60" ht="16" thickBot="1" x14ac:dyDescent="0.25">
      <c r="A228" s="5" t="s">
        <v>43</v>
      </c>
      <c r="B228" t="s">
        <v>135</v>
      </c>
      <c r="Q228" s="15"/>
      <c r="R228" s="132"/>
      <c r="S228" s="15"/>
      <c r="T228" s="132"/>
      <c r="U228" s="15"/>
      <c r="V228" s="34"/>
      <c r="W228" s="134"/>
      <c r="X228" s="132"/>
      <c r="Y228" s="124"/>
      <c r="Z228" s="132"/>
      <c r="AA228" s="124"/>
      <c r="AB228" s="132"/>
      <c r="AE228" s="15"/>
      <c r="AF228" s="12"/>
      <c r="AI228" s="15"/>
      <c r="AK228" s="15"/>
      <c r="AM228" s="15"/>
      <c r="AN228" s="12"/>
      <c r="BF228" s="85"/>
      <c r="BG228" s="85"/>
      <c r="BH228" s="85"/>
    </row>
    <row r="229" spans="1:60" ht="16" thickBot="1" x14ac:dyDescent="0.25">
      <c r="A229" s="5" t="s">
        <v>44</v>
      </c>
      <c r="B229" t="s">
        <v>135</v>
      </c>
      <c r="Q229" s="15"/>
      <c r="R229" s="132"/>
      <c r="S229" s="15"/>
      <c r="T229" s="132"/>
      <c r="U229" s="15"/>
      <c r="V229" s="34"/>
      <c r="W229" s="134"/>
      <c r="X229" s="132"/>
      <c r="Y229" s="124"/>
      <c r="Z229" s="132"/>
      <c r="AA229" s="124"/>
      <c r="AB229" s="132"/>
      <c r="AE229" s="15"/>
      <c r="AF229" s="12"/>
      <c r="AI229" s="15"/>
      <c r="AK229" s="15"/>
      <c r="AM229" s="15"/>
      <c r="AN229" s="12"/>
      <c r="BF229" s="85"/>
      <c r="BG229" s="85"/>
      <c r="BH229" s="85"/>
    </row>
    <row r="230" spans="1:60" ht="16" thickBot="1" x14ac:dyDescent="0.25">
      <c r="A230" s="5" t="s">
        <v>45</v>
      </c>
      <c r="B230" t="s">
        <v>135</v>
      </c>
      <c r="Q230" s="15"/>
      <c r="R230" s="132"/>
      <c r="S230" s="15"/>
      <c r="T230" s="132"/>
      <c r="U230" s="15"/>
      <c r="V230" s="34"/>
      <c r="W230" s="134"/>
      <c r="X230" s="132"/>
      <c r="Y230" s="124"/>
      <c r="Z230" s="132"/>
      <c r="AA230" s="124"/>
      <c r="AB230" s="132"/>
      <c r="AE230" s="15"/>
      <c r="AF230" s="12"/>
      <c r="AI230" s="15"/>
      <c r="AK230" s="15"/>
      <c r="AM230" s="15"/>
      <c r="AN230" s="12"/>
      <c r="BF230" s="85"/>
      <c r="BG230" s="85"/>
      <c r="BH230" s="85"/>
    </row>
    <row r="231" spans="1:60" ht="16" thickBot="1" x14ac:dyDescent="0.25">
      <c r="A231" s="5" t="s">
        <v>46</v>
      </c>
      <c r="B231" t="s">
        <v>135</v>
      </c>
      <c r="Q231" s="15"/>
      <c r="R231" s="132"/>
      <c r="S231" s="15"/>
      <c r="T231" s="132"/>
      <c r="U231" s="15"/>
      <c r="V231" s="34"/>
      <c r="W231" s="134"/>
      <c r="X231" s="132"/>
      <c r="Y231" s="124"/>
      <c r="Z231" s="132"/>
      <c r="AA231" s="124"/>
      <c r="AB231" s="132"/>
      <c r="AE231" s="15"/>
      <c r="AF231" s="12"/>
      <c r="AI231" s="15"/>
      <c r="AK231" s="15"/>
      <c r="AM231" s="15"/>
      <c r="AN231" s="12"/>
      <c r="BF231" s="85"/>
      <c r="BG231" s="85"/>
      <c r="BH231" s="85"/>
    </row>
    <row r="232" spans="1:60" ht="16" thickBot="1" x14ac:dyDescent="0.25">
      <c r="A232" s="5" t="s">
        <v>47</v>
      </c>
      <c r="B232" t="s">
        <v>135</v>
      </c>
      <c r="Q232" s="15"/>
      <c r="R232" s="132"/>
      <c r="S232" s="15"/>
      <c r="T232" s="132"/>
      <c r="U232" s="15"/>
      <c r="V232" s="34"/>
      <c r="W232" s="134"/>
      <c r="X232" s="132"/>
      <c r="Y232" s="124"/>
      <c r="Z232" s="132"/>
      <c r="AA232" s="124"/>
      <c r="AB232" s="132"/>
      <c r="AE232" s="15"/>
      <c r="AF232" s="12"/>
      <c r="AI232" s="15"/>
      <c r="AK232" s="15"/>
      <c r="AM232" s="15"/>
      <c r="AN232" s="12"/>
      <c r="BF232" s="84"/>
      <c r="BG232" s="85"/>
      <c r="BH232" s="85"/>
    </row>
    <row r="233" spans="1:60" ht="16" thickBot="1" x14ac:dyDescent="0.25">
      <c r="A233" s="5" t="s">
        <v>48</v>
      </c>
      <c r="B233" t="s">
        <v>135</v>
      </c>
      <c r="Q233" s="15"/>
      <c r="R233" s="132"/>
      <c r="S233" s="15"/>
      <c r="T233" s="132"/>
      <c r="U233" s="15"/>
      <c r="V233" s="34"/>
      <c r="W233" s="134"/>
      <c r="X233" s="132"/>
      <c r="Y233" s="124"/>
      <c r="Z233" s="132"/>
      <c r="AA233" s="124"/>
      <c r="AB233" s="132"/>
      <c r="AE233" s="15"/>
      <c r="AF233" s="12"/>
      <c r="AI233" s="15"/>
      <c r="AK233" s="15"/>
      <c r="AM233" s="15"/>
      <c r="AN233" s="12"/>
      <c r="BF233" s="85"/>
      <c r="BG233" s="85"/>
      <c r="BH233" s="85"/>
    </row>
    <row r="234" spans="1:60" ht="16" thickBot="1" x14ac:dyDescent="0.25">
      <c r="A234" s="5" t="s">
        <v>49</v>
      </c>
      <c r="B234" t="s">
        <v>135</v>
      </c>
      <c r="Q234" s="15"/>
      <c r="R234" s="132"/>
      <c r="S234" s="15"/>
      <c r="T234" s="132"/>
      <c r="U234" s="15"/>
      <c r="V234" s="34"/>
      <c r="W234" s="134"/>
      <c r="X234" s="132"/>
      <c r="Y234" s="124"/>
      <c r="Z234" s="132"/>
      <c r="AA234" s="124"/>
      <c r="AB234" s="132"/>
      <c r="AE234" s="15"/>
      <c r="AF234" s="12"/>
      <c r="AI234" s="15"/>
      <c r="AK234" s="15"/>
      <c r="AM234" s="15"/>
      <c r="AN234" s="12"/>
      <c r="BF234" s="85"/>
      <c r="BG234" s="85"/>
      <c r="BH234" s="85"/>
    </row>
    <row r="235" spans="1:60" ht="16" thickBot="1" x14ac:dyDescent="0.25">
      <c r="A235" s="5" t="s">
        <v>50</v>
      </c>
      <c r="B235" t="s">
        <v>135</v>
      </c>
      <c r="Q235" s="15"/>
      <c r="R235" s="132"/>
      <c r="S235" s="15"/>
      <c r="T235" s="132"/>
      <c r="U235" s="15"/>
      <c r="V235" s="34"/>
      <c r="W235" s="134"/>
      <c r="X235" s="132"/>
      <c r="Y235" s="124"/>
      <c r="Z235" s="132"/>
      <c r="AA235" s="124"/>
      <c r="AB235" s="132"/>
      <c r="AE235" s="15"/>
      <c r="AF235" s="12"/>
      <c r="AI235" s="15"/>
      <c r="AK235" s="15"/>
      <c r="AM235" s="15"/>
      <c r="AN235" s="12"/>
      <c r="BF235" s="85"/>
      <c r="BG235" s="85"/>
      <c r="BH235" s="85"/>
    </row>
    <row r="236" spans="1:60" ht="16" thickBot="1" x14ac:dyDescent="0.25">
      <c r="A236" s="5" t="s">
        <v>51</v>
      </c>
      <c r="B236" t="s">
        <v>135</v>
      </c>
      <c r="Q236" s="15"/>
      <c r="R236" s="132"/>
      <c r="S236" s="15"/>
      <c r="T236" s="132"/>
      <c r="U236" s="15"/>
      <c r="V236" s="34"/>
      <c r="W236" s="134"/>
      <c r="X236" s="132"/>
      <c r="Y236" s="124"/>
      <c r="Z236" s="132"/>
      <c r="AA236" s="124"/>
      <c r="AB236" s="132"/>
      <c r="AE236" s="15"/>
      <c r="AF236" s="12"/>
      <c r="AI236" s="15"/>
      <c r="AK236" s="15"/>
      <c r="AM236" s="15"/>
      <c r="AN236" s="12"/>
      <c r="BF236" s="85"/>
      <c r="BG236" s="85"/>
      <c r="BH236" s="85"/>
    </row>
    <row r="237" spans="1:60" ht="16" thickBot="1" x14ac:dyDescent="0.25">
      <c r="A237" s="5" t="s">
        <v>52</v>
      </c>
      <c r="B237" t="s">
        <v>135</v>
      </c>
      <c r="Q237" s="15"/>
      <c r="R237" s="132"/>
      <c r="S237" s="15"/>
      <c r="T237" s="132"/>
      <c r="U237" s="15"/>
      <c r="V237" s="34"/>
      <c r="W237" s="134"/>
      <c r="X237" s="132"/>
      <c r="Y237" s="124"/>
      <c r="Z237" s="132"/>
      <c r="AA237" s="124"/>
      <c r="AB237" s="132"/>
      <c r="AE237" s="15"/>
      <c r="AF237" s="12"/>
      <c r="AI237" s="15"/>
      <c r="AK237" s="15"/>
      <c r="AM237" s="15"/>
      <c r="AN237" s="12"/>
      <c r="BF237" s="85"/>
      <c r="BG237" s="85"/>
      <c r="BH237" s="85"/>
    </row>
    <row r="238" spans="1:60" ht="16" thickBot="1" x14ac:dyDescent="0.25">
      <c r="A238" s="5" t="s">
        <v>53</v>
      </c>
      <c r="B238" t="s">
        <v>135</v>
      </c>
      <c r="Q238" s="15"/>
      <c r="R238" s="132"/>
      <c r="S238" s="15"/>
      <c r="T238" s="132"/>
      <c r="U238" s="15"/>
      <c r="V238" s="34"/>
      <c r="W238" s="134"/>
      <c r="X238" s="132"/>
      <c r="Y238" s="124"/>
      <c r="Z238" s="132"/>
      <c r="AA238" s="124"/>
      <c r="AB238" s="132"/>
      <c r="AE238" s="15"/>
      <c r="AF238" s="12"/>
      <c r="AI238" s="15"/>
      <c r="AK238" s="15"/>
      <c r="AM238" s="15"/>
      <c r="AN238" s="12"/>
      <c r="BF238" s="85"/>
      <c r="BG238" s="85"/>
      <c r="BH238" s="85"/>
    </row>
    <row r="239" spans="1:60" ht="16" thickBot="1" x14ac:dyDescent="0.25">
      <c r="A239" s="5" t="s">
        <v>54</v>
      </c>
      <c r="B239" t="s">
        <v>135</v>
      </c>
      <c r="Q239" s="15"/>
      <c r="R239" s="132"/>
      <c r="S239" s="15"/>
      <c r="T239" s="132"/>
      <c r="U239" s="15"/>
      <c r="V239" s="34"/>
      <c r="W239" s="134"/>
      <c r="X239" s="132"/>
      <c r="Y239" s="124"/>
      <c r="Z239" s="132"/>
      <c r="AA239" s="124"/>
      <c r="AB239" s="132"/>
      <c r="AE239" s="15"/>
      <c r="AF239" s="12"/>
      <c r="AI239" s="15"/>
      <c r="AK239" s="15"/>
      <c r="AM239" s="15"/>
      <c r="AN239" s="12"/>
      <c r="BF239" s="85"/>
      <c r="BG239" s="85"/>
      <c r="BH239" s="85"/>
    </row>
    <row r="240" spans="1:60" ht="16" thickBot="1" x14ac:dyDescent="0.25">
      <c r="A240" s="5" t="s">
        <v>55</v>
      </c>
      <c r="B240" t="s">
        <v>135</v>
      </c>
      <c r="Q240" s="15"/>
      <c r="R240" s="132"/>
      <c r="S240" s="15"/>
      <c r="T240" s="132"/>
      <c r="U240" s="15"/>
      <c r="V240" s="34"/>
      <c r="W240" s="134"/>
      <c r="X240" s="132"/>
      <c r="Y240" s="124"/>
      <c r="Z240" s="132"/>
      <c r="AA240" s="124"/>
      <c r="AB240" s="132"/>
      <c r="AE240" s="15"/>
      <c r="AF240" s="12"/>
      <c r="AI240" s="15"/>
      <c r="AK240" s="15"/>
      <c r="AM240" s="15"/>
      <c r="AN240" s="12"/>
      <c r="BF240" s="85"/>
      <c r="BG240" s="85"/>
      <c r="BH240" s="85"/>
    </row>
    <row r="241" spans="1:60" ht="16" thickBot="1" x14ac:dyDescent="0.25">
      <c r="A241" s="5" t="s">
        <v>56</v>
      </c>
      <c r="B241" t="s">
        <v>135</v>
      </c>
      <c r="Q241" s="15"/>
      <c r="R241" s="132"/>
      <c r="S241" s="15"/>
      <c r="T241" s="132"/>
      <c r="U241" s="15"/>
      <c r="V241" s="34"/>
      <c r="W241" s="134"/>
      <c r="X241" s="132"/>
      <c r="Y241" s="124"/>
      <c r="Z241" s="132"/>
      <c r="AA241" s="124"/>
      <c r="AB241" s="132"/>
      <c r="AE241" s="15"/>
      <c r="AF241" s="12"/>
      <c r="AI241" s="15"/>
      <c r="AK241" s="15"/>
      <c r="AM241" s="15"/>
      <c r="AN241" s="12"/>
      <c r="BF241" s="85"/>
      <c r="BG241" s="85"/>
      <c r="BH241" s="85"/>
    </row>
    <row r="242" spans="1:60" ht="16" thickBot="1" x14ac:dyDescent="0.25">
      <c r="A242" s="5" t="s">
        <v>57</v>
      </c>
      <c r="B242" t="s">
        <v>135</v>
      </c>
      <c r="Q242" s="15"/>
      <c r="R242" s="132"/>
      <c r="S242" s="15"/>
      <c r="T242" s="132"/>
      <c r="U242" s="15"/>
      <c r="V242" s="34"/>
      <c r="W242" s="134"/>
      <c r="X242" s="132"/>
      <c r="Y242" s="124"/>
      <c r="Z242" s="132"/>
      <c r="AA242" s="124"/>
      <c r="AB242" s="132"/>
      <c r="AE242" s="15"/>
      <c r="AF242" s="12"/>
      <c r="AI242" s="15"/>
      <c r="AK242" s="15"/>
      <c r="AM242" s="15"/>
      <c r="AN242" s="12"/>
      <c r="BF242" s="85"/>
      <c r="BG242" s="85"/>
      <c r="BH242" s="85"/>
    </row>
    <row r="243" spans="1:60" ht="16" thickBot="1" x14ac:dyDescent="0.25">
      <c r="A243" s="5" t="s">
        <v>58</v>
      </c>
      <c r="B243" t="s">
        <v>135</v>
      </c>
      <c r="Q243" s="15"/>
      <c r="R243" s="132"/>
      <c r="S243" s="15"/>
      <c r="T243" s="132"/>
      <c r="U243" s="15"/>
      <c r="V243" s="34"/>
      <c r="W243" s="134"/>
      <c r="X243" s="132"/>
      <c r="Y243" s="124"/>
      <c r="Z243" s="132"/>
      <c r="AA243" s="124"/>
      <c r="AB243" s="132"/>
      <c r="AE243" s="15"/>
      <c r="AF243" s="12"/>
      <c r="AI243" s="15"/>
      <c r="AK243" s="15"/>
      <c r="AM243" s="15"/>
      <c r="AN243" s="12"/>
      <c r="BF243" s="85"/>
      <c r="BG243" s="85"/>
      <c r="BH243" s="85"/>
    </row>
    <row r="244" spans="1:60" ht="16" thickBot="1" x14ac:dyDescent="0.25">
      <c r="A244" s="5" t="s">
        <v>59</v>
      </c>
      <c r="B244" t="s">
        <v>135</v>
      </c>
      <c r="Q244" s="15"/>
      <c r="R244" s="132"/>
      <c r="S244" s="15"/>
      <c r="T244" s="132"/>
      <c r="U244" s="15"/>
      <c r="V244" s="34"/>
      <c r="W244" s="134"/>
      <c r="X244" s="132"/>
      <c r="Y244" s="124"/>
      <c r="Z244" s="132"/>
      <c r="AA244" s="124"/>
      <c r="AB244" s="132"/>
      <c r="AE244" s="15"/>
      <c r="AF244" s="12"/>
      <c r="AI244" s="15"/>
      <c r="AK244" s="15"/>
      <c r="AM244" s="15"/>
      <c r="AN244" s="12"/>
      <c r="BF244" s="85"/>
      <c r="BG244" s="85"/>
      <c r="BH244" s="85"/>
    </row>
    <row r="245" spans="1:60" ht="16" thickBot="1" x14ac:dyDescent="0.25">
      <c r="A245" s="5" t="s">
        <v>60</v>
      </c>
      <c r="B245" t="s">
        <v>135</v>
      </c>
      <c r="Q245" s="15"/>
      <c r="R245" s="132"/>
      <c r="S245" s="15"/>
      <c r="T245" s="132"/>
      <c r="U245" s="15"/>
      <c r="V245" s="34"/>
      <c r="W245" s="134"/>
      <c r="X245" s="132"/>
      <c r="Y245" s="124"/>
      <c r="Z245" s="132"/>
      <c r="AA245" s="124"/>
      <c r="AB245" s="132"/>
      <c r="AE245" s="15"/>
      <c r="AF245" s="12"/>
      <c r="AI245" s="15"/>
      <c r="AK245" s="15"/>
      <c r="AM245" s="15"/>
      <c r="AN245" s="12"/>
      <c r="BF245" s="85"/>
      <c r="BG245" s="85"/>
      <c r="BH245" s="85"/>
    </row>
    <row r="246" spans="1:60" ht="16" thickBot="1" x14ac:dyDescent="0.25">
      <c r="A246" s="5" t="s">
        <v>61</v>
      </c>
      <c r="B246" t="s">
        <v>135</v>
      </c>
      <c r="Q246" s="15"/>
      <c r="R246" s="132"/>
      <c r="S246" s="15"/>
      <c r="T246" s="132"/>
      <c r="U246" s="15"/>
      <c r="V246" s="34"/>
      <c r="W246" s="134"/>
      <c r="X246" s="132"/>
      <c r="Y246" s="124"/>
      <c r="Z246" s="132"/>
      <c r="AA246" s="124"/>
      <c r="AB246" s="132"/>
      <c r="AE246" s="15"/>
      <c r="AF246" s="12"/>
      <c r="AI246" s="15"/>
      <c r="AK246" s="15"/>
      <c r="AM246" s="15"/>
      <c r="AN246" s="12"/>
      <c r="BF246" s="85"/>
      <c r="BG246" s="85"/>
      <c r="BH246" s="85"/>
    </row>
    <row r="247" spans="1:60" ht="16" thickBot="1" x14ac:dyDescent="0.25">
      <c r="A247" s="5" t="s">
        <v>62</v>
      </c>
      <c r="B247" t="s">
        <v>135</v>
      </c>
      <c r="Q247" s="15"/>
      <c r="R247" s="132"/>
      <c r="S247" s="15"/>
      <c r="T247" s="132"/>
      <c r="U247" s="15"/>
      <c r="V247" s="34"/>
      <c r="W247" s="134"/>
      <c r="X247" s="132"/>
      <c r="Y247" s="124"/>
      <c r="Z247" s="132"/>
      <c r="AA247" s="124"/>
      <c r="AB247" s="132"/>
      <c r="AE247" s="15"/>
      <c r="AF247" s="12"/>
      <c r="AI247" s="15"/>
      <c r="AK247" s="15"/>
      <c r="AM247" s="15"/>
      <c r="AN247" s="12"/>
      <c r="BF247" s="85"/>
      <c r="BG247" s="85"/>
      <c r="BH247" s="85"/>
    </row>
    <row r="248" spans="1:60" ht="16" thickBot="1" x14ac:dyDescent="0.25">
      <c r="A248" s="5" t="s">
        <v>63</v>
      </c>
      <c r="B248" t="s">
        <v>135</v>
      </c>
      <c r="Q248" s="15"/>
      <c r="R248" s="132"/>
      <c r="S248" s="15"/>
      <c r="T248" s="132"/>
      <c r="U248" s="15"/>
      <c r="V248" s="34"/>
      <c r="W248" s="134"/>
      <c r="X248" s="132"/>
      <c r="Y248" s="124"/>
      <c r="Z248" s="132"/>
      <c r="AA248" s="124"/>
      <c r="AB248" s="132"/>
      <c r="AE248" s="15"/>
      <c r="AF248" s="12"/>
      <c r="AI248" s="15"/>
      <c r="AK248" s="15"/>
      <c r="AM248" s="15"/>
      <c r="AN248" s="12"/>
      <c r="BF248" s="85"/>
      <c r="BG248" s="85"/>
      <c r="BH248" s="85"/>
    </row>
    <row r="249" spans="1:60" ht="16" thickBot="1" x14ac:dyDescent="0.25">
      <c r="A249" s="5" t="s">
        <v>64</v>
      </c>
      <c r="B249" t="s">
        <v>135</v>
      </c>
      <c r="Q249" s="15"/>
      <c r="R249" s="132"/>
      <c r="S249" s="15"/>
      <c r="T249" s="132"/>
      <c r="U249" s="15"/>
      <c r="V249" s="34"/>
      <c r="W249" s="134"/>
      <c r="X249" s="132"/>
      <c r="Y249" s="124"/>
      <c r="Z249" s="132"/>
      <c r="AA249" s="124"/>
      <c r="AB249" s="132"/>
      <c r="AE249" s="15"/>
      <c r="AF249" s="12"/>
      <c r="AI249" s="15"/>
      <c r="AK249" s="15"/>
      <c r="AM249" s="15"/>
      <c r="AN249" s="12"/>
      <c r="BF249" s="85"/>
      <c r="BG249" s="85"/>
      <c r="BH249" s="85"/>
    </row>
    <row r="250" spans="1:60" ht="16" thickBot="1" x14ac:dyDescent="0.25">
      <c r="A250" s="5" t="s">
        <v>65</v>
      </c>
      <c r="B250" t="s">
        <v>135</v>
      </c>
      <c r="Q250" s="15"/>
      <c r="R250" s="132"/>
      <c r="S250" s="15"/>
      <c r="T250" s="132"/>
      <c r="U250" s="15"/>
      <c r="V250" s="34"/>
      <c r="W250" s="134"/>
      <c r="X250" s="132"/>
      <c r="Y250" s="124"/>
      <c r="Z250" s="132"/>
      <c r="AA250" s="124"/>
      <c r="AB250" s="132"/>
      <c r="AE250" s="15"/>
      <c r="AF250" s="12"/>
      <c r="AI250" s="15"/>
      <c r="AK250" s="15"/>
      <c r="AM250" s="15"/>
      <c r="AN250" s="12"/>
      <c r="BF250" s="85"/>
      <c r="BG250" s="85"/>
      <c r="BH250" s="85"/>
    </row>
    <row r="251" spans="1:60" ht="16" thickBot="1" x14ac:dyDescent="0.25">
      <c r="A251" s="5" t="s">
        <v>66</v>
      </c>
      <c r="B251" t="s">
        <v>135</v>
      </c>
      <c r="Q251" s="15"/>
      <c r="R251" s="132"/>
      <c r="S251" s="15"/>
      <c r="T251" s="132"/>
      <c r="U251" s="15"/>
      <c r="V251" s="34"/>
      <c r="W251" s="134"/>
      <c r="X251" s="132"/>
      <c r="Y251" s="124"/>
      <c r="Z251" s="132"/>
      <c r="AA251" s="124"/>
      <c r="AB251" s="132"/>
      <c r="AE251" s="15"/>
      <c r="AF251" s="12"/>
      <c r="AI251" s="15"/>
      <c r="AK251" s="15"/>
      <c r="AM251" s="15"/>
      <c r="AN251" s="12"/>
      <c r="BF251" s="85"/>
      <c r="BG251" s="85"/>
      <c r="BH251" s="85"/>
    </row>
    <row r="252" spans="1:60" ht="16" thickBot="1" x14ac:dyDescent="0.25">
      <c r="A252" s="5" t="s">
        <v>67</v>
      </c>
      <c r="B252" t="s">
        <v>135</v>
      </c>
      <c r="Q252" s="15"/>
      <c r="R252" s="132"/>
      <c r="S252" s="15"/>
      <c r="T252" s="132"/>
      <c r="U252" s="15"/>
      <c r="V252" s="34"/>
      <c r="W252" s="134"/>
      <c r="X252" s="132"/>
      <c r="Y252" s="124"/>
      <c r="Z252" s="132"/>
      <c r="AA252" s="124"/>
      <c r="AB252" s="132"/>
      <c r="AE252" s="15"/>
      <c r="AF252" s="12"/>
      <c r="AI252" s="15"/>
      <c r="AK252" s="15"/>
      <c r="AM252" s="15"/>
      <c r="AN252" s="12"/>
      <c r="BF252" s="85"/>
      <c r="BG252" s="85"/>
      <c r="BH252" s="85"/>
    </row>
    <row r="253" spans="1:60" ht="16" thickBot="1" x14ac:dyDescent="0.25">
      <c r="A253" s="5" t="s">
        <v>68</v>
      </c>
      <c r="B253" t="s">
        <v>135</v>
      </c>
      <c r="Q253" s="15"/>
      <c r="R253" s="132"/>
      <c r="S253" s="15"/>
      <c r="T253" s="132"/>
      <c r="U253" s="15"/>
      <c r="V253" s="34"/>
      <c r="W253" s="134"/>
      <c r="X253" s="132"/>
      <c r="Y253" s="124"/>
      <c r="Z253" s="132"/>
      <c r="AA253" s="124"/>
      <c r="AB253" s="132"/>
      <c r="AE253" s="15"/>
      <c r="AF253" s="12"/>
      <c r="AI253" s="15"/>
      <c r="AK253" s="15"/>
      <c r="AM253" s="15"/>
      <c r="AN253" s="12"/>
      <c r="BF253" s="85"/>
      <c r="BG253" s="85"/>
      <c r="BH253" s="85"/>
    </row>
    <row r="254" spans="1:60" ht="16" thickBot="1" x14ac:dyDescent="0.25">
      <c r="A254" s="5" t="s">
        <v>69</v>
      </c>
      <c r="B254" t="s">
        <v>135</v>
      </c>
      <c r="Q254" s="15"/>
      <c r="R254" s="132"/>
      <c r="S254" s="15"/>
      <c r="T254" s="132"/>
      <c r="U254" s="15"/>
      <c r="V254" s="34"/>
      <c r="W254" s="134"/>
      <c r="X254" s="132"/>
      <c r="Y254" s="124"/>
      <c r="Z254" s="132"/>
      <c r="AA254" s="124"/>
      <c r="AB254" s="132"/>
      <c r="AE254" s="15"/>
      <c r="AF254" s="12"/>
      <c r="AI254" s="15"/>
      <c r="AK254" s="15"/>
      <c r="AM254" s="15"/>
      <c r="AN254" s="12"/>
      <c r="BF254" s="85"/>
      <c r="BG254" s="85"/>
      <c r="BH254" s="85"/>
    </row>
    <row r="255" spans="1:60" ht="16" thickBot="1" x14ac:dyDescent="0.25">
      <c r="A255" s="5" t="s">
        <v>70</v>
      </c>
      <c r="B255" t="s">
        <v>135</v>
      </c>
      <c r="Q255" s="15"/>
      <c r="R255" s="132"/>
      <c r="S255" s="15"/>
      <c r="T255" s="132"/>
      <c r="U255" s="15"/>
      <c r="V255" s="34"/>
      <c r="W255" s="134"/>
      <c r="X255" s="132"/>
      <c r="Y255" s="124"/>
      <c r="Z255" s="132"/>
      <c r="AA255" s="124"/>
      <c r="AB255" s="132"/>
      <c r="AE255" s="15"/>
      <c r="AF255" s="12"/>
      <c r="AI255" s="15"/>
      <c r="AK255" s="15"/>
      <c r="AM255" s="15"/>
      <c r="AN255" s="12"/>
      <c r="BF255" s="85"/>
      <c r="BG255" s="85"/>
      <c r="BH255" s="85"/>
    </row>
    <row r="256" spans="1:60" ht="16" thickBot="1" x14ac:dyDescent="0.25">
      <c r="A256" s="5" t="s">
        <v>71</v>
      </c>
      <c r="B256" t="s">
        <v>135</v>
      </c>
      <c r="Q256" s="15"/>
      <c r="R256" s="132"/>
      <c r="S256" s="15"/>
      <c r="T256" s="132"/>
      <c r="U256" s="15"/>
      <c r="V256" s="34"/>
      <c r="W256" s="134"/>
      <c r="X256" s="132"/>
      <c r="Y256" s="124"/>
      <c r="Z256" s="132"/>
      <c r="AA256" s="124"/>
      <c r="AB256" s="132"/>
      <c r="AE256" s="15"/>
      <c r="AF256" s="12"/>
      <c r="AI256" s="15"/>
      <c r="AK256" s="15"/>
      <c r="AM256" s="15"/>
      <c r="AN256" s="12"/>
      <c r="BF256" s="85"/>
      <c r="BG256" s="85"/>
      <c r="BH256" s="85"/>
    </row>
    <row r="257" spans="1:60" ht="16" thickBot="1" x14ac:dyDescent="0.25">
      <c r="A257" s="5" t="s">
        <v>72</v>
      </c>
      <c r="B257" t="s">
        <v>135</v>
      </c>
      <c r="Q257" s="15"/>
      <c r="R257" s="132"/>
      <c r="S257" s="15"/>
      <c r="T257" s="132"/>
      <c r="U257" s="15"/>
      <c r="V257" s="34"/>
      <c r="W257" s="134"/>
      <c r="X257" s="132"/>
      <c r="Y257" s="124"/>
      <c r="Z257" s="132"/>
      <c r="AA257" s="124"/>
      <c r="AB257" s="132"/>
      <c r="AE257" s="15"/>
      <c r="AF257" s="12"/>
      <c r="AI257" s="15"/>
      <c r="AK257" s="15"/>
      <c r="AM257" s="15"/>
      <c r="AN257" s="12"/>
      <c r="BF257" s="85"/>
      <c r="BG257" s="85"/>
      <c r="BH257" s="85"/>
    </row>
    <row r="258" spans="1:60" ht="16" thickBot="1" x14ac:dyDescent="0.25">
      <c r="A258" s="5" t="s">
        <v>73</v>
      </c>
      <c r="B258" t="s">
        <v>135</v>
      </c>
      <c r="Q258" s="15"/>
      <c r="R258" s="132"/>
      <c r="S258" s="15"/>
      <c r="T258" s="132"/>
      <c r="U258" s="15"/>
      <c r="V258" s="34"/>
      <c r="W258" s="134"/>
      <c r="X258" s="132"/>
      <c r="Y258" s="124"/>
      <c r="Z258" s="132"/>
      <c r="AA258" s="124"/>
      <c r="AB258" s="132"/>
      <c r="AE258" s="15"/>
      <c r="AF258" s="12"/>
      <c r="AI258" s="15"/>
      <c r="AK258" s="15"/>
      <c r="AM258" s="15"/>
      <c r="AN258" s="12"/>
      <c r="BF258" s="85"/>
      <c r="BG258" s="85"/>
      <c r="BH258" s="85"/>
    </row>
    <row r="259" spans="1:60" ht="16" thickBot="1" x14ac:dyDescent="0.25">
      <c r="A259" s="5" t="s">
        <v>74</v>
      </c>
      <c r="B259" t="s">
        <v>135</v>
      </c>
      <c r="Q259" s="15"/>
      <c r="R259" s="132"/>
      <c r="S259" s="15"/>
      <c r="T259" s="132"/>
      <c r="U259" s="15"/>
      <c r="V259" s="34"/>
      <c r="W259" s="134"/>
      <c r="X259" s="132"/>
      <c r="Y259" s="124"/>
      <c r="Z259" s="132"/>
      <c r="AA259" s="124"/>
      <c r="AB259" s="132"/>
      <c r="AE259" s="15"/>
      <c r="AF259" s="12"/>
      <c r="AI259" s="15"/>
      <c r="AK259" s="15"/>
      <c r="AM259" s="15"/>
      <c r="AN259" s="12"/>
      <c r="BF259" s="85"/>
      <c r="BG259" s="84"/>
      <c r="BH259" s="85"/>
    </row>
    <row r="260" spans="1:60" ht="16" thickBot="1" x14ac:dyDescent="0.25">
      <c r="A260" s="5" t="s">
        <v>75</v>
      </c>
      <c r="B260" t="s">
        <v>135</v>
      </c>
      <c r="Q260" s="15"/>
      <c r="R260" s="132"/>
      <c r="S260" s="15"/>
      <c r="T260" s="132"/>
      <c r="U260" s="15"/>
      <c r="V260" s="34"/>
      <c r="W260" s="134"/>
      <c r="X260" s="132"/>
      <c r="Y260" s="124"/>
      <c r="Z260" s="132"/>
      <c r="AA260" s="124"/>
      <c r="AB260" s="132"/>
      <c r="AE260" s="15"/>
      <c r="AF260" s="12"/>
      <c r="AI260" s="15"/>
      <c r="AK260" s="15"/>
      <c r="AM260" s="15"/>
      <c r="AN260" s="12"/>
      <c r="BF260" s="85"/>
      <c r="BG260" s="85"/>
      <c r="BH260" s="85"/>
    </row>
    <row r="261" spans="1:60" ht="16" thickBot="1" x14ac:dyDescent="0.25">
      <c r="A261" s="5" t="s">
        <v>76</v>
      </c>
      <c r="B261" t="s">
        <v>135</v>
      </c>
      <c r="Q261" s="15"/>
      <c r="R261" s="132"/>
      <c r="S261" s="15"/>
      <c r="T261" s="132"/>
      <c r="U261" s="15"/>
      <c r="V261" s="34"/>
      <c r="W261" s="134"/>
      <c r="X261" s="132"/>
      <c r="Y261" s="124"/>
      <c r="Z261" s="132"/>
      <c r="AA261" s="124"/>
      <c r="AB261" s="132"/>
      <c r="AE261" s="15"/>
      <c r="AF261" s="12"/>
      <c r="AI261" s="15"/>
      <c r="AK261" s="15"/>
      <c r="AM261" s="15"/>
      <c r="AN261" s="12"/>
      <c r="BF261" s="85"/>
      <c r="BG261" s="85"/>
      <c r="BH261" s="85"/>
    </row>
    <row r="262" spans="1:60" ht="16" thickBot="1" x14ac:dyDescent="0.25">
      <c r="A262" s="5" t="s">
        <v>77</v>
      </c>
      <c r="B262" t="s">
        <v>135</v>
      </c>
      <c r="Q262" s="15"/>
      <c r="R262" s="132"/>
      <c r="S262" s="15"/>
      <c r="T262" s="132"/>
      <c r="U262" s="15"/>
      <c r="V262" s="34"/>
      <c r="W262" s="134"/>
      <c r="X262" s="132"/>
      <c r="Y262" s="124"/>
      <c r="Z262" s="132"/>
      <c r="AA262" s="124"/>
      <c r="AB262" s="132"/>
      <c r="AE262" s="15"/>
      <c r="AF262" s="12"/>
      <c r="AI262" s="15"/>
      <c r="AK262" s="15"/>
      <c r="AM262" s="15"/>
      <c r="AN262" s="12"/>
      <c r="BF262" s="85"/>
      <c r="BG262" s="85"/>
      <c r="BH262" s="85"/>
    </row>
    <row r="263" spans="1:60" ht="16" thickBot="1" x14ac:dyDescent="0.25">
      <c r="A263" s="5" t="s">
        <v>78</v>
      </c>
      <c r="B263" t="s">
        <v>135</v>
      </c>
      <c r="Q263" s="15"/>
      <c r="R263" s="132"/>
      <c r="S263" s="15"/>
      <c r="T263" s="132"/>
      <c r="U263" s="15"/>
      <c r="V263" s="34"/>
      <c r="W263" s="134"/>
      <c r="X263" s="132"/>
      <c r="Y263" s="124"/>
      <c r="Z263" s="132"/>
      <c r="AA263" s="124"/>
      <c r="AB263" s="132"/>
      <c r="AE263" s="15"/>
      <c r="AF263" s="12"/>
      <c r="AI263" s="15"/>
      <c r="AK263" s="15"/>
      <c r="AM263" s="15"/>
      <c r="AN263" s="12"/>
      <c r="BF263" s="85"/>
      <c r="BG263" s="85"/>
      <c r="BH263" s="85"/>
    </row>
    <row r="264" spans="1:60" ht="16" thickBot="1" x14ac:dyDescent="0.25">
      <c r="A264" s="5" t="s">
        <v>79</v>
      </c>
      <c r="B264" t="s">
        <v>135</v>
      </c>
      <c r="Q264" s="15"/>
      <c r="R264" s="132"/>
      <c r="S264" s="15"/>
      <c r="T264" s="132"/>
      <c r="U264" s="15"/>
      <c r="V264" s="34"/>
      <c r="W264" s="134"/>
      <c r="X264" s="132"/>
      <c r="Y264" s="124"/>
      <c r="Z264" s="132"/>
      <c r="AA264" s="124"/>
      <c r="AB264" s="132"/>
      <c r="AE264" s="15"/>
      <c r="AF264" s="12"/>
      <c r="AI264" s="15"/>
      <c r="AK264" s="15"/>
      <c r="AM264" s="15"/>
      <c r="AN264" s="12"/>
      <c r="BF264" s="85"/>
      <c r="BG264" s="85"/>
      <c r="BH264" s="85"/>
    </row>
    <row r="265" spans="1:60" ht="16" thickBot="1" x14ac:dyDescent="0.25">
      <c r="A265" s="5" t="s">
        <v>80</v>
      </c>
      <c r="B265" t="s">
        <v>135</v>
      </c>
      <c r="Q265" s="15"/>
      <c r="R265" s="132"/>
      <c r="S265" s="15"/>
      <c r="T265" s="132"/>
      <c r="U265" s="15"/>
      <c r="V265" s="34"/>
      <c r="W265" s="134"/>
      <c r="X265" s="132"/>
      <c r="Y265" s="124"/>
      <c r="Z265" s="132"/>
      <c r="AA265" s="124"/>
      <c r="AB265" s="132"/>
      <c r="AE265" s="15"/>
      <c r="AF265" s="12"/>
      <c r="AI265" s="15"/>
      <c r="AK265" s="15"/>
      <c r="AM265" s="15"/>
      <c r="AN265" s="12"/>
      <c r="BF265" s="85"/>
      <c r="BG265" s="85"/>
      <c r="BH265" s="85"/>
    </row>
    <row r="266" spans="1:60" ht="16" thickBot="1" x14ac:dyDescent="0.25">
      <c r="A266" s="5" t="s">
        <v>81</v>
      </c>
      <c r="B266" t="s">
        <v>135</v>
      </c>
      <c r="Q266" s="15"/>
      <c r="R266" s="132"/>
      <c r="S266" s="15"/>
      <c r="T266" s="132"/>
      <c r="U266" s="15"/>
      <c r="V266" s="34"/>
      <c r="W266" s="134"/>
      <c r="X266" s="132"/>
      <c r="Y266" s="124"/>
      <c r="Z266" s="132"/>
      <c r="AA266" s="124"/>
      <c r="AB266" s="132"/>
      <c r="AE266" s="15"/>
      <c r="AF266" s="12"/>
      <c r="AI266" s="15"/>
      <c r="AK266" s="15"/>
      <c r="AM266" s="15"/>
      <c r="AN266" s="12"/>
      <c r="BF266" s="85"/>
      <c r="BG266" s="85"/>
      <c r="BH266" s="85"/>
    </row>
    <row r="267" spans="1:60" ht="16" thickBot="1" x14ac:dyDescent="0.25">
      <c r="A267" s="5" t="s">
        <v>82</v>
      </c>
      <c r="B267" t="s">
        <v>135</v>
      </c>
      <c r="Q267" s="15"/>
      <c r="R267" s="132"/>
      <c r="S267" s="15"/>
      <c r="T267" s="132"/>
      <c r="U267" s="15"/>
      <c r="V267" s="34"/>
      <c r="W267" s="134"/>
      <c r="X267" s="132"/>
      <c r="Y267" s="124"/>
      <c r="Z267" s="132"/>
      <c r="AA267" s="124"/>
      <c r="AB267" s="132"/>
      <c r="AE267" s="15"/>
      <c r="AF267" s="12"/>
      <c r="AI267" s="15"/>
      <c r="AK267" s="15"/>
      <c r="AM267" s="15"/>
      <c r="AN267" s="12"/>
      <c r="BF267" s="85"/>
      <c r="BG267" s="85"/>
      <c r="BH267" s="85"/>
    </row>
    <row r="268" spans="1:60" ht="16" thickBot="1" x14ac:dyDescent="0.25">
      <c r="A268" s="5" t="s">
        <v>83</v>
      </c>
      <c r="B268" t="s">
        <v>135</v>
      </c>
      <c r="Q268" s="15"/>
      <c r="R268" s="132"/>
      <c r="S268" s="15"/>
      <c r="T268" s="132"/>
      <c r="U268" s="15"/>
      <c r="V268" s="34"/>
      <c r="W268" s="134"/>
      <c r="X268" s="132"/>
      <c r="Y268" s="124"/>
      <c r="Z268" s="132"/>
      <c r="AA268" s="124"/>
      <c r="AB268" s="132"/>
      <c r="AE268" s="15"/>
      <c r="AF268" s="12"/>
      <c r="AI268" s="15"/>
      <c r="AK268" s="15"/>
      <c r="AM268" s="15"/>
      <c r="AN268" s="12"/>
      <c r="BF268" s="85"/>
      <c r="BG268" s="85"/>
      <c r="BH268" s="85"/>
    </row>
    <row r="269" spans="1:60" ht="16" thickBot="1" x14ac:dyDescent="0.25">
      <c r="A269" s="5" t="s">
        <v>84</v>
      </c>
      <c r="B269" t="s">
        <v>135</v>
      </c>
      <c r="Q269" s="15"/>
      <c r="R269" s="132"/>
      <c r="S269" s="15"/>
      <c r="T269" s="132"/>
      <c r="U269" s="15"/>
      <c r="V269" s="34"/>
      <c r="W269" s="134"/>
      <c r="X269" s="132"/>
      <c r="Y269" s="124"/>
      <c r="Z269" s="132"/>
      <c r="AA269" s="124"/>
      <c r="AB269" s="132"/>
      <c r="AE269" s="15"/>
      <c r="AF269" s="12"/>
      <c r="AI269" s="15"/>
      <c r="AK269" s="15"/>
      <c r="AM269" s="15"/>
      <c r="AN269" s="12"/>
      <c r="BF269" s="85"/>
      <c r="BG269" s="85"/>
      <c r="BH269" s="85"/>
    </row>
    <row r="270" spans="1:60" ht="16" thickBot="1" x14ac:dyDescent="0.25">
      <c r="A270" s="5" t="s">
        <v>85</v>
      </c>
      <c r="B270" t="s">
        <v>135</v>
      </c>
      <c r="Q270" s="15"/>
      <c r="R270" s="132"/>
      <c r="S270" s="15"/>
      <c r="T270" s="132"/>
      <c r="U270" s="15"/>
      <c r="V270" s="34"/>
      <c r="W270" s="134"/>
      <c r="X270" s="132"/>
      <c r="Y270" s="124"/>
      <c r="Z270" s="132"/>
      <c r="AA270" s="124"/>
      <c r="AB270" s="132"/>
      <c r="AE270" s="15"/>
      <c r="AF270" s="12"/>
      <c r="AI270" s="15"/>
      <c r="AK270" s="15"/>
      <c r="AM270" s="15"/>
      <c r="AN270" s="12"/>
      <c r="BF270" s="85"/>
      <c r="BG270" s="85"/>
      <c r="BH270" s="85"/>
    </row>
    <row r="271" spans="1:60" ht="16" thickBot="1" x14ac:dyDescent="0.25">
      <c r="A271" s="5" t="s">
        <v>86</v>
      </c>
      <c r="B271" t="s">
        <v>135</v>
      </c>
      <c r="Q271" s="15"/>
      <c r="R271" s="132"/>
      <c r="S271" s="15"/>
      <c r="T271" s="132"/>
      <c r="U271" s="15"/>
      <c r="V271" s="34"/>
      <c r="W271" s="134"/>
      <c r="X271" s="132"/>
      <c r="Y271" s="124"/>
      <c r="Z271" s="132"/>
      <c r="AA271" s="124"/>
      <c r="AB271" s="132"/>
      <c r="AE271" s="15"/>
      <c r="AF271" s="12"/>
      <c r="AI271" s="15"/>
      <c r="AK271" s="15"/>
      <c r="AM271" s="15"/>
      <c r="AN271" s="12"/>
      <c r="BF271" s="85"/>
      <c r="BG271" s="85"/>
      <c r="BH271" s="85"/>
    </row>
    <row r="272" spans="1:60" ht="16" thickBot="1" x14ac:dyDescent="0.25">
      <c r="A272" s="5" t="s">
        <v>87</v>
      </c>
      <c r="B272" t="s">
        <v>135</v>
      </c>
      <c r="Q272" s="15"/>
      <c r="R272" s="132"/>
      <c r="S272" s="15"/>
      <c r="T272" s="132"/>
      <c r="U272" s="15"/>
      <c r="V272" s="34"/>
      <c r="W272" s="134"/>
      <c r="X272" s="132"/>
      <c r="Y272" s="124"/>
      <c r="Z272" s="132"/>
      <c r="AA272" s="124"/>
      <c r="AB272" s="132"/>
      <c r="AE272" s="15"/>
      <c r="AF272" s="12"/>
      <c r="AI272" s="15"/>
      <c r="AK272" s="15"/>
      <c r="AM272" s="15"/>
      <c r="AN272" s="12"/>
      <c r="BF272" s="85"/>
      <c r="BG272" s="85"/>
      <c r="BH272" s="85"/>
    </row>
    <row r="273" spans="1:60" ht="16" thickBot="1" x14ac:dyDescent="0.25">
      <c r="A273" s="5" t="s">
        <v>88</v>
      </c>
      <c r="B273" t="s">
        <v>135</v>
      </c>
      <c r="Q273" s="15"/>
      <c r="R273" s="132"/>
      <c r="S273" s="15"/>
      <c r="T273" s="132"/>
      <c r="U273" s="15"/>
      <c r="V273" s="34"/>
      <c r="W273" s="134"/>
      <c r="X273" s="132"/>
      <c r="Y273" s="124"/>
      <c r="Z273" s="132"/>
      <c r="AA273" s="124"/>
      <c r="AB273" s="132"/>
      <c r="AE273" s="15"/>
      <c r="AF273" s="12"/>
      <c r="AI273" s="15"/>
      <c r="AK273" s="15"/>
      <c r="AM273" s="15"/>
      <c r="AN273" s="12"/>
      <c r="BF273" s="85"/>
      <c r="BG273" s="85"/>
      <c r="BH273" s="85"/>
    </row>
    <row r="274" spans="1:60" ht="16" thickBot="1" x14ac:dyDescent="0.25">
      <c r="A274" s="5" t="s">
        <v>89</v>
      </c>
      <c r="B274" t="s">
        <v>135</v>
      </c>
      <c r="Q274" s="15"/>
      <c r="R274" s="132"/>
      <c r="S274" s="15"/>
      <c r="T274" s="132"/>
      <c r="U274" s="15"/>
      <c r="V274" s="34"/>
      <c r="W274" s="134"/>
      <c r="X274" s="132"/>
      <c r="Y274" s="124"/>
      <c r="Z274" s="132"/>
      <c r="AA274" s="124"/>
      <c r="AB274" s="132"/>
      <c r="AE274" s="15"/>
      <c r="AF274" s="12"/>
      <c r="AI274" s="15"/>
      <c r="AK274" s="15"/>
      <c r="AM274" s="15"/>
      <c r="AN274" s="12"/>
      <c r="BF274" s="85"/>
      <c r="BG274" s="85"/>
      <c r="BH274" s="85"/>
    </row>
    <row r="275" spans="1:60" ht="16" thickBot="1" x14ac:dyDescent="0.25">
      <c r="A275" s="5" t="s">
        <v>90</v>
      </c>
      <c r="B275" t="s">
        <v>135</v>
      </c>
      <c r="Q275" s="15"/>
      <c r="R275" s="132"/>
      <c r="S275" s="15"/>
      <c r="T275" s="132"/>
      <c r="U275" s="15"/>
      <c r="V275" s="34"/>
      <c r="W275" s="134"/>
      <c r="X275" s="132"/>
      <c r="Y275" s="124"/>
      <c r="Z275" s="132"/>
      <c r="AA275" s="124"/>
      <c r="AB275" s="132"/>
      <c r="AE275" s="15"/>
      <c r="AF275" s="12"/>
      <c r="AI275" s="15"/>
      <c r="AK275" s="15"/>
      <c r="AM275" s="15"/>
      <c r="AN275" s="12"/>
      <c r="BF275" s="85"/>
      <c r="BG275" s="85"/>
      <c r="BH275" s="85"/>
    </row>
    <row r="276" spans="1:60" ht="16" thickBot="1" x14ac:dyDescent="0.25">
      <c r="A276" s="5" t="s">
        <v>91</v>
      </c>
      <c r="B276" t="s">
        <v>135</v>
      </c>
      <c r="Q276" s="15"/>
      <c r="R276" s="132"/>
      <c r="S276" s="15"/>
      <c r="T276" s="132"/>
      <c r="U276" s="15"/>
      <c r="V276" s="34"/>
      <c r="W276" s="134"/>
      <c r="X276" s="132"/>
      <c r="Y276" s="124"/>
      <c r="Z276" s="132"/>
      <c r="AA276" s="124"/>
      <c r="AB276" s="132"/>
      <c r="AE276" s="15"/>
      <c r="AF276" s="12"/>
      <c r="AI276" s="15"/>
      <c r="AK276" s="15"/>
      <c r="AM276" s="15"/>
      <c r="AN276" s="12"/>
      <c r="BF276" s="85"/>
      <c r="BG276" s="85"/>
      <c r="BH276" s="85"/>
    </row>
    <row r="277" spans="1:60" ht="16" thickBot="1" x14ac:dyDescent="0.25">
      <c r="A277" s="5" t="s">
        <v>92</v>
      </c>
      <c r="B277" t="s">
        <v>135</v>
      </c>
      <c r="Q277" s="15"/>
      <c r="R277" s="132"/>
      <c r="S277" s="15"/>
      <c r="T277" s="132"/>
      <c r="U277" s="15"/>
      <c r="V277" s="34"/>
      <c r="W277" s="134"/>
      <c r="X277" s="132"/>
      <c r="Y277" s="124"/>
      <c r="Z277" s="132"/>
      <c r="AA277" s="124"/>
      <c r="AB277" s="132"/>
      <c r="AE277" s="15"/>
      <c r="AF277" s="12"/>
      <c r="AI277" s="15"/>
      <c r="AK277" s="15"/>
      <c r="AM277" s="15"/>
      <c r="AN277" s="12"/>
      <c r="BF277" s="85"/>
      <c r="BG277" s="85"/>
      <c r="BH277" s="85"/>
    </row>
    <row r="278" spans="1:60" ht="16" thickBot="1" x14ac:dyDescent="0.25">
      <c r="A278" s="5" t="s">
        <v>93</v>
      </c>
      <c r="B278" t="s">
        <v>135</v>
      </c>
      <c r="Q278" s="15"/>
      <c r="R278" s="132"/>
      <c r="S278" s="15"/>
      <c r="T278" s="132"/>
      <c r="U278" s="15"/>
      <c r="V278" s="34"/>
      <c r="W278" s="134"/>
      <c r="X278" s="132"/>
      <c r="Y278" s="124"/>
      <c r="Z278" s="132"/>
      <c r="AA278" s="124"/>
      <c r="AB278" s="132"/>
      <c r="AE278" s="15"/>
      <c r="AF278" s="12"/>
      <c r="AI278" s="15"/>
      <c r="AK278" s="15"/>
      <c r="AM278" s="15"/>
      <c r="AN278" s="12"/>
      <c r="BF278" s="85"/>
      <c r="BG278" s="85"/>
      <c r="BH278" s="85"/>
    </row>
    <row r="279" spans="1:60" ht="16" thickBot="1" x14ac:dyDescent="0.25">
      <c r="A279" s="5" t="s">
        <v>94</v>
      </c>
      <c r="B279" t="s">
        <v>135</v>
      </c>
      <c r="Q279" s="15"/>
      <c r="R279" s="132"/>
      <c r="S279" s="15"/>
      <c r="T279" s="132"/>
      <c r="U279" s="15"/>
      <c r="V279" s="34"/>
      <c r="W279" s="134"/>
      <c r="X279" s="132"/>
      <c r="Y279" s="124"/>
      <c r="Z279" s="132"/>
      <c r="AA279" s="124"/>
      <c r="AB279" s="132"/>
      <c r="AE279" s="15"/>
      <c r="AF279" s="12"/>
      <c r="AI279" s="15"/>
      <c r="AK279" s="15"/>
      <c r="AM279" s="15"/>
      <c r="AN279" s="12"/>
      <c r="BF279" s="85"/>
      <c r="BG279" s="85"/>
      <c r="BH279" s="85"/>
    </row>
    <row r="280" spans="1:60" ht="16" thickBot="1" x14ac:dyDescent="0.25">
      <c r="A280" s="5" t="s">
        <v>95</v>
      </c>
      <c r="B280" t="s">
        <v>135</v>
      </c>
      <c r="Q280" s="15"/>
      <c r="R280" s="132"/>
      <c r="S280" s="15"/>
      <c r="T280" s="132"/>
      <c r="U280" s="15"/>
      <c r="V280" s="34"/>
      <c r="W280" s="134"/>
      <c r="X280" s="132"/>
      <c r="Y280" s="124"/>
      <c r="Z280" s="132"/>
      <c r="AA280" s="124"/>
      <c r="AB280" s="132"/>
      <c r="AE280" s="15"/>
      <c r="AF280" s="12"/>
      <c r="AI280" s="15"/>
      <c r="AK280" s="15"/>
      <c r="AM280" s="15"/>
      <c r="AN280" s="12"/>
      <c r="BF280" s="85"/>
      <c r="BG280" s="85"/>
      <c r="BH280" s="85"/>
    </row>
    <row r="281" spans="1:60" ht="16" thickBot="1" x14ac:dyDescent="0.25">
      <c r="A281" s="5" t="s">
        <v>96</v>
      </c>
      <c r="B281" t="s">
        <v>135</v>
      </c>
      <c r="Q281" s="15"/>
      <c r="R281" s="132"/>
      <c r="S281" s="15"/>
      <c r="T281" s="132"/>
      <c r="U281" s="15"/>
      <c r="V281" s="34"/>
      <c r="W281" s="134"/>
      <c r="X281" s="132"/>
      <c r="Y281" s="124"/>
      <c r="Z281" s="132"/>
      <c r="AA281" s="124"/>
      <c r="AB281" s="132"/>
      <c r="AE281" s="15"/>
      <c r="AF281" s="12"/>
      <c r="AI281" s="15"/>
      <c r="AK281" s="15"/>
      <c r="AM281" s="15"/>
      <c r="AN281" s="12"/>
      <c r="BF281" s="85"/>
      <c r="BG281" s="85"/>
      <c r="BH281" s="85"/>
    </row>
    <row r="282" spans="1:60" ht="16" thickBot="1" x14ac:dyDescent="0.25">
      <c r="A282" s="5" t="s">
        <v>97</v>
      </c>
      <c r="B282" t="s">
        <v>135</v>
      </c>
      <c r="Q282" s="15"/>
      <c r="R282" s="132"/>
      <c r="S282" s="15"/>
      <c r="T282" s="132"/>
      <c r="U282" s="15"/>
      <c r="V282" s="34"/>
      <c r="W282" s="134"/>
      <c r="X282" s="132"/>
      <c r="Y282" s="124"/>
      <c r="Z282" s="132"/>
      <c r="AA282" s="124"/>
      <c r="AB282" s="132"/>
      <c r="AE282" s="15"/>
      <c r="AF282" s="12"/>
      <c r="AI282" s="15"/>
      <c r="AK282" s="15"/>
      <c r="AM282" s="15"/>
      <c r="AN282" s="12"/>
      <c r="BF282" s="85"/>
      <c r="BG282" s="85"/>
      <c r="BH282" s="85"/>
    </row>
    <row r="283" spans="1:60" ht="16" thickBot="1" x14ac:dyDescent="0.25">
      <c r="A283" s="5" t="s">
        <v>98</v>
      </c>
      <c r="B283" t="s">
        <v>135</v>
      </c>
      <c r="Q283" s="15"/>
      <c r="R283" s="132"/>
      <c r="S283" s="15"/>
      <c r="T283" s="132"/>
      <c r="U283" s="15"/>
      <c r="V283" s="34"/>
      <c r="W283" s="134"/>
      <c r="X283" s="132"/>
      <c r="Y283" s="124"/>
      <c r="Z283" s="132"/>
      <c r="AA283" s="124"/>
      <c r="AB283" s="132"/>
      <c r="AE283" s="15"/>
      <c r="AF283" s="12"/>
      <c r="AI283" s="15"/>
      <c r="AK283" s="15"/>
      <c r="AM283" s="15"/>
      <c r="AN283" s="12"/>
      <c r="BF283" s="85"/>
      <c r="BG283" s="85"/>
      <c r="BH283" s="85"/>
    </row>
    <row r="284" spans="1:60" ht="16" thickBot="1" x14ac:dyDescent="0.25">
      <c r="A284" s="5" t="s">
        <v>99</v>
      </c>
      <c r="B284" t="s">
        <v>135</v>
      </c>
      <c r="Q284" s="15"/>
      <c r="R284" s="132"/>
      <c r="S284" s="15"/>
      <c r="T284" s="132"/>
      <c r="U284" s="15"/>
      <c r="V284" s="34"/>
      <c r="W284" s="134"/>
      <c r="X284" s="132"/>
      <c r="Y284" s="124"/>
      <c r="Z284" s="132"/>
      <c r="AA284" s="124"/>
      <c r="AB284" s="132"/>
      <c r="AE284" s="15"/>
      <c r="AF284" s="12"/>
      <c r="AI284" s="15"/>
      <c r="AK284" s="15"/>
      <c r="AM284" s="15"/>
      <c r="AN284" s="12"/>
      <c r="BF284" s="85"/>
      <c r="BG284" s="85"/>
      <c r="BH284" s="85"/>
    </row>
    <row r="285" spans="1:60" ht="16" thickBot="1" x14ac:dyDescent="0.25">
      <c r="A285" s="5" t="s">
        <v>100</v>
      </c>
      <c r="B285" t="s">
        <v>135</v>
      </c>
      <c r="Q285" s="15"/>
      <c r="R285" s="132"/>
      <c r="S285" s="15"/>
      <c r="T285" s="132"/>
      <c r="U285" s="15"/>
      <c r="V285" s="34"/>
      <c r="W285" s="134"/>
      <c r="X285" s="132"/>
      <c r="Y285" s="124"/>
      <c r="Z285" s="132"/>
      <c r="AA285" s="124"/>
      <c r="AB285" s="132"/>
      <c r="AE285" s="15"/>
      <c r="AF285" s="12"/>
      <c r="AI285" s="15"/>
      <c r="AK285" s="15"/>
      <c r="AM285" s="15"/>
      <c r="AN285" s="12"/>
      <c r="BF285" s="85"/>
      <c r="BG285" s="85"/>
      <c r="BH285" s="85"/>
    </row>
    <row r="286" spans="1:60" ht="16" thickBot="1" x14ac:dyDescent="0.25">
      <c r="A286" s="5" t="s">
        <v>101</v>
      </c>
      <c r="B286" t="s">
        <v>135</v>
      </c>
      <c r="Q286" s="15"/>
      <c r="R286" s="132"/>
      <c r="S286" s="15"/>
      <c r="T286" s="132"/>
      <c r="U286" s="15"/>
      <c r="V286" s="34"/>
      <c r="W286" s="134"/>
      <c r="X286" s="132"/>
      <c r="Y286" s="124"/>
      <c r="Z286" s="132"/>
      <c r="AA286" s="124"/>
      <c r="AB286" s="132"/>
      <c r="AE286" s="15"/>
      <c r="AF286" s="12"/>
      <c r="AI286" s="15"/>
      <c r="AK286" s="15"/>
      <c r="AM286" s="15"/>
      <c r="AN286" s="12"/>
      <c r="BF286" s="85"/>
      <c r="BG286" s="85"/>
      <c r="BH286" s="85"/>
    </row>
    <row r="287" spans="1:60" ht="16" thickBot="1" x14ac:dyDescent="0.25">
      <c r="A287" s="5" t="s">
        <v>102</v>
      </c>
      <c r="B287" t="s">
        <v>135</v>
      </c>
      <c r="Q287" s="15"/>
      <c r="R287" s="132"/>
      <c r="S287" s="15"/>
      <c r="T287" s="132"/>
      <c r="U287" s="15"/>
      <c r="V287" s="34"/>
      <c r="W287" s="134"/>
      <c r="X287" s="132"/>
      <c r="Y287" s="124"/>
      <c r="Z287" s="132"/>
      <c r="AA287" s="124"/>
      <c r="AB287" s="132"/>
      <c r="AE287" s="15"/>
      <c r="AF287" s="12"/>
      <c r="AI287" s="15"/>
      <c r="AK287" s="15"/>
      <c r="AM287" s="15"/>
      <c r="AN287" s="12"/>
      <c r="BF287" s="85"/>
      <c r="BG287" s="85"/>
      <c r="BH287" s="85"/>
    </row>
    <row r="288" spans="1:60" ht="16" thickBot="1" x14ac:dyDescent="0.25">
      <c r="A288" s="5" t="s">
        <v>103</v>
      </c>
      <c r="B288" t="s">
        <v>135</v>
      </c>
      <c r="Q288" s="15"/>
      <c r="R288" s="132"/>
      <c r="S288" s="15"/>
      <c r="T288" s="132"/>
      <c r="U288" s="15"/>
      <c r="V288" s="34"/>
      <c r="W288" s="134"/>
      <c r="X288" s="132"/>
      <c r="Y288" s="124"/>
      <c r="Z288" s="132"/>
      <c r="AA288" s="124"/>
      <c r="AB288" s="132"/>
      <c r="AE288" s="15"/>
      <c r="AF288" s="12"/>
      <c r="AI288" s="15"/>
      <c r="AK288" s="15"/>
      <c r="AM288" s="15"/>
      <c r="AN288" s="12"/>
      <c r="BF288" s="85"/>
      <c r="BG288" s="85"/>
      <c r="BH288" s="85"/>
    </row>
    <row r="289" spans="1:60" ht="16" thickBot="1" x14ac:dyDescent="0.25">
      <c r="A289" s="5" t="s">
        <v>104</v>
      </c>
      <c r="B289" t="s">
        <v>135</v>
      </c>
      <c r="Q289" s="15"/>
      <c r="R289" s="132"/>
      <c r="S289" s="15"/>
      <c r="T289" s="132"/>
      <c r="U289" s="15"/>
      <c r="V289" s="34"/>
      <c r="W289" s="134"/>
      <c r="X289" s="132"/>
      <c r="Y289" s="124"/>
      <c r="Z289" s="132"/>
      <c r="AA289" s="124"/>
      <c r="AB289" s="132"/>
      <c r="AE289" s="15"/>
      <c r="AF289" s="12"/>
      <c r="AI289" s="15"/>
      <c r="AK289" s="15"/>
      <c r="AM289" s="15"/>
      <c r="AN289" s="12"/>
      <c r="BF289" s="85"/>
      <c r="BG289" s="85"/>
      <c r="BH289" s="85"/>
    </row>
    <row r="290" spans="1:60" ht="16" thickBot="1" x14ac:dyDescent="0.25">
      <c r="A290" s="5" t="s">
        <v>105</v>
      </c>
      <c r="B290" t="s">
        <v>135</v>
      </c>
      <c r="Q290" s="15"/>
      <c r="R290" s="132"/>
      <c r="S290" s="15"/>
      <c r="T290" s="132"/>
      <c r="U290" s="15"/>
      <c r="V290" s="34"/>
      <c r="W290" s="134"/>
      <c r="X290" s="132"/>
      <c r="Y290" s="124"/>
      <c r="Z290" s="132"/>
      <c r="AA290" s="124"/>
      <c r="AB290" s="132"/>
      <c r="AE290" s="15"/>
      <c r="AF290" s="12"/>
      <c r="AI290" s="15"/>
      <c r="AK290" s="15"/>
      <c r="AM290" s="15"/>
      <c r="AN290" s="12"/>
      <c r="BF290" s="85"/>
      <c r="BG290" s="84"/>
      <c r="BH290" s="85"/>
    </row>
    <row r="291" spans="1:60" ht="16" thickBot="1" x14ac:dyDescent="0.25">
      <c r="A291" s="5" t="s">
        <v>106</v>
      </c>
      <c r="B291" t="s">
        <v>135</v>
      </c>
      <c r="Q291" s="15"/>
      <c r="R291" s="132"/>
      <c r="S291" s="15"/>
      <c r="T291" s="132"/>
      <c r="U291" s="15"/>
      <c r="V291" s="34"/>
      <c r="W291" s="134"/>
      <c r="X291" s="132"/>
      <c r="Y291" s="124"/>
      <c r="Z291" s="132"/>
      <c r="AA291" s="124"/>
      <c r="AB291" s="132"/>
      <c r="AE291" s="15"/>
      <c r="AF291" s="12"/>
      <c r="AI291" s="15"/>
      <c r="AK291" s="15"/>
      <c r="AM291" s="15"/>
      <c r="AN291" s="12"/>
      <c r="BF291" s="85"/>
      <c r="BG291" s="85"/>
      <c r="BH291" s="85"/>
    </row>
    <row r="292" spans="1:60" ht="16" thickBot="1" x14ac:dyDescent="0.25">
      <c r="A292" s="5" t="s">
        <v>107</v>
      </c>
      <c r="B292" t="s">
        <v>135</v>
      </c>
      <c r="Q292" s="15"/>
      <c r="R292" s="132"/>
      <c r="S292" s="15"/>
      <c r="T292" s="132"/>
      <c r="U292" s="15"/>
      <c r="V292" s="34"/>
      <c r="W292" s="134"/>
      <c r="X292" s="132"/>
      <c r="Y292" s="124"/>
      <c r="Z292" s="132"/>
      <c r="AA292" s="124"/>
      <c r="AB292" s="132"/>
      <c r="AE292" s="15"/>
      <c r="AF292" s="12"/>
      <c r="AI292" s="15"/>
      <c r="AK292" s="15"/>
      <c r="AM292" s="15"/>
      <c r="AN292" s="12"/>
      <c r="BF292" s="85"/>
      <c r="BG292" s="85"/>
      <c r="BH292" s="85"/>
    </row>
    <row r="293" spans="1:60" ht="16" thickBot="1" x14ac:dyDescent="0.25">
      <c r="A293" s="5" t="s">
        <v>108</v>
      </c>
      <c r="B293" t="s">
        <v>135</v>
      </c>
      <c r="Q293" s="15"/>
      <c r="R293" s="132"/>
      <c r="S293" s="15"/>
      <c r="T293" s="132"/>
      <c r="U293" s="15"/>
      <c r="V293" s="34"/>
      <c r="W293" s="134"/>
      <c r="X293" s="132"/>
      <c r="Y293" s="124"/>
      <c r="Z293" s="132"/>
      <c r="AA293" s="124"/>
      <c r="AB293" s="132"/>
      <c r="AE293" s="15"/>
      <c r="AF293" s="12"/>
      <c r="AI293" s="15"/>
      <c r="AK293" s="15"/>
      <c r="AM293" s="15"/>
      <c r="AN293" s="12"/>
      <c r="BF293" s="85"/>
      <c r="BG293" s="85"/>
      <c r="BH293" s="85"/>
    </row>
    <row r="294" spans="1:60" ht="16" thickBot="1" x14ac:dyDescent="0.25">
      <c r="A294" s="5" t="s">
        <v>109</v>
      </c>
      <c r="B294" t="s">
        <v>135</v>
      </c>
      <c r="Q294" s="15"/>
      <c r="R294" s="132"/>
      <c r="S294" s="15"/>
      <c r="T294" s="132"/>
      <c r="U294" s="15"/>
      <c r="V294" s="34"/>
      <c r="W294" s="134"/>
      <c r="X294" s="132"/>
      <c r="Y294" s="124"/>
      <c r="Z294" s="132"/>
      <c r="AA294" s="124"/>
      <c r="AB294" s="132"/>
      <c r="AE294" s="15"/>
      <c r="AF294" s="12"/>
      <c r="AI294" s="15"/>
      <c r="AK294" s="15"/>
      <c r="AM294" s="15"/>
      <c r="AN294" s="12"/>
      <c r="BF294" s="85"/>
      <c r="BG294" s="85"/>
      <c r="BH294" s="85"/>
    </row>
    <row r="295" spans="1:60" ht="16" thickBot="1" x14ac:dyDescent="0.25">
      <c r="A295" s="5" t="s">
        <v>110</v>
      </c>
      <c r="B295" t="s">
        <v>135</v>
      </c>
      <c r="Q295" s="15"/>
      <c r="R295" s="132"/>
      <c r="S295" s="15"/>
      <c r="T295" s="132"/>
      <c r="U295" s="15"/>
      <c r="V295" s="34"/>
      <c r="W295" s="134"/>
      <c r="X295" s="132"/>
      <c r="Y295" s="124"/>
      <c r="Z295" s="132"/>
      <c r="AA295" s="124"/>
      <c r="AB295" s="132"/>
      <c r="AE295" s="15"/>
      <c r="AF295" s="12"/>
      <c r="AI295" s="15"/>
      <c r="AK295" s="15"/>
      <c r="AM295" s="15"/>
      <c r="AN295" s="12"/>
      <c r="BF295" s="85"/>
      <c r="BG295" s="85"/>
      <c r="BH295" s="85"/>
    </row>
    <row r="296" spans="1:60" ht="16" thickBot="1" x14ac:dyDescent="0.25">
      <c r="A296" s="5" t="s">
        <v>111</v>
      </c>
      <c r="B296" t="s">
        <v>135</v>
      </c>
      <c r="Q296" s="15"/>
      <c r="R296" s="132"/>
      <c r="S296" s="15"/>
      <c r="T296" s="132"/>
      <c r="U296" s="15"/>
      <c r="V296" s="34"/>
      <c r="W296" s="134"/>
      <c r="X296" s="132"/>
      <c r="Y296" s="124"/>
      <c r="Z296" s="132"/>
      <c r="AA296" s="124"/>
      <c r="AB296" s="132"/>
      <c r="AE296" s="15"/>
      <c r="AF296" s="12"/>
      <c r="AI296" s="15"/>
      <c r="AK296" s="15"/>
      <c r="AM296" s="15"/>
      <c r="AN296" s="12"/>
      <c r="BF296" s="84"/>
      <c r="BG296" s="84"/>
      <c r="BH296" s="85"/>
    </row>
    <row r="297" spans="1:60" ht="16" thickBot="1" x14ac:dyDescent="0.25">
      <c r="A297" s="5" t="s">
        <v>112</v>
      </c>
      <c r="B297" t="s">
        <v>135</v>
      </c>
      <c r="Q297" s="15"/>
      <c r="R297" s="132"/>
      <c r="S297" s="15"/>
      <c r="T297" s="132"/>
      <c r="U297" s="15"/>
      <c r="V297" s="34"/>
      <c r="W297" s="134"/>
      <c r="X297" s="132"/>
      <c r="Y297" s="124"/>
      <c r="Z297" s="132"/>
      <c r="AA297" s="124"/>
      <c r="AB297" s="132"/>
      <c r="AE297" s="15"/>
      <c r="AF297" s="12"/>
      <c r="AI297" s="15"/>
      <c r="AK297" s="15"/>
      <c r="AM297" s="15"/>
      <c r="AN297" s="12"/>
      <c r="BF297" s="84"/>
      <c r="BG297" s="84"/>
      <c r="BH297" s="85"/>
    </row>
    <row r="298" spans="1:60" ht="16" thickBot="1" x14ac:dyDescent="0.25">
      <c r="A298" s="5" t="s">
        <v>113</v>
      </c>
      <c r="B298" t="s">
        <v>135</v>
      </c>
      <c r="Q298" s="15"/>
      <c r="R298" s="132"/>
      <c r="S298" s="15"/>
      <c r="T298" s="132"/>
      <c r="U298" s="15"/>
      <c r="V298" s="34"/>
      <c r="W298" s="134"/>
      <c r="X298" s="132"/>
      <c r="Y298" s="124"/>
      <c r="Z298" s="132"/>
      <c r="AA298" s="124"/>
      <c r="AB298" s="132"/>
      <c r="AE298" s="15"/>
      <c r="AF298" s="12"/>
      <c r="AI298" s="15"/>
      <c r="AK298" s="15"/>
      <c r="AM298" s="15"/>
      <c r="AN298" s="12"/>
      <c r="BF298" s="85"/>
      <c r="BG298" s="85"/>
      <c r="BH298" s="85"/>
    </row>
    <row r="299" spans="1:60" ht="16" thickBot="1" x14ac:dyDescent="0.25">
      <c r="A299" s="5" t="s">
        <v>114</v>
      </c>
      <c r="B299" t="s">
        <v>135</v>
      </c>
      <c r="Q299" s="15"/>
      <c r="R299" s="132"/>
      <c r="S299" s="15"/>
      <c r="T299" s="132"/>
      <c r="U299" s="15"/>
      <c r="V299" s="34"/>
      <c r="W299" s="134"/>
      <c r="X299" s="132"/>
      <c r="Y299" s="124"/>
      <c r="Z299" s="132"/>
      <c r="AA299" s="124"/>
      <c r="AB299" s="132"/>
      <c r="AE299" s="15"/>
      <c r="AF299" s="12"/>
      <c r="AI299" s="15"/>
      <c r="AK299" s="15"/>
      <c r="AM299" s="15"/>
      <c r="AN299" s="12"/>
      <c r="BF299" s="85"/>
      <c r="BG299" s="85"/>
      <c r="BH299" s="85"/>
    </row>
    <row r="300" spans="1:60" ht="16" thickBot="1" x14ac:dyDescent="0.25">
      <c r="A300" s="5" t="s">
        <v>115</v>
      </c>
      <c r="B300" t="s">
        <v>135</v>
      </c>
      <c r="Q300" s="15"/>
      <c r="R300" s="132"/>
      <c r="S300" s="15"/>
      <c r="T300" s="132"/>
      <c r="U300" s="15"/>
      <c r="V300" s="34"/>
      <c r="W300" s="134"/>
      <c r="X300" s="132"/>
      <c r="Y300" s="124"/>
      <c r="Z300" s="132"/>
      <c r="AA300" s="124"/>
      <c r="AB300" s="132"/>
      <c r="AE300" s="15"/>
      <c r="AF300" s="12"/>
      <c r="AI300" s="15"/>
      <c r="AK300" s="15"/>
      <c r="AM300" s="15"/>
      <c r="AN300" s="12"/>
      <c r="BF300" s="84"/>
      <c r="BG300" s="85"/>
      <c r="BH300" s="85"/>
    </row>
    <row r="301" spans="1:60" ht="16" thickBot="1" x14ac:dyDescent="0.25">
      <c r="A301" s="5" t="s">
        <v>116</v>
      </c>
      <c r="B301" t="s">
        <v>135</v>
      </c>
      <c r="Q301" s="15"/>
      <c r="R301" s="132"/>
      <c r="S301" s="15"/>
      <c r="T301" s="132"/>
      <c r="U301" s="15"/>
      <c r="V301" s="34"/>
      <c r="W301" s="134"/>
      <c r="X301" s="132"/>
      <c r="Y301" s="124"/>
      <c r="Z301" s="132"/>
      <c r="AA301" s="124"/>
      <c r="AB301" s="132"/>
      <c r="AE301" s="15"/>
      <c r="AF301" s="12"/>
      <c r="AI301" s="15"/>
      <c r="AK301" s="15"/>
      <c r="AM301" s="15"/>
      <c r="AN301" s="12"/>
      <c r="BF301" s="85"/>
      <c r="BG301" s="84"/>
      <c r="BH301" s="85"/>
    </row>
    <row r="302" spans="1:60" ht="16" thickBot="1" x14ac:dyDescent="0.25">
      <c r="A302" s="5" t="s">
        <v>117</v>
      </c>
      <c r="B302" t="s">
        <v>135</v>
      </c>
      <c r="Q302" s="15"/>
      <c r="R302" s="132"/>
      <c r="S302" s="15"/>
      <c r="T302" s="132"/>
      <c r="U302" s="15"/>
      <c r="V302" s="34"/>
      <c r="W302" s="134"/>
      <c r="X302" s="132"/>
      <c r="Y302" s="124"/>
      <c r="Z302" s="132"/>
      <c r="AA302" s="124"/>
      <c r="AB302" s="132"/>
      <c r="AE302" s="15"/>
      <c r="AF302" s="12"/>
      <c r="AI302" s="15"/>
      <c r="AK302" s="15"/>
      <c r="AM302" s="15"/>
      <c r="AN302" s="12"/>
      <c r="BF302" s="85"/>
      <c r="BG302" s="85"/>
      <c r="BH302" s="85"/>
    </row>
    <row r="303" spans="1:60" ht="16" thickBot="1" x14ac:dyDescent="0.25">
      <c r="A303" s="5" t="s">
        <v>118</v>
      </c>
      <c r="B303" t="s">
        <v>135</v>
      </c>
      <c r="Q303" s="15"/>
      <c r="R303" s="132"/>
      <c r="S303" s="15"/>
      <c r="T303" s="132"/>
      <c r="U303" s="15"/>
      <c r="V303" s="34"/>
      <c r="W303" s="134"/>
      <c r="X303" s="132"/>
      <c r="Y303" s="124"/>
      <c r="Z303" s="132"/>
      <c r="AA303" s="124"/>
      <c r="AB303" s="132"/>
      <c r="AE303" s="15"/>
      <c r="AF303" s="12"/>
      <c r="AI303" s="15"/>
      <c r="AK303" s="15"/>
      <c r="AM303" s="15"/>
      <c r="AN303" s="12"/>
      <c r="BF303" s="85"/>
      <c r="BG303" s="84"/>
      <c r="BH303" s="85"/>
    </row>
    <row r="304" spans="1:60" ht="16" thickBot="1" x14ac:dyDescent="0.25">
      <c r="A304" s="5" t="s">
        <v>119</v>
      </c>
      <c r="B304" t="s">
        <v>135</v>
      </c>
      <c r="Q304" s="15"/>
      <c r="R304" s="132"/>
      <c r="S304" s="15"/>
      <c r="T304" s="132"/>
      <c r="U304" s="15"/>
      <c r="V304" s="34"/>
      <c r="W304" s="134"/>
      <c r="X304" s="132"/>
      <c r="Y304" s="124"/>
      <c r="Z304" s="132"/>
      <c r="AA304" s="124"/>
      <c r="AB304" s="132"/>
      <c r="AE304" s="15"/>
      <c r="AF304" s="12"/>
      <c r="AI304" s="15"/>
      <c r="AK304" s="15"/>
      <c r="AM304" s="15"/>
      <c r="AN304" s="12"/>
      <c r="BF304" s="84"/>
      <c r="BG304" s="84"/>
      <c r="BH304" s="85"/>
    </row>
    <row r="305" spans="1:66" ht="16" thickBot="1" x14ac:dyDescent="0.25">
      <c r="A305" s="5" t="s">
        <v>120</v>
      </c>
      <c r="B305" t="s">
        <v>135</v>
      </c>
      <c r="Q305" s="15"/>
      <c r="R305" s="132"/>
      <c r="S305" s="15"/>
      <c r="T305" s="132"/>
      <c r="U305" s="15"/>
      <c r="V305" s="34"/>
      <c r="W305" s="134"/>
      <c r="X305" s="132"/>
      <c r="Y305" s="124"/>
      <c r="Z305" s="132"/>
      <c r="AA305" s="124"/>
      <c r="AB305" s="132"/>
      <c r="AE305" s="15"/>
      <c r="AF305" s="12"/>
      <c r="AI305" s="15"/>
      <c r="AK305" s="15"/>
      <c r="AM305" s="15"/>
      <c r="AN305" s="12"/>
      <c r="BF305" s="84"/>
      <c r="BG305" s="84"/>
      <c r="BH305" s="85"/>
    </row>
    <row r="306" spans="1:66" ht="16" thickBot="1" x14ac:dyDescent="0.25">
      <c r="A306" s="5" t="s">
        <v>121</v>
      </c>
      <c r="B306" t="s">
        <v>135</v>
      </c>
      <c r="Q306" s="15"/>
      <c r="R306" s="132"/>
      <c r="S306" s="15"/>
      <c r="T306" s="132"/>
      <c r="U306" s="15"/>
      <c r="V306" s="34"/>
      <c r="W306" s="134"/>
      <c r="X306" s="132"/>
      <c r="Y306" s="124"/>
      <c r="Z306" s="132"/>
      <c r="AA306" s="124"/>
      <c r="AB306" s="132"/>
      <c r="AE306" s="15"/>
      <c r="AF306" s="12"/>
      <c r="AI306" s="15"/>
      <c r="AK306" s="15"/>
      <c r="AM306" s="15"/>
      <c r="AN306" s="12"/>
      <c r="BF306" s="85"/>
      <c r="BG306" s="85"/>
      <c r="BH306" s="85"/>
    </row>
    <row r="307" spans="1:66" ht="16" thickBot="1" x14ac:dyDescent="0.25">
      <c r="A307" s="5" t="s">
        <v>122</v>
      </c>
      <c r="B307" t="s">
        <v>135</v>
      </c>
      <c r="Q307" s="15"/>
      <c r="R307" s="132"/>
      <c r="S307" s="15"/>
      <c r="T307" s="132"/>
      <c r="U307" s="15"/>
      <c r="V307" s="34"/>
      <c r="W307" s="134"/>
      <c r="X307" s="132"/>
      <c r="Y307" s="124"/>
      <c r="Z307" s="132"/>
      <c r="AA307" s="124"/>
      <c r="AB307" s="132"/>
      <c r="AE307" s="15"/>
      <c r="AF307" s="12"/>
      <c r="AI307" s="15"/>
      <c r="AK307" s="15"/>
      <c r="AM307" s="15"/>
      <c r="AN307" s="12"/>
      <c r="BF307" s="85"/>
      <c r="BG307" s="85"/>
      <c r="BH307" s="85"/>
    </row>
    <row r="308" spans="1:66" ht="16" thickBot="1" x14ac:dyDescent="0.25">
      <c r="A308" s="5" t="s">
        <v>123</v>
      </c>
      <c r="B308" t="s">
        <v>135</v>
      </c>
      <c r="Q308" s="15"/>
      <c r="R308" s="132"/>
      <c r="S308" s="15"/>
      <c r="T308" s="132"/>
      <c r="U308" s="15"/>
      <c r="V308" s="34"/>
      <c r="W308" s="134"/>
      <c r="X308" s="132"/>
      <c r="Y308" s="124"/>
      <c r="Z308" s="132"/>
      <c r="AA308" s="124"/>
      <c r="AB308" s="132"/>
      <c r="AE308" s="15"/>
      <c r="AF308" s="12"/>
      <c r="AI308" s="15"/>
      <c r="AK308" s="15"/>
      <c r="AM308" s="15"/>
      <c r="AN308" s="12"/>
      <c r="BF308" s="85"/>
      <c r="BG308" s="85"/>
      <c r="BH308" s="85"/>
    </row>
    <row r="309" spans="1:66" ht="16" thickBot="1" x14ac:dyDescent="0.25">
      <c r="A309" s="5" t="s">
        <v>124</v>
      </c>
      <c r="B309" t="s">
        <v>135</v>
      </c>
      <c r="Q309" s="15"/>
      <c r="R309" s="132"/>
      <c r="S309" s="15"/>
      <c r="T309" s="132"/>
      <c r="U309" s="15"/>
      <c r="V309" s="34"/>
      <c r="W309" s="134"/>
      <c r="X309" s="132"/>
      <c r="Y309" s="124"/>
      <c r="Z309" s="132"/>
      <c r="AA309" s="124"/>
      <c r="AB309" s="132"/>
      <c r="AE309" s="15"/>
      <c r="AF309" s="12"/>
      <c r="AI309" s="15"/>
      <c r="AK309" s="15"/>
      <c r="AM309" s="15"/>
      <c r="AN309" s="12"/>
      <c r="BF309" s="85"/>
      <c r="BG309" s="85"/>
      <c r="BH309" s="85"/>
    </row>
    <row r="310" spans="1:66" ht="16" thickBot="1" x14ac:dyDescent="0.25">
      <c r="A310" s="5" t="s">
        <v>125</v>
      </c>
      <c r="B310" t="s">
        <v>135</v>
      </c>
      <c r="Q310" s="15"/>
      <c r="R310" s="132"/>
      <c r="S310" s="15"/>
      <c r="T310" s="132"/>
      <c r="U310" s="15"/>
      <c r="V310" s="34"/>
      <c r="W310" s="134"/>
      <c r="X310" s="132"/>
      <c r="Y310" s="124"/>
      <c r="Z310" s="132"/>
      <c r="AA310" s="124"/>
      <c r="AB310" s="132"/>
      <c r="AE310" s="15"/>
      <c r="AF310" s="12"/>
      <c r="AI310" s="15"/>
      <c r="AK310" s="15"/>
      <c r="AM310" s="15"/>
      <c r="AN310" s="12"/>
      <c r="BF310" s="85"/>
      <c r="BG310" s="85"/>
      <c r="BH310" s="85"/>
    </row>
    <row r="311" spans="1:66" ht="16" thickBot="1" x14ac:dyDescent="0.25">
      <c r="A311" s="5">
        <v>99224</v>
      </c>
      <c r="B311" t="s">
        <v>135</v>
      </c>
      <c r="Q311" s="15"/>
      <c r="R311" s="132"/>
      <c r="S311" s="15"/>
      <c r="T311" s="132"/>
      <c r="U311" s="15"/>
      <c r="V311" s="34"/>
      <c r="W311" s="134"/>
      <c r="X311" s="132"/>
      <c r="Y311" s="124"/>
      <c r="Z311" s="132"/>
      <c r="AA311" s="124"/>
      <c r="AB311" s="132"/>
      <c r="AE311" s="15"/>
      <c r="AF311" s="12"/>
      <c r="AI311" s="15"/>
      <c r="AK311" s="15"/>
      <c r="AM311" s="15"/>
      <c r="AN311" s="12"/>
      <c r="BF311" s="85"/>
      <c r="BG311" s="85"/>
      <c r="BH311" s="85"/>
    </row>
    <row r="312" spans="1:66" ht="16" thickBot="1" x14ac:dyDescent="0.25">
      <c r="A312" s="5">
        <v>99228</v>
      </c>
      <c r="B312" t="s">
        <v>135</v>
      </c>
      <c r="Q312" s="15"/>
      <c r="R312" s="132"/>
      <c r="S312" s="15"/>
      <c r="T312" s="132"/>
      <c r="U312" s="15"/>
      <c r="V312" s="34"/>
      <c r="W312" s="134"/>
      <c r="X312" s="132"/>
      <c r="Y312" s="124"/>
      <c r="Z312" s="132"/>
      <c r="AA312" s="124"/>
      <c r="AB312" s="132"/>
      <c r="AE312" s="15"/>
      <c r="AF312" s="12"/>
      <c r="AI312" s="15"/>
      <c r="AK312" s="15"/>
      <c r="AM312" s="15"/>
      <c r="AN312" s="12"/>
      <c r="BF312" s="85"/>
      <c r="BG312" s="85"/>
      <c r="BH312" s="85"/>
    </row>
    <row r="313" spans="1:66" ht="16" thickBot="1" x14ac:dyDescent="0.25">
      <c r="A313" s="5" t="s">
        <v>127</v>
      </c>
      <c r="B313" t="s">
        <v>135</v>
      </c>
      <c r="Q313" s="15"/>
      <c r="R313" s="132"/>
      <c r="S313" s="15"/>
      <c r="T313" s="132"/>
      <c r="U313" s="15"/>
      <c r="V313" s="34"/>
      <c r="W313" s="134"/>
      <c r="X313" s="132"/>
      <c r="Y313" s="124"/>
      <c r="Z313" s="132"/>
      <c r="AA313" s="124"/>
      <c r="AB313" s="132"/>
      <c r="AE313" s="15"/>
      <c r="AF313" s="12"/>
      <c r="AI313" s="15"/>
      <c r="AK313" s="15"/>
      <c r="AM313" s="15"/>
      <c r="AN313" s="12"/>
      <c r="BF313" s="85"/>
      <c r="BG313" s="85"/>
      <c r="BH313" s="85"/>
    </row>
    <row r="314" spans="1:66" ht="16" thickBot="1" x14ac:dyDescent="0.25">
      <c r="A314" s="5" t="s">
        <v>128</v>
      </c>
      <c r="B314" t="s">
        <v>135</v>
      </c>
      <c r="Q314" s="15"/>
      <c r="R314" s="132"/>
      <c r="S314" s="15"/>
      <c r="T314" s="132"/>
      <c r="U314" s="15"/>
      <c r="V314" s="34"/>
      <c r="W314" s="134"/>
      <c r="X314" s="132"/>
      <c r="Y314" s="124"/>
      <c r="Z314" s="132"/>
      <c r="AA314" s="124"/>
      <c r="AB314" s="132"/>
      <c r="AE314" s="15"/>
      <c r="AF314" s="12"/>
      <c r="AI314" s="15"/>
      <c r="AK314" s="15"/>
      <c r="AM314" s="15"/>
      <c r="AN314" s="12"/>
      <c r="BF314" s="85"/>
      <c r="BG314" s="85"/>
      <c r="BH314" s="85"/>
    </row>
    <row r="315" spans="1:66" ht="16" thickBot="1" x14ac:dyDescent="0.25">
      <c r="A315" s="5" t="s">
        <v>129</v>
      </c>
      <c r="B315" t="s">
        <v>135</v>
      </c>
      <c r="Q315" s="15"/>
      <c r="R315" s="132"/>
      <c r="S315" s="15"/>
      <c r="T315" s="132"/>
      <c r="U315" s="15"/>
      <c r="V315" s="34"/>
      <c r="W315" s="134"/>
      <c r="X315" s="132"/>
      <c r="Y315" s="124"/>
      <c r="Z315" s="132"/>
      <c r="AA315" s="124"/>
      <c r="AB315" s="132"/>
      <c r="AE315" s="15"/>
      <c r="AF315" s="12"/>
      <c r="AI315" s="15"/>
      <c r="AK315" s="15"/>
      <c r="AM315" s="15"/>
      <c r="AN315" s="12"/>
      <c r="BF315" s="85"/>
      <c r="BG315" s="85"/>
      <c r="BH315" s="85"/>
    </row>
    <row r="316" spans="1:66" ht="16" thickBot="1" x14ac:dyDescent="0.25">
      <c r="A316" s="5" t="s">
        <v>130</v>
      </c>
      <c r="B316" t="s">
        <v>135</v>
      </c>
      <c r="Q316" s="15"/>
      <c r="R316" s="132"/>
      <c r="S316" s="15"/>
      <c r="T316" s="132"/>
      <c r="U316" s="15"/>
      <c r="V316" s="34"/>
      <c r="W316" s="134"/>
      <c r="X316" s="132"/>
      <c r="Y316" s="124"/>
      <c r="Z316" s="132"/>
      <c r="AA316" s="124"/>
      <c r="AB316" s="132"/>
      <c r="AE316" s="15"/>
      <c r="AF316" s="12"/>
      <c r="AI316" s="15"/>
      <c r="AK316" s="15"/>
      <c r="AM316" s="15"/>
      <c r="AN316" s="12"/>
      <c r="BF316" s="84"/>
      <c r="BG316" s="85"/>
      <c r="BH316" s="85"/>
    </row>
    <row r="317" spans="1:66" ht="16" thickBot="1" x14ac:dyDescent="0.25">
      <c r="A317" s="6" t="s">
        <v>131</v>
      </c>
      <c r="B317" t="s">
        <v>135</v>
      </c>
      <c r="F317">
        <v>3</v>
      </c>
      <c r="Q317" s="15"/>
      <c r="R317" s="132"/>
      <c r="S317" s="15"/>
      <c r="T317" s="132"/>
      <c r="U317" s="15"/>
      <c r="V317" s="34"/>
      <c r="W317" s="134"/>
      <c r="X317" s="132"/>
      <c r="Y317" s="124"/>
      <c r="Z317" s="132"/>
      <c r="AA317" s="124"/>
      <c r="AB317" s="132"/>
      <c r="AE317" s="15"/>
      <c r="AF317" s="12"/>
      <c r="AI317" s="15"/>
      <c r="AK317" s="15"/>
      <c r="AM317" s="15"/>
      <c r="AN317" s="12"/>
      <c r="BF317" s="84"/>
      <c r="BG317" s="84"/>
      <c r="BH317" s="85"/>
    </row>
    <row r="318" spans="1:66" ht="16" thickBot="1" x14ac:dyDescent="0.25">
      <c r="A318" s="5" t="s">
        <v>132</v>
      </c>
      <c r="B318" t="s">
        <v>135</v>
      </c>
      <c r="Q318" s="15"/>
      <c r="R318" s="132"/>
      <c r="S318" s="15"/>
      <c r="T318" s="132"/>
      <c r="U318" s="15"/>
      <c r="V318" s="34"/>
      <c r="W318" s="134"/>
      <c r="X318" s="132"/>
      <c r="Y318" s="124"/>
      <c r="Z318" s="132"/>
      <c r="AA318" s="124"/>
      <c r="AB318" s="132"/>
      <c r="AE318" s="15"/>
      <c r="AF318" s="12"/>
      <c r="AI318" s="15"/>
      <c r="AK318" s="15"/>
      <c r="AM318" s="15"/>
      <c r="AN318" s="12"/>
      <c r="BF318" s="85"/>
      <c r="BG318" s="85"/>
      <c r="BH318" s="85"/>
    </row>
    <row r="319" spans="1:66" ht="16" thickBot="1" x14ac:dyDescent="0.25">
      <c r="A319" s="5" t="s">
        <v>133</v>
      </c>
      <c r="B319" t="s">
        <v>135</v>
      </c>
      <c r="Q319" s="15"/>
      <c r="R319" s="132"/>
      <c r="S319" s="15"/>
      <c r="T319" s="132"/>
      <c r="U319" s="16"/>
      <c r="V319" s="139"/>
      <c r="W319" s="134"/>
      <c r="X319" s="132"/>
      <c r="Y319" s="124"/>
      <c r="Z319" s="132"/>
      <c r="AA319" s="124"/>
      <c r="AB319" s="132"/>
      <c r="AE319" s="15"/>
      <c r="AF319" s="12"/>
      <c r="AI319" s="15"/>
      <c r="AK319" s="15"/>
      <c r="AM319" s="15"/>
      <c r="AN319" s="12"/>
      <c r="BF319" s="85"/>
      <c r="BG319" s="85"/>
      <c r="BH319" s="85"/>
    </row>
    <row r="320" spans="1:66" ht="16" thickBot="1" x14ac:dyDescent="0.25">
      <c r="A320" s="5" t="s">
        <v>134</v>
      </c>
      <c r="B320" t="s">
        <v>135</v>
      </c>
      <c r="D320" s="13"/>
      <c r="E320" s="13"/>
      <c r="G320" s="13"/>
      <c r="H320" s="13"/>
      <c r="I320" s="13"/>
      <c r="J320" s="13"/>
      <c r="K320" s="13"/>
      <c r="L320" s="13"/>
      <c r="M320" s="13"/>
      <c r="N320" s="13"/>
      <c r="O320" s="13"/>
      <c r="P320" s="29"/>
      <c r="Q320" s="16"/>
      <c r="R320" s="133"/>
      <c r="S320" s="16"/>
      <c r="T320" s="133"/>
      <c r="U320" s="13"/>
      <c r="V320" s="139"/>
      <c r="W320" s="144"/>
      <c r="X320" s="133"/>
      <c r="Y320" s="147"/>
      <c r="Z320" s="133"/>
      <c r="AA320" s="147"/>
      <c r="AB320" s="133"/>
      <c r="AC320" s="13"/>
      <c r="AD320" s="13"/>
      <c r="AE320" s="16"/>
      <c r="AF320" s="14"/>
      <c r="AG320" s="13"/>
      <c r="AH320" s="13"/>
      <c r="AI320" s="16"/>
      <c r="AJ320" s="13"/>
      <c r="AK320" s="16"/>
      <c r="AL320" s="13"/>
      <c r="AM320" s="16"/>
      <c r="AN320" s="14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C320" s="13"/>
      <c r="BD320" s="13"/>
      <c r="BE320" s="13"/>
      <c r="BF320" s="115"/>
      <c r="BG320" s="119"/>
      <c r="BH320" s="115"/>
      <c r="BI320" s="13"/>
      <c r="BJ320" s="13"/>
      <c r="BK320" s="13"/>
      <c r="BL320" s="13"/>
      <c r="BM320" s="13"/>
      <c r="BN320" s="13"/>
    </row>
    <row r="321" spans="2:60" ht="16" thickBot="1" x14ac:dyDescent="0.25">
      <c r="D321">
        <f t="shared" ref="D321:O321" si="5">SUM(D216:D320)</f>
        <v>0</v>
      </c>
      <c r="E321">
        <f t="shared" si="5"/>
        <v>0</v>
      </c>
      <c r="F321">
        <f t="shared" si="5"/>
        <v>3</v>
      </c>
      <c r="G321">
        <f t="shared" si="5"/>
        <v>0</v>
      </c>
      <c r="H321">
        <f t="shared" si="5"/>
        <v>0</v>
      </c>
      <c r="I321">
        <f t="shared" si="5"/>
        <v>0</v>
      </c>
      <c r="J321">
        <f t="shared" si="5"/>
        <v>0</v>
      </c>
      <c r="K321">
        <f t="shared" si="5"/>
        <v>0</v>
      </c>
      <c r="L321">
        <f t="shared" si="5"/>
        <v>0</v>
      </c>
      <c r="M321">
        <f t="shared" si="5"/>
        <v>0</v>
      </c>
      <c r="N321">
        <f t="shared" si="5"/>
        <v>0</v>
      </c>
      <c r="O321">
        <f t="shared" si="5"/>
        <v>0</v>
      </c>
      <c r="R321" s="34"/>
      <c r="T321" s="34"/>
      <c r="V321" s="34"/>
      <c r="W321"/>
      <c r="X321"/>
      <c r="Y321"/>
      <c r="Z321"/>
      <c r="AA321"/>
      <c r="AB321"/>
      <c r="BF321" s="85"/>
      <c r="BG321" s="85"/>
      <c r="BH321" s="85"/>
    </row>
    <row r="322" spans="2:60" ht="16" thickBot="1" x14ac:dyDescent="0.25">
      <c r="B322" t="s">
        <v>259</v>
      </c>
      <c r="D322">
        <f t="shared" ref="D322:O322" si="6">D321+D215+D109</f>
        <v>1264</v>
      </c>
      <c r="E322">
        <f t="shared" si="6"/>
        <v>202</v>
      </c>
      <c r="F322">
        <f t="shared" si="6"/>
        <v>1753</v>
      </c>
      <c r="G322">
        <f t="shared" si="6"/>
        <v>1410</v>
      </c>
      <c r="H322">
        <f t="shared" si="6"/>
        <v>1016</v>
      </c>
      <c r="I322">
        <f t="shared" si="6"/>
        <v>1045</v>
      </c>
      <c r="J322">
        <f t="shared" si="6"/>
        <v>0</v>
      </c>
      <c r="K322">
        <f t="shared" si="6"/>
        <v>0</v>
      </c>
      <c r="L322">
        <f t="shared" si="6"/>
        <v>0</v>
      </c>
      <c r="M322">
        <f t="shared" si="6"/>
        <v>0</v>
      </c>
      <c r="N322">
        <f t="shared" si="6"/>
        <v>0</v>
      </c>
      <c r="O322">
        <f t="shared" si="6"/>
        <v>0</v>
      </c>
      <c r="BF322" s="85"/>
      <c r="BG322" s="85"/>
      <c r="BH322" s="85"/>
    </row>
    <row r="323" spans="2:60" ht="16" thickBot="1" x14ac:dyDescent="0.25">
      <c r="BF323" s="84"/>
      <c r="BG323" s="85"/>
      <c r="BH323" s="84"/>
    </row>
  </sheetData>
  <mergeCells count="6">
    <mergeCell ref="A215:B215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4" width="9.83203125" bestFit="1" customWidth="1"/>
    <col min="16" max="16" width="2.83203125" style="1" customWidth="1"/>
    <col min="17" max="17" width="9.83203125" bestFit="1" customWidth="1"/>
    <col min="29" max="29" width="2.83203125" style="1" customWidth="1"/>
    <col min="30" max="30" width="9.83203125" bestFit="1" customWidth="1"/>
    <col min="42" max="42" width="2.83203125" style="1" customWidth="1"/>
    <col min="43" max="43" width="9.83203125" bestFit="1" customWidth="1"/>
    <col min="55" max="55" width="2.83203125" style="1" customWidth="1"/>
    <col min="56" max="56" width="9.83203125" bestFit="1" customWidth="1"/>
    <col min="68" max="68" width="2.83203125" style="1" customWidth="1"/>
    <col min="69" max="69" width="9.83203125" bestFit="1" customWidth="1"/>
    <col min="71" max="71" width="9.83203125" bestFit="1" customWidth="1"/>
  </cols>
  <sheetData>
    <row r="1" spans="1:80" ht="30" customHeight="1" x14ac:dyDescent="0.2">
      <c r="A1" s="296" t="s">
        <v>283</v>
      </c>
      <c r="B1" s="296"/>
      <c r="D1" s="301" t="s">
        <v>20</v>
      </c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3"/>
      <c r="Q1" s="300" t="s">
        <v>21</v>
      </c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2"/>
      <c r="AD1" s="301" t="s">
        <v>22</v>
      </c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3"/>
      <c r="AQ1" s="300" t="s">
        <v>23</v>
      </c>
      <c r="AR1" s="300"/>
      <c r="AS1" s="300"/>
      <c r="AT1" s="300"/>
      <c r="AU1" s="300"/>
      <c r="AV1" s="300"/>
      <c r="AW1" s="300"/>
      <c r="AX1" s="300"/>
      <c r="AY1" s="300"/>
      <c r="AZ1" s="300"/>
      <c r="BA1" s="300"/>
      <c r="BB1" s="302"/>
      <c r="BD1" s="301" t="s">
        <v>24</v>
      </c>
      <c r="BE1" s="301"/>
      <c r="BF1" s="301"/>
      <c r="BG1" s="301"/>
      <c r="BH1" s="301"/>
      <c r="BI1" s="301"/>
      <c r="BJ1" s="301"/>
      <c r="BK1" s="301"/>
      <c r="BL1" s="301"/>
      <c r="BM1" s="301"/>
      <c r="BN1" s="301"/>
      <c r="BO1" s="301"/>
      <c r="BQ1" s="300" t="s">
        <v>25</v>
      </c>
      <c r="BR1" s="300"/>
      <c r="BS1" s="300"/>
      <c r="BT1" s="300"/>
      <c r="BU1" s="300"/>
      <c r="BV1" s="300"/>
      <c r="BW1" s="300"/>
      <c r="BX1" s="300"/>
      <c r="BY1" s="300"/>
      <c r="BZ1" s="300"/>
      <c r="CA1" s="300"/>
      <c r="CB1" s="300"/>
    </row>
    <row r="2" spans="1:80" x14ac:dyDescent="0.2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3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3">
        <v>45658</v>
      </c>
      <c r="AR2" s="3">
        <v>45689</v>
      </c>
      <c r="AS2" s="3">
        <v>45717</v>
      </c>
      <c r="AT2" s="3">
        <v>45748</v>
      </c>
      <c r="AU2" s="3">
        <v>45778</v>
      </c>
      <c r="AV2" s="4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  <c r="BD2" s="3">
        <v>45658</v>
      </c>
      <c r="BE2" s="3">
        <v>45689</v>
      </c>
      <c r="BF2" s="3">
        <v>45717</v>
      </c>
      <c r="BG2" s="3">
        <v>45748</v>
      </c>
      <c r="BH2" s="3">
        <v>45778</v>
      </c>
      <c r="BI2" s="4">
        <v>45809</v>
      </c>
      <c r="BJ2" s="3">
        <v>45839</v>
      </c>
      <c r="BK2" s="3">
        <v>45870</v>
      </c>
      <c r="BL2" s="3">
        <v>45901</v>
      </c>
      <c r="BM2" s="3">
        <v>45931</v>
      </c>
      <c r="BN2" s="3">
        <v>45962</v>
      </c>
      <c r="BO2" s="3">
        <v>45992</v>
      </c>
      <c r="BQ2" s="3">
        <v>45658</v>
      </c>
      <c r="BR2" s="3">
        <v>45689</v>
      </c>
      <c r="BS2" s="3">
        <v>45717</v>
      </c>
      <c r="BT2" s="3">
        <v>45748</v>
      </c>
      <c r="BU2" s="3">
        <v>45778</v>
      </c>
      <c r="BV2" s="4">
        <v>45809</v>
      </c>
      <c r="BW2" s="3">
        <v>45839</v>
      </c>
      <c r="BX2" s="3">
        <v>45870</v>
      </c>
      <c r="BY2" s="3">
        <v>45901</v>
      </c>
      <c r="BZ2" s="3">
        <v>45931</v>
      </c>
      <c r="CA2" s="3">
        <v>45962</v>
      </c>
      <c r="CB2" s="3">
        <v>45992</v>
      </c>
    </row>
    <row r="3" spans="1:80" x14ac:dyDescent="0.2">
      <c r="A3" t="s">
        <v>31</v>
      </c>
      <c r="B3" t="s">
        <v>136</v>
      </c>
      <c r="D3" s="11" t="s">
        <v>143</v>
      </c>
      <c r="F3" s="11"/>
      <c r="Q3" s="11" t="s">
        <v>143</v>
      </c>
    </row>
    <row r="4" spans="1:80" x14ac:dyDescent="0.2">
      <c r="A4" t="s">
        <v>32</v>
      </c>
      <c r="B4" t="s">
        <v>136</v>
      </c>
    </row>
    <row r="5" spans="1:80" x14ac:dyDescent="0.2">
      <c r="A5" t="s">
        <v>33</v>
      </c>
      <c r="B5" t="s">
        <v>136</v>
      </c>
    </row>
    <row r="6" spans="1:80" x14ac:dyDescent="0.2">
      <c r="A6" t="s">
        <v>34</v>
      </c>
      <c r="B6" t="s">
        <v>136</v>
      </c>
    </row>
    <row r="7" spans="1:80" x14ac:dyDescent="0.2">
      <c r="A7" t="s">
        <v>35</v>
      </c>
      <c r="B7" t="s">
        <v>136</v>
      </c>
    </row>
    <row r="8" spans="1:80" x14ac:dyDescent="0.2">
      <c r="A8" t="s">
        <v>36</v>
      </c>
      <c r="B8" t="s">
        <v>136</v>
      </c>
    </row>
    <row r="9" spans="1:80" x14ac:dyDescent="0.2">
      <c r="A9" t="s">
        <v>37</v>
      </c>
      <c r="B9" t="s">
        <v>136</v>
      </c>
    </row>
    <row r="10" spans="1:80" x14ac:dyDescent="0.2">
      <c r="A10" t="s">
        <v>38</v>
      </c>
      <c r="B10" t="s">
        <v>136</v>
      </c>
    </row>
    <row r="11" spans="1:80" x14ac:dyDescent="0.2">
      <c r="A11" t="s">
        <v>39</v>
      </c>
      <c r="B11" t="s">
        <v>136</v>
      </c>
    </row>
    <row r="12" spans="1:80" x14ac:dyDescent="0.2">
      <c r="A12" t="s">
        <v>40</v>
      </c>
      <c r="B12" t="s">
        <v>136</v>
      </c>
    </row>
    <row r="13" spans="1:80" x14ac:dyDescent="0.2">
      <c r="A13" t="s">
        <v>41</v>
      </c>
      <c r="B13" t="s">
        <v>136</v>
      </c>
    </row>
    <row r="14" spans="1:80" x14ac:dyDescent="0.2">
      <c r="A14" t="s">
        <v>42</v>
      </c>
      <c r="B14" t="s">
        <v>136</v>
      </c>
    </row>
    <row r="15" spans="1:80" x14ac:dyDescent="0.2">
      <c r="A15" t="s">
        <v>43</v>
      </c>
      <c r="B15" t="s">
        <v>136</v>
      </c>
    </row>
    <row r="16" spans="1:80" x14ac:dyDescent="0.2">
      <c r="A16" t="s">
        <v>44</v>
      </c>
      <c r="B16" t="s">
        <v>136</v>
      </c>
    </row>
    <row r="17" spans="1:2" x14ac:dyDescent="0.2">
      <c r="A17" t="s">
        <v>45</v>
      </c>
      <c r="B17" t="s">
        <v>136</v>
      </c>
    </row>
    <row r="18" spans="1:2" x14ac:dyDescent="0.2">
      <c r="A18" t="s">
        <v>46</v>
      </c>
      <c r="B18" t="s">
        <v>136</v>
      </c>
    </row>
    <row r="19" spans="1:2" x14ac:dyDescent="0.2">
      <c r="A19" t="s">
        <v>47</v>
      </c>
      <c r="B19" t="s">
        <v>136</v>
      </c>
    </row>
    <row r="20" spans="1:2" x14ac:dyDescent="0.2">
      <c r="A20" t="s">
        <v>48</v>
      </c>
      <c r="B20" t="s">
        <v>136</v>
      </c>
    </row>
    <row r="21" spans="1:2" x14ac:dyDescent="0.2">
      <c r="A21" t="s">
        <v>49</v>
      </c>
      <c r="B21" t="s">
        <v>136</v>
      </c>
    </row>
    <row r="22" spans="1:2" x14ac:dyDescent="0.2">
      <c r="A22" t="s">
        <v>50</v>
      </c>
      <c r="B22" t="s">
        <v>136</v>
      </c>
    </row>
    <row r="23" spans="1:2" x14ac:dyDescent="0.2">
      <c r="A23" t="s">
        <v>51</v>
      </c>
      <c r="B23" t="s">
        <v>136</v>
      </c>
    </row>
    <row r="24" spans="1:2" x14ac:dyDescent="0.2">
      <c r="A24" t="s">
        <v>52</v>
      </c>
      <c r="B24" t="s">
        <v>136</v>
      </c>
    </row>
    <row r="25" spans="1:2" x14ac:dyDescent="0.2">
      <c r="A25" t="s">
        <v>53</v>
      </c>
      <c r="B25" t="s">
        <v>136</v>
      </c>
    </row>
    <row r="26" spans="1:2" x14ac:dyDescent="0.2">
      <c r="A26" t="s">
        <v>54</v>
      </c>
      <c r="B26" t="s">
        <v>136</v>
      </c>
    </row>
    <row r="27" spans="1:2" x14ac:dyDescent="0.2">
      <c r="A27" t="s">
        <v>55</v>
      </c>
      <c r="B27" t="s">
        <v>136</v>
      </c>
    </row>
    <row r="28" spans="1:2" x14ac:dyDescent="0.2">
      <c r="A28" t="s">
        <v>56</v>
      </c>
      <c r="B28" t="s">
        <v>136</v>
      </c>
    </row>
    <row r="29" spans="1:2" x14ac:dyDescent="0.2">
      <c r="A29" t="s">
        <v>57</v>
      </c>
      <c r="B29" t="s">
        <v>136</v>
      </c>
    </row>
    <row r="30" spans="1:2" x14ac:dyDescent="0.2">
      <c r="A30" t="s">
        <v>58</v>
      </c>
      <c r="B30" t="s">
        <v>136</v>
      </c>
    </row>
    <row r="31" spans="1:2" x14ac:dyDescent="0.2">
      <c r="A31" t="s">
        <v>59</v>
      </c>
      <c r="B31" t="s">
        <v>136</v>
      </c>
    </row>
    <row r="32" spans="1:2" x14ac:dyDescent="0.2">
      <c r="A32" t="s">
        <v>60</v>
      </c>
      <c r="B32" t="s">
        <v>136</v>
      </c>
    </row>
    <row r="33" spans="1:2" x14ac:dyDescent="0.2">
      <c r="A33" t="s">
        <v>61</v>
      </c>
      <c r="B33" t="s">
        <v>136</v>
      </c>
    </row>
    <row r="34" spans="1:2" x14ac:dyDescent="0.2">
      <c r="A34" t="s">
        <v>62</v>
      </c>
      <c r="B34" t="s">
        <v>136</v>
      </c>
    </row>
    <row r="35" spans="1:2" x14ac:dyDescent="0.2">
      <c r="A35" t="s">
        <v>63</v>
      </c>
      <c r="B35" t="s">
        <v>136</v>
      </c>
    </row>
    <row r="36" spans="1:2" x14ac:dyDescent="0.2">
      <c r="A36" t="s">
        <v>64</v>
      </c>
      <c r="B36" t="s">
        <v>136</v>
      </c>
    </row>
    <row r="37" spans="1:2" x14ac:dyDescent="0.2">
      <c r="A37" t="s">
        <v>65</v>
      </c>
      <c r="B37" t="s">
        <v>136</v>
      </c>
    </row>
    <row r="38" spans="1:2" x14ac:dyDescent="0.2">
      <c r="A38" t="s">
        <v>66</v>
      </c>
      <c r="B38" t="s">
        <v>136</v>
      </c>
    </row>
    <row r="39" spans="1:2" x14ac:dyDescent="0.2">
      <c r="A39" t="s">
        <v>67</v>
      </c>
      <c r="B39" t="s">
        <v>136</v>
      </c>
    </row>
    <row r="40" spans="1:2" x14ac:dyDescent="0.2">
      <c r="A40" t="s">
        <v>68</v>
      </c>
      <c r="B40" t="s">
        <v>136</v>
      </c>
    </row>
    <row r="41" spans="1:2" x14ac:dyDescent="0.2">
      <c r="A41" t="s">
        <v>69</v>
      </c>
      <c r="B41" t="s">
        <v>136</v>
      </c>
    </row>
    <row r="42" spans="1:2" x14ac:dyDescent="0.2">
      <c r="A42" t="s">
        <v>70</v>
      </c>
      <c r="B42" t="s">
        <v>136</v>
      </c>
    </row>
    <row r="43" spans="1:2" x14ac:dyDescent="0.2">
      <c r="A43" t="s">
        <v>71</v>
      </c>
      <c r="B43" t="s">
        <v>136</v>
      </c>
    </row>
    <row r="44" spans="1:2" x14ac:dyDescent="0.2">
      <c r="A44" t="s">
        <v>72</v>
      </c>
      <c r="B44" t="s">
        <v>136</v>
      </c>
    </row>
    <row r="45" spans="1:2" x14ac:dyDescent="0.2">
      <c r="A45" t="s">
        <v>73</v>
      </c>
      <c r="B45" t="s">
        <v>136</v>
      </c>
    </row>
    <row r="46" spans="1:2" x14ac:dyDescent="0.2">
      <c r="A46" t="s">
        <v>74</v>
      </c>
      <c r="B46" t="s">
        <v>136</v>
      </c>
    </row>
    <row r="47" spans="1:2" x14ac:dyDescent="0.2">
      <c r="A47" t="s">
        <v>75</v>
      </c>
      <c r="B47" t="s">
        <v>136</v>
      </c>
    </row>
    <row r="48" spans="1:2" x14ac:dyDescent="0.2">
      <c r="A48" t="s">
        <v>76</v>
      </c>
      <c r="B48" t="s">
        <v>136</v>
      </c>
    </row>
    <row r="49" spans="1:2" x14ac:dyDescent="0.2">
      <c r="A49" t="s">
        <v>77</v>
      </c>
      <c r="B49" t="s">
        <v>136</v>
      </c>
    </row>
    <row r="50" spans="1:2" x14ac:dyDescent="0.2">
      <c r="A50" t="s">
        <v>78</v>
      </c>
      <c r="B50" t="s">
        <v>136</v>
      </c>
    </row>
    <row r="51" spans="1:2" x14ac:dyDescent="0.2">
      <c r="A51" t="s">
        <v>79</v>
      </c>
      <c r="B51" t="s">
        <v>136</v>
      </c>
    </row>
    <row r="52" spans="1:2" x14ac:dyDescent="0.2">
      <c r="A52" t="s">
        <v>80</v>
      </c>
      <c r="B52" t="s">
        <v>136</v>
      </c>
    </row>
    <row r="53" spans="1:2" x14ac:dyDescent="0.2">
      <c r="A53" t="s">
        <v>81</v>
      </c>
      <c r="B53" t="s">
        <v>136</v>
      </c>
    </row>
    <row r="54" spans="1:2" x14ac:dyDescent="0.2">
      <c r="A54" t="s">
        <v>82</v>
      </c>
      <c r="B54" t="s">
        <v>136</v>
      </c>
    </row>
    <row r="55" spans="1:2" x14ac:dyDescent="0.2">
      <c r="A55" t="s">
        <v>83</v>
      </c>
      <c r="B55" t="s">
        <v>136</v>
      </c>
    </row>
    <row r="56" spans="1:2" x14ac:dyDescent="0.2">
      <c r="A56" t="s">
        <v>84</v>
      </c>
      <c r="B56" t="s">
        <v>136</v>
      </c>
    </row>
    <row r="57" spans="1:2" x14ac:dyDescent="0.2">
      <c r="A57" t="s">
        <v>85</v>
      </c>
      <c r="B57" t="s">
        <v>136</v>
      </c>
    </row>
    <row r="58" spans="1:2" x14ac:dyDescent="0.2">
      <c r="A58" t="s">
        <v>86</v>
      </c>
      <c r="B58" t="s">
        <v>136</v>
      </c>
    </row>
    <row r="59" spans="1:2" x14ac:dyDescent="0.2">
      <c r="A59" t="s">
        <v>87</v>
      </c>
      <c r="B59" t="s">
        <v>136</v>
      </c>
    </row>
    <row r="60" spans="1:2" x14ac:dyDescent="0.2">
      <c r="A60" t="s">
        <v>88</v>
      </c>
      <c r="B60" t="s">
        <v>136</v>
      </c>
    </row>
    <row r="61" spans="1:2" x14ac:dyDescent="0.2">
      <c r="A61" t="s">
        <v>89</v>
      </c>
      <c r="B61" t="s">
        <v>136</v>
      </c>
    </row>
    <row r="62" spans="1:2" x14ac:dyDescent="0.2">
      <c r="A62" t="s">
        <v>90</v>
      </c>
      <c r="B62" t="s">
        <v>136</v>
      </c>
    </row>
    <row r="63" spans="1:2" x14ac:dyDescent="0.2">
      <c r="A63" t="s">
        <v>91</v>
      </c>
      <c r="B63" t="s">
        <v>136</v>
      </c>
    </row>
    <row r="64" spans="1:2" x14ac:dyDescent="0.2">
      <c r="A64" t="s">
        <v>92</v>
      </c>
      <c r="B64" t="s">
        <v>136</v>
      </c>
    </row>
    <row r="65" spans="1:2" x14ac:dyDescent="0.2">
      <c r="A65" t="s">
        <v>93</v>
      </c>
      <c r="B65" t="s">
        <v>136</v>
      </c>
    </row>
    <row r="66" spans="1:2" x14ac:dyDescent="0.2">
      <c r="A66" t="s">
        <v>94</v>
      </c>
      <c r="B66" t="s">
        <v>136</v>
      </c>
    </row>
    <row r="67" spans="1:2" x14ac:dyDescent="0.2">
      <c r="A67" t="s">
        <v>95</v>
      </c>
      <c r="B67" t="s">
        <v>136</v>
      </c>
    </row>
    <row r="68" spans="1:2" x14ac:dyDescent="0.2">
      <c r="A68" t="s">
        <v>96</v>
      </c>
      <c r="B68" t="s">
        <v>136</v>
      </c>
    </row>
    <row r="69" spans="1:2" x14ac:dyDescent="0.2">
      <c r="A69" t="s">
        <v>97</v>
      </c>
      <c r="B69" t="s">
        <v>136</v>
      </c>
    </row>
    <row r="70" spans="1:2" x14ac:dyDescent="0.2">
      <c r="A70" t="s">
        <v>98</v>
      </c>
      <c r="B70" t="s">
        <v>136</v>
      </c>
    </row>
    <row r="71" spans="1:2" x14ac:dyDescent="0.2">
      <c r="A71" t="s">
        <v>99</v>
      </c>
      <c r="B71" t="s">
        <v>136</v>
      </c>
    </row>
    <row r="72" spans="1:2" x14ac:dyDescent="0.2">
      <c r="A72" t="s">
        <v>100</v>
      </c>
      <c r="B72" t="s">
        <v>136</v>
      </c>
    </row>
    <row r="73" spans="1:2" x14ac:dyDescent="0.2">
      <c r="A73" t="s">
        <v>101</v>
      </c>
      <c r="B73" t="s">
        <v>136</v>
      </c>
    </row>
    <row r="74" spans="1:2" x14ac:dyDescent="0.2">
      <c r="A74" t="s">
        <v>102</v>
      </c>
      <c r="B74" t="s">
        <v>136</v>
      </c>
    </row>
    <row r="75" spans="1:2" x14ac:dyDescent="0.2">
      <c r="A75" t="s">
        <v>103</v>
      </c>
      <c r="B75" t="s">
        <v>136</v>
      </c>
    </row>
    <row r="76" spans="1:2" x14ac:dyDescent="0.2">
      <c r="A76" t="s">
        <v>104</v>
      </c>
      <c r="B76" t="s">
        <v>136</v>
      </c>
    </row>
    <row r="77" spans="1:2" x14ac:dyDescent="0.2">
      <c r="A77" t="s">
        <v>105</v>
      </c>
      <c r="B77" t="s">
        <v>136</v>
      </c>
    </row>
    <row r="78" spans="1:2" x14ac:dyDescent="0.2">
      <c r="A78" t="s">
        <v>106</v>
      </c>
      <c r="B78" t="s">
        <v>136</v>
      </c>
    </row>
    <row r="79" spans="1:2" x14ac:dyDescent="0.2">
      <c r="A79" t="s">
        <v>107</v>
      </c>
      <c r="B79" t="s">
        <v>136</v>
      </c>
    </row>
    <row r="80" spans="1:2" x14ac:dyDescent="0.2">
      <c r="A80" t="s">
        <v>108</v>
      </c>
      <c r="B80" t="s">
        <v>136</v>
      </c>
    </row>
    <row r="81" spans="1:71" x14ac:dyDescent="0.2">
      <c r="A81" t="s">
        <v>109</v>
      </c>
      <c r="B81" t="s">
        <v>136</v>
      </c>
    </row>
    <row r="82" spans="1:71" x14ac:dyDescent="0.2">
      <c r="A82" t="s">
        <v>110</v>
      </c>
      <c r="B82" t="s">
        <v>136</v>
      </c>
    </row>
    <row r="83" spans="1:71" x14ac:dyDescent="0.2">
      <c r="A83" t="s">
        <v>111</v>
      </c>
      <c r="B83" t="s">
        <v>136</v>
      </c>
      <c r="D83" s="10"/>
      <c r="Q83" s="10"/>
      <c r="AD83" s="10"/>
      <c r="AQ83" s="10"/>
      <c r="BD83" s="10"/>
      <c r="BQ83" s="10"/>
      <c r="BS83" s="10"/>
    </row>
    <row r="84" spans="1:71" x14ac:dyDescent="0.2">
      <c r="A84" t="s">
        <v>112</v>
      </c>
      <c r="B84" t="s">
        <v>136</v>
      </c>
      <c r="D84" s="10"/>
      <c r="Q84" s="10"/>
      <c r="AD84" s="10"/>
      <c r="AQ84" s="10"/>
      <c r="BD84" s="10"/>
      <c r="BQ84" s="10"/>
      <c r="BS84" s="10"/>
    </row>
    <row r="85" spans="1:71" x14ac:dyDescent="0.2">
      <c r="A85" t="s">
        <v>113</v>
      </c>
      <c r="B85" t="s">
        <v>136</v>
      </c>
      <c r="D85" s="10"/>
      <c r="Q85" s="10"/>
      <c r="AD85" s="10"/>
      <c r="AQ85" s="10"/>
      <c r="BD85" s="10"/>
      <c r="BQ85" s="10"/>
      <c r="BS85" s="10"/>
    </row>
    <row r="86" spans="1:71" x14ac:dyDescent="0.2">
      <c r="A86" t="s">
        <v>114</v>
      </c>
      <c r="B86" t="s">
        <v>136</v>
      </c>
      <c r="D86" s="10"/>
      <c r="Q86" s="10"/>
      <c r="AD86" s="10"/>
      <c r="AQ86" s="10"/>
      <c r="BD86" s="10"/>
      <c r="BQ86" s="10"/>
      <c r="BS86" s="10"/>
    </row>
    <row r="87" spans="1:71" x14ac:dyDescent="0.2">
      <c r="A87" t="s">
        <v>115</v>
      </c>
      <c r="B87" t="s">
        <v>136</v>
      </c>
      <c r="D87" s="10"/>
      <c r="Q87" s="10"/>
      <c r="AD87" s="10"/>
      <c r="AQ87" s="10"/>
      <c r="BD87" s="10"/>
      <c r="BQ87" s="10"/>
      <c r="BS87" s="10"/>
    </row>
    <row r="88" spans="1:71" x14ac:dyDescent="0.2">
      <c r="A88" t="s">
        <v>116</v>
      </c>
      <c r="B88" t="s">
        <v>136</v>
      </c>
      <c r="D88" s="10"/>
      <c r="Q88" s="10"/>
      <c r="AD88" s="10"/>
      <c r="AQ88" s="10"/>
      <c r="BD88" s="10"/>
      <c r="BQ88" s="10"/>
      <c r="BS88" s="10"/>
    </row>
    <row r="89" spans="1:71" x14ac:dyDescent="0.2">
      <c r="A89" t="s">
        <v>117</v>
      </c>
      <c r="B89" t="s">
        <v>136</v>
      </c>
      <c r="D89" s="10"/>
      <c r="Q89" s="10"/>
      <c r="AD89" s="10"/>
      <c r="AQ89" s="10"/>
      <c r="BD89" s="10"/>
      <c r="BQ89" s="10"/>
      <c r="BS89" s="10"/>
    </row>
    <row r="90" spans="1:71" x14ac:dyDescent="0.2">
      <c r="A90" t="s">
        <v>118</v>
      </c>
      <c r="B90" t="s">
        <v>136</v>
      </c>
      <c r="D90" s="10"/>
      <c r="Q90" s="10"/>
      <c r="AD90" s="10"/>
      <c r="AQ90" s="10"/>
      <c r="AS90" s="10"/>
      <c r="BD90" s="10"/>
      <c r="BQ90" s="10"/>
      <c r="BS90" s="10"/>
    </row>
    <row r="91" spans="1:71" x14ac:dyDescent="0.2">
      <c r="A91" t="s">
        <v>119</v>
      </c>
      <c r="B91" t="s">
        <v>136</v>
      </c>
      <c r="D91" s="10"/>
      <c r="Q91" s="10"/>
      <c r="AD91" s="10"/>
      <c r="AQ91" s="10"/>
      <c r="BD91" s="10"/>
      <c r="BQ91" s="10"/>
      <c r="BS91" s="10"/>
    </row>
    <row r="92" spans="1:71" x14ac:dyDescent="0.2">
      <c r="A92" t="s">
        <v>120</v>
      </c>
      <c r="B92" t="s">
        <v>136</v>
      </c>
      <c r="D92" s="10"/>
      <c r="Q92" s="10"/>
      <c r="AD92" s="10"/>
      <c r="AQ92" s="10"/>
      <c r="BD92" s="10"/>
      <c r="BQ92" s="10"/>
      <c r="BS92" s="10"/>
    </row>
    <row r="93" spans="1:71" x14ac:dyDescent="0.2">
      <c r="A93" t="s">
        <v>121</v>
      </c>
      <c r="B93" t="s">
        <v>136</v>
      </c>
      <c r="D93" s="10"/>
      <c r="Q93" s="10"/>
      <c r="AD93" s="10"/>
      <c r="AQ93" s="10"/>
      <c r="BD93" s="10"/>
      <c r="BQ93" s="10"/>
      <c r="BS93" s="10"/>
    </row>
    <row r="94" spans="1:71" x14ac:dyDescent="0.2">
      <c r="A94" t="s">
        <v>122</v>
      </c>
      <c r="B94" t="s">
        <v>136</v>
      </c>
    </row>
    <row r="95" spans="1:71" x14ac:dyDescent="0.2">
      <c r="A95" t="s">
        <v>123</v>
      </c>
      <c r="B95" t="s">
        <v>136</v>
      </c>
    </row>
    <row r="96" spans="1:71" x14ac:dyDescent="0.2">
      <c r="A96" t="s">
        <v>124</v>
      </c>
      <c r="B96" t="s">
        <v>136</v>
      </c>
    </row>
    <row r="97" spans="1:71" x14ac:dyDescent="0.2">
      <c r="A97" t="s">
        <v>125</v>
      </c>
      <c r="B97" t="s">
        <v>136</v>
      </c>
    </row>
    <row r="98" spans="1:71" x14ac:dyDescent="0.2">
      <c r="A98" t="s">
        <v>126</v>
      </c>
      <c r="B98" t="s">
        <v>136</v>
      </c>
    </row>
    <row r="99" spans="1:71" x14ac:dyDescent="0.2">
      <c r="A99" t="s">
        <v>127</v>
      </c>
      <c r="B99" t="s">
        <v>136</v>
      </c>
    </row>
    <row r="100" spans="1:71" x14ac:dyDescent="0.2">
      <c r="A100" t="s">
        <v>128</v>
      </c>
      <c r="B100" t="s">
        <v>136</v>
      </c>
    </row>
    <row r="101" spans="1:71" x14ac:dyDescent="0.2">
      <c r="A101" t="s">
        <v>129</v>
      </c>
      <c r="B101" t="s">
        <v>136</v>
      </c>
    </row>
    <row r="102" spans="1:71" x14ac:dyDescent="0.2">
      <c r="A102" t="s">
        <v>130</v>
      </c>
      <c r="B102" t="s">
        <v>136</v>
      </c>
    </row>
    <row r="103" spans="1:71" x14ac:dyDescent="0.2">
      <c r="A103" t="s">
        <v>131</v>
      </c>
      <c r="B103" t="s">
        <v>136</v>
      </c>
    </row>
    <row r="104" spans="1:71" x14ac:dyDescent="0.2">
      <c r="A104" t="s">
        <v>132</v>
      </c>
      <c r="B104" t="s">
        <v>136</v>
      </c>
    </row>
    <row r="105" spans="1:71" x14ac:dyDescent="0.2">
      <c r="A105" t="s">
        <v>133</v>
      </c>
      <c r="B105" t="s">
        <v>136</v>
      </c>
    </row>
    <row r="106" spans="1:71" x14ac:dyDescent="0.2">
      <c r="A106" t="s">
        <v>134</v>
      </c>
      <c r="B106" t="s">
        <v>136</v>
      </c>
      <c r="D106" s="10"/>
      <c r="Q106" s="10"/>
      <c r="AD106" s="10"/>
      <c r="AQ106" s="10"/>
      <c r="BD106" s="10"/>
      <c r="BQ106" s="10"/>
      <c r="BS106" s="10"/>
    </row>
    <row r="107" spans="1:71" x14ac:dyDescent="0.2">
      <c r="A107" t="s">
        <v>31</v>
      </c>
      <c r="B107" t="s">
        <v>137</v>
      </c>
      <c r="D107" s="10"/>
      <c r="Q107" s="10"/>
      <c r="AD107" s="10"/>
      <c r="AQ107" s="10"/>
      <c r="BD107" s="10"/>
      <c r="BQ107" s="10"/>
      <c r="BS107" s="10"/>
    </row>
    <row r="108" spans="1:71" x14ac:dyDescent="0.2">
      <c r="A108" t="s">
        <v>32</v>
      </c>
      <c r="B108" t="s">
        <v>137</v>
      </c>
      <c r="D108" s="10"/>
      <c r="Q108" s="10"/>
      <c r="AD108" s="10"/>
      <c r="AQ108" s="10"/>
      <c r="BD108" s="10"/>
      <c r="BQ108" s="10"/>
      <c r="BS108" s="10"/>
    </row>
    <row r="109" spans="1:71" x14ac:dyDescent="0.2">
      <c r="A109" t="s">
        <v>33</v>
      </c>
      <c r="B109" t="s">
        <v>137</v>
      </c>
      <c r="D109" s="10"/>
      <c r="Q109" s="10"/>
      <c r="AD109" s="10"/>
      <c r="AQ109" s="10"/>
      <c r="BD109" s="10"/>
      <c r="BQ109" s="10"/>
      <c r="BS109" s="10"/>
    </row>
    <row r="110" spans="1:71" x14ac:dyDescent="0.2">
      <c r="A110" t="s">
        <v>34</v>
      </c>
      <c r="B110" t="s">
        <v>137</v>
      </c>
      <c r="D110" s="10"/>
      <c r="Q110" s="10"/>
      <c r="AD110" s="10"/>
      <c r="AQ110" s="10"/>
      <c r="BD110" s="10"/>
      <c r="BQ110" s="10"/>
      <c r="BS110" s="10"/>
    </row>
    <row r="111" spans="1:71" x14ac:dyDescent="0.2">
      <c r="A111" t="s">
        <v>35</v>
      </c>
      <c r="B111" t="s">
        <v>137</v>
      </c>
      <c r="D111" s="10"/>
      <c r="Q111" s="10"/>
      <c r="AD111" s="10"/>
      <c r="AQ111" s="10"/>
      <c r="BD111" s="10"/>
      <c r="BQ111" s="10"/>
      <c r="BS111" s="10"/>
    </row>
    <row r="112" spans="1:71" x14ac:dyDescent="0.2">
      <c r="A112" t="s">
        <v>36</v>
      </c>
      <c r="B112" t="s">
        <v>137</v>
      </c>
      <c r="D112" s="10"/>
      <c r="Q112" s="10"/>
      <c r="AD112" s="10"/>
      <c r="AQ112" s="10"/>
      <c r="BD112" s="10"/>
      <c r="BQ112" s="10"/>
      <c r="BS112" s="10"/>
    </row>
    <row r="113" spans="1:71" x14ac:dyDescent="0.2">
      <c r="A113" t="s">
        <v>37</v>
      </c>
      <c r="B113" t="s">
        <v>137</v>
      </c>
      <c r="D113" s="10"/>
      <c r="Q113" s="10"/>
      <c r="AD113" s="10"/>
      <c r="AQ113" s="10"/>
      <c r="BD113" s="10"/>
      <c r="BQ113" s="10"/>
      <c r="BS113" s="10"/>
    </row>
    <row r="114" spans="1:71" x14ac:dyDescent="0.2">
      <c r="A114" t="s">
        <v>38</v>
      </c>
      <c r="B114" t="s">
        <v>137</v>
      </c>
    </row>
    <row r="115" spans="1:71" x14ac:dyDescent="0.2">
      <c r="A115" t="s">
        <v>39</v>
      </c>
      <c r="B115" t="s">
        <v>137</v>
      </c>
    </row>
    <row r="116" spans="1:71" x14ac:dyDescent="0.2">
      <c r="A116" t="s">
        <v>40</v>
      </c>
      <c r="B116" t="s">
        <v>137</v>
      </c>
    </row>
    <row r="117" spans="1:71" x14ac:dyDescent="0.2">
      <c r="A117" t="s">
        <v>41</v>
      </c>
      <c r="B117" t="s">
        <v>137</v>
      </c>
    </row>
    <row r="118" spans="1:71" x14ac:dyDescent="0.2">
      <c r="A118" t="s">
        <v>42</v>
      </c>
      <c r="B118" t="s">
        <v>137</v>
      </c>
    </row>
    <row r="119" spans="1:71" x14ac:dyDescent="0.2">
      <c r="A119" t="s">
        <v>43</v>
      </c>
      <c r="B119" t="s">
        <v>137</v>
      </c>
      <c r="D119" s="10"/>
      <c r="Q119" s="10"/>
      <c r="AD119" s="10"/>
      <c r="AQ119" s="10"/>
      <c r="BD119" s="10"/>
      <c r="BQ119" s="10"/>
      <c r="BS119" s="10"/>
    </row>
    <row r="120" spans="1:71" x14ac:dyDescent="0.2">
      <c r="A120" t="s">
        <v>44</v>
      </c>
      <c r="B120" t="s">
        <v>137</v>
      </c>
      <c r="D120" s="10"/>
      <c r="Q120" s="10"/>
      <c r="AD120" s="10"/>
      <c r="AQ120" s="10"/>
      <c r="BD120" s="10"/>
      <c r="BQ120" s="10"/>
      <c r="BS120" s="10"/>
    </row>
    <row r="121" spans="1:71" x14ac:dyDescent="0.2">
      <c r="A121" t="s">
        <v>45</v>
      </c>
      <c r="B121" t="s">
        <v>137</v>
      </c>
      <c r="D121" s="10"/>
      <c r="Q121" s="10"/>
      <c r="AD121" s="10"/>
      <c r="AQ121" s="10"/>
      <c r="AS121" s="10"/>
      <c r="BD121" s="10"/>
      <c r="BQ121" s="10"/>
      <c r="BS121" s="10"/>
    </row>
    <row r="122" spans="1:71" x14ac:dyDescent="0.2">
      <c r="A122" t="s">
        <v>46</v>
      </c>
      <c r="B122" t="s">
        <v>137</v>
      </c>
      <c r="D122" s="10"/>
      <c r="Q122" s="10"/>
      <c r="AD122" s="10"/>
      <c r="AQ122" s="10"/>
      <c r="BD122" s="10"/>
      <c r="BQ122" s="10"/>
      <c r="BS122" s="10"/>
    </row>
    <row r="123" spans="1:71" x14ac:dyDescent="0.2">
      <c r="A123" t="s">
        <v>47</v>
      </c>
      <c r="B123" t="s">
        <v>137</v>
      </c>
      <c r="D123" s="10"/>
      <c r="Q123" s="10"/>
      <c r="AD123" s="10"/>
      <c r="AQ123" s="10"/>
      <c r="BD123" s="10"/>
      <c r="BQ123" s="10"/>
      <c r="BS123" s="10"/>
    </row>
    <row r="124" spans="1:71" x14ac:dyDescent="0.2">
      <c r="A124" t="s">
        <v>48</v>
      </c>
      <c r="B124" t="s">
        <v>137</v>
      </c>
      <c r="D124" s="10"/>
      <c r="Q124" s="10"/>
      <c r="AD124" s="10"/>
      <c r="AQ124" s="10"/>
      <c r="BD124" s="10"/>
      <c r="BQ124" s="10"/>
      <c r="BS124" s="10"/>
    </row>
    <row r="125" spans="1:71" x14ac:dyDescent="0.2">
      <c r="A125" t="s">
        <v>49</v>
      </c>
      <c r="B125" t="s">
        <v>137</v>
      </c>
      <c r="D125" s="10"/>
      <c r="Q125" s="10"/>
      <c r="AD125" s="10"/>
      <c r="AQ125" s="10"/>
      <c r="BD125" s="10"/>
      <c r="BQ125" s="10"/>
      <c r="BS125" s="10"/>
    </row>
    <row r="126" spans="1:71" x14ac:dyDescent="0.2">
      <c r="A126" t="s">
        <v>50</v>
      </c>
      <c r="B126" t="s">
        <v>137</v>
      </c>
      <c r="D126" s="10"/>
      <c r="Q126" s="10"/>
      <c r="AD126" s="10"/>
      <c r="AQ126" s="10"/>
      <c r="BD126" s="10"/>
      <c r="BQ126" s="10"/>
      <c r="BS126" s="10"/>
    </row>
    <row r="127" spans="1:71" x14ac:dyDescent="0.2">
      <c r="A127" t="s">
        <v>51</v>
      </c>
      <c r="B127" t="s">
        <v>137</v>
      </c>
      <c r="D127" s="10"/>
      <c r="Q127" s="10"/>
      <c r="AD127" s="10"/>
      <c r="AQ127" s="10"/>
      <c r="BD127" s="10"/>
      <c r="BQ127" s="10"/>
      <c r="BS127" s="10"/>
    </row>
    <row r="128" spans="1:71" x14ac:dyDescent="0.2">
      <c r="A128" t="s">
        <v>52</v>
      </c>
      <c r="B128" t="s">
        <v>137</v>
      </c>
      <c r="D128" s="10"/>
      <c r="Q128" s="10"/>
      <c r="AD128" s="10"/>
      <c r="AQ128" s="10"/>
      <c r="BD128" s="10"/>
      <c r="BQ128" s="10"/>
      <c r="BS128" s="10"/>
    </row>
    <row r="129" spans="1:71" x14ac:dyDescent="0.2">
      <c r="A129" t="s">
        <v>53</v>
      </c>
      <c r="B129" t="s">
        <v>137</v>
      </c>
      <c r="D129" s="10"/>
      <c r="Q129" s="10"/>
      <c r="AD129" s="10"/>
      <c r="AQ129" s="10"/>
      <c r="BD129" s="10"/>
      <c r="BQ129" s="10"/>
      <c r="BS129" s="10"/>
    </row>
    <row r="130" spans="1:71" x14ac:dyDescent="0.2">
      <c r="A130" t="s">
        <v>54</v>
      </c>
      <c r="B130" t="s">
        <v>137</v>
      </c>
      <c r="D130" s="10"/>
      <c r="Q130" s="10"/>
      <c r="AD130" s="10"/>
      <c r="AQ130" s="10"/>
      <c r="AS130" s="10"/>
      <c r="BD130" s="10"/>
      <c r="BQ130" s="10"/>
      <c r="BS130" s="10"/>
    </row>
    <row r="131" spans="1:71" x14ac:dyDescent="0.2">
      <c r="A131" t="s">
        <v>55</v>
      </c>
      <c r="B131" t="s">
        <v>137</v>
      </c>
      <c r="D131" s="10"/>
      <c r="Q131" s="10"/>
      <c r="AD131" s="10"/>
      <c r="AQ131" s="10"/>
      <c r="AS131" s="10"/>
      <c r="BD131" s="10"/>
      <c r="BQ131" s="10"/>
      <c r="BS131" s="10"/>
    </row>
    <row r="132" spans="1:71" x14ac:dyDescent="0.2">
      <c r="A132" t="s">
        <v>56</v>
      </c>
      <c r="B132" t="s">
        <v>137</v>
      </c>
      <c r="D132" s="10"/>
      <c r="Q132" s="10"/>
      <c r="AD132" s="10"/>
      <c r="AQ132" s="10"/>
      <c r="AS132" s="10"/>
      <c r="BD132" s="10"/>
      <c r="BQ132" s="10"/>
      <c r="BS132" s="10"/>
    </row>
    <row r="133" spans="1:71" x14ac:dyDescent="0.2">
      <c r="A133" t="s">
        <v>57</v>
      </c>
      <c r="B133" t="s">
        <v>137</v>
      </c>
      <c r="D133" s="10"/>
      <c r="Q133" s="10"/>
      <c r="AD133" s="10"/>
      <c r="AQ133" s="10"/>
      <c r="AS133" s="10"/>
      <c r="BD133" s="10"/>
      <c r="BQ133" s="10"/>
      <c r="BS133" s="10"/>
    </row>
    <row r="134" spans="1:71" x14ac:dyDescent="0.2">
      <c r="A134" t="s">
        <v>58</v>
      </c>
      <c r="B134" t="s">
        <v>137</v>
      </c>
      <c r="D134" s="10"/>
      <c r="Q134" s="10"/>
      <c r="AD134" s="10"/>
      <c r="AQ134" s="10"/>
      <c r="AS134" s="10"/>
      <c r="BD134" s="10"/>
      <c r="BQ134" s="10"/>
      <c r="BS134" s="10"/>
    </row>
    <row r="135" spans="1:71" x14ac:dyDescent="0.2">
      <c r="A135" t="s">
        <v>59</v>
      </c>
      <c r="B135" t="s">
        <v>137</v>
      </c>
      <c r="D135" s="10"/>
      <c r="Q135" s="10"/>
      <c r="AD135" s="10"/>
      <c r="AQ135" s="10"/>
      <c r="AS135" s="10"/>
      <c r="BD135" s="10"/>
      <c r="BQ135" s="10"/>
      <c r="BS135" s="10"/>
    </row>
    <row r="136" spans="1:71" x14ac:dyDescent="0.2">
      <c r="A136" t="s">
        <v>60</v>
      </c>
      <c r="B136" t="s">
        <v>137</v>
      </c>
      <c r="D136" s="10"/>
      <c r="Q136" s="10"/>
      <c r="AD136" s="10"/>
      <c r="AQ136" s="10"/>
      <c r="AS136" s="10"/>
      <c r="BD136" s="10"/>
      <c r="BQ136" s="10"/>
      <c r="BS136" s="10"/>
    </row>
    <row r="137" spans="1:71" x14ac:dyDescent="0.2">
      <c r="A137" t="s">
        <v>61</v>
      </c>
      <c r="B137" t="s">
        <v>137</v>
      </c>
      <c r="D137" s="10"/>
      <c r="Q137" s="10"/>
      <c r="AD137" s="10"/>
      <c r="AQ137" s="10"/>
      <c r="AS137" s="10"/>
      <c r="BD137" s="10"/>
      <c r="BQ137" s="10"/>
      <c r="BS137" s="10"/>
    </row>
    <row r="138" spans="1:71" x14ac:dyDescent="0.2">
      <c r="A138" t="s">
        <v>62</v>
      </c>
      <c r="B138" t="s">
        <v>137</v>
      </c>
      <c r="D138" s="10"/>
      <c r="Q138" s="10"/>
      <c r="AD138" s="10"/>
      <c r="AQ138" s="10"/>
      <c r="AS138" s="10"/>
      <c r="BD138" s="10"/>
      <c r="BQ138" s="10"/>
      <c r="BS138" s="10"/>
    </row>
    <row r="139" spans="1:71" x14ac:dyDescent="0.2">
      <c r="A139" t="s">
        <v>63</v>
      </c>
      <c r="B139" t="s">
        <v>137</v>
      </c>
      <c r="AS139" s="10"/>
    </row>
    <row r="140" spans="1:71" x14ac:dyDescent="0.2">
      <c r="A140" t="s">
        <v>64</v>
      </c>
      <c r="B140" t="s">
        <v>137</v>
      </c>
    </row>
    <row r="141" spans="1:71" x14ac:dyDescent="0.2">
      <c r="A141" t="s">
        <v>65</v>
      </c>
      <c r="B141" t="s">
        <v>137</v>
      </c>
      <c r="D141" s="10"/>
      <c r="Q141" s="10"/>
      <c r="AD141" s="10"/>
      <c r="AQ141" s="10"/>
      <c r="BD141" s="10"/>
      <c r="BQ141" s="10"/>
      <c r="BS141" s="10"/>
    </row>
    <row r="142" spans="1:71" x14ac:dyDescent="0.2">
      <c r="A142" t="s">
        <v>66</v>
      </c>
      <c r="B142" t="s">
        <v>137</v>
      </c>
      <c r="D142" s="10"/>
      <c r="Q142" s="10"/>
      <c r="AD142" s="10"/>
      <c r="AQ142" s="10"/>
      <c r="BD142" s="10"/>
      <c r="BQ142" s="10"/>
      <c r="BS142" s="10"/>
    </row>
    <row r="143" spans="1:71" x14ac:dyDescent="0.2">
      <c r="A143" t="s">
        <v>67</v>
      </c>
      <c r="B143" t="s">
        <v>137</v>
      </c>
      <c r="D143" s="10"/>
      <c r="Q143" s="10"/>
      <c r="AD143" s="10"/>
      <c r="AQ143" s="10"/>
      <c r="BD143" s="10"/>
      <c r="BQ143" s="10"/>
      <c r="BS143" s="10"/>
    </row>
    <row r="144" spans="1:71" x14ac:dyDescent="0.2">
      <c r="A144" t="s">
        <v>68</v>
      </c>
      <c r="B144" t="s">
        <v>137</v>
      </c>
      <c r="D144" s="10"/>
      <c r="Q144" s="10"/>
      <c r="AD144" s="10"/>
      <c r="AQ144" s="10"/>
      <c r="BD144" s="10"/>
      <c r="BQ144" s="10"/>
      <c r="BS144" s="10"/>
    </row>
    <row r="145" spans="1:71" x14ac:dyDescent="0.2">
      <c r="A145" t="s">
        <v>69</v>
      </c>
      <c r="B145" t="s">
        <v>137</v>
      </c>
      <c r="D145" s="10"/>
      <c r="Q145" s="10"/>
      <c r="AD145" s="10"/>
      <c r="AQ145" s="10"/>
      <c r="BD145" s="10"/>
      <c r="BQ145" s="10"/>
      <c r="BS145" s="10"/>
    </row>
    <row r="146" spans="1:71" x14ac:dyDescent="0.2">
      <c r="A146" t="s">
        <v>70</v>
      </c>
      <c r="B146" t="s">
        <v>137</v>
      </c>
      <c r="D146" s="10"/>
      <c r="Q146" s="10"/>
      <c r="AD146" s="10"/>
      <c r="AQ146" s="10"/>
      <c r="BD146" s="10"/>
      <c r="BQ146" s="10"/>
      <c r="BS146" s="10"/>
    </row>
    <row r="147" spans="1:71" x14ac:dyDescent="0.2">
      <c r="A147" t="s">
        <v>71</v>
      </c>
      <c r="B147" t="s">
        <v>137</v>
      </c>
      <c r="D147" s="10"/>
      <c r="Q147" s="10"/>
      <c r="AD147" s="10"/>
      <c r="AQ147" s="10"/>
      <c r="BD147" s="10"/>
      <c r="BQ147" s="10"/>
      <c r="BS147" s="10"/>
    </row>
    <row r="148" spans="1:71" x14ac:dyDescent="0.2">
      <c r="A148" t="s">
        <v>72</v>
      </c>
      <c r="B148" t="s">
        <v>137</v>
      </c>
      <c r="D148" s="10"/>
      <c r="Q148" s="10"/>
      <c r="AD148" s="10"/>
      <c r="AQ148" s="10"/>
      <c r="BD148" s="10"/>
      <c r="BQ148" s="10"/>
      <c r="BS148" s="10"/>
    </row>
    <row r="149" spans="1:71" x14ac:dyDescent="0.2">
      <c r="A149" t="s">
        <v>73</v>
      </c>
      <c r="B149" t="s">
        <v>137</v>
      </c>
      <c r="D149" s="10"/>
      <c r="Q149" s="10"/>
      <c r="AD149" s="10"/>
      <c r="AQ149" s="10"/>
      <c r="BD149" s="10"/>
      <c r="BQ149" s="10"/>
      <c r="BS149" s="10"/>
    </row>
    <row r="150" spans="1:71" x14ac:dyDescent="0.2">
      <c r="A150" t="s">
        <v>74</v>
      </c>
      <c r="B150" t="s">
        <v>137</v>
      </c>
      <c r="D150" s="10"/>
      <c r="Q150" s="10"/>
      <c r="AD150" s="10"/>
      <c r="AQ150" s="10"/>
      <c r="BD150" s="10"/>
      <c r="BQ150" s="10"/>
      <c r="BS150" s="10"/>
    </row>
    <row r="151" spans="1:71" x14ac:dyDescent="0.2">
      <c r="A151" t="s">
        <v>75</v>
      </c>
      <c r="B151" t="s">
        <v>137</v>
      </c>
      <c r="D151" s="10"/>
      <c r="Q151" s="10"/>
      <c r="AD151" s="10"/>
      <c r="AQ151" s="10"/>
      <c r="BD151" s="10"/>
      <c r="BQ151" s="10"/>
      <c r="BS151" s="10"/>
    </row>
    <row r="152" spans="1:71" x14ac:dyDescent="0.2">
      <c r="A152" t="s">
        <v>76</v>
      </c>
      <c r="B152" t="s">
        <v>137</v>
      </c>
      <c r="D152" s="10"/>
      <c r="Q152" s="10"/>
      <c r="AD152" s="10"/>
      <c r="AQ152" s="10"/>
      <c r="BD152" s="10"/>
      <c r="BQ152" s="10"/>
      <c r="BS152" s="10"/>
    </row>
    <row r="153" spans="1:71" x14ac:dyDescent="0.2">
      <c r="A153" t="s">
        <v>77</v>
      </c>
      <c r="B153" t="s">
        <v>137</v>
      </c>
      <c r="D153" s="10"/>
      <c r="Q153" s="10"/>
      <c r="AD153" s="10"/>
      <c r="AQ153" s="10"/>
      <c r="BD153" s="10"/>
      <c r="BQ153" s="10"/>
      <c r="BS153" s="10"/>
    </row>
    <row r="154" spans="1:71" x14ac:dyDescent="0.2">
      <c r="A154" t="s">
        <v>78</v>
      </c>
      <c r="B154" t="s">
        <v>137</v>
      </c>
      <c r="D154" s="10"/>
      <c r="Q154" s="10"/>
      <c r="AD154" s="10"/>
      <c r="AQ154" s="10"/>
      <c r="BD154" s="10"/>
      <c r="BQ154" s="10"/>
      <c r="BS154" s="10"/>
    </row>
    <row r="155" spans="1:71" x14ac:dyDescent="0.2">
      <c r="A155" t="s">
        <v>79</v>
      </c>
      <c r="B155" t="s">
        <v>137</v>
      </c>
      <c r="D155" s="10"/>
      <c r="Q155" s="10"/>
      <c r="AD155" s="10"/>
      <c r="AQ155" s="10"/>
      <c r="BD155" s="10"/>
      <c r="BQ155" s="10"/>
      <c r="BS155" s="10"/>
    </row>
    <row r="156" spans="1:71" x14ac:dyDescent="0.2">
      <c r="A156" t="s">
        <v>80</v>
      </c>
      <c r="B156" t="s">
        <v>137</v>
      </c>
      <c r="D156" s="10"/>
      <c r="Q156" s="10"/>
      <c r="AD156" s="10"/>
      <c r="AQ156" s="10"/>
      <c r="BD156" s="10"/>
      <c r="BQ156" s="10"/>
      <c r="BS156" s="10"/>
    </row>
    <row r="157" spans="1:71" x14ac:dyDescent="0.2">
      <c r="A157" t="s">
        <v>81</v>
      </c>
      <c r="B157" t="s">
        <v>137</v>
      </c>
      <c r="D157" s="10"/>
      <c r="Q157" s="10"/>
      <c r="AD157" s="10"/>
      <c r="AQ157" s="10"/>
      <c r="BD157" s="10"/>
      <c r="BQ157" s="10"/>
      <c r="BS157" s="10"/>
    </row>
    <row r="158" spans="1:71" x14ac:dyDescent="0.2">
      <c r="A158" t="s">
        <v>82</v>
      </c>
      <c r="B158" t="s">
        <v>137</v>
      </c>
      <c r="D158" s="10"/>
      <c r="Q158" s="10"/>
      <c r="AD158" s="10"/>
      <c r="AQ158" s="10"/>
      <c r="BD158" s="10"/>
      <c r="BQ158" s="10"/>
      <c r="BS158" s="10"/>
    </row>
    <row r="159" spans="1:71" x14ac:dyDescent="0.2">
      <c r="A159" t="s">
        <v>83</v>
      </c>
      <c r="B159" t="s">
        <v>137</v>
      </c>
      <c r="D159" s="10"/>
      <c r="Q159" s="10"/>
      <c r="AD159" s="10"/>
      <c r="AQ159" s="10"/>
      <c r="BD159" s="10"/>
      <c r="BQ159" s="10"/>
      <c r="BS159" s="10"/>
    </row>
    <row r="160" spans="1:71" x14ac:dyDescent="0.2">
      <c r="A160" t="s">
        <v>84</v>
      </c>
      <c r="B160" t="s">
        <v>137</v>
      </c>
      <c r="D160" s="10"/>
      <c r="Q160" s="10"/>
      <c r="AD160" s="10"/>
      <c r="AQ160" s="10"/>
      <c r="BD160" s="10"/>
      <c r="BQ160" s="10"/>
      <c r="BS160" s="10"/>
    </row>
    <row r="161" spans="1:71" x14ac:dyDescent="0.2">
      <c r="A161" t="s">
        <v>85</v>
      </c>
      <c r="B161" t="s">
        <v>137</v>
      </c>
      <c r="D161" s="10"/>
      <c r="Q161" s="10"/>
      <c r="AD161" s="10"/>
      <c r="AQ161" s="10"/>
      <c r="BD161" s="10"/>
      <c r="BQ161" s="10"/>
      <c r="BS161" s="10"/>
    </row>
    <row r="162" spans="1:71" x14ac:dyDescent="0.2">
      <c r="A162" t="s">
        <v>86</v>
      </c>
      <c r="B162" t="s">
        <v>137</v>
      </c>
      <c r="D162" s="10"/>
      <c r="Q162" s="10"/>
      <c r="AD162" s="10"/>
      <c r="AQ162" s="10"/>
      <c r="BD162" s="10"/>
      <c r="BQ162" s="10"/>
      <c r="BS162" s="10"/>
    </row>
    <row r="163" spans="1:71" x14ac:dyDescent="0.2">
      <c r="A163" t="s">
        <v>87</v>
      </c>
      <c r="B163" t="s">
        <v>137</v>
      </c>
      <c r="D163" s="10"/>
      <c r="Q163" s="10"/>
      <c r="AD163" s="10"/>
      <c r="AQ163" s="10"/>
      <c r="BD163" s="10"/>
      <c r="BQ163" s="10"/>
      <c r="BS163" s="10"/>
    </row>
    <row r="164" spans="1:71" x14ac:dyDescent="0.2">
      <c r="A164" t="s">
        <v>88</v>
      </c>
      <c r="B164" t="s">
        <v>137</v>
      </c>
      <c r="D164" s="10"/>
      <c r="Q164" s="10"/>
      <c r="AD164" s="10"/>
      <c r="AQ164" s="10"/>
      <c r="BD164" s="10"/>
      <c r="BQ164" s="10"/>
      <c r="BS164" s="10"/>
    </row>
    <row r="165" spans="1:71" x14ac:dyDescent="0.2">
      <c r="A165" t="s">
        <v>89</v>
      </c>
      <c r="B165" t="s">
        <v>137</v>
      </c>
      <c r="D165" s="10"/>
      <c r="Q165" s="10"/>
      <c r="AD165" s="10"/>
      <c r="AQ165" s="10"/>
      <c r="BD165" s="10"/>
      <c r="BQ165" s="10"/>
      <c r="BS165" s="10"/>
    </row>
    <row r="166" spans="1:71" x14ac:dyDescent="0.2">
      <c r="A166" t="s">
        <v>90</v>
      </c>
      <c r="B166" t="s">
        <v>137</v>
      </c>
      <c r="D166" s="10"/>
      <c r="Q166" s="10"/>
      <c r="AD166" s="10"/>
      <c r="AQ166" s="10"/>
      <c r="BD166" s="10"/>
      <c r="BQ166" s="10"/>
      <c r="BS166" s="10"/>
    </row>
    <row r="167" spans="1:71" x14ac:dyDescent="0.2">
      <c r="A167" t="s">
        <v>91</v>
      </c>
      <c r="B167" t="s">
        <v>137</v>
      </c>
      <c r="D167" s="10"/>
      <c r="Q167" s="10"/>
      <c r="AD167" s="10"/>
      <c r="AQ167" s="10"/>
      <c r="BD167" s="10"/>
      <c r="BQ167" s="10"/>
      <c r="BS167" s="10"/>
    </row>
    <row r="168" spans="1:71" x14ac:dyDescent="0.2">
      <c r="A168" t="s">
        <v>92</v>
      </c>
      <c r="B168" t="s">
        <v>137</v>
      </c>
      <c r="D168" s="10"/>
      <c r="Q168" s="10"/>
      <c r="AD168" s="10"/>
      <c r="AQ168" s="10"/>
      <c r="BD168" s="10"/>
      <c r="BQ168" s="10"/>
      <c r="BS168" s="10"/>
    </row>
    <row r="169" spans="1:71" x14ac:dyDescent="0.2">
      <c r="A169" t="s">
        <v>93</v>
      </c>
      <c r="B169" t="s">
        <v>137</v>
      </c>
      <c r="D169" s="10"/>
      <c r="Q169" s="10"/>
      <c r="AD169" s="10"/>
      <c r="AQ169" s="10"/>
      <c r="BD169" s="10"/>
      <c r="BQ169" s="10"/>
      <c r="BS169" s="10"/>
    </row>
    <row r="170" spans="1:71" x14ac:dyDescent="0.2">
      <c r="A170" t="s">
        <v>94</v>
      </c>
      <c r="B170" t="s">
        <v>137</v>
      </c>
      <c r="D170" s="10"/>
      <c r="Q170" s="10"/>
      <c r="AD170" s="10"/>
      <c r="AQ170" s="10"/>
      <c r="BD170" s="10"/>
      <c r="BQ170" s="10"/>
      <c r="BS170" s="10"/>
    </row>
    <row r="171" spans="1:71" x14ac:dyDescent="0.2">
      <c r="A171" t="s">
        <v>95</v>
      </c>
      <c r="B171" t="s">
        <v>137</v>
      </c>
      <c r="D171" s="10"/>
      <c r="Q171" s="10"/>
      <c r="AD171" s="10"/>
      <c r="AQ171" s="10"/>
      <c r="BD171" s="10"/>
      <c r="BQ171" s="10"/>
      <c r="BS171" s="10"/>
    </row>
    <row r="172" spans="1:71" x14ac:dyDescent="0.2">
      <c r="A172" t="s">
        <v>96</v>
      </c>
      <c r="B172" t="s">
        <v>137</v>
      </c>
      <c r="D172" s="10"/>
      <c r="Q172" s="10"/>
      <c r="AD172" s="10"/>
      <c r="AQ172" s="10"/>
      <c r="BD172" s="10"/>
      <c r="BQ172" s="10"/>
      <c r="BS172" s="10"/>
    </row>
    <row r="173" spans="1:71" x14ac:dyDescent="0.2">
      <c r="A173" t="s">
        <v>97</v>
      </c>
      <c r="B173" t="s">
        <v>137</v>
      </c>
      <c r="D173" s="10"/>
      <c r="Q173" s="10"/>
      <c r="AD173" s="10"/>
      <c r="AQ173" s="10"/>
      <c r="BD173" s="10"/>
      <c r="BQ173" s="10"/>
      <c r="BS173" s="10"/>
    </row>
    <row r="174" spans="1:71" x14ac:dyDescent="0.2">
      <c r="A174" t="s">
        <v>98</v>
      </c>
      <c r="B174" t="s">
        <v>137</v>
      </c>
      <c r="D174" s="10"/>
      <c r="Q174" s="10"/>
      <c r="AD174" s="10"/>
      <c r="AQ174" s="10"/>
      <c r="BD174" s="10"/>
      <c r="BQ174" s="10"/>
      <c r="BS174" s="10"/>
    </row>
    <row r="175" spans="1:71" x14ac:dyDescent="0.2">
      <c r="A175" t="s">
        <v>99</v>
      </c>
      <c r="B175" t="s">
        <v>137</v>
      </c>
      <c r="D175" s="10"/>
      <c r="Q175" s="10"/>
      <c r="AD175" s="10"/>
      <c r="AQ175" s="10"/>
      <c r="BD175" s="10"/>
      <c r="BQ175" s="10"/>
      <c r="BS175" s="10"/>
    </row>
    <row r="176" spans="1:71" x14ac:dyDescent="0.2">
      <c r="A176" t="s">
        <v>100</v>
      </c>
      <c r="B176" t="s">
        <v>137</v>
      </c>
      <c r="D176" s="10"/>
      <c r="Q176" s="10"/>
      <c r="AD176" s="10"/>
      <c r="AQ176" s="10"/>
      <c r="BD176" s="10"/>
      <c r="BQ176" s="10"/>
      <c r="BS176" s="10"/>
    </row>
    <row r="177" spans="1:71" x14ac:dyDescent="0.2">
      <c r="A177" t="s">
        <v>101</v>
      </c>
      <c r="B177" t="s">
        <v>137</v>
      </c>
      <c r="D177" s="10"/>
      <c r="Q177" s="10"/>
      <c r="AD177" s="10"/>
      <c r="AQ177" s="10"/>
      <c r="BD177" s="10"/>
      <c r="BQ177" s="10"/>
      <c r="BS177" s="10"/>
    </row>
    <row r="178" spans="1:71" x14ac:dyDescent="0.2">
      <c r="A178" t="s">
        <v>102</v>
      </c>
      <c r="B178" t="s">
        <v>137</v>
      </c>
      <c r="D178" s="10"/>
      <c r="Q178" s="10"/>
      <c r="AD178" s="10"/>
      <c r="AQ178" s="10"/>
      <c r="BD178" s="10"/>
      <c r="BQ178" s="10"/>
      <c r="BS178" s="10"/>
    </row>
    <row r="179" spans="1:71" x14ac:dyDescent="0.2">
      <c r="A179" t="s">
        <v>103</v>
      </c>
      <c r="B179" t="s">
        <v>137</v>
      </c>
      <c r="D179" s="10"/>
      <c r="Q179" s="10"/>
      <c r="AD179" s="10"/>
      <c r="AQ179" s="10"/>
      <c r="BD179" s="10"/>
      <c r="BQ179" s="10"/>
      <c r="BS179" s="10"/>
    </row>
    <row r="180" spans="1:71" x14ac:dyDescent="0.2">
      <c r="A180" t="s">
        <v>104</v>
      </c>
      <c r="B180" t="s">
        <v>137</v>
      </c>
      <c r="D180" s="10"/>
      <c r="Q180" s="10"/>
      <c r="AD180" s="10"/>
      <c r="AQ180" s="10"/>
      <c r="BD180" s="10"/>
      <c r="BQ180" s="10"/>
      <c r="BS180" s="10"/>
    </row>
    <row r="181" spans="1:71" x14ac:dyDescent="0.2">
      <c r="A181" t="s">
        <v>105</v>
      </c>
      <c r="B181" t="s">
        <v>137</v>
      </c>
      <c r="D181" s="10"/>
      <c r="Q181" s="10"/>
      <c r="AD181" s="10"/>
      <c r="AQ181" s="10"/>
      <c r="BD181" s="10"/>
      <c r="BQ181" s="10"/>
      <c r="BS181" s="10"/>
    </row>
    <row r="182" spans="1:71" x14ac:dyDescent="0.2">
      <c r="A182" t="s">
        <v>106</v>
      </c>
      <c r="B182" t="s">
        <v>137</v>
      </c>
      <c r="D182" s="10"/>
      <c r="Q182" s="10"/>
      <c r="AD182" s="10"/>
      <c r="AQ182" s="10"/>
      <c r="BD182" s="10"/>
      <c r="BQ182" s="10"/>
      <c r="BS182" s="10"/>
    </row>
    <row r="183" spans="1:71" x14ac:dyDescent="0.2">
      <c r="A183" t="s">
        <v>107</v>
      </c>
      <c r="B183" t="s">
        <v>137</v>
      </c>
      <c r="D183" s="10"/>
      <c r="Q183" s="10"/>
      <c r="AD183" s="10"/>
      <c r="AQ183" s="10"/>
      <c r="BD183" s="10"/>
      <c r="BQ183" s="10"/>
      <c r="BS183" s="10"/>
    </row>
    <row r="184" spans="1:71" x14ac:dyDescent="0.2">
      <c r="A184" t="s">
        <v>108</v>
      </c>
      <c r="B184" t="s">
        <v>137</v>
      </c>
      <c r="D184" s="10"/>
      <c r="Q184" s="10"/>
      <c r="AD184" s="10"/>
      <c r="AQ184" s="10"/>
      <c r="BD184" s="10"/>
      <c r="BQ184" s="10"/>
      <c r="BS184" s="10"/>
    </row>
    <row r="185" spans="1:71" x14ac:dyDescent="0.2">
      <c r="A185" t="s">
        <v>109</v>
      </c>
      <c r="B185" t="s">
        <v>137</v>
      </c>
      <c r="D185" s="10"/>
      <c r="Q185" s="10"/>
      <c r="AD185" s="10"/>
      <c r="AQ185" s="10"/>
      <c r="BD185" s="10"/>
      <c r="BQ185" s="10"/>
      <c r="BS185" s="10"/>
    </row>
    <row r="186" spans="1:71" x14ac:dyDescent="0.2">
      <c r="A186" t="s">
        <v>110</v>
      </c>
      <c r="B186" t="s">
        <v>137</v>
      </c>
      <c r="D186" s="10"/>
      <c r="Q186" s="10"/>
      <c r="AD186" s="10"/>
      <c r="AQ186" s="10"/>
      <c r="BD186" s="10"/>
      <c r="BQ186" s="10"/>
      <c r="BS186" s="10"/>
    </row>
    <row r="187" spans="1:71" x14ac:dyDescent="0.2">
      <c r="A187" t="s">
        <v>111</v>
      </c>
      <c r="B187" t="s">
        <v>137</v>
      </c>
      <c r="D187" s="10"/>
      <c r="Q187" s="10"/>
      <c r="AD187" s="10"/>
      <c r="AQ187" s="10"/>
      <c r="BD187" s="10"/>
      <c r="BQ187" s="10"/>
      <c r="BS187" s="10"/>
    </row>
    <row r="188" spans="1:71" x14ac:dyDescent="0.2">
      <c r="A188" t="s">
        <v>112</v>
      </c>
      <c r="B188" t="s">
        <v>137</v>
      </c>
      <c r="D188" s="10"/>
      <c r="Q188" s="10"/>
      <c r="AD188" s="10"/>
      <c r="AQ188" s="10"/>
      <c r="BD188" s="10"/>
      <c r="BQ188" s="10"/>
      <c r="BS188" s="10"/>
    </row>
    <row r="189" spans="1:71" x14ac:dyDescent="0.2">
      <c r="A189" t="s">
        <v>113</v>
      </c>
      <c r="B189" t="s">
        <v>137</v>
      </c>
      <c r="D189" s="10"/>
      <c r="Q189" s="10"/>
      <c r="AD189" s="10"/>
      <c r="AQ189" s="10"/>
      <c r="BD189" s="10"/>
      <c r="BQ189" s="10"/>
      <c r="BS189" s="10"/>
    </row>
    <row r="190" spans="1:71" x14ac:dyDescent="0.2">
      <c r="A190" t="s">
        <v>114</v>
      </c>
      <c r="B190" t="s">
        <v>137</v>
      </c>
      <c r="D190" s="10"/>
      <c r="Q190" s="10"/>
      <c r="AD190" s="10"/>
      <c r="AQ190" s="10"/>
      <c r="BD190" s="10"/>
      <c r="BQ190" s="10"/>
      <c r="BS190" s="10"/>
    </row>
    <row r="191" spans="1:71" x14ac:dyDescent="0.2">
      <c r="A191" t="s">
        <v>115</v>
      </c>
      <c r="B191" t="s">
        <v>137</v>
      </c>
      <c r="D191" s="10"/>
      <c r="Q191" s="10"/>
      <c r="AD191" s="10"/>
      <c r="AQ191" s="10"/>
      <c r="BD191" s="10"/>
      <c r="BQ191" s="10"/>
      <c r="BS191" s="10"/>
    </row>
    <row r="192" spans="1:71" x14ac:dyDescent="0.2">
      <c r="A192" t="s">
        <v>116</v>
      </c>
      <c r="B192" t="s">
        <v>137</v>
      </c>
      <c r="D192" s="10"/>
      <c r="Q192" s="10"/>
      <c r="AD192" s="10"/>
      <c r="AQ192" s="10"/>
      <c r="AS192" s="10"/>
      <c r="BD192" s="10"/>
      <c r="BQ192" s="10"/>
      <c r="BS192" s="10"/>
    </row>
    <row r="193" spans="1:71" x14ac:dyDescent="0.2">
      <c r="A193" t="s">
        <v>117</v>
      </c>
      <c r="B193" t="s">
        <v>137</v>
      </c>
      <c r="D193" s="10"/>
      <c r="Q193" s="10"/>
      <c r="AD193" s="10"/>
      <c r="AQ193" s="10"/>
      <c r="AS193" s="10"/>
      <c r="BD193" s="10"/>
      <c r="BQ193" s="10"/>
      <c r="BS193" s="10"/>
    </row>
    <row r="194" spans="1:71" x14ac:dyDescent="0.2">
      <c r="A194" t="s">
        <v>118</v>
      </c>
      <c r="B194" t="s">
        <v>137</v>
      </c>
      <c r="D194" s="10"/>
      <c r="Q194" s="10"/>
      <c r="AD194" s="10"/>
      <c r="AQ194" s="10"/>
      <c r="AS194" s="10"/>
      <c r="BD194" s="10"/>
      <c r="BQ194" s="10"/>
      <c r="BS194" s="10"/>
    </row>
    <row r="195" spans="1:71" x14ac:dyDescent="0.2">
      <c r="A195" t="s">
        <v>119</v>
      </c>
      <c r="B195" t="s">
        <v>137</v>
      </c>
      <c r="D195" s="10"/>
      <c r="Q195" s="10"/>
      <c r="AD195" s="10"/>
      <c r="AQ195" s="10"/>
      <c r="AS195" s="10"/>
      <c r="BD195" s="10"/>
      <c r="BQ195" s="10"/>
      <c r="BS195" s="10"/>
    </row>
    <row r="196" spans="1:71" x14ac:dyDescent="0.2">
      <c r="A196" t="s">
        <v>120</v>
      </c>
      <c r="B196" t="s">
        <v>137</v>
      </c>
      <c r="D196" s="10"/>
      <c r="Q196" s="10"/>
      <c r="AD196" s="10"/>
      <c r="AQ196" s="10"/>
      <c r="AS196" s="10"/>
      <c r="BD196" s="10"/>
      <c r="BQ196" s="10"/>
      <c r="BS196" s="10"/>
    </row>
    <row r="197" spans="1:71" x14ac:dyDescent="0.2">
      <c r="A197" t="s">
        <v>121</v>
      </c>
      <c r="B197" t="s">
        <v>137</v>
      </c>
      <c r="D197" s="10"/>
      <c r="Q197" s="10"/>
      <c r="AD197" s="10"/>
      <c r="AQ197" s="10"/>
      <c r="AS197" s="10"/>
      <c r="BD197" s="10"/>
      <c r="BQ197" s="10"/>
      <c r="BS197" s="10"/>
    </row>
    <row r="198" spans="1:71" x14ac:dyDescent="0.2">
      <c r="A198" t="s">
        <v>122</v>
      </c>
      <c r="B198" t="s">
        <v>137</v>
      </c>
      <c r="D198" s="10"/>
      <c r="Q198" s="10"/>
      <c r="AD198" s="10"/>
      <c r="AQ198" s="10"/>
      <c r="AS198" s="10"/>
      <c r="BD198" s="10"/>
      <c r="BQ198" s="10"/>
      <c r="BS198" s="10"/>
    </row>
    <row r="199" spans="1:71" x14ac:dyDescent="0.2">
      <c r="A199" t="s">
        <v>123</v>
      </c>
      <c r="B199" t="s">
        <v>137</v>
      </c>
      <c r="D199" s="10"/>
      <c r="Q199" s="10"/>
      <c r="AD199" s="10"/>
      <c r="AQ199" s="10"/>
      <c r="AS199" s="10"/>
      <c r="BD199" s="10"/>
      <c r="BQ199" s="10"/>
      <c r="BS199" s="10"/>
    </row>
    <row r="200" spans="1:71" x14ac:dyDescent="0.2">
      <c r="A200" t="s">
        <v>124</v>
      </c>
      <c r="B200" t="s">
        <v>137</v>
      </c>
      <c r="D200" s="10"/>
      <c r="Q200" s="10"/>
      <c r="AD200" s="10"/>
      <c r="AQ200" s="10"/>
      <c r="AS200" s="10"/>
      <c r="BD200" s="10"/>
      <c r="BQ200" s="10"/>
      <c r="BS200" s="10"/>
    </row>
    <row r="201" spans="1:71" x14ac:dyDescent="0.2">
      <c r="A201" t="s">
        <v>125</v>
      </c>
      <c r="B201" t="s">
        <v>137</v>
      </c>
      <c r="D201" s="10"/>
      <c r="Q201" s="10"/>
      <c r="AD201" s="10"/>
      <c r="AQ201" s="10"/>
      <c r="AS201" s="10"/>
      <c r="BD201" s="10"/>
      <c r="BQ201" s="10"/>
      <c r="BS201" s="10"/>
    </row>
    <row r="202" spans="1:71" x14ac:dyDescent="0.2">
      <c r="A202" t="s">
        <v>126</v>
      </c>
      <c r="B202" t="s">
        <v>137</v>
      </c>
      <c r="D202" s="10"/>
      <c r="Q202" s="10"/>
      <c r="AD202" s="10"/>
      <c r="AQ202" s="10"/>
      <c r="AS202" s="10"/>
      <c r="BD202" s="10"/>
      <c r="BQ202" s="10"/>
      <c r="BS202" s="10"/>
    </row>
    <row r="203" spans="1:71" x14ac:dyDescent="0.2">
      <c r="A203" t="s">
        <v>127</v>
      </c>
      <c r="B203" t="s">
        <v>137</v>
      </c>
      <c r="D203" s="10"/>
      <c r="Q203" s="10"/>
      <c r="AD203" s="10"/>
      <c r="AQ203" s="10"/>
      <c r="BD203" s="10"/>
      <c r="BQ203" s="10"/>
      <c r="BS203" s="10"/>
    </row>
    <row r="204" spans="1:71" x14ac:dyDescent="0.2">
      <c r="A204" t="s">
        <v>128</v>
      </c>
      <c r="B204" t="s">
        <v>137</v>
      </c>
    </row>
    <row r="205" spans="1:71" x14ac:dyDescent="0.2">
      <c r="A205" t="s">
        <v>129</v>
      </c>
      <c r="B205" t="s">
        <v>137</v>
      </c>
    </row>
    <row r="206" spans="1:71" x14ac:dyDescent="0.2">
      <c r="A206" t="s">
        <v>130</v>
      </c>
      <c r="B206" t="s">
        <v>137</v>
      </c>
      <c r="D206" s="10"/>
      <c r="Q206" s="10"/>
      <c r="AD206" s="10"/>
      <c r="AQ206" s="10"/>
      <c r="BD206" s="10"/>
      <c r="BQ206" s="10"/>
      <c r="BS206" s="10"/>
    </row>
    <row r="207" spans="1:71" x14ac:dyDescent="0.2">
      <c r="A207" t="s">
        <v>131</v>
      </c>
      <c r="B207" t="s">
        <v>137</v>
      </c>
      <c r="D207" s="10"/>
      <c r="Q207" s="10"/>
      <c r="AD207" s="10"/>
      <c r="AQ207" s="10"/>
      <c r="BD207" s="10"/>
      <c r="BQ207" s="10"/>
      <c r="BS207" s="10"/>
    </row>
    <row r="208" spans="1:71" x14ac:dyDescent="0.2">
      <c r="A208" t="s">
        <v>132</v>
      </c>
      <c r="B208" t="s">
        <v>137</v>
      </c>
      <c r="D208" s="10"/>
      <c r="Q208" s="10"/>
      <c r="AD208" s="10"/>
      <c r="AQ208" s="10"/>
      <c r="BD208" s="10"/>
      <c r="BQ208" s="10"/>
      <c r="BS208" s="10"/>
    </row>
    <row r="209" spans="1:71" x14ac:dyDescent="0.2">
      <c r="A209" t="s">
        <v>133</v>
      </c>
      <c r="B209" t="s">
        <v>137</v>
      </c>
      <c r="D209" s="10"/>
      <c r="Q209" s="10"/>
      <c r="AD209" s="10"/>
      <c r="AQ209" s="10"/>
      <c r="BD209" s="10"/>
      <c r="BQ209" s="10"/>
      <c r="BS209" s="10"/>
    </row>
    <row r="210" spans="1:71" x14ac:dyDescent="0.2">
      <c r="A210" t="s">
        <v>134</v>
      </c>
      <c r="B210" t="s">
        <v>137</v>
      </c>
      <c r="D210" s="10"/>
      <c r="Q210" s="10"/>
      <c r="AD210" s="10"/>
      <c r="AQ210" s="10"/>
      <c r="BD210" s="10"/>
      <c r="BQ210" s="10"/>
      <c r="BS210" s="10"/>
    </row>
    <row r="211" spans="1:71" x14ac:dyDescent="0.2">
      <c r="A211" t="s">
        <v>31</v>
      </c>
      <c r="B211" t="s">
        <v>135</v>
      </c>
    </row>
    <row r="212" spans="1:71" x14ac:dyDescent="0.2">
      <c r="A212" t="s">
        <v>32</v>
      </c>
      <c r="B212" t="s">
        <v>135</v>
      </c>
    </row>
    <row r="213" spans="1:71" x14ac:dyDescent="0.2">
      <c r="A213" t="s">
        <v>33</v>
      </c>
      <c r="B213" t="s">
        <v>135</v>
      </c>
    </row>
    <row r="214" spans="1:71" x14ac:dyDescent="0.2">
      <c r="A214" t="s">
        <v>34</v>
      </c>
      <c r="B214" t="s">
        <v>135</v>
      </c>
    </row>
    <row r="215" spans="1:71" x14ac:dyDescent="0.2">
      <c r="A215" t="s">
        <v>35</v>
      </c>
      <c r="B215" t="s">
        <v>135</v>
      </c>
    </row>
    <row r="216" spans="1:71" x14ac:dyDescent="0.2">
      <c r="A216" t="s">
        <v>36</v>
      </c>
      <c r="B216" t="s">
        <v>135</v>
      </c>
    </row>
    <row r="217" spans="1:71" x14ac:dyDescent="0.2">
      <c r="A217" t="s">
        <v>37</v>
      </c>
      <c r="B217" t="s">
        <v>135</v>
      </c>
    </row>
    <row r="218" spans="1:71" x14ac:dyDescent="0.2">
      <c r="A218" t="s">
        <v>38</v>
      </c>
      <c r="B218" t="s">
        <v>135</v>
      </c>
    </row>
    <row r="219" spans="1:71" x14ac:dyDescent="0.2">
      <c r="A219" t="s">
        <v>39</v>
      </c>
      <c r="B219" t="s">
        <v>135</v>
      </c>
    </row>
    <row r="220" spans="1:71" x14ac:dyDescent="0.2">
      <c r="A220" t="s">
        <v>40</v>
      </c>
      <c r="B220" t="s">
        <v>135</v>
      </c>
    </row>
    <row r="221" spans="1:71" x14ac:dyDescent="0.2">
      <c r="A221" t="s">
        <v>41</v>
      </c>
      <c r="B221" t="s">
        <v>135</v>
      </c>
    </row>
    <row r="222" spans="1:71" x14ac:dyDescent="0.2">
      <c r="A222" t="s">
        <v>42</v>
      </c>
      <c r="B222" t="s">
        <v>135</v>
      </c>
    </row>
    <row r="223" spans="1:71" x14ac:dyDescent="0.2">
      <c r="A223" t="s">
        <v>43</v>
      </c>
      <c r="B223" t="s">
        <v>135</v>
      </c>
    </row>
    <row r="224" spans="1:71" x14ac:dyDescent="0.2">
      <c r="A224" t="s">
        <v>44</v>
      </c>
      <c r="B224" t="s">
        <v>135</v>
      </c>
    </row>
    <row r="225" spans="1:2" x14ac:dyDescent="0.2">
      <c r="A225" t="s">
        <v>45</v>
      </c>
      <c r="B225" t="s">
        <v>135</v>
      </c>
    </row>
    <row r="226" spans="1:2" x14ac:dyDescent="0.2">
      <c r="A226" t="s">
        <v>46</v>
      </c>
      <c r="B226" t="s">
        <v>135</v>
      </c>
    </row>
    <row r="227" spans="1:2" x14ac:dyDescent="0.2">
      <c r="A227" t="s">
        <v>47</v>
      </c>
      <c r="B227" t="s">
        <v>135</v>
      </c>
    </row>
    <row r="228" spans="1:2" x14ac:dyDescent="0.2">
      <c r="A228" t="s">
        <v>48</v>
      </c>
      <c r="B228" t="s">
        <v>135</v>
      </c>
    </row>
    <row r="229" spans="1:2" x14ac:dyDescent="0.2">
      <c r="A229" t="s">
        <v>49</v>
      </c>
      <c r="B229" t="s">
        <v>135</v>
      </c>
    </row>
    <row r="230" spans="1:2" x14ac:dyDescent="0.2">
      <c r="A230" t="s">
        <v>50</v>
      </c>
      <c r="B230" t="s">
        <v>135</v>
      </c>
    </row>
    <row r="231" spans="1:2" x14ac:dyDescent="0.2">
      <c r="A231" t="s">
        <v>51</v>
      </c>
      <c r="B231" t="s">
        <v>135</v>
      </c>
    </row>
    <row r="232" spans="1:2" x14ac:dyDescent="0.2">
      <c r="A232" t="s">
        <v>52</v>
      </c>
      <c r="B232" t="s">
        <v>135</v>
      </c>
    </row>
    <row r="233" spans="1:2" x14ac:dyDescent="0.2">
      <c r="A233" t="s">
        <v>53</v>
      </c>
      <c r="B233" t="s">
        <v>135</v>
      </c>
    </row>
    <row r="234" spans="1:2" x14ac:dyDescent="0.2">
      <c r="A234" t="s">
        <v>54</v>
      </c>
      <c r="B234" t="s">
        <v>135</v>
      </c>
    </row>
    <row r="235" spans="1:2" x14ac:dyDescent="0.2">
      <c r="A235" t="s">
        <v>55</v>
      </c>
      <c r="B235" t="s">
        <v>135</v>
      </c>
    </row>
    <row r="236" spans="1:2" x14ac:dyDescent="0.2">
      <c r="A236" t="s">
        <v>56</v>
      </c>
      <c r="B236" t="s">
        <v>135</v>
      </c>
    </row>
    <row r="237" spans="1:2" x14ac:dyDescent="0.2">
      <c r="A237" t="s">
        <v>57</v>
      </c>
      <c r="B237" t="s">
        <v>135</v>
      </c>
    </row>
    <row r="238" spans="1:2" x14ac:dyDescent="0.2">
      <c r="A238" t="s">
        <v>58</v>
      </c>
      <c r="B238" t="s">
        <v>135</v>
      </c>
    </row>
    <row r="239" spans="1:2" x14ac:dyDescent="0.2">
      <c r="A239" t="s">
        <v>59</v>
      </c>
      <c r="B239" t="s">
        <v>135</v>
      </c>
    </row>
    <row r="240" spans="1:2" x14ac:dyDescent="0.2">
      <c r="A240" t="s">
        <v>60</v>
      </c>
      <c r="B240" t="s">
        <v>135</v>
      </c>
    </row>
    <row r="241" spans="1:2" x14ac:dyDescent="0.2">
      <c r="A241" t="s">
        <v>61</v>
      </c>
      <c r="B241" t="s">
        <v>135</v>
      </c>
    </row>
    <row r="242" spans="1:2" x14ac:dyDescent="0.2">
      <c r="A242" t="s">
        <v>62</v>
      </c>
      <c r="B242" t="s">
        <v>135</v>
      </c>
    </row>
    <row r="243" spans="1:2" x14ac:dyDescent="0.2">
      <c r="A243" t="s">
        <v>63</v>
      </c>
      <c r="B243" t="s">
        <v>135</v>
      </c>
    </row>
    <row r="244" spans="1:2" x14ac:dyDescent="0.2">
      <c r="A244" t="s">
        <v>64</v>
      </c>
      <c r="B244" t="s">
        <v>135</v>
      </c>
    </row>
    <row r="245" spans="1:2" x14ac:dyDescent="0.2">
      <c r="A245" t="s">
        <v>65</v>
      </c>
      <c r="B245" t="s">
        <v>135</v>
      </c>
    </row>
    <row r="246" spans="1:2" x14ac:dyDescent="0.2">
      <c r="A246" t="s">
        <v>66</v>
      </c>
      <c r="B246" t="s">
        <v>135</v>
      </c>
    </row>
    <row r="247" spans="1:2" x14ac:dyDescent="0.2">
      <c r="A247" t="s">
        <v>67</v>
      </c>
      <c r="B247" t="s">
        <v>135</v>
      </c>
    </row>
    <row r="248" spans="1:2" x14ac:dyDescent="0.2">
      <c r="A248" t="s">
        <v>68</v>
      </c>
      <c r="B248" t="s">
        <v>135</v>
      </c>
    </row>
    <row r="249" spans="1:2" x14ac:dyDescent="0.2">
      <c r="A249" t="s">
        <v>69</v>
      </c>
      <c r="B249" t="s">
        <v>135</v>
      </c>
    </row>
    <row r="250" spans="1:2" x14ac:dyDescent="0.2">
      <c r="A250" t="s">
        <v>70</v>
      </c>
      <c r="B250" t="s">
        <v>135</v>
      </c>
    </row>
    <row r="251" spans="1:2" x14ac:dyDescent="0.2">
      <c r="A251" t="s">
        <v>71</v>
      </c>
      <c r="B251" t="s">
        <v>135</v>
      </c>
    </row>
    <row r="252" spans="1:2" x14ac:dyDescent="0.2">
      <c r="A252" t="s">
        <v>72</v>
      </c>
      <c r="B252" t="s">
        <v>135</v>
      </c>
    </row>
    <row r="253" spans="1:2" x14ac:dyDescent="0.2">
      <c r="A253" t="s">
        <v>73</v>
      </c>
      <c r="B253" t="s">
        <v>135</v>
      </c>
    </row>
    <row r="254" spans="1:2" x14ac:dyDescent="0.2">
      <c r="A254" t="s">
        <v>74</v>
      </c>
      <c r="B254" t="s">
        <v>135</v>
      </c>
    </row>
    <row r="255" spans="1:2" x14ac:dyDescent="0.2">
      <c r="A255" t="s">
        <v>75</v>
      </c>
      <c r="B255" t="s">
        <v>135</v>
      </c>
    </row>
    <row r="256" spans="1:2" x14ac:dyDescent="0.2">
      <c r="A256" t="s">
        <v>76</v>
      </c>
      <c r="B256" t="s">
        <v>135</v>
      </c>
    </row>
    <row r="257" spans="1:2" x14ac:dyDescent="0.2">
      <c r="A257" t="s">
        <v>77</v>
      </c>
      <c r="B257" t="s">
        <v>135</v>
      </c>
    </row>
    <row r="258" spans="1:2" x14ac:dyDescent="0.2">
      <c r="A258" t="s">
        <v>78</v>
      </c>
      <c r="B258" t="s">
        <v>135</v>
      </c>
    </row>
    <row r="259" spans="1:2" x14ac:dyDescent="0.2">
      <c r="A259" t="s">
        <v>79</v>
      </c>
      <c r="B259" t="s">
        <v>135</v>
      </c>
    </row>
    <row r="260" spans="1:2" x14ac:dyDescent="0.2">
      <c r="A260" t="s">
        <v>80</v>
      </c>
      <c r="B260" t="s">
        <v>135</v>
      </c>
    </row>
    <row r="261" spans="1:2" x14ac:dyDescent="0.2">
      <c r="A261" t="s">
        <v>81</v>
      </c>
      <c r="B261" t="s">
        <v>135</v>
      </c>
    </row>
    <row r="262" spans="1:2" x14ac:dyDescent="0.2">
      <c r="A262" t="s">
        <v>82</v>
      </c>
      <c r="B262" t="s">
        <v>135</v>
      </c>
    </row>
    <row r="263" spans="1:2" x14ac:dyDescent="0.2">
      <c r="A263" t="s">
        <v>83</v>
      </c>
      <c r="B263" t="s">
        <v>135</v>
      </c>
    </row>
    <row r="264" spans="1:2" x14ac:dyDescent="0.2">
      <c r="A264" t="s">
        <v>84</v>
      </c>
      <c r="B264" t="s">
        <v>135</v>
      </c>
    </row>
    <row r="265" spans="1:2" x14ac:dyDescent="0.2">
      <c r="A265" t="s">
        <v>85</v>
      </c>
      <c r="B265" t="s">
        <v>135</v>
      </c>
    </row>
    <row r="266" spans="1:2" x14ac:dyDescent="0.2">
      <c r="A266" t="s">
        <v>86</v>
      </c>
      <c r="B266" t="s">
        <v>135</v>
      </c>
    </row>
    <row r="267" spans="1:2" x14ac:dyDescent="0.2">
      <c r="A267" t="s">
        <v>87</v>
      </c>
      <c r="B267" t="s">
        <v>135</v>
      </c>
    </row>
    <row r="268" spans="1:2" x14ac:dyDescent="0.2">
      <c r="A268" t="s">
        <v>88</v>
      </c>
      <c r="B268" t="s">
        <v>135</v>
      </c>
    </row>
    <row r="269" spans="1:2" x14ac:dyDescent="0.2">
      <c r="A269" t="s">
        <v>89</v>
      </c>
      <c r="B269" t="s">
        <v>135</v>
      </c>
    </row>
    <row r="270" spans="1:2" x14ac:dyDescent="0.2">
      <c r="A270" t="s">
        <v>90</v>
      </c>
      <c r="B270" t="s">
        <v>135</v>
      </c>
    </row>
    <row r="271" spans="1:2" x14ac:dyDescent="0.2">
      <c r="A271" t="s">
        <v>91</v>
      </c>
      <c r="B271" t="s">
        <v>135</v>
      </c>
    </row>
    <row r="272" spans="1:2" x14ac:dyDescent="0.2">
      <c r="A272" t="s">
        <v>92</v>
      </c>
      <c r="B272" t="s">
        <v>135</v>
      </c>
    </row>
    <row r="273" spans="1:2" x14ac:dyDescent="0.2">
      <c r="A273" t="s">
        <v>93</v>
      </c>
      <c r="B273" t="s">
        <v>135</v>
      </c>
    </row>
    <row r="274" spans="1:2" x14ac:dyDescent="0.2">
      <c r="A274" t="s">
        <v>94</v>
      </c>
      <c r="B274" t="s">
        <v>135</v>
      </c>
    </row>
    <row r="275" spans="1:2" x14ac:dyDescent="0.2">
      <c r="A275" t="s">
        <v>95</v>
      </c>
      <c r="B275" t="s">
        <v>135</v>
      </c>
    </row>
    <row r="276" spans="1:2" x14ac:dyDescent="0.2">
      <c r="A276" t="s">
        <v>96</v>
      </c>
      <c r="B276" t="s">
        <v>135</v>
      </c>
    </row>
    <row r="277" spans="1:2" x14ac:dyDescent="0.2">
      <c r="A277" t="s">
        <v>97</v>
      </c>
      <c r="B277" t="s">
        <v>135</v>
      </c>
    </row>
    <row r="278" spans="1:2" x14ac:dyDescent="0.2">
      <c r="A278" t="s">
        <v>98</v>
      </c>
      <c r="B278" t="s">
        <v>135</v>
      </c>
    </row>
    <row r="279" spans="1:2" x14ac:dyDescent="0.2">
      <c r="A279" t="s">
        <v>99</v>
      </c>
      <c r="B279" t="s">
        <v>135</v>
      </c>
    </row>
    <row r="280" spans="1:2" x14ac:dyDescent="0.2">
      <c r="A280" t="s">
        <v>100</v>
      </c>
      <c r="B280" t="s">
        <v>135</v>
      </c>
    </row>
    <row r="281" spans="1:2" x14ac:dyDescent="0.2">
      <c r="A281" t="s">
        <v>101</v>
      </c>
      <c r="B281" t="s">
        <v>135</v>
      </c>
    </row>
    <row r="282" spans="1:2" x14ac:dyDescent="0.2">
      <c r="A282" t="s">
        <v>102</v>
      </c>
      <c r="B282" t="s">
        <v>135</v>
      </c>
    </row>
    <row r="283" spans="1:2" x14ac:dyDescent="0.2">
      <c r="A283" t="s">
        <v>103</v>
      </c>
      <c r="B283" t="s">
        <v>135</v>
      </c>
    </row>
    <row r="284" spans="1:2" x14ac:dyDescent="0.2">
      <c r="A284" t="s">
        <v>104</v>
      </c>
      <c r="B284" t="s">
        <v>135</v>
      </c>
    </row>
    <row r="285" spans="1:2" x14ac:dyDescent="0.2">
      <c r="A285" t="s">
        <v>105</v>
      </c>
      <c r="B285" t="s">
        <v>135</v>
      </c>
    </row>
    <row r="286" spans="1:2" x14ac:dyDescent="0.2">
      <c r="A286" t="s">
        <v>106</v>
      </c>
      <c r="B286" t="s">
        <v>135</v>
      </c>
    </row>
    <row r="287" spans="1:2" x14ac:dyDescent="0.2">
      <c r="A287" t="s">
        <v>107</v>
      </c>
      <c r="B287" t="s">
        <v>135</v>
      </c>
    </row>
    <row r="288" spans="1:2" x14ac:dyDescent="0.2">
      <c r="A288" t="s">
        <v>108</v>
      </c>
      <c r="B288" t="s">
        <v>135</v>
      </c>
    </row>
    <row r="289" spans="1:2" x14ac:dyDescent="0.2">
      <c r="A289" t="s">
        <v>109</v>
      </c>
      <c r="B289" t="s">
        <v>135</v>
      </c>
    </row>
    <row r="290" spans="1:2" x14ac:dyDescent="0.2">
      <c r="A290" t="s">
        <v>110</v>
      </c>
      <c r="B290" t="s">
        <v>135</v>
      </c>
    </row>
    <row r="291" spans="1:2" x14ac:dyDescent="0.2">
      <c r="A291" t="s">
        <v>111</v>
      </c>
      <c r="B291" t="s">
        <v>135</v>
      </c>
    </row>
    <row r="292" spans="1:2" x14ac:dyDescent="0.2">
      <c r="A292" t="s">
        <v>112</v>
      </c>
      <c r="B292" t="s">
        <v>135</v>
      </c>
    </row>
    <row r="293" spans="1:2" x14ac:dyDescent="0.2">
      <c r="A293" t="s">
        <v>113</v>
      </c>
      <c r="B293" t="s">
        <v>135</v>
      </c>
    </row>
    <row r="294" spans="1:2" x14ac:dyDescent="0.2">
      <c r="A294" t="s">
        <v>114</v>
      </c>
      <c r="B294" t="s">
        <v>135</v>
      </c>
    </row>
    <row r="295" spans="1:2" x14ac:dyDescent="0.2">
      <c r="A295" t="s">
        <v>115</v>
      </c>
      <c r="B295" t="s">
        <v>135</v>
      </c>
    </row>
    <row r="296" spans="1:2" x14ac:dyDescent="0.2">
      <c r="A296" t="s">
        <v>116</v>
      </c>
      <c r="B296" t="s">
        <v>135</v>
      </c>
    </row>
    <row r="297" spans="1:2" x14ac:dyDescent="0.2">
      <c r="A297" t="s">
        <v>117</v>
      </c>
      <c r="B297" t="s">
        <v>135</v>
      </c>
    </row>
    <row r="298" spans="1:2" x14ac:dyDescent="0.2">
      <c r="A298" t="s">
        <v>118</v>
      </c>
      <c r="B298" t="s">
        <v>135</v>
      </c>
    </row>
    <row r="299" spans="1:2" x14ac:dyDescent="0.2">
      <c r="A299" t="s">
        <v>119</v>
      </c>
      <c r="B299" t="s">
        <v>135</v>
      </c>
    </row>
    <row r="300" spans="1:2" x14ac:dyDescent="0.2">
      <c r="A300" t="s">
        <v>120</v>
      </c>
      <c r="B300" t="s">
        <v>135</v>
      </c>
    </row>
    <row r="301" spans="1:2" x14ac:dyDescent="0.2">
      <c r="A301" t="s">
        <v>121</v>
      </c>
      <c r="B301" t="s">
        <v>135</v>
      </c>
    </row>
    <row r="302" spans="1:2" x14ac:dyDescent="0.2">
      <c r="A302" t="s">
        <v>122</v>
      </c>
      <c r="B302" t="s">
        <v>135</v>
      </c>
    </row>
    <row r="303" spans="1:2" x14ac:dyDescent="0.2">
      <c r="A303" t="s">
        <v>123</v>
      </c>
      <c r="B303" t="s">
        <v>135</v>
      </c>
    </row>
    <row r="304" spans="1:2" x14ac:dyDescent="0.2">
      <c r="A304" t="s">
        <v>124</v>
      </c>
      <c r="B304" t="s">
        <v>135</v>
      </c>
    </row>
    <row r="305" spans="1:2" x14ac:dyDescent="0.2">
      <c r="A305" t="s">
        <v>125</v>
      </c>
      <c r="B305" t="s">
        <v>135</v>
      </c>
    </row>
    <row r="306" spans="1:2" x14ac:dyDescent="0.2">
      <c r="A306" t="s">
        <v>126</v>
      </c>
      <c r="B306" t="s">
        <v>135</v>
      </c>
    </row>
    <row r="307" spans="1:2" x14ac:dyDescent="0.2">
      <c r="A307" t="s">
        <v>127</v>
      </c>
      <c r="B307" t="s">
        <v>135</v>
      </c>
    </row>
    <row r="308" spans="1:2" x14ac:dyDescent="0.2">
      <c r="A308" t="s">
        <v>128</v>
      </c>
      <c r="B308" t="s">
        <v>135</v>
      </c>
    </row>
    <row r="309" spans="1:2" x14ac:dyDescent="0.2">
      <c r="A309" t="s">
        <v>129</v>
      </c>
      <c r="B309" t="s">
        <v>135</v>
      </c>
    </row>
    <row r="310" spans="1:2" x14ac:dyDescent="0.2">
      <c r="A310" t="s">
        <v>130</v>
      </c>
      <c r="B310" t="s">
        <v>135</v>
      </c>
    </row>
    <row r="311" spans="1:2" x14ac:dyDescent="0.2">
      <c r="A311" t="s">
        <v>131</v>
      </c>
      <c r="B311" t="s">
        <v>135</v>
      </c>
    </row>
    <row r="312" spans="1:2" x14ac:dyDescent="0.2">
      <c r="A312" t="s">
        <v>132</v>
      </c>
      <c r="B312" t="s">
        <v>135</v>
      </c>
    </row>
    <row r="313" spans="1:2" x14ac:dyDescent="0.2">
      <c r="A313" t="s">
        <v>133</v>
      </c>
      <c r="B313" t="s">
        <v>135</v>
      </c>
    </row>
    <row r="314" spans="1:2" x14ac:dyDescent="0.2">
      <c r="A314" t="s">
        <v>134</v>
      </c>
      <c r="B314" t="s">
        <v>135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I3" sqref="AI3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  <col min="52" max="52" width="9.1640625" customWidth="1"/>
  </cols>
  <sheetData>
    <row r="1" spans="1:54" ht="30.75" customHeight="1" x14ac:dyDescent="0.2">
      <c r="A1" s="296" t="s">
        <v>283</v>
      </c>
      <c r="B1" s="296"/>
      <c r="D1" s="301" t="s">
        <v>276</v>
      </c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Q1" s="301" t="s">
        <v>277</v>
      </c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D1" s="301" t="s">
        <v>278</v>
      </c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Q1" s="301" t="s">
        <v>26</v>
      </c>
      <c r="AR1" s="301"/>
      <c r="AS1" s="301"/>
      <c r="AT1" s="301"/>
      <c r="AU1" s="301"/>
      <c r="AV1" s="301"/>
      <c r="AW1" s="301"/>
      <c r="AX1" s="301"/>
      <c r="AY1" s="301"/>
      <c r="AZ1" s="301"/>
      <c r="BA1" s="301"/>
      <c r="BB1" s="301"/>
    </row>
    <row r="2" spans="1:54" ht="16" thickBot="1" x14ac:dyDescent="0.25">
      <c r="A2" s="44" t="s">
        <v>0</v>
      </c>
      <c r="B2" s="44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258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258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258">
        <v>45658</v>
      </c>
      <c r="AR2" s="258">
        <v>45689</v>
      </c>
      <c r="AS2" s="258">
        <v>45717</v>
      </c>
      <c r="AT2" s="258">
        <v>45748</v>
      </c>
      <c r="AU2" s="258">
        <v>45778</v>
      </c>
      <c r="AV2" s="259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</row>
    <row r="3" spans="1:54" x14ac:dyDescent="0.2">
      <c r="A3" s="20" t="s">
        <v>31</v>
      </c>
      <c r="B3" s="21" t="s">
        <v>136</v>
      </c>
      <c r="C3" s="22"/>
      <c r="D3" s="21">
        <v>4</v>
      </c>
      <c r="E3" s="21">
        <v>4</v>
      </c>
      <c r="F3" s="21">
        <v>3</v>
      </c>
      <c r="G3" s="21">
        <v>2</v>
      </c>
      <c r="H3" s="21">
        <v>2</v>
      </c>
      <c r="I3" s="21">
        <v>1</v>
      </c>
      <c r="J3" s="21"/>
      <c r="K3" s="21"/>
      <c r="M3" s="21"/>
      <c r="N3" s="21"/>
      <c r="O3" s="21"/>
      <c r="P3" s="22"/>
      <c r="Q3" s="21">
        <v>2</v>
      </c>
      <c r="R3" s="21">
        <v>2</v>
      </c>
      <c r="S3" s="58">
        <v>1</v>
      </c>
      <c r="T3" s="58">
        <v>1</v>
      </c>
      <c r="U3" s="58"/>
      <c r="V3" s="58"/>
      <c r="W3" s="58"/>
      <c r="X3" s="58"/>
      <c r="Y3" s="58"/>
      <c r="Z3" s="216"/>
      <c r="AA3" s="21"/>
      <c r="AB3" s="216"/>
      <c r="AC3" s="22"/>
      <c r="AD3" s="21">
        <v>3</v>
      </c>
      <c r="AE3" s="21">
        <v>2</v>
      </c>
      <c r="AF3" s="58">
        <v>1</v>
      </c>
      <c r="AH3" s="58">
        <v>1</v>
      </c>
      <c r="AI3" s="58"/>
      <c r="AJ3" s="58"/>
      <c r="AK3" s="58"/>
      <c r="AL3" s="21"/>
      <c r="AM3" s="21"/>
      <c r="AN3" s="21"/>
      <c r="AO3" s="21"/>
      <c r="AP3" s="22"/>
      <c r="AW3" s="58"/>
      <c r="AX3" s="58"/>
      <c r="AY3" s="58"/>
      <c r="AZ3" s="21"/>
      <c r="BA3" s="21"/>
      <c r="BB3" s="25"/>
    </row>
    <row r="4" spans="1:54" x14ac:dyDescent="0.2">
      <c r="A4" s="27" t="s">
        <v>32</v>
      </c>
      <c r="B4" t="s">
        <v>136</v>
      </c>
      <c r="D4">
        <v>1</v>
      </c>
      <c r="E4">
        <v>1</v>
      </c>
      <c r="F4">
        <v>1</v>
      </c>
      <c r="H4">
        <v>1</v>
      </c>
      <c r="I4">
        <v>1</v>
      </c>
      <c r="Q4">
        <v>1</v>
      </c>
      <c r="S4">
        <v>1</v>
      </c>
      <c r="V4">
        <v>1</v>
      </c>
      <c r="Z4" s="153"/>
      <c r="AB4" s="153"/>
      <c r="AD4">
        <v>1</v>
      </c>
      <c r="AE4">
        <v>1</v>
      </c>
      <c r="AH4">
        <v>1</v>
      </c>
      <c r="BB4" s="12"/>
    </row>
    <row r="5" spans="1:54" x14ac:dyDescent="0.2">
      <c r="A5" s="27" t="s">
        <v>33</v>
      </c>
      <c r="B5" t="s">
        <v>136</v>
      </c>
      <c r="Z5" s="153"/>
      <c r="AB5" s="153"/>
      <c r="BB5" s="12"/>
    </row>
    <row r="6" spans="1:54" x14ac:dyDescent="0.2">
      <c r="A6" s="27" t="s">
        <v>34</v>
      </c>
      <c r="B6" t="s">
        <v>136</v>
      </c>
      <c r="D6">
        <v>2</v>
      </c>
      <c r="E6">
        <v>3</v>
      </c>
      <c r="F6">
        <v>5</v>
      </c>
      <c r="G6">
        <v>2</v>
      </c>
      <c r="H6">
        <v>3</v>
      </c>
      <c r="I6">
        <v>3</v>
      </c>
      <c r="Q6">
        <v>1</v>
      </c>
      <c r="R6">
        <v>3</v>
      </c>
      <c r="S6">
        <v>2</v>
      </c>
      <c r="T6">
        <v>2</v>
      </c>
      <c r="U6">
        <v>2</v>
      </c>
      <c r="V6">
        <v>2</v>
      </c>
      <c r="Z6" s="153"/>
      <c r="AB6" s="153"/>
      <c r="AD6">
        <v>1</v>
      </c>
      <c r="AE6">
        <v>2</v>
      </c>
      <c r="AF6">
        <v>5</v>
      </c>
      <c r="AH6">
        <v>2</v>
      </c>
      <c r="AI6">
        <v>2</v>
      </c>
      <c r="BB6" s="12"/>
    </row>
    <row r="7" spans="1:54" x14ac:dyDescent="0.2">
      <c r="A7" s="27" t="s">
        <v>35</v>
      </c>
      <c r="B7" t="s">
        <v>136</v>
      </c>
      <c r="F7">
        <v>3</v>
      </c>
      <c r="G7">
        <v>5</v>
      </c>
      <c r="H7">
        <v>1</v>
      </c>
      <c r="I7">
        <v>1</v>
      </c>
      <c r="T7">
        <v>3</v>
      </c>
      <c r="Z7" s="153"/>
      <c r="AB7" s="153"/>
      <c r="AF7">
        <v>3</v>
      </c>
      <c r="AG7">
        <v>1</v>
      </c>
      <c r="BB7" s="12"/>
    </row>
    <row r="8" spans="1:54" x14ac:dyDescent="0.2">
      <c r="A8" s="27" t="s">
        <v>36</v>
      </c>
      <c r="B8" t="s">
        <v>136</v>
      </c>
      <c r="D8">
        <v>2</v>
      </c>
      <c r="E8">
        <v>3</v>
      </c>
      <c r="F8">
        <v>3</v>
      </c>
      <c r="G8">
        <v>3</v>
      </c>
      <c r="H8">
        <v>3</v>
      </c>
      <c r="I8">
        <v>1</v>
      </c>
      <c r="R8">
        <v>1</v>
      </c>
      <c r="S8">
        <v>2</v>
      </c>
      <c r="U8">
        <v>2</v>
      </c>
      <c r="Z8" s="153"/>
      <c r="AB8" s="153"/>
      <c r="AD8">
        <v>2</v>
      </c>
      <c r="AE8">
        <v>1</v>
      </c>
      <c r="AF8">
        <v>1</v>
      </c>
      <c r="AG8">
        <v>2</v>
      </c>
      <c r="BB8" s="12"/>
    </row>
    <row r="9" spans="1:54" x14ac:dyDescent="0.2">
      <c r="A9" s="27" t="s">
        <v>37</v>
      </c>
      <c r="B9" t="s">
        <v>136</v>
      </c>
      <c r="D9">
        <v>2</v>
      </c>
      <c r="E9">
        <v>3</v>
      </c>
      <c r="G9">
        <v>1</v>
      </c>
      <c r="R9">
        <v>3</v>
      </c>
      <c r="T9">
        <v>1</v>
      </c>
      <c r="Z9" s="153"/>
      <c r="AB9" s="153"/>
      <c r="AD9">
        <v>2</v>
      </c>
      <c r="AE9">
        <v>1</v>
      </c>
      <c r="AG9">
        <v>1</v>
      </c>
      <c r="BB9" s="12"/>
    </row>
    <row r="10" spans="1:54" x14ac:dyDescent="0.2">
      <c r="A10" s="27" t="s">
        <v>38</v>
      </c>
      <c r="B10" t="s">
        <v>136</v>
      </c>
      <c r="D10">
        <v>4</v>
      </c>
      <c r="E10">
        <v>6</v>
      </c>
      <c r="F10">
        <v>6</v>
      </c>
      <c r="G10">
        <v>5</v>
      </c>
      <c r="H10">
        <v>4</v>
      </c>
      <c r="I10">
        <v>8</v>
      </c>
      <c r="Q10">
        <v>3</v>
      </c>
      <c r="R10">
        <v>5</v>
      </c>
      <c r="S10">
        <v>3</v>
      </c>
      <c r="T10">
        <v>4</v>
      </c>
      <c r="U10">
        <v>2</v>
      </c>
      <c r="V10">
        <v>4</v>
      </c>
      <c r="Z10" s="153"/>
      <c r="AB10" s="153"/>
      <c r="AD10">
        <v>4</v>
      </c>
      <c r="AE10">
        <v>5</v>
      </c>
      <c r="AF10">
        <v>5</v>
      </c>
      <c r="AG10">
        <v>2</v>
      </c>
      <c r="AH10">
        <v>3</v>
      </c>
      <c r="AI10">
        <v>6</v>
      </c>
      <c r="AT10">
        <v>1</v>
      </c>
      <c r="BB10" s="12"/>
    </row>
    <row r="11" spans="1:54" x14ac:dyDescent="0.2">
      <c r="A11" s="27" t="s">
        <v>39</v>
      </c>
      <c r="B11" t="s">
        <v>136</v>
      </c>
      <c r="Z11" s="153"/>
      <c r="AB11" s="153"/>
      <c r="BB11" s="12"/>
    </row>
    <row r="12" spans="1:54" x14ac:dyDescent="0.2">
      <c r="A12" s="27" t="s">
        <v>40</v>
      </c>
      <c r="B12" t="s">
        <v>136</v>
      </c>
      <c r="D12">
        <v>2</v>
      </c>
      <c r="E12">
        <v>2</v>
      </c>
      <c r="F12">
        <v>2</v>
      </c>
      <c r="G12">
        <v>2</v>
      </c>
      <c r="H12">
        <v>1</v>
      </c>
      <c r="I12">
        <v>2</v>
      </c>
      <c r="Q12">
        <v>1</v>
      </c>
      <c r="R12">
        <v>1</v>
      </c>
      <c r="S12">
        <v>1</v>
      </c>
      <c r="T12">
        <v>2</v>
      </c>
      <c r="V12">
        <v>2</v>
      </c>
      <c r="Z12" s="153"/>
      <c r="AB12" s="153"/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T12">
        <v>1</v>
      </c>
      <c r="BB12" s="12"/>
    </row>
    <row r="13" spans="1:54" x14ac:dyDescent="0.2">
      <c r="A13" s="27" t="s">
        <v>41</v>
      </c>
      <c r="B13" t="s">
        <v>136</v>
      </c>
      <c r="Z13" s="153"/>
      <c r="AB13" s="153"/>
      <c r="BB13" s="12"/>
    </row>
    <row r="14" spans="1:54" x14ac:dyDescent="0.2">
      <c r="A14" s="27" t="s">
        <v>42</v>
      </c>
      <c r="B14" t="s">
        <v>136</v>
      </c>
      <c r="E14">
        <v>1</v>
      </c>
      <c r="F14">
        <v>1</v>
      </c>
      <c r="S14">
        <v>1</v>
      </c>
      <c r="Z14" s="153"/>
      <c r="AB14" s="153"/>
      <c r="AE14">
        <v>1</v>
      </c>
      <c r="BB14" s="12"/>
    </row>
    <row r="15" spans="1:54" x14ac:dyDescent="0.2">
      <c r="A15" s="27" t="s">
        <v>43</v>
      </c>
      <c r="B15" t="s">
        <v>136</v>
      </c>
      <c r="H15">
        <v>1</v>
      </c>
      <c r="U15">
        <v>1</v>
      </c>
      <c r="Z15" s="153"/>
      <c r="AB15" s="153"/>
      <c r="AH15">
        <v>1</v>
      </c>
      <c r="BB15" s="12"/>
    </row>
    <row r="16" spans="1:54" x14ac:dyDescent="0.2">
      <c r="A16" s="27" t="s">
        <v>44</v>
      </c>
      <c r="B16" t="s">
        <v>136</v>
      </c>
      <c r="Z16" s="153"/>
      <c r="AB16" s="153"/>
      <c r="BB16" s="12"/>
    </row>
    <row r="17" spans="1:54" x14ac:dyDescent="0.2">
      <c r="A17" s="27" t="s">
        <v>45</v>
      </c>
      <c r="B17" t="s">
        <v>136</v>
      </c>
      <c r="D17">
        <v>4</v>
      </c>
      <c r="E17">
        <v>5</v>
      </c>
      <c r="F17">
        <v>9</v>
      </c>
      <c r="G17">
        <v>11</v>
      </c>
      <c r="H17">
        <v>6</v>
      </c>
      <c r="I17">
        <v>1</v>
      </c>
      <c r="Q17">
        <v>3</v>
      </c>
      <c r="R17">
        <v>2</v>
      </c>
      <c r="S17">
        <v>4</v>
      </c>
      <c r="T17">
        <v>7</v>
      </c>
      <c r="U17">
        <v>6</v>
      </c>
      <c r="V17">
        <v>1</v>
      </c>
      <c r="Z17" s="153"/>
      <c r="AB17" s="153"/>
      <c r="AD17">
        <v>3</v>
      </c>
      <c r="AE17">
        <v>4</v>
      </c>
      <c r="AF17">
        <v>6</v>
      </c>
      <c r="AG17">
        <v>6</v>
      </c>
      <c r="AH17">
        <v>2</v>
      </c>
      <c r="AI17">
        <v>1</v>
      </c>
      <c r="AR17">
        <v>2</v>
      </c>
      <c r="BB17" s="12"/>
    </row>
    <row r="18" spans="1:54" x14ac:dyDescent="0.2">
      <c r="A18" s="27" t="s">
        <v>46</v>
      </c>
      <c r="B18" t="s">
        <v>136</v>
      </c>
      <c r="Z18" s="153"/>
      <c r="AB18" s="153"/>
      <c r="BB18" s="12"/>
    </row>
    <row r="19" spans="1:54" x14ac:dyDescent="0.2">
      <c r="A19" s="27" t="s">
        <v>47</v>
      </c>
      <c r="B19" t="s">
        <v>136</v>
      </c>
      <c r="F19">
        <v>2</v>
      </c>
      <c r="G19">
        <v>3</v>
      </c>
      <c r="H19">
        <v>2</v>
      </c>
      <c r="T19">
        <v>2</v>
      </c>
      <c r="U19">
        <v>2</v>
      </c>
      <c r="Z19" s="153"/>
      <c r="AB19" s="153"/>
      <c r="AF19">
        <v>2</v>
      </c>
      <c r="AG19">
        <v>1</v>
      </c>
      <c r="AH19">
        <v>1</v>
      </c>
      <c r="AT19">
        <v>1</v>
      </c>
      <c r="AU19">
        <v>1</v>
      </c>
      <c r="BB19" s="12"/>
    </row>
    <row r="20" spans="1:54" x14ac:dyDescent="0.2">
      <c r="A20" s="27" t="s">
        <v>48</v>
      </c>
      <c r="B20" t="s">
        <v>136</v>
      </c>
      <c r="Z20" s="153"/>
      <c r="AB20" s="153"/>
      <c r="BB20" s="12"/>
    </row>
    <row r="21" spans="1:54" x14ac:dyDescent="0.2">
      <c r="A21" s="27" t="s">
        <v>49</v>
      </c>
      <c r="B21" t="s">
        <v>136</v>
      </c>
      <c r="D21">
        <v>1</v>
      </c>
      <c r="F21">
        <v>3</v>
      </c>
      <c r="G21">
        <v>3</v>
      </c>
      <c r="H21">
        <v>1</v>
      </c>
      <c r="Q21">
        <v>1</v>
      </c>
      <c r="S21">
        <v>1</v>
      </c>
      <c r="T21">
        <v>3</v>
      </c>
      <c r="U21">
        <v>1</v>
      </c>
      <c r="Z21" s="153"/>
      <c r="AB21" s="153"/>
      <c r="AD21">
        <v>1</v>
      </c>
      <c r="AF21">
        <v>3</v>
      </c>
      <c r="AG21">
        <v>2</v>
      </c>
      <c r="AH21">
        <v>1</v>
      </c>
      <c r="AT21">
        <v>1</v>
      </c>
      <c r="BB21" s="12"/>
    </row>
    <row r="22" spans="1:54" x14ac:dyDescent="0.2">
      <c r="A22" s="27" t="s">
        <v>50</v>
      </c>
      <c r="B22" t="s">
        <v>136</v>
      </c>
      <c r="E22">
        <v>1</v>
      </c>
      <c r="F22">
        <v>2</v>
      </c>
      <c r="G22">
        <v>1</v>
      </c>
      <c r="S22">
        <v>2</v>
      </c>
      <c r="T22">
        <v>1</v>
      </c>
      <c r="Z22" s="153"/>
      <c r="AB22" s="153"/>
      <c r="AE22">
        <v>1</v>
      </c>
      <c r="AF22">
        <v>1</v>
      </c>
      <c r="AG22">
        <v>1</v>
      </c>
      <c r="AT22">
        <v>1</v>
      </c>
      <c r="BB22" s="12"/>
    </row>
    <row r="23" spans="1:54" x14ac:dyDescent="0.2">
      <c r="A23" s="27" t="s">
        <v>51</v>
      </c>
      <c r="B23" t="s">
        <v>136</v>
      </c>
      <c r="Z23" s="153"/>
      <c r="AB23" s="153"/>
      <c r="BB23" s="12"/>
    </row>
    <row r="24" spans="1:54" x14ac:dyDescent="0.2">
      <c r="A24" s="27" t="s">
        <v>52</v>
      </c>
      <c r="B24" t="s">
        <v>136</v>
      </c>
      <c r="D24">
        <v>1</v>
      </c>
      <c r="G24">
        <v>1</v>
      </c>
      <c r="Q24">
        <v>1</v>
      </c>
      <c r="T24">
        <v>1</v>
      </c>
      <c r="Z24" s="153"/>
      <c r="AB24" s="153"/>
      <c r="AG24">
        <v>1</v>
      </c>
      <c r="AT24">
        <v>1</v>
      </c>
      <c r="BB24" s="12"/>
    </row>
    <row r="25" spans="1:54" x14ac:dyDescent="0.2">
      <c r="A25" s="27" t="s">
        <v>53</v>
      </c>
      <c r="B25" t="s">
        <v>136</v>
      </c>
      <c r="D25">
        <v>1</v>
      </c>
      <c r="H25">
        <v>3</v>
      </c>
      <c r="I25">
        <v>2</v>
      </c>
      <c r="Q25">
        <v>1</v>
      </c>
      <c r="U25">
        <v>2</v>
      </c>
      <c r="V25">
        <v>2</v>
      </c>
      <c r="Z25" s="153"/>
      <c r="AB25" s="153"/>
      <c r="AH25">
        <v>3</v>
      </c>
      <c r="AI25">
        <v>1</v>
      </c>
      <c r="BB25" s="12"/>
    </row>
    <row r="26" spans="1:54" x14ac:dyDescent="0.2">
      <c r="A26" s="27" t="s">
        <v>54</v>
      </c>
      <c r="B26" t="s">
        <v>136</v>
      </c>
      <c r="D26">
        <v>2</v>
      </c>
      <c r="E26">
        <v>2</v>
      </c>
      <c r="F26">
        <v>1</v>
      </c>
      <c r="G26">
        <v>2</v>
      </c>
      <c r="H26">
        <v>2</v>
      </c>
      <c r="Q26">
        <v>2</v>
      </c>
      <c r="R26">
        <v>2</v>
      </c>
      <c r="S26">
        <v>1</v>
      </c>
      <c r="U26">
        <v>2</v>
      </c>
      <c r="Z26" s="153"/>
      <c r="AB26" s="153"/>
      <c r="AD26">
        <v>2</v>
      </c>
      <c r="AE26">
        <v>1</v>
      </c>
      <c r="AF26">
        <v>1</v>
      </c>
      <c r="AG26">
        <v>2</v>
      </c>
      <c r="BB26" s="12"/>
    </row>
    <row r="27" spans="1:54" x14ac:dyDescent="0.2">
      <c r="A27" s="27" t="s">
        <v>55</v>
      </c>
      <c r="B27" t="s">
        <v>136</v>
      </c>
      <c r="E27">
        <v>1</v>
      </c>
      <c r="G27">
        <v>1</v>
      </c>
      <c r="H27">
        <v>1</v>
      </c>
      <c r="R27">
        <v>1</v>
      </c>
      <c r="U27">
        <v>1</v>
      </c>
      <c r="Z27" s="153"/>
      <c r="AB27" s="153"/>
      <c r="AE27">
        <v>1</v>
      </c>
      <c r="AG27">
        <v>1</v>
      </c>
      <c r="BB27" s="12"/>
    </row>
    <row r="28" spans="1:54" x14ac:dyDescent="0.2">
      <c r="A28" s="27" t="s">
        <v>56</v>
      </c>
      <c r="B28" t="s">
        <v>136</v>
      </c>
      <c r="D28">
        <v>1</v>
      </c>
      <c r="G28">
        <v>2</v>
      </c>
      <c r="H28">
        <v>1</v>
      </c>
      <c r="I28">
        <v>1</v>
      </c>
      <c r="Q28">
        <v>1</v>
      </c>
      <c r="T28">
        <v>1</v>
      </c>
      <c r="U28">
        <v>1</v>
      </c>
      <c r="Z28" s="153"/>
      <c r="AB28" s="153"/>
      <c r="AD28">
        <v>1</v>
      </c>
      <c r="AG28">
        <v>2</v>
      </c>
      <c r="AI28">
        <v>1</v>
      </c>
      <c r="AT28">
        <v>1</v>
      </c>
      <c r="BB28" s="12"/>
    </row>
    <row r="29" spans="1:54" x14ac:dyDescent="0.2">
      <c r="A29" s="27" t="s">
        <v>57</v>
      </c>
      <c r="B29" t="s">
        <v>136</v>
      </c>
      <c r="Z29" s="153"/>
      <c r="AB29" s="153"/>
      <c r="BB29" s="12"/>
    </row>
    <row r="30" spans="1:54" x14ac:dyDescent="0.2">
      <c r="A30" s="27" t="s">
        <v>58</v>
      </c>
      <c r="B30" t="s">
        <v>136</v>
      </c>
      <c r="G30">
        <v>2</v>
      </c>
      <c r="H30">
        <v>1</v>
      </c>
      <c r="I30">
        <v>1</v>
      </c>
      <c r="T30">
        <v>1</v>
      </c>
      <c r="U30">
        <v>1</v>
      </c>
      <c r="V30">
        <v>1</v>
      </c>
      <c r="Z30" s="153"/>
      <c r="AB30" s="153"/>
      <c r="AG30">
        <v>2</v>
      </c>
      <c r="AI30">
        <v>1</v>
      </c>
      <c r="BB30" s="12"/>
    </row>
    <row r="31" spans="1:54" x14ac:dyDescent="0.2">
      <c r="A31" s="27" t="s">
        <v>59</v>
      </c>
      <c r="B31" t="s">
        <v>136</v>
      </c>
      <c r="F31">
        <v>1</v>
      </c>
      <c r="I31">
        <v>1</v>
      </c>
      <c r="S31">
        <v>1</v>
      </c>
      <c r="V31">
        <v>1</v>
      </c>
      <c r="Z31" s="153"/>
      <c r="AB31" s="153"/>
      <c r="AF31">
        <v>1</v>
      </c>
      <c r="AI31">
        <v>1</v>
      </c>
      <c r="BB31" s="12"/>
    </row>
    <row r="32" spans="1:54" x14ac:dyDescent="0.2">
      <c r="A32" s="27" t="s">
        <v>60</v>
      </c>
      <c r="B32" t="s">
        <v>136</v>
      </c>
      <c r="Z32" s="153"/>
      <c r="AB32" s="153"/>
      <c r="BB32" s="12"/>
    </row>
    <row r="33" spans="1:54" x14ac:dyDescent="0.2">
      <c r="A33" s="27" t="s">
        <v>61</v>
      </c>
      <c r="B33" t="s">
        <v>136</v>
      </c>
      <c r="Z33" s="153"/>
      <c r="AB33" s="153"/>
      <c r="BB33" s="12"/>
    </row>
    <row r="34" spans="1:54" x14ac:dyDescent="0.2">
      <c r="A34" s="27" t="s">
        <v>62</v>
      </c>
      <c r="B34" t="s">
        <v>136</v>
      </c>
      <c r="D34">
        <v>3</v>
      </c>
      <c r="E34">
        <v>2</v>
      </c>
      <c r="F34">
        <v>2</v>
      </c>
      <c r="G34">
        <v>3</v>
      </c>
      <c r="H34">
        <v>3</v>
      </c>
      <c r="I34">
        <v>2</v>
      </c>
      <c r="Q34">
        <v>1</v>
      </c>
      <c r="R34">
        <v>2</v>
      </c>
      <c r="S34">
        <v>1</v>
      </c>
      <c r="T34">
        <v>2</v>
      </c>
      <c r="U34">
        <v>2</v>
      </c>
      <c r="V34">
        <v>1</v>
      </c>
      <c r="Z34" s="153"/>
      <c r="AB34" s="153"/>
      <c r="AD34">
        <v>3</v>
      </c>
      <c r="AF34">
        <v>2</v>
      </c>
      <c r="AG34">
        <v>2</v>
      </c>
      <c r="AH34">
        <v>2</v>
      </c>
      <c r="AI34">
        <v>1</v>
      </c>
      <c r="AT34">
        <v>1</v>
      </c>
      <c r="BB34" s="12"/>
    </row>
    <row r="35" spans="1:54" x14ac:dyDescent="0.2">
      <c r="A35" s="27" t="s">
        <v>63</v>
      </c>
      <c r="B35" t="s">
        <v>136</v>
      </c>
      <c r="Z35" s="153"/>
      <c r="AB35" s="153"/>
      <c r="BB35" s="12"/>
    </row>
    <row r="36" spans="1:54" x14ac:dyDescent="0.2">
      <c r="A36" s="27" t="s">
        <v>64</v>
      </c>
      <c r="B36" t="s">
        <v>136</v>
      </c>
      <c r="Z36" s="153"/>
      <c r="AB36" s="153"/>
      <c r="BB36" s="12"/>
    </row>
    <row r="37" spans="1:54" x14ac:dyDescent="0.2">
      <c r="A37" s="27" t="s">
        <v>65</v>
      </c>
      <c r="B37" t="s">
        <v>136</v>
      </c>
      <c r="F37">
        <v>1</v>
      </c>
      <c r="G37">
        <v>2</v>
      </c>
      <c r="H37">
        <v>1</v>
      </c>
      <c r="I37">
        <v>1</v>
      </c>
      <c r="T37">
        <v>2</v>
      </c>
      <c r="Z37" s="153"/>
      <c r="AB37" s="153"/>
      <c r="AF37">
        <v>1</v>
      </c>
      <c r="AG37">
        <v>1</v>
      </c>
      <c r="AH37">
        <v>1</v>
      </c>
      <c r="BB37" s="12"/>
    </row>
    <row r="38" spans="1:54" x14ac:dyDescent="0.2">
      <c r="A38" s="27" t="s">
        <v>66</v>
      </c>
      <c r="B38" t="s">
        <v>136</v>
      </c>
      <c r="Z38" s="153"/>
      <c r="AB38" s="153"/>
      <c r="BB38" s="12"/>
    </row>
    <row r="39" spans="1:54" x14ac:dyDescent="0.2">
      <c r="A39" s="27" t="s">
        <v>67</v>
      </c>
      <c r="B39" t="s">
        <v>136</v>
      </c>
      <c r="E39">
        <v>1</v>
      </c>
      <c r="F39">
        <v>1</v>
      </c>
      <c r="S39">
        <v>1</v>
      </c>
      <c r="Z39" s="153"/>
      <c r="AB39" s="153"/>
      <c r="AE39">
        <v>1</v>
      </c>
      <c r="BB39" s="12"/>
    </row>
    <row r="40" spans="1:54" x14ac:dyDescent="0.2">
      <c r="A40" s="27" t="s">
        <v>68</v>
      </c>
      <c r="B40" t="s">
        <v>136</v>
      </c>
      <c r="Z40" s="153"/>
      <c r="AB40" s="153"/>
      <c r="BB40" s="12"/>
    </row>
    <row r="41" spans="1:54" x14ac:dyDescent="0.2">
      <c r="A41" s="27" t="s">
        <v>69</v>
      </c>
      <c r="B41" t="s">
        <v>136</v>
      </c>
      <c r="E41">
        <v>1</v>
      </c>
      <c r="R41">
        <v>1</v>
      </c>
      <c r="Z41" s="153"/>
      <c r="AB41" s="153"/>
      <c r="AE41">
        <v>1</v>
      </c>
      <c r="AT41" s="9"/>
      <c r="AU41" s="9"/>
      <c r="AV41" s="9"/>
      <c r="BB41" s="12"/>
    </row>
    <row r="42" spans="1:54" x14ac:dyDescent="0.2">
      <c r="A42" s="27" t="s">
        <v>70</v>
      </c>
      <c r="B42" t="s">
        <v>136</v>
      </c>
      <c r="D42">
        <v>2</v>
      </c>
      <c r="E42">
        <v>2</v>
      </c>
      <c r="F42">
        <v>3</v>
      </c>
      <c r="G42">
        <v>1</v>
      </c>
      <c r="Q42">
        <v>1</v>
      </c>
      <c r="S42">
        <v>3</v>
      </c>
      <c r="T42">
        <v>1</v>
      </c>
      <c r="Z42" s="153"/>
      <c r="AB42" s="153"/>
      <c r="AD42">
        <v>2</v>
      </c>
      <c r="AE42">
        <v>2</v>
      </c>
      <c r="AG42">
        <v>1</v>
      </c>
      <c r="BB42" s="12"/>
    </row>
    <row r="43" spans="1:54" x14ac:dyDescent="0.2">
      <c r="A43" s="27" t="s">
        <v>71</v>
      </c>
      <c r="B43" t="s">
        <v>136</v>
      </c>
      <c r="Z43" s="153"/>
      <c r="AB43" s="153"/>
      <c r="BB43" s="12"/>
    </row>
    <row r="44" spans="1:54" x14ac:dyDescent="0.2">
      <c r="A44" s="27" t="s">
        <v>72</v>
      </c>
      <c r="B44" t="s">
        <v>136</v>
      </c>
      <c r="D44">
        <v>1</v>
      </c>
      <c r="F44">
        <v>3</v>
      </c>
      <c r="G44">
        <v>1</v>
      </c>
      <c r="H44">
        <v>2</v>
      </c>
      <c r="I44">
        <v>1</v>
      </c>
      <c r="Q44">
        <v>1</v>
      </c>
      <c r="S44">
        <v>1</v>
      </c>
      <c r="T44">
        <v>1</v>
      </c>
      <c r="U44">
        <v>2</v>
      </c>
      <c r="Z44" s="153"/>
      <c r="AB44" s="153"/>
      <c r="AD44">
        <v>1</v>
      </c>
      <c r="AF44">
        <v>2</v>
      </c>
      <c r="AH44">
        <v>1</v>
      </c>
      <c r="AI44">
        <v>1</v>
      </c>
      <c r="BB44" s="12"/>
    </row>
    <row r="45" spans="1:54" x14ac:dyDescent="0.2">
      <c r="A45" s="27" t="s">
        <v>73</v>
      </c>
      <c r="B45" t="s">
        <v>136</v>
      </c>
      <c r="Z45" s="153"/>
      <c r="AB45" s="153"/>
      <c r="BB45" s="12"/>
    </row>
    <row r="46" spans="1:54" x14ac:dyDescent="0.2">
      <c r="A46" s="27" t="s">
        <v>74</v>
      </c>
      <c r="B46" t="s">
        <v>136</v>
      </c>
      <c r="D46">
        <v>7</v>
      </c>
      <c r="E46">
        <v>8</v>
      </c>
      <c r="F46">
        <v>13</v>
      </c>
      <c r="G46">
        <v>10</v>
      </c>
      <c r="H46">
        <v>10</v>
      </c>
      <c r="I46">
        <v>8</v>
      </c>
      <c r="Q46">
        <v>5</v>
      </c>
      <c r="R46">
        <v>2</v>
      </c>
      <c r="S46">
        <v>7</v>
      </c>
      <c r="T46">
        <v>6</v>
      </c>
      <c r="U46">
        <v>6</v>
      </c>
      <c r="V46">
        <v>3</v>
      </c>
      <c r="Z46" s="153"/>
      <c r="AB46" s="153"/>
      <c r="AD46">
        <v>5</v>
      </c>
      <c r="AE46">
        <v>7</v>
      </c>
      <c r="AF46">
        <v>7</v>
      </c>
      <c r="AG46">
        <v>5</v>
      </c>
      <c r="AH46">
        <v>4</v>
      </c>
      <c r="AI46">
        <v>4</v>
      </c>
      <c r="AR46">
        <v>1</v>
      </c>
      <c r="AS46">
        <v>3</v>
      </c>
      <c r="BB46" s="12"/>
    </row>
    <row r="47" spans="1:54" x14ac:dyDescent="0.2">
      <c r="A47" s="27" t="s">
        <v>75</v>
      </c>
      <c r="B47" t="s">
        <v>136</v>
      </c>
      <c r="Z47" s="153"/>
      <c r="AB47" s="153"/>
      <c r="BB47" s="12"/>
    </row>
    <row r="48" spans="1:54" x14ac:dyDescent="0.2">
      <c r="A48" s="27" t="s">
        <v>76</v>
      </c>
      <c r="B48" t="s">
        <v>136</v>
      </c>
      <c r="D48">
        <v>2</v>
      </c>
      <c r="E48">
        <v>3</v>
      </c>
      <c r="F48">
        <v>3</v>
      </c>
      <c r="H48">
        <v>2</v>
      </c>
      <c r="I48">
        <v>1</v>
      </c>
      <c r="Q48">
        <v>2</v>
      </c>
      <c r="S48">
        <v>3</v>
      </c>
      <c r="U48">
        <v>1</v>
      </c>
      <c r="V48">
        <v>1</v>
      </c>
      <c r="Z48" s="153"/>
      <c r="AB48" s="153"/>
      <c r="AD48">
        <v>1</v>
      </c>
      <c r="AE48">
        <v>3</v>
      </c>
      <c r="AH48">
        <v>2</v>
      </c>
      <c r="BB48" s="12"/>
    </row>
    <row r="49" spans="1:54" x14ac:dyDescent="0.2">
      <c r="A49" s="27" t="s">
        <v>77</v>
      </c>
      <c r="B49" t="s">
        <v>136</v>
      </c>
      <c r="D49">
        <v>1</v>
      </c>
      <c r="E49">
        <v>2</v>
      </c>
      <c r="F49">
        <v>1</v>
      </c>
      <c r="R49">
        <v>2</v>
      </c>
      <c r="S49">
        <v>1</v>
      </c>
      <c r="Z49" s="153"/>
      <c r="AB49" s="153"/>
      <c r="AD49">
        <v>1</v>
      </c>
      <c r="AE49">
        <v>1</v>
      </c>
      <c r="AF49">
        <v>1</v>
      </c>
      <c r="BB49" s="12"/>
    </row>
    <row r="50" spans="1:54" x14ac:dyDescent="0.2">
      <c r="A50" s="27" t="s">
        <v>78</v>
      </c>
      <c r="B50" t="s">
        <v>136</v>
      </c>
      <c r="Z50" s="153"/>
      <c r="AB50" s="153"/>
      <c r="BB50" s="12"/>
    </row>
    <row r="51" spans="1:54" x14ac:dyDescent="0.2">
      <c r="A51" s="27" t="s">
        <v>79</v>
      </c>
      <c r="B51" t="s">
        <v>136</v>
      </c>
      <c r="D51">
        <v>1</v>
      </c>
      <c r="E51">
        <v>1</v>
      </c>
      <c r="H51">
        <v>1</v>
      </c>
      <c r="I51">
        <v>1</v>
      </c>
      <c r="R51">
        <v>1</v>
      </c>
      <c r="V51">
        <v>1</v>
      </c>
      <c r="Z51" s="153"/>
      <c r="AB51" s="153"/>
      <c r="AD51">
        <v>1</v>
      </c>
      <c r="AH51">
        <v>1</v>
      </c>
      <c r="BB51" s="12"/>
    </row>
    <row r="52" spans="1:54" x14ac:dyDescent="0.2">
      <c r="A52" s="27" t="s">
        <v>80</v>
      </c>
      <c r="B52" t="s">
        <v>136</v>
      </c>
      <c r="Z52" s="153"/>
      <c r="AB52" s="153"/>
      <c r="BB52" s="12"/>
    </row>
    <row r="53" spans="1:54" x14ac:dyDescent="0.2">
      <c r="A53" s="27" t="s">
        <v>81</v>
      </c>
      <c r="B53" t="s">
        <v>136</v>
      </c>
      <c r="E53">
        <v>1</v>
      </c>
      <c r="F53">
        <v>1</v>
      </c>
      <c r="H53">
        <v>1</v>
      </c>
      <c r="S53">
        <v>1</v>
      </c>
      <c r="U53">
        <v>1</v>
      </c>
      <c r="Z53" s="153"/>
      <c r="AB53" s="153"/>
      <c r="AE53">
        <v>1</v>
      </c>
      <c r="AH53">
        <v>1</v>
      </c>
      <c r="BB53" s="12"/>
    </row>
    <row r="54" spans="1:54" x14ac:dyDescent="0.2">
      <c r="A54" s="27" t="s">
        <v>82</v>
      </c>
      <c r="B54" t="s">
        <v>136</v>
      </c>
      <c r="Z54" s="153"/>
      <c r="AB54" s="153"/>
      <c r="BB54" s="12"/>
    </row>
    <row r="55" spans="1:54" x14ac:dyDescent="0.2">
      <c r="A55" s="27" t="s">
        <v>83</v>
      </c>
      <c r="B55" t="s">
        <v>136</v>
      </c>
      <c r="D55">
        <v>1</v>
      </c>
      <c r="F55">
        <v>3</v>
      </c>
      <c r="S55">
        <v>3</v>
      </c>
      <c r="Z55" s="153"/>
      <c r="AB55" s="153"/>
      <c r="AD55">
        <v>1</v>
      </c>
      <c r="AF55">
        <v>2</v>
      </c>
      <c r="BB55" s="12"/>
    </row>
    <row r="56" spans="1:54" x14ac:dyDescent="0.2">
      <c r="A56" s="27" t="s">
        <v>84</v>
      </c>
      <c r="B56" t="s">
        <v>136</v>
      </c>
      <c r="E56">
        <v>1</v>
      </c>
      <c r="F56">
        <v>1</v>
      </c>
      <c r="H56">
        <v>1</v>
      </c>
      <c r="I56">
        <v>1</v>
      </c>
      <c r="S56">
        <v>1</v>
      </c>
      <c r="V56">
        <v>1</v>
      </c>
      <c r="Z56" s="153"/>
      <c r="AB56" s="153"/>
      <c r="AE56">
        <v>1</v>
      </c>
      <c r="AH56">
        <v>1</v>
      </c>
      <c r="BB56" s="12"/>
    </row>
    <row r="57" spans="1:54" x14ac:dyDescent="0.2">
      <c r="A57" s="27" t="s">
        <v>85</v>
      </c>
      <c r="B57" t="s">
        <v>136</v>
      </c>
      <c r="D57">
        <v>2</v>
      </c>
      <c r="Q57">
        <v>2</v>
      </c>
      <c r="Z57" s="153"/>
      <c r="AB57" s="153"/>
      <c r="AD57">
        <v>2</v>
      </c>
      <c r="BB57" s="12"/>
    </row>
    <row r="58" spans="1:54" x14ac:dyDescent="0.2">
      <c r="A58" s="27" t="s">
        <v>86</v>
      </c>
      <c r="B58" t="s">
        <v>136</v>
      </c>
      <c r="D58">
        <v>3</v>
      </c>
      <c r="E58">
        <v>5</v>
      </c>
      <c r="F58">
        <v>5</v>
      </c>
      <c r="G58">
        <v>1</v>
      </c>
      <c r="I58">
        <v>3</v>
      </c>
      <c r="Q58">
        <v>1</v>
      </c>
      <c r="S58">
        <v>4</v>
      </c>
      <c r="T58">
        <v>1</v>
      </c>
      <c r="V58">
        <v>2</v>
      </c>
      <c r="Z58" s="153"/>
      <c r="AB58" s="153"/>
      <c r="AD58">
        <v>2</v>
      </c>
      <c r="AE58">
        <v>3</v>
      </c>
      <c r="AI58">
        <v>3</v>
      </c>
      <c r="BB58" s="12"/>
    </row>
    <row r="59" spans="1:54" x14ac:dyDescent="0.2">
      <c r="A59" s="27" t="s">
        <v>87</v>
      </c>
      <c r="B59" t="s">
        <v>136</v>
      </c>
      <c r="D59">
        <v>2</v>
      </c>
      <c r="E59">
        <v>2</v>
      </c>
      <c r="F59">
        <v>2</v>
      </c>
      <c r="Q59">
        <v>2</v>
      </c>
      <c r="S59">
        <v>2</v>
      </c>
      <c r="Z59" s="153"/>
      <c r="AB59" s="153"/>
      <c r="AD59">
        <v>1</v>
      </c>
      <c r="AE59">
        <v>2</v>
      </c>
      <c r="AR59">
        <v>1</v>
      </c>
      <c r="BB59" s="12"/>
    </row>
    <row r="60" spans="1:54" x14ac:dyDescent="0.2">
      <c r="A60" s="27" t="s">
        <v>88</v>
      </c>
      <c r="B60" t="s">
        <v>136</v>
      </c>
      <c r="Z60" s="153"/>
      <c r="AB60" s="153"/>
      <c r="BB60" s="12"/>
    </row>
    <row r="61" spans="1:54" x14ac:dyDescent="0.2">
      <c r="A61" s="27" t="s">
        <v>89</v>
      </c>
      <c r="B61" t="s">
        <v>136</v>
      </c>
      <c r="Z61" s="153"/>
      <c r="AB61" s="153"/>
      <c r="BB61" s="12"/>
    </row>
    <row r="62" spans="1:54" x14ac:dyDescent="0.2">
      <c r="A62" s="27" t="s">
        <v>90</v>
      </c>
      <c r="B62" t="s">
        <v>136</v>
      </c>
      <c r="G62">
        <v>1</v>
      </c>
      <c r="I62">
        <v>1</v>
      </c>
      <c r="T62">
        <v>1</v>
      </c>
      <c r="V62">
        <v>1</v>
      </c>
      <c r="Z62" s="153"/>
      <c r="AB62" s="153"/>
      <c r="AG62">
        <v>1</v>
      </c>
      <c r="AI62">
        <v>1</v>
      </c>
      <c r="BB62" s="12"/>
    </row>
    <row r="63" spans="1:54" x14ac:dyDescent="0.2">
      <c r="A63" s="27" t="s">
        <v>91</v>
      </c>
      <c r="B63" t="s">
        <v>136</v>
      </c>
      <c r="I63">
        <v>1</v>
      </c>
      <c r="V63">
        <v>1</v>
      </c>
      <c r="Z63" s="153"/>
      <c r="AB63" s="153"/>
      <c r="AI63">
        <v>1</v>
      </c>
      <c r="BB63" s="12"/>
    </row>
    <row r="64" spans="1:54" x14ac:dyDescent="0.2">
      <c r="A64" s="27" t="s">
        <v>92</v>
      </c>
      <c r="B64" t="s">
        <v>136</v>
      </c>
      <c r="Z64" s="153"/>
      <c r="AB64" s="153"/>
      <c r="BB64" s="12"/>
    </row>
    <row r="65" spans="1:54" x14ac:dyDescent="0.2">
      <c r="A65" s="27" t="s">
        <v>93</v>
      </c>
      <c r="B65" t="s">
        <v>136</v>
      </c>
      <c r="Z65" s="153"/>
      <c r="AB65" s="153"/>
      <c r="BB65" s="12"/>
    </row>
    <row r="66" spans="1:54" x14ac:dyDescent="0.2">
      <c r="A66" s="27" t="s">
        <v>94</v>
      </c>
      <c r="B66" t="s">
        <v>136</v>
      </c>
      <c r="D66">
        <v>1</v>
      </c>
      <c r="Q66">
        <v>1</v>
      </c>
      <c r="Z66" s="153"/>
      <c r="AB66" s="153"/>
      <c r="AD66">
        <v>1</v>
      </c>
      <c r="BB66" s="12"/>
    </row>
    <row r="67" spans="1:54" x14ac:dyDescent="0.2">
      <c r="A67" s="27" t="s">
        <v>95</v>
      </c>
      <c r="B67" t="s">
        <v>136</v>
      </c>
      <c r="D67">
        <v>1</v>
      </c>
      <c r="E67">
        <v>1</v>
      </c>
      <c r="F67">
        <v>1</v>
      </c>
      <c r="H67">
        <v>1</v>
      </c>
      <c r="I67">
        <v>1</v>
      </c>
      <c r="U67">
        <v>1</v>
      </c>
      <c r="Z67" s="153"/>
      <c r="AB67" s="153"/>
      <c r="AI67">
        <v>1</v>
      </c>
      <c r="BB67" s="12"/>
    </row>
    <row r="68" spans="1:54" x14ac:dyDescent="0.2">
      <c r="A68" s="27" t="s">
        <v>96</v>
      </c>
      <c r="B68" t="s">
        <v>136</v>
      </c>
      <c r="D68">
        <v>1</v>
      </c>
      <c r="E68">
        <v>1</v>
      </c>
      <c r="G68">
        <v>2</v>
      </c>
      <c r="H68">
        <v>2</v>
      </c>
      <c r="I68">
        <v>4</v>
      </c>
      <c r="Q68">
        <v>1</v>
      </c>
      <c r="T68">
        <v>1</v>
      </c>
      <c r="V68">
        <v>3</v>
      </c>
      <c r="Z68" s="153"/>
      <c r="AB68" s="153"/>
      <c r="AD68">
        <v>1</v>
      </c>
      <c r="AE68">
        <v>1</v>
      </c>
      <c r="AG68">
        <v>1</v>
      </c>
      <c r="AH68">
        <v>2</v>
      </c>
      <c r="AI68">
        <v>1</v>
      </c>
      <c r="AR68">
        <v>1</v>
      </c>
      <c r="BB68" s="12"/>
    </row>
    <row r="69" spans="1:54" x14ac:dyDescent="0.2">
      <c r="A69" s="27" t="s">
        <v>97</v>
      </c>
      <c r="B69" t="s">
        <v>136</v>
      </c>
      <c r="E69">
        <v>3</v>
      </c>
      <c r="F69">
        <v>3</v>
      </c>
      <c r="S69">
        <v>3</v>
      </c>
      <c r="Z69" s="153"/>
      <c r="AB69" s="153"/>
      <c r="AE69">
        <v>3</v>
      </c>
      <c r="BB69" s="12"/>
    </row>
    <row r="70" spans="1:54" x14ac:dyDescent="0.2">
      <c r="A70" s="27" t="s">
        <v>98</v>
      </c>
      <c r="B70" t="s">
        <v>136</v>
      </c>
      <c r="H70">
        <v>2</v>
      </c>
      <c r="I70">
        <v>2</v>
      </c>
      <c r="V70">
        <v>2</v>
      </c>
      <c r="Z70" s="153"/>
      <c r="AB70" s="153"/>
      <c r="AH70">
        <v>2</v>
      </c>
      <c r="BB70" s="12"/>
    </row>
    <row r="71" spans="1:54" x14ac:dyDescent="0.2">
      <c r="A71" s="27" t="s">
        <v>99</v>
      </c>
      <c r="B71" t="s">
        <v>136</v>
      </c>
      <c r="D71">
        <v>13</v>
      </c>
      <c r="E71">
        <v>15</v>
      </c>
      <c r="F71">
        <v>7</v>
      </c>
      <c r="G71">
        <v>6</v>
      </c>
      <c r="H71">
        <v>12</v>
      </c>
      <c r="I71">
        <v>12</v>
      </c>
      <c r="Q71">
        <v>5</v>
      </c>
      <c r="R71">
        <v>13</v>
      </c>
      <c r="S71">
        <v>5</v>
      </c>
      <c r="T71">
        <v>3</v>
      </c>
      <c r="U71">
        <v>5</v>
      </c>
      <c r="V71">
        <v>9</v>
      </c>
      <c r="Z71" s="153"/>
      <c r="AB71" s="153"/>
      <c r="AD71">
        <v>10</v>
      </c>
      <c r="AE71">
        <v>7</v>
      </c>
      <c r="AF71">
        <v>5</v>
      </c>
      <c r="AG71">
        <v>4</v>
      </c>
      <c r="AH71">
        <v>9</v>
      </c>
      <c r="AI71">
        <v>5</v>
      </c>
      <c r="AQ71">
        <v>1</v>
      </c>
      <c r="BB71" s="12"/>
    </row>
    <row r="72" spans="1:54" x14ac:dyDescent="0.2">
      <c r="A72" s="27" t="s">
        <v>100</v>
      </c>
      <c r="B72" t="s">
        <v>136</v>
      </c>
      <c r="Z72" s="153"/>
      <c r="AB72" s="153"/>
      <c r="BB72" s="12"/>
    </row>
    <row r="73" spans="1:54" x14ac:dyDescent="0.2">
      <c r="A73" s="27" t="s">
        <v>101</v>
      </c>
      <c r="B73" t="s">
        <v>136</v>
      </c>
      <c r="Z73" s="153"/>
      <c r="AB73" s="153"/>
      <c r="BB73" s="12"/>
    </row>
    <row r="74" spans="1:54" x14ac:dyDescent="0.2">
      <c r="A74" s="27" t="s">
        <v>102</v>
      </c>
      <c r="B74" t="s">
        <v>136</v>
      </c>
      <c r="D74">
        <v>1</v>
      </c>
      <c r="F74">
        <v>1</v>
      </c>
      <c r="G74">
        <v>2</v>
      </c>
      <c r="H74">
        <v>4</v>
      </c>
      <c r="I74">
        <v>1</v>
      </c>
      <c r="Q74">
        <v>1</v>
      </c>
      <c r="S74">
        <v>1</v>
      </c>
      <c r="U74">
        <v>3</v>
      </c>
      <c r="V74">
        <v>1</v>
      </c>
      <c r="Z74" s="153"/>
      <c r="AB74" s="153"/>
      <c r="AF74">
        <v>1</v>
      </c>
      <c r="AG74">
        <v>2</v>
      </c>
      <c r="AH74">
        <v>2</v>
      </c>
      <c r="BB74" s="12"/>
    </row>
    <row r="75" spans="1:54" x14ac:dyDescent="0.2">
      <c r="A75" s="27" t="s">
        <v>103</v>
      </c>
      <c r="B75" t="s">
        <v>136</v>
      </c>
      <c r="D75">
        <v>1</v>
      </c>
      <c r="F75">
        <v>1</v>
      </c>
      <c r="H75">
        <v>2</v>
      </c>
      <c r="I75">
        <v>1</v>
      </c>
      <c r="S75">
        <v>1</v>
      </c>
      <c r="U75">
        <v>1</v>
      </c>
      <c r="V75">
        <v>1</v>
      </c>
      <c r="Z75" s="153"/>
      <c r="AB75" s="153"/>
      <c r="AD75">
        <v>1</v>
      </c>
      <c r="AH75">
        <v>2</v>
      </c>
      <c r="BB75" s="12"/>
    </row>
    <row r="76" spans="1:54" x14ac:dyDescent="0.2">
      <c r="A76" s="27" t="s">
        <v>104</v>
      </c>
      <c r="B76" t="s">
        <v>136</v>
      </c>
      <c r="E76">
        <v>1</v>
      </c>
      <c r="F76">
        <v>1</v>
      </c>
      <c r="G76">
        <v>3</v>
      </c>
      <c r="H76">
        <v>1</v>
      </c>
      <c r="I76">
        <v>1</v>
      </c>
      <c r="R76">
        <v>1</v>
      </c>
      <c r="T76">
        <v>1</v>
      </c>
      <c r="Z76" s="153"/>
      <c r="AB76" s="153"/>
      <c r="AF76">
        <v>1</v>
      </c>
      <c r="AG76">
        <v>1</v>
      </c>
      <c r="BB76" s="12"/>
    </row>
    <row r="77" spans="1:54" x14ac:dyDescent="0.2">
      <c r="A77" s="27" t="s">
        <v>105</v>
      </c>
      <c r="B77" t="s">
        <v>136</v>
      </c>
      <c r="E77">
        <v>1</v>
      </c>
      <c r="F77">
        <v>2</v>
      </c>
      <c r="I77">
        <v>1</v>
      </c>
      <c r="S77">
        <v>1</v>
      </c>
      <c r="V77">
        <v>1</v>
      </c>
      <c r="Z77" s="153"/>
      <c r="AB77" s="153"/>
      <c r="AE77">
        <v>1</v>
      </c>
      <c r="AF77">
        <v>1</v>
      </c>
      <c r="AS77">
        <v>1</v>
      </c>
      <c r="BB77" s="12"/>
    </row>
    <row r="78" spans="1:54" x14ac:dyDescent="0.2">
      <c r="A78" s="27" t="s">
        <v>106</v>
      </c>
      <c r="B78" t="s">
        <v>136</v>
      </c>
      <c r="G78">
        <v>1</v>
      </c>
      <c r="H78">
        <v>2</v>
      </c>
      <c r="I78">
        <v>1</v>
      </c>
      <c r="U78">
        <v>1</v>
      </c>
      <c r="V78">
        <v>1</v>
      </c>
      <c r="Z78" s="153"/>
      <c r="AB78" s="153"/>
      <c r="AG78">
        <v>1</v>
      </c>
      <c r="AH78">
        <v>1</v>
      </c>
      <c r="BB78" s="12"/>
    </row>
    <row r="79" spans="1:54" x14ac:dyDescent="0.2">
      <c r="A79" s="27" t="s">
        <v>107</v>
      </c>
      <c r="B79" t="s">
        <v>136</v>
      </c>
      <c r="Z79" s="153"/>
      <c r="AB79" s="153"/>
      <c r="BB79" s="12"/>
    </row>
    <row r="80" spans="1:54" x14ac:dyDescent="0.2">
      <c r="A80" s="27" t="s">
        <v>108</v>
      </c>
      <c r="B80" t="s">
        <v>136</v>
      </c>
      <c r="Z80" s="153"/>
      <c r="AB80" s="153"/>
      <c r="BB80" s="12"/>
    </row>
    <row r="81" spans="1:54" x14ac:dyDescent="0.2">
      <c r="A81" s="27" t="s">
        <v>109</v>
      </c>
      <c r="B81" t="s">
        <v>136</v>
      </c>
      <c r="G81">
        <v>1</v>
      </c>
      <c r="I81">
        <v>1</v>
      </c>
      <c r="T81">
        <v>1</v>
      </c>
      <c r="Z81" s="153"/>
      <c r="AB81" s="153"/>
      <c r="AG81">
        <v>1</v>
      </c>
      <c r="AI81">
        <v>1</v>
      </c>
      <c r="BB81" s="12"/>
    </row>
    <row r="82" spans="1:54" x14ac:dyDescent="0.2">
      <c r="A82" s="27" t="s">
        <v>110</v>
      </c>
      <c r="B82" t="s">
        <v>136</v>
      </c>
      <c r="D82">
        <v>1</v>
      </c>
      <c r="E82">
        <v>1</v>
      </c>
      <c r="F82">
        <v>2</v>
      </c>
      <c r="G82">
        <v>4</v>
      </c>
      <c r="H82">
        <v>3</v>
      </c>
      <c r="I82">
        <v>2</v>
      </c>
      <c r="Q82">
        <v>1</v>
      </c>
      <c r="S82">
        <v>1</v>
      </c>
      <c r="T82">
        <v>2</v>
      </c>
      <c r="U82">
        <v>2</v>
      </c>
      <c r="V82">
        <v>2</v>
      </c>
      <c r="Z82" s="153"/>
      <c r="AB82" s="153"/>
      <c r="AE82">
        <v>1</v>
      </c>
      <c r="AF82">
        <v>1</v>
      </c>
      <c r="AG82">
        <v>3</v>
      </c>
      <c r="AH82">
        <v>1</v>
      </c>
      <c r="AI82">
        <v>1</v>
      </c>
      <c r="BB82" s="12"/>
    </row>
    <row r="83" spans="1:54" x14ac:dyDescent="0.2">
      <c r="A83" s="27" t="s">
        <v>111</v>
      </c>
      <c r="B83" t="s">
        <v>136</v>
      </c>
      <c r="D83">
        <v>20</v>
      </c>
      <c r="E83">
        <v>21</v>
      </c>
      <c r="F83">
        <v>19</v>
      </c>
      <c r="G83">
        <v>21</v>
      </c>
      <c r="H83">
        <v>17</v>
      </c>
      <c r="I83">
        <v>16</v>
      </c>
      <c r="Q83">
        <v>11</v>
      </c>
      <c r="R83">
        <v>13</v>
      </c>
      <c r="S83">
        <v>8</v>
      </c>
      <c r="T83">
        <v>14</v>
      </c>
      <c r="U83">
        <v>10</v>
      </c>
      <c r="V83">
        <v>7</v>
      </c>
      <c r="Z83" s="153"/>
      <c r="AB83" s="153"/>
      <c r="AD83">
        <v>17</v>
      </c>
      <c r="AE83">
        <v>12</v>
      </c>
      <c r="AF83">
        <v>10</v>
      </c>
      <c r="AG83">
        <v>10</v>
      </c>
      <c r="AH83">
        <v>10</v>
      </c>
      <c r="AI83">
        <v>10</v>
      </c>
      <c r="AR83">
        <v>1</v>
      </c>
      <c r="AS83">
        <v>1</v>
      </c>
      <c r="AT83">
        <v>1</v>
      </c>
      <c r="BB83" s="12"/>
    </row>
    <row r="84" spans="1:54" x14ac:dyDescent="0.2">
      <c r="A84" s="27" t="s">
        <v>112</v>
      </c>
      <c r="B84" t="s">
        <v>136</v>
      </c>
      <c r="D84">
        <v>30</v>
      </c>
      <c r="E84">
        <v>34</v>
      </c>
      <c r="F84">
        <v>31</v>
      </c>
      <c r="G84">
        <v>39</v>
      </c>
      <c r="H84">
        <v>32</v>
      </c>
      <c r="I84">
        <v>32</v>
      </c>
      <c r="Q84">
        <v>21</v>
      </c>
      <c r="R84">
        <v>17</v>
      </c>
      <c r="S84">
        <v>17</v>
      </c>
      <c r="T84">
        <v>19</v>
      </c>
      <c r="U84">
        <v>15</v>
      </c>
      <c r="V84">
        <v>19</v>
      </c>
      <c r="Z84" s="153"/>
      <c r="AB84" s="153"/>
      <c r="AD84">
        <v>25</v>
      </c>
      <c r="AE84">
        <v>25</v>
      </c>
      <c r="AF84">
        <v>14</v>
      </c>
      <c r="AG84">
        <v>22</v>
      </c>
      <c r="AH84">
        <v>14</v>
      </c>
      <c r="AI84">
        <v>14</v>
      </c>
      <c r="AR84">
        <v>4</v>
      </c>
      <c r="AS84">
        <v>1</v>
      </c>
      <c r="AT84">
        <v>1</v>
      </c>
      <c r="AU84">
        <v>1</v>
      </c>
      <c r="BB84" s="12"/>
    </row>
    <row r="85" spans="1:54" x14ac:dyDescent="0.2">
      <c r="A85" s="27" t="s">
        <v>113</v>
      </c>
      <c r="B85" t="s">
        <v>136</v>
      </c>
      <c r="D85">
        <v>1</v>
      </c>
      <c r="E85">
        <v>2</v>
      </c>
      <c r="F85">
        <v>2</v>
      </c>
      <c r="I85">
        <v>1</v>
      </c>
      <c r="Q85">
        <v>1</v>
      </c>
      <c r="R85">
        <v>1</v>
      </c>
      <c r="S85">
        <v>2</v>
      </c>
      <c r="Z85" s="153"/>
      <c r="AB85" s="153"/>
      <c r="AD85">
        <v>1</v>
      </c>
      <c r="AE85">
        <v>1</v>
      </c>
      <c r="AF85">
        <v>1</v>
      </c>
      <c r="AI85">
        <v>1</v>
      </c>
      <c r="BB85" s="12"/>
    </row>
    <row r="86" spans="1:54" x14ac:dyDescent="0.2">
      <c r="A86" s="27" t="s">
        <v>114</v>
      </c>
      <c r="B86" t="s">
        <v>136</v>
      </c>
      <c r="D86">
        <v>3</v>
      </c>
      <c r="E86">
        <v>3</v>
      </c>
      <c r="F86">
        <v>3</v>
      </c>
      <c r="G86">
        <v>4</v>
      </c>
      <c r="H86">
        <v>2</v>
      </c>
      <c r="I86">
        <v>1</v>
      </c>
      <c r="Q86">
        <v>1</v>
      </c>
      <c r="R86">
        <v>2</v>
      </c>
      <c r="S86">
        <v>1</v>
      </c>
      <c r="T86">
        <v>4</v>
      </c>
      <c r="U86">
        <v>1</v>
      </c>
      <c r="V86">
        <v>1</v>
      </c>
      <c r="Z86" s="153"/>
      <c r="AB86" s="153"/>
      <c r="AD86">
        <v>3</v>
      </c>
      <c r="AE86">
        <v>1</v>
      </c>
      <c r="AF86">
        <v>2</v>
      </c>
      <c r="AG86">
        <v>2</v>
      </c>
      <c r="AH86">
        <v>2</v>
      </c>
      <c r="AT86">
        <v>1</v>
      </c>
      <c r="BB86" s="12"/>
    </row>
    <row r="87" spans="1:54" x14ac:dyDescent="0.2">
      <c r="A87" s="27" t="s">
        <v>115</v>
      </c>
      <c r="B87" t="s">
        <v>136</v>
      </c>
      <c r="D87">
        <v>17</v>
      </c>
      <c r="E87">
        <v>15</v>
      </c>
      <c r="F87">
        <v>24</v>
      </c>
      <c r="G87">
        <v>8</v>
      </c>
      <c r="H87">
        <v>11</v>
      </c>
      <c r="I87">
        <v>15</v>
      </c>
      <c r="Q87">
        <v>10</v>
      </c>
      <c r="R87">
        <v>8</v>
      </c>
      <c r="S87">
        <v>20</v>
      </c>
      <c r="T87">
        <v>6</v>
      </c>
      <c r="U87">
        <v>5</v>
      </c>
      <c r="V87">
        <v>10</v>
      </c>
      <c r="Z87" s="153"/>
      <c r="AB87" s="153"/>
      <c r="AD87">
        <v>12</v>
      </c>
      <c r="AE87">
        <v>10</v>
      </c>
      <c r="AF87">
        <v>12</v>
      </c>
      <c r="AG87">
        <v>5</v>
      </c>
      <c r="AH87">
        <v>9</v>
      </c>
      <c r="AI87">
        <v>9</v>
      </c>
      <c r="AQ87">
        <v>1</v>
      </c>
      <c r="AS87">
        <v>2</v>
      </c>
      <c r="AT87">
        <v>2</v>
      </c>
      <c r="AU87">
        <v>1</v>
      </c>
      <c r="BB87" s="12"/>
    </row>
    <row r="88" spans="1:54" x14ac:dyDescent="0.2">
      <c r="A88" s="27" t="s">
        <v>116</v>
      </c>
      <c r="B88" t="s">
        <v>136</v>
      </c>
      <c r="D88">
        <v>10</v>
      </c>
      <c r="E88">
        <v>10</v>
      </c>
      <c r="F88">
        <v>15</v>
      </c>
      <c r="G88">
        <v>22</v>
      </c>
      <c r="H88">
        <v>18</v>
      </c>
      <c r="I88">
        <v>10</v>
      </c>
      <c r="Q88">
        <v>8</v>
      </c>
      <c r="R88">
        <v>5</v>
      </c>
      <c r="S88">
        <v>6</v>
      </c>
      <c r="T88">
        <v>11</v>
      </c>
      <c r="U88">
        <v>13</v>
      </c>
      <c r="V88">
        <v>6</v>
      </c>
      <c r="Z88" s="153"/>
      <c r="AB88" s="153"/>
      <c r="AD88">
        <v>7</v>
      </c>
      <c r="AE88">
        <v>8</v>
      </c>
      <c r="AF88">
        <v>10</v>
      </c>
      <c r="AG88">
        <v>14</v>
      </c>
      <c r="AH88">
        <v>7</v>
      </c>
      <c r="AI88">
        <v>5</v>
      </c>
      <c r="AQ88">
        <v>1</v>
      </c>
      <c r="AT88">
        <v>2</v>
      </c>
      <c r="BB88" s="12"/>
    </row>
    <row r="89" spans="1:54" x14ac:dyDescent="0.2">
      <c r="A89" s="27" t="s">
        <v>117</v>
      </c>
      <c r="B89" t="s">
        <v>136</v>
      </c>
      <c r="D89">
        <v>19</v>
      </c>
      <c r="E89">
        <v>19</v>
      </c>
      <c r="F89">
        <v>25</v>
      </c>
      <c r="G89">
        <v>18</v>
      </c>
      <c r="H89">
        <v>19</v>
      </c>
      <c r="I89">
        <v>27</v>
      </c>
      <c r="Q89">
        <v>9</v>
      </c>
      <c r="R89">
        <v>11</v>
      </c>
      <c r="S89">
        <v>14</v>
      </c>
      <c r="T89">
        <v>9</v>
      </c>
      <c r="U89">
        <v>11</v>
      </c>
      <c r="V89">
        <v>12</v>
      </c>
      <c r="Z89" s="153"/>
      <c r="AB89" s="153"/>
      <c r="AD89">
        <v>11</v>
      </c>
      <c r="AE89">
        <v>11</v>
      </c>
      <c r="AF89">
        <v>14</v>
      </c>
      <c r="AG89">
        <v>9</v>
      </c>
      <c r="AH89">
        <v>10</v>
      </c>
      <c r="AI89">
        <v>17</v>
      </c>
      <c r="AR89">
        <v>3</v>
      </c>
      <c r="AS89">
        <v>2</v>
      </c>
      <c r="AU89">
        <v>1</v>
      </c>
      <c r="BB89" s="12"/>
    </row>
    <row r="90" spans="1:54" x14ac:dyDescent="0.2">
      <c r="A90" s="27" t="s">
        <v>118</v>
      </c>
      <c r="B90" t="s">
        <v>136</v>
      </c>
      <c r="D90">
        <v>10</v>
      </c>
      <c r="E90">
        <v>13</v>
      </c>
      <c r="F90">
        <v>11</v>
      </c>
      <c r="G90">
        <v>7</v>
      </c>
      <c r="H90">
        <v>10</v>
      </c>
      <c r="I90">
        <v>8</v>
      </c>
      <c r="Q90">
        <v>6</v>
      </c>
      <c r="R90">
        <v>8</v>
      </c>
      <c r="S90">
        <v>10</v>
      </c>
      <c r="T90">
        <v>3</v>
      </c>
      <c r="U90">
        <v>8</v>
      </c>
      <c r="V90">
        <v>7</v>
      </c>
      <c r="Z90" s="153"/>
      <c r="AB90" s="153"/>
      <c r="AD90">
        <v>5</v>
      </c>
      <c r="AE90">
        <v>7</v>
      </c>
      <c r="AF90">
        <v>6</v>
      </c>
      <c r="AG90">
        <v>7</v>
      </c>
      <c r="AH90">
        <v>7</v>
      </c>
      <c r="AI90">
        <v>4</v>
      </c>
      <c r="AT90">
        <v>1</v>
      </c>
      <c r="BB90" s="12"/>
    </row>
    <row r="91" spans="1:54" x14ac:dyDescent="0.2">
      <c r="A91" s="27" t="s">
        <v>119</v>
      </c>
      <c r="B91" t="s">
        <v>136</v>
      </c>
      <c r="D91">
        <v>19</v>
      </c>
      <c r="E91">
        <v>30</v>
      </c>
      <c r="F91">
        <v>34</v>
      </c>
      <c r="G91">
        <v>30</v>
      </c>
      <c r="H91">
        <v>25</v>
      </c>
      <c r="I91">
        <v>23</v>
      </c>
      <c r="Q91">
        <v>11</v>
      </c>
      <c r="R91">
        <v>15</v>
      </c>
      <c r="S91">
        <v>21</v>
      </c>
      <c r="T91">
        <v>20</v>
      </c>
      <c r="U91">
        <v>15</v>
      </c>
      <c r="V91">
        <v>13</v>
      </c>
      <c r="Z91" s="153"/>
      <c r="AB91" s="153"/>
      <c r="AD91">
        <v>12</v>
      </c>
      <c r="AE91">
        <v>20</v>
      </c>
      <c r="AF91">
        <v>21</v>
      </c>
      <c r="AG91">
        <v>17</v>
      </c>
      <c r="AH91">
        <v>15</v>
      </c>
      <c r="AI91">
        <v>11</v>
      </c>
      <c r="AQ91">
        <v>1</v>
      </c>
      <c r="AS91">
        <v>2</v>
      </c>
      <c r="AT91">
        <v>3</v>
      </c>
      <c r="BB91" s="12"/>
    </row>
    <row r="92" spans="1:54" x14ac:dyDescent="0.2">
      <c r="A92" s="27" t="s">
        <v>120</v>
      </c>
      <c r="B92" t="s">
        <v>136</v>
      </c>
      <c r="D92">
        <v>8</v>
      </c>
      <c r="E92">
        <v>8</v>
      </c>
      <c r="F92">
        <v>9</v>
      </c>
      <c r="G92">
        <v>15</v>
      </c>
      <c r="H92">
        <v>8</v>
      </c>
      <c r="I92">
        <v>8</v>
      </c>
      <c r="Q92">
        <v>3</v>
      </c>
      <c r="R92">
        <v>4</v>
      </c>
      <c r="S92">
        <v>3</v>
      </c>
      <c r="T92">
        <v>11</v>
      </c>
      <c r="U92">
        <v>4</v>
      </c>
      <c r="V92">
        <v>6</v>
      </c>
      <c r="Z92" s="153"/>
      <c r="AB92" s="153"/>
      <c r="AD92">
        <v>4</v>
      </c>
      <c r="AE92">
        <v>3</v>
      </c>
      <c r="AF92">
        <v>5</v>
      </c>
      <c r="AG92">
        <v>10</v>
      </c>
      <c r="AH92">
        <v>3</v>
      </c>
      <c r="AI92">
        <v>4</v>
      </c>
      <c r="AQ92">
        <v>1</v>
      </c>
      <c r="AT92">
        <v>2</v>
      </c>
      <c r="AU92">
        <v>1</v>
      </c>
      <c r="BB92" s="12"/>
    </row>
    <row r="93" spans="1:54" x14ac:dyDescent="0.2">
      <c r="A93" s="27" t="s">
        <v>121</v>
      </c>
      <c r="B93" t="s">
        <v>136</v>
      </c>
      <c r="D93">
        <v>13</v>
      </c>
      <c r="E93">
        <v>18</v>
      </c>
      <c r="F93">
        <v>32</v>
      </c>
      <c r="G93">
        <v>27</v>
      </c>
      <c r="H93">
        <v>25</v>
      </c>
      <c r="I93">
        <v>23</v>
      </c>
      <c r="Q93">
        <v>3</v>
      </c>
      <c r="R93">
        <v>8</v>
      </c>
      <c r="S93">
        <v>17</v>
      </c>
      <c r="T93">
        <v>15</v>
      </c>
      <c r="U93">
        <v>14</v>
      </c>
      <c r="V93">
        <v>9</v>
      </c>
      <c r="Z93" s="153"/>
      <c r="AB93" s="153"/>
      <c r="AD93">
        <v>6</v>
      </c>
      <c r="AE93">
        <v>7</v>
      </c>
      <c r="AF93">
        <v>22</v>
      </c>
      <c r="AG93">
        <v>16</v>
      </c>
      <c r="AH93">
        <v>11</v>
      </c>
      <c r="AI93">
        <v>12</v>
      </c>
      <c r="AQ93">
        <v>1</v>
      </c>
      <c r="AS93">
        <v>1</v>
      </c>
      <c r="AT93">
        <v>2</v>
      </c>
      <c r="AU93">
        <v>1</v>
      </c>
      <c r="BB93" s="12"/>
    </row>
    <row r="94" spans="1:54" x14ac:dyDescent="0.2">
      <c r="A94" s="59" t="s">
        <v>122</v>
      </c>
      <c r="B94" t="s">
        <v>136</v>
      </c>
      <c r="D94">
        <v>9</v>
      </c>
      <c r="E94">
        <v>16</v>
      </c>
      <c r="F94">
        <v>22</v>
      </c>
      <c r="G94">
        <v>8</v>
      </c>
      <c r="H94">
        <v>8</v>
      </c>
      <c r="I94">
        <v>5</v>
      </c>
      <c r="Q94">
        <v>6</v>
      </c>
      <c r="R94">
        <v>4</v>
      </c>
      <c r="S94">
        <v>17</v>
      </c>
      <c r="T94">
        <v>5</v>
      </c>
      <c r="U94">
        <v>6</v>
      </c>
      <c r="V94">
        <v>2</v>
      </c>
      <c r="Z94" s="153"/>
      <c r="AB94" s="153"/>
      <c r="AD94">
        <v>5</v>
      </c>
      <c r="AE94">
        <v>14</v>
      </c>
      <c r="AF94">
        <v>9</v>
      </c>
      <c r="AG94">
        <v>5</v>
      </c>
      <c r="AH94">
        <v>3</v>
      </c>
      <c r="AI94">
        <v>4</v>
      </c>
      <c r="AR94">
        <v>1</v>
      </c>
      <c r="AT94">
        <v>3</v>
      </c>
      <c r="BB94" s="12"/>
    </row>
    <row r="95" spans="1:54" x14ac:dyDescent="0.2">
      <c r="A95" s="27" t="s">
        <v>123</v>
      </c>
      <c r="B95" t="s">
        <v>136</v>
      </c>
      <c r="D95">
        <v>1</v>
      </c>
      <c r="E95">
        <v>1</v>
      </c>
      <c r="R95">
        <v>1</v>
      </c>
      <c r="Z95" s="153"/>
      <c r="AB95" s="153"/>
      <c r="AD95">
        <v>1</v>
      </c>
      <c r="BB95" s="12"/>
    </row>
    <row r="96" spans="1:54" x14ac:dyDescent="0.2">
      <c r="A96" s="27" t="s">
        <v>124</v>
      </c>
      <c r="B96" t="s">
        <v>136</v>
      </c>
      <c r="Z96" s="153"/>
      <c r="AB96" s="153"/>
      <c r="BB96" s="12"/>
    </row>
    <row r="97" spans="1:54" x14ac:dyDescent="0.2">
      <c r="A97" s="27" t="s">
        <v>125</v>
      </c>
      <c r="B97" t="s">
        <v>136</v>
      </c>
      <c r="D97">
        <v>6</v>
      </c>
      <c r="E97">
        <v>5</v>
      </c>
      <c r="F97">
        <v>7</v>
      </c>
      <c r="G97">
        <v>10</v>
      </c>
      <c r="H97">
        <v>7</v>
      </c>
      <c r="I97">
        <v>5</v>
      </c>
      <c r="Q97">
        <v>4</v>
      </c>
      <c r="R97">
        <v>4</v>
      </c>
      <c r="S97">
        <v>3</v>
      </c>
      <c r="T97">
        <v>7</v>
      </c>
      <c r="U97">
        <v>4</v>
      </c>
      <c r="V97">
        <v>4</v>
      </c>
      <c r="Z97" s="153"/>
      <c r="AB97" s="153"/>
      <c r="AD97">
        <v>3</v>
      </c>
      <c r="AE97">
        <v>3</v>
      </c>
      <c r="AF97">
        <v>6</v>
      </c>
      <c r="AG97">
        <v>6</v>
      </c>
      <c r="AH97">
        <v>4</v>
      </c>
      <c r="AI97">
        <v>2</v>
      </c>
      <c r="AQ97">
        <v>1</v>
      </c>
      <c r="AT97">
        <v>2</v>
      </c>
      <c r="BB97" s="12"/>
    </row>
    <row r="98" spans="1:54" x14ac:dyDescent="0.2">
      <c r="A98" s="27" t="s">
        <v>126</v>
      </c>
      <c r="B98" t="s">
        <v>136</v>
      </c>
      <c r="D98">
        <v>9</v>
      </c>
      <c r="E98">
        <v>3</v>
      </c>
      <c r="F98">
        <v>4</v>
      </c>
      <c r="G98">
        <v>8</v>
      </c>
      <c r="H98">
        <v>7</v>
      </c>
      <c r="I98">
        <v>3</v>
      </c>
      <c r="Q98">
        <v>7</v>
      </c>
      <c r="R98">
        <v>3</v>
      </c>
      <c r="S98">
        <v>1</v>
      </c>
      <c r="T98">
        <v>6</v>
      </c>
      <c r="U98">
        <v>5</v>
      </c>
      <c r="V98">
        <v>2</v>
      </c>
      <c r="Z98" s="153"/>
      <c r="AB98" s="153"/>
      <c r="AD98">
        <v>8</v>
      </c>
      <c r="AE98">
        <v>1</v>
      </c>
      <c r="AF98">
        <v>4</v>
      </c>
      <c r="AG98">
        <v>5</v>
      </c>
      <c r="AH98">
        <v>4</v>
      </c>
      <c r="AI98">
        <v>1</v>
      </c>
      <c r="AQ98">
        <v>1</v>
      </c>
      <c r="AR98">
        <v>1</v>
      </c>
      <c r="AT98">
        <v>3</v>
      </c>
      <c r="BB98" s="12"/>
    </row>
    <row r="99" spans="1:54" x14ac:dyDescent="0.2">
      <c r="A99" s="27">
        <v>99228</v>
      </c>
      <c r="B99" t="s">
        <v>136</v>
      </c>
      <c r="Z99" s="153"/>
      <c r="AB99" s="153"/>
      <c r="BB99" s="12"/>
    </row>
    <row r="100" spans="1:54" x14ac:dyDescent="0.2">
      <c r="A100" s="27" t="s">
        <v>127</v>
      </c>
      <c r="B100" t="s">
        <v>136</v>
      </c>
      <c r="Z100" s="153"/>
      <c r="AB100" s="153"/>
      <c r="BB100" s="12"/>
    </row>
    <row r="101" spans="1:54" x14ac:dyDescent="0.2">
      <c r="A101" s="27" t="s">
        <v>128</v>
      </c>
      <c r="B101" t="s">
        <v>136</v>
      </c>
      <c r="Z101" s="153"/>
      <c r="AB101" s="153"/>
      <c r="BB101" s="12"/>
    </row>
    <row r="102" spans="1:54" x14ac:dyDescent="0.2">
      <c r="A102" s="27" t="s">
        <v>129</v>
      </c>
      <c r="B102" t="s">
        <v>136</v>
      </c>
      <c r="Z102" s="153"/>
      <c r="AB102" s="153"/>
      <c r="BB102" s="12"/>
    </row>
    <row r="103" spans="1:54" x14ac:dyDescent="0.2">
      <c r="A103" s="27" t="s">
        <v>130</v>
      </c>
      <c r="B103" t="s">
        <v>136</v>
      </c>
      <c r="F103">
        <v>1</v>
      </c>
      <c r="G103">
        <v>1</v>
      </c>
      <c r="I103">
        <v>1</v>
      </c>
      <c r="T103">
        <v>1</v>
      </c>
      <c r="Z103" s="153"/>
      <c r="AB103" s="153"/>
      <c r="AF103">
        <v>1</v>
      </c>
      <c r="AI103">
        <v>1</v>
      </c>
      <c r="BB103" s="12"/>
    </row>
    <row r="104" spans="1:54" x14ac:dyDescent="0.2">
      <c r="A104" s="27" t="s">
        <v>131</v>
      </c>
      <c r="B104" t="s">
        <v>136</v>
      </c>
      <c r="D104">
        <v>6</v>
      </c>
      <c r="E104">
        <v>5</v>
      </c>
      <c r="F104">
        <v>11</v>
      </c>
      <c r="G104">
        <v>7</v>
      </c>
      <c r="H104">
        <v>3</v>
      </c>
      <c r="I104">
        <v>5</v>
      </c>
      <c r="Q104">
        <v>5</v>
      </c>
      <c r="R104">
        <v>1</v>
      </c>
      <c r="S104">
        <v>5</v>
      </c>
      <c r="T104">
        <v>7</v>
      </c>
      <c r="U104">
        <v>2</v>
      </c>
      <c r="V104">
        <v>5</v>
      </c>
      <c r="Z104" s="153"/>
      <c r="AB104" s="153"/>
      <c r="AD104">
        <v>3</v>
      </c>
      <c r="AE104">
        <v>4</v>
      </c>
      <c r="AF104">
        <v>7</v>
      </c>
      <c r="AG104">
        <v>2</v>
      </c>
      <c r="AH104">
        <v>2</v>
      </c>
      <c r="AI104">
        <v>4</v>
      </c>
      <c r="AR104">
        <v>1</v>
      </c>
      <c r="AS104">
        <v>1</v>
      </c>
      <c r="BB104" s="12"/>
    </row>
    <row r="105" spans="1:54" x14ac:dyDescent="0.2">
      <c r="A105" s="27" t="s">
        <v>132</v>
      </c>
      <c r="B105" t="s">
        <v>136</v>
      </c>
      <c r="D105">
        <v>1</v>
      </c>
      <c r="E105">
        <v>1</v>
      </c>
      <c r="Q105">
        <v>1</v>
      </c>
      <c r="R105">
        <v>1</v>
      </c>
      <c r="Z105" s="153"/>
      <c r="AB105" s="153"/>
      <c r="AE105">
        <v>1</v>
      </c>
      <c r="BB105" s="12"/>
    </row>
    <row r="106" spans="1:54" x14ac:dyDescent="0.2">
      <c r="A106" s="27" t="s">
        <v>133</v>
      </c>
      <c r="B106" t="s">
        <v>136</v>
      </c>
      <c r="D106">
        <v>1</v>
      </c>
      <c r="E106">
        <v>1</v>
      </c>
      <c r="R106">
        <v>1</v>
      </c>
      <c r="Z106" s="153"/>
      <c r="AB106" s="153"/>
      <c r="AD106">
        <v>1</v>
      </c>
      <c r="BB106" s="12"/>
    </row>
    <row r="107" spans="1:54" ht="16" thickBot="1" x14ac:dyDescent="0.25">
      <c r="A107" s="28" t="s">
        <v>134</v>
      </c>
      <c r="B107" s="13" t="s">
        <v>136</v>
      </c>
      <c r="C107" s="29"/>
      <c r="D107" s="13">
        <v>8</v>
      </c>
      <c r="E107" s="13">
        <v>7</v>
      </c>
      <c r="F107" s="13">
        <v>7</v>
      </c>
      <c r="G107" s="13">
        <v>9</v>
      </c>
      <c r="H107" s="13">
        <v>9</v>
      </c>
      <c r="I107" s="13">
        <v>8</v>
      </c>
      <c r="J107" s="13"/>
      <c r="K107" s="13"/>
      <c r="L107" s="13"/>
      <c r="M107" s="13"/>
      <c r="N107" s="13"/>
      <c r="O107" s="13"/>
      <c r="P107" s="29"/>
      <c r="Q107" s="13">
        <v>6</v>
      </c>
      <c r="R107" s="13">
        <v>4</v>
      </c>
      <c r="S107" s="13">
        <v>2</v>
      </c>
      <c r="T107" s="13">
        <v>5</v>
      </c>
      <c r="U107" s="13">
        <v>4</v>
      </c>
      <c r="V107" s="13">
        <v>6</v>
      </c>
      <c r="W107" s="13"/>
      <c r="X107" s="13"/>
      <c r="Y107" s="13"/>
      <c r="Z107" s="213"/>
      <c r="AA107" s="13"/>
      <c r="AB107" s="213"/>
      <c r="AC107" s="29"/>
      <c r="AD107" s="13">
        <v>7</v>
      </c>
      <c r="AE107" s="13">
        <v>4</v>
      </c>
      <c r="AF107" s="13">
        <v>4</v>
      </c>
      <c r="AG107">
        <v>5</v>
      </c>
      <c r="AH107" s="13">
        <v>5</v>
      </c>
      <c r="AI107" s="13">
        <v>2</v>
      </c>
      <c r="AJ107" s="13"/>
      <c r="AK107" s="13"/>
      <c r="AL107" s="13"/>
      <c r="AM107" s="13"/>
      <c r="AN107" s="13"/>
      <c r="AO107" s="13"/>
      <c r="AP107" s="29"/>
      <c r="AQ107" s="13">
        <v>1</v>
      </c>
      <c r="AR107" s="13">
        <v>1</v>
      </c>
      <c r="AS107" s="13"/>
      <c r="AT107" s="13">
        <v>1</v>
      </c>
      <c r="AU107" s="13">
        <v>2</v>
      </c>
      <c r="AV107" s="13"/>
      <c r="AW107" s="13"/>
      <c r="AX107" s="13"/>
      <c r="AY107" s="13"/>
      <c r="AZ107" s="13"/>
      <c r="BA107" s="13"/>
      <c r="BB107" s="14"/>
    </row>
    <row r="108" spans="1:54" ht="16" thickBot="1" x14ac:dyDescent="0.25">
      <c r="A108" s="304" t="s">
        <v>257</v>
      </c>
      <c r="B108" s="305"/>
      <c r="D108">
        <f>SUM(D3:D107)</f>
        <v>262</v>
      </c>
      <c r="E108">
        <f t="shared" ref="E108:BB108" si="0">SUM(E3:E107)</f>
        <v>296</v>
      </c>
      <c r="F108">
        <f t="shared" si="0"/>
        <v>356</v>
      </c>
      <c r="G108">
        <f t="shared" si="0"/>
        <v>318</v>
      </c>
      <c r="H108">
        <f t="shared" si="0"/>
        <v>284</v>
      </c>
      <c r="I108">
        <f t="shared" si="0"/>
        <v>261</v>
      </c>
      <c r="J108">
        <f t="shared" si="0"/>
        <v>0</v>
      </c>
      <c r="K108">
        <f t="shared" si="0"/>
        <v>0</v>
      </c>
      <c r="L108" s="13">
        <f t="shared" si="0"/>
        <v>0</v>
      </c>
      <c r="M108">
        <f t="shared" si="0"/>
        <v>0</v>
      </c>
      <c r="N108">
        <f t="shared" si="0"/>
        <v>0</v>
      </c>
      <c r="O108">
        <f t="shared" si="0"/>
        <v>0</v>
      </c>
      <c r="P108" s="121"/>
      <c r="Q108">
        <f>SUM(Q3:Q107)</f>
        <v>154</v>
      </c>
      <c r="R108">
        <f>SUM(R3:R107)</f>
        <v>153</v>
      </c>
      <c r="S108">
        <f>SUM(S3:S107)</f>
        <v>207</v>
      </c>
      <c r="T108">
        <f t="shared" si="0"/>
        <v>194</v>
      </c>
      <c r="U108">
        <f t="shared" si="0"/>
        <v>165</v>
      </c>
      <c r="V108">
        <f t="shared" si="0"/>
        <v>154</v>
      </c>
      <c r="W108">
        <f t="shared" si="0"/>
        <v>0</v>
      </c>
      <c r="X108">
        <f t="shared" si="0"/>
        <v>0</v>
      </c>
      <c r="Y108">
        <f t="shared" si="0"/>
        <v>0</v>
      </c>
      <c r="Z108" s="13">
        <f t="shared" si="0"/>
        <v>0</v>
      </c>
      <c r="AA108" s="13">
        <f t="shared" si="0"/>
        <v>0</v>
      </c>
      <c r="AB108" s="13">
        <f t="shared" si="0"/>
        <v>0</v>
      </c>
      <c r="AC108" s="121"/>
      <c r="AD108">
        <f t="shared" si="0"/>
        <v>185</v>
      </c>
      <c r="AE108">
        <f t="shared" si="0"/>
        <v>188</v>
      </c>
      <c r="AF108">
        <f t="shared" si="0"/>
        <v>202</v>
      </c>
      <c r="AG108">
        <f t="shared" si="0"/>
        <v>183</v>
      </c>
      <c r="AH108">
        <f t="shared" si="0"/>
        <v>154</v>
      </c>
      <c r="AI108">
        <f t="shared" si="0"/>
        <v>135</v>
      </c>
      <c r="AJ108">
        <f t="shared" si="0"/>
        <v>0</v>
      </c>
      <c r="AK108">
        <f t="shared" si="0"/>
        <v>0</v>
      </c>
      <c r="AL108">
        <f t="shared" si="0"/>
        <v>0</v>
      </c>
      <c r="AM108">
        <f t="shared" si="0"/>
        <v>0</v>
      </c>
      <c r="AN108">
        <f t="shared" si="0"/>
        <v>0</v>
      </c>
      <c r="AO108">
        <f t="shared" si="0"/>
        <v>0</v>
      </c>
      <c r="AP108" s="121"/>
      <c r="AQ108">
        <f t="shared" si="0"/>
        <v>9</v>
      </c>
      <c r="AR108">
        <f t="shared" si="0"/>
        <v>17</v>
      </c>
      <c r="AS108">
        <f t="shared" si="0"/>
        <v>14</v>
      </c>
      <c r="AT108" s="62">
        <f t="shared" si="0"/>
        <v>32</v>
      </c>
      <c r="AU108" s="62">
        <f t="shared" si="0"/>
        <v>8</v>
      </c>
      <c r="AV108" s="62">
        <f t="shared" si="0"/>
        <v>0</v>
      </c>
      <c r="AW108">
        <f t="shared" si="0"/>
        <v>0</v>
      </c>
      <c r="AX108">
        <f t="shared" si="0"/>
        <v>0</v>
      </c>
      <c r="AY108">
        <f t="shared" si="0"/>
        <v>0</v>
      </c>
      <c r="AZ108">
        <f t="shared" si="0"/>
        <v>0</v>
      </c>
      <c r="BA108">
        <f t="shared" si="0"/>
        <v>0</v>
      </c>
      <c r="BB108">
        <f t="shared" si="0"/>
        <v>0</v>
      </c>
    </row>
    <row r="109" spans="1:54" x14ac:dyDescent="0.2">
      <c r="A109" s="20" t="s">
        <v>31</v>
      </c>
      <c r="B109" s="21" t="s">
        <v>137</v>
      </c>
      <c r="C109" s="22"/>
      <c r="D109" s="21">
        <v>13</v>
      </c>
      <c r="E109" s="21">
        <v>18</v>
      </c>
      <c r="F109" s="21">
        <v>14</v>
      </c>
      <c r="G109" s="21">
        <v>13</v>
      </c>
      <c r="H109" s="21">
        <v>13</v>
      </c>
      <c r="I109" s="21">
        <v>8</v>
      </c>
      <c r="J109" s="21"/>
      <c r="K109" s="21"/>
      <c r="M109" s="21"/>
      <c r="N109" s="21"/>
      <c r="O109" s="21"/>
      <c r="P109" s="22"/>
      <c r="Q109" s="21">
        <v>2</v>
      </c>
      <c r="R109" s="21">
        <v>13</v>
      </c>
      <c r="S109" s="58">
        <v>9</v>
      </c>
      <c r="T109" s="58">
        <v>7</v>
      </c>
      <c r="U109" s="58">
        <v>9</v>
      </c>
      <c r="V109" s="58">
        <v>5</v>
      </c>
      <c r="W109" s="58"/>
      <c r="X109" s="58"/>
      <c r="Y109" s="58"/>
      <c r="Z109" s="21"/>
      <c r="AA109" s="21"/>
      <c r="AB109" s="21"/>
      <c r="AC109" s="22"/>
      <c r="AD109" s="21">
        <v>10</v>
      </c>
      <c r="AE109" s="21">
        <v>8</v>
      </c>
      <c r="AF109" s="58">
        <v>9</v>
      </c>
      <c r="AG109" s="58">
        <v>9</v>
      </c>
      <c r="AH109" s="58">
        <v>6</v>
      </c>
      <c r="AI109" s="58">
        <v>3</v>
      </c>
      <c r="AJ109" s="58"/>
      <c r="AK109" s="58"/>
      <c r="AL109" s="21"/>
      <c r="AM109" s="21"/>
      <c r="AN109" s="21"/>
      <c r="AO109" s="21"/>
      <c r="AP109" s="22"/>
      <c r="AQ109" s="21">
        <v>1</v>
      </c>
      <c r="AR109" s="21">
        <v>1</v>
      </c>
      <c r="AS109" s="58"/>
      <c r="AW109" s="58"/>
      <c r="AX109" s="58"/>
      <c r="AY109" s="58"/>
      <c r="AZ109" s="58"/>
      <c r="BA109" s="58"/>
      <c r="BB109" s="38"/>
    </row>
    <row r="110" spans="1:54" x14ac:dyDescent="0.2">
      <c r="A110" s="27" t="s">
        <v>32</v>
      </c>
      <c r="B110" t="s">
        <v>137</v>
      </c>
      <c r="D110">
        <v>2</v>
      </c>
      <c r="E110">
        <v>5</v>
      </c>
      <c r="F110">
        <v>6</v>
      </c>
      <c r="G110">
        <v>6</v>
      </c>
      <c r="H110">
        <v>6</v>
      </c>
      <c r="I110">
        <v>3</v>
      </c>
      <c r="Q110">
        <v>1</v>
      </c>
      <c r="R110">
        <v>3</v>
      </c>
      <c r="S110">
        <v>2</v>
      </c>
      <c r="T110">
        <v>3</v>
      </c>
      <c r="U110">
        <v>4</v>
      </c>
      <c r="V110">
        <v>2</v>
      </c>
      <c r="AD110">
        <v>1</v>
      </c>
      <c r="AE110">
        <v>3</v>
      </c>
      <c r="AF110">
        <v>4</v>
      </c>
      <c r="AG110">
        <v>2</v>
      </c>
      <c r="AH110">
        <v>3</v>
      </c>
      <c r="AI110">
        <v>1</v>
      </c>
      <c r="BB110" s="12"/>
    </row>
    <row r="111" spans="1:54" x14ac:dyDescent="0.2">
      <c r="A111" s="27" t="s">
        <v>33</v>
      </c>
      <c r="B111" t="s">
        <v>137</v>
      </c>
      <c r="BB111" s="12"/>
    </row>
    <row r="112" spans="1:54" x14ac:dyDescent="0.2">
      <c r="A112" s="27" t="s">
        <v>34</v>
      </c>
      <c r="B112" t="s">
        <v>137</v>
      </c>
      <c r="D112">
        <v>51</v>
      </c>
      <c r="E112">
        <v>51</v>
      </c>
      <c r="F112">
        <v>78</v>
      </c>
      <c r="G112">
        <v>69</v>
      </c>
      <c r="H112">
        <v>70</v>
      </c>
      <c r="I112">
        <v>72</v>
      </c>
      <c r="Q112">
        <v>27</v>
      </c>
      <c r="R112">
        <v>21</v>
      </c>
      <c r="S112">
        <v>38</v>
      </c>
      <c r="T112">
        <v>32</v>
      </c>
      <c r="U112">
        <v>35</v>
      </c>
      <c r="V112">
        <v>33</v>
      </c>
      <c r="AD112">
        <v>29</v>
      </c>
      <c r="AE112">
        <v>25</v>
      </c>
      <c r="AF112">
        <v>41</v>
      </c>
      <c r="AG112">
        <v>37</v>
      </c>
      <c r="AH112">
        <v>33</v>
      </c>
      <c r="AI112">
        <v>31</v>
      </c>
      <c r="AR112">
        <v>2</v>
      </c>
      <c r="AS112">
        <v>3</v>
      </c>
      <c r="BB112" s="12"/>
    </row>
    <row r="113" spans="1:54" x14ac:dyDescent="0.2">
      <c r="A113" s="27" t="s">
        <v>35</v>
      </c>
      <c r="B113" t="s">
        <v>137</v>
      </c>
      <c r="D113">
        <v>9</v>
      </c>
      <c r="E113">
        <v>18</v>
      </c>
      <c r="F113">
        <v>25</v>
      </c>
      <c r="G113">
        <v>23</v>
      </c>
      <c r="H113">
        <v>23</v>
      </c>
      <c r="I113">
        <v>23</v>
      </c>
      <c r="Q113">
        <v>4</v>
      </c>
      <c r="R113">
        <v>7</v>
      </c>
      <c r="S113">
        <v>12</v>
      </c>
      <c r="T113">
        <v>9</v>
      </c>
      <c r="U113">
        <v>11</v>
      </c>
      <c r="V113">
        <v>12</v>
      </c>
      <c r="AD113">
        <v>5</v>
      </c>
      <c r="AE113">
        <v>13</v>
      </c>
      <c r="AF113">
        <v>15</v>
      </c>
      <c r="AG113">
        <v>11</v>
      </c>
      <c r="AH113">
        <v>9</v>
      </c>
      <c r="AI113">
        <v>9</v>
      </c>
      <c r="AR113">
        <v>1</v>
      </c>
      <c r="BB113" s="12"/>
    </row>
    <row r="114" spans="1:54" x14ac:dyDescent="0.2">
      <c r="A114" s="27" t="s">
        <v>36</v>
      </c>
      <c r="B114" t="s">
        <v>137</v>
      </c>
      <c r="D114">
        <v>42</v>
      </c>
      <c r="E114">
        <v>51</v>
      </c>
      <c r="F114">
        <v>77</v>
      </c>
      <c r="G114">
        <v>69</v>
      </c>
      <c r="H114">
        <v>54</v>
      </c>
      <c r="I114">
        <v>40</v>
      </c>
      <c r="Q114">
        <v>22</v>
      </c>
      <c r="R114">
        <v>14</v>
      </c>
      <c r="S114">
        <v>32</v>
      </c>
      <c r="T114">
        <v>39</v>
      </c>
      <c r="U114">
        <v>31</v>
      </c>
      <c r="V114">
        <v>12</v>
      </c>
      <c r="AD114">
        <v>28</v>
      </c>
      <c r="AE114">
        <v>31</v>
      </c>
      <c r="AF114">
        <v>40</v>
      </c>
      <c r="AG114">
        <v>32</v>
      </c>
      <c r="AH114">
        <v>22</v>
      </c>
      <c r="AI114">
        <v>14</v>
      </c>
      <c r="AR114">
        <v>4</v>
      </c>
      <c r="AT114">
        <v>1</v>
      </c>
      <c r="BB114" s="12"/>
    </row>
    <row r="115" spans="1:54" x14ac:dyDescent="0.2">
      <c r="A115" s="27" t="s">
        <v>37</v>
      </c>
      <c r="B115" t="s">
        <v>137</v>
      </c>
      <c r="D115">
        <v>40</v>
      </c>
      <c r="E115">
        <v>41</v>
      </c>
      <c r="F115">
        <v>60</v>
      </c>
      <c r="G115">
        <v>49</v>
      </c>
      <c r="H115">
        <v>41</v>
      </c>
      <c r="I115">
        <v>33</v>
      </c>
      <c r="Q115">
        <v>25</v>
      </c>
      <c r="R115">
        <v>19</v>
      </c>
      <c r="S115">
        <v>28</v>
      </c>
      <c r="T115">
        <v>27</v>
      </c>
      <c r="U115">
        <v>21</v>
      </c>
      <c r="V115">
        <v>11</v>
      </c>
      <c r="AD115">
        <v>22</v>
      </c>
      <c r="AE115">
        <v>24</v>
      </c>
      <c r="AF115">
        <v>36</v>
      </c>
      <c r="AG115">
        <v>20</v>
      </c>
      <c r="AH115">
        <v>20</v>
      </c>
      <c r="AI115">
        <v>10</v>
      </c>
      <c r="AR115">
        <v>2</v>
      </c>
      <c r="BB115" s="12"/>
    </row>
    <row r="116" spans="1:54" x14ac:dyDescent="0.2">
      <c r="A116" s="27" t="s">
        <v>38</v>
      </c>
      <c r="B116" t="s">
        <v>137</v>
      </c>
      <c r="D116">
        <v>55</v>
      </c>
      <c r="E116">
        <v>60</v>
      </c>
      <c r="F116">
        <v>71</v>
      </c>
      <c r="G116">
        <v>85</v>
      </c>
      <c r="H116">
        <v>70</v>
      </c>
      <c r="I116">
        <v>57</v>
      </c>
      <c r="Q116">
        <v>32</v>
      </c>
      <c r="R116">
        <v>34</v>
      </c>
      <c r="S116">
        <v>26</v>
      </c>
      <c r="T116">
        <v>42</v>
      </c>
      <c r="U116">
        <v>35</v>
      </c>
      <c r="V116">
        <v>23</v>
      </c>
      <c r="AD116">
        <v>30</v>
      </c>
      <c r="AE116">
        <v>34</v>
      </c>
      <c r="AF116">
        <v>44</v>
      </c>
      <c r="AG116">
        <v>41</v>
      </c>
      <c r="AH116">
        <v>30</v>
      </c>
      <c r="AI116">
        <v>18</v>
      </c>
      <c r="AR116">
        <v>2</v>
      </c>
      <c r="AS116">
        <v>1</v>
      </c>
      <c r="AT116">
        <v>1</v>
      </c>
      <c r="BB116" s="12"/>
    </row>
    <row r="117" spans="1:54" x14ac:dyDescent="0.2">
      <c r="A117" s="27" t="s">
        <v>39</v>
      </c>
      <c r="B117" t="s">
        <v>137</v>
      </c>
      <c r="D117">
        <v>7</v>
      </c>
      <c r="F117">
        <v>3</v>
      </c>
      <c r="G117">
        <v>5</v>
      </c>
      <c r="H117">
        <v>3</v>
      </c>
      <c r="I117">
        <v>3</v>
      </c>
      <c r="Q117">
        <v>6</v>
      </c>
      <c r="S117">
        <v>1</v>
      </c>
      <c r="T117">
        <v>2</v>
      </c>
      <c r="U117">
        <v>1</v>
      </c>
      <c r="AD117">
        <v>5</v>
      </c>
      <c r="AF117">
        <v>2</v>
      </c>
      <c r="AG117">
        <v>2</v>
      </c>
      <c r="AH117">
        <v>1</v>
      </c>
      <c r="AI117">
        <v>1</v>
      </c>
      <c r="BB117" s="12"/>
    </row>
    <row r="118" spans="1:54" x14ac:dyDescent="0.2">
      <c r="A118" s="27" t="s">
        <v>40</v>
      </c>
      <c r="B118" t="s">
        <v>137</v>
      </c>
      <c r="D118">
        <v>14</v>
      </c>
      <c r="E118">
        <v>18</v>
      </c>
      <c r="F118">
        <v>18</v>
      </c>
      <c r="G118">
        <v>20</v>
      </c>
      <c r="H118">
        <v>13</v>
      </c>
      <c r="I118">
        <v>13</v>
      </c>
      <c r="Q118">
        <v>7</v>
      </c>
      <c r="R118">
        <v>7</v>
      </c>
      <c r="S118">
        <v>7</v>
      </c>
      <c r="T118">
        <v>12</v>
      </c>
      <c r="U118">
        <v>5</v>
      </c>
      <c r="V118">
        <v>4</v>
      </c>
      <c r="AD118">
        <v>8</v>
      </c>
      <c r="AE118">
        <v>11</v>
      </c>
      <c r="AF118">
        <v>6</v>
      </c>
      <c r="AG118">
        <v>8</v>
      </c>
      <c r="AH118">
        <v>6</v>
      </c>
      <c r="AI118">
        <v>5</v>
      </c>
      <c r="AR118">
        <v>1</v>
      </c>
      <c r="AS118">
        <v>1</v>
      </c>
      <c r="BB118" s="12"/>
    </row>
    <row r="119" spans="1:54" x14ac:dyDescent="0.2">
      <c r="A119" s="27" t="s">
        <v>41</v>
      </c>
      <c r="B119" t="s">
        <v>137</v>
      </c>
      <c r="BB119" s="12"/>
    </row>
    <row r="120" spans="1:54" x14ac:dyDescent="0.2">
      <c r="A120" s="27" t="s">
        <v>42</v>
      </c>
      <c r="B120" t="s">
        <v>137</v>
      </c>
      <c r="D120">
        <v>12</v>
      </c>
      <c r="E120">
        <v>11</v>
      </c>
      <c r="F120">
        <v>13</v>
      </c>
      <c r="G120">
        <v>7</v>
      </c>
      <c r="H120">
        <v>9</v>
      </c>
      <c r="I120">
        <v>11</v>
      </c>
      <c r="Q120">
        <v>2</v>
      </c>
      <c r="R120">
        <v>7</v>
      </c>
      <c r="S120">
        <v>7</v>
      </c>
      <c r="U120">
        <v>1</v>
      </c>
      <c r="V120">
        <v>2</v>
      </c>
      <c r="AD120">
        <v>9</v>
      </c>
      <c r="AE120">
        <v>2</v>
      </c>
      <c r="AF120">
        <v>6</v>
      </c>
      <c r="AG120">
        <v>1</v>
      </c>
      <c r="AH120">
        <v>3</v>
      </c>
      <c r="AI120">
        <v>2</v>
      </c>
      <c r="BB120" s="12"/>
    </row>
    <row r="121" spans="1:54" x14ac:dyDescent="0.2">
      <c r="A121" s="27" t="s">
        <v>43</v>
      </c>
      <c r="B121" t="s">
        <v>137</v>
      </c>
      <c r="D121">
        <v>22</v>
      </c>
      <c r="E121">
        <v>31</v>
      </c>
      <c r="F121">
        <v>33</v>
      </c>
      <c r="G121">
        <v>33</v>
      </c>
      <c r="H121">
        <v>35</v>
      </c>
      <c r="I121">
        <v>31</v>
      </c>
      <c r="Q121">
        <v>13</v>
      </c>
      <c r="R121">
        <v>11</v>
      </c>
      <c r="S121">
        <v>19</v>
      </c>
      <c r="T121">
        <v>14</v>
      </c>
      <c r="U121">
        <v>17</v>
      </c>
      <c r="V121">
        <v>10</v>
      </c>
      <c r="AD121">
        <v>17</v>
      </c>
      <c r="AE121">
        <v>22</v>
      </c>
      <c r="AF121">
        <v>11</v>
      </c>
      <c r="AG121">
        <v>19</v>
      </c>
      <c r="AH121">
        <v>16</v>
      </c>
      <c r="AI121">
        <v>12</v>
      </c>
      <c r="AQ121">
        <v>1</v>
      </c>
      <c r="AR121">
        <v>2</v>
      </c>
      <c r="AS121">
        <v>2</v>
      </c>
      <c r="AV121">
        <v>1</v>
      </c>
      <c r="BB121" s="12"/>
    </row>
    <row r="122" spans="1:54" x14ac:dyDescent="0.2">
      <c r="A122" s="27" t="s">
        <v>44</v>
      </c>
      <c r="B122" t="s">
        <v>137</v>
      </c>
      <c r="D122">
        <v>1</v>
      </c>
      <c r="E122">
        <v>3</v>
      </c>
      <c r="F122">
        <v>7</v>
      </c>
      <c r="G122">
        <v>1</v>
      </c>
      <c r="H122">
        <v>1</v>
      </c>
      <c r="I122">
        <v>2</v>
      </c>
      <c r="S122">
        <v>5</v>
      </c>
      <c r="V122">
        <v>1</v>
      </c>
      <c r="AD122">
        <v>1</v>
      </c>
      <c r="AE122">
        <v>2</v>
      </c>
      <c r="AF122">
        <v>4</v>
      </c>
      <c r="AS122">
        <v>1</v>
      </c>
      <c r="BB122" s="12"/>
    </row>
    <row r="123" spans="1:54" x14ac:dyDescent="0.2">
      <c r="A123" s="27" t="s">
        <v>45</v>
      </c>
      <c r="B123" t="s">
        <v>137</v>
      </c>
      <c r="D123">
        <v>137</v>
      </c>
      <c r="E123">
        <v>147</v>
      </c>
      <c r="F123">
        <v>197</v>
      </c>
      <c r="G123">
        <v>180</v>
      </c>
      <c r="H123">
        <v>163</v>
      </c>
      <c r="I123">
        <v>166</v>
      </c>
      <c r="Q123">
        <v>73</v>
      </c>
      <c r="R123">
        <v>69</v>
      </c>
      <c r="S123">
        <v>87</v>
      </c>
      <c r="T123">
        <v>91</v>
      </c>
      <c r="U123">
        <v>88</v>
      </c>
      <c r="V123">
        <v>74</v>
      </c>
      <c r="AD123">
        <v>79</v>
      </c>
      <c r="AE123">
        <v>72</v>
      </c>
      <c r="AF123">
        <v>111</v>
      </c>
      <c r="AG123">
        <v>90</v>
      </c>
      <c r="AH123">
        <v>72</v>
      </c>
      <c r="AI123">
        <v>76</v>
      </c>
      <c r="AQ123">
        <v>1</v>
      </c>
      <c r="AR123">
        <v>5</v>
      </c>
      <c r="AS123">
        <v>3</v>
      </c>
      <c r="AU123">
        <v>1</v>
      </c>
      <c r="BB123" s="12"/>
    </row>
    <row r="124" spans="1:54" x14ac:dyDescent="0.2">
      <c r="A124" s="27" t="s">
        <v>46</v>
      </c>
      <c r="B124" t="s">
        <v>137</v>
      </c>
      <c r="D124">
        <v>3</v>
      </c>
      <c r="E124">
        <v>5</v>
      </c>
      <c r="F124">
        <v>5</v>
      </c>
      <c r="G124">
        <v>4</v>
      </c>
      <c r="H124">
        <v>4</v>
      </c>
      <c r="I124">
        <v>2</v>
      </c>
      <c r="Q124">
        <v>2</v>
      </c>
      <c r="R124">
        <v>2</v>
      </c>
      <c r="S124">
        <v>2</v>
      </c>
      <c r="T124">
        <v>3</v>
      </c>
      <c r="U124">
        <v>3</v>
      </c>
      <c r="V124">
        <v>1</v>
      </c>
      <c r="AE124">
        <v>3</v>
      </c>
      <c r="AF124">
        <v>2</v>
      </c>
      <c r="AG124">
        <v>2</v>
      </c>
      <c r="AH124">
        <v>2</v>
      </c>
      <c r="AI124">
        <v>1</v>
      </c>
      <c r="BB124" s="12"/>
    </row>
    <row r="125" spans="1:54" x14ac:dyDescent="0.2">
      <c r="A125" s="27" t="s">
        <v>47</v>
      </c>
      <c r="B125" t="s">
        <v>137</v>
      </c>
      <c r="D125">
        <v>85</v>
      </c>
      <c r="E125">
        <v>94</v>
      </c>
      <c r="F125">
        <v>110</v>
      </c>
      <c r="G125">
        <v>99</v>
      </c>
      <c r="H125">
        <v>101</v>
      </c>
      <c r="I125">
        <v>82</v>
      </c>
      <c r="Q125">
        <v>46</v>
      </c>
      <c r="R125">
        <v>44</v>
      </c>
      <c r="S125">
        <v>48</v>
      </c>
      <c r="T125">
        <v>56</v>
      </c>
      <c r="U125">
        <v>58</v>
      </c>
      <c r="V125">
        <v>38</v>
      </c>
      <c r="AD125">
        <v>55</v>
      </c>
      <c r="AE125">
        <v>48</v>
      </c>
      <c r="AF125">
        <v>56</v>
      </c>
      <c r="AG125">
        <v>50</v>
      </c>
      <c r="AH125">
        <v>54</v>
      </c>
      <c r="AI125">
        <v>31</v>
      </c>
      <c r="AQ125">
        <v>1</v>
      </c>
      <c r="AR125">
        <v>2</v>
      </c>
      <c r="AS125">
        <v>1</v>
      </c>
      <c r="AT125">
        <v>1</v>
      </c>
      <c r="BB125" s="12"/>
    </row>
    <row r="126" spans="1:54" x14ac:dyDescent="0.2">
      <c r="A126" s="27" t="s">
        <v>48</v>
      </c>
      <c r="B126" t="s">
        <v>137</v>
      </c>
      <c r="E126">
        <v>1</v>
      </c>
      <c r="F126">
        <v>1</v>
      </c>
      <c r="G126">
        <v>1</v>
      </c>
      <c r="S126">
        <v>1</v>
      </c>
      <c r="T126">
        <v>1</v>
      </c>
      <c r="AE126">
        <v>1</v>
      </c>
      <c r="AG126">
        <v>1</v>
      </c>
      <c r="BB126" s="12"/>
    </row>
    <row r="127" spans="1:54" x14ac:dyDescent="0.2">
      <c r="A127" s="27" t="s">
        <v>49</v>
      </c>
      <c r="B127" t="s">
        <v>137</v>
      </c>
      <c r="D127">
        <v>39</v>
      </c>
      <c r="E127">
        <v>54</v>
      </c>
      <c r="F127">
        <v>69</v>
      </c>
      <c r="G127">
        <v>70</v>
      </c>
      <c r="H127">
        <v>56</v>
      </c>
      <c r="I127">
        <v>69</v>
      </c>
      <c r="Q127">
        <v>19</v>
      </c>
      <c r="R127">
        <v>22</v>
      </c>
      <c r="S127">
        <v>26</v>
      </c>
      <c r="T127">
        <v>35</v>
      </c>
      <c r="U127">
        <v>23</v>
      </c>
      <c r="V127">
        <v>33</v>
      </c>
      <c r="AD127">
        <v>24</v>
      </c>
      <c r="AE127">
        <v>27</v>
      </c>
      <c r="AF127">
        <v>36</v>
      </c>
      <c r="AG127">
        <v>29</v>
      </c>
      <c r="AH127">
        <v>23</v>
      </c>
      <c r="AI127">
        <v>30</v>
      </c>
      <c r="AT127">
        <v>1</v>
      </c>
      <c r="BB127" s="12"/>
    </row>
    <row r="128" spans="1:54" x14ac:dyDescent="0.2">
      <c r="A128" s="27" t="s">
        <v>50</v>
      </c>
      <c r="B128" t="s">
        <v>137</v>
      </c>
      <c r="D128">
        <v>64</v>
      </c>
      <c r="E128">
        <v>69</v>
      </c>
      <c r="F128">
        <v>83</v>
      </c>
      <c r="G128">
        <v>70</v>
      </c>
      <c r="H128">
        <v>62</v>
      </c>
      <c r="I128">
        <v>58</v>
      </c>
      <c r="Q128">
        <v>31</v>
      </c>
      <c r="R128">
        <v>27</v>
      </c>
      <c r="S128">
        <v>36</v>
      </c>
      <c r="T128">
        <v>41</v>
      </c>
      <c r="U128">
        <v>28</v>
      </c>
      <c r="V128">
        <v>28</v>
      </c>
      <c r="AD128">
        <v>36</v>
      </c>
      <c r="AE128">
        <v>36</v>
      </c>
      <c r="AF128">
        <v>36</v>
      </c>
      <c r="AG128">
        <v>27</v>
      </c>
      <c r="AH128">
        <v>31</v>
      </c>
      <c r="AI128">
        <v>22</v>
      </c>
      <c r="AQ128">
        <v>1</v>
      </c>
      <c r="AS128">
        <v>1</v>
      </c>
      <c r="AT128">
        <v>1</v>
      </c>
      <c r="BB128" s="12"/>
    </row>
    <row r="129" spans="1:54" x14ac:dyDescent="0.2">
      <c r="A129" s="27" t="s">
        <v>51</v>
      </c>
      <c r="B129" t="s">
        <v>137</v>
      </c>
      <c r="E129">
        <v>2</v>
      </c>
      <c r="F129">
        <v>1</v>
      </c>
      <c r="G129">
        <v>3</v>
      </c>
      <c r="H129">
        <v>2</v>
      </c>
      <c r="I129">
        <v>3</v>
      </c>
      <c r="R129">
        <v>1</v>
      </c>
      <c r="AE129">
        <v>2</v>
      </c>
      <c r="AG129">
        <v>1</v>
      </c>
      <c r="AI129">
        <v>1</v>
      </c>
      <c r="BB129" s="12"/>
    </row>
    <row r="130" spans="1:54" x14ac:dyDescent="0.2">
      <c r="A130" s="27" t="s">
        <v>52</v>
      </c>
      <c r="B130" t="s">
        <v>137</v>
      </c>
      <c r="D130">
        <v>31</v>
      </c>
      <c r="E130">
        <v>29</v>
      </c>
      <c r="F130">
        <v>36</v>
      </c>
      <c r="G130">
        <v>33</v>
      </c>
      <c r="H130">
        <v>33</v>
      </c>
      <c r="I130">
        <v>33</v>
      </c>
      <c r="Q130">
        <v>15</v>
      </c>
      <c r="R130">
        <v>14</v>
      </c>
      <c r="S130">
        <v>12</v>
      </c>
      <c r="T130">
        <v>16</v>
      </c>
      <c r="U130">
        <v>13</v>
      </c>
      <c r="V130">
        <v>15</v>
      </c>
      <c r="AD130">
        <v>19</v>
      </c>
      <c r="AE130">
        <v>11</v>
      </c>
      <c r="AF130">
        <v>19</v>
      </c>
      <c r="AG130">
        <v>15</v>
      </c>
      <c r="AH130">
        <v>15</v>
      </c>
      <c r="AI130">
        <v>11</v>
      </c>
      <c r="AR130">
        <v>2</v>
      </c>
      <c r="AS130">
        <v>1</v>
      </c>
      <c r="BB130" s="12"/>
    </row>
    <row r="131" spans="1:54" x14ac:dyDescent="0.2">
      <c r="A131" s="27" t="s">
        <v>53</v>
      </c>
      <c r="B131" t="s">
        <v>137</v>
      </c>
      <c r="D131">
        <v>15</v>
      </c>
      <c r="E131">
        <v>18</v>
      </c>
      <c r="F131">
        <v>25</v>
      </c>
      <c r="G131">
        <v>33</v>
      </c>
      <c r="H131">
        <v>30</v>
      </c>
      <c r="I131">
        <v>30</v>
      </c>
      <c r="Q131">
        <v>8</v>
      </c>
      <c r="R131">
        <v>9</v>
      </c>
      <c r="S131">
        <v>7</v>
      </c>
      <c r="T131">
        <v>18</v>
      </c>
      <c r="U131">
        <v>13</v>
      </c>
      <c r="V131">
        <v>17</v>
      </c>
      <c r="AD131">
        <v>10</v>
      </c>
      <c r="AE131">
        <v>9</v>
      </c>
      <c r="AF131">
        <v>15</v>
      </c>
      <c r="AG131">
        <v>17</v>
      </c>
      <c r="AH131">
        <v>18</v>
      </c>
      <c r="AI131">
        <v>10</v>
      </c>
      <c r="AR131">
        <v>1</v>
      </c>
      <c r="AS131">
        <v>1</v>
      </c>
      <c r="AT131">
        <v>1</v>
      </c>
      <c r="BB131" s="12"/>
    </row>
    <row r="132" spans="1:54" x14ac:dyDescent="0.2">
      <c r="A132" s="27" t="s">
        <v>54</v>
      </c>
      <c r="B132" t="s">
        <v>137</v>
      </c>
      <c r="D132">
        <v>39</v>
      </c>
      <c r="E132">
        <v>48</v>
      </c>
      <c r="F132">
        <v>64</v>
      </c>
      <c r="G132">
        <v>63</v>
      </c>
      <c r="H132">
        <v>56</v>
      </c>
      <c r="I132">
        <v>58</v>
      </c>
      <c r="Q132">
        <v>25</v>
      </c>
      <c r="R132">
        <v>19</v>
      </c>
      <c r="S132">
        <v>29</v>
      </c>
      <c r="T132">
        <v>32</v>
      </c>
      <c r="U132">
        <v>25</v>
      </c>
      <c r="V132">
        <v>32</v>
      </c>
      <c r="AD132">
        <v>23</v>
      </c>
      <c r="AE132">
        <v>29</v>
      </c>
      <c r="AF132">
        <v>32</v>
      </c>
      <c r="AG132">
        <v>31</v>
      </c>
      <c r="AH132">
        <v>32</v>
      </c>
      <c r="AI132">
        <v>18</v>
      </c>
      <c r="AQ132">
        <v>1</v>
      </c>
      <c r="AR132">
        <v>1</v>
      </c>
      <c r="BB132" s="12"/>
    </row>
    <row r="133" spans="1:54" x14ac:dyDescent="0.2">
      <c r="A133" s="27" t="s">
        <v>55</v>
      </c>
      <c r="B133" t="s">
        <v>137</v>
      </c>
      <c r="D133">
        <v>8</v>
      </c>
      <c r="E133">
        <v>12</v>
      </c>
      <c r="F133">
        <v>12</v>
      </c>
      <c r="G133">
        <v>17</v>
      </c>
      <c r="H133">
        <v>11</v>
      </c>
      <c r="I133">
        <v>8</v>
      </c>
      <c r="Q133">
        <v>3</v>
      </c>
      <c r="R133">
        <v>8</v>
      </c>
      <c r="S133">
        <v>6</v>
      </c>
      <c r="T133">
        <v>9</v>
      </c>
      <c r="U133">
        <v>6</v>
      </c>
      <c r="V133">
        <v>3</v>
      </c>
      <c r="AD133">
        <v>7</v>
      </c>
      <c r="AE133">
        <v>5</v>
      </c>
      <c r="AF133">
        <v>7</v>
      </c>
      <c r="AG133">
        <v>9</v>
      </c>
      <c r="AH133">
        <v>4</v>
      </c>
      <c r="AI133">
        <v>3</v>
      </c>
      <c r="AS133">
        <v>2</v>
      </c>
      <c r="BB133" s="12"/>
    </row>
    <row r="134" spans="1:54" x14ac:dyDescent="0.2">
      <c r="A134" s="27" t="s">
        <v>56</v>
      </c>
      <c r="B134" t="s">
        <v>137</v>
      </c>
      <c r="D134">
        <v>12</v>
      </c>
      <c r="E134">
        <v>17</v>
      </c>
      <c r="F134">
        <v>14</v>
      </c>
      <c r="G134">
        <v>14</v>
      </c>
      <c r="H134">
        <v>12</v>
      </c>
      <c r="I134">
        <v>18</v>
      </c>
      <c r="Q134">
        <v>4</v>
      </c>
      <c r="R134">
        <v>8</v>
      </c>
      <c r="S134">
        <v>5</v>
      </c>
      <c r="T134">
        <v>4</v>
      </c>
      <c r="U134">
        <v>2</v>
      </c>
      <c r="V134">
        <v>4</v>
      </c>
      <c r="AD134">
        <v>6</v>
      </c>
      <c r="AE134">
        <v>7</v>
      </c>
      <c r="AF134">
        <v>5</v>
      </c>
      <c r="AG134">
        <v>5</v>
      </c>
      <c r="AH134">
        <v>3</v>
      </c>
      <c r="AI134">
        <v>7</v>
      </c>
      <c r="AS134">
        <v>1</v>
      </c>
      <c r="BB134" s="12"/>
    </row>
    <row r="135" spans="1:54" x14ac:dyDescent="0.2">
      <c r="A135" s="27" t="s">
        <v>57</v>
      </c>
      <c r="B135" t="s">
        <v>137</v>
      </c>
      <c r="D135">
        <v>4</v>
      </c>
      <c r="E135">
        <v>5</v>
      </c>
      <c r="F135">
        <v>3</v>
      </c>
      <c r="G135">
        <v>3</v>
      </c>
      <c r="H135">
        <v>6</v>
      </c>
      <c r="I135">
        <v>4</v>
      </c>
      <c r="Q135">
        <v>2</v>
      </c>
      <c r="R135">
        <v>4</v>
      </c>
      <c r="S135">
        <v>1</v>
      </c>
      <c r="T135">
        <v>1</v>
      </c>
      <c r="U135">
        <v>3</v>
      </c>
      <c r="V135">
        <v>3</v>
      </c>
      <c r="AD135">
        <v>3</v>
      </c>
      <c r="AE135">
        <v>2</v>
      </c>
      <c r="AF135">
        <v>2</v>
      </c>
      <c r="AG135">
        <v>1</v>
      </c>
      <c r="AH135">
        <v>4</v>
      </c>
      <c r="AI135">
        <v>1</v>
      </c>
      <c r="BB135" s="12"/>
    </row>
    <row r="136" spans="1:54" x14ac:dyDescent="0.2">
      <c r="A136" s="27" t="s">
        <v>58</v>
      </c>
      <c r="B136" t="s">
        <v>137</v>
      </c>
      <c r="D136">
        <v>4</v>
      </c>
      <c r="E136">
        <v>8</v>
      </c>
      <c r="F136">
        <v>9</v>
      </c>
      <c r="G136">
        <v>11</v>
      </c>
      <c r="H136">
        <v>7</v>
      </c>
      <c r="I136">
        <v>5</v>
      </c>
      <c r="R136">
        <v>4</v>
      </c>
      <c r="S136">
        <v>4</v>
      </c>
      <c r="T136">
        <v>5</v>
      </c>
      <c r="U136">
        <v>5</v>
      </c>
      <c r="V136">
        <v>2</v>
      </c>
      <c r="AD136">
        <v>3</v>
      </c>
      <c r="AE136">
        <v>3</v>
      </c>
      <c r="AF136">
        <v>4</v>
      </c>
      <c r="AG136">
        <v>6</v>
      </c>
      <c r="AH136">
        <v>2</v>
      </c>
      <c r="AI136">
        <v>3</v>
      </c>
      <c r="BB136" s="12"/>
    </row>
    <row r="137" spans="1:54" x14ac:dyDescent="0.2">
      <c r="A137" s="27" t="s">
        <v>59</v>
      </c>
      <c r="B137" t="s">
        <v>137</v>
      </c>
      <c r="D137">
        <v>5</v>
      </c>
      <c r="E137">
        <v>8</v>
      </c>
      <c r="F137">
        <v>10</v>
      </c>
      <c r="G137">
        <v>11</v>
      </c>
      <c r="H137">
        <v>8</v>
      </c>
      <c r="I137">
        <v>10</v>
      </c>
      <c r="Q137">
        <v>3</v>
      </c>
      <c r="R137">
        <v>2</v>
      </c>
      <c r="S137">
        <v>2</v>
      </c>
      <c r="T137">
        <v>5</v>
      </c>
      <c r="U137">
        <v>3</v>
      </c>
      <c r="V137">
        <v>5</v>
      </c>
      <c r="AD137">
        <v>3</v>
      </c>
      <c r="AE137">
        <v>6</v>
      </c>
      <c r="AF137">
        <v>3</v>
      </c>
      <c r="AG137">
        <v>5</v>
      </c>
      <c r="AH137">
        <v>2</v>
      </c>
      <c r="AI137">
        <v>2</v>
      </c>
      <c r="BB137" s="12"/>
    </row>
    <row r="138" spans="1:54" x14ac:dyDescent="0.2">
      <c r="A138" s="27" t="s">
        <v>60</v>
      </c>
      <c r="B138" t="s">
        <v>137</v>
      </c>
      <c r="D138">
        <v>1</v>
      </c>
      <c r="F138">
        <v>3</v>
      </c>
      <c r="G138">
        <v>3</v>
      </c>
      <c r="H138">
        <v>2</v>
      </c>
      <c r="I138">
        <v>2</v>
      </c>
      <c r="Q138">
        <v>1</v>
      </c>
      <c r="S138">
        <v>1</v>
      </c>
      <c r="T138">
        <v>1</v>
      </c>
      <c r="V138">
        <v>1</v>
      </c>
      <c r="AF138">
        <v>2</v>
      </c>
      <c r="AG138">
        <v>1</v>
      </c>
      <c r="BB138" s="12"/>
    </row>
    <row r="139" spans="1:54" x14ac:dyDescent="0.2">
      <c r="A139" s="27" t="s">
        <v>61</v>
      </c>
      <c r="B139" t="s">
        <v>137</v>
      </c>
      <c r="D139">
        <v>1</v>
      </c>
      <c r="Q139">
        <v>1</v>
      </c>
      <c r="BB139" s="12"/>
    </row>
    <row r="140" spans="1:54" x14ac:dyDescent="0.2">
      <c r="A140" s="27" t="s">
        <v>62</v>
      </c>
      <c r="B140" t="s">
        <v>137</v>
      </c>
      <c r="D140">
        <v>44</v>
      </c>
      <c r="E140">
        <v>40</v>
      </c>
      <c r="F140">
        <v>49</v>
      </c>
      <c r="G140">
        <v>47</v>
      </c>
      <c r="H140">
        <v>54</v>
      </c>
      <c r="I140">
        <v>45</v>
      </c>
      <c r="Q140">
        <v>29</v>
      </c>
      <c r="R140">
        <v>23</v>
      </c>
      <c r="S140">
        <v>24</v>
      </c>
      <c r="T140">
        <v>19</v>
      </c>
      <c r="U140">
        <v>27</v>
      </c>
      <c r="V140">
        <v>19</v>
      </c>
      <c r="AD140">
        <v>28</v>
      </c>
      <c r="AE140">
        <v>22</v>
      </c>
      <c r="AF140">
        <v>30</v>
      </c>
      <c r="AG140">
        <v>23</v>
      </c>
      <c r="AH140">
        <v>28</v>
      </c>
      <c r="AI140">
        <v>16</v>
      </c>
      <c r="AQ140">
        <v>3</v>
      </c>
      <c r="AS140">
        <v>1</v>
      </c>
      <c r="AU140">
        <v>1</v>
      </c>
      <c r="BB140" s="12"/>
    </row>
    <row r="141" spans="1:54" x14ac:dyDescent="0.2">
      <c r="A141" s="27" t="s">
        <v>63</v>
      </c>
      <c r="B141" t="s">
        <v>137</v>
      </c>
      <c r="D141">
        <v>2</v>
      </c>
      <c r="E141">
        <v>1</v>
      </c>
      <c r="F141">
        <v>1</v>
      </c>
      <c r="G141">
        <v>1</v>
      </c>
      <c r="H141">
        <v>3</v>
      </c>
      <c r="I141">
        <v>5</v>
      </c>
      <c r="Q141">
        <v>1</v>
      </c>
      <c r="R141">
        <v>1</v>
      </c>
      <c r="T141">
        <v>1</v>
      </c>
      <c r="V141">
        <v>3</v>
      </c>
      <c r="AD141">
        <v>2</v>
      </c>
      <c r="AF141">
        <v>1</v>
      </c>
      <c r="AH141">
        <v>3</v>
      </c>
      <c r="AI141">
        <v>2</v>
      </c>
      <c r="BB141" s="12"/>
    </row>
    <row r="142" spans="1:54" x14ac:dyDescent="0.2">
      <c r="A142" s="27" t="s">
        <v>64</v>
      </c>
      <c r="B142" t="s">
        <v>137</v>
      </c>
      <c r="D142">
        <v>10</v>
      </c>
      <c r="E142">
        <v>11</v>
      </c>
      <c r="F142">
        <v>11</v>
      </c>
      <c r="G142">
        <v>13</v>
      </c>
      <c r="H142">
        <v>17</v>
      </c>
      <c r="I142">
        <v>17</v>
      </c>
      <c r="Q142">
        <v>5</v>
      </c>
      <c r="R142">
        <v>6</v>
      </c>
      <c r="S142">
        <v>3</v>
      </c>
      <c r="T142">
        <v>4</v>
      </c>
      <c r="U142">
        <v>4</v>
      </c>
      <c r="V142">
        <v>4</v>
      </c>
      <c r="AD142">
        <v>5</v>
      </c>
      <c r="AE142">
        <v>6</v>
      </c>
      <c r="AF142">
        <v>5</v>
      </c>
      <c r="AG142">
        <v>5</v>
      </c>
      <c r="AH142">
        <v>8</v>
      </c>
      <c r="AI142">
        <v>5</v>
      </c>
      <c r="BB142" s="12"/>
    </row>
    <row r="143" spans="1:54" x14ac:dyDescent="0.2">
      <c r="A143" s="27" t="s">
        <v>65</v>
      </c>
      <c r="B143" t="s">
        <v>137</v>
      </c>
      <c r="D143">
        <v>21</v>
      </c>
      <c r="E143">
        <v>22</v>
      </c>
      <c r="F143">
        <v>33</v>
      </c>
      <c r="G143">
        <v>23</v>
      </c>
      <c r="H143">
        <v>22</v>
      </c>
      <c r="I143">
        <v>19</v>
      </c>
      <c r="Q143">
        <v>6</v>
      </c>
      <c r="R143">
        <v>6</v>
      </c>
      <c r="S143">
        <v>18</v>
      </c>
      <c r="T143">
        <v>10</v>
      </c>
      <c r="U143">
        <v>6</v>
      </c>
      <c r="V143">
        <v>5</v>
      </c>
      <c r="AD143">
        <v>14</v>
      </c>
      <c r="AE143">
        <v>7</v>
      </c>
      <c r="AF143">
        <v>12</v>
      </c>
      <c r="AG143">
        <v>7</v>
      </c>
      <c r="AH143">
        <v>11</v>
      </c>
      <c r="AI143">
        <v>3</v>
      </c>
      <c r="AQ143">
        <v>1</v>
      </c>
      <c r="AV143">
        <v>1</v>
      </c>
      <c r="BB143" s="12"/>
    </row>
    <row r="144" spans="1:54" x14ac:dyDescent="0.2">
      <c r="A144" s="27" t="s">
        <v>66</v>
      </c>
      <c r="B144" t="s">
        <v>137</v>
      </c>
      <c r="D144">
        <v>4</v>
      </c>
      <c r="E144">
        <v>7</v>
      </c>
      <c r="F144">
        <v>8</v>
      </c>
      <c r="G144">
        <v>4</v>
      </c>
      <c r="H144">
        <v>3</v>
      </c>
      <c r="I144">
        <v>2</v>
      </c>
      <c r="Q144">
        <v>3</v>
      </c>
      <c r="R144">
        <v>3</v>
      </c>
      <c r="S144">
        <v>5</v>
      </c>
      <c r="T144">
        <v>2</v>
      </c>
      <c r="U144">
        <v>2</v>
      </c>
      <c r="AD144">
        <v>1</v>
      </c>
      <c r="AE144">
        <v>4</v>
      </c>
      <c r="AF144">
        <v>4</v>
      </c>
      <c r="AG144">
        <v>1</v>
      </c>
      <c r="AH144">
        <v>1</v>
      </c>
      <c r="AI144">
        <v>1</v>
      </c>
      <c r="BB144" s="12"/>
    </row>
    <row r="145" spans="1:54" x14ac:dyDescent="0.2">
      <c r="A145" s="27" t="s">
        <v>67</v>
      </c>
      <c r="B145" t="s">
        <v>137</v>
      </c>
      <c r="D145">
        <v>5</v>
      </c>
      <c r="E145">
        <v>7</v>
      </c>
      <c r="F145">
        <v>5</v>
      </c>
      <c r="G145">
        <v>2</v>
      </c>
      <c r="H145">
        <v>4</v>
      </c>
      <c r="I145">
        <v>6</v>
      </c>
      <c r="R145">
        <v>4</v>
      </c>
      <c r="S145">
        <v>4</v>
      </c>
      <c r="U145">
        <v>2</v>
      </c>
      <c r="V145">
        <v>4</v>
      </c>
      <c r="AD145">
        <v>5</v>
      </c>
      <c r="AE145">
        <v>2</v>
      </c>
      <c r="AF145">
        <v>2</v>
      </c>
      <c r="AG145">
        <v>1</v>
      </c>
      <c r="AH145">
        <v>2</v>
      </c>
      <c r="AI145">
        <v>3</v>
      </c>
      <c r="BB145" s="12"/>
    </row>
    <row r="146" spans="1:54" x14ac:dyDescent="0.2">
      <c r="A146" s="27" t="s">
        <v>68</v>
      </c>
      <c r="B146" t="s">
        <v>137</v>
      </c>
      <c r="BB146" s="12"/>
    </row>
    <row r="147" spans="1:54" x14ac:dyDescent="0.2">
      <c r="A147" s="27" t="s">
        <v>69</v>
      </c>
      <c r="B147" t="s">
        <v>137</v>
      </c>
      <c r="AT147" s="9"/>
      <c r="AU147" s="9"/>
      <c r="AV147" s="9"/>
      <c r="BB147" s="12"/>
    </row>
    <row r="148" spans="1:54" x14ac:dyDescent="0.2">
      <c r="A148" s="27" t="s">
        <v>70</v>
      </c>
      <c r="B148" t="s">
        <v>137</v>
      </c>
      <c r="D148">
        <v>35</v>
      </c>
      <c r="E148">
        <v>42</v>
      </c>
      <c r="F148">
        <v>46</v>
      </c>
      <c r="G148">
        <v>41</v>
      </c>
      <c r="H148">
        <v>38</v>
      </c>
      <c r="I148">
        <v>33</v>
      </c>
      <c r="Q148">
        <v>15</v>
      </c>
      <c r="R148">
        <v>21</v>
      </c>
      <c r="S148">
        <v>19</v>
      </c>
      <c r="T148">
        <v>22</v>
      </c>
      <c r="U148">
        <v>19</v>
      </c>
      <c r="V148">
        <v>12</v>
      </c>
      <c r="AD148">
        <v>23</v>
      </c>
      <c r="AE148">
        <v>22</v>
      </c>
      <c r="AF148">
        <v>25</v>
      </c>
      <c r="AG148">
        <v>19</v>
      </c>
      <c r="AH148">
        <v>16</v>
      </c>
      <c r="AI148">
        <v>11</v>
      </c>
      <c r="AR148">
        <v>2</v>
      </c>
      <c r="AS148">
        <v>2</v>
      </c>
      <c r="AT148">
        <v>1</v>
      </c>
      <c r="AU148">
        <v>1</v>
      </c>
      <c r="BB148" s="12"/>
    </row>
    <row r="149" spans="1:54" x14ac:dyDescent="0.2">
      <c r="A149" s="27" t="s">
        <v>71</v>
      </c>
      <c r="B149" t="s">
        <v>137</v>
      </c>
      <c r="D149">
        <v>12</v>
      </c>
      <c r="E149">
        <v>12</v>
      </c>
      <c r="F149">
        <v>10</v>
      </c>
      <c r="G149">
        <v>6</v>
      </c>
      <c r="H149">
        <v>9</v>
      </c>
      <c r="I149">
        <v>12</v>
      </c>
      <c r="Q149">
        <v>4</v>
      </c>
      <c r="R149">
        <v>3</v>
      </c>
      <c r="S149">
        <v>4</v>
      </c>
      <c r="T149">
        <v>2</v>
      </c>
      <c r="U149">
        <v>3</v>
      </c>
      <c r="V149">
        <v>6</v>
      </c>
      <c r="AD149">
        <v>7</v>
      </c>
      <c r="AE149">
        <v>3</v>
      </c>
      <c r="AF149">
        <v>1</v>
      </c>
      <c r="AG149">
        <v>2</v>
      </c>
      <c r="AH149">
        <v>5</v>
      </c>
      <c r="AI149">
        <v>3</v>
      </c>
      <c r="BB149" s="12"/>
    </row>
    <row r="150" spans="1:54" x14ac:dyDescent="0.2">
      <c r="A150" s="27" t="s">
        <v>72</v>
      </c>
      <c r="B150" t="s">
        <v>137</v>
      </c>
      <c r="D150">
        <v>23</v>
      </c>
      <c r="E150">
        <v>32</v>
      </c>
      <c r="F150">
        <v>37</v>
      </c>
      <c r="G150">
        <v>32</v>
      </c>
      <c r="H150">
        <v>35</v>
      </c>
      <c r="I150">
        <v>31</v>
      </c>
      <c r="Q150">
        <v>12</v>
      </c>
      <c r="R150">
        <v>12</v>
      </c>
      <c r="S150">
        <v>15</v>
      </c>
      <c r="T150">
        <v>16</v>
      </c>
      <c r="U150">
        <v>20</v>
      </c>
      <c r="V150">
        <v>13</v>
      </c>
      <c r="AD150">
        <v>14</v>
      </c>
      <c r="AE150">
        <v>21</v>
      </c>
      <c r="AF150">
        <v>15</v>
      </c>
      <c r="AG150">
        <v>15</v>
      </c>
      <c r="AH150">
        <v>18</v>
      </c>
      <c r="AI150">
        <v>13</v>
      </c>
      <c r="AQ150">
        <v>1</v>
      </c>
      <c r="AR150">
        <v>2</v>
      </c>
      <c r="AS150">
        <v>1</v>
      </c>
      <c r="AT150">
        <v>1</v>
      </c>
      <c r="AU150">
        <v>2</v>
      </c>
      <c r="BB150" s="12"/>
    </row>
    <row r="151" spans="1:54" x14ac:dyDescent="0.2">
      <c r="A151" s="27" t="s">
        <v>73</v>
      </c>
      <c r="B151" t="s">
        <v>137</v>
      </c>
      <c r="D151">
        <v>6</v>
      </c>
      <c r="E151">
        <v>7</v>
      </c>
      <c r="F151">
        <v>6</v>
      </c>
      <c r="G151">
        <v>5</v>
      </c>
      <c r="H151">
        <v>2</v>
      </c>
      <c r="I151">
        <v>3</v>
      </c>
      <c r="Q151">
        <v>1</v>
      </c>
      <c r="R151">
        <v>4</v>
      </c>
      <c r="S151">
        <v>3</v>
      </c>
      <c r="T151">
        <v>2</v>
      </c>
      <c r="V151">
        <v>1</v>
      </c>
      <c r="AD151">
        <v>5</v>
      </c>
      <c r="AE151">
        <v>2</v>
      </c>
      <c r="AF151">
        <v>3</v>
      </c>
      <c r="AG151">
        <v>2</v>
      </c>
      <c r="BB151" s="12"/>
    </row>
    <row r="152" spans="1:54" x14ac:dyDescent="0.2">
      <c r="A152" s="27" t="s">
        <v>74</v>
      </c>
      <c r="B152" t="s">
        <v>137</v>
      </c>
      <c r="D152">
        <v>117</v>
      </c>
      <c r="E152">
        <v>134</v>
      </c>
      <c r="F152">
        <v>159</v>
      </c>
      <c r="G152">
        <v>151</v>
      </c>
      <c r="H152">
        <v>135</v>
      </c>
      <c r="I152">
        <v>135</v>
      </c>
      <c r="Q152">
        <v>48</v>
      </c>
      <c r="R152">
        <v>57</v>
      </c>
      <c r="S152">
        <v>61</v>
      </c>
      <c r="T152">
        <v>59</v>
      </c>
      <c r="U152">
        <v>54</v>
      </c>
      <c r="V152">
        <v>44</v>
      </c>
      <c r="AD152">
        <v>62</v>
      </c>
      <c r="AE152">
        <v>61</v>
      </c>
      <c r="AF152">
        <v>73</v>
      </c>
      <c r="AG152">
        <v>66</v>
      </c>
      <c r="AH152">
        <v>47</v>
      </c>
      <c r="AI152">
        <v>41</v>
      </c>
      <c r="AQ152">
        <v>1</v>
      </c>
      <c r="AR152">
        <v>3</v>
      </c>
      <c r="AS152">
        <v>7</v>
      </c>
      <c r="AT152">
        <v>1</v>
      </c>
      <c r="BB152" s="12"/>
    </row>
    <row r="153" spans="1:54" x14ac:dyDescent="0.2">
      <c r="A153" s="27" t="s">
        <v>75</v>
      </c>
      <c r="B153" t="s">
        <v>137</v>
      </c>
      <c r="D153">
        <v>2</v>
      </c>
      <c r="E153">
        <v>2</v>
      </c>
      <c r="F153">
        <v>2</v>
      </c>
      <c r="G153">
        <v>3</v>
      </c>
      <c r="H153">
        <v>6</v>
      </c>
      <c r="I153">
        <v>5</v>
      </c>
      <c r="Q153">
        <v>1</v>
      </c>
      <c r="T153">
        <v>1</v>
      </c>
      <c r="U153">
        <v>5</v>
      </c>
      <c r="V153">
        <v>3</v>
      </c>
      <c r="AE153">
        <v>1</v>
      </c>
      <c r="AG153">
        <v>3</v>
      </c>
      <c r="AH153">
        <v>2</v>
      </c>
      <c r="AI153">
        <v>4</v>
      </c>
      <c r="BB153" s="12"/>
    </row>
    <row r="154" spans="1:54" x14ac:dyDescent="0.2">
      <c r="A154" s="27" t="s">
        <v>76</v>
      </c>
      <c r="B154" t="s">
        <v>137</v>
      </c>
      <c r="D154">
        <v>20</v>
      </c>
      <c r="E154">
        <v>19</v>
      </c>
      <c r="F154">
        <v>27</v>
      </c>
      <c r="G154">
        <v>29</v>
      </c>
      <c r="H154">
        <v>19</v>
      </c>
      <c r="I154">
        <v>22</v>
      </c>
      <c r="Q154">
        <v>8</v>
      </c>
      <c r="R154">
        <v>11</v>
      </c>
      <c r="S154">
        <v>15</v>
      </c>
      <c r="T154">
        <v>15</v>
      </c>
      <c r="U154">
        <v>8</v>
      </c>
      <c r="V154">
        <v>10</v>
      </c>
      <c r="AD154">
        <v>14</v>
      </c>
      <c r="AE154">
        <v>6</v>
      </c>
      <c r="AF154">
        <v>17</v>
      </c>
      <c r="AG154">
        <v>15</v>
      </c>
      <c r="AH154">
        <v>9</v>
      </c>
      <c r="AI154">
        <v>9</v>
      </c>
      <c r="AS154">
        <v>1</v>
      </c>
      <c r="BB154" s="12"/>
    </row>
    <row r="155" spans="1:54" x14ac:dyDescent="0.2">
      <c r="A155" s="27" t="s">
        <v>77</v>
      </c>
      <c r="B155" t="s">
        <v>137</v>
      </c>
      <c r="D155">
        <v>2</v>
      </c>
      <c r="E155">
        <v>1</v>
      </c>
      <c r="F155">
        <v>6</v>
      </c>
      <c r="G155">
        <v>7</v>
      </c>
      <c r="H155">
        <v>5</v>
      </c>
      <c r="I155">
        <v>4</v>
      </c>
      <c r="Q155">
        <v>1</v>
      </c>
      <c r="S155">
        <v>1</v>
      </c>
      <c r="T155">
        <v>5</v>
      </c>
      <c r="U155">
        <v>2</v>
      </c>
      <c r="V155">
        <v>3</v>
      </c>
      <c r="AF155">
        <v>5</v>
      </c>
      <c r="AG155">
        <v>2</v>
      </c>
      <c r="AH155">
        <v>3</v>
      </c>
      <c r="AI155">
        <v>1</v>
      </c>
      <c r="BB155" s="12"/>
    </row>
    <row r="156" spans="1:54" x14ac:dyDescent="0.2">
      <c r="A156" s="27" t="s">
        <v>78</v>
      </c>
      <c r="B156" t="s">
        <v>137</v>
      </c>
      <c r="D156">
        <v>13</v>
      </c>
      <c r="E156">
        <v>10</v>
      </c>
      <c r="F156">
        <v>14</v>
      </c>
      <c r="G156">
        <v>11</v>
      </c>
      <c r="H156">
        <v>12</v>
      </c>
      <c r="I156">
        <v>10</v>
      </c>
      <c r="Q156">
        <v>9</v>
      </c>
      <c r="R156">
        <v>4</v>
      </c>
      <c r="S156">
        <v>9</v>
      </c>
      <c r="T156">
        <v>4</v>
      </c>
      <c r="U156">
        <v>6</v>
      </c>
      <c r="V156">
        <v>4</v>
      </c>
      <c r="AD156">
        <v>6</v>
      </c>
      <c r="AE156">
        <v>6</v>
      </c>
      <c r="AF156">
        <v>8</v>
      </c>
      <c r="AG156">
        <v>5</v>
      </c>
      <c r="AH156">
        <v>5</v>
      </c>
      <c r="AI156">
        <v>4</v>
      </c>
      <c r="BB156" s="12"/>
    </row>
    <row r="157" spans="1:54" x14ac:dyDescent="0.2">
      <c r="A157" s="27" t="s">
        <v>79</v>
      </c>
      <c r="B157" t="s">
        <v>137</v>
      </c>
      <c r="D157">
        <v>2</v>
      </c>
      <c r="F157">
        <v>3</v>
      </c>
      <c r="G157">
        <v>4</v>
      </c>
      <c r="H157">
        <v>4</v>
      </c>
      <c r="I157">
        <v>3</v>
      </c>
      <c r="Q157">
        <v>2</v>
      </c>
      <c r="S157">
        <v>2</v>
      </c>
      <c r="U157">
        <v>1</v>
      </c>
      <c r="V157">
        <v>1</v>
      </c>
      <c r="AF157">
        <v>3</v>
      </c>
      <c r="AG157">
        <v>2</v>
      </c>
      <c r="AH157">
        <v>1</v>
      </c>
      <c r="BB157" s="12"/>
    </row>
    <row r="158" spans="1:54" x14ac:dyDescent="0.2">
      <c r="A158" s="27" t="s">
        <v>80</v>
      </c>
      <c r="B158" t="s">
        <v>137</v>
      </c>
      <c r="D158">
        <v>11</v>
      </c>
      <c r="E158">
        <v>11</v>
      </c>
      <c r="F158">
        <v>13</v>
      </c>
      <c r="G158">
        <v>12</v>
      </c>
      <c r="H158">
        <v>13</v>
      </c>
      <c r="I158">
        <v>9</v>
      </c>
      <c r="Q158">
        <v>3</v>
      </c>
      <c r="R158">
        <v>6</v>
      </c>
      <c r="S158">
        <v>5</v>
      </c>
      <c r="T158">
        <v>8</v>
      </c>
      <c r="U158">
        <v>7</v>
      </c>
      <c r="V158">
        <v>5</v>
      </c>
      <c r="AD158">
        <v>4</v>
      </c>
      <c r="AE158">
        <v>1</v>
      </c>
      <c r="AF158">
        <v>5</v>
      </c>
      <c r="AG158">
        <v>6</v>
      </c>
      <c r="AH158">
        <v>7</v>
      </c>
      <c r="AI158">
        <v>3</v>
      </c>
      <c r="BB158" s="12"/>
    </row>
    <row r="159" spans="1:54" x14ac:dyDescent="0.2">
      <c r="A159" s="27" t="s">
        <v>81</v>
      </c>
      <c r="B159" t="s">
        <v>137</v>
      </c>
      <c r="D159">
        <v>10</v>
      </c>
      <c r="E159">
        <v>14</v>
      </c>
      <c r="F159">
        <v>12</v>
      </c>
      <c r="G159">
        <v>12</v>
      </c>
      <c r="H159">
        <v>10</v>
      </c>
      <c r="I159">
        <v>10</v>
      </c>
      <c r="Q159">
        <v>3</v>
      </c>
      <c r="R159">
        <v>7</v>
      </c>
      <c r="S159">
        <v>6</v>
      </c>
      <c r="T159">
        <v>5</v>
      </c>
      <c r="U159">
        <v>3</v>
      </c>
      <c r="V159">
        <v>4</v>
      </c>
      <c r="AD159">
        <v>7</v>
      </c>
      <c r="AE159">
        <v>7</v>
      </c>
      <c r="AF159">
        <v>4</v>
      </c>
      <c r="AG159">
        <v>6</v>
      </c>
      <c r="AH159">
        <v>4</v>
      </c>
      <c r="AI159">
        <v>2</v>
      </c>
      <c r="AQ159">
        <v>1</v>
      </c>
      <c r="AR159">
        <v>1</v>
      </c>
      <c r="AU159">
        <v>1</v>
      </c>
      <c r="BB159" s="12"/>
    </row>
    <row r="160" spans="1:54" x14ac:dyDescent="0.2">
      <c r="A160" s="27" t="s">
        <v>82</v>
      </c>
      <c r="B160" t="s">
        <v>137</v>
      </c>
      <c r="D160">
        <v>1</v>
      </c>
      <c r="E160">
        <v>2</v>
      </c>
      <c r="F160">
        <v>1</v>
      </c>
      <c r="G160">
        <v>1</v>
      </c>
      <c r="H160">
        <v>1</v>
      </c>
      <c r="Q160">
        <v>1</v>
      </c>
      <c r="R160">
        <v>1</v>
      </c>
      <c r="S160">
        <v>1</v>
      </c>
      <c r="U160">
        <v>1</v>
      </c>
      <c r="AD160">
        <v>1</v>
      </c>
      <c r="AE160">
        <v>2</v>
      </c>
      <c r="AG160">
        <v>1</v>
      </c>
      <c r="BB160" s="12"/>
    </row>
    <row r="161" spans="1:54" x14ac:dyDescent="0.2">
      <c r="A161" s="27" t="s">
        <v>83</v>
      </c>
      <c r="B161" t="s">
        <v>137</v>
      </c>
      <c r="D161">
        <v>5</v>
      </c>
      <c r="E161">
        <v>9</v>
      </c>
      <c r="F161">
        <v>11</v>
      </c>
      <c r="G161">
        <v>11</v>
      </c>
      <c r="H161">
        <v>9</v>
      </c>
      <c r="I161">
        <v>7</v>
      </c>
      <c r="Q161">
        <v>2</v>
      </c>
      <c r="R161">
        <v>2</v>
      </c>
      <c r="S161">
        <v>5</v>
      </c>
      <c r="T161">
        <v>2</v>
      </c>
      <c r="U161">
        <v>5</v>
      </c>
      <c r="V161">
        <v>1</v>
      </c>
      <c r="AD161">
        <v>1</v>
      </c>
      <c r="AE161">
        <v>5</v>
      </c>
      <c r="AF161">
        <v>4</v>
      </c>
      <c r="AG161">
        <v>6</v>
      </c>
      <c r="AI161">
        <v>2</v>
      </c>
      <c r="BB161" s="12"/>
    </row>
    <row r="162" spans="1:54" x14ac:dyDescent="0.2">
      <c r="A162" s="27" t="s">
        <v>84</v>
      </c>
      <c r="B162" t="s">
        <v>137</v>
      </c>
      <c r="D162">
        <v>3</v>
      </c>
      <c r="E162">
        <v>5</v>
      </c>
      <c r="F162">
        <v>6</v>
      </c>
      <c r="G162">
        <v>5</v>
      </c>
      <c r="H162">
        <v>9</v>
      </c>
      <c r="I162">
        <v>4</v>
      </c>
      <c r="Q162">
        <v>2</v>
      </c>
      <c r="R162">
        <v>3</v>
      </c>
      <c r="S162">
        <v>2</v>
      </c>
      <c r="T162">
        <v>3</v>
      </c>
      <c r="U162">
        <v>7</v>
      </c>
      <c r="V162">
        <v>2</v>
      </c>
      <c r="AD162">
        <v>3</v>
      </c>
      <c r="AE162">
        <v>3</v>
      </c>
      <c r="AF162">
        <v>3</v>
      </c>
      <c r="AG162">
        <v>3</v>
      </c>
      <c r="AH162">
        <v>6</v>
      </c>
      <c r="AI162">
        <v>2</v>
      </c>
      <c r="AR162">
        <v>1</v>
      </c>
      <c r="BB162" s="12"/>
    </row>
    <row r="163" spans="1:54" x14ac:dyDescent="0.2">
      <c r="A163" s="27" t="s">
        <v>85</v>
      </c>
      <c r="B163" t="s">
        <v>137</v>
      </c>
      <c r="D163">
        <v>14</v>
      </c>
      <c r="E163">
        <v>16</v>
      </c>
      <c r="F163">
        <v>20</v>
      </c>
      <c r="G163">
        <v>14</v>
      </c>
      <c r="H163">
        <v>19</v>
      </c>
      <c r="I163">
        <v>16</v>
      </c>
      <c r="Q163">
        <v>7</v>
      </c>
      <c r="R163">
        <v>7</v>
      </c>
      <c r="S163">
        <v>7</v>
      </c>
      <c r="T163">
        <v>7</v>
      </c>
      <c r="U163">
        <v>11</v>
      </c>
      <c r="V163">
        <v>3</v>
      </c>
      <c r="AD163">
        <v>10</v>
      </c>
      <c r="AE163">
        <v>7</v>
      </c>
      <c r="AF163">
        <v>9</v>
      </c>
      <c r="AG163">
        <v>5</v>
      </c>
      <c r="AH163">
        <v>10</v>
      </c>
      <c r="AI163">
        <v>7</v>
      </c>
      <c r="AR163">
        <v>1</v>
      </c>
      <c r="AS163">
        <v>1</v>
      </c>
      <c r="BB163" s="12"/>
    </row>
    <row r="164" spans="1:54" x14ac:dyDescent="0.2">
      <c r="A164" s="27" t="s">
        <v>86</v>
      </c>
      <c r="B164" t="s">
        <v>137</v>
      </c>
      <c r="D164">
        <v>47</v>
      </c>
      <c r="E164">
        <v>69</v>
      </c>
      <c r="F164">
        <v>77</v>
      </c>
      <c r="G164">
        <v>61</v>
      </c>
      <c r="H164">
        <v>53</v>
      </c>
      <c r="I164">
        <v>62</v>
      </c>
      <c r="Q164">
        <v>22</v>
      </c>
      <c r="R164">
        <v>28</v>
      </c>
      <c r="S164">
        <v>37</v>
      </c>
      <c r="T164">
        <v>29</v>
      </c>
      <c r="U164">
        <v>20</v>
      </c>
      <c r="V164">
        <v>35</v>
      </c>
      <c r="AD164">
        <v>25</v>
      </c>
      <c r="AE164">
        <v>41</v>
      </c>
      <c r="AF164">
        <v>34</v>
      </c>
      <c r="AG164">
        <v>24</v>
      </c>
      <c r="AH164">
        <v>22</v>
      </c>
      <c r="AI164">
        <v>25</v>
      </c>
      <c r="AQ164">
        <v>1</v>
      </c>
      <c r="AR164">
        <v>6</v>
      </c>
      <c r="AV164">
        <v>1</v>
      </c>
      <c r="BB164" s="12"/>
    </row>
    <row r="165" spans="1:54" x14ac:dyDescent="0.2">
      <c r="A165" s="27" t="s">
        <v>87</v>
      </c>
      <c r="B165" t="s">
        <v>137</v>
      </c>
      <c r="D165">
        <v>4</v>
      </c>
      <c r="E165">
        <v>4</v>
      </c>
      <c r="F165">
        <v>7</v>
      </c>
      <c r="G165">
        <v>7</v>
      </c>
      <c r="H165">
        <v>7</v>
      </c>
      <c r="I165">
        <v>7</v>
      </c>
      <c r="Q165">
        <v>2</v>
      </c>
      <c r="R165">
        <v>1</v>
      </c>
      <c r="S165">
        <v>1</v>
      </c>
      <c r="T165">
        <v>4</v>
      </c>
      <c r="U165">
        <v>3</v>
      </c>
      <c r="V165">
        <v>1</v>
      </c>
      <c r="AD165">
        <v>2</v>
      </c>
      <c r="AE165">
        <v>2</v>
      </c>
      <c r="AF165">
        <v>4</v>
      </c>
      <c r="AG165">
        <v>1</v>
      </c>
      <c r="AH165">
        <v>4</v>
      </c>
      <c r="AI165">
        <v>3</v>
      </c>
      <c r="BB165" s="12"/>
    </row>
    <row r="166" spans="1:54" x14ac:dyDescent="0.2">
      <c r="A166" s="27" t="s">
        <v>88</v>
      </c>
      <c r="B166" t="s">
        <v>137</v>
      </c>
      <c r="BB166" s="12"/>
    </row>
    <row r="167" spans="1:54" x14ac:dyDescent="0.2">
      <c r="A167" s="27" t="s">
        <v>89</v>
      </c>
      <c r="B167" t="s">
        <v>137</v>
      </c>
      <c r="G167">
        <v>1</v>
      </c>
      <c r="H167">
        <v>2</v>
      </c>
      <c r="U167">
        <v>2</v>
      </c>
      <c r="AG167">
        <v>1</v>
      </c>
      <c r="AH167">
        <v>1</v>
      </c>
      <c r="BB167" s="12"/>
    </row>
    <row r="168" spans="1:54" x14ac:dyDescent="0.2">
      <c r="A168" s="27" t="s">
        <v>90</v>
      </c>
      <c r="B168" t="s">
        <v>137</v>
      </c>
      <c r="D168">
        <v>23</v>
      </c>
      <c r="E168">
        <v>24</v>
      </c>
      <c r="F168">
        <v>34</v>
      </c>
      <c r="G168">
        <v>36</v>
      </c>
      <c r="H168">
        <v>27</v>
      </c>
      <c r="I168">
        <v>25</v>
      </c>
      <c r="Q168">
        <v>15</v>
      </c>
      <c r="R168">
        <v>11</v>
      </c>
      <c r="S168">
        <v>16</v>
      </c>
      <c r="T168">
        <v>19</v>
      </c>
      <c r="U168">
        <v>17</v>
      </c>
      <c r="V168">
        <v>13</v>
      </c>
      <c r="AD168">
        <v>18</v>
      </c>
      <c r="AE168">
        <v>15</v>
      </c>
      <c r="AF168">
        <v>18</v>
      </c>
      <c r="AG168">
        <v>19</v>
      </c>
      <c r="AH168">
        <v>10</v>
      </c>
      <c r="AI168">
        <v>14</v>
      </c>
      <c r="AR168">
        <v>2</v>
      </c>
      <c r="AS168">
        <v>1</v>
      </c>
      <c r="BB168" s="12"/>
    </row>
    <row r="169" spans="1:54" x14ac:dyDescent="0.2">
      <c r="A169" s="27" t="s">
        <v>91</v>
      </c>
      <c r="B169" t="s">
        <v>137</v>
      </c>
      <c r="D169">
        <v>4</v>
      </c>
      <c r="E169">
        <v>3</v>
      </c>
      <c r="F169">
        <v>2</v>
      </c>
      <c r="G169">
        <v>2</v>
      </c>
      <c r="I169">
        <v>1</v>
      </c>
      <c r="Q169">
        <v>2</v>
      </c>
      <c r="R169">
        <v>2</v>
      </c>
      <c r="S169">
        <v>1</v>
      </c>
      <c r="T169">
        <v>2</v>
      </c>
      <c r="AD169">
        <v>2</v>
      </c>
      <c r="AE169">
        <v>1</v>
      </c>
      <c r="AF169">
        <v>1</v>
      </c>
      <c r="AI169">
        <v>1</v>
      </c>
      <c r="AR169">
        <v>1</v>
      </c>
      <c r="BB169" s="12"/>
    </row>
    <row r="170" spans="1:54" x14ac:dyDescent="0.2">
      <c r="A170" s="27" t="s">
        <v>92</v>
      </c>
      <c r="B170" t="s">
        <v>137</v>
      </c>
      <c r="D170">
        <v>1</v>
      </c>
      <c r="E170">
        <v>1</v>
      </c>
      <c r="F170">
        <v>1</v>
      </c>
      <c r="G170">
        <v>3</v>
      </c>
      <c r="H170">
        <v>1</v>
      </c>
      <c r="I170">
        <v>1</v>
      </c>
      <c r="Q170">
        <v>1</v>
      </c>
      <c r="R170">
        <v>1</v>
      </c>
      <c r="T170">
        <v>1</v>
      </c>
      <c r="AE170">
        <v>1</v>
      </c>
      <c r="AF170">
        <v>1</v>
      </c>
      <c r="AG170">
        <v>1</v>
      </c>
      <c r="BB170" s="12"/>
    </row>
    <row r="171" spans="1:54" x14ac:dyDescent="0.2">
      <c r="A171" s="27" t="s">
        <v>93</v>
      </c>
      <c r="B171" t="s">
        <v>137</v>
      </c>
      <c r="BB171" s="12"/>
    </row>
    <row r="172" spans="1:54" x14ac:dyDescent="0.2">
      <c r="A172" s="27" t="s">
        <v>94</v>
      </c>
      <c r="B172" t="s">
        <v>137</v>
      </c>
      <c r="D172">
        <v>9</v>
      </c>
      <c r="E172">
        <v>12</v>
      </c>
      <c r="F172">
        <v>16</v>
      </c>
      <c r="G172">
        <v>13</v>
      </c>
      <c r="H172">
        <v>11</v>
      </c>
      <c r="I172">
        <v>9</v>
      </c>
      <c r="Q172">
        <v>6</v>
      </c>
      <c r="R172">
        <v>5</v>
      </c>
      <c r="S172">
        <v>10</v>
      </c>
      <c r="T172">
        <v>8</v>
      </c>
      <c r="U172">
        <v>7</v>
      </c>
      <c r="V172">
        <v>4</v>
      </c>
      <c r="AD172">
        <v>7</v>
      </c>
      <c r="AE172">
        <v>9</v>
      </c>
      <c r="AF172">
        <v>6</v>
      </c>
      <c r="AG172">
        <v>8</v>
      </c>
      <c r="AH172">
        <v>6</v>
      </c>
      <c r="AI172">
        <v>4</v>
      </c>
      <c r="AQ172">
        <v>1</v>
      </c>
      <c r="AR172">
        <v>1</v>
      </c>
      <c r="AS172">
        <v>1</v>
      </c>
      <c r="BB172" s="12"/>
    </row>
    <row r="173" spans="1:54" x14ac:dyDescent="0.2">
      <c r="A173" s="27" t="s">
        <v>95</v>
      </c>
      <c r="B173" t="s">
        <v>137</v>
      </c>
      <c r="D173">
        <v>5</v>
      </c>
      <c r="E173">
        <v>4</v>
      </c>
      <c r="F173">
        <v>2</v>
      </c>
      <c r="G173">
        <v>4</v>
      </c>
      <c r="H173">
        <v>3</v>
      </c>
      <c r="I173">
        <v>5</v>
      </c>
      <c r="Q173">
        <v>4</v>
      </c>
      <c r="R173">
        <v>3</v>
      </c>
      <c r="S173">
        <v>2</v>
      </c>
      <c r="T173">
        <v>2</v>
      </c>
      <c r="U173">
        <v>2</v>
      </c>
      <c r="V173">
        <v>2</v>
      </c>
      <c r="AD173">
        <v>4</v>
      </c>
      <c r="AE173">
        <v>3</v>
      </c>
      <c r="AF173">
        <v>1</v>
      </c>
      <c r="AG173">
        <v>4</v>
      </c>
      <c r="AH173">
        <v>1</v>
      </c>
      <c r="AI173">
        <v>4</v>
      </c>
      <c r="BB173" s="12"/>
    </row>
    <row r="174" spans="1:54" x14ac:dyDescent="0.2">
      <c r="A174" s="27" t="s">
        <v>96</v>
      </c>
      <c r="B174" t="s">
        <v>137</v>
      </c>
      <c r="D174">
        <v>5</v>
      </c>
      <c r="E174">
        <v>8</v>
      </c>
      <c r="F174">
        <v>17</v>
      </c>
      <c r="G174">
        <v>21</v>
      </c>
      <c r="H174">
        <v>15</v>
      </c>
      <c r="I174">
        <v>9</v>
      </c>
      <c r="Q174">
        <v>1</v>
      </c>
      <c r="R174">
        <v>4</v>
      </c>
      <c r="S174">
        <v>4</v>
      </c>
      <c r="T174">
        <v>11</v>
      </c>
      <c r="U174">
        <v>9</v>
      </c>
      <c r="V174">
        <v>3</v>
      </c>
      <c r="AD174">
        <v>2</v>
      </c>
      <c r="AE174">
        <v>3</v>
      </c>
      <c r="AF174">
        <v>13</v>
      </c>
      <c r="AG174">
        <v>9</v>
      </c>
      <c r="AH174">
        <v>5</v>
      </c>
      <c r="AI174">
        <v>2</v>
      </c>
      <c r="AS174">
        <v>1</v>
      </c>
      <c r="BB174" s="12"/>
    </row>
    <row r="175" spans="1:54" x14ac:dyDescent="0.2">
      <c r="A175" s="27" t="s">
        <v>97</v>
      </c>
      <c r="B175" t="s">
        <v>137</v>
      </c>
      <c r="D175">
        <v>3</v>
      </c>
      <c r="E175">
        <v>2</v>
      </c>
      <c r="F175">
        <v>2</v>
      </c>
      <c r="G175">
        <v>3</v>
      </c>
      <c r="H175">
        <v>2</v>
      </c>
      <c r="I175">
        <v>3</v>
      </c>
      <c r="Q175">
        <v>2</v>
      </c>
      <c r="R175">
        <v>1</v>
      </c>
      <c r="S175">
        <v>1</v>
      </c>
      <c r="T175">
        <v>1</v>
      </c>
      <c r="V175">
        <v>2</v>
      </c>
      <c r="AD175">
        <v>2</v>
      </c>
      <c r="AE175">
        <v>1</v>
      </c>
      <c r="AF175">
        <v>1</v>
      </c>
      <c r="AG175">
        <v>1</v>
      </c>
      <c r="AH175">
        <v>1</v>
      </c>
      <c r="AI175">
        <v>1</v>
      </c>
      <c r="AR175">
        <v>1</v>
      </c>
      <c r="BB175" s="12"/>
    </row>
    <row r="176" spans="1:54" x14ac:dyDescent="0.2">
      <c r="A176" s="27" t="s">
        <v>98</v>
      </c>
      <c r="B176" t="s">
        <v>137</v>
      </c>
      <c r="D176">
        <v>7</v>
      </c>
      <c r="E176">
        <v>9</v>
      </c>
      <c r="F176">
        <v>8</v>
      </c>
      <c r="G176">
        <v>15</v>
      </c>
      <c r="H176">
        <v>12</v>
      </c>
      <c r="I176">
        <v>12</v>
      </c>
      <c r="Q176">
        <v>5</v>
      </c>
      <c r="R176">
        <v>6</v>
      </c>
      <c r="S176">
        <v>1</v>
      </c>
      <c r="T176">
        <v>3</v>
      </c>
      <c r="U176">
        <v>5</v>
      </c>
      <c r="V176">
        <v>3</v>
      </c>
      <c r="AD176">
        <v>6</v>
      </c>
      <c r="AE176">
        <v>6</v>
      </c>
      <c r="AF176">
        <v>5</v>
      </c>
      <c r="AG176">
        <v>6</v>
      </c>
      <c r="AH176">
        <v>2</v>
      </c>
      <c r="AI176">
        <v>5</v>
      </c>
      <c r="BB176" s="12"/>
    </row>
    <row r="177" spans="1:54" x14ac:dyDescent="0.2">
      <c r="A177" s="27" t="s">
        <v>99</v>
      </c>
      <c r="B177" t="s">
        <v>137</v>
      </c>
      <c r="D177">
        <v>171</v>
      </c>
      <c r="E177">
        <v>175</v>
      </c>
      <c r="F177">
        <v>233</v>
      </c>
      <c r="G177">
        <v>204</v>
      </c>
      <c r="H177">
        <v>198</v>
      </c>
      <c r="I177">
        <v>209</v>
      </c>
      <c r="Q177">
        <v>106</v>
      </c>
      <c r="R177">
        <v>78</v>
      </c>
      <c r="S177">
        <v>110</v>
      </c>
      <c r="T177">
        <v>92</v>
      </c>
      <c r="U177">
        <v>93</v>
      </c>
      <c r="V177">
        <v>87</v>
      </c>
      <c r="AD177">
        <v>110</v>
      </c>
      <c r="AE177">
        <v>102</v>
      </c>
      <c r="AF177">
        <v>120</v>
      </c>
      <c r="AG177">
        <v>99</v>
      </c>
      <c r="AH177">
        <v>91</v>
      </c>
      <c r="AI177">
        <v>84</v>
      </c>
      <c r="AQ177">
        <v>2</v>
      </c>
      <c r="AR177">
        <v>3</v>
      </c>
      <c r="AS177">
        <v>5</v>
      </c>
      <c r="AT177">
        <v>1</v>
      </c>
      <c r="AV177">
        <v>1</v>
      </c>
      <c r="BB177" s="12"/>
    </row>
    <row r="178" spans="1:54" x14ac:dyDescent="0.2">
      <c r="A178" s="27" t="s">
        <v>100</v>
      </c>
      <c r="B178" t="s">
        <v>137</v>
      </c>
      <c r="BB178" s="12"/>
    </row>
    <row r="179" spans="1:54" x14ac:dyDescent="0.2">
      <c r="A179" s="27" t="s">
        <v>101</v>
      </c>
      <c r="B179" t="s">
        <v>137</v>
      </c>
      <c r="D179">
        <v>9</v>
      </c>
      <c r="E179">
        <v>10</v>
      </c>
      <c r="F179">
        <v>10</v>
      </c>
      <c r="G179">
        <v>9</v>
      </c>
      <c r="H179">
        <v>6</v>
      </c>
      <c r="I179">
        <v>8</v>
      </c>
      <c r="Q179">
        <v>4</v>
      </c>
      <c r="R179">
        <v>4</v>
      </c>
      <c r="S179">
        <v>4</v>
      </c>
      <c r="T179">
        <v>3</v>
      </c>
      <c r="U179">
        <v>4</v>
      </c>
      <c r="V179">
        <v>4</v>
      </c>
      <c r="AD179">
        <v>5</v>
      </c>
      <c r="AE179">
        <v>5</v>
      </c>
      <c r="AF179">
        <v>3</v>
      </c>
      <c r="AG179">
        <v>6</v>
      </c>
      <c r="AH179">
        <v>1</v>
      </c>
      <c r="AI179">
        <v>3</v>
      </c>
      <c r="AQ179">
        <v>1</v>
      </c>
      <c r="AS179">
        <v>1</v>
      </c>
      <c r="BB179" s="12"/>
    </row>
    <row r="180" spans="1:54" x14ac:dyDescent="0.2">
      <c r="A180" s="27" t="s">
        <v>102</v>
      </c>
      <c r="B180" t="s">
        <v>137</v>
      </c>
      <c r="D180">
        <v>21</v>
      </c>
      <c r="E180">
        <v>15</v>
      </c>
      <c r="F180">
        <v>22</v>
      </c>
      <c r="G180">
        <v>30</v>
      </c>
      <c r="H180">
        <v>21</v>
      </c>
      <c r="I180">
        <v>16</v>
      </c>
      <c r="Q180">
        <v>10</v>
      </c>
      <c r="R180">
        <v>7</v>
      </c>
      <c r="S180">
        <v>6</v>
      </c>
      <c r="T180">
        <v>15</v>
      </c>
      <c r="U180">
        <v>8</v>
      </c>
      <c r="V180">
        <v>5</v>
      </c>
      <c r="AD180">
        <v>14</v>
      </c>
      <c r="AE180">
        <v>4</v>
      </c>
      <c r="AF180">
        <v>13</v>
      </c>
      <c r="AG180">
        <v>11</v>
      </c>
      <c r="AH180">
        <v>8</v>
      </c>
      <c r="AI180">
        <v>2</v>
      </c>
      <c r="BB180" s="12"/>
    </row>
    <row r="181" spans="1:54" x14ac:dyDescent="0.2">
      <c r="A181" s="27" t="s">
        <v>103</v>
      </c>
      <c r="B181" t="s">
        <v>137</v>
      </c>
      <c r="D181">
        <v>7</v>
      </c>
      <c r="E181">
        <v>5</v>
      </c>
      <c r="F181">
        <v>5</v>
      </c>
      <c r="G181">
        <v>8</v>
      </c>
      <c r="H181">
        <v>9</v>
      </c>
      <c r="I181">
        <v>8</v>
      </c>
      <c r="Q181">
        <v>4</v>
      </c>
      <c r="R181">
        <v>3</v>
      </c>
      <c r="S181">
        <v>3</v>
      </c>
      <c r="T181">
        <v>3</v>
      </c>
      <c r="U181">
        <v>4</v>
      </c>
      <c r="V181">
        <v>3</v>
      </c>
      <c r="AD181">
        <v>5</v>
      </c>
      <c r="AE181">
        <v>2</v>
      </c>
      <c r="AF181">
        <v>3</v>
      </c>
      <c r="AG181">
        <v>5</v>
      </c>
      <c r="AH181">
        <v>5</v>
      </c>
      <c r="AI181">
        <v>3</v>
      </c>
      <c r="AR181">
        <v>2</v>
      </c>
      <c r="BB181" s="12"/>
    </row>
    <row r="182" spans="1:54" x14ac:dyDescent="0.2">
      <c r="A182" s="27" t="s">
        <v>104</v>
      </c>
      <c r="B182" t="s">
        <v>137</v>
      </c>
      <c r="D182">
        <v>10</v>
      </c>
      <c r="E182">
        <v>9</v>
      </c>
      <c r="F182">
        <v>15</v>
      </c>
      <c r="G182">
        <v>16</v>
      </c>
      <c r="H182">
        <v>12</v>
      </c>
      <c r="I182">
        <v>12</v>
      </c>
      <c r="Q182">
        <v>4</v>
      </c>
      <c r="R182">
        <v>4</v>
      </c>
      <c r="S182">
        <v>4</v>
      </c>
      <c r="T182">
        <v>6</v>
      </c>
      <c r="U182">
        <v>3</v>
      </c>
      <c r="V182">
        <v>3</v>
      </c>
      <c r="AD182">
        <v>3</v>
      </c>
      <c r="AE182">
        <v>3</v>
      </c>
      <c r="AF182">
        <v>10</v>
      </c>
      <c r="AG182">
        <v>3</v>
      </c>
      <c r="AH182">
        <v>3</v>
      </c>
      <c r="AI182">
        <v>3</v>
      </c>
      <c r="BB182" s="12"/>
    </row>
    <row r="183" spans="1:54" x14ac:dyDescent="0.2">
      <c r="A183" s="27" t="s">
        <v>105</v>
      </c>
      <c r="B183" t="s">
        <v>137</v>
      </c>
      <c r="D183">
        <v>20</v>
      </c>
      <c r="E183">
        <v>31</v>
      </c>
      <c r="F183">
        <v>40</v>
      </c>
      <c r="G183">
        <v>43</v>
      </c>
      <c r="H183">
        <v>36</v>
      </c>
      <c r="I183">
        <v>32</v>
      </c>
      <c r="Q183">
        <v>7</v>
      </c>
      <c r="R183">
        <v>13</v>
      </c>
      <c r="S183">
        <v>17</v>
      </c>
      <c r="T183">
        <v>23</v>
      </c>
      <c r="U183">
        <v>16</v>
      </c>
      <c r="V183">
        <v>14</v>
      </c>
      <c r="AD183">
        <v>12</v>
      </c>
      <c r="AE183">
        <v>17</v>
      </c>
      <c r="AF183">
        <v>21</v>
      </c>
      <c r="AG183">
        <v>20</v>
      </c>
      <c r="AH183">
        <v>18</v>
      </c>
      <c r="AI183">
        <v>10</v>
      </c>
      <c r="AR183">
        <v>2</v>
      </c>
      <c r="AT183">
        <v>1</v>
      </c>
      <c r="BB183" s="12"/>
    </row>
    <row r="184" spans="1:54" x14ac:dyDescent="0.2">
      <c r="A184" s="27" t="s">
        <v>106</v>
      </c>
      <c r="B184" t="s">
        <v>137</v>
      </c>
      <c r="F184">
        <v>1</v>
      </c>
      <c r="G184">
        <v>5</v>
      </c>
      <c r="H184">
        <v>1</v>
      </c>
      <c r="I184">
        <v>2</v>
      </c>
      <c r="S184">
        <v>1</v>
      </c>
      <c r="T184">
        <v>3</v>
      </c>
      <c r="AF184">
        <v>1</v>
      </c>
      <c r="AG184">
        <v>4</v>
      </c>
      <c r="AI184">
        <v>1</v>
      </c>
      <c r="BB184" s="12"/>
    </row>
    <row r="185" spans="1:54" x14ac:dyDescent="0.2">
      <c r="A185" s="27" t="s">
        <v>107</v>
      </c>
      <c r="B185" t="s">
        <v>137</v>
      </c>
      <c r="D185">
        <v>2</v>
      </c>
      <c r="E185">
        <v>2</v>
      </c>
      <c r="F185">
        <v>3</v>
      </c>
      <c r="G185">
        <v>2</v>
      </c>
      <c r="H185">
        <v>3</v>
      </c>
      <c r="I185">
        <v>2</v>
      </c>
      <c r="T185">
        <v>1</v>
      </c>
      <c r="U185">
        <v>1</v>
      </c>
      <c r="V185">
        <v>1</v>
      </c>
      <c r="AF185">
        <v>1</v>
      </c>
      <c r="AH185">
        <v>1</v>
      </c>
      <c r="BB185" s="12"/>
    </row>
    <row r="186" spans="1:54" x14ac:dyDescent="0.2">
      <c r="A186" s="27" t="s">
        <v>108</v>
      </c>
      <c r="B186" t="s">
        <v>137</v>
      </c>
      <c r="D186">
        <v>6</v>
      </c>
      <c r="E186">
        <v>5</v>
      </c>
      <c r="F186">
        <v>5</v>
      </c>
      <c r="G186">
        <v>5</v>
      </c>
      <c r="H186">
        <v>4</v>
      </c>
      <c r="I186">
        <v>3</v>
      </c>
      <c r="Q186">
        <v>3</v>
      </c>
      <c r="R186">
        <v>4</v>
      </c>
      <c r="S186">
        <v>1</v>
      </c>
      <c r="T186">
        <v>2</v>
      </c>
      <c r="U186">
        <v>3</v>
      </c>
      <c r="AD186">
        <v>3</v>
      </c>
      <c r="AE186">
        <v>2</v>
      </c>
      <c r="AF186">
        <v>3</v>
      </c>
      <c r="AG186">
        <v>2</v>
      </c>
      <c r="AI186">
        <v>2</v>
      </c>
      <c r="BB186" s="12"/>
    </row>
    <row r="187" spans="1:54" x14ac:dyDescent="0.2">
      <c r="A187" s="27" t="s">
        <v>109</v>
      </c>
      <c r="B187" t="s">
        <v>137</v>
      </c>
      <c r="D187">
        <v>18</v>
      </c>
      <c r="E187">
        <v>16</v>
      </c>
      <c r="F187">
        <v>23</v>
      </c>
      <c r="G187">
        <v>23</v>
      </c>
      <c r="H187">
        <v>22</v>
      </c>
      <c r="I187">
        <v>22</v>
      </c>
      <c r="Q187">
        <v>12</v>
      </c>
      <c r="R187">
        <v>9</v>
      </c>
      <c r="S187">
        <v>11</v>
      </c>
      <c r="T187">
        <v>7</v>
      </c>
      <c r="U187">
        <v>12</v>
      </c>
      <c r="V187">
        <v>9</v>
      </c>
      <c r="AD187">
        <v>11</v>
      </c>
      <c r="AE187">
        <v>9</v>
      </c>
      <c r="AF187">
        <v>14</v>
      </c>
      <c r="AG187">
        <v>13</v>
      </c>
      <c r="AH187">
        <v>8</v>
      </c>
      <c r="AI187">
        <v>9</v>
      </c>
      <c r="AR187">
        <v>1</v>
      </c>
      <c r="BB187" s="12"/>
    </row>
    <row r="188" spans="1:54" x14ac:dyDescent="0.2">
      <c r="A188" s="27" t="s">
        <v>110</v>
      </c>
      <c r="B188" t="s">
        <v>137</v>
      </c>
      <c r="D188">
        <v>16</v>
      </c>
      <c r="E188">
        <v>15</v>
      </c>
      <c r="F188">
        <v>20</v>
      </c>
      <c r="G188">
        <v>12</v>
      </c>
      <c r="H188">
        <v>14</v>
      </c>
      <c r="I188">
        <v>15</v>
      </c>
      <c r="Q188">
        <v>7</v>
      </c>
      <c r="R188">
        <v>2</v>
      </c>
      <c r="S188">
        <v>6</v>
      </c>
      <c r="T188">
        <v>6</v>
      </c>
      <c r="U188">
        <v>4</v>
      </c>
      <c r="V188">
        <v>6</v>
      </c>
      <c r="AD188">
        <v>9</v>
      </c>
      <c r="AE188">
        <v>6</v>
      </c>
      <c r="AF188">
        <v>6</v>
      </c>
      <c r="AG188">
        <v>2</v>
      </c>
      <c r="AH188">
        <v>7</v>
      </c>
      <c r="AI188">
        <v>2</v>
      </c>
      <c r="AT188">
        <v>1</v>
      </c>
      <c r="BB188" s="12"/>
    </row>
    <row r="189" spans="1:54" x14ac:dyDescent="0.2">
      <c r="A189" s="27" t="s">
        <v>111</v>
      </c>
      <c r="B189" t="s">
        <v>137</v>
      </c>
      <c r="D189">
        <v>182</v>
      </c>
      <c r="E189">
        <v>185</v>
      </c>
      <c r="F189">
        <v>216</v>
      </c>
      <c r="G189">
        <v>191</v>
      </c>
      <c r="H189">
        <v>196</v>
      </c>
      <c r="I189">
        <v>199</v>
      </c>
      <c r="Q189">
        <v>92</v>
      </c>
      <c r="R189">
        <v>87</v>
      </c>
      <c r="S189">
        <v>87</v>
      </c>
      <c r="T189">
        <v>95</v>
      </c>
      <c r="U189">
        <v>88</v>
      </c>
      <c r="V189">
        <v>82</v>
      </c>
      <c r="AD189">
        <v>111</v>
      </c>
      <c r="AE189">
        <v>92</v>
      </c>
      <c r="AF189">
        <v>108</v>
      </c>
      <c r="AG189">
        <v>80</v>
      </c>
      <c r="AH189">
        <v>94</v>
      </c>
      <c r="AI189">
        <v>80</v>
      </c>
      <c r="AR189">
        <v>9</v>
      </c>
      <c r="AS189">
        <v>8</v>
      </c>
      <c r="AT189">
        <v>1</v>
      </c>
      <c r="AU189">
        <v>2</v>
      </c>
      <c r="BB189" s="12"/>
    </row>
    <row r="190" spans="1:54" x14ac:dyDescent="0.2">
      <c r="A190" s="27" t="s">
        <v>112</v>
      </c>
      <c r="B190" t="s">
        <v>137</v>
      </c>
      <c r="D190">
        <v>202</v>
      </c>
      <c r="E190">
        <v>230</v>
      </c>
      <c r="F190">
        <v>270</v>
      </c>
      <c r="G190">
        <v>258</v>
      </c>
      <c r="H190">
        <v>238</v>
      </c>
      <c r="I190">
        <v>253</v>
      </c>
      <c r="Q190">
        <v>98</v>
      </c>
      <c r="R190">
        <v>100</v>
      </c>
      <c r="S190">
        <v>105</v>
      </c>
      <c r="T190">
        <v>125</v>
      </c>
      <c r="U190">
        <v>110</v>
      </c>
      <c r="V190">
        <v>105</v>
      </c>
      <c r="AD190">
        <v>122</v>
      </c>
      <c r="AE190">
        <v>117</v>
      </c>
      <c r="AF190">
        <v>125</v>
      </c>
      <c r="AG190">
        <v>116</v>
      </c>
      <c r="AH190">
        <v>105</v>
      </c>
      <c r="AI190">
        <v>98</v>
      </c>
      <c r="AR190">
        <v>8</v>
      </c>
      <c r="AS190">
        <v>9</v>
      </c>
      <c r="AT190">
        <v>4</v>
      </c>
      <c r="AU190">
        <v>1</v>
      </c>
      <c r="AV190">
        <v>1</v>
      </c>
      <c r="BB190" s="12"/>
    </row>
    <row r="191" spans="1:54" x14ac:dyDescent="0.2">
      <c r="A191" s="27" t="s">
        <v>113</v>
      </c>
      <c r="B191" t="s">
        <v>137</v>
      </c>
      <c r="D191">
        <v>150</v>
      </c>
      <c r="E191">
        <v>162</v>
      </c>
      <c r="F191">
        <v>195</v>
      </c>
      <c r="G191">
        <v>229</v>
      </c>
      <c r="H191">
        <v>209</v>
      </c>
      <c r="I191">
        <v>176</v>
      </c>
      <c r="Q191">
        <v>77</v>
      </c>
      <c r="R191">
        <v>73</v>
      </c>
      <c r="S191">
        <v>80</v>
      </c>
      <c r="T191">
        <v>105</v>
      </c>
      <c r="U191">
        <v>107</v>
      </c>
      <c r="V191">
        <v>78</v>
      </c>
      <c r="AD191">
        <v>95</v>
      </c>
      <c r="AE191">
        <v>83</v>
      </c>
      <c r="AF191">
        <v>100</v>
      </c>
      <c r="AG191">
        <v>123</v>
      </c>
      <c r="AH191">
        <v>84</v>
      </c>
      <c r="AI191">
        <v>61</v>
      </c>
      <c r="AQ191">
        <v>3</v>
      </c>
      <c r="AS191">
        <v>3</v>
      </c>
      <c r="BB191" s="12"/>
    </row>
    <row r="192" spans="1:54" x14ac:dyDescent="0.2">
      <c r="A192" s="27" t="s">
        <v>114</v>
      </c>
      <c r="B192" t="s">
        <v>137</v>
      </c>
      <c r="D192">
        <v>74</v>
      </c>
      <c r="E192">
        <v>112</v>
      </c>
      <c r="F192">
        <v>114</v>
      </c>
      <c r="G192">
        <v>118</v>
      </c>
      <c r="H192">
        <v>113</v>
      </c>
      <c r="I192">
        <v>127</v>
      </c>
      <c r="Q192">
        <v>35</v>
      </c>
      <c r="R192">
        <v>63</v>
      </c>
      <c r="S192">
        <v>54</v>
      </c>
      <c r="T192">
        <v>49</v>
      </c>
      <c r="U192">
        <v>40</v>
      </c>
      <c r="V192">
        <v>49</v>
      </c>
      <c r="AD192">
        <v>45</v>
      </c>
      <c r="AE192">
        <v>66</v>
      </c>
      <c r="AF192">
        <v>51</v>
      </c>
      <c r="AG192">
        <v>61</v>
      </c>
      <c r="AH192">
        <v>54</v>
      </c>
      <c r="AI192">
        <v>41</v>
      </c>
      <c r="AQ192">
        <v>4</v>
      </c>
      <c r="AR192">
        <v>5</v>
      </c>
      <c r="AS192">
        <v>2</v>
      </c>
      <c r="AT192">
        <v>1</v>
      </c>
      <c r="AU192">
        <v>1</v>
      </c>
      <c r="AV192">
        <v>2</v>
      </c>
      <c r="BB192" s="12"/>
    </row>
    <row r="193" spans="1:54" x14ac:dyDescent="0.2">
      <c r="A193" s="27" t="s">
        <v>115</v>
      </c>
      <c r="B193" t="s">
        <v>137</v>
      </c>
      <c r="D193">
        <v>419</v>
      </c>
      <c r="E193">
        <v>492</v>
      </c>
      <c r="F193">
        <v>571</v>
      </c>
      <c r="G193">
        <v>619</v>
      </c>
      <c r="H193">
        <v>557</v>
      </c>
      <c r="I193">
        <v>509</v>
      </c>
      <c r="Q193">
        <v>189</v>
      </c>
      <c r="R193">
        <v>208</v>
      </c>
      <c r="S193">
        <v>224</v>
      </c>
      <c r="T193">
        <v>253</v>
      </c>
      <c r="U193">
        <v>249</v>
      </c>
      <c r="V193">
        <v>198</v>
      </c>
      <c r="AD193">
        <v>246</v>
      </c>
      <c r="AE193">
        <v>238</v>
      </c>
      <c r="AF193">
        <v>258</v>
      </c>
      <c r="AG193">
        <v>289</v>
      </c>
      <c r="AH193">
        <v>216</v>
      </c>
      <c r="AI193">
        <v>163</v>
      </c>
      <c r="AQ193">
        <v>5</v>
      </c>
      <c r="AR193">
        <v>17</v>
      </c>
      <c r="AS193">
        <v>12</v>
      </c>
      <c r="AT193">
        <v>6</v>
      </c>
      <c r="AU193">
        <v>4</v>
      </c>
      <c r="AV193">
        <v>1</v>
      </c>
      <c r="BB193" s="12"/>
    </row>
    <row r="194" spans="1:54" x14ac:dyDescent="0.2">
      <c r="A194" s="27" t="s">
        <v>116</v>
      </c>
      <c r="B194" t="s">
        <v>137</v>
      </c>
      <c r="D194">
        <v>230</v>
      </c>
      <c r="E194">
        <v>266</v>
      </c>
      <c r="F194">
        <v>322</v>
      </c>
      <c r="G194">
        <v>348</v>
      </c>
      <c r="H194">
        <v>303</v>
      </c>
      <c r="I194">
        <v>284</v>
      </c>
      <c r="Q194">
        <v>101</v>
      </c>
      <c r="R194">
        <v>127</v>
      </c>
      <c r="S194">
        <v>123</v>
      </c>
      <c r="T194">
        <v>154</v>
      </c>
      <c r="U194">
        <v>137</v>
      </c>
      <c r="V194">
        <v>111</v>
      </c>
      <c r="AD194">
        <v>147</v>
      </c>
      <c r="AE194">
        <v>131</v>
      </c>
      <c r="AF194">
        <v>161</v>
      </c>
      <c r="AG194">
        <v>168</v>
      </c>
      <c r="AH194">
        <v>123</v>
      </c>
      <c r="AI194">
        <v>87</v>
      </c>
      <c r="AQ194">
        <v>4</v>
      </c>
      <c r="AR194">
        <v>13</v>
      </c>
      <c r="AS194">
        <v>3</v>
      </c>
      <c r="AT194">
        <v>6</v>
      </c>
      <c r="AV194">
        <v>1</v>
      </c>
      <c r="BB194" s="12"/>
    </row>
    <row r="195" spans="1:54" x14ac:dyDescent="0.2">
      <c r="A195" s="27" t="s">
        <v>117</v>
      </c>
      <c r="B195" t="s">
        <v>137</v>
      </c>
      <c r="D195">
        <v>394</v>
      </c>
      <c r="E195">
        <v>485</v>
      </c>
      <c r="F195">
        <v>550</v>
      </c>
      <c r="G195">
        <v>500</v>
      </c>
      <c r="H195">
        <v>444</v>
      </c>
      <c r="I195">
        <v>463</v>
      </c>
      <c r="Q195">
        <v>154</v>
      </c>
      <c r="R195">
        <v>215</v>
      </c>
      <c r="S195">
        <v>208</v>
      </c>
      <c r="T195">
        <v>238</v>
      </c>
      <c r="U195">
        <v>202</v>
      </c>
      <c r="V195">
        <v>188</v>
      </c>
      <c r="AD195">
        <v>238</v>
      </c>
      <c r="AE195">
        <v>213</v>
      </c>
      <c r="AF195">
        <v>259</v>
      </c>
      <c r="AG195">
        <v>211</v>
      </c>
      <c r="AH195">
        <v>175</v>
      </c>
      <c r="AI195">
        <v>174</v>
      </c>
      <c r="AQ195">
        <v>2</v>
      </c>
      <c r="AR195">
        <v>17</v>
      </c>
      <c r="AS195">
        <v>14</v>
      </c>
      <c r="AT195">
        <v>2</v>
      </c>
      <c r="AU195">
        <v>1</v>
      </c>
      <c r="AV195">
        <v>2</v>
      </c>
      <c r="BB195" s="12"/>
    </row>
    <row r="196" spans="1:54" x14ac:dyDescent="0.2">
      <c r="A196" s="27" t="s">
        <v>118</v>
      </c>
      <c r="B196" t="s">
        <v>137</v>
      </c>
      <c r="D196">
        <v>424</v>
      </c>
      <c r="E196">
        <v>494</v>
      </c>
      <c r="F196">
        <v>623</v>
      </c>
      <c r="G196">
        <v>656</v>
      </c>
      <c r="H196">
        <v>586</v>
      </c>
      <c r="I196">
        <v>556</v>
      </c>
      <c r="Q196">
        <v>194</v>
      </c>
      <c r="R196">
        <v>212</v>
      </c>
      <c r="S196">
        <v>244</v>
      </c>
      <c r="T196">
        <v>302</v>
      </c>
      <c r="U196">
        <v>281</v>
      </c>
      <c r="V196">
        <v>224</v>
      </c>
      <c r="AD196">
        <v>265</v>
      </c>
      <c r="AE196">
        <v>246</v>
      </c>
      <c r="AF196">
        <v>299</v>
      </c>
      <c r="AG196">
        <v>310</v>
      </c>
      <c r="AH196">
        <v>248</v>
      </c>
      <c r="AI196">
        <v>200</v>
      </c>
      <c r="AQ196">
        <v>3</v>
      </c>
      <c r="AR196">
        <v>16</v>
      </c>
      <c r="AS196">
        <v>16</v>
      </c>
      <c r="AT196">
        <v>5</v>
      </c>
      <c r="AU196">
        <v>5</v>
      </c>
      <c r="BB196" s="12"/>
    </row>
    <row r="197" spans="1:54" x14ac:dyDescent="0.2">
      <c r="A197" s="27" t="s">
        <v>119</v>
      </c>
      <c r="B197" t="s">
        <v>137</v>
      </c>
      <c r="D197">
        <v>204</v>
      </c>
      <c r="E197">
        <v>229</v>
      </c>
      <c r="F197">
        <v>295</v>
      </c>
      <c r="G197">
        <v>258</v>
      </c>
      <c r="H197">
        <v>252</v>
      </c>
      <c r="I197">
        <v>254</v>
      </c>
      <c r="Q197">
        <v>113</v>
      </c>
      <c r="R197">
        <v>95</v>
      </c>
      <c r="S197">
        <v>109</v>
      </c>
      <c r="T197">
        <v>126</v>
      </c>
      <c r="U197">
        <v>116</v>
      </c>
      <c r="V197">
        <v>98</v>
      </c>
      <c r="AD197">
        <v>97</v>
      </c>
      <c r="AE197">
        <v>123</v>
      </c>
      <c r="AF197">
        <v>146</v>
      </c>
      <c r="AG197">
        <v>115</v>
      </c>
      <c r="AH197">
        <v>116</v>
      </c>
      <c r="AI197">
        <v>90</v>
      </c>
      <c r="AQ197">
        <v>2</v>
      </c>
      <c r="AR197">
        <v>6</v>
      </c>
      <c r="AS197">
        <v>6</v>
      </c>
      <c r="AU197">
        <v>4</v>
      </c>
      <c r="BB197" s="12"/>
    </row>
    <row r="198" spans="1:54" x14ac:dyDescent="0.2">
      <c r="A198" s="27" t="s">
        <v>120</v>
      </c>
      <c r="B198" t="s">
        <v>137</v>
      </c>
      <c r="D198">
        <v>181</v>
      </c>
      <c r="E198">
        <v>213</v>
      </c>
      <c r="F198">
        <v>271</v>
      </c>
      <c r="G198">
        <v>265</v>
      </c>
      <c r="H198">
        <v>218</v>
      </c>
      <c r="I198">
        <v>215</v>
      </c>
      <c r="Q198">
        <v>79</v>
      </c>
      <c r="R198">
        <v>93</v>
      </c>
      <c r="S198">
        <v>98</v>
      </c>
      <c r="T198">
        <v>125</v>
      </c>
      <c r="U198">
        <v>94</v>
      </c>
      <c r="V198">
        <v>72</v>
      </c>
      <c r="AD198">
        <v>104</v>
      </c>
      <c r="AE198">
        <v>94</v>
      </c>
      <c r="AF198">
        <v>134</v>
      </c>
      <c r="AG198">
        <v>114</v>
      </c>
      <c r="AH198">
        <v>87</v>
      </c>
      <c r="AI198">
        <v>68</v>
      </c>
      <c r="AR198">
        <v>9</v>
      </c>
      <c r="AS198">
        <v>5</v>
      </c>
      <c r="AT198">
        <v>3</v>
      </c>
      <c r="BB198" s="12"/>
    </row>
    <row r="199" spans="1:54" x14ac:dyDescent="0.2">
      <c r="A199" s="27" t="s">
        <v>121</v>
      </c>
      <c r="B199" t="s">
        <v>137</v>
      </c>
      <c r="D199">
        <v>183</v>
      </c>
      <c r="E199">
        <v>186</v>
      </c>
      <c r="F199">
        <v>234</v>
      </c>
      <c r="G199">
        <v>211</v>
      </c>
      <c r="H199">
        <v>198</v>
      </c>
      <c r="I199">
        <v>213</v>
      </c>
      <c r="Q199">
        <v>77</v>
      </c>
      <c r="R199">
        <v>84</v>
      </c>
      <c r="S199">
        <v>89</v>
      </c>
      <c r="T199">
        <v>97</v>
      </c>
      <c r="U199">
        <v>88</v>
      </c>
      <c r="V199">
        <v>78</v>
      </c>
      <c r="AD199">
        <v>99</v>
      </c>
      <c r="AE199">
        <v>67</v>
      </c>
      <c r="AF199">
        <v>121</v>
      </c>
      <c r="AG199">
        <v>85</v>
      </c>
      <c r="AH199">
        <v>82</v>
      </c>
      <c r="AI199">
        <v>82</v>
      </c>
      <c r="AQ199">
        <v>2</v>
      </c>
      <c r="AR199">
        <v>7</v>
      </c>
      <c r="AS199">
        <v>10</v>
      </c>
      <c r="AT199">
        <v>4</v>
      </c>
      <c r="AU199">
        <v>3</v>
      </c>
      <c r="BB199" s="12"/>
    </row>
    <row r="200" spans="1:54" x14ac:dyDescent="0.2">
      <c r="A200" s="59" t="s">
        <v>122</v>
      </c>
      <c r="B200" t="s">
        <v>137</v>
      </c>
      <c r="D200">
        <v>123</v>
      </c>
      <c r="E200">
        <v>147</v>
      </c>
      <c r="F200">
        <v>192</v>
      </c>
      <c r="G200">
        <v>174</v>
      </c>
      <c r="H200">
        <v>194</v>
      </c>
      <c r="I200">
        <v>186</v>
      </c>
      <c r="Q200">
        <v>55</v>
      </c>
      <c r="R200">
        <v>53</v>
      </c>
      <c r="S200">
        <v>83</v>
      </c>
      <c r="T200">
        <v>83</v>
      </c>
      <c r="U200">
        <v>90</v>
      </c>
      <c r="V200">
        <v>79</v>
      </c>
      <c r="AD200">
        <v>77</v>
      </c>
      <c r="AE200">
        <v>73</v>
      </c>
      <c r="AF200">
        <v>88</v>
      </c>
      <c r="AG200">
        <v>85</v>
      </c>
      <c r="AH200">
        <v>96</v>
      </c>
      <c r="AI200">
        <v>70</v>
      </c>
      <c r="AQ200">
        <v>1</v>
      </c>
      <c r="AR200">
        <v>6</v>
      </c>
      <c r="AS200">
        <v>2</v>
      </c>
      <c r="AT200">
        <v>1</v>
      </c>
      <c r="AU200">
        <v>2</v>
      </c>
      <c r="BB200" s="12"/>
    </row>
    <row r="201" spans="1:54" x14ac:dyDescent="0.2">
      <c r="A201" s="27" t="s">
        <v>123</v>
      </c>
      <c r="B201" t="s">
        <v>137</v>
      </c>
      <c r="BB201" s="12"/>
    </row>
    <row r="202" spans="1:54" x14ac:dyDescent="0.2">
      <c r="A202" s="27" t="s">
        <v>124</v>
      </c>
      <c r="B202" t="s">
        <v>137</v>
      </c>
      <c r="BB202" s="12"/>
    </row>
    <row r="203" spans="1:54" x14ac:dyDescent="0.2">
      <c r="A203" s="27" t="s">
        <v>125</v>
      </c>
      <c r="B203" t="s">
        <v>137</v>
      </c>
      <c r="D203">
        <v>196</v>
      </c>
      <c r="E203">
        <v>234</v>
      </c>
      <c r="F203">
        <v>288</v>
      </c>
      <c r="G203">
        <v>284</v>
      </c>
      <c r="H203">
        <v>252</v>
      </c>
      <c r="I203">
        <v>256</v>
      </c>
      <c r="Q203">
        <v>103</v>
      </c>
      <c r="R203">
        <v>116</v>
      </c>
      <c r="S203">
        <v>120</v>
      </c>
      <c r="T203">
        <v>144</v>
      </c>
      <c r="U203">
        <v>125</v>
      </c>
      <c r="V203">
        <v>113</v>
      </c>
      <c r="AD203">
        <v>114</v>
      </c>
      <c r="AE203">
        <v>126</v>
      </c>
      <c r="AF203">
        <v>157</v>
      </c>
      <c r="AG203">
        <v>137</v>
      </c>
      <c r="AH203">
        <v>115</v>
      </c>
      <c r="AI203">
        <v>110</v>
      </c>
      <c r="AQ203">
        <v>3</v>
      </c>
      <c r="AR203">
        <v>10</v>
      </c>
      <c r="AS203">
        <v>5</v>
      </c>
      <c r="AT203">
        <v>2</v>
      </c>
      <c r="AU203">
        <v>3</v>
      </c>
      <c r="BB203" s="12"/>
    </row>
    <row r="204" spans="1:54" x14ac:dyDescent="0.2">
      <c r="A204" s="27" t="s">
        <v>126</v>
      </c>
      <c r="B204" t="s">
        <v>137</v>
      </c>
      <c r="D204">
        <v>169</v>
      </c>
      <c r="E204">
        <v>179</v>
      </c>
      <c r="F204">
        <v>205</v>
      </c>
      <c r="G204">
        <v>209</v>
      </c>
      <c r="H204">
        <v>205</v>
      </c>
      <c r="I204">
        <v>214</v>
      </c>
      <c r="Q204">
        <v>87</v>
      </c>
      <c r="R204">
        <v>78</v>
      </c>
      <c r="S204">
        <v>87</v>
      </c>
      <c r="T204">
        <v>89</v>
      </c>
      <c r="U204">
        <v>89</v>
      </c>
      <c r="V204">
        <v>85</v>
      </c>
      <c r="AD204">
        <v>104</v>
      </c>
      <c r="AE204">
        <v>91</v>
      </c>
      <c r="AF204">
        <v>94</v>
      </c>
      <c r="AG204">
        <v>102</v>
      </c>
      <c r="AH204">
        <v>98</v>
      </c>
      <c r="AI204">
        <v>79</v>
      </c>
      <c r="AQ204">
        <v>4</v>
      </c>
      <c r="AR204">
        <v>6</v>
      </c>
      <c r="AS204">
        <v>6</v>
      </c>
      <c r="AT204">
        <v>1</v>
      </c>
      <c r="AU204">
        <v>3</v>
      </c>
      <c r="BB204" s="12"/>
    </row>
    <row r="205" spans="1:54" x14ac:dyDescent="0.2">
      <c r="A205" s="27">
        <v>99228</v>
      </c>
      <c r="B205" t="s">
        <v>137</v>
      </c>
      <c r="BB205" s="12"/>
    </row>
    <row r="206" spans="1:54" x14ac:dyDescent="0.2">
      <c r="A206" s="27" t="s">
        <v>127</v>
      </c>
      <c r="B206" t="s">
        <v>137</v>
      </c>
      <c r="BB206" s="12"/>
    </row>
    <row r="207" spans="1:54" x14ac:dyDescent="0.2">
      <c r="A207" s="27" t="s">
        <v>128</v>
      </c>
      <c r="B207" t="s">
        <v>137</v>
      </c>
      <c r="D207">
        <v>3</v>
      </c>
      <c r="E207">
        <v>4</v>
      </c>
      <c r="F207">
        <v>2</v>
      </c>
      <c r="G207">
        <v>6</v>
      </c>
      <c r="H207">
        <v>4</v>
      </c>
      <c r="I207">
        <v>1</v>
      </c>
      <c r="Q207">
        <v>1</v>
      </c>
      <c r="R207">
        <v>2</v>
      </c>
      <c r="T207">
        <v>3</v>
      </c>
      <c r="U207">
        <v>3</v>
      </c>
      <c r="AD207">
        <v>1</v>
      </c>
      <c r="AE207">
        <v>2</v>
      </c>
      <c r="AG207">
        <v>4</v>
      </c>
      <c r="AH207">
        <v>1</v>
      </c>
      <c r="AR207">
        <v>1</v>
      </c>
      <c r="BB207" s="12"/>
    </row>
    <row r="208" spans="1:54" x14ac:dyDescent="0.2">
      <c r="A208" s="27" t="s">
        <v>129</v>
      </c>
      <c r="B208" t="s">
        <v>137</v>
      </c>
      <c r="BB208" s="12"/>
    </row>
    <row r="209" spans="1:54" x14ac:dyDescent="0.2">
      <c r="A209" s="27" t="s">
        <v>130</v>
      </c>
      <c r="B209" t="s">
        <v>137</v>
      </c>
      <c r="D209">
        <v>5</v>
      </c>
      <c r="E209">
        <v>14</v>
      </c>
      <c r="F209">
        <v>10</v>
      </c>
      <c r="G209">
        <v>7</v>
      </c>
      <c r="H209">
        <v>9</v>
      </c>
      <c r="I209">
        <v>9</v>
      </c>
      <c r="Q209">
        <v>2</v>
      </c>
      <c r="R209">
        <v>5</v>
      </c>
      <c r="S209">
        <v>4</v>
      </c>
      <c r="T209">
        <v>2</v>
      </c>
      <c r="U209">
        <v>4</v>
      </c>
      <c r="V209">
        <v>2</v>
      </c>
      <c r="AD209">
        <v>2</v>
      </c>
      <c r="AE209">
        <v>9</v>
      </c>
      <c r="AF209">
        <v>1</v>
      </c>
      <c r="AG209">
        <v>2</v>
      </c>
      <c r="AH209">
        <v>3</v>
      </c>
      <c r="AI209">
        <v>4</v>
      </c>
      <c r="BB209" s="12"/>
    </row>
    <row r="210" spans="1:54" x14ac:dyDescent="0.2">
      <c r="A210" s="27" t="s">
        <v>131</v>
      </c>
      <c r="B210" t="s">
        <v>137</v>
      </c>
      <c r="D210">
        <v>99</v>
      </c>
      <c r="E210">
        <v>103</v>
      </c>
      <c r="F210">
        <v>122</v>
      </c>
      <c r="G210">
        <v>144</v>
      </c>
      <c r="H210">
        <v>116</v>
      </c>
      <c r="I210">
        <v>103</v>
      </c>
      <c r="Q210">
        <v>54</v>
      </c>
      <c r="R210">
        <v>52</v>
      </c>
      <c r="S210">
        <v>46</v>
      </c>
      <c r="T210">
        <v>75</v>
      </c>
      <c r="U210">
        <v>60</v>
      </c>
      <c r="V210">
        <v>53</v>
      </c>
      <c r="AD210">
        <v>67</v>
      </c>
      <c r="AE210">
        <v>55</v>
      </c>
      <c r="AF210">
        <v>68</v>
      </c>
      <c r="AG210">
        <v>72</v>
      </c>
      <c r="AH210">
        <v>47</v>
      </c>
      <c r="AI210">
        <v>36</v>
      </c>
      <c r="AQ210">
        <v>1</v>
      </c>
      <c r="AR210">
        <v>6</v>
      </c>
      <c r="AS210">
        <v>7</v>
      </c>
      <c r="AT210">
        <v>1</v>
      </c>
      <c r="AU210">
        <v>1</v>
      </c>
      <c r="BB210" s="12"/>
    </row>
    <row r="211" spans="1:54" x14ac:dyDescent="0.2">
      <c r="A211" s="27" t="s">
        <v>132</v>
      </c>
      <c r="B211" t="s">
        <v>137</v>
      </c>
      <c r="D211">
        <v>5</v>
      </c>
      <c r="E211">
        <v>4</v>
      </c>
      <c r="F211">
        <v>5</v>
      </c>
      <c r="G211">
        <v>2</v>
      </c>
      <c r="I211">
        <v>2</v>
      </c>
      <c r="Q211">
        <v>4</v>
      </c>
      <c r="R211">
        <v>2</v>
      </c>
      <c r="S211">
        <v>5</v>
      </c>
      <c r="T211">
        <v>2</v>
      </c>
      <c r="V211">
        <v>2</v>
      </c>
      <c r="AD211">
        <v>3</v>
      </c>
      <c r="AE211">
        <v>2</v>
      </c>
      <c r="AF211">
        <v>2</v>
      </c>
      <c r="AG211">
        <v>2</v>
      </c>
      <c r="AI211">
        <v>2</v>
      </c>
      <c r="BB211" s="12"/>
    </row>
    <row r="212" spans="1:54" x14ac:dyDescent="0.2">
      <c r="A212" s="27" t="s">
        <v>133</v>
      </c>
      <c r="B212" t="s">
        <v>137</v>
      </c>
      <c r="D212">
        <v>11</v>
      </c>
      <c r="E212">
        <v>13</v>
      </c>
      <c r="F212">
        <v>20</v>
      </c>
      <c r="G212">
        <v>19</v>
      </c>
      <c r="H212">
        <v>17</v>
      </c>
      <c r="I212">
        <v>12</v>
      </c>
      <c r="Q212">
        <v>4</v>
      </c>
      <c r="R212">
        <v>5</v>
      </c>
      <c r="S212">
        <v>7</v>
      </c>
      <c r="T212">
        <v>7</v>
      </c>
      <c r="U212">
        <v>8</v>
      </c>
      <c r="V212">
        <v>4</v>
      </c>
      <c r="AD212">
        <v>9</v>
      </c>
      <c r="AE212">
        <v>6</v>
      </c>
      <c r="AF212">
        <v>11</v>
      </c>
      <c r="AG212">
        <v>7</v>
      </c>
      <c r="AH212">
        <v>5</v>
      </c>
      <c r="AI212">
        <v>3</v>
      </c>
      <c r="AR212">
        <v>1</v>
      </c>
      <c r="BB212" s="12"/>
    </row>
    <row r="213" spans="1:54" ht="16" thickBot="1" x14ac:dyDescent="0.25">
      <c r="A213" s="28" t="s">
        <v>134</v>
      </c>
      <c r="B213" s="13" t="s">
        <v>137</v>
      </c>
      <c r="C213" s="29"/>
      <c r="D213" s="13">
        <v>175</v>
      </c>
      <c r="E213" s="13">
        <v>206</v>
      </c>
      <c r="F213" s="13">
        <v>218</v>
      </c>
      <c r="G213">
        <v>199</v>
      </c>
      <c r="H213">
        <v>189</v>
      </c>
      <c r="I213">
        <v>170</v>
      </c>
      <c r="J213" s="13"/>
      <c r="K213" s="13"/>
      <c r="L213" s="13"/>
      <c r="M213" s="13"/>
      <c r="N213" s="13"/>
      <c r="O213" s="13"/>
      <c r="P213" s="29"/>
      <c r="Q213" s="13">
        <v>89</v>
      </c>
      <c r="R213" s="13">
        <v>98</v>
      </c>
      <c r="S213" s="13">
        <v>86</v>
      </c>
      <c r="T213" s="13">
        <v>101</v>
      </c>
      <c r="U213" s="13">
        <v>103</v>
      </c>
      <c r="V213" s="13">
        <v>84</v>
      </c>
      <c r="W213" s="13"/>
      <c r="X213" s="13"/>
      <c r="Y213" s="13"/>
      <c r="Z213" s="13"/>
      <c r="AA213" s="13"/>
      <c r="AB213" s="13"/>
      <c r="AC213" s="29"/>
      <c r="AD213" s="13">
        <v>98</v>
      </c>
      <c r="AE213" s="13">
        <v>106</v>
      </c>
      <c r="AF213" s="13">
        <v>100</v>
      </c>
      <c r="AG213">
        <v>97</v>
      </c>
      <c r="AH213">
        <v>86</v>
      </c>
      <c r="AI213">
        <v>63</v>
      </c>
      <c r="AJ213" s="13"/>
      <c r="AK213" s="13"/>
      <c r="AL213" s="13"/>
      <c r="AM213" s="13"/>
      <c r="AN213" s="13"/>
      <c r="AO213" s="13"/>
      <c r="AP213" s="29"/>
      <c r="AQ213" s="13">
        <v>3</v>
      </c>
      <c r="AR213" s="13">
        <v>10</v>
      </c>
      <c r="AS213" s="13">
        <v>4</v>
      </c>
      <c r="AU213">
        <v>2</v>
      </c>
      <c r="AW213" s="13"/>
      <c r="AX213" s="13"/>
      <c r="AY213" s="13"/>
      <c r="AZ213" s="13"/>
      <c r="BA213" s="13"/>
      <c r="BB213" s="14"/>
    </row>
    <row r="214" spans="1:54" ht="16" thickBot="1" x14ac:dyDescent="0.25">
      <c r="A214" s="304" t="s">
        <v>258</v>
      </c>
      <c r="B214" s="305"/>
      <c r="C214" s="61"/>
      <c r="D214" s="62">
        <f>SUM(D109:D213)</f>
        <v>4895</v>
      </c>
      <c r="E214" s="62">
        <f t="shared" ref="E214:BB214" si="1">SUM(E109:E213)</f>
        <v>5605</v>
      </c>
      <c r="F214" s="62">
        <f t="shared" si="1"/>
        <v>6793</v>
      </c>
      <c r="G214" s="62">
        <f t="shared" si="1"/>
        <v>6649</v>
      </c>
      <c r="H214" s="62">
        <f t="shared" si="1"/>
        <v>6079</v>
      </c>
      <c r="I214" s="62">
        <f t="shared" si="1"/>
        <v>5907</v>
      </c>
      <c r="J214" s="62">
        <f t="shared" si="1"/>
        <v>0</v>
      </c>
      <c r="K214" s="62">
        <f t="shared" si="1"/>
        <v>0</v>
      </c>
      <c r="L214" s="62">
        <f t="shared" si="1"/>
        <v>0</v>
      </c>
      <c r="M214" s="62">
        <f t="shared" si="1"/>
        <v>0</v>
      </c>
      <c r="N214" s="62">
        <f t="shared" si="1"/>
        <v>0</v>
      </c>
      <c r="O214" s="62">
        <f t="shared" si="1"/>
        <v>0</v>
      </c>
      <c r="P214" s="214"/>
      <c r="Q214" s="62">
        <f t="shared" si="1"/>
        <v>2362</v>
      </c>
      <c r="R214" s="62">
        <f t="shared" si="1"/>
        <v>2504</v>
      </c>
      <c r="S214" s="62">
        <f t="shared" si="1"/>
        <v>2757</v>
      </c>
      <c r="T214" s="62">
        <f t="shared" si="1"/>
        <v>3108</v>
      </c>
      <c r="U214" s="62">
        <f t="shared" si="1"/>
        <v>2840</v>
      </c>
      <c r="V214" s="62">
        <f t="shared" si="1"/>
        <v>2418</v>
      </c>
      <c r="W214" s="62">
        <f t="shared" si="1"/>
        <v>0</v>
      </c>
      <c r="X214" s="62">
        <f t="shared" si="1"/>
        <v>0</v>
      </c>
      <c r="Y214" s="62">
        <f t="shared" si="1"/>
        <v>0</v>
      </c>
      <c r="Z214" s="62">
        <f t="shared" si="1"/>
        <v>0</v>
      </c>
      <c r="AA214" s="62">
        <f t="shared" si="1"/>
        <v>0</v>
      </c>
      <c r="AB214" s="62">
        <f t="shared" si="1"/>
        <v>0</v>
      </c>
      <c r="AC214" s="214"/>
      <c r="AD214" s="62">
        <f t="shared" si="1"/>
        <v>2929</v>
      </c>
      <c r="AE214" s="62">
        <f t="shared" si="1"/>
        <v>2796</v>
      </c>
      <c r="AF214" s="62">
        <f t="shared" si="1"/>
        <v>3339</v>
      </c>
      <c r="AG214" s="62">
        <f t="shared" si="1"/>
        <v>3086</v>
      </c>
      <c r="AH214" s="62">
        <f t="shared" si="1"/>
        <v>2626</v>
      </c>
      <c r="AI214" s="62">
        <f t="shared" si="1"/>
        <v>2143</v>
      </c>
      <c r="AJ214" s="62">
        <f t="shared" si="1"/>
        <v>0</v>
      </c>
      <c r="AK214" s="62">
        <f t="shared" si="1"/>
        <v>0</v>
      </c>
      <c r="AL214" s="62">
        <f t="shared" si="1"/>
        <v>0</v>
      </c>
      <c r="AM214" s="62">
        <f t="shared" si="1"/>
        <v>0</v>
      </c>
      <c r="AN214" s="62">
        <f t="shared" si="1"/>
        <v>0</v>
      </c>
      <c r="AO214" s="62">
        <f t="shared" si="1"/>
        <v>0</v>
      </c>
      <c r="AP214" s="214"/>
      <c r="AQ214" s="62">
        <f t="shared" si="1"/>
        <v>55</v>
      </c>
      <c r="AR214" s="62">
        <f t="shared" si="1"/>
        <v>202</v>
      </c>
      <c r="AS214" s="62">
        <f t="shared" si="1"/>
        <v>152</v>
      </c>
      <c r="AT214" s="62">
        <f t="shared" si="1"/>
        <v>49</v>
      </c>
      <c r="AU214" s="62">
        <f t="shared" si="1"/>
        <v>38</v>
      </c>
      <c r="AV214" s="62">
        <f t="shared" si="1"/>
        <v>11</v>
      </c>
      <c r="AW214" s="62">
        <f t="shared" si="1"/>
        <v>0</v>
      </c>
      <c r="AX214" s="62">
        <f t="shared" si="1"/>
        <v>0</v>
      </c>
      <c r="AY214" s="62">
        <f t="shared" si="1"/>
        <v>0</v>
      </c>
      <c r="AZ214" s="62">
        <f t="shared" si="1"/>
        <v>0</v>
      </c>
      <c r="BA214" s="62">
        <f t="shared" si="1"/>
        <v>0</v>
      </c>
      <c r="BB214" s="62">
        <f t="shared" si="1"/>
        <v>0</v>
      </c>
    </row>
    <row r="215" spans="1:54" ht="16" thickBot="1" x14ac:dyDescent="0.25">
      <c r="A215" s="27" t="s">
        <v>31</v>
      </c>
      <c r="B215" t="s">
        <v>135</v>
      </c>
      <c r="T215" s="8"/>
      <c r="Z215" s="21"/>
      <c r="AA215" s="21"/>
      <c r="AB215" s="21"/>
      <c r="AH215" s="85"/>
      <c r="BB215" s="39"/>
    </row>
    <row r="216" spans="1:54" ht="16" thickBot="1" x14ac:dyDescent="0.25">
      <c r="A216" s="27" t="s">
        <v>32</v>
      </c>
      <c r="B216" t="s">
        <v>135</v>
      </c>
      <c r="AH216" s="85"/>
      <c r="BB216" s="12"/>
    </row>
    <row r="217" spans="1:54" ht="16" thickBot="1" x14ac:dyDescent="0.25">
      <c r="A217" s="27" t="s">
        <v>33</v>
      </c>
      <c r="B217" t="s">
        <v>135</v>
      </c>
      <c r="AH217" s="85"/>
      <c r="BB217" s="12"/>
    </row>
    <row r="218" spans="1:54" ht="16" thickBot="1" x14ac:dyDescent="0.25">
      <c r="A218" s="27" t="s">
        <v>34</v>
      </c>
      <c r="B218" t="s">
        <v>135</v>
      </c>
      <c r="AH218" s="85"/>
      <c r="BB218" s="12"/>
    </row>
    <row r="219" spans="1:54" ht="16" thickBot="1" x14ac:dyDescent="0.25">
      <c r="A219" s="27" t="s">
        <v>35</v>
      </c>
      <c r="B219" t="s">
        <v>135</v>
      </c>
      <c r="AH219" s="85"/>
      <c r="BB219" s="12"/>
    </row>
    <row r="220" spans="1:54" ht="16" thickBot="1" x14ac:dyDescent="0.25">
      <c r="A220" s="27" t="s">
        <v>36</v>
      </c>
      <c r="B220" t="s">
        <v>135</v>
      </c>
      <c r="AH220" s="85"/>
      <c r="BB220" s="12"/>
    </row>
    <row r="221" spans="1:54" ht="16" thickBot="1" x14ac:dyDescent="0.25">
      <c r="A221" s="27" t="s">
        <v>37</v>
      </c>
      <c r="B221" t="s">
        <v>135</v>
      </c>
      <c r="AH221" s="85"/>
      <c r="BB221" s="12"/>
    </row>
    <row r="222" spans="1:54" ht="16" thickBot="1" x14ac:dyDescent="0.25">
      <c r="A222" s="27" t="s">
        <v>38</v>
      </c>
      <c r="B222" t="s">
        <v>135</v>
      </c>
      <c r="AH222" s="85"/>
      <c r="BB222" s="12"/>
    </row>
    <row r="223" spans="1:54" ht="16" thickBot="1" x14ac:dyDescent="0.25">
      <c r="A223" s="27" t="s">
        <v>39</v>
      </c>
      <c r="B223" t="s">
        <v>135</v>
      </c>
      <c r="AH223" s="85"/>
      <c r="BB223" s="12"/>
    </row>
    <row r="224" spans="1:54" ht="16" thickBot="1" x14ac:dyDescent="0.25">
      <c r="A224" s="27" t="s">
        <v>40</v>
      </c>
      <c r="B224" t="s">
        <v>135</v>
      </c>
      <c r="AH224" s="85"/>
      <c r="BB224" s="12"/>
    </row>
    <row r="225" spans="1:54" ht="16" thickBot="1" x14ac:dyDescent="0.25">
      <c r="A225" s="27" t="s">
        <v>41</v>
      </c>
      <c r="B225" t="s">
        <v>135</v>
      </c>
      <c r="AH225" s="85"/>
      <c r="BB225" s="12"/>
    </row>
    <row r="226" spans="1:54" ht="16" thickBot="1" x14ac:dyDescent="0.25">
      <c r="A226" s="27" t="s">
        <v>42</v>
      </c>
      <c r="B226" t="s">
        <v>135</v>
      </c>
      <c r="AH226" s="85"/>
      <c r="BB226" s="12"/>
    </row>
    <row r="227" spans="1:54" ht="16" thickBot="1" x14ac:dyDescent="0.25">
      <c r="A227" s="27" t="s">
        <v>43</v>
      </c>
      <c r="B227" t="s">
        <v>135</v>
      </c>
      <c r="AH227" s="85"/>
      <c r="BB227" s="12"/>
    </row>
    <row r="228" spans="1:54" ht="16" thickBot="1" x14ac:dyDescent="0.25">
      <c r="A228" s="27" t="s">
        <v>44</v>
      </c>
      <c r="B228" t="s">
        <v>135</v>
      </c>
      <c r="AH228" s="85"/>
      <c r="BB228" s="12"/>
    </row>
    <row r="229" spans="1:54" ht="16" thickBot="1" x14ac:dyDescent="0.25">
      <c r="A229" s="27" t="s">
        <v>45</v>
      </c>
      <c r="B229" t="s">
        <v>135</v>
      </c>
      <c r="AH229" s="85"/>
      <c r="BB229" s="12"/>
    </row>
    <row r="230" spans="1:54" ht="16" thickBot="1" x14ac:dyDescent="0.25">
      <c r="A230" s="27" t="s">
        <v>46</v>
      </c>
      <c r="B230" t="s">
        <v>135</v>
      </c>
      <c r="AH230" s="85"/>
      <c r="BB230" s="12"/>
    </row>
    <row r="231" spans="1:54" ht="16" thickBot="1" x14ac:dyDescent="0.25">
      <c r="A231" s="27" t="s">
        <v>47</v>
      </c>
      <c r="B231" t="s">
        <v>135</v>
      </c>
      <c r="AH231" s="85"/>
      <c r="BB231" s="12"/>
    </row>
    <row r="232" spans="1:54" ht="16" thickBot="1" x14ac:dyDescent="0.25">
      <c r="A232" s="27" t="s">
        <v>48</v>
      </c>
      <c r="B232" t="s">
        <v>135</v>
      </c>
      <c r="AH232" s="85"/>
      <c r="BB232" s="12"/>
    </row>
    <row r="233" spans="1:54" ht="16" thickBot="1" x14ac:dyDescent="0.25">
      <c r="A233" s="27" t="s">
        <v>49</v>
      </c>
      <c r="B233" t="s">
        <v>135</v>
      </c>
      <c r="AH233" s="85"/>
      <c r="BB233" s="12"/>
    </row>
    <row r="234" spans="1:54" ht="16" thickBot="1" x14ac:dyDescent="0.25">
      <c r="A234" s="27" t="s">
        <v>50</v>
      </c>
      <c r="B234" t="s">
        <v>135</v>
      </c>
      <c r="D234">
        <v>1</v>
      </c>
      <c r="Q234">
        <v>1</v>
      </c>
      <c r="AD234">
        <v>1</v>
      </c>
      <c r="AH234" s="85"/>
      <c r="BB234" s="12"/>
    </row>
    <row r="235" spans="1:54" ht="16" thickBot="1" x14ac:dyDescent="0.25">
      <c r="A235" s="27" t="s">
        <v>51</v>
      </c>
      <c r="B235" t="s">
        <v>135</v>
      </c>
      <c r="AH235" s="85"/>
      <c r="BB235" s="12"/>
    </row>
    <row r="236" spans="1:54" ht="16" thickBot="1" x14ac:dyDescent="0.25">
      <c r="A236" s="27" t="s">
        <v>52</v>
      </c>
      <c r="B236" t="s">
        <v>135</v>
      </c>
      <c r="AH236" s="85"/>
      <c r="BB236" s="12"/>
    </row>
    <row r="237" spans="1:54" ht="16" thickBot="1" x14ac:dyDescent="0.25">
      <c r="A237" s="27" t="s">
        <v>53</v>
      </c>
      <c r="B237" t="s">
        <v>135</v>
      </c>
      <c r="AH237" s="85"/>
      <c r="BB237" s="12"/>
    </row>
    <row r="238" spans="1:54" ht="16" thickBot="1" x14ac:dyDescent="0.25">
      <c r="A238" s="27" t="s">
        <v>54</v>
      </c>
      <c r="B238" t="s">
        <v>135</v>
      </c>
      <c r="AH238" s="85"/>
      <c r="BB238" s="12"/>
    </row>
    <row r="239" spans="1:54" ht="16" thickBot="1" x14ac:dyDescent="0.25">
      <c r="A239" s="27" t="s">
        <v>55</v>
      </c>
      <c r="B239" t="s">
        <v>135</v>
      </c>
      <c r="AH239" s="85"/>
      <c r="BB239" s="12"/>
    </row>
    <row r="240" spans="1:54" ht="16" thickBot="1" x14ac:dyDescent="0.25">
      <c r="A240" s="27" t="s">
        <v>56</v>
      </c>
      <c r="B240" t="s">
        <v>135</v>
      </c>
      <c r="AH240" s="85"/>
      <c r="BB240" s="12"/>
    </row>
    <row r="241" spans="1:54" ht="16" thickBot="1" x14ac:dyDescent="0.25">
      <c r="A241" s="27" t="s">
        <v>57</v>
      </c>
      <c r="B241" t="s">
        <v>135</v>
      </c>
      <c r="AH241" s="85"/>
      <c r="BB241" s="12"/>
    </row>
    <row r="242" spans="1:54" ht="16" thickBot="1" x14ac:dyDescent="0.25">
      <c r="A242" s="27" t="s">
        <v>58</v>
      </c>
      <c r="B242" t="s">
        <v>135</v>
      </c>
      <c r="AH242" s="85"/>
      <c r="BB242" s="12"/>
    </row>
    <row r="243" spans="1:54" ht="16" thickBot="1" x14ac:dyDescent="0.25">
      <c r="A243" s="27" t="s">
        <v>59</v>
      </c>
      <c r="B243" t="s">
        <v>135</v>
      </c>
      <c r="AH243" s="85"/>
      <c r="BB243" s="12"/>
    </row>
    <row r="244" spans="1:54" ht="16" thickBot="1" x14ac:dyDescent="0.25">
      <c r="A244" s="27" t="s">
        <v>60</v>
      </c>
      <c r="B244" t="s">
        <v>135</v>
      </c>
      <c r="AH244" s="85"/>
      <c r="BB244" s="12"/>
    </row>
    <row r="245" spans="1:54" ht="16" thickBot="1" x14ac:dyDescent="0.25">
      <c r="A245" s="27" t="s">
        <v>61</v>
      </c>
      <c r="B245" t="s">
        <v>135</v>
      </c>
      <c r="AH245" s="85"/>
      <c r="BB245" s="12"/>
    </row>
    <row r="246" spans="1:54" ht="16" thickBot="1" x14ac:dyDescent="0.25">
      <c r="A246" s="27" t="s">
        <v>62</v>
      </c>
      <c r="B246" t="s">
        <v>135</v>
      </c>
      <c r="AH246" s="85"/>
      <c r="BB246" s="12"/>
    </row>
    <row r="247" spans="1:54" ht="16" thickBot="1" x14ac:dyDescent="0.25">
      <c r="A247" s="27" t="s">
        <v>63</v>
      </c>
      <c r="B247" t="s">
        <v>135</v>
      </c>
      <c r="AH247" s="85"/>
      <c r="BB247" s="12"/>
    </row>
    <row r="248" spans="1:54" ht="16" thickBot="1" x14ac:dyDescent="0.25">
      <c r="A248" s="27" t="s">
        <v>64</v>
      </c>
      <c r="B248" t="s">
        <v>135</v>
      </c>
      <c r="AH248" s="85"/>
      <c r="BB248" s="12"/>
    </row>
    <row r="249" spans="1:54" ht="16" thickBot="1" x14ac:dyDescent="0.25">
      <c r="A249" s="27" t="s">
        <v>65</v>
      </c>
      <c r="B249" t="s">
        <v>135</v>
      </c>
      <c r="AH249" s="85"/>
      <c r="BB249" s="12"/>
    </row>
    <row r="250" spans="1:54" ht="16" thickBot="1" x14ac:dyDescent="0.25">
      <c r="A250" s="27" t="s">
        <v>66</v>
      </c>
      <c r="B250" t="s">
        <v>135</v>
      </c>
      <c r="AH250" s="85"/>
      <c r="BB250" s="12"/>
    </row>
    <row r="251" spans="1:54" ht="16" thickBot="1" x14ac:dyDescent="0.25">
      <c r="A251" s="27" t="s">
        <v>67</v>
      </c>
      <c r="B251" t="s">
        <v>135</v>
      </c>
      <c r="AH251" s="85"/>
      <c r="BB251" s="12"/>
    </row>
    <row r="252" spans="1:54" ht="16" thickBot="1" x14ac:dyDescent="0.25">
      <c r="A252" s="27" t="s">
        <v>68</v>
      </c>
      <c r="B252" t="s">
        <v>135</v>
      </c>
      <c r="AH252" s="85"/>
      <c r="BB252" s="12"/>
    </row>
    <row r="253" spans="1:54" ht="16" thickBot="1" x14ac:dyDescent="0.25">
      <c r="A253" s="27" t="s">
        <v>69</v>
      </c>
      <c r="B253" t="s">
        <v>135</v>
      </c>
      <c r="AH253" s="85"/>
      <c r="BB253" s="12"/>
    </row>
    <row r="254" spans="1:54" ht="16" thickBot="1" x14ac:dyDescent="0.25">
      <c r="A254" s="27" t="s">
        <v>70</v>
      </c>
      <c r="B254" t="s">
        <v>135</v>
      </c>
      <c r="AH254" s="85"/>
      <c r="BB254" s="12"/>
    </row>
    <row r="255" spans="1:54" ht="16" thickBot="1" x14ac:dyDescent="0.25">
      <c r="A255" s="27" t="s">
        <v>71</v>
      </c>
      <c r="B255" t="s">
        <v>135</v>
      </c>
      <c r="AH255" s="85"/>
      <c r="BB255" s="12"/>
    </row>
    <row r="256" spans="1:54" ht="16" thickBot="1" x14ac:dyDescent="0.25">
      <c r="A256" s="27" t="s">
        <v>72</v>
      </c>
      <c r="B256" t="s">
        <v>135</v>
      </c>
      <c r="AH256" s="85"/>
      <c r="BB256" s="12"/>
    </row>
    <row r="257" spans="1:54" ht="16" thickBot="1" x14ac:dyDescent="0.25">
      <c r="A257" s="27" t="s">
        <v>73</v>
      </c>
      <c r="B257" t="s">
        <v>135</v>
      </c>
      <c r="AH257" s="85"/>
      <c r="BB257" s="12"/>
    </row>
    <row r="258" spans="1:54" ht="16" thickBot="1" x14ac:dyDescent="0.25">
      <c r="A258" s="27" t="s">
        <v>74</v>
      </c>
      <c r="B258" t="s">
        <v>135</v>
      </c>
      <c r="G258">
        <v>1</v>
      </c>
      <c r="H258">
        <v>1</v>
      </c>
      <c r="U258">
        <v>1</v>
      </c>
      <c r="AG258">
        <v>1</v>
      </c>
      <c r="AH258" s="85"/>
      <c r="BB258" s="12"/>
    </row>
    <row r="259" spans="1:54" ht="16" thickBot="1" x14ac:dyDescent="0.25">
      <c r="A259" s="27" t="s">
        <v>75</v>
      </c>
      <c r="B259" t="s">
        <v>135</v>
      </c>
      <c r="AH259" s="85"/>
      <c r="BB259" s="12"/>
    </row>
    <row r="260" spans="1:54" ht="16" thickBot="1" x14ac:dyDescent="0.25">
      <c r="A260" s="27" t="s">
        <v>76</v>
      </c>
      <c r="B260" t="s">
        <v>135</v>
      </c>
      <c r="AH260" s="85"/>
      <c r="BB260" s="12"/>
    </row>
    <row r="261" spans="1:54" ht="16" thickBot="1" x14ac:dyDescent="0.25">
      <c r="A261" s="27" t="s">
        <v>77</v>
      </c>
      <c r="B261" t="s">
        <v>135</v>
      </c>
      <c r="AH261" s="85"/>
      <c r="BB261" s="12"/>
    </row>
    <row r="262" spans="1:54" ht="16" thickBot="1" x14ac:dyDescent="0.25">
      <c r="A262" s="27" t="s">
        <v>78</v>
      </c>
      <c r="B262" t="s">
        <v>135</v>
      </c>
      <c r="AH262" s="85"/>
      <c r="BB262" s="12"/>
    </row>
    <row r="263" spans="1:54" ht="16" thickBot="1" x14ac:dyDescent="0.25">
      <c r="A263" s="27" t="s">
        <v>79</v>
      </c>
      <c r="B263" t="s">
        <v>135</v>
      </c>
      <c r="AH263" s="85"/>
      <c r="BB263" s="12"/>
    </row>
    <row r="264" spans="1:54" ht="16" thickBot="1" x14ac:dyDescent="0.25">
      <c r="A264" s="27" t="s">
        <v>80</v>
      </c>
      <c r="B264" t="s">
        <v>135</v>
      </c>
      <c r="AH264" s="85"/>
      <c r="BB264" s="12"/>
    </row>
    <row r="265" spans="1:54" ht="16" thickBot="1" x14ac:dyDescent="0.25">
      <c r="A265" s="27" t="s">
        <v>81</v>
      </c>
      <c r="B265" t="s">
        <v>135</v>
      </c>
      <c r="AH265" s="85"/>
      <c r="BB265" s="12"/>
    </row>
    <row r="266" spans="1:54" ht="16" thickBot="1" x14ac:dyDescent="0.25">
      <c r="A266" s="27" t="s">
        <v>82</v>
      </c>
      <c r="B266" t="s">
        <v>135</v>
      </c>
      <c r="AH266" s="85"/>
      <c r="BB266" s="12"/>
    </row>
    <row r="267" spans="1:54" ht="16" thickBot="1" x14ac:dyDescent="0.25">
      <c r="A267" s="27" t="s">
        <v>83</v>
      </c>
      <c r="B267" t="s">
        <v>135</v>
      </c>
      <c r="AH267" s="85"/>
      <c r="BB267" s="12"/>
    </row>
    <row r="268" spans="1:54" ht="16" thickBot="1" x14ac:dyDescent="0.25">
      <c r="A268" s="27" t="s">
        <v>84</v>
      </c>
      <c r="B268" t="s">
        <v>135</v>
      </c>
      <c r="AH268" s="85"/>
      <c r="BB268" s="12"/>
    </row>
    <row r="269" spans="1:54" ht="16" thickBot="1" x14ac:dyDescent="0.25">
      <c r="A269" s="27" t="s">
        <v>85</v>
      </c>
      <c r="B269" t="s">
        <v>135</v>
      </c>
      <c r="AH269" s="85"/>
      <c r="BB269" s="12"/>
    </row>
    <row r="270" spans="1:54" ht="16" thickBot="1" x14ac:dyDescent="0.25">
      <c r="A270" s="27" t="s">
        <v>86</v>
      </c>
      <c r="B270" t="s">
        <v>135</v>
      </c>
      <c r="AH270" s="85"/>
      <c r="BB270" s="12"/>
    </row>
    <row r="271" spans="1:54" ht="16" thickBot="1" x14ac:dyDescent="0.25">
      <c r="A271" s="27" t="s">
        <v>87</v>
      </c>
      <c r="B271" t="s">
        <v>135</v>
      </c>
      <c r="AH271" s="85"/>
      <c r="BB271" s="12"/>
    </row>
    <row r="272" spans="1:54" ht="16" thickBot="1" x14ac:dyDescent="0.25">
      <c r="A272" s="27" t="s">
        <v>88</v>
      </c>
      <c r="B272" t="s">
        <v>135</v>
      </c>
      <c r="AH272" s="85"/>
      <c r="BB272" s="12"/>
    </row>
    <row r="273" spans="1:54" ht="16" thickBot="1" x14ac:dyDescent="0.25">
      <c r="A273" s="27" t="s">
        <v>89</v>
      </c>
      <c r="B273" t="s">
        <v>135</v>
      </c>
      <c r="AH273" s="85"/>
      <c r="BB273" s="12"/>
    </row>
    <row r="274" spans="1:54" ht="16" thickBot="1" x14ac:dyDescent="0.25">
      <c r="A274" s="27" t="s">
        <v>90</v>
      </c>
      <c r="B274" t="s">
        <v>135</v>
      </c>
      <c r="AH274" s="85"/>
      <c r="BB274" s="12"/>
    </row>
    <row r="275" spans="1:54" ht="16" thickBot="1" x14ac:dyDescent="0.25">
      <c r="A275" s="27" t="s">
        <v>91</v>
      </c>
      <c r="B275" t="s">
        <v>135</v>
      </c>
      <c r="AH275" s="85"/>
      <c r="BB275" s="12"/>
    </row>
    <row r="276" spans="1:54" ht="16" thickBot="1" x14ac:dyDescent="0.25">
      <c r="A276" s="27" t="s">
        <v>92</v>
      </c>
      <c r="B276" t="s">
        <v>135</v>
      </c>
      <c r="AH276" s="85"/>
      <c r="BB276" s="12"/>
    </row>
    <row r="277" spans="1:54" ht="16" thickBot="1" x14ac:dyDescent="0.25">
      <c r="A277" s="27" t="s">
        <v>93</v>
      </c>
      <c r="B277" t="s">
        <v>135</v>
      </c>
      <c r="AH277" s="85"/>
      <c r="BB277" s="12"/>
    </row>
    <row r="278" spans="1:54" ht="16" thickBot="1" x14ac:dyDescent="0.25">
      <c r="A278" s="27" t="s">
        <v>94</v>
      </c>
      <c r="B278" t="s">
        <v>135</v>
      </c>
      <c r="AH278" s="85"/>
      <c r="BB278" s="12"/>
    </row>
    <row r="279" spans="1:54" ht="16" thickBot="1" x14ac:dyDescent="0.25">
      <c r="A279" s="27" t="s">
        <v>95</v>
      </c>
      <c r="B279" t="s">
        <v>135</v>
      </c>
      <c r="AH279" s="85"/>
      <c r="BB279" s="12"/>
    </row>
    <row r="280" spans="1:54" ht="16" thickBot="1" x14ac:dyDescent="0.25">
      <c r="A280" s="27" t="s">
        <v>96</v>
      </c>
      <c r="B280" t="s">
        <v>135</v>
      </c>
      <c r="AH280" s="85"/>
      <c r="BB280" s="12"/>
    </row>
    <row r="281" spans="1:54" ht="16" thickBot="1" x14ac:dyDescent="0.25">
      <c r="A281" s="27" t="s">
        <v>97</v>
      </c>
      <c r="B281" t="s">
        <v>135</v>
      </c>
      <c r="AH281" s="85"/>
      <c r="BB281" s="12"/>
    </row>
    <row r="282" spans="1:54" ht="16" thickBot="1" x14ac:dyDescent="0.25">
      <c r="A282" s="27" t="s">
        <v>98</v>
      </c>
      <c r="B282" t="s">
        <v>135</v>
      </c>
      <c r="AH282" s="85"/>
      <c r="BB282" s="12"/>
    </row>
    <row r="283" spans="1:54" ht="16" thickBot="1" x14ac:dyDescent="0.25">
      <c r="A283" s="27" t="s">
        <v>99</v>
      </c>
      <c r="B283" t="s">
        <v>135</v>
      </c>
      <c r="H283">
        <v>1</v>
      </c>
      <c r="I283">
        <v>1</v>
      </c>
      <c r="V283">
        <v>1</v>
      </c>
      <c r="AH283" s="85">
        <v>1</v>
      </c>
      <c r="AU283">
        <v>1</v>
      </c>
      <c r="BB283" s="12"/>
    </row>
    <row r="284" spans="1:54" ht="16" thickBot="1" x14ac:dyDescent="0.25">
      <c r="A284" s="27" t="s">
        <v>100</v>
      </c>
      <c r="B284" t="s">
        <v>135</v>
      </c>
      <c r="AH284" s="85"/>
      <c r="BB284" s="12"/>
    </row>
    <row r="285" spans="1:54" ht="16" thickBot="1" x14ac:dyDescent="0.25">
      <c r="A285" s="27" t="s">
        <v>101</v>
      </c>
      <c r="B285" t="s">
        <v>135</v>
      </c>
      <c r="AH285" s="85"/>
      <c r="BB285" s="12"/>
    </row>
    <row r="286" spans="1:54" ht="16" thickBot="1" x14ac:dyDescent="0.25">
      <c r="A286" s="27" t="s">
        <v>102</v>
      </c>
      <c r="B286" t="s">
        <v>135</v>
      </c>
      <c r="AH286" s="85"/>
      <c r="BB286" s="12"/>
    </row>
    <row r="287" spans="1:54" ht="16" thickBot="1" x14ac:dyDescent="0.25">
      <c r="A287" s="27" t="s">
        <v>103</v>
      </c>
      <c r="B287" t="s">
        <v>135</v>
      </c>
      <c r="AH287" s="85"/>
      <c r="BB287" s="12"/>
    </row>
    <row r="288" spans="1:54" ht="16" thickBot="1" x14ac:dyDescent="0.25">
      <c r="A288" s="27" t="s">
        <v>104</v>
      </c>
      <c r="B288" t="s">
        <v>135</v>
      </c>
      <c r="AH288" s="85"/>
      <c r="BB288" s="12"/>
    </row>
    <row r="289" spans="1:54" ht="16" thickBot="1" x14ac:dyDescent="0.25">
      <c r="A289" s="27" t="s">
        <v>105</v>
      </c>
      <c r="B289" t="s">
        <v>135</v>
      </c>
      <c r="AH289" s="85"/>
      <c r="BB289" s="12"/>
    </row>
    <row r="290" spans="1:54" ht="16" thickBot="1" x14ac:dyDescent="0.25">
      <c r="A290" s="27" t="s">
        <v>106</v>
      </c>
      <c r="B290" t="s">
        <v>135</v>
      </c>
      <c r="AH290" s="85"/>
      <c r="BB290" s="12"/>
    </row>
    <row r="291" spans="1:54" ht="16" thickBot="1" x14ac:dyDescent="0.25">
      <c r="A291" s="27" t="s">
        <v>107</v>
      </c>
      <c r="B291" t="s">
        <v>135</v>
      </c>
      <c r="AH291" s="85"/>
      <c r="BB291" s="12"/>
    </row>
    <row r="292" spans="1:54" ht="16" thickBot="1" x14ac:dyDescent="0.25">
      <c r="A292" s="27" t="s">
        <v>108</v>
      </c>
      <c r="B292" t="s">
        <v>135</v>
      </c>
      <c r="AH292" s="85"/>
      <c r="BB292" s="12"/>
    </row>
    <row r="293" spans="1:54" ht="16" thickBot="1" x14ac:dyDescent="0.25">
      <c r="A293" s="27" t="s">
        <v>109</v>
      </c>
      <c r="B293" t="s">
        <v>135</v>
      </c>
      <c r="AH293" s="85"/>
      <c r="BB293" s="12"/>
    </row>
    <row r="294" spans="1:54" ht="16" thickBot="1" x14ac:dyDescent="0.25">
      <c r="A294" s="27" t="s">
        <v>110</v>
      </c>
      <c r="B294" t="s">
        <v>135</v>
      </c>
      <c r="AH294" s="85"/>
      <c r="BB294" s="12"/>
    </row>
    <row r="295" spans="1:54" ht="16" thickBot="1" x14ac:dyDescent="0.25">
      <c r="A295" s="27" t="s">
        <v>111</v>
      </c>
      <c r="B295" t="s">
        <v>135</v>
      </c>
      <c r="AH295" s="85"/>
      <c r="BB295" s="12"/>
    </row>
    <row r="296" spans="1:54" ht="16" thickBot="1" x14ac:dyDescent="0.25">
      <c r="A296" s="27" t="s">
        <v>112</v>
      </c>
      <c r="B296" t="s">
        <v>135</v>
      </c>
      <c r="E296">
        <v>1</v>
      </c>
      <c r="F296">
        <v>1</v>
      </c>
      <c r="S296">
        <v>1</v>
      </c>
      <c r="AE296">
        <v>1</v>
      </c>
      <c r="AH296" s="85"/>
      <c r="AR296">
        <v>1</v>
      </c>
      <c r="BB296" s="12"/>
    </row>
    <row r="297" spans="1:54" ht="16" thickBot="1" x14ac:dyDescent="0.25">
      <c r="A297" s="27" t="s">
        <v>113</v>
      </c>
      <c r="B297" t="s">
        <v>135</v>
      </c>
      <c r="AH297" s="85"/>
      <c r="BB297" s="12"/>
    </row>
    <row r="298" spans="1:54" ht="16" thickBot="1" x14ac:dyDescent="0.25">
      <c r="A298" s="27" t="s">
        <v>114</v>
      </c>
      <c r="B298" t="s">
        <v>135</v>
      </c>
      <c r="AH298" s="85"/>
      <c r="BB298" s="12"/>
    </row>
    <row r="299" spans="1:54" ht="16" thickBot="1" x14ac:dyDescent="0.25">
      <c r="A299" s="27" t="s">
        <v>115</v>
      </c>
      <c r="B299" t="s">
        <v>135</v>
      </c>
      <c r="AH299" s="85"/>
      <c r="BB299" s="12"/>
    </row>
    <row r="300" spans="1:54" ht="16" thickBot="1" x14ac:dyDescent="0.25">
      <c r="A300" s="27" t="s">
        <v>116</v>
      </c>
      <c r="B300" t="s">
        <v>135</v>
      </c>
      <c r="AH300" s="85"/>
      <c r="BB300" s="12"/>
    </row>
    <row r="301" spans="1:54" ht="16" thickBot="1" x14ac:dyDescent="0.25">
      <c r="A301" s="27" t="s">
        <v>117</v>
      </c>
      <c r="B301" t="s">
        <v>135</v>
      </c>
      <c r="AH301" s="85"/>
      <c r="BB301" s="12"/>
    </row>
    <row r="302" spans="1:54" ht="16" thickBot="1" x14ac:dyDescent="0.25">
      <c r="A302" s="27" t="s">
        <v>118</v>
      </c>
      <c r="B302" t="s">
        <v>135</v>
      </c>
      <c r="AH302" s="85"/>
      <c r="BB302" s="12"/>
    </row>
    <row r="303" spans="1:54" ht="16" thickBot="1" x14ac:dyDescent="0.25">
      <c r="A303" s="27" t="s">
        <v>119</v>
      </c>
      <c r="B303" t="s">
        <v>135</v>
      </c>
      <c r="AH303" s="84"/>
      <c r="BB303" s="12"/>
    </row>
    <row r="304" spans="1:54" x14ac:dyDescent="0.2">
      <c r="A304" s="27" t="s">
        <v>120</v>
      </c>
      <c r="B304" t="s">
        <v>135</v>
      </c>
      <c r="BB304" s="12"/>
    </row>
    <row r="305" spans="1:54" x14ac:dyDescent="0.2">
      <c r="A305" s="27" t="s">
        <v>121</v>
      </c>
      <c r="B305" t="s">
        <v>135</v>
      </c>
      <c r="G305">
        <v>1</v>
      </c>
      <c r="T305">
        <v>1</v>
      </c>
      <c r="AG305">
        <v>1</v>
      </c>
      <c r="AT305">
        <v>1</v>
      </c>
      <c r="BB305" s="12"/>
    </row>
    <row r="306" spans="1:54" x14ac:dyDescent="0.2">
      <c r="A306" s="27" t="s">
        <v>122</v>
      </c>
      <c r="B306" t="s">
        <v>135</v>
      </c>
      <c r="BB306" s="12"/>
    </row>
    <row r="307" spans="1:54" x14ac:dyDescent="0.2">
      <c r="A307" s="27" t="s">
        <v>123</v>
      </c>
      <c r="B307" t="s">
        <v>135</v>
      </c>
      <c r="BB307" s="12"/>
    </row>
    <row r="308" spans="1:54" x14ac:dyDescent="0.2">
      <c r="A308" s="27" t="s">
        <v>124</v>
      </c>
      <c r="B308" t="s">
        <v>135</v>
      </c>
      <c r="BB308" s="12"/>
    </row>
    <row r="309" spans="1:54" x14ac:dyDescent="0.2">
      <c r="A309" s="27" t="s">
        <v>125</v>
      </c>
      <c r="B309" t="s">
        <v>135</v>
      </c>
      <c r="BB309" s="12"/>
    </row>
    <row r="310" spans="1:54" x14ac:dyDescent="0.2">
      <c r="A310" s="27" t="s">
        <v>126</v>
      </c>
      <c r="B310" t="s">
        <v>135</v>
      </c>
      <c r="BB310" s="12"/>
    </row>
    <row r="311" spans="1:54" ht="16" thickBot="1" x14ac:dyDescent="0.25">
      <c r="A311" s="27">
        <v>99228</v>
      </c>
      <c r="B311" t="s">
        <v>135</v>
      </c>
      <c r="AH311" s="85"/>
      <c r="BB311" s="12"/>
    </row>
    <row r="312" spans="1:54" x14ac:dyDescent="0.2">
      <c r="A312" s="27" t="s">
        <v>127</v>
      </c>
      <c r="B312" t="s">
        <v>135</v>
      </c>
      <c r="BB312" s="12"/>
    </row>
    <row r="313" spans="1:54" x14ac:dyDescent="0.2">
      <c r="A313" s="27" t="s">
        <v>128</v>
      </c>
      <c r="B313" t="s">
        <v>135</v>
      </c>
      <c r="BB313" s="12"/>
    </row>
    <row r="314" spans="1:54" x14ac:dyDescent="0.2">
      <c r="A314" s="27" t="s">
        <v>129</v>
      </c>
      <c r="B314" t="s">
        <v>135</v>
      </c>
      <c r="BB314" s="12"/>
    </row>
    <row r="315" spans="1:54" x14ac:dyDescent="0.2">
      <c r="A315" s="27" t="s">
        <v>130</v>
      </c>
      <c r="B315" t="s">
        <v>135</v>
      </c>
      <c r="BB315" s="12"/>
    </row>
    <row r="316" spans="1:54" x14ac:dyDescent="0.2">
      <c r="A316" s="60" t="s">
        <v>131</v>
      </c>
      <c r="B316" t="s">
        <v>135</v>
      </c>
      <c r="D316">
        <v>2</v>
      </c>
      <c r="F316">
        <v>1</v>
      </c>
      <c r="G316">
        <v>1</v>
      </c>
      <c r="H316">
        <v>1</v>
      </c>
      <c r="I316">
        <v>1</v>
      </c>
      <c r="Q316">
        <v>2</v>
      </c>
      <c r="T316">
        <v>1</v>
      </c>
      <c r="U316">
        <v>1</v>
      </c>
      <c r="AF316">
        <v>1</v>
      </c>
      <c r="AH316">
        <v>1</v>
      </c>
      <c r="AI316">
        <v>1</v>
      </c>
      <c r="AU316">
        <v>1</v>
      </c>
      <c r="BB316" s="12"/>
    </row>
    <row r="317" spans="1:54" x14ac:dyDescent="0.2">
      <c r="A317" s="27" t="s">
        <v>132</v>
      </c>
      <c r="B317" t="s">
        <v>135</v>
      </c>
      <c r="BB317" s="12"/>
    </row>
    <row r="318" spans="1:54" x14ac:dyDescent="0.2">
      <c r="A318" s="27" t="s">
        <v>133</v>
      </c>
      <c r="B318" t="s">
        <v>135</v>
      </c>
      <c r="BB318" s="12"/>
    </row>
    <row r="319" spans="1:54" ht="16" thickBot="1" x14ac:dyDescent="0.25">
      <c r="A319" s="28" t="s">
        <v>134</v>
      </c>
      <c r="B319" s="13" t="s">
        <v>135</v>
      </c>
      <c r="C319" s="29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29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29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29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4"/>
    </row>
    <row r="320" spans="1:54" x14ac:dyDescent="0.2">
      <c r="D320">
        <f>SUM(D215:D319)</f>
        <v>3</v>
      </c>
      <c r="E320">
        <f t="shared" ref="E320:BB320" si="2">SUM(E215:E319)</f>
        <v>1</v>
      </c>
      <c r="F320">
        <f t="shared" si="2"/>
        <v>2</v>
      </c>
      <c r="G320">
        <f t="shared" si="2"/>
        <v>3</v>
      </c>
      <c r="H320">
        <f t="shared" si="2"/>
        <v>3</v>
      </c>
      <c r="I320">
        <f t="shared" si="2"/>
        <v>2</v>
      </c>
      <c r="J320">
        <f t="shared" si="2"/>
        <v>0</v>
      </c>
      <c r="K320">
        <f t="shared" si="2"/>
        <v>0</v>
      </c>
      <c r="L320">
        <f t="shared" si="2"/>
        <v>0</v>
      </c>
      <c r="M320">
        <f t="shared" si="2"/>
        <v>0</v>
      </c>
      <c r="N320">
        <f t="shared" si="2"/>
        <v>0</v>
      </c>
      <c r="O320">
        <f t="shared" si="2"/>
        <v>0</v>
      </c>
      <c r="P320" s="121"/>
      <c r="Q320">
        <f t="shared" si="2"/>
        <v>3</v>
      </c>
      <c r="R320">
        <f t="shared" si="2"/>
        <v>0</v>
      </c>
      <c r="S320">
        <f t="shared" si="2"/>
        <v>1</v>
      </c>
      <c r="T320">
        <f t="shared" si="2"/>
        <v>2</v>
      </c>
      <c r="U320">
        <f t="shared" si="2"/>
        <v>2</v>
      </c>
      <c r="V320">
        <f t="shared" si="2"/>
        <v>1</v>
      </c>
      <c r="W320">
        <f t="shared" si="2"/>
        <v>0</v>
      </c>
      <c r="X320">
        <f t="shared" si="2"/>
        <v>0</v>
      </c>
      <c r="Y320">
        <f t="shared" si="2"/>
        <v>0</v>
      </c>
      <c r="Z320">
        <f t="shared" si="2"/>
        <v>0</v>
      </c>
      <c r="AA320">
        <f t="shared" si="2"/>
        <v>0</v>
      </c>
      <c r="AB320">
        <f t="shared" si="2"/>
        <v>0</v>
      </c>
      <c r="AC320" s="121"/>
      <c r="AD320">
        <f t="shared" si="2"/>
        <v>1</v>
      </c>
      <c r="AE320">
        <f t="shared" si="2"/>
        <v>1</v>
      </c>
      <c r="AF320">
        <f t="shared" si="2"/>
        <v>1</v>
      </c>
      <c r="AG320">
        <f t="shared" si="2"/>
        <v>2</v>
      </c>
      <c r="AH320">
        <f t="shared" si="2"/>
        <v>2</v>
      </c>
      <c r="AI320">
        <f t="shared" si="2"/>
        <v>1</v>
      </c>
      <c r="AJ320">
        <f t="shared" si="2"/>
        <v>0</v>
      </c>
      <c r="AK320">
        <f t="shared" si="2"/>
        <v>0</v>
      </c>
      <c r="AL320">
        <f t="shared" si="2"/>
        <v>0</v>
      </c>
      <c r="AM320">
        <f t="shared" si="2"/>
        <v>0</v>
      </c>
      <c r="AN320">
        <f t="shared" si="2"/>
        <v>0</v>
      </c>
      <c r="AO320">
        <f t="shared" si="2"/>
        <v>0</v>
      </c>
      <c r="AP320" s="121"/>
      <c r="AQ320">
        <f t="shared" si="2"/>
        <v>0</v>
      </c>
      <c r="AR320">
        <f t="shared" si="2"/>
        <v>1</v>
      </c>
      <c r="AS320">
        <f t="shared" si="2"/>
        <v>0</v>
      </c>
      <c r="AT320">
        <f t="shared" si="2"/>
        <v>1</v>
      </c>
      <c r="AU320">
        <f t="shared" si="2"/>
        <v>2</v>
      </c>
      <c r="AV320">
        <f t="shared" si="2"/>
        <v>0</v>
      </c>
      <c r="AW320">
        <f t="shared" si="2"/>
        <v>0</v>
      </c>
      <c r="AX320">
        <f t="shared" si="2"/>
        <v>0</v>
      </c>
      <c r="AY320">
        <f t="shared" si="2"/>
        <v>0</v>
      </c>
      <c r="AZ320">
        <f t="shared" si="2"/>
        <v>0</v>
      </c>
      <c r="BA320">
        <f t="shared" si="2"/>
        <v>0</v>
      </c>
      <c r="BB320">
        <f t="shared" si="2"/>
        <v>0</v>
      </c>
    </row>
  </sheetData>
  <mergeCells count="7"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8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G95" sqref="AG95"/>
    </sheetView>
  </sheetViews>
  <sheetFormatPr baseColWidth="10" defaultColWidth="9" defaultRowHeight="15" x14ac:dyDescent="0.2"/>
  <cols>
    <col min="2" max="2" width="2.83203125" style="1" customWidth="1"/>
    <col min="3" max="3" width="7.33203125" bestFit="1" customWidth="1"/>
    <col min="4" max="4" width="7.6640625" bestFit="1" customWidth="1"/>
    <col min="11" max="14" width="10.6640625" customWidth="1"/>
    <col min="15" max="15" width="2.83203125" style="1" customWidth="1"/>
    <col min="28" max="28" width="2.83203125" style="1" customWidth="1"/>
    <col min="29" max="29" width="7.33203125" bestFit="1" customWidth="1"/>
    <col min="30" max="30" width="7.6640625" bestFit="1" customWidth="1"/>
    <col min="41" max="41" width="2.83203125" style="1" customWidth="1"/>
    <col min="42" max="42" width="7.33203125" bestFit="1" customWidth="1"/>
    <col min="43" max="43" width="7.6640625" bestFit="1" customWidth="1"/>
  </cols>
  <sheetData>
    <row r="1" spans="1:53" ht="30" customHeight="1" x14ac:dyDescent="0.2">
      <c r="A1" s="42" t="s">
        <v>283</v>
      </c>
      <c r="C1" s="301" t="s">
        <v>30</v>
      </c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P1" s="306" t="s">
        <v>27</v>
      </c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C1" s="309" t="s">
        <v>28</v>
      </c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P1" s="308" t="s">
        <v>29</v>
      </c>
      <c r="AQ1" s="308"/>
      <c r="AR1" s="308"/>
      <c r="AS1" s="308"/>
      <c r="AT1" s="308"/>
      <c r="AU1" s="308"/>
      <c r="AV1" s="308"/>
      <c r="AW1" s="308"/>
      <c r="AX1" s="308"/>
      <c r="AY1" s="308"/>
      <c r="AZ1" s="308"/>
      <c r="BA1" s="308"/>
    </row>
    <row r="2" spans="1:53" x14ac:dyDescent="0.2">
      <c r="A2" s="2" t="s">
        <v>0</v>
      </c>
      <c r="C2" s="3">
        <v>45658</v>
      </c>
      <c r="D2" s="3">
        <v>45689</v>
      </c>
      <c r="E2" s="3">
        <v>45717</v>
      </c>
      <c r="F2" s="3">
        <v>45748</v>
      </c>
      <c r="G2" s="3">
        <v>45778</v>
      </c>
      <c r="H2" s="4">
        <v>45809</v>
      </c>
      <c r="I2" s="3">
        <v>45839</v>
      </c>
      <c r="J2" s="3">
        <v>45870</v>
      </c>
      <c r="K2" s="3">
        <v>45901</v>
      </c>
      <c r="L2" s="3">
        <v>45931</v>
      </c>
      <c r="M2" s="3">
        <v>45962</v>
      </c>
      <c r="N2" s="3">
        <v>45992</v>
      </c>
      <c r="P2" s="3">
        <v>45658</v>
      </c>
      <c r="Q2" s="3">
        <v>45689</v>
      </c>
      <c r="R2" s="3">
        <v>45717</v>
      </c>
      <c r="S2" s="3">
        <v>45748</v>
      </c>
      <c r="T2" s="3">
        <v>45778</v>
      </c>
      <c r="U2" s="4">
        <v>45809</v>
      </c>
      <c r="V2" s="3">
        <v>45839</v>
      </c>
      <c r="W2" s="3">
        <v>45870</v>
      </c>
      <c r="X2" s="3">
        <v>45901</v>
      </c>
      <c r="Y2" s="3">
        <v>45931</v>
      </c>
      <c r="Z2" s="3">
        <v>45962</v>
      </c>
      <c r="AA2" s="3">
        <v>45992</v>
      </c>
      <c r="AC2" s="3">
        <v>45658</v>
      </c>
      <c r="AD2" s="3">
        <v>45689</v>
      </c>
      <c r="AE2" s="3">
        <v>45717</v>
      </c>
      <c r="AF2" s="3">
        <v>45748</v>
      </c>
      <c r="AG2" s="3">
        <v>45778</v>
      </c>
      <c r="AH2" s="4">
        <v>45809</v>
      </c>
      <c r="AI2" s="3">
        <v>45839</v>
      </c>
      <c r="AJ2" s="3">
        <v>45870</v>
      </c>
      <c r="AK2" s="3">
        <v>45901</v>
      </c>
      <c r="AL2" s="3">
        <v>45931</v>
      </c>
      <c r="AM2" s="3">
        <v>45962</v>
      </c>
      <c r="AN2" s="3">
        <v>45992</v>
      </c>
      <c r="AP2" s="3">
        <v>45658</v>
      </c>
      <c r="AQ2" s="3">
        <v>45689</v>
      </c>
      <c r="AR2" s="3">
        <v>45717</v>
      </c>
      <c r="AS2" s="3">
        <v>45748</v>
      </c>
      <c r="AT2" s="3">
        <v>45778</v>
      </c>
      <c r="AU2" s="4">
        <v>45809</v>
      </c>
      <c r="AV2" s="3">
        <v>45839</v>
      </c>
      <c r="AW2" s="3">
        <v>45870</v>
      </c>
      <c r="AX2" s="3">
        <v>45901</v>
      </c>
      <c r="AY2" s="3">
        <v>45931</v>
      </c>
      <c r="AZ2" s="3">
        <v>45962</v>
      </c>
      <c r="BA2" s="3">
        <v>45992</v>
      </c>
    </row>
    <row r="3" spans="1:53" x14ac:dyDescent="0.2">
      <c r="A3" s="5" t="s">
        <v>31</v>
      </c>
      <c r="P3" s="8"/>
      <c r="Q3" s="8"/>
      <c r="R3" s="8"/>
      <c r="S3" s="8"/>
      <c r="T3" s="8"/>
    </row>
    <row r="4" spans="1:53" x14ac:dyDescent="0.2">
      <c r="A4" s="5" t="s">
        <v>32</v>
      </c>
    </row>
    <row r="5" spans="1:53" x14ac:dyDescent="0.2">
      <c r="A5" s="5" t="s">
        <v>33</v>
      </c>
    </row>
    <row r="6" spans="1:53" x14ac:dyDescent="0.2">
      <c r="A6" s="5" t="s">
        <v>34</v>
      </c>
    </row>
    <row r="7" spans="1:53" x14ac:dyDescent="0.2">
      <c r="A7" s="5" t="s">
        <v>35</v>
      </c>
    </row>
    <row r="8" spans="1:53" x14ac:dyDescent="0.2">
      <c r="A8" s="5" t="s">
        <v>36</v>
      </c>
    </row>
    <row r="9" spans="1:53" x14ac:dyDescent="0.2">
      <c r="A9" s="5" t="s">
        <v>37</v>
      </c>
    </row>
    <row r="10" spans="1:53" x14ac:dyDescent="0.2">
      <c r="A10" s="5" t="s">
        <v>38</v>
      </c>
    </row>
    <row r="11" spans="1:53" x14ac:dyDescent="0.2">
      <c r="A11" s="5" t="s">
        <v>39</v>
      </c>
    </row>
    <row r="12" spans="1:53" x14ac:dyDescent="0.2">
      <c r="A12" s="5" t="s">
        <v>40</v>
      </c>
    </row>
    <row r="13" spans="1:53" x14ac:dyDescent="0.2">
      <c r="A13" s="5" t="s">
        <v>41</v>
      </c>
    </row>
    <row r="14" spans="1:53" x14ac:dyDescent="0.2">
      <c r="A14" s="5" t="s">
        <v>42</v>
      </c>
    </row>
    <row r="15" spans="1:53" x14ac:dyDescent="0.2">
      <c r="A15" s="5" t="s">
        <v>43</v>
      </c>
    </row>
    <row r="16" spans="1:53" x14ac:dyDescent="0.2">
      <c r="A16" s="5" t="s">
        <v>44</v>
      </c>
    </row>
    <row r="17" spans="1:1" x14ac:dyDescent="0.2">
      <c r="A17" s="5" t="s">
        <v>45</v>
      </c>
    </row>
    <row r="18" spans="1:1" x14ac:dyDescent="0.2">
      <c r="A18" s="5" t="s">
        <v>46</v>
      </c>
    </row>
    <row r="19" spans="1:1" x14ac:dyDescent="0.2">
      <c r="A19" s="5" t="s">
        <v>47</v>
      </c>
    </row>
    <row r="20" spans="1:1" x14ac:dyDescent="0.2">
      <c r="A20" s="5" t="s">
        <v>48</v>
      </c>
    </row>
    <row r="21" spans="1:1" x14ac:dyDescent="0.2">
      <c r="A21" s="5" t="s">
        <v>49</v>
      </c>
    </row>
    <row r="22" spans="1:1" x14ac:dyDescent="0.2">
      <c r="A22" s="5" t="s">
        <v>50</v>
      </c>
    </row>
    <row r="23" spans="1:1" x14ac:dyDescent="0.2">
      <c r="A23" s="5" t="s">
        <v>51</v>
      </c>
    </row>
    <row r="24" spans="1:1" x14ac:dyDescent="0.2">
      <c r="A24" s="5" t="s">
        <v>52</v>
      </c>
    </row>
    <row r="25" spans="1:1" x14ac:dyDescent="0.2">
      <c r="A25" s="5" t="s">
        <v>53</v>
      </c>
    </row>
    <row r="26" spans="1:1" x14ac:dyDescent="0.2">
      <c r="A26" s="5" t="s">
        <v>54</v>
      </c>
    </row>
    <row r="27" spans="1:1" x14ac:dyDescent="0.2">
      <c r="A27" s="5" t="s">
        <v>55</v>
      </c>
    </row>
    <row r="28" spans="1:1" x14ac:dyDescent="0.2">
      <c r="A28" s="5" t="s">
        <v>56</v>
      </c>
    </row>
    <row r="29" spans="1:1" x14ac:dyDescent="0.2">
      <c r="A29" s="5" t="s">
        <v>57</v>
      </c>
    </row>
    <row r="30" spans="1:1" x14ac:dyDescent="0.2">
      <c r="A30" s="5" t="s">
        <v>58</v>
      </c>
    </row>
    <row r="31" spans="1:1" x14ac:dyDescent="0.2">
      <c r="A31" s="5" t="s">
        <v>59</v>
      </c>
    </row>
    <row r="32" spans="1:1" x14ac:dyDescent="0.2">
      <c r="A32" s="5" t="s">
        <v>60</v>
      </c>
    </row>
    <row r="33" spans="1:1" x14ac:dyDescent="0.2">
      <c r="A33" s="5" t="s">
        <v>61</v>
      </c>
    </row>
    <row r="34" spans="1:1" x14ac:dyDescent="0.2">
      <c r="A34" s="5" t="s">
        <v>62</v>
      </c>
    </row>
    <row r="35" spans="1:1" x14ac:dyDescent="0.2">
      <c r="A35" s="5" t="s">
        <v>63</v>
      </c>
    </row>
    <row r="36" spans="1:1" x14ac:dyDescent="0.2">
      <c r="A36" s="5" t="s">
        <v>64</v>
      </c>
    </row>
    <row r="37" spans="1:1" x14ac:dyDescent="0.2">
      <c r="A37" s="5" t="s">
        <v>65</v>
      </c>
    </row>
    <row r="38" spans="1:1" x14ac:dyDescent="0.2">
      <c r="A38" s="5" t="s">
        <v>66</v>
      </c>
    </row>
    <row r="39" spans="1:1" x14ac:dyDescent="0.2">
      <c r="A39" s="5" t="s">
        <v>67</v>
      </c>
    </row>
    <row r="40" spans="1:1" x14ac:dyDescent="0.2">
      <c r="A40" s="5" t="s">
        <v>68</v>
      </c>
    </row>
    <row r="41" spans="1:1" x14ac:dyDescent="0.2">
      <c r="A41" s="5" t="s">
        <v>69</v>
      </c>
    </row>
    <row r="42" spans="1:1" x14ac:dyDescent="0.2">
      <c r="A42" s="5" t="s">
        <v>70</v>
      </c>
    </row>
    <row r="43" spans="1:1" x14ac:dyDescent="0.2">
      <c r="A43" s="5" t="s">
        <v>71</v>
      </c>
    </row>
    <row r="44" spans="1:1" x14ac:dyDescent="0.2">
      <c r="A44" s="5" t="s">
        <v>72</v>
      </c>
    </row>
    <row r="45" spans="1:1" x14ac:dyDescent="0.2">
      <c r="A45" s="5" t="s">
        <v>73</v>
      </c>
    </row>
    <row r="46" spans="1:1" x14ac:dyDescent="0.2">
      <c r="A46" s="5" t="s">
        <v>74</v>
      </c>
    </row>
    <row r="47" spans="1:1" x14ac:dyDescent="0.2">
      <c r="A47" s="5" t="s">
        <v>75</v>
      </c>
    </row>
    <row r="48" spans="1:1" x14ac:dyDescent="0.2">
      <c r="A48" s="5" t="s">
        <v>76</v>
      </c>
    </row>
    <row r="49" spans="1:1" x14ac:dyDescent="0.2">
      <c r="A49" s="5" t="s">
        <v>77</v>
      </c>
    </row>
    <row r="50" spans="1:1" x14ac:dyDescent="0.2">
      <c r="A50" s="5" t="s">
        <v>78</v>
      </c>
    </row>
    <row r="51" spans="1:1" x14ac:dyDescent="0.2">
      <c r="A51" s="5" t="s">
        <v>79</v>
      </c>
    </row>
    <row r="52" spans="1:1" x14ac:dyDescent="0.2">
      <c r="A52" s="5" t="s">
        <v>80</v>
      </c>
    </row>
    <row r="53" spans="1:1" x14ac:dyDescent="0.2">
      <c r="A53" s="5" t="s">
        <v>81</v>
      </c>
    </row>
    <row r="54" spans="1:1" x14ac:dyDescent="0.2">
      <c r="A54" s="5" t="s">
        <v>82</v>
      </c>
    </row>
    <row r="55" spans="1:1" x14ac:dyDescent="0.2">
      <c r="A55" s="5" t="s">
        <v>83</v>
      </c>
    </row>
    <row r="56" spans="1:1" x14ac:dyDescent="0.2">
      <c r="A56" s="5" t="s">
        <v>84</v>
      </c>
    </row>
    <row r="57" spans="1:1" x14ac:dyDescent="0.2">
      <c r="A57" s="5" t="s">
        <v>85</v>
      </c>
    </row>
    <row r="58" spans="1:1" x14ac:dyDescent="0.2">
      <c r="A58" s="5" t="s">
        <v>86</v>
      </c>
    </row>
    <row r="59" spans="1:1" x14ac:dyDescent="0.2">
      <c r="A59" s="5" t="s">
        <v>87</v>
      </c>
    </row>
    <row r="60" spans="1:1" x14ac:dyDescent="0.2">
      <c r="A60" s="5" t="s">
        <v>88</v>
      </c>
    </row>
    <row r="61" spans="1:1" x14ac:dyDescent="0.2">
      <c r="A61" s="5" t="s">
        <v>89</v>
      </c>
    </row>
    <row r="62" spans="1:1" x14ac:dyDescent="0.2">
      <c r="A62" s="5" t="s">
        <v>90</v>
      </c>
    </row>
    <row r="63" spans="1:1" x14ac:dyDescent="0.2">
      <c r="A63" s="5" t="s">
        <v>91</v>
      </c>
    </row>
    <row r="64" spans="1:1" x14ac:dyDescent="0.2">
      <c r="A64" s="5" t="s">
        <v>92</v>
      </c>
    </row>
    <row r="65" spans="1:1" x14ac:dyDescent="0.2">
      <c r="A65" s="5" t="s">
        <v>93</v>
      </c>
    </row>
    <row r="66" spans="1:1" x14ac:dyDescent="0.2">
      <c r="A66" s="5" t="s">
        <v>94</v>
      </c>
    </row>
    <row r="67" spans="1:1" x14ac:dyDescent="0.2">
      <c r="A67" s="5" t="s">
        <v>95</v>
      </c>
    </row>
    <row r="68" spans="1:1" x14ac:dyDescent="0.2">
      <c r="A68" s="5" t="s">
        <v>96</v>
      </c>
    </row>
    <row r="69" spans="1:1" x14ac:dyDescent="0.2">
      <c r="A69" s="5" t="s">
        <v>97</v>
      </c>
    </row>
    <row r="70" spans="1:1" x14ac:dyDescent="0.2">
      <c r="A70" s="5" t="s">
        <v>98</v>
      </c>
    </row>
    <row r="71" spans="1:1" x14ac:dyDescent="0.2">
      <c r="A71" s="5" t="s">
        <v>99</v>
      </c>
    </row>
    <row r="72" spans="1:1" x14ac:dyDescent="0.2">
      <c r="A72" s="5" t="s">
        <v>100</v>
      </c>
    </row>
    <row r="73" spans="1:1" x14ac:dyDescent="0.2">
      <c r="A73" s="5" t="s">
        <v>101</v>
      </c>
    </row>
    <row r="74" spans="1:1" x14ac:dyDescent="0.2">
      <c r="A74" s="5" t="s">
        <v>102</v>
      </c>
    </row>
    <row r="75" spans="1:1" x14ac:dyDescent="0.2">
      <c r="A75" s="5" t="s">
        <v>103</v>
      </c>
    </row>
    <row r="76" spans="1:1" x14ac:dyDescent="0.2">
      <c r="A76" s="5" t="s">
        <v>104</v>
      </c>
    </row>
    <row r="77" spans="1:1" x14ac:dyDescent="0.2">
      <c r="A77" s="5" t="s">
        <v>105</v>
      </c>
    </row>
    <row r="78" spans="1:1" x14ac:dyDescent="0.2">
      <c r="A78" s="5" t="s">
        <v>106</v>
      </c>
    </row>
    <row r="79" spans="1:1" x14ac:dyDescent="0.2">
      <c r="A79" s="5" t="s">
        <v>107</v>
      </c>
    </row>
    <row r="80" spans="1:1" x14ac:dyDescent="0.2">
      <c r="A80" s="5" t="s">
        <v>108</v>
      </c>
    </row>
    <row r="81" spans="1:35" x14ac:dyDescent="0.2">
      <c r="A81" s="5" t="s">
        <v>109</v>
      </c>
    </row>
    <row r="82" spans="1:35" x14ac:dyDescent="0.2">
      <c r="A82" s="5" t="s">
        <v>110</v>
      </c>
    </row>
    <row r="83" spans="1:35" x14ac:dyDescent="0.2">
      <c r="A83" s="5" t="s">
        <v>111</v>
      </c>
    </row>
    <row r="84" spans="1:35" x14ac:dyDescent="0.2">
      <c r="A84" s="5" t="s">
        <v>112</v>
      </c>
    </row>
    <row r="85" spans="1:35" x14ac:dyDescent="0.2">
      <c r="A85" s="5" t="s">
        <v>113</v>
      </c>
    </row>
    <row r="86" spans="1:35" x14ac:dyDescent="0.2">
      <c r="A86" s="5" t="s">
        <v>114</v>
      </c>
    </row>
    <row r="87" spans="1:35" x14ac:dyDescent="0.2">
      <c r="A87" s="5" t="s">
        <v>115</v>
      </c>
    </row>
    <row r="88" spans="1:35" x14ac:dyDescent="0.2">
      <c r="A88" s="5" t="s">
        <v>116</v>
      </c>
    </row>
    <row r="89" spans="1:35" x14ac:dyDescent="0.2">
      <c r="A89" s="5" t="s">
        <v>117</v>
      </c>
    </row>
    <row r="90" spans="1:35" x14ac:dyDescent="0.2">
      <c r="A90" s="5" t="s">
        <v>118</v>
      </c>
    </row>
    <row r="91" spans="1:35" x14ac:dyDescent="0.2">
      <c r="A91" s="5" t="s">
        <v>119</v>
      </c>
      <c r="V91">
        <v>1</v>
      </c>
      <c r="AI91">
        <v>1</v>
      </c>
    </row>
    <row r="92" spans="1:35" x14ac:dyDescent="0.2">
      <c r="A92" s="5" t="s">
        <v>120</v>
      </c>
    </row>
    <row r="93" spans="1:35" x14ac:dyDescent="0.2">
      <c r="A93" s="5" t="s">
        <v>121</v>
      </c>
    </row>
    <row r="94" spans="1:35" x14ac:dyDescent="0.2">
      <c r="A94" s="7" t="s">
        <v>122</v>
      </c>
      <c r="AI94">
        <v>1</v>
      </c>
    </row>
    <row r="95" spans="1:35" x14ac:dyDescent="0.2">
      <c r="A95" s="5" t="s">
        <v>123</v>
      </c>
    </row>
    <row r="96" spans="1:35" x14ac:dyDescent="0.2">
      <c r="A96" s="5" t="s">
        <v>124</v>
      </c>
    </row>
    <row r="97" spans="1:41" x14ac:dyDescent="0.2">
      <c r="A97" s="5" t="s">
        <v>125</v>
      </c>
    </row>
    <row r="98" spans="1:41" x14ac:dyDescent="0.2">
      <c r="A98" s="5" t="s">
        <v>126</v>
      </c>
    </row>
    <row r="99" spans="1:41" x14ac:dyDescent="0.2">
      <c r="A99" s="5">
        <v>99228</v>
      </c>
    </row>
    <row r="100" spans="1:41" x14ac:dyDescent="0.2">
      <c r="A100" s="5" t="s">
        <v>127</v>
      </c>
    </row>
    <row r="101" spans="1:41" x14ac:dyDescent="0.2">
      <c r="A101" s="5" t="s">
        <v>128</v>
      </c>
    </row>
    <row r="102" spans="1:41" x14ac:dyDescent="0.2">
      <c r="A102" s="5" t="s">
        <v>129</v>
      </c>
    </row>
    <row r="103" spans="1:41" x14ac:dyDescent="0.2">
      <c r="A103" s="5" t="s">
        <v>130</v>
      </c>
    </row>
    <row r="104" spans="1:41" x14ac:dyDescent="0.2">
      <c r="A104" s="5" t="s">
        <v>131</v>
      </c>
    </row>
    <row r="105" spans="1:41" x14ac:dyDescent="0.2">
      <c r="A105" s="5" t="s">
        <v>132</v>
      </c>
    </row>
    <row r="106" spans="1:41" x14ac:dyDescent="0.2">
      <c r="A106" s="5" t="s">
        <v>133</v>
      </c>
    </row>
    <row r="107" spans="1:41" s="13" customFormat="1" ht="16" thickBot="1" x14ac:dyDescent="0.25">
      <c r="A107" s="110" t="s">
        <v>134</v>
      </c>
      <c r="B107" s="29"/>
      <c r="O107" s="29"/>
      <c r="AB107" s="29"/>
      <c r="AO107" s="29"/>
    </row>
    <row r="108" spans="1:41" x14ac:dyDescent="0.2">
      <c r="C108">
        <f>SUM(C3:C107)</f>
        <v>0</v>
      </c>
      <c r="D108">
        <f t="shared" ref="D108:AA108" si="0">SUM(D3:D107)</f>
        <v>0</v>
      </c>
      <c r="E108">
        <f t="shared" si="0"/>
        <v>0</v>
      </c>
      <c r="F108">
        <f t="shared" si="0"/>
        <v>0</v>
      </c>
      <c r="G108">
        <f t="shared" si="0"/>
        <v>0</v>
      </c>
      <c r="H108">
        <f t="shared" si="0"/>
        <v>0</v>
      </c>
      <c r="I108">
        <f t="shared" si="0"/>
        <v>0</v>
      </c>
      <c r="J108">
        <f t="shared" si="0"/>
        <v>0</v>
      </c>
      <c r="K108">
        <f t="shared" si="0"/>
        <v>0</v>
      </c>
      <c r="L108">
        <f t="shared" si="0"/>
        <v>0</v>
      </c>
      <c r="M108">
        <f t="shared" si="0"/>
        <v>0</v>
      </c>
      <c r="N108">
        <f t="shared" si="0"/>
        <v>0</v>
      </c>
      <c r="O108" s="121"/>
      <c r="P108">
        <f t="shared" si="0"/>
        <v>0</v>
      </c>
      <c r="Q108">
        <f t="shared" si="0"/>
        <v>0</v>
      </c>
      <c r="R108">
        <f t="shared" si="0"/>
        <v>0</v>
      </c>
      <c r="S108">
        <f t="shared" si="0"/>
        <v>0</v>
      </c>
      <c r="T108">
        <f t="shared" si="0"/>
        <v>0</v>
      </c>
      <c r="U108">
        <f t="shared" si="0"/>
        <v>0</v>
      </c>
      <c r="V108">
        <f t="shared" si="0"/>
        <v>1</v>
      </c>
      <c r="W108">
        <f t="shared" si="0"/>
        <v>0</v>
      </c>
      <c r="X108">
        <f t="shared" si="0"/>
        <v>0</v>
      </c>
      <c r="Y108">
        <f t="shared" si="0"/>
        <v>0</v>
      </c>
      <c r="Z108">
        <f t="shared" si="0"/>
        <v>0</v>
      </c>
      <c r="AA108">
        <f t="shared" si="0"/>
        <v>0</v>
      </c>
      <c r="AC108">
        <f t="shared" ref="AC108:AN108" si="1">SUM(AC3:AC107)</f>
        <v>0</v>
      </c>
      <c r="AD108">
        <f t="shared" si="1"/>
        <v>0</v>
      </c>
      <c r="AE108">
        <f t="shared" si="1"/>
        <v>0</v>
      </c>
      <c r="AF108">
        <f t="shared" si="1"/>
        <v>0</v>
      </c>
      <c r="AG108">
        <f t="shared" si="1"/>
        <v>0</v>
      </c>
      <c r="AH108">
        <f t="shared" si="1"/>
        <v>0</v>
      </c>
      <c r="AI108">
        <f t="shared" si="1"/>
        <v>2</v>
      </c>
      <c r="AJ108">
        <f t="shared" si="1"/>
        <v>0</v>
      </c>
      <c r="AK108">
        <f t="shared" si="1"/>
        <v>0</v>
      </c>
      <c r="AL108">
        <f t="shared" si="1"/>
        <v>0</v>
      </c>
      <c r="AM108">
        <f t="shared" si="1"/>
        <v>0</v>
      </c>
      <c r="AN108">
        <f t="shared" si="1"/>
        <v>0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20"/>
  <sheetViews>
    <sheetView zoomScale="70" zoomScaleNormal="70" workbookViewId="0">
      <pane xSplit="3" ySplit="2" topLeftCell="D226" activePane="bottomRight" state="frozen"/>
      <selection pane="topRight" activeCell="D1" sqref="D1"/>
      <selection pane="bottomLeft" activeCell="A3" sqref="A3"/>
      <selection pane="bottomRight" sqref="A1:B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</cols>
  <sheetData>
    <row r="1" spans="1:54" ht="30" customHeight="1" x14ac:dyDescent="0.2">
      <c r="A1" s="296" t="s">
        <v>283</v>
      </c>
      <c r="B1" s="296"/>
      <c r="D1" s="301" t="s">
        <v>279</v>
      </c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Q1" s="310" t="s">
        <v>280</v>
      </c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2"/>
      <c r="AD1" s="301" t="s">
        <v>281</v>
      </c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Q1" s="310" t="s">
        <v>282</v>
      </c>
      <c r="AR1" s="311"/>
      <c r="AS1" s="311"/>
      <c r="AT1" s="311"/>
      <c r="AU1" s="311"/>
      <c r="AV1" s="311"/>
      <c r="AW1" s="311"/>
      <c r="AX1" s="311"/>
      <c r="AY1" s="311"/>
      <c r="AZ1" s="311"/>
      <c r="BA1" s="311"/>
      <c r="BB1" s="312"/>
    </row>
    <row r="2" spans="1:54" x14ac:dyDescent="0.2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3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3">
        <v>45658</v>
      </c>
      <c r="AR2" s="3">
        <v>45689</v>
      </c>
      <c r="AS2" s="3">
        <v>45717</v>
      </c>
      <c r="AT2" s="3">
        <v>45748</v>
      </c>
      <c r="AU2" s="3">
        <v>45778</v>
      </c>
      <c r="AV2" s="4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</row>
    <row r="3" spans="1:54" x14ac:dyDescent="0.2">
      <c r="A3" s="5" t="s">
        <v>31</v>
      </c>
      <c r="B3" t="s">
        <v>136</v>
      </c>
      <c r="D3">
        <v>4</v>
      </c>
      <c r="E3">
        <v>5</v>
      </c>
      <c r="F3" s="8">
        <v>4</v>
      </c>
      <c r="G3">
        <v>8</v>
      </c>
      <c r="H3">
        <v>8</v>
      </c>
      <c r="I3">
        <v>8</v>
      </c>
      <c r="Q3" s="15">
        <v>1</v>
      </c>
      <c r="R3">
        <v>1</v>
      </c>
      <c r="T3" s="8">
        <v>2</v>
      </c>
      <c r="U3" s="8">
        <v>1</v>
      </c>
      <c r="V3" s="8"/>
      <c r="W3" s="8"/>
      <c r="X3" s="8"/>
      <c r="Y3" s="8"/>
      <c r="Z3" s="8"/>
      <c r="AA3" s="8"/>
      <c r="AB3" s="39"/>
      <c r="AE3" s="8">
        <v>2</v>
      </c>
      <c r="AF3" s="8"/>
      <c r="AG3" s="8"/>
      <c r="AH3" s="8"/>
      <c r="AI3" s="8"/>
      <c r="AJ3" s="8"/>
      <c r="AL3" s="8"/>
      <c r="AM3" s="8"/>
      <c r="AN3" s="8"/>
      <c r="AO3" s="8"/>
      <c r="AQ3" s="15"/>
      <c r="AR3" s="8">
        <v>1</v>
      </c>
      <c r="AS3" s="8"/>
      <c r="AT3" s="8"/>
      <c r="AU3" s="8"/>
      <c r="AV3" s="8"/>
      <c r="AW3" s="8"/>
      <c r="AX3" s="8"/>
      <c r="AY3" s="8"/>
      <c r="AZ3" s="8"/>
      <c r="BA3" s="8"/>
      <c r="BB3" s="39"/>
    </row>
    <row r="4" spans="1:54" x14ac:dyDescent="0.2">
      <c r="A4" s="5" t="s">
        <v>32</v>
      </c>
      <c r="B4" t="s">
        <v>136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Q4" s="15"/>
      <c r="AB4" s="12"/>
      <c r="AQ4" s="15"/>
      <c r="BB4" s="12"/>
    </row>
    <row r="5" spans="1:54" x14ac:dyDescent="0.2">
      <c r="A5" s="5" t="s">
        <v>33</v>
      </c>
      <c r="B5" t="s">
        <v>136</v>
      </c>
      <c r="Q5" s="15"/>
      <c r="AB5" s="12"/>
      <c r="AQ5" s="15"/>
      <c r="BB5" s="12"/>
    </row>
    <row r="6" spans="1:54" x14ac:dyDescent="0.2">
      <c r="A6" s="5" t="s">
        <v>34</v>
      </c>
      <c r="B6" t="s">
        <v>136</v>
      </c>
      <c r="D6">
        <v>6</v>
      </c>
      <c r="E6">
        <v>6</v>
      </c>
      <c r="F6">
        <v>6</v>
      </c>
      <c r="G6">
        <v>12</v>
      </c>
      <c r="H6">
        <v>12</v>
      </c>
      <c r="I6">
        <v>11</v>
      </c>
      <c r="Q6" s="15"/>
      <c r="U6">
        <v>3</v>
      </c>
      <c r="V6">
        <v>1</v>
      </c>
      <c r="AB6" s="12"/>
      <c r="AQ6" s="15"/>
      <c r="AU6">
        <v>1</v>
      </c>
      <c r="AV6">
        <v>1</v>
      </c>
      <c r="BB6" s="12"/>
    </row>
    <row r="7" spans="1:54" x14ac:dyDescent="0.2">
      <c r="A7" s="5" t="s">
        <v>35</v>
      </c>
      <c r="B7" t="s">
        <v>136</v>
      </c>
      <c r="G7">
        <v>2</v>
      </c>
      <c r="H7">
        <v>2</v>
      </c>
      <c r="I7">
        <v>2</v>
      </c>
      <c r="Q7" s="15"/>
      <c r="V7">
        <v>2</v>
      </c>
      <c r="AB7" s="12"/>
      <c r="AQ7" s="15"/>
      <c r="BB7" s="12"/>
    </row>
    <row r="8" spans="1:54" x14ac:dyDescent="0.2">
      <c r="A8" s="5" t="s">
        <v>36</v>
      </c>
      <c r="B8" t="s">
        <v>136</v>
      </c>
      <c r="D8">
        <v>4</v>
      </c>
      <c r="E8">
        <v>5</v>
      </c>
      <c r="F8">
        <v>6</v>
      </c>
      <c r="G8">
        <v>10</v>
      </c>
      <c r="H8">
        <v>10</v>
      </c>
      <c r="I8">
        <v>10</v>
      </c>
      <c r="Q8" s="15"/>
      <c r="R8">
        <v>1</v>
      </c>
      <c r="S8">
        <v>1</v>
      </c>
      <c r="T8">
        <v>3</v>
      </c>
      <c r="U8">
        <v>1</v>
      </c>
      <c r="V8">
        <v>1</v>
      </c>
      <c r="AB8" s="12"/>
      <c r="AQ8" s="15"/>
      <c r="BB8" s="12"/>
    </row>
    <row r="9" spans="1:54" x14ac:dyDescent="0.2">
      <c r="A9" s="5" t="s">
        <v>37</v>
      </c>
      <c r="B9" t="s">
        <v>136</v>
      </c>
      <c r="F9">
        <v>1</v>
      </c>
      <c r="G9">
        <v>1</v>
      </c>
      <c r="H9">
        <v>1</v>
      </c>
      <c r="I9">
        <v>1</v>
      </c>
      <c r="Q9" s="15"/>
      <c r="S9">
        <v>1</v>
      </c>
      <c r="AB9" s="12"/>
      <c r="AQ9" s="15"/>
      <c r="BB9" s="12"/>
    </row>
    <row r="10" spans="1:54" x14ac:dyDescent="0.2">
      <c r="A10" s="5" t="s">
        <v>38</v>
      </c>
      <c r="B10" t="s">
        <v>136</v>
      </c>
      <c r="D10">
        <v>5</v>
      </c>
      <c r="E10">
        <v>7</v>
      </c>
      <c r="F10">
        <v>10</v>
      </c>
      <c r="G10">
        <v>17</v>
      </c>
      <c r="H10">
        <v>17</v>
      </c>
      <c r="I10">
        <v>17</v>
      </c>
      <c r="Q10" s="15"/>
      <c r="R10">
        <v>2</v>
      </c>
      <c r="S10">
        <v>4</v>
      </c>
      <c r="T10">
        <v>1</v>
      </c>
      <c r="U10">
        <v>1</v>
      </c>
      <c r="V10">
        <v>4</v>
      </c>
      <c r="AB10" s="12"/>
      <c r="AE10">
        <v>1</v>
      </c>
      <c r="AQ10" s="15"/>
      <c r="AR10">
        <v>1</v>
      </c>
      <c r="BB10" s="12"/>
    </row>
    <row r="11" spans="1:54" x14ac:dyDescent="0.2">
      <c r="A11" s="5" t="s">
        <v>39</v>
      </c>
      <c r="B11" t="s">
        <v>136</v>
      </c>
      <c r="Q11" s="15"/>
      <c r="AB11" s="12"/>
      <c r="AQ11" s="15"/>
      <c r="BB11" s="12"/>
    </row>
    <row r="12" spans="1:54" x14ac:dyDescent="0.2">
      <c r="A12" s="5" t="s">
        <v>40</v>
      </c>
      <c r="B12" t="s">
        <v>136</v>
      </c>
      <c r="G12">
        <v>1</v>
      </c>
      <c r="H12">
        <v>1</v>
      </c>
      <c r="I12">
        <v>1</v>
      </c>
      <c r="Q12" s="15"/>
      <c r="T12">
        <v>1</v>
      </c>
      <c r="AB12" s="12"/>
      <c r="AQ12" s="15"/>
      <c r="BB12" s="12"/>
    </row>
    <row r="13" spans="1:54" x14ac:dyDescent="0.2">
      <c r="A13" s="5" t="s">
        <v>41</v>
      </c>
      <c r="B13" t="s">
        <v>136</v>
      </c>
      <c r="Q13" s="15"/>
      <c r="AB13" s="12"/>
      <c r="AQ13" s="15"/>
      <c r="BB13" s="12"/>
    </row>
    <row r="14" spans="1:54" x14ac:dyDescent="0.2">
      <c r="A14" s="5" t="s">
        <v>42</v>
      </c>
      <c r="B14" t="s">
        <v>136</v>
      </c>
      <c r="Q14" s="15"/>
      <c r="AB14" s="12"/>
      <c r="AQ14" s="15"/>
      <c r="BB14" s="12"/>
    </row>
    <row r="15" spans="1:54" x14ac:dyDescent="0.2">
      <c r="A15" s="5" t="s">
        <v>43</v>
      </c>
      <c r="B15" t="s">
        <v>136</v>
      </c>
      <c r="D15">
        <v>2</v>
      </c>
      <c r="E15">
        <v>2</v>
      </c>
      <c r="F15">
        <v>3</v>
      </c>
      <c r="G15">
        <v>2</v>
      </c>
      <c r="H15">
        <v>2</v>
      </c>
      <c r="I15">
        <v>2</v>
      </c>
      <c r="Q15" s="15"/>
      <c r="S15">
        <v>1</v>
      </c>
      <c r="AB15" s="12"/>
      <c r="AQ15" s="15"/>
      <c r="AS15">
        <v>1</v>
      </c>
      <c r="BB15" s="12"/>
    </row>
    <row r="16" spans="1:54" x14ac:dyDescent="0.2">
      <c r="A16" s="5" t="s">
        <v>44</v>
      </c>
      <c r="B16" t="s">
        <v>136</v>
      </c>
      <c r="Q16" s="15"/>
      <c r="AB16" s="12"/>
      <c r="AQ16" s="15"/>
      <c r="BB16" s="12"/>
    </row>
    <row r="17" spans="1:54" x14ac:dyDescent="0.2">
      <c r="A17" s="5" t="s">
        <v>45</v>
      </c>
      <c r="B17" t="s">
        <v>136</v>
      </c>
      <c r="D17">
        <v>5</v>
      </c>
      <c r="E17">
        <v>4</v>
      </c>
      <c r="F17">
        <v>6</v>
      </c>
      <c r="G17">
        <v>13</v>
      </c>
      <c r="H17">
        <v>13</v>
      </c>
      <c r="I17">
        <v>12</v>
      </c>
      <c r="Q17" s="15">
        <v>3</v>
      </c>
      <c r="S17">
        <v>2</v>
      </c>
      <c r="T17">
        <v>3</v>
      </c>
      <c r="U17">
        <v>1</v>
      </c>
      <c r="V17">
        <v>3</v>
      </c>
      <c r="AB17" s="12"/>
      <c r="AD17">
        <v>2</v>
      </c>
      <c r="AF17">
        <v>2</v>
      </c>
      <c r="AQ17" s="15">
        <v>1</v>
      </c>
      <c r="AS17">
        <v>1</v>
      </c>
      <c r="BB17" s="12"/>
    </row>
    <row r="18" spans="1:54" x14ac:dyDescent="0.2">
      <c r="A18" s="5" t="s">
        <v>46</v>
      </c>
      <c r="B18" t="s">
        <v>136</v>
      </c>
      <c r="Q18" s="15"/>
      <c r="AB18" s="12"/>
      <c r="AQ18" s="15"/>
      <c r="BB18" s="12"/>
    </row>
    <row r="19" spans="1:54" x14ac:dyDescent="0.2">
      <c r="A19" s="5" t="s">
        <v>47</v>
      </c>
      <c r="B19" t="s">
        <v>136</v>
      </c>
      <c r="D19">
        <v>6</v>
      </c>
      <c r="E19">
        <v>6</v>
      </c>
      <c r="F19">
        <v>4</v>
      </c>
      <c r="G19">
        <v>10</v>
      </c>
      <c r="H19">
        <v>10</v>
      </c>
      <c r="I19">
        <v>10</v>
      </c>
      <c r="Q19" s="15"/>
      <c r="T19">
        <v>2</v>
      </c>
      <c r="U19">
        <v>2</v>
      </c>
      <c r="V19">
        <v>2</v>
      </c>
      <c r="AB19" s="12"/>
      <c r="AE19">
        <v>2</v>
      </c>
      <c r="AQ19" s="15"/>
      <c r="AR19">
        <v>2</v>
      </c>
      <c r="BB19" s="12"/>
    </row>
    <row r="20" spans="1:54" x14ac:dyDescent="0.2">
      <c r="A20" s="5" t="s">
        <v>48</v>
      </c>
      <c r="B20" t="s">
        <v>136</v>
      </c>
      <c r="Q20" s="15"/>
      <c r="AB20" s="12"/>
      <c r="AQ20" s="15"/>
      <c r="BB20" s="12"/>
    </row>
    <row r="21" spans="1:54" x14ac:dyDescent="0.2">
      <c r="A21" s="5" t="s">
        <v>49</v>
      </c>
      <c r="B21" t="s">
        <v>136</v>
      </c>
      <c r="D21">
        <v>3</v>
      </c>
      <c r="E21">
        <v>5</v>
      </c>
      <c r="F21">
        <v>7</v>
      </c>
      <c r="G21">
        <v>8</v>
      </c>
      <c r="H21">
        <v>7</v>
      </c>
      <c r="I21">
        <v>7</v>
      </c>
      <c r="Q21" s="15"/>
      <c r="R21">
        <v>2</v>
      </c>
      <c r="S21">
        <v>2</v>
      </c>
      <c r="AB21" s="12"/>
      <c r="AQ21" s="15"/>
      <c r="AT21">
        <v>1</v>
      </c>
      <c r="BB21" s="12"/>
    </row>
    <row r="22" spans="1:54" x14ac:dyDescent="0.2">
      <c r="A22" s="5" t="s">
        <v>50</v>
      </c>
      <c r="B22" t="s">
        <v>136</v>
      </c>
      <c r="D22">
        <v>5</v>
      </c>
      <c r="E22">
        <v>4</v>
      </c>
      <c r="F22">
        <v>4</v>
      </c>
      <c r="G22">
        <v>10</v>
      </c>
      <c r="H22">
        <v>10</v>
      </c>
      <c r="I22">
        <v>10</v>
      </c>
      <c r="Q22" s="15">
        <v>1</v>
      </c>
      <c r="R22">
        <v>1</v>
      </c>
      <c r="T22">
        <v>3</v>
      </c>
      <c r="U22">
        <v>1</v>
      </c>
      <c r="V22">
        <v>1</v>
      </c>
      <c r="AB22" s="12"/>
      <c r="AD22">
        <v>3</v>
      </c>
      <c r="AQ22" s="15">
        <v>2</v>
      </c>
      <c r="BB22" s="12"/>
    </row>
    <row r="23" spans="1:54" x14ac:dyDescent="0.2">
      <c r="A23" s="5" t="s">
        <v>51</v>
      </c>
      <c r="B23" t="s">
        <v>136</v>
      </c>
      <c r="Q23" s="15"/>
      <c r="AB23" s="12"/>
      <c r="AQ23" s="15"/>
      <c r="BB23" s="12"/>
    </row>
    <row r="24" spans="1:54" x14ac:dyDescent="0.2">
      <c r="A24" s="5" t="s">
        <v>52</v>
      </c>
      <c r="B24" t="s">
        <v>136</v>
      </c>
      <c r="G24">
        <v>4</v>
      </c>
      <c r="H24">
        <v>4</v>
      </c>
      <c r="I24">
        <v>4</v>
      </c>
      <c r="Q24" s="15"/>
      <c r="T24">
        <v>4</v>
      </c>
      <c r="AB24" s="12"/>
      <c r="AQ24" s="15"/>
      <c r="BB24" s="12"/>
    </row>
    <row r="25" spans="1:54" x14ac:dyDescent="0.2">
      <c r="A25" s="5" t="s">
        <v>53</v>
      </c>
      <c r="B25" t="s">
        <v>136</v>
      </c>
      <c r="D25">
        <v>2</v>
      </c>
      <c r="E25">
        <v>2</v>
      </c>
      <c r="F25">
        <v>3</v>
      </c>
      <c r="G25">
        <v>6</v>
      </c>
      <c r="H25">
        <v>6</v>
      </c>
      <c r="I25">
        <v>6</v>
      </c>
      <c r="Q25" s="15"/>
      <c r="S25">
        <v>1</v>
      </c>
      <c r="T25">
        <v>1</v>
      </c>
      <c r="U25">
        <v>2</v>
      </c>
      <c r="V25">
        <v>1</v>
      </c>
      <c r="AB25" s="12"/>
      <c r="AF25">
        <v>1</v>
      </c>
      <c r="AQ25" s="15"/>
      <c r="AS25">
        <v>1</v>
      </c>
      <c r="BB25" s="12"/>
    </row>
    <row r="26" spans="1:54" x14ac:dyDescent="0.2">
      <c r="A26" s="5" t="s">
        <v>54</v>
      </c>
      <c r="B26" t="s">
        <v>136</v>
      </c>
      <c r="D26">
        <v>6</v>
      </c>
      <c r="E26">
        <v>7</v>
      </c>
      <c r="F26">
        <v>6</v>
      </c>
      <c r="G26">
        <v>8</v>
      </c>
      <c r="H26">
        <v>6</v>
      </c>
      <c r="I26">
        <v>6</v>
      </c>
      <c r="Q26" s="15">
        <v>1</v>
      </c>
      <c r="R26">
        <v>1</v>
      </c>
      <c r="T26">
        <v>1</v>
      </c>
      <c r="V26">
        <v>1</v>
      </c>
      <c r="AB26" s="12"/>
      <c r="AQ26" s="15"/>
      <c r="AR26">
        <v>1</v>
      </c>
      <c r="AT26">
        <v>2</v>
      </c>
      <c r="BB26" s="12"/>
    </row>
    <row r="27" spans="1:54" x14ac:dyDescent="0.2">
      <c r="A27" s="5" t="s">
        <v>55</v>
      </c>
      <c r="B27" t="s">
        <v>136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Q27" s="15"/>
      <c r="AB27" s="12"/>
      <c r="AQ27" s="15"/>
      <c r="BB27" s="12"/>
    </row>
    <row r="28" spans="1:54" x14ac:dyDescent="0.2">
      <c r="A28" s="5" t="s">
        <v>56</v>
      </c>
      <c r="B28" t="s">
        <v>136</v>
      </c>
      <c r="Q28" s="15"/>
      <c r="AB28" s="12"/>
      <c r="AQ28" s="15"/>
      <c r="BB28" s="12"/>
    </row>
    <row r="29" spans="1:54" x14ac:dyDescent="0.2">
      <c r="A29" s="5" t="s">
        <v>57</v>
      </c>
      <c r="B29" t="s">
        <v>136</v>
      </c>
      <c r="G29">
        <v>1</v>
      </c>
      <c r="H29">
        <v>1</v>
      </c>
      <c r="I29">
        <v>1</v>
      </c>
      <c r="Q29" s="15"/>
      <c r="T29">
        <v>1</v>
      </c>
      <c r="AB29" s="12"/>
      <c r="AQ29" s="15"/>
      <c r="BB29" s="12"/>
    </row>
    <row r="30" spans="1:54" x14ac:dyDescent="0.2">
      <c r="A30" s="5" t="s">
        <v>58</v>
      </c>
      <c r="B30" t="s">
        <v>136</v>
      </c>
      <c r="D30">
        <v>1</v>
      </c>
      <c r="E30">
        <v>2</v>
      </c>
      <c r="F30">
        <v>2</v>
      </c>
      <c r="G30">
        <v>2</v>
      </c>
      <c r="H30">
        <v>2</v>
      </c>
      <c r="I30">
        <v>2</v>
      </c>
      <c r="Q30" s="15">
        <v>1</v>
      </c>
      <c r="R30">
        <v>1</v>
      </c>
      <c r="AB30" s="12"/>
      <c r="AQ30" s="15"/>
      <c r="BB30" s="12"/>
    </row>
    <row r="31" spans="1:54" x14ac:dyDescent="0.2">
      <c r="A31" s="5" t="s">
        <v>59</v>
      </c>
      <c r="B31" t="s">
        <v>136</v>
      </c>
      <c r="F31">
        <v>1</v>
      </c>
      <c r="G31">
        <v>2</v>
      </c>
      <c r="H31">
        <v>2</v>
      </c>
      <c r="I31">
        <v>2</v>
      </c>
      <c r="Q31" s="15"/>
      <c r="S31">
        <v>1</v>
      </c>
      <c r="V31">
        <v>1</v>
      </c>
      <c r="AB31" s="12"/>
      <c r="AQ31" s="15"/>
      <c r="BB31" s="12"/>
    </row>
    <row r="32" spans="1:54" x14ac:dyDescent="0.2">
      <c r="A32" s="5" t="s">
        <v>60</v>
      </c>
      <c r="B32" t="s">
        <v>136</v>
      </c>
      <c r="Q32" s="15"/>
      <c r="AB32" s="12"/>
      <c r="AQ32" s="15"/>
      <c r="BB32" s="12"/>
    </row>
    <row r="33" spans="1:54" x14ac:dyDescent="0.2">
      <c r="A33" s="5" t="s">
        <v>61</v>
      </c>
      <c r="B33" t="s">
        <v>136</v>
      </c>
      <c r="Q33" s="15"/>
      <c r="AB33" s="12"/>
      <c r="AQ33" s="15"/>
      <c r="BB33" s="12"/>
    </row>
    <row r="34" spans="1:54" x14ac:dyDescent="0.2">
      <c r="A34" s="5" t="s">
        <v>62</v>
      </c>
      <c r="B34" t="s">
        <v>136</v>
      </c>
      <c r="D34">
        <v>9</v>
      </c>
      <c r="E34">
        <v>9</v>
      </c>
      <c r="F34">
        <v>11</v>
      </c>
      <c r="G34">
        <v>12</v>
      </c>
      <c r="H34">
        <v>12</v>
      </c>
      <c r="I34">
        <v>12</v>
      </c>
      <c r="Q34" s="15">
        <v>4</v>
      </c>
      <c r="S34">
        <v>2</v>
      </c>
      <c r="AB34" s="12"/>
      <c r="AQ34" s="15"/>
      <c r="AS34">
        <v>1</v>
      </c>
      <c r="AV34">
        <v>1</v>
      </c>
      <c r="BB34" s="12"/>
    </row>
    <row r="35" spans="1:54" x14ac:dyDescent="0.2">
      <c r="A35" s="5" t="s">
        <v>63</v>
      </c>
      <c r="B35" t="s">
        <v>136</v>
      </c>
      <c r="Q35" s="15"/>
      <c r="AB35" s="12"/>
      <c r="AQ35" s="15"/>
      <c r="BB35" s="12"/>
    </row>
    <row r="36" spans="1:54" x14ac:dyDescent="0.2">
      <c r="A36" s="5" t="s">
        <v>64</v>
      </c>
      <c r="B36" t="s">
        <v>136</v>
      </c>
      <c r="Q36" s="15"/>
      <c r="AB36" s="12"/>
      <c r="AQ36" s="15"/>
      <c r="BB36" s="12"/>
    </row>
    <row r="37" spans="1:54" x14ac:dyDescent="0.2">
      <c r="A37" s="5" t="s">
        <v>65</v>
      </c>
      <c r="B37" t="s">
        <v>136</v>
      </c>
      <c r="G37">
        <v>1</v>
      </c>
      <c r="H37">
        <v>1</v>
      </c>
      <c r="I37">
        <v>1</v>
      </c>
      <c r="Q37" s="15"/>
      <c r="T37">
        <v>1</v>
      </c>
      <c r="AB37" s="12"/>
      <c r="AQ37" s="15"/>
      <c r="BB37" s="12"/>
    </row>
    <row r="38" spans="1:54" x14ac:dyDescent="0.2">
      <c r="A38" s="5" t="s">
        <v>66</v>
      </c>
      <c r="B38" t="s">
        <v>136</v>
      </c>
      <c r="Q38" s="15"/>
      <c r="AB38" s="12"/>
      <c r="AQ38" s="15"/>
      <c r="BB38" s="12"/>
    </row>
    <row r="39" spans="1:54" x14ac:dyDescent="0.2">
      <c r="A39" s="5" t="s">
        <v>67</v>
      </c>
      <c r="B39" t="s">
        <v>136</v>
      </c>
      <c r="Q39" s="15"/>
      <c r="AB39" s="12"/>
      <c r="AQ39" s="15"/>
      <c r="BB39" s="12"/>
    </row>
    <row r="40" spans="1:54" x14ac:dyDescent="0.2">
      <c r="A40" s="5" t="s">
        <v>68</v>
      </c>
      <c r="B40" t="s">
        <v>136</v>
      </c>
      <c r="Q40" s="15"/>
      <c r="AB40" s="12"/>
      <c r="AQ40" s="15"/>
      <c r="BB40" s="12"/>
    </row>
    <row r="41" spans="1:54" x14ac:dyDescent="0.2">
      <c r="A41" s="5" t="s">
        <v>69</v>
      </c>
      <c r="B41" t="s">
        <v>136</v>
      </c>
      <c r="Q41" s="15"/>
      <c r="AB41" s="12"/>
      <c r="AQ41" s="15"/>
      <c r="BB41" s="12"/>
    </row>
    <row r="42" spans="1:54" x14ac:dyDescent="0.2">
      <c r="A42" s="5" t="s">
        <v>70</v>
      </c>
      <c r="B42" t="s">
        <v>136</v>
      </c>
      <c r="D42">
        <v>4</v>
      </c>
      <c r="E42">
        <v>4</v>
      </c>
      <c r="F42">
        <v>6</v>
      </c>
      <c r="G42">
        <v>8</v>
      </c>
      <c r="H42">
        <v>8</v>
      </c>
      <c r="I42">
        <v>8</v>
      </c>
      <c r="Q42" s="15">
        <v>2</v>
      </c>
      <c r="S42">
        <v>2</v>
      </c>
      <c r="U42">
        <v>2</v>
      </c>
      <c r="AB42" s="12"/>
      <c r="AQ42" s="15"/>
      <c r="AV42">
        <v>1</v>
      </c>
      <c r="BB42" s="12"/>
    </row>
    <row r="43" spans="1:54" x14ac:dyDescent="0.2">
      <c r="A43" s="5" t="s">
        <v>71</v>
      </c>
      <c r="B43" t="s">
        <v>136</v>
      </c>
      <c r="Q43" s="15"/>
      <c r="AB43" s="12"/>
      <c r="AQ43" s="15"/>
      <c r="BB43" s="12"/>
    </row>
    <row r="44" spans="1:54" x14ac:dyDescent="0.2">
      <c r="A44" s="5" t="s">
        <v>72</v>
      </c>
      <c r="B44" t="s">
        <v>136</v>
      </c>
      <c r="D44">
        <v>3</v>
      </c>
      <c r="E44">
        <v>3</v>
      </c>
      <c r="F44">
        <v>3</v>
      </c>
      <c r="G44">
        <v>4</v>
      </c>
      <c r="H44">
        <v>4</v>
      </c>
      <c r="I44">
        <v>4</v>
      </c>
      <c r="Q44" s="15">
        <v>1</v>
      </c>
      <c r="AB44" s="12"/>
      <c r="AQ44" s="15"/>
      <c r="BB44" s="12"/>
    </row>
    <row r="45" spans="1:54" x14ac:dyDescent="0.2">
      <c r="A45" s="5" t="s">
        <v>73</v>
      </c>
      <c r="B45" t="s">
        <v>136</v>
      </c>
      <c r="Q45" s="15"/>
      <c r="AB45" s="12"/>
      <c r="AQ45" s="15"/>
      <c r="BB45" s="12"/>
    </row>
    <row r="46" spans="1:54" x14ac:dyDescent="0.2">
      <c r="A46" s="5" t="s">
        <v>74</v>
      </c>
      <c r="B46" t="s">
        <v>136</v>
      </c>
      <c r="D46">
        <v>9</v>
      </c>
      <c r="E46">
        <v>9</v>
      </c>
      <c r="F46">
        <v>15</v>
      </c>
      <c r="G46">
        <v>28</v>
      </c>
      <c r="H46">
        <v>27</v>
      </c>
      <c r="I46">
        <v>23</v>
      </c>
      <c r="Q46" s="15">
        <v>2</v>
      </c>
      <c r="S46">
        <v>6</v>
      </c>
      <c r="T46">
        <v>8</v>
      </c>
      <c r="U46">
        <v>4</v>
      </c>
      <c r="V46">
        <v>1</v>
      </c>
      <c r="AB46" s="12"/>
      <c r="AQ46" s="15"/>
      <c r="AT46">
        <v>1</v>
      </c>
      <c r="AU46">
        <v>4</v>
      </c>
      <c r="BB46" s="12"/>
    </row>
    <row r="47" spans="1:54" x14ac:dyDescent="0.2">
      <c r="A47" s="5" t="s">
        <v>75</v>
      </c>
      <c r="B47" t="s">
        <v>136</v>
      </c>
      <c r="Q47" s="15"/>
      <c r="AB47" s="12"/>
      <c r="AQ47" s="15"/>
      <c r="BB47" s="12"/>
    </row>
    <row r="48" spans="1:54" x14ac:dyDescent="0.2">
      <c r="A48" s="5" t="s">
        <v>76</v>
      </c>
      <c r="B48" t="s">
        <v>136</v>
      </c>
      <c r="D48">
        <v>7</v>
      </c>
      <c r="E48">
        <v>9</v>
      </c>
      <c r="F48">
        <v>10</v>
      </c>
      <c r="G48">
        <v>12</v>
      </c>
      <c r="H48">
        <v>11</v>
      </c>
      <c r="I48">
        <v>11</v>
      </c>
      <c r="Q48" s="15"/>
      <c r="R48">
        <v>2</v>
      </c>
      <c r="S48">
        <v>1</v>
      </c>
      <c r="T48">
        <v>1</v>
      </c>
      <c r="V48">
        <v>1</v>
      </c>
      <c r="AB48" s="12"/>
      <c r="AQ48" s="15"/>
      <c r="AT48">
        <v>1</v>
      </c>
      <c r="BB48" s="12"/>
    </row>
    <row r="49" spans="1:54" x14ac:dyDescent="0.2">
      <c r="A49" s="5" t="s">
        <v>77</v>
      </c>
      <c r="B49" t="s">
        <v>136</v>
      </c>
      <c r="Q49" s="15"/>
      <c r="AB49" s="12"/>
      <c r="AQ49" s="15"/>
      <c r="BB49" s="12"/>
    </row>
    <row r="50" spans="1:54" x14ac:dyDescent="0.2">
      <c r="A50" s="5" t="s">
        <v>78</v>
      </c>
      <c r="B50" t="s">
        <v>136</v>
      </c>
      <c r="Q50" s="15"/>
      <c r="AB50" s="12"/>
      <c r="AQ50" s="15"/>
      <c r="BB50" s="12"/>
    </row>
    <row r="51" spans="1:54" x14ac:dyDescent="0.2">
      <c r="A51" s="5" t="s">
        <v>79</v>
      </c>
      <c r="B51" t="s">
        <v>136</v>
      </c>
      <c r="E51">
        <v>1</v>
      </c>
      <c r="F51">
        <v>1</v>
      </c>
      <c r="G51">
        <v>1</v>
      </c>
      <c r="H51">
        <v>1</v>
      </c>
      <c r="I51">
        <v>1</v>
      </c>
      <c r="Q51" s="15"/>
      <c r="R51">
        <v>1</v>
      </c>
      <c r="AB51" s="12"/>
      <c r="AQ51" s="15"/>
      <c r="BB51" s="12"/>
    </row>
    <row r="52" spans="1:54" x14ac:dyDescent="0.2">
      <c r="A52" s="5" t="s">
        <v>80</v>
      </c>
      <c r="B52" t="s">
        <v>136</v>
      </c>
      <c r="Q52" s="15"/>
      <c r="AB52" s="12"/>
      <c r="AQ52" s="15"/>
      <c r="BB52" s="12"/>
    </row>
    <row r="53" spans="1:54" x14ac:dyDescent="0.2">
      <c r="A53" s="5" t="s">
        <v>81</v>
      </c>
      <c r="B53" t="s">
        <v>136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Q53" s="15"/>
      <c r="AB53" s="12"/>
      <c r="AQ53" s="15"/>
      <c r="BB53" s="12"/>
    </row>
    <row r="54" spans="1:54" x14ac:dyDescent="0.2">
      <c r="A54" s="5" t="s">
        <v>82</v>
      </c>
      <c r="B54" t="s">
        <v>136</v>
      </c>
      <c r="Q54" s="15"/>
      <c r="AB54" s="12"/>
      <c r="AQ54" s="15"/>
      <c r="BB54" s="12"/>
    </row>
    <row r="55" spans="1:54" x14ac:dyDescent="0.2">
      <c r="A55" s="5" t="s">
        <v>83</v>
      </c>
      <c r="B55" t="s">
        <v>136</v>
      </c>
      <c r="F55">
        <v>1</v>
      </c>
      <c r="G55">
        <v>2</v>
      </c>
      <c r="H55">
        <v>2</v>
      </c>
      <c r="I55">
        <v>2</v>
      </c>
      <c r="Q55" s="15"/>
      <c r="S55">
        <v>1</v>
      </c>
      <c r="T55">
        <v>1</v>
      </c>
      <c r="AB55" s="12"/>
      <c r="AQ55" s="15"/>
      <c r="BB55" s="12"/>
    </row>
    <row r="56" spans="1:54" x14ac:dyDescent="0.2">
      <c r="A56" s="5" t="s">
        <v>84</v>
      </c>
      <c r="B56" t="s">
        <v>136</v>
      </c>
      <c r="G56">
        <v>2</v>
      </c>
      <c r="H56">
        <v>2</v>
      </c>
      <c r="I56">
        <v>2</v>
      </c>
      <c r="Q56" s="15"/>
      <c r="T56">
        <v>2</v>
      </c>
      <c r="AB56" s="12"/>
      <c r="AQ56" s="15"/>
      <c r="BB56" s="12"/>
    </row>
    <row r="57" spans="1:54" x14ac:dyDescent="0.2">
      <c r="A57" s="5" t="s">
        <v>85</v>
      </c>
      <c r="B57" t="s">
        <v>136</v>
      </c>
      <c r="Q57" s="15"/>
      <c r="AB57" s="12"/>
      <c r="AQ57" s="15"/>
      <c r="BB57" s="12"/>
    </row>
    <row r="58" spans="1:54" x14ac:dyDescent="0.2">
      <c r="A58" s="5" t="s">
        <v>86</v>
      </c>
      <c r="B58" t="s">
        <v>136</v>
      </c>
      <c r="D58">
        <v>3</v>
      </c>
      <c r="E58">
        <v>3</v>
      </c>
      <c r="F58">
        <v>3</v>
      </c>
      <c r="G58">
        <v>5</v>
      </c>
      <c r="H58">
        <v>5</v>
      </c>
      <c r="I58">
        <v>5</v>
      </c>
      <c r="Q58" s="15">
        <v>1</v>
      </c>
      <c r="V58">
        <v>2</v>
      </c>
      <c r="AB58" s="12"/>
      <c r="AQ58" s="15"/>
      <c r="BB58" s="12"/>
    </row>
    <row r="59" spans="1:54" x14ac:dyDescent="0.2">
      <c r="A59" s="5" t="s">
        <v>87</v>
      </c>
      <c r="B59" t="s">
        <v>136</v>
      </c>
      <c r="Q59" s="15"/>
      <c r="AB59" s="12"/>
      <c r="AQ59" s="15"/>
      <c r="BB59" s="12"/>
    </row>
    <row r="60" spans="1:54" x14ac:dyDescent="0.2">
      <c r="A60" s="5" t="s">
        <v>88</v>
      </c>
      <c r="B60" t="s">
        <v>136</v>
      </c>
      <c r="Q60" s="15"/>
      <c r="AB60" s="12"/>
      <c r="AQ60" s="15"/>
      <c r="BB60" s="12"/>
    </row>
    <row r="61" spans="1:54" x14ac:dyDescent="0.2">
      <c r="A61" s="5" t="s">
        <v>89</v>
      </c>
      <c r="B61" t="s">
        <v>136</v>
      </c>
      <c r="Q61" s="15"/>
      <c r="AB61" s="12"/>
      <c r="AQ61" s="15"/>
      <c r="BB61" s="12"/>
    </row>
    <row r="62" spans="1:54" x14ac:dyDescent="0.2">
      <c r="A62" s="5" t="s">
        <v>90</v>
      </c>
      <c r="B62" t="s">
        <v>136</v>
      </c>
      <c r="F62">
        <v>2</v>
      </c>
      <c r="G62">
        <v>7</v>
      </c>
      <c r="H62">
        <v>7</v>
      </c>
      <c r="I62">
        <v>7</v>
      </c>
      <c r="Q62" s="15"/>
      <c r="S62">
        <v>2</v>
      </c>
      <c r="T62">
        <v>5</v>
      </c>
      <c r="AB62" s="12"/>
      <c r="AQ62" s="15"/>
      <c r="BB62" s="12"/>
    </row>
    <row r="63" spans="1:54" x14ac:dyDescent="0.2">
      <c r="A63" s="5" t="s">
        <v>91</v>
      </c>
      <c r="B63" t="s">
        <v>136</v>
      </c>
      <c r="F63">
        <v>1</v>
      </c>
      <c r="G63">
        <v>1</v>
      </c>
      <c r="H63">
        <v>1</v>
      </c>
      <c r="I63">
        <v>1</v>
      </c>
      <c r="Q63" s="15"/>
      <c r="S63">
        <v>1</v>
      </c>
      <c r="AB63" s="12"/>
      <c r="AQ63" s="15"/>
      <c r="BB63" s="12"/>
    </row>
    <row r="64" spans="1:54" x14ac:dyDescent="0.2">
      <c r="A64" s="5" t="s">
        <v>92</v>
      </c>
      <c r="B64" t="s">
        <v>136</v>
      </c>
      <c r="Q64" s="15"/>
      <c r="AB64" s="12"/>
      <c r="AQ64" s="15"/>
      <c r="BB64" s="12"/>
    </row>
    <row r="65" spans="1:54" x14ac:dyDescent="0.2">
      <c r="A65" s="5" t="s">
        <v>93</v>
      </c>
      <c r="B65" t="s">
        <v>136</v>
      </c>
      <c r="Q65" s="15"/>
      <c r="AB65" s="12"/>
      <c r="AQ65" s="15"/>
      <c r="BB65" s="12"/>
    </row>
    <row r="66" spans="1:54" x14ac:dyDescent="0.2">
      <c r="A66" s="5" t="s">
        <v>94</v>
      </c>
      <c r="B66" t="s">
        <v>136</v>
      </c>
      <c r="Q66" s="15"/>
      <c r="AB66" s="12"/>
      <c r="AQ66" s="15"/>
      <c r="BB66" s="12"/>
    </row>
    <row r="67" spans="1:54" x14ac:dyDescent="0.2">
      <c r="A67" s="5" t="s">
        <v>95</v>
      </c>
      <c r="B67" t="s">
        <v>136</v>
      </c>
      <c r="Q67" s="15"/>
      <c r="AB67" s="12"/>
      <c r="AQ67" s="15"/>
      <c r="BB67" s="12"/>
    </row>
    <row r="68" spans="1:54" x14ac:dyDescent="0.2">
      <c r="A68" s="5" t="s">
        <v>96</v>
      </c>
      <c r="B68" t="s">
        <v>136</v>
      </c>
      <c r="D68">
        <v>5</v>
      </c>
      <c r="E68">
        <v>5</v>
      </c>
      <c r="F68">
        <v>5</v>
      </c>
      <c r="G68">
        <v>6</v>
      </c>
      <c r="H68">
        <v>6</v>
      </c>
      <c r="I68">
        <v>6</v>
      </c>
      <c r="Q68" s="15">
        <v>2</v>
      </c>
      <c r="T68">
        <v>1</v>
      </c>
      <c r="AB68" s="12"/>
      <c r="AQ68" s="15"/>
      <c r="BB68" s="12"/>
    </row>
    <row r="69" spans="1:54" x14ac:dyDescent="0.2">
      <c r="A69" s="5" t="s">
        <v>97</v>
      </c>
      <c r="B69" t="s">
        <v>136</v>
      </c>
      <c r="Q69" s="15"/>
      <c r="AB69" s="12"/>
      <c r="AQ69" s="15"/>
      <c r="BB69" s="12"/>
    </row>
    <row r="70" spans="1:54" x14ac:dyDescent="0.2">
      <c r="A70" s="5" t="s">
        <v>98</v>
      </c>
      <c r="B70" t="s">
        <v>136</v>
      </c>
      <c r="D70">
        <v>2</v>
      </c>
      <c r="E70">
        <v>2</v>
      </c>
      <c r="F70">
        <v>3</v>
      </c>
      <c r="G70">
        <v>3</v>
      </c>
      <c r="H70">
        <v>3</v>
      </c>
      <c r="I70">
        <v>3</v>
      </c>
      <c r="Q70" s="15"/>
      <c r="S70">
        <v>1</v>
      </c>
      <c r="AB70" s="12"/>
      <c r="AQ70" s="15"/>
      <c r="BB70" s="12"/>
    </row>
    <row r="71" spans="1:54" x14ac:dyDescent="0.2">
      <c r="A71" s="5" t="s">
        <v>99</v>
      </c>
      <c r="B71" t="s">
        <v>136</v>
      </c>
      <c r="D71">
        <v>14</v>
      </c>
      <c r="E71">
        <v>16</v>
      </c>
      <c r="F71">
        <v>21</v>
      </c>
      <c r="G71">
        <v>31</v>
      </c>
      <c r="H71">
        <v>31</v>
      </c>
      <c r="I71">
        <v>30</v>
      </c>
      <c r="Q71" s="15">
        <v>3</v>
      </c>
      <c r="R71">
        <v>3</v>
      </c>
      <c r="S71">
        <v>5</v>
      </c>
      <c r="T71">
        <v>5</v>
      </c>
      <c r="U71">
        <v>1</v>
      </c>
      <c r="V71">
        <v>4</v>
      </c>
      <c r="AB71" s="12"/>
      <c r="AD71">
        <v>1</v>
      </c>
      <c r="AF71">
        <v>1</v>
      </c>
      <c r="AQ71" s="15">
        <v>1</v>
      </c>
      <c r="AS71">
        <v>1</v>
      </c>
      <c r="AU71">
        <v>1</v>
      </c>
      <c r="BB71" s="12"/>
    </row>
    <row r="72" spans="1:54" x14ac:dyDescent="0.2">
      <c r="A72" s="5" t="s">
        <v>100</v>
      </c>
      <c r="B72" t="s">
        <v>136</v>
      </c>
      <c r="Q72" s="15"/>
      <c r="AB72" s="12"/>
      <c r="AQ72" s="15"/>
      <c r="BB72" s="12"/>
    </row>
    <row r="73" spans="1:54" x14ac:dyDescent="0.2">
      <c r="A73" s="5" t="s">
        <v>101</v>
      </c>
      <c r="B73" t="s">
        <v>136</v>
      </c>
      <c r="Q73" s="15"/>
      <c r="AB73" s="12"/>
      <c r="AQ73" s="15"/>
      <c r="BB73" s="12"/>
    </row>
    <row r="74" spans="1:54" x14ac:dyDescent="0.2">
      <c r="A74" s="5" t="s">
        <v>102</v>
      </c>
      <c r="B74" t="s">
        <v>136</v>
      </c>
      <c r="D74">
        <v>3</v>
      </c>
      <c r="E74">
        <v>4</v>
      </c>
      <c r="F74">
        <v>6</v>
      </c>
      <c r="G74">
        <v>11</v>
      </c>
      <c r="H74">
        <v>10</v>
      </c>
      <c r="I74">
        <v>10</v>
      </c>
      <c r="Q74" s="15">
        <v>1</v>
      </c>
      <c r="R74">
        <v>1</v>
      </c>
      <c r="S74">
        <v>2</v>
      </c>
      <c r="T74">
        <v>3</v>
      </c>
      <c r="U74">
        <v>2</v>
      </c>
      <c r="AB74" s="12"/>
      <c r="AQ74" s="15"/>
      <c r="AT74">
        <v>1</v>
      </c>
      <c r="BB74" s="12"/>
    </row>
    <row r="75" spans="1:54" x14ac:dyDescent="0.2">
      <c r="A75" s="5" t="s">
        <v>103</v>
      </c>
      <c r="B75" t="s">
        <v>136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Q75" s="15"/>
      <c r="AB75" s="12"/>
      <c r="AQ75" s="15"/>
      <c r="BB75" s="12"/>
    </row>
    <row r="76" spans="1:54" x14ac:dyDescent="0.2">
      <c r="A76" s="5" t="s">
        <v>104</v>
      </c>
      <c r="B76" t="s">
        <v>136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Q76" s="15"/>
      <c r="AB76" s="12"/>
      <c r="AQ76" s="15"/>
      <c r="BB76" s="12"/>
    </row>
    <row r="77" spans="1:54" x14ac:dyDescent="0.2">
      <c r="A77" s="5" t="s">
        <v>105</v>
      </c>
      <c r="B77" t="s">
        <v>136</v>
      </c>
      <c r="E77">
        <v>1</v>
      </c>
      <c r="F77">
        <v>1</v>
      </c>
      <c r="G77">
        <v>2</v>
      </c>
      <c r="H77">
        <v>2</v>
      </c>
      <c r="I77">
        <v>2</v>
      </c>
      <c r="Q77" s="15"/>
      <c r="R77">
        <v>1</v>
      </c>
      <c r="T77">
        <v>1</v>
      </c>
      <c r="AB77" s="12"/>
      <c r="AQ77" s="15"/>
      <c r="BB77" s="12"/>
    </row>
    <row r="78" spans="1:54" x14ac:dyDescent="0.2">
      <c r="A78" s="5" t="s">
        <v>106</v>
      </c>
      <c r="B78" t="s">
        <v>136</v>
      </c>
      <c r="Q78" s="15"/>
      <c r="AB78" s="12"/>
      <c r="AQ78" s="15"/>
      <c r="BB78" s="12"/>
    </row>
    <row r="79" spans="1:54" x14ac:dyDescent="0.2">
      <c r="A79" s="5" t="s">
        <v>107</v>
      </c>
      <c r="B79" t="s">
        <v>136</v>
      </c>
      <c r="Q79" s="15"/>
      <c r="AB79" s="12"/>
      <c r="AQ79" s="15"/>
      <c r="BB79" s="12"/>
    </row>
    <row r="80" spans="1:54" x14ac:dyDescent="0.2">
      <c r="A80" s="5" t="s">
        <v>108</v>
      </c>
      <c r="B80" t="s">
        <v>136</v>
      </c>
      <c r="Q80" s="15"/>
      <c r="AB80" s="12"/>
      <c r="AQ80" s="15"/>
      <c r="BB80" s="12"/>
    </row>
    <row r="81" spans="1:54" x14ac:dyDescent="0.2">
      <c r="A81" s="5" t="s">
        <v>109</v>
      </c>
      <c r="B81" t="s">
        <v>136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Q81" s="15"/>
      <c r="AB81" s="12"/>
      <c r="AQ81" s="15"/>
      <c r="BB81" s="12"/>
    </row>
    <row r="82" spans="1:54" x14ac:dyDescent="0.2">
      <c r="A82" s="5" t="s">
        <v>110</v>
      </c>
      <c r="B82" t="s">
        <v>136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Q82" s="15"/>
      <c r="AB82" s="12"/>
      <c r="AQ82" s="15"/>
      <c r="BB82" s="12"/>
    </row>
    <row r="83" spans="1:54" x14ac:dyDescent="0.2">
      <c r="A83" s="5" t="s">
        <v>111</v>
      </c>
      <c r="B83" t="s">
        <v>136</v>
      </c>
      <c r="D83">
        <v>26</v>
      </c>
      <c r="E83">
        <v>36</v>
      </c>
      <c r="F83">
        <v>43</v>
      </c>
      <c r="G83">
        <v>61</v>
      </c>
      <c r="H83">
        <v>61</v>
      </c>
      <c r="I83">
        <v>60</v>
      </c>
      <c r="Q83" s="15">
        <v>11</v>
      </c>
      <c r="R83">
        <v>10</v>
      </c>
      <c r="S83">
        <v>8</v>
      </c>
      <c r="T83">
        <v>5</v>
      </c>
      <c r="U83">
        <v>11</v>
      </c>
      <c r="V83">
        <v>5</v>
      </c>
      <c r="AB83" s="12"/>
      <c r="AE83">
        <v>1</v>
      </c>
      <c r="AF83">
        <v>3</v>
      </c>
      <c r="AQ83" s="15"/>
      <c r="AR83">
        <v>1</v>
      </c>
      <c r="AS83">
        <v>3</v>
      </c>
      <c r="AU83">
        <v>1</v>
      </c>
      <c r="AV83">
        <v>1</v>
      </c>
      <c r="BB83" s="12"/>
    </row>
    <row r="84" spans="1:54" x14ac:dyDescent="0.2">
      <c r="A84" s="5" t="s">
        <v>112</v>
      </c>
      <c r="B84" t="s">
        <v>136</v>
      </c>
      <c r="D84">
        <v>41</v>
      </c>
      <c r="E84">
        <v>44</v>
      </c>
      <c r="F84">
        <v>51</v>
      </c>
      <c r="G84">
        <v>78</v>
      </c>
      <c r="H84">
        <v>73</v>
      </c>
      <c r="I84">
        <v>65</v>
      </c>
      <c r="Q84" s="15">
        <v>13</v>
      </c>
      <c r="R84">
        <v>4</v>
      </c>
      <c r="S84">
        <v>7</v>
      </c>
      <c r="T84">
        <v>8</v>
      </c>
      <c r="U84">
        <v>8</v>
      </c>
      <c r="V84">
        <v>7</v>
      </c>
      <c r="AB84" s="12"/>
      <c r="AD84">
        <v>1</v>
      </c>
      <c r="AF84">
        <v>4</v>
      </c>
      <c r="AQ84" s="15">
        <v>1</v>
      </c>
      <c r="AS84">
        <v>3</v>
      </c>
      <c r="AT84">
        <v>1</v>
      </c>
      <c r="AU84">
        <v>7</v>
      </c>
      <c r="AV84">
        <v>2</v>
      </c>
      <c r="BB84" s="12"/>
    </row>
    <row r="85" spans="1:54" x14ac:dyDescent="0.2">
      <c r="A85" s="5" t="s">
        <v>113</v>
      </c>
      <c r="B85" t="s">
        <v>136</v>
      </c>
      <c r="D85">
        <v>2</v>
      </c>
      <c r="E85">
        <v>3</v>
      </c>
      <c r="F85">
        <v>3</v>
      </c>
      <c r="G85">
        <v>5</v>
      </c>
      <c r="H85">
        <v>5</v>
      </c>
      <c r="I85">
        <v>4</v>
      </c>
      <c r="Q85" s="15"/>
      <c r="R85">
        <v>1</v>
      </c>
      <c r="U85">
        <v>1</v>
      </c>
      <c r="V85">
        <v>1</v>
      </c>
      <c r="AB85" s="12"/>
      <c r="AQ85" s="15"/>
      <c r="AU85">
        <v>1</v>
      </c>
      <c r="BB85" s="12"/>
    </row>
    <row r="86" spans="1:54" x14ac:dyDescent="0.2">
      <c r="A86" s="5" t="s">
        <v>114</v>
      </c>
      <c r="B86" t="s">
        <v>136</v>
      </c>
      <c r="D86">
        <v>4</v>
      </c>
      <c r="E86">
        <v>8</v>
      </c>
      <c r="F86">
        <v>8</v>
      </c>
      <c r="G86">
        <v>13</v>
      </c>
      <c r="H86">
        <v>13</v>
      </c>
      <c r="I86">
        <v>12</v>
      </c>
      <c r="Q86" s="15">
        <v>1</v>
      </c>
      <c r="R86">
        <v>4</v>
      </c>
      <c r="T86">
        <v>2</v>
      </c>
      <c r="U86">
        <v>1</v>
      </c>
      <c r="V86">
        <v>1</v>
      </c>
      <c r="AB86" s="12"/>
      <c r="AQ86" s="15"/>
      <c r="AU86">
        <v>1</v>
      </c>
      <c r="BB86" s="12"/>
    </row>
    <row r="87" spans="1:54" x14ac:dyDescent="0.2">
      <c r="A87" s="5" t="s">
        <v>115</v>
      </c>
      <c r="B87" t="s">
        <v>136</v>
      </c>
      <c r="D87">
        <v>32</v>
      </c>
      <c r="E87">
        <v>35</v>
      </c>
      <c r="F87">
        <v>40</v>
      </c>
      <c r="G87">
        <v>62</v>
      </c>
      <c r="H87">
        <v>60</v>
      </c>
      <c r="I87">
        <v>58</v>
      </c>
      <c r="Q87" s="15">
        <v>4</v>
      </c>
      <c r="R87">
        <v>5</v>
      </c>
      <c r="S87">
        <v>5</v>
      </c>
      <c r="T87">
        <v>5</v>
      </c>
      <c r="U87">
        <v>9</v>
      </c>
      <c r="V87">
        <v>8</v>
      </c>
      <c r="AB87" s="12"/>
      <c r="AD87">
        <v>4</v>
      </c>
      <c r="AF87">
        <v>1</v>
      </c>
      <c r="AQ87" s="15">
        <v>2</v>
      </c>
      <c r="AS87">
        <v>2</v>
      </c>
      <c r="AT87">
        <v>2</v>
      </c>
      <c r="AV87">
        <v>2</v>
      </c>
      <c r="BB87" s="12"/>
    </row>
    <row r="88" spans="1:54" x14ac:dyDescent="0.2">
      <c r="A88" s="5" t="s">
        <v>116</v>
      </c>
      <c r="B88" t="s">
        <v>136</v>
      </c>
      <c r="D88">
        <v>18</v>
      </c>
      <c r="E88">
        <v>24</v>
      </c>
      <c r="F88">
        <v>29</v>
      </c>
      <c r="G88">
        <v>49</v>
      </c>
      <c r="H88">
        <v>48</v>
      </c>
      <c r="I88">
        <v>48</v>
      </c>
      <c r="Q88" s="15"/>
      <c r="R88">
        <v>7</v>
      </c>
      <c r="S88">
        <v>5</v>
      </c>
      <c r="T88">
        <v>7</v>
      </c>
      <c r="U88">
        <v>8</v>
      </c>
      <c r="V88">
        <v>4</v>
      </c>
      <c r="AB88" s="12"/>
      <c r="AD88">
        <v>1</v>
      </c>
      <c r="AF88">
        <v>1</v>
      </c>
      <c r="AQ88" s="15">
        <v>1</v>
      </c>
      <c r="AS88">
        <v>1</v>
      </c>
      <c r="AV88">
        <v>1</v>
      </c>
      <c r="BB88" s="12"/>
    </row>
    <row r="89" spans="1:54" x14ac:dyDescent="0.2">
      <c r="A89" s="5" t="s">
        <v>117</v>
      </c>
      <c r="B89" t="s">
        <v>136</v>
      </c>
      <c r="D89">
        <v>20</v>
      </c>
      <c r="E89">
        <v>23</v>
      </c>
      <c r="F89">
        <v>27</v>
      </c>
      <c r="G89">
        <v>55</v>
      </c>
      <c r="H89">
        <v>53</v>
      </c>
      <c r="I89">
        <v>50</v>
      </c>
      <c r="Q89" s="15">
        <v>4</v>
      </c>
      <c r="R89">
        <v>4</v>
      </c>
      <c r="S89">
        <v>5</v>
      </c>
      <c r="T89">
        <v>7</v>
      </c>
      <c r="U89">
        <v>6</v>
      </c>
      <c r="V89">
        <v>12</v>
      </c>
      <c r="AB89" s="12"/>
      <c r="AD89">
        <v>2</v>
      </c>
      <c r="AE89">
        <v>1</v>
      </c>
      <c r="AF89">
        <v>2</v>
      </c>
      <c r="AQ89" s="15">
        <v>1</v>
      </c>
      <c r="AR89">
        <v>1</v>
      </c>
      <c r="AS89">
        <v>1</v>
      </c>
      <c r="AT89">
        <v>2</v>
      </c>
      <c r="AU89">
        <v>3</v>
      </c>
      <c r="BB89" s="12"/>
    </row>
    <row r="90" spans="1:54" x14ac:dyDescent="0.2">
      <c r="A90" s="5" t="s">
        <v>118</v>
      </c>
      <c r="B90" t="s">
        <v>136</v>
      </c>
      <c r="D90">
        <v>8</v>
      </c>
      <c r="E90">
        <v>11</v>
      </c>
      <c r="F90">
        <v>13</v>
      </c>
      <c r="G90">
        <v>27</v>
      </c>
      <c r="H90">
        <v>26</v>
      </c>
      <c r="I90">
        <v>26</v>
      </c>
      <c r="Q90" s="15">
        <v>1</v>
      </c>
      <c r="R90">
        <v>3</v>
      </c>
      <c r="S90">
        <v>3</v>
      </c>
      <c r="T90">
        <v>2</v>
      </c>
      <c r="U90">
        <v>3</v>
      </c>
      <c r="V90">
        <v>4</v>
      </c>
      <c r="AB90" s="12"/>
      <c r="AE90">
        <v>2</v>
      </c>
      <c r="AQ90" s="15"/>
      <c r="AR90">
        <v>1</v>
      </c>
      <c r="AV90">
        <v>1</v>
      </c>
      <c r="BB90" s="12"/>
    </row>
    <row r="91" spans="1:54" x14ac:dyDescent="0.2">
      <c r="A91" s="5" t="s">
        <v>119</v>
      </c>
      <c r="B91" t="s">
        <v>136</v>
      </c>
      <c r="D91">
        <v>33</v>
      </c>
      <c r="E91">
        <v>34</v>
      </c>
      <c r="F91">
        <v>45</v>
      </c>
      <c r="G91">
        <v>64</v>
      </c>
      <c r="H91">
        <v>62</v>
      </c>
      <c r="I91">
        <v>62</v>
      </c>
      <c r="Q91" s="15">
        <v>11</v>
      </c>
      <c r="R91">
        <v>2</v>
      </c>
      <c r="S91">
        <v>11</v>
      </c>
      <c r="T91">
        <v>4</v>
      </c>
      <c r="U91">
        <v>8</v>
      </c>
      <c r="V91">
        <v>3</v>
      </c>
      <c r="AB91" s="12"/>
      <c r="AQ91" s="15"/>
      <c r="AT91">
        <v>2</v>
      </c>
      <c r="BB91" s="12"/>
    </row>
    <row r="92" spans="1:54" x14ac:dyDescent="0.2">
      <c r="A92" s="5" t="s">
        <v>120</v>
      </c>
      <c r="B92" t="s">
        <v>136</v>
      </c>
      <c r="D92">
        <v>26</v>
      </c>
      <c r="E92">
        <v>28</v>
      </c>
      <c r="F92">
        <v>33</v>
      </c>
      <c r="G92">
        <v>52</v>
      </c>
      <c r="H92">
        <v>52</v>
      </c>
      <c r="I92">
        <v>51</v>
      </c>
      <c r="Q92" s="15">
        <v>5</v>
      </c>
      <c r="R92">
        <v>2</v>
      </c>
      <c r="S92">
        <v>5</v>
      </c>
      <c r="T92">
        <v>3</v>
      </c>
      <c r="U92">
        <v>4</v>
      </c>
      <c r="V92">
        <v>11</v>
      </c>
      <c r="AB92" s="12"/>
      <c r="AQ92" s="15"/>
      <c r="AU92">
        <v>1</v>
      </c>
      <c r="BB92" s="12"/>
    </row>
    <row r="93" spans="1:54" x14ac:dyDescent="0.2">
      <c r="A93" s="5" t="s">
        <v>121</v>
      </c>
      <c r="B93" t="s">
        <v>136</v>
      </c>
      <c r="D93">
        <v>13</v>
      </c>
      <c r="E93">
        <v>17</v>
      </c>
      <c r="F93">
        <v>23</v>
      </c>
      <c r="G93">
        <v>37</v>
      </c>
      <c r="H93">
        <v>36</v>
      </c>
      <c r="I93">
        <v>35</v>
      </c>
      <c r="Q93" s="15">
        <v>3</v>
      </c>
      <c r="R93">
        <v>4</v>
      </c>
      <c r="S93">
        <v>8</v>
      </c>
      <c r="T93">
        <v>6</v>
      </c>
      <c r="U93">
        <v>4</v>
      </c>
      <c r="V93">
        <v>5</v>
      </c>
      <c r="AB93" s="12"/>
      <c r="AE93">
        <v>2</v>
      </c>
      <c r="AF93">
        <v>2</v>
      </c>
      <c r="AQ93" s="15"/>
      <c r="AR93">
        <v>2</v>
      </c>
      <c r="AS93">
        <v>1</v>
      </c>
      <c r="AT93">
        <v>1</v>
      </c>
      <c r="AU93">
        <v>1</v>
      </c>
      <c r="AV93">
        <v>3</v>
      </c>
      <c r="BB93" s="12"/>
    </row>
    <row r="94" spans="1:54" x14ac:dyDescent="0.2">
      <c r="A94" s="5" t="s">
        <v>122</v>
      </c>
      <c r="B94" t="s">
        <v>136</v>
      </c>
      <c r="D94">
        <v>6</v>
      </c>
      <c r="E94">
        <v>7</v>
      </c>
      <c r="F94">
        <v>9</v>
      </c>
      <c r="G94">
        <v>17</v>
      </c>
      <c r="H94">
        <v>17</v>
      </c>
      <c r="I94">
        <v>17</v>
      </c>
      <c r="Q94" s="15"/>
      <c r="R94">
        <v>1</v>
      </c>
      <c r="S94">
        <v>2</v>
      </c>
      <c r="T94">
        <v>3</v>
      </c>
      <c r="U94">
        <v>2</v>
      </c>
      <c r="V94">
        <v>3</v>
      </c>
      <c r="AB94" s="12"/>
      <c r="AQ94" s="15"/>
      <c r="BB94" s="12"/>
    </row>
    <row r="95" spans="1:54" x14ac:dyDescent="0.2">
      <c r="A95" s="5" t="s">
        <v>123</v>
      </c>
      <c r="B95" t="s">
        <v>136</v>
      </c>
      <c r="Q95" s="15"/>
      <c r="AB95" s="12"/>
      <c r="AQ95" s="15"/>
      <c r="BB95" s="12"/>
    </row>
    <row r="96" spans="1:54" x14ac:dyDescent="0.2">
      <c r="A96" s="5" t="s">
        <v>124</v>
      </c>
      <c r="B96" t="s">
        <v>136</v>
      </c>
      <c r="Q96" s="15"/>
      <c r="AB96" s="12"/>
      <c r="AQ96" s="15"/>
      <c r="BB96" s="12"/>
    </row>
    <row r="97" spans="1:54" x14ac:dyDescent="0.2">
      <c r="A97" s="5" t="s">
        <v>125</v>
      </c>
      <c r="B97" t="s">
        <v>136</v>
      </c>
      <c r="D97">
        <v>4</v>
      </c>
      <c r="E97">
        <v>4</v>
      </c>
      <c r="F97">
        <v>8</v>
      </c>
      <c r="G97">
        <v>12</v>
      </c>
      <c r="H97">
        <v>11</v>
      </c>
      <c r="I97">
        <v>11</v>
      </c>
      <c r="Q97" s="15">
        <v>1</v>
      </c>
      <c r="R97">
        <v>1</v>
      </c>
      <c r="S97">
        <v>4</v>
      </c>
      <c r="T97">
        <v>1</v>
      </c>
      <c r="V97">
        <v>2</v>
      </c>
      <c r="AB97" s="12"/>
      <c r="AD97">
        <v>1</v>
      </c>
      <c r="AQ97" s="15">
        <v>1</v>
      </c>
      <c r="AS97">
        <v>1</v>
      </c>
      <c r="BB97" s="12"/>
    </row>
    <row r="98" spans="1:54" x14ac:dyDescent="0.2">
      <c r="A98" s="5" t="s">
        <v>126</v>
      </c>
      <c r="B98" t="s">
        <v>136</v>
      </c>
      <c r="D98">
        <v>3</v>
      </c>
      <c r="E98">
        <v>4</v>
      </c>
      <c r="F98">
        <v>6</v>
      </c>
      <c r="G98">
        <v>17</v>
      </c>
      <c r="H98">
        <v>17</v>
      </c>
      <c r="I98">
        <v>17</v>
      </c>
      <c r="Q98" s="15"/>
      <c r="R98">
        <v>1</v>
      </c>
      <c r="S98">
        <v>2</v>
      </c>
      <c r="T98">
        <v>2</v>
      </c>
      <c r="U98">
        <v>3</v>
      </c>
      <c r="V98">
        <v>3</v>
      </c>
      <c r="AB98" s="12"/>
      <c r="AQ98" s="15"/>
      <c r="BB98" s="12"/>
    </row>
    <row r="99" spans="1:54" x14ac:dyDescent="0.2">
      <c r="A99" s="5">
        <v>99228</v>
      </c>
      <c r="B99" t="s">
        <v>136</v>
      </c>
      <c r="Q99" s="15"/>
      <c r="AB99" s="12"/>
      <c r="AQ99" s="15"/>
      <c r="BB99" s="12"/>
    </row>
    <row r="100" spans="1:54" x14ac:dyDescent="0.2">
      <c r="A100" s="5" t="s">
        <v>127</v>
      </c>
      <c r="B100" t="s">
        <v>136</v>
      </c>
      <c r="Q100" s="15"/>
      <c r="AB100" s="12"/>
      <c r="AQ100" s="15"/>
      <c r="BB100" s="12"/>
    </row>
    <row r="101" spans="1:54" x14ac:dyDescent="0.2">
      <c r="A101" s="5" t="s">
        <v>128</v>
      </c>
      <c r="B101" t="s">
        <v>136</v>
      </c>
      <c r="Q101" s="15"/>
      <c r="AB101" s="12"/>
      <c r="AQ101" s="15"/>
      <c r="BB101" s="12"/>
    </row>
    <row r="102" spans="1:54" x14ac:dyDescent="0.2">
      <c r="A102" s="5" t="s">
        <v>129</v>
      </c>
      <c r="B102" t="s">
        <v>136</v>
      </c>
      <c r="Q102" s="15"/>
      <c r="AB102" s="12"/>
      <c r="AQ102" s="15"/>
      <c r="BB102" s="12"/>
    </row>
    <row r="103" spans="1:54" x14ac:dyDescent="0.2">
      <c r="A103" s="5" t="s">
        <v>130</v>
      </c>
      <c r="B103" t="s">
        <v>136</v>
      </c>
      <c r="AB103" s="12"/>
      <c r="BB103" s="12"/>
    </row>
    <row r="104" spans="1:54" x14ac:dyDescent="0.2">
      <c r="A104" s="5" t="s">
        <v>131</v>
      </c>
      <c r="B104" t="s">
        <v>136</v>
      </c>
      <c r="D104">
        <v>11</v>
      </c>
      <c r="E104">
        <v>13</v>
      </c>
      <c r="F104">
        <v>15</v>
      </c>
      <c r="G104">
        <v>34</v>
      </c>
      <c r="H104">
        <v>33</v>
      </c>
      <c r="I104">
        <v>32</v>
      </c>
      <c r="Q104" s="15">
        <v>1</v>
      </c>
      <c r="R104">
        <v>2</v>
      </c>
      <c r="S104">
        <v>2</v>
      </c>
      <c r="T104">
        <v>3</v>
      </c>
      <c r="U104">
        <v>5</v>
      </c>
      <c r="V104">
        <v>3</v>
      </c>
      <c r="AB104" s="12"/>
      <c r="AF104">
        <v>1</v>
      </c>
      <c r="AQ104" s="15"/>
      <c r="AS104">
        <v>1</v>
      </c>
      <c r="AT104">
        <v>1</v>
      </c>
      <c r="AU104">
        <v>1</v>
      </c>
      <c r="BB104" s="12"/>
    </row>
    <row r="105" spans="1:54" x14ac:dyDescent="0.2">
      <c r="A105" s="5" t="s">
        <v>132</v>
      </c>
      <c r="B105" t="s">
        <v>136</v>
      </c>
      <c r="Q105" s="15"/>
      <c r="AB105" s="12"/>
      <c r="AQ105" s="15"/>
      <c r="BB105" s="12"/>
    </row>
    <row r="106" spans="1:54" x14ac:dyDescent="0.2">
      <c r="A106" s="5" t="s">
        <v>133</v>
      </c>
      <c r="B106" t="s">
        <v>136</v>
      </c>
      <c r="Q106" s="15"/>
      <c r="AB106" s="12"/>
      <c r="AQ106" s="15"/>
      <c r="BB106" s="12"/>
    </row>
    <row r="107" spans="1:54" s="13" customFormat="1" ht="16" thickBot="1" x14ac:dyDescent="0.25">
      <c r="A107" s="110" t="s">
        <v>134</v>
      </c>
      <c r="B107" s="13" t="s">
        <v>136</v>
      </c>
      <c r="C107" s="29"/>
      <c r="D107">
        <v>13</v>
      </c>
      <c r="E107" s="13">
        <v>14</v>
      </c>
      <c r="F107" s="13">
        <v>17</v>
      </c>
      <c r="G107" s="13">
        <v>32</v>
      </c>
      <c r="H107" s="13">
        <v>32</v>
      </c>
      <c r="I107" s="13">
        <v>32</v>
      </c>
      <c r="P107" s="29"/>
      <c r="Q107" s="15">
        <v>2</v>
      </c>
      <c r="R107">
        <v>2</v>
      </c>
      <c r="S107">
        <v>3</v>
      </c>
      <c r="T107" s="13">
        <v>7</v>
      </c>
      <c r="U107" s="13">
        <v>3</v>
      </c>
      <c r="V107" s="13">
        <v>7</v>
      </c>
      <c r="AB107" s="14"/>
      <c r="AC107" s="29"/>
      <c r="AD107" s="13">
        <v>1</v>
      </c>
      <c r="AF107" s="13">
        <v>3</v>
      </c>
      <c r="AP107" s="29"/>
      <c r="AQ107" s="15">
        <v>1</v>
      </c>
      <c r="AR107"/>
      <c r="AS107">
        <v>2</v>
      </c>
      <c r="BB107" s="14"/>
    </row>
    <row r="108" spans="1:54" ht="16" thickBot="1" x14ac:dyDescent="0.25">
      <c r="A108" s="217"/>
      <c r="B108" s="62"/>
      <c r="C108" s="61"/>
      <c r="D108" s="62">
        <f t="shared" ref="D108:AO108" si="0">SUM(D3:D107)</f>
        <v>376</v>
      </c>
      <c r="E108" s="62">
        <f t="shared" si="0"/>
        <v>434</v>
      </c>
      <c r="F108" s="62">
        <f t="shared" si="0"/>
        <v>530</v>
      </c>
      <c r="G108" s="62">
        <f t="shared" si="0"/>
        <v>876</v>
      </c>
      <c r="H108" s="62">
        <f t="shared" si="0"/>
        <v>854</v>
      </c>
      <c r="I108" s="62">
        <f t="shared" si="0"/>
        <v>828</v>
      </c>
      <c r="J108" s="62">
        <f t="shared" si="0"/>
        <v>0</v>
      </c>
      <c r="K108" s="62">
        <f t="shared" si="0"/>
        <v>0</v>
      </c>
      <c r="L108" s="62">
        <f t="shared" si="0"/>
        <v>0</v>
      </c>
      <c r="M108" s="62">
        <f t="shared" si="0"/>
        <v>0</v>
      </c>
      <c r="N108" s="62">
        <f t="shared" si="0"/>
        <v>0</v>
      </c>
      <c r="O108" s="62">
        <f t="shared" si="0"/>
        <v>0</v>
      </c>
      <c r="P108" s="62"/>
      <c r="Q108" s="185">
        <f t="shared" si="0"/>
        <v>80</v>
      </c>
      <c r="R108" s="62">
        <f t="shared" si="0"/>
        <v>70</v>
      </c>
      <c r="S108" s="62">
        <f t="shared" si="0"/>
        <v>106</v>
      </c>
      <c r="T108" s="62">
        <f t="shared" si="0"/>
        <v>115</v>
      </c>
      <c r="U108" s="62">
        <f t="shared" si="0"/>
        <v>97</v>
      </c>
      <c r="V108" s="62">
        <f t="shared" si="0"/>
        <v>104</v>
      </c>
      <c r="W108" s="62">
        <f t="shared" si="0"/>
        <v>0</v>
      </c>
      <c r="X108" s="62">
        <f t="shared" si="0"/>
        <v>0</v>
      </c>
      <c r="Y108" s="62">
        <f t="shared" si="0"/>
        <v>0</v>
      </c>
      <c r="Z108" s="62">
        <f t="shared" si="0"/>
        <v>0</v>
      </c>
      <c r="AA108" s="62">
        <f t="shared" si="0"/>
        <v>0</v>
      </c>
      <c r="AB108" s="190">
        <f t="shared" si="0"/>
        <v>0</v>
      </c>
      <c r="AC108" s="62"/>
      <c r="AD108" s="62">
        <f t="shared" si="0"/>
        <v>16</v>
      </c>
      <c r="AE108" s="62">
        <f t="shared" si="0"/>
        <v>11</v>
      </c>
      <c r="AF108" s="62">
        <f t="shared" si="0"/>
        <v>21</v>
      </c>
      <c r="AG108" s="62">
        <f t="shared" si="0"/>
        <v>0</v>
      </c>
      <c r="AH108" s="62">
        <f t="shared" si="0"/>
        <v>0</v>
      </c>
      <c r="AI108" s="62">
        <f t="shared" si="0"/>
        <v>0</v>
      </c>
      <c r="AJ108" s="62">
        <f t="shared" si="0"/>
        <v>0</v>
      </c>
      <c r="AK108" s="62">
        <f t="shared" si="0"/>
        <v>0</v>
      </c>
      <c r="AL108" s="62">
        <f t="shared" si="0"/>
        <v>0</v>
      </c>
      <c r="AM108" s="62">
        <f t="shared" si="0"/>
        <v>0</v>
      </c>
      <c r="AN108" s="62">
        <f t="shared" si="0"/>
        <v>0</v>
      </c>
      <c r="AO108" s="62">
        <f t="shared" si="0"/>
        <v>0</v>
      </c>
      <c r="AP108" s="62"/>
      <c r="AQ108" s="62">
        <f t="shared" ref="AQ108" si="1">SUM(AQ3:AQ107)</f>
        <v>11</v>
      </c>
      <c r="AR108" s="62">
        <f t="shared" ref="AR108" si="2">SUM(AR3:AR107)</f>
        <v>10</v>
      </c>
      <c r="AS108" s="62">
        <f t="shared" ref="AS108" si="3">SUM(AS3:AS107)</f>
        <v>20</v>
      </c>
      <c r="AT108" s="62">
        <f t="shared" ref="AT108:BB108" si="4">SUM(AT3:AT107)</f>
        <v>15</v>
      </c>
      <c r="AU108" s="62">
        <f t="shared" si="4"/>
        <v>22</v>
      </c>
      <c r="AV108" s="62">
        <f t="shared" si="4"/>
        <v>13</v>
      </c>
      <c r="AW108" s="62">
        <f t="shared" si="4"/>
        <v>0</v>
      </c>
      <c r="AX108" s="62">
        <f t="shared" si="4"/>
        <v>0</v>
      </c>
      <c r="AY108" s="62">
        <f t="shared" si="4"/>
        <v>0</v>
      </c>
      <c r="AZ108" s="62">
        <f t="shared" si="4"/>
        <v>0</v>
      </c>
      <c r="BA108" s="62">
        <f t="shared" si="4"/>
        <v>0</v>
      </c>
      <c r="BB108" s="190">
        <f t="shared" si="4"/>
        <v>0</v>
      </c>
    </row>
    <row r="109" spans="1:54" x14ac:dyDescent="0.2">
      <c r="A109" s="5" t="s">
        <v>31</v>
      </c>
      <c r="B109" t="s">
        <v>135</v>
      </c>
      <c r="F109" s="8"/>
      <c r="G109" s="8"/>
      <c r="H109" s="8"/>
      <c r="I109" s="8"/>
      <c r="J109" s="8"/>
      <c r="K109" s="8"/>
      <c r="L109" s="8"/>
      <c r="Q109" s="15"/>
      <c r="T109" s="8"/>
      <c r="U109" s="8"/>
      <c r="V109" s="8"/>
      <c r="W109" s="8"/>
      <c r="X109" s="8"/>
      <c r="Y109" s="8"/>
      <c r="Z109" s="8"/>
      <c r="AA109" s="8"/>
      <c r="AB109" s="39"/>
      <c r="AE109" s="8"/>
      <c r="AF109" s="8"/>
      <c r="AG109" s="8"/>
      <c r="AH109" s="8"/>
      <c r="AI109" s="8"/>
      <c r="AJ109" s="8"/>
      <c r="AL109" s="8"/>
      <c r="AM109" s="8"/>
      <c r="AN109" s="8"/>
      <c r="AO109" s="8"/>
      <c r="AQ109" s="15"/>
      <c r="AR109" s="8"/>
      <c r="AS109" s="8"/>
      <c r="AT109" s="8"/>
      <c r="AU109" s="8"/>
      <c r="AV109" s="8"/>
      <c r="BB109" s="12"/>
    </row>
    <row r="110" spans="1:54" x14ac:dyDescent="0.2">
      <c r="A110" s="5" t="s">
        <v>32</v>
      </c>
      <c r="B110" t="s">
        <v>135</v>
      </c>
      <c r="Q110" s="15"/>
      <c r="AB110" s="12"/>
      <c r="AQ110" s="15"/>
      <c r="BB110" s="12"/>
    </row>
    <row r="111" spans="1:54" x14ac:dyDescent="0.2">
      <c r="A111" s="5" t="s">
        <v>33</v>
      </c>
      <c r="B111" t="s">
        <v>135</v>
      </c>
      <c r="Q111" s="15"/>
      <c r="AB111" s="12"/>
      <c r="AQ111" s="15"/>
      <c r="BB111" s="12"/>
    </row>
    <row r="112" spans="1:54" x14ac:dyDescent="0.2">
      <c r="A112" s="5" t="s">
        <v>34</v>
      </c>
      <c r="B112" t="s">
        <v>135</v>
      </c>
      <c r="Q112" s="15"/>
      <c r="AB112" s="12"/>
      <c r="AQ112" s="15"/>
      <c r="BB112" s="12"/>
    </row>
    <row r="113" spans="1:54" x14ac:dyDescent="0.2">
      <c r="A113" s="5" t="s">
        <v>35</v>
      </c>
      <c r="B113" t="s">
        <v>135</v>
      </c>
      <c r="Q113" s="15"/>
      <c r="AB113" s="12"/>
      <c r="AQ113" s="15"/>
      <c r="BB113" s="12"/>
    </row>
    <row r="114" spans="1:54" x14ac:dyDescent="0.2">
      <c r="A114" s="5" t="s">
        <v>36</v>
      </c>
      <c r="B114" t="s">
        <v>135</v>
      </c>
      <c r="Q114" s="15"/>
      <c r="AB114" s="12"/>
      <c r="AQ114" s="15"/>
      <c r="BB114" s="12"/>
    </row>
    <row r="115" spans="1:54" x14ac:dyDescent="0.2">
      <c r="A115" s="5" t="s">
        <v>37</v>
      </c>
      <c r="B115" t="s">
        <v>135</v>
      </c>
      <c r="Q115" s="15"/>
      <c r="AB115" s="12"/>
      <c r="AQ115" s="15"/>
      <c r="BB115" s="12"/>
    </row>
    <row r="116" spans="1:54" x14ac:dyDescent="0.2">
      <c r="A116" s="5" t="s">
        <v>38</v>
      </c>
      <c r="B116" t="s">
        <v>135</v>
      </c>
      <c r="Q116" s="15"/>
      <c r="AB116" s="12"/>
      <c r="AQ116" s="15"/>
      <c r="BB116" s="12"/>
    </row>
    <row r="117" spans="1:54" x14ac:dyDescent="0.2">
      <c r="A117" s="5" t="s">
        <v>39</v>
      </c>
      <c r="B117" t="s">
        <v>135</v>
      </c>
      <c r="Q117" s="15"/>
      <c r="AB117" s="12"/>
      <c r="AQ117" s="15"/>
      <c r="BB117" s="12"/>
    </row>
    <row r="118" spans="1:54" x14ac:dyDescent="0.2">
      <c r="A118" s="5" t="s">
        <v>40</v>
      </c>
      <c r="B118" t="s">
        <v>135</v>
      </c>
      <c r="Q118" s="15"/>
      <c r="AB118" s="12"/>
      <c r="AQ118" s="15"/>
      <c r="BB118" s="12"/>
    </row>
    <row r="119" spans="1:54" x14ac:dyDescent="0.2">
      <c r="A119" s="5" t="s">
        <v>41</v>
      </c>
      <c r="B119" t="s">
        <v>135</v>
      </c>
      <c r="Q119" s="15"/>
      <c r="AB119" s="12"/>
      <c r="AQ119" s="15"/>
      <c r="BB119" s="12"/>
    </row>
    <row r="120" spans="1:54" x14ac:dyDescent="0.2">
      <c r="A120" s="5" t="s">
        <v>42</v>
      </c>
      <c r="B120" t="s">
        <v>135</v>
      </c>
      <c r="Q120" s="15"/>
      <c r="AB120" s="12"/>
      <c r="AQ120" s="15"/>
      <c r="BB120" s="12"/>
    </row>
    <row r="121" spans="1:54" x14ac:dyDescent="0.2">
      <c r="A121" s="5" t="s">
        <v>43</v>
      </c>
      <c r="B121" t="s">
        <v>135</v>
      </c>
      <c r="Q121" s="15"/>
      <c r="AB121" s="12"/>
      <c r="AQ121" s="15"/>
      <c r="BB121" s="12"/>
    </row>
    <row r="122" spans="1:54" x14ac:dyDescent="0.2">
      <c r="A122" s="5" t="s">
        <v>44</v>
      </c>
      <c r="B122" t="s">
        <v>135</v>
      </c>
      <c r="Q122" s="15"/>
      <c r="AB122" s="12"/>
      <c r="AQ122" s="15"/>
      <c r="BB122" s="12"/>
    </row>
    <row r="123" spans="1:54" x14ac:dyDescent="0.2">
      <c r="A123" s="5" t="s">
        <v>45</v>
      </c>
      <c r="B123" t="s">
        <v>135</v>
      </c>
      <c r="Q123" s="15"/>
      <c r="AB123" s="12"/>
      <c r="AQ123" s="15"/>
      <c r="BB123" s="12"/>
    </row>
    <row r="124" spans="1:54" x14ac:dyDescent="0.2">
      <c r="A124" s="5" t="s">
        <v>46</v>
      </c>
      <c r="B124" t="s">
        <v>135</v>
      </c>
      <c r="Q124" s="15"/>
      <c r="AB124" s="12"/>
      <c r="AQ124" s="15"/>
      <c r="BB124" s="12"/>
    </row>
    <row r="125" spans="1:54" x14ac:dyDescent="0.2">
      <c r="A125" s="5" t="s">
        <v>47</v>
      </c>
      <c r="B125" t="s">
        <v>135</v>
      </c>
      <c r="Q125" s="15"/>
      <c r="AB125" s="12"/>
      <c r="AQ125" s="15"/>
      <c r="BB125" s="12"/>
    </row>
    <row r="126" spans="1:54" x14ac:dyDescent="0.2">
      <c r="A126" s="5" t="s">
        <v>48</v>
      </c>
      <c r="B126" t="s">
        <v>135</v>
      </c>
      <c r="Q126" s="15"/>
      <c r="AB126" s="12"/>
      <c r="AQ126" s="15"/>
      <c r="BB126" s="12"/>
    </row>
    <row r="127" spans="1:54" x14ac:dyDescent="0.2">
      <c r="A127" s="5" t="s">
        <v>49</v>
      </c>
      <c r="B127" t="s">
        <v>135</v>
      </c>
      <c r="Q127" s="15"/>
      <c r="AB127" s="12"/>
      <c r="AQ127" s="15"/>
      <c r="BB127" s="12"/>
    </row>
    <row r="128" spans="1:54" x14ac:dyDescent="0.2">
      <c r="A128" s="5" t="s">
        <v>50</v>
      </c>
      <c r="B128" t="s">
        <v>135</v>
      </c>
      <c r="Q128" s="15"/>
      <c r="AB128" s="12"/>
      <c r="AQ128" s="15"/>
      <c r="BB128" s="12"/>
    </row>
    <row r="129" spans="1:54" x14ac:dyDescent="0.2">
      <c r="A129" s="5" t="s">
        <v>51</v>
      </c>
      <c r="B129" t="s">
        <v>135</v>
      </c>
      <c r="Q129" s="15"/>
      <c r="AB129" s="12"/>
      <c r="AQ129" s="15"/>
      <c r="BB129" s="12"/>
    </row>
    <row r="130" spans="1:54" x14ac:dyDescent="0.2">
      <c r="A130" s="5" t="s">
        <v>52</v>
      </c>
      <c r="B130" t="s">
        <v>135</v>
      </c>
      <c r="Q130" s="15"/>
      <c r="AB130" s="12"/>
      <c r="AQ130" s="15"/>
      <c r="BB130" s="12"/>
    </row>
    <row r="131" spans="1:54" x14ac:dyDescent="0.2">
      <c r="A131" s="5" t="s">
        <v>53</v>
      </c>
      <c r="B131" t="s">
        <v>135</v>
      </c>
      <c r="Q131" s="15"/>
      <c r="AB131" s="12"/>
      <c r="AQ131" s="15"/>
      <c r="BB131" s="12"/>
    </row>
    <row r="132" spans="1:54" x14ac:dyDescent="0.2">
      <c r="A132" s="5" t="s">
        <v>54</v>
      </c>
      <c r="B132" t="s">
        <v>135</v>
      </c>
      <c r="Q132" s="15"/>
      <c r="AB132" s="12"/>
      <c r="AQ132" s="15"/>
      <c r="BB132" s="12"/>
    </row>
    <row r="133" spans="1:54" x14ac:dyDescent="0.2">
      <c r="A133" s="5" t="s">
        <v>55</v>
      </c>
      <c r="B133" t="s">
        <v>135</v>
      </c>
      <c r="Q133" s="15"/>
      <c r="AB133" s="12"/>
      <c r="AQ133" s="15"/>
      <c r="BB133" s="12"/>
    </row>
    <row r="134" spans="1:54" x14ac:dyDescent="0.2">
      <c r="A134" s="5" t="s">
        <v>56</v>
      </c>
      <c r="B134" t="s">
        <v>135</v>
      </c>
      <c r="Q134" s="15"/>
      <c r="AB134" s="12"/>
      <c r="AQ134" s="15"/>
      <c r="BB134" s="12"/>
    </row>
    <row r="135" spans="1:54" x14ac:dyDescent="0.2">
      <c r="A135" s="5" t="s">
        <v>57</v>
      </c>
      <c r="B135" t="s">
        <v>135</v>
      </c>
      <c r="Q135" s="15"/>
      <c r="AB135" s="12"/>
      <c r="AQ135" s="15"/>
      <c r="BB135" s="12"/>
    </row>
    <row r="136" spans="1:54" x14ac:dyDescent="0.2">
      <c r="A136" s="5" t="s">
        <v>58</v>
      </c>
      <c r="B136" t="s">
        <v>135</v>
      </c>
      <c r="Q136" s="15"/>
      <c r="AB136" s="12"/>
      <c r="AQ136" s="15"/>
      <c r="BB136" s="12"/>
    </row>
    <row r="137" spans="1:54" x14ac:dyDescent="0.2">
      <c r="A137" s="5" t="s">
        <v>59</v>
      </c>
      <c r="B137" t="s">
        <v>135</v>
      </c>
      <c r="Q137" s="15"/>
      <c r="AB137" s="12"/>
      <c r="AQ137" s="15"/>
      <c r="BB137" s="12"/>
    </row>
    <row r="138" spans="1:54" x14ac:dyDescent="0.2">
      <c r="A138" s="5" t="s">
        <v>60</v>
      </c>
      <c r="B138" t="s">
        <v>135</v>
      </c>
      <c r="Q138" s="15"/>
      <c r="AB138" s="12"/>
      <c r="AQ138" s="15"/>
      <c r="BB138" s="12"/>
    </row>
    <row r="139" spans="1:54" x14ac:dyDescent="0.2">
      <c r="A139" s="5" t="s">
        <v>61</v>
      </c>
      <c r="B139" t="s">
        <v>135</v>
      </c>
      <c r="Q139" s="15"/>
      <c r="AB139" s="12"/>
      <c r="AQ139" s="15"/>
      <c r="BB139" s="12"/>
    </row>
    <row r="140" spans="1:54" x14ac:dyDescent="0.2">
      <c r="A140" s="5" t="s">
        <v>62</v>
      </c>
      <c r="B140" t="s">
        <v>135</v>
      </c>
      <c r="Q140" s="15"/>
      <c r="AB140" s="12"/>
      <c r="AQ140" s="15"/>
      <c r="BB140" s="12"/>
    </row>
    <row r="141" spans="1:54" x14ac:dyDescent="0.2">
      <c r="A141" s="5" t="s">
        <v>63</v>
      </c>
      <c r="B141" t="s">
        <v>135</v>
      </c>
      <c r="Q141" s="15"/>
      <c r="AB141" s="12"/>
      <c r="AQ141" s="15"/>
      <c r="BB141" s="12"/>
    </row>
    <row r="142" spans="1:54" x14ac:dyDescent="0.2">
      <c r="A142" s="5" t="s">
        <v>64</v>
      </c>
      <c r="B142" t="s">
        <v>135</v>
      </c>
      <c r="Q142" s="15"/>
      <c r="AB142" s="12"/>
      <c r="AQ142" s="15"/>
      <c r="BB142" s="12"/>
    </row>
    <row r="143" spans="1:54" x14ac:dyDescent="0.2">
      <c r="A143" s="5" t="s">
        <v>65</v>
      </c>
      <c r="B143" t="s">
        <v>135</v>
      </c>
      <c r="Q143" s="15"/>
      <c r="AB143" s="12"/>
      <c r="AQ143" s="15"/>
      <c r="BB143" s="12"/>
    </row>
    <row r="144" spans="1:54" x14ac:dyDescent="0.2">
      <c r="A144" s="5" t="s">
        <v>66</v>
      </c>
      <c r="B144" t="s">
        <v>135</v>
      </c>
      <c r="Q144" s="15"/>
      <c r="AB144" s="12"/>
      <c r="AQ144" s="15"/>
      <c r="BB144" s="12"/>
    </row>
    <row r="145" spans="1:54" x14ac:dyDescent="0.2">
      <c r="A145" s="5" t="s">
        <v>67</v>
      </c>
      <c r="B145" t="s">
        <v>135</v>
      </c>
      <c r="Q145" s="15"/>
      <c r="AB145" s="12"/>
      <c r="AQ145" s="15"/>
      <c r="BB145" s="12"/>
    </row>
    <row r="146" spans="1:54" x14ac:dyDescent="0.2">
      <c r="A146" s="5" t="s">
        <v>68</v>
      </c>
      <c r="B146" t="s">
        <v>135</v>
      </c>
      <c r="Q146" s="15"/>
      <c r="AB146" s="12"/>
      <c r="AQ146" s="15"/>
      <c r="BB146" s="12"/>
    </row>
    <row r="147" spans="1:54" x14ac:dyDescent="0.2">
      <c r="A147" s="5" t="s">
        <v>69</v>
      </c>
      <c r="B147" t="s">
        <v>135</v>
      </c>
      <c r="Q147" s="15"/>
      <c r="AB147" s="12"/>
      <c r="AQ147" s="15"/>
      <c r="BB147" s="12"/>
    </row>
    <row r="148" spans="1:54" x14ac:dyDescent="0.2">
      <c r="A148" s="5" t="s">
        <v>70</v>
      </c>
      <c r="B148" t="s">
        <v>135</v>
      </c>
      <c r="Q148" s="15"/>
      <c r="AB148" s="12"/>
      <c r="AQ148" s="15"/>
      <c r="BB148" s="12"/>
    </row>
    <row r="149" spans="1:54" x14ac:dyDescent="0.2">
      <c r="A149" s="5" t="s">
        <v>71</v>
      </c>
      <c r="B149" t="s">
        <v>135</v>
      </c>
      <c r="Q149" s="15"/>
      <c r="AB149" s="12"/>
      <c r="AQ149" s="15"/>
      <c r="BB149" s="12"/>
    </row>
    <row r="150" spans="1:54" x14ac:dyDescent="0.2">
      <c r="A150" s="5" t="s">
        <v>72</v>
      </c>
      <c r="B150" t="s">
        <v>135</v>
      </c>
      <c r="Q150" s="15"/>
      <c r="AB150" s="12"/>
      <c r="AQ150" s="15"/>
      <c r="BB150" s="12"/>
    </row>
    <row r="151" spans="1:54" x14ac:dyDescent="0.2">
      <c r="A151" s="5" t="s">
        <v>73</v>
      </c>
      <c r="B151" t="s">
        <v>135</v>
      </c>
      <c r="Q151" s="15"/>
      <c r="AB151" s="12"/>
      <c r="AQ151" s="15"/>
      <c r="BB151" s="12"/>
    </row>
    <row r="152" spans="1:54" x14ac:dyDescent="0.2">
      <c r="A152" s="5" t="s">
        <v>74</v>
      </c>
      <c r="B152" t="s">
        <v>135</v>
      </c>
      <c r="Q152" s="15"/>
      <c r="AB152" s="12"/>
      <c r="AQ152" s="15"/>
      <c r="BB152" s="12"/>
    </row>
    <row r="153" spans="1:54" x14ac:dyDescent="0.2">
      <c r="A153" s="5" t="s">
        <v>75</v>
      </c>
      <c r="B153" t="s">
        <v>135</v>
      </c>
      <c r="Q153" s="15"/>
      <c r="AB153" s="12"/>
      <c r="AQ153" s="15"/>
      <c r="BB153" s="12"/>
    </row>
    <row r="154" spans="1:54" x14ac:dyDescent="0.2">
      <c r="A154" s="5" t="s">
        <v>76</v>
      </c>
      <c r="B154" t="s">
        <v>135</v>
      </c>
      <c r="Q154" s="15"/>
      <c r="AB154" s="12"/>
      <c r="AQ154" s="15"/>
      <c r="BB154" s="12"/>
    </row>
    <row r="155" spans="1:54" x14ac:dyDescent="0.2">
      <c r="A155" s="5" t="s">
        <v>77</v>
      </c>
      <c r="B155" t="s">
        <v>135</v>
      </c>
      <c r="Q155" s="15"/>
      <c r="AB155" s="12"/>
      <c r="AQ155" s="15"/>
      <c r="BB155" s="12"/>
    </row>
    <row r="156" spans="1:54" x14ac:dyDescent="0.2">
      <c r="A156" s="5" t="s">
        <v>78</v>
      </c>
      <c r="B156" t="s">
        <v>135</v>
      </c>
      <c r="Q156" s="15"/>
      <c r="AB156" s="12"/>
      <c r="AQ156" s="15"/>
      <c r="BB156" s="12"/>
    </row>
    <row r="157" spans="1:54" x14ac:dyDescent="0.2">
      <c r="A157" s="5" t="s">
        <v>79</v>
      </c>
      <c r="B157" t="s">
        <v>135</v>
      </c>
      <c r="Q157" s="15"/>
      <c r="AB157" s="12"/>
      <c r="AQ157" s="15"/>
      <c r="BB157" s="12"/>
    </row>
    <row r="158" spans="1:54" x14ac:dyDescent="0.2">
      <c r="A158" s="5" t="s">
        <v>80</v>
      </c>
      <c r="B158" t="s">
        <v>135</v>
      </c>
      <c r="Q158" s="15"/>
      <c r="AB158" s="12"/>
      <c r="AQ158" s="15"/>
      <c r="BB158" s="12"/>
    </row>
    <row r="159" spans="1:54" x14ac:dyDescent="0.2">
      <c r="A159" s="5" t="s">
        <v>81</v>
      </c>
      <c r="B159" t="s">
        <v>135</v>
      </c>
      <c r="Q159" s="15"/>
      <c r="AB159" s="12"/>
      <c r="AQ159" s="15"/>
      <c r="BB159" s="12"/>
    </row>
    <row r="160" spans="1:54" x14ac:dyDescent="0.2">
      <c r="A160" s="5" t="s">
        <v>82</v>
      </c>
      <c r="B160" t="s">
        <v>135</v>
      </c>
      <c r="Q160" s="15"/>
      <c r="AB160" s="12"/>
      <c r="AQ160" s="15"/>
      <c r="BB160" s="12"/>
    </row>
    <row r="161" spans="1:54" x14ac:dyDescent="0.2">
      <c r="A161" s="5" t="s">
        <v>83</v>
      </c>
      <c r="B161" t="s">
        <v>135</v>
      </c>
      <c r="Q161" s="15"/>
      <c r="AB161" s="12"/>
      <c r="AQ161" s="15"/>
      <c r="BB161" s="12"/>
    </row>
    <row r="162" spans="1:54" x14ac:dyDescent="0.2">
      <c r="A162" s="5" t="s">
        <v>84</v>
      </c>
      <c r="B162" t="s">
        <v>135</v>
      </c>
      <c r="Q162" s="15"/>
      <c r="AB162" s="12"/>
      <c r="AQ162" s="15"/>
      <c r="BB162" s="12"/>
    </row>
    <row r="163" spans="1:54" x14ac:dyDescent="0.2">
      <c r="A163" s="5" t="s">
        <v>85</v>
      </c>
      <c r="B163" t="s">
        <v>135</v>
      </c>
      <c r="Q163" s="15"/>
      <c r="AB163" s="12"/>
      <c r="AQ163" s="15"/>
      <c r="BB163" s="12"/>
    </row>
    <row r="164" spans="1:54" x14ac:dyDescent="0.2">
      <c r="A164" s="5" t="s">
        <v>86</v>
      </c>
      <c r="B164" t="s">
        <v>135</v>
      </c>
      <c r="Q164" s="15"/>
      <c r="AB164" s="12"/>
      <c r="AQ164" s="15"/>
      <c r="BB164" s="12"/>
    </row>
    <row r="165" spans="1:54" x14ac:dyDescent="0.2">
      <c r="A165" s="5" t="s">
        <v>87</v>
      </c>
      <c r="B165" t="s">
        <v>135</v>
      </c>
      <c r="Q165" s="15"/>
      <c r="AB165" s="12"/>
      <c r="AQ165" s="15"/>
      <c r="BB165" s="12"/>
    </row>
    <row r="166" spans="1:54" x14ac:dyDescent="0.2">
      <c r="A166" s="5" t="s">
        <v>88</v>
      </c>
      <c r="B166" t="s">
        <v>135</v>
      </c>
      <c r="Q166" s="15"/>
      <c r="AB166" s="12"/>
      <c r="AQ166" s="15"/>
      <c r="BB166" s="12"/>
    </row>
    <row r="167" spans="1:54" x14ac:dyDescent="0.2">
      <c r="A167" s="5" t="s">
        <v>89</v>
      </c>
      <c r="B167" t="s">
        <v>135</v>
      </c>
      <c r="Q167" s="15"/>
      <c r="AB167" s="12"/>
      <c r="AQ167" s="15"/>
      <c r="BB167" s="12"/>
    </row>
    <row r="168" spans="1:54" x14ac:dyDescent="0.2">
      <c r="A168" s="5" t="s">
        <v>90</v>
      </c>
      <c r="B168" t="s">
        <v>135</v>
      </c>
      <c r="Q168" s="15"/>
      <c r="AB168" s="12"/>
      <c r="AQ168" s="15"/>
      <c r="BB168" s="12"/>
    </row>
    <row r="169" spans="1:54" x14ac:dyDescent="0.2">
      <c r="A169" s="5" t="s">
        <v>91</v>
      </c>
      <c r="B169" t="s">
        <v>135</v>
      </c>
      <c r="Q169" s="15"/>
      <c r="AB169" s="12"/>
      <c r="AQ169" s="15"/>
      <c r="BB169" s="12"/>
    </row>
    <row r="170" spans="1:54" x14ac:dyDescent="0.2">
      <c r="A170" s="5" t="s">
        <v>92</v>
      </c>
      <c r="B170" t="s">
        <v>135</v>
      </c>
      <c r="Q170" s="15"/>
      <c r="AB170" s="12"/>
      <c r="AQ170" s="15"/>
      <c r="BB170" s="12"/>
    </row>
    <row r="171" spans="1:54" x14ac:dyDescent="0.2">
      <c r="A171" s="5" t="s">
        <v>93</v>
      </c>
      <c r="B171" t="s">
        <v>135</v>
      </c>
      <c r="Q171" s="15"/>
      <c r="AB171" s="12"/>
      <c r="AQ171" s="15"/>
      <c r="BB171" s="12"/>
    </row>
    <row r="172" spans="1:54" x14ac:dyDescent="0.2">
      <c r="A172" s="5" t="s">
        <v>94</v>
      </c>
      <c r="B172" t="s">
        <v>135</v>
      </c>
      <c r="Q172" s="15"/>
      <c r="AB172" s="12"/>
      <c r="AQ172" s="15"/>
      <c r="BB172" s="12"/>
    </row>
    <row r="173" spans="1:54" x14ac:dyDescent="0.2">
      <c r="A173" s="5" t="s">
        <v>95</v>
      </c>
      <c r="B173" t="s">
        <v>135</v>
      </c>
      <c r="Q173" s="15"/>
      <c r="AB173" s="12"/>
      <c r="AQ173" s="15"/>
      <c r="BB173" s="12"/>
    </row>
    <row r="174" spans="1:54" x14ac:dyDescent="0.2">
      <c r="A174" s="5" t="s">
        <v>96</v>
      </c>
      <c r="B174" t="s">
        <v>135</v>
      </c>
      <c r="Q174" s="15"/>
      <c r="AB174" s="12"/>
      <c r="AQ174" s="15"/>
      <c r="BB174" s="12"/>
    </row>
    <row r="175" spans="1:54" x14ac:dyDescent="0.2">
      <c r="A175" s="5" t="s">
        <v>97</v>
      </c>
      <c r="B175" t="s">
        <v>135</v>
      </c>
      <c r="Q175" s="15"/>
      <c r="AB175" s="12"/>
      <c r="AQ175" s="15"/>
      <c r="BB175" s="12"/>
    </row>
    <row r="176" spans="1:54" x14ac:dyDescent="0.2">
      <c r="A176" s="5" t="s">
        <v>98</v>
      </c>
      <c r="B176" t="s">
        <v>135</v>
      </c>
      <c r="Q176" s="15"/>
      <c r="AB176" s="12"/>
      <c r="AQ176" s="15"/>
      <c r="BB176" s="12"/>
    </row>
    <row r="177" spans="1:54" x14ac:dyDescent="0.2">
      <c r="A177" s="5" t="s">
        <v>99</v>
      </c>
      <c r="B177" t="s">
        <v>135</v>
      </c>
      <c r="Q177" s="15"/>
      <c r="AB177" s="12"/>
      <c r="AQ177" s="15"/>
      <c r="BB177" s="12"/>
    </row>
    <row r="178" spans="1:54" x14ac:dyDescent="0.2">
      <c r="A178" s="5" t="s">
        <v>100</v>
      </c>
      <c r="B178" t="s">
        <v>135</v>
      </c>
      <c r="Q178" s="15"/>
      <c r="AB178" s="12"/>
      <c r="AQ178" s="15"/>
      <c r="BB178" s="12"/>
    </row>
    <row r="179" spans="1:54" x14ac:dyDescent="0.2">
      <c r="A179" s="5" t="s">
        <v>101</v>
      </c>
      <c r="B179" t="s">
        <v>135</v>
      </c>
      <c r="Q179" s="15"/>
      <c r="AB179" s="12"/>
      <c r="AQ179" s="15"/>
      <c r="BB179" s="12"/>
    </row>
    <row r="180" spans="1:54" x14ac:dyDescent="0.2">
      <c r="A180" s="5" t="s">
        <v>102</v>
      </c>
      <c r="B180" t="s">
        <v>135</v>
      </c>
      <c r="Q180" s="15"/>
      <c r="AB180" s="12"/>
      <c r="AQ180" s="15"/>
      <c r="BB180" s="12"/>
    </row>
    <row r="181" spans="1:54" x14ac:dyDescent="0.2">
      <c r="A181" s="5" t="s">
        <v>103</v>
      </c>
      <c r="B181" t="s">
        <v>135</v>
      </c>
      <c r="Q181" s="15"/>
      <c r="AB181" s="12"/>
      <c r="AQ181" s="15"/>
      <c r="BB181" s="12"/>
    </row>
    <row r="182" spans="1:54" x14ac:dyDescent="0.2">
      <c r="A182" s="5" t="s">
        <v>104</v>
      </c>
      <c r="B182" t="s">
        <v>135</v>
      </c>
      <c r="Q182" s="15"/>
      <c r="AB182" s="12"/>
      <c r="AQ182" s="15"/>
      <c r="BB182" s="12"/>
    </row>
    <row r="183" spans="1:54" x14ac:dyDescent="0.2">
      <c r="A183" s="5" t="s">
        <v>105</v>
      </c>
      <c r="B183" t="s">
        <v>135</v>
      </c>
      <c r="Q183" s="15"/>
      <c r="AB183" s="12"/>
      <c r="AQ183" s="15"/>
      <c r="BB183" s="12"/>
    </row>
    <row r="184" spans="1:54" x14ac:dyDescent="0.2">
      <c r="A184" s="5" t="s">
        <v>106</v>
      </c>
      <c r="B184" t="s">
        <v>135</v>
      </c>
      <c r="Q184" s="15"/>
      <c r="AB184" s="12"/>
      <c r="AQ184" s="15"/>
      <c r="BB184" s="12"/>
    </row>
    <row r="185" spans="1:54" x14ac:dyDescent="0.2">
      <c r="A185" s="5" t="s">
        <v>107</v>
      </c>
      <c r="B185" t="s">
        <v>135</v>
      </c>
      <c r="Q185" s="15"/>
      <c r="AB185" s="12"/>
      <c r="AQ185" s="15"/>
      <c r="BB185" s="12"/>
    </row>
    <row r="186" spans="1:54" x14ac:dyDescent="0.2">
      <c r="A186" s="5" t="s">
        <v>108</v>
      </c>
      <c r="B186" t="s">
        <v>135</v>
      </c>
      <c r="Q186" s="15"/>
      <c r="AB186" s="12"/>
      <c r="AQ186" s="15"/>
      <c r="BB186" s="12"/>
    </row>
    <row r="187" spans="1:54" x14ac:dyDescent="0.2">
      <c r="A187" s="5" t="s">
        <v>109</v>
      </c>
      <c r="B187" t="s">
        <v>135</v>
      </c>
      <c r="Q187" s="15"/>
      <c r="AB187" s="12"/>
      <c r="AQ187" s="15"/>
      <c r="BB187" s="12"/>
    </row>
    <row r="188" spans="1:54" x14ac:dyDescent="0.2">
      <c r="A188" s="5" t="s">
        <v>110</v>
      </c>
      <c r="B188" t="s">
        <v>135</v>
      </c>
      <c r="Q188" s="15"/>
      <c r="AB188" s="12"/>
      <c r="AQ188" s="15"/>
      <c r="BB188" s="12"/>
    </row>
    <row r="189" spans="1:54" x14ac:dyDescent="0.2">
      <c r="A189" s="5" t="s">
        <v>111</v>
      </c>
      <c r="B189" t="s">
        <v>135</v>
      </c>
      <c r="Q189" s="15"/>
      <c r="AB189" s="12"/>
      <c r="AQ189" s="15"/>
      <c r="BB189" s="12"/>
    </row>
    <row r="190" spans="1:54" x14ac:dyDescent="0.2">
      <c r="A190" s="5" t="s">
        <v>112</v>
      </c>
      <c r="B190" t="s">
        <v>135</v>
      </c>
      <c r="Q190" s="15"/>
      <c r="AB190" s="12"/>
      <c r="AQ190" s="15"/>
      <c r="BB190" s="12"/>
    </row>
    <row r="191" spans="1:54" x14ac:dyDescent="0.2">
      <c r="A191" s="5" t="s">
        <v>113</v>
      </c>
      <c r="B191" t="s">
        <v>135</v>
      </c>
      <c r="Q191" s="15"/>
      <c r="AB191" s="12"/>
      <c r="AQ191" s="15"/>
      <c r="BB191" s="12"/>
    </row>
    <row r="192" spans="1:54" x14ac:dyDescent="0.2">
      <c r="A192" s="5" t="s">
        <v>114</v>
      </c>
      <c r="B192" t="s">
        <v>135</v>
      </c>
      <c r="Q192" s="15"/>
      <c r="AB192" s="12"/>
      <c r="AQ192" s="15"/>
      <c r="BB192" s="12"/>
    </row>
    <row r="193" spans="1:54" x14ac:dyDescent="0.2">
      <c r="A193" s="5" t="s">
        <v>115</v>
      </c>
      <c r="B193" t="s">
        <v>135</v>
      </c>
      <c r="Q193" s="15"/>
      <c r="AB193" s="12"/>
      <c r="AQ193" s="15"/>
      <c r="BB193" s="12"/>
    </row>
    <row r="194" spans="1:54" x14ac:dyDescent="0.2">
      <c r="A194" s="5" t="s">
        <v>116</v>
      </c>
      <c r="B194" t="s">
        <v>135</v>
      </c>
      <c r="Q194" s="15"/>
      <c r="AB194" s="12"/>
      <c r="AQ194" s="15"/>
      <c r="BB194" s="12"/>
    </row>
    <row r="195" spans="1:54" x14ac:dyDescent="0.2">
      <c r="A195" s="5" t="s">
        <v>117</v>
      </c>
      <c r="B195" t="s">
        <v>135</v>
      </c>
      <c r="Q195" s="15"/>
      <c r="AB195" s="12"/>
      <c r="AQ195" s="15"/>
      <c r="BB195" s="12"/>
    </row>
    <row r="196" spans="1:54" x14ac:dyDescent="0.2">
      <c r="A196" s="5" t="s">
        <v>118</v>
      </c>
      <c r="B196" t="s">
        <v>135</v>
      </c>
      <c r="Q196" s="15"/>
      <c r="AB196" s="12"/>
      <c r="AQ196" s="15"/>
      <c r="BB196" s="12"/>
    </row>
    <row r="197" spans="1:54" x14ac:dyDescent="0.2">
      <c r="A197" s="5" t="s">
        <v>119</v>
      </c>
      <c r="B197" t="s">
        <v>135</v>
      </c>
      <c r="Q197" s="15"/>
      <c r="AB197" s="12"/>
      <c r="AQ197" s="15"/>
      <c r="BB197" s="12"/>
    </row>
    <row r="198" spans="1:54" x14ac:dyDescent="0.2">
      <c r="A198" s="5" t="s">
        <v>120</v>
      </c>
      <c r="B198" t="s">
        <v>135</v>
      </c>
      <c r="Q198" s="15"/>
      <c r="AB198" s="12"/>
      <c r="AQ198" s="15"/>
      <c r="BB198" s="12"/>
    </row>
    <row r="199" spans="1:54" x14ac:dyDescent="0.2">
      <c r="A199" s="5" t="s">
        <v>121</v>
      </c>
      <c r="B199" t="s">
        <v>135</v>
      </c>
      <c r="Q199" s="15"/>
      <c r="AB199" s="12"/>
      <c r="AQ199" s="15"/>
      <c r="BB199" s="12"/>
    </row>
    <row r="200" spans="1:54" x14ac:dyDescent="0.2">
      <c r="A200" s="5" t="s">
        <v>122</v>
      </c>
      <c r="B200" t="s">
        <v>135</v>
      </c>
      <c r="Q200" s="15"/>
      <c r="AB200" s="12"/>
      <c r="AQ200" s="15"/>
      <c r="BB200" s="12"/>
    </row>
    <row r="201" spans="1:54" x14ac:dyDescent="0.2">
      <c r="A201" s="5" t="s">
        <v>123</v>
      </c>
      <c r="B201" t="s">
        <v>135</v>
      </c>
      <c r="Q201" s="15"/>
      <c r="AB201" s="12"/>
      <c r="AQ201" s="15"/>
      <c r="BB201" s="12"/>
    </row>
    <row r="202" spans="1:54" x14ac:dyDescent="0.2">
      <c r="A202" s="5" t="s">
        <v>124</v>
      </c>
      <c r="B202" t="s">
        <v>135</v>
      </c>
      <c r="Q202" s="15"/>
      <c r="AB202" s="12"/>
      <c r="AQ202" s="15"/>
      <c r="BB202" s="12"/>
    </row>
    <row r="203" spans="1:54" x14ac:dyDescent="0.2">
      <c r="A203" s="5" t="s">
        <v>125</v>
      </c>
      <c r="B203" t="s">
        <v>135</v>
      </c>
      <c r="Q203" s="15"/>
      <c r="AB203" s="12"/>
      <c r="AQ203" s="15"/>
      <c r="BB203" s="12"/>
    </row>
    <row r="204" spans="1:54" x14ac:dyDescent="0.2">
      <c r="A204" s="5" t="s">
        <v>126</v>
      </c>
      <c r="B204" t="s">
        <v>135</v>
      </c>
      <c r="Q204" s="15"/>
      <c r="AB204" s="12"/>
      <c r="AQ204" s="15"/>
      <c r="BB204" s="12"/>
    </row>
    <row r="205" spans="1:54" x14ac:dyDescent="0.2">
      <c r="A205" s="5" t="s">
        <v>127</v>
      </c>
      <c r="B205" t="s">
        <v>135</v>
      </c>
      <c r="Q205" s="15"/>
      <c r="AB205" s="12"/>
      <c r="AQ205" s="15"/>
      <c r="BB205" s="12"/>
    </row>
    <row r="206" spans="1:54" x14ac:dyDescent="0.2">
      <c r="A206" s="5" t="s">
        <v>128</v>
      </c>
      <c r="B206" t="s">
        <v>135</v>
      </c>
      <c r="Q206" s="15"/>
      <c r="AB206" s="12"/>
      <c r="AQ206" s="15"/>
      <c r="BB206" s="12"/>
    </row>
    <row r="207" spans="1:54" x14ac:dyDescent="0.2">
      <c r="A207" s="5" t="s">
        <v>129</v>
      </c>
      <c r="B207" t="s">
        <v>135</v>
      </c>
      <c r="Q207" s="15"/>
      <c r="AB207" s="12"/>
      <c r="AQ207" s="15"/>
      <c r="BB207" s="12"/>
    </row>
    <row r="208" spans="1:54" x14ac:dyDescent="0.2">
      <c r="A208" s="5" t="s">
        <v>130</v>
      </c>
      <c r="B208" t="s">
        <v>135</v>
      </c>
      <c r="Q208" s="15"/>
      <c r="AB208" s="12"/>
      <c r="AQ208" s="15"/>
      <c r="BB208" s="12"/>
    </row>
    <row r="209" spans="1:54" x14ac:dyDescent="0.2">
      <c r="A209" s="5" t="s">
        <v>131</v>
      </c>
      <c r="B209" t="s">
        <v>135</v>
      </c>
      <c r="Q209" s="15"/>
      <c r="AB209" s="12"/>
      <c r="AQ209" s="15"/>
      <c r="BB209" s="12"/>
    </row>
    <row r="210" spans="1:54" x14ac:dyDescent="0.2">
      <c r="A210" s="5" t="s">
        <v>132</v>
      </c>
      <c r="B210" t="s">
        <v>135</v>
      </c>
      <c r="Q210" s="15"/>
      <c r="T210">
        <v>1</v>
      </c>
      <c r="U210">
        <v>8</v>
      </c>
      <c r="AB210" s="12"/>
      <c r="AQ210" s="15"/>
      <c r="BB210" s="12"/>
    </row>
    <row r="211" spans="1:54" x14ac:dyDescent="0.2">
      <c r="A211" s="5" t="s">
        <v>133</v>
      </c>
      <c r="B211" t="s">
        <v>135</v>
      </c>
      <c r="Q211" s="15"/>
      <c r="AB211" s="12"/>
      <c r="AQ211" s="15"/>
      <c r="BB211" s="12"/>
    </row>
    <row r="212" spans="1:54" ht="16" thickBot="1" x14ac:dyDescent="0.25">
      <c r="A212" s="110" t="s">
        <v>134</v>
      </c>
      <c r="B212" s="13" t="s">
        <v>135</v>
      </c>
      <c r="C212" s="29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29"/>
      <c r="Q212" s="16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4"/>
      <c r="AC212" s="29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29"/>
      <c r="AQ212" s="16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4"/>
    </row>
    <row r="213" spans="1:54" x14ac:dyDescent="0.2">
      <c r="A213" s="5"/>
      <c r="Q213" s="15"/>
      <c r="AB213" s="12"/>
      <c r="AQ213" s="15"/>
      <c r="BB213" s="12"/>
    </row>
    <row r="214" spans="1:54" x14ac:dyDescent="0.2">
      <c r="A214" s="5" t="s">
        <v>31</v>
      </c>
      <c r="B214" t="s">
        <v>137</v>
      </c>
      <c r="F214" s="8"/>
      <c r="Q214" s="15"/>
      <c r="T214" s="8"/>
      <c r="U214" s="8"/>
      <c r="V214" s="8"/>
      <c r="W214" s="8"/>
      <c r="X214" s="8"/>
      <c r="Y214" s="8"/>
      <c r="AB214" s="12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Q214" s="15"/>
      <c r="AT214" s="8"/>
      <c r="AU214" s="8"/>
      <c r="AV214" s="8"/>
      <c r="AW214" s="8"/>
      <c r="AX214" s="8"/>
      <c r="AY214" s="8"/>
      <c r="AZ214" s="8"/>
      <c r="BA214" s="8"/>
      <c r="BB214" s="39"/>
    </row>
    <row r="215" spans="1:54" x14ac:dyDescent="0.2">
      <c r="A215" s="5" t="s">
        <v>32</v>
      </c>
      <c r="B215" t="s">
        <v>137</v>
      </c>
      <c r="Q215" s="15"/>
      <c r="AB215" s="12"/>
      <c r="AQ215" s="15"/>
      <c r="BB215" s="12"/>
    </row>
    <row r="216" spans="1:54" x14ac:dyDescent="0.2">
      <c r="A216" s="5" t="s">
        <v>33</v>
      </c>
      <c r="B216" t="s">
        <v>137</v>
      </c>
      <c r="Q216" s="15"/>
      <c r="AB216" s="12"/>
      <c r="AQ216" s="15"/>
      <c r="BB216" s="12"/>
    </row>
    <row r="217" spans="1:54" x14ac:dyDescent="0.2">
      <c r="A217" s="5" t="s">
        <v>34</v>
      </c>
      <c r="B217" t="s">
        <v>137</v>
      </c>
      <c r="Q217" s="15"/>
      <c r="AB217" s="12"/>
      <c r="AQ217" s="15"/>
      <c r="BB217" s="12"/>
    </row>
    <row r="218" spans="1:54" x14ac:dyDescent="0.2">
      <c r="A218" s="5" t="s">
        <v>35</v>
      </c>
      <c r="B218" t="s">
        <v>137</v>
      </c>
      <c r="Q218" s="15"/>
      <c r="AB218" s="12"/>
      <c r="AQ218" s="15"/>
      <c r="BB218" s="12"/>
    </row>
    <row r="219" spans="1:54" x14ac:dyDescent="0.2">
      <c r="A219" s="5" t="s">
        <v>36</v>
      </c>
      <c r="B219" t="s">
        <v>137</v>
      </c>
      <c r="Q219" s="15"/>
      <c r="AB219" s="12"/>
      <c r="AQ219" s="15"/>
      <c r="BB219" s="12"/>
    </row>
    <row r="220" spans="1:54" x14ac:dyDescent="0.2">
      <c r="A220" s="5" t="s">
        <v>37</v>
      </c>
      <c r="B220" t="s">
        <v>137</v>
      </c>
      <c r="Q220" s="15"/>
      <c r="AB220" s="12"/>
      <c r="AQ220" s="15"/>
      <c r="BB220" s="12"/>
    </row>
    <row r="221" spans="1:54" x14ac:dyDescent="0.2">
      <c r="A221" s="5" t="s">
        <v>38</v>
      </c>
      <c r="B221" t="s">
        <v>137</v>
      </c>
      <c r="Q221" s="15"/>
      <c r="AB221" s="12"/>
      <c r="AQ221" s="15"/>
      <c r="BB221" s="12"/>
    </row>
    <row r="222" spans="1:54" x14ac:dyDescent="0.2">
      <c r="A222" s="5" t="s">
        <v>39</v>
      </c>
      <c r="B222" t="s">
        <v>137</v>
      </c>
      <c r="Q222" s="15"/>
      <c r="AB222" s="12"/>
      <c r="AQ222" s="15"/>
      <c r="BB222" s="12"/>
    </row>
    <row r="223" spans="1:54" x14ac:dyDescent="0.2">
      <c r="A223" s="5" t="s">
        <v>40</v>
      </c>
      <c r="B223" t="s">
        <v>137</v>
      </c>
      <c r="Q223" s="15"/>
      <c r="AB223" s="12"/>
      <c r="AQ223" s="15"/>
      <c r="BB223" s="12"/>
    </row>
    <row r="224" spans="1:54" x14ac:dyDescent="0.2">
      <c r="A224" s="5" t="s">
        <v>41</v>
      </c>
      <c r="B224" t="s">
        <v>137</v>
      </c>
      <c r="Q224" s="15"/>
      <c r="AB224" s="12"/>
      <c r="AQ224" s="15"/>
      <c r="BB224" s="12"/>
    </row>
    <row r="225" spans="1:54" x14ac:dyDescent="0.2">
      <c r="A225" s="5" t="s">
        <v>42</v>
      </c>
      <c r="B225" t="s">
        <v>137</v>
      </c>
      <c r="Q225" s="15"/>
      <c r="AB225" s="12"/>
      <c r="AQ225" s="15"/>
      <c r="BB225" s="12"/>
    </row>
    <row r="226" spans="1:54" x14ac:dyDescent="0.2">
      <c r="A226" s="5" t="s">
        <v>43</v>
      </c>
      <c r="B226" t="s">
        <v>137</v>
      </c>
      <c r="Q226" s="15"/>
      <c r="AB226" s="12"/>
      <c r="AQ226" s="15"/>
      <c r="BB226" s="12"/>
    </row>
    <row r="227" spans="1:54" x14ac:dyDescent="0.2">
      <c r="A227" s="5" t="s">
        <v>44</v>
      </c>
      <c r="B227" t="s">
        <v>137</v>
      </c>
      <c r="Q227" s="15"/>
      <c r="AB227" s="12"/>
      <c r="AQ227" s="15"/>
      <c r="BB227" s="12"/>
    </row>
    <row r="228" spans="1:54" x14ac:dyDescent="0.2">
      <c r="A228" s="5" t="s">
        <v>45</v>
      </c>
      <c r="B228" t="s">
        <v>137</v>
      </c>
      <c r="Q228" s="15"/>
      <c r="AB228" s="12"/>
      <c r="AQ228" s="15"/>
      <c r="BB228" s="12"/>
    </row>
    <row r="229" spans="1:54" x14ac:dyDescent="0.2">
      <c r="A229" s="5" t="s">
        <v>46</v>
      </c>
      <c r="B229" t="s">
        <v>137</v>
      </c>
      <c r="Q229" s="15"/>
      <c r="AB229" s="12"/>
      <c r="AQ229" s="15"/>
      <c r="BB229" s="12"/>
    </row>
    <row r="230" spans="1:54" x14ac:dyDescent="0.2">
      <c r="A230" s="5" t="s">
        <v>47</v>
      </c>
      <c r="B230" t="s">
        <v>137</v>
      </c>
      <c r="Q230" s="15"/>
      <c r="AB230" s="12"/>
      <c r="AQ230" s="15"/>
      <c r="BB230" s="12"/>
    </row>
    <row r="231" spans="1:54" x14ac:dyDescent="0.2">
      <c r="A231" s="5" t="s">
        <v>48</v>
      </c>
      <c r="B231" t="s">
        <v>137</v>
      </c>
      <c r="Q231" s="15"/>
      <c r="AB231" s="12"/>
      <c r="AQ231" s="15"/>
      <c r="BB231" s="12"/>
    </row>
    <row r="232" spans="1:54" x14ac:dyDescent="0.2">
      <c r="A232" s="5" t="s">
        <v>49</v>
      </c>
      <c r="B232" t="s">
        <v>137</v>
      </c>
      <c r="Q232" s="15"/>
      <c r="AB232" s="12"/>
      <c r="AQ232" s="15"/>
      <c r="BB232" s="12"/>
    </row>
    <row r="233" spans="1:54" x14ac:dyDescent="0.2">
      <c r="A233" s="5" t="s">
        <v>50</v>
      </c>
      <c r="B233" t="s">
        <v>137</v>
      </c>
      <c r="Q233" s="15"/>
      <c r="AB233" s="12"/>
      <c r="AQ233" s="15"/>
      <c r="BB233" s="12"/>
    </row>
    <row r="234" spans="1:54" x14ac:dyDescent="0.2">
      <c r="A234" s="5" t="s">
        <v>51</v>
      </c>
      <c r="B234" t="s">
        <v>137</v>
      </c>
      <c r="Q234" s="15"/>
      <c r="AB234" s="12"/>
      <c r="AQ234" s="15"/>
      <c r="BB234" s="12"/>
    </row>
    <row r="235" spans="1:54" x14ac:dyDescent="0.2">
      <c r="A235" s="5" t="s">
        <v>52</v>
      </c>
      <c r="B235" t="s">
        <v>137</v>
      </c>
      <c r="Q235" s="15"/>
      <c r="AB235" s="12"/>
      <c r="AQ235" s="15"/>
      <c r="BB235" s="12"/>
    </row>
    <row r="236" spans="1:54" x14ac:dyDescent="0.2">
      <c r="A236" s="5" t="s">
        <v>53</v>
      </c>
      <c r="B236" t="s">
        <v>137</v>
      </c>
      <c r="Q236" s="15"/>
      <c r="AB236" s="12"/>
      <c r="AQ236" s="15"/>
      <c r="BB236" s="12"/>
    </row>
    <row r="237" spans="1:54" x14ac:dyDescent="0.2">
      <c r="A237" s="5" t="s">
        <v>54</v>
      </c>
      <c r="B237" t="s">
        <v>137</v>
      </c>
      <c r="Q237" s="15"/>
      <c r="AB237" s="12"/>
      <c r="AQ237" s="15"/>
      <c r="BB237" s="12"/>
    </row>
    <row r="238" spans="1:54" x14ac:dyDescent="0.2">
      <c r="A238" s="5" t="s">
        <v>55</v>
      </c>
      <c r="B238" t="s">
        <v>137</v>
      </c>
      <c r="Q238" s="15"/>
      <c r="AB238" s="12"/>
      <c r="AQ238" s="15"/>
      <c r="BB238" s="12"/>
    </row>
    <row r="239" spans="1:54" x14ac:dyDescent="0.2">
      <c r="A239" s="5" t="s">
        <v>56</v>
      </c>
      <c r="B239" t="s">
        <v>137</v>
      </c>
      <c r="Q239" s="15"/>
      <c r="AB239" s="12"/>
      <c r="AQ239" s="15"/>
      <c r="BB239" s="12"/>
    </row>
    <row r="240" spans="1:54" x14ac:dyDescent="0.2">
      <c r="A240" s="5" t="s">
        <v>57</v>
      </c>
      <c r="B240" t="s">
        <v>137</v>
      </c>
      <c r="Q240" s="15"/>
      <c r="AB240" s="12"/>
      <c r="AQ240" s="15"/>
      <c r="BB240" s="12"/>
    </row>
    <row r="241" spans="1:54" x14ac:dyDescent="0.2">
      <c r="A241" s="5" t="s">
        <v>58</v>
      </c>
      <c r="B241" t="s">
        <v>137</v>
      </c>
      <c r="Q241" s="15"/>
      <c r="AB241" s="12"/>
      <c r="AQ241" s="15"/>
      <c r="BB241" s="12"/>
    </row>
    <row r="242" spans="1:54" x14ac:dyDescent="0.2">
      <c r="A242" s="5" t="s">
        <v>59</v>
      </c>
      <c r="B242" t="s">
        <v>137</v>
      </c>
      <c r="Q242" s="15"/>
      <c r="AB242" s="12"/>
      <c r="AQ242" s="15"/>
      <c r="BB242" s="12"/>
    </row>
    <row r="243" spans="1:54" x14ac:dyDescent="0.2">
      <c r="A243" s="5" t="s">
        <v>60</v>
      </c>
      <c r="B243" t="s">
        <v>137</v>
      </c>
      <c r="Q243" s="15"/>
      <c r="AB243" s="12"/>
      <c r="AQ243" s="15"/>
      <c r="BB243" s="12"/>
    </row>
    <row r="244" spans="1:54" x14ac:dyDescent="0.2">
      <c r="A244" s="5" t="s">
        <v>61</v>
      </c>
      <c r="B244" t="s">
        <v>137</v>
      </c>
      <c r="Q244" s="15"/>
      <c r="AB244" s="12"/>
      <c r="AQ244" s="15"/>
      <c r="BB244" s="12"/>
    </row>
    <row r="245" spans="1:54" x14ac:dyDescent="0.2">
      <c r="A245" s="5" t="s">
        <v>62</v>
      </c>
      <c r="B245" t="s">
        <v>137</v>
      </c>
      <c r="Q245" s="15"/>
      <c r="AB245" s="12"/>
      <c r="AQ245" s="15"/>
      <c r="BB245" s="12"/>
    </row>
    <row r="246" spans="1:54" x14ac:dyDescent="0.2">
      <c r="A246" s="5" t="s">
        <v>63</v>
      </c>
      <c r="B246" t="s">
        <v>137</v>
      </c>
      <c r="Q246" s="15"/>
      <c r="AB246" s="12"/>
      <c r="AQ246" s="15"/>
      <c r="BB246" s="12"/>
    </row>
    <row r="247" spans="1:54" x14ac:dyDescent="0.2">
      <c r="A247" s="5" t="s">
        <v>64</v>
      </c>
      <c r="B247" t="s">
        <v>137</v>
      </c>
      <c r="Q247" s="15"/>
      <c r="AB247" s="12"/>
      <c r="AQ247" s="15"/>
      <c r="BB247" s="12"/>
    </row>
    <row r="248" spans="1:54" x14ac:dyDescent="0.2">
      <c r="A248" s="5" t="s">
        <v>65</v>
      </c>
      <c r="B248" t="s">
        <v>137</v>
      </c>
      <c r="Q248" s="15"/>
      <c r="AB248" s="12"/>
      <c r="AQ248" s="15"/>
      <c r="BB248" s="12"/>
    </row>
    <row r="249" spans="1:54" x14ac:dyDescent="0.2">
      <c r="A249" s="5" t="s">
        <v>66</v>
      </c>
      <c r="B249" t="s">
        <v>137</v>
      </c>
      <c r="Q249" s="15"/>
      <c r="AB249" s="12"/>
      <c r="AQ249" s="15"/>
      <c r="BB249" s="12"/>
    </row>
    <row r="250" spans="1:54" x14ac:dyDescent="0.2">
      <c r="A250" s="5" t="s">
        <v>67</v>
      </c>
      <c r="B250" t="s">
        <v>137</v>
      </c>
      <c r="Q250" s="15"/>
      <c r="AB250" s="12"/>
      <c r="AQ250" s="15"/>
      <c r="BB250" s="12"/>
    </row>
    <row r="251" spans="1:54" x14ac:dyDescent="0.2">
      <c r="A251" s="5" t="s">
        <v>68</v>
      </c>
      <c r="B251" t="s">
        <v>137</v>
      </c>
      <c r="Q251" s="15"/>
      <c r="AB251" s="12"/>
      <c r="AQ251" s="15"/>
      <c r="BB251" s="12"/>
    </row>
    <row r="252" spans="1:54" x14ac:dyDescent="0.2">
      <c r="A252" s="5" t="s">
        <v>69</v>
      </c>
      <c r="B252" t="s">
        <v>137</v>
      </c>
      <c r="Q252" s="15"/>
      <c r="AB252" s="12"/>
      <c r="AQ252" s="15"/>
      <c r="BB252" s="12"/>
    </row>
    <row r="253" spans="1:54" x14ac:dyDescent="0.2">
      <c r="A253" s="5" t="s">
        <v>70</v>
      </c>
      <c r="B253" t="s">
        <v>137</v>
      </c>
      <c r="Q253" s="15"/>
      <c r="AB253" s="12"/>
      <c r="AQ253" s="15"/>
      <c r="BB253" s="12"/>
    </row>
    <row r="254" spans="1:54" x14ac:dyDescent="0.2">
      <c r="A254" s="5" t="s">
        <v>71</v>
      </c>
      <c r="B254" t="s">
        <v>137</v>
      </c>
      <c r="Q254" s="15"/>
      <c r="AB254" s="12"/>
      <c r="AQ254" s="15"/>
      <c r="BB254" s="12"/>
    </row>
    <row r="255" spans="1:54" x14ac:dyDescent="0.2">
      <c r="A255" s="5" t="s">
        <v>72</v>
      </c>
      <c r="B255" t="s">
        <v>137</v>
      </c>
      <c r="Q255" s="15"/>
      <c r="AB255" s="12"/>
      <c r="AQ255" s="15"/>
      <c r="BB255" s="12"/>
    </row>
    <row r="256" spans="1:54" x14ac:dyDescent="0.2">
      <c r="A256" s="5" t="s">
        <v>73</v>
      </c>
      <c r="B256" t="s">
        <v>137</v>
      </c>
      <c r="Q256" s="15"/>
      <c r="AB256" s="12"/>
      <c r="AQ256" s="15"/>
      <c r="BB256" s="12"/>
    </row>
    <row r="257" spans="1:54" x14ac:dyDescent="0.2">
      <c r="A257" s="5" t="s">
        <v>74</v>
      </c>
      <c r="B257" t="s">
        <v>137</v>
      </c>
      <c r="Q257" s="15"/>
      <c r="AB257" s="12"/>
      <c r="AQ257" s="15"/>
      <c r="BB257" s="12"/>
    </row>
    <row r="258" spans="1:54" x14ac:dyDescent="0.2">
      <c r="A258" s="5" t="s">
        <v>75</v>
      </c>
      <c r="B258" t="s">
        <v>137</v>
      </c>
      <c r="Q258" s="15"/>
      <c r="AB258" s="12"/>
      <c r="AQ258" s="15"/>
      <c r="BB258" s="12"/>
    </row>
    <row r="259" spans="1:54" x14ac:dyDescent="0.2">
      <c r="A259" s="5" t="s">
        <v>76</v>
      </c>
      <c r="B259" t="s">
        <v>137</v>
      </c>
      <c r="Q259" s="15"/>
      <c r="AB259" s="12"/>
      <c r="AQ259" s="15"/>
      <c r="BB259" s="12"/>
    </row>
    <row r="260" spans="1:54" x14ac:dyDescent="0.2">
      <c r="A260" s="5" t="s">
        <v>77</v>
      </c>
      <c r="B260" t="s">
        <v>137</v>
      </c>
      <c r="Q260" s="15"/>
      <c r="AB260" s="12"/>
      <c r="AQ260" s="15"/>
      <c r="BB260" s="12"/>
    </row>
    <row r="261" spans="1:54" x14ac:dyDescent="0.2">
      <c r="A261" s="5" t="s">
        <v>78</v>
      </c>
      <c r="B261" t="s">
        <v>137</v>
      </c>
      <c r="Q261" s="15"/>
      <c r="AB261" s="12"/>
      <c r="AQ261" s="15"/>
      <c r="BB261" s="12"/>
    </row>
    <row r="262" spans="1:54" x14ac:dyDescent="0.2">
      <c r="A262" s="5" t="s">
        <v>79</v>
      </c>
      <c r="B262" t="s">
        <v>137</v>
      </c>
      <c r="Q262" s="15"/>
      <c r="AB262" s="12"/>
      <c r="AQ262" s="15"/>
      <c r="BB262" s="12"/>
    </row>
    <row r="263" spans="1:54" x14ac:dyDescent="0.2">
      <c r="A263" s="5" t="s">
        <v>80</v>
      </c>
      <c r="B263" t="s">
        <v>137</v>
      </c>
      <c r="Q263" s="15"/>
      <c r="AB263" s="12"/>
      <c r="AQ263" s="15"/>
      <c r="BB263" s="12"/>
    </row>
    <row r="264" spans="1:54" x14ac:dyDescent="0.2">
      <c r="A264" s="5" t="s">
        <v>81</v>
      </c>
      <c r="B264" t="s">
        <v>137</v>
      </c>
      <c r="Q264" s="15"/>
      <c r="AB264" s="12"/>
      <c r="AQ264" s="15"/>
      <c r="BB264" s="12"/>
    </row>
    <row r="265" spans="1:54" x14ac:dyDescent="0.2">
      <c r="A265" s="5" t="s">
        <v>82</v>
      </c>
      <c r="B265" t="s">
        <v>137</v>
      </c>
      <c r="Q265" s="15"/>
      <c r="AB265" s="12"/>
      <c r="AQ265" s="15"/>
      <c r="BB265" s="12"/>
    </row>
    <row r="266" spans="1:54" x14ac:dyDescent="0.2">
      <c r="A266" s="5" t="s">
        <v>83</v>
      </c>
      <c r="B266" t="s">
        <v>137</v>
      </c>
      <c r="Q266" s="15"/>
      <c r="AB266" s="12"/>
      <c r="AQ266" s="15"/>
      <c r="BB266" s="12"/>
    </row>
    <row r="267" spans="1:54" x14ac:dyDescent="0.2">
      <c r="A267" s="5" t="s">
        <v>84</v>
      </c>
      <c r="B267" t="s">
        <v>137</v>
      </c>
      <c r="Q267" s="15"/>
      <c r="AB267" s="12"/>
      <c r="AQ267" s="15"/>
      <c r="BB267" s="12"/>
    </row>
    <row r="268" spans="1:54" x14ac:dyDescent="0.2">
      <c r="A268" s="5" t="s">
        <v>85</v>
      </c>
      <c r="B268" t="s">
        <v>137</v>
      </c>
      <c r="Q268" s="15"/>
      <c r="AB268" s="12"/>
      <c r="AQ268" s="15"/>
      <c r="BB268" s="12"/>
    </row>
    <row r="269" spans="1:54" x14ac:dyDescent="0.2">
      <c r="A269" s="5" t="s">
        <v>86</v>
      </c>
      <c r="B269" t="s">
        <v>137</v>
      </c>
      <c r="Q269" s="15"/>
      <c r="AB269" s="12"/>
      <c r="AQ269" s="15"/>
      <c r="BB269" s="12"/>
    </row>
    <row r="270" spans="1:54" x14ac:dyDescent="0.2">
      <c r="A270" s="5" t="s">
        <v>87</v>
      </c>
      <c r="B270" t="s">
        <v>137</v>
      </c>
      <c r="Q270" s="15"/>
      <c r="AB270" s="12"/>
      <c r="AQ270" s="15"/>
      <c r="BB270" s="12"/>
    </row>
    <row r="271" spans="1:54" x14ac:dyDescent="0.2">
      <c r="A271" s="5" t="s">
        <v>88</v>
      </c>
      <c r="B271" t="s">
        <v>137</v>
      </c>
      <c r="Q271" s="15"/>
      <c r="AB271" s="12"/>
      <c r="AQ271" s="15"/>
      <c r="BB271" s="12"/>
    </row>
    <row r="272" spans="1:54" x14ac:dyDescent="0.2">
      <c r="A272" s="5" t="s">
        <v>89</v>
      </c>
      <c r="B272" t="s">
        <v>137</v>
      </c>
      <c r="Q272" s="15"/>
      <c r="AB272" s="12"/>
      <c r="AQ272" s="15"/>
      <c r="BB272" s="12"/>
    </row>
    <row r="273" spans="1:54" x14ac:dyDescent="0.2">
      <c r="A273" s="5" t="s">
        <v>90</v>
      </c>
      <c r="B273" t="s">
        <v>137</v>
      </c>
      <c r="Q273" s="15"/>
      <c r="AB273" s="12"/>
      <c r="AQ273" s="15"/>
      <c r="BB273" s="12"/>
    </row>
    <row r="274" spans="1:54" x14ac:dyDescent="0.2">
      <c r="A274" s="5" t="s">
        <v>91</v>
      </c>
      <c r="B274" t="s">
        <v>137</v>
      </c>
      <c r="Q274" s="15"/>
      <c r="AB274" s="12"/>
      <c r="AQ274" s="15"/>
      <c r="BB274" s="12"/>
    </row>
    <row r="275" spans="1:54" x14ac:dyDescent="0.2">
      <c r="A275" s="5" t="s">
        <v>92</v>
      </c>
      <c r="B275" t="s">
        <v>137</v>
      </c>
      <c r="Q275" s="15"/>
      <c r="AB275" s="12"/>
      <c r="AQ275" s="15"/>
      <c r="BB275" s="12"/>
    </row>
    <row r="276" spans="1:54" x14ac:dyDescent="0.2">
      <c r="A276" s="5" t="s">
        <v>93</v>
      </c>
      <c r="B276" t="s">
        <v>137</v>
      </c>
      <c r="Q276" s="15"/>
      <c r="AB276" s="12"/>
      <c r="AQ276" s="15"/>
      <c r="BB276" s="12"/>
    </row>
    <row r="277" spans="1:54" x14ac:dyDescent="0.2">
      <c r="A277" s="5" t="s">
        <v>94</v>
      </c>
      <c r="B277" t="s">
        <v>137</v>
      </c>
      <c r="Q277" s="15"/>
      <c r="AB277" s="12"/>
      <c r="AQ277" s="15"/>
      <c r="BB277" s="12"/>
    </row>
    <row r="278" spans="1:54" x14ac:dyDescent="0.2">
      <c r="A278" s="5" t="s">
        <v>95</v>
      </c>
      <c r="B278" t="s">
        <v>137</v>
      </c>
      <c r="Q278" s="15"/>
      <c r="AB278" s="12"/>
      <c r="AQ278" s="15"/>
      <c r="BB278" s="12"/>
    </row>
    <row r="279" spans="1:54" x14ac:dyDescent="0.2">
      <c r="A279" s="5" t="s">
        <v>96</v>
      </c>
      <c r="B279" t="s">
        <v>137</v>
      </c>
      <c r="Q279" s="15"/>
      <c r="AB279" s="12"/>
      <c r="AQ279" s="15"/>
      <c r="BB279" s="12"/>
    </row>
    <row r="280" spans="1:54" x14ac:dyDescent="0.2">
      <c r="A280" s="5" t="s">
        <v>97</v>
      </c>
      <c r="B280" t="s">
        <v>137</v>
      </c>
      <c r="Q280" s="15"/>
      <c r="AB280" s="12"/>
      <c r="AQ280" s="15"/>
      <c r="BB280" s="12"/>
    </row>
    <row r="281" spans="1:54" x14ac:dyDescent="0.2">
      <c r="A281" s="5" t="s">
        <v>98</v>
      </c>
      <c r="B281" t="s">
        <v>137</v>
      </c>
      <c r="Q281" s="15"/>
      <c r="AB281" s="12"/>
      <c r="AQ281" s="15"/>
      <c r="BB281" s="12"/>
    </row>
    <row r="282" spans="1:54" x14ac:dyDescent="0.2">
      <c r="A282" s="5" t="s">
        <v>99</v>
      </c>
      <c r="B282" t="s">
        <v>137</v>
      </c>
      <c r="Q282" s="15"/>
      <c r="AB282" s="12"/>
      <c r="AQ282" s="15"/>
      <c r="BB282" s="12"/>
    </row>
    <row r="283" spans="1:54" x14ac:dyDescent="0.2">
      <c r="A283" s="5" t="s">
        <v>100</v>
      </c>
      <c r="B283" t="s">
        <v>137</v>
      </c>
      <c r="Q283" s="15"/>
      <c r="AB283" s="12"/>
      <c r="AQ283" s="15"/>
      <c r="BB283" s="12"/>
    </row>
    <row r="284" spans="1:54" x14ac:dyDescent="0.2">
      <c r="A284" s="5" t="s">
        <v>101</v>
      </c>
      <c r="B284" t="s">
        <v>137</v>
      </c>
      <c r="Q284" s="15"/>
      <c r="AB284" s="12"/>
      <c r="AQ284" s="15"/>
      <c r="BB284" s="12"/>
    </row>
    <row r="285" spans="1:54" x14ac:dyDescent="0.2">
      <c r="A285" s="5" t="s">
        <v>102</v>
      </c>
      <c r="B285" t="s">
        <v>137</v>
      </c>
      <c r="Q285" s="15"/>
      <c r="AB285" s="12"/>
      <c r="AQ285" s="15"/>
      <c r="BB285" s="12"/>
    </row>
    <row r="286" spans="1:54" x14ac:dyDescent="0.2">
      <c r="A286" s="5" t="s">
        <v>103</v>
      </c>
      <c r="B286" t="s">
        <v>137</v>
      </c>
      <c r="Q286" s="15"/>
      <c r="AB286" s="12"/>
      <c r="AQ286" s="15"/>
      <c r="BB286" s="12"/>
    </row>
    <row r="287" spans="1:54" x14ac:dyDescent="0.2">
      <c r="A287" s="5" t="s">
        <v>104</v>
      </c>
      <c r="B287" t="s">
        <v>137</v>
      </c>
      <c r="Q287" s="15"/>
      <c r="AB287" s="12"/>
      <c r="AQ287" s="15"/>
      <c r="BB287" s="12"/>
    </row>
    <row r="288" spans="1:54" x14ac:dyDescent="0.2">
      <c r="A288" s="5" t="s">
        <v>105</v>
      </c>
      <c r="B288" t="s">
        <v>137</v>
      </c>
      <c r="Q288" s="15"/>
      <c r="AB288" s="12"/>
      <c r="AQ288" s="15"/>
      <c r="BB288" s="12"/>
    </row>
    <row r="289" spans="1:54" x14ac:dyDescent="0.2">
      <c r="A289" s="5" t="s">
        <v>106</v>
      </c>
      <c r="B289" t="s">
        <v>137</v>
      </c>
      <c r="Q289" s="15"/>
      <c r="AB289" s="12"/>
      <c r="AQ289" s="15"/>
      <c r="BB289" s="12"/>
    </row>
    <row r="290" spans="1:54" x14ac:dyDescent="0.2">
      <c r="A290" s="5" t="s">
        <v>107</v>
      </c>
      <c r="B290" t="s">
        <v>137</v>
      </c>
      <c r="Q290" s="15"/>
      <c r="AB290" s="12"/>
      <c r="AQ290" s="15"/>
      <c r="BB290" s="12"/>
    </row>
    <row r="291" spans="1:54" x14ac:dyDescent="0.2">
      <c r="A291" s="5" t="s">
        <v>108</v>
      </c>
      <c r="B291" t="s">
        <v>137</v>
      </c>
      <c r="Q291" s="15"/>
      <c r="AB291" s="12"/>
      <c r="AQ291" s="15"/>
      <c r="BB291" s="12"/>
    </row>
    <row r="292" spans="1:54" x14ac:dyDescent="0.2">
      <c r="A292" s="5" t="s">
        <v>109</v>
      </c>
      <c r="B292" t="s">
        <v>137</v>
      </c>
      <c r="Q292" s="15"/>
      <c r="AB292" s="12"/>
      <c r="AQ292" s="15"/>
      <c r="BB292" s="12"/>
    </row>
    <row r="293" spans="1:54" x14ac:dyDescent="0.2">
      <c r="A293" s="5" t="s">
        <v>110</v>
      </c>
      <c r="B293" t="s">
        <v>137</v>
      </c>
      <c r="Q293" s="15"/>
      <c r="AB293" s="12"/>
      <c r="AQ293" s="15"/>
      <c r="BB293" s="12"/>
    </row>
    <row r="294" spans="1:54" x14ac:dyDescent="0.2">
      <c r="A294" s="5" t="s">
        <v>111</v>
      </c>
      <c r="B294" t="s">
        <v>137</v>
      </c>
      <c r="Q294" s="15"/>
      <c r="AB294" s="12"/>
      <c r="AQ294" s="15"/>
      <c r="BB294" s="12"/>
    </row>
    <row r="295" spans="1:54" x14ac:dyDescent="0.2">
      <c r="A295" s="5" t="s">
        <v>112</v>
      </c>
      <c r="B295" t="s">
        <v>137</v>
      </c>
      <c r="Q295" s="15"/>
      <c r="AB295" s="12"/>
      <c r="AQ295" s="15"/>
      <c r="BB295" s="12"/>
    </row>
    <row r="296" spans="1:54" x14ac:dyDescent="0.2">
      <c r="A296" s="5" t="s">
        <v>113</v>
      </c>
      <c r="B296" t="s">
        <v>137</v>
      </c>
      <c r="Q296" s="15"/>
      <c r="AB296" s="12"/>
      <c r="AQ296" s="15"/>
      <c r="BB296" s="12"/>
    </row>
    <row r="297" spans="1:54" x14ac:dyDescent="0.2">
      <c r="A297" s="5" t="s">
        <v>114</v>
      </c>
      <c r="B297" t="s">
        <v>137</v>
      </c>
      <c r="Q297" s="15"/>
      <c r="AB297" s="12"/>
      <c r="AQ297" s="15"/>
      <c r="BB297" s="12"/>
    </row>
    <row r="298" spans="1:54" x14ac:dyDescent="0.2">
      <c r="A298" s="5" t="s">
        <v>115</v>
      </c>
      <c r="B298" t="s">
        <v>137</v>
      </c>
      <c r="Q298" s="15"/>
      <c r="AB298" s="12"/>
      <c r="AQ298" s="15"/>
      <c r="BB298" s="12"/>
    </row>
    <row r="299" spans="1:54" x14ac:dyDescent="0.2">
      <c r="A299" s="5" t="s">
        <v>116</v>
      </c>
      <c r="B299" t="s">
        <v>137</v>
      </c>
      <c r="Q299" s="15"/>
      <c r="AB299" s="12"/>
      <c r="AQ299" s="15"/>
      <c r="BB299" s="12"/>
    </row>
    <row r="300" spans="1:54" x14ac:dyDescent="0.2">
      <c r="A300" s="5" t="s">
        <v>117</v>
      </c>
      <c r="B300" t="s">
        <v>137</v>
      </c>
      <c r="Q300" s="15"/>
      <c r="AB300" s="12"/>
      <c r="AQ300" s="15"/>
      <c r="BB300" s="12"/>
    </row>
    <row r="301" spans="1:54" x14ac:dyDescent="0.2">
      <c r="A301" s="5" t="s">
        <v>118</v>
      </c>
      <c r="B301" t="s">
        <v>137</v>
      </c>
      <c r="Q301" s="15"/>
      <c r="AB301" s="12"/>
      <c r="AQ301" s="15"/>
      <c r="BB301" s="12"/>
    </row>
    <row r="302" spans="1:54" x14ac:dyDescent="0.2">
      <c r="A302" s="5" t="s">
        <v>119</v>
      </c>
      <c r="B302" t="s">
        <v>137</v>
      </c>
      <c r="Q302" s="15"/>
      <c r="AB302" s="12"/>
      <c r="AQ302" s="15"/>
      <c r="BB302" s="12"/>
    </row>
    <row r="303" spans="1:54" x14ac:dyDescent="0.2">
      <c r="A303" s="5" t="s">
        <v>120</v>
      </c>
      <c r="B303" t="s">
        <v>137</v>
      </c>
      <c r="Q303" s="15"/>
      <c r="AB303" s="12"/>
      <c r="AQ303" s="15"/>
      <c r="BB303" s="12"/>
    </row>
    <row r="304" spans="1:54" x14ac:dyDescent="0.2">
      <c r="A304" s="5" t="s">
        <v>121</v>
      </c>
      <c r="B304" t="s">
        <v>137</v>
      </c>
      <c r="Q304" s="15"/>
      <c r="AB304" s="12"/>
      <c r="AQ304" s="15"/>
      <c r="BB304" s="12"/>
    </row>
    <row r="305" spans="1:54" x14ac:dyDescent="0.2">
      <c r="A305" s="5" t="s">
        <v>122</v>
      </c>
      <c r="B305" t="s">
        <v>137</v>
      </c>
      <c r="Q305" s="15"/>
      <c r="AB305" s="12"/>
      <c r="AQ305" s="15"/>
      <c r="BB305" s="12"/>
    </row>
    <row r="306" spans="1:54" x14ac:dyDescent="0.2">
      <c r="A306" s="5" t="s">
        <v>123</v>
      </c>
      <c r="B306" t="s">
        <v>137</v>
      </c>
      <c r="Q306" s="15"/>
      <c r="AB306" s="12"/>
      <c r="AQ306" s="15"/>
      <c r="BB306" s="12"/>
    </row>
    <row r="307" spans="1:54" x14ac:dyDescent="0.2">
      <c r="A307" s="5" t="s">
        <v>124</v>
      </c>
      <c r="B307" t="s">
        <v>137</v>
      </c>
      <c r="Q307" s="15"/>
      <c r="AB307" s="12"/>
      <c r="AQ307" s="15"/>
      <c r="BB307" s="12"/>
    </row>
    <row r="308" spans="1:54" x14ac:dyDescent="0.2">
      <c r="A308" s="5" t="s">
        <v>125</v>
      </c>
      <c r="B308" t="s">
        <v>137</v>
      </c>
      <c r="Q308" s="15"/>
      <c r="AB308" s="12"/>
      <c r="AQ308" s="15"/>
      <c r="BB308" s="12"/>
    </row>
    <row r="309" spans="1:54" x14ac:dyDescent="0.2">
      <c r="A309" s="5" t="s">
        <v>126</v>
      </c>
      <c r="B309" t="s">
        <v>137</v>
      </c>
      <c r="Q309" s="15"/>
      <c r="AB309" s="12"/>
      <c r="AQ309" s="15"/>
      <c r="BB309" s="12"/>
    </row>
    <row r="310" spans="1:54" x14ac:dyDescent="0.2">
      <c r="A310" s="5" t="s">
        <v>127</v>
      </c>
      <c r="B310" t="s">
        <v>137</v>
      </c>
      <c r="Q310" s="15"/>
      <c r="AB310" s="12"/>
      <c r="AQ310" s="15"/>
      <c r="BB310" s="12"/>
    </row>
    <row r="311" spans="1:54" x14ac:dyDescent="0.2">
      <c r="A311" s="5" t="s">
        <v>128</v>
      </c>
      <c r="B311" t="s">
        <v>137</v>
      </c>
      <c r="Q311" s="15"/>
      <c r="AB311" s="12"/>
      <c r="AQ311" s="15"/>
      <c r="BB311" s="12"/>
    </row>
    <row r="312" spans="1:54" x14ac:dyDescent="0.2">
      <c r="A312" s="5" t="s">
        <v>129</v>
      </c>
      <c r="B312" t="s">
        <v>137</v>
      </c>
      <c r="Q312" s="15"/>
      <c r="AB312" s="12"/>
      <c r="AQ312" s="15"/>
      <c r="BB312" s="12"/>
    </row>
    <row r="313" spans="1:54" x14ac:dyDescent="0.2">
      <c r="A313" s="5" t="s">
        <v>130</v>
      </c>
      <c r="B313" t="s">
        <v>137</v>
      </c>
      <c r="Q313" s="15"/>
      <c r="AB313" s="12"/>
      <c r="AQ313" s="15"/>
      <c r="BB313" s="12"/>
    </row>
    <row r="314" spans="1:54" x14ac:dyDescent="0.2">
      <c r="A314" s="5" t="s">
        <v>131</v>
      </c>
      <c r="B314" t="s">
        <v>137</v>
      </c>
      <c r="Q314" s="15"/>
      <c r="AB314" s="12"/>
      <c r="AQ314" s="15"/>
      <c r="BB314" s="12"/>
    </row>
    <row r="315" spans="1:54" x14ac:dyDescent="0.2">
      <c r="A315" s="5" t="s">
        <v>132</v>
      </c>
      <c r="B315" t="s">
        <v>137</v>
      </c>
      <c r="Q315" s="15"/>
      <c r="AB315" s="12"/>
      <c r="AQ315" s="15"/>
      <c r="BB315" s="12"/>
    </row>
    <row r="316" spans="1:54" x14ac:dyDescent="0.2">
      <c r="A316" s="5" t="s">
        <v>133</v>
      </c>
      <c r="B316" t="s">
        <v>137</v>
      </c>
      <c r="Q316" s="15"/>
      <c r="AB316" s="12"/>
      <c r="AQ316" s="15"/>
      <c r="BB316" s="12"/>
    </row>
    <row r="317" spans="1:54" ht="16" thickBot="1" x14ac:dyDescent="0.25">
      <c r="A317" s="110" t="s">
        <v>134</v>
      </c>
      <c r="B317" s="13" t="s">
        <v>137</v>
      </c>
      <c r="C317" s="29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29"/>
      <c r="Q317" s="16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4"/>
      <c r="AC317" s="29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29"/>
      <c r="AQ317" s="16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4"/>
    </row>
    <row r="318" spans="1:54" ht="14.25" customHeight="1" x14ac:dyDescent="0.2">
      <c r="S318" s="30"/>
      <c r="T318" s="30"/>
      <c r="U318" s="30"/>
      <c r="V318" s="30"/>
      <c r="W318" s="30"/>
      <c r="X318" s="30"/>
      <c r="Y318" s="30"/>
      <c r="Z318" s="43"/>
      <c r="AA318" s="43"/>
      <c r="AB318" s="43"/>
      <c r="AE318" s="30"/>
      <c r="AF318" s="30"/>
      <c r="AG318" s="30"/>
      <c r="AR318" s="30"/>
    </row>
    <row r="319" spans="1:54" x14ac:dyDescent="0.2">
      <c r="S319" s="30"/>
      <c r="T319" s="30"/>
      <c r="U319" s="30"/>
      <c r="V319" s="30"/>
      <c r="W319" s="30"/>
      <c r="X319" s="30"/>
      <c r="Y319" s="30"/>
      <c r="Z319" s="43"/>
      <c r="AA319" s="43"/>
      <c r="AB319" s="43"/>
      <c r="AE319" s="30"/>
      <c r="AF319" s="30"/>
      <c r="AG319" s="30"/>
      <c r="AR319" s="30"/>
    </row>
    <row r="320" spans="1:54" x14ac:dyDescent="0.2">
      <c r="S320" s="30"/>
      <c r="T320" s="30"/>
      <c r="U320" s="30"/>
      <c r="V320" s="30"/>
      <c r="W320" s="30"/>
      <c r="X320" s="30"/>
      <c r="Y320" s="30"/>
      <c r="Z320" s="43"/>
      <c r="AA320" s="43"/>
      <c r="AB320" s="43"/>
      <c r="AE320" s="30"/>
      <c r="AF320" s="30"/>
      <c r="AG320" s="30"/>
      <c r="AR320" s="30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19"/>
  <sheetViews>
    <sheetView zoomScale="71" zoomScaleNormal="71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6" width="11" bestFit="1" customWidth="1"/>
  </cols>
  <sheetData>
    <row r="1" spans="1:17" ht="30" customHeight="1" x14ac:dyDescent="0.2">
      <c r="A1" s="296" t="s">
        <v>283</v>
      </c>
      <c r="B1" s="296"/>
      <c r="D1" s="310" t="s">
        <v>16</v>
      </c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  <c r="Q1" t="s">
        <v>284</v>
      </c>
    </row>
    <row r="2" spans="1:17" x14ac:dyDescent="0.2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</row>
    <row r="3" spans="1:17" x14ac:dyDescent="0.2">
      <c r="A3" t="s">
        <v>31</v>
      </c>
      <c r="B3" t="s">
        <v>137</v>
      </c>
      <c r="D3" s="260">
        <v>113</v>
      </c>
      <c r="E3" s="261">
        <v>114</v>
      </c>
      <c r="F3" s="261">
        <v>118</v>
      </c>
      <c r="G3" s="8">
        <v>120</v>
      </c>
      <c r="H3" s="8">
        <v>122</v>
      </c>
      <c r="I3" s="8">
        <v>124</v>
      </c>
      <c r="J3" s="8"/>
      <c r="K3" s="8"/>
      <c r="L3" s="8"/>
      <c r="M3" s="8"/>
      <c r="N3" s="8"/>
      <c r="O3" s="39"/>
    </row>
    <row r="4" spans="1:17" x14ac:dyDescent="0.2">
      <c r="A4" t="s">
        <v>32</v>
      </c>
      <c r="B4" t="s">
        <v>137</v>
      </c>
      <c r="D4" s="262">
        <v>36</v>
      </c>
      <c r="E4" s="263">
        <v>37</v>
      </c>
      <c r="F4" s="263">
        <v>40</v>
      </c>
      <c r="G4">
        <v>40</v>
      </c>
      <c r="H4">
        <v>39</v>
      </c>
      <c r="I4">
        <v>43</v>
      </c>
      <c r="O4" s="12"/>
    </row>
    <row r="5" spans="1:17" x14ac:dyDescent="0.2">
      <c r="A5" t="s">
        <v>33</v>
      </c>
      <c r="B5" t="s">
        <v>137</v>
      </c>
      <c r="D5" s="262"/>
      <c r="E5" s="263"/>
      <c r="F5" s="263"/>
      <c r="O5" s="12"/>
    </row>
    <row r="6" spans="1:17" x14ac:dyDescent="0.2">
      <c r="A6" t="s">
        <v>34</v>
      </c>
      <c r="B6" t="s">
        <v>137</v>
      </c>
      <c r="D6" s="262">
        <v>568</v>
      </c>
      <c r="E6" s="263">
        <v>576</v>
      </c>
      <c r="F6" s="263">
        <v>586</v>
      </c>
      <c r="G6">
        <v>588</v>
      </c>
      <c r="H6">
        <v>586</v>
      </c>
      <c r="I6">
        <v>581</v>
      </c>
      <c r="O6" s="12"/>
    </row>
    <row r="7" spans="1:17" x14ac:dyDescent="0.2">
      <c r="A7" t="s">
        <v>35</v>
      </c>
      <c r="B7" t="s">
        <v>137</v>
      </c>
      <c r="D7" s="262">
        <v>240</v>
      </c>
      <c r="E7" s="263">
        <v>245</v>
      </c>
      <c r="F7" s="263">
        <v>255</v>
      </c>
      <c r="G7">
        <v>255</v>
      </c>
      <c r="H7">
        <v>256</v>
      </c>
      <c r="I7">
        <v>255</v>
      </c>
      <c r="O7" s="12"/>
    </row>
    <row r="8" spans="1:17" x14ac:dyDescent="0.2">
      <c r="A8" t="s">
        <v>36</v>
      </c>
      <c r="B8" t="s">
        <v>137</v>
      </c>
      <c r="D8" s="262">
        <v>262</v>
      </c>
      <c r="E8" s="263">
        <v>268</v>
      </c>
      <c r="F8" s="263">
        <v>288</v>
      </c>
      <c r="G8">
        <v>294</v>
      </c>
      <c r="H8">
        <v>301</v>
      </c>
      <c r="I8">
        <v>300</v>
      </c>
      <c r="O8" s="12"/>
    </row>
    <row r="9" spans="1:17" x14ac:dyDescent="0.2">
      <c r="A9" t="s">
        <v>37</v>
      </c>
      <c r="B9" t="s">
        <v>137</v>
      </c>
      <c r="D9" s="262">
        <v>338</v>
      </c>
      <c r="E9" s="263">
        <v>325</v>
      </c>
      <c r="F9" s="263">
        <v>349</v>
      </c>
      <c r="G9">
        <v>357</v>
      </c>
      <c r="H9">
        <v>359</v>
      </c>
      <c r="I9">
        <v>337</v>
      </c>
      <c r="O9" s="12"/>
    </row>
    <row r="10" spans="1:17" x14ac:dyDescent="0.2">
      <c r="A10" t="s">
        <v>38</v>
      </c>
      <c r="B10" t="s">
        <v>137</v>
      </c>
      <c r="D10" s="262">
        <v>804</v>
      </c>
      <c r="E10" s="263">
        <v>499</v>
      </c>
      <c r="F10" s="263">
        <v>841</v>
      </c>
      <c r="G10">
        <v>866</v>
      </c>
      <c r="H10">
        <v>866</v>
      </c>
      <c r="I10">
        <v>608</v>
      </c>
      <c r="O10" s="12"/>
    </row>
    <row r="11" spans="1:17" x14ac:dyDescent="0.2">
      <c r="A11" t="s">
        <v>39</v>
      </c>
      <c r="B11" t="s">
        <v>137</v>
      </c>
      <c r="D11" s="262">
        <v>54</v>
      </c>
      <c r="E11" s="263">
        <v>53</v>
      </c>
      <c r="F11" s="263">
        <v>55</v>
      </c>
      <c r="G11">
        <v>55</v>
      </c>
      <c r="H11">
        <v>55</v>
      </c>
      <c r="I11">
        <v>54</v>
      </c>
      <c r="O11" s="12"/>
    </row>
    <row r="12" spans="1:17" x14ac:dyDescent="0.2">
      <c r="A12" t="s">
        <v>40</v>
      </c>
      <c r="B12" t="s">
        <v>137</v>
      </c>
      <c r="D12" s="262">
        <v>176</v>
      </c>
      <c r="E12" s="263">
        <v>178</v>
      </c>
      <c r="F12" s="263">
        <v>184</v>
      </c>
      <c r="G12">
        <v>183</v>
      </c>
      <c r="H12">
        <v>182</v>
      </c>
      <c r="I12">
        <v>178</v>
      </c>
      <c r="O12" s="12"/>
    </row>
    <row r="13" spans="1:17" x14ac:dyDescent="0.2">
      <c r="A13" t="s">
        <v>41</v>
      </c>
      <c r="B13" t="s">
        <v>137</v>
      </c>
      <c r="D13" s="262"/>
      <c r="E13" s="263"/>
      <c r="F13" s="263"/>
      <c r="O13" s="12"/>
    </row>
    <row r="14" spans="1:17" x14ac:dyDescent="0.2">
      <c r="A14" t="s">
        <v>42</v>
      </c>
      <c r="B14" t="s">
        <v>137</v>
      </c>
      <c r="D14" s="262">
        <v>90</v>
      </c>
      <c r="E14" s="263">
        <v>91</v>
      </c>
      <c r="F14" s="263">
        <v>96</v>
      </c>
      <c r="G14">
        <v>96</v>
      </c>
      <c r="H14">
        <v>97</v>
      </c>
      <c r="I14">
        <v>98</v>
      </c>
      <c r="O14" s="12"/>
    </row>
    <row r="15" spans="1:17" x14ac:dyDescent="0.2">
      <c r="A15" t="s">
        <v>43</v>
      </c>
      <c r="B15" t="s">
        <v>137</v>
      </c>
      <c r="D15" s="262">
        <v>278</v>
      </c>
      <c r="E15" s="263">
        <v>282</v>
      </c>
      <c r="F15" s="263">
        <v>291</v>
      </c>
      <c r="G15">
        <v>292</v>
      </c>
      <c r="H15">
        <v>290</v>
      </c>
      <c r="I15">
        <v>289</v>
      </c>
      <c r="O15" s="12"/>
    </row>
    <row r="16" spans="1:17" x14ac:dyDescent="0.2">
      <c r="A16" t="s">
        <v>44</v>
      </c>
      <c r="B16" t="s">
        <v>137</v>
      </c>
      <c r="D16" s="262">
        <v>16</v>
      </c>
      <c r="E16" s="263">
        <v>16</v>
      </c>
      <c r="F16" s="263">
        <v>18</v>
      </c>
      <c r="G16">
        <v>17</v>
      </c>
      <c r="H16">
        <v>17</v>
      </c>
      <c r="I16">
        <v>17</v>
      </c>
      <c r="O16" s="12"/>
    </row>
    <row r="17" spans="1:15" x14ac:dyDescent="0.2">
      <c r="A17" t="s">
        <v>45</v>
      </c>
      <c r="B17" t="s">
        <v>137</v>
      </c>
      <c r="D17" s="262">
        <v>1412</v>
      </c>
      <c r="E17" s="263">
        <v>1091</v>
      </c>
      <c r="F17" s="263">
        <v>1488</v>
      </c>
      <c r="G17">
        <v>1518</v>
      </c>
      <c r="H17">
        <v>1521</v>
      </c>
      <c r="I17">
        <v>1397</v>
      </c>
      <c r="O17" s="12"/>
    </row>
    <row r="18" spans="1:15" x14ac:dyDescent="0.2">
      <c r="A18" t="s">
        <v>46</v>
      </c>
      <c r="B18" t="s">
        <v>137</v>
      </c>
      <c r="D18" s="262">
        <v>32</v>
      </c>
      <c r="E18" s="263">
        <v>34</v>
      </c>
      <c r="F18" s="263">
        <v>35</v>
      </c>
      <c r="G18">
        <v>35</v>
      </c>
      <c r="H18">
        <v>34</v>
      </c>
      <c r="I18">
        <v>34</v>
      </c>
      <c r="O18" s="12"/>
    </row>
    <row r="19" spans="1:15" x14ac:dyDescent="0.2">
      <c r="A19" t="s">
        <v>47</v>
      </c>
      <c r="B19" t="s">
        <v>137</v>
      </c>
      <c r="D19" s="262">
        <v>701</v>
      </c>
      <c r="E19" s="263">
        <v>443</v>
      </c>
      <c r="F19" s="263">
        <v>738</v>
      </c>
      <c r="G19">
        <v>755</v>
      </c>
      <c r="H19">
        <v>759</v>
      </c>
      <c r="I19">
        <v>497</v>
      </c>
      <c r="O19" s="12"/>
    </row>
    <row r="20" spans="1:15" x14ac:dyDescent="0.2">
      <c r="A20" t="s">
        <v>48</v>
      </c>
      <c r="B20" t="s">
        <v>137</v>
      </c>
      <c r="D20" s="262">
        <v>7</v>
      </c>
      <c r="E20" s="263">
        <v>7</v>
      </c>
      <c r="F20" s="263">
        <v>7</v>
      </c>
      <c r="G20">
        <v>8</v>
      </c>
      <c r="H20">
        <v>9</v>
      </c>
      <c r="I20">
        <v>8</v>
      </c>
      <c r="O20" s="12"/>
    </row>
    <row r="21" spans="1:15" x14ac:dyDescent="0.2">
      <c r="A21" t="s">
        <v>49</v>
      </c>
      <c r="B21" t="s">
        <v>137</v>
      </c>
      <c r="D21" s="262">
        <v>585</v>
      </c>
      <c r="E21" s="263">
        <v>502</v>
      </c>
      <c r="F21" s="263">
        <v>621</v>
      </c>
      <c r="G21">
        <v>635</v>
      </c>
      <c r="H21">
        <v>639</v>
      </c>
      <c r="I21">
        <v>632</v>
      </c>
      <c r="O21" s="12"/>
    </row>
    <row r="22" spans="1:15" x14ac:dyDescent="0.2">
      <c r="A22" t="s">
        <v>50</v>
      </c>
      <c r="B22" t="s">
        <v>137</v>
      </c>
      <c r="D22" s="262">
        <v>546</v>
      </c>
      <c r="E22" s="263">
        <v>555</v>
      </c>
      <c r="F22" s="263">
        <v>581</v>
      </c>
      <c r="G22">
        <v>583</v>
      </c>
      <c r="H22">
        <v>596</v>
      </c>
      <c r="I22">
        <v>595</v>
      </c>
      <c r="O22" s="12"/>
    </row>
    <row r="23" spans="1:15" x14ac:dyDescent="0.2">
      <c r="A23" t="s">
        <v>51</v>
      </c>
      <c r="B23" t="s">
        <v>137</v>
      </c>
      <c r="D23" s="262">
        <v>6</v>
      </c>
      <c r="E23" s="263"/>
      <c r="F23" s="263">
        <v>6</v>
      </c>
      <c r="G23">
        <v>6</v>
      </c>
      <c r="H23">
        <v>6</v>
      </c>
      <c r="I23">
        <v>6</v>
      </c>
      <c r="O23" s="12"/>
    </row>
    <row r="24" spans="1:15" x14ac:dyDescent="0.2">
      <c r="A24" t="s">
        <v>52</v>
      </c>
      <c r="B24" t="s">
        <v>137</v>
      </c>
      <c r="D24" s="262">
        <v>251</v>
      </c>
      <c r="E24" s="263">
        <v>252</v>
      </c>
      <c r="F24" s="263">
        <v>269</v>
      </c>
      <c r="G24">
        <v>269</v>
      </c>
      <c r="H24">
        <v>268</v>
      </c>
      <c r="I24">
        <v>266</v>
      </c>
      <c r="O24" s="12"/>
    </row>
    <row r="25" spans="1:15" x14ac:dyDescent="0.2">
      <c r="A25" t="s">
        <v>53</v>
      </c>
      <c r="B25" t="s">
        <v>137</v>
      </c>
      <c r="D25" s="262">
        <v>174</v>
      </c>
      <c r="E25" s="263">
        <v>179</v>
      </c>
      <c r="F25" s="263">
        <v>188</v>
      </c>
      <c r="G25">
        <v>191</v>
      </c>
      <c r="H25">
        <v>200</v>
      </c>
      <c r="I25">
        <v>201</v>
      </c>
      <c r="O25" s="12"/>
    </row>
    <row r="26" spans="1:15" x14ac:dyDescent="0.2">
      <c r="A26" t="s">
        <v>54</v>
      </c>
      <c r="B26" t="s">
        <v>137</v>
      </c>
      <c r="D26" s="262">
        <v>665</v>
      </c>
      <c r="E26" s="263">
        <v>173</v>
      </c>
      <c r="F26" s="263">
        <v>681</v>
      </c>
      <c r="G26">
        <v>697</v>
      </c>
      <c r="H26">
        <v>699</v>
      </c>
      <c r="I26">
        <v>449</v>
      </c>
      <c r="O26" s="12"/>
    </row>
    <row r="27" spans="1:15" x14ac:dyDescent="0.2">
      <c r="A27" t="s">
        <v>55</v>
      </c>
      <c r="B27" t="s">
        <v>137</v>
      </c>
      <c r="D27" s="262">
        <v>107</v>
      </c>
      <c r="E27" s="263">
        <v>110</v>
      </c>
      <c r="F27" s="263">
        <v>111</v>
      </c>
      <c r="G27">
        <v>108</v>
      </c>
      <c r="H27">
        <v>108</v>
      </c>
      <c r="I27">
        <v>110</v>
      </c>
      <c r="O27" s="12"/>
    </row>
    <row r="28" spans="1:15" x14ac:dyDescent="0.2">
      <c r="A28" t="s">
        <v>56</v>
      </c>
      <c r="B28" t="s">
        <v>137</v>
      </c>
      <c r="D28" s="262">
        <v>74</v>
      </c>
      <c r="E28" s="263">
        <v>78</v>
      </c>
      <c r="F28" s="263">
        <v>82</v>
      </c>
      <c r="G28">
        <v>79</v>
      </c>
      <c r="H28">
        <v>80</v>
      </c>
      <c r="I28">
        <v>80</v>
      </c>
      <c r="O28" s="12"/>
    </row>
    <row r="29" spans="1:15" x14ac:dyDescent="0.2">
      <c r="A29" t="s">
        <v>57</v>
      </c>
      <c r="B29" t="s">
        <v>137</v>
      </c>
      <c r="D29" s="262">
        <v>42</v>
      </c>
      <c r="E29" s="263">
        <v>43</v>
      </c>
      <c r="F29" s="263">
        <v>45</v>
      </c>
      <c r="G29">
        <v>44</v>
      </c>
      <c r="H29">
        <v>44</v>
      </c>
      <c r="I29">
        <v>44</v>
      </c>
      <c r="O29" s="12"/>
    </row>
    <row r="30" spans="1:15" x14ac:dyDescent="0.2">
      <c r="A30" t="s">
        <v>58</v>
      </c>
      <c r="B30" t="s">
        <v>137</v>
      </c>
      <c r="D30" s="262">
        <v>104</v>
      </c>
      <c r="E30" s="263">
        <v>103</v>
      </c>
      <c r="F30" s="263">
        <v>106</v>
      </c>
      <c r="G30">
        <v>108</v>
      </c>
      <c r="H30">
        <v>109</v>
      </c>
      <c r="I30">
        <v>108</v>
      </c>
      <c r="O30" s="12"/>
    </row>
    <row r="31" spans="1:15" x14ac:dyDescent="0.2">
      <c r="A31" t="s">
        <v>59</v>
      </c>
      <c r="B31" t="s">
        <v>137</v>
      </c>
      <c r="D31" s="262">
        <v>138</v>
      </c>
      <c r="E31" s="263">
        <v>142</v>
      </c>
      <c r="F31" s="263">
        <v>142</v>
      </c>
      <c r="G31">
        <v>143</v>
      </c>
      <c r="H31">
        <v>143</v>
      </c>
      <c r="I31">
        <v>142</v>
      </c>
      <c r="O31" s="12"/>
    </row>
    <row r="32" spans="1:15" x14ac:dyDescent="0.2">
      <c r="A32" t="s">
        <v>60</v>
      </c>
      <c r="B32" t="s">
        <v>137</v>
      </c>
      <c r="D32" s="262">
        <v>18</v>
      </c>
      <c r="E32" s="263">
        <v>18</v>
      </c>
      <c r="F32" s="263">
        <v>18</v>
      </c>
      <c r="G32">
        <v>18</v>
      </c>
      <c r="H32">
        <v>18</v>
      </c>
      <c r="I32">
        <v>20</v>
      </c>
      <c r="O32" s="12"/>
    </row>
    <row r="33" spans="1:15" x14ac:dyDescent="0.2">
      <c r="A33" t="s">
        <v>61</v>
      </c>
      <c r="B33" t="s">
        <v>137</v>
      </c>
      <c r="D33" s="262">
        <v>1</v>
      </c>
      <c r="E33" s="263"/>
      <c r="F33" s="263">
        <v>3</v>
      </c>
      <c r="G33">
        <v>3</v>
      </c>
      <c r="H33">
        <v>3</v>
      </c>
      <c r="I33">
        <v>3</v>
      </c>
      <c r="O33" s="12"/>
    </row>
    <row r="34" spans="1:15" x14ac:dyDescent="0.2">
      <c r="A34" t="s">
        <v>62</v>
      </c>
      <c r="B34" t="s">
        <v>137</v>
      </c>
      <c r="D34" s="262">
        <v>325</v>
      </c>
      <c r="E34" s="263">
        <v>321</v>
      </c>
      <c r="F34" s="263">
        <v>364</v>
      </c>
      <c r="G34">
        <v>367</v>
      </c>
      <c r="H34">
        <v>362</v>
      </c>
      <c r="I34">
        <v>368</v>
      </c>
      <c r="O34" s="12"/>
    </row>
    <row r="35" spans="1:15" x14ac:dyDescent="0.2">
      <c r="A35" t="s">
        <v>63</v>
      </c>
      <c r="B35" t="s">
        <v>137</v>
      </c>
      <c r="D35" s="262">
        <v>19</v>
      </c>
      <c r="E35" s="263">
        <v>19</v>
      </c>
      <c r="F35" s="263">
        <v>19</v>
      </c>
      <c r="G35">
        <v>20</v>
      </c>
      <c r="H35">
        <v>20</v>
      </c>
      <c r="I35">
        <v>21</v>
      </c>
      <c r="O35" s="12"/>
    </row>
    <row r="36" spans="1:15" x14ac:dyDescent="0.2">
      <c r="A36" t="s">
        <v>64</v>
      </c>
      <c r="B36" t="s">
        <v>137</v>
      </c>
      <c r="D36" s="262">
        <v>186</v>
      </c>
      <c r="E36" s="263">
        <v>186</v>
      </c>
      <c r="F36" s="263">
        <v>186</v>
      </c>
      <c r="G36">
        <v>185</v>
      </c>
      <c r="H36">
        <v>186</v>
      </c>
      <c r="I36">
        <v>185</v>
      </c>
      <c r="O36" s="12"/>
    </row>
    <row r="37" spans="1:15" x14ac:dyDescent="0.2">
      <c r="A37" t="s">
        <v>65</v>
      </c>
      <c r="B37" t="s">
        <v>137</v>
      </c>
      <c r="D37" s="262">
        <v>189</v>
      </c>
      <c r="E37" s="263">
        <v>175</v>
      </c>
      <c r="F37" s="263">
        <v>204</v>
      </c>
      <c r="G37">
        <v>207</v>
      </c>
      <c r="H37">
        <v>209</v>
      </c>
      <c r="I37">
        <v>207</v>
      </c>
      <c r="O37" s="12"/>
    </row>
    <row r="38" spans="1:15" x14ac:dyDescent="0.2">
      <c r="A38" t="s">
        <v>66</v>
      </c>
      <c r="B38" t="s">
        <v>137</v>
      </c>
      <c r="D38" s="262">
        <v>78</v>
      </c>
      <c r="E38" s="263">
        <v>79</v>
      </c>
      <c r="F38" s="263">
        <v>81</v>
      </c>
      <c r="G38">
        <v>83</v>
      </c>
      <c r="H38">
        <v>84</v>
      </c>
      <c r="I38">
        <v>84</v>
      </c>
      <c r="O38" s="12"/>
    </row>
    <row r="39" spans="1:15" x14ac:dyDescent="0.2">
      <c r="A39" t="s">
        <v>67</v>
      </c>
      <c r="B39" t="s">
        <v>137</v>
      </c>
      <c r="D39" s="262">
        <v>45</v>
      </c>
      <c r="E39" s="263">
        <v>46</v>
      </c>
      <c r="F39" s="263">
        <v>47</v>
      </c>
      <c r="G39">
        <v>46</v>
      </c>
      <c r="H39">
        <v>47</v>
      </c>
      <c r="I39">
        <v>48</v>
      </c>
      <c r="O39" s="12"/>
    </row>
    <row r="40" spans="1:15" x14ac:dyDescent="0.2">
      <c r="A40" t="s">
        <v>68</v>
      </c>
      <c r="B40" t="s">
        <v>137</v>
      </c>
      <c r="D40" s="262">
        <v>1</v>
      </c>
      <c r="E40" s="263">
        <v>1</v>
      </c>
      <c r="F40" s="263">
        <v>1</v>
      </c>
      <c r="G40">
        <v>1</v>
      </c>
      <c r="O40" s="12"/>
    </row>
    <row r="41" spans="1:15" x14ac:dyDescent="0.2">
      <c r="A41" t="s">
        <v>69</v>
      </c>
      <c r="B41" t="s">
        <v>137</v>
      </c>
      <c r="D41" s="262"/>
      <c r="E41" s="263"/>
      <c r="F41" s="263"/>
      <c r="O41" s="12"/>
    </row>
    <row r="42" spans="1:15" x14ac:dyDescent="0.2">
      <c r="A42" t="s">
        <v>70</v>
      </c>
      <c r="B42" t="s">
        <v>137</v>
      </c>
      <c r="D42" s="262">
        <v>462</v>
      </c>
      <c r="E42" s="263">
        <v>458</v>
      </c>
      <c r="F42" s="263">
        <v>490</v>
      </c>
      <c r="G42">
        <v>493</v>
      </c>
      <c r="H42">
        <v>491</v>
      </c>
      <c r="I42">
        <v>486</v>
      </c>
      <c r="O42" s="12"/>
    </row>
    <row r="43" spans="1:15" x14ac:dyDescent="0.2">
      <c r="A43" t="s">
        <v>71</v>
      </c>
      <c r="B43" t="s">
        <v>137</v>
      </c>
      <c r="D43" s="262">
        <v>67</v>
      </c>
      <c r="E43" s="263">
        <v>64</v>
      </c>
      <c r="F43" s="263">
        <v>65</v>
      </c>
      <c r="G43">
        <v>63</v>
      </c>
      <c r="H43">
        <v>64</v>
      </c>
      <c r="I43">
        <v>67</v>
      </c>
      <c r="O43" s="12"/>
    </row>
    <row r="44" spans="1:15" x14ac:dyDescent="0.2">
      <c r="A44" t="s">
        <v>72</v>
      </c>
      <c r="B44" t="s">
        <v>137</v>
      </c>
      <c r="D44" s="262">
        <v>363</v>
      </c>
      <c r="E44" s="263">
        <v>369</v>
      </c>
      <c r="F44" s="263">
        <v>380</v>
      </c>
      <c r="G44">
        <v>378</v>
      </c>
      <c r="H44">
        <v>380</v>
      </c>
      <c r="I44">
        <v>385</v>
      </c>
      <c r="O44" s="12"/>
    </row>
    <row r="45" spans="1:15" x14ac:dyDescent="0.2">
      <c r="A45" t="s">
        <v>73</v>
      </c>
      <c r="B45" t="s">
        <v>137</v>
      </c>
      <c r="D45" s="262">
        <v>29</v>
      </c>
      <c r="E45" s="263">
        <v>31</v>
      </c>
      <c r="F45" s="263">
        <v>33</v>
      </c>
      <c r="G45">
        <v>33</v>
      </c>
      <c r="H45">
        <v>33</v>
      </c>
      <c r="I45">
        <v>33</v>
      </c>
      <c r="O45" s="12"/>
    </row>
    <row r="46" spans="1:15" x14ac:dyDescent="0.2">
      <c r="A46" t="s">
        <v>74</v>
      </c>
      <c r="B46" t="s">
        <v>137</v>
      </c>
      <c r="D46" s="262">
        <v>1542</v>
      </c>
      <c r="E46" s="263">
        <v>1521</v>
      </c>
      <c r="F46" s="263">
        <v>1601</v>
      </c>
      <c r="G46">
        <v>1603</v>
      </c>
      <c r="H46">
        <v>1611</v>
      </c>
      <c r="I46">
        <v>1577</v>
      </c>
      <c r="O46" s="12"/>
    </row>
    <row r="47" spans="1:15" x14ac:dyDescent="0.2">
      <c r="A47" t="s">
        <v>75</v>
      </c>
      <c r="B47" t="s">
        <v>137</v>
      </c>
      <c r="D47" s="262">
        <v>41</v>
      </c>
      <c r="E47" s="263">
        <v>39</v>
      </c>
      <c r="F47" s="263">
        <v>40</v>
      </c>
      <c r="G47">
        <v>39</v>
      </c>
      <c r="H47">
        <v>40</v>
      </c>
      <c r="I47">
        <v>41</v>
      </c>
      <c r="O47" s="12"/>
    </row>
    <row r="48" spans="1:15" x14ac:dyDescent="0.2">
      <c r="A48" t="s">
        <v>76</v>
      </c>
      <c r="B48" t="s">
        <v>137</v>
      </c>
      <c r="D48" s="262">
        <v>239</v>
      </c>
      <c r="E48" s="263">
        <v>241</v>
      </c>
      <c r="F48" s="263">
        <v>245</v>
      </c>
      <c r="G48">
        <v>247</v>
      </c>
      <c r="H48">
        <v>246</v>
      </c>
      <c r="I48">
        <v>249</v>
      </c>
      <c r="O48" s="12"/>
    </row>
    <row r="49" spans="1:15" x14ac:dyDescent="0.2">
      <c r="A49" t="s">
        <v>77</v>
      </c>
      <c r="B49" t="s">
        <v>137</v>
      </c>
      <c r="D49" s="262">
        <v>52</v>
      </c>
      <c r="E49" s="263">
        <v>54</v>
      </c>
      <c r="F49" s="263">
        <v>55</v>
      </c>
      <c r="G49">
        <v>52</v>
      </c>
      <c r="H49">
        <v>53</v>
      </c>
      <c r="I49">
        <v>54</v>
      </c>
      <c r="O49" s="12"/>
    </row>
    <row r="50" spans="1:15" x14ac:dyDescent="0.2">
      <c r="A50" t="s">
        <v>78</v>
      </c>
      <c r="B50" t="s">
        <v>137</v>
      </c>
      <c r="D50" s="262">
        <v>139</v>
      </c>
      <c r="E50" s="263">
        <v>140</v>
      </c>
      <c r="F50" s="263">
        <v>146</v>
      </c>
      <c r="G50">
        <v>147</v>
      </c>
      <c r="H50">
        <v>146</v>
      </c>
      <c r="I50">
        <v>146</v>
      </c>
      <c r="O50" s="12"/>
    </row>
    <row r="51" spans="1:15" x14ac:dyDescent="0.2">
      <c r="A51" t="s">
        <v>79</v>
      </c>
      <c r="B51" t="s">
        <v>137</v>
      </c>
      <c r="D51" s="262">
        <v>13</v>
      </c>
      <c r="E51" s="263">
        <v>13</v>
      </c>
      <c r="F51" s="263">
        <v>15</v>
      </c>
      <c r="G51">
        <v>15</v>
      </c>
      <c r="H51">
        <v>15</v>
      </c>
      <c r="I51">
        <v>14</v>
      </c>
      <c r="O51" s="12"/>
    </row>
    <row r="52" spans="1:15" x14ac:dyDescent="0.2">
      <c r="A52" t="s">
        <v>80</v>
      </c>
      <c r="B52" t="s">
        <v>137</v>
      </c>
      <c r="D52" s="262">
        <v>157</v>
      </c>
      <c r="E52" s="263">
        <v>155</v>
      </c>
      <c r="F52" s="263">
        <v>163</v>
      </c>
      <c r="G52">
        <v>162</v>
      </c>
      <c r="H52">
        <v>162</v>
      </c>
      <c r="I52">
        <v>164</v>
      </c>
      <c r="O52" s="12"/>
    </row>
    <row r="53" spans="1:15" x14ac:dyDescent="0.2">
      <c r="A53" t="s">
        <v>81</v>
      </c>
      <c r="B53" t="s">
        <v>137</v>
      </c>
      <c r="D53" s="262">
        <v>98</v>
      </c>
      <c r="E53" s="263">
        <v>101</v>
      </c>
      <c r="F53" s="263">
        <v>102</v>
      </c>
      <c r="G53">
        <v>103</v>
      </c>
      <c r="H53">
        <v>106</v>
      </c>
      <c r="I53">
        <v>105</v>
      </c>
      <c r="O53" s="12"/>
    </row>
    <row r="54" spans="1:15" x14ac:dyDescent="0.2">
      <c r="A54" t="s">
        <v>82</v>
      </c>
      <c r="B54" t="s">
        <v>137</v>
      </c>
      <c r="D54" s="262">
        <v>19</v>
      </c>
      <c r="E54" s="263">
        <v>19</v>
      </c>
      <c r="F54" s="263">
        <v>21</v>
      </c>
      <c r="G54">
        <v>23</v>
      </c>
      <c r="H54">
        <v>24</v>
      </c>
      <c r="I54">
        <v>22</v>
      </c>
      <c r="O54" s="12"/>
    </row>
    <row r="55" spans="1:15" x14ac:dyDescent="0.2">
      <c r="A55" t="s">
        <v>83</v>
      </c>
      <c r="B55" t="s">
        <v>137</v>
      </c>
      <c r="D55" s="262">
        <v>77</v>
      </c>
      <c r="E55" s="263">
        <v>77</v>
      </c>
      <c r="F55" s="263">
        <v>81</v>
      </c>
      <c r="G55">
        <v>83</v>
      </c>
      <c r="H55">
        <v>84</v>
      </c>
      <c r="I55">
        <v>85</v>
      </c>
      <c r="O55" s="12"/>
    </row>
    <row r="56" spans="1:15" x14ac:dyDescent="0.2">
      <c r="A56" t="s">
        <v>84</v>
      </c>
      <c r="B56" t="s">
        <v>137</v>
      </c>
      <c r="D56" s="262">
        <v>70</v>
      </c>
      <c r="E56" s="263">
        <v>24</v>
      </c>
      <c r="F56" s="263">
        <v>73</v>
      </c>
      <c r="G56">
        <v>76</v>
      </c>
      <c r="H56">
        <v>76</v>
      </c>
      <c r="I56">
        <v>77</v>
      </c>
      <c r="O56" s="12"/>
    </row>
    <row r="57" spans="1:15" x14ac:dyDescent="0.2">
      <c r="A57" t="s">
        <v>85</v>
      </c>
      <c r="B57" t="s">
        <v>137</v>
      </c>
      <c r="D57" s="262">
        <v>301</v>
      </c>
      <c r="E57" s="263">
        <v>303</v>
      </c>
      <c r="F57" s="263">
        <v>300</v>
      </c>
      <c r="G57">
        <v>307</v>
      </c>
      <c r="H57">
        <v>306</v>
      </c>
      <c r="I57">
        <v>301</v>
      </c>
      <c r="O57" s="12"/>
    </row>
    <row r="58" spans="1:15" x14ac:dyDescent="0.2">
      <c r="A58" t="s">
        <v>86</v>
      </c>
      <c r="B58" t="s">
        <v>137</v>
      </c>
      <c r="D58" s="262">
        <v>778</v>
      </c>
      <c r="E58" s="263">
        <v>714</v>
      </c>
      <c r="F58" s="263">
        <v>813</v>
      </c>
      <c r="G58">
        <v>818</v>
      </c>
      <c r="H58">
        <v>812</v>
      </c>
      <c r="I58">
        <v>787</v>
      </c>
      <c r="O58" s="12"/>
    </row>
    <row r="59" spans="1:15" x14ac:dyDescent="0.2">
      <c r="A59" t="s">
        <v>87</v>
      </c>
      <c r="B59" t="s">
        <v>137</v>
      </c>
      <c r="D59" s="262">
        <v>69</v>
      </c>
      <c r="E59" s="263">
        <v>69</v>
      </c>
      <c r="F59" s="263">
        <v>74</v>
      </c>
      <c r="G59">
        <v>73</v>
      </c>
      <c r="H59">
        <v>75</v>
      </c>
      <c r="I59">
        <v>73</v>
      </c>
      <c r="O59" s="12"/>
    </row>
    <row r="60" spans="1:15" x14ac:dyDescent="0.2">
      <c r="A60" t="s">
        <v>88</v>
      </c>
      <c r="B60" t="s">
        <v>137</v>
      </c>
      <c r="D60" s="262"/>
      <c r="E60" s="263"/>
      <c r="F60" s="263"/>
      <c r="O60" s="12"/>
    </row>
    <row r="61" spans="1:15" x14ac:dyDescent="0.2">
      <c r="A61" t="s">
        <v>89</v>
      </c>
      <c r="B61" t="s">
        <v>137</v>
      </c>
      <c r="D61" s="262">
        <v>5</v>
      </c>
      <c r="E61" s="263">
        <v>5</v>
      </c>
      <c r="F61" s="263">
        <v>5</v>
      </c>
      <c r="G61">
        <v>5</v>
      </c>
      <c r="H61">
        <v>4</v>
      </c>
      <c r="I61">
        <v>4</v>
      </c>
      <c r="O61" s="12"/>
    </row>
    <row r="62" spans="1:15" x14ac:dyDescent="0.2">
      <c r="A62" t="s">
        <v>90</v>
      </c>
      <c r="B62" t="s">
        <v>137</v>
      </c>
      <c r="D62" s="262">
        <v>322</v>
      </c>
      <c r="E62" s="263">
        <v>309</v>
      </c>
      <c r="F62" s="263">
        <v>323</v>
      </c>
      <c r="G62">
        <v>332</v>
      </c>
      <c r="H62">
        <v>334</v>
      </c>
      <c r="I62">
        <v>334</v>
      </c>
      <c r="O62" s="12"/>
    </row>
    <row r="63" spans="1:15" x14ac:dyDescent="0.2">
      <c r="A63" t="s">
        <v>91</v>
      </c>
      <c r="B63" t="s">
        <v>137</v>
      </c>
      <c r="D63" s="262">
        <v>36</v>
      </c>
      <c r="E63" s="263">
        <v>1</v>
      </c>
      <c r="F63" s="263">
        <v>35</v>
      </c>
      <c r="G63">
        <v>37</v>
      </c>
      <c r="H63">
        <v>36</v>
      </c>
      <c r="I63">
        <v>1</v>
      </c>
      <c r="O63" s="12"/>
    </row>
    <row r="64" spans="1:15" x14ac:dyDescent="0.2">
      <c r="A64" t="s">
        <v>92</v>
      </c>
      <c r="B64" t="s">
        <v>137</v>
      </c>
      <c r="D64" s="262">
        <v>32</v>
      </c>
      <c r="E64" s="263">
        <v>31</v>
      </c>
      <c r="F64" s="263">
        <v>34</v>
      </c>
      <c r="G64">
        <v>35</v>
      </c>
      <c r="H64">
        <v>35</v>
      </c>
      <c r="I64">
        <v>36</v>
      </c>
      <c r="O64" s="12"/>
    </row>
    <row r="65" spans="1:15" x14ac:dyDescent="0.2">
      <c r="A65" t="s">
        <v>93</v>
      </c>
      <c r="B65" t="s">
        <v>137</v>
      </c>
      <c r="D65" s="262"/>
      <c r="E65" s="263"/>
      <c r="F65" s="263"/>
      <c r="O65" s="12"/>
    </row>
    <row r="66" spans="1:15" x14ac:dyDescent="0.2">
      <c r="A66" t="s">
        <v>94</v>
      </c>
      <c r="B66" t="s">
        <v>137</v>
      </c>
      <c r="D66" s="262">
        <v>115</v>
      </c>
      <c r="E66" s="263">
        <v>102</v>
      </c>
      <c r="F66" s="263">
        <v>119</v>
      </c>
      <c r="G66">
        <v>121</v>
      </c>
      <c r="H66">
        <v>122</v>
      </c>
      <c r="I66">
        <v>119</v>
      </c>
      <c r="O66" s="12"/>
    </row>
    <row r="67" spans="1:15" x14ac:dyDescent="0.2">
      <c r="A67" t="s">
        <v>95</v>
      </c>
      <c r="B67" t="s">
        <v>137</v>
      </c>
      <c r="D67" s="262">
        <v>61</v>
      </c>
      <c r="E67" s="263">
        <v>61</v>
      </c>
      <c r="F67" s="263">
        <v>62</v>
      </c>
      <c r="G67">
        <v>61</v>
      </c>
      <c r="H67">
        <v>61</v>
      </c>
      <c r="I67">
        <v>61</v>
      </c>
      <c r="O67" s="12"/>
    </row>
    <row r="68" spans="1:15" x14ac:dyDescent="0.2">
      <c r="A68" t="s">
        <v>96</v>
      </c>
      <c r="B68" t="s">
        <v>137</v>
      </c>
      <c r="D68" s="262">
        <v>118</v>
      </c>
      <c r="E68" s="263">
        <v>119</v>
      </c>
      <c r="F68" s="263">
        <v>123</v>
      </c>
      <c r="G68">
        <v>122</v>
      </c>
      <c r="H68">
        <v>122</v>
      </c>
      <c r="I68">
        <v>122</v>
      </c>
      <c r="O68" s="12"/>
    </row>
    <row r="69" spans="1:15" x14ac:dyDescent="0.2">
      <c r="A69" t="s">
        <v>97</v>
      </c>
      <c r="B69" t="s">
        <v>137</v>
      </c>
      <c r="D69" s="262">
        <v>44</v>
      </c>
      <c r="E69" s="263">
        <v>44</v>
      </c>
      <c r="F69" s="263">
        <v>44</v>
      </c>
      <c r="G69">
        <v>43</v>
      </c>
      <c r="H69">
        <v>43</v>
      </c>
      <c r="I69">
        <v>42</v>
      </c>
      <c r="O69" s="12"/>
    </row>
    <row r="70" spans="1:15" x14ac:dyDescent="0.2">
      <c r="A70" t="s">
        <v>98</v>
      </c>
      <c r="B70" t="s">
        <v>137</v>
      </c>
      <c r="D70" s="262">
        <v>128</v>
      </c>
      <c r="E70" s="263">
        <v>131</v>
      </c>
      <c r="F70" s="263">
        <v>140</v>
      </c>
      <c r="G70">
        <v>142</v>
      </c>
      <c r="H70">
        <v>143</v>
      </c>
      <c r="I70">
        <v>144</v>
      </c>
      <c r="O70" s="12"/>
    </row>
    <row r="71" spans="1:15" x14ac:dyDescent="0.2">
      <c r="A71" t="s">
        <v>99</v>
      </c>
      <c r="B71" t="s">
        <v>137</v>
      </c>
      <c r="D71" s="262">
        <v>2480</v>
      </c>
      <c r="E71" s="263">
        <v>1531</v>
      </c>
      <c r="F71" s="263">
        <v>2577</v>
      </c>
      <c r="G71">
        <v>2643</v>
      </c>
      <c r="H71">
        <v>2647</v>
      </c>
      <c r="I71">
        <v>2166</v>
      </c>
      <c r="O71" s="12"/>
    </row>
    <row r="72" spans="1:15" x14ac:dyDescent="0.2">
      <c r="A72" t="s">
        <v>100</v>
      </c>
      <c r="B72" t="s">
        <v>137</v>
      </c>
      <c r="D72" s="262">
        <v>1</v>
      </c>
      <c r="E72" s="263">
        <v>1</v>
      </c>
      <c r="F72" s="263">
        <v>1</v>
      </c>
      <c r="G72">
        <v>1</v>
      </c>
      <c r="H72">
        <v>1</v>
      </c>
      <c r="I72">
        <v>1</v>
      </c>
      <c r="O72" s="12"/>
    </row>
    <row r="73" spans="1:15" x14ac:dyDescent="0.2">
      <c r="A73" t="s">
        <v>101</v>
      </c>
      <c r="B73" t="s">
        <v>137</v>
      </c>
      <c r="D73" s="262">
        <v>100</v>
      </c>
      <c r="E73" s="263">
        <v>34</v>
      </c>
      <c r="F73" s="263">
        <v>103</v>
      </c>
      <c r="G73">
        <v>106</v>
      </c>
      <c r="H73">
        <v>106</v>
      </c>
      <c r="I73">
        <v>70</v>
      </c>
      <c r="O73" s="12"/>
    </row>
    <row r="74" spans="1:15" x14ac:dyDescent="0.2">
      <c r="A74" t="s">
        <v>102</v>
      </c>
      <c r="B74" t="s">
        <v>137</v>
      </c>
      <c r="D74" s="262">
        <v>250</v>
      </c>
      <c r="E74" s="263">
        <v>254</v>
      </c>
      <c r="F74" s="263">
        <v>262</v>
      </c>
      <c r="G74">
        <v>261</v>
      </c>
      <c r="H74">
        <v>263</v>
      </c>
      <c r="I74">
        <v>263</v>
      </c>
      <c r="O74" s="12"/>
    </row>
    <row r="75" spans="1:15" x14ac:dyDescent="0.2">
      <c r="A75" t="s">
        <v>103</v>
      </c>
      <c r="B75" t="s">
        <v>137</v>
      </c>
      <c r="D75" s="262">
        <v>95</v>
      </c>
      <c r="E75" s="263">
        <v>37</v>
      </c>
      <c r="F75" s="263">
        <v>93</v>
      </c>
      <c r="G75">
        <v>98</v>
      </c>
      <c r="H75">
        <v>99</v>
      </c>
      <c r="I75">
        <v>87</v>
      </c>
      <c r="O75" s="12"/>
    </row>
    <row r="76" spans="1:15" x14ac:dyDescent="0.2">
      <c r="A76" t="s">
        <v>104</v>
      </c>
      <c r="B76" t="s">
        <v>137</v>
      </c>
      <c r="D76" s="262">
        <v>95</v>
      </c>
      <c r="E76" s="263">
        <v>97</v>
      </c>
      <c r="F76" s="263">
        <v>101</v>
      </c>
      <c r="G76">
        <v>103</v>
      </c>
      <c r="H76">
        <v>105</v>
      </c>
      <c r="I76">
        <v>102</v>
      </c>
      <c r="O76" s="12"/>
    </row>
    <row r="77" spans="1:15" x14ac:dyDescent="0.2">
      <c r="A77" t="s">
        <v>105</v>
      </c>
      <c r="B77" t="s">
        <v>137</v>
      </c>
      <c r="D77" s="262">
        <v>282</v>
      </c>
      <c r="E77" s="263">
        <v>226</v>
      </c>
      <c r="F77" s="263">
        <v>291</v>
      </c>
      <c r="G77">
        <v>296</v>
      </c>
      <c r="H77">
        <v>296</v>
      </c>
      <c r="I77">
        <v>290</v>
      </c>
      <c r="O77" s="12"/>
    </row>
    <row r="78" spans="1:15" x14ac:dyDescent="0.2">
      <c r="A78" t="s">
        <v>106</v>
      </c>
      <c r="B78" t="s">
        <v>137</v>
      </c>
      <c r="D78" s="262">
        <v>13</v>
      </c>
      <c r="E78" s="263">
        <v>13</v>
      </c>
      <c r="F78" s="263">
        <v>13</v>
      </c>
      <c r="G78">
        <v>13</v>
      </c>
      <c r="H78">
        <v>13</v>
      </c>
      <c r="I78">
        <v>12</v>
      </c>
      <c r="O78" s="12"/>
    </row>
    <row r="79" spans="1:15" x14ac:dyDescent="0.2">
      <c r="A79" t="s">
        <v>107</v>
      </c>
      <c r="B79" t="s">
        <v>137</v>
      </c>
      <c r="D79" s="262">
        <v>9</v>
      </c>
      <c r="E79" s="263">
        <v>1</v>
      </c>
      <c r="F79" s="263">
        <v>9</v>
      </c>
      <c r="G79">
        <v>10</v>
      </c>
      <c r="H79">
        <v>10</v>
      </c>
      <c r="I79">
        <v>1</v>
      </c>
      <c r="O79" s="12"/>
    </row>
    <row r="80" spans="1:15" x14ac:dyDescent="0.2">
      <c r="A80" t="s">
        <v>108</v>
      </c>
      <c r="B80" t="s">
        <v>137</v>
      </c>
      <c r="D80" s="262">
        <v>43</v>
      </c>
      <c r="E80" s="263">
        <v>43</v>
      </c>
      <c r="F80" s="263">
        <v>44</v>
      </c>
      <c r="G80">
        <v>47</v>
      </c>
      <c r="H80">
        <v>46</v>
      </c>
      <c r="I80">
        <v>48</v>
      </c>
      <c r="O80" s="12"/>
    </row>
    <row r="81" spans="1:15" x14ac:dyDescent="0.2">
      <c r="A81" t="s">
        <v>109</v>
      </c>
      <c r="B81" t="s">
        <v>137</v>
      </c>
      <c r="D81" s="262">
        <v>324</v>
      </c>
      <c r="E81" s="263">
        <v>291</v>
      </c>
      <c r="F81" s="263">
        <v>339</v>
      </c>
      <c r="G81">
        <v>348</v>
      </c>
      <c r="H81">
        <v>349</v>
      </c>
      <c r="I81">
        <v>318</v>
      </c>
      <c r="O81" s="12"/>
    </row>
    <row r="82" spans="1:15" x14ac:dyDescent="0.2">
      <c r="A82" t="s">
        <v>110</v>
      </c>
      <c r="B82" t="s">
        <v>137</v>
      </c>
      <c r="D82" s="262">
        <v>130</v>
      </c>
      <c r="E82" s="263">
        <v>134</v>
      </c>
      <c r="F82" s="263">
        <v>135</v>
      </c>
      <c r="G82">
        <v>136</v>
      </c>
      <c r="H82">
        <v>137</v>
      </c>
      <c r="I82">
        <v>136</v>
      </c>
      <c r="O82" s="12"/>
    </row>
    <row r="83" spans="1:15" x14ac:dyDescent="0.2">
      <c r="A83" t="s">
        <v>111</v>
      </c>
      <c r="B83" t="s">
        <v>137</v>
      </c>
      <c r="D83" s="262">
        <v>2368</v>
      </c>
      <c r="E83" s="263">
        <v>2134</v>
      </c>
      <c r="F83" s="263">
        <v>2414</v>
      </c>
      <c r="G83">
        <v>2457</v>
      </c>
      <c r="H83">
        <v>2460</v>
      </c>
      <c r="I83">
        <v>2455</v>
      </c>
      <c r="O83" s="12"/>
    </row>
    <row r="84" spans="1:15" x14ac:dyDescent="0.2">
      <c r="A84" t="s">
        <v>112</v>
      </c>
      <c r="B84" t="s">
        <v>137</v>
      </c>
      <c r="D84" s="262">
        <v>2808</v>
      </c>
      <c r="E84" s="263">
        <v>2815</v>
      </c>
      <c r="F84" s="263">
        <v>2888</v>
      </c>
      <c r="G84">
        <v>2900</v>
      </c>
      <c r="H84">
        <v>2907</v>
      </c>
      <c r="I84">
        <v>2918</v>
      </c>
      <c r="O84" s="12"/>
    </row>
    <row r="85" spans="1:15" x14ac:dyDescent="0.2">
      <c r="A85" t="s">
        <v>113</v>
      </c>
      <c r="B85" t="s">
        <v>137</v>
      </c>
      <c r="D85" s="262">
        <v>1408</v>
      </c>
      <c r="E85" s="263">
        <v>1423</v>
      </c>
      <c r="F85" s="263">
        <v>1470</v>
      </c>
      <c r="G85">
        <v>1487</v>
      </c>
      <c r="H85">
        <v>1485</v>
      </c>
      <c r="I85">
        <v>1489</v>
      </c>
      <c r="O85" s="12"/>
    </row>
    <row r="86" spans="1:15" x14ac:dyDescent="0.2">
      <c r="A86" t="s">
        <v>114</v>
      </c>
      <c r="B86" t="s">
        <v>137</v>
      </c>
      <c r="D86" s="262">
        <v>1132</v>
      </c>
      <c r="E86" s="263">
        <v>964</v>
      </c>
      <c r="F86" s="263">
        <v>1175</v>
      </c>
      <c r="G86">
        <v>1185</v>
      </c>
      <c r="H86">
        <v>1172</v>
      </c>
      <c r="I86">
        <v>993</v>
      </c>
      <c r="O86" s="12"/>
    </row>
    <row r="87" spans="1:15" x14ac:dyDescent="0.2">
      <c r="A87" t="s">
        <v>115</v>
      </c>
      <c r="B87" t="s">
        <v>137</v>
      </c>
      <c r="D87" s="262">
        <v>5873</v>
      </c>
      <c r="E87" s="263">
        <v>5833</v>
      </c>
      <c r="F87" s="263">
        <v>6085</v>
      </c>
      <c r="G87">
        <v>6156</v>
      </c>
      <c r="H87">
        <v>6160</v>
      </c>
      <c r="I87">
        <v>6117</v>
      </c>
      <c r="O87" s="12"/>
    </row>
    <row r="88" spans="1:15" x14ac:dyDescent="0.2">
      <c r="A88" t="s">
        <v>116</v>
      </c>
      <c r="B88" t="s">
        <v>137</v>
      </c>
      <c r="D88" s="262">
        <v>2677</v>
      </c>
      <c r="E88" s="263">
        <v>2728</v>
      </c>
      <c r="F88" s="263">
        <v>2812</v>
      </c>
      <c r="G88">
        <v>2844</v>
      </c>
      <c r="H88">
        <v>2867</v>
      </c>
      <c r="I88">
        <v>2870</v>
      </c>
      <c r="O88" s="12"/>
    </row>
    <row r="89" spans="1:15" x14ac:dyDescent="0.2">
      <c r="A89" t="s">
        <v>117</v>
      </c>
      <c r="B89" t="s">
        <v>137</v>
      </c>
      <c r="D89" s="262">
        <v>5652</v>
      </c>
      <c r="E89" s="263">
        <v>5714</v>
      </c>
      <c r="F89" s="263">
        <v>5808</v>
      </c>
      <c r="G89">
        <v>5823</v>
      </c>
      <c r="H89">
        <v>5842</v>
      </c>
      <c r="I89">
        <v>5840</v>
      </c>
      <c r="O89" s="12"/>
    </row>
    <row r="90" spans="1:15" x14ac:dyDescent="0.2">
      <c r="A90" t="s">
        <v>118</v>
      </c>
      <c r="B90" t="s">
        <v>137</v>
      </c>
      <c r="D90" s="262">
        <v>5812</v>
      </c>
      <c r="E90" s="263">
        <v>4138</v>
      </c>
      <c r="F90" s="263">
        <v>6069</v>
      </c>
      <c r="G90">
        <v>6196</v>
      </c>
      <c r="H90">
        <v>6168</v>
      </c>
      <c r="I90">
        <v>4578</v>
      </c>
      <c r="O90" s="12"/>
    </row>
    <row r="91" spans="1:15" x14ac:dyDescent="0.2">
      <c r="A91" t="s">
        <v>119</v>
      </c>
      <c r="B91" t="s">
        <v>137</v>
      </c>
      <c r="D91" s="262">
        <v>2741</v>
      </c>
      <c r="E91" s="263">
        <v>2256</v>
      </c>
      <c r="F91" s="263">
        <v>2832</v>
      </c>
      <c r="G91">
        <v>2862</v>
      </c>
      <c r="H91">
        <v>2875</v>
      </c>
      <c r="I91">
        <v>2878</v>
      </c>
      <c r="O91" s="12"/>
    </row>
    <row r="92" spans="1:15" x14ac:dyDescent="0.2">
      <c r="A92" t="s">
        <v>120</v>
      </c>
      <c r="B92" t="s">
        <v>137</v>
      </c>
      <c r="D92" s="262">
        <v>2155</v>
      </c>
      <c r="E92" s="263">
        <v>2152</v>
      </c>
      <c r="F92" s="263">
        <v>2239</v>
      </c>
      <c r="G92">
        <v>2249</v>
      </c>
      <c r="H92">
        <v>2266</v>
      </c>
      <c r="I92">
        <v>2264</v>
      </c>
      <c r="O92" s="12"/>
    </row>
    <row r="93" spans="1:15" x14ac:dyDescent="0.2">
      <c r="A93" t="s">
        <v>121</v>
      </c>
      <c r="B93" t="s">
        <v>137</v>
      </c>
      <c r="D93" s="262">
        <v>2308</v>
      </c>
      <c r="E93" s="263">
        <v>2163</v>
      </c>
      <c r="F93" s="263">
        <v>2364</v>
      </c>
      <c r="G93">
        <v>2379</v>
      </c>
      <c r="H93">
        <v>2405</v>
      </c>
      <c r="I93">
        <v>2250</v>
      </c>
      <c r="O93" s="12"/>
    </row>
    <row r="94" spans="1:15" x14ac:dyDescent="0.2">
      <c r="A94" t="s">
        <v>122</v>
      </c>
      <c r="B94" t="s">
        <v>137</v>
      </c>
      <c r="D94" s="262">
        <v>1392</v>
      </c>
      <c r="E94" s="263">
        <v>1118</v>
      </c>
      <c r="F94" s="263">
        <v>1450</v>
      </c>
      <c r="G94">
        <v>1490</v>
      </c>
      <c r="H94">
        <v>1497</v>
      </c>
      <c r="I94">
        <v>1496</v>
      </c>
      <c r="O94" s="12"/>
    </row>
    <row r="95" spans="1:15" x14ac:dyDescent="0.2">
      <c r="A95" t="s">
        <v>123</v>
      </c>
      <c r="B95" t="s">
        <v>137</v>
      </c>
      <c r="D95" s="262"/>
      <c r="E95" s="263"/>
      <c r="F95" s="263"/>
      <c r="O95" s="12"/>
    </row>
    <row r="96" spans="1:15" x14ac:dyDescent="0.2">
      <c r="A96" t="s">
        <v>124</v>
      </c>
      <c r="B96" t="s">
        <v>137</v>
      </c>
      <c r="D96" s="262"/>
      <c r="E96" s="263"/>
      <c r="F96" s="263"/>
      <c r="O96" s="12"/>
    </row>
    <row r="97" spans="1:15" x14ac:dyDescent="0.2">
      <c r="A97" t="s">
        <v>125</v>
      </c>
      <c r="B97" t="s">
        <v>137</v>
      </c>
      <c r="D97" s="262">
        <v>2911</v>
      </c>
      <c r="E97" s="263">
        <v>2661</v>
      </c>
      <c r="F97" s="263">
        <v>3001</v>
      </c>
      <c r="G97">
        <v>3037</v>
      </c>
      <c r="H97">
        <v>3065</v>
      </c>
      <c r="I97">
        <v>3076</v>
      </c>
      <c r="O97" s="12"/>
    </row>
    <row r="98" spans="1:15" x14ac:dyDescent="0.2">
      <c r="A98" t="s">
        <v>126</v>
      </c>
      <c r="B98" t="s">
        <v>137</v>
      </c>
      <c r="D98" s="262">
        <v>1703</v>
      </c>
      <c r="E98" s="263">
        <v>1451</v>
      </c>
      <c r="F98" s="263">
        <v>1780</v>
      </c>
      <c r="G98">
        <v>1802</v>
      </c>
      <c r="H98">
        <v>1828</v>
      </c>
      <c r="I98">
        <v>1844</v>
      </c>
      <c r="O98" s="12"/>
    </row>
    <row r="99" spans="1:15" x14ac:dyDescent="0.2">
      <c r="A99" s="5">
        <v>99228</v>
      </c>
      <c r="B99" t="s">
        <v>137</v>
      </c>
      <c r="D99" s="262"/>
      <c r="E99" s="263"/>
      <c r="F99" s="263"/>
      <c r="O99" s="12"/>
    </row>
    <row r="100" spans="1:15" x14ac:dyDescent="0.2">
      <c r="A100" t="s">
        <v>127</v>
      </c>
      <c r="B100" t="s">
        <v>137</v>
      </c>
      <c r="D100" s="262"/>
      <c r="E100" s="263"/>
      <c r="F100" s="263"/>
      <c r="O100" s="12"/>
    </row>
    <row r="101" spans="1:15" x14ac:dyDescent="0.2">
      <c r="A101" t="s">
        <v>128</v>
      </c>
      <c r="B101" t="s">
        <v>137</v>
      </c>
      <c r="D101" s="262">
        <v>17</v>
      </c>
      <c r="E101" s="263">
        <v>18</v>
      </c>
      <c r="F101" s="263">
        <v>19</v>
      </c>
      <c r="G101">
        <v>19</v>
      </c>
      <c r="H101">
        <v>19</v>
      </c>
      <c r="I101">
        <v>19</v>
      </c>
      <c r="O101" s="12"/>
    </row>
    <row r="102" spans="1:15" x14ac:dyDescent="0.2">
      <c r="A102" t="s">
        <v>129</v>
      </c>
      <c r="B102" t="s">
        <v>137</v>
      </c>
      <c r="D102" s="262"/>
      <c r="E102" s="263"/>
      <c r="F102" s="263"/>
      <c r="O102" s="12"/>
    </row>
    <row r="103" spans="1:15" x14ac:dyDescent="0.2">
      <c r="A103" t="s">
        <v>130</v>
      </c>
      <c r="B103" t="s">
        <v>137</v>
      </c>
      <c r="D103" s="262">
        <v>97</v>
      </c>
      <c r="E103" s="263">
        <v>98</v>
      </c>
      <c r="F103" s="263">
        <v>99</v>
      </c>
      <c r="G103">
        <v>102</v>
      </c>
      <c r="H103">
        <v>101</v>
      </c>
      <c r="I103">
        <v>101</v>
      </c>
      <c r="O103" s="12"/>
    </row>
    <row r="104" spans="1:15" x14ac:dyDescent="0.2">
      <c r="A104" t="s">
        <v>131</v>
      </c>
      <c r="B104" t="s">
        <v>137</v>
      </c>
      <c r="D104" s="262">
        <v>1525</v>
      </c>
      <c r="E104" s="263">
        <v>1427</v>
      </c>
      <c r="F104" s="263">
        <v>1540</v>
      </c>
      <c r="G104">
        <v>1550</v>
      </c>
      <c r="H104">
        <v>1538</v>
      </c>
      <c r="I104">
        <v>1439</v>
      </c>
      <c r="O104" s="12"/>
    </row>
    <row r="105" spans="1:15" x14ac:dyDescent="0.2">
      <c r="A105" t="s">
        <v>132</v>
      </c>
      <c r="B105" t="s">
        <v>137</v>
      </c>
      <c r="D105" s="262">
        <v>38</v>
      </c>
      <c r="E105" s="263">
        <v>38</v>
      </c>
      <c r="F105" s="263">
        <v>38</v>
      </c>
      <c r="G105">
        <v>36</v>
      </c>
      <c r="H105">
        <v>37</v>
      </c>
      <c r="I105">
        <v>37</v>
      </c>
      <c r="O105" s="12"/>
    </row>
    <row r="106" spans="1:15" x14ac:dyDescent="0.2">
      <c r="A106" t="s">
        <v>133</v>
      </c>
      <c r="B106" t="s">
        <v>137</v>
      </c>
      <c r="D106" s="262">
        <v>116</v>
      </c>
      <c r="E106" s="263">
        <v>116</v>
      </c>
      <c r="F106" s="263">
        <v>117</v>
      </c>
      <c r="G106">
        <v>121</v>
      </c>
      <c r="H106">
        <v>123</v>
      </c>
      <c r="I106">
        <v>122</v>
      </c>
      <c r="O106" s="12"/>
    </row>
    <row r="107" spans="1:15" ht="16" thickBot="1" x14ac:dyDescent="0.25">
      <c r="A107" t="s">
        <v>134</v>
      </c>
      <c r="B107" t="s">
        <v>137</v>
      </c>
      <c r="D107" s="262">
        <v>2234</v>
      </c>
      <c r="E107" s="263">
        <v>2267</v>
      </c>
      <c r="F107" s="263">
        <v>2312</v>
      </c>
      <c r="G107">
        <v>2351</v>
      </c>
      <c r="H107">
        <v>2370</v>
      </c>
      <c r="I107">
        <v>2386</v>
      </c>
      <c r="O107" s="12"/>
    </row>
    <row r="108" spans="1:15" ht="16" thickBot="1" x14ac:dyDescent="0.25">
      <c r="A108" s="185"/>
      <c r="B108" s="62"/>
      <c r="C108" s="61"/>
      <c r="D108" s="264">
        <f>SUM(D3:D107)</f>
        <v>62847</v>
      </c>
      <c r="E108" s="265">
        <f t="shared" ref="E108:O108" si="0">SUM(E3:E107)</f>
        <v>56612</v>
      </c>
      <c r="F108" s="265">
        <f t="shared" si="0"/>
        <v>65206</v>
      </c>
      <c r="G108" s="62">
        <f t="shared" si="0"/>
        <v>65993</v>
      </c>
      <c r="H108" s="62">
        <f t="shared" si="0"/>
        <v>66195</v>
      </c>
      <c r="I108" s="62">
        <f t="shared" si="0"/>
        <v>62584</v>
      </c>
      <c r="J108" s="62">
        <f t="shared" si="0"/>
        <v>0</v>
      </c>
      <c r="K108" s="62">
        <f t="shared" si="0"/>
        <v>0</v>
      </c>
      <c r="L108" s="62">
        <f t="shared" si="0"/>
        <v>0</v>
      </c>
      <c r="M108" s="62">
        <f t="shared" si="0"/>
        <v>0</v>
      </c>
      <c r="N108" s="62">
        <f t="shared" si="0"/>
        <v>0</v>
      </c>
      <c r="O108" s="190">
        <f t="shared" si="0"/>
        <v>0</v>
      </c>
    </row>
    <row r="109" spans="1:15" x14ac:dyDescent="0.2">
      <c r="A109" t="s">
        <v>31</v>
      </c>
      <c r="B109" t="s">
        <v>136</v>
      </c>
      <c r="D109" s="37"/>
      <c r="E109" s="8"/>
      <c r="F109" s="8"/>
      <c r="G109" s="8"/>
      <c r="K109" s="8"/>
      <c r="O109" s="12"/>
    </row>
    <row r="110" spans="1:15" x14ac:dyDescent="0.2">
      <c r="A110" t="s">
        <v>32</v>
      </c>
      <c r="B110" t="s">
        <v>136</v>
      </c>
      <c r="D110" s="15"/>
      <c r="O110" s="12"/>
    </row>
    <row r="111" spans="1:15" x14ac:dyDescent="0.2">
      <c r="A111" t="s">
        <v>33</v>
      </c>
      <c r="B111" t="s">
        <v>136</v>
      </c>
      <c r="D111" s="15"/>
      <c r="O111" s="12"/>
    </row>
    <row r="112" spans="1:15" x14ac:dyDescent="0.2">
      <c r="A112" t="s">
        <v>34</v>
      </c>
      <c r="B112" t="s">
        <v>136</v>
      </c>
      <c r="D112" s="15"/>
      <c r="O112" s="12"/>
    </row>
    <row r="113" spans="1:15" x14ac:dyDescent="0.2">
      <c r="A113" t="s">
        <v>35</v>
      </c>
      <c r="B113" t="s">
        <v>136</v>
      </c>
      <c r="D113" s="15"/>
      <c r="O113" s="12"/>
    </row>
    <row r="114" spans="1:15" x14ac:dyDescent="0.2">
      <c r="A114" t="s">
        <v>36</v>
      </c>
      <c r="B114" t="s">
        <v>136</v>
      </c>
      <c r="D114" s="15"/>
      <c r="O114" s="12"/>
    </row>
    <row r="115" spans="1:15" x14ac:dyDescent="0.2">
      <c r="A115" t="s">
        <v>37</v>
      </c>
      <c r="B115" t="s">
        <v>136</v>
      </c>
      <c r="D115" s="15"/>
      <c r="O115" s="12"/>
    </row>
    <row r="116" spans="1:15" x14ac:dyDescent="0.2">
      <c r="A116" t="s">
        <v>38</v>
      </c>
      <c r="B116" t="s">
        <v>136</v>
      </c>
      <c r="D116" s="15"/>
      <c r="O116" s="12"/>
    </row>
    <row r="117" spans="1:15" x14ac:dyDescent="0.2">
      <c r="A117" t="s">
        <v>39</v>
      </c>
      <c r="B117" t="s">
        <v>136</v>
      </c>
      <c r="D117" s="15"/>
      <c r="O117" s="12"/>
    </row>
    <row r="118" spans="1:15" x14ac:dyDescent="0.2">
      <c r="A118" t="s">
        <v>40</v>
      </c>
      <c r="B118" t="s">
        <v>136</v>
      </c>
      <c r="D118" s="15"/>
      <c r="O118" s="12"/>
    </row>
    <row r="119" spans="1:15" x14ac:dyDescent="0.2">
      <c r="A119" t="s">
        <v>41</v>
      </c>
      <c r="B119" t="s">
        <v>136</v>
      </c>
      <c r="D119" s="15"/>
      <c r="O119" s="12"/>
    </row>
    <row r="120" spans="1:15" x14ac:dyDescent="0.2">
      <c r="A120" t="s">
        <v>42</v>
      </c>
      <c r="B120" t="s">
        <v>136</v>
      </c>
      <c r="D120" s="15"/>
      <c r="O120" s="12"/>
    </row>
    <row r="121" spans="1:15" x14ac:dyDescent="0.2">
      <c r="A121" t="s">
        <v>43</v>
      </c>
      <c r="B121" t="s">
        <v>136</v>
      </c>
      <c r="D121" s="15"/>
      <c r="O121" s="12"/>
    </row>
    <row r="122" spans="1:15" x14ac:dyDescent="0.2">
      <c r="A122" t="s">
        <v>44</v>
      </c>
      <c r="B122" t="s">
        <v>136</v>
      </c>
      <c r="D122" s="15"/>
      <c r="O122" s="12"/>
    </row>
    <row r="123" spans="1:15" x14ac:dyDescent="0.2">
      <c r="A123" t="s">
        <v>45</v>
      </c>
      <c r="B123" t="s">
        <v>136</v>
      </c>
      <c r="D123" s="15"/>
      <c r="O123" s="12"/>
    </row>
    <row r="124" spans="1:15" x14ac:dyDescent="0.2">
      <c r="A124" t="s">
        <v>46</v>
      </c>
      <c r="B124" t="s">
        <v>136</v>
      </c>
      <c r="D124" s="15"/>
      <c r="O124" s="12"/>
    </row>
    <row r="125" spans="1:15" x14ac:dyDescent="0.2">
      <c r="A125" t="s">
        <v>47</v>
      </c>
      <c r="B125" t="s">
        <v>136</v>
      </c>
      <c r="D125" s="15"/>
      <c r="O125" s="12"/>
    </row>
    <row r="126" spans="1:15" x14ac:dyDescent="0.2">
      <c r="A126" t="s">
        <v>48</v>
      </c>
      <c r="B126" t="s">
        <v>136</v>
      </c>
      <c r="D126" s="15"/>
      <c r="O126" s="12"/>
    </row>
    <row r="127" spans="1:15" x14ac:dyDescent="0.2">
      <c r="A127" t="s">
        <v>49</v>
      </c>
      <c r="B127" t="s">
        <v>136</v>
      </c>
      <c r="D127" s="15"/>
      <c r="O127" s="12"/>
    </row>
    <row r="128" spans="1:15" x14ac:dyDescent="0.2">
      <c r="A128" t="s">
        <v>50</v>
      </c>
      <c r="B128" t="s">
        <v>136</v>
      </c>
      <c r="D128" s="15"/>
      <c r="O128" s="12"/>
    </row>
    <row r="129" spans="1:15" x14ac:dyDescent="0.2">
      <c r="A129" t="s">
        <v>51</v>
      </c>
      <c r="B129" t="s">
        <v>136</v>
      </c>
      <c r="D129" s="15"/>
      <c r="O129" s="12"/>
    </row>
    <row r="130" spans="1:15" x14ac:dyDescent="0.2">
      <c r="A130" t="s">
        <v>52</v>
      </c>
      <c r="B130" t="s">
        <v>136</v>
      </c>
      <c r="D130" s="15"/>
      <c r="O130" s="12"/>
    </row>
    <row r="131" spans="1:15" x14ac:dyDescent="0.2">
      <c r="A131" t="s">
        <v>53</v>
      </c>
      <c r="B131" t="s">
        <v>136</v>
      </c>
      <c r="D131" s="15"/>
      <c r="O131" s="12"/>
    </row>
    <row r="132" spans="1:15" x14ac:dyDescent="0.2">
      <c r="A132" t="s">
        <v>54</v>
      </c>
      <c r="B132" t="s">
        <v>136</v>
      </c>
      <c r="D132" s="15"/>
      <c r="O132" s="12"/>
    </row>
    <row r="133" spans="1:15" x14ac:dyDescent="0.2">
      <c r="A133" t="s">
        <v>55</v>
      </c>
      <c r="B133" t="s">
        <v>136</v>
      </c>
      <c r="D133" s="15"/>
      <c r="O133" s="12"/>
    </row>
    <row r="134" spans="1:15" x14ac:dyDescent="0.2">
      <c r="A134" t="s">
        <v>56</v>
      </c>
      <c r="B134" t="s">
        <v>136</v>
      </c>
      <c r="D134" s="15"/>
      <c r="O134" s="12"/>
    </row>
    <row r="135" spans="1:15" x14ac:dyDescent="0.2">
      <c r="A135" t="s">
        <v>57</v>
      </c>
      <c r="B135" t="s">
        <v>136</v>
      </c>
      <c r="D135" s="15"/>
      <c r="O135" s="12"/>
    </row>
    <row r="136" spans="1:15" x14ac:dyDescent="0.2">
      <c r="A136" t="s">
        <v>58</v>
      </c>
      <c r="B136" t="s">
        <v>136</v>
      </c>
      <c r="D136" s="15"/>
      <c r="O136" s="12"/>
    </row>
    <row r="137" spans="1:15" x14ac:dyDescent="0.2">
      <c r="A137" t="s">
        <v>59</v>
      </c>
      <c r="B137" t="s">
        <v>136</v>
      </c>
      <c r="D137" s="15"/>
      <c r="O137" s="12"/>
    </row>
    <row r="138" spans="1:15" x14ac:dyDescent="0.2">
      <c r="A138" t="s">
        <v>60</v>
      </c>
      <c r="B138" t="s">
        <v>136</v>
      </c>
      <c r="D138" s="15"/>
      <c r="O138" s="12"/>
    </row>
    <row r="139" spans="1:15" x14ac:dyDescent="0.2">
      <c r="A139" t="s">
        <v>61</v>
      </c>
      <c r="B139" t="s">
        <v>136</v>
      </c>
      <c r="D139" s="15"/>
      <c r="O139" s="12"/>
    </row>
    <row r="140" spans="1:15" x14ac:dyDescent="0.2">
      <c r="A140" t="s">
        <v>62</v>
      </c>
      <c r="B140" t="s">
        <v>136</v>
      </c>
      <c r="D140" s="15"/>
      <c r="O140" s="12"/>
    </row>
    <row r="141" spans="1:15" x14ac:dyDescent="0.2">
      <c r="A141" t="s">
        <v>63</v>
      </c>
      <c r="B141" t="s">
        <v>136</v>
      </c>
      <c r="D141" s="15"/>
      <c r="O141" s="12"/>
    </row>
    <row r="142" spans="1:15" x14ac:dyDescent="0.2">
      <c r="A142" t="s">
        <v>64</v>
      </c>
      <c r="B142" t="s">
        <v>136</v>
      </c>
      <c r="D142" s="15"/>
      <c r="O142" s="12"/>
    </row>
    <row r="143" spans="1:15" x14ac:dyDescent="0.2">
      <c r="A143" t="s">
        <v>65</v>
      </c>
      <c r="B143" t="s">
        <v>136</v>
      </c>
      <c r="D143" s="15"/>
      <c r="O143" s="12"/>
    </row>
    <row r="144" spans="1:15" x14ac:dyDescent="0.2">
      <c r="A144" t="s">
        <v>66</v>
      </c>
      <c r="B144" t="s">
        <v>136</v>
      </c>
      <c r="D144" s="15"/>
      <c r="O144" s="12"/>
    </row>
    <row r="145" spans="1:15" x14ac:dyDescent="0.2">
      <c r="A145" t="s">
        <v>67</v>
      </c>
      <c r="B145" t="s">
        <v>136</v>
      </c>
      <c r="D145" s="15"/>
      <c r="O145" s="12"/>
    </row>
    <row r="146" spans="1:15" x14ac:dyDescent="0.2">
      <c r="A146" t="s">
        <v>68</v>
      </c>
      <c r="B146" t="s">
        <v>136</v>
      </c>
      <c r="D146" s="15"/>
      <c r="O146" s="12"/>
    </row>
    <row r="147" spans="1:15" x14ac:dyDescent="0.2">
      <c r="A147" t="s">
        <v>69</v>
      </c>
      <c r="B147" t="s">
        <v>136</v>
      </c>
      <c r="D147" s="15"/>
      <c r="O147" s="12"/>
    </row>
    <row r="148" spans="1:15" x14ac:dyDescent="0.2">
      <c r="A148" t="s">
        <v>70</v>
      </c>
      <c r="B148" t="s">
        <v>136</v>
      </c>
      <c r="D148" s="15"/>
      <c r="O148" s="12"/>
    </row>
    <row r="149" spans="1:15" x14ac:dyDescent="0.2">
      <c r="A149" t="s">
        <v>71</v>
      </c>
      <c r="B149" t="s">
        <v>136</v>
      </c>
      <c r="D149" s="15"/>
      <c r="O149" s="12"/>
    </row>
    <row r="150" spans="1:15" x14ac:dyDescent="0.2">
      <c r="A150" t="s">
        <v>72</v>
      </c>
      <c r="B150" t="s">
        <v>136</v>
      </c>
      <c r="D150" s="15"/>
      <c r="O150" s="12"/>
    </row>
    <row r="151" spans="1:15" x14ac:dyDescent="0.2">
      <c r="A151" t="s">
        <v>73</v>
      </c>
      <c r="B151" t="s">
        <v>136</v>
      </c>
      <c r="D151" s="15"/>
      <c r="O151" s="12"/>
    </row>
    <row r="152" spans="1:15" x14ac:dyDescent="0.2">
      <c r="A152" t="s">
        <v>74</v>
      </c>
      <c r="B152" t="s">
        <v>136</v>
      </c>
      <c r="D152" s="15"/>
      <c r="O152" s="12"/>
    </row>
    <row r="153" spans="1:15" x14ac:dyDescent="0.2">
      <c r="A153" t="s">
        <v>75</v>
      </c>
      <c r="B153" t="s">
        <v>136</v>
      </c>
      <c r="D153" s="15"/>
      <c r="O153" s="12"/>
    </row>
    <row r="154" spans="1:15" x14ac:dyDescent="0.2">
      <c r="A154" t="s">
        <v>76</v>
      </c>
      <c r="B154" t="s">
        <v>136</v>
      </c>
      <c r="D154" s="15"/>
      <c r="O154" s="12"/>
    </row>
    <row r="155" spans="1:15" x14ac:dyDescent="0.2">
      <c r="A155" t="s">
        <v>77</v>
      </c>
      <c r="B155" t="s">
        <v>136</v>
      </c>
      <c r="D155" s="15"/>
      <c r="O155" s="12"/>
    </row>
    <row r="156" spans="1:15" x14ac:dyDescent="0.2">
      <c r="A156" t="s">
        <v>78</v>
      </c>
      <c r="B156" t="s">
        <v>136</v>
      </c>
      <c r="D156" s="15"/>
      <c r="O156" s="12"/>
    </row>
    <row r="157" spans="1:15" x14ac:dyDescent="0.2">
      <c r="A157" t="s">
        <v>79</v>
      </c>
      <c r="B157" t="s">
        <v>136</v>
      </c>
      <c r="D157" s="15"/>
      <c r="O157" s="12"/>
    </row>
    <row r="158" spans="1:15" x14ac:dyDescent="0.2">
      <c r="A158" t="s">
        <v>80</v>
      </c>
      <c r="B158" t="s">
        <v>136</v>
      </c>
      <c r="D158" s="15"/>
      <c r="O158" s="12"/>
    </row>
    <row r="159" spans="1:15" x14ac:dyDescent="0.2">
      <c r="A159" t="s">
        <v>81</v>
      </c>
      <c r="B159" t="s">
        <v>136</v>
      </c>
      <c r="D159" s="15"/>
      <c r="O159" s="12"/>
    </row>
    <row r="160" spans="1:15" x14ac:dyDescent="0.2">
      <c r="A160" t="s">
        <v>82</v>
      </c>
      <c r="B160" t="s">
        <v>136</v>
      </c>
      <c r="D160" s="15"/>
      <c r="O160" s="12"/>
    </row>
    <row r="161" spans="1:15" x14ac:dyDescent="0.2">
      <c r="A161" t="s">
        <v>83</v>
      </c>
      <c r="B161" t="s">
        <v>136</v>
      </c>
      <c r="D161" s="15"/>
      <c r="O161" s="12"/>
    </row>
    <row r="162" spans="1:15" x14ac:dyDescent="0.2">
      <c r="A162" t="s">
        <v>84</v>
      </c>
      <c r="B162" t="s">
        <v>136</v>
      </c>
      <c r="D162" s="15"/>
      <c r="O162" s="12"/>
    </row>
    <row r="163" spans="1:15" x14ac:dyDescent="0.2">
      <c r="A163" t="s">
        <v>85</v>
      </c>
      <c r="B163" t="s">
        <v>136</v>
      </c>
      <c r="D163" s="15"/>
      <c r="O163" s="12"/>
    </row>
    <row r="164" spans="1:15" x14ac:dyDescent="0.2">
      <c r="A164" t="s">
        <v>86</v>
      </c>
      <c r="B164" t="s">
        <v>136</v>
      </c>
      <c r="D164" s="15"/>
      <c r="O164" s="12"/>
    </row>
    <row r="165" spans="1:15" x14ac:dyDescent="0.2">
      <c r="A165" t="s">
        <v>87</v>
      </c>
      <c r="B165" t="s">
        <v>136</v>
      </c>
      <c r="D165" s="15"/>
      <c r="O165" s="12"/>
    </row>
    <row r="166" spans="1:15" x14ac:dyDescent="0.2">
      <c r="A166" t="s">
        <v>88</v>
      </c>
      <c r="B166" t="s">
        <v>136</v>
      </c>
      <c r="D166" s="15"/>
      <c r="O166" s="12"/>
    </row>
    <row r="167" spans="1:15" x14ac:dyDescent="0.2">
      <c r="A167" t="s">
        <v>89</v>
      </c>
      <c r="B167" t="s">
        <v>136</v>
      </c>
      <c r="D167" s="15"/>
      <c r="O167" s="12"/>
    </row>
    <row r="168" spans="1:15" x14ac:dyDescent="0.2">
      <c r="A168" t="s">
        <v>90</v>
      </c>
      <c r="B168" t="s">
        <v>136</v>
      </c>
      <c r="D168" s="15"/>
      <c r="O168" s="12"/>
    </row>
    <row r="169" spans="1:15" x14ac:dyDescent="0.2">
      <c r="A169" t="s">
        <v>91</v>
      </c>
      <c r="B169" t="s">
        <v>136</v>
      </c>
      <c r="D169" s="15"/>
      <c r="O169" s="12"/>
    </row>
    <row r="170" spans="1:15" x14ac:dyDescent="0.2">
      <c r="A170" t="s">
        <v>92</v>
      </c>
      <c r="B170" t="s">
        <v>136</v>
      </c>
      <c r="D170" s="15"/>
      <c r="O170" s="12"/>
    </row>
    <row r="171" spans="1:15" x14ac:dyDescent="0.2">
      <c r="A171" t="s">
        <v>93</v>
      </c>
      <c r="B171" t="s">
        <v>136</v>
      </c>
      <c r="D171" s="15"/>
      <c r="O171" s="12"/>
    </row>
    <row r="172" spans="1:15" x14ac:dyDescent="0.2">
      <c r="A172" t="s">
        <v>94</v>
      </c>
      <c r="B172" t="s">
        <v>136</v>
      </c>
      <c r="D172" s="15"/>
      <c r="O172" s="12"/>
    </row>
    <row r="173" spans="1:15" x14ac:dyDescent="0.2">
      <c r="A173" t="s">
        <v>95</v>
      </c>
      <c r="B173" t="s">
        <v>136</v>
      </c>
      <c r="D173" s="15"/>
      <c r="O173" s="12"/>
    </row>
    <row r="174" spans="1:15" x14ac:dyDescent="0.2">
      <c r="A174" t="s">
        <v>96</v>
      </c>
      <c r="B174" t="s">
        <v>136</v>
      </c>
      <c r="D174" s="15"/>
      <c r="O174" s="12"/>
    </row>
    <row r="175" spans="1:15" x14ac:dyDescent="0.2">
      <c r="A175" t="s">
        <v>97</v>
      </c>
      <c r="B175" t="s">
        <v>136</v>
      </c>
      <c r="D175" s="15"/>
      <c r="O175" s="12"/>
    </row>
    <row r="176" spans="1:15" x14ac:dyDescent="0.2">
      <c r="A176" t="s">
        <v>98</v>
      </c>
      <c r="B176" t="s">
        <v>136</v>
      </c>
      <c r="D176" s="15"/>
      <c r="O176" s="12"/>
    </row>
    <row r="177" spans="1:15" x14ac:dyDescent="0.2">
      <c r="A177" t="s">
        <v>99</v>
      </c>
      <c r="B177" t="s">
        <v>136</v>
      </c>
      <c r="D177" s="15"/>
      <c r="O177" s="12"/>
    </row>
    <row r="178" spans="1:15" x14ac:dyDescent="0.2">
      <c r="A178" t="s">
        <v>100</v>
      </c>
      <c r="B178" t="s">
        <v>136</v>
      </c>
      <c r="D178" s="15"/>
      <c r="O178" s="12"/>
    </row>
    <row r="179" spans="1:15" x14ac:dyDescent="0.2">
      <c r="A179" t="s">
        <v>101</v>
      </c>
      <c r="B179" t="s">
        <v>136</v>
      </c>
      <c r="D179" s="15"/>
      <c r="O179" s="12"/>
    </row>
    <row r="180" spans="1:15" x14ac:dyDescent="0.2">
      <c r="A180" t="s">
        <v>102</v>
      </c>
      <c r="B180" t="s">
        <v>136</v>
      </c>
      <c r="D180" s="15"/>
      <c r="O180" s="12"/>
    </row>
    <row r="181" spans="1:15" x14ac:dyDescent="0.2">
      <c r="A181" t="s">
        <v>103</v>
      </c>
      <c r="B181" t="s">
        <v>136</v>
      </c>
      <c r="D181" s="15"/>
      <c r="O181" s="12"/>
    </row>
    <row r="182" spans="1:15" x14ac:dyDescent="0.2">
      <c r="A182" t="s">
        <v>104</v>
      </c>
      <c r="B182" t="s">
        <v>136</v>
      </c>
      <c r="D182" s="15"/>
      <c r="O182" s="12"/>
    </row>
    <row r="183" spans="1:15" x14ac:dyDescent="0.2">
      <c r="A183" t="s">
        <v>105</v>
      </c>
      <c r="B183" t="s">
        <v>136</v>
      </c>
      <c r="D183" s="15"/>
      <c r="O183" s="12"/>
    </row>
    <row r="184" spans="1:15" x14ac:dyDescent="0.2">
      <c r="A184" t="s">
        <v>106</v>
      </c>
      <c r="B184" t="s">
        <v>136</v>
      </c>
      <c r="D184" s="15"/>
      <c r="O184" s="12"/>
    </row>
    <row r="185" spans="1:15" x14ac:dyDescent="0.2">
      <c r="A185" t="s">
        <v>107</v>
      </c>
      <c r="B185" t="s">
        <v>136</v>
      </c>
      <c r="D185" s="15"/>
      <c r="O185" s="12"/>
    </row>
    <row r="186" spans="1:15" x14ac:dyDescent="0.2">
      <c r="A186" t="s">
        <v>108</v>
      </c>
      <c r="B186" t="s">
        <v>136</v>
      </c>
      <c r="D186" s="15"/>
      <c r="O186" s="12"/>
    </row>
    <row r="187" spans="1:15" x14ac:dyDescent="0.2">
      <c r="A187" t="s">
        <v>109</v>
      </c>
      <c r="B187" t="s">
        <v>136</v>
      </c>
      <c r="D187" s="15"/>
      <c r="O187" s="12"/>
    </row>
    <row r="188" spans="1:15" x14ac:dyDescent="0.2">
      <c r="A188" t="s">
        <v>110</v>
      </c>
      <c r="B188" t="s">
        <v>136</v>
      </c>
      <c r="D188" s="15"/>
      <c r="O188" s="12"/>
    </row>
    <row r="189" spans="1:15" x14ac:dyDescent="0.2">
      <c r="A189" t="s">
        <v>111</v>
      </c>
      <c r="B189" t="s">
        <v>136</v>
      </c>
      <c r="D189" s="15"/>
      <c r="O189" s="12"/>
    </row>
    <row r="190" spans="1:15" x14ac:dyDescent="0.2">
      <c r="A190" t="s">
        <v>112</v>
      </c>
      <c r="B190" t="s">
        <v>136</v>
      </c>
      <c r="D190" s="15"/>
      <c r="O190" s="12"/>
    </row>
    <row r="191" spans="1:15" x14ac:dyDescent="0.2">
      <c r="A191" t="s">
        <v>113</v>
      </c>
      <c r="B191" t="s">
        <v>136</v>
      </c>
      <c r="D191" s="15"/>
      <c r="O191" s="12"/>
    </row>
    <row r="192" spans="1:15" x14ac:dyDescent="0.2">
      <c r="A192" t="s">
        <v>114</v>
      </c>
      <c r="B192" t="s">
        <v>136</v>
      </c>
      <c r="D192" s="15"/>
      <c r="O192" s="12"/>
    </row>
    <row r="193" spans="1:15" x14ac:dyDescent="0.2">
      <c r="A193" t="s">
        <v>115</v>
      </c>
      <c r="B193" t="s">
        <v>136</v>
      </c>
      <c r="D193" s="15"/>
      <c r="O193" s="12"/>
    </row>
    <row r="194" spans="1:15" x14ac:dyDescent="0.2">
      <c r="A194" t="s">
        <v>116</v>
      </c>
      <c r="B194" t="s">
        <v>136</v>
      </c>
      <c r="D194" s="15"/>
      <c r="O194" s="12"/>
    </row>
    <row r="195" spans="1:15" x14ac:dyDescent="0.2">
      <c r="A195" t="s">
        <v>117</v>
      </c>
      <c r="B195" t="s">
        <v>136</v>
      </c>
      <c r="D195" s="15"/>
      <c r="O195" s="12"/>
    </row>
    <row r="196" spans="1:15" x14ac:dyDescent="0.2">
      <c r="A196" t="s">
        <v>118</v>
      </c>
      <c r="B196" t="s">
        <v>136</v>
      </c>
      <c r="D196" s="15"/>
      <c r="O196" s="12"/>
    </row>
    <row r="197" spans="1:15" x14ac:dyDescent="0.2">
      <c r="A197" t="s">
        <v>119</v>
      </c>
      <c r="B197" t="s">
        <v>136</v>
      </c>
      <c r="D197" s="15"/>
      <c r="O197" s="12"/>
    </row>
    <row r="198" spans="1:15" x14ac:dyDescent="0.2">
      <c r="A198" t="s">
        <v>120</v>
      </c>
      <c r="B198" t="s">
        <v>136</v>
      </c>
      <c r="D198" s="15"/>
      <c r="O198" s="12"/>
    </row>
    <row r="199" spans="1:15" x14ac:dyDescent="0.2">
      <c r="A199" t="s">
        <v>121</v>
      </c>
      <c r="B199" t="s">
        <v>136</v>
      </c>
      <c r="D199" s="15"/>
      <c r="O199" s="12"/>
    </row>
    <row r="200" spans="1:15" x14ac:dyDescent="0.2">
      <c r="A200" t="s">
        <v>122</v>
      </c>
      <c r="B200" t="s">
        <v>136</v>
      </c>
      <c r="D200" s="15"/>
      <c r="O200" s="12"/>
    </row>
    <row r="201" spans="1:15" x14ac:dyDescent="0.2">
      <c r="A201" t="s">
        <v>123</v>
      </c>
      <c r="B201" t="s">
        <v>136</v>
      </c>
      <c r="D201" s="15"/>
      <c r="O201" s="12"/>
    </row>
    <row r="202" spans="1:15" x14ac:dyDescent="0.2">
      <c r="A202" t="s">
        <v>124</v>
      </c>
      <c r="B202" t="s">
        <v>136</v>
      </c>
      <c r="D202" s="15"/>
      <c r="O202" s="12"/>
    </row>
    <row r="203" spans="1:15" x14ac:dyDescent="0.2">
      <c r="A203" t="s">
        <v>125</v>
      </c>
      <c r="B203" t="s">
        <v>136</v>
      </c>
      <c r="D203" s="15"/>
      <c r="O203" s="12"/>
    </row>
    <row r="204" spans="1:15" x14ac:dyDescent="0.2">
      <c r="A204" t="s">
        <v>126</v>
      </c>
      <c r="B204" t="s">
        <v>136</v>
      </c>
      <c r="D204" s="15"/>
      <c r="O204" s="12"/>
    </row>
    <row r="205" spans="1:15" x14ac:dyDescent="0.2">
      <c r="A205" s="5">
        <v>99228</v>
      </c>
      <c r="B205" t="s">
        <v>136</v>
      </c>
      <c r="D205" s="15"/>
      <c r="O205" s="12"/>
    </row>
    <row r="206" spans="1:15" x14ac:dyDescent="0.2">
      <c r="A206" t="s">
        <v>127</v>
      </c>
      <c r="B206" t="s">
        <v>136</v>
      </c>
      <c r="D206" s="15"/>
      <c r="O206" s="12"/>
    </row>
    <row r="207" spans="1:15" x14ac:dyDescent="0.2">
      <c r="A207" t="s">
        <v>128</v>
      </c>
      <c r="B207" t="s">
        <v>136</v>
      </c>
      <c r="D207" s="15"/>
      <c r="O207" s="12"/>
    </row>
    <row r="208" spans="1:15" x14ac:dyDescent="0.2">
      <c r="A208" t="s">
        <v>129</v>
      </c>
      <c r="B208" t="s">
        <v>136</v>
      </c>
      <c r="D208" s="15"/>
      <c r="O208" s="12"/>
    </row>
    <row r="209" spans="1:15" x14ac:dyDescent="0.2">
      <c r="A209" t="s">
        <v>130</v>
      </c>
      <c r="B209" t="s">
        <v>136</v>
      </c>
      <c r="D209" s="15"/>
      <c r="O209" s="12"/>
    </row>
    <row r="210" spans="1:15" x14ac:dyDescent="0.2">
      <c r="A210" t="s">
        <v>131</v>
      </c>
      <c r="B210" t="s">
        <v>136</v>
      </c>
      <c r="D210" s="15"/>
      <c r="O210" s="12"/>
    </row>
    <row r="211" spans="1:15" x14ac:dyDescent="0.2">
      <c r="A211" t="s">
        <v>132</v>
      </c>
      <c r="B211" t="s">
        <v>136</v>
      </c>
      <c r="D211" s="15"/>
      <c r="O211" s="12"/>
    </row>
    <row r="212" spans="1:15" x14ac:dyDescent="0.2">
      <c r="A212" t="s">
        <v>133</v>
      </c>
      <c r="B212" t="s">
        <v>136</v>
      </c>
      <c r="D212" s="15"/>
      <c r="O212" s="12"/>
    </row>
    <row r="213" spans="1:15" ht="16" thickBot="1" x14ac:dyDescent="0.25">
      <c r="A213" t="s">
        <v>134</v>
      </c>
      <c r="B213" t="s">
        <v>136</v>
      </c>
      <c r="D213" s="15"/>
      <c r="O213" s="12"/>
    </row>
    <row r="214" spans="1:15" ht="16" thickBot="1" x14ac:dyDescent="0.25">
      <c r="A214" s="185"/>
      <c r="B214" s="62"/>
      <c r="C214" s="61"/>
      <c r="D214" s="185">
        <f>SUM(D109:D213)</f>
        <v>0</v>
      </c>
      <c r="E214" s="62">
        <f t="shared" ref="E214:O214" si="1">SUM(E109:E213)</f>
        <v>0</v>
      </c>
      <c r="F214" s="62">
        <f t="shared" si="1"/>
        <v>0</v>
      </c>
      <c r="G214" s="62">
        <f t="shared" si="1"/>
        <v>0</v>
      </c>
      <c r="H214" s="62">
        <f t="shared" si="1"/>
        <v>0</v>
      </c>
      <c r="I214" s="62">
        <f t="shared" si="1"/>
        <v>0</v>
      </c>
      <c r="J214" s="62">
        <f t="shared" si="1"/>
        <v>0</v>
      </c>
      <c r="K214" s="62">
        <f t="shared" si="1"/>
        <v>0</v>
      </c>
      <c r="L214" s="62">
        <f t="shared" si="1"/>
        <v>0</v>
      </c>
      <c r="M214" s="62">
        <f t="shared" si="1"/>
        <v>0</v>
      </c>
      <c r="N214" s="62">
        <f t="shared" si="1"/>
        <v>0</v>
      </c>
      <c r="O214" s="190">
        <f t="shared" si="1"/>
        <v>0</v>
      </c>
    </row>
    <row r="215" spans="1:15" x14ac:dyDescent="0.2">
      <c r="A215" t="s">
        <v>31</v>
      </c>
      <c r="B215" t="s">
        <v>142</v>
      </c>
      <c r="D215" s="15"/>
      <c r="O215" s="12"/>
    </row>
    <row r="216" spans="1:15" x14ac:dyDescent="0.2">
      <c r="A216" t="s">
        <v>32</v>
      </c>
      <c r="B216" t="s">
        <v>142</v>
      </c>
      <c r="D216" s="15"/>
      <c r="O216" s="12"/>
    </row>
    <row r="217" spans="1:15" x14ac:dyDescent="0.2">
      <c r="A217" t="s">
        <v>33</v>
      </c>
      <c r="B217" t="s">
        <v>142</v>
      </c>
      <c r="D217" s="15"/>
      <c r="O217" s="12"/>
    </row>
    <row r="218" spans="1:15" x14ac:dyDescent="0.2">
      <c r="A218" t="s">
        <v>34</v>
      </c>
      <c r="B218" t="s">
        <v>142</v>
      </c>
      <c r="D218" s="15"/>
      <c r="O218" s="12"/>
    </row>
    <row r="219" spans="1:15" x14ac:dyDescent="0.2">
      <c r="A219" t="s">
        <v>35</v>
      </c>
      <c r="B219" t="s">
        <v>142</v>
      </c>
      <c r="D219" s="15"/>
      <c r="O219" s="12"/>
    </row>
    <row r="220" spans="1:15" x14ac:dyDescent="0.2">
      <c r="A220" t="s">
        <v>36</v>
      </c>
      <c r="B220" t="s">
        <v>142</v>
      </c>
      <c r="D220" s="15"/>
      <c r="O220" s="12"/>
    </row>
    <row r="221" spans="1:15" x14ac:dyDescent="0.2">
      <c r="A221" t="s">
        <v>37</v>
      </c>
      <c r="B221" t="s">
        <v>142</v>
      </c>
      <c r="D221" s="15"/>
      <c r="O221" s="12"/>
    </row>
    <row r="222" spans="1:15" x14ac:dyDescent="0.2">
      <c r="A222" t="s">
        <v>38</v>
      </c>
      <c r="B222" t="s">
        <v>142</v>
      </c>
      <c r="D222" s="15"/>
      <c r="O222" s="12"/>
    </row>
    <row r="223" spans="1:15" x14ac:dyDescent="0.2">
      <c r="A223" t="s">
        <v>39</v>
      </c>
      <c r="B223" t="s">
        <v>142</v>
      </c>
      <c r="D223" s="15"/>
      <c r="O223" s="12"/>
    </row>
    <row r="224" spans="1:15" x14ac:dyDescent="0.2">
      <c r="A224" t="s">
        <v>40</v>
      </c>
      <c r="B224" t="s">
        <v>142</v>
      </c>
      <c r="D224" s="15"/>
      <c r="O224" s="12"/>
    </row>
    <row r="225" spans="1:15" x14ac:dyDescent="0.2">
      <c r="A225" t="s">
        <v>41</v>
      </c>
      <c r="B225" t="s">
        <v>142</v>
      </c>
      <c r="D225" s="15"/>
      <c r="O225" s="12"/>
    </row>
    <row r="226" spans="1:15" x14ac:dyDescent="0.2">
      <c r="A226" t="s">
        <v>42</v>
      </c>
      <c r="B226" t="s">
        <v>142</v>
      </c>
      <c r="D226" s="15"/>
      <c r="O226" s="12"/>
    </row>
    <row r="227" spans="1:15" x14ac:dyDescent="0.2">
      <c r="A227" t="s">
        <v>43</v>
      </c>
      <c r="B227" t="s">
        <v>142</v>
      </c>
      <c r="D227" s="15"/>
      <c r="O227" s="12"/>
    </row>
    <row r="228" spans="1:15" x14ac:dyDescent="0.2">
      <c r="A228" t="s">
        <v>44</v>
      </c>
      <c r="B228" t="s">
        <v>142</v>
      </c>
      <c r="D228" s="15"/>
      <c r="O228" s="12"/>
    </row>
    <row r="229" spans="1:15" x14ac:dyDescent="0.2">
      <c r="A229" t="s">
        <v>45</v>
      </c>
      <c r="B229" t="s">
        <v>142</v>
      </c>
      <c r="D229" s="15"/>
      <c r="O229" s="12"/>
    </row>
    <row r="230" spans="1:15" x14ac:dyDescent="0.2">
      <c r="A230" t="s">
        <v>46</v>
      </c>
      <c r="B230" t="s">
        <v>142</v>
      </c>
      <c r="D230" s="15"/>
      <c r="O230" s="12"/>
    </row>
    <row r="231" spans="1:15" x14ac:dyDescent="0.2">
      <c r="A231" t="s">
        <v>47</v>
      </c>
      <c r="B231" t="s">
        <v>142</v>
      </c>
      <c r="D231" s="15"/>
      <c r="O231" s="12"/>
    </row>
    <row r="232" spans="1:15" x14ac:dyDescent="0.2">
      <c r="A232" t="s">
        <v>48</v>
      </c>
      <c r="B232" t="s">
        <v>142</v>
      </c>
      <c r="D232" s="15"/>
      <c r="O232" s="12"/>
    </row>
    <row r="233" spans="1:15" x14ac:dyDescent="0.2">
      <c r="A233" t="s">
        <v>49</v>
      </c>
      <c r="B233" t="s">
        <v>142</v>
      </c>
      <c r="D233" s="15"/>
      <c r="O233" s="12"/>
    </row>
    <row r="234" spans="1:15" x14ac:dyDescent="0.2">
      <c r="A234" t="s">
        <v>50</v>
      </c>
      <c r="B234" t="s">
        <v>142</v>
      </c>
      <c r="D234" s="15"/>
      <c r="O234" s="12"/>
    </row>
    <row r="235" spans="1:15" x14ac:dyDescent="0.2">
      <c r="A235" t="s">
        <v>51</v>
      </c>
      <c r="B235" t="s">
        <v>142</v>
      </c>
      <c r="D235" s="15"/>
      <c r="O235" s="12"/>
    </row>
    <row r="236" spans="1:15" x14ac:dyDescent="0.2">
      <c r="A236" t="s">
        <v>52</v>
      </c>
      <c r="B236" t="s">
        <v>142</v>
      </c>
      <c r="D236" s="15"/>
      <c r="O236" s="12"/>
    </row>
    <row r="237" spans="1:15" x14ac:dyDescent="0.2">
      <c r="A237" t="s">
        <v>53</v>
      </c>
      <c r="B237" t="s">
        <v>142</v>
      </c>
      <c r="D237" s="15"/>
      <c r="O237" s="12"/>
    </row>
    <row r="238" spans="1:15" x14ac:dyDescent="0.2">
      <c r="A238" t="s">
        <v>54</v>
      </c>
      <c r="B238" t="s">
        <v>142</v>
      </c>
      <c r="D238" s="15"/>
      <c r="O238" s="12"/>
    </row>
    <row r="239" spans="1:15" x14ac:dyDescent="0.2">
      <c r="A239" t="s">
        <v>55</v>
      </c>
      <c r="B239" t="s">
        <v>142</v>
      </c>
      <c r="D239" s="15"/>
      <c r="O239" s="12"/>
    </row>
    <row r="240" spans="1:15" x14ac:dyDescent="0.2">
      <c r="A240" t="s">
        <v>56</v>
      </c>
      <c r="B240" t="s">
        <v>142</v>
      </c>
      <c r="D240" s="15"/>
      <c r="O240" s="12"/>
    </row>
    <row r="241" spans="1:15" x14ac:dyDescent="0.2">
      <c r="A241" t="s">
        <v>57</v>
      </c>
      <c r="B241" t="s">
        <v>142</v>
      </c>
      <c r="D241" s="15"/>
      <c r="O241" s="12"/>
    </row>
    <row r="242" spans="1:15" x14ac:dyDescent="0.2">
      <c r="A242" t="s">
        <v>58</v>
      </c>
      <c r="B242" t="s">
        <v>142</v>
      </c>
      <c r="D242" s="15"/>
      <c r="O242" s="12"/>
    </row>
    <row r="243" spans="1:15" x14ac:dyDescent="0.2">
      <c r="A243" t="s">
        <v>59</v>
      </c>
      <c r="B243" t="s">
        <v>142</v>
      </c>
      <c r="D243" s="15"/>
      <c r="O243" s="12"/>
    </row>
    <row r="244" spans="1:15" x14ac:dyDescent="0.2">
      <c r="A244" t="s">
        <v>60</v>
      </c>
      <c r="B244" t="s">
        <v>142</v>
      </c>
      <c r="D244" s="15"/>
      <c r="O244" s="12"/>
    </row>
    <row r="245" spans="1:15" x14ac:dyDescent="0.2">
      <c r="A245" t="s">
        <v>61</v>
      </c>
      <c r="B245" t="s">
        <v>142</v>
      </c>
      <c r="D245" s="15"/>
      <c r="O245" s="12"/>
    </row>
    <row r="246" spans="1:15" x14ac:dyDescent="0.2">
      <c r="A246" t="s">
        <v>62</v>
      </c>
      <c r="B246" t="s">
        <v>142</v>
      </c>
      <c r="D246" s="15"/>
      <c r="O246" s="12"/>
    </row>
    <row r="247" spans="1:15" x14ac:dyDescent="0.2">
      <c r="A247" t="s">
        <v>63</v>
      </c>
      <c r="B247" t="s">
        <v>142</v>
      </c>
      <c r="D247" s="15"/>
      <c r="O247" s="12"/>
    </row>
    <row r="248" spans="1:15" x14ac:dyDescent="0.2">
      <c r="A248" t="s">
        <v>64</v>
      </c>
      <c r="B248" t="s">
        <v>142</v>
      </c>
      <c r="D248" s="15"/>
      <c r="O248" s="12"/>
    </row>
    <row r="249" spans="1:15" x14ac:dyDescent="0.2">
      <c r="A249" t="s">
        <v>65</v>
      </c>
      <c r="B249" t="s">
        <v>142</v>
      </c>
      <c r="D249" s="15"/>
      <c r="O249" s="12"/>
    </row>
    <row r="250" spans="1:15" x14ac:dyDescent="0.2">
      <c r="A250" t="s">
        <v>66</v>
      </c>
      <c r="B250" t="s">
        <v>142</v>
      </c>
      <c r="D250" s="15"/>
      <c r="O250" s="12"/>
    </row>
    <row r="251" spans="1:15" x14ac:dyDescent="0.2">
      <c r="A251" t="s">
        <v>67</v>
      </c>
      <c r="B251" t="s">
        <v>142</v>
      </c>
      <c r="D251" s="15"/>
      <c r="O251" s="12"/>
    </row>
    <row r="252" spans="1:15" x14ac:dyDescent="0.2">
      <c r="A252" t="s">
        <v>68</v>
      </c>
      <c r="B252" t="s">
        <v>142</v>
      </c>
      <c r="D252" s="15"/>
      <c r="O252" s="12"/>
    </row>
    <row r="253" spans="1:15" x14ac:dyDescent="0.2">
      <c r="A253" t="s">
        <v>69</v>
      </c>
      <c r="B253" t="s">
        <v>142</v>
      </c>
      <c r="D253" s="15"/>
      <c r="O253" s="12"/>
    </row>
    <row r="254" spans="1:15" x14ac:dyDescent="0.2">
      <c r="A254" t="s">
        <v>70</v>
      </c>
      <c r="B254" t="s">
        <v>142</v>
      </c>
      <c r="D254" s="15"/>
      <c r="O254" s="12"/>
    </row>
    <row r="255" spans="1:15" x14ac:dyDescent="0.2">
      <c r="A255" t="s">
        <v>71</v>
      </c>
      <c r="B255" t="s">
        <v>142</v>
      </c>
      <c r="D255" s="15"/>
      <c r="O255" s="12"/>
    </row>
    <row r="256" spans="1:15" x14ac:dyDescent="0.2">
      <c r="A256" t="s">
        <v>72</v>
      </c>
      <c r="B256" t="s">
        <v>142</v>
      </c>
      <c r="D256" s="15"/>
      <c r="O256" s="12"/>
    </row>
    <row r="257" spans="1:15" x14ac:dyDescent="0.2">
      <c r="A257" t="s">
        <v>73</v>
      </c>
      <c r="B257" t="s">
        <v>142</v>
      </c>
      <c r="D257" s="15"/>
      <c r="O257" s="12"/>
    </row>
    <row r="258" spans="1:15" x14ac:dyDescent="0.2">
      <c r="A258" t="s">
        <v>74</v>
      </c>
      <c r="B258" t="s">
        <v>142</v>
      </c>
      <c r="D258" s="15"/>
      <c r="O258" s="12"/>
    </row>
    <row r="259" spans="1:15" x14ac:dyDescent="0.2">
      <c r="A259" t="s">
        <v>75</v>
      </c>
      <c r="B259" t="s">
        <v>142</v>
      </c>
      <c r="D259" s="15"/>
      <c r="O259" s="12"/>
    </row>
    <row r="260" spans="1:15" x14ac:dyDescent="0.2">
      <c r="A260" t="s">
        <v>76</v>
      </c>
      <c r="B260" t="s">
        <v>142</v>
      </c>
      <c r="D260" s="15"/>
      <c r="O260" s="12"/>
    </row>
    <row r="261" spans="1:15" x14ac:dyDescent="0.2">
      <c r="A261" t="s">
        <v>77</v>
      </c>
      <c r="B261" t="s">
        <v>142</v>
      </c>
      <c r="D261" s="15"/>
      <c r="O261" s="12"/>
    </row>
    <row r="262" spans="1:15" x14ac:dyDescent="0.2">
      <c r="A262" t="s">
        <v>78</v>
      </c>
      <c r="B262" t="s">
        <v>142</v>
      </c>
      <c r="D262" s="15"/>
      <c r="O262" s="12"/>
    </row>
    <row r="263" spans="1:15" x14ac:dyDescent="0.2">
      <c r="A263" t="s">
        <v>79</v>
      </c>
      <c r="B263" t="s">
        <v>142</v>
      </c>
      <c r="D263" s="15"/>
      <c r="O263" s="12"/>
    </row>
    <row r="264" spans="1:15" x14ac:dyDescent="0.2">
      <c r="A264" t="s">
        <v>80</v>
      </c>
      <c r="B264" t="s">
        <v>142</v>
      </c>
      <c r="D264" s="15"/>
      <c r="O264" s="12"/>
    </row>
    <row r="265" spans="1:15" x14ac:dyDescent="0.2">
      <c r="A265" t="s">
        <v>81</v>
      </c>
      <c r="B265" t="s">
        <v>142</v>
      </c>
      <c r="D265" s="15"/>
      <c r="O265" s="12"/>
    </row>
    <row r="266" spans="1:15" x14ac:dyDescent="0.2">
      <c r="A266" t="s">
        <v>82</v>
      </c>
      <c r="B266" t="s">
        <v>142</v>
      </c>
      <c r="D266" s="15"/>
      <c r="O266" s="12"/>
    </row>
    <row r="267" spans="1:15" x14ac:dyDescent="0.2">
      <c r="A267" t="s">
        <v>83</v>
      </c>
      <c r="B267" t="s">
        <v>142</v>
      </c>
      <c r="D267" s="15"/>
      <c r="O267" s="12"/>
    </row>
    <row r="268" spans="1:15" x14ac:dyDescent="0.2">
      <c r="A268" t="s">
        <v>84</v>
      </c>
      <c r="B268" t="s">
        <v>142</v>
      </c>
      <c r="D268" s="15"/>
      <c r="O268" s="12"/>
    </row>
    <row r="269" spans="1:15" x14ac:dyDescent="0.2">
      <c r="A269" t="s">
        <v>85</v>
      </c>
      <c r="B269" t="s">
        <v>142</v>
      </c>
      <c r="D269" s="15"/>
      <c r="O269" s="12"/>
    </row>
    <row r="270" spans="1:15" x14ac:dyDescent="0.2">
      <c r="A270" t="s">
        <v>86</v>
      </c>
      <c r="B270" t="s">
        <v>142</v>
      </c>
      <c r="D270" s="15"/>
      <c r="O270" s="12"/>
    </row>
    <row r="271" spans="1:15" x14ac:dyDescent="0.2">
      <c r="A271" t="s">
        <v>87</v>
      </c>
      <c r="B271" t="s">
        <v>142</v>
      </c>
      <c r="D271" s="15"/>
      <c r="O271" s="12"/>
    </row>
    <row r="272" spans="1:15" x14ac:dyDescent="0.2">
      <c r="A272" t="s">
        <v>88</v>
      </c>
      <c r="B272" t="s">
        <v>142</v>
      </c>
      <c r="D272" s="15"/>
      <c r="O272" s="12"/>
    </row>
    <row r="273" spans="1:15" x14ac:dyDescent="0.2">
      <c r="A273" t="s">
        <v>89</v>
      </c>
      <c r="B273" t="s">
        <v>142</v>
      </c>
      <c r="D273" s="15"/>
      <c r="O273" s="12"/>
    </row>
    <row r="274" spans="1:15" x14ac:dyDescent="0.2">
      <c r="A274" t="s">
        <v>90</v>
      </c>
      <c r="B274" t="s">
        <v>142</v>
      </c>
      <c r="D274" s="15"/>
      <c r="O274" s="12"/>
    </row>
    <row r="275" spans="1:15" x14ac:dyDescent="0.2">
      <c r="A275" t="s">
        <v>91</v>
      </c>
      <c r="B275" t="s">
        <v>142</v>
      </c>
      <c r="D275" s="15"/>
      <c r="O275" s="12"/>
    </row>
    <row r="276" spans="1:15" x14ac:dyDescent="0.2">
      <c r="A276" t="s">
        <v>92</v>
      </c>
      <c r="B276" t="s">
        <v>142</v>
      </c>
      <c r="D276" s="15"/>
      <c r="O276" s="12"/>
    </row>
    <row r="277" spans="1:15" x14ac:dyDescent="0.2">
      <c r="A277" t="s">
        <v>93</v>
      </c>
      <c r="B277" t="s">
        <v>142</v>
      </c>
      <c r="D277" s="15"/>
      <c r="O277" s="12"/>
    </row>
    <row r="278" spans="1:15" x14ac:dyDescent="0.2">
      <c r="A278" t="s">
        <v>94</v>
      </c>
      <c r="B278" t="s">
        <v>142</v>
      </c>
      <c r="D278" s="15"/>
      <c r="O278" s="12"/>
    </row>
    <row r="279" spans="1:15" x14ac:dyDescent="0.2">
      <c r="A279" t="s">
        <v>95</v>
      </c>
      <c r="B279" t="s">
        <v>142</v>
      </c>
      <c r="D279" s="15"/>
      <c r="O279" s="12"/>
    </row>
    <row r="280" spans="1:15" x14ac:dyDescent="0.2">
      <c r="A280" t="s">
        <v>96</v>
      </c>
      <c r="B280" t="s">
        <v>142</v>
      </c>
      <c r="D280" s="15"/>
      <c r="O280" s="12"/>
    </row>
    <row r="281" spans="1:15" x14ac:dyDescent="0.2">
      <c r="A281" t="s">
        <v>97</v>
      </c>
      <c r="B281" t="s">
        <v>142</v>
      </c>
      <c r="D281" s="15"/>
      <c r="O281" s="12"/>
    </row>
    <row r="282" spans="1:15" x14ac:dyDescent="0.2">
      <c r="A282" t="s">
        <v>98</v>
      </c>
      <c r="B282" t="s">
        <v>142</v>
      </c>
      <c r="D282" s="15"/>
      <c r="O282" s="12"/>
    </row>
    <row r="283" spans="1:15" x14ac:dyDescent="0.2">
      <c r="A283" t="s">
        <v>99</v>
      </c>
      <c r="B283" t="s">
        <v>142</v>
      </c>
      <c r="D283" s="15"/>
      <c r="O283" s="12"/>
    </row>
    <row r="284" spans="1:15" x14ac:dyDescent="0.2">
      <c r="A284" t="s">
        <v>100</v>
      </c>
      <c r="B284" t="s">
        <v>142</v>
      </c>
      <c r="D284" s="15"/>
      <c r="O284" s="12"/>
    </row>
    <row r="285" spans="1:15" x14ac:dyDescent="0.2">
      <c r="A285" t="s">
        <v>101</v>
      </c>
      <c r="B285" t="s">
        <v>142</v>
      </c>
      <c r="D285" s="15"/>
      <c r="O285" s="12"/>
    </row>
    <row r="286" spans="1:15" x14ac:dyDescent="0.2">
      <c r="A286" t="s">
        <v>102</v>
      </c>
      <c r="B286" t="s">
        <v>142</v>
      </c>
      <c r="D286" s="15"/>
      <c r="O286" s="12"/>
    </row>
    <row r="287" spans="1:15" x14ac:dyDescent="0.2">
      <c r="A287" t="s">
        <v>103</v>
      </c>
      <c r="B287" t="s">
        <v>142</v>
      </c>
      <c r="D287" s="15"/>
      <c r="O287" s="12"/>
    </row>
    <row r="288" spans="1:15" x14ac:dyDescent="0.2">
      <c r="A288" t="s">
        <v>104</v>
      </c>
      <c r="B288" t="s">
        <v>142</v>
      </c>
      <c r="D288" s="15"/>
      <c r="O288" s="12"/>
    </row>
    <row r="289" spans="1:15" x14ac:dyDescent="0.2">
      <c r="A289" t="s">
        <v>105</v>
      </c>
      <c r="B289" t="s">
        <v>142</v>
      </c>
      <c r="D289" s="15"/>
      <c r="O289" s="12"/>
    </row>
    <row r="290" spans="1:15" x14ac:dyDescent="0.2">
      <c r="A290" t="s">
        <v>106</v>
      </c>
      <c r="B290" t="s">
        <v>142</v>
      </c>
      <c r="D290" s="15"/>
      <c r="O290" s="12"/>
    </row>
    <row r="291" spans="1:15" x14ac:dyDescent="0.2">
      <c r="A291" t="s">
        <v>107</v>
      </c>
      <c r="B291" t="s">
        <v>142</v>
      </c>
      <c r="D291" s="15"/>
      <c r="O291" s="12"/>
    </row>
    <row r="292" spans="1:15" x14ac:dyDescent="0.2">
      <c r="A292" t="s">
        <v>108</v>
      </c>
      <c r="B292" t="s">
        <v>142</v>
      </c>
      <c r="D292" s="15"/>
      <c r="O292" s="12"/>
    </row>
    <row r="293" spans="1:15" x14ac:dyDescent="0.2">
      <c r="A293" t="s">
        <v>109</v>
      </c>
      <c r="B293" t="s">
        <v>142</v>
      </c>
      <c r="D293" s="15"/>
      <c r="O293" s="12"/>
    </row>
    <row r="294" spans="1:15" x14ac:dyDescent="0.2">
      <c r="A294" t="s">
        <v>110</v>
      </c>
      <c r="B294" t="s">
        <v>142</v>
      </c>
      <c r="D294" s="15"/>
      <c r="O294" s="12"/>
    </row>
    <row r="295" spans="1:15" x14ac:dyDescent="0.2">
      <c r="A295" t="s">
        <v>111</v>
      </c>
      <c r="B295" t="s">
        <v>142</v>
      </c>
      <c r="D295" s="15"/>
      <c r="O295" s="12"/>
    </row>
    <row r="296" spans="1:15" x14ac:dyDescent="0.2">
      <c r="A296" t="s">
        <v>112</v>
      </c>
      <c r="B296" t="s">
        <v>142</v>
      </c>
      <c r="D296" s="15"/>
      <c r="O296" s="12"/>
    </row>
    <row r="297" spans="1:15" x14ac:dyDescent="0.2">
      <c r="A297" t="s">
        <v>113</v>
      </c>
      <c r="B297" t="s">
        <v>142</v>
      </c>
      <c r="D297" s="15"/>
      <c r="O297" s="12"/>
    </row>
    <row r="298" spans="1:15" x14ac:dyDescent="0.2">
      <c r="A298" t="s">
        <v>114</v>
      </c>
      <c r="B298" t="s">
        <v>142</v>
      </c>
      <c r="D298" s="15"/>
      <c r="O298" s="12"/>
    </row>
    <row r="299" spans="1:15" x14ac:dyDescent="0.2">
      <c r="A299" t="s">
        <v>115</v>
      </c>
      <c r="B299" t="s">
        <v>142</v>
      </c>
      <c r="D299" s="15"/>
      <c r="O299" s="12"/>
    </row>
    <row r="300" spans="1:15" x14ac:dyDescent="0.2">
      <c r="A300" t="s">
        <v>116</v>
      </c>
      <c r="B300" t="s">
        <v>142</v>
      </c>
      <c r="D300" s="15"/>
      <c r="O300" s="12"/>
    </row>
    <row r="301" spans="1:15" x14ac:dyDescent="0.2">
      <c r="A301" t="s">
        <v>117</v>
      </c>
      <c r="B301" t="s">
        <v>142</v>
      </c>
      <c r="D301" s="15"/>
      <c r="O301" s="12"/>
    </row>
    <row r="302" spans="1:15" x14ac:dyDescent="0.2">
      <c r="A302" t="s">
        <v>118</v>
      </c>
      <c r="B302" t="s">
        <v>142</v>
      </c>
      <c r="D302" s="15"/>
      <c r="O302" s="12"/>
    </row>
    <row r="303" spans="1:15" x14ac:dyDescent="0.2">
      <c r="A303" t="s">
        <v>119</v>
      </c>
      <c r="B303" t="s">
        <v>142</v>
      </c>
      <c r="D303" s="15"/>
      <c r="O303" s="12"/>
    </row>
    <row r="304" spans="1:15" x14ac:dyDescent="0.2">
      <c r="A304" t="s">
        <v>120</v>
      </c>
      <c r="B304" t="s">
        <v>142</v>
      </c>
      <c r="D304" s="15"/>
      <c r="O304" s="12"/>
    </row>
    <row r="305" spans="1:15" x14ac:dyDescent="0.2">
      <c r="A305" t="s">
        <v>121</v>
      </c>
      <c r="B305" t="s">
        <v>142</v>
      </c>
      <c r="D305" s="15"/>
      <c r="O305" s="12"/>
    </row>
    <row r="306" spans="1:15" x14ac:dyDescent="0.2">
      <c r="A306" t="s">
        <v>122</v>
      </c>
      <c r="B306" t="s">
        <v>142</v>
      </c>
      <c r="D306" s="15"/>
      <c r="O306" s="12"/>
    </row>
    <row r="307" spans="1:15" x14ac:dyDescent="0.2">
      <c r="A307" t="s">
        <v>123</v>
      </c>
      <c r="B307" t="s">
        <v>142</v>
      </c>
      <c r="D307" s="15"/>
      <c r="O307" s="12"/>
    </row>
    <row r="308" spans="1:15" x14ac:dyDescent="0.2">
      <c r="A308" t="s">
        <v>124</v>
      </c>
      <c r="B308" t="s">
        <v>142</v>
      </c>
      <c r="D308" s="15"/>
      <c r="O308" s="12"/>
    </row>
    <row r="309" spans="1:15" x14ac:dyDescent="0.2">
      <c r="A309" t="s">
        <v>125</v>
      </c>
      <c r="B309" t="s">
        <v>142</v>
      </c>
      <c r="D309" s="15"/>
      <c r="O309" s="12"/>
    </row>
    <row r="310" spans="1:15" x14ac:dyDescent="0.2">
      <c r="A310" t="s">
        <v>126</v>
      </c>
      <c r="B310" t="s">
        <v>142</v>
      </c>
      <c r="D310" s="15"/>
      <c r="O310" s="12"/>
    </row>
    <row r="311" spans="1:15" x14ac:dyDescent="0.2">
      <c r="A311" t="s">
        <v>127</v>
      </c>
      <c r="B311" t="s">
        <v>142</v>
      </c>
      <c r="D311" s="15"/>
      <c r="O311" s="12"/>
    </row>
    <row r="312" spans="1:15" x14ac:dyDescent="0.2">
      <c r="A312" t="s">
        <v>128</v>
      </c>
      <c r="B312" t="s">
        <v>142</v>
      </c>
      <c r="D312" s="15"/>
      <c r="O312" s="12"/>
    </row>
    <row r="313" spans="1:15" x14ac:dyDescent="0.2">
      <c r="A313" t="s">
        <v>129</v>
      </c>
      <c r="B313" t="s">
        <v>142</v>
      </c>
      <c r="D313" s="15"/>
      <c r="O313" s="12"/>
    </row>
    <row r="314" spans="1:15" x14ac:dyDescent="0.2">
      <c r="A314" t="s">
        <v>130</v>
      </c>
      <c r="B314" t="s">
        <v>142</v>
      </c>
      <c r="D314" s="15"/>
      <c r="O314" s="12"/>
    </row>
    <row r="315" spans="1:15" x14ac:dyDescent="0.2">
      <c r="A315" t="s">
        <v>131</v>
      </c>
      <c r="B315" t="s">
        <v>142</v>
      </c>
      <c r="D315" s="15"/>
      <c r="O315" s="12"/>
    </row>
    <row r="316" spans="1:15" x14ac:dyDescent="0.2">
      <c r="A316" t="s">
        <v>132</v>
      </c>
      <c r="B316" t="s">
        <v>142</v>
      </c>
      <c r="D316" s="15"/>
      <c r="O316" s="12"/>
    </row>
    <row r="317" spans="1:15" x14ac:dyDescent="0.2">
      <c r="A317" t="s">
        <v>133</v>
      </c>
      <c r="B317" t="s">
        <v>142</v>
      </c>
      <c r="D317" s="15"/>
      <c r="O317" s="12"/>
    </row>
    <row r="318" spans="1:15" ht="16" thickBot="1" x14ac:dyDescent="0.25">
      <c r="A318" t="s">
        <v>134</v>
      </c>
      <c r="B318" t="s">
        <v>142</v>
      </c>
      <c r="D318" s="15"/>
      <c r="O318" s="12"/>
    </row>
    <row r="319" spans="1:15" ht="16" thickBot="1" x14ac:dyDescent="0.25">
      <c r="A319" s="185"/>
      <c r="B319" s="62"/>
      <c r="C319" s="61"/>
      <c r="D319" s="185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190"/>
    </row>
  </sheetData>
  <mergeCells count="2">
    <mergeCell ref="A1:B1"/>
    <mergeCell ref="D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zoomScale="80" zoomScaleNormal="80" workbookViewId="0">
      <pane xSplit="3" ySplit="3" topLeftCell="AD297" activePane="bottomRight" state="frozen"/>
      <selection pane="topRight" activeCell="D1" sqref="D1"/>
      <selection pane="bottomLeft" activeCell="A4" sqref="A4"/>
      <selection pane="bottomRight" activeCell="CH216" sqref="CH216:CK320"/>
    </sheetView>
  </sheetViews>
  <sheetFormatPr baseColWidth="10" defaultColWidth="9" defaultRowHeight="15" x14ac:dyDescent="0.2"/>
  <cols>
    <col min="2" max="2" width="14.5" bestFit="1" customWidth="1"/>
    <col min="3" max="3" width="2.83203125" customWidth="1"/>
    <col min="4" max="4" width="7" customWidth="1"/>
    <col min="5" max="5" width="7.6640625" bestFit="1" customWidth="1"/>
    <col min="6" max="6" width="7.5" customWidth="1"/>
    <col min="7" max="7" width="7" customWidth="1"/>
    <col min="8" max="8" width="7.83203125" bestFit="1" customWidth="1"/>
    <col min="9" max="9" width="7" customWidth="1"/>
    <col min="10" max="10" width="6.6640625" bestFit="1" customWidth="1"/>
    <col min="11" max="12" width="7.6640625" bestFit="1" customWidth="1"/>
    <col min="13" max="13" width="7" customWidth="1"/>
    <col min="14" max="14" width="7.5" bestFit="1" customWidth="1"/>
    <col min="15" max="15" width="7.6640625" bestFit="1" customWidth="1"/>
    <col min="16" max="16" width="2.83203125" customWidth="1"/>
    <col min="17" max="17" width="17" bestFit="1" customWidth="1"/>
    <col min="18" max="19" width="15.1640625" bestFit="1" customWidth="1"/>
    <col min="20" max="21" width="17" bestFit="1" customWidth="1"/>
    <col min="22" max="23" width="15.1640625" bestFit="1" customWidth="1"/>
    <col min="24" max="25" width="17" bestFit="1" customWidth="1"/>
    <col min="26" max="26" width="15.1640625" bestFit="1" customWidth="1"/>
    <col min="27" max="27" width="13.6640625" customWidth="1"/>
    <col min="28" max="28" width="17" bestFit="1" customWidth="1"/>
    <col min="29" max="30" width="13.5" bestFit="1" customWidth="1"/>
    <col min="31" max="31" width="15.1640625" bestFit="1" customWidth="1"/>
    <col min="32" max="32" width="15.5" bestFit="1" customWidth="1"/>
    <col min="33" max="35" width="15.1640625" bestFit="1" customWidth="1"/>
    <col min="36" max="36" width="15.6640625" bestFit="1" customWidth="1"/>
    <col min="37" max="39" width="15.1640625" bestFit="1" customWidth="1"/>
    <col min="40" max="40" width="15.5" bestFit="1" customWidth="1"/>
    <col min="41" max="43" width="15.1640625" bestFit="1" customWidth="1"/>
    <col min="44" max="44" width="15.5" style="10" bestFit="1" customWidth="1"/>
    <col min="45" max="45" width="15.1640625" bestFit="1" customWidth="1"/>
    <col min="46" max="46" width="14" bestFit="1" customWidth="1"/>
    <col min="47" max="47" width="15.1640625" bestFit="1" customWidth="1"/>
    <col min="48" max="48" width="15.5" style="10" bestFit="1" customWidth="1"/>
    <col min="49" max="51" width="15.1640625" bestFit="1" customWidth="1"/>
    <col min="52" max="52" width="15.5" customWidth="1"/>
    <col min="53" max="55" width="15.1640625" bestFit="1" customWidth="1"/>
    <col min="56" max="56" width="15.5" customWidth="1"/>
    <col min="57" max="59" width="15.1640625" bestFit="1" customWidth="1"/>
    <col min="60" max="60" width="15.5" customWidth="1"/>
    <col min="61" max="63" width="15.1640625" bestFit="1" customWidth="1"/>
    <col min="64" max="64" width="15.5" customWidth="1"/>
    <col min="65" max="65" width="2.83203125" customWidth="1"/>
    <col min="66" max="67" width="12" bestFit="1" customWidth="1"/>
    <col min="68" max="68" width="13" bestFit="1" customWidth="1"/>
    <col min="69" max="69" width="15.6640625" bestFit="1" customWidth="1"/>
    <col min="70" max="71" width="12" bestFit="1" customWidth="1"/>
    <col min="72" max="72" width="13" bestFit="1" customWidth="1"/>
    <col min="73" max="73" width="15.6640625" bestFit="1" customWidth="1"/>
    <col min="74" max="75" width="12" bestFit="1" customWidth="1"/>
    <col min="76" max="76" width="12.6640625" customWidth="1"/>
    <col min="77" max="77" width="15.6640625" bestFit="1" customWidth="1"/>
    <col min="78" max="79" width="12.33203125" bestFit="1" customWidth="1"/>
    <col min="80" max="80" width="13.5" bestFit="1" customWidth="1"/>
    <col min="81" max="81" width="15.6640625" customWidth="1"/>
    <col min="82" max="83" width="12.33203125" bestFit="1" customWidth="1"/>
    <col min="84" max="84" width="13.5" bestFit="1" customWidth="1"/>
    <col min="85" max="85" width="15.6640625" customWidth="1"/>
    <col min="86" max="86" width="12.33203125" bestFit="1" customWidth="1"/>
    <col min="87" max="88" width="13.5" bestFit="1" customWidth="1"/>
    <col min="89" max="89" width="15.83203125" bestFit="1" customWidth="1"/>
    <col min="90" max="91" width="12.33203125" bestFit="1" customWidth="1"/>
    <col min="92" max="92" width="13.5" bestFit="1" customWidth="1"/>
    <col min="93" max="93" width="15.6640625" bestFit="1" customWidth="1"/>
    <col min="94" max="96" width="12.33203125" bestFit="1" customWidth="1"/>
    <col min="97" max="97" width="15.6640625" bestFit="1" customWidth="1"/>
    <col min="98" max="99" width="12.33203125" bestFit="1" customWidth="1"/>
    <col min="100" max="100" width="13.5" bestFit="1" customWidth="1"/>
    <col min="101" max="101" width="15.83203125" bestFit="1" customWidth="1"/>
    <col min="102" max="103" width="13.5" bestFit="1" customWidth="1"/>
    <col min="104" max="104" width="15.1640625" bestFit="1" customWidth="1"/>
    <col min="105" max="105" width="15.5" customWidth="1"/>
    <col min="106" max="107" width="13.5" bestFit="1" customWidth="1"/>
    <col min="108" max="108" width="15.1640625" bestFit="1" customWidth="1"/>
    <col min="109" max="109" width="15.5" customWidth="1"/>
    <col min="110" max="111" width="12.33203125" bestFit="1" customWidth="1"/>
    <col min="112" max="112" width="13.83203125" bestFit="1" customWidth="1"/>
    <col min="113" max="113" width="15.5" customWidth="1"/>
    <col min="114" max="114" width="2.83203125" customWidth="1"/>
    <col min="115" max="126" width="13.5" bestFit="1" customWidth="1"/>
    <col min="127" max="127" width="2.83203125" customWidth="1"/>
    <col min="140" max="140" width="2.83203125" customWidth="1"/>
    <col min="153" max="153" width="2.83203125" customWidth="1"/>
    <col min="154" max="165" width="13.5" bestFit="1" customWidth="1"/>
    <col min="166" max="166" width="2.83203125" customWidth="1"/>
    <col min="167" max="178" width="13" bestFit="1" customWidth="1"/>
  </cols>
  <sheetData>
    <row r="1" spans="1:178" ht="15" customHeight="1" thickBot="1" x14ac:dyDescent="0.25">
      <c r="A1" s="296" t="s">
        <v>283</v>
      </c>
      <c r="B1" s="296"/>
      <c r="C1" s="1"/>
      <c r="D1" s="313" t="s">
        <v>10</v>
      </c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1"/>
      <c r="Q1" s="322" t="s">
        <v>11</v>
      </c>
      <c r="R1" s="322"/>
      <c r="S1" s="322"/>
      <c r="T1" s="322"/>
      <c r="U1" s="322"/>
      <c r="V1" s="322"/>
      <c r="W1" s="322"/>
      <c r="X1" s="322"/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  <c r="AM1" s="322"/>
      <c r="AN1" s="322"/>
      <c r="AO1" s="322"/>
      <c r="AP1" s="322"/>
      <c r="AQ1" s="322"/>
      <c r="AR1" s="322"/>
      <c r="AS1" s="322"/>
      <c r="AT1" s="322"/>
      <c r="AU1" s="322"/>
      <c r="AV1" s="322"/>
      <c r="AW1" s="322"/>
      <c r="AX1" s="322"/>
      <c r="AY1" s="322"/>
      <c r="AZ1" s="323"/>
      <c r="BM1" s="1"/>
      <c r="BN1" s="316" t="s">
        <v>12</v>
      </c>
      <c r="BO1" s="317"/>
      <c r="BP1" s="317"/>
      <c r="BQ1" s="317"/>
      <c r="BR1" s="317"/>
      <c r="BS1" s="317"/>
      <c r="BT1" s="317"/>
      <c r="BU1" s="317"/>
      <c r="BV1" s="317"/>
      <c r="BW1" s="317"/>
      <c r="BX1" s="317"/>
      <c r="BY1" s="317"/>
      <c r="BZ1" s="317"/>
      <c r="CA1" s="317"/>
      <c r="CB1" s="317"/>
      <c r="CC1" s="317"/>
      <c r="CD1" s="317"/>
      <c r="CE1" s="317"/>
      <c r="CF1" s="317"/>
      <c r="CG1" s="317"/>
      <c r="CH1" s="317"/>
      <c r="CI1" s="317"/>
      <c r="CJ1" s="317"/>
      <c r="CK1" s="317"/>
      <c r="CL1" s="317"/>
      <c r="CM1" s="317"/>
      <c r="CN1" s="317"/>
      <c r="CO1" s="317"/>
      <c r="CP1" s="317"/>
      <c r="CQ1" s="317"/>
      <c r="CR1" s="317"/>
      <c r="CS1" s="317"/>
      <c r="CT1" s="317"/>
      <c r="CU1" s="317"/>
      <c r="CV1" s="317"/>
      <c r="CW1" s="318"/>
      <c r="DJ1" s="1"/>
      <c r="DK1" s="294" t="s">
        <v>8</v>
      </c>
      <c r="DL1" s="294"/>
      <c r="DM1" s="294"/>
      <c r="DN1" s="294"/>
      <c r="DO1" s="294"/>
      <c r="DP1" s="294"/>
      <c r="DQ1" s="294"/>
      <c r="DR1" s="294"/>
      <c r="DS1" s="294"/>
      <c r="DT1" s="294"/>
      <c r="DU1" s="294"/>
      <c r="DV1" s="294"/>
      <c r="DW1" s="1"/>
      <c r="DX1" s="298" t="s">
        <v>9</v>
      </c>
      <c r="DY1" s="298"/>
      <c r="DZ1" s="298"/>
      <c r="EA1" s="298"/>
      <c r="EB1" s="298"/>
      <c r="EC1" s="298"/>
      <c r="ED1" s="298"/>
      <c r="EE1" s="298"/>
      <c r="EF1" s="298"/>
      <c r="EG1" s="298"/>
      <c r="EH1" s="298"/>
      <c r="EI1" s="298"/>
      <c r="EJ1" s="1"/>
      <c r="EK1" s="294" t="s">
        <v>13</v>
      </c>
      <c r="EL1" s="294"/>
      <c r="EM1" s="294"/>
      <c r="EN1" s="294"/>
      <c r="EO1" s="294"/>
      <c r="EP1" s="294"/>
      <c r="EQ1" s="294"/>
      <c r="ER1" s="294"/>
      <c r="ES1" s="294"/>
      <c r="ET1" s="294"/>
      <c r="EU1" s="294"/>
      <c r="EV1" s="294"/>
      <c r="EW1" s="1"/>
      <c r="EX1" s="294" t="s">
        <v>15</v>
      </c>
      <c r="EY1" s="294"/>
      <c r="EZ1" s="294"/>
      <c r="FA1" s="294"/>
      <c r="FB1" s="294"/>
      <c r="FC1" s="294"/>
      <c r="FD1" s="294"/>
      <c r="FE1" s="294"/>
      <c r="FF1" s="294"/>
      <c r="FG1" s="294"/>
      <c r="FH1" s="294"/>
      <c r="FI1" s="294"/>
      <c r="FJ1" s="1"/>
      <c r="FK1" s="294" t="s">
        <v>14</v>
      </c>
      <c r="FL1" s="294"/>
      <c r="FM1" s="294"/>
      <c r="FN1" s="294"/>
      <c r="FO1" s="294"/>
      <c r="FP1" s="294"/>
      <c r="FQ1" s="294"/>
      <c r="FR1" s="294"/>
      <c r="FS1" s="294"/>
      <c r="FT1" s="294"/>
      <c r="FU1" s="294"/>
      <c r="FV1" s="294"/>
    </row>
    <row r="2" spans="1:178" ht="16" thickBot="1" x14ac:dyDescent="0.25">
      <c r="A2" s="296"/>
      <c r="B2" s="296"/>
      <c r="C2" s="1"/>
      <c r="D2" s="314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1"/>
      <c r="Q2" s="319">
        <v>45292</v>
      </c>
      <c r="R2" s="320"/>
      <c r="S2" s="320"/>
      <c r="T2" s="321"/>
      <c r="U2" s="319">
        <v>45323</v>
      </c>
      <c r="V2" s="320"/>
      <c r="W2" s="320"/>
      <c r="X2" s="321"/>
      <c r="Y2" s="319">
        <v>45352</v>
      </c>
      <c r="Z2" s="320"/>
      <c r="AA2" s="320"/>
      <c r="AB2" s="321"/>
      <c r="AC2" s="319">
        <v>45383</v>
      </c>
      <c r="AD2" s="320"/>
      <c r="AE2" s="320"/>
      <c r="AF2" s="321"/>
      <c r="AG2" s="319">
        <v>45413</v>
      </c>
      <c r="AH2" s="320"/>
      <c r="AI2" s="320"/>
      <c r="AJ2" s="321"/>
      <c r="AK2" s="319">
        <v>45444</v>
      </c>
      <c r="AL2" s="320"/>
      <c r="AM2" s="320"/>
      <c r="AN2" s="321"/>
      <c r="AO2" s="319">
        <v>45474</v>
      </c>
      <c r="AP2" s="320"/>
      <c r="AQ2" s="320"/>
      <c r="AR2" s="321"/>
      <c r="AS2" s="319">
        <v>45505</v>
      </c>
      <c r="AT2" s="320"/>
      <c r="AU2" s="320"/>
      <c r="AV2" s="321"/>
      <c r="AW2" s="319">
        <v>45536</v>
      </c>
      <c r="AX2" s="320"/>
      <c r="AY2" s="320"/>
      <c r="AZ2" s="321"/>
      <c r="BA2" s="319">
        <v>45566</v>
      </c>
      <c r="BB2" s="320"/>
      <c r="BC2" s="320"/>
      <c r="BD2" s="321"/>
      <c r="BE2" s="319">
        <v>45597</v>
      </c>
      <c r="BF2" s="320"/>
      <c r="BG2" s="320"/>
      <c r="BH2" s="321"/>
      <c r="BI2" s="319">
        <v>45627</v>
      </c>
      <c r="BJ2" s="320"/>
      <c r="BK2" s="320"/>
      <c r="BL2" s="321"/>
      <c r="BM2" s="1"/>
      <c r="BN2" s="319">
        <v>45292</v>
      </c>
      <c r="BO2" s="320"/>
      <c r="BP2" s="320"/>
      <c r="BQ2" s="321"/>
      <c r="BR2" s="319">
        <v>45323</v>
      </c>
      <c r="BS2" s="320"/>
      <c r="BT2" s="320"/>
      <c r="BU2" s="321"/>
      <c r="BV2" s="319">
        <v>45352</v>
      </c>
      <c r="BW2" s="320"/>
      <c r="BX2" s="320"/>
      <c r="BY2" s="321"/>
      <c r="BZ2" s="319">
        <v>45383</v>
      </c>
      <c r="CA2" s="320"/>
      <c r="CB2" s="320"/>
      <c r="CC2" s="321"/>
      <c r="CD2" s="319">
        <v>45413</v>
      </c>
      <c r="CE2" s="320"/>
      <c r="CF2" s="320"/>
      <c r="CG2" s="321"/>
      <c r="CH2" s="324">
        <v>45444</v>
      </c>
      <c r="CI2" s="320"/>
      <c r="CJ2" s="320"/>
      <c r="CK2" s="321"/>
      <c r="CL2" s="319">
        <v>45474</v>
      </c>
      <c r="CM2" s="320"/>
      <c r="CN2" s="320"/>
      <c r="CO2" s="321"/>
      <c r="CP2" s="319">
        <v>45505</v>
      </c>
      <c r="CQ2" s="320"/>
      <c r="CR2" s="320"/>
      <c r="CS2" s="321"/>
      <c r="CT2" s="319">
        <v>45536</v>
      </c>
      <c r="CU2" s="320"/>
      <c r="CV2" s="320"/>
      <c r="CW2" s="321"/>
      <c r="CX2" s="319">
        <v>45566</v>
      </c>
      <c r="CY2" s="320"/>
      <c r="CZ2" s="320"/>
      <c r="DA2" s="321"/>
      <c r="DB2" s="324">
        <v>45597</v>
      </c>
      <c r="DC2" s="320"/>
      <c r="DD2" s="320"/>
      <c r="DE2" s="328"/>
      <c r="DF2" s="325">
        <v>45627</v>
      </c>
      <c r="DG2" s="326"/>
      <c r="DH2" s="326"/>
      <c r="DI2" s="327"/>
      <c r="DJ2" s="1"/>
      <c r="DK2" s="322"/>
      <c r="DL2" s="322"/>
      <c r="DM2" s="322"/>
      <c r="DN2" s="322"/>
      <c r="DO2" s="322"/>
      <c r="DP2" s="322"/>
      <c r="DQ2" s="322"/>
      <c r="DR2" s="322"/>
      <c r="DS2" s="322"/>
      <c r="DT2" s="322"/>
      <c r="DU2" s="322"/>
      <c r="DV2" s="322"/>
      <c r="DW2" s="1"/>
      <c r="DX2" s="301"/>
      <c r="DY2" s="301"/>
      <c r="DZ2" s="301"/>
      <c r="EA2" s="301"/>
      <c r="EB2" s="301"/>
      <c r="EC2" s="301"/>
      <c r="ED2" s="301"/>
      <c r="EE2" s="301"/>
      <c r="EF2" s="301"/>
      <c r="EG2" s="301"/>
      <c r="EH2" s="301"/>
      <c r="EI2" s="301"/>
      <c r="EJ2" s="1"/>
      <c r="EK2" s="322"/>
      <c r="EL2" s="322"/>
      <c r="EM2" s="322"/>
      <c r="EN2" s="322"/>
      <c r="EO2" s="322"/>
      <c r="EP2" s="322"/>
      <c r="EQ2" s="322"/>
      <c r="ER2" s="322"/>
      <c r="ES2" s="322"/>
      <c r="ET2" s="322"/>
      <c r="EU2" s="322"/>
      <c r="EV2" s="322"/>
      <c r="EW2" s="1"/>
      <c r="EX2" s="322"/>
      <c r="EY2" s="322"/>
      <c r="EZ2" s="322"/>
      <c r="FA2" s="322"/>
      <c r="FB2" s="322"/>
      <c r="FC2" s="322"/>
      <c r="FD2" s="322"/>
      <c r="FE2" s="322"/>
      <c r="FF2" s="322"/>
      <c r="FG2" s="322"/>
      <c r="FH2" s="322"/>
      <c r="FI2" s="322"/>
      <c r="FJ2" s="1"/>
      <c r="FK2" s="322"/>
      <c r="FL2" s="322"/>
      <c r="FM2" s="322"/>
      <c r="FN2" s="322"/>
      <c r="FO2" s="322"/>
      <c r="FP2" s="322"/>
      <c r="FQ2" s="322"/>
      <c r="FR2" s="322"/>
      <c r="FS2" s="322"/>
      <c r="FT2" s="322"/>
      <c r="FU2" s="322"/>
      <c r="FV2" s="322"/>
    </row>
    <row r="3" spans="1:178" ht="16" thickBot="1" x14ac:dyDescent="0.25">
      <c r="A3" s="44" t="s">
        <v>0</v>
      </c>
      <c r="B3" s="44" t="s">
        <v>1</v>
      </c>
      <c r="C3" s="1"/>
      <c r="D3" s="252">
        <v>45658</v>
      </c>
      <c r="E3" s="256">
        <v>45689</v>
      </c>
      <c r="F3" s="256">
        <v>45717</v>
      </c>
      <c r="G3" s="256">
        <v>45748</v>
      </c>
      <c r="H3" s="256">
        <v>45778</v>
      </c>
      <c r="I3" s="257">
        <v>45809</v>
      </c>
      <c r="J3" s="256">
        <v>45839</v>
      </c>
      <c r="K3" s="256">
        <v>45870</v>
      </c>
      <c r="L3" s="256">
        <v>45901</v>
      </c>
      <c r="M3" s="256">
        <v>45931</v>
      </c>
      <c r="N3" s="256">
        <v>45962</v>
      </c>
      <c r="O3" s="254">
        <v>45992</v>
      </c>
      <c r="P3" s="46"/>
      <c r="Q3" s="35" t="s">
        <v>4</v>
      </c>
      <c r="R3" s="2" t="s">
        <v>5</v>
      </c>
      <c r="S3" s="2" t="s">
        <v>6</v>
      </c>
      <c r="T3" s="36" t="s">
        <v>7</v>
      </c>
      <c r="U3" s="35" t="s">
        <v>4</v>
      </c>
      <c r="V3" s="2" t="s">
        <v>5</v>
      </c>
      <c r="W3" s="2" t="s">
        <v>6</v>
      </c>
      <c r="X3" s="36" t="s">
        <v>7</v>
      </c>
      <c r="Y3" s="35" t="s">
        <v>4</v>
      </c>
      <c r="Z3" s="2" t="s">
        <v>5</v>
      </c>
      <c r="AA3" s="2" t="s">
        <v>6</v>
      </c>
      <c r="AB3" s="36" t="s">
        <v>7</v>
      </c>
      <c r="AC3" s="35" t="s">
        <v>4</v>
      </c>
      <c r="AD3" s="2" t="s">
        <v>5</v>
      </c>
      <c r="AE3" s="2" t="s">
        <v>6</v>
      </c>
      <c r="AF3" s="36" t="s">
        <v>7</v>
      </c>
      <c r="AG3" s="35" t="s">
        <v>4</v>
      </c>
      <c r="AH3" s="2" t="s">
        <v>5</v>
      </c>
      <c r="AI3" s="2" t="s">
        <v>6</v>
      </c>
      <c r="AJ3" s="36" t="s">
        <v>7</v>
      </c>
      <c r="AK3" s="35" t="s">
        <v>4</v>
      </c>
      <c r="AL3" s="2" t="s">
        <v>5</v>
      </c>
      <c r="AM3" s="2" t="s">
        <v>6</v>
      </c>
      <c r="AN3" s="36" t="s">
        <v>7</v>
      </c>
      <c r="AO3" s="219" t="s">
        <v>4</v>
      </c>
      <c r="AP3" s="220" t="s">
        <v>5</v>
      </c>
      <c r="AQ3" s="220" t="s">
        <v>6</v>
      </c>
      <c r="AR3" s="222" t="s">
        <v>7</v>
      </c>
      <c r="AS3" s="219" t="s">
        <v>4</v>
      </c>
      <c r="AT3" s="220" t="s">
        <v>5</v>
      </c>
      <c r="AU3" s="220" t="s">
        <v>6</v>
      </c>
      <c r="AV3" s="222" t="s">
        <v>7</v>
      </c>
      <c r="AW3" s="219" t="s">
        <v>4</v>
      </c>
      <c r="AX3" s="220" t="s">
        <v>5</v>
      </c>
      <c r="AY3" s="220" t="s">
        <v>6</v>
      </c>
      <c r="AZ3" s="221" t="s">
        <v>7</v>
      </c>
      <c r="BA3" s="219" t="s">
        <v>4</v>
      </c>
      <c r="BB3" s="220" t="s">
        <v>5</v>
      </c>
      <c r="BC3" s="220" t="s">
        <v>6</v>
      </c>
      <c r="BD3" s="221" t="s">
        <v>7</v>
      </c>
      <c r="BE3" s="219" t="s">
        <v>4</v>
      </c>
      <c r="BF3" s="220" t="s">
        <v>5</v>
      </c>
      <c r="BG3" s="220" t="s">
        <v>6</v>
      </c>
      <c r="BH3" s="221" t="s">
        <v>7</v>
      </c>
      <c r="BI3" s="219" t="s">
        <v>4</v>
      </c>
      <c r="BJ3" s="220" t="s">
        <v>5</v>
      </c>
      <c r="BK3" s="220" t="s">
        <v>6</v>
      </c>
      <c r="BL3" s="221" t="s">
        <v>7</v>
      </c>
      <c r="BM3" s="46"/>
      <c r="BN3" s="35" t="s">
        <v>4</v>
      </c>
      <c r="BO3" s="2" t="s">
        <v>5</v>
      </c>
      <c r="BP3" s="2" t="s">
        <v>6</v>
      </c>
      <c r="BQ3" s="36" t="s">
        <v>7</v>
      </c>
      <c r="BR3" s="35" t="s">
        <v>4</v>
      </c>
      <c r="BS3" s="2" t="s">
        <v>5</v>
      </c>
      <c r="BT3" s="2" t="s">
        <v>6</v>
      </c>
      <c r="BU3" s="36" t="s">
        <v>7</v>
      </c>
      <c r="BV3" s="35" t="s">
        <v>4</v>
      </c>
      <c r="BW3" s="2" t="s">
        <v>5</v>
      </c>
      <c r="BX3" s="2" t="s">
        <v>6</v>
      </c>
      <c r="BY3" s="36" t="s">
        <v>7</v>
      </c>
      <c r="BZ3" s="35" t="s">
        <v>4</v>
      </c>
      <c r="CA3" s="2" t="s">
        <v>5</v>
      </c>
      <c r="CB3" s="2" t="s">
        <v>6</v>
      </c>
      <c r="CC3" s="36" t="s">
        <v>7</v>
      </c>
      <c r="CD3" s="35" t="s">
        <v>4</v>
      </c>
      <c r="CE3" s="2" t="s">
        <v>5</v>
      </c>
      <c r="CF3" s="2" t="s">
        <v>6</v>
      </c>
      <c r="CG3" s="36" t="s">
        <v>7</v>
      </c>
      <c r="CH3" s="45" t="s">
        <v>4</v>
      </c>
      <c r="CI3" s="2" t="s">
        <v>5</v>
      </c>
      <c r="CJ3" s="2" t="s">
        <v>6</v>
      </c>
      <c r="CK3" s="36" t="s">
        <v>7</v>
      </c>
      <c r="CL3" s="35" t="s">
        <v>4</v>
      </c>
      <c r="CM3" s="2" t="s">
        <v>5</v>
      </c>
      <c r="CN3" s="2" t="s">
        <v>6</v>
      </c>
      <c r="CO3" s="36" t="s">
        <v>7</v>
      </c>
      <c r="CP3" s="35" t="s">
        <v>4</v>
      </c>
      <c r="CQ3" s="2" t="s">
        <v>5</v>
      </c>
      <c r="CR3" s="2" t="s">
        <v>6</v>
      </c>
      <c r="CS3" s="36" t="s">
        <v>7</v>
      </c>
      <c r="CT3" s="35" t="s">
        <v>4</v>
      </c>
      <c r="CU3" s="2" t="s">
        <v>5</v>
      </c>
      <c r="CV3" s="2" t="s">
        <v>6</v>
      </c>
      <c r="CW3" s="36" t="s">
        <v>7</v>
      </c>
      <c r="CX3" s="35" t="s">
        <v>4</v>
      </c>
      <c r="CY3" s="2" t="s">
        <v>5</v>
      </c>
      <c r="CZ3" s="2" t="s">
        <v>6</v>
      </c>
      <c r="DA3" s="36" t="s">
        <v>7</v>
      </c>
      <c r="DB3" s="45" t="s">
        <v>4</v>
      </c>
      <c r="DC3" s="2" t="s">
        <v>5</v>
      </c>
      <c r="DD3" s="2" t="s">
        <v>6</v>
      </c>
      <c r="DE3" s="47" t="s">
        <v>7</v>
      </c>
      <c r="DF3" s="204" t="s">
        <v>4</v>
      </c>
      <c r="DG3" s="205" t="s">
        <v>5</v>
      </c>
      <c r="DH3" s="205" t="s">
        <v>6</v>
      </c>
      <c r="DI3" s="206" t="s">
        <v>7</v>
      </c>
      <c r="DJ3" s="46"/>
      <c r="DK3" s="3">
        <v>45658</v>
      </c>
      <c r="DL3" s="3">
        <v>45689</v>
      </c>
      <c r="DM3" s="3">
        <v>45717</v>
      </c>
      <c r="DN3" s="3">
        <v>45748</v>
      </c>
      <c r="DO3" s="3">
        <v>45778</v>
      </c>
      <c r="DP3" s="4">
        <v>45809</v>
      </c>
      <c r="DQ3" s="3">
        <v>45839</v>
      </c>
      <c r="DR3" s="3">
        <v>45870</v>
      </c>
      <c r="DS3" s="3">
        <v>45901</v>
      </c>
      <c r="DT3" s="3">
        <v>45931</v>
      </c>
      <c r="DU3" s="3">
        <v>45962</v>
      </c>
      <c r="DV3" s="3">
        <v>45992</v>
      </c>
      <c r="DW3" s="46"/>
      <c r="DX3" s="3">
        <v>45658</v>
      </c>
      <c r="DY3" s="3">
        <v>45689</v>
      </c>
      <c r="DZ3" s="3">
        <v>45717</v>
      </c>
      <c r="EA3" s="3">
        <v>45748</v>
      </c>
      <c r="EB3" s="3">
        <v>45778</v>
      </c>
      <c r="EC3" s="4">
        <v>45809</v>
      </c>
      <c r="ED3" s="3">
        <v>45839</v>
      </c>
      <c r="EE3" s="3">
        <v>45870</v>
      </c>
      <c r="EF3" s="3">
        <v>45901</v>
      </c>
      <c r="EG3" s="3">
        <v>45931</v>
      </c>
      <c r="EH3" s="3">
        <v>45962</v>
      </c>
      <c r="EI3" s="3">
        <v>45992</v>
      </c>
      <c r="EJ3" s="46"/>
      <c r="EK3" s="3">
        <v>45658</v>
      </c>
      <c r="EL3" s="3">
        <v>45689</v>
      </c>
      <c r="EM3" s="3">
        <v>45717</v>
      </c>
      <c r="EN3" s="3">
        <v>45748</v>
      </c>
      <c r="EO3" s="3">
        <v>45778</v>
      </c>
      <c r="EP3" s="4">
        <v>45809</v>
      </c>
      <c r="EQ3" s="3">
        <v>45839</v>
      </c>
      <c r="ER3" s="3">
        <v>45870</v>
      </c>
      <c r="ES3" s="3">
        <v>45901</v>
      </c>
      <c r="ET3" s="3">
        <v>45931</v>
      </c>
      <c r="EU3" s="3">
        <v>45962</v>
      </c>
      <c r="EV3" s="3">
        <v>45992</v>
      </c>
      <c r="EW3" s="46"/>
      <c r="EX3" s="250">
        <v>45658</v>
      </c>
      <c r="EY3" s="250">
        <v>45689</v>
      </c>
      <c r="EZ3" s="250">
        <v>45717</v>
      </c>
      <c r="FA3" s="250">
        <v>45748</v>
      </c>
      <c r="FB3" s="250">
        <v>45778</v>
      </c>
      <c r="FC3" s="251">
        <v>45809</v>
      </c>
      <c r="FD3" s="250">
        <v>45839</v>
      </c>
      <c r="FE3" s="250">
        <v>45870</v>
      </c>
      <c r="FF3" s="250">
        <v>45901</v>
      </c>
      <c r="FG3" s="250">
        <v>45931</v>
      </c>
      <c r="FH3" s="250">
        <v>45962</v>
      </c>
      <c r="FI3" s="250">
        <v>45992</v>
      </c>
      <c r="FJ3" s="46"/>
      <c r="FK3" s="250">
        <v>45658</v>
      </c>
      <c r="FL3" s="250">
        <v>45689</v>
      </c>
      <c r="FM3" s="250">
        <v>45717</v>
      </c>
      <c r="FN3" s="250">
        <v>45748</v>
      </c>
      <c r="FO3" s="250">
        <v>45778</v>
      </c>
      <c r="FP3" s="251">
        <v>45809</v>
      </c>
      <c r="FQ3" s="250">
        <v>45839</v>
      </c>
      <c r="FR3" s="250">
        <v>45870</v>
      </c>
      <c r="FS3" s="250">
        <v>45901</v>
      </c>
      <c r="FT3" s="250">
        <v>45931</v>
      </c>
      <c r="FU3" s="250">
        <v>45962</v>
      </c>
      <c r="FV3" s="250">
        <v>45992</v>
      </c>
    </row>
    <row r="4" spans="1:178" ht="16" thickBot="1" x14ac:dyDescent="0.25">
      <c r="A4" s="20" t="s">
        <v>31</v>
      </c>
      <c r="B4" s="21" t="s">
        <v>140</v>
      </c>
      <c r="C4" s="22"/>
      <c r="D4" s="17">
        <v>10</v>
      </c>
      <c r="E4" s="17">
        <v>8</v>
      </c>
      <c r="F4" s="161">
        <v>10</v>
      </c>
      <c r="G4" s="87">
        <v>8</v>
      </c>
      <c r="H4" s="243">
        <v>6</v>
      </c>
      <c r="I4" s="87">
        <v>8</v>
      </c>
      <c r="J4" s="17"/>
      <c r="K4" s="17"/>
      <c r="L4" s="17"/>
      <c r="M4" s="17"/>
      <c r="N4" s="17"/>
      <c r="O4" s="17"/>
      <c r="P4" s="1"/>
      <c r="Q4" s="48">
        <v>989.03</v>
      </c>
      <c r="R4" s="49"/>
      <c r="S4" s="49">
        <v>1617.22</v>
      </c>
      <c r="T4" s="50">
        <f>SUM(Q4:S4)</f>
        <v>2606.25</v>
      </c>
      <c r="U4" s="48">
        <v>1899.67</v>
      </c>
      <c r="V4" s="49">
        <v>767</v>
      </c>
      <c r="W4" s="49">
        <v>0</v>
      </c>
      <c r="X4" s="50">
        <f>U4+V4+W4</f>
        <v>2666.67</v>
      </c>
      <c r="Y4" s="48">
        <v>2522.96</v>
      </c>
      <c r="Z4" s="49">
        <v>1242.96</v>
      </c>
      <c r="AA4" s="49">
        <v>1235.8900000000001</v>
      </c>
      <c r="AB4" s="50">
        <f>Y4+Z4+AA4</f>
        <v>5001.8100000000004</v>
      </c>
      <c r="AC4" s="164">
        <v>401.2</v>
      </c>
      <c r="AD4" s="165">
        <v>1173.9000000000001</v>
      </c>
      <c r="AE4" s="165">
        <v>2166.9</v>
      </c>
      <c r="AF4" s="151">
        <f>AC4+AD4+AE4</f>
        <v>3742</v>
      </c>
      <c r="AG4" s="165">
        <v>169.04</v>
      </c>
      <c r="AH4" s="165">
        <v>86.64</v>
      </c>
      <c r="AI4" s="165">
        <v>2469.48</v>
      </c>
      <c r="AJ4" s="151">
        <f>AG4+AH4+AI4</f>
        <v>2725.16</v>
      </c>
      <c r="AK4" s="192">
        <v>851.03</v>
      </c>
      <c r="AL4" s="192"/>
      <c r="AM4" s="192">
        <v>2479.37</v>
      </c>
      <c r="AN4" s="151">
        <f>AK4+AL4+AM4</f>
        <v>3330.3999999999996</v>
      </c>
      <c r="AO4" s="191"/>
      <c r="AP4" s="192"/>
      <c r="AQ4" s="192"/>
      <c r="AR4" s="151"/>
      <c r="AS4" s="191"/>
      <c r="AT4" s="192"/>
      <c r="AU4" s="192"/>
      <c r="AV4" s="151"/>
      <c r="AW4" s="191"/>
      <c r="AX4" s="192"/>
      <c r="AY4" s="192"/>
      <c r="AZ4" s="151"/>
      <c r="BA4" s="191"/>
      <c r="BB4" s="10"/>
      <c r="BC4" s="10"/>
      <c r="BD4" s="151"/>
      <c r="BE4" s="191"/>
      <c r="BF4" s="10"/>
      <c r="BG4" s="10"/>
      <c r="BH4" s="151"/>
      <c r="BI4" s="191"/>
      <c r="BJ4" s="10"/>
      <c r="BK4" s="10"/>
      <c r="BL4" s="151"/>
      <c r="BM4" s="1"/>
      <c r="BN4" s="48"/>
      <c r="BO4" s="49"/>
      <c r="BP4" s="49"/>
      <c r="BQ4" s="50"/>
      <c r="BR4" s="48"/>
      <c r="BS4" s="49"/>
      <c r="BT4" s="49"/>
      <c r="BU4" s="50"/>
      <c r="BV4" s="48"/>
      <c r="BW4" s="49"/>
      <c r="BX4" s="49"/>
      <c r="BY4" s="50"/>
      <c r="BZ4" s="48"/>
      <c r="CA4" s="49"/>
      <c r="CB4" s="49"/>
      <c r="CC4" s="50"/>
      <c r="CD4" s="48"/>
      <c r="CE4" s="49"/>
      <c r="CF4" s="49"/>
      <c r="CG4" s="50"/>
      <c r="CK4" s="12"/>
      <c r="CL4" s="15"/>
      <c r="CO4" s="12"/>
      <c r="CP4" s="15"/>
      <c r="CS4" s="12"/>
      <c r="CT4" s="15"/>
      <c r="CW4" s="12"/>
      <c r="CX4" s="15"/>
      <c r="DA4" s="12"/>
      <c r="DF4" s="15"/>
      <c r="DI4" s="12"/>
      <c r="DJ4" s="1"/>
      <c r="DK4" s="224"/>
      <c r="DL4" s="224">
        <v>403.06</v>
      </c>
      <c r="DM4" s="224"/>
      <c r="DN4" s="224"/>
      <c r="DO4" s="224"/>
      <c r="DP4" s="224"/>
      <c r="DQ4" s="225"/>
      <c r="DR4" s="225"/>
      <c r="DS4" s="10"/>
      <c r="DT4" s="225"/>
      <c r="DU4" s="192"/>
      <c r="DV4" s="225"/>
      <c r="DW4" s="1"/>
      <c r="DX4" s="21"/>
      <c r="EJ4" s="1"/>
      <c r="EK4" s="41"/>
      <c r="EL4" s="41">
        <v>1</v>
      </c>
      <c r="EM4" s="41"/>
      <c r="EN4" s="41"/>
      <c r="EO4" s="41"/>
      <c r="EP4" s="41"/>
      <c r="EQ4" s="41"/>
      <c r="ER4" s="41"/>
      <c r="ES4" s="41"/>
      <c r="EU4" s="17"/>
      <c r="EW4" s="1"/>
      <c r="EX4" s="224"/>
      <c r="EY4" s="224">
        <v>403.06</v>
      </c>
      <c r="EZ4" s="224"/>
      <c r="FA4" s="224"/>
      <c r="FB4" s="224"/>
      <c r="FC4" s="224"/>
      <c r="FD4" s="224"/>
      <c r="FE4" s="224"/>
      <c r="FF4" s="224"/>
      <c r="FG4" s="192"/>
      <c r="FH4" s="225"/>
      <c r="FI4" s="192"/>
      <c r="FJ4" s="1"/>
      <c r="FK4" s="224"/>
      <c r="FL4" s="224"/>
      <c r="FM4" s="230"/>
      <c r="FN4" s="230"/>
      <c r="FO4" s="224"/>
      <c r="FP4" s="224"/>
      <c r="FQ4" s="231"/>
      <c r="FR4" s="231"/>
      <c r="FS4" s="232"/>
      <c r="FT4" s="191"/>
      <c r="FU4" s="225"/>
      <c r="FV4" s="151"/>
    </row>
    <row r="5" spans="1:178" ht="16" thickBot="1" x14ac:dyDescent="0.25">
      <c r="A5" s="27" t="s">
        <v>32</v>
      </c>
      <c r="B5" t="s">
        <v>140</v>
      </c>
      <c r="C5" s="1"/>
      <c r="D5" s="17">
        <v>6</v>
      </c>
      <c r="E5" s="17">
        <v>9</v>
      </c>
      <c r="F5" s="161">
        <v>11</v>
      </c>
      <c r="G5" s="87">
        <v>7</v>
      </c>
      <c r="H5" s="243">
        <v>5</v>
      </c>
      <c r="I5" s="87">
        <v>7</v>
      </c>
      <c r="J5" s="17"/>
      <c r="K5" s="17"/>
      <c r="L5" s="17"/>
      <c r="M5" s="17"/>
      <c r="N5" s="17"/>
      <c r="O5" s="17"/>
      <c r="P5" s="1"/>
      <c r="Q5" s="48">
        <v>299.25</v>
      </c>
      <c r="R5" s="49">
        <v>1520.78</v>
      </c>
      <c r="S5" s="49">
        <v>0</v>
      </c>
      <c r="T5" s="50">
        <f t="shared" ref="T5:T68" si="0">SUM(Q5:S5)</f>
        <v>1820.03</v>
      </c>
      <c r="U5" s="48">
        <v>8189.35</v>
      </c>
      <c r="V5" s="49">
        <v>34.53</v>
      </c>
      <c r="W5" s="49">
        <v>0</v>
      </c>
      <c r="X5" s="50">
        <f t="shared" ref="X5:X68" si="1">U5+V5+W5</f>
        <v>8223.880000000001</v>
      </c>
      <c r="Y5" s="48">
        <v>11422.86</v>
      </c>
      <c r="Z5" s="49">
        <v>1415.17</v>
      </c>
      <c r="AA5" s="49">
        <v>52.46</v>
      </c>
      <c r="AB5" s="50">
        <f t="shared" ref="AB5:AB68" si="2">Y5+Z5+AA5</f>
        <v>12890.49</v>
      </c>
      <c r="AC5" s="164">
        <v>185.34</v>
      </c>
      <c r="AD5" s="165">
        <v>878.07</v>
      </c>
      <c r="AE5" s="165">
        <v>69.14</v>
      </c>
      <c r="AF5" s="151">
        <f t="shared" ref="AF5:AF68" si="3">AC5+AD5+AE5</f>
        <v>1132.5500000000002</v>
      </c>
      <c r="AG5" s="165">
        <v>538.97</v>
      </c>
      <c r="AH5" s="165">
        <v>179.35</v>
      </c>
      <c r="AI5" s="165">
        <v>85.69</v>
      </c>
      <c r="AJ5" s="151">
        <f t="shared" ref="AJ5:AJ68" si="4">AG5+AH5+AI5</f>
        <v>804.01</v>
      </c>
      <c r="AK5" s="192">
        <v>84.28</v>
      </c>
      <c r="AL5" s="10">
        <v>798.43</v>
      </c>
      <c r="AM5" s="10">
        <v>702.81999999999994</v>
      </c>
      <c r="AN5" s="151">
        <f t="shared" ref="AN5:AN68" si="5">AK5+AL5+AM5</f>
        <v>1585.5299999999997</v>
      </c>
      <c r="AO5" s="191"/>
      <c r="AP5" s="10"/>
      <c r="AQ5" s="10"/>
      <c r="AR5" s="151"/>
      <c r="AS5" s="191"/>
      <c r="AT5" s="10"/>
      <c r="AU5" s="10"/>
      <c r="AV5" s="151"/>
      <c r="AW5" s="191"/>
      <c r="AX5" s="10"/>
      <c r="AY5" s="10"/>
      <c r="AZ5" s="151"/>
      <c r="BA5" s="191"/>
      <c r="BB5" s="10"/>
      <c r="BC5" s="10"/>
      <c r="BD5" s="151"/>
      <c r="BE5" s="191"/>
      <c r="BF5" s="10"/>
      <c r="BG5" s="10"/>
      <c r="BH5" s="151"/>
      <c r="BI5" s="191"/>
      <c r="BJ5" s="10"/>
      <c r="BK5" s="10"/>
      <c r="BL5" s="151"/>
      <c r="BM5" s="1"/>
      <c r="BN5" s="48"/>
      <c r="BO5" s="56"/>
      <c r="BP5" s="56"/>
      <c r="BQ5" s="50"/>
      <c r="BR5" s="48"/>
      <c r="BS5" s="56"/>
      <c r="BT5" s="56"/>
      <c r="BU5" s="50"/>
      <c r="BV5" s="48"/>
      <c r="BW5" s="56"/>
      <c r="BX5" s="56"/>
      <c r="BY5" s="50"/>
      <c r="BZ5" s="48"/>
      <c r="CA5" s="49"/>
      <c r="CB5" s="49"/>
      <c r="CC5" s="50"/>
      <c r="CD5" s="48"/>
      <c r="CE5" s="49"/>
      <c r="CF5" s="49"/>
      <c r="CG5" s="50"/>
      <c r="CK5" s="12"/>
      <c r="CL5" s="15"/>
      <c r="CO5" s="12"/>
      <c r="CP5" s="15"/>
      <c r="CS5" s="12"/>
      <c r="CT5" s="15"/>
      <c r="CW5" s="12"/>
      <c r="CX5" s="15"/>
      <c r="DA5" s="12"/>
      <c r="DF5" s="15"/>
      <c r="DI5" s="12"/>
      <c r="DJ5" s="1"/>
      <c r="DK5" s="225"/>
      <c r="DL5" s="225"/>
      <c r="DM5" s="225"/>
      <c r="DN5" s="225"/>
      <c r="DO5" s="225"/>
      <c r="DP5" s="225"/>
      <c r="DQ5" s="225"/>
      <c r="DR5" s="225"/>
      <c r="DS5" s="10"/>
      <c r="DT5" s="225"/>
      <c r="DU5" s="10"/>
      <c r="DV5" s="225"/>
      <c r="DW5" s="1"/>
      <c r="EJ5" s="1"/>
      <c r="EK5" s="17"/>
      <c r="EL5" s="17"/>
      <c r="EM5" s="17"/>
      <c r="EN5" s="17"/>
      <c r="EO5" s="17"/>
      <c r="EP5" s="17"/>
      <c r="EQ5" s="17"/>
      <c r="ER5" s="17"/>
      <c r="ES5" s="17"/>
      <c r="EU5" s="17"/>
      <c r="EW5" s="1"/>
      <c r="EX5" s="225"/>
      <c r="EY5" s="225"/>
      <c r="EZ5" s="225"/>
      <c r="FA5" s="225"/>
      <c r="FB5" s="225"/>
      <c r="FC5" s="225"/>
      <c r="FD5" s="225"/>
      <c r="FE5" s="225"/>
      <c r="FF5" s="225"/>
      <c r="FG5" s="10"/>
      <c r="FH5" s="225"/>
      <c r="FI5" s="10"/>
      <c r="FJ5" s="1"/>
      <c r="FK5" s="225"/>
      <c r="FL5" s="225"/>
      <c r="FM5" s="191"/>
      <c r="FN5" s="191"/>
      <c r="FO5" s="225"/>
      <c r="FP5" s="225"/>
      <c r="FQ5" s="151"/>
      <c r="FR5" s="151"/>
      <c r="FS5" s="10"/>
      <c r="FT5" s="191"/>
      <c r="FU5" s="225"/>
      <c r="FV5" s="151"/>
    </row>
    <row r="6" spans="1:178" ht="16" thickBot="1" x14ac:dyDescent="0.25">
      <c r="A6" s="27" t="s">
        <v>33</v>
      </c>
      <c r="B6" t="s">
        <v>140</v>
      </c>
      <c r="C6" s="1"/>
      <c r="D6" s="17">
        <v>1</v>
      </c>
      <c r="E6" s="17">
        <v>3</v>
      </c>
      <c r="F6" s="161">
        <v>2</v>
      </c>
      <c r="G6" s="87">
        <v>1</v>
      </c>
      <c r="H6" s="243">
        <v>4</v>
      </c>
      <c r="I6" s="87">
        <v>2</v>
      </c>
      <c r="J6" s="17"/>
      <c r="K6" s="17"/>
      <c r="L6" s="17"/>
      <c r="M6" s="17"/>
      <c r="N6" s="17"/>
      <c r="O6" s="17"/>
      <c r="P6" s="1"/>
      <c r="Q6" s="48">
        <v>956.89</v>
      </c>
      <c r="R6" s="49"/>
      <c r="S6" s="49">
        <v>0</v>
      </c>
      <c r="T6" s="50">
        <f t="shared" si="0"/>
        <v>956.89</v>
      </c>
      <c r="U6" s="48">
        <v>1150.71</v>
      </c>
      <c r="V6" s="49">
        <v>2100.4299999999998</v>
      </c>
      <c r="W6" s="49">
        <v>0</v>
      </c>
      <c r="X6" s="50">
        <f t="shared" si="1"/>
        <v>3251.14</v>
      </c>
      <c r="Y6" s="48">
        <v>2071.35</v>
      </c>
      <c r="Z6" s="49"/>
      <c r="AA6" s="49">
        <v>0</v>
      </c>
      <c r="AB6" s="50">
        <f t="shared" si="2"/>
        <v>2071.35</v>
      </c>
      <c r="AC6" s="164"/>
      <c r="AD6" s="166">
        <v>1791.12</v>
      </c>
      <c r="AE6" s="166">
        <v>0</v>
      </c>
      <c r="AF6" s="151">
        <f t="shared" si="3"/>
        <v>1791.12</v>
      </c>
      <c r="AG6" s="165">
        <v>555.29999999999995</v>
      </c>
      <c r="AH6" s="165"/>
      <c r="AI6" s="166">
        <v>0</v>
      </c>
      <c r="AJ6" s="151">
        <f t="shared" si="4"/>
        <v>555.29999999999995</v>
      </c>
      <c r="AK6" s="192">
        <v>41.82</v>
      </c>
      <c r="AL6" s="10"/>
      <c r="AM6" s="10">
        <v>0</v>
      </c>
      <c r="AN6" s="151">
        <f t="shared" si="5"/>
        <v>41.82</v>
      </c>
      <c r="AO6" s="191"/>
      <c r="AP6" s="10"/>
      <c r="AQ6" s="10"/>
      <c r="AR6" s="151"/>
      <c r="AS6" s="191"/>
      <c r="AT6" s="10"/>
      <c r="AU6" s="10"/>
      <c r="AV6" s="151"/>
      <c r="AW6" s="191"/>
      <c r="AX6" s="10"/>
      <c r="AY6" s="10"/>
      <c r="AZ6" s="151"/>
      <c r="BA6" s="191"/>
      <c r="BB6" s="10"/>
      <c r="BC6" s="10"/>
      <c r="BD6" s="151"/>
      <c r="BE6" s="191"/>
      <c r="BF6" s="10"/>
      <c r="BG6" s="10"/>
      <c r="BH6" s="151"/>
      <c r="BI6" s="191"/>
      <c r="BJ6" s="10"/>
      <c r="BK6" s="10"/>
      <c r="BL6" s="151"/>
      <c r="BM6" s="1"/>
      <c r="BN6" s="48"/>
      <c r="BO6" s="56"/>
      <c r="BP6" s="56"/>
      <c r="BQ6" s="50"/>
      <c r="BR6" s="48"/>
      <c r="BS6" s="56"/>
      <c r="BT6" s="56"/>
      <c r="BU6" s="50"/>
      <c r="BV6" s="48"/>
      <c r="BW6" s="56"/>
      <c r="BX6" s="56"/>
      <c r="BY6" s="50"/>
      <c r="BZ6" s="48"/>
      <c r="CA6" s="49"/>
      <c r="CB6" s="49"/>
      <c r="CC6" s="50"/>
      <c r="CD6" s="48"/>
      <c r="CE6" s="49"/>
      <c r="CF6" s="49"/>
      <c r="CG6" s="50"/>
      <c r="CK6" s="12"/>
      <c r="CL6" s="15"/>
      <c r="CO6" s="12"/>
      <c r="CP6" s="15"/>
      <c r="CS6" s="12"/>
      <c r="CT6" s="15"/>
      <c r="CW6" s="12"/>
      <c r="CX6" s="15"/>
      <c r="DA6" s="12"/>
      <c r="DF6" s="15"/>
      <c r="DI6" s="12"/>
      <c r="DJ6" s="1"/>
      <c r="DK6" s="225"/>
      <c r="DL6" s="225"/>
      <c r="DM6" s="225"/>
      <c r="DN6" s="225"/>
      <c r="DO6" s="225"/>
      <c r="DP6" s="225"/>
      <c r="DQ6" s="225"/>
      <c r="DR6" s="225"/>
      <c r="DS6" s="10"/>
      <c r="DT6" s="225"/>
      <c r="DU6" s="10"/>
      <c r="DV6" s="225"/>
      <c r="DW6" s="1"/>
      <c r="EJ6" s="1"/>
      <c r="EK6" s="17"/>
      <c r="EL6" s="17"/>
      <c r="EM6" s="17"/>
      <c r="EN6" s="17"/>
      <c r="EO6" s="17"/>
      <c r="EP6" s="17"/>
      <c r="EQ6" s="17"/>
      <c r="ER6" s="17"/>
      <c r="ES6" s="17"/>
      <c r="EU6" s="17"/>
      <c r="EW6" s="1"/>
      <c r="EX6" s="225"/>
      <c r="EY6" s="225"/>
      <c r="EZ6" s="225"/>
      <c r="FA6" s="225"/>
      <c r="FB6" s="225"/>
      <c r="FC6" s="225"/>
      <c r="FD6" s="225"/>
      <c r="FE6" s="225"/>
      <c r="FF6" s="225"/>
      <c r="FG6" s="10"/>
      <c r="FH6" s="225"/>
      <c r="FI6" s="10"/>
      <c r="FJ6" s="1"/>
      <c r="FK6" s="225"/>
      <c r="FL6" s="225"/>
      <c r="FM6" s="191"/>
      <c r="FN6" s="191"/>
      <c r="FO6" s="225"/>
      <c r="FP6" s="225"/>
      <c r="FQ6" s="151"/>
      <c r="FR6" s="151"/>
      <c r="FS6" s="10"/>
      <c r="FT6" s="191"/>
      <c r="FU6" s="225"/>
      <c r="FV6" s="151"/>
    </row>
    <row r="7" spans="1:178" ht="16" thickBot="1" x14ac:dyDescent="0.25">
      <c r="A7" s="27" t="s">
        <v>34</v>
      </c>
      <c r="B7" t="s">
        <v>140</v>
      </c>
      <c r="C7" s="1"/>
      <c r="D7" s="17">
        <v>11</v>
      </c>
      <c r="E7" s="17">
        <v>18</v>
      </c>
      <c r="F7" s="161">
        <v>16</v>
      </c>
      <c r="G7" s="87">
        <v>9</v>
      </c>
      <c r="H7" s="243">
        <v>14</v>
      </c>
      <c r="I7" s="87">
        <v>14</v>
      </c>
      <c r="J7" s="17"/>
      <c r="K7" s="17"/>
      <c r="L7" s="17"/>
      <c r="M7" s="17"/>
      <c r="N7" s="17"/>
      <c r="O7" s="17"/>
      <c r="P7" s="1"/>
      <c r="Q7" s="48">
        <v>3741.55</v>
      </c>
      <c r="R7" s="49">
        <v>856.38</v>
      </c>
      <c r="S7" s="49">
        <v>14749.81</v>
      </c>
      <c r="T7" s="50">
        <f t="shared" si="0"/>
        <v>19347.739999999998</v>
      </c>
      <c r="U7" s="48">
        <v>9732.67</v>
      </c>
      <c r="V7" s="49">
        <v>378.57</v>
      </c>
      <c r="W7" s="49">
        <v>15924.86</v>
      </c>
      <c r="X7" s="50">
        <f t="shared" si="1"/>
        <v>26036.1</v>
      </c>
      <c r="Y7" s="48">
        <v>3766.85</v>
      </c>
      <c r="Z7" s="49">
        <v>480.95</v>
      </c>
      <c r="AA7" s="49">
        <v>18569.59</v>
      </c>
      <c r="AB7" s="50">
        <f t="shared" si="2"/>
        <v>22817.39</v>
      </c>
      <c r="AC7" s="164">
        <v>879.21</v>
      </c>
      <c r="AD7" s="165">
        <v>1579.37</v>
      </c>
      <c r="AE7" s="165">
        <v>18768.7</v>
      </c>
      <c r="AF7" s="151">
        <f t="shared" si="3"/>
        <v>21227.279999999999</v>
      </c>
      <c r="AG7" s="165">
        <v>1899.84</v>
      </c>
      <c r="AH7" s="165">
        <v>3326.53</v>
      </c>
      <c r="AI7" s="165">
        <v>2926.28</v>
      </c>
      <c r="AJ7" s="151">
        <f t="shared" si="4"/>
        <v>8152.65</v>
      </c>
      <c r="AK7" s="192">
        <v>1405.38</v>
      </c>
      <c r="AL7" s="10">
        <v>619.91</v>
      </c>
      <c r="AM7" s="10">
        <v>2782.77</v>
      </c>
      <c r="AN7" s="151">
        <f t="shared" si="5"/>
        <v>4808.0599999999995</v>
      </c>
      <c r="AO7" s="191"/>
      <c r="AP7" s="10"/>
      <c r="AQ7" s="10"/>
      <c r="AR7" s="151"/>
      <c r="AS7" s="191"/>
      <c r="AT7" s="10"/>
      <c r="AU7" s="10"/>
      <c r="AV7" s="151"/>
      <c r="AW7" s="191"/>
      <c r="AX7" s="10"/>
      <c r="AY7" s="10"/>
      <c r="AZ7" s="151"/>
      <c r="BA7" s="191"/>
      <c r="BB7" s="10"/>
      <c r="BC7" s="10"/>
      <c r="BD7" s="151"/>
      <c r="BE7" s="191"/>
      <c r="BF7" s="10"/>
      <c r="BG7" s="10"/>
      <c r="BH7" s="151"/>
      <c r="BI7" s="191"/>
      <c r="BJ7" s="10"/>
      <c r="BK7" s="10"/>
      <c r="BL7" s="151"/>
      <c r="BM7" s="1"/>
      <c r="BN7" s="48"/>
      <c r="BO7" s="56"/>
      <c r="BP7" s="56"/>
      <c r="BQ7" s="50"/>
      <c r="BR7" s="48"/>
      <c r="BS7" s="56"/>
      <c r="BT7" s="56"/>
      <c r="BU7" s="50"/>
      <c r="BV7" s="48"/>
      <c r="BW7" s="56"/>
      <c r="BX7" s="56"/>
      <c r="BY7" s="50"/>
      <c r="BZ7" s="48"/>
      <c r="CA7" s="49"/>
      <c r="CB7" s="49"/>
      <c r="CC7" s="50"/>
      <c r="CD7" s="48"/>
      <c r="CE7" s="49"/>
      <c r="CF7" s="49"/>
      <c r="CG7" s="50"/>
      <c r="CK7" s="12"/>
      <c r="CL7" s="15"/>
      <c r="CO7" s="12"/>
      <c r="CP7" s="15"/>
      <c r="CS7" s="12"/>
      <c r="CT7" s="15"/>
      <c r="CW7" s="12"/>
      <c r="CX7" s="15"/>
      <c r="DA7" s="12"/>
      <c r="DF7" s="15"/>
      <c r="DI7" s="12"/>
      <c r="DJ7" s="1"/>
      <c r="DK7" s="225">
        <v>1191.3599999999999</v>
      </c>
      <c r="DL7" s="225"/>
      <c r="DM7" s="225"/>
      <c r="DN7" s="225">
        <v>538.34</v>
      </c>
      <c r="DO7" s="225"/>
      <c r="DP7" s="225"/>
      <c r="DQ7" s="225"/>
      <c r="DR7" s="225"/>
      <c r="DS7" s="10"/>
      <c r="DT7" s="225"/>
      <c r="DU7" s="10"/>
      <c r="DV7" s="225"/>
      <c r="DW7" s="1"/>
      <c r="EJ7" s="1"/>
      <c r="EK7" s="17">
        <v>2</v>
      </c>
      <c r="EL7" s="17"/>
      <c r="EM7" s="17"/>
      <c r="EN7" s="17">
        <v>1</v>
      </c>
      <c r="EO7" s="17"/>
      <c r="EP7" s="17"/>
      <c r="EQ7" s="17"/>
      <c r="ER7" s="17"/>
      <c r="ES7" s="17"/>
      <c r="EU7" s="17"/>
      <c r="EW7" s="1"/>
      <c r="EX7" s="225">
        <v>1191.3599999999999</v>
      </c>
      <c r="EY7" s="225"/>
      <c r="EZ7" s="225"/>
      <c r="FA7" s="225">
        <v>538.34</v>
      </c>
      <c r="FB7" s="225"/>
      <c r="FC7" s="225"/>
      <c r="FD7" s="225"/>
      <c r="FE7" s="225"/>
      <c r="FF7" s="225"/>
      <c r="FG7" s="10"/>
      <c r="FH7" s="225"/>
      <c r="FI7" s="10"/>
      <c r="FJ7" s="1"/>
      <c r="FK7" s="225"/>
      <c r="FL7" s="225"/>
      <c r="FM7" s="191"/>
      <c r="FN7" s="191"/>
      <c r="FO7" s="225"/>
      <c r="FP7" s="225"/>
      <c r="FQ7" s="151"/>
      <c r="FR7" s="151"/>
      <c r="FS7" s="10"/>
      <c r="FT7" s="191"/>
      <c r="FU7" s="225"/>
      <c r="FV7" s="151"/>
    </row>
    <row r="8" spans="1:178" ht="16" thickBot="1" x14ac:dyDescent="0.25">
      <c r="A8" s="27" t="s">
        <v>35</v>
      </c>
      <c r="B8" t="s">
        <v>140</v>
      </c>
      <c r="C8" s="1"/>
      <c r="D8" s="17">
        <v>5</v>
      </c>
      <c r="E8" s="17">
        <v>5</v>
      </c>
      <c r="F8" s="161">
        <v>5</v>
      </c>
      <c r="G8" s="87">
        <v>5</v>
      </c>
      <c r="H8" s="243">
        <v>4</v>
      </c>
      <c r="I8" s="87">
        <v>6</v>
      </c>
      <c r="J8" s="17"/>
      <c r="K8" s="17"/>
      <c r="L8" s="17"/>
      <c r="M8" s="17"/>
      <c r="N8" s="17"/>
      <c r="O8" s="17"/>
      <c r="P8" s="1"/>
      <c r="Q8" s="48">
        <v>6041.67</v>
      </c>
      <c r="R8" s="49"/>
      <c r="S8" s="49">
        <v>0</v>
      </c>
      <c r="T8" s="50">
        <f t="shared" si="0"/>
        <v>6041.67</v>
      </c>
      <c r="U8" s="48">
        <v>1306.8599999999999</v>
      </c>
      <c r="V8" s="49">
        <v>6572.66</v>
      </c>
      <c r="W8" s="49">
        <v>0</v>
      </c>
      <c r="X8" s="50">
        <f t="shared" si="1"/>
        <v>7879.5199999999995</v>
      </c>
      <c r="Y8" s="48">
        <v>3688.46</v>
      </c>
      <c r="Z8" s="49">
        <v>53.34</v>
      </c>
      <c r="AA8" s="49">
        <v>522.09</v>
      </c>
      <c r="AB8" s="50">
        <f t="shared" si="2"/>
        <v>4263.8900000000003</v>
      </c>
      <c r="AC8" s="164">
        <v>2683.36</v>
      </c>
      <c r="AD8" s="165"/>
      <c r="AE8" s="165">
        <v>6191.62</v>
      </c>
      <c r="AF8" s="151">
        <f t="shared" si="3"/>
        <v>8874.98</v>
      </c>
      <c r="AG8" s="165">
        <v>1049.3800000000001</v>
      </c>
      <c r="AH8" s="166">
        <v>1754.18</v>
      </c>
      <c r="AI8" s="165">
        <v>7735.25</v>
      </c>
      <c r="AJ8" s="151">
        <f t="shared" si="4"/>
        <v>10538.810000000001</v>
      </c>
      <c r="AK8" s="192">
        <v>458.57</v>
      </c>
      <c r="AL8" s="10">
        <v>1754.18</v>
      </c>
      <c r="AM8" s="10">
        <v>8677.02</v>
      </c>
      <c r="AN8" s="151">
        <f t="shared" si="5"/>
        <v>10889.77</v>
      </c>
      <c r="AO8" s="191"/>
      <c r="AP8" s="10"/>
      <c r="AQ8" s="10"/>
      <c r="AR8" s="151"/>
      <c r="AS8" s="191"/>
      <c r="AT8" s="10"/>
      <c r="AU8" s="10"/>
      <c r="AV8" s="151"/>
      <c r="AW8" s="191"/>
      <c r="AX8" s="10"/>
      <c r="AY8" s="10"/>
      <c r="AZ8" s="151"/>
      <c r="BA8" s="191"/>
      <c r="BB8" s="10"/>
      <c r="BC8" s="10"/>
      <c r="BD8" s="151"/>
      <c r="BE8" s="191"/>
      <c r="BF8" s="10"/>
      <c r="BG8" s="10"/>
      <c r="BH8" s="151"/>
      <c r="BI8" s="191"/>
      <c r="BJ8" s="10"/>
      <c r="BK8" s="10"/>
      <c r="BL8" s="151"/>
      <c r="BM8" s="1"/>
      <c r="BN8" s="48"/>
      <c r="BO8" s="56"/>
      <c r="BP8" s="56"/>
      <c r="BQ8" s="50"/>
      <c r="BR8" s="48"/>
      <c r="BS8" s="56"/>
      <c r="BT8" s="56"/>
      <c r="BU8" s="50"/>
      <c r="BV8" s="48"/>
      <c r="BW8" s="56"/>
      <c r="BX8" s="56"/>
      <c r="BY8" s="50"/>
      <c r="BZ8" s="48"/>
      <c r="CA8" s="49"/>
      <c r="CB8" s="49"/>
      <c r="CC8" s="50"/>
      <c r="CD8" s="48"/>
      <c r="CE8" s="49"/>
      <c r="CF8" s="49"/>
      <c r="CG8" s="50"/>
      <c r="CK8" s="12"/>
      <c r="CL8" s="15"/>
      <c r="CO8" s="12"/>
      <c r="CP8" s="15"/>
      <c r="CS8" s="12"/>
      <c r="CT8" s="15"/>
      <c r="CW8" s="12"/>
      <c r="CX8" s="15"/>
      <c r="DA8" s="12"/>
      <c r="DF8" s="15"/>
      <c r="DI8" s="12"/>
      <c r="DJ8" s="1"/>
      <c r="DK8" s="225"/>
      <c r="DL8" s="225"/>
      <c r="DM8" s="225"/>
      <c r="DN8" s="225"/>
      <c r="DO8" s="225"/>
      <c r="DP8" s="225"/>
      <c r="DQ8" s="225"/>
      <c r="DR8" s="225"/>
      <c r="DS8" s="10"/>
      <c r="DT8" s="225"/>
      <c r="DU8" s="10"/>
      <c r="DV8" s="225"/>
      <c r="DW8" s="1"/>
      <c r="EJ8" s="1"/>
      <c r="EK8" s="17"/>
      <c r="EL8" s="17"/>
      <c r="EM8" s="17"/>
      <c r="EN8" s="17"/>
      <c r="EO8" s="17"/>
      <c r="EP8" s="17"/>
      <c r="EQ8" s="17"/>
      <c r="ER8" s="17"/>
      <c r="ES8" s="17"/>
      <c r="EU8" s="17"/>
      <c r="EW8" s="1"/>
      <c r="EX8" s="225"/>
      <c r="EY8" s="225"/>
      <c r="EZ8" s="225"/>
      <c r="FA8" s="225"/>
      <c r="FB8" s="225"/>
      <c r="FC8" s="225"/>
      <c r="FD8" s="225"/>
      <c r="FE8" s="225"/>
      <c r="FF8" s="225"/>
      <c r="FG8" s="10"/>
      <c r="FH8" s="225"/>
      <c r="FI8" s="10"/>
      <c r="FJ8" s="1"/>
      <c r="FK8" s="225"/>
      <c r="FL8" s="225"/>
      <c r="FM8" s="191"/>
      <c r="FN8" s="191"/>
      <c r="FO8" s="225"/>
      <c r="FP8" s="225"/>
      <c r="FQ8" s="151"/>
      <c r="FR8" s="151"/>
      <c r="FS8" s="10"/>
      <c r="FT8" s="191"/>
      <c r="FU8" s="225"/>
      <c r="FV8" s="151"/>
    </row>
    <row r="9" spans="1:178" ht="16" thickBot="1" x14ac:dyDescent="0.25">
      <c r="A9" s="27" t="s">
        <v>36</v>
      </c>
      <c r="B9" t="s">
        <v>140</v>
      </c>
      <c r="C9" s="1"/>
      <c r="D9" s="17">
        <v>7</v>
      </c>
      <c r="E9" s="17">
        <v>4</v>
      </c>
      <c r="F9" s="161">
        <v>13</v>
      </c>
      <c r="G9" s="87">
        <v>7</v>
      </c>
      <c r="H9" s="243">
        <v>10</v>
      </c>
      <c r="I9" s="87">
        <v>8</v>
      </c>
      <c r="J9" s="17"/>
      <c r="K9" s="17"/>
      <c r="L9" s="17"/>
      <c r="M9" s="17"/>
      <c r="N9" s="17"/>
      <c r="O9" s="17"/>
      <c r="P9" s="1"/>
      <c r="Q9" s="48">
        <v>1443.95</v>
      </c>
      <c r="R9" s="49">
        <v>1208.05</v>
      </c>
      <c r="S9" s="49">
        <v>584.49</v>
      </c>
      <c r="T9" s="50">
        <f t="shared" si="0"/>
        <v>3236.49</v>
      </c>
      <c r="U9" s="48">
        <v>482.31</v>
      </c>
      <c r="V9" s="49"/>
      <c r="W9" s="49">
        <v>128.1</v>
      </c>
      <c r="X9" s="50">
        <f t="shared" si="1"/>
        <v>610.41</v>
      </c>
      <c r="Y9" s="48">
        <v>8504.41</v>
      </c>
      <c r="Z9" s="49">
        <v>1089.58</v>
      </c>
      <c r="AA9" s="49">
        <v>214.19</v>
      </c>
      <c r="AB9" s="50">
        <f t="shared" si="2"/>
        <v>9808.18</v>
      </c>
      <c r="AC9" s="164">
        <v>1283.4100000000001</v>
      </c>
      <c r="AD9" s="165">
        <v>2182.58</v>
      </c>
      <c r="AE9" s="165">
        <v>0</v>
      </c>
      <c r="AF9" s="151">
        <f t="shared" si="3"/>
        <v>3465.99</v>
      </c>
      <c r="AG9" s="165">
        <v>2037.08</v>
      </c>
      <c r="AH9" s="165">
        <v>395.41</v>
      </c>
      <c r="AI9" s="165">
        <v>2825.45</v>
      </c>
      <c r="AJ9" s="151">
        <f t="shared" si="4"/>
        <v>5257.94</v>
      </c>
      <c r="AK9" s="192">
        <v>203.32</v>
      </c>
      <c r="AL9" s="10">
        <v>47</v>
      </c>
      <c r="AM9" s="10">
        <v>482.2</v>
      </c>
      <c r="AN9" s="151">
        <f t="shared" si="5"/>
        <v>732.52</v>
      </c>
      <c r="AO9" s="191"/>
      <c r="AP9" s="10"/>
      <c r="AQ9" s="10"/>
      <c r="AR9" s="151"/>
      <c r="AS9" s="191"/>
      <c r="AT9" s="10"/>
      <c r="AU9" s="10"/>
      <c r="AV9" s="151"/>
      <c r="AW9" s="191"/>
      <c r="AX9" s="10"/>
      <c r="AY9" s="10"/>
      <c r="AZ9" s="151"/>
      <c r="BA9" s="191"/>
      <c r="BB9" s="10"/>
      <c r="BC9" s="10"/>
      <c r="BD9" s="151"/>
      <c r="BE9" s="191"/>
      <c r="BF9" s="10"/>
      <c r="BG9" s="10"/>
      <c r="BH9" s="151"/>
      <c r="BI9" s="191"/>
      <c r="BJ9" s="10"/>
      <c r="BK9" s="10"/>
      <c r="BL9" s="151"/>
      <c r="BM9" s="1"/>
      <c r="BN9" s="48"/>
      <c r="BO9" s="56"/>
      <c r="BP9" s="56"/>
      <c r="BQ9" s="50"/>
      <c r="BR9" s="48"/>
      <c r="BS9" s="56"/>
      <c r="BT9" s="56"/>
      <c r="BU9" s="50"/>
      <c r="BV9" s="48"/>
      <c r="BW9" s="56"/>
      <c r="BX9" s="56"/>
      <c r="BY9" s="50"/>
      <c r="BZ9" s="48"/>
      <c r="CA9" s="49"/>
      <c r="CB9" s="49"/>
      <c r="CC9" s="50"/>
      <c r="CD9" s="48"/>
      <c r="CE9" s="49"/>
      <c r="CF9" s="49"/>
      <c r="CG9" s="50"/>
      <c r="CK9" s="12"/>
      <c r="CL9" s="15"/>
      <c r="CO9" s="12"/>
      <c r="CP9" s="15"/>
      <c r="CS9" s="12"/>
      <c r="CT9" s="15"/>
      <c r="CW9" s="12"/>
      <c r="CX9" s="15"/>
      <c r="DA9" s="12"/>
      <c r="DF9" s="15"/>
      <c r="DI9" s="12"/>
      <c r="DJ9" s="1"/>
      <c r="DK9" s="225"/>
      <c r="DL9" s="225"/>
      <c r="DM9" s="225"/>
      <c r="DN9" s="225">
        <v>100.76</v>
      </c>
      <c r="DO9" s="225"/>
      <c r="DP9" s="225"/>
      <c r="DQ9" s="225"/>
      <c r="DR9" s="225"/>
      <c r="DS9" s="10"/>
      <c r="DT9" s="225"/>
      <c r="DU9" s="10"/>
      <c r="DV9" s="225"/>
      <c r="DW9" s="1"/>
      <c r="EJ9" s="1"/>
      <c r="EK9" s="17"/>
      <c r="EL9" s="17"/>
      <c r="EM9" s="17"/>
      <c r="EN9" s="17">
        <v>1</v>
      </c>
      <c r="EO9" s="17"/>
      <c r="EP9" s="17"/>
      <c r="EQ9" s="17"/>
      <c r="ER9" s="17"/>
      <c r="ES9" s="17"/>
      <c r="EU9" s="17"/>
      <c r="EW9" s="1"/>
      <c r="EX9" s="225"/>
      <c r="EY9" s="225"/>
      <c r="EZ9" s="225"/>
      <c r="FA9" s="225">
        <v>100.76</v>
      </c>
      <c r="FB9" s="225"/>
      <c r="FC9" s="225"/>
      <c r="FD9" s="225"/>
      <c r="FE9" s="225"/>
      <c r="FF9" s="225"/>
      <c r="FG9" s="10"/>
      <c r="FH9" s="225"/>
      <c r="FI9" s="10"/>
      <c r="FJ9" s="1"/>
      <c r="FK9" s="225"/>
      <c r="FL9" s="225"/>
      <c r="FM9" s="191"/>
      <c r="FN9" s="191"/>
      <c r="FO9" s="225"/>
      <c r="FP9" s="225"/>
      <c r="FQ9" s="151"/>
      <c r="FR9" s="151"/>
      <c r="FS9" s="10"/>
      <c r="FT9" s="191"/>
      <c r="FU9" s="225"/>
      <c r="FV9" s="151"/>
    </row>
    <row r="10" spans="1:178" ht="16" thickBot="1" x14ac:dyDescent="0.25">
      <c r="A10" s="27" t="s">
        <v>37</v>
      </c>
      <c r="B10" t="s">
        <v>140</v>
      </c>
      <c r="C10" s="1"/>
      <c r="D10" s="17">
        <v>15</v>
      </c>
      <c r="E10" s="17">
        <v>9</v>
      </c>
      <c r="F10" s="161">
        <v>5</v>
      </c>
      <c r="G10" s="87">
        <v>5</v>
      </c>
      <c r="H10" s="243">
        <v>6</v>
      </c>
      <c r="I10" s="87">
        <v>4</v>
      </c>
      <c r="J10" s="17"/>
      <c r="K10" s="17"/>
      <c r="L10" s="17"/>
      <c r="M10" s="17"/>
      <c r="N10" s="17"/>
      <c r="O10" s="17"/>
      <c r="P10" s="1"/>
      <c r="Q10" s="48">
        <v>2845.46</v>
      </c>
      <c r="R10" s="49">
        <v>340.28</v>
      </c>
      <c r="S10" s="49">
        <v>940.52</v>
      </c>
      <c r="T10" s="50">
        <f t="shared" si="0"/>
        <v>4126.26</v>
      </c>
      <c r="U10" s="48"/>
      <c r="V10" s="49">
        <v>511.11</v>
      </c>
      <c r="W10" s="49">
        <v>1664.5900000000001</v>
      </c>
      <c r="X10" s="50">
        <f t="shared" si="1"/>
        <v>2175.7000000000003</v>
      </c>
      <c r="Y10" s="48">
        <v>4496.01</v>
      </c>
      <c r="Z10" s="49"/>
      <c r="AA10" s="49">
        <v>1028.01</v>
      </c>
      <c r="AB10" s="50">
        <f t="shared" si="2"/>
        <v>5524.02</v>
      </c>
      <c r="AC10" s="164">
        <v>1020.66</v>
      </c>
      <c r="AD10" s="165"/>
      <c r="AE10" s="165">
        <v>488.56</v>
      </c>
      <c r="AF10" s="151">
        <f t="shared" si="3"/>
        <v>1509.22</v>
      </c>
      <c r="AG10" s="165">
        <v>307.64999999999998</v>
      </c>
      <c r="AH10" s="166">
        <v>1316.59</v>
      </c>
      <c r="AI10" s="165">
        <v>179.89</v>
      </c>
      <c r="AJ10" s="151">
        <f t="shared" si="4"/>
        <v>1804.1299999999997</v>
      </c>
      <c r="AK10" s="192">
        <v>3681.51</v>
      </c>
      <c r="AL10" s="10">
        <v>130.97</v>
      </c>
      <c r="AM10" s="10">
        <v>205.63</v>
      </c>
      <c r="AN10" s="151">
        <f t="shared" si="5"/>
        <v>4018.11</v>
      </c>
      <c r="AO10" s="191"/>
      <c r="AP10" s="10"/>
      <c r="AQ10" s="10"/>
      <c r="AR10" s="151"/>
      <c r="AS10" s="191"/>
      <c r="AT10" s="10"/>
      <c r="AU10" s="10"/>
      <c r="AV10" s="151"/>
      <c r="AW10" s="191"/>
      <c r="AX10" s="10"/>
      <c r="AY10" s="10"/>
      <c r="AZ10" s="151"/>
      <c r="BA10" s="191"/>
      <c r="BB10" s="10"/>
      <c r="BC10" s="10"/>
      <c r="BD10" s="151"/>
      <c r="BE10" s="191"/>
      <c r="BF10" s="10"/>
      <c r="BG10" s="10"/>
      <c r="BH10" s="151"/>
      <c r="BI10" s="191"/>
      <c r="BJ10" s="10"/>
      <c r="BK10" s="10"/>
      <c r="BL10" s="151"/>
      <c r="BM10" s="1"/>
      <c r="BN10" s="48"/>
      <c r="BO10" s="56"/>
      <c r="BP10" s="56"/>
      <c r="BQ10" s="50"/>
      <c r="BR10" s="48"/>
      <c r="BS10" s="56"/>
      <c r="BT10" s="56"/>
      <c r="BU10" s="50"/>
      <c r="BV10" s="48"/>
      <c r="BW10" s="56"/>
      <c r="BX10" s="56"/>
      <c r="BY10" s="50"/>
      <c r="BZ10" s="48"/>
      <c r="CA10" s="49"/>
      <c r="CB10" s="49"/>
      <c r="CC10" s="50"/>
      <c r="CD10" s="48"/>
      <c r="CE10" s="49"/>
      <c r="CF10" s="49"/>
      <c r="CG10" s="50"/>
      <c r="CK10" s="12"/>
      <c r="CL10" s="15"/>
      <c r="CO10" s="12"/>
      <c r="CP10" s="15"/>
      <c r="CS10" s="12"/>
      <c r="CT10" s="15"/>
      <c r="CW10" s="12"/>
      <c r="CX10" s="15"/>
      <c r="DA10" s="12"/>
      <c r="DF10" s="15"/>
      <c r="DI10" s="12"/>
      <c r="DJ10" s="1"/>
      <c r="DK10" s="225"/>
      <c r="DL10" s="225"/>
      <c r="DM10" s="225"/>
      <c r="DN10" s="225"/>
      <c r="DO10" s="225"/>
      <c r="DP10" s="225"/>
      <c r="DQ10" s="225"/>
      <c r="DR10" s="225"/>
      <c r="DS10" s="10"/>
      <c r="DT10" s="225"/>
      <c r="DU10" s="10"/>
      <c r="DV10" s="225"/>
      <c r="DW10" s="1"/>
      <c r="EJ10" s="1"/>
      <c r="EK10" s="17"/>
      <c r="EL10" s="17"/>
      <c r="EM10" s="17"/>
      <c r="EN10" s="17"/>
      <c r="EO10" s="17"/>
      <c r="EP10" s="17"/>
      <c r="EQ10" s="17"/>
      <c r="ER10" s="17"/>
      <c r="ES10" s="17"/>
      <c r="EU10" s="17"/>
      <c r="EW10" s="1"/>
      <c r="EX10" s="225"/>
      <c r="EY10" s="225"/>
      <c r="EZ10" s="225"/>
      <c r="FA10" s="225"/>
      <c r="FB10" s="225"/>
      <c r="FC10" s="225"/>
      <c r="FD10" s="225"/>
      <c r="FE10" s="225"/>
      <c r="FF10" s="225"/>
      <c r="FG10" s="10"/>
      <c r="FH10" s="225"/>
      <c r="FI10" s="10"/>
      <c r="FJ10" s="1"/>
      <c r="FK10" s="225"/>
      <c r="FL10" s="225"/>
      <c r="FM10" s="191"/>
      <c r="FN10" s="191"/>
      <c r="FO10" s="225"/>
      <c r="FP10" s="225"/>
      <c r="FQ10" s="151"/>
      <c r="FR10" s="151"/>
      <c r="FS10" s="10"/>
      <c r="FT10" s="191"/>
      <c r="FU10" s="225"/>
      <c r="FV10" s="151"/>
    </row>
    <row r="11" spans="1:178" ht="16" thickBot="1" x14ac:dyDescent="0.25">
      <c r="A11" s="27" t="s">
        <v>38</v>
      </c>
      <c r="B11" t="s">
        <v>140</v>
      </c>
      <c r="C11" s="1"/>
      <c r="D11" s="17">
        <v>41</v>
      </c>
      <c r="E11" s="17">
        <v>22</v>
      </c>
      <c r="F11" s="161">
        <v>42</v>
      </c>
      <c r="G11" s="157">
        <v>30</v>
      </c>
      <c r="H11" s="243">
        <v>40</v>
      </c>
      <c r="I11" s="87">
        <v>45</v>
      </c>
      <c r="J11" s="17"/>
      <c r="K11" s="17"/>
      <c r="L11" s="17"/>
      <c r="M11" s="17"/>
      <c r="N11" s="17"/>
      <c r="O11" s="17"/>
      <c r="P11" s="1"/>
      <c r="Q11" s="48">
        <v>13735.62</v>
      </c>
      <c r="R11" s="49">
        <v>5421.79</v>
      </c>
      <c r="S11" s="49">
        <v>3450.38</v>
      </c>
      <c r="T11" s="50">
        <f t="shared" si="0"/>
        <v>22607.79</v>
      </c>
      <c r="U11" s="48">
        <v>4922.29</v>
      </c>
      <c r="V11" s="49">
        <v>6806.57</v>
      </c>
      <c r="W11" s="49">
        <v>1674.9</v>
      </c>
      <c r="X11" s="50">
        <f t="shared" si="1"/>
        <v>13403.76</v>
      </c>
      <c r="Y11" s="48">
        <v>33559.279999999999</v>
      </c>
      <c r="Z11" s="49">
        <v>2000.14</v>
      </c>
      <c r="AA11" s="49">
        <v>2894.64</v>
      </c>
      <c r="AB11" s="50">
        <f t="shared" si="2"/>
        <v>38454.06</v>
      </c>
      <c r="AC11" s="164">
        <v>2801.03</v>
      </c>
      <c r="AD11" s="165">
        <v>38639.65</v>
      </c>
      <c r="AE11" s="165">
        <v>4646.5499999999993</v>
      </c>
      <c r="AF11" s="151">
        <f t="shared" si="3"/>
        <v>46087.229999999996</v>
      </c>
      <c r="AG11" s="165">
        <v>3197.73</v>
      </c>
      <c r="AH11" s="165">
        <v>5093.55</v>
      </c>
      <c r="AI11" s="165">
        <v>1768.24</v>
      </c>
      <c r="AJ11" s="151">
        <f t="shared" si="4"/>
        <v>10059.52</v>
      </c>
      <c r="AK11" s="192">
        <v>13403.86</v>
      </c>
      <c r="AL11" s="10">
        <v>3384.91</v>
      </c>
      <c r="AM11" s="10">
        <v>1560.72</v>
      </c>
      <c r="AN11" s="151">
        <f t="shared" si="5"/>
        <v>18349.490000000002</v>
      </c>
      <c r="AO11" s="191"/>
      <c r="AP11" s="10"/>
      <c r="AQ11" s="10"/>
      <c r="AR11" s="151"/>
      <c r="AS11" s="191"/>
      <c r="AT11" s="10"/>
      <c r="AU11" s="10"/>
      <c r="AV11" s="151"/>
      <c r="AW11" s="191"/>
      <c r="AX11" s="10"/>
      <c r="AY11" s="10"/>
      <c r="AZ11" s="151"/>
      <c r="BA11" s="191"/>
      <c r="BB11" s="10"/>
      <c r="BC11" s="10"/>
      <c r="BD11" s="151"/>
      <c r="BE11" s="191"/>
      <c r="BF11" s="10"/>
      <c r="BG11" s="10"/>
      <c r="BH11" s="151"/>
      <c r="BI11" s="191"/>
      <c r="BJ11" s="10"/>
      <c r="BK11" s="10"/>
      <c r="BL11" s="151"/>
      <c r="BM11" s="1"/>
      <c r="BN11" s="48"/>
      <c r="BO11" s="56"/>
      <c r="BP11" s="56"/>
      <c r="BQ11" s="50"/>
      <c r="BR11" s="48"/>
      <c r="BS11" s="56"/>
      <c r="BT11" s="56"/>
      <c r="BU11" s="50"/>
      <c r="BV11" s="48"/>
      <c r="BW11" s="56"/>
      <c r="BX11" s="56"/>
      <c r="BY11" s="50"/>
      <c r="BZ11" s="48"/>
      <c r="CA11" s="49"/>
      <c r="CB11" s="49"/>
      <c r="CC11" s="50"/>
      <c r="CD11" s="48"/>
      <c r="CE11" s="49"/>
      <c r="CF11" s="49"/>
      <c r="CG11" s="50"/>
      <c r="CK11" s="12"/>
      <c r="CL11" s="15"/>
      <c r="CO11" s="12"/>
      <c r="CP11" s="15"/>
      <c r="CS11" s="12"/>
      <c r="CT11" s="15"/>
      <c r="CW11" s="12"/>
      <c r="CX11" s="15"/>
      <c r="DA11" s="12"/>
      <c r="DF11" s="15"/>
      <c r="DI11" s="12"/>
      <c r="DJ11" s="1"/>
      <c r="DK11" s="225"/>
      <c r="DL11" s="225">
        <v>22.63</v>
      </c>
      <c r="DM11" s="225">
        <v>488.52</v>
      </c>
      <c r="DN11" s="225">
        <v>1313.44</v>
      </c>
      <c r="DO11" s="225">
        <v>936.18</v>
      </c>
      <c r="DP11" s="225">
        <v>756.88</v>
      </c>
      <c r="DQ11" s="225"/>
      <c r="DR11" s="225"/>
      <c r="DS11" s="10"/>
      <c r="DT11" s="225"/>
      <c r="DU11" s="10"/>
      <c r="DV11" s="225"/>
      <c r="DW11" s="1"/>
      <c r="EJ11" s="1"/>
      <c r="EK11" s="17"/>
      <c r="EL11" s="17">
        <v>1</v>
      </c>
      <c r="EM11" s="17">
        <v>1</v>
      </c>
      <c r="EN11" s="17">
        <v>1</v>
      </c>
      <c r="EO11" s="17">
        <v>1</v>
      </c>
      <c r="EP11" s="17">
        <v>2</v>
      </c>
      <c r="EQ11" s="17"/>
      <c r="ER11" s="17"/>
      <c r="ES11" s="17"/>
      <c r="EU11" s="17"/>
      <c r="EW11" s="1"/>
      <c r="EX11" s="225"/>
      <c r="EY11" s="225">
        <v>22.63</v>
      </c>
      <c r="EZ11" s="225">
        <v>488.52</v>
      </c>
      <c r="FA11" s="225">
        <v>1313.44</v>
      </c>
      <c r="FB11" s="225">
        <v>936.18</v>
      </c>
      <c r="FC11" s="225">
        <v>756.88</v>
      </c>
      <c r="FD11" s="225"/>
      <c r="FE11" s="225"/>
      <c r="FF11" s="225"/>
      <c r="FG11" s="10"/>
      <c r="FH11" s="225"/>
      <c r="FI11" s="10"/>
      <c r="FJ11" s="1"/>
      <c r="FK11" s="225"/>
      <c r="FL11" s="225"/>
      <c r="FM11" s="191">
        <v>-22.63</v>
      </c>
      <c r="FN11" s="191"/>
      <c r="FO11" s="225"/>
      <c r="FP11" s="225"/>
      <c r="FQ11" s="151"/>
      <c r="FR11" s="151"/>
      <c r="FS11" s="10"/>
      <c r="FT11" s="191"/>
      <c r="FU11" s="225"/>
      <c r="FV11" s="151"/>
    </row>
    <row r="12" spans="1:178" ht="16" thickBot="1" x14ac:dyDescent="0.25">
      <c r="A12" s="27" t="s">
        <v>39</v>
      </c>
      <c r="B12" t="s">
        <v>140</v>
      </c>
      <c r="C12" s="1"/>
      <c r="D12" s="17">
        <v>1</v>
      </c>
      <c r="E12" s="17"/>
      <c r="F12" s="162">
        <v>1</v>
      </c>
      <c r="G12" s="157"/>
      <c r="H12" s="243"/>
      <c r="I12" s="88">
        <v>1</v>
      </c>
      <c r="J12" s="17"/>
      <c r="K12" s="17"/>
      <c r="L12" s="17"/>
      <c r="M12" s="17"/>
      <c r="N12" s="17"/>
      <c r="O12" s="17"/>
      <c r="P12" s="1"/>
      <c r="Q12" s="48"/>
      <c r="R12" s="49"/>
      <c r="S12" s="49">
        <v>42</v>
      </c>
      <c r="T12" s="50">
        <f t="shared" si="0"/>
        <v>42</v>
      </c>
      <c r="U12" s="48"/>
      <c r="V12" s="49"/>
      <c r="W12" s="49">
        <v>0</v>
      </c>
      <c r="X12" s="50">
        <f t="shared" si="1"/>
        <v>0</v>
      </c>
      <c r="Y12" s="48">
        <v>25</v>
      </c>
      <c r="Z12" s="49"/>
      <c r="AA12" s="49">
        <v>0</v>
      </c>
      <c r="AB12" s="50">
        <f t="shared" si="2"/>
        <v>25</v>
      </c>
      <c r="AC12" s="164"/>
      <c r="AD12" s="166"/>
      <c r="AE12" s="166">
        <v>0</v>
      </c>
      <c r="AF12" s="151">
        <f t="shared" si="3"/>
        <v>0</v>
      </c>
      <c r="AG12" s="166"/>
      <c r="AH12" s="165"/>
      <c r="AI12" s="166">
        <v>0</v>
      </c>
      <c r="AJ12" s="151">
        <f t="shared" si="4"/>
        <v>0</v>
      </c>
      <c r="AK12" s="192">
        <v>25</v>
      </c>
      <c r="AL12" s="10"/>
      <c r="AM12" s="10">
        <v>0</v>
      </c>
      <c r="AN12" s="151">
        <f t="shared" si="5"/>
        <v>25</v>
      </c>
      <c r="AO12" s="191"/>
      <c r="AP12" s="10"/>
      <c r="AQ12" s="10"/>
      <c r="AR12" s="151"/>
      <c r="AS12" s="191"/>
      <c r="AT12" s="10"/>
      <c r="AU12" s="10"/>
      <c r="AV12" s="151"/>
      <c r="AW12" s="191"/>
      <c r="AX12" s="10"/>
      <c r="AY12" s="10"/>
      <c r="AZ12" s="151"/>
      <c r="BA12" s="191"/>
      <c r="BB12" s="10"/>
      <c r="BC12" s="10"/>
      <c r="BD12" s="151"/>
      <c r="BE12" s="191"/>
      <c r="BF12" s="10"/>
      <c r="BG12" s="10"/>
      <c r="BH12" s="151"/>
      <c r="BI12" s="191"/>
      <c r="BJ12" s="10"/>
      <c r="BK12" s="10"/>
      <c r="BL12" s="151"/>
      <c r="BM12" s="1"/>
      <c r="BN12" s="48"/>
      <c r="BO12" s="56"/>
      <c r="BP12" s="56"/>
      <c r="BQ12" s="50"/>
      <c r="BR12" s="48"/>
      <c r="BS12" s="56"/>
      <c r="BT12" s="56"/>
      <c r="BU12" s="50"/>
      <c r="BV12" s="48"/>
      <c r="BW12" s="56"/>
      <c r="BX12" s="56"/>
      <c r="BY12" s="50"/>
      <c r="BZ12" s="48"/>
      <c r="CA12" s="49"/>
      <c r="CB12" s="49"/>
      <c r="CC12" s="50"/>
      <c r="CD12" s="48"/>
      <c r="CE12" s="49"/>
      <c r="CF12" s="49"/>
      <c r="CG12" s="50"/>
      <c r="CK12" s="12"/>
      <c r="CL12" s="15"/>
      <c r="CO12" s="12"/>
      <c r="CP12" s="15"/>
      <c r="CS12" s="12"/>
      <c r="CT12" s="15"/>
      <c r="CW12" s="12"/>
      <c r="CX12" s="15"/>
      <c r="DA12" s="12"/>
      <c r="DF12" s="15"/>
      <c r="DI12" s="12"/>
      <c r="DJ12" s="1"/>
      <c r="DK12" s="225"/>
      <c r="DL12" s="225"/>
      <c r="DM12" s="225"/>
      <c r="DN12" s="225"/>
      <c r="DO12" s="225"/>
      <c r="DP12" s="225"/>
      <c r="DQ12" s="225"/>
      <c r="DR12" s="225"/>
      <c r="DS12" s="10"/>
      <c r="DT12" s="225"/>
      <c r="DU12" s="10"/>
      <c r="DV12" s="225"/>
      <c r="DW12" s="1"/>
      <c r="EJ12" s="1"/>
      <c r="EK12" s="17"/>
      <c r="EL12" s="17"/>
      <c r="EM12" s="17"/>
      <c r="EN12" s="17"/>
      <c r="EO12" s="17"/>
      <c r="EP12" s="17"/>
      <c r="EQ12" s="17"/>
      <c r="ER12" s="17"/>
      <c r="ES12" s="17"/>
      <c r="EU12" s="17"/>
      <c r="EW12" s="1"/>
      <c r="EX12" s="225"/>
      <c r="EY12" s="225"/>
      <c r="EZ12" s="225"/>
      <c r="FA12" s="225"/>
      <c r="FB12" s="225"/>
      <c r="FC12" s="225"/>
      <c r="FD12" s="225"/>
      <c r="FE12" s="225"/>
      <c r="FF12" s="225"/>
      <c r="FG12" s="10"/>
      <c r="FH12" s="225"/>
      <c r="FI12" s="10"/>
      <c r="FJ12" s="1"/>
      <c r="FK12" s="225"/>
      <c r="FL12" s="225"/>
      <c r="FM12" s="191"/>
      <c r="FN12" s="191"/>
      <c r="FO12" s="225"/>
      <c r="FP12" s="225"/>
      <c r="FQ12" s="151"/>
      <c r="FR12" s="151"/>
      <c r="FS12" s="10"/>
      <c r="FT12" s="191"/>
      <c r="FU12" s="225"/>
      <c r="FV12" s="151"/>
    </row>
    <row r="13" spans="1:178" ht="16" thickBot="1" x14ac:dyDescent="0.25">
      <c r="A13" s="27" t="s">
        <v>40</v>
      </c>
      <c r="B13" t="s">
        <v>140</v>
      </c>
      <c r="C13" s="1"/>
      <c r="D13" s="17">
        <v>7</v>
      </c>
      <c r="E13" s="17">
        <v>8</v>
      </c>
      <c r="F13" s="161">
        <v>9</v>
      </c>
      <c r="G13" s="87">
        <v>7</v>
      </c>
      <c r="H13" s="243">
        <v>7</v>
      </c>
      <c r="I13" s="87">
        <v>6</v>
      </c>
      <c r="J13" s="17"/>
      <c r="K13" s="17"/>
      <c r="L13" s="17"/>
      <c r="M13" s="17"/>
      <c r="N13" s="17"/>
      <c r="O13" s="17"/>
      <c r="P13" s="1"/>
      <c r="Q13" s="48">
        <v>1312.19</v>
      </c>
      <c r="R13" s="49"/>
      <c r="S13" s="49">
        <v>3968</v>
      </c>
      <c r="T13" s="50">
        <f t="shared" si="0"/>
        <v>5280.1900000000005</v>
      </c>
      <c r="U13" s="48">
        <v>2248.71</v>
      </c>
      <c r="V13" s="49">
        <v>605.23</v>
      </c>
      <c r="W13" s="49">
        <v>274.98</v>
      </c>
      <c r="X13" s="50">
        <f t="shared" si="1"/>
        <v>3128.92</v>
      </c>
      <c r="Y13" s="48">
        <v>2514.0500000000002</v>
      </c>
      <c r="Z13" s="49">
        <v>2135.14</v>
      </c>
      <c r="AA13" s="49">
        <v>1274.31</v>
      </c>
      <c r="AB13" s="50">
        <f t="shared" si="2"/>
        <v>5923.5</v>
      </c>
      <c r="AC13" s="164">
        <v>775.19</v>
      </c>
      <c r="AD13" s="165">
        <v>1502.08</v>
      </c>
      <c r="AE13" s="165">
        <v>1407.38</v>
      </c>
      <c r="AF13" s="151">
        <f t="shared" si="3"/>
        <v>3684.65</v>
      </c>
      <c r="AG13" s="165">
        <v>2392.89</v>
      </c>
      <c r="AH13" s="165">
        <v>77.09</v>
      </c>
      <c r="AI13" s="165">
        <v>1909.79</v>
      </c>
      <c r="AJ13" s="151">
        <f t="shared" si="4"/>
        <v>4379.7700000000004</v>
      </c>
      <c r="AK13" s="192">
        <v>91.21</v>
      </c>
      <c r="AL13" s="10">
        <v>2655.48</v>
      </c>
      <c r="AM13" s="10">
        <v>1423.8300000000002</v>
      </c>
      <c r="AN13" s="151">
        <f t="shared" si="5"/>
        <v>4170.5200000000004</v>
      </c>
      <c r="AO13" s="191"/>
      <c r="AP13" s="10"/>
      <c r="AQ13" s="10"/>
      <c r="AR13" s="151"/>
      <c r="AS13" s="191"/>
      <c r="AT13" s="10"/>
      <c r="AU13" s="10"/>
      <c r="AV13" s="151"/>
      <c r="AW13" s="191"/>
      <c r="AX13" s="10"/>
      <c r="AY13" s="10"/>
      <c r="AZ13" s="151"/>
      <c r="BA13" s="191"/>
      <c r="BB13" s="10"/>
      <c r="BC13" s="10"/>
      <c r="BD13" s="151"/>
      <c r="BE13" s="191"/>
      <c r="BF13" s="10"/>
      <c r="BG13" s="10"/>
      <c r="BH13" s="151"/>
      <c r="BI13" s="191"/>
      <c r="BJ13" s="10"/>
      <c r="BK13" s="10"/>
      <c r="BL13" s="151"/>
      <c r="BM13" s="1"/>
      <c r="BN13" s="48"/>
      <c r="BO13" s="56"/>
      <c r="BP13" s="56"/>
      <c r="BQ13" s="50"/>
      <c r="BR13" s="48"/>
      <c r="BS13" s="56"/>
      <c r="BT13" s="56"/>
      <c r="BU13" s="50"/>
      <c r="BV13" s="48"/>
      <c r="BW13" s="56"/>
      <c r="BX13" s="56"/>
      <c r="BY13" s="50"/>
      <c r="BZ13" s="48"/>
      <c r="CA13" s="49"/>
      <c r="CB13" s="49"/>
      <c r="CC13" s="50"/>
      <c r="CD13" s="48"/>
      <c r="CE13" s="49"/>
      <c r="CF13" s="49"/>
      <c r="CG13" s="50"/>
      <c r="CK13" s="12"/>
      <c r="CL13" s="15"/>
      <c r="CO13" s="12"/>
      <c r="CP13" s="15"/>
      <c r="CS13" s="12"/>
      <c r="CT13" s="15"/>
      <c r="CW13" s="12"/>
      <c r="CX13" s="15"/>
      <c r="DA13" s="12"/>
      <c r="DF13" s="15"/>
      <c r="DI13" s="12"/>
      <c r="DJ13" s="1"/>
      <c r="DK13" s="225"/>
      <c r="DL13" s="225"/>
      <c r="DM13" s="225"/>
      <c r="DN13" s="225"/>
      <c r="DO13" s="225"/>
      <c r="DP13" s="225"/>
      <c r="DQ13" s="225"/>
      <c r="DR13" s="225"/>
      <c r="DS13" s="10"/>
      <c r="DT13" s="225"/>
      <c r="DU13" s="10"/>
      <c r="DV13" s="225"/>
      <c r="DW13" s="1"/>
      <c r="EJ13" s="1"/>
      <c r="EK13" s="17"/>
      <c r="EL13" s="17"/>
      <c r="EM13" s="17"/>
      <c r="EN13" s="17"/>
      <c r="EO13" s="17"/>
      <c r="EP13" s="17"/>
      <c r="EQ13" s="17"/>
      <c r="ER13" s="17"/>
      <c r="ES13" s="17"/>
      <c r="EU13" s="17"/>
      <c r="EW13" s="1"/>
      <c r="EX13" s="225"/>
      <c r="EY13" s="225"/>
      <c r="EZ13" s="225"/>
      <c r="FA13" s="225"/>
      <c r="FB13" s="225"/>
      <c r="FC13" s="225"/>
      <c r="FD13" s="225"/>
      <c r="FE13" s="225"/>
      <c r="FF13" s="225"/>
      <c r="FG13" s="10"/>
      <c r="FH13" s="225"/>
      <c r="FI13" s="10"/>
      <c r="FJ13" s="1"/>
      <c r="FK13" s="225"/>
      <c r="FL13" s="225"/>
      <c r="FM13" s="191"/>
      <c r="FN13" s="191"/>
      <c r="FO13" s="225"/>
      <c r="FP13" s="225"/>
      <c r="FQ13" s="151"/>
      <c r="FR13" s="151"/>
      <c r="FS13" s="10"/>
      <c r="FT13" s="191"/>
      <c r="FU13" s="225"/>
      <c r="FV13" s="151"/>
    </row>
    <row r="14" spans="1:178" ht="16" thickBot="1" x14ac:dyDescent="0.25">
      <c r="A14" s="27" t="s">
        <v>41</v>
      </c>
      <c r="B14" t="s">
        <v>140</v>
      </c>
      <c r="C14" s="1"/>
      <c r="D14" s="17"/>
      <c r="E14" s="17"/>
      <c r="F14" s="162"/>
      <c r="G14" s="89"/>
      <c r="H14" s="243"/>
      <c r="I14" s="88"/>
      <c r="J14" s="17"/>
      <c r="K14" s="17"/>
      <c r="L14" s="17"/>
      <c r="M14" s="17"/>
      <c r="N14" s="17"/>
      <c r="O14" s="17"/>
      <c r="P14" s="1"/>
      <c r="Q14" s="48"/>
      <c r="R14" s="49"/>
      <c r="S14" s="49">
        <v>0</v>
      </c>
      <c r="T14" s="50">
        <f t="shared" si="0"/>
        <v>0</v>
      </c>
      <c r="U14" s="48"/>
      <c r="V14" s="49"/>
      <c r="W14" s="49">
        <v>0</v>
      </c>
      <c r="X14" s="50">
        <f t="shared" si="1"/>
        <v>0</v>
      </c>
      <c r="Y14" s="48"/>
      <c r="Z14" s="49"/>
      <c r="AA14" s="49"/>
      <c r="AB14" s="50">
        <f t="shared" si="2"/>
        <v>0</v>
      </c>
      <c r="AC14" s="167"/>
      <c r="AD14" s="166"/>
      <c r="AE14" s="166">
        <v>0</v>
      </c>
      <c r="AF14" s="151">
        <f t="shared" si="3"/>
        <v>0</v>
      </c>
      <c r="AG14" s="165"/>
      <c r="AH14" s="166"/>
      <c r="AI14" s="166">
        <v>0</v>
      </c>
      <c r="AJ14" s="151">
        <f t="shared" si="4"/>
        <v>0</v>
      </c>
      <c r="AK14" s="192"/>
      <c r="AL14" s="10"/>
      <c r="AM14" s="10"/>
      <c r="AN14" s="151">
        <f t="shared" si="5"/>
        <v>0</v>
      </c>
      <c r="AO14" s="191"/>
      <c r="AP14" s="10"/>
      <c r="AQ14" s="10"/>
      <c r="AR14" s="151"/>
      <c r="AS14" s="191"/>
      <c r="AT14" s="10"/>
      <c r="AU14" s="10"/>
      <c r="AV14" s="151"/>
      <c r="AW14" s="191"/>
      <c r="AX14" s="10"/>
      <c r="AY14" s="10"/>
      <c r="AZ14" s="151"/>
      <c r="BA14" s="191"/>
      <c r="BB14" s="10"/>
      <c r="BC14" s="10"/>
      <c r="BD14" s="151"/>
      <c r="BE14" s="191"/>
      <c r="BF14" s="10"/>
      <c r="BG14" s="10"/>
      <c r="BH14" s="151"/>
      <c r="BI14" s="191"/>
      <c r="BJ14" s="10"/>
      <c r="BK14" s="10"/>
      <c r="BL14" s="151"/>
      <c r="BM14" s="1"/>
      <c r="BN14" s="48"/>
      <c r="BO14" s="56"/>
      <c r="BP14" s="56"/>
      <c r="BQ14" s="50"/>
      <c r="BR14" s="48"/>
      <c r="BS14" s="56"/>
      <c r="BT14" s="56"/>
      <c r="BU14" s="50"/>
      <c r="BV14" s="48"/>
      <c r="BW14" s="56"/>
      <c r="BX14" s="56"/>
      <c r="BY14" s="50"/>
      <c r="BZ14" s="48"/>
      <c r="CA14" s="49"/>
      <c r="CB14" s="49"/>
      <c r="CC14" s="50"/>
      <c r="CD14" s="48"/>
      <c r="CE14" s="49"/>
      <c r="CF14" s="49"/>
      <c r="CG14" s="50"/>
      <c r="CK14" s="12"/>
      <c r="CL14" s="15"/>
      <c r="CO14" s="12"/>
      <c r="CP14" s="15"/>
      <c r="CS14" s="12"/>
      <c r="CT14" s="15"/>
      <c r="CW14" s="12"/>
      <c r="CX14" s="15"/>
      <c r="DA14" s="12"/>
      <c r="DF14" s="15"/>
      <c r="DI14" s="12"/>
      <c r="DJ14" s="1"/>
      <c r="DK14" s="225"/>
      <c r="DL14" s="225"/>
      <c r="DM14" s="225"/>
      <c r="DN14" s="225"/>
      <c r="DO14" s="225"/>
      <c r="DP14" s="225"/>
      <c r="DQ14" s="225"/>
      <c r="DR14" s="225"/>
      <c r="DS14" s="10"/>
      <c r="DT14" s="225"/>
      <c r="DU14" s="10"/>
      <c r="DV14" s="225"/>
      <c r="DW14" s="1"/>
      <c r="EJ14" s="1"/>
      <c r="EK14" s="17"/>
      <c r="EL14" s="17"/>
      <c r="EM14" s="17"/>
      <c r="EN14" s="17"/>
      <c r="EO14" s="17"/>
      <c r="EP14" s="17"/>
      <c r="EQ14" s="17"/>
      <c r="ER14" s="17"/>
      <c r="ES14" s="17"/>
      <c r="EU14" s="17"/>
      <c r="EW14" s="1"/>
      <c r="EX14" s="225"/>
      <c r="EY14" s="225"/>
      <c r="EZ14" s="225"/>
      <c r="FA14" s="225"/>
      <c r="FB14" s="225"/>
      <c r="FC14" s="225"/>
      <c r="FD14" s="225"/>
      <c r="FE14" s="225"/>
      <c r="FF14" s="225"/>
      <c r="FG14" s="10"/>
      <c r="FH14" s="225"/>
      <c r="FI14" s="10"/>
      <c r="FJ14" s="1"/>
      <c r="FK14" s="225"/>
      <c r="FL14" s="225"/>
      <c r="FM14" s="191"/>
      <c r="FN14" s="191"/>
      <c r="FO14" s="225"/>
      <c r="FP14" s="225"/>
      <c r="FQ14" s="151"/>
      <c r="FR14" s="151"/>
      <c r="FS14" s="10"/>
      <c r="FT14" s="191"/>
      <c r="FU14" s="225"/>
      <c r="FV14" s="151"/>
    </row>
    <row r="15" spans="1:178" ht="16" thickBot="1" x14ac:dyDescent="0.25">
      <c r="A15" s="27" t="s">
        <v>42</v>
      </c>
      <c r="B15" t="s">
        <v>140</v>
      </c>
      <c r="C15" s="1"/>
      <c r="D15" s="17">
        <v>4</v>
      </c>
      <c r="E15" s="17">
        <v>3</v>
      </c>
      <c r="F15" s="161">
        <v>2</v>
      </c>
      <c r="G15" s="87">
        <v>2</v>
      </c>
      <c r="H15" s="243">
        <v>5</v>
      </c>
      <c r="I15" s="87">
        <v>4</v>
      </c>
      <c r="J15" s="17"/>
      <c r="K15" s="17"/>
      <c r="L15" s="17"/>
      <c r="M15" s="17"/>
      <c r="N15" s="17"/>
      <c r="O15" s="17"/>
      <c r="P15" s="1"/>
      <c r="Q15" s="48">
        <v>334.03</v>
      </c>
      <c r="R15" s="49">
        <v>140.26</v>
      </c>
      <c r="S15" s="49">
        <v>505.54</v>
      </c>
      <c r="T15" s="50">
        <f t="shared" si="0"/>
        <v>979.82999999999993</v>
      </c>
      <c r="U15" s="48">
        <v>128.44</v>
      </c>
      <c r="V15" s="49"/>
      <c r="W15" s="49">
        <v>759.64</v>
      </c>
      <c r="X15" s="50">
        <f t="shared" si="1"/>
        <v>888.07999999999993</v>
      </c>
      <c r="Y15" s="48">
        <v>297.74</v>
      </c>
      <c r="Z15" s="49"/>
      <c r="AA15" s="49">
        <v>0</v>
      </c>
      <c r="AB15" s="50">
        <f t="shared" si="2"/>
        <v>297.74</v>
      </c>
      <c r="AC15" s="164">
        <v>49.13</v>
      </c>
      <c r="AD15" s="165">
        <v>80.27</v>
      </c>
      <c r="AE15" s="166">
        <v>0</v>
      </c>
      <c r="AF15" s="151">
        <f t="shared" si="3"/>
        <v>129.4</v>
      </c>
      <c r="AG15" s="165">
        <v>226.24</v>
      </c>
      <c r="AH15" s="165">
        <v>90.65</v>
      </c>
      <c r="AI15" s="166">
        <v>123.78</v>
      </c>
      <c r="AJ15" s="151">
        <f t="shared" si="4"/>
        <v>440.66999999999996</v>
      </c>
      <c r="AK15" s="192">
        <v>2483.4899999999998</v>
      </c>
      <c r="AL15" s="10">
        <v>385.96</v>
      </c>
      <c r="AM15" s="10">
        <v>174.42</v>
      </c>
      <c r="AN15" s="151">
        <f t="shared" si="5"/>
        <v>3043.87</v>
      </c>
      <c r="AO15" s="191"/>
      <c r="AP15" s="10"/>
      <c r="AQ15" s="10"/>
      <c r="AR15" s="151"/>
      <c r="AS15" s="191"/>
      <c r="AT15" s="10"/>
      <c r="AU15" s="10"/>
      <c r="AV15" s="151"/>
      <c r="AW15" s="191"/>
      <c r="AX15" s="10"/>
      <c r="AY15" s="10"/>
      <c r="AZ15" s="151"/>
      <c r="BA15" s="191"/>
      <c r="BB15" s="10"/>
      <c r="BC15" s="10"/>
      <c r="BD15" s="151"/>
      <c r="BE15" s="191"/>
      <c r="BF15" s="10"/>
      <c r="BG15" s="10"/>
      <c r="BH15" s="151"/>
      <c r="BI15" s="191"/>
      <c r="BJ15" s="10"/>
      <c r="BK15" s="10"/>
      <c r="BL15" s="151"/>
      <c r="BM15" s="1"/>
      <c r="BN15" s="48"/>
      <c r="BO15" s="56"/>
      <c r="BP15" s="56"/>
      <c r="BQ15" s="50"/>
      <c r="BR15" s="48"/>
      <c r="BS15" s="56"/>
      <c r="BT15" s="56"/>
      <c r="BU15" s="50"/>
      <c r="BV15" s="48"/>
      <c r="BW15" s="56"/>
      <c r="BX15" s="56"/>
      <c r="BY15" s="50"/>
      <c r="BZ15" s="48"/>
      <c r="CA15" s="49"/>
      <c r="CB15" s="49"/>
      <c r="CC15" s="50"/>
      <c r="CD15" s="48"/>
      <c r="CE15" s="49"/>
      <c r="CF15" s="49"/>
      <c r="CG15" s="50"/>
      <c r="CK15" s="12"/>
      <c r="CL15" s="15"/>
      <c r="CO15" s="12"/>
      <c r="CP15" s="15"/>
      <c r="CS15" s="12"/>
      <c r="CT15" s="15"/>
      <c r="CW15" s="12"/>
      <c r="CX15" s="15"/>
      <c r="DA15" s="12"/>
      <c r="DF15" s="15"/>
      <c r="DI15" s="12"/>
      <c r="DJ15" s="1"/>
      <c r="DK15" s="225"/>
      <c r="DL15" s="225"/>
      <c r="DM15" s="225"/>
      <c r="DN15" s="225"/>
      <c r="DO15" s="225"/>
      <c r="DP15" s="225"/>
      <c r="DQ15" s="225"/>
      <c r="DR15" s="225"/>
      <c r="DS15" s="10"/>
      <c r="DT15" s="225"/>
      <c r="DU15" s="10"/>
      <c r="DV15" s="225"/>
      <c r="DW15" s="1"/>
      <c r="EJ15" s="1"/>
      <c r="EK15" s="17"/>
      <c r="EL15" s="17"/>
      <c r="EM15" s="17"/>
      <c r="EN15" s="17"/>
      <c r="EO15" s="17"/>
      <c r="EP15" s="17"/>
      <c r="EQ15" s="17"/>
      <c r="ER15" s="17"/>
      <c r="ES15" s="17"/>
      <c r="EU15" s="17"/>
      <c r="EW15" s="1"/>
      <c r="EX15" s="225"/>
      <c r="EY15" s="225"/>
      <c r="EZ15" s="225"/>
      <c r="FA15" s="225"/>
      <c r="FB15" s="225"/>
      <c r="FC15" s="225"/>
      <c r="FD15" s="225"/>
      <c r="FE15" s="225"/>
      <c r="FF15" s="225"/>
      <c r="FG15" s="10"/>
      <c r="FH15" s="225"/>
      <c r="FI15" s="10"/>
      <c r="FJ15" s="1"/>
      <c r="FK15" s="225"/>
      <c r="FL15" s="225"/>
      <c r="FM15" s="191"/>
      <c r="FN15" s="191"/>
      <c r="FO15" s="225"/>
      <c r="FP15" s="225"/>
      <c r="FQ15" s="151"/>
      <c r="FR15" s="151"/>
      <c r="FS15" s="10"/>
      <c r="FT15" s="191"/>
      <c r="FU15" s="225"/>
      <c r="FV15" s="151"/>
    </row>
    <row r="16" spans="1:178" ht="16" thickBot="1" x14ac:dyDescent="0.25">
      <c r="A16" s="27" t="s">
        <v>43</v>
      </c>
      <c r="B16" t="s">
        <v>140</v>
      </c>
      <c r="C16" s="1"/>
      <c r="D16" s="17">
        <v>8</v>
      </c>
      <c r="E16" s="17">
        <v>8</v>
      </c>
      <c r="F16" s="161">
        <v>6</v>
      </c>
      <c r="G16" s="87">
        <v>10</v>
      </c>
      <c r="H16" s="243">
        <v>7</v>
      </c>
      <c r="I16" s="87">
        <v>8</v>
      </c>
      <c r="J16" s="17"/>
      <c r="K16" s="17"/>
      <c r="L16" s="17"/>
      <c r="M16" s="17"/>
      <c r="N16" s="17"/>
      <c r="O16" s="17"/>
      <c r="P16" s="1"/>
      <c r="Q16" s="48">
        <v>423.8</v>
      </c>
      <c r="R16" s="49">
        <v>49.66</v>
      </c>
      <c r="S16" s="49">
        <v>11836.97</v>
      </c>
      <c r="T16" s="50">
        <f t="shared" si="0"/>
        <v>12310.43</v>
      </c>
      <c r="U16" s="48">
        <v>812.11</v>
      </c>
      <c r="V16" s="49"/>
      <c r="W16" s="49">
        <v>10967.54</v>
      </c>
      <c r="X16" s="50">
        <f t="shared" si="1"/>
        <v>11779.650000000001</v>
      </c>
      <c r="Y16" s="48">
        <v>298.24</v>
      </c>
      <c r="Z16" s="49"/>
      <c r="AA16" s="49">
        <v>8492.5</v>
      </c>
      <c r="AB16" s="50">
        <f t="shared" si="2"/>
        <v>8790.74</v>
      </c>
      <c r="AC16" s="164">
        <v>1429.08</v>
      </c>
      <c r="AD16" s="165">
        <v>92.84</v>
      </c>
      <c r="AE16" s="165">
        <v>7307.39</v>
      </c>
      <c r="AF16" s="151">
        <f t="shared" si="3"/>
        <v>8829.31</v>
      </c>
      <c r="AG16" s="165">
        <v>30436.89</v>
      </c>
      <c r="AH16" s="165">
        <v>651.29999999999995</v>
      </c>
      <c r="AI16" s="165">
        <v>7464.26</v>
      </c>
      <c r="AJ16" s="151">
        <f t="shared" si="4"/>
        <v>38552.449999999997</v>
      </c>
      <c r="AK16" s="192">
        <v>49506.54</v>
      </c>
      <c r="AL16" s="10"/>
      <c r="AM16" s="10">
        <v>5343.4699999999993</v>
      </c>
      <c r="AN16" s="151">
        <f t="shared" si="5"/>
        <v>54850.01</v>
      </c>
      <c r="AO16" s="191"/>
      <c r="AP16" s="10"/>
      <c r="AQ16" s="10"/>
      <c r="AR16" s="151"/>
      <c r="AS16" s="191"/>
      <c r="AT16" s="10"/>
      <c r="AU16" s="10"/>
      <c r="AV16" s="151"/>
      <c r="AW16" s="191"/>
      <c r="AX16" s="10"/>
      <c r="AY16" s="10"/>
      <c r="AZ16" s="151"/>
      <c r="BA16" s="191"/>
      <c r="BB16" s="10"/>
      <c r="BC16" s="10"/>
      <c r="BD16" s="151"/>
      <c r="BE16" s="191"/>
      <c r="BF16" s="10"/>
      <c r="BG16" s="10"/>
      <c r="BH16" s="151"/>
      <c r="BI16" s="191"/>
      <c r="BJ16" s="10"/>
      <c r="BK16" s="10"/>
      <c r="BL16" s="151"/>
      <c r="BM16" s="1"/>
      <c r="BN16" s="48"/>
      <c r="BO16" s="56"/>
      <c r="BP16" s="56"/>
      <c r="BQ16" s="50"/>
      <c r="BR16" s="48"/>
      <c r="BS16" s="56"/>
      <c r="BT16" s="56"/>
      <c r="BU16" s="50"/>
      <c r="BV16" s="48"/>
      <c r="BW16" s="56"/>
      <c r="BX16" s="56"/>
      <c r="BY16" s="50"/>
      <c r="BZ16" s="48"/>
      <c r="CA16" s="49"/>
      <c r="CB16" s="49"/>
      <c r="CC16" s="50"/>
      <c r="CD16" s="48"/>
      <c r="CE16" s="49"/>
      <c r="CF16" s="49"/>
      <c r="CG16" s="50"/>
      <c r="CK16" s="12"/>
      <c r="CL16" s="15"/>
      <c r="CO16" s="12"/>
      <c r="CP16" s="15"/>
      <c r="CS16" s="12"/>
      <c r="CT16" s="15"/>
      <c r="CW16" s="12"/>
      <c r="CX16" s="15"/>
      <c r="DA16" s="12"/>
      <c r="DF16" s="15"/>
      <c r="DI16" s="12"/>
      <c r="DJ16" s="1"/>
      <c r="DK16" s="225"/>
      <c r="DL16" s="225"/>
      <c r="DM16" s="225"/>
      <c r="DN16" s="225"/>
      <c r="DO16" s="225"/>
      <c r="DP16" s="225">
        <v>209.96</v>
      </c>
      <c r="DQ16" s="225"/>
      <c r="DR16" s="225"/>
      <c r="DS16" s="10"/>
      <c r="DT16" s="225"/>
      <c r="DU16" s="10"/>
      <c r="DV16" s="225"/>
      <c r="DW16" s="1"/>
      <c r="EJ16" s="1"/>
      <c r="EK16" s="17"/>
      <c r="EL16" s="17"/>
      <c r="EM16" s="17"/>
      <c r="EN16" s="17"/>
      <c r="EO16" s="17"/>
      <c r="EP16" s="17">
        <v>1</v>
      </c>
      <c r="EQ16" s="17"/>
      <c r="ER16" s="17"/>
      <c r="ES16" s="17"/>
      <c r="EU16" s="17"/>
      <c r="EW16" s="1"/>
      <c r="EX16" s="225"/>
      <c r="EY16" s="225"/>
      <c r="EZ16" s="225"/>
      <c r="FA16" s="225"/>
      <c r="FB16" s="225"/>
      <c r="FC16" s="225">
        <v>209.96</v>
      </c>
      <c r="FD16" s="225"/>
      <c r="FE16" s="225"/>
      <c r="FF16" s="225"/>
      <c r="FG16" s="10"/>
      <c r="FH16" s="225"/>
      <c r="FI16" s="10"/>
      <c r="FJ16" s="1"/>
      <c r="FK16" s="225"/>
      <c r="FL16" s="225"/>
      <c r="FM16" s="191"/>
      <c r="FN16" s="191"/>
      <c r="FO16" s="225"/>
      <c r="FP16" s="225"/>
      <c r="FQ16" s="151"/>
      <c r="FR16" s="151"/>
      <c r="FS16" s="10"/>
      <c r="FT16" s="191"/>
      <c r="FU16" s="225"/>
      <c r="FV16" s="151"/>
    </row>
    <row r="17" spans="1:178" ht="16" thickBot="1" x14ac:dyDescent="0.25">
      <c r="A17" s="27" t="s">
        <v>44</v>
      </c>
      <c r="B17" t="s">
        <v>140</v>
      </c>
      <c r="C17" s="1"/>
      <c r="D17" s="17"/>
      <c r="E17" s="17"/>
      <c r="F17" s="161"/>
      <c r="G17" s="87"/>
      <c r="H17" s="243"/>
      <c r="I17" s="87">
        <v>1</v>
      </c>
      <c r="J17" s="17"/>
      <c r="K17" s="17"/>
      <c r="L17" s="17"/>
      <c r="M17" s="17"/>
      <c r="N17" s="17"/>
      <c r="O17" s="17"/>
      <c r="P17" s="1"/>
      <c r="Q17" s="48"/>
      <c r="R17" s="49"/>
      <c r="S17" s="49">
        <v>0</v>
      </c>
      <c r="T17" s="50">
        <f t="shared" si="0"/>
        <v>0</v>
      </c>
      <c r="U17" s="48"/>
      <c r="V17" s="49"/>
      <c r="W17" s="49">
        <v>0</v>
      </c>
      <c r="X17" s="50">
        <f t="shared" si="1"/>
        <v>0</v>
      </c>
      <c r="Y17" s="48"/>
      <c r="Z17" s="49"/>
      <c r="AA17" s="49">
        <v>0</v>
      </c>
      <c r="AB17" s="50">
        <f t="shared" si="2"/>
        <v>0</v>
      </c>
      <c r="AC17" s="164"/>
      <c r="AD17" s="165"/>
      <c r="AE17" s="166">
        <v>0</v>
      </c>
      <c r="AF17" s="151">
        <f t="shared" si="3"/>
        <v>0</v>
      </c>
      <c r="AG17" s="165"/>
      <c r="AH17" s="166"/>
      <c r="AI17" s="165">
        <v>0</v>
      </c>
      <c r="AJ17" s="151">
        <f t="shared" si="4"/>
        <v>0</v>
      </c>
      <c r="AK17" s="192">
        <v>216.01</v>
      </c>
      <c r="AL17" s="10"/>
      <c r="AM17" s="10">
        <v>0</v>
      </c>
      <c r="AN17" s="151">
        <f t="shared" si="5"/>
        <v>216.01</v>
      </c>
      <c r="AO17" s="191"/>
      <c r="AP17" s="10"/>
      <c r="AQ17" s="10"/>
      <c r="AR17" s="151"/>
      <c r="AS17" s="191"/>
      <c r="AT17" s="10"/>
      <c r="AU17" s="10"/>
      <c r="AV17" s="151"/>
      <c r="AW17" s="191"/>
      <c r="AX17" s="10"/>
      <c r="AY17" s="10"/>
      <c r="AZ17" s="151"/>
      <c r="BA17" s="191"/>
      <c r="BB17" s="10"/>
      <c r="BC17" s="10"/>
      <c r="BD17" s="151"/>
      <c r="BE17" s="191"/>
      <c r="BF17" s="10"/>
      <c r="BG17" s="10"/>
      <c r="BH17" s="151"/>
      <c r="BI17" s="191"/>
      <c r="BJ17" s="10"/>
      <c r="BK17" s="10"/>
      <c r="BL17" s="151"/>
      <c r="BM17" s="1"/>
      <c r="BN17" s="48"/>
      <c r="BO17" s="56"/>
      <c r="BP17" s="56"/>
      <c r="BQ17" s="50"/>
      <c r="BR17" s="48"/>
      <c r="BS17" s="56"/>
      <c r="BT17" s="56"/>
      <c r="BU17" s="50"/>
      <c r="BV17" s="48"/>
      <c r="BW17" s="56"/>
      <c r="BX17" s="56"/>
      <c r="BY17" s="50"/>
      <c r="BZ17" s="48"/>
      <c r="CA17" s="49"/>
      <c r="CB17" s="49"/>
      <c r="CC17" s="50"/>
      <c r="CD17" s="48"/>
      <c r="CE17" s="49"/>
      <c r="CF17" s="49"/>
      <c r="CG17" s="50"/>
      <c r="CK17" s="12"/>
      <c r="CL17" s="15"/>
      <c r="CO17" s="12"/>
      <c r="CP17" s="15"/>
      <c r="CS17" s="12"/>
      <c r="CT17" s="15"/>
      <c r="CW17" s="12"/>
      <c r="CX17" s="15"/>
      <c r="DA17" s="12"/>
      <c r="DF17" s="15"/>
      <c r="DI17" s="12"/>
      <c r="DJ17" s="1"/>
      <c r="DK17" s="225"/>
      <c r="DL17" s="225"/>
      <c r="DM17" s="225"/>
      <c r="DN17" s="225"/>
      <c r="DO17" s="225"/>
      <c r="DP17" s="225"/>
      <c r="DQ17" s="225"/>
      <c r="DR17" s="225"/>
      <c r="DS17" s="10"/>
      <c r="DT17" s="225"/>
      <c r="DU17" s="10"/>
      <c r="DV17" s="225"/>
      <c r="DW17" s="1"/>
      <c r="EJ17" s="1"/>
      <c r="EK17" s="17"/>
      <c r="EL17" s="17"/>
      <c r="EM17" s="17"/>
      <c r="EN17" s="17"/>
      <c r="EO17" s="17"/>
      <c r="EP17" s="17"/>
      <c r="EQ17" s="17"/>
      <c r="ER17" s="17"/>
      <c r="ES17" s="17"/>
      <c r="EU17" s="17"/>
      <c r="EW17" s="1"/>
      <c r="EX17" s="225"/>
      <c r="EY17" s="225"/>
      <c r="EZ17" s="225"/>
      <c r="FA17" s="225"/>
      <c r="FB17" s="225"/>
      <c r="FC17" s="225"/>
      <c r="FD17" s="225"/>
      <c r="FE17" s="225"/>
      <c r="FF17" s="225"/>
      <c r="FG17" s="10"/>
      <c r="FH17" s="225"/>
      <c r="FI17" s="10"/>
      <c r="FJ17" s="1"/>
      <c r="FK17" s="225"/>
      <c r="FL17" s="225"/>
      <c r="FM17" s="191"/>
      <c r="FN17" s="191"/>
      <c r="FO17" s="225"/>
      <c r="FP17" s="225"/>
      <c r="FQ17" s="151"/>
      <c r="FR17" s="151"/>
      <c r="FS17" s="10"/>
      <c r="FT17" s="191"/>
      <c r="FU17" s="225"/>
      <c r="FV17" s="151"/>
    </row>
    <row r="18" spans="1:178" ht="16" thickBot="1" x14ac:dyDescent="0.25">
      <c r="A18" s="27" t="s">
        <v>45</v>
      </c>
      <c r="B18" t="s">
        <v>140</v>
      </c>
      <c r="C18" s="1"/>
      <c r="D18" s="17">
        <v>79</v>
      </c>
      <c r="E18" s="17">
        <v>59</v>
      </c>
      <c r="F18" s="161">
        <v>60</v>
      </c>
      <c r="G18" s="87">
        <v>50</v>
      </c>
      <c r="H18" s="243">
        <v>58</v>
      </c>
      <c r="I18" s="87">
        <v>51</v>
      </c>
      <c r="J18" s="17"/>
      <c r="K18" s="17"/>
      <c r="L18" s="17"/>
      <c r="M18" s="17"/>
      <c r="N18" s="17"/>
      <c r="O18" s="17"/>
      <c r="P18" s="1"/>
      <c r="Q18" s="48">
        <v>22103.14</v>
      </c>
      <c r="R18" s="49">
        <v>4747.1400000000003</v>
      </c>
      <c r="S18" s="49">
        <v>8813.17</v>
      </c>
      <c r="T18" s="50">
        <f t="shared" si="0"/>
        <v>35663.449999999997</v>
      </c>
      <c r="U18" s="48">
        <v>21423.32</v>
      </c>
      <c r="V18" s="49">
        <v>5157.58</v>
      </c>
      <c r="W18" s="49">
        <v>9924.64</v>
      </c>
      <c r="X18" s="50">
        <f t="shared" si="1"/>
        <v>36505.54</v>
      </c>
      <c r="Y18" s="48">
        <v>31526.94</v>
      </c>
      <c r="Z18" s="49">
        <v>499.02</v>
      </c>
      <c r="AA18" s="49">
        <v>16539.61</v>
      </c>
      <c r="AB18" s="50">
        <f t="shared" si="2"/>
        <v>48565.57</v>
      </c>
      <c r="AC18" s="164">
        <v>19535.16</v>
      </c>
      <c r="AD18" s="165">
        <v>2156.1</v>
      </c>
      <c r="AE18" s="165">
        <v>11071.099999999999</v>
      </c>
      <c r="AF18" s="151">
        <f t="shared" si="3"/>
        <v>32762.359999999997</v>
      </c>
      <c r="AG18" s="165">
        <v>13823.51</v>
      </c>
      <c r="AH18" s="165">
        <v>3569.18</v>
      </c>
      <c r="AI18" s="165">
        <v>5543.38</v>
      </c>
      <c r="AJ18" s="151">
        <f t="shared" si="4"/>
        <v>22936.07</v>
      </c>
      <c r="AK18" s="192">
        <v>2967.47</v>
      </c>
      <c r="AL18" s="10">
        <v>2050.4899999999998</v>
      </c>
      <c r="AM18" s="10">
        <v>3987.6800000000003</v>
      </c>
      <c r="AN18" s="151">
        <f t="shared" si="5"/>
        <v>9005.64</v>
      </c>
      <c r="AO18" s="191"/>
      <c r="AP18" s="10"/>
      <c r="AQ18" s="10"/>
      <c r="AR18" s="151"/>
      <c r="AS18" s="191"/>
      <c r="AT18" s="10"/>
      <c r="AU18" s="10"/>
      <c r="AV18" s="151"/>
      <c r="AW18" s="191"/>
      <c r="AX18" s="10"/>
      <c r="AY18" s="10"/>
      <c r="AZ18" s="151"/>
      <c r="BA18" s="191"/>
      <c r="BB18" s="10"/>
      <c r="BC18" s="10"/>
      <c r="BD18" s="151"/>
      <c r="BE18" s="191"/>
      <c r="BF18" s="10"/>
      <c r="BG18" s="10"/>
      <c r="BH18" s="151"/>
      <c r="BI18" s="191"/>
      <c r="BJ18" s="10"/>
      <c r="BK18" s="10"/>
      <c r="BL18" s="151"/>
      <c r="BM18" s="1"/>
      <c r="BN18" s="48"/>
      <c r="BO18" s="56"/>
      <c r="BP18" s="56"/>
      <c r="BQ18" s="50"/>
      <c r="BR18" s="48"/>
      <c r="BS18" s="56"/>
      <c r="BT18" s="56"/>
      <c r="BU18" s="50"/>
      <c r="BV18" s="48"/>
      <c r="BW18" s="56"/>
      <c r="BX18" s="56"/>
      <c r="BY18" s="50"/>
      <c r="BZ18" s="48"/>
      <c r="CA18" s="49"/>
      <c r="CB18" s="49"/>
      <c r="CC18" s="50"/>
      <c r="CD18" s="48"/>
      <c r="CE18" s="49"/>
      <c r="CF18" s="49"/>
      <c r="CG18" s="50"/>
      <c r="CK18" s="12"/>
      <c r="CL18" s="15"/>
      <c r="CO18" s="12"/>
      <c r="CP18" s="15"/>
      <c r="CS18" s="12"/>
      <c r="CT18" s="15"/>
      <c r="CW18" s="12"/>
      <c r="CX18" s="15"/>
      <c r="DA18" s="12"/>
      <c r="DF18" s="15"/>
      <c r="DI18" s="12"/>
      <c r="DJ18" s="1"/>
      <c r="DK18" s="225">
        <v>500.72</v>
      </c>
      <c r="DL18" s="225"/>
      <c r="DM18" s="225">
        <v>1455.14</v>
      </c>
      <c r="DN18" s="225"/>
      <c r="DO18" s="225">
        <v>3196.07</v>
      </c>
      <c r="DP18" s="225">
        <v>813.93</v>
      </c>
      <c r="DQ18" s="225"/>
      <c r="DR18" s="225"/>
      <c r="DS18" s="10"/>
      <c r="DT18" s="225"/>
      <c r="DU18" s="10"/>
      <c r="DV18" s="225"/>
      <c r="DW18" s="1"/>
      <c r="EJ18" s="1"/>
      <c r="EK18" s="17">
        <v>3</v>
      </c>
      <c r="EL18" s="17"/>
      <c r="EM18" s="17">
        <v>3</v>
      </c>
      <c r="EN18" s="17"/>
      <c r="EO18" s="17">
        <v>2</v>
      </c>
      <c r="EP18" s="17">
        <v>3</v>
      </c>
      <c r="EQ18" s="17"/>
      <c r="ER18" s="17"/>
      <c r="ES18" s="17"/>
      <c r="EU18" s="17"/>
      <c r="EW18" s="1"/>
      <c r="EX18" s="225">
        <v>500.72</v>
      </c>
      <c r="EY18" s="225"/>
      <c r="EZ18" s="225">
        <v>1455.14</v>
      </c>
      <c r="FA18" s="225"/>
      <c r="FB18" s="225">
        <v>3196.07</v>
      </c>
      <c r="FC18" s="225">
        <v>813.93</v>
      </c>
      <c r="FD18" s="225"/>
      <c r="FE18" s="225"/>
      <c r="FF18" s="225"/>
      <c r="FG18" s="10"/>
      <c r="FH18" s="225"/>
      <c r="FI18" s="10"/>
      <c r="FJ18" s="1"/>
      <c r="FK18" s="225">
        <v>-215.12</v>
      </c>
      <c r="FL18" s="225"/>
      <c r="FM18" s="191"/>
      <c r="FN18" s="191"/>
      <c r="FO18" s="225"/>
      <c r="FP18" s="225"/>
      <c r="FQ18" s="151"/>
      <c r="FR18" s="151"/>
      <c r="FS18" s="10"/>
      <c r="FT18" s="191"/>
      <c r="FU18" s="225"/>
      <c r="FV18" s="151"/>
    </row>
    <row r="19" spans="1:178" ht="16" thickBot="1" x14ac:dyDescent="0.25">
      <c r="A19" s="27" t="s">
        <v>46</v>
      </c>
      <c r="B19" t="s">
        <v>140</v>
      </c>
      <c r="C19" s="1"/>
      <c r="D19" s="17">
        <v>3</v>
      </c>
      <c r="E19" s="17">
        <v>8</v>
      </c>
      <c r="F19" s="161">
        <v>10</v>
      </c>
      <c r="G19" s="89">
        <v>4</v>
      </c>
      <c r="H19" s="243">
        <v>2</v>
      </c>
      <c r="I19" s="87">
        <v>3</v>
      </c>
      <c r="J19" s="17"/>
      <c r="K19" s="17"/>
      <c r="L19" s="17"/>
      <c r="M19" s="17"/>
      <c r="N19" s="17"/>
      <c r="O19" s="17"/>
      <c r="P19" s="1"/>
      <c r="Q19" s="48">
        <v>93.16</v>
      </c>
      <c r="R19" s="49"/>
      <c r="S19" s="49">
        <v>0</v>
      </c>
      <c r="T19" s="50">
        <f t="shared" si="0"/>
        <v>93.16</v>
      </c>
      <c r="U19" s="48">
        <v>1799.47</v>
      </c>
      <c r="V19" s="49">
        <v>46.89</v>
      </c>
      <c r="W19" s="49">
        <v>0</v>
      </c>
      <c r="X19" s="50">
        <f t="shared" si="1"/>
        <v>1846.3600000000001</v>
      </c>
      <c r="Y19" s="48">
        <v>1269.95</v>
      </c>
      <c r="Z19" s="49">
        <v>2838.62</v>
      </c>
      <c r="AA19" s="49">
        <v>0</v>
      </c>
      <c r="AB19" s="50">
        <f t="shared" si="2"/>
        <v>4108.57</v>
      </c>
      <c r="AC19" s="167">
        <v>1152.45</v>
      </c>
      <c r="AD19" s="166"/>
      <c r="AE19" s="166">
        <v>54.81</v>
      </c>
      <c r="AF19" s="151">
        <f t="shared" si="3"/>
        <v>1207.26</v>
      </c>
      <c r="AG19" s="165"/>
      <c r="AH19" s="166">
        <v>645.5</v>
      </c>
      <c r="AI19" s="166">
        <v>0</v>
      </c>
      <c r="AJ19" s="151">
        <f t="shared" si="4"/>
        <v>645.5</v>
      </c>
      <c r="AK19" s="192">
        <v>670.91</v>
      </c>
      <c r="AL19" s="10"/>
      <c r="AM19" s="10">
        <v>0</v>
      </c>
      <c r="AN19" s="151">
        <f t="shared" si="5"/>
        <v>670.91</v>
      </c>
      <c r="AO19" s="191"/>
      <c r="AP19" s="10"/>
      <c r="AQ19" s="10"/>
      <c r="AR19" s="151"/>
      <c r="AS19" s="191"/>
      <c r="AT19" s="10"/>
      <c r="AU19" s="10"/>
      <c r="AV19" s="151"/>
      <c r="AW19" s="191"/>
      <c r="AX19" s="10"/>
      <c r="AY19" s="10"/>
      <c r="AZ19" s="151"/>
      <c r="BA19" s="191"/>
      <c r="BB19" s="10"/>
      <c r="BC19" s="10"/>
      <c r="BD19" s="151"/>
      <c r="BE19" s="191"/>
      <c r="BF19" s="10"/>
      <c r="BG19" s="10"/>
      <c r="BH19" s="151"/>
      <c r="BI19" s="191"/>
      <c r="BJ19" s="10"/>
      <c r="BK19" s="10"/>
      <c r="BL19" s="151"/>
      <c r="BM19" s="1"/>
      <c r="BN19" s="48"/>
      <c r="BO19" s="56"/>
      <c r="BP19" s="56"/>
      <c r="BQ19" s="50"/>
      <c r="BR19" s="48"/>
      <c r="BS19" s="56"/>
      <c r="BT19" s="56"/>
      <c r="BU19" s="50"/>
      <c r="BV19" s="48"/>
      <c r="BW19" s="56"/>
      <c r="BX19" s="56"/>
      <c r="BY19" s="50"/>
      <c r="BZ19" s="48"/>
      <c r="CA19" s="49"/>
      <c r="CB19" s="49"/>
      <c r="CC19" s="50"/>
      <c r="CD19" s="48"/>
      <c r="CE19" s="49"/>
      <c r="CF19" s="49"/>
      <c r="CG19" s="50"/>
      <c r="CK19" s="12"/>
      <c r="CL19" s="15"/>
      <c r="CO19" s="12"/>
      <c r="CP19" s="15"/>
      <c r="CS19" s="12"/>
      <c r="CT19" s="15"/>
      <c r="CW19" s="12"/>
      <c r="CX19" s="15"/>
      <c r="DA19" s="12"/>
      <c r="DF19" s="15"/>
      <c r="DI19" s="12"/>
      <c r="DJ19" s="1"/>
      <c r="DK19" s="225"/>
      <c r="DL19" s="225"/>
      <c r="DM19" s="225"/>
      <c r="DN19" s="225"/>
      <c r="DO19" s="225"/>
      <c r="DP19" s="225"/>
      <c r="DQ19" s="225"/>
      <c r="DR19" s="225"/>
      <c r="DS19" s="10"/>
      <c r="DT19" s="225"/>
      <c r="DU19" s="10"/>
      <c r="DV19" s="225"/>
      <c r="DW19" s="1"/>
      <c r="EJ19" s="1"/>
      <c r="EK19" s="17"/>
      <c r="EL19" s="17"/>
      <c r="EM19" s="17"/>
      <c r="EN19" s="17"/>
      <c r="EO19" s="17"/>
      <c r="EP19" s="17"/>
      <c r="EQ19" s="17"/>
      <c r="ER19" s="17"/>
      <c r="ES19" s="17"/>
      <c r="EU19" s="17"/>
      <c r="EW19" s="1"/>
      <c r="EX19" s="225"/>
      <c r="EY19" s="225"/>
      <c r="EZ19" s="225"/>
      <c r="FA19" s="225"/>
      <c r="FB19" s="225"/>
      <c r="FC19" s="225"/>
      <c r="FD19" s="225"/>
      <c r="FE19" s="225"/>
      <c r="FF19" s="225"/>
      <c r="FG19" s="10"/>
      <c r="FH19" s="225"/>
      <c r="FI19" s="10"/>
      <c r="FJ19" s="1"/>
      <c r="FK19" s="225"/>
      <c r="FL19" s="225"/>
      <c r="FM19" s="191"/>
      <c r="FN19" s="191"/>
      <c r="FO19" s="225"/>
      <c r="FP19" s="225"/>
      <c r="FQ19" s="151"/>
      <c r="FR19" s="151"/>
      <c r="FS19" s="10"/>
      <c r="FT19" s="191"/>
      <c r="FU19" s="225"/>
      <c r="FV19" s="151"/>
    </row>
    <row r="20" spans="1:178" ht="16" thickBot="1" x14ac:dyDescent="0.25">
      <c r="A20" s="27" t="s">
        <v>47</v>
      </c>
      <c r="B20" t="s">
        <v>140</v>
      </c>
      <c r="C20" s="1"/>
      <c r="D20" s="17">
        <v>29</v>
      </c>
      <c r="E20" s="17">
        <v>14</v>
      </c>
      <c r="F20" s="161">
        <v>15</v>
      </c>
      <c r="G20" s="87">
        <v>14</v>
      </c>
      <c r="H20" s="243">
        <v>20</v>
      </c>
      <c r="I20" s="87">
        <v>28</v>
      </c>
      <c r="J20" s="17"/>
      <c r="K20" s="17"/>
      <c r="L20" s="17"/>
      <c r="M20" s="17"/>
      <c r="N20" s="17"/>
      <c r="O20" s="17"/>
      <c r="P20" s="1"/>
      <c r="Q20" s="48">
        <v>11837.29</v>
      </c>
      <c r="R20" s="49">
        <v>3745.06</v>
      </c>
      <c r="S20" s="49">
        <v>8495.0400000000009</v>
      </c>
      <c r="T20" s="50">
        <f t="shared" si="0"/>
        <v>24077.39</v>
      </c>
      <c r="U20" s="48">
        <v>3309.67</v>
      </c>
      <c r="V20" s="49">
        <v>258.45</v>
      </c>
      <c r="W20" s="49">
        <v>7907.91</v>
      </c>
      <c r="X20" s="50">
        <f t="shared" si="1"/>
        <v>11476.029999999999</v>
      </c>
      <c r="Y20" s="48">
        <v>8693.77</v>
      </c>
      <c r="Z20" s="49">
        <v>1267.96</v>
      </c>
      <c r="AA20" s="49">
        <v>2900.2599999999998</v>
      </c>
      <c r="AB20" s="50">
        <f t="shared" si="2"/>
        <v>12861.99</v>
      </c>
      <c r="AC20" s="164">
        <v>8807.9699999999993</v>
      </c>
      <c r="AD20" s="165">
        <v>1702.94</v>
      </c>
      <c r="AE20" s="165">
        <v>894.7</v>
      </c>
      <c r="AF20" s="151">
        <f t="shared" si="3"/>
        <v>11405.61</v>
      </c>
      <c r="AG20" s="165">
        <v>9430.02</v>
      </c>
      <c r="AH20" s="165">
        <v>5454.31</v>
      </c>
      <c r="AI20" s="165">
        <v>1457.45</v>
      </c>
      <c r="AJ20" s="151">
        <f t="shared" si="4"/>
        <v>16341.780000000002</v>
      </c>
      <c r="AK20" s="192">
        <v>19863.07</v>
      </c>
      <c r="AL20" s="10"/>
      <c r="AM20" s="10">
        <v>2183.4499999999998</v>
      </c>
      <c r="AN20" s="151">
        <f t="shared" si="5"/>
        <v>22046.52</v>
      </c>
      <c r="AO20" s="191"/>
      <c r="AP20" s="10"/>
      <c r="AQ20" s="10"/>
      <c r="AR20" s="151"/>
      <c r="AS20" s="191"/>
      <c r="AT20" s="10"/>
      <c r="AU20" s="10"/>
      <c r="AV20" s="151"/>
      <c r="AW20" s="191"/>
      <c r="AX20" s="10"/>
      <c r="AY20" s="10"/>
      <c r="AZ20" s="151"/>
      <c r="BA20" s="191"/>
      <c r="BB20" s="10"/>
      <c r="BC20" s="10"/>
      <c r="BD20" s="151"/>
      <c r="BE20" s="191"/>
      <c r="BF20" s="10"/>
      <c r="BG20" s="10"/>
      <c r="BH20" s="151"/>
      <c r="BI20" s="191"/>
      <c r="BJ20" s="10"/>
      <c r="BK20" s="10"/>
      <c r="BL20" s="151"/>
      <c r="BM20" s="1"/>
      <c r="BN20" s="48"/>
      <c r="BO20" s="56"/>
      <c r="BP20" s="56"/>
      <c r="BQ20" s="50"/>
      <c r="BR20" s="48"/>
      <c r="BS20" s="56"/>
      <c r="BT20" s="56"/>
      <c r="BU20" s="50"/>
      <c r="BV20" s="48"/>
      <c r="BW20" s="56"/>
      <c r="BX20" s="56"/>
      <c r="BY20" s="50"/>
      <c r="BZ20" s="48"/>
      <c r="CA20" s="49"/>
      <c r="CB20" s="49"/>
      <c r="CC20" s="50"/>
      <c r="CD20" s="48"/>
      <c r="CE20" s="49"/>
      <c r="CF20" s="49"/>
      <c r="CG20" s="50"/>
      <c r="CK20" s="12"/>
      <c r="CL20" s="15"/>
      <c r="CO20" s="12"/>
      <c r="CP20" s="15"/>
      <c r="CS20" s="12"/>
      <c r="CT20" s="15"/>
      <c r="CW20" s="12"/>
      <c r="CX20" s="15"/>
      <c r="DA20" s="12"/>
      <c r="DF20" s="15"/>
      <c r="DI20" s="12"/>
      <c r="DJ20" s="1"/>
      <c r="DK20" s="225">
        <v>44.79</v>
      </c>
      <c r="DL20" s="225">
        <v>30.54</v>
      </c>
      <c r="DM20" s="225">
        <v>5616.75</v>
      </c>
      <c r="DN20" s="225"/>
      <c r="DO20" s="225"/>
      <c r="DP20" s="225"/>
      <c r="DQ20" s="225"/>
      <c r="DR20" s="225"/>
      <c r="DS20" s="10"/>
      <c r="DT20" s="225"/>
      <c r="DU20" s="10"/>
      <c r="DV20" s="225"/>
      <c r="DW20" s="1"/>
      <c r="EJ20" s="1"/>
      <c r="EK20" s="17">
        <v>1</v>
      </c>
      <c r="EL20" s="17">
        <v>1</v>
      </c>
      <c r="EM20" s="17">
        <v>1</v>
      </c>
      <c r="EN20" s="17"/>
      <c r="EO20" s="17"/>
      <c r="EP20" s="17"/>
      <c r="EQ20" s="17"/>
      <c r="ER20" s="17"/>
      <c r="ES20" s="17"/>
      <c r="EU20" s="17"/>
      <c r="EW20" s="1"/>
      <c r="EX20" s="225">
        <v>44.79</v>
      </c>
      <c r="EY20" s="225">
        <v>30.54</v>
      </c>
      <c r="EZ20" s="225">
        <v>5616.75</v>
      </c>
      <c r="FA20" s="225"/>
      <c r="FB20" s="225"/>
      <c r="FC20" s="225"/>
      <c r="FD20" s="225"/>
      <c r="FE20" s="225"/>
      <c r="FF20" s="225"/>
      <c r="FG20" s="10"/>
      <c r="FH20" s="225"/>
      <c r="FI20" s="10"/>
      <c r="FJ20" s="1"/>
      <c r="FK20" s="225"/>
      <c r="FL20" s="225">
        <v>-75.33</v>
      </c>
      <c r="FM20" s="191"/>
      <c r="FN20" s="191"/>
      <c r="FO20" s="225"/>
      <c r="FP20" s="225"/>
      <c r="FQ20" s="151"/>
      <c r="FR20" s="151"/>
      <c r="FS20" s="10"/>
      <c r="FT20" s="191"/>
      <c r="FU20" s="225"/>
      <c r="FV20" s="151"/>
    </row>
    <row r="21" spans="1:178" ht="16" thickBot="1" x14ac:dyDescent="0.25">
      <c r="A21" s="27" t="s">
        <v>48</v>
      </c>
      <c r="B21" t="s">
        <v>140</v>
      </c>
      <c r="C21" s="1"/>
      <c r="D21" s="17">
        <v>1</v>
      </c>
      <c r="E21" s="17"/>
      <c r="F21" s="161">
        <v>1</v>
      </c>
      <c r="G21" s="87">
        <v>1</v>
      </c>
      <c r="H21" s="243"/>
      <c r="I21" s="87"/>
      <c r="J21" s="17"/>
      <c r="K21" s="17"/>
      <c r="L21" s="17"/>
      <c r="M21" s="17"/>
      <c r="N21" s="17"/>
      <c r="O21" s="17"/>
      <c r="P21" s="1"/>
      <c r="Q21" s="48">
        <v>114.27</v>
      </c>
      <c r="R21" s="49"/>
      <c r="S21" s="49">
        <v>0</v>
      </c>
      <c r="T21" s="50">
        <f t="shared" si="0"/>
        <v>114.27</v>
      </c>
      <c r="U21" s="48"/>
      <c r="V21" s="49"/>
      <c r="W21" s="49">
        <v>0</v>
      </c>
      <c r="X21" s="50">
        <f t="shared" si="1"/>
        <v>0</v>
      </c>
      <c r="Y21" s="48">
        <v>161.53</v>
      </c>
      <c r="Z21" s="49"/>
      <c r="AA21" s="49">
        <v>0</v>
      </c>
      <c r="AB21" s="50">
        <f t="shared" si="2"/>
        <v>161.53</v>
      </c>
      <c r="AC21" s="167"/>
      <c r="AD21" s="165">
        <v>263.99</v>
      </c>
      <c r="AE21" s="166">
        <v>0</v>
      </c>
      <c r="AF21" s="151">
        <f t="shared" si="3"/>
        <v>263.99</v>
      </c>
      <c r="AG21" s="165"/>
      <c r="AH21" s="166"/>
      <c r="AI21" s="165">
        <v>0</v>
      </c>
      <c r="AJ21" s="151">
        <f t="shared" si="4"/>
        <v>0</v>
      </c>
      <c r="AK21" s="192"/>
      <c r="AL21" s="10"/>
      <c r="AM21" s="10">
        <v>0</v>
      </c>
      <c r="AN21" s="151">
        <f t="shared" si="5"/>
        <v>0</v>
      </c>
      <c r="AO21" s="191"/>
      <c r="AP21" s="10"/>
      <c r="AQ21" s="10"/>
      <c r="AR21" s="151"/>
      <c r="AS21" s="191"/>
      <c r="AT21" s="10"/>
      <c r="AU21" s="10"/>
      <c r="AV21" s="151"/>
      <c r="AW21" s="191"/>
      <c r="AX21" s="10"/>
      <c r="AY21" s="10"/>
      <c r="AZ21" s="151"/>
      <c r="BA21" s="191"/>
      <c r="BB21" s="10"/>
      <c r="BC21" s="10"/>
      <c r="BD21" s="151"/>
      <c r="BE21" s="191"/>
      <c r="BF21" s="10"/>
      <c r="BG21" s="10"/>
      <c r="BH21" s="151"/>
      <c r="BI21" s="191"/>
      <c r="BJ21" s="10"/>
      <c r="BK21" s="10"/>
      <c r="BL21" s="151"/>
      <c r="BM21" s="1"/>
      <c r="BN21" s="48"/>
      <c r="BO21" s="56"/>
      <c r="BP21" s="56"/>
      <c r="BQ21" s="50"/>
      <c r="BR21" s="48"/>
      <c r="BS21" s="56"/>
      <c r="BT21" s="56"/>
      <c r="BU21" s="50"/>
      <c r="BV21" s="48"/>
      <c r="BW21" s="56"/>
      <c r="BX21" s="56"/>
      <c r="BY21" s="50"/>
      <c r="BZ21" s="48"/>
      <c r="CA21" s="49"/>
      <c r="CB21" s="49"/>
      <c r="CC21" s="50"/>
      <c r="CD21" s="48"/>
      <c r="CE21" s="49"/>
      <c r="CF21" s="49"/>
      <c r="CG21" s="50"/>
      <c r="CK21" s="12"/>
      <c r="CL21" s="15"/>
      <c r="CO21" s="12"/>
      <c r="CP21" s="15"/>
      <c r="CS21" s="12"/>
      <c r="CT21" s="15"/>
      <c r="CW21" s="12"/>
      <c r="CX21" s="15"/>
      <c r="DA21" s="12"/>
      <c r="DF21" s="15"/>
      <c r="DI21" s="12"/>
      <c r="DJ21" s="1"/>
      <c r="DK21" s="225"/>
      <c r="DL21" s="225"/>
      <c r="DM21" s="225"/>
      <c r="DN21" s="225"/>
      <c r="DO21" s="225"/>
      <c r="DP21" s="225"/>
      <c r="DQ21" s="225"/>
      <c r="DR21" s="225"/>
      <c r="DS21" s="10"/>
      <c r="DT21" s="225"/>
      <c r="DU21" s="10"/>
      <c r="DV21" s="225"/>
      <c r="DW21" s="1"/>
      <c r="EJ21" s="1"/>
      <c r="EK21" s="17"/>
      <c r="EL21" s="17"/>
      <c r="EM21" s="17"/>
      <c r="EN21" s="17"/>
      <c r="EO21" s="17"/>
      <c r="EP21" s="17"/>
      <c r="EQ21" s="17"/>
      <c r="ER21" s="17"/>
      <c r="ES21" s="17"/>
      <c r="EU21" s="17"/>
      <c r="EW21" s="1"/>
      <c r="EX21" s="225"/>
      <c r="EY21" s="225"/>
      <c r="EZ21" s="225"/>
      <c r="FA21" s="225"/>
      <c r="FB21" s="225"/>
      <c r="FC21" s="225"/>
      <c r="FD21" s="225"/>
      <c r="FE21" s="225"/>
      <c r="FF21" s="225"/>
      <c r="FG21" s="10"/>
      <c r="FH21" s="225"/>
      <c r="FI21" s="10"/>
      <c r="FJ21" s="1"/>
      <c r="FK21" s="225"/>
      <c r="FL21" s="225"/>
      <c r="FM21" s="191"/>
      <c r="FN21" s="191"/>
      <c r="FO21" s="225"/>
      <c r="FP21" s="225"/>
      <c r="FQ21" s="151"/>
      <c r="FR21" s="151"/>
      <c r="FS21" s="10"/>
      <c r="FT21" s="191"/>
      <c r="FU21" s="225"/>
      <c r="FV21" s="151"/>
    </row>
    <row r="22" spans="1:178" ht="16" thickBot="1" x14ac:dyDescent="0.25">
      <c r="A22" s="27" t="s">
        <v>49</v>
      </c>
      <c r="B22" t="s">
        <v>140</v>
      </c>
      <c r="C22" s="1"/>
      <c r="D22" s="17">
        <v>22</v>
      </c>
      <c r="E22" s="17">
        <v>13</v>
      </c>
      <c r="F22" s="161">
        <v>19</v>
      </c>
      <c r="G22" s="87">
        <v>10</v>
      </c>
      <c r="H22" s="243">
        <v>13</v>
      </c>
      <c r="I22" s="87">
        <v>18</v>
      </c>
      <c r="J22" s="17"/>
      <c r="K22" s="17"/>
      <c r="L22" s="17"/>
      <c r="M22" s="17"/>
      <c r="N22" s="17"/>
      <c r="O22" s="17"/>
      <c r="P22" s="1"/>
      <c r="Q22" s="48">
        <v>11559.97</v>
      </c>
      <c r="R22" s="49">
        <v>400.74</v>
      </c>
      <c r="S22" s="49">
        <v>2774.87</v>
      </c>
      <c r="T22" s="50">
        <f t="shared" si="0"/>
        <v>14735.579999999998</v>
      </c>
      <c r="U22" s="48">
        <v>1608.01</v>
      </c>
      <c r="V22" s="49">
        <v>5808.57</v>
      </c>
      <c r="W22" s="49">
        <v>2037.1</v>
      </c>
      <c r="X22" s="50">
        <f t="shared" si="1"/>
        <v>9453.68</v>
      </c>
      <c r="Y22" s="48">
        <v>35896.75</v>
      </c>
      <c r="Z22" s="49">
        <v>506.05</v>
      </c>
      <c r="AA22" s="49">
        <v>11238.09</v>
      </c>
      <c r="AB22" s="50">
        <f t="shared" si="2"/>
        <v>47640.89</v>
      </c>
      <c r="AC22" s="164">
        <v>5560.42</v>
      </c>
      <c r="AD22" s="165">
        <v>4195.96</v>
      </c>
      <c r="AE22" s="165">
        <v>1358.11</v>
      </c>
      <c r="AF22" s="151">
        <f t="shared" si="3"/>
        <v>11114.490000000002</v>
      </c>
      <c r="AG22" s="165">
        <v>7416.66</v>
      </c>
      <c r="AH22" s="165">
        <v>300.72000000000003</v>
      </c>
      <c r="AI22" s="165">
        <v>1964.1999999999998</v>
      </c>
      <c r="AJ22" s="151">
        <f t="shared" si="4"/>
        <v>9681.58</v>
      </c>
      <c r="AK22" s="192">
        <v>12339.26</v>
      </c>
      <c r="AL22" s="10"/>
      <c r="AM22" s="10">
        <v>1167.95</v>
      </c>
      <c r="AN22" s="151">
        <f t="shared" si="5"/>
        <v>13507.210000000001</v>
      </c>
      <c r="AO22" s="191"/>
      <c r="AP22" s="10"/>
      <c r="AQ22" s="10"/>
      <c r="AR22" s="151"/>
      <c r="AS22" s="191"/>
      <c r="AT22" s="10"/>
      <c r="AU22" s="10"/>
      <c r="AV22" s="151"/>
      <c r="AW22" s="191"/>
      <c r="AX22" s="10"/>
      <c r="AY22" s="10"/>
      <c r="AZ22" s="151"/>
      <c r="BA22" s="191"/>
      <c r="BB22" s="10"/>
      <c r="BC22" s="10"/>
      <c r="BD22" s="151"/>
      <c r="BE22" s="191"/>
      <c r="BF22" s="10"/>
      <c r="BG22" s="10"/>
      <c r="BH22" s="151"/>
      <c r="BI22" s="191"/>
      <c r="BJ22" s="10"/>
      <c r="BK22" s="10"/>
      <c r="BL22" s="151"/>
      <c r="BM22" s="1"/>
      <c r="BN22" s="48"/>
      <c r="BO22" s="56"/>
      <c r="BP22" s="56"/>
      <c r="BQ22" s="50"/>
      <c r="BR22" s="48"/>
      <c r="BS22" s="56"/>
      <c r="BT22" s="56"/>
      <c r="BU22" s="50"/>
      <c r="BV22" s="48"/>
      <c r="BW22" s="56"/>
      <c r="BX22" s="56"/>
      <c r="BY22" s="50"/>
      <c r="BZ22" s="48"/>
      <c r="CA22" s="49"/>
      <c r="CB22" s="49"/>
      <c r="CC22" s="50"/>
      <c r="CD22" s="48"/>
      <c r="CE22" s="49"/>
      <c r="CF22" s="49"/>
      <c r="CG22" s="50"/>
      <c r="CK22" s="12"/>
      <c r="CL22" s="15"/>
      <c r="CO22" s="12"/>
      <c r="CP22" s="15"/>
      <c r="CS22" s="12"/>
      <c r="CT22" s="15"/>
      <c r="CW22" s="12"/>
      <c r="CX22" s="15"/>
      <c r="DA22" s="12"/>
      <c r="DF22" s="15"/>
      <c r="DI22" s="12"/>
      <c r="DJ22" s="1"/>
      <c r="DK22" s="225"/>
      <c r="DL22" s="225">
        <v>564.30999999999995</v>
      </c>
      <c r="DM22" s="225">
        <v>255.28</v>
      </c>
      <c r="DN22" s="225"/>
      <c r="DO22" s="225">
        <v>715.94</v>
      </c>
      <c r="DP22" s="225"/>
      <c r="DQ22" s="225"/>
      <c r="DR22" s="225"/>
      <c r="DS22" s="10"/>
      <c r="DT22" s="225"/>
      <c r="DU22" s="10"/>
      <c r="DV22" s="225"/>
      <c r="DW22" s="1"/>
      <c r="EJ22" s="1"/>
      <c r="EK22" s="17"/>
      <c r="EL22" s="17">
        <v>1</v>
      </c>
      <c r="EM22" s="17">
        <v>1</v>
      </c>
      <c r="EN22" s="17"/>
      <c r="EO22" s="17">
        <v>1</v>
      </c>
      <c r="EP22" s="17"/>
      <c r="EQ22" s="17"/>
      <c r="ER22" s="17"/>
      <c r="ES22" s="17"/>
      <c r="EU22" s="17"/>
      <c r="EW22" s="1"/>
      <c r="EX22" s="225"/>
      <c r="EY22" s="225">
        <v>564.30999999999995</v>
      </c>
      <c r="EZ22" s="225">
        <v>246.28</v>
      </c>
      <c r="FA22" s="225"/>
      <c r="FB22" s="225">
        <v>715.94</v>
      </c>
      <c r="FC22" s="225"/>
      <c r="FD22" s="225"/>
      <c r="FE22" s="225"/>
      <c r="FF22" s="225"/>
      <c r="FG22" s="10"/>
      <c r="FH22" s="225"/>
      <c r="FI22" s="10"/>
      <c r="FJ22" s="1"/>
      <c r="FK22" s="225"/>
      <c r="FL22" s="225"/>
      <c r="FM22" s="191"/>
      <c r="FN22" s="191"/>
      <c r="FO22" s="225"/>
      <c r="FP22" s="225"/>
      <c r="FQ22" s="151"/>
      <c r="FR22" s="151"/>
      <c r="FS22" s="10"/>
      <c r="FT22" s="191"/>
      <c r="FU22" s="225"/>
      <c r="FV22" s="151"/>
    </row>
    <row r="23" spans="1:178" ht="16" thickBot="1" x14ac:dyDescent="0.25">
      <c r="A23" s="27" t="s">
        <v>50</v>
      </c>
      <c r="B23" t="s">
        <v>140</v>
      </c>
      <c r="C23" s="1"/>
      <c r="D23" s="17">
        <v>8</v>
      </c>
      <c r="E23" s="17">
        <v>7</v>
      </c>
      <c r="F23" s="161">
        <v>8</v>
      </c>
      <c r="G23" s="87">
        <v>5</v>
      </c>
      <c r="H23" s="243">
        <v>6</v>
      </c>
      <c r="I23" s="87">
        <v>5</v>
      </c>
      <c r="J23" s="17"/>
      <c r="K23" s="17"/>
      <c r="L23" s="17"/>
      <c r="M23" s="17"/>
      <c r="N23" s="17"/>
      <c r="O23" s="17"/>
      <c r="P23" s="1"/>
      <c r="Q23" s="48">
        <v>489.17</v>
      </c>
      <c r="R23" s="49"/>
      <c r="S23" s="49">
        <v>3276.1</v>
      </c>
      <c r="T23" s="50">
        <f t="shared" si="0"/>
        <v>3765.27</v>
      </c>
      <c r="U23" s="48">
        <v>34.47</v>
      </c>
      <c r="V23" s="49">
        <v>1992.03</v>
      </c>
      <c r="W23" s="49">
        <v>2542.7399999999998</v>
      </c>
      <c r="X23" s="50">
        <f t="shared" si="1"/>
        <v>4569.24</v>
      </c>
      <c r="Y23" s="48">
        <v>1527.3</v>
      </c>
      <c r="Z23" s="49">
        <v>113.93</v>
      </c>
      <c r="AA23" s="49">
        <v>4188.33</v>
      </c>
      <c r="AB23" s="50">
        <f t="shared" si="2"/>
        <v>5829.5599999999995</v>
      </c>
      <c r="AC23" s="164">
        <v>697.14</v>
      </c>
      <c r="AD23" s="165">
        <v>2229.91</v>
      </c>
      <c r="AE23" s="165">
        <v>0</v>
      </c>
      <c r="AF23" s="151">
        <f t="shared" si="3"/>
        <v>2927.0499999999997</v>
      </c>
      <c r="AG23" s="165">
        <v>3201.29</v>
      </c>
      <c r="AH23" s="165">
        <v>139.87</v>
      </c>
      <c r="AI23" s="165">
        <v>455.89</v>
      </c>
      <c r="AJ23" s="151">
        <f t="shared" si="4"/>
        <v>3797.0499999999997</v>
      </c>
      <c r="AK23" s="192">
        <v>201.95</v>
      </c>
      <c r="AL23" s="10">
        <v>6164.36</v>
      </c>
      <c r="AM23" s="10">
        <v>151</v>
      </c>
      <c r="AN23" s="151">
        <f t="shared" si="5"/>
        <v>6517.3099999999995</v>
      </c>
      <c r="AO23" s="191"/>
      <c r="AP23" s="10"/>
      <c r="AQ23" s="10"/>
      <c r="AR23" s="151"/>
      <c r="AS23" s="191"/>
      <c r="AT23" s="10"/>
      <c r="AU23" s="10"/>
      <c r="AV23" s="151"/>
      <c r="AW23" s="191"/>
      <c r="AX23" s="10"/>
      <c r="AY23" s="10"/>
      <c r="AZ23" s="151"/>
      <c r="BA23" s="191"/>
      <c r="BB23" s="10"/>
      <c r="BC23" s="10"/>
      <c r="BD23" s="151"/>
      <c r="BE23" s="191"/>
      <c r="BF23" s="10"/>
      <c r="BG23" s="10"/>
      <c r="BH23" s="151"/>
      <c r="BI23" s="191"/>
      <c r="BJ23" s="10"/>
      <c r="BK23" s="10"/>
      <c r="BL23" s="151"/>
      <c r="BM23" s="1"/>
      <c r="BN23" s="48"/>
      <c r="BO23" s="56"/>
      <c r="BP23" s="56"/>
      <c r="BQ23" s="50"/>
      <c r="BR23" s="48"/>
      <c r="BS23" s="56"/>
      <c r="BT23" s="56"/>
      <c r="BU23" s="50"/>
      <c r="BV23" s="48"/>
      <c r="BW23" s="56"/>
      <c r="BX23" s="56"/>
      <c r="BY23" s="50"/>
      <c r="BZ23" s="48"/>
      <c r="CA23" s="49"/>
      <c r="CB23" s="49"/>
      <c r="CC23" s="50"/>
      <c r="CD23" s="48"/>
      <c r="CE23" s="49"/>
      <c r="CF23" s="49"/>
      <c r="CG23" s="50"/>
      <c r="CK23" s="12"/>
      <c r="CL23" s="15"/>
      <c r="CO23" s="12"/>
      <c r="CP23" s="15"/>
      <c r="CS23" s="12"/>
      <c r="CT23" s="15"/>
      <c r="CW23" s="12"/>
      <c r="CX23" s="15"/>
      <c r="DA23" s="12"/>
      <c r="DF23" s="15"/>
      <c r="DI23" s="12"/>
      <c r="DJ23" s="1"/>
      <c r="DK23" s="225"/>
      <c r="DL23" s="225">
        <v>803.12</v>
      </c>
      <c r="DM23" s="225">
        <v>1453.2</v>
      </c>
      <c r="DN23" s="225">
        <v>712.14</v>
      </c>
      <c r="DO23" s="225">
        <v>1959.82</v>
      </c>
      <c r="DP23" s="225"/>
      <c r="DQ23" s="225"/>
      <c r="DR23" s="225"/>
      <c r="DS23" s="10"/>
      <c r="DT23" s="225"/>
      <c r="DU23" s="10"/>
      <c r="DV23" s="225"/>
      <c r="DW23" s="1"/>
      <c r="EJ23" s="1"/>
      <c r="EK23" s="17"/>
      <c r="EL23" s="17">
        <v>1</v>
      </c>
      <c r="EM23" s="17">
        <v>1</v>
      </c>
      <c r="EN23" s="17">
        <v>2</v>
      </c>
      <c r="EO23" s="17">
        <v>1</v>
      </c>
      <c r="EP23" s="17"/>
      <c r="EQ23" s="17"/>
      <c r="ER23" s="17"/>
      <c r="ES23" s="17"/>
      <c r="EU23" s="17"/>
      <c r="EW23" s="1"/>
      <c r="EX23" s="225"/>
      <c r="EY23" s="225">
        <v>803.12</v>
      </c>
      <c r="EZ23" s="225">
        <v>1453.2</v>
      </c>
      <c r="FA23" s="225">
        <v>712.14</v>
      </c>
      <c r="FB23" s="225">
        <v>1959.82</v>
      </c>
      <c r="FC23" s="225"/>
      <c r="FD23" s="225"/>
      <c r="FE23" s="225"/>
      <c r="FF23" s="225"/>
      <c r="FG23" s="10"/>
      <c r="FH23" s="225"/>
      <c r="FI23" s="10"/>
      <c r="FJ23" s="1"/>
      <c r="FK23" s="225"/>
      <c r="FL23" s="225"/>
      <c r="FM23" s="191">
        <v>-1453.2</v>
      </c>
      <c r="FN23" s="191"/>
      <c r="FO23" s="225"/>
      <c r="FP23" s="225"/>
      <c r="FQ23" s="151"/>
      <c r="FR23" s="151"/>
      <c r="FS23" s="10"/>
      <c r="FT23" s="191"/>
      <c r="FU23" s="225"/>
      <c r="FV23" s="151"/>
    </row>
    <row r="24" spans="1:178" ht="16" thickBot="1" x14ac:dyDescent="0.25">
      <c r="A24" s="27" t="s">
        <v>51</v>
      </c>
      <c r="B24" t="s">
        <v>140</v>
      </c>
      <c r="C24" s="1"/>
      <c r="D24" s="17"/>
      <c r="E24" s="17"/>
      <c r="F24" s="162"/>
      <c r="G24" s="87"/>
      <c r="H24" s="244">
        <v>1</v>
      </c>
      <c r="I24" s="87">
        <v>1</v>
      </c>
      <c r="J24" s="17"/>
      <c r="K24" s="17"/>
      <c r="L24" s="17"/>
      <c r="M24" s="17"/>
      <c r="N24" s="17"/>
      <c r="O24" s="17"/>
      <c r="P24" s="1"/>
      <c r="Q24" s="48"/>
      <c r="R24" s="49"/>
      <c r="S24" s="49">
        <v>0</v>
      </c>
      <c r="T24" s="50">
        <f t="shared" si="0"/>
        <v>0</v>
      </c>
      <c r="U24" s="48"/>
      <c r="V24" s="49"/>
      <c r="W24" s="49">
        <v>0</v>
      </c>
      <c r="X24" s="50">
        <f t="shared" si="1"/>
        <v>0</v>
      </c>
      <c r="Y24" s="48"/>
      <c r="Z24" s="49"/>
      <c r="AA24" s="49">
        <v>0</v>
      </c>
      <c r="AB24" s="50">
        <f t="shared" si="2"/>
        <v>0</v>
      </c>
      <c r="AC24" s="164"/>
      <c r="AD24" s="166"/>
      <c r="AE24" s="166">
        <v>0</v>
      </c>
      <c r="AF24" s="151">
        <f t="shared" si="3"/>
        <v>0</v>
      </c>
      <c r="AG24" s="166">
        <v>427.67</v>
      </c>
      <c r="AH24" s="166"/>
      <c r="AI24" s="166">
        <v>0</v>
      </c>
      <c r="AJ24" s="151">
        <f t="shared" si="4"/>
        <v>427.67</v>
      </c>
      <c r="AK24" s="192"/>
      <c r="AL24" s="10">
        <v>413.5</v>
      </c>
      <c r="AM24" s="10">
        <v>0</v>
      </c>
      <c r="AN24" s="151">
        <f t="shared" si="5"/>
        <v>413.5</v>
      </c>
      <c r="AO24" s="191"/>
      <c r="AP24" s="10"/>
      <c r="AQ24" s="10"/>
      <c r="AR24" s="151"/>
      <c r="AS24" s="191"/>
      <c r="AT24" s="10"/>
      <c r="AU24" s="10"/>
      <c r="AV24" s="151"/>
      <c r="AW24" s="191"/>
      <c r="AX24" s="10"/>
      <c r="AY24" s="10"/>
      <c r="AZ24" s="151"/>
      <c r="BA24" s="191"/>
      <c r="BB24" s="10"/>
      <c r="BC24" s="10"/>
      <c r="BD24" s="151"/>
      <c r="BE24" s="191"/>
      <c r="BF24" s="10"/>
      <c r="BG24" s="10"/>
      <c r="BH24" s="151"/>
      <c r="BI24" s="191"/>
      <c r="BJ24" s="10"/>
      <c r="BK24" s="10"/>
      <c r="BL24" s="151"/>
      <c r="BM24" s="1"/>
      <c r="BN24" s="48"/>
      <c r="BO24" s="56"/>
      <c r="BP24" s="56"/>
      <c r="BQ24" s="50"/>
      <c r="BR24" s="48"/>
      <c r="BS24" s="56"/>
      <c r="BT24" s="56"/>
      <c r="BU24" s="50"/>
      <c r="BV24" s="48"/>
      <c r="BW24" s="56"/>
      <c r="BX24" s="56"/>
      <c r="BY24" s="50"/>
      <c r="BZ24" s="48"/>
      <c r="CA24" s="49"/>
      <c r="CB24" s="49"/>
      <c r="CC24" s="50"/>
      <c r="CD24" s="48"/>
      <c r="CE24" s="49"/>
      <c r="CF24" s="49"/>
      <c r="CG24" s="50"/>
      <c r="CK24" s="12"/>
      <c r="CL24" s="15"/>
      <c r="CO24" s="12"/>
      <c r="CP24" s="15"/>
      <c r="CS24" s="12"/>
      <c r="CT24" s="15"/>
      <c r="CW24" s="12"/>
      <c r="CX24" s="15"/>
      <c r="DA24" s="12"/>
      <c r="DF24" s="15"/>
      <c r="DI24" s="12"/>
      <c r="DJ24" s="1"/>
      <c r="DK24" s="225"/>
      <c r="DL24" s="225"/>
      <c r="DM24" s="225"/>
      <c r="DN24" s="225"/>
      <c r="DO24" s="225"/>
      <c r="DP24" s="225"/>
      <c r="DQ24" s="225"/>
      <c r="DR24" s="225"/>
      <c r="DS24" s="10"/>
      <c r="DT24" s="225"/>
      <c r="DU24" s="10"/>
      <c r="DV24" s="225"/>
      <c r="DW24" s="1"/>
      <c r="EJ24" s="1"/>
      <c r="EK24" s="17"/>
      <c r="EL24" s="17"/>
      <c r="EM24" s="17"/>
      <c r="EN24" s="17"/>
      <c r="EO24" s="17"/>
      <c r="EP24" s="17"/>
      <c r="EQ24" s="17"/>
      <c r="ER24" s="17"/>
      <c r="ES24" s="17"/>
      <c r="EU24" s="17"/>
      <c r="EW24" s="1"/>
      <c r="EX24" s="225"/>
      <c r="EY24" s="225"/>
      <c r="EZ24" s="225"/>
      <c r="FA24" s="225"/>
      <c r="FB24" s="225"/>
      <c r="FC24" s="225"/>
      <c r="FD24" s="225"/>
      <c r="FE24" s="225"/>
      <c r="FF24" s="225"/>
      <c r="FG24" s="10"/>
      <c r="FH24" s="225"/>
      <c r="FI24" s="10"/>
      <c r="FJ24" s="1"/>
      <c r="FK24" s="225"/>
      <c r="FL24" s="225"/>
      <c r="FM24" s="191"/>
      <c r="FN24" s="191"/>
      <c r="FO24" s="225"/>
      <c r="FP24" s="225"/>
      <c r="FQ24" s="151"/>
      <c r="FR24" s="151"/>
      <c r="FS24" s="10"/>
      <c r="FT24" s="191"/>
      <c r="FU24" s="225"/>
      <c r="FV24" s="151"/>
    </row>
    <row r="25" spans="1:178" ht="16" thickBot="1" x14ac:dyDescent="0.25">
      <c r="A25" s="27" t="s">
        <v>52</v>
      </c>
      <c r="B25" t="s">
        <v>140</v>
      </c>
      <c r="C25" s="1"/>
      <c r="D25" s="17">
        <v>4</v>
      </c>
      <c r="E25" s="17">
        <v>5</v>
      </c>
      <c r="F25" s="161">
        <v>7</v>
      </c>
      <c r="G25" s="87">
        <v>3</v>
      </c>
      <c r="H25" s="243">
        <v>5</v>
      </c>
      <c r="I25" s="87">
        <v>3</v>
      </c>
      <c r="J25" s="17"/>
      <c r="K25" s="17"/>
      <c r="L25" s="17"/>
      <c r="M25" s="17"/>
      <c r="N25" s="17"/>
      <c r="O25" s="17"/>
      <c r="P25" s="1"/>
      <c r="Q25" s="48">
        <v>48.69</v>
      </c>
      <c r="R25" s="49">
        <v>124.89</v>
      </c>
      <c r="S25" s="49">
        <v>782.01</v>
      </c>
      <c r="T25" s="50">
        <f t="shared" si="0"/>
        <v>955.58999999999992</v>
      </c>
      <c r="U25" s="48">
        <v>867.7</v>
      </c>
      <c r="V25" s="49">
        <v>202.13</v>
      </c>
      <c r="W25" s="49">
        <v>1338.98</v>
      </c>
      <c r="X25" s="50">
        <f t="shared" si="1"/>
        <v>2408.81</v>
      </c>
      <c r="Y25" s="48">
        <v>223.19</v>
      </c>
      <c r="Z25" s="49">
        <v>2045.48</v>
      </c>
      <c r="AA25" s="49">
        <v>864.52</v>
      </c>
      <c r="AB25" s="50">
        <f t="shared" si="2"/>
        <v>3133.19</v>
      </c>
      <c r="AC25" s="164">
        <v>9983.48</v>
      </c>
      <c r="AD25" s="165"/>
      <c r="AE25" s="166">
        <v>266.94</v>
      </c>
      <c r="AF25" s="151">
        <f t="shared" si="3"/>
        <v>10250.42</v>
      </c>
      <c r="AG25" s="165">
        <v>1623.71</v>
      </c>
      <c r="AH25" s="165"/>
      <c r="AI25" s="166">
        <v>293.95</v>
      </c>
      <c r="AJ25" s="151">
        <f t="shared" si="4"/>
        <v>1917.66</v>
      </c>
      <c r="AK25" s="192">
        <v>1295.3</v>
      </c>
      <c r="AL25" s="10"/>
      <c r="AM25" s="10">
        <v>321.3</v>
      </c>
      <c r="AN25" s="151">
        <f t="shared" si="5"/>
        <v>1616.6</v>
      </c>
      <c r="AO25" s="191"/>
      <c r="AP25" s="10"/>
      <c r="AQ25" s="10"/>
      <c r="AR25" s="151"/>
      <c r="AS25" s="191"/>
      <c r="AT25" s="10"/>
      <c r="AU25" s="10"/>
      <c r="AV25" s="151"/>
      <c r="AW25" s="191"/>
      <c r="AX25" s="10"/>
      <c r="AY25" s="10"/>
      <c r="AZ25" s="151"/>
      <c r="BA25" s="191"/>
      <c r="BB25" s="10"/>
      <c r="BC25" s="10"/>
      <c r="BD25" s="151"/>
      <c r="BE25" s="191"/>
      <c r="BF25" s="10"/>
      <c r="BG25" s="10"/>
      <c r="BH25" s="151"/>
      <c r="BI25" s="191"/>
      <c r="BJ25" s="10"/>
      <c r="BK25" s="10"/>
      <c r="BL25" s="151"/>
      <c r="BM25" s="1"/>
      <c r="BN25" s="48"/>
      <c r="BO25" s="56"/>
      <c r="BP25" s="56"/>
      <c r="BQ25" s="50"/>
      <c r="BR25" s="48"/>
      <c r="BS25" s="56"/>
      <c r="BT25" s="56"/>
      <c r="BU25" s="50"/>
      <c r="BV25" s="48"/>
      <c r="BW25" s="56"/>
      <c r="BX25" s="56"/>
      <c r="BY25" s="50"/>
      <c r="BZ25" s="48"/>
      <c r="CA25" s="49"/>
      <c r="CB25" s="49"/>
      <c r="CC25" s="50"/>
      <c r="CD25" s="48"/>
      <c r="CE25" s="49"/>
      <c r="CF25" s="49"/>
      <c r="CG25" s="50"/>
      <c r="CK25" s="12"/>
      <c r="CL25" s="15"/>
      <c r="CO25" s="12"/>
      <c r="CP25" s="15"/>
      <c r="CS25" s="12"/>
      <c r="CT25" s="15"/>
      <c r="CW25" s="12"/>
      <c r="CX25" s="15"/>
      <c r="DA25" s="12"/>
      <c r="DF25" s="15"/>
      <c r="DI25" s="12"/>
      <c r="DJ25" s="1"/>
      <c r="DK25" s="225"/>
      <c r="DL25" s="225"/>
      <c r="DM25" s="225"/>
      <c r="DN25" s="225"/>
      <c r="DO25" s="225"/>
      <c r="DP25" s="225"/>
      <c r="DQ25" s="225"/>
      <c r="DR25" s="225"/>
      <c r="DS25" s="10"/>
      <c r="DT25" s="225"/>
      <c r="DU25" s="10"/>
      <c r="DV25" s="225"/>
      <c r="DW25" s="1"/>
      <c r="EJ25" s="1"/>
      <c r="EK25" s="17"/>
      <c r="EL25" s="17"/>
      <c r="EM25" s="17"/>
      <c r="EN25" s="17"/>
      <c r="EO25" s="17"/>
      <c r="EP25" s="17"/>
      <c r="EQ25" s="17"/>
      <c r="ER25" s="17"/>
      <c r="ES25" s="17"/>
      <c r="EU25" s="17"/>
      <c r="EW25" s="1"/>
      <c r="EX25" s="225"/>
      <c r="EY25" s="225"/>
      <c r="EZ25" s="225"/>
      <c r="FA25" s="225"/>
      <c r="FB25" s="225"/>
      <c r="FC25" s="225"/>
      <c r="FD25" s="225"/>
      <c r="FE25" s="225"/>
      <c r="FF25" s="225"/>
      <c r="FG25" s="10"/>
      <c r="FH25" s="225"/>
      <c r="FI25" s="10"/>
      <c r="FJ25" s="1"/>
      <c r="FK25" s="225"/>
      <c r="FL25" s="225"/>
      <c r="FM25" s="191"/>
      <c r="FN25" s="191"/>
      <c r="FO25" s="225"/>
      <c r="FP25" s="225"/>
      <c r="FQ25" s="151"/>
      <c r="FR25" s="151"/>
      <c r="FS25" s="10"/>
      <c r="FT25" s="191"/>
      <c r="FU25" s="225"/>
      <c r="FV25" s="151"/>
    </row>
    <row r="26" spans="1:178" ht="16" thickBot="1" x14ac:dyDescent="0.25">
      <c r="A26" s="27" t="s">
        <v>53</v>
      </c>
      <c r="B26" t="s">
        <v>140</v>
      </c>
      <c r="C26" s="1"/>
      <c r="D26" s="17">
        <v>7</v>
      </c>
      <c r="E26" s="17">
        <v>6</v>
      </c>
      <c r="F26" s="161">
        <v>8</v>
      </c>
      <c r="G26" s="87">
        <v>5</v>
      </c>
      <c r="H26" s="243">
        <v>7</v>
      </c>
      <c r="I26" s="87">
        <v>6</v>
      </c>
      <c r="J26" s="17"/>
      <c r="K26" s="17"/>
      <c r="L26" s="17"/>
      <c r="M26" s="17"/>
      <c r="N26" s="17"/>
      <c r="O26" s="17"/>
      <c r="P26" s="1"/>
      <c r="Q26" s="48">
        <v>4541.2299999999996</v>
      </c>
      <c r="R26" s="49"/>
      <c r="S26" s="49">
        <v>1088.17</v>
      </c>
      <c r="T26" s="50">
        <f t="shared" si="0"/>
        <v>5629.4</v>
      </c>
      <c r="U26" s="48">
        <v>997.65</v>
      </c>
      <c r="V26" s="49">
        <v>14711.14</v>
      </c>
      <c r="W26" s="49">
        <v>851.84</v>
      </c>
      <c r="X26" s="50">
        <f t="shared" si="1"/>
        <v>16560.629999999997</v>
      </c>
      <c r="Y26" s="48">
        <v>1313.28</v>
      </c>
      <c r="Z26" s="49">
        <v>678.05</v>
      </c>
      <c r="AA26" s="49">
        <v>24500.9</v>
      </c>
      <c r="AB26" s="50">
        <f t="shared" si="2"/>
        <v>26492.230000000003</v>
      </c>
      <c r="AC26" s="164">
        <v>610.30999999999995</v>
      </c>
      <c r="AD26" s="165"/>
      <c r="AE26" s="166">
        <v>1356.23</v>
      </c>
      <c r="AF26" s="151">
        <f t="shared" si="3"/>
        <v>1966.54</v>
      </c>
      <c r="AG26" s="165">
        <v>1526.26</v>
      </c>
      <c r="AH26" s="166">
        <v>386.6</v>
      </c>
      <c r="AI26" s="166">
        <v>157.38</v>
      </c>
      <c r="AJ26" s="151">
        <f t="shared" si="4"/>
        <v>2070.2400000000002</v>
      </c>
      <c r="AK26" s="192">
        <v>915.46</v>
      </c>
      <c r="AL26" s="10">
        <v>490</v>
      </c>
      <c r="AM26" s="10">
        <v>167.88</v>
      </c>
      <c r="AN26" s="151">
        <f t="shared" si="5"/>
        <v>1573.3400000000001</v>
      </c>
      <c r="AO26" s="191"/>
      <c r="AP26" s="10"/>
      <c r="AQ26" s="10"/>
      <c r="AR26" s="151"/>
      <c r="AS26" s="191"/>
      <c r="AT26" s="10"/>
      <c r="AU26" s="10"/>
      <c r="AV26" s="151"/>
      <c r="AW26" s="191"/>
      <c r="AX26" s="10"/>
      <c r="AY26" s="10"/>
      <c r="AZ26" s="151"/>
      <c r="BA26" s="191"/>
      <c r="BB26" s="10"/>
      <c r="BC26" s="10"/>
      <c r="BD26" s="151"/>
      <c r="BE26" s="191"/>
      <c r="BF26" s="10"/>
      <c r="BG26" s="10"/>
      <c r="BH26" s="151"/>
      <c r="BI26" s="191"/>
      <c r="BJ26" s="10"/>
      <c r="BK26" s="10"/>
      <c r="BL26" s="151"/>
      <c r="BM26" s="1"/>
      <c r="BN26" s="48"/>
      <c r="BO26" s="56"/>
      <c r="BP26" s="56"/>
      <c r="BQ26" s="50"/>
      <c r="BR26" s="48"/>
      <c r="BS26" s="56"/>
      <c r="BT26" s="56"/>
      <c r="BU26" s="50"/>
      <c r="BV26" s="48"/>
      <c r="BW26" s="56"/>
      <c r="BX26" s="56"/>
      <c r="BY26" s="50"/>
      <c r="BZ26" s="48"/>
      <c r="CA26" s="49"/>
      <c r="CB26" s="49"/>
      <c r="CC26" s="50"/>
      <c r="CD26" s="48"/>
      <c r="CE26" s="49"/>
      <c r="CF26" s="49"/>
      <c r="CG26" s="50"/>
      <c r="CK26" s="12"/>
      <c r="CL26" s="15"/>
      <c r="CO26" s="12"/>
      <c r="CP26" s="15"/>
      <c r="CS26" s="12"/>
      <c r="CT26" s="15"/>
      <c r="CW26" s="12"/>
      <c r="CX26" s="15"/>
      <c r="DA26" s="12"/>
      <c r="DF26" s="15"/>
      <c r="DI26" s="12"/>
      <c r="DJ26" s="1"/>
      <c r="DK26" s="225">
        <v>140.51</v>
      </c>
      <c r="DL26" s="225"/>
      <c r="DM26" s="225"/>
      <c r="DN26" s="225"/>
      <c r="DO26" s="225">
        <v>1209.4100000000001</v>
      </c>
      <c r="DP26" s="225"/>
      <c r="DQ26" s="225"/>
      <c r="DR26" s="225"/>
      <c r="DS26" s="10"/>
      <c r="DT26" s="225"/>
      <c r="DU26" s="10"/>
      <c r="DV26" s="225"/>
      <c r="DW26" s="1"/>
      <c r="EJ26" s="1"/>
      <c r="EK26" s="17">
        <v>1</v>
      </c>
      <c r="EL26" s="17"/>
      <c r="EM26" s="17"/>
      <c r="EN26" s="17"/>
      <c r="EO26" s="17">
        <v>2</v>
      </c>
      <c r="EP26" s="17"/>
      <c r="EQ26" s="17"/>
      <c r="ER26" s="17"/>
      <c r="ES26" s="17"/>
      <c r="EU26" s="17"/>
      <c r="EW26" s="1"/>
      <c r="EX26" s="225">
        <v>140.51</v>
      </c>
      <c r="EY26" s="225"/>
      <c r="EZ26" s="225"/>
      <c r="FA26" s="225"/>
      <c r="FB26" s="225">
        <v>1209.4100000000001</v>
      </c>
      <c r="FC26" s="225"/>
      <c r="FD26" s="225"/>
      <c r="FE26" s="225"/>
      <c r="FF26" s="225"/>
      <c r="FG26" s="10"/>
      <c r="FH26" s="225"/>
      <c r="FI26" s="10"/>
      <c r="FJ26" s="1"/>
      <c r="FK26" s="225"/>
      <c r="FL26" s="225">
        <v>-140.51</v>
      </c>
      <c r="FM26" s="191"/>
      <c r="FN26" s="191"/>
      <c r="FO26" s="225"/>
      <c r="FP26" s="225">
        <v>-508.1</v>
      </c>
      <c r="FQ26" s="151"/>
      <c r="FR26" s="151"/>
      <c r="FS26" s="10"/>
      <c r="FT26" s="191"/>
      <c r="FU26" s="225"/>
      <c r="FV26" s="151"/>
    </row>
    <row r="27" spans="1:178" ht="16" thickBot="1" x14ac:dyDescent="0.25">
      <c r="A27" s="27" t="s">
        <v>54</v>
      </c>
      <c r="B27" t="s">
        <v>140</v>
      </c>
      <c r="C27" s="1"/>
      <c r="D27" s="17">
        <v>18</v>
      </c>
      <c r="E27" s="17">
        <v>10</v>
      </c>
      <c r="F27" s="161">
        <v>13</v>
      </c>
      <c r="G27" s="87">
        <v>15</v>
      </c>
      <c r="H27" s="243">
        <v>28</v>
      </c>
      <c r="I27" s="87">
        <v>17</v>
      </c>
      <c r="J27" s="17"/>
      <c r="K27" s="17"/>
      <c r="L27" s="17"/>
      <c r="M27" s="17"/>
      <c r="N27" s="17"/>
      <c r="O27" s="17"/>
      <c r="P27" s="1"/>
      <c r="Q27" s="48">
        <v>6424.71</v>
      </c>
      <c r="R27" s="49">
        <v>4617.46</v>
      </c>
      <c r="S27" s="49">
        <v>1392</v>
      </c>
      <c r="T27" s="50">
        <f t="shared" si="0"/>
        <v>12434.17</v>
      </c>
      <c r="U27" s="48">
        <v>7076.13</v>
      </c>
      <c r="V27" s="49">
        <v>178.34</v>
      </c>
      <c r="W27" s="49">
        <v>1404.49</v>
      </c>
      <c r="X27" s="50">
        <f t="shared" si="1"/>
        <v>8658.9600000000009</v>
      </c>
      <c r="Y27" s="48">
        <v>3908.46</v>
      </c>
      <c r="Z27" s="49">
        <v>6086.34</v>
      </c>
      <c r="AA27" s="49">
        <v>1779.81</v>
      </c>
      <c r="AB27" s="50">
        <f t="shared" si="2"/>
        <v>11774.609999999999</v>
      </c>
      <c r="AC27" s="164">
        <v>1993.27</v>
      </c>
      <c r="AD27" s="165">
        <v>7195.78</v>
      </c>
      <c r="AE27" s="165">
        <v>1791.88</v>
      </c>
      <c r="AF27" s="151">
        <f t="shared" si="3"/>
        <v>10980.93</v>
      </c>
      <c r="AG27" s="165">
        <v>9950.2199999999993</v>
      </c>
      <c r="AH27" s="165">
        <v>3152.12</v>
      </c>
      <c r="AI27" s="165">
        <v>2329.66</v>
      </c>
      <c r="AJ27" s="151">
        <f t="shared" si="4"/>
        <v>15432</v>
      </c>
      <c r="AK27" s="192">
        <v>231.13</v>
      </c>
      <c r="AL27" s="10">
        <v>11277.03</v>
      </c>
      <c r="AM27" s="10">
        <v>473.68</v>
      </c>
      <c r="AN27" s="151">
        <f t="shared" si="5"/>
        <v>11981.84</v>
      </c>
      <c r="AO27" s="191"/>
      <c r="AP27" s="10"/>
      <c r="AQ27" s="10"/>
      <c r="AR27" s="151"/>
      <c r="AS27" s="191"/>
      <c r="AT27" s="10"/>
      <c r="AU27" s="10"/>
      <c r="AV27" s="151"/>
      <c r="AW27" s="191"/>
      <c r="AX27" s="10"/>
      <c r="AY27" s="10"/>
      <c r="AZ27" s="151"/>
      <c r="BA27" s="191"/>
      <c r="BB27" s="10"/>
      <c r="BC27" s="10"/>
      <c r="BD27" s="151"/>
      <c r="BE27" s="191"/>
      <c r="BF27" s="10"/>
      <c r="BG27" s="10"/>
      <c r="BH27" s="151"/>
      <c r="BI27" s="191"/>
      <c r="BJ27" s="10"/>
      <c r="BK27" s="10"/>
      <c r="BL27" s="151"/>
      <c r="BM27" s="1"/>
      <c r="BN27" s="48"/>
      <c r="BO27" s="56"/>
      <c r="BP27" s="56"/>
      <c r="BQ27" s="50"/>
      <c r="BR27" s="48"/>
      <c r="BS27" s="56"/>
      <c r="BT27" s="56"/>
      <c r="BU27" s="50"/>
      <c r="BV27" s="48"/>
      <c r="BW27" s="56"/>
      <c r="BX27" s="56"/>
      <c r="BY27" s="50"/>
      <c r="BZ27" s="48"/>
      <c r="CA27" s="49"/>
      <c r="CB27" s="49"/>
      <c r="CC27" s="50"/>
      <c r="CD27" s="48"/>
      <c r="CE27" s="49"/>
      <c r="CF27" s="49"/>
      <c r="CG27" s="50"/>
      <c r="CK27" s="12"/>
      <c r="CL27" s="15"/>
      <c r="CO27" s="12"/>
      <c r="CP27" s="15"/>
      <c r="CS27" s="12"/>
      <c r="CT27" s="15"/>
      <c r="CW27" s="12"/>
      <c r="CX27" s="15"/>
      <c r="DA27" s="12"/>
      <c r="DF27" s="15"/>
      <c r="DI27" s="12"/>
      <c r="DJ27" s="1"/>
      <c r="DK27" s="225"/>
      <c r="DL27" s="225">
        <v>43.14</v>
      </c>
      <c r="DM27" s="225"/>
      <c r="DN27" s="225"/>
      <c r="DO27" s="225">
        <v>40.53</v>
      </c>
      <c r="DP27" s="225">
        <v>1598.4</v>
      </c>
      <c r="DQ27" s="225"/>
      <c r="DR27" s="225"/>
      <c r="DS27" s="10"/>
      <c r="DT27" s="225"/>
      <c r="DU27" s="10"/>
      <c r="DV27" s="225"/>
      <c r="DW27" s="1"/>
      <c r="EJ27" s="1"/>
      <c r="EK27" s="17"/>
      <c r="EL27" s="17">
        <v>1</v>
      </c>
      <c r="EM27" s="17"/>
      <c r="EN27" s="17"/>
      <c r="EO27" s="17">
        <v>1</v>
      </c>
      <c r="EP27" s="17">
        <v>1</v>
      </c>
      <c r="EQ27" s="17"/>
      <c r="ER27" s="17"/>
      <c r="ES27" s="17"/>
      <c r="EU27" s="17"/>
      <c r="EW27" s="1"/>
      <c r="EX27" s="225"/>
      <c r="EY27" s="225">
        <v>43.14</v>
      </c>
      <c r="EZ27" s="225"/>
      <c r="FA27" s="225"/>
      <c r="FB27" s="225">
        <v>40.53</v>
      </c>
      <c r="FC27" s="225">
        <v>1598.4</v>
      </c>
      <c r="FD27" s="225"/>
      <c r="FE27" s="225"/>
      <c r="FF27" s="225"/>
      <c r="FG27" s="10"/>
      <c r="FH27" s="225"/>
      <c r="FI27" s="10"/>
      <c r="FJ27" s="1"/>
      <c r="FK27" s="225"/>
      <c r="FL27" s="225"/>
      <c r="FM27" s="191"/>
      <c r="FN27" s="191"/>
      <c r="FO27" s="225"/>
      <c r="FP27" s="225"/>
      <c r="FQ27" s="151"/>
      <c r="FR27" s="151"/>
      <c r="FS27" s="10"/>
      <c r="FT27" s="191"/>
      <c r="FU27" s="225"/>
      <c r="FV27" s="151"/>
    </row>
    <row r="28" spans="1:178" ht="16" thickBot="1" x14ac:dyDescent="0.25">
      <c r="A28" s="27" t="s">
        <v>55</v>
      </c>
      <c r="B28" t="s">
        <v>140</v>
      </c>
      <c r="C28" s="1"/>
      <c r="D28" s="17">
        <v>4</v>
      </c>
      <c r="E28" s="17">
        <v>2</v>
      </c>
      <c r="F28" s="161">
        <v>3</v>
      </c>
      <c r="G28" s="87">
        <v>3</v>
      </c>
      <c r="H28" s="243">
        <v>4</v>
      </c>
      <c r="I28" s="87">
        <v>2</v>
      </c>
      <c r="J28" s="17"/>
      <c r="K28" s="17"/>
      <c r="L28" s="17"/>
      <c r="M28" s="17"/>
      <c r="N28" s="17"/>
      <c r="O28" s="17"/>
      <c r="P28" s="1"/>
      <c r="Q28" s="48">
        <v>2596.7600000000002</v>
      </c>
      <c r="R28" s="49"/>
      <c r="S28" s="49">
        <v>294.57</v>
      </c>
      <c r="T28" s="50">
        <f t="shared" si="0"/>
        <v>2891.3300000000004</v>
      </c>
      <c r="U28" s="48">
        <v>541.41999999999996</v>
      </c>
      <c r="V28" s="49"/>
      <c r="W28" s="49">
        <v>0</v>
      </c>
      <c r="X28" s="50">
        <f t="shared" si="1"/>
        <v>541.41999999999996</v>
      </c>
      <c r="Y28" s="48">
        <v>2545.5300000000002</v>
      </c>
      <c r="Z28" s="49">
        <v>22.46</v>
      </c>
      <c r="AA28" s="49">
        <v>0</v>
      </c>
      <c r="AB28" s="50">
        <f t="shared" si="2"/>
        <v>2567.9900000000002</v>
      </c>
      <c r="AC28" s="164">
        <v>130.05000000000001</v>
      </c>
      <c r="AD28" s="166">
        <v>3652.65</v>
      </c>
      <c r="AE28" s="165">
        <v>33.54</v>
      </c>
      <c r="AF28" s="151">
        <f t="shared" si="3"/>
        <v>3816.2400000000002</v>
      </c>
      <c r="AG28" s="165">
        <v>1156.47</v>
      </c>
      <c r="AH28" s="166">
        <v>190.24</v>
      </c>
      <c r="AI28" s="165">
        <v>44.51</v>
      </c>
      <c r="AJ28" s="151">
        <f t="shared" si="4"/>
        <v>1391.22</v>
      </c>
      <c r="AK28" s="192">
        <v>1491.38</v>
      </c>
      <c r="AL28" s="10"/>
      <c r="AM28" s="10">
        <v>238.5</v>
      </c>
      <c r="AN28" s="151">
        <f t="shared" si="5"/>
        <v>1729.88</v>
      </c>
      <c r="AO28" s="191"/>
      <c r="AP28" s="10"/>
      <c r="AQ28" s="10"/>
      <c r="AR28" s="151"/>
      <c r="AS28" s="191"/>
      <c r="AT28" s="10"/>
      <c r="AU28" s="10"/>
      <c r="AV28" s="151"/>
      <c r="AW28" s="191"/>
      <c r="AX28" s="10"/>
      <c r="AY28" s="10"/>
      <c r="AZ28" s="151"/>
      <c r="BA28" s="191"/>
      <c r="BB28" s="10"/>
      <c r="BC28" s="10"/>
      <c r="BD28" s="151"/>
      <c r="BE28" s="191"/>
      <c r="BF28" s="10"/>
      <c r="BG28" s="10"/>
      <c r="BH28" s="151"/>
      <c r="BI28" s="191"/>
      <c r="BJ28" s="10"/>
      <c r="BK28" s="10"/>
      <c r="BL28" s="151"/>
      <c r="BM28" s="1"/>
      <c r="BN28" s="48"/>
      <c r="BO28" s="56"/>
      <c r="BP28" s="56"/>
      <c r="BQ28" s="50"/>
      <c r="BR28" s="48"/>
      <c r="BS28" s="56"/>
      <c r="BT28" s="56"/>
      <c r="BU28" s="50"/>
      <c r="BV28" s="48"/>
      <c r="BW28" s="56"/>
      <c r="BX28" s="56"/>
      <c r="BY28" s="50"/>
      <c r="BZ28" s="48"/>
      <c r="CA28" s="49"/>
      <c r="CB28" s="49"/>
      <c r="CC28" s="50"/>
      <c r="CD28" s="48"/>
      <c r="CE28" s="49"/>
      <c r="CF28" s="49"/>
      <c r="CG28" s="50"/>
      <c r="CK28" s="12"/>
      <c r="CL28" s="15"/>
      <c r="CO28" s="12"/>
      <c r="CP28" s="15"/>
      <c r="CS28" s="12"/>
      <c r="CT28" s="15"/>
      <c r="CW28" s="12"/>
      <c r="CX28" s="15"/>
      <c r="DA28" s="12"/>
      <c r="DF28" s="15"/>
      <c r="DI28" s="12"/>
      <c r="DJ28" s="1"/>
      <c r="DK28" s="225"/>
      <c r="DL28" s="225"/>
      <c r="DM28" s="225"/>
      <c r="DN28" s="225"/>
      <c r="DO28" s="225"/>
      <c r="DP28" s="225"/>
      <c r="DQ28" s="225"/>
      <c r="DR28" s="225"/>
      <c r="DS28" s="10"/>
      <c r="DT28" s="225"/>
      <c r="DU28" s="10"/>
      <c r="DV28" s="225"/>
      <c r="DW28" s="1"/>
      <c r="EJ28" s="1"/>
      <c r="EK28" s="17"/>
      <c r="EL28" s="17"/>
      <c r="EM28" s="17"/>
      <c r="EN28" s="17"/>
      <c r="EO28" s="17"/>
      <c r="EP28" s="17"/>
      <c r="EQ28" s="17"/>
      <c r="ER28" s="17"/>
      <c r="ES28" s="17"/>
      <c r="EU28" s="17"/>
      <c r="EW28" s="1"/>
      <c r="EX28" s="225"/>
      <c r="EY28" s="225"/>
      <c r="EZ28" s="225"/>
      <c r="FA28" s="225"/>
      <c r="FB28" s="225"/>
      <c r="FC28" s="225"/>
      <c r="FD28" s="225"/>
      <c r="FE28" s="225"/>
      <c r="FF28" s="225"/>
      <c r="FG28" s="10"/>
      <c r="FH28" s="225"/>
      <c r="FI28" s="10"/>
      <c r="FJ28" s="1"/>
      <c r="FK28" s="225">
        <v>-500</v>
      </c>
      <c r="FL28" s="225">
        <v>-500</v>
      </c>
      <c r="FM28" s="191">
        <v>-500</v>
      </c>
      <c r="FN28" s="191"/>
      <c r="FO28" s="225">
        <v>-670.72</v>
      </c>
      <c r="FP28" s="225"/>
      <c r="FQ28" s="151"/>
      <c r="FR28" s="151"/>
      <c r="FS28" s="10"/>
      <c r="FT28" s="191"/>
      <c r="FU28" s="225"/>
      <c r="FV28" s="151"/>
    </row>
    <row r="29" spans="1:178" ht="16" thickBot="1" x14ac:dyDescent="0.25">
      <c r="A29" s="27" t="s">
        <v>56</v>
      </c>
      <c r="B29" t="s">
        <v>140</v>
      </c>
      <c r="C29" s="1"/>
      <c r="D29" s="17">
        <v>11</v>
      </c>
      <c r="E29" s="17">
        <v>7</v>
      </c>
      <c r="F29" s="161">
        <v>9</v>
      </c>
      <c r="G29" s="87">
        <v>7</v>
      </c>
      <c r="H29" s="243">
        <v>7</v>
      </c>
      <c r="I29" s="87">
        <v>6</v>
      </c>
      <c r="J29" s="17"/>
      <c r="K29" s="17"/>
      <c r="L29" s="17"/>
      <c r="M29" s="17"/>
      <c r="N29" s="17"/>
      <c r="O29" s="17"/>
      <c r="P29" s="1"/>
      <c r="Q29" s="48">
        <v>10000.09</v>
      </c>
      <c r="R29" s="49"/>
      <c r="S29" s="49">
        <v>0</v>
      </c>
      <c r="T29" s="50">
        <f t="shared" si="0"/>
        <v>10000.09</v>
      </c>
      <c r="U29" s="48">
        <v>13174.46</v>
      </c>
      <c r="V29" s="49">
        <v>1214.21</v>
      </c>
      <c r="W29" s="49">
        <v>0</v>
      </c>
      <c r="X29" s="50">
        <f t="shared" si="1"/>
        <v>14388.669999999998</v>
      </c>
      <c r="Y29" s="48">
        <v>15485.8</v>
      </c>
      <c r="Z29" s="49"/>
      <c r="AA29" s="49">
        <v>2244.5100000000002</v>
      </c>
      <c r="AB29" s="50">
        <f t="shared" si="2"/>
        <v>17730.309999999998</v>
      </c>
      <c r="AC29" s="164">
        <v>6115.71</v>
      </c>
      <c r="AD29" s="165">
        <v>503.44</v>
      </c>
      <c r="AE29" s="165">
        <v>0</v>
      </c>
      <c r="AF29" s="151">
        <f t="shared" si="3"/>
        <v>6619.15</v>
      </c>
      <c r="AG29" s="165">
        <v>4612.4799999999996</v>
      </c>
      <c r="AH29" s="165">
        <v>276.39999999999998</v>
      </c>
      <c r="AI29" s="165">
        <v>0</v>
      </c>
      <c r="AJ29" s="151">
        <f t="shared" si="4"/>
        <v>4888.8799999999992</v>
      </c>
      <c r="AK29" s="192">
        <v>1727.28</v>
      </c>
      <c r="AL29" s="10">
        <v>1208.78</v>
      </c>
      <c r="AM29" s="10">
        <v>467.34</v>
      </c>
      <c r="AN29" s="151">
        <f t="shared" si="5"/>
        <v>3403.4</v>
      </c>
      <c r="AO29" s="191"/>
      <c r="AP29" s="10"/>
      <c r="AQ29" s="10"/>
      <c r="AR29" s="151"/>
      <c r="AS29" s="191"/>
      <c r="AT29" s="10"/>
      <c r="AU29" s="10"/>
      <c r="AV29" s="151"/>
      <c r="AW29" s="191"/>
      <c r="AX29" s="10"/>
      <c r="AY29" s="10"/>
      <c r="AZ29" s="151"/>
      <c r="BA29" s="191"/>
      <c r="BB29" s="10"/>
      <c r="BC29" s="10"/>
      <c r="BD29" s="151"/>
      <c r="BE29" s="191"/>
      <c r="BF29" s="10"/>
      <c r="BG29" s="10"/>
      <c r="BH29" s="151"/>
      <c r="BI29" s="191"/>
      <c r="BJ29" s="10"/>
      <c r="BK29" s="10"/>
      <c r="BL29" s="151"/>
      <c r="BM29" s="1"/>
      <c r="BN29" s="48"/>
      <c r="BO29" s="56"/>
      <c r="BP29" s="56"/>
      <c r="BQ29" s="50"/>
      <c r="BR29" s="48"/>
      <c r="BS29" s="56"/>
      <c r="BT29" s="56"/>
      <c r="BU29" s="50"/>
      <c r="BV29" s="48"/>
      <c r="BW29" s="56"/>
      <c r="BX29" s="56"/>
      <c r="BY29" s="50"/>
      <c r="BZ29" s="48"/>
      <c r="CA29" s="49"/>
      <c r="CB29" s="49"/>
      <c r="CC29" s="50"/>
      <c r="CD29" s="48"/>
      <c r="CE29" s="49"/>
      <c r="CF29" s="49"/>
      <c r="CG29" s="50"/>
      <c r="CK29" s="12"/>
      <c r="CL29" s="15"/>
      <c r="CO29" s="12"/>
      <c r="CP29" s="15"/>
      <c r="CS29" s="12"/>
      <c r="CT29" s="15"/>
      <c r="CW29" s="12"/>
      <c r="CX29" s="15"/>
      <c r="DA29" s="12"/>
      <c r="DF29" s="15"/>
      <c r="DI29" s="12"/>
      <c r="DJ29" s="1"/>
      <c r="DK29" s="225"/>
      <c r="DL29" s="225"/>
      <c r="DM29" s="225"/>
      <c r="DN29" s="225"/>
      <c r="DO29" s="225"/>
      <c r="DP29" s="225"/>
      <c r="DQ29" s="225"/>
      <c r="DR29" s="225"/>
      <c r="DS29" s="10"/>
      <c r="DT29" s="225"/>
      <c r="DU29" s="10"/>
      <c r="DV29" s="225"/>
      <c r="DW29" s="1"/>
      <c r="EJ29" s="1"/>
      <c r="EK29" s="17"/>
      <c r="EL29" s="17"/>
      <c r="EM29" s="17"/>
      <c r="EN29" s="17"/>
      <c r="EO29" s="17"/>
      <c r="EP29" s="17"/>
      <c r="EQ29" s="17"/>
      <c r="ER29" s="17"/>
      <c r="ES29" s="17"/>
      <c r="EU29" s="17"/>
      <c r="EW29" s="1"/>
      <c r="EX29" s="225"/>
      <c r="EY29" s="225"/>
      <c r="EZ29" s="225"/>
      <c r="FA29" s="225"/>
      <c r="FB29" s="225"/>
      <c r="FC29" s="225"/>
      <c r="FD29" s="225"/>
      <c r="FE29" s="225"/>
      <c r="FF29" s="225"/>
      <c r="FG29" s="10"/>
      <c r="FH29" s="225"/>
      <c r="FI29" s="10"/>
      <c r="FJ29" s="1"/>
      <c r="FK29" s="225"/>
      <c r="FL29" s="225"/>
      <c r="FM29" s="191"/>
      <c r="FN29" s="191"/>
      <c r="FO29" s="225"/>
      <c r="FP29" s="225"/>
      <c r="FQ29" s="151"/>
      <c r="FR29" s="151"/>
      <c r="FS29" s="10"/>
      <c r="FT29" s="191"/>
      <c r="FU29" s="225"/>
      <c r="FV29" s="151"/>
    </row>
    <row r="30" spans="1:178" ht="16" thickBot="1" x14ac:dyDescent="0.25">
      <c r="A30" s="27" t="s">
        <v>57</v>
      </c>
      <c r="B30" t="s">
        <v>140</v>
      </c>
      <c r="C30" s="1"/>
      <c r="D30" s="17">
        <v>7</v>
      </c>
      <c r="E30" s="17">
        <v>2</v>
      </c>
      <c r="F30" s="161">
        <v>2</v>
      </c>
      <c r="G30" s="87">
        <v>6</v>
      </c>
      <c r="H30" s="243">
        <v>3</v>
      </c>
      <c r="I30" s="87">
        <v>2</v>
      </c>
      <c r="J30" s="17"/>
      <c r="K30" s="17"/>
      <c r="L30" s="17"/>
      <c r="M30" s="17"/>
      <c r="N30" s="17"/>
      <c r="O30" s="17"/>
      <c r="P30" s="1"/>
      <c r="Q30" s="48">
        <v>8751.8700000000008</v>
      </c>
      <c r="R30" s="49"/>
      <c r="S30" s="49">
        <v>172.02</v>
      </c>
      <c r="T30" s="50">
        <f t="shared" si="0"/>
        <v>8923.8900000000012</v>
      </c>
      <c r="U30" s="48"/>
      <c r="V30" s="49">
        <v>82.54</v>
      </c>
      <c r="W30" s="49">
        <v>172.02</v>
      </c>
      <c r="X30" s="50">
        <f t="shared" si="1"/>
        <v>254.56</v>
      </c>
      <c r="Y30" s="48">
        <v>45</v>
      </c>
      <c r="Z30" s="49"/>
      <c r="AA30" s="49">
        <v>135.80000000000001</v>
      </c>
      <c r="AB30" s="50">
        <f t="shared" si="2"/>
        <v>180.8</v>
      </c>
      <c r="AC30" s="164">
        <v>7774.9</v>
      </c>
      <c r="AD30" s="165">
        <v>641.99</v>
      </c>
      <c r="AE30" s="165">
        <v>0</v>
      </c>
      <c r="AF30" s="151">
        <f t="shared" si="3"/>
        <v>8416.89</v>
      </c>
      <c r="AG30" s="165">
        <v>451.15</v>
      </c>
      <c r="AH30" s="166"/>
      <c r="AI30" s="165">
        <v>0</v>
      </c>
      <c r="AJ30" s="151">
        <f t="shared" si="4"/>
        <v>451.15</v>
      </c>
      <c r="AK30" s="192">
        <v>105.66</v>
      </c>
      <c r="AL30" s="10"/>
      <c r="AM30" s="10">
        <v>0</v>
      </c>
      <c r="AN30" s="151">
        <f t="shared" si="5"/>
        <v>105.66</v>
      </c>
      <c r="AO30" s="191"/>
      <c r="AP30" s="10"/>
      <c r="AQ30" s="10"/>
      <c r="AR30" s="151"/>
      <c r="AS30" s="191"/>
      <c r="AT30" s="10"/>
      <c r="AU30" s="10"/>
      <c r="AV30" s="151"/>
      <c r="AW30" s="191"/>
      <c r="AX30" s="10"/>
      <c r="AY30" s="10"/>
      <c r="AZ30" s="151"/>
      <c r="BA30" s="191"/>
      <c r="BB30" s="10"/>
      <c r="BC30" s="10"/>
      <c r="BD30" s="151"/>
      <c r="BE30" s="191"/>
      <c r="BF30" s="10"/>
      <c r="BG30" s="10"/>
      <c r="BH30" s="151"/>
      <c r="BI30" s="191"/>
      <c r="BJ30" s="10"/>
      <c r="BK30" s="10"/>
      <c r="BL30" s="151"/>
      <c r="BM30" s="1"/>
      <c r="BN30" s="48"/>
      <c r="BO30" s="56"/>
      <c r="BP30" s="56"/>
      <c r="BQ30" s="50"/>
      <c r="BR30" s="48"/>
      <c r="BS30" s="56"/>
      <c r="BT30" s="56"/>
      <c r="BU30" s="50"/>
      <c r="BV30" s="48"/>
      <c r="BW30" s="56"/>
      <c r="BX30" s="56"/>
      <c r="BY30" s="50"/>
      <c r="BZ30" s="48"/>
      <c r="CA30" s="49"/>
      <c r="CB30" s="49"/>
      <c r="CC30" s="50"/>
      <c r="CD30" s="48"/>
      <c r="CE30" s="49"/>
      <c r="CF30" s="49"/>
      <c r="CG30" s="50"/>
      <c r="CK30" s="12"/>
      <c r="CL30" s="15"/>
      <c r="CO30" s="12"/>
      <c r="CP30" s="15"/>
      <c r="CS30" s="12"/>
      <c r="CT30" s="15"/>
      <c r="CW30" s="12"/>
      <c r="CX30" s="15"/>
      <c r="DA30" s="12"/>
      <c r="DF30" s="15"/>
      <c r="DI30" s="12"/>
      <c r="DJ30" s="1"/>
      <c r="DK30" s="225"/>
      <c r="DL30" s="225"/>
      <c r="DM30" s="225"/>
      <c r="DN30" s="225"/>
      <c r="DO30" s="225"/>
      <c r="DP30" s="225"/>
      <c r="DQ30" s="225"/>
      <c r="DR30" s="225"/>
      <c r="DS30" s="10"/>
      <c r="DT30" s="225"/>
      <c r="DU30" s="10"/>
      <c r="DV30" s="225"/>
      <c r="DW30" s="1"/>
      <c r="EJ30" s="1"/>
      <c r="EK30" s="17"/>
      <c r="EL30" s="17"/>
      <c r="EM30" s="17"/>
      <c r="EN30" s="17"/>
      <c r="EO30" s="17"/>
      <c r="EP30" s="17"/>
      <c r="EQ30" s="17"/>
      <c r="ER30" s="17"/>
      <c r="ES30" s="17"/>
      <c r="EU30" s="17"/>
      <c r="EW30" s="1"/>
      <c r="EX30" s="225"/>
      <c r="EY30" s="225"/>
      <c r="EZ30" s="225"/>
      <c r="FA30" s="225"/>
      <c r="FB30" s="225"/>
      <c r="FC30" s="225"/>
      <c r="FD30" s="225"/>
      <c r="FE30" s="225"/>
      <c r="FF30" s="225"/>
      <c r="FG30" s="10"/>
      <c r="FH30" s="225"/>
      <c r="FI30" s="10"/>
      <c r="FJ30" s="1"/>
      <c r="FK30" s="225"/>
      <c r="FL30" s="225"/>
      <c r="FM30" s="191"/>
      <c r="FN30" s="191"/>
      <c r="FO30" s="225"/>
      <c r="FP30" s="225"/>
      <c r="FQ30" s="151"/>
      <c r="FR30" s="151"/>
      <c r="FS30" s="10"/>
      <c r="FT30" s="191"/>
      <c r="FU30" s="225"/>
      <c r="FV30" s="151"/>
    </row>
    <row r="31" spans="1:178" ht="16" thickBot="1" x14ac:dyDescent="0.25">
      <c r="A31" s="27" t="s">
        <v>58</v>
      </c>
      <c r="B31" t="s">
        <v>140</v>
      </c>
      <c r="C31" s="1"/>
      <c r="D31" s="17">
        <v>5</v>
      </c>
      <c r="E31" s="17">
        <v>5</v>
      </c>
      <c r="F31" s="161">
        <v>6</v>
      </c>
      <c r="G31" s="87">
        <v>5</v>
      </c>
      <c r="H31" s="243">
        <v>7</v>
      </c>
      <c r="I31" s="87">
        <v>4</v>
      </c>
      <c r="J31" s="17"/>
      <c r="K31" s="17"/>
      <c r="L31" s="17"/>
      <c r="M31" s="17"/>
      <c r="N31" s="17"/>
      <c r="O31" s="17"/>
      <c r="P31" s="1"/>
      <c r="Q31" s="48">
        <v>77.16</v>
      </c>
      <c r="R31" s="49">
        <v>42</v>
      </c>
      <c r="S31" s="49">
        <v>5963.08</v>
      </c>
      <c r="T31" s="50">
        <f t="shared" si="0"/>
        <v>6082.24</v>
      </c>
      <c r="U31" s="48">
        <v>1023.22</v>
      </c>
      <c r="V31" s="49">
        <v>2124.4499999999998</v>
      </c>
      <c r="W31" s="49">
        <v>353.5</v>
      </c>
      <c r="X31" s="50">
        <f t="shared" si="1"/>
        <v>3501.17</v>
      </c>
      <c r="Y31" s="48">
        <v>2785.71</v>
      </c>
      <c r="Z31" s="49"/>
      <c r="AA31" s="49">
        <v>398.39</v>
      </c>
      <c r="AB31" s="50">
        <f t="shared" si="2"/>
        <v>3184.1</v>
      </c>
      <c r="AC31" s="164">
        <v>137.08000000000001</v>
      </c>
      <c r="AD31" s="165">
        <v>2927.31</v>
      </c>
      <c r="AE31" s="165">
        <v>443.28</v>
      </c>
      <c r="AF31" s="151">
        <f t="shared" si="3"/>
        <v>3507.67</v>
      </c>
      <c r="AG31" s="165">
        <v>724.18</v>
      </c>
      <c r="AH31" s="165">
        <v>2807.99</v>
      </c>
      <c r="AI31" s="165">
        <v>583.84</v>
      </c>
      <c r="AJ31" s="151">
        <f t="shared" si="4"/>
        <v>4116.0099999999993</v>
      </c>
      <c r="AK31" s="192">
        <v>1056.53</v>
      </c>
      <c r="AL31" s="10"/>
      <c r="AM31" s="10">
        <v>647.54999999999995</v>
      </c>
      <c r="AN31" s="151">
        <f t="shared" si="5"/>
        <v>1704.08</v>
      </c>
      <c r="AO31" s="191"/>
      <c r="AP31" s="10"/>
      <c r="AQ31" s="10"/>
      <c r="AR31" s="151"/>
      <c r="AS31" s="191"/>
      <c r="AT31" s="10"/>
      <c r="AU31" s="10"/>
      <c r="AV31" s="151"/>
      <c r="AW31" s="191"/>
      <c r="AX31" s="10"/>
      <c r="AY31" s="10"/>
      <c r="AZ31" s="151"/>
      <c r="BA31" s="191"/>
      <c r="BB31" s="10"/>
      <c r="BC31" s="10"/>
      <c r="BD31" s="151"/>
      <c r="BE31" s="191"/>
      <c r="BF31" s="10"/>
      <c r="BG31" s="10"/>
      <c r="BH31" s="151"/>
      <c r="BI31" s="191"/>
      <c r="BJ31" s="10"/>
      <c r="BK31" s="10"/>
      <c r="BL31" s="151"/>
      <c r="BM31" s="1"/>
      <c r="BN31" s="48"/>
      <c r="BO31" s="56"/>
      <c r="BP31" s="56"/>
      <c r="BQ31" s="50"/>
      <c r="BR31" s="48"/>
      <c r="BS31" s="56"/>
      <c r="BT31" s="56"/>
      <c r="BU31" s="50"/>
      <c r="BV31" s="48"/>
      <c r="BW31" s="56"/>
      <c r="BX31" s="56"/>
      <c r="BY31" s="50"/>
      <c r="BZ31" s="48"/>
      <c r="CA31" s="49"/>
      <c r="CB31" s="49"/>
      <c r="CC31" s="50"/>
      <c r="CD31" s="48"/>
      <c r="CE31" s="49"/>
      <c r="CF31" s="49"/>
      <c r="CG31" s="50"/>
      <c r="CK31" s="12"/>
      <c r="CL31" s="15"/>
      <c r="CO31" s="12"/>
      <c r="CP31" s="15"/>
      <c r="CS31" s="12"/>
      <c r="CT31" s="15"/>
      <c r="CW31" s="12"/>
      <c r="CX31" s="15"/>
      <c r="DA31" s="12"/>
      <c r="DF31" s="15"/>
      <c r="DI31" s="12"/>
      <c r="DJ31" s="1"/>
      <c r="DK31" s="225"/>
      <c r="DL31" s="225"/>
      <c r="DM31" s="225"/>
      <c r="DN31" s="225"/>
      <c r="DO31" s="225"/>
      <c r="DP31" s="225"/>
      <c r="DQ31" s="225"/>
      <c r="DR31" s="225"/>
      <c r="DS31" s="10"/>
      <c r="DT31" s="225"/>
      <c r="DU31" s="10"/>
      <c r="DV31" s="225"/>
      <c r="DW31" s="1"/>
      <c r="EJ31" s="1"/>
      <c r="EK31" s="17"/>
      <c r="EL31" s="17"/>
      <c r="EM31" s="17"/>
      <c r="EN31" s="17"/>
      <c r="EO31" s="17"/>
      <c r="EP31" s="17"/>
      <c r="EQ31" s="17"/>
      <c r="ER31" s="17"/>
      <c r="ES31" s="17"/>
      <c r="EU31" s="17"/>
      <c r="EW31" s="1"/>
      <c r="EX31" s="225"/>
      <c r="EY31" s="225"/>
      <c r="EZ31" s="225"/>
      <c r="FA31" s="225"/>
      <c r="FB31" s="225"/>
      <c r="FC31" s="225"/>
      <c r="FD31" s="225"/>
      <c r="FE31" s="225"/>
      <c r="FF31" s="225"/>
      <c r="FG31" s="10"/>
      <c r="FH31" s="225"/>
      <c r="FI31" s="10"/>
      <c r="FJ31" s="1"/>
      <c r="FK31" s="225"/>
      <c r="FL31" s="225"/>
      <c r="FM31" s="191"/>
      <c r="FN31" s="191"/>
      <c r="FO31" s="225"/>
      <c r="FP31" s="225"/>
      <c r="FQ31" s="151"/>
      <c r="FR31" s="151"/>
      <c r="FS31" s="10"/>
      <c r="FT31" s="191"/>
      <c r="FU31" s="225"/>
      <c r="FV31" s="151"/>
    </row>
    <row r="32" spans="1:178" ht="16" thickBot="1" x14ac:dyDescent="0.25">
      <c r="A32" s="27" t="s">
        <v>59</v>
      </c>
      <c r="B32" t="s">
        <v>140</v>
      </c>
      <c r="C32" s="1"/>
      <c r="D32" s="17">
        <v>4</v>
      </c>
      <c r="E32" s="17">
        <v>6</v>
      </c>
      <c r="F32" s="161">
        <v>4</v>
      </c>
      <c r="G32" s="87">
        <v>3</v>
      </c>
      <c r="H32" s="243">
        <v>4</v>
      </c>
      <c r="I32" s="87">
        <v>3</v>
      </c>
      <c r="J32" s="17"/>
      <c r="K32" s="17"/>
      <c r="L32" s="17"/>
      <c r="M32" s="17"/>
      <c r="N32" s="17"/>
      <c r="O32" s="17"/>
      <c r="P32" s="1"/>
      <c r="Q32" s="48">
        <v>682.27</v>
      </c>
      <c r="R32" s="49"/>
      <c r="S32" s="49">
        <v>200.34</v>
      </c>
      <c r="T32" s="50">
        <f t="shared" si="0"/>
        <v>882.61</v>
      </c>
      <c r="U32" s="48">
        <v>315.44</v>
      </c>
      <c r="V32" s="49">
        <v>1091.24</v>
      </c>
      <c r="W32" s="49">
        <v>226.84</v>
      </c>
      <c r="X32" s="50">
        <f t="shared" si="1"/>
        <v>1633.52</v>
      </c>
      <c r="Y32" s="48"/>
      <c r="Z32" s="49">
        <v>1443.28</v>
      </c>
      <c r="AA32" s="49">
        <v>253.34</v>
      </c>
      <c r="AB32" s="50">
        <f t="shared" si="2"/>
        <v>1696.62</v>
      </c>
      <c r="AC32" s="167">
        <v>27.93</v>
      </c>
      <c r="AD32" s="166"/>
      <c r="AE32" s="165">
        <v>655.28</v>
      </c>
      <c r="AF32" s="151">
        <f t="shared" si="3"/>
        <v>683.20999999999992</v>
      </c>
      <c r="AG32" s="165">
        <v>540.97</v>
      </c>
      <c r="AH32" s="166">
        <v>55.86</v>
      </c>
      <c r="AI32" s="165">
        <v>306.33999999999997</v>
      </c>
      <c r="AJ32" s="151">
        <f t="shared" si="4"/>
        <v>903.17000000000007</v>
      </c>
      <c r="AK32" s="192"/>
      <c r="AL32" s="10">
        <v>77.7</v>
      </c>
      <c r="AM32" s="10">
        <v>416.63</v>
      </c>
      <c r="AN32" s="151">
        <f t="shared" si="5"/>
        <v>494.33</v>
      </c>
      <c r="AO32" s="191"/>
      <c r="AP32" s="10"/>
      <c r="AQ32" s="10"/>
      <c r="AR32" s="151"/>
      <c r="AS32" s="191"/>
      <c r="AT32" s="10"/>
      <c r="AU32" s="10"/>
      <c r="AV32" s="151"/>
      <c r="AW32" s="191"/>
      <c r="AX32" s="10"/>
      <c r="AY32" s="10"/>
      <c r="AZ32" s="151"/>
      <c r="BA32" s="191"/>
      <c r="BB32" s="10"/>
      <c r="BC32" s="10"/>
      <c r="BD32" s="151"/>
      <c r="BE32" s="191"/>
      <c r="BF32" s="10"/>
      <c r="BG32" s="10"/>
      <c r="BH32" s="151"/>
      <c r="BI32" s="191"/>
      <c r="BJ32" s="10"/>
      <c r="BK32" s="10"/>
      <c r="BL32" s="151"/>
      <c r="BM32" s="1"/>
      <c r="BN32" s="48"/>
      <c r="BO32" s="56"/>
      <c r="BP32" s="56"/>
      <c r="BQ32" s="50"/>
      <c r="BR32" s="48"/>
      <c r="BS32" s="56"/>
      <c r="BT32" s="56"/>
      <c r="BU32" s="50"/>
      <c r="BV32" s="48"/>
      <c r="BW32" s="56"/>
      <c r="BX32" s="56"/>
      <c r="BY32" s="50"/>
      <c r="BZ32" s="48"/>
      <c r="CA32" s="49"/>
      <c r="CB32" s="49"/>
      <c r="CC32" s="50"/>
      <c r="CD32" s="48"/>
      <c r="CE32" s="49"/>
      <c r="CF32" s="49"/>
      <c r="CG32" s="50"/>
      <c r="CK32" s="12"/>
      <c r="CL32" s="15"/>
      <c r="CO32" s="12"/>
      <c r="CP32" s="15"/>
      <c r="CS32" s="12"/>
      <c r="CT32" s="15"/>
      <c r="CW32" s="12"/>
      <c r="CX32" s="15"/>
      <c r="DA32" s="12"/>
      <c r="DF32" s="15"/>
      <c r="DI32" s="12"/>
      <c r="DJ32" s="1"/>
      <c r="DK32" s="225"/>
      <c r="DL32" s="225"/>
      <c r="DM32" s="225"/>
      <c r="DN32" s="225"/>
      <c r="DO32" s="225"/>
      <c r="DP32" s="225"/>
      <c r="DQ32" s="225"/>
      <c r="DR32" s="225"/>
      <c r="DS32" s="10"/>
      <c r="DT32" s="225"/>
      <c r="DU32" s="10"/>
      <c r="DV32" s="225"/>
      <c r="DW32" s="1"/>
      <c r="EJ32" s="1"/>
      <c r="EK32" s="17"/>
      <c r="EL32" s="17"/>
      <c r="EM32" s="17"/>
      <c r="EN32" s="17"/>
      <c r="EO32" s="17"/>
      <c r="EP32" s="17"/>
      <c r="EQ32" s="17"/>
      <c r="ER32" s="17"/>
      <c r="ES32" s="17"/>
      <c r="EU32" s="17"/>
      <c r="EW32" s="1"/>
      <c r="EX32" s="225"/>
      <c r="EY32" s="225"/>
      <c r="EZ32" s="225"/>
      <c r="FA32" s="225"/>
      <c r="FB32" s="225"/>
      <c r="FC32" s="225"/>
      <c r="FD32" s="225"/>
      <c r="FE32" s="225"/>
      <c r="FF32" s="225"/>
      <c r="FG32" s="10"/>
      <c r="FH32" s="225"/>
      <c r="FI32" s="10"/>
      <c r="FJ32" s="1"/>
      <c r="FK32" s="225"/>
      <c r="FL32" s="225"/>
      <c r="FM32" s="191"/>
      <c r="FN32" s="191"/>
      <c r="FO32" s="225"/>
      <c r="FP32" s="225"/>
      <c r="FQ32" s="151"/>
      <c r="FR32" s="151"/>
      <c r="FS32" s="10"/>
      <c r="FT32" s="191"/>
      <c r="FU32" s="225"/>
      <c r="FV32" s="151"/>
    </row>
    <row r="33" spans="1:178" ht="16" thickBot="1" x14ac:dyDescent="0.25">
      <c r="A33" s="27" t="s">
        <v>60</v>
      </c>
      <c r="B33" t="s">
        <v>140</v>
      </c>
      <c r="C33" s="1"/>
      <c r="D33" s="17">
        <v>1</v>
      </c>
      <c r="E33" s="17">
        <v>1</v>
      </c>
      <c r="F33" s="162">
        <v>1</v>
      </c>
      <c r="G33" s="87">
        <v>1</v>
      </c>
      <c r="H33" s="244"/>
      <c r="I33" s="87"/>
      <c r="J33" s="17"/>
      <c r="K33" s="17"/>
      <c r="L33" s="17"/>
      <c r="M33" s="17"/>
      <c r="N33" s="17"/>
      <c r="O33" s="17"/>
      <c r="P33" s="1"/>
      <c r="Q33" s="48"/>
      <c r="R33" s="49">
        <v>56.7</v>
      </c>
      <c r="S33" s="49">
        <v>0</v>
      </c>
      <c r="T33" s="50">
        <f t="shared" si="0"/>
        <v>56.7</v>
      </c>
      <c r="U33" s="48"/>
      <c r="V33" s="49"/>
      <c r="W33" s="49">
        <v>89.05</v>
      </c>
      <c r="X33" s="50">
        <f t="shared" si="1"/>
        <v>89.05</v>
      </c>
      <c r="Y33" s="48"/>
      <c r="Z33" s="49"/>
      <c r="AA33" s="49">
        <v>121.4</v>
      </c>
      <c r="AB33" s="50">
        <f t="shared" si="2"/>
        <v>121.4</v>
      </c>
      <c r="AC33" s="167"/>
      <c r="AD33" s="165"/>
      <c r="AE33" s="166">
        <v>153.75</v>
      </c>
      <c r="AF33" s="151">
        <f t="shared" si="3"/>
        <v>153.75</v>
      </c>
      <c r="AG33" s="166"/>
      <c r="AH33" s="166"/>
      <c r="AI33" s="166">
        <v>0</v>
      </c>
      <c r="AJ33" s="151">
        <f t="shared" si="4"/>
        <v>0</v>
      </c>
      <c r="AK33" s="192"/>
      <c r="AL33" s="10"/>
      <c r="AM33" s="10">
        <v>0</v>
      </c>
      <c r="AN33" s="151">
        <f t="shared" si="5"/>
        <v>0</v>
      </c>
      <c r="AO33" s="191"/>
      <c r="AP33" s="10"/>
      <c r="AQ33" s="10"/>
      <c r="AR33" s="151"/>
      <c r="AS33" s="191"/>
      <c r="AT33" s="10"/>
      <c r="AU33" s="10"/>
      <c r="AV33" s="151"/>
      <c r="AW33" s="191"/>
      <c r="AX33" s="10"/>
      <c r="AY33" s="10"/>
      <c r="AZ33" s="151"/>
      <c r="BA33" s="191"/>
      <c r="BB33" s="10"/>
      <c r="BC33" s="10"/>
      <c r="BD33" s="151"/>
      <c r="BE33" s="191"/>
      <c r="BF33" s="10"/>
      <c r="BG33" s="10"/>
      <c r="BH33" s="151"/>
      <c r="BI33" s="191"/>
      <c r="BJ33" s="10"/>
      <c r="BK33" s="10"/>
      <c r="BL33" s="151"/>
      <c r="BM33" s="1"/>
      <c r="BN33" s="48"/>
      <c r="BO33" s="56"/>
      <c r="BP33" s="56"/>
      <c r="BQ33" s="50"/>
      <c r="BR33" s="48"/>
      <c r="BS33" s="56"/>
      <c r="BT33" s="56"/>
      <c r="BU33" s="50"/>
      <c r="BV33" s="48"/>
      <c r="BW33" s="56"/>
      <c r="BX33" s="56"/>
      <c r="BY33" s="50"/>
      <c r="BZ33" s="48"/>
      <c r="CA33" s="49"/>
      <c r="CB33" s="49"/>
      <c r="CC33" s="50"/>
      <c r="CD33" s="48"/>
      <c r="CE33" s="49"/>
      <c r="CF33" s="49"/>
      <c r="CG33" s="50"/>
      <c r="CK33" s="12"/>
      <c r="CL33" s="15"/>
      <c r="CO33" s="12"/>
      <c r="CP33" s="15"/>
      <c r="CS33" s="12"/>
      <c r="CT33" s="15"/>
      <c r="CW33" s="12"/>
      <c r="CX33" s="15"/>
      <c r="DA33" s="12"/>
      <c r="DF33" s="15"/>
      <c r="DI33" s="12"/>
      <c r="DJ33" s="1"/>
      <c r="DK33" s="225"/>
      <c r="DL33" s="225"/>
      <c r="DM33" s="225"/>
      <c r="DN33" s="225"/>
      <c r="DO33" s="225"/>
      <c r="DP33" s="225"/>
      <c r="DQ33" s="225"/>
      <c r="DR33" s="225"/>
      <c r="DS33" s="10"/>
      <c r="DT33" s="225"/>
      <c r="DU33" s="10"/>
      <c r="DV33" s="225"/>
      <c r="DW33" s="1"/>
      <c r="EJ33" s="1"/>
      <c r="EK33" s="17"/>
      <c r="EL33" s="17"/>
      <c r="EM33" s="17"/>
      <c r="EN33" s="17"/>
      <c r="EO33" s="17"/>
      <c r="EP33" s="17"/>
      <c r="EQ33" s="17"/>
      <c r="ER33" s="17"/>
      <c r="ES33" s="17"/>
      <c r="EU33" s="17"/>
      <c r="EW33" s="1"/>
      <c r="EX33" s="225"/>
      <c r="EY33" s="225"/>
      <c r="EZ33" s="225"/>
      <c r="FA33" s="225"/>
      <c r="FB33" s="225"/>
      <c r="FC33" s="225"/>
      <c r="FD33" s="225"/>
      <c r="FE33" s="225"/>
      <c r="FF33" s="225"/>
      <c r="FG33" s="10"/>
      <c r="FH33" s="225"/>
      <c r="FI33" s="10"/>
      <c r="FJ33" s="1"/>
      <c r="FK33" s="225"/>
      <c r="FL33" s="225"/>
      <c r="FM33" s="191"/>
      <c r="FN33" s="191"/>
      <c r="FO33" s="225"/>
      <c r="FP33" s="225"/>
      <c r="FQ33" s="151"/>
      <c r="FR33" s="151"/>
      <c r="FS33" s="10"/>
      <c r="FT33" s="191"/>
      <c r="FU33" s="225"/>
      <c r="FV33" s="151"/>
    </row>
    <row r="34" spans="1:178" ht="16" thickBot="1" x14ac:dyDescent="0.25">
      <c r="A34" s="27" t="s">
        <v>61</v>
      </c>
      <c r="B34" t="s">
        <v>140</v>
      </c>
      <c r="C34" s="1"/>
      <c r="D34" s="17"/>
      <c r="E34" s="17"/>
      <c r="F34" s="161"/>
      <c r="G34" s="89"/>
      <c r="H34" s="244"/>
      <c r="I34" s="88"/>
      <c r="J34" s="17"/>
      <c r="K34" s="17"/>
      <c r="L34" s="17"/>
      <c r="M34" s="17"/>
      <c r="N34" s="17"/>
      <c r="O34" s="17"/>
      <c r="P34" s="1"/>
      <c r="Q34" s="48"/>
      <c r="R34" s="49"/>
      <c r="S34" s="49">
        <v>0</v>
      </c>
      <c r="T34" s="50">
        <f t="shared" si="0"/>
        <v>0</v>
      </c>
      <c r="U34" s="48"/>
      <c r="V34" s="49"/>
      <c r="W34" s="49">
        <v>0</v>
      </c>
      <c r="X34" s="50">
        <f t="shared" si="1"/>
        <v>0</v>
      </c>
      <c r="Y34" s="48"/>
      <c r="Z34" s="49"/>
      <c r="AA34" s="49">
        <v>0</v>
      </c>
      <c r="AB34" s="50">
        <f t="shared" si="2"/>
        <v>0</v>
      </c>
      <c r="AC34" s="167"/>
      <c r="AD34" s="166"/>
      <c r="AE34" s="166">
        <v>0</v>
      </c>
      <c r="AF34" s="151">
        <f t="shared" si="3"/>
        <v>0</v>
      </c>
      <c r="AG34" s="166"/>
      <c r="AH34" s="166"/>
      <c r="AI34" s="166">
        <v>0</v>
      </c>
      <c r="AJ34" s="151">
        <f t="shared" si="4"/>
        <v>0</v>
      </c>
      <c r="AK34" s="192"/>
      <c r="AL34" s="10"/>
      <c r="AM34" s="10">
        <v>0</v>
      </c>
      <c r="AN34" s="151">
        <f t="shared" si="5"/>
        <v>0</v>
      </c>
      <c r="AO34" s="191"/>
      <c r="AP34" s="10"/>
      <c r="AQ34" s="10"/>
      <c r="AR34" s="151"/>
      <c r="AS34" s="191"/>
      <c r="AT34" s="10"/>
      <c r="AU34" s="10"/>
      <c r="AV34" s="151"/>
      <c r="AW34" s="191"/>
      <c r="AX34" s="10"/>
      <c r="AY34" s="10"/>
      <c r="AZ34" s="151"/>
      <c r="BA34" s="191"/>
      <c r="BB34" s="10"/>
      <c r="BC34" s="10"/>
      <c r="BD34" s="151"/>
      <c r="BE34" s="191"/>
      <c r="BF34" s="10"/>
      <c r="BG34" s="10"/>
      <c r="BH34" s="151"/>
      <c r="BI34" s="191"/>
      <c r="BJ34" s="10"/>
      <c r="BK34" s="10"/>
      <c r="BL34" s="151"/>
      <c r="BM34" s="1"/>
      <c r="BN34" s="48"/>
      <c r="BO34" s="56"/>
      <c r="BP34" s="56"/>
      <c r="BQ34" s="50"/>
      <c r="BR34" s="48"/>
      <c r="BS34" s="56"/>
      <c r="BT34" s="56"/>
      <c r="BU34" s="50"/>
      <c r="BV34" s="48"/>
      <c r="BW34" s="56"/>
      <c r="BX34" s="56"/>
      <c r="BY34" s="50"/>
      <c r="BZ34" s="48"/>
      <c r="CA34" s="49"/>
      <c r="CB34" s="49"/>
      <c r="CC34" s="50"/>
      <c r="CD34" s="48"/>
      <c r="CE34" s="49"/>
      <c r="CF34" s="49"/>
      <c r="CG34" s="50"/>
      <c r="CK34" s="12"/>
      <c r="CL34" s="15"/>
      <c r="CO34" s="12"/>
      <c r="CP34" s="15"/>
      <c r="CS34" s="12"/>
      <c r="CT34" s="15"/>
      <c r="CW34" s="12"/>
      <c r="CX34" s="15"/>
      <c r="DA34" s="12"/>
      <c r="DF34" s="15"/>
      <c r="DI34" s="12"/>
      <c r="DJ34" s="1"/>
      <c r="DK34" s="225"/>
      <c r="DL34" s="225"/>
      <c r="DM34" s="225"/>
      <c r="DN34" s="225"/>
      <c r="DO34" s="225"/>
      <c r="DP34" s="225"/>
      <c r="DQ34" s="225"/>
      <c r="DR34" s="225"/>
      <c r="DS34" s="10"/>
      <c r="DT34" s="225"/>
      <c r="DU34" s="10"/>
      <c r="DV34" s="225"/>
      <c r="DW34" s="1"/>
      <c r="EJ34" s="1"/>
      <c r="EK34" s="17"/>
      <c r="EL34" s="17"/>
      <c r="EM34" s="17"/>
      <c r="EN34" s="17"/>
      <c r="EO34" s="17"/>
      <c r="EP34" s="17"/>
      <c r="EQ34" s="17"/>
      <c r="ER34" s="17"/>
      <c r="ES34" s="17"/>
      <c r="EU34" s="17"/>
      <c r="EW34" s="1"/>
      <c r="EX34" s="225"/>
      <c r="EY34" s="225"/>
      <c r="EZ34" s="225"/>
      <c r="FA34" s="225"/>
      <c r="FB34" s="225"/>
      <c r="FC34" s="225"/>
      <c r="FD34" s="225"/>
      <c r="FE34" s="225"/>
      <c r="FF34" s="225"/>
      <c r="FG34" s="10"/>
      <c r="FH34" s="225"/>
      <c r="FI34" s="10"/>
      <c r="FJ34" s="1"/>
      <c r="FK34" s="225"/>
      <c r="FL34" s="225"/>
      <c r="FM34" s="191"/>
      <c r="FN34" s="191"/>
      <c r="FO34" s="225"/>
      <c r="FP34" s="225"/>
      <c r="FQ34" s="151"/>
      <c r="FR34" s="151"/>
      <c r="FS34" s="10"/>
      <c r="FT34" s="191"/>
      <c r="FU34" s="225"/>
      <c r="FV34" s="151"/>
    </row>
    <row r="35" spans="1:178" ht="16" thickBot="1" x14ac:dyDescent="0.25">
      <c r="A35" s="27" t="s">
        <v>62</v>
      </c>
      <c r="B35" t="s">
        <v>140</v>
      </c>
      <c r="C35" s="1"/>
      <c r="D35" s="17">
        <v>13</v>
      </c>
      <c r="E35" s="17">
        <v>14</v>
      </c>
      <c r="F35" s="161">
        <v>15</v>
      </c>
      <c r="G35" s="87">
        <v>14</v>
      </c>
      <c r="H35" s="243">
        <v>13</v>
      </c>
      <c r="I35" s="87">
        <v>14</v>
      </c>
      <c r="J35" s="17"/>
      <c r="K35" s="17"/>
      <c r="L35" s="17"/>
      <c r="M35" s="17"/>
      <c r="N35" s="17"/>
      <c r="O35" s="17"/>
      <c r="P35" s="1"/>
      <c r="Q35" s="48">
        <v>2883.76</v>
      </c>
      <c r="R35" s="49">
        <v>1111.77</v>
      </c>
      <c r="S35" s="49">
        <v>531.78</v>
      </c>
      <c r="T35" s="50">
        <f t="shared" si="0"/>
        <v>4527.3100000000004</v>
      </c>
      <c r="U35" s="48">
        <v>3340.14</v>
      </c>
      <c r="V35" s="49">
        <v>4299.25</v>
      </c>
      <c r="W35" s="49">
        <v>1368.9099999999999</v>
      </c>
      <c r="X35" s="50">
        <f t="shared" si="1"/>
        <v>9008.2999999999993</v>
      </c>
      <c r="Y35" s="48">
        <v>23286.58</v>
      </c>
      <c r="Z35" s="49">
        <v>1889.47</v>
      </c>
      <c r="AA35" s="49">
        <v>437.47</v>
      </c>
      <c r="AB35" s="50">
        <f t="shared" si="2"/>
        <v>25613.520000000004</v>
      </c>
      <c r="AC35" s="164">
        <v>2640.36</v>
      </c>
      <c r="AD35" s="165">
        <v>3079.37</v>
      </c>
      <c r="AE35" s="165">
        <v>277.48</v>
      </c>
      <c r="AF35" s="151">
        <f t="shared" si="3"/>
        <v>5997.2099999999991</v>
      </c>
      <c r="AG35" s="165">
        <v>967.77</v>
      </c>
      <c r="AH35" s="165">
        <v>3937.07</v>
      </c>
      <c r="AI35" s="165">
        <v>1028.6399999999999</v>
      </c>
      <c r="AJ35" s="151">
        <f t="shared" si="4"/>
        <v>5933.48</v>
      </c>
      <c r="AK35" s="192">
        <v>519.97</v>
      </c>
      <c r="AL35" s="10">
        <v>91.41</v>
      </c>
      <c r="AM35" s="10">
        <v>933.05</v>
      </c>
      <c r="AN35" s="151">
        <f t="shared" si="5"/>
        <v>1544.4299999999998</v>
      </c>
      <c r="AO35" s="191"/>
      <c r="AP35" s="10"/>
      <c r="AQ35" s="10"/>
      <c r="AR35" s="151"/>
      <c r="AS35" s="191"/>
      <c r="AT35" s="10"/>
      <c r="AU35" s="10"/>
      <c r="AV35" s="151"/>
      <c r="AW35" s="191"/>
      <c r="AX35" s="10"/>
      <c r="AY35" s="10"/>
      <c r="AZ35" s="151"/>
      <c r="BA35" s="191"/>
      <c r="BB35" s="10"/>
      <c r="BC35" s="10"/>
      <c r="BD35" s="151"/>
      <c r="BE35" s="191"/>
      <c r="BF35" s="10"/>
      <c r="BG35" s="10"/>
      <c r="BH35" s="151"/>
      <c r="BI35" s="191"/>
      <c r="BJ35" s="10"/>
      <c r="BK35" s="10"/>
      <c r="BL35" s="151"/>
      <c r="BM35" s="1"/>
      <c r="BN35" s="48"/>
      <c r="BO35" s="56"/>
      <c r="BP35" s="56"/>
      <c r="BQ35" s="50"/>
      <c r="BR35" s="48"/>
      <c r="BS35" s="56"/>
      <c r="BT35" s="56"/>
      <c r="BU35" s="50"/>
      <c r="BV35" s="48"/>
      <c r="BW35" s="56"/>
      <c r="BX35" s="56"/>
      <c r="BY35" s="50"/>
      <c r="BZ35" s="48"/>
      <c r="CA35" s="49"/>
      <c r="CB35" s="49"/>
      <c r="CC35" s="50"/>
      <c r="CD35" s="48"/>
      <c r="CE35" s="49"/>
      <c r="CF35" s="49"/>
      <c r="CG35" s="50"/>
      <c r="CK35" s="12"/>
      <c r="CL35" s="15"/>
      <c r="CO35" s="12"/>
      <c r="CP35" s="15"/>
      <c r="CS35" s="12"/>
      <c r="CT35" s="15"/>
      <c r="CW35" s="12"/>
      <c r="CX35" s="15"/>
      <c r="DA35" s="12"/>
      <c r="DF35" s="15"/>
      <c r="DI35" s="12"/>
      <c r="DJ35" s="1"/>
      <c r="DK35" s="225"/>
      <c r="DL35" s="225"/>
      <c r="DM35" s="225"/>
      <c r="DN35" s="225">
        <v>201.17</v>
      </c>
      <c r="DO35" s="225"/>
      <c r="DP35" s="225"/>
      <c r="DQ35" s="225"/>
      <c r="DR35" s="225"/>
      <c r="DS35" s="10"/>
      <c r="DT35" s="225"/>
      <c r="DU35" s="10"/>
      <c r="DV35" s="225"/>
      <c r="DW35" s="1"/>
      <c r="EJ35" s="1"/>
      <c r="EK35" s="17"/>
      <c r="EL35" s="17"/>
      <c r="EM35" s="17"/>
      <c r="EN35" s="17">
        <v>1</v>
      </c>
      <c r="EO35" s="17"/>
      <c r="EP35" s="17"/>
      <c r="EQ35" s="17"/>
      <c r="ER35" s="17"/>
      <c r="ES35" s="17"/>
      <c r="EU35" s="17"/>
      <c r="EW35" s="1"/>
      <c r="EX35" s="225"/>
      <c r="EY35" s="225"/>
      <c r="EZ35" s="225"/>
      <c r="FA35" s="225">
        <v>201.17</v>
      </c>
      <c r="FB35" s="225"/>
      <c r="FC35" s="225"/>
      <c r="FD35" s="225"/>
      <c r="FE35" s="225"/>
      <c r="FF35" s="225"/>
      <c r="FG35" s="10"/>
      <c r="FH35" s="225"/>
      <c r="FI35" s="10"/>
      <c r="FJ35" s="1"/>
      <c r="FK35" s="225"/>
      <c r="FL35" s="225"/>
      <c r="FM35" s="191"/>
      <c r="FN35" s="191"/>
      <c r="FO35" s="225"/>
      <c r="FP35" s="225"/>
      <c r="FQ35" s="151"/>
      <c r="FR35" s="151"/>
      <c r="FS35" s="10"/>
      <c r="FT35" s="191"/>
      <c r="FU35" s="225"/>
      <c r="FV35" s="151"/>
    </row>
    <row r="36" spans="1:178" ht="16" thickBot="1" x14ac:dyDescent="0.25">
      <c r="A36" s="27" t="s">
        <v>63</v>
      </c>
      <c r="B36" t="s">
        <v>140</v>
      </c>
      <c r="C36" s="1"/>
      <c r="D36" s="17">
        <v>3</v>
      </c>
      <c r="E36" s="17">
        <v>2</v>
      </c>
      <c r="F36" s="161"/>
      <c r="G36" s="87">
        <v>1</v>
      </c>
      <c r="H36" s="244">
        <v>1</v>
      </c>
      <c r="I36" s="88">
        <v>2</v>
      </c>
      <c r="J36" s="17"/>
      <c r="K36" s="17"/>
      <c r="L36" s="17"/>
      <c r="M36" s="17"/>
      <c r="N36" s="17"/>
      <c r="O36" s="17"/>
      <c r="P36" s="1"/>
      <c r="Q36" s="48">
        <v>212.27</v>
      </c>
      <c r="R36" s="49">
        <v>198.82</v>
      </c>
      <c r="S36" s="49">
        <v>0</v>
      </c>
      <c r="T36" s="50">
        <f t="shared" si="0"/>
        <v>411.09000000000003</v>
      </c>
      <c r="U36" s="48">
        <v>30.05</v>
      </c>
      <c r="V36" s="49">
        <v>182.82</v>
      </c>
      <c r="W36" s="49">
        <v>0</v>
      </c>
      <c r="X36" s="50">
        <f t="shared" si="1"/>
        <v>212.87</v>
      </c>
      <c r="Y36" s="48"/>
      <c r="Z36" s="49"/>
      <c r="AA36" s="49">
        <v>0</v>
      </c>
      <c r="AB36" s="50">
        <f t="shared" si="2"/>
        <v>0</v>
      </c>
      <c r="AC36" s="164">
        <v>6.75</v>
      </c>
      <c r="AD36" s="166"/>
      <c r="AE36" s="166">
        <v>0</v>
      </c>
      <c r="AF36" s="151">
        <f t="shared" si="3"/>
        <v>6.75</v>
      </c>
      <c r="AG36" s="166">
        <v>25</v>
      </c>
      <c r="AH36" s="166"/>
      <c r="AI36" s="166">
        <v>0</v>
      </c>
      <c r="AJ36" s="151">
        <f t="shared" si="4"/>
        <v>25</v>
      </c>
      <c r="AK36" s="192">
        <v>100.98</v>
      </c>
      <c r="AL36" s="10"/>
      <c r="AM36" s="10">
        <v>0</v>
      </c>
      <c r="AN36" s="151">
        <f t="shared" si="5"/>
        <v>100.98</v>
      </c>
      <c r="AO36" s="191"/>
      <c r="AP36" s="10"/>
      <c r="AQ36" s="10"/>
      <c r="AR36" s="151"/>
      <c r="AS36" s="191"/>
      <c r="AT36" s="10"/>
      <c r="AU36" s="10"/>
      <c r="AV36" s="151"/>
      <c r="AW36" s="191"/>
      <c r="AX36" s="10"/>
      <c r="AY36" s="10"/>
      <c r="AZ36" s="151"/>
      <c r="BA36" s="191"/>
      <c r="BB36" s="10"/>
      <c r="BC36" s="10"/>
      <c r="BD36" s="151"/>
      <c r="BE36" s="191"/>
      <c r="BF36" s="10"/>
      <c r="BG36" s="10"/>
      <c r="BH36" s="151"/>
      <c r="BI36" s="191"/>
      <c r="BJ36" s="10"/>
      <c r="BK36" s="10"/>
      <c r="BL36" s="151"/>
      <c r="BM36" s="1"/>
      <c r="BN36" s="48"/>
      <c r="BO36" s="56"/>
      <c r="BP36" s="56"/>
      <c r="BQ36" s="50"/>
      <c r="BR36" s="48"/>
      <c r="BS36" s="56"/>
      <c r="BT36" s="56"/>
      <c r="BU36" s="50"/>
      <c r="BV36" s="48"/>
      <c r="BW36" s="56"/>
      <c r="BX36" s="56"/>
      <c r="BY36" s="50"/>
      <c r="BZ36" s="48"/>
      <c r="CA36" s="49"/>
      <c r="CB36" s="49"/>
      <c r="CC36" s="50"/>
      <c r="CD36" s="48"/>
      <c r="CE36" s="49"/>
      <c r="CF36" s="49"/>
      <c r="CG36" s="50"/>
      <c r="CK36" s="12"/>
      <c r="CL36" s="15"/>
      <c r="CO36" s="12"/>
      <c r="CP36" s="15"/>
      <c r="CS36" s="12"/>
      <c r="CT36" s="15"/>
      <c r="CW36" s="12"/>
      <c r="CX36" s="15"/>
      <c r="DA36" s="12"/>
      <c r="DF36" s="15"/>
      <c r="DI36" s="12"/>
      <c r="DJ36" s="1"/>
      <c r="DK36" s="225"/>
      <c r="DL36" s="225"/>
      <c r="DM36" s="225"/>
      <c r="DN36" s="225"/>
      <c r="DO36" s="225"/>
      <c r="DP36" s="225"/>
      <c r="DQ36" s="225"/>
      <c r="DR36" s="225"/>
      <c r="DS36" s="10"/>
      <c r="DT36" s="225"/>
      <c r="DU36" s="10"/>
      <c r="DV36" s="225"/>
      <c r="DW36" s="1"/>
      <c r="EJ36" s="1"/>
      <c r="EK36" s="17"/>
      <c r="EL36" s="17"/>
      <c r="EM36" s="17"/>
      <c r="EN36" s="17"/>
      <c r="EO36" s="17"/>
      <c r="EP36" s="17"/>
      <c r="EQ36" s="17"/>
      <c r="ER36" s="17"/>
      <c r="ES36" s="17"/>
      <c r="EU36" s="17"/>
      <c r="EW36" s="1"/>
      <c r="EX36" s="225"/>
      <c r="EY36" s="225"/>
      <c r="EZ36" s="225"/>
      <c r="FA36" s="225"/>
      <c r="FB36" s="225"/>
      <c r="FC36" s="225"/>
      <c r="FD36" s="225"/>
      <c r="FE36" s="225"/>
      <c r="FF36" s="225"/>
      <c r="FG36" s="10"/>
      <c r="FH36" s="225"/>
      <c r="FI36" s="10"/>
      <c r="FJ36" s="1"/>
      <c r="FK36" s="225"/>
      <c r="FL36" s="225"/>
      <c r="FM36" s="191"/>
      <c r="FN36" s="191"/>
      <c r="FO36" s="225"/>
      <c r="FP36" s="225"/>
      <c r="FQ36" s="151"/>
      <c r="FR36" s="151"/>
      <c r="FS36" s="10"/>
      <c r="FT36" s="191"/>
      <c r="FU36" s="225"/>
      <c r="FV36" s="151"/>
    </row>
    <row r="37" spans="1:178" ht="16" thickBot="1" x14ac:dyDescent="0.25">
      <c r="A37" s="27" t="s">
        <v>64</v>
      </c>
      <c r="B37" t="s">
        <v>140</v>
      </c>
      <c r="C37" s="1"/>
      <c r="D37" s="17">
        <v>7</v>
      </c>
      <c r="E37" s="17">
        <v>7</v>
      </c>
      <c r="F37" s="161">
        <v>5</v>
      </c>
      <c r="G37" s="87">
        <v>9</v>
      </c>
      <c r="H37" s="243">
        <v>8</v>
      </c>
      <c r="I37" s="87">
        <v>13</v>
      </c>
      <c r="J37" s="17"/>
      <c r="K37" s="17"/>
      <c r="L37" s="17"/>
      <c r="M37" s="17"/>
      <c r="N37" s="17"/>
      <c r="O37" s="17"/>
      <c r="P37" s="1"/>
      <c r="Q37" s="48">
        <v>105.04</v>
      </c>
      <c r="R37" s="49">
        <v>9639.5499999999993</v>
      </c>
      <c r="S37" s="49">
        <v>700.64</v>
      </c>
      <c r="T37" s="50">
        <f t="shared" si="0"/>
        <v>10445.23</v>
      </c>
      <c r="U37" s="48">
        <v>27.57</v>
      </c>
      <c r="V37" s="49">
        <v>496.05</v>
      </c>
      <c r="W37" s="49">
        <v>5567.2</v>
      </c>
      <c r="X37" s="50">
        <f t="shared" si="1"/>
        <v>6090.82</v>
      </c>
      <c r="Y37" s="48">
        <v>980.96</v>
      </c>
      <c r="Z37" s="49">
        <v>32.86</v>
      </c>
      <c r="AA37" s="49">
        <v>829.26</v>
      </c>
      <c r="AB37" s="50">
        <f t="shared" si="2"/>
        <v>1843.08</v>
      </c>
      <c r="AC37" s="164">
        <v>9027.19</v>
      </c>
      <c r="AD37" s="165">
        <v>32.86</v>
      </c>
      <c r="AE37" s="165">
        <v>700.64</v>
      </c>
      <c r="AF37" s="151">
        <f t="shared" si="3"/>
        <v>9760.69</v>
      </c>
      <c r="AG37" s="165">
        <v>586.91999999999996</v>
      </c>
      <c r="AH37" s="166"/>
      <c r="AI37" s="165">
        <v>962.74</v>
      </c>
      <c r="AJ37" s="151">
        <f t="shared" si="4"/>
        <v>1549.6599999999999</v>
      </c>
      <c r="AK37" s="192">
        <v>2931.89</v>
      </c>
      <c r="AL37" s="10">
        <v>805.95</v>
      </c>
      <c r="AM37" s="10">
        <v>962.74</v>
      </c>
      <c r="AN37" s="151">
        <f t="shared" si="5"/>
        <v>4700.58</v>
      </c>
      <c r="AO37" s="191"/>
      <c r="AP37" s="10"/>
      <c r="AQ37" s="10"/>
      <c r="AR37" s="151"/>
      <c r="AS37" s="191"/>
      <c r="AT37" s="10"/>
      <c r="AU37" s="10"/>
      <c r="AV37" s="151"/>
      <c r="AW37" s="191"/>
      <c r="AX37" s="10"/>
      <c r="AY37" s="10"/>
      <c r="AZ37" s="151"/>
      <c r="BA37" s="191"/>
      <c r="BB37" s="10"/>
      <c r="BC37" s="10"/>
      <c r="BD37" s="151"/>
      <c r="BE37" s="191"/>
      <c r="BF37" s="10"/>
      <c r="BG37" s="10"/>
      <c r="BH37" s="151"/>
      <c r="BI37" s="191"/>
      <c r="BJ37" s="10"/>
      <c r="BK37" s="10"/>
      <c r="BL37" s="151"/>
      <c r="BM37" s="1"/>
      <c r="BN37" s="48"/>
      <c r="BO37" s="56"/>
      <c r="BP37" s="56"/>
      <c r="BQ37" s="50"/>
      <c r="BR37" s="48"/>
      <c r="BS37" s="56"/>
      <c r="BT37" s="56"/>
      <c r="BU37" s="50"/>
      <c r="BV37" s="48"/>
      <c r="BW37" s="56"/>
      <c r="BX37" s="56"/>
      <c r="BY37" s="50"/>
      <c r="BZ37" s="48"/>
      <c r="CA37" s="49"/>
      <c r="CB37" s="49"/>
      <c r="CC37" s="50"/>
      <c r="CD37" s="48"/>
      <c r="CE37" s="49"/>
      <c r="CF37" s="49"/>
      <c r="CG37" s="50"/>
      <c r="CK37" s="12"/>
      <c r="CL37" s="15"/>
      <c r="CO37" s="12"/>
      <c r="CP37" s="15"/>
      <c r="CS37" s="12"/>
      <c r="CT37" s="15"/>
      <c r="CW37" s="12"/>
      <c r="CX37" s="15"/>
      <c r="DA37" s="12"/>
      <c r="DF37" s="15"/>
      <c r="DI37" s="12"/>
      <c r="DJ37" s="1"/>
      <c r="DK37" s="225"/>
      <c r="DL37" s="225"/>
      <c r="DM37" s="225"/>
      <c r="DN37" s="225"/>
      <c r="DO37" s="225"/>
      <c r="DP37" s="225"/>
      <c r="DQ37" s="225"/>
      <c r="DR37" s="225"/>
      <c r="DS37" s="10"/>
      <c r="DT37" s="225"/>
      <c r="DU37" s="10"/>
      <c r="DV37" s="225"/>
      <c r="DW37" s="1"/>
      <c r="EJ37" s="1"/>
      <c r="EK37" s="17"/>
      <c r="EL37" s="17"/>
      <c r="EM37" s="17"/>
      <c r="EN37" s="17"/>
      <c r="EO37" s="17"/>
      <c r="EP37" s="17"/>
      <c r="EQ37" s="17"/>
      <c r="ER37" s="17"/>
      <c r="ES37" s="17"/>
      <c r="EU37" s="17"/>
      <c r="EW37" s="1"/>
      <c r="EX37" s="225"/>
      <c r="EY37" s="225"/>
      <c r="EZ37" s="225"/>
      <c r="FA37" s="225"/>
      <c r="FB37" s="225"/>
      <c r="FC37" s="225"/>
      <c r="FD37" s="225"/>
      <c r="FE37" s="225"/>
      <c r="FF37" s="225"/>
      <c r="FG37" s="10"/>
      <c r="FH37" s="225"/>
      <c r="FI37" s="10"/>
      <c r="FJ37" s="1"/>
      <c r="FK37" s="225"/>
      <c r="FL37" s="225"/>
      <c r="FM37" s="191"/>
      <c r="FN37" s="191"/>
      <c r="FO37" s="225"/>
      <c r="FP37" s="225"/>
      <c r="FQ37" s="151"/>
      <c r="FR37" s="151"/>
      <c r="FS37" s="10"/>
      <c r="FT37" s="191"/>
      <c r="FU37" s="225"/>
      <c r="FV37" s="151"/>
    </row>
    <row r="38" spans="1:178" ht="16" thickBot="1" x14ac:dyDescent="0.25">
      <c r="A38" s="27" t="s">
        <v>65</v>
      </c>
      <c r="B38" t="s">
        <v>140</v>
      </c>
      <c r="C38" s="1"/>
      <c r="D38" s="17">
        <v>1</v>
      </c>
      <c r="E38" s="17">
        <v>3</v>
      </c>
      <c r="F38" s="161">
        <v>2</v>
      </c>
      <c r="G38" s="87">
        <v>3</v>
      </c>
      <c r="H38" s="243">
        <v>1</v>
      </c>
      <c r="I38" s="87">
        <v>3</v>
      </c>
      <c r="J38" s="17"/>
      <c r="K38" s="17"/>
      <c r="L38" s="17"/>
      <c r="M38" s="17"/>
      <c r="N38" s="17"/>
      <c r="O38" s="17"/>
      <c r="P38" s="1"/>
      <c r="Q38" s="48">
        <v>707.55</v>
      </c>
      <c r="R38" s="49"/>
      <c r="S38" s="49">
        <v>0</v>
      </c>
      <c r="T38" s="50">
        <f t="shared" si="0"/>
        <v>707.55</v>
      </c>
      <c r="U38" s="48">
        <v>2176.1</v>
      </c>
      <c r="V38" s="49">
        <v>1433.86</v>
      </c>
      <c r="W38" s="49">
        <v>0</v>
      </c>
      <c r="X38" s="50">
        <f t="shared" si="1"/>
        <v>3609.96</v>
      </c>
      <c r="Y38" s="48">
        <v>930.62</v>
      </c>
      <c r="Z38" s="49"/>
      <c r="AA38" s="49">
        <v>0</v>
      </c>
      <c r="AB38" s="50">
        <f t="shared" si="2"/>
        <v>930.62</v>
      </c>
      <c r="AC38" s="164">
        <v>227.51</v>
      </c>
      <c r="AD38" s="165">
        <v>332.36</v>
      </c>
      <c r="AE38" s="165">
        <v>1742.63</v>
      </c>
      <c r="AF38" s="151">
        <f t="shared" si="3"/>
        <v>2302.5</v>
      </c>
      <c r="AG38" s="165"/>
      <c r="AH38" s="165">
        <v>488.31</v>
      </c>
      <c r="AI38" s="165">
        <v>0</v>
      </c>
      <c r="AJ38" s="151">
        <f t="shared" si="4"/>
        <v>488.31</v>
      </c>
      <c r="AK38" s="192">
        <v>392.96</v>
      </c>
      <c r="AL38" s="10"/>
      <c r="AM38" s="10">
        <v>0</v>
      </c>
      <c r="AN38" s="151">
        <f t="shared" si="5"/>
        <v>392.96</v>
      </c>
      <c r="AO38" s="191"/>
      <c r="AP38" s="10"/>
      <c r="AQ38" s="10"/>
      <c r="AR38" s="151"/>
      <c r="AS38" s="191"/>
      <c r="AT38" s="10"/>
      <c r="AU38" s="10"/>
      <c r="AV38" s="151"/>
      <c r="AW38" s="191"/>
      <c r="AX38" s="10"/>
      <c r="AY38" s="10"/>
      <c r="AZ38" s="151"/>
      <c r="BA38" s="191"/>
      <c r="BB38" s="10"/>
      <c r="BC38" s="10"/>
      <c r="BD38" s="151"/>
      <c r="BE38" s="191"/>
      <c r="BF38" s="10"/>
      <c r="BG38" s="10"/>
      <c r="BH38" s="151"/>
      <c r="BI38" s="191"/>
      <c r="BJ38" s="10"/>
      <c r="BK38" s="10"/>
      <c r="BL38" s="151"/>
      <c r="BM38" s="1"/>
      <c r="BN38" s="48"/>
      <c r="BO38" s="56"/>
      <c r="BP38" s="56"/>
      <c r="BQ38" s="50"/>
      <c r="BR38" s="48"/>
      <c r="BS38" s="56"/>
      <c r="BT38" s="56"/>
      <c r="BU38" s="50"/>
      <c r="BV38" s="48"/>
      <c r="BW38" s="56"/>
      <c r="BX38" s="56"/>
      <c r="BY38" s="50"/>
      <c r="BZ38" s="48"/>
      <c r="CA38" s="49"/>
      <c r="CB38" s="49"/>
      <c r="CC38" s="50"/>
      <c r="CD38" s="48"/>
      <c r="CE38" s="49"/>
      <c r="CF38" s="49"/>
      <c r="CG38" s="50"/>
      <c r="CK38" s="12"/>
      <c r="CL38" s="15"/>
      <c r="CO38" s="12"/>
      <c r="CP38" s="15"/>
      <c r="CS38" s="12"/>
      <c r="CT38" s="15"/>
      <c r="CW38" s="12"/>
      <c r="CX38" s="15"/>
      <c r="DA38" s="12"/>
      <c r="DF38" s="15"/>
      <c r="DI38" s="12"/>
      <c r="DJ38" s="1"/>
      <c r="DK38" s="225"/>
      <c r="DL38" s="225"/>
      <c r="DM38" s="225"/>
      <c r="DN38" s="225"/>
      <c r="DO38" s="225"/>
      <c r="DP38" s="225"/>
      <c r="DQ38" s="225"/>
      <c r="DR38" s="225"/>
      <c r="DS38" s="10"/>
      <c r="DT38" s="225"/>
      <c r="DU38" s="10"/>
      <c r="DV38" s="225"/>
      <c r="DW38" s="1"/>
      <c r="EJ38" s="1"/>
      <c r="EK38" s="17"/>
      <c r="EL38" s="17"/>
      <c r="EM38" s="17"/>
      <c r="EN38" s="17"/>
      <c r="EO38" s="17"/>
      <c r="EP38" s="17"/>
      <c r="EQ38" s="17"/>
      <c r="ER38" s="17"/>
      <c r="ES38" s="17"/>
      <c r="EU38" s="17"/>
      <c r="EW38" s="1"/>
      <c r="EX38" s="225"/>
      <c r="EY38" s="225"/>
      <c r="EZ38" s="225"/>
      <c r="FA38" s="225"/>
      <c r="FB38" s="225"/>
      <c r="FC38" s="225"/>
      <c r="FD38" s="225"/>
      <c r="FE38" s="225"/>
      <c r="FF38" s="225"/>
      <c r="FG38" s="10"/>
      <c r="FH38" s="225"/>
      <c r="FI38" s="10"/>
      <c r="FJ38" s="1"/>
      <c r="FK38" s="225"/>
      <c r="FL38" s="225"/>
      <c r="FM38" s="191"/>
      <c r="FN38" s="191"/>
      <c r="FO38" s="225"/>
      <c r="FP38" s="225"/>
      <c r="FQ38" s="151"/>
      <c r="FR38" s="151"/>
      <c r="FS38" s="10"/>
      <c r="FT38" s="191"/>
      <c r="FU38" s="225"/>
      <c r="FV38" s="151"/>
    </row>
    <row r="39" spans="1:178" ht="16" thickBot="1" x14ac:dyDescent="0.25">
      <c r="A39" s="27" t="s">
        <v>66</v>
      </c>
      <c r="B39" t="s">
        <v>140</v>
      </c>
      <c r="C39" s="1"/>
      <c r="D39" s="17">
        <v>1</v>
      </c>
      <c r="E39" s="17">
        <v>2</v>
      </c>
      <c r="F39" s="161">
        <v>2</v>
      </c>
      <c r="G39" s="87"/>
      <c r="H39" s="243"/>
      <c r="I39" s="88"/>
      <c r="J39" s="17"/>
      <c r="K39" s="17"/>
      <c r="L39" s="17"/>
      <c r="M39" s="17"/>
      <c r="N39" s="17"/>
      <c r="O39" s="17"/>
      <c r="P39" s="1"/>
      <c r="Q39" s="48"/>
      <c r="R39" s="49"/>
      <c r="S39" s="49">
        <v>1018.55</v>
      </c>
      <c r="T39" s="50">
        <f t="shared" si="0"/>
        <v>1018.55</v>
      </c>
      <c r="U39" s="48">
        <v>446.34</v>
      </c>
      <c r="V39" s="49"/>
      <c r="W39" s="49">
        <v>1358.74</v>
      </c>
      <c r="X39" s="50">
        <f t="shared" si="1"/>
        <v>1805.08</v>
      </c>
      <c r="Y39" s="48">
        <v>49.88</v>
      </c>
      <c r="Z39" s="49"/>
      <c r="AA39" s="49">
        <v>1358.74</v>
      </c>
      <c r="AB39" s="50">
        <f t="shared" si="2"/>
        <v>1408.6200000000001</v>
      </c>
      <c r="AC39" s="164"/>
      <c r="AD39" s="166"/>
      <c r="AE39" s="166">
        <v>0</v>
      </c>
      <c r="AF39" s="151">
        <f t="shared" si="3"/>
        <v>0</v>
      </c>
      <c r="AG39" s="165"/>
      <c r="AH39" s="166"/>
      <c r="AI39" s="166">
        <v>0</v>
      </c>
      <c r="AJ39" s="151">
        <f t="shared" si="4"/>
        <v>0</v>
      </c>
      <c r="AK39" s="192"/>
      <c r="AL39" s="10"/>
      <c r="AM39" s="10">
        <v>0</v>
      </c>
      <c r="AN39" s="151">
        <f t="shared" si="5"/>
        <v>0</v>
      </c>
      <c r="AO39" s="191"/>
      <c r="AP39" s="10"/>
      <c r="AQ39" s="10"/>
      <c r="AR39" s="151"/>
      <c r="AS39" s="191"/>
      <c r="AT39" s="10"/>
      <c r="AU39" s="10"/>
      <c r="AV39" s="151"/>
      <c r="AW39" s="191"/>
      <c r="AX39" s="10"/>
      <c r="AY39" s="10"/>
      <c r="AZ39" s="151"/>
      <c r="BA39" s="191"/>
      <c r="BB39" s="10"/>
      <c r="BC39" s="10"/>
      <c r="BD39" s="151"/>
      <c r="BE39" s="191"/>
      <c r="BF39" s="10"/>
      <c r="BG39" s="10"/>
      <c r="BH39" s="151"/>
      <c r="BI39" s="191"/>
      <c r="BJ39" s="10"/>
      <c r="BK39" s="10"/>
      <c r="BL39" s="151"/>
      <c r="BM39" s="1"/>
      <c r="BN39" s="48"/>
      <c r="BO39" s="56"/>
      <c r="BP39" s="56"/>
      <c r="BQ39" s="50"/>
      <c r="BR39" s="48"/>
      <c r="BS39" s="56"/>
      <c r="BT39" s="56"/>
      <c r="BU39" s="50"/>
      <c r="BV39" s="48"/>
      <c r="BW39" s="56"/>
      <c r="BX39" s="56"/>
      <c r="BY39" s="50"/>
      <c r="BZ39" s="48"/>
      <c r="CA39" s="49"/>
      <c r="CB39" s="49"/>
      <c r="CC39" s="50"/>
      <c r="CD39" s="48"/>
      <c r="CE39" s="49"/>
      <c r="CF39" s="49"/>
      <c r="CG39" s="50"/>
      <c r="CK39" s="12"/>
      <c r="CL39" s="15"/>
      <c r="CO39" s="12"/>
      <c r="CP39" s="15"/>
      <c r="CS39" s="12"/>
      <c r="CT39" s="15"/>
      <c r="CW39" s="12"/>
      <c r="CX39" s="15"/>
      <c r="DA39" s="12"/>
      <c r="DF39" s="15"/>
      <c r="DI39" s="12"/>
      <c r="DJ39" s="1"/>
      <c r="DK39" s="225"/>
      <c r="DL39" s="225"/>
      <c r="DM39" s="225"/>
      <c r="DN39" s="225">
        <v>1358.74</v>
      </c>
      <c r="DO39" s="225"/>
      <c r="DP39" s="225"/>
      <c r="DQ39" s="225"/>
      <c r="DR39" s="225"/>
      <c r="DS39" s="10"/>
      <c r="DT39" s="225"/>
      <c r="DU39" s="10"/>
      <c r="DV39" s="225"/>
      <c r="DW39" s="1"/>
      <c r="EJ39" s="1"/>
      <c r="EK39" s="17"/>
      <c r="EL39" s="17"/>
      <c r="EM39" s="17"/>
      <c r="EN39" s="17">
        <v>1</v>
      </c>
      <c r="EO39" s="17"/>
      <c r="EP39" s="17"/>
      <c r="EQ39" s="17"/>
      <c r="ER39" s="17"/>
      <c r="ES39" s="17"/>
      <c r="EU39" s="17"/>
      <c r="EW39" s="1"/>
      <c r="EX39" s="225"/>
      <c r="EY39" s="225"/>
      <c r="EZ39" s="225"/>
      <c r="FA39" s="225">
        <v>1358.74</v>
      </c>
      <c r="FB39" s="225"/>
      <c r="FC39" s="225"/>
      <c r="FD39" s="225"/>
      <c r="FE39" s="225"/>
      <c r="FF39" s="225"/>
      <c r="FG39" s="10"/>
      <c r="FH39" s="225"/>
      <c r="FI39" s="10"/>
      <c r="FJ39" s="1"/>
      <c r="FK39" s="225"/>
      <c r="FL39" s="225"/>
      <c r="FM39" s="191"/>
      <c r="FN39" s="191"/>
      <c r="FO39" s="225"/>
      <c r="FP39" s="225"/>
      <c r="FQ39" s="151"/>
      <c r="FR39" s="151"/>
      <c r="FS39" s="10"/>
      <c r="FT39" s="191"/>
      <c r="FU39" s="225"/>
      <c r="FV39" s="151"/>
    </row>
    <row r="40" spans="1:178" ht="16" thickBot="1" x14ac:dyDescent="0.25">
      <c r="A40" s="27" t="s">
        <v>67</v>
      </c>
      <c r="B40" t="s">
        <v>140</v>
      </c>
      <c r="C40" s="1"/>
      <c r="D40" s="17"/>
      <c r="E40" s="17"/>
      <c r="F40" s="161">
        <v>3</v>
      </c>
      <c r="G40" s="87">
        <v>2</v>
      </c>
      <c r="H40" s="243">
        <v>2</v>
      </c>
      <c r="I40" s="87">
        <v>2</v>
      </c>
      <c r="J40" s="17"/>
      <c r="K40" s="17"/>
      <c r="L40" s="17"/>
      <c r="M40" s="17"/>
      <c r="N40" s="17"/>
      <c r="O40" s="17"/>
      <c r="P40" s="1"/>
      <c r="Q40" s="48"/>
      <c r="R40" s="49"/>
      <c r="S40" s="49">
        <v>0</v>
      </c>
      <c r="T40" s="50">
        <f t="shared" si="0"/>
        <v>0</v>
      </c>
      <c r="U40" s="48"/>
      <c r="V40" s="49"/>
      <c r="W40" s="49">
        <v>0</v>
      </c>
      <c r="X40" s="50">
        <f t="shared" si="1"/>
        <v>0</v>
      </c>
      <c r="Y40" s="48">
        <v>60.64</v>
      </c>
      <c r="Z40" s="49"/>
      <c r="AA40" s="49">
        <v>0</v>
      </c>
      <c r="AB40" s="50">
        <f t="shared" si="2"/>
        <v>60.64</v>
      </c>
      <c r="AC40" s="164">
        <v>25</v>
      </c>
      <c r="AD40" s="166">
        <v>43.21</v>
      </c>
      <c r="AE40" s="166">
        <v>0</v>
      </c>
      <c r="AF40" s="151">
        <f t="shared" si="3"/>
        <v>68.210000000000008</v>
      </c>
      <c r="AG40" s="165">
        <v>405.4</v>
      </c>
      <c r="AH40" s="166"/>
      <c r="AI40" s="166">
        <v>76.13</v>
      </c>
      <c r="AJ40" s="151">
        <f t="shared" si="4"/>
        <v>481.53</v>
      </c>
      <c r="AK40" s="192">
        <v>3.55</v>
      </c>
      <c r="AL40" s="10"/>
      <c r="AM40" s="10">
        <v>110.42</v>
      </c>
      <c r="AN40" s="151">
        <f t="shared" si="5"/>
        <v>113.97</v>
      </c>
      <c r="AO40" s="191"/>
      <c r="AP40" s="10"/>
      <c r="AQ40" s="10"/>
      <c r="AR40" s="151"/>
      <c r="AS40" s="191"/>
      <c r="AT40" s="10"/>
      <c r="AU40" s="10"/>
      <c r="AV40" s="151"/>
      <c r="AW40" s="191"/>
      <c r="AX40" s="10"/>
      <c r="AY40" s="10"/>
      <c r="AZ40" s="151"/>
      <c r="BA40" s="191"/>
      <c r="BB40" s="10"/>
      <c r="BC40" s="10"/>
      <c r="BD40" s="151"/>
      <c r="BE40" s="191"/>
      <c r="BF40" s="10"/>
      <c r="BG40" s="10"/>
      <c r="BH40" s="151"/>
      <c r="BI40" s="191"/>
      <c r="BJ40" s="10"/>
      <c r="BK40" s="10"/>
      <c r="BL40" s="151"/>
      <c r="BM40" s="1"/>
      <c r="BN40" s="48"/>
      <c r="BO40" s="56"/>
      <c r="BP40" s="56"/>
      <c r="BQ40" s="50"/>
      <c r="BR40" s="48"/>
      <c r="BS40" s="56"/>
      <c r="BT40" s="56"/>
      <c r="BU40" s="50"/>
      <c r="BV40" s="48"/>
      <c r="BW40" s="56"/>
      <c r="BX40" s="56"/>
      <c r="BY40" s="50"/>
      <c r="BZ40" s="48"/>
      <c r="CA40" s="49"/>
      <c r="CB40" s="49"/>
      <c r="CC40" s="50"/>
      <c r="CD40" s="48"/>
      <c r="CE40" s="49"/>
      <c r="CF40" s="49"/>
      <c r="CG40" s="50"/>
      <c r="CK40" s="12"/>
      <c r="CL40" s="15"/>
      <c r="CO40" s="12"/>
      <c r="CP40" s="15"/>
      <c r="CS40" s="12"/>
      <c r="CT40" s="15"/>
      <c r="CW40" s="12"/>
      <c r="CX40" s="15"/>
      <c r="DA40" s="12"/>
      <c r="DF40" s="15"/>
      <c r="DI40" s="12"/>
      <c r="DJ40" s="1"/>
      <c r="DK40" s="225"/>
      <c r="DL40" s="225"/>
      <c r="DM40" s="225"/>
      <c r="DN40" s="225"/>
      <c r="DO40" s="225"/>
      <c r="DP40" s="225"/>
      <c r="DQ40" s="225"/>
      <c r="DR40" s="225"/>
      <c r="DS40" s="10"/>
      <c r="DT40" s="225"/>
      <c r="DU40" s="10"/>
      <c r="DV40" s="225"/>
      <c r="DW40" s="1"/>
      <c r="EJ40" s="1"/>
      <c r="EK40" s="17"/>
      <c r="EL40" s="17"/>
      <c r="EM40" s="17"/>
      <c r="EN40" s="17"/>
      <c r="EO40" s="17"/>
      <c r="EP40" s="17"/>
      <c r="EQ40" s="17"/>
      <c r="ER40" s="17"/>
      <c r="ES40" s="17"/>
      <c r="EU40" s="17"/>
      <c r="EW40" s="1"/>
      <c r="EX40" s="225"/>
      <c r="EY40" s="225"/>
      <c r="EZ40" s="225"/>
      <c r="FA40" s="225"/>
      <c r="FB40" s="225"/>
      <c r="FC40" s="225"/>
      <c r="FD40" s="225"/>
      <c r="FE40" s="225"/>
      <c r="FF40" s="225"/>
      <c r="FG40" s="10"/>
      <c r="FH40" s="225"/>
      <c r="FI40" s="10"/>
      <c r="FJ40" s="1"/>
      <c r="FK40" s="225"/>
      <c r="FL40" s="225"/>
      <c r="FM40" s="191"/>
      <c r="FN40" s="191"/>
      <c r="FO40" s="225"/>
      <c r="FP40" s="225"/>
      <c r="FQ40" s="151"/>
      <c r="FR40" s="151"/>
      <c r="FS40" s="10"/>
      <c r="FT40" s="191"/>
      <c r="FU40" s="225"/>
      <c r="FV40" s="151"/>
    </row>
    <row r="41" spans="1:178" ht="16" thickBot="1" x14ac:dyDescent="0.25">
      <c r="A41" s="27" t="s">
        <v>68</v>
      </c>
      <c r="B41" t="s">
        <v>140</v>
      </c>
      <c r="C41" s="1"/>
      <c r="D41" s="17">
        <v>1</v>
      </c>
      <c r="E41" s="17">
        <v>1</v>
      </c>
      <c r="F41" s="162">
        <v>1</v>
      </c>
      <c r="G41" s="89">
        <v>1</v>
      </c>
      <c r="H41" s="244"/>
      <c r="I41" s="87">
        <v>2</v>
      </c>
      <c r="J41" s="17"/>
      <c r="K41" s="17"/>
      <c r="L41" s="17"/>
      <c r="M41" s="17"/>
      <c r="N41" s="17"/>
      <c r="O41" s="17"/>
      <c r="P41" s="1"/>
      <c r="Q41" s="48">
        <v>390.62</v>
      </c>
      <c r="R41" s="49"/>
      <c r="S41" s="49">
        <v>0</v>
      </c>
      <c r="T41" s="50">
        <f t="shared" si="0"/>
        <v>390.62</v>
      </c>
      <c r="U41" s="48">
        <v>407.45</v>
      </c>
      <c r="V41" s="49"/>
      <c r="W41" s="49">
        <v>0</v>
      </c>
      <c r="X41" s="50">
        <f t="shared" si="1"/>
        <v>407.45</v>
      </c>
      <c r="Y41" s="48">
        <v>503.04</v>
      </c>
      <c r="Z41" s="49"/>
      <c r="AA41" s="49">
        <v>0</v>
      </c>
      <c r="AB41" s="50">
        <f t="shared" si="2"/>
        <v>503.04</v>
      </c>
      <c r="AC41" s="167"/>
      <c r="AD41" s="166">
        <v>859.28</v>
      </c>
      <c r="AE41" s="166">
        <v>0</v>
      </c>
      <c r="AF41" s="151">
        <f t="shared" si="3"/>
        <v>859.28</v>
      </c>
      <c r="AG41" s="166"/>
      <c r="AH41" s="166"/>
      <c r="AI41" s="166">
        <v>0</v>
      </c>
      <c r="AJ41" s="151">
        <f t="shared" si="4"/>
        <v>0</v>
      </c>
      <c r="AK41" s="192">
        <v>220.06</v>
      </c>
      <c r="AL41" s="10"/>
      <c r="AM41" s="10">
        <v>0</v>
      </c>
      <c r="AN41" s="151">
        <f t="shared" si="5"/>
        <v>220.06</v>
      </c>
      <c r="AO41" s="191"/>
      <c r="AP41" s="10"/>
      <c r="AQ41" s="10"/>
      <c r="AR41" s="151"/>
      <c r="AS41" s="191"/>
      <c r="AT41" s="10"/>
      <c r="AU41" s="10"/>
      <c r="AV41" s="151"/>
      <c r="AW41" s="191"/>
      <c r="AX41" s="10"/>
      <c r="AY41" s="10"/>
      <c r="AZ41" s="151"/>
      <c r="BA41" s="191"/>
      <c r="BB41" s="10"/>
      <c r="BC41" s="10"/>
      <c r="BD41" s="151"/>
      <c r="BE41" s="191"/>
      <c r="BF41" s="10"/>
      <c r="BG41" s="10"/>
      <c r="BH41" s="151"/>
      <c r="BI41" s="191"/>
      <c r="BJ41" s="10"/>
      <c r="BK41" s="10"/>
      <c r="BL41" s="151"/>
      <c r="BM41" s="1"/>
      <c r="BN41" s="48"/>
      <c r="BO41" s="56"/>
      <c r="BP41" s="56"/>
      <c r="BQ41" s="50"/>
      <c r="BR41" s="48"/>
      <c r="BS41" s="56"/>
      <c r="BT41" s="56"/>
      <c r="BU41" s="50"/>
      <c r="BV41" s="48"/>
      <c r="BW41" s="56"/>
      <c r="BX41" s="56"/>
      <c r="BY41" s="50"/>
      <c r="BZ41" s="48"/>
      <c r="CA41" s="49"/>
      <c r="CB41" s="49"/>
      <c r="CC41" s="50"/>
      <c r="CD41" s="48"/>
      <c r="CE41" s="49"/>
      <c r="CF41" s="49"/>
      <c r="CG41" s="50"/>
      <c r="CK41" s="12"/>
      <c r="CL41" s="15"/>
      <c r="CO41" s="12"/>
      <c r="CP41" s="15"/>
      <c r="CS41" s="12"/>
      <c r="CT41" s="15"/>
      <c r="CW41" s="12"/>
      <c r="CX41" s="15"/>
      <c r="DA41" s="12"/>
      <c r="DF41" s="15"/>
      <c r="DI41" s="12"/>
      <c r="DJ41" s="1"/>
      <c r="DK41" s="225"/>
      <c r="DL41" s="225"/>
      <c r="DM41" s="225"/>
      <c r="DN41" s="225"/>
      <c r="DO41" s="225"/>
      <c r="DP41" s="225"/>
      <c r="DQ41" s="225"/>
      <c r="DR41" s="225"/>
      <c r="DS41" s="10"/>
      <c r="DT41" s="225"/>
      <c r="DU41" s="10"/>
      <c r="DV41" s="225"/>
      <c r="DW41" s="1"/>
      <c r="EJ41" s="1"/>
      <c r="EK41" s="17"/>
      <c r="EL41" s="17"/>
      <c r="EM41" s="17"/>
      <c r="EN41" s="17"/>
      <c r="EO41" s="17"/>
      <c r="EP41" s="17"/>
      <c r="EQ41" s="17"/>
      <c r="ER41" s="17"/>
      <c r="ES41" s="17"/>
      <c r="EU41" s="17"/>
      <c r="EW41" s="1"/>
      <c r="EX41" s="225"/>
      <c r="EY41" s="225"/>
      <c r="EZ41" s="225"/>
      <c r="FA41" s="225"/>
      <c r="FB41" s="225"/>
      <c r="FC41" s="225"/>
      <c r="FD41" s="225"/>
      <c r="FE41" s="225"/>
      <c r="FF41" s="225"/>
      <c r="FG41" s="10"/>
      <c r="FH41" s="225"/>
      <c r="FI41" s="10"/>
      <c r="FJ41" s="1"/>
      <c r="FK41" s="225"/>
      <c r="FL41" s="225"/>
      <c r="FM41" s="191"/>
      <c r="FN41" s="191"/>
      <c r="FO41" s="225"/>
      <c r="FP41" s="225"/>
      <c r="FQ41" s="151"/>
      <c r="FR41" s="151"/>
      <c r="FS41" s="10"/>
      <c r="FT41" s="191"/>
      <c r="FU41" s="225"/>
      <c r="FV41" s="151"/>
    </row>
    <row r="42" spans="1:178" ht="16" thickBot="1" x14ac:dyDescent="0.25">
      <c r="A42" s="27" t="s">
        <v>69</v>
      </c>
      <c r="B42" t="s">
        <v>140</v>
      </c>
      <c r="C42" s="1"/>
      <c r="D42" s="17"/>
      <c r="E42" s="17"/>
      <c r="F42" s="162"/>
      <c r="G42" s="89"/>
      <c r="H42" s="244"/>
      <c r="I42" s="88"/>
      <c r="J42" s="17"/>
      <c r="K42" s="17"/>
      <c r="L42" s="17"/>
      <c r="M42" s="17"/>
      <c r="N42" s="17"/>
      <c r="O42" s="17"/>
      <c r="P42" s="1"/>
      <c r="Q42" s="48"/>
      <c r="R42" s="49"/>
      <c r="S42" s="49">
        <v>0</v>
      </c>
      <c r="T42" s="50">
        <f t="shared" si="0"/>
        <v>0</v>
      </c>
      <c r="U42" s="48"/>
      <c r="V42" s="49"/>
      <c r="W42" s="49">
        <v>0</v>
      </c>
      <c r="X42" s="50">
        <f t="shared" si="1"/>
        <v>0</v>
      </c>
      <c r="Y42" s="48"/>
      <c r="Z42" s="49"/>
      <c r="AA42" s="49"/>
      <c r="AB42" s="50">
        <f t="shared" si="2"/>
        <v>0</v>
      </c>
      <c r="AC42" s="167"/>
      <c r="AD42" s="166"/>
      <c r="AE42" s="166">
        <v>0</v>
      </c>
      <c r="AF42" s="151">
        <f t="shared" si="3"/>
        <v>0</v>
      </c>
      <c r="AG42" s="166"/>
      <c r="AH42" s="166"/>
      <c r="AI42" s="166">
        <v>0</v>
      </c>
      <c r="AJ42" s="151">
        <f t="shared" si="4"/>
        <v>0</v>
      </c>
      <c r="AK42" s="192"/>
      <c r="AL42" s="10"/>
      <c r="AM42" s="10">
        <v>0</v>
      </c>
      <c r="AN42" s="151">
        <f t="shared" si="5"/>
        <v>0</v>
      </c>
      <c r="AO42" s="191"/>
      <c r="AP42" s="10"/>
      <c r="AQ42" s="10"/>
      <c r="AR42" s="151"/>
      <c r="AS42" s="191"/>
      <c r="AT42" s="10"/>
      <c r="AU42" s="10"/>
      <c r="AV42" s="151"/>
      <c r="AW42" s="191"/>
      <c r="AX42" s="10"/>
      <c r="AY42" s="10"/>
      <c r="AZ42" s="151"/>
      <c r="BA42" s="191"/>
      <c r="BB42" s="10"/>
      <c r="BC42" s="10"/>
      <c r="BD42" s="151"/>
      <c r="BE42" s="191"/>
      <c r="BF42" s="10"/>
      <c r="BG42" s="10"/>
      <c r="BH42" s="151"/>
      <c r="BI42" s="191"/>
      <c r="BJ42" s="10"/>
      <c r="BK42" s="10"/>
      <c r="BL42" s="151"/>
      <c r="BM42" s="1"/>
      <c r="BN42" s="48"/>
      <c r="BO42" s="56"/>
      <c r="BP42" s="56"/>
      <c r="BQ42" s="50"/>
      <c r="BR42" s="48"/>
      <c r="BS42" s="56"/>
      <c r="BT42" s="56"/>
      <c r="BU42" s="50"/>
      <c r="BV42" s="48"/>
      <c r="BW42" s="56"/>
      <c r="BX42" s="56"/>
      <c r="BY42" s="50"/>
      <c r="BZ42" s="48"/>
      <c r="CA42" s="49"/>
      <c r="CB42" s="49"/>
      <c r="CC42" s="50"/>
      <c r="CD42" s="48"/>
      <c r="CE42" s="49"/>
      <c r="CF42" s="49"/>
      <c r="CG42" s="50"/>
      <c r="CK42" s="12"/>
      <c r="CL42" s="15"/>
      <c r="CO42" s="12"/>
      <c r="CP42" s="15"/>
      <c r="CS42" s="12"/>
      <c r="CT42" s="15"/>
      <c r="CW42" s="12"/>
      <c r="CX42" s="15"/>
      <c r="DA42" s="12"/>
      <c r="DF42" s="15"/>
      <c r="DI42" s="12"/>
      <c r="DJ42" s="1"/>
      <c r="DK42" s="225"/>
      <c r="DL42" s="225"/>
      <c r="DM42" s="225"/>
      <c r="DN42" s="225"/>
      <c r="DO42" s="225"/>
      <c r="DP42" s="225"/>
      <c r="DQ42" s="225"/>
      <c r="DR42" s="225"/>
      <c r="DS42" s="10"/>
      <c r="DT42" s="225"/>
      <c r="DU42" s="10"/>
      <c r="DV42" s="225"/>
      <c r="DW42" s="1"/>
      <c r="EJ42" s="1"/>
      <c r="EK42" s="17"/>
      <c r="EL42" s="17"/>
      <c r="EM42" s="17"/>
      <c r="EN42" s="17"/>
      <c r="EO42" s="17"/>
      <c r="EP42" s="17"/>
      <c r="EQ42" s="17"/>
      <c r="ER42" s="17"/>
      <c r="ES42" s="17"/>
      <c r="EU42" s="17"/>
      <c r="EW42" s="1"/>
      <c r="EX42" s="225"/>
      <c r="EY42" s="225"/>
      <c r="EZ42" s="225"/>
      <c r="FA42" s="225"/>
      <c r="FB42" s="225"/>
      <c r="FC42" s="225"/>
      <c r="FD42" s="225"/>
      <c r="FE42" s="225"/>
      <c r="FF42" s="225"/>
      <c r="FG42" s="10"/>
      <c r="FH42" s="225"/>
      <c r="FI42" s="10"/>
      <c r="FJ42" s="1"/>
      <c r="FK42" s="225"/>
      <c r="FL42" s="225"/>
      <c r="FM42" s="191"/>
      <c r="FN42" s="191"/>
      <c r="FO42" s="225"/>
      <c r="FP42" s="225"/>
      <c r="FQ42" s="151"/>
      <c r="FR42" s="151"/>
      <c r="FS42" s="10"/>
      <c r="FT42" s="191"/>
      <c r="FU42" s="225"/>
      <c r="FV42" s="151"/>
    </row>
    <row r="43" spans="1:178" ht="16" thickBot="1" x14ac:dyDescent="0.25">
      <c r="A43" s="27" t="s">
        <v>70</v>
      </c>
      <c r="B43" t="s">
        <v>140</v>
      </c>
      <c r="C43" s="1"/>
      <c r="D43" s="17">
        <v>12</v>
      </c>
      <c r="E43" s="17">
        <v>17</v>
      </c>
      <c r="F43" s="161">
        <v>16</v>
      </c>
      <c r="G43" s="87">
        <v>13</v>
      </c>
      <c r="H43" s="243">
        <v>19</v>
      </c>
      <c r="I43" s="87">
        <v>6</v>
      </c>
      <c r="J43" s="17"/>
      <c r="K43" s="17"/>
      <c r="L43" s="17"/>
      <c r="M43" s="17"/>
      <c r="N43" s="17"/>
      <c r="O43" s="17"/>
      <c r="P43" s="1"/>
      <c r="Q43" s="48">
        <v>1029.67</v>
      </c>
      <c r="R43" s="49">
        <v>769.62</v>
      </c>
      <c r="S43" s="49">
        <v>1321.13</v>
      </c>
      <c r="T43" s="50">
        <f t="shared" si="0"/>
        <v>3120.42</v>
      </c>
      <c r="U43" s="48">
        <v>2995.69</v>
      </c>
      <c r="V43" s="49">
        <v>619.92999999999995</v>
      </c>
      <c r="W43" s="49">
        <v>2366.87</v>
      </c>
      <c r="X43" s="50">
        <f t="shared" si="1"/>
        <v>5982.49</v>
      </c>
      <c r="Y43" s="48">
        <v>3408.45</v>
      </c>
      <c r="Z43" s="49">
        <v>2074.5300000000002</v>
      </c>
      <c r="AA43" s="49">
        <v>1315.56</v>
      </c>
      <c r="AB43" s="50">
        <f t="shared" si="2"/>
        <v>6798.5399999999991</v>
      </c>
      <c r="AC43" s="164">
        <v>1145.1500000000001</v>
      </c>
      <c r="AD43" s="165">
        <v>4308.6899999999996</v>
      </c>
      <c r="AE43" s="165">
        <v>1736.8600000000001</v>
      </c>
      <c r="AF43" s="151">
        <f t="shared" si="3"/>
        <v>7190.7000000000007</v>
      </c>
      <c r="AG43" s="165">
        <v>973.48</v>
      </c>
      <c r="AH43" s="165">
        <v>1932.36</v>
      </c>
      <c r="AI43" s="165">
        <v>2286.7400000000002</v>
      </c>
      <c r="AJ43" s="151">
        <f t="shared" si="4"/>
        <v>5192.58</v>
      </c>
      <c r="AK43" s="192">
        <v>109.67</v>
      </c>
      <c r="AL43" s="10">
        <v>473.84</v>
      </c>
      <c r="AM43" s="10">
        <v>754.07</v>
      </c>
      <c r="AN43" s="151">
        <f t="shared" si="5"/>
        <v>1337.58</v>
      </c>
      <c r="AO43" s="191"/>
      <c r="AP43" s="10"/>
      <c r="AQ43" s="10"/>
      <c r="AR43" s="151"/>
      <c r="AS43" s="191"/>
      <c r="AT43" s="10"/>
      <c r="AU43" s="10"/>
      <c r="AV43" s="151"/>
      <c r="AW43" s="191"/>
      <c r="AX43" s="10"/>
      <c r="AY43" s="10"/>
      <c r="AZ43" s="151"/>
      <c r="BA43" s="191"/>
      <c r="BB43" s="10"/>
      <c r="BC43" s="10"/>
      <c r="BD43" s="151"/>
      <c r="BE43" s="191"/>
      <c r="BF43" s="10"/>
      <c r="BG43" s="10"/>
      <c r="BH43" s="151"/>
      <c r="BI43" s="191"/>
      <c r="BJ43" s="10"/>
      <c r="BK43" s="10"/>
      <c r="BL43" s="151"/>
      <c r="BM43" s="1"/>
      <c r="BN43" s="48"/>
      <c r="BO43" s="56"/>
      <c r="BP43" s="56"/>
      <c r="BQ43" s="50"/>
      <c r="BR43" s="48"/>
      <c r="BS43" s="56"/>
      <c r="BT43" s="56"/>
      <c r="BU43" s="50"/>
      <c r="BV43" s="48"/>
      <c r="BW43" s="56"/>
      <c r="BX43" s="56"/>
      <c r="BY43" s="50"/>
      <c r="BZ43" s="48"/>
      <c r="CA43" s="49"/>
      <c r="CB43" s="49"/>
      <c r="CC43" s="50"/>
      <c r="CD43" s="48"/>
      <c r="CE43" s="49"/>
      <c r="CF43" s="49"/>
      <c r="CG43" s="50"/>
      <c r="CK43" s="12"/>
      <c r="CL43" s="15"/>
      <c r="CO43" s="12"/>
      <c r="CP43" s="15"/>
      <c r="CS43" s="12"/>
      <c r="CT43" s="15"/>
      <c r="CW43" s="12"/>
      <c r="CX43" s="15"/>
      <c r="DA43" s="12"/>
      <c r="DF43" s="15"/>
      <c r="DI43" s="12"/>
      <c r="DJ43" s="1"/>
      <c r="DK43" s="225"/>
      <c r="DL43" s="225"/>
      <c r="DM43" s="225">
        <v>169.93</v>
      </c>
      <c r="DN43" s="225"/>
      <c r="DO43" s="225"/>
      <c r="DP43" s="225">
        <v>3043.65</v>
      </c>
      <c r="DQ43" s="225"/>
      <c r="DR43" s="225"/>
      <c r="DS43" s="10"/>
      <c r="DT43" s="225"/>
      <c r="DU43" s="10"/>
      <c r="DV43" s="225"/>
      <c r="DW43" s="1"/>
      <c r="EJ43" s="1"/>
      <c r="EK43" s="17"/>
      <c r="EL43" s="17"/>
      <c r="EM43" s="17">
        <v>1</v>
      </c>
      <c r="EN43" s="17"/>
      <c r="EO43" s="17"/>
      <c r="EP43" s="17">
        <v>3</v>
      </c>
      <c r="EQ43" s="17"/>
      <c r="ER43" s="17"/>
      <c r="ES43" s="17"/>
      <c r="EU43" s="17"/>
      <c r="EW43" s="1"/>
      <c r="EX43" s="225"/>
      <c r="EY43" s="225"/>
      <c r="EZ43" s="225">
        <v>169.93</v>
      </c>
      <c r="FA43" s="225"/>
      <c r="FB43" s="225"/>
      <c r="FC43" s="225">
        <v>3043.65</v>
      </c>
      <c r="FD43" s="225"/>
      <c r="FE43" s="225"/>
      <c r="FF43" s="225"/>
      <c r="FG43" s="10"/>
      <c r="FH43" s="225"/>
      <c r="FI43" s="10"/>
      <c r="FJ43" s="1"/>
      <c r="FK43" s="225"/>
      <c r="FL43" s="225"/>
      <c r="FM43" s="191"/>
      <c r="FN43" s="191">
        <v>-169.93</v>
      </c>
      <c r="FO43" s="225"/>
      <c r="FP43" s="225"/>
      <c r="FQ43" s="151"/>
      <c r="FR43" s="151"/>
      <c r="FS43" s="10"/>
      <c r="FT43" s="191"/>
      <c r="FU43" s="225"/>
      <c r="FV43" s="151"/>
    </row>
    <row r="44" spans="1:178" ht="16" thickBot="1" x14ac:dyDescent="0.25">
      <c r="A44" s="27" t="s">
        <v>71</v>
      </c>
      <c r="B44" t="s">
        <v>140</v>
      </c>
      <c r="C44" s="1"/>
      <c r="D44" s="17">
        <v>2</v>
      </c>
      <c r="E44" s="17">
        <v>4</v>
      </c>
      <c r="F44" s="161">
        <v>5</v>
      </c>
      <c r="G44" s="87">
        <v>1</v>
      </c>
      <c r="H44" s="243">
        <v>3</v>
      </c>
      <c r="I44" s="87">
        <v>1</v>
      </c>
      <c r="J44" s="17"/>
      <c r="K44" s="17"/>
      <c r="L44" s="17"/>
      <c r="M44" s="17"/>
      <c r="N44" s="17"/>
      <c r="O44" s="17"/>
      <c r="P44" s="1"/>
      <c r="Q44" s="48">
        <v>1105.05</v>
      </c>
      <c r="R44" s="49"/>
      <c r="S44" s="49">
        <v>0</v>
      </c>
      <c r="T44" s="50">
        <f t="shared" si="0"/>
        <v>1105.05</v>
      </c>
      <c r="U44" s="48">
        <v>931.65</v>
      </c>
      <c r="V44" s="49"/>
      <c r="W44" s="49">
        <v>0</v>
      </c>
      <c r="X44" s="50">
        <f t="shared" si="1"/>
        <v>931.65</v>
      </c>
      <c r="Y44" s="48">
        <v>11590.08</v>
      </c>
      <c r="Z44" s="49">
        <v>363.85</v>
      </c>
      <c r="AA44" s="49">
        <v>0</v>
      </c>
      <c r="AB44" s="50">
        <f t="shared" si="2"/>
        <v>11953.93</v>
      </c>
      <c r="AC44" s="164">
        <v>31.23</v>
      </c>
      <c r="AD44" s="166"/>
      <c r="AE44" s="165">
        <v>0</v>
      </c>
      <c r="AF44" s="151">
        <f t="shared" si="3"/>
        <v>31.23</v>
      </c>
      <c r="AG44" s="165">
        <v>1385.79</v>
      </c>
      <c r="AH44" s="165"/>
      <c r="AI44" s="165">
        <v>0</v>
      </c>
      <c r="AJ44" s="151">
        <f t="shared" si="4"/>
        <v>1385.79</v>
      </c>
      <c r="AK44" s="192"/>
      <c r="AL44" s="10">
        <v>1027.4000000000001</v>
      </c>
      <c r="AM44" s="10">
        <v>0</v>
      </c>
      <c r="AN44" s="151">
        <f t="shared" si="5"/>
        <v>1027.4000000000001</v>
      </c>
      <c r="AO44" s="191"/>
      <c r="AP44" s="10"/>
      <c r="AQ44" s="10"/>
      <c r="AR44" s="151"/>
      <c r="AS44" s="191"/>
      <c r="AT44" s="10"/>
      <c r="AU44" s="10"/>
      <c r="AV44" s="151"/>
      <c r="AW44" s="191"/>
      <c r="AX44" s="10"/>
      <c r="AY44" s="10"/>
      <c r="AZ44" s="151"/>
      <c r="BA44" s="191"/>
      <c r="BB44" s="10"/>
      <c r="BC44" s="10"/>
      <c r="BD44" s="151"/>
      <c r="BE44" s="191"/>
      <c r="BF44" s="10"/>
      <c r="BG44" s="10"/>
      <c r="BH44" s="151"/>
      <c r="BI44" s="191"/>
      <c r="BJ44" s="10"/>
      <c r="BK44" s="10"/>
      <c r="BL44" s="151"/>
      <c r="BM44" s="1"/>
      <c r="BN44" s="48"/>
      <c r="BO44" s="56"/>
      <c r="BP44" s="56"/>
      <c r="BQ44" s="50"/>
      <c r="BR44" s="48"/>
      <c r="BS44" s="56"/>
      <c r="BT44" s="56"/>
      <c r="BU44" s="50"/>
      <c r="BV44" s="48"/>
      <c r="BW44" s="56"/>
      <c r="BX44" s="56"/>
      <c r="BY44" s="50"/>
      <c r="BZ44" s="48"/>
      <c r="CA44" s="49"/>
      <c r="CB44" s="49"/>
      <c r="CC44" s="50"/>
      <c r="CD44" s="48"/>
      <c r="CE44" s="49"/>
      <c r="CF44" s="49"/>
      <c r="CG44" s="50"/>
      <c r="CK44" s="12"/>
      <c r="CL44" s="15"/>
      <c r="CO44" s="12"/>
      <c r="CP44" s="15"/>
      <c r="CS44" s="12"/>
      <c r="CT44" s="15"/>
      <c r="CW44" s="12"/>
      <c r="CX44" s="15"/>
      <c r="DA44" s="12"/>
      <c r="DF44" s="15"/>
      <c r="DI44" s="12"/>
      <c r="DJ44" s="1"/>
      <c r="DK44" s="225"/>
      <c r="DL44" s="225"/>
      <c r="DM44" s="225"/>
      <c r="DN44" s="225"/>
      <c r="DO44" s="225"/>
      <c r="DP44" s="225"/>
      <c r="DQ44" s="225"/>
      <c r="DR44" s="225"/>
      <c r="DS44" s="10"/>
      <c r="DT44" s="225"/>
      <c r="DU44" s="10"/>
      <c r="DV44" s="225"/>
      <c r="DW44" s="1"/>
      <c r="EJ44" s="1"/>
      <c r="EK44" s="17"/>
      <c r="EL44" s="17"/>
      <c r="EM44" s="17"/>
      <c r="EN44" s="17"/>
      <c r="EO44" s="17"/>
      <c r="EP44" s="17"/>
      <c r="EQ44" s="17"/>
      <c r="ER44" s="17"/>
      <c r="ES44" s="17"/>
      <c r="EU44" s="17"/>
      <c r="EW44" s="1"/>
      <c r="EX44" s="225"/>
      <c r="EY44" s="225"/>
      <c r="EZ44" s="225"/>
      <c r="FA44" s="225"/>
      <c r="FB44" s="225"/>
      <c r="FC44" s="225"/>
      <c r="FD44" s="225"/>
      <c r="FE44" s="225"/>
      <c r="FF44" s="225"/>
      <c r="FG44" s="10"/>
      <c r="FH44" s="225"/>
      <c r="FI44" s="10"/>
      <c r="FJ44" s="1"/>
      <c r="FK44" s="225"/>
      <c r="FL44" s="225"/>
      <c r="FM44" s="191"/>
      <c r="FN44" s="191"/>
      <c r="FO44" s="225"/>
      <c r="FP44" s="225"/>
      <c r="FQ44" s="151"/>
      <c r="FR44" s="151"/>
      <c r="FS44" s="10"/>
      <c r="FT44" s="191"/>
      <c r="FU44" s="225"/>
      <c r="FV44" s="151"/>
    </row>
    <row r="45" spans="1:178" ht="16" thickBot="1" x14ac:dyDescent="0.25">
      <c r="A45" s="27" t="s">
        <v>72</v>
      </c>
      <c r="B45" t="s">
        <v>140</v>
      </c>
      <c r="C45" s="1"/>
      <c r="D45" s="17">
        <v>5</v>
      </c>
      <c r="E45" s="17">
        <v>7</v>
      </c>
      <c r="F45" s="161">
        <v>8</v>
      </c>
      <c r="G45" s="87">
        <v>6</v>
      </c>
      <c r="H45" s="243">
        <v>7</v>
      </c>
      <c r="I45" s="87">
        <v>8</v>
      </c>
      <c r="J45" s="17"/>
      <c r="K45" s="17"/>
      <c r="L45" s="17"/>
      <c r="M45" s="17"/>
      <c r="N45" s="17"/>
      <c r="O45" s="17"/>
      <c r="P45" s="1"/>
      <c r="Q45" s="48">
        <v>282.98</v>
      </c>
      <c r="R45" s="49"/>
      <c r="S45" s="49">
        <v>431.44000000000005</v>
      </c>
      <c r="T45" s="50">
        <f t="shared" si="0"/>
        <v>714.42000000000007</v>
      </c>
      <c r="U45" s="48">
        <v>1398.28</v>
      </c>
      <c r="V45" s="49"/>
      <c r="W45" s="49">
        <v>479.37</v>
      </c>
      <c r="X45" s="50">
        <f t="shared" si="1"/>
        <v>1877.65</v>
      </c>
      <c r="Y45" s="48">
        <v>1454.38</v>
      </c>
      <c r="Z45" s="49">
        <v>3153.95</v>
      </c>
      <c r="AA45" s="49">
        <v>15713.99</v>
      </c>
      <c r="AB45" s="50">
        <f t="shared" si="2"/>
        <v>20322.32</v>
      </c>
      <c r="AC45" s="164">
        <v>2378.85</v>
      </c>
      <c r="AD45" s="165">
        <v>294.36</v>
      </c>
      <c r="AE45" s="165">
        <v>22534.68</v>
      </c>
      <c r="AF45" s="151">
        <f t="shared" si="3"/>
        <v>25207.89</v>
      </c>
      <c r="AG45" s="165">
        <v>528.55999999999995</v>
      </c>
      <c r="AH45" s="165">
        <v>385.78</v>
      </c>
      <c r="AI45" s="165">
        <v>22534.68</v>
      </c>
      <c r="AJ45" s="151">
        <f t="shared" si="4"/>
        <v>23449.02</v>
      </c>
      <c r="AK45" s="192">
        <v>1289.1199999999999</v>
      </c>
      <c r="AL45" s="10">
        <v>104</v>
      </c>
      <c r="AM45" s="10">
        <v>398.85</v>
      </c>
      <c r="AN45" s="151">
        <f t="shared" si="5"/>
        <v>1791.9699999999998</v>
      </c>
      <c r="AO45" s="191"/>
      <c r="AP45" s="10"/>
      <c r="AQ45" s="10"/>
      <c r="AR45" s="151"/>
      <c r="AS45" s="191"/>
      <c r="AT45" s="10"/>
      <c r="AU45" s="10"/>
      <c r="AV45" s="151"/>
      <c r="AW45" s="191"/>
      <c r="AX45" s="10"/>
      <c r="AY45" s="10"/>
      <c r="AZ45" s="151"/>
      <c r="BA45" s="191"/>
      <c r="BB45" s="10"/>
      <c r="BC45" s="10"/>
      <c r="BD45" s="151"/>
      <c r="BE45" s="191"/>
      <c r="BF45" s="10"/>
      <c r="BG45" s="10"/>
      <c r="BH45" s="151"/>
      <c r="BI45" s="191"/>
      <c r="BJ45" s="10"/>
      <c r="BK45" s="10"/>
      <c r="BL45" s="151"/>
      <c r="BM45" s="1"/>
      <c r="BN45" s="48"/>
      <c r="BO45" s="56"/>
      <c r="BP45" s="56"/>
      <c r="BQ45" s="50"/>
      <c r="BR45" s="48"/>
      <c r="BS45" s="56"/>
      <c r="BT45" s="56"/>
      <c r="BU45" s="50"/>
      <c r="BV45" s="48"/>
      <c r="BW45" s="56"/>
      <c r="BX45" s="56"/>
      <c r="BY45" s="50"/>
      <c r="BZ45" s="48"/>
      <c r="CA45" s="49"/>
      <c r="CB45" s="49"/>
      <c r="CC45" s="50"/>
      <c r="CD45" s="48"/>
      <c r="CE45" s="49"/>
      <c r="CF45" s="49"/>
      <c r="CG45" s="50"/>
      <c r="CK45" s="12"/>
      <c r="CL45" s="15"/>
      <c r="CO45" s="12"/>
      <c r="CP45" s="15"/>
      <c r="CS45" s="12"/>
      <c r="CT45" s="15"/>
      <c r="CW45" s="12"/>
      <c r="CX45" s="15"/>
      <c r="DA45" s="12"/>
      <c r="DF45" s="15"/>
      <c r="DI45" s="12"/>
      <c r="DJ45" s="1"/>
      <c r="DK45" s="225"/>
      <c r="DL45" s="225"/>
      <c r="DM45" s="225">
        <v>318.29000000000002</v>
      </c>
      <c r="DN45" s="225"/>
      <c r="DO45" s="225"/>
      <c r="DP45" s="225">
        <v>22534.68</v>
      </c>
      <c r="DQ45" s="225"/>
      <c r="DR45" s="225"/>
      <c r="DS45" s="10"/>
      <c r="DT45" s="225"/>
      <c r="DU45" s="10"/>
      <c r="DV45" s="225"/>
      <c r="DW45" s="1"/>
      <c r="EJ45" s="1"/>
      <c r="EK45" s="17"/>
      <c r="EL45" s="17"/>
      <c r="EM45" s="17">
        <v>1</v>
      </c>
      <c r="EN45" s="17"/>
      <c r="EO45" s="17"/>
      <c r="EP45" s="17">
        <v>1</v>
      </c>
      <c r="EQ45" s="17"/>
      <c r="ER45" s="17"/>
      <c r="ES45" s="17"/>
      <c r="EU45" s="17"/>
      <c r="EW45" s="1"/>
      <c r="EX45" s="225"/>
      <c r="EY45" s="225"/>
      <c r="EZ45" s="225">
        <v>318.29000000000002</v>
      </c>
      <c r="FA45" s="225"/>
      <c r="FB45" s="225"/>
      <c r="FC45" s="225">
        <v>22534.68</v>
      </c>
      <c r="FD45" s="225"/>
      <c r="FE45" s="225"/>
      <c r="FF45" s="225"/>
      <c r="FG45" s="10"/>
      <c r="FH45" s="225"/>
      <c r="FI45" s="10"/>
      <c r="FJ45" s="1"/>
      <c r="FK45" s="225"/>
      <c r="FL45" s="225"/>
      <c r="FM45" s="191"/>
      <c r="FN45" s="191"/>
      <c r="FO45" s="225"/>
      <c r="FP45" s="225"/>
      <c r="FQ45" s="151"/>
      <c r="FR45" s="151"/>
      <c r="FS45" s="10"/>
      <c r="FT45" s="191"/>
      <c r="FU45" s="225"/>
      <c r="FV45" s="151"/>
    </row>
    <row r="46" spans="1:178" ht="16" thickBot="1" x14ac:dyDescent="0.25">
      <c r="A46" s="27" t="s">
        <v>73</v>
      </c>
      <c r="B46" t="s">
        <v>140</v>
      </c>
      <c r="C46" s="1"/>
      <c r="D46" s="17">
        <v>2</v>
      </c>
      <c r="E46" s="17">
        <v>4</v>
      </c>
      <c r="F46" s="162">
        <v>1</v>
      </c>
      <c r="G46" s="87">
        <v>2</v>
      </c>
      <c r="H46" s="243">
        <v>1</v>
      </c>
      <c r="I46" s="87">
        <v>1</v>
      </c>
      <c r="J46" s="17"/>
      <c r="K46" s="17"/>
      <c r="L46" s="17"/>
      <c r="M46" s="17"/>
      <c r="N46" s="17"/>
      <c r="O46" s="17"/>
      <c r="P46" s="1"/>
      <c r="Q46" s="48">
        <v>7408.89</v>
      </c>
      <c r="R46" s="49"/>
      <c r="S46" s="49">
        <v>0</v>
      </c>
      <c r="T46" s="50">
        <f t="shared" si="0"/>
        <v>7408.89</v>
      </c>
      <c r="U46" s="48">
        <v>7463.85</v>
      </c>
      <c r="V46" s="49"/>
      <c r="W46" s="49">
        <v>0</v>
      </c>
      <c r="X46" s="50">
        <f t="shared" si="1"/>
        <v>7463.85</v>
      </c>
      <c r="Y46" s="48">
        <v>100</v>
      </c>
      <c r="Z46" s="49"/>
      <c r="AA46" s="49">
        <v>0</v>
      </c>
      <c r="AB46" s="50">
        <f t="shared" si="2"/>
        <v>100</v>
      </c>
      <c r="AC46" s="164">
        <v>567.09</v>
      </c>
      <c r="AD46" s="166">
        <v>110.01</v>
      </c>
      <c r="AE46" s="165">
        <v>0</v>
      </c>
      <c r="AF46" s="151">
        <f t="shared" si="3"/>
        <v>677.1</v>
      </c>
      <c r="AG46" s="165">
        <v>216.19</v>
      </c>
      <c r="AH46" s="166"/>
      <c r="AI46" s="165">
        <v>0</v>
      </c>
      <c r="AJ46" s="151">
        <f t="shared" si="4"/>
        <v>216.19</v>
      </c>
      <c r="AK46" s="192">
        <v>10</v>
      </c>
      <c r="AL46" s="10"/>
      <c r="AM46" s="10">
        <v>0</v>
      </c>
      <c r="AN46" s="151">
        <f t="shared" si="5"/>
        <v>10</v>
      </c>
      <c r="AO46" s="191"/>
      <c r="AP46" s="10"/>
      <c r="AQ46" s="10"/>
      <c r="AR46" s="151"/>
      <c r="AS46" s="191"/>
      <c r="AT46" s="10"/>
      <c r="AU46" s="10"/>
      <c r="AV46" s="151"/>
      <c r="AW46" s="191"/>
      <c r="AX46" s="10"/>
      <c r="AY46" s="10"/>
      <c r="AZ46" s="151"/>
      <c r="BA46" s="191"/>
      <c r="BB46" s="10"/>
      <c r="BC46" s="10"/>
      <c r="BD46" s="151"/>
      <c r="BE46" s="191"/>
      <c r="BF46" s="10"/>
      <c r="BG46" s="10"/>
      <c r="BH46" s="151"/>
      <c r="BI46" s="191"/>
      <c r="BJ46" s="10"/>
      <c r="BK46" s="10"/>
      <c r="BL46" s="151"/>
      <c r="BM46" s="1"/>
      <c r="BN46" s="48"/>
      <c r="BO46" s="56"/>
      <c r="BP46" s="56"/>
      <c r="BQ46" s="50"/>
      <c r="BR46" s="48"/>
      <c r="BS46" s="56"/>
      <c r="BT46" s="56"/>
      <c r="BU46" s="50"/>
      <c r="BV46" s="48"/>
      <c r="BW46" s="56"/>
      <c r="BX46" s="56"/>
      <c r="BY46" s="50"/>
      <c r="BZ46" s="48"/>
      <c r="CA46" s="49"/>
      <c r="CB46" s="49"/>
      <c r="CC46" s="50"/>
      <c r="CD46" s="48"/>
      <c r="CE46" s="49"/>
      <c r="CF46" s="49"/>
      <c r="CG46" s="50"/>
      <c r="CK46" s="12"/>
      <c r="CL46" s="15"/>
      <c r="CO46" s="12"/>
      <c r="CP46" s="15"/>
      <c r="CS46" s="12"/>
      <c r="CT46" s="15"/>
      <c r="CW46" s="12"/>
      <c r="CX46" s="15"/>
      <c r="DA46" s="12"/>
      <c r="DF46" s="15"/>
      <c r="DI46" s="12"/>
      <c r="DJ46" s="1"/>
      <c r="DK46" s="225"/>
      <c r="DL46" s="225"/>
      <c r="DM46" s="225"/>
      <c r="DN46" s="225"/>
      <c r="DO46" s="225"/>
      <c r="DP46" s="225"/>
      <c r="DQ46" s="225"/>
      <c r="DR46" s="225"/>
      <c r="DS46" s="10"/>
      <c r="DT46" s="225"/>
      <c r="DU46" s="10"/>
      <c r="DV46" s="225"/>
      <c r="DW46" s="1"/>
      <c r="EJ46" s="1"/>
      <c r="EK46" s="17"/>
      <c r="EL46" s="17"/>
      <c r="EM46" s="17"/>
      <c r="EN46" s="17"/>
      <c r="EO46" s="17"/>
      <c r="EP46" s="17"/>
      <c r="EQ46" s="17"/>
      <c r="ER46" s="17"/>
      <c r="ES46" s="17"/>
      <c r="EU46" s="17"/>
      <c r="EW46" s="1"/>
      <c r="EX46" s="225"/>
      <c r="EY46" s="225"/>
      <c r="EZ46" s="225"/>
      <c r="FA46" s="225"/>
      <c r="FB46" s="225"/>
      <c r="FC46" s="225"/>
      <c r="FD46" s="225"/>
      <c r="FE46" s="225"/>
      <c r="FF46" s="225"/>
      <c r="FG46" s="10"/>
      <c r="FH46" s="225"/>
      <c r="FI46" s="10"/>
      <c r="FJ46" s="1"/>
      <c r="FK46" s="225"/>
      <c r="FL46" s="225"/>
      <c r="FM46" s="191"/>
      <c r="FN46" s="191"/>
      <c r="FO46" s="225"/>
      <c r="FP46" s="225"/>
      <c r="FQ46" s="151"/>
      <c r="FR46" s="151"/>
      <c r="FS46" s="10"/>
      <c r="FT46" s="191"/>
      <c r="FU46" s="225"/>
      <c r="FV46" s="151"/>
    </row>
    <row r="47" spans="1:178" ht="16" thickBot="1" x14ac:dyDescent="0.25">
      <c r="A47" s="27" t="s">
        <v>74</v>
      </c>
      <c r="B47" t="s">
        <v>140</v>
      </c>
      <c r="C47" s="1"/>
      <c r="D47" s="17">
        <v>35</v>
      </c>
      <c r="E47" s="17">
        <v>41</v>
      </c>
      <c r="F47" s="161">
        <v>37</v>
      </c>
      <c r="G47" s="87">
        <v>38</v>
      </c>
      <c r="H47" s="243">
        <v>43</v>
      </c>
      <c r="I47" s="87">
        <v>47</v>
      </c>
      <c r="J47" s="17"/>
      <c r="K47" s="17"/>
      <c r="L47" s="17"/>
      <c r="M47" s="17"/>
      <c r="N47" s="17"/>
      <c r="O47" s="17"/>
      <c r="P47" s="1"/>
      <c r="Q47" s="48">
        <v>9775.1200000000008</v>
      </c>
      <c r="R47" s="49">
        <v>426.2</v>
      </c>
      <c r="S47" s="49">
        <v>1836.3400000000001</v>
      </c>
      <c r="T47" s="50">
        <f t="shared" si="0"/>
        <v>12037.660000000002</v>
      </c>
      <c r="U47" s="48">
        <v>13281.26</v>
      </c>
      <c r="V47" s="49">
        <v>3766.67</v>
      </c>
      <c r="W47" s="49">
        <v>1192.3800000000001</v>
      </c>
      <c r="X47" s="50">
        <f t="shared" si="1"/>
        <v>18240.310000000001</v>
      </c>
      <c r="Y47" s="48">
        <v>44560.41</v>
      </c>
      <c r="Z47" s="49">
        <v>28896.84</v>
      </c>
      <c r="AA47" s="49">
        <v>1040.48</v>
      </c>
      <c r="AB47" s="50">
        <f t="shared" si="2"/>
        <v>74497.73</v>
      </c>
      <c r="AC47" s="164">
        <v>39840.69</v>
      </c>
      <c r="AD47" s="165">
        <v>44037.8</v>
      </c>
      <c r="AE47" s="165">
        <v>934.43000000000006</v>
      </c>
      <c r="AF47" s="151">
        <f t="shared" si="3"/>
        <v>84812.92</v>
      </c>
      <c r="AG47" s="165">
        <v>50091.59</v>
      </c>
      <c r="AH47" s="165">
        <v>7975.15</v>
      </c>
      <c r="AI47" s="165">
        <v>6427.0700000000006</v>
      </c>
      <c r="AJ47" s="151">
        <f t="shared" si="4"/>
        <v>64493.81</v>
      </c>
      <c r="AK47" s="192">
        <v>34270.86</v>
      </c>
      <c r="AL47" s="10">
        <v>2409.23</v>
      </c>
      <c r="AM47" s="10">
        <v>1546</v>
      </c>
      <c r="AN47" s="151">
        <f t="shared" si="5"/>
        <v>38226.090000000004</v>
      </c>
      <c r="AO47" s="191"/>
      <c r="AP47" s="10"/>
      <c r="AQ47" s="10"/>
      <c r="AR47" s="151"/>
      <c r="AS47" s="191"/>
      <c r="AT47" s="10"/>
      <c r="AU47" s="10"/>
      <c r="AV47" s="151"/>
      <c r="AW47" s="191"/>
      <c r="AX47" s="10"/>
      <c r="AY47" s="10"/>
      <c r="AZ47" s="151"/>
      <c r="BA47" s="191"/>
      <c r="BB47" s="10"/>
      <c r="BC47" s="10"/>
      <c r="BD47" s="151"/>
      <c r="BE47" s="191"/>
      <c r="BF47" s="10"/>
      <c r="BG47" s="10"/>
      <c r="BH47" s="151"/>
      <c r="BI47" s="191"/>
      <c r="BJ47" s="10"/>
      <c r="BK47" s="10"/>
      <c r="BL47" s="151"/>
      <c r="BM47" s="1"/>
      <c r="BN47" s="48"/>
      <c r="BO47" s="56"/>
      <c r="BP47" s="56"/>
      <c r="BQ47" s="50"/>
      <c r="BR47" s="48"/>
      <c r="BS47" s="56"/>
      <c r="BT47" s="56"/>
      <c r="BU47" s="50"/>
      <c r="BV47" s="48"/>
      <c r="BW47" s="56"/>
      <c r="BX47" s="56"/>
      <c r="BY47" s="50"/>
      <c r="BZ47" s="48"/>
      <c r="CA47" s="49"/>
      <c r="CB47" s="49"/>
      <c r="CC47" s="50"/>
      <c r="CD47" s="48"/>
      <c r="CE47" s="49"/>
      <c r="CF47" s="49"/>
      <c r="CG47" s="50"/>
      <c r="CK47" s="12"/>
      <c r="CL47" s="15"/>
      <c r="CO47" s="12"/>
      <c r="CP47" s="15"/>
      <c r="CS47" s="12"/>
      <c r="CT47" s="15"/>
      <c r="CW47" s="12"/>
      <c r="CX47" s="15"/>
      <c r="DA47" s="12"/>
      <c r="DF47" s="15"/>
      <c r="DI47" s="12"/>
      <c r="DJ47" s="1"/>
      <c r="DK47" s="225">
        <v>372.65</v>
      </c>
      <c r="DL47" s="225">
        <v>935.44</v>
      </c>
      <c r="DM47" s="225"/>
      <c r="DN47" s="225"/>
      <c r="DO47" s="225"/>
      <c r="DP47" s="225"/>
      <c r="DQ47" s="225"/>
      <c r="DR47" s="225"/>
      <c r="DS47" s="10"/>
      <c r="DT47" s="225"/>
      <c r="DU47" s="10"/>
      <c r="DV47" s="225"/>
      <c r="DW47" s="1"/>
      <c r="EJ47" s="1"/>
      <c r="EK47" s="17">
        <v>1</v>
      </c>
      <c r="EL47" s="17">
        <v>1</v>
      </c>
      <c r="EM47" s="17"/>
      <c r="EN47" s="17"/>
      <c r="EO47" s="17"/>
      <c r="EP47" s="17"/>
      <c r="EQ47" s="17"/>
      <c r="ER47" s="17"/>
      <c r="ES47" s="17"/>
      <c r="EU47" s="17"/>
      <c r="EW47" s="1"/>
      <c r="EX47" s="225">
        <v>372.65</v>
      </c>
      <c r="EY47" s="225">
        <v>935.44</v>
      </c>
      <c r="EZ47" s="225"/>
      <c r="FA47" s="225"/>
      <c r="FB47" s="225"/>
      <c r="FC47" s="225"/>
      <c r="FD47" s="225"/>
      <c r="FE47" s="225"/>
      <c r="FF47" s="225"/>
      <c r="FG47" s="10"/>
      <c r="FH47" s="225"/>
      <c r="FI47" s="10"/>
      <c r="FJ47" s="1"/>
      <c r="FK47" s="225"/>
      <c r="FL47" s="225"/>
      <c r="FM47" s="191"/>
      <c r="FN47" s="191"/>
      <c r="FO47" s="225">
        <v>-50</v>
      </c>
      <c r="FP47" s="225">
        <v>-50</v>
      </c>
      <c r="FQ47" s="151"/>
      <c r="FR47" s="151"/>
      <c r="FS47" s="10"/>
      <c r="FT47" s="191"/>
      <c r="FU47" s="225"/>
      <c r="FV47" s="151"/>
    </row>
    <row r="48" spans="1:178" ht="16" thickBot="1" x14ac:dyDescent="0.25">
      <c r="A48" s="27" t="s">
        <v>75</v>
      </c>
      <c r="B48" t="s">
        <v>140</v>
      </c>
      <c r="C48" s="1"/>
      <c r="D48" s="17">
        <v>5</v>
      </c>
      <c r="E48" s="17">
        <v>1</v>
      </c>
      <c r="F48" s="161">
        <v>1</v>
      </c>
      <c r="G48" s="87">
        <v>1</v>
      </c>
      <c r="H48" s="243">
        <v>3</v>
      </c>
      <c r="I48" s="87">
        <v>2</v>
      </c>
      <c r="J48" s="17"/>
      <c r="K48" s="17"/>
      <c r="L48" s="17"/>
      <c r="M48" s="17"/>
      <c r="N48" s="17"/>
      <c r="O48" s="17"/>
      <c r="P48" s="1"/>
      <c r="Q48" s="48">
        <v>7030.59</v>
      </c>
      <c r="R48" s="49">
        <v>964.27</v>
      </c>
      <c r="S48" s="49">
        <v>0</v>
      </c>
      <c r="T48" s="50">
        <f t="shared" si="0"/>
        <v>7994.8600000000006</v>
      </c>
      <c r="U48" s="48">
        <v>49.3</v>
      </c>
      <c r="V48" s="49"/>
      <c r="W48" s="49">
        <v>0</v>
      </c>
      <c r="X48" s="50">
        <f t="shared" si="1"/>
        <v>49.3</v>
      </c>
      <c r="Y48" s="48">
        <v>49.3</v>
      </c>
      <c r="Z48" s="49"/>
      <c r="AA48" s="49">
        <v>0</v>
      </c>
      <c r="AB48" s="50">
        <f t="shared" si="2"/>
        <v>49.3</v>
      </c>
      <c r="AC48" s="164">
        <v>49.3</v>
      </c>
      <c r="AD48" s="165"/>
      <c r="AE48" s="165">
        <v>0</v>
      </c>
      <c r="AF48" s="151">
        <f t="shared" si="3"/>
        <v>49.3</v>
      </c>
      <c r="AG48" s="165">
        <v>5684.64</v>
      </c>
      <c r="AH48" s="165">
        <v>605.59</v>
      </c>
      <c r="AI48" s="165">
        <v>0</v>
      </c>
      <c r="AJ48" s="151">
        <f t="shared" si="4"/>
        <v>6290.2300000000005</v>
      </c>
      <c r="AK48" s="192">
        <v>123.33</v>
      </c>
      <c r="AL48" s="10"/>
      <c r="AM48" s="10">
        <v>0</v>
      </c>
      <c r="AN48" s="151">
        <f t="shared" si="5"/>
        <v>123.33</v>
      </c>
      <c r="AO48" s="191"/>
      <c r="AP48" s="10"/>
      <c r="AQ48" s="10"/>
      <c r="AR48" s="151"/>
      <c r="AS48" s="191"/>
      <c r="AT48" s="10"/>
      <c r="AU48" s="10"/>
      <c r="AV48" s="151"/>
      <c r="AW48" s="191"/>
      <c r="AX48" s="10"/>
      <c r="AY48" s="10"/>
      <c r="AZ48" s="151"/>
      <c r="BA48" s="191"/>
      <c r="BB48" s="10"/>
      <c r="BC48" s="10"/>
      <c r="BD48" s="151"/>
      <c r="BE48" s="191"/>
      <c r="BF48" s="10"/>
      <c r="BG48" s="10"/>
      <c r="BH48" s="151"/>
      <c r="BI48" s="191"/>
      <c r="BJ48" s="10"/>
      <c r="BK48" s="10"/>
      <c r="BL48" s="151"/>
      <c r="BM48" s="1"/>
      <c r="BN48" s="48"/>
      <c r="BO48" s="56"/>
      <c r="BP48" s="56"/>
      <c r="BQ48" s="50"/>
      <c r="BR48" s="48"/>
      <c r="BS48" s="56"/>
      <c r="BT48" s="56"/>
      <c r="BU48" s="50"/>
      <c r="BV48" s="48"/>
      <c r="BW48" s="56"/>
      <c r="BX48" s="56"/>
      <c r="BY48" s="50"/>
      <c r="BZ48" s="48"/>
      <c r="CA48" s="49"/>
      <c r="CB48" s="49"/>
      <c r="CC48" s="50"/>
      <c r="CD48" s="48"/>
      <c r="CE48" s="49"/>
      <c r="CF48" s="49"/>
      <c r="CG48" s="50"/>
      <c r="CK48" s="12"/>
      <c r="CL48" s="15"/>
      <c r="CO48" s="12"/>
      <c r="CP48" s="15"/>
      <c r="CS48" s="12"/>
      <c r="CT48" s="15"/>
      <c r="CW48" s="12"/>
      <c r="CX48" s="15"/>
      <c r="DA48" s="12"/>
      <c r="DF48" s="15"/>
      <c r="DI48" s="12"/>
      <c r="DJ48" s="1"/>
      <c r="DK48" s="225"/>
      <c r="DL48" s="225"/>
      <c r="DM48" s="225"/>
      <c r="DN48" s="225"/>
      <c r="DO48" s="225"/>
      <c r="DP48" s="225"/>
      <c r="DQ48" s="225"/>
      <c r="DR48" s="225"/>
      <c r="DS48" s="10"/>
      <c r="DT48" s="225"/>
      <c r="DU48" s="10"/>
      <c r="DV48" s="225"/>
      <c r="DW48" s="1"/>
      <c r="EJ48" s="1"/>
      <c r="EK48" s="17"/>
      <c r="EL48" s="17"/>
      <c r="EM48" s="17"/>
      <c r="EN48" s="17"/>
      <c r="EO48" s="17"/>
      <c r="EP48" s="17"/>
      <c r="EQ48" s="17"/>
      <c r="ER48" s="17"/>
      <c r="ES48" s="17"/>
      <c r="EU48" s="17"/>
      <c r="EW48" s="1"/>
      <c r="EX48" s="225"/>
      <c r="EY48" s="225"/>
      <c r="EZ48" s="225"/>
      <c r="FA48" s="225"/>
      <c r="FB48" s="225"/>
      <c r="FC48" s="225"/>
      <c r="FD48" s="225"/>
      <c r="FE48" s="225"/>
      <c r="FF48" s="225"/>
      <c r="FG48" s="10"/>
      <c r="FH48" s="225"/>
      <c r="FI48" s="10"/>
      <c r="FJ48" s="1"/>
      <c r="FK48" s="225"/>
      <c r="FL48" s="225"/>
      <c r="FM48" s="191"/>
      <c r="FN48" s="191"/>
      <c r="FO48" s="225"/>
      <c r="FP48" s="225"/>
      <c r="FQ48" s="151"/>
      <c r="FR48" s="151"/>
      <c r="FS48" s="10"/>
      <c r="FT48" s="191"/>
      <c r="FU48" s="225"/>
      <c r="FV48" s="151"/>
    </row>
    <row r="49" spans="1:178" ht="16" thickBot="1" x14ac:dyDescent="0.25">
      <c r="A49" s="27" t="s">
        <v>76</v>
      </c>
      <c r="B49" t="s">
        <v>140</v>
      </c>
      <c r="C49" s="1"/>
      <c r="D49" s="17">
        <v>15</v>
      </c>
      <c r="E49" s="17">
        <v>16</v>
      </c>
      <c r="F49" s="161">
        <v>24</v>
      </c>
      <c r="G49" s="87">
        <v>16</v>
      </c>
      <c r="H49" s="243">
        <v>14</v>
      </c>
      <c r="I49" s="87">
        <v>11</v>
      </c>
      <c r="J49" s="17"/>
      <c r="K49" s="17"/>
      <c r="L49" s="17"/>
      <c r="M49" s="17"/>
      <c r="N49" s="17"/>
      <c r="O49" s="17"/>
      <c r="P49" s="1"/>
      <c r="Q49" s="48">
        <v>33652.97</v>
      </c>
      <c r="R49" s="49">
        <v>879.55</v>
      </c>
      <c r="S49" s="49">
        <v>910</v>
      </c>
      <c r="T49" s="50">
        <f t="shared" si="0"/>
        <v>35442.520000000004</v>
      </c>
      <c r="U49" s="48">
        <v>4046.05</v>
      </c>
      <c r="V49" s="49">
        <v>10027.5</v>
      </c>
      <c r="W49" s="49">
        <v>1813.94</v>
      </c>
      <c r="X49" s="50">
        <f t="shared" si="1"/>
        <v>15887.49</v>
      </c>
      <c r="Y49" s="48">
        <v>36701.93</v>
      </c>
      <c r="Z49" s="49">
        <v>7681.92</v>
      </c>
      <c r="AA49" s="49">
        <v>1165.18</v>
      </c>
      <c r="AB49" s="50">
        <f t="shared" si="2"/>
        <v>45549.03</v>
      </c>
      <c r="AC49" s="164">
        <v>25127.06</v>
      </c>
      <c r="AD49" s="165">
        <v>8199.11</v>
      </c>
      <c r="AE49" s="165">
        <v>251.35</v>
      </c>
      <c r="AF49" s="151">
        <f t="shared" si="3"/>
        <v>33577.519999999997</v>
      </c>
      <c r="AG49" s="165">
        <v>19097.45</v>
      </c>
      <c r="AH49" s="165">
        <v>6509.08</v>
      </c>
      <c r="AI49" s="165">
        <v>291.35000000000002</v>
      </c>
      <c r="AJ49" s="151">
        <f t="shared" si="4"/>
        <v>25897.879999999997</v>
      </c>
      <c r="AK49" s="192">
        <v>354.2</v>
      </c>
      <c r="AL49" s="10">
        <v>1778.9</v>
      </c>
      <c r="AM49" s="10">
        <v>10183.11</v>
      </c>
      <c r="AN49" s="151">
        <f t="shared" si="5"/>
        <v>12316.210000000001</v>
      </c>
      <c r="AO49" s="191"/>
      <c r="AP49" s="10"/>
      <c r="AQ49" s="10"/>
      <c r="AR49" s="151"/>
      <c r="AS49" s="191"/>
      <c r="AT49" s="10"/>
      <c r="AU49" s="10"/>
      <c r="AV49" s="151"/>
      <c r="AW49" s="191"/>
      <c r="AX49" s="10"/>
      <c r="AY49" s="10"/>
      <c r="AZ49" s="151"/>
      <c r="BA49" s="191"/>
      <c r="BB49" s="10"/>
      <c r="BC49" s="10"/>
      <c r="BD49" s="151"/>
      <c r="BE49" s="191"/>
      <c r="BF49" s="10"/>
      <c r="BG49" s="10"/>
      <c r="BH49" s="151"/>
      <c r="BI49" s="191"/>
      <c r="BJ49" s="10"/>
      <c r="BK49" s="10"/>
      <c r="BL49" s="151"/>
      <c r="BM49" s="1"/>
      <c r="BN49" s="48"/>
      <c r="BO49" s="56"/>
      <c r="BP49" s="56"/>
      <c r="BQ49" s="50"/>
      <c r="BR49" s="48"/>
      <c r="BS49" s="56"/>
      <c r="BT49" s="56"/>
      <c r="BU49" s="50"/>
      <c r="BV49" s="48"/>
      <c r="BW49" s="56"/>
      <c r="BX49" s="56"/>
      <c r="BY49" s="50"/>
      <c r="BZ49" s="48"/>
      <c r="CA49" s="49"/>
      <c r="CB49" s="49"/>
      <c r="CC49" s="50"/>
      <c r="CD49" s="48"/>
      <c r="CE49" s="49"/>
      <c r="CF49" s="49"/>
      <c r="CG49" s="50"/>
      <c r="CK49" s="12"/>
      <c r="CL49" s="15"/>
      <c r="CO49" s="12"/>
      <c r="CP49" s="15"/>
      <c r="CS49" s="12"/>
      <c r="CT49" s="15"/>
      <c r="CW49" s="12"/>
      <c r="CX49" s="15"/>
      <c r="DA49" s="12"/>
      <c r="DF49" s="15"/>
      <c r="DI49" s="12"/>
      <c r="DJ49" s="1"/>
      <c r="DK49" s="225"/>
      <c r="DL49" s="225"/>
      <c r="DM49" s="225"/>
      <c r="DN49" s="225">
        <v>571.23</v>
      </c>
      <c r="DO49" s="225"/>
      <c r="DP49" s="225"/>
      <c r="DQ49" s="225"/>
      <c r="DR49" s="225"/>
      <c r="DS49" s="10"/>
      <c r="DT49" s="225"/>
      <c r="DU49" s="10"/>
      <c r="DV49" s="225"/>
      <c r="DW49" s="1"/>
      <c r="EJ49" s="1"/>
      <c r="EK49" s="17"/>
      <c r="EL49" s="17"/>
      <c r="EM49" s="17"/>
      <c r="EN49" s="17">
        <v>1</v>
      </c>
      <c r="EO49" s="17"/>
      <c r="EP49" s="17"/>
      <c r="EQ49" s="17"/>
      <c r="ER49" s="17"/>
      <c r="ES49" s="17"/>
      <c r="EU49" s="17"/>
      <c r="EW49" s="1"/>
      <c r="EX49" s="225"/>
      <c r="EY49" s="225"/>
      <c r="EZ49" s="225"/>
      <c r="FA49" s="225">
        <v>571.23</v>
      </c>
      <c r="FB49" s="225"/>
      <c r="FC49" s="225"/>
      <c r="FD49" s="225"/>
      <c r="FE49" s="225"/>
      <c r="FF49" s="225"/>
      <c r="FG49" s="10"/>
      <c r="FH49" s="225"/>
      <c r="FI49" s="10"/>
      <c r="FJ49" s="1"/>
      <c r="FK49" s="225"/>
      <c r="FL49" s="225"/>
      <c r="FM49" s="191"/>
      <c r="FN49" s="191"/>
      <c r="FO49" s="225"/>
      <c r="FP49" s="225"/>
      <c r="FQ49" s="151"/>
      <c r="FR49" s="151"/>
      <c r="FS49" s="10"/>
      <c r="FT49" s="191"/>
      <c r="FU49" s="225"/>
      <c r="FV49" s="151"/>
    </row>
    <row r="50" spans="1:178" ht="16" thickBot="1" x14ac:dyDescent="0.25">
      <c r="A50" s="27" t="s">
        <v>77</v>
      </c>
      <c r="B50" t="s">
        <v>140</v>
      </c>
      <c r="C50" s="1"/>
      <c r="D50" s="17">
        <v>3</v>
      </c>
      <c r="E50" s="17">
        <v>1</v>
      </c>
      <c r="F50" s="161">
        <v>3</v>
      </c>
      <c r="G50" s="87">
        <v>1</v>
      </c>
      <c r="H50" s="243">
        <v>2</v>
      </c>
      <c r="I50" s="87">
        <v>5</v>
      </c>
      <c r="J50" s="17"/>
      <c r="K50" s="17"/>
      <c r="L50" s="17"/>
      <c r="M50" s="17"/>
      <c r="N50" s="17"/>
      <c r="O50" s="17"/>
      <c r="P50" s="1"/>
      <c r="Q50" s="48">
        <v>76.540000000000006</v>
      </c>
      <c r="R50" s="49"/>
      <c r="S50" s="49">
        <v>515.75</v>
      </c>
      <c r="T50" s="50">
        <f t="shared" si="0"/>
        <v>592.29</v>
      </c>
      <c r="U50" s="48"/>
      <c r="V50" s="49">
        <v>367.16</v>
      </c>
      <c r="W50" s="49">
        <v>0</v>
      </c>
      <c r="X50" s="50">
        <f t="shared" si="1"/>
        <v>367.16</v>
      </c>
      <c r="Y50" s="48">
        <v>116.26</v>
      </c>
      <c r="Z50" s="49"/>
      <c r="AA50" s="49">
        <v>0</v>
      </c>
      <c r="AB50" s="50">
        <f t="shared" si="2"/>
        <v>116.26</v>
      </c>
      <c r="AC50" s="164"/>
      <c r="AD50" s="165">
        <v>21</v>
      </c>
      <c r="AE50" s="165">
        <v>0</v>
      </c>
      <c r="AF50" s="151">
        <f t="shared" si="3"/>
        <v>21</v>
      </c>
      <c r="AG50" s="165">
        <v>105.22</v>
      </c>
      <c r="AH50" s="166"/>
      <c r="AI50" s="165">
        <v>31.5</v>
      </c>
      <c r="AJ50" s="151">
        <f t="shared" si="4"/>
        <v>136.72</v>
      </c>
      <c r="AK50" s="192">
        <v>97.57</v>
      </c>
      <c r="AL50" s="10">
        <v>157.47</v>
      </c>
      <c r="AM50" s="10">
        <v>42</v>
      </c>
      <c r="AN50" s="151">
        <f t="shared" si="5"/>
        <v>297.03999999999996</v>
      </c>
      <c r="AO50" s="191"/>
      <c r="AP50" s="10"/>
      <c r="AQ50" s="10"/>
      <c r="AR50" s="151"/>
      <c r="AS50" s="191"/>
      <c r="AT50" s="10"/>
      <c r="AU50" s="10"/>
      <c r="AV50" s="151"/>
      <c r="AW50" s="191"/>
      <c r="AX50" s="10"/>
      <c r="AY50" s="10"/>
      <c r="AZ50" s="151"/>
      <c r="BA50" s="191"/>
      <c r="BB50" s="10"/>
      <c r="BC50" s="10"/>
      <c r="BD50" s="151"/>
      <c r="BE50" s="191"/>
      <c r="BF50" s="10"/>
      <c r="BG50" s="10"/>
      <c r="BH50" s="151"/>
      <c r="BI50" s="191"/>
      <c r="BJ50" s="10"/>
      <c r="BK50" s="10"/>
      <c r="BL50" s="151"/>
      <c r="BM50" s="1"/>
      <c r="BN50" s="48"/>
      <c r="BO50" s="56"/>
      <c r="BP50" s="56"/>
      <c r="BQ50" s="50"/>
      <c r="BR50" s="48"/>
      <c r="BS50" s="56"/>
      <c r="BT50" s="56"/>
      <c r="BU50" s="50"/>
      <c r="BV50" s="48"/>
      <c r="BW50" s="56"/>
      <c r="BX50" s="56"/>
      <c r="BY50" s="50"/>
      <c r="BZ50" s="48"/>
      <c r="CA50" s="49"/>
      <c r="CB50" s="49"/>
      <c r="CC50" s="50"/>
      <c r="CD50" s="48"/>
      <c r="CE50" s="49"/>
      <c r="CF50" s="49"/>
      <c r="CG50" s="50"/>
      <c r="CK50" s="12"/>
      <c r="CL50" s="15"/>
      <c r="CO50" s="12"/>
      <c r="CP50" s="15"/>
      <c r="CS50" s="12"/>
      <c r="CT50" s="15"/>
      <c r="CW50" s="12"/>
      <c r="CX50" s="15"/>
      <c r="DA50" s="12"/>
      <c r="DF50" s="15"/>
      <c r="DI50" s="12"/>
      <c r="DJ50" s="1"/>
      <c r="DK50" s="225"/>
      <c r="DL50" s="225"/>
      <c r="DM50" s="225"/>
      <c r="DN50" s="225"/>
      <c r="DO50" s="225"/>
      <c r="DP50" s="225"/>
      <c r="DQ50" s="225"/>
      <c r="DR50" s="225"/>
      <c r="DS50" s="10"/>
      <c r="DT50" s="225"/>
      <c r="DU50" s="10"/>
      <c r="DV50" s="225"/>
      <c r="DW50" s="1"/>
      <c r="EJ50" s="1"/>
      <c r="EK50" s="17"/>
      <c r="EL50" s="17"/>
      <c r="EM50" s="17"/>
      <c r="EN50" s="17"/>
      <c r="EO50" s="17"/>
      <c r="EP50" s="17"/>
      <c r="EQ50" s="17"/>
      <c r="ER50" s="17"/>
      <c r="ES50" s="17"/>
      <c r="EU50" s="17"/>
      <c r="EW50" s="1"/>
      <c r="EX50" s="225"/>
      <c r="EY50" s="225"/>
      <c r="EZ50" s="225"/>
      <c r="FA50" s="225"/>
      <c r="FB50" s="225"/>
      <c r="FC50" s="225"/>
      <c r="FD50" s="225"/>
      <c r="FE50" s="225"/>
      <c r="FF50" s="225"/>
      <c r="FG50" s="10"/>
      <c r="FH50" s="225"/>
      <c r="FI50" s="10"/>
      <c r="FJ50" s="1"/>
      <c r="FK50" s="225"/>
      <c r="FL50" s="225"/>
      <c r="FM50" s="191"/>
      <c r="FN50" s="191"/>
      <c r="FO50" s="225"/>
      <c r="FP50" s="225"/>
      <c r="FQ50" s="151"/>
      <c r="FR50" s="151"/>
      <c r="FS50" s="10"/>
      <c r="FT50" s="191"/>
      <c r="FU50" s="225"/>
      <c r="FV50" s="151"/>
    </row>
    <row r="51" spans="1:178" ht="16" thickBot="1" x14ac:dyDescent="0.25">
      <c r="A51" s="27" t="s">
        <v>78</v>
      </c>
      <c r="B51" t="s">
        <v>140</v>
      </c>
      <c r="C51" s="1"/>
      <c r="D51" s="17"/>
      <c r="E51" s="17"/>
      <c r="F51" s="161"/>
      <c r="G51" s="87"/>
      <c r="H51" s="243"/>
      <c r="I51" s="87">
        <v>1</v>
      </c>
      <c r="J51" s="17"/>
      <c r="K51" s="17"/>
      <c r="L51" s="17"/>
      <c r="M51" s="17"/>
      <c r="N51" s="17"/>
      <c r="O51" s="17"/>
      <c r="P51" s="1"/>
      <c r="Q51" s="48"/>
      <c r="R51" s="49"/>
      <c r="S51" s="49">
        <v>0</v>
      </c>
      <c r="T51" s="50">
        <f t="shared" si="0"/>
        <v>0</v>
      </c>
      <c r="U51" s="48"/>
      <c r="V51" s="49"/>
      <c r="W51" s="49">
        <v>0</v>
      </c>
      <c r="X51" s="50">
        <f t="shared" si="1"/>
        <v>0</v>
      </c>
      <c r="Y51" s="48"/>
      <c r="Z51" s="49"/>
      <c r="AA51" s="49">
        <v>0</v>
      </c>
      <c r="AB51" s="50">
        <f t="shared" si="2"/>
        <v>0</v>
      </c>
      <c r="AC51" s="164"/>
      <c r="AD51" s="166"/>
      <c r="AE51" s="166">
        <v>0</v>
      </c>
      <c r="AF51" s="151">
        <f t="shared" si="3"/>
        <v>0</v>
      </c>
      <c r="AG51" s="165"/>
      <c r="AH51" s="166"/>
      <c r="AI51" s="166">
        <v>0</v>
      </c>
      <c r="AJ51" s="151">
        <f t="shared" si="4"/>
        <v>0</v>
      </c>
      <c r="AK51" s="192">
        <v>130.71</v>
      </c>
      <c r="AL51" s="10"/>
      <c r="AM51" s="10">
        <v>0</v>
      </c>
      <c r="AN51" s="151">
        <f t="shared" si="5"/>
        <v>130.71</v>
      </c>
      <c r="AO51" s="191"/>
      <c r="AP51" s="10"/>
      <c r="AQ51" s="10"/>
      <c r="AR51" s="151"/>
      <c r="AS51" s="191"/>
      <c r="AT51" s="10"/>
      <c r="AU51" s="10"/>
      <c r="AV51" s="151"/>
      <c r="AW51" s="191"/>
      <c r="AX51" s="10"/>
      <c r="AY51" s="10"/>
      <c r="AZ51" s="151"/>
      <c r="BA51" s="191"/>
      <c r="BB51" s="10"/>
      <c r="BC51" s="10"/>
      <c r="BD51" s="151"/>
      <c r="BE51" s="191"/>
      <c r="BF51" s="10"/>
      <c r="BG51" s="10"/>
      <c r="BH51" s="151"/>
      <c r="BI51" s="191"/>
      <c r="BJ51" s="10"/>
      <c r="BK51" s="10"/>
      <c r="BL51" s="151"/>
      <c r="BM51" s="1"/>
      <c r="BN51" s="48"/>
      <c r="BO51" s="56"/>
      <c r="BP51" s="56"/>
      <c r="BQ51" s="50"/>
      <c r="BR51" s="48"/>
      <c r="BS51" s="56"/>
      <c r="BT51" s="56"/>
      <c r="BU51" s="50"/>
      <c r="BV51" s="48"/>
      <c r="BW51" s="56"/>
      <c r="BX51" s="56"/>
      <c r="BY51" s="50"/>
      <c r="BZ51" s="48"/>
      <c r="CA51" s="49"/>
      <c r="CB51" s="49"/>
      <c r="CC51" s="50"/>
      <c r="CD51" s="48"/>
      <c r="CE51" s="49"/>
      <c r="CF51" s="49"/>
      <c r="CG51" s="50"/>
      <c r="CK51" s="12"/>
      <c r="CL51" s="15"/>
      <c r="CO51" s="12"/>
      <c r="CP51" s="15"/>
      <c r="CS51" s="12"/>
      <c r="CT51" s="15"/>
      <c r="CW51" s="12"/>
      <c r="CX51" s="15"/>
      <c r="DA51" s="12"/>
      <c r="DF51" s="15"/>
      <c r="DI51" s="12"/>
      <c r="DJ51" s="1"/>
      <c r="DK51" s="225"/>
      <c r="DL51" s="225"/>
      <c r="DM51" s="225"/>
      <c r="DN51" s="225"/>
      <c r="DO51" s="225"/>
      <c r="DP51" s="225"/>
      <c r="DQ51" s="225"/>
      <c r="DR51" s="225"/>
      <c r="DS51" s="10"/>
      <c r="DT51" s="225"/>
      <c r="DU51" s="10"/>
      <c r="DV51" s="225"/>
      <c r="DW51" s="1"/>
      <c r="EJ51" s="1"/>
      <c r="EK51" s="17"/>
      <c r="EL51" s="17"/>
      <c r="EM51" s="17"/>
      <c r="EN51" s="17"/>
      <c r="EO51" s="17"/>
      <c r="EP51" s="17"/>
      <c r="EQ51" s="17"/>
      <c r="ER51" s="17"/>
      <c r="ES51" s="17"/>
      <c r="EU51" s="17"/>
      <c r="EW51" s="1"/>
      <c r="EX51" s="225"/>
      <c r="EY51" s="225"/>
      <c r="EZ51" s="225"/>
      <c r="FA51" s="225"/>
      <c r="FB51" s="225"/>
      <c r="FC51" s="225"/>
      <c r="FD51" s="225"/>
      <c r="FE51" s="225"/>
      <c r="FF51" s="225"/>
      <c r="FG51" s="10"/>
      <c r="FH51" s="225"/>
      <c r="FI51" s="10"/>
      <c r="FJ51" s="1"/>
      <c r="FK51" s="225"/>
      <c r="FL51" s="225"/>
      <c r="FM51" s="191"/>
      <c r="FN51" s="191"/>
      <c r="FO51" s="225"/>
      <c r="FP51" s="225"/>
      <c r="FQ51" s="151"/>
      <c r="FR51" s="151"/>
      <c r="FS51" s="10"/>
      <c r="FT51" s="191"/>
      <c r="FU51" s="225"/>
      <c r="FV51" s="151"/>
    </row>
    <row r="52" spans="1:178" ht="16" thickBot="1" x14ac:dyDescent="0.25">
      <c r="A52" s="27" t="s">
        <v>79</v>
      </c>
      <c r="B52" t="s">
        <v>140</v>
      </c>
      <c r="C52" s="1"/>
      <c r="D52" s="17">
        <v>4</v>
      </c>
      <c r="E52" s="17">
        <v>5</v>
      </c>
      <c r="F52" s="161">
        <v>5</v>
      </c>
      <c r="G52" s="87">
        <v>3</v>
      </c>
      <c r="H52" s="243">
        <v>2</v>
      </c>
      <c r="I52" s="87">
        <v>6</v>
      </c>
      <c r="J52" s="17"/>
      <c r="K52" s="17"/>
      <c r="L52" s="17"/>
      <c r="M52" s="17"/>
      <c r="N52" s="17"/>
      <c r="O52" s="17"/>
      <c r="P52" s="1"/>
      <c r="Q52" s="48">
        <v>797.22</v>
      </c>
      <c r="R52" s="49"/>
      <c r="S52" s="49">
        <v>0</v>
      </c>
      <c r="T52" s="50">
        <f t="shared" si="0"/>
        <v>797.22</v>
      </c>
      <c r="U52" s="48">
        <v>36.85</v>
      </c>
      <c r="V52" s="49">
        <v>1419.27</v>
      </c>
      <c r="W52" s="49">
        <v>0</v>
      </c>
      <c r="X52" s="50">
        <f t="shared" si="1"/>
        <v>1456.12</v>
      </c>
      <c r="Y52" s="48">
        <v>277.27999999999997</v>
      </c>
      <c r="Z52" s="49"/>
      <c r="AA52" s="49">
        <v>376.69</v>
      </c>
      <c r="AB52" s="50">
        <f t="shared" si="2"/>
        <v>653.97</v>
      </c>
      <c r="AC52" s="164">
        <v>396.62</v>
      </c>
      <c r="AD52" s="165">
        <v>50.02</v>
      </c>
      <c r="AE52" s="165">
        <v>0</v>
      </c>
      <c r="AF52" s="151">
        <f t="shared" si="3"/>
        <v>446.64</v>
      </c>
      <c r="AG52" s="166">
        <v>232.37</v>
      </c>
      <c r="AH52" s="166"/>
      <c r="AI52" s="165">
        <v>0</v>
      </c>
      <c r="AJ52" s="151">
        <f t="shared" si="4"/>
        <v>232.37</v>
      </c>
      <c r="AK52" s="192">
        <v>409.36</v>
      </c>
      <c r="AL52" s="10">
        <v>361.13</v>
      </c>
      <c r="AM52" s="10">
        <v>0</v>
      </c>
      <c r="AN52" s="151">
        <f t="shared" si="5"/>
        <v>770.49</v>
      </c>
      <c r="AO52" s="191"/>
      <c r="AP52" s="10"/>
      <c r="AQ52" s="10"/>
      <c r="AR52" s="151"/>
      <c r="AS52" s="191"/>
      <c r="AT52" s="10"/>
      <c r="AU52" s="10"/>
      <c r="AV52" s="151"/>
      <c r="AW52" s="191"/>
      <c r="AX52" s="10"/>
      <c r="AY52" s="10"/>
      <c r="AZ52" s="151"/>
      <c r="BA52" s="191"/>
      <c r="BB52" s="10"/>
      <c r="BC52" s="10"/>
      <c r="BD52" s="151"/>
      <c r="BE52" s="191"/>
      <c r="BF52" s="10"/>
      <c r="BG52" s="10"/>
      <c r="BH52" s="151"/>
      <c r="BI52" s="191"/>
      <c r="BJ52" s="10"/>
      <c r="BK52" s="10"/>
      <c r="BL52" s="151"/>
      <c r="BM52" s="1"/>
      <c r="BN52" s="48"/>
      <c r="BO52" s="56"/>
      <c r="BP52" s="56"/>
      <c r="BQ52" s="50"/>
      <c r="BR52" s="48"/>
      <c r="BS52" s="56"/>
      <c r="BT52" s="56"/>
      <c r="BU52" s="50"/>
      <c r="BV52" s="48"/>
      <c r="BW52" s="56"/>
      <c r="BX52" s="56"/>
      <c r="BY52" s="50"/>
      <c r="BZ52" s="48"/>
      <c r="CA52" s="49"/>
      <c r="CB52" s="49"/>
      <c r="CC52" s="50"/>
      <c r="CD52" s="48"/>
      <c r="CE52" s="49"/>
      <c r="CF52" s="49"/>
      <c r="CG52" s="50"/>
      <c r="CK52" s="12"/>
      <c r="CL52" s="15"/>
      <c r="CO52" s="12"/>
      <c r="CP52" s="15"/>
      <c r="CS52" s="12"/>
      <c r="CT52" s="15"/>
      <c r="CW52" s="12"/>
      <c r="CX52" s="15"/>
      <c r="DA52" s="12"/>
      <c r="DF52" s="15"/>
      <c r="DI52" s="12"/>
      <c r="DJ52" s="1"/>
      <c r="DK52" s="225"/>
      <c r="DL52" s="225"/>
      <c r="DM52" s="225"/>
      <c r="DN52" s="225"/>
      <c r="DO52" s="225"/>
      <c r="DP52" s="225"/>
      <c r="DQ52" s="225"/>
      <c r="DR52" s="225"/>
      <c r="DS52" s="10"/>
      <c r="DT52" s="225"/>
      <c r="DU52" s="10"/>
      <c r="DV52" s="225"/>
      <c r="DW52" s="1"/>
      <c r="EJ52" s="1"/>
      <c r="EK52" s="17"/>
      <c r="EL52" s="17"/>
      <c r="EM52" s="17"/>
      <c r="EN52" s="17"/>
      <c r="EO52" s="17"/>
      <c r="EP52" s="17"/>
      <c r="EQ52" s="17"/>
      <c r="ER52" s="17"/>
      <c r="ES52" s="17"/>
      <c r="EU52" s="17"/>
      <c r="EW52" s="1"/>
      <c r="EX52" s="225"/>
      <c r="EY52" s="225"/>
      <c r="EZ52" s="225"/>
      <c r="FA52" s="225"/>
      <c r="FB52" s="225"/>
      <c r="FC52" s="225"/>
      <c r="FD52" s="225"/>
      <c r="FE52" s="225"/>
      <c r="FF52" s="225"/>
      <c r="FG52" s="10"/>
      <c r="FH52" s="225"/>
      <c r="FI52" s="10"/>
      <c r="FJ52" s="1"/>
      <c r="FK52" s="225"/>
      <c r="FL52" s="225"/>
      <c r="FM52" s="191"/>
      <c r="FN52" s="191"/>
      <c r="FO52" s="225"/>
      <c r="FP52" s="225"/>
      <c r="FQ52" s="151"/>
      <c r="FR52" s="151"/>
      <c r="FS52" s="10"/>
      <c r="FT52" s="191"/>
      <c r="FU52" s="225"/>
      <c r="FV52" s="151"/>
    </row>
    <row r="53" spans="1:178" ht="16" thickBot="1" x14ac:dyDescent="0.25">
      <c r="A53" s="27" t="s">
        <v>80</v>
      </c>
      <c r="B53" t="s">
        <v>140</v>
      </c>
      <c r="C53" s="1"/>
      <c r="D53" s="17">
        <v>4</v>
      </c>
      <c r="E53" s="17">
        <v>4</v>
      </c>
      <c r="F53" s="161">
        <v>4</v>
      </c>
      <c r="G53" s="87"/>
      <c r="H53" s="243">
        <v>2</v>
      </c>
      <c r="I53" s="87">
        <v>5</v>
      </c>
      <c r="J53" s="17"/>
      <c r="K53" s="17"/>
      <c r="L53" s="17"/>
      <c r="M53" s="17"/>
      <c r="N53" s="17"/>
      <c r="O53" s="17"/>
      <c r="P53" s="1"/>
      <c r="Q53" s="48">
        <v>3216.15</v>
      </c>
      <c r="R53" s="49">
        <v>422.1</v>
      </c>
      <c r="S53" s="49">
        <v>0</v>
      </c>
      <c r="T53" s="50">
        <f t="shared" si="0"/>
        <v>3638.25</v>
      </c>
      <c r="U53" s="48">
        <v>57.21</v>
      </c>
      <c r="V53" s="49">
        <v>158.75</v>
      </c>
      <c r="W53" s="49">
        <v>0</v>
      </c>
      <c r="X53" s="50">
        <f t="shared" si="1"/>
        <v>215.96</v>
      </c>
      <c r="Y53" s="48">
        <v>275.25</v>
      </c>
      <c r="Z53" s="49">
        <v>147.53</v>
      </c>
      <c r="AA53" s="49">
        <v>226.44</v>
      </c>
      <c r="AB53" s="50">
        <f t="shared" si="2"/>
        <v>649.22</v>
      </c>
      <c r="AC53" s="164"/>
      <c r="AD53" s="165"/>
      <c r="AE53" s="166">
        <v>0</v>
      </c>
      <c r="AF53" s="151">
        <f t="shared" si="3"/>
        <v>0</v>
      </c>
      <c r="AG53" s="165">
        <v>63.61</v>
      </c>
      <c r="AH53" s="165"/>
      <c r="AI53" s="166">
        <v>0</v>
      </c>
      <c r="AJ53" s="151">
        <f t="shared" si="4"/>
        <v>63.61</v>
      </c>
      <c r="AK53" s="192">
        <v>336.55</v>
      </c>
      <c r="AL53" s="10">
        <v>152.66999999999999</v>
      </c>
      <c r="AM53" s="10">
        <v>0</v>
      </c>
      <c r="AN53" s="151">
        <f t="shared" si="5"/>
        <v>489.22</v>
      </c>
      <c r="AO53" s="191"/>
      <c r="AP53" s="10"/>
      <c r="AQ53" s="10"/>
      <c r="AR53" s="151"/>
      <c r="AS53" s="191"/>
      <c r="AT53" s="10"/>
      <c r="AU53" s="10"/>
      <c r="AV53" s="151"/>
      <c r="AW53" s="191"/>
      <c r="AX53" s="10"/>
      <c r="AY53" s="10"/>
      <c r="AZ53" s="151"/>
      <c r="BA53" s="191"/>
      <c r="BB53" s="10"/>
      <c r="BC53" s="10"/>
      <c r="BD53" s="151"/>
      <c r="BE53" s="191"/>
      <c r="BF53" s="10"/>
      <c r="BG53" s="10"/>
      <c r="BH53" s="151"/>
      <c r="BI53" s="191"/>
      <c r="BJ53" s="10"/>
      <c r="BK53" s="10"/>
      <c r="BL53" s="151"/>
      <c r="BM53" s="1"/>
      <c r="BN53" s="48"/>
      <c r="BO53" s="56"/>
      <c r="BP53" s="56"/>
      <c r="BQ53" s="50"/>
      <c r="BR53" s="48"/>
      <c r="BS53" s="56"/>
      <c r="BT53" s="56"/>
      <c r="BU53" s="50"/>
      <c r="BV53" s="48"/>
      <c r="BW53" s="56"/>
      <c r="BX53" s="56"/>
      <c r="BY53" s="50"/>
      <c r="BZ53" s="48"/>
      <c r="CA53" s="49"/>
      <c r="CB53" s="49"/>
      <c r="CC53" s="50"/>
      <c r="CD53" s="48"/>
      <c r="CE53" s="49"/>
      <c r="CF53" s="49"/>
      <c r="CG53" s="50"/>
      <c r="CK53" s="12"/>
      <c r="CL53" s="15"/>
      <c r="CO53" s="12"/>
      <c r="CP53" s="15"/>
      <c r="CS53" s="12"/>
      <c r="CT53" s="15"/>
      <c r="CW53" s="12"/>
      <c r="CX53" s="15"/>
      <c r="DA53" s="12"/>
      <c r="DF53" s="15"/>
      <c r="DI53" s="12"/>
      <c r="DJ53" s="1"/>
      <c r="DK53" s="225"/>
      <c r="DL53" s="225"/>
      <c r="DM53" s="225"/>
      <c r="DN53" s="225"/>
      <c r="DO53" s="225"/>
      <c r="DP53" s="225"/>
      <c r="DQ53" s="225"/>
      <c r="DR53" s="225"/>
      <c r="DS53" s="10"/>
      <c r="DT53" s="225"/>
      <c r="DU53" s="10"/>
      <c r="DV53" s="225"/>
      <c r="DW53" s="1"/>
      <c r="EJ53" s="1"/>
      <c r="EK53" s="17"/>
      <c r="EL53" s="17"/>
      <c r="EM53" s="17"/>
      <c r="EN53" s="17"/>
      <c r="EO53" s="17"/>
      <c r="EP53" s="17"/>
      <c r="EQ53" s="17"/>
      <c r="ER53" s="17"/>
      <c r="ES53" s="17"/>
      <c r="EU53" s="17"/>
      <c r="EW53" s="1"/>
      <c r="EX53" s="225"/>
      <c r="EY53" s="225"/>
      <c r="EZ53" s="225"/>
      <c r="FA53" s="225"/>
      <c r="FB53" s="225"/>
      <c r="FC53" s="225"/>
      <c r="FD53" s="225"/>
      <c r="FE53" s="225"/>
      <c r="FF53" s="225"/>
      <c r="FG53" s="10"/>
      <c r="FH53" s="225"/>
      <c r="FI53" s="10"/>
      <c r="FJ53" s="1"/>
      <c r="FK53" s="225"/>
      <c r="FL53" s="225"/>
      <c r="FM53" s="191"/>
      <c r="FN53" s="191"/>
      <c r="FO53" s="225"/>
      <c r="FP53" s="225"/>
      <c r="FQ53" s="151"/>
      <c r="FR53" s="151"/>
      <c r="FS53" s="10"/>
      <c r="FT53" s="191"/>
      <c r="FU53" s="225"/>
      <c r="FV53" s="151"/>
    </row>
    <row r="54" spans="1:178" ht="16" thickBot="1" x14ac:dyDescent="0.25">
      <c r="A54" s="27" t="s">
        <v>81</v>
      </c>
      <c r="B54" t="s">
        <v>140</v>
      </c>
      <c r="C54" s="1"/>
      <c r="D54" s="17">
        <v>11</v>
      </c>
      <c r="E54" s="17">
        <v>9</v>
      </c>
      <c r="F54" s="161">
        <v>7</v>
      </c>
      <c r="G54" s="87">
        <v>13</v>
      </c>
      <c r="H54" s="243">
        <v>9</v>
      </c>
      <c r="I54" s="87">
        <v>8</v>
      </c>
      <c r="J54" s="17"/>
      <c r="K54" s="17"/>
      <c r="L54" s="17"/>
      <c r="M54" s="17"/>
      <c r="N54" s="17"/>
      <c r="O54" s="17"/>
      <c r="P54" s="1"/>
      <c r="Q54" s="48">
        <v>3447.42</v>
      </c>
      <c r="R54" s="49">
        <v>352.6</v>
      </c>
      <c r="S54" s="49">
        <v>0</v>
      </c>
      <c r="T54" s="50">
        <f t="shared" si="0"/>
        <v>3800.02</v>
      </c>
      <c r="U54" s="48">
        <v>1623.67</v>
      </c>
      <c r="V54" s="49">
        <v>1099.5999999999999</v>
      </c>
      <c r="W54" s="49">
        <v>348.4</v>
      </c>
      <c r="X54" s="50">
        <f t="shared" si="1"/>
        <v>3071.67</v>
      </c>
      <c r="Y54" s="48">
        <v>5602.99</v>
      </c>
      <c r="Z54" s="49">
        <v>4533.51</v>
      </c>
      <c r="AA54" s="49">
        <v>0</v>
      </c>
      <c r="AB54" s="50">
        <f t="shared" si="2"/>
        <v>10136.5</v>
      </c>
      <c r="AC54" s="164">
        <v>6790.57</v>
      </c>
      <c r="AD54" s="165">
        <v>3001.91</v>
      </c>
      <c r="AE54" s="165">
        <v>222.35</v>
      </c>
      <c r="AF54" s="151">
        <f t="shared" si="3"/>
        <v>10014.83</v>
      </c>
      <c r="AG54" s="165">
        <v>1228.8699999999999</v>
      </c>
      <c r="AH54" s="165">
        <v>841.39</v>
      </c>
      <c r="AI54" s="165">
        <v>2659.1800000000003</v>
      </c>
      <c r="AJ54" s="151">
        <f t="shared" si="4"/>
        <v>4729.4400000000005</v>
      </c>
      <c r="AK54" s="192">
        <v>4063.32</v>
      </c>
      <c r="AL54" s="10">
        <v>1844.15</v>
      </c>
      <c r="AM54" s="10">
        <v>312.95999999999998</v>
      </c>
      <c r="AN54" s="151">
        <f t="shared" si="5"/>
        <v>6220.43</v>
      </c>
      <c r="AO54" s="191"/>
      <c r="AP54" s="10"/>
      <c r="AQ54" s="10"/>
      <c r="AR54" s="151"/>
      <c r="AS54" s="191"/>
      <c r="AT54" s="10"/>
      <c r="AU54" s="10"/>
      <c r="AV54" s="151"/>
      <c r="AW54" s="191"/>
      <c r="AX54" s="10"/>
      <c r="AY54" s="10"/>
      <c r="AZ54" s="151"/>
      <c r="BA54" s="191"/>
      <c r="BB54" s="10"/>
      <c r="BC54" s="10"/>
      <c r="BD54" s="151"/>
      <c r="BE54" s="191"/>
      <c r="BF54" s="10"/>
      <c r="BG54" s="10"/>
      <c r="BH54" s="151"/>
      <c r="BI54" s="191"/>
      <c r="BJ54" s="10"/>
      <c r="BK54" s="10"/>
      <c r="BL54" s="151"/>
      <c r="BM54" s="1"/>
      <c r="BN54" s="48"/>
      <c r="BO54" s="56"/>
      <c r="BP54" s="56"/>
      <c r="BQ54" s="50"/>
      <c r="BR54" s="48"/>
      <c r="BS54" s="56"/>
      <c r="BT54" s="56"/>
      <c r="BU54" s="50"/>
      <c r="BV54" s="48"/>
      <c r="BW54" s="56"/>
      <c r="BX54" s="56"/>
      <c r="BY54" s="50"/>
      <c r="BZ54" s="48"/>
      <c r="CA54" s="49"/>
      <c r="CB54" s="49"/>
      <c r="CC54" s="50"/>
      <c r="CD54" s="48"/>
      <c r="CE54" s="49"/>
      <c r="CF54" s="49"/>
      <c r="CG54" s="50"/>
      <c r="CK54" s="12"/>
      <c r="CL54" s="15"/>
      <c r="CO54" s="12"/>
      <c r="CP54" s="15"/>
      <c r="CS54" s="12"/>
      <c r="CT54" s="15"/>
      <c r="CW54" s="12"/>
      <c r="CX54" s="15"/>
      <c r="DA54" s="12"/>
      <c r="DF54" s="15"/>
      <c r="DI54" s="12"/>
      <c r="DJ54" s="1"/>
      <c r="DK54" s="225"/>
      <c r="DL54" s="225"/>
      <c r="DM54" s="225"/>
      <c r="DN54" s="225"/>
      <c r="DO54" s="225"/>
      <c r="DP54" s="225"/>
      <c r="DQ54" s="225"/>
      <c r="DR54" s="225"/>
      <c r="DS54" s="10"/>
      <c r="DT54" s="225"/>
      <c r="DU54" s="10"/>
      <c r="DV54" s="225"/>
      <c r="DW54" s="1"/>
      <c r="EJ54" s="1"/>
      <c r="EK54" s="17"/>
      <c r="EL54" s="17"/>
      <c r="EM54" s="17"/>
      <c r="EN54" s="17"/>
      <c r="EO54" s="17"/>
      <c r="EP54" s="17"/>
      <c r="EQ54" s="17"/>
      <c r="ER54" s="17"/>
      <c r="ES54" s="17"/>
      <c r="EU54" s="17"/>
      <c r="EW54" s="1"/>
      <c r="EX54" s="225"/>
      <c r="EY54" s="225"/>
      <c r="EZ54" s="225"/>
      <c r="FA54" s="225"/>
      <c r="FB54" s="225"/>
      <c r="FC54" s="225"/>
      <c r="FD54" s="225"/>
      <c r="FE54" s="225"/>
      <c r="FF54" s="225"/>
      <c r="FG54" s="10"/>
      <c r="FH54" s="225"/>
      <c r="FI54" s="10"/>
      <c r="FJ54" s="1"/>
      <c r="FK54" s="225"/>
      <c r="FL54" s="225"/>
      <c r="FM54" s="191"/>
      <c r="FN54" s="191"/>
      <c r="FO54" s="225"/>
      <c r="FP54" s="225"/>
      <c r="FQ54" s="151"/>
      <c r="FR54" s="151"/>
      <c r="FS54" s="10"/>
      <c r="FT54" s="191"/>
      <c r="FU54" s="225"/>
      <c r="FV54" s="151"/>
    </row>
    <row r="55" spans="1:178" ht="16" thickBot="1" x14ac:dyDescent="0.25">
      <c r="A55" s="27" t="s">
        <v>82</v>
      </c>
      <c r="B55" t="s">
        <v>140</v>
      </c>
      <c r="C55" s="1"/>
      <c r="D55" s="17"/>
      <c r="E55" s="17"/>
      <c r="F55" s="162"/>
      <c r="G55" s="89"/>
      <c r="H55" s="244"/>
      <c r="I55" s="88">
        <v>1</v>
      </c>
      <c r="J55" s="17"/>
      <c r="K55" s="17"/>
      <c r="L55" s="17"/>
      <c r="M55" s="17"/>
      <c r="N55" s="17"/>
      <c r="O55" s="17"/>
      <c r="P55" s="1"/>
      <c r="Q55" s="48"/>
      <c r="R55" s="49"/>
      <c r="S55" s="49">
        <v>0</v>
      </c>
      <c r="T55" s="50">
        <f t="shared" si="0"/>
        <v>0</v>
      </c>
      <c r="U55" s="48"/>
      <c r="V55" s="49"/>
      <c r="W55" s="49">
        <v>0</v>
      </c>
      <c r="X55" s="50">
        <f t="shared" si="1"/>
        <v>0</v>
      </c>
      <c r="Y55" s="48"/>
      <c r="Z55" s="49"/>
      <c r="AA55" s="49">
        <v>0</v>
      </c>
      <c r="AB55" s="50">
        <f t="shared" si="2"/>
        <v>0</v>
      </c>
      <c r="AC55" s="167"/>
      <c r="AD55" s="166"/>
      <c r="AE55" s="166">
        <v>0</v>
      </c>
      <c r="AF55" s="151">
        <f t="shared" si="3"/>
        <v>0</v>
      </c>
      <c r="AG55" s="166"/>
      <c r="AH55" s="166"/>
      <c r="AI55" s="166">
        <v>0</v>
      </c>
      <c r="AJ55" s="151">
        <f t="shared" si="4"/>
        <v>0</v>
      </c>
      <c r="AK55" s="192">
        <v>185.05</v>
      </c>
      <c r="AL55" s="10"/>
      <c r="AM55" s="10">
        <v>0</v>
      </c>
      <c r="AN55" s="151">
        <f t="shared" si="5"/>
        <v>185.05</v>
      </c>
      <c r="AO55" s="191"/>
      <c r="AP55" s="10"/>
      <c r="AQ55" s="10"/>
      <c r="AR55" s="151"/>
      <c r="AS55" s="191"/>
      <c r="AT55" s="10"/>
      <c r="AU55" s="10"/>
      <c r="AV55" s="151"/>
      <c r="AW55" s="191"/>
      <c r="AX55" s="10"/>
      <c r="AY55" s="10"/>
      <c r="AZ55" s="151"/>
      <c r="BA55" s="191"/>
      <c r="BB55" s="10"/>
      <c r="BC55" s="10"/>
      <c r="BD55" s="151"/>
      <c r="BE55" s="191"/>
      <c r="BF55" s="10"/>
      <c r="BG55" s="10"/>
      <c r="BH55" s="151"/>
      <c r="BI55" s="191"/>
      <c r="BJ55" s="10"/>
      <c r="BK55" s="10"/>
      <c r="BL55" s="151"/>
      <c r="BM55" s="1"/>
      <c r="BN55" s="48"/>
      <c r="BO55" s="56"/>
      <c r="BP55" s="56"/>
      <c r="BQ55" s="50"/>
      <c r="BR55" s="48"/>
      <c r="BS55" s="56"/>
      <c r="BT55" s="56"/>
      <c r="BU55" s="50"/>
      <c r="BV55" s="48"/>
      <c r="BW55" s="56"/>
      <c r="BX55" s="56"/>
      <c r="BY55" s="50"/>
      <c r="BZ55" s="48"/>
      <c r="CA55" s="49"/>
      <c r="CB55" s="49"/>
      <c r="CC55" s="50"/>
      <c r="CD55" s="48"/>
      <c r="CE55" s="49"/>
      <c r="CF55" s="49"/>
      <c r="CG55" s="50"/>
      <c r="CK55" s="12"/>
      <c r="CL55" s="15"/>
      <c r="CO55" s="12"/>
      <c r="CP55" s="15"/>
      <c r="CS55" s="12"/>
      <c r="CT55" s="15"/>
      <c r="CW55" s="12"/>
      <c r="CX55" s="15"/>
      <c r="DA55" s="12"/>
      <c r="DF55" s="15"/>
      <c r="DI55" s="12"/>
      <c r="DJ55" s="1"/>
      <c r="DK55" s="225"/>
      <c r="DL55" s="225"/>
      <c r="DM55" s="225"/>
      <c r="DN55" s="225"/>
      <c r="DO55" s="225"/>
      <c r="DP55" s="225"/>
      <c r="DQ55" s="225"/>
      <c r="DR55" s="225"/>
      <c r="DS55" s="10"/>
      <c r="DT55" s="225"/>
      <c r="DU55" s="10"/>
      <c r="DV55" s="225"/>
      <c r="DW55" s="1"/>
      <c r="EJ55" s="1"/>
      <c r="EK55" s="17"/>
      <c r="EL55" s="17"/>
      <c r="EM55" s="17"/>
      <c r="EN55" s="17"/>
      <c r="EO55" s="17"/>
      <c r="EP55" s="17"/>
      <c r="EQ55" s="17"/>
      <c r="ER55" s="17"/>
      <c r="ES55" s="17"/>
      <c r="EU55" s="17"/>
      <c r="EW55" s="1"/>
      <c r="EX55" s="225"/>
      <c r="EY55" s="225"/>
      <c r="EZ55" s="225"/>
      <c r="FA55" s="225"/>
      <c r="FB55" s="225"/>
      <c r="FC55" s="225"/>
      <c r="FD55" s="225"/>
      <c r="FE55" s="225"/>
      <c r="FF55" s="225"/>
      <c r="FG55" s="10"/>
      <c r="FH55" s="225"/>
      <c r="FI55" s="10"/>
      <c r="FJ55" s="1"/>
      <c r="FK55" s="225"/>
      <c r="FL55" s="225"/>
      <c r="FM55" s="191"/>
      <c r="FN55" s="191"/>
      <c r="FO55" s="225"/>
      <c r="FP55" s="225"/>
      <c r="FQ55" s="151"/>
      <c r="FR55" s="151"/>
      <c r="FS55" s="10"/>
      <c r="FT55" s="191"/>
      <c r="FU55" s="225"/>
      <c r="FV55" s="151"/>
    </row>
    <row r="56" spans="1:178" ht="16" thickBot="1" x14ac:dyDescent="0.25">
      <c r="A56" s="27" t="s">
        <v>83</v>
      </c>
      <c r="B56" t="s">
        <v>140</v>
      </c>
      <c r="C56" s="1"/>
      <c r="D56" s="17"/>
      <c r="E56" s="17">
        <v>3</v>
      </c>
      <c r="F56" s="161">
        <v>5</v>
      </c>
      <c r="G56" s="87">
        <v>6</v>
      </c>
      <c r="H56" s="243">
        <v>5</v>
      </c>
      <c r="I56" s="87">
        <v>2</v>
      </c>
      <c r="J56" s="17"/>
      <c r="K56" s="17"/>
      <c r="L56" s="17"/>
      <c r="M56" s="17"/>
      <c r="N56" s="17"/>
      <c r="O56" s="17"/>
      <c r="P56" s="1"/>
      <c r="Q56" s="48"/>
      <c r="R56" s="49"/>
      <c r="S56" s="49">
        <v>0</v>
      </c>
      <c r="T56" s="50">
        <f t="shared" si="0"/>
        <v>0</v>
      </c>
      <c r="U56" s="48">
        <v>499.03</v>
      </c>
      <c r="V56" s="49"/>
      <c r="W56" s="49">
        <v>0</v>
      </c>
      <c r="X56" s="50">
        <f t="shared" si="1"/>
        <v>499.03</v>
      </c>
      <c r="Y56" s="48">
        <v>3212.06</v>
      </c>
      <c r="Z56" s="49">
        <v>1355.39</v>
      </c>
      <c r="AA56" s="49">
        <v>0</v>
      </c>
      <c r="AB56" s="50">
        <f t="shared" si="2"/>
        <v>4567.45</v>
      </c>
      <c r="AC56" s="164">
        <v>1810.81</v>
      </c>
      <c r="AD56" s="166"/>
      <c r="AE56" s="165">
        <v>0</v>
      </c>
      <c r="AF56" s="151">
        <f t="shared" si="3"/>
        <v>1810.81</v>
      </c>
      <c r="AG56" s="165">
        <v>837.98</v>
      </c>
      <c r="AH56" s="166"/>
      <c r="AI56" s="165">
        <v>0</v>
      </c>
      <c r="AJ56" s="151">
        <f t="shared" si="4"/>
        <v>837.98</v>
      </c>
      <c r="AK56" s="192">
        <v>248.06</v>
      </c>
      <c r="AL56" s="10">
        <v>487.65</v>
      </c>
      <c r="AM56" s="10">
        <v>0</v>
      </c>
      <c r="AN56" s="151">
        <f t="shared" si="5"/>
        <v>735.71</v>
      </c>
      <c r="AO56" s="191"/>
      <c r="AP56" s="10"/>
      <c r="AQ56" s="10"/>
      <c r="AR56" s="151"/>
      <c r="AS56" s="191"/>
      <c r="AT56" s="10"/>
      <c r="AU56" s="10"/>
      <c r="AV56" s="151"/>
      <c r="AW56" s="191"/>
      <c r="AX56" s="10"/>
      <c r="AY56" s="10"/>
      <c r="AZ56" s="151"/>
      <c r="BA56" s="191"/>
      <c r="BB56" s="10"/>
      <c r="BC56" s="10"/>
      <c r="BD56" s="151"/>
      <c r="BE56" s="191"/>
      <c r="BF56" s="10"/>
      <c r="BG56" s="10"/>
      <c r="BH56" s="151"/>
      <c r="BI56" s="191"/>
      <c r="BJ56" s="10"/>
      <c r="BK56" s="10"/>
      <c r="BL56" s="151"/>
      <c r="BM56" s="1"/>
      <c r="BN56" s="48"/>
      <c r="BO56" s="56"/>
      <c r="BP56" s="56"/>
      <c r="BQ56" s="50"/>
      <c r="BR56" s="48"/>
      <c r="BS56" s="56"/>
      <c r="BT56" s="56"/>
      <c r="BU56" s="50"/>
      <c r="BV56" s="48"/>
      <c r="BW56" s="56"/>
      <c r="BX56" s="56"/>
      <c r="BY56" s="50"/>
      <c r="BZ56" s="48"/>
      <c r="CA56" s="49"/>
      <c r="CB56" s="49"/>
      <c r="CC56" s="50"/>
      <c r="CD56" s="48"/>
      <c r="CE56" s="49"/>
      <c r="CF56" s="49"/>
      <c r="CG56" s="50"/>
      <c r="CK56" s="12"/>
      <c r="CL56" s="15"/>
      <c r="CO56" s="12"/>
      <c r="CP56" s="15"/>
      <c r="CS56" s="12"/>
      <c r="CT56" s="15"/>
      <c r="CW56" s="12"/>
      <c r="CX56" s="15"/>
      <c r="DA56" s="12"/>
      <c r="DF56" s="15"/>
      <c r="DI56" s="12"/>
      <c r="DJ56" s="1"/>
      <c r="DK56" s="225"/>
      <c r="DL56" s="225"/>
      <c r="DM56" s="225"/>
      <c r="DN56" s="225"/>
      <c r="DO56" s="225"/>
      <c r="DP56" s="225"/>
      <c r="DQ56" s="225"/>
      <c r="DR56" s="225"/>
      <c r="DS56" s="10"/>
      <c r="DT56" s="225"/>
      <c r="DU56" s="10"/>
      <c r="DV56" s="225"/>
      <c r="DW56" s="1"/>
      <c r="EJ56" s="1"/>
      <c r="EK56" s="17"/>
      <c r="EL56" s="17"/>
      <c r="EM56" s="17"/>
      <c r="EN56" s="17"/>
      <c r="EO56" s="17"/>
      <c r="EP56" s="17"/>
      <c r="EQ56" s="17"/>
      <c r="ER56" s="17"/>
      <c r="ES56" s="17"/>
      <c r="EU56" s="17"/>
      <c r="EW56" s="1"/>
      <c r="EX56" s="225"/>
      <c r="EY56" s="225"/>
      <c r="EZ56" s="225"/>
      <c r="FA56" s="225"/>
      <c r="FB56" s="225"/>
      <c r="FC56" s="225"/>
      <c r="FD56" s="225"/>
      <c r="FE56" s="225"/>
      <c r="FF56" s="225"/>
      <c r="FG56" s="10"/>
      <c r="FH56" s="225"/>
      <c r="FI56" s="10"/>
      <c r="FJ56" s="1"/>
      <c r="FK56" s="225"/>
      <c r="FL56" s="225"/>
      <c r="FM56" s="191"/>
      <c r="FN56" s="191"/>
      <c r="FO56" s="225"/>
      <c r="FP56" s="225"/>
      <c r="FQ56" s="151"/>
      <c r="FR56" s="151"/>
      <c r="FS56" s="10"/>
      <c r="FT56" s="191"/>
      <c r="FU56" s="225"/>
      <c r="FV56" s="151"/>
    </row>
    <row r="57" spans="1:178" ht="16" thickBot="1" x14ac:dyDescent="0.25">
      <c r="A57" s="27" t="s">
        <v>84</v>
      </c>
      <c r="B57" t="s">
        <v>140</v>
      </c>
      <c r="C57" s="1"/>
      <c r="D57" s="17">
        <v>12</v>
      </c>
      <c r="E57" s="17">
        <v>7</v>
      </c>
      <c r="F57" s="161">
        <v>6</v>
      </c>
      <c r="G57" s="87">
        <v>3</v>
      </c>
      <c r="H57" s="243">
        <v>8</v>
      </c>
      <c r="I57" s="87">
        <v>10</v>
      </c>
      <c r="J57" s="17"/>
      <c r="K57" s="17"/>
      <c r="L57" s="17"/>
      <c r="M57" s="17"/>
      <c r="N57" s="17"/>
      <c r="O57" s="17"/>
      <c r="P57" s="1"/>
      <c r="Q57" s="48">
        <v>1404.4</v>
      </c>
      <c r="R57" s="49">
        <v>127.05</v>
      </c>
      <c r="S57" s="49">
        <v>1042.4099999999999</v>
      </c>
      <c r="T57" s="50">
        <f t="shared" si="0"/>
        <v>2573.8599999999997</v>
      </c>
      <c r="U57" s="48">
        <v>447.6</v>
      </c>
      <c r="V57" s="49"/>
      <c r="W57" s="49">
        <v>398.43</v>
      </c>
      <c r="X57" s="50">
        <f t="shared" si="1"/>
        <v>846.03</v>
      </c>
      <c r="Y57" s="48">
        <v>777.68</v>
      </c>
      <c r="Z57" s="49"/>
      <c r="AA57" s="49">
        <v>1084.4099999999999</v>
      </c>
      <c r="AB57" s="50">
        <f t="shared" si="2"/>
        <v>1862.0899999999997</v>
      </c>
      <c r="AC57" s="164">
        <v>243.69</v>
      </c>
      <c r="AD57" s="166"/>
      <c r="AE57" s="165">
        <v>334.34</v>
      </c>
      <c r="AF57" s="151">
        <f t="shared" si="3"/>
        <v>578.03</v>
      </c>
      <c r="AG57" s="165">
        <v>343.02</v>
      </c>
      <c r="AH57" s="166">
        <v>402.96</v>
      </c>
      <c r="AI57" s="165">
        <v>359.02</v>
      </c>
      <c r="AJ57" s="151">
        <f t="shared" si="4"/>
        <v>1105</v>
      </c>
      <c r="AK57" s="192">
        <v>4161.47</v>
      </c>
      <c r="AL57" s="10">
        <v>590.74</v>
      </c>
      <c r="AM57" s="10">
        <v>423.17</v>
      </c>
      <c r="AN57" s="151">
        <f t="shared" si="5"/>
        <v>5175.38</v>
      </c>
      <c r="AO57" s="191"/>
      <c r="AP57" s="10"/>
      <c r="AQ57" s="10"/>
      <c r="AR57" s="151"/>
      <c r="AS57" s="191"/>
      <c r="AT57" s="10"/>
      <c r="AU57" s="10"/>
      <c r="AV57" s="151"/>
      <c r="AW57" s="191"/>
      <c r="AX57" s="10"/>
      <c r="AY57" s="10"/>
      <c r="AZ57" s="151"/>
      <c r="BA57" s="191"/>
      <c r="BB57" s="10"/>
      <c r="BC57" s="10"/>
      <c r="BD57" s="151"/>
      <c r="BE57" s="191"/>
      <c r="BF57" s="10"/>
      <c r="BG57" s="10"/>
      <c r="BH57" s="151"/>
      <c r="BI57" s="191"/>
      <c r="BJ57" s="10"/>
      <c r="BK57" s="10"/>
      <c r="BL57" s="151"/>
      <c r="BM57" s="1"/>
      <c r="BN57" s="48"/>
      <c r="BO57" s="56"/>
      <c r="BP57" s="56"/>
      <c r="BQ57" s="50"/>
      <c r="BR57" s="48"/>
      <c r="BS57" s="56"/>
      <c r="BT57" s="56"/>
      <c r="BU57" s="50"/>
      <c r="BV57" s="48"/>
      <c r="BW57" s="56"/>
      <c r="BX57" s="56"/>
      <c r="BY57" s="50"/>
      <c r="BZ57" s="48"/>
      <c r="CA57" s="49"/>
      <c r="CB57" s="49"/>
      <c r="CC57" s="50"/>
      <c r="CD57" s="48"/>
      <c r="CE57" s="49"/>
      <c r="CF57" s="49"/>
      <c r="CG57" s="50"/>
      <c r="CK57" s="12"/>
      <c r="CL57" s="15"/>
      <c r="CO57" s="12"/>
      <c r="CP57" s="15"/>
      <c r="CS57" s="12"/>
      <c r="CT57" s="15"/>
      <c r="CW57" s="12"/>
      <c r="CX57" s="15"/>
      <c r="DA57" s="12"/>
      <c r="DF57" s="15"/>
      <c r="DI57" s="12"/>
      <c r="DJ57" s="1"/>
      <c r="DK57" s="225"/>
      <c r="DL57" s="225"/>
      <c r="DM57" s="225"/>
      <c r="DN57" s="225"/>
      <c r="DO57" s="225"/>
      <c r="DP57" s="225"/>
      <c r="DQ57" s="225"/>
      <c r="DR57" s="225"/>
      <c r="DS57" s="10"/>
      <c r="DT57" s="225"/>
      <c r="DU57" s="10"/>
      <c r="DV57" s="225"/>
      <c r="DW57" s="1"/>
      <c r="EJ57" s="1"/>
      <c r="EK57" s="17"/>
      <c r="EL57" s="17"/>
      <c r="EM57" s="17"/>
      <c r="EN57" s="17"/>
      <c r="EO57" s="17"/>
      <c r="EP57" s="17"/>
      <c r="EQ57" s="17"/>
      <c r="ER57" s="17"/>
      <c r="ES57" s="17"/>
      <c r="EU57" s="17"/>
      <c r="EW57" s="1"/>
      <c r="EX57" s="225"/>
      <c r="EY57" s="225"/>
      <c r="EZ57" s="225"/>
      <c r="FA57" s="225"/>
      <c r="FB57" s="225"/>
      <c r="FC57" s="225"/>
      <c r="FD57" s="225"/>
      <c r="FE57" s="225"/>
      <c r="FF57" s="225"/>
      <c r="FG57" s="10"/>
      <c r="FH57" s="225"/>
      <c r="FI57" s="10"/>
      <c r="FJ57" s="1"/>
      <c r="FK57" s="225"/>
      <c r="FL57" s="225"/>
      <c r="FM57" s="191"/>
      <c r="FN57" s="191"/>
      <c r="FO57" s="225"/>
      <c r="FP57" s="225"/>
      <c r="FQ57" s="151"/>
      <c r="FR57" s="151"/>
      <c r="FS57" s="10"/>
      <c r="FT57" s="191"/>
      <c r="FU57" s="225"/>
      <c r="FV57" s="151"/>
    </row>
    <row r="58" spans="1:178" ht="16" thickBot="1" x14ac:dyDescent="0.25">
      <c r="A58" s="27" t="s">
        <v>85</v>
      </c>
      <c r="B58" t="s">
        <v>140</v>
      </c>
      <c r="C58" s="1"/>
      <c r="D58" s="17">
        <v>6</v>
      </c>
      <c r="E58" s="17">
        <v>2</v>
      </c>
      <c r="F58" s="161">
        <v>5</v>
      </c>
      <c r="G58" s="87">
        <v>5</v>
      </c>
      <c r="H58" s="243">
        <v>2</v>
      </c>
      <c r="I58" s="87">
        <v>6</v>
      </c>
      <c r="J58" s="17"/>
      <c r="K58" s="17"/>
      <c r="L58" s="17"/>
      <c r="M58" s="17"/>
      <c r="N58" s="17"/>
      <c r="O58" s="17"/>
      <c r="P58" s="1"/>
      <c r="Q58" s="48">
        <v>1749.08</v>
      </c>
      <c r="R58" s="49">
        <v>1318.05</v>
      </c>
      <c r="S58" s="49">
        <v>380.27</v>
      </c>
      <c r="T58" s="50">
        <f t="shared" si="0"/>
        <v>3447.4</v>
      </c>
      <c r="U58" s="48">
        <v>953.13</v>
      </c>
      <c r="V58" s="49"/>
      <c r="W58" s="49">
        <v>405.27</v>
      </c>
      <c r="X58" s="50">
        <f t="shared" si="1"/>
        <v>1358.4</v>
      </c>
      <c r="Y58" s="48">
        <v>343.18</v>
      </c>
      <c r="Z58" s="49">
        <v>1852.66</v>
      </c>
      <c r="AA58" s="49">
        <v>405.27</v>
      </c>
      <c r="AB58" s="50">
        <f t="shared" si="2"/>
        <v>2601.11</v>
      </c>
      <c r="AC58" s="164">
        <v>25252.97</v>
      </c>
      <c r="AD58" s="165">
        <v>313.60000000000002</v>
      </c>
      <c r="AE58" s="165">
        <v>0</v>
      </c>
      <c r="AF58" s="151">
        <f t="shared" si="3"/>
        <v>25566.57</v>
      </c>
      <c r="AG58" s="165">
        <v>19586.61</v>
      </c>
      <c r="AH58" s="165"/>
      <c r="AI58" s="165">
        <v>0</v>
      </c>
      <c r="AJ58" s="151">
        <f t="shared" si="4"/>
        <v>19586.61</v>
      </c>
      <c r="AK58" s="192">
        <v>16176.27</v>
      </c>
      <c r="AL58" s="10">
        <v>907.19</v>
      </c>
      <c r="AM58" s="10">
        <v>0</v>
      </c>
      <c r="AN58" s="151">
        <f t="shared" si="5"/>
        <v>17083.46</v>
      </c>
      <c r="AO58" s="191"/>
      <c r="AP58" s="10"/>
      <c r="AQ58" s="10"/>
      <c r="AR58" s="151"/>
      <c r="AS58" s="191"/>
      <c r="AT58" s="10"/>
      <c r="AU58" s="10"/>
      <c r="AV58" s="151"/>
      <c r="AW58" s="191"/>
      <c r="AX58" s="10"/>
      <c r="AY58" s="10"/>
      <c r="AZ58" s="151"/>
      <c r="BA58" s="191"/>
      <c r="BB58" s="10"/>
      <c r="BC58" s="10"/>
      <c r="BD58" s="151"/>
      <c r="BE58" s="191"/>
      <c r="BF58" s="10"/>
      <c r="BG58" s="10"/>
      <c r="BH58" s="151"/>
      <c r="BI58" s="191"/>
      <c r="BJ58" s="10"/>
      <c r="BK58" s="10"/>
      <c r="BL58" s="151"/>
      <c r="BM58" s="1"/>
      <c r="BN58" s="48"/>
      <c r="BO58" s="56"/>
      <c r="BP58" s="56"/>
      <c r="BQ58" s="50"/>
      <c r="BR58" s="48"/>
      <c r="BS58" s="56"/>
      <c r="BT58" s="56"/>
      <c r="BU58" s="50"/>
      <c r="BV58" s="48"/>
      <c r="BW58" s="56"/>
      <c r="BX58" s="56"/>
      <c r="BY58" s="50"/>
      <c r="BZ58" s="48"/>
      <c r="CA58" s="49"/>
      <c r="CB58" s="49"/>
      <c r="CC58" s="50"/>
      <c r="CD58" s="48"/>
      <c r="CE58" s="49"/>
      <c r="CF58" s="49"/>
      <c r="CG58" s="50"/>
      <c r="CK58" s="12"/>
      <c r="CL58" s="15"/>
      <c r="CO58" s="12"/>
      <c r="CP58" s="15"/>
      <c r="CS58" s="12"/>
      <c r="CT58" s="15"/>
      <c r="CW58" s="12"/>
      <c r="CX58" s="15"/>
      <c r="DA58" s="12"/>
      <c r="DF58" s="15"/>
      <c r="DI58" s="12"/>
      <c r="DJ58" s="1"/>
      <c r="DK58" s="225"/>
      <c r="DL58" s="225"/>
      <c r="DM58" s="225"/>
      <c r="DN58" s="225"/>
      <c r="DO58" s="225"/>
      <c r="DP58" s="225"/>
      <c r="DQ58" s="225"/>
      <c r="DR58" s="225"/>
      <c r="DS58" s="10"/>
      <c r="DT58" s="225"/>
      <c r="DU58" s="10"/>
      <c r="DV58" s="225"/>
      <c r="DW58" s="1"/>
      <c r="EJ58" s="1"/>
      <c r="EK58" s="17"/>
      <c r="EL58" s="17"/>
      <c r="EM58" s="17"/>
      <c r="EN58" s="17"/>
      <c r="EO58" s="17"/>
      <c r="EP58" s="17"/>
      <c r="EQ58" s="17"/>
      <c r="ER58" s="17"/>
      <c r="ES58" s="17"/>
      <c r="EU58" s="17"/>
      <c r="EW58" s="1"/>
      <c r="EX58" s="225"/>
      <c r="EY58" s="225"/>
      <c r="EZ58" s="225"/>
      <c r="FA58" s="225"/>
      <c r="FB58" s="225"/>
      <c r="FC58" s="225"/>
      <c r="FD58" s="225"/>
      <c r="FE58" s="225"/>
      <c r="FF58" s="225"/>
      <c r="FG58" s="10"/>
      <c r="FH58" s="225"/>
      <c r="FI58" s="10"/>
      <c r="FJ58" s="1"/>
      <c r="FK58" s="225"/>
      <c r="FL58" s="225"/>
      <c r="FM58" s="191"/>
      <c r="FN58" s="191"/>
      <c r="FO58" s="225"/>
      <c r="FP58" s="225"/>
      <c r="FQ58" s="151"/>
      <c r="FR58" s="151"/>
      <c r="FS58" s="10"/>
      <c r="FT58" s="191"/>
      <c r="FU58" s="225"/>
      <c r="FV58" s="151"/>
    </row>
    <row r="59" spans="1:178" ht="16" thickBot="1" x14ac:dyDescent="0.25">
      <c r="A59" s="27" t="s">
        <v>86</v>
      </c>
      <c r="B59" t="s">
        <v>140</v>
      </c>
      <c r="C59" s="1"/>
      <c r="D59" s="17">
        <v>26</v>
      </c>
      <c r="E59" s="17">
        <v>25</v>
      </c>
      <c r="F59" s="161">
        <v>29</v>
      </c>
      <c r="G59" s="87">
        <v>29</v>
      </c>
      <c r="H59" s="243">
        <v>31</v>
      </c>
      <c r="I59" s="87">
        <v>26</v>
      </c>
      <c r="J59" s="17"/>
      <c r="K59" s="17"/>
      <c r="L59" s="17"/>
      <c r="M59" s="17"/>
      <c r="N59" s="17"/>
      <c r="O59" s="17"/>
      <c r="P59" s="1"/>
      <c r="Q59" s="48">
        <v>33673.1</v>
      </c>
      <c r="R59" s="49">
        <v>5163.1899999999996</v>
      </c>
      <c r="S59" s="49">
        <v>3305.73</v>
      </c>
      <c r="T59" s="50">
        <f t="shared" si="0"/>
        <v>42142.020000000004</v>
      </c>
      <c r="U59" s="48">
        <v>36925.89</v>
      </c>
      <c r="V59" s="49">
        <v>3832.19</v>
      </c>
      <c r="W59" s="49">
        <v>9985.619999999999</v>
      </c>
      <c r="X59" s="50">
        <f t="shared" si="1"/>
        <v>50743.7</v>
      </c>
      <c r="Y59" s="48">
        <v>38693.93</v>
      </c>
      <c r="Z59" s="49">
        <v>10671.01</v>
      </c>
      <c r="AA59" s="49">
        <v>2066.3000000000002</v>
      </c>
      <c r="AB59" s="50">
        <f t="shared" si="2"/>
        <v>51431.240000000005</v>
      </c>
      <c r="AC59" s="164">
        <v>29580.89</v>
      </c>
      <c r="AD59" s="165">
        <v>11568.93</v>
      </c>
      <c r="AE59" s="165">
        <v>1812.8799999999999</v>
      </c>
      <c r="AF59" s="151">
        <f t="shared" si="3"/>
        <v>42962.7</v>
      </c>
      <c r="AG59" s="165">
        <v>20445.150000000001</v>
      </c>
      <c r="AH59" s="165">
        <v>5065.91</v>
      </c>
      <c r="AI59" s="165">
        <v>6927.630000000001</v>
      </c>
      <c r="AJ59" s="151">
        <f t="shared" si="4"/>
        <v>32438.690000000002</v>
      </c>
      <c r="AK59" s="192">
        <v>20247.580000000002</v>
      </c>
      <c r="AL59" s="10">
        <v>3405.86</v>
      </c>
      <c r="AM59" s="10">
        <v>3346.1800000000003</v>
      </c>
      <c r="AN59" s="151">
        <f t="shared" si="5"/>
        <v>26999.620000000003</v>
      </c>
      <c r="AO59" s="191"/>
      <c r="AP59" s="10"/>
      <c r="AQ59" s="10"/>
      <c r="AR59" s="151"/>
      <c r="AS59" s="191"/>
      <c r="AT59" s="10"/>
      <c r="AU59" s="10"/>
      <c r="AV59" s="151"/>
      <c r="AW59" s="191"/>
      <c r="AX59" s="10"/>
      <c r="AY59" s="10"/>
      <c r="AZ59" s="151"/>
      <c r="BA59" s="191"/>
      <c r="BB59" s="10"/>
      <c r="BC59" s="10"/>
      <c r="BD59" s="151"/>
      <c r="BE59" s="191"/>
      <c r="BF59" s="10"/>
      <c r="BG59" s="10"/>
      <c r="BH59" s="151"/>
      <c r="BI59" s="191"/>
      <c r="BJ59" s="10"/>
      <c r="BK59" s="10"/>
      <c r="BL59" s="151"/>
      <c r="BM59" s="1"/>
      <c r="BN59" s="48"/>
      <c r="BO59" s="56"/>
      <c r="BP59" s="56"/>
      <c r="BQ59" s="50"/>
      <c r="BR59" s="48"/>
      <c r="BS59" s="56"/>
      <c r="BT59" s="56"/>
      <c r="BU59" s="50"/>
      <c r="BV59" s="48"/>
      <c r="BW59" s="56"/>
      <c r="BX59" s="56"/>
      <c r="BY59" s="50"/>
      <c r="BZ59" s="48"/>
      <c r="CA59" s="49"/>
      <c r="CB59" s="49"/>
      <c r="CC59" s="50"/>
      <c r="CD59" s="48"/>
      <c r="CE59" s="49"/>
      <c r="CF59" s="49"/>
      <c r="CG59" s="50"/>
      <c r="CK59" s="12"/>
      <c r="CL59" s="15"/>
      <c r="CO59" s="12"/>
      <c r="CP59" s="15"/>
      <c r="CS59" s="12"/>
      <c r="CT59" s="15"/>
      <c r="CW59" s="12"/>
      <c r="CX59" s="15"/>
      <c r="DA59" s="12"/>
      <c r="DF59" s="15"/>
      <c r="DI59" s="12"/>
      <c r="DJ59" s="1"/>
      <c r="DK59" s="225">
        <v>807.86</v>
      </c>
      <c r="DL59" s="225"/>
      <c r="DM59" s="225"/>
      <c r="DN59" s="225"/>
      <c r="DO59" s="225"/>
      <c r="DP59" s="225"/>
      <c r="DQ59" s="225"/>
      <c r="DR59" s="225"/>
      <c r="DS59" s="10"/>
      <c r="DT59" s="225"/>
      <c r="DU59" s="10"/>
      <c r="DV59" s="225"/>
      <c r="DW59" s="1"/>
      <c r="EJ59" s="1"/>
      <c r="EK59" s="17">
        <v>3</v>
      </c>
      <c r="EL59" s="17"/>
      <c r="EM59" s="17"/>
      <c r="EN59" s="17"/>
      <c r="EO59" s="17"/>
      <c r="EP59" s="17"/>
      <c r="EQ59" s="17"/>
      <c r="ER59" s="17"/>
      <c r="ES59" s="17"/>
      <c r="EU59" s="17"/>
      <c r="EW59" s="1"/>
      <c r="EX59" s="225">
        <v>794.36</v>
      </c>
      <c r="EY59" s="225"/>
      <c r="EZ59" s="225"/>
      <c r="FA59" s="225"/>
      <c r="FB59" s="225"/>
      <c r="FC59" s="225"/>
      <c r="FD59" s="225"/>
      <c r="FE59" s="225"/>
      <c r="FF59" s="225"/>
      <c r="FG59" s="10"/>
      <c r="FH59" s="225"/>
      <c r="FI59" s="10"/>
      <c r="FJ59" s="1"/>
      <c r="FK59" s="225"/>
      <c r="FL59" s="225"/>
      <c r="FM59" s="191"/>
      <c r="FN59" s="191"/>
      <c r="FO59" s="225"/>
      <c r="FP59" s="225"/>
      <c r="FQ59" s="151"/>
      <c r="FR59" s="151"/>
      <c r="FS59" s="10"/>
      <c r="FT59" s="191"/>
      <c r="FU59" s="225"/>
      <c r="FV59" s="151"/>
    </row>
    <row r="60" spans="1:178" ht="16" thickBot="1" x14ac:dyDescent="0.25">
      <c r="A60" s="27" t="s">
        <v>87</v>
      </c>
      <c r="B60" t="s">
        <v>140</v>
      </c>
      <c r="C60" s="1"/>
      <c r="D60" s="17">
        <v>3</v>
      </c>
      <c r="E60" s="17">
        <v>3</v>
      </c>
      <c r="F60" s="161">
        <v>3</v>
      </c>
      <c r="G60" s="87">
        <v>4</v>
      </c>
      <c r="H60" s="243">
        <v>5</v>
      </c>
      <c r="I60" s="87">
        <v>2</v>
      </c>
      <c r="J60" s="17"/>
      <c r="K60" s="17"/>
      <c r="L60" s="17"/>
      <c r="M60" s="17"/>
      <c r="N60" s="17"/>
      <c r="O60" s="17"/>
      <c r="P60" s="1"/>
      <c r="Q60" s="48">
        <v>231.74</v>
      </c>
      <c r="R60" s="49">
        <v>1080.25</v>
      </c>
      <c r="S60" s="49">
        <v>0</v>
      </c>
      <c r="T60" s="50">
        <f t="shared" si="0"/>
        <v>1311.99</v>
      </c>
      <c r="U60" s="48">
        <v>201.37</v>
      </c>
      <c r="V60" s="49">
        <v>1155.8699999999999</v>
      </c>
      <c r="W60" s="49">
        <v>0</v>
      </c>
      <c r="X60" s="50">
        <f t="shared" si="1"/>
        <v>1357.2399999999998</v>
      </c>
      <c r="Y60" s="48">
        <v>247.72</v>
      </c>
      <c r="Z60" s="49"/>
      <c r="AA60" s="49">
        <v>2063.25</v>
      </c>
      <c r="AB60" s="50">
        <f t="shared" si="2"/>
        <v>2310.9699999999998</v>
      </c>
      <c r="AC60" s="164">
        <v>499.37</v>
      </c>
      <c r="AD60" s="166">
        <v>1342.31</v>
      </c>
      <c r="AE60" s="165">
        <v>653.12</v>
      </c>
      <c r="AF60" s="151">
        <f t="shared" si="3"/>
        <v>2494.7999999999997</v>
      </c>
      <c r="AG60" s="166">
        <v>75.89</v>
      </c>
      <c r="AH60" s="166">
        <v>715.2</v>
      </c>
      <c r="AI60" s="165">
        <v>780.4</v>
      </c>
      <c r="AJ60" s="151">
        <f t="shared" si="4"/>
        <v>1571.49</v>
      </c>
      <c r="AK60" s="192">
        <v>447.43</v>
      </c>
      <c r="AL60" s="10"/>
      <c r="AM60" s="10">
        <v>861.37</v>
      </c>
      <c r="AN60" s="151">
        <f t="shared" si="5"/>
        <v>1308.8</v>
      </c>
      <c r="AO60" s="191"/>
      <c r="AP60" s="10"/>
      <c r="AQ60" s="10"/>
      <c r="AR60" s="151"/>
      <c r="AS60" s="191"/>
      <c r="AT60" s="10"/>
      <c r="AU60" s="10"/>
      <c r="AV60" s="151"/>
      <c r="AW60" s="191"/>
      <c r="AX60" s="10"/>
      <c r="AY60" s="10"/>
      <c r="AZ60" s="151"/>
      <c r="BA60" s="191"/>
      <c r="BB60" s="10"/>
      <c r="BC60" s="10"/>
      <c r="BD60" s="151"/>
      <c r="BE60" s="191"/>
      <c r="BF60" s="10"/>
      <c r="BG60" s="10"/>
      <c r="BH60" s="151"/>
      <c r="BI60" s="191"/>
      <c r="BJ60" s="10"/>
      <c r="BK60" s="10"/>
      <c r="BL60" s="151"/>
      <c r="BM60" s="1"/>
      <c r="BN60" s="48"/>
      <c r="BO60" s="56"/>
      <c r="BP60" s="56"/>
      <c r="BQ60" s="50"/>
      <c r="BR60" s="48"/>
      <c r="BS60" s="56"/>
      <c r="BT60" s="56"/>
      <c r="BU60" s="50"/>
      <c r="BV60" s="48"/>
      <c r="BW60" s="56"/>
      <c r="BX60" s="56"/>
      <c r="BY60" s="50"/>
      <c r="BZ60" s="48"/>
      <c r="CA60" s="49"/>
      <c r="CB60" s="49"/>
      <c r="CC60" s="50"/>
      <c r="CD60" s="48"/>
      <c r="CE60" s="49"/>
      <c r="CF60" s="49"/>
      <c r="CG60" s="50"/>
      <c r="CK60" s="12"/>
      <c r="CL60" s="15"/>
      <c r="CO60" s="12"/>
      <c r="CP60" s="15"/>
      <c r="CS60" s="12"/>
      <c r="CT60" s="15"/>
      <c r="CW60" s="12"/>
      <c r="CX60" s="15"/>
      <c r="DA60" s="12"/>
      <c r="DF60" s="15"/>
      <c r="DI60" s="12"/>
      <c r="DJ60" s="1"/>
      <c r="DK60" s="225"/>
      <c r="DL60" s="225"/>
      <c r="DM60" s="225"/>
      <c r="DN60" s="225"/>
      <c r="DO60" s="225"/>
      <c r="DP60" s="225"/>
      <c r="DQ60" s="225"/>
      <c r="DR60" s="225"/>
      <c r="DS60" s="10"/>
      <c r="DT60" s="225"/>
      <c r="DU60" s="10"/>
      <c r="DV60" s="225"/>
      <c r="DW60" s="1"/>
      <c r="EJ60" s="1"/>
      <c r="EK60" s="17"/>
      <c r="EL60" s="17"/>
      <c r="EM60" s="17"/>
      <c r="EN60" s="17"/>
      <c r="EO60" s="17"/>
      <c r="EP60" s="17"/>
      <c r="EQ60" s="17"/>
      <c r="ER60" s="17"/>
      <c r="ES60" s="17"/>
      <c r="EU60" s="17"/>
      <c r="EW60" s="1"/>
      <c r="EX60" s="225"/>
      <c r="EY60" s="225"/>
      <c r="EZ60" s="225"/>
      <c r="FA60" s="225"/>
      <c r="FB60" s="225"/>
      <c r="FC60" s="225"/>
      <c r="FD60" s="225"/>
      <c r="FE60" s="225"/>
      <c r="FF60" s="225"/>
      <c r="FG60" s="10"/>
      <c r="FH60" s="225"/>
      <c r="FI60" s="10"/>
      <c r="FJ60" s="1"/>
      <c r="FK60" s="225"/>
      <c r="FL60" s="225"/>
      <c r="FM60" s="191"/>
      <c r="FN60" s="191"/>
      <c r="FO60" s="225"/>
      <c r="FP60" s="225"/>
      <c r="FQ60" s="151"/>
      <c r="FR60" s="151"/>
      <c r="FS60" s="10"/>
      <c r="FT60" s="191"/>
      <c r="FU60" s="225"/>
      <c r="FV60" s="151"/>
    </row>
    <row r="61" spans="1:178" ht="16" thickBot="1" x14ac:dyDescent="0.25">
      <c r="A61" s="27" t="s">
        <v>88</v>
      </c>
      <c r="B61" t="s">
        <v>140</v>
      </c>
      <c r="C61" s="1"/>
      <c r="D61" s="17"/>
      <c r="E61" s="17"/>
      <c r="F61" s="162"/>
      <c r="G61" s="89"/>
      <c r="H61" s="244"/>
      <c r="I61" s="88"/>
      <c r="J61" s="17"/>
      <c r="K61" s="17"/>
      <c r="L61" s="17"/>
      <c r="M61" s="17"/>
      <c r="N61" s="17"/>
      <c r="O61" s="17"/>
      <c r="P61" s="1"/>
      <c r="Q61" s="48"/>
      <c r="R61" s="49"/>
      <c r="S61" s="49">
        <v>0</v>
      </c>
      <c r="T61" s="50">
        <f t="shared" si="0"/>
        <v>0</v>
      </c>
      <c r="U61" s="48"/>
      <c r="V61" s="49"/>
      <c r="W61" s="49">
        <v>0</v>
      </c>
      <c r="X61" s="50">
        <f t="shared" si="1"/>
        <v>0</v>
      </c>
      <c r="Y61" s="48"/>
      <c r="Z61" s="49"/>
      <c r="AA61" s="49"/>
      <c r="AB61" s="50">
        <f t="shared" si="2"/>
        <v>0</v>
      </c>
      <c r="AC61" s="167"/>
      <c r="AD61" s="166"/>
      <c r="AE61" s="166">
        <v>0</v>
      </c>
      <c r="AF61" s="151">
        <f t="shared" si="3"/>
        <v>0</v>
      </c>
      <c r="AG61" s="166"/>
      <c r="AH61" s="166"/>
      <c r="AI61" s="166">
        <v>0</v>
      </c>
      <c r="AJ61" s="151">
        <f t="shared" si="4"/>
        <v>0</v>
      </c>
      <c r="AK61" s="192"/>
      <c r="AL61" s="10"/>
      <c r="AM61" s="10"/>
      <c r="AN61" s="151">
        <f t="shared" si="5"/>
        <v>0</v>
      </c>
      <c r="AO61" s="191"/>
      <c r="AP61" s="10"/>
      <c r="AQ61" s="10"/>
      <c r="AR61" s="151"/>
      <c r="AS61" s="191"/>
      <c r="AT61" s="10"/>
      <c r="AU61" s="10"/>
      <c r="AV61" s="151"/>
      <c r="AW61" s="191"/>
      <c r="AX61" s="10"/>
      <c r="AY61" s="10"/>
      <c r="AZ61" s="151"/>
      <c r="BA61" s="191"/>
      <c r="BB61" s="10"/>
      <c r="BC61" s="10"/>
      <c r="BD61" s="151"/>
      <c r="BE61" s="191"/>
      <c r="BF61" s="10"/>
      <c r="BG61" s="10"/>
      <c r="BH61" s="151"/>
      <c r="BI61" s="191"/>
      <c r="BJ61" s="10"/>
      <c r="BK61" s="10"/>
      <c r="BL61" s="151"/>
      <c r="BM61" s="1"/>
      <c r="BN61" s="48"/>
      <c r="BO61" s="56"/>
      <c r="BP61" s="56"/>
      <c r="BQ61" s="50"/>
      <c r="BR61" s="48"/>
      <c r="BS61" s="56"/>
      <c r="BT61" s="56"/>
      <c r="BU61" s="50"/>
      <c r="BV61" s="48"/>
      <c r="BW61" s="56"/>
      <c r="BX61" s="56"/>
      <c r="BY61" s="50"/>
      <c r="BZ61" s="48"/>
      <c r="CA61" s="49"/>
      <c r="CB61" s="49"/>
      <c r="CC61" s="50"/>
      <c r="CD61" s="48"/>
      <c r="CE61" s="49"/>
      <c r="CF61" s="49"/>
      <c r="CG61" s="50"/>
      <c r="CK61" s="12"/>
      <c r="CL61" s="15"/>
      <c r="CO61" s="12"/>
      <c r="CP61" s="15"/>
      <c r="CS61" s="12"/>
      <c r="CT61" s="15"/>
      <c r="CW61" s="12"/>
      <c r="CX61" s="15"/>
      <c r="DA61" s="12"/>
      <c r="DF61" s="15"/>
      <c r="DI61" s="12"/>
      <c r="DJ61" s="1"/>
      <c r="DK61" s="225"/>
      <c r="DL61" s="225"/>
      <c r="DM61" s="225"/>
      <c r="DN61" s="225"/>
      <c r="DO61" s="225"/>
      <c r="DP61" s="225"/>
      <c r="DQ61" s="225"/>
      <c r="DR61" s="225"/>
      <c r="DS61" s="10"/>
      <c r="DT61" s="225"/>
      <c r="DU61" s="10"/>
      <c r="DV61" s="225"/>
      <c r="DW61" s="1"/>
      <c r="EJ61" s="1"/>
      <c r="EK61" s="17"/>
      <c r="EL61" s="17"/>
      <c r="EM61" s="17"/>
      <c r="EN61" s="17"/>
      <c r="EO61" s="17"/>
      <c r="EP61" s="17"/>
      <c r="EQ61" s="17"/>
      <c r="ER61" s="17"/>
      <c r="ES61" s="17"/>
      <c r="EU61" s="17"/>
      <c r="EW61" s="1"/>
      <c r="EX61" s="225"/>
      <c r="EY61" s="225"/>
      <c r="EZ61" s="225"/>
      <c r="FA61" s="225"/>
      <c r="FB61" s="225"/>
      <c r="FC61" s="225"/>
      <c r="FD61" s="225"/>
      <c r="FE61" s="225"/>
      <c r="FF61" s="225"/>
      <c r="FG61" s="10"/>
      <c r="FH61" s="225"/>
      <c r="FI61" s="10"/>
      <c r="FJ61" s="1"/>
      <c r="FK61" s="225"/>
      <c r="FL61" s="225"/>
      <c r="FM61" s="191"/>
      <c r="FN61" s="191"/>
      <c r="FO61" s="225"/>
      <c r="FP61" s="225"/>
      <c r="FQ61" s="151"/>
      <c r="FR61" s="151"/>
      <c r="FS61" s="10"/>
      <c r="FT61" s="191"/>
      <c r="FU61" s="225"/>
      <c r="FV61" s="151"/>
    </row>
    <row r="62" spans="1:178" ht="16" thickBot="1" x14ac:dyDescent="0.25">
      <c r="A62" s="27" t="s">
        <v>89</v>
      </c>
      <c r="B62" t="s">
        <v>140</v>
      </c>
      <c r="C62" s="1"/>
      <c r="D62" s="17">
        <v>1</v>
      </c>
      <c r="E62" s="17"/>
      <c r="F62" s="161"/>
      <c r="G62" s="87"/>
      <c r="H62" s="243"/>
      <c r="I62" s="87"/>
      <c r="J62" s="17"/>
      <c r="K62" s="17"/>
      <c r="L62" s="17"/>
      <c r="M62" s="17"/>
      <c r="N62" s="17"/>
      <c r="O62" s="17"/>
      <c r="P62" s="1"/>
      <c r="Q62" s="48">
        <v>157.1</v>
      </c>
      <c r="R62" s="49"/>
      <c r="S62" s="49">
        <v>0</v>
      </c>
      <c r="T62" s="50">
        <f t="shared" si="0"/>
        <v>157.1</v>
      </c>
      <c r="U62" s="48"/>
      <c r="V62" s="49"/>
      <c r="W62" s="49">
        <v>0</v>
      </c>
      <c r="X62" s="50">
        <f t="shared" si="1"/>
        <v>0</v>
      </c>
      <c r="Y62" s="48"/>
      <c r="Z62" s="49"/>
      <c r="AA62" s="49">
        <v>0</v>
      </c>
      <c r="AB62" s="50">
        <f t="shared" si="2"/>
        <v>0</v>
      </c>
      <c r="AC62" s="167"/>
      <c r="AD62" s="166"/>
      <c r="AE62" s="165">
        <v>0</v>
      </c>
      <c r="AF62" s="151">
        <f t="shared" si="3"/>
        <v>0</v>
      </c>
      <c r="AG62" s="166"/>
      <c r="AH62" s="166"/>
      <c r="AI62" s="165">
        <v>0</v>
      </c>
      <c r="AJ62" s="151">
        <f t="shared" si="4"/>
        <v>0</v>
      </c>
      <c r="AK62" s="192"/>
      <c r="AL62" s="10"/>
      <c r="AM62" s="10">
        <v>0</v>
      </c>
      <c r="AN62" s="151">
        <f t="shared" si="5"/>
        <v>0</v>
      </c>
      <c r="AO62" s="191"/>
      <c r="AP62" s="10"/>
      <c r="AQ62" s="10"/>
      <c r="AR62" s="151"/>
      <c r="AS62" s="191"/>
      <c r="AT62" s="10"/>
      <c r="AU62" s="10"/>
      <c r="AV62" s="151"/>
      <c r="AW62" s="191"/>
      <c r="AX62" s="10"/>
      <c r="AY62" s="10"/>
      <c r="AZ62" s="151"/>
      <c r="BA62" s="191"/>
      <c r="BB62" s="10"/>
      <c r="BC62" s="10"/>
      <c r="BD62" s="151"/>
      <c r="BE62" s="191"/>
      <c r="BF62" s="10"/>
      <c r="BG62" s="10"/>
      <c r="BH62" s="151"/>
      <c r="BI62" s="191"/>
      <c r="BJ62" s="10"/>
      <c r="BK62" s="10"/>
      <c r="BL62" s="151"/>
      <c r="BM62" s="1"/>
      <c r="BN62" s="48"/>
      <c r="BO62" s="56"/>
      <c r="BP62" s="56"/>
      <c r="BQ62" s="50"/>
      <c r="BR62" s="48"/>
      <c r="BS62" s="56"/>
      <c r="BT62" s="56"/>
      <c r="BU62" s="50"/>
      <c r="BV62" s="48"/>
      <c r="BW62" s="56"/>
      <c r="BX62" s="56"/>
      <c r="BY62" s="50"/>
      <c r="BZ62" s="48"/>
      <c r="CA62" s="49"/>
      <c r="CB62" s="49"/>
      <c r="CC62" s="50"/>
      <c r="CD62" s="48"/>
      <c r="CE62" s="49"/>
      <c r="CF62" s="49"/>
      <c r="CG62" s="50"/>
      <c r="CK62" s="12"/>
      <c r="CL62" s="15"/>
      <c r="CO62" s="12"/>
      <c r="CP62" s="15"/>
      <c r="CS62" s="12"/>
      <c r="CT62" s="15"/>
      <c r="CW62" s="12"/>
      <c r="CX62" s="15"/>
      <c r="DA62" s="12"/>
      <c r="DF62" s="15"/>
      <c r="DI62" s="12"/>
      <c r="DJ62" s="1"/>
      <c r="DK62" s="225"/>
      <c r="DL62" s="225"/>
      <c r="DM62" s="225"/>
      <c r="DN62" s="225"/>
      <c r="DO62" s="225"/>
      <c r="DP62" s="225"/>
      <c r="DQ62" s="225"/>
      <c r="DR62" s="225"/>
      <c r="DS62" s="10"/>
      <c r="DT62" s="225"/>
      <c r="DU62" s="10"/>
      <c r="DV62" s="225"/>
      <c r="DW62" s="1"/>
      <c r="EJ62" s="1"/>
      <c r="EK62" s="17"/>
      <c r="EL62" s="17"/>
      <c r="EM62" s="17"/>
      <c r="EN62" s="17"/>
      <c r="EO62" s="17"/>
      <c r="EP62" s="17"/>
      <c r="EQ62" s="17"/>
      <c r="ER62" s="17"/>
      <c r="ES62" s="17"/>
      <c r="EU62" s="17"/>
      <c r="EW62" s="1"/>
      <c r="EX62" s="225"/>
      <c r="EY62" s="225"/>
      <c r="EZ62" s="225"/>
      <c r="FA62" s="225"/>
      <c r="FB62" s="225"/>
      <c r="FC62" s="225"/>
      <c r="FD62" s="225"/>
      <c r="FE62" s="225"/>
      <c r="FF62" s="225"/>
      <c r="FG62" s="10"/>
      <c r="FH62" s="225"/>
      <c r="FI62" s="10"/>
      <c r="FJ62" s="1"/>
      <c r="FK62" s="225"/>
      <c r="FL62" s="225"/>
      <c r="FM62" s="191"/>
      <c r="FN62" s="191"/>
      <c r="FO62" s="225"/>
      <c r="FP62" s="225"/>
      <c r="FQ62" s="151"/>
      <c r="FR62" s="151"/>
      <c r="FS62" s="10"/>
      <c r="FT62" s="191"/>
      <c r="FU62" s="225"/>
      <c r="FV62" s="151"/>
    </row>
    <row r="63" spans="1:178" ht="16" thickBot="1" x14ac:dyDescent="0.25">
      <c r="A63" s="27" t="s">
        <v>90</v>
      </c>
      <c r="B63" t="s">
        <v>140</v>
      </c>
      <c r="C63" s="1"/>
      <c r="D63" s="17">
        <v>16</v>
      </c>
      <c r="E63" s="17">
        <v>7</v>
      </c>
      <c r="F63" s="161">
        <v>17</v>
      </c>
      <c r="G63" s="87">
        <v>11</v>
      </c>
      <c r="H63" s="243">
        <v>8</v>
      </c>
      <c r="I63" s="87">
        <v>17</v>
      </c>
      <c r="J63" s="17"/>
      <c r="K63" s="17"/>
      <c r="L63" s="17"/>
      <c r="M63" s="17"/>
      <c r="N63" s="17"/>
      <c r="O63" s="17"/>
      <c r="P63" s="1"/>
      <c r="Q63" s="48">
        <v>12039.14</v>
      </c>
      <c r="R63" s="49"/>
      <c r="S63" s="49">
        <v>6412.65</v>
      </c>
      <c r="T63" s="50">
        <f t="shared" si="0"/>
        <v>18451.79</v>
      </c>
      <c r="U63" s="48"/>
      <c r="V63" s="49">
        <v>12816.14</v>
      </c>
      <c r="W63" s="49">
        <v>279.82</v>
      </c>
      <c r="X63" s="50">
        <f t="shared" si="1"/>
        <v>13095.96</v>
      </c>
      <c r="Y63" s="48">
        <v>8799.01</v>
      </c>
      <c r="Z63" s="49"/>
      <c r="AA63" s="49">
        <v>14829.429999999998</v>
      </c>
      <c r="AB63" s="50">
        <f t="shared" si="2"/>
        <v>23628.44</v>
      </c>
      <c r="AC63" s="164">
        <v>1355.2</v>
      </c>
      <c r="AD63" s="165">
        <v>3825.42</v>
      </c>
      <c r="AE63" s="165">
        <v>339.56</v>
      </c>
      <c r="AF63" s="151">
        <f t="shared" si="3"/>
        <v>5520.18</v>
      </c>
      <c r="AG63" s="165">
        <v>2180.7600000000002</v>
      </c>
      <c r="AH63" s="165">
        <v>2962.94</v>
      </c>
      <c r="AI63" s="165">
        <v>382.33</v>
      </c>
      <c r="AJ63" s="151">
        <f t="shared" si="4"/>
        <v>5526.0300000000007</v>
      </c>
      <c r="AK63" s="192">
        <v>5201.28</v>
      </c>
      <c r="AL63" s="10">
        <v>2826.3</v>
      </c>
      <c r="AM63" s="10">
        <v>1410.12</v>
      </c>
      <c r="AN63" s="151">
        <f t="shared" si="5"/>
        <v>9437.7000000000007</v>
      </c>
      <c r="AO63" s="191"/>
      <c r="AP63" s="10"/>
      <c r="AQ63" s="10"/>
      <c r="AR63" s="151"/>
      <c r="AS63" s="191"/>
      <c r="AT63" s="10"/>
      <c r="AU63" s="10"/>
      <c r="AV63" s="151"/>
      <c r="AW63" s="191"/>
      <c r="AX63" s="10"/>
      <c r="AY63" s="10"/>
      <c r="AZ63" s="151"/>
      <c r="BA63" s="191"/>
      <c r="BB63" s="10"/>
      <c r="BC63" s="10"/>
      <c r="BD63" s="151"/>
      <c r="BE63" s="191"/>
      <c r="BF63" s="10"/>
      <c r="BG63" s="10"/>
      <c r="BH63" s="151"/>
      <c r="BI63" s="191"/>
      <c r="BJ63" s="10"/>
      <c r="BK63" s="10"/>
      <c r="BL63" s="151"/>
      <c r="BM63" s="1"/>
      <c r="BN63" s="48"/>
      <c r="BO63" s="56"/>
      <c r="BP63" s="56"/>
      <c r="BQ63" s="50"/>
      <c r="BR63" s="48"/>
      <c r="BS63" s="56"/>
      <c r="BT63" s="56"/>
      <c r="BU63" s="50"/>
      <c r="BV63" s="48"/>
      <c r="BW63" s="56"/>
      <c r="BX63" s="56"/>
      <c r="BY63" s="50"/>
      <c r="BZ63" s="48"/>
      <c r="CA63" s="49"/>
      <c r="CB63" s="49"/>
      <c r="CC63" s="50"/>
      <c r="CD63" s="48"/>
      <c r="CE63" s="49"/>
      <c r="CF63" s="49"/>
      <c r="CG63" s="50"/>
      <c r="CK63" s="12"/>
      <c r="CL63" s="15"/>
      <c r="CO63" s="12"/>
      <c r="CP63" s="15"/>
      <c r="CS63" s="12"/>
      <c r="CT63" s="15"/>
      <c r="CW63" s="12"/>
      <c r="CX63" s="15"/>
      <c r="DA63" s="12"/>
      <c r="DF63" s="15"/>
      <c r="DI63" s="12"/>
      <c r="DJ63" s="1"/>
      <c r="DK63" s="225">
        <v>48.47</v>
      </c>
      <c r="DL63" s="225"/>
      <c r="DM63" s="225"/>
      <c r="DN63" s="225"/>
      <c r="DO63" s="225"/>
      <c r="DP63" s="225"/>
      <c r="DQ63" s="225"/>
      <c r="DR63" s="225"/>
      <c r="DS63" s="10"/>
      <c r="DT63" s="225"/>
      <c r="DU63" s="10"/>
      <c r="DV63" s="225"/>
      <c r="DW63" s="1"/>
      <c r="EJ63" s="1"/>
      <c r="EK63" s="17">
        <v>1</v>
      </c>
      <c r="EL63" s="17"/>
      <c r="EM63" s="17"/>
      <c r="EN63" s="17"/>
      <c r="EO63" s="17"/>
      <c r="EP63" s="17"/>
      <c r="EQ63" s="17"/>
      <c r="ER63" s="17"/>
      <c r="ES63" s="17"/>
      <c r="EU63" s="17"/>
      <c r="EW63" s="1"/>
      <c r="EX63" s="225">
        <v>48.47</v>
      </c>
      <c r="EY63" s="225"/>
      <c r="EZ63" s="225"/>
      <c r="FA63" s="225"/>
      <c r="FB63" s="225"/>
      <c r="FC63" s="225"/>
      <c r="FD63" s="225"/>
      <c r="FE63" s="225"/>
      <c r="FF63" s="225"/>
      <c r="FG63" s="10"/>
      <c r="FH63" s="225"/>
      <c r="FI63" s="10"/>
      <c r="FJ63" s="1"/>
      <c r="FK63" s="225"/>
      <c r="FL63" s="225"/>
      <c r="FM63" s="191"/>
      <c r="FN63" s="191"/>
      <c r="FO63" s="225"/>
      <c r="FP63" s="225"/>
      <c r="FQ63" s="151"/>
      <c r="FR63" s="151"/>
      <c r="FS63" s="10"/>
      <c r="FT63" s="191"/>
      <c r="FU63" s="225"/>
      <c r="FV63" s="151"/>
    </row>
    <row r="64" spans="1:178" ht="16" thickBot="1" x14ac:dyDescent="0.25">
      <c r="A64" s="27" t="s">
        <v>91</v>
      </c>
      <c r="B64" t="s">
        <v>140</v>
      </c>
      <c r="C64" s="1"/>
      <c r="D64" s="17">
        <v>1</v>
      </c>
      <c r="E64" s="17">
        <v>1</v>
      </c>
      <c r="F64" s="162"/>
      <c r="G64" s="87">
        <v>1</v>
      </c>
      <c r="H64" s="243">
        <v>1</v>
      </c>
      <c r="I64" s="87">
        <v>1</v>
      </c>
      <c r="J64" s="17"/>
      <c r="K64" s="17"/>
      <c r="L64" s="17"/>
      <c r="M64" s="17"/>
      <c r="N64" s="17"/>
      <c r="O64" s="17"/>
      <c r="P64" s="1"/>
      <c r="Q64" s="48">
        <v>5148.9799999999996</v>
      </c>
      <c r="R64" s="49"/>
      <c r="S64" s="49">
        <v>0</v>
      </c>
      <c r="T64" s="50">
        <f t="shared" si="0"/>
        <v>5148.9799999999996</v>
      </c>
      <c r="U64" s="48">
        <v>5148.9799999999996</v>
      </c>
      <c r="V64" s="49"/>
      <c r="W64" s="49">
        <v>0</v>
      </c>
      <c r="X64" s="50">
        <f t="shared" si="1"/>
        <v>5148.9799999999996</v>
      </c>
      <c r="Y64" s="48"/>
      <c r="Z64" s="49"/>
      <c r="AA64" s="49">
        <v>0</v>
      </c>
      <c r="AB64" s="50">
        <f t="shared" si="2"/>
        <v>0</v>
      </c>
      <c r="AC64" s="167">
        <v>4872.88</v>
      </c>
      <c r="AD64" s="165"/>
      <c r="AE64" s="166">
        <v>0</v>
      </c>
      <c r="AF64" s="151">
        <f t="shared" si="3"/>
        <v>4872.88</v>
      </c>
      <c r="AG64" s="166">
        <v>9469.59</v>
      </c>
      <c r="AH64" s="166"/>
      <c r="AI64" s="165">
        <v>0</v>
      </c>
      <c r="AJ64" s="151">
        <f t="shared" si="4"/>
        <v>9469.59</v>
      </c>
      <c r="AK64" s="192">
        <v>5311.78</v>
      </c>
      <c r="AL64" s="10"/>
      <c r="AM64" s="10">
        <v>0</v>
      </c>
      <c r="AN64" s="151">
        <f t="shared" si="5"/>
        <v>5311.78</v>
      </c>
      <c r="AO64" s="191"/>
      <c r="AP64" s="10"/>
      <c r="AQ64" s="10"/>
      <c r="AR64" s="151"/>
      <c r="AS64" s="191"/>
      <c r="AT64" s="10"/>
      <c r="AU64" s="10"/>
      <c r="AV64" s="151"/>
      <c r="AW64" s="191"/>
      <c r="AX64" s="10"/>
      <c r="AY64" s="10"/>
      <c r="AZ64" s="151"/>
      <c r="BA64" s="191"/>
      <c r="BB64" s="10"/>
      <c r="BC64" s="10"/>
      <c r="BD64" s="151"/>
      <c r="BE64" s="191"/>
      <c r="BF64" s="10"/>
      <c r="BG64" s="10"/>
      <c r="BH64" s="151"/>
      <c r="BI64" s="191"/>
      <c r="BJ64" s="10"/>
      <c r="BK64" s="10"/>
      <c r="BL64" s="151"/>
      <c r="BM64" s="1"/>
      <c r="BN64" s="48"/>
      <c r="BO64" s="56"/>
      <c r="BP64" s="56"/>
      <c r="BQ64" s="50"/>
      <c r="BR64" s="48"/>
      <c r="BS64" s="56"/>
      <c r="BT64" s="56"/>
      <c r="BU64" s="50"/>
      <c r="BV64" s="48"/>
      <c r="BW64" s="56"/>
      <c r="BX64" s="56"/>
      <c r="BY64" s="50"/>
      <c r="BZ64" s="48"/>
      <c r="CA64" s="49"/>
      <c r="CB64" s="49"/>
      <c r="CC64" s="50"/>
      <c r="CD64" s="48"/>
      <c r="CE64" s="49"/>
      <c r="CF64" s="49"/>
      <c r="CG64" s="50"/>
      <c r="CK64" s="12"/>
      <c r="CL64" s="15"/>
      <c r="CO64" s="12"/>
      <c r="CP64" s="15"/>
      <c r="CS64" s="12"/>
      <c r="CT64" s="15"/>
      <c r="CW64" s="12"/>
      <c r="CX64" s="15"/>
      <c r="DA64" s="12"/>
      <c r="DF64" s="15"/>
      <c r="DI64" s="12"/>
      <c r="DJ64" s="1"/>
      <c r="DK64" s="225"/>
      <c r="DL64" s="225"/>
      <c r="DM64" s="225"/>
      <c r="DN64" s="225"/>
      <c r="DO64" s="225"/>
      <c r="DP64" s="225"/>
      <c r="DQ64" s="225"/>
      <c r="DR64" s="225"/>
      <c r="DS64" s="10"/>
      <c r="DT64" s="225"/>
      <c r="DU64" s="10"/>
      <c r="DV64" s="225"/>
      <c r="DW64" s="1"/>
      <c r="EJ64" s="1"/>
      <c r="EK64" s="17"/>
      <c r="EL64" s="17"/>
      <c r="EM64" s="17"/>
      <c r="EN64" s="17"/>
      <c r="EO64" s="17"/>
      <c r="EP64" s="17"/>
      <c r="EQ64" s="17"/>
      <c r="ER64" s="17"/>
      <c r="ES64" s="17"/>
      <c r="EU64" s="17"/>
      <c r="EW64" s="1"/>
      <c r="EX64" s="225"/>
      <c r="EY64" s="225"/>
      <c r="EZ64" s="225"/>
      <c r="FA64" s="225"/>
      <c r="FB64" s="225"/>
      <c r="FC64" s="225"/>
      <c r="FD64" s="225"/>
      <c r="FE64" s="225"/>
      <c r="FF64" s="225"/>
      <c r="FG64" s="10"/>
      <c r="FH64" s="225"/>
      <c r="FI64" s="10"/>
      <c r="FJ64" s="1"/>
      <c r="FK64" s="225"/>
      <c r="FL64" s="225"/>
      <c r="FM64" s="191"/>
      <c r="FN64" s="191"/>
      <c r="FO64" s="225"/>
      <c r="FP64" s="225"/>
      <c r="FQ64" s="151"/>
      <c r="FR64" s="151"/>
      <c r="FS64" s="10"/>
      <c r="FT64" s="191"/>
      <c r="FU64" s="225"/>
      <c r="FV64" s="151"/>
    </row>
    <row r="65" spans="1:178" ht="16" thickBot="1" x14ac:dyDescent="0.25">
      <c r="A65" s="27" t="s">
        <v>92</v>
      </c>
      <c r="B65" t="s">
        <v>140</v>
      </c>
      <c r="C65" s="1"/>
      <c r="D65" s="17"/>
      <c r="E65" s="17"/>
      <c r="F65" s="162"/>
      <c r="G65" s="89"/>
      <c r="H65" s="244"/>
      <c r="I65" s="88"/>
      <c r="J65" s="17"/>
      <c r="K65" s="17"/>
      <c r="L65" s="17"/>
      <c r="M65" s="17"/>
      <c r="N65" s="17"/>
      <c r="O65" s="17"/>
      <c r="P65" s="1"/>
      <c r="Q65" s="48"/>
      <c r="R65" s="49"/>
      <c r="S65" s="49">
        <v>0</v>
      </c>
      <c r="T65" s="50">
        <f t="shared" si="0"/>
        <v>0</v>
      </c>
      <c r="U65" s="48"/>
      <c r="V65" s="49"/>
      <c r="W65" s="49">
        <v>0</v>
      </c>
      <c r="X65" s="50">
        <f t="shared" si="1"/>
        <v>0</v>
      </c>
      <c r="Y65" s="48"/>
      <c r="Z65" s="49"/>
      <c r="AA65" s="49">
        <v>0</v>
      </c>
      <c r="AB65" s="50">
        <f t="shared" si="2"/>
        <v>0</v>
      </c>
      <c r="AC65" s="167"/>
      <c r="AD65" s="166"/>
      <c r="AE65" s="166">
        <v>0</v>
      </c>
      <c r="AF65" s="151">
        <f t="shared" si="3"/>
        <v>0</v>
      </c>
      <c r="AG65" s="166"/>
      <c r="AH65" s="166"/>
      <c r="AI65" s="166">
        <v>0</v>
      </c>
      <c r="AJ65" s="151">
        <f t="shared" si="4"/>
        <v>0</v>
      </c>
      <c r="AK65" s="192"/>
      <c r="AL65" s="10"/>
      <c r="AM65" s="10">
        <v>0</v>
      </c>
      <c r="AN65" s="151">
        <f t="shared" si="5"/>
        <v>0</v>
      </c>
      <c r="AO65" s="191"/>
      <c r="AP65" s="10"/>
      <c r="AQ65" s="10"/>
      <c r="AR65" s="151"/>
      <c r="AS65" s="191"/>
      <c r="AT65" s="10"/>
      <c r="AU65" s="10"/>
      <c r="AV65" s="151"/>
      <c r="AW65" s="191"/>
      <c r="AX65" s="10"/>
      <c r="AY65" s="10"/>
      <c r="AZ65" s="151"/>
      <c r="BA65" s="191"/>
      <c r="BB65" s="10"/>
      <c r="BC65" s="10"/>
      <c r="BD65" s="151"/>
      <c r="BE65" s="191"/>
      <c r="BF65" s="10"/>
      <c r="BG65" s="10"/>
      <c r="BH65" s="151"/>
      <c r="BI65" s="191"/>
      <c r="BJ65" s="10"/>
      <c r="BK65" s="10"/>
      <c r="BL65" s="151"/>
      <c r="BM65" s="1"/>
      <c r="BN65" s="48"/>
      <c r="BO65" s="56"/>
      <c r="BP65" s="56"/>
      <c r="BQ65" s="50"/>
      <c r="BR65" s="48"/>
      <c r="BS65" s="56"/>
      <c r="BT65" s="56"/>
      <c r="BU65" s="50"/>
      <c r="BV65" s="48"/>
      <c r="BW65" s="56"/>
      <c r="BX65" s="56"/>
      <c r="BY65" s="50"/>
      <c r="BZ65" s="48"/>
      <c r="CA65" s="49"/>
      <c r="CB65" s="49"/>
      <c r="CC65" s="50"/>
      <c r="CD65" s="48"/>
      <c r="CE65" s="49"/>
      <c r="CF65" s="49"/>
      <c r="CG65" s="50"/>
      <c r="CK65" s="12"/>
      <c r="CL65" s="15"/>
      <c r="CO65" s="12"/>
      <c r="CP65" s="15"/>
      <c r="CS65" s="12"/>
      <c r="CT65" s="15"/>
      <c r="CW65" s="12"/>
      <c r="CX65" s="15"/>
      <c r="DA65" s="12"/>
      <c r="DF65" s="15"/>
      <c r="DI65" s="12"/>
      <c r="DJ65" s="1"/>
      <c r="DK65" s="225"/>
      <c r="DL65" s="225"/>
      <c r="DM65" s="225"/>
      <c r="DN65" s="225"/>
      <c r="DO65" s="225"/>
      <c r="DP65" s="225"/>
      <c r="DQ65" s="225"/>
      <c r="DR65" s="225"/>
      <c r="DS65" s="10"/>
      <c r="DT65" s="225"/>
      <c r="DU65" s="10"/>
      <c r="DV65" s="225"/>
      <c r="DW65" s="1"/>
      <c r="EJ65" s="1"/>
      <c r="EK65" s="17"/>
      <c r="EL65" s="17"/>
      <c r="EM65" s="17"/>
      <c r="EN65" s="17"/>
      <c r="EO65" s="17"/>
      <c r="EP65" s="17"/>
      <c r="EQ65" s="17"/>
      <c r="ER65" s="17"/>
      <c r="ES65" s="17"/>
      <c r="EU65" s="17"/>
      <c r="EW65" s="1"/>
      <c r="EX65" s="225"/>
      <c r="EY65" s="225"/>
      <c r="EZ65" s="225"/>
      <c r="FA65" s="225"/>
      <c r="FB65" s="225"/>
      <c r="FC65" s="225"/>
      <c r="FD65" s="225"/>
      <c r="FE65" s="225"/>
      <c r="FF65" s="225"/>
      <c r="FG65" s="10"/>
      <c r="FH65" s="225"/>
      <c r="FI65" s="10"/>
      <c r="FJ65" s="1"/>
      <c r="FK65" s="225"/>
      <c r="FL65" s="225"/>
      <c r="FM65" s="191"/>
      <c r="FN65" s="191"/>
      <c r="FO65" s="225"/>
      <c r="FP65" s="225"/>
      <c r="FQ65" s="151"/>
      <c r="FR65" s="151"/>
      <c r="FS65" s="10"/>
      <c r="FT65" s="191"/>
      <c r="FU65" s="225"/>
      <c r="FV65" s="151"/>
    </row>
    <row r="66" spans="1:178" ht="16" thickBot="1" x14ac:dyDescent="0.25">
      <c r="A66" s="27" t="s">
        <v>93</v>
      </c>
      <c r="B66" t="s">
        <v>140</v>
      </c>
      <c r="C66" s="1"/>
      <c r="D66" s="17"/>
      <c r="E66" s="17"/>
      <c r="F66" s="162"/>
      <c r="G66" s="89"/>
      <c r="H66" s="244"/>
      <c r="I66" s="88"/>
      <c r="J66" s="17"/>
      <c r="K66" s="17"/>
      <c r="L66" s="17"/>
      <c r="M66" s="17"/>
      <c r="N66" s="17"/>
      <c r="O66" s="17"/>
      <c r="P66" s="1"/>
      <c r="Q66" s="48"/>
      <c r="R66" s="49"/>
      <c r="S66" s="49">
        <v>0</v>
      </c>
      <c r="T66" s="50">
        <f t="shared" si="0"/>
        <v>0</v>
      </c>
      <c r="U66" s="48"/>
      <c r="V66" s="49"/>
      <c r="W66" s="49">
        <v>0</v>
      </c>
      <c r="X66" s="50">
        <f t="shared" si="1"/>
        <v>0</v>
      </c>
      <c r="Y66" s="48"/>
      <c r="Z66" s="49"/>
      <c r="AA66" s="49">
        <v>0</v>
      </c>
      <c r="AB66" s="50">
        <f t="shared" si="2"/>
        <v>0</v>
      </c>
      <c r="AC66" s="167"/>
      <c r="AD66" s="166"/>
      <c r="AE66" s="166">
        <v>0</v>
      </c>
      <c r="AF66" s="151">
        <f t="shared" si="3"/>
        <v>0</v>
      </c>
      <c r="AG66" s="166"/>
      <c r="AH66" s="166"/>
      <c r="AI66" s="166">
        <v>0</v>
      </c>
      <c r="AJ66" s="151">
        <f t="shared" si="4"/>
        <v>0</v>
      </c>
      <c r="AK66" s="192"/>
      <c r="AL66" s="10"/>
      <c r="AM66" s="10">
        <v>0</v>
      </c>
      <c r="AN66" s="151">
        <f t="shared" si="5"/>
        <v>0</v>
      </c>
      <c r="AO66" s="191"/>
      <c r="AP66" s="10"/>
      <c r="AQ66" s="10"/>
      <c r="AR66" s="151"/>
      <c r="AS66" s="191"/>
      <c r="AT66" s="10"/>
      <c r="AU66" s="10"/>
      <c r="AV66" s="151"/>
      <c r="AW66" s="191"/>
      <c r="AX66" s="10"/>
      <c r="AY66" s="10"/>
      <c r="AZ66" s="151"/>
      <c r="BA66" s="191"/>
      <c r="BB66" s="10"/>
      <c r="BC66" s="10"/>
      <c r="BD66" s="151"/>
      <c r="BE66" s="191"/>
      <c r="BF66" s="10"/>
      <c r="BG66" s="10"/>
      <c r="BH66" s="151"/>
      <c r="BI66" s="191"/>
      <c r="BJ66" s="10"/>
      <c r="BK66" s="10"/>
      <c r="BL66" s="151"/>
      <c r="BM66" s="1"/>
      <c r="BN66" s="48"/>
      <c r="BO66" s="56"/>
      <c r="BP66" s="56"/>
      <c r="BQ66" s="50"/>
      <c r="BR66" s="48"/>
      <c r="BS66" s="56"/>
      <c r="BT66" s="56"/>
      <c r="BU66" s="50"/>
      <c r="BV66" s="48"/>
      <c r="BW66" s="56"/>
      <c r="BX66" s="56"/>
      <c r="BY66" s="50"/>
      <c r="BZ66" s="48"/>
      <c r="CA66" s="49"/>
      <c r="CB66" s="49"/>
      <c r="CC66" s="50"/>
      <c r="CD66" s="48"/>
      <c r="CE66" s="49"/>
      <c r="CF66" s="49"/>
      <c r="CG66" s="50"/>
      <c r="CK66" s="12"/>
      <c r="CL66" s="15"/>
      <c r="CO66" s="12"/>
      <c r="CP66" s="15"/>
      <c r="CS66" s="12"/>
      <c r="CT66" s="15"/>
      <c r="CW66" s="12"/>
      <c r="CX66" s="15"/>
      <c r="DA66" s="12"/>
      <c r="DF66" s="15"/>
      <c r="DI66" s="12"/>
      <c r="DJ66" s="1"/>
      <c r="DK66" s="225"/>
      <c r="DL66" s="225"/>
      <c r="DM66" s="225"/>
      <c r="DN66" s="225"/>
      <c r="DO66" s="225"/>
      <c r="DP66" s="225"/>
      <c r="DQ66" s="225"/>
      <c r="DR66" s="225"/>
      <c r="DS66" s="10"/>
      <c r="DT66" s="225"/>
      <c r="DU66" s="10"/>
      <c r="DV66" s="225"/>
      <c r="DW66" s="1"/>
      <c r="EJ66" s="1"/>
      <c r="EK66" s="17"/>
      <c r="EL66" s="17"/>
      <c r="EM66" s="17"/>
      <c r="EN66" s="17"/>
      <c r="EO66" s="17"/>
      <c r="EP66" s="17"/>
      <c r="EQ66" s="17"/>
      <c r="ER66" s="17"/>
      <c r="ES66" s="17"/>
      <c r="EU66" s="17"/>
      <c r="EW66" s="1"/>
      <c r="EX66" s="225"/>
      <c r="EY66" s="225"/>
      <c r="EZ66" s="225"/>
      <c r="FA66" s="225"/>
      <c r="FB66" s="225"/>
      <c r="FC66" s="225"/>
      <c r="FD66" s="225"/>
      <c r="FE66" s="225"/>
      <c r="FF66" s="225"/>
      <c r="FG66" s="10"/>
      <c r="FH66" s="225"/>
      <c r="FI66" s="10"/>
      <c r="FJ66" s="1"/>
      <c r="FK66" s="225"/>
      <c r="FL66" s="225"/>
      <c r="FM66" s="191"/>
      <c r="FN66" s="191"/>
      <c r="FO66" s="225"/>
      <c r="FP66" s="225"/>
      <c r="FQ66" s="151"/>
      <c r="FR66" s="151"/>
      <c r="FS66" s="10"/>
      <c r="FT66" s="191"/>
      <c r="FU66" s="225"/>
      <c r="FV66" s="151"/>
    </row>
    <row r="67" spans="1:178" ht="16" thickBot="1" x14ac:dyDescent="0.25">
      <c r="A67" s="27" t="s">
        <v>94</v>
      </c>
      <c r="B67" t="s">
        <v>140</v>
      </c>
      <c r="C67" s="1"/>
      <c r="D67" s="17">
        <v>3</v>
      </c>
      <c r="E67" s="17">
        <v>1</v>
      </c>
      <c r="F67" s="161">
        <v>3</v>
      </c>
      <c r="G67" s="87">
        <v>5</v>
      </c>
      <c r="H67" s="243">
        <v>4</v>
      </c>
      <c r="I67" s="87">
        <v>5</v>
      </c>
      <c r="J67" s="17"/>
      <c r="K67" s="17"/>
      <c r="L67" s="17"/>
      <c r="M67" s="17"/>
      <c r="N67" s="17"/>
      <c r="O67" s="17"/>
      <c r="P67" s="1"/>
      <c r="Q67" s="48">
        <v>296.41000000000003</v>
      </c>
      <c r="R67" s="49"/>
      <c r="S67" s="49">
        <v>200.16</v>
      </c>
      <c r="T67" s="50">
        <f t="shared" si="0"/>
        <v>496.57000000000005</v>
      </c>
      <c r="U67" s="48"/>
      <c r="V67" s="49"/>
      <c r="W67" s="49">
        <v>124.61</v>
      </c>
      <c r="X67" s="50">
        <f t="shared" si="1"/>
        <v>124.61</v>
      </c>
      <c r="Y67" s="48">
        <v>138.27000000000001</v>
      </c>
      <c r="Z67" s="49"/>
      <c r="AA67" s="49">
        <v>150.19999999999999</v>
      </c>
      <c r="AB67" s="50">
        <f t="shared" si="2"/>
        <v>288.47000000000003</v>
      </c>
      <c r="AC67" s="164">
        <v>762.78</v>
      </c>
      <c r="AD67" s="166">
        <v>66</v>
      </c>
      <c r="AE67" s="165">
        <v>175.81</v>
      </c>
      <c r="AF67" s="151">
        <f t="shared" si="3"/>
        <v>1004.5899999999999</v>
      </c>
      <c r="AG67" s="165">
        <v>279.83999999999997</v>
      </c>
      <c r="AH67" s="166"/>
      <c r="AI67" s="165">
        <v>278.83999999999997</v>
      </c>
      <c r="AJ67" s="151">
        <f t="shared" si="4"/>
        <v>558.67999999999995</v>
      </c>
      <c r="AK67" s="192">
        <v>74.930000000000007</v>
      </c>
      <c r="AL67" s="10">
        <v>281.88</v>
      </c>
      <c r="AM67" s="10">
        <v>328.49</v>
      </c>
      <c r="AN67" s="151">
        <f t="shared" si="5"/>
        <v>685.3</v>
      </c>
      <c r="AO67" s="191"/>
      <c r="AP67" s="10"/>
      <c r="AQ67" s="10"/>
      <c r="AR67" s="151"/>
      <c r="AS67" s="191"/>
      <c r="AT67" s="10"/>
      <c r="AU67" s="10"/>
      <c r="AV67" s="151"/>
      <c r="AW67" s="191"/>
      <c r="AX67" s="10"/>
      <c r="AY67" s="10"/>
      <c r="AZ67" s="151"/>
      <c r="BA67" s="191"/>
      <c r="BB67" s="10"/>
      <c r="BC67" s="10"/>
      <c r="BD67" s="151"/>
      <c r="BE67" s="191"/>
      <c r="BF67" s="10"/>
      <c r="BG67" s="10"/>
      <c r="BH67" s="151"/>
      <c r="BI67" s="191"/>
      <c r="BJ67" s="10"/>
      <c r="BK67" s="10"/>
      <c r="BL67" s="151"/>
      <c r="BM67" s="1"/>
      <c r="BN67" s="48"/>
      <c r="BO67" s="56"/>
      <c r="BP67" s="56"/>
      <c r="BQ67" s="50"/>
      <c r="BR67" s="48"/>
      <c r="BS67" s="56"/>
      <c r="BT67" s="56"/>
      <c r="BU67" s="50"/>
      <c r="BV67" s="48"/>
      <c r="BW67" s="56"/>
      <c r="BX67" s="56"/>
      <c r="BY67" s="50"/>
      <c r="BZ67" s="48"/>
      <c r="CA67" s="49"/>
      <c r="CB67" s="49"/>
      <c r="CC67" s="50"/>
      <c r="CD67" s="48"/>
      <c r="CE67" s="49"/>
      <c r="CF67" s="49"/>
      <c r="CG67" s="50"/>
      <c r="CK67" s="12"/>
      <c r="CL67" s="15"/>
      <c r="CO67" s="12"/>
      <c r="CP67" s="15"/>
      <c r="CS67" s="12"/>
      <c r="CT67" s="15"/>
      <c r="CW67" s="12"/>
      <c r="CX67" s="15"/>
      <c r="DA67" s="12"/>
      <c r="DF67" s="15"/>
      <c r="DI67" s="12"/>
      <c r="DJ67" s="1"/>
      <c r="DK67" s="225">
        <v>475.8</v>
      </c>
      <c r="DL67" s="225"/>
      <c r="DM67" s="225"/>
      <c r="DN67" s="225"/>
      <c r="DO67" s="225"/>
      <c r="DP67" s="225"/>
      <c r="DQ67" s="225"/>
      <c r="DR67" s="225"/>
      <c r="DS67" s="10"/>
      <c r="DT67" s="225"/>
      <c r="DU67" s="10"/>
      <c r="DV67" s="225"/>
      <c r="DW67" s="1"/>
      <c r="EJ67" s="1"/>
      <c r="EK67" s="17">
        <v>1</v>
      </c>
      <c r="EL67" s="17"/>
      <c r="EM67" s="17"/>
      <c r="EN67" s="17"/>
      <c r="EO67" s="17"/>
      <c r="EP67" s="17"/>
      <c r="EQ67" s="17"/>
      <c r="ER67" s="17"/>
      <c r="ES67" s="17"/>
      <c r="EU67" s="17"/>
      <c r="EW67" s="1"/>
      <c r="EX67" s="225">
        <v>475.8</v>
      </c>
      <c r="EY67" s="225"/>
      <c r="EZ67" s="225"/>
      <c r="FA67" s="225"/>
      <c r="FB67" s="225"/>
      <c r="FC67" s="225"/>
      <c r="FD67" s="225"/>
      <c r="FE67" s="225"/>
      <c r="FF67" s="225"/>
      <c r="FG67" s="10"/>
      <c r="FH67" s="225"/>
      <c r="FI67" s="10"/>
      <c r="FJ67" s="1"/>
      <c r="FK67" s="225"/>
      <c r="FL67" s="225"/>
      <c r="FM67" s="191"/>
      <c r="FN67" s="191"/>
      <c r="FO67" s="225"/>
      <c r="FP67" s="225"/>
      <c r="FQ67" s="151"/>
      <c r="FR67" s="151"/>
      <c r="FS67" s="10"/>
      <c r="FT67" s="191"/>
      <c r="FU67" s="225"/>
      <c r="FV67" s="151"/>
    </row>
    <row r="68" spans="1:178" ht="16" thickBot="1" x14ac:dyDescent="0.25">
      <c r="A68" s="27" t="s">
        <v>95</v>
      </c>
      <c r="B68" t="s">
        <v>140</v>
      </c>
      <c r="C68" s="1"/>
      <c r="D68" s="17">
        <v>1</v>
      </c>
      <c r="E68" s="17">
        <v>1</v>
      </c>
      <c r="F68" s="162">
        <v>2</v>
      </c>
      <c r="G68" s="87">
        <v>1</v>
      </c>
      <c r="H68" s="243">
        <v>2</v>
      </c>
      <c r="I68" s="87"/>
      <c r="J68" s="17"/>
      <c r="K68" s="17"/>
      <c r="L68" s="17"/>
      <c r="M68" s="17"/>
      <c r="N68" s="17"/>
      <c r="O68" s="17"/>
      <c r="P68" s="1"/>
      <c r="Q68" s="48">
        <v>99.6</v>
      </c>
      <c r="R68" s="49"/>
      <c r="S68" s="49">
        <v>0</v>
      </c>
      <c r="T68" s="50">
        <f t="shared" si="0"/>
        <v>99.6</v>
      </c>
      <c r="U68" s="48"/>
      <c r="V68" s="49">
        <v>118.66</v>
      </c>
      <c r="W68" s="49">
        <v>0</v>
      </c>
      <c r="X68" s="50">
        <f t="shared" si="1"/>
        <v>118.66</v>
      </c>
      <c r="Y68" s="48">
        <v>44.82</v>
      </c>
      <c r="Z68" s="49"/>
      <c r="AA68" s="49">
        <v>138.84</v>
      </c>
      <c r="AB68" s="50">
        <f t="shared" si="2"/>
        <v>183.66</v>
      </c>
      <c r="AC68" s="167"/>
      <c r="AD68" s="166"/>
      <c r="AE68" s="165">
        <v>159.02000000000001</v>
      </c>
      <c r="AF68" s="151">
        <f t="shared" si="3"/>
        <v>159.02000000000001</v>
      </c>
      <c r="AG68" s="165"/>
      <c r="AH68" s="166"/>
      <c r="AI68" s="165">
        <v>1147.18</v>
      </c>
      <c r="AJ68" s="151">
        <f t="shared" si="4"/>
        <v>1147.18</v>
      </c>
      <c r="AK68" s="192"/>
      <c r="AL68" s="10"/>
      <c r="AM68" s="10">
        <v>0</v>
      </c>
      <c r="AN68" s="151">
        <f t="shared" si="5"/>
        <v>0</v>
      </c>
      <c r="AO68" s="191"/>
      <c r="AP68" s="10"/>
      <c r="AQ68" s="10"/>
      <c r="AR68" s="151"/>
      <c r="AS68" s="191"/>
      <c r="AT68" s="10"/>
      <c r="AU68" s="10"/>
      <c r="AV68" s="151"/>
      <c r="AW68" s="191"/>
      <c r="AX68" s="10"/>
      <c r="AY68" s="10"/>
      <c r="AZ68" s="151"/>
      <c r="BA68" s="191"/>
      <c r="BB68" s="10"/>
      <c r="BC68" s="10"/>
      <c r="BD68" s="151"/>
      <c r="BE68" s="191"/>
      <c r="BF68" s="10"/>
      <c r="BG68" s="10"/>
      <c r="BH68" s="151"/>
      <c r="BI68" s="191"/>
      <c r="BJ68" s="10"/>
      <c r="BK68" s="10"/>
      <c r="BL68" s="151"/>
      <c r="BM68" s="1"/>
      <c r="BN68" s="48"/>
      <c r="BO68" s="56"/>
      <c r="BP68" s="56"/>
      <c r="BQ68" s="50"/>
      <c r="BR68" s="48"/>
      <c r="BS68" s="56"/>
      <c r="BT68" s="56"/>
      <c r="BU68" s="50"/>
      <c r="BV68" s="48"/>
      <c r="BW68" s="56"/>
      <c r="BX68" s="56"/>
      <c r="BY68" s="50"/>
      <c r="BZ68" s="48"/>
      <c r="CA68" s="49"/>
      <c r="CB68" s="49"/>
      <c r="CC68" s="50"/>
      <c r="CD68" s="48"/>
      <c r="CE68" s="49"/>
      <c r="CF68" s="49"/>
      <c r="CG68" s="50"/>
      <c r="CK68" s="12"/>
      <c r="CL68" s="15"/>
      <c r="CO68" s="12"/>
      <c r="CP68" s="15"/>
      <c r="CS68" s="12"/>
      <c r="CT68" s="15"/>
      <c r="CW68" s="12"/>
      <c r="CX68" s="15"/>
      <c r="DA68" s="12"/>
      <c r="DF68" s="15"/>
      <c r="DI68" s="12"/>
      <c r="DJ68" s="1"/>
      <c r="DK68" s="225"/>
      <c r="DL68" s="225"/>
      <c r="DM68" s="225"/>
      <c r="DN68" s="225"/>
      <c r="DO68" s="225"/>
      <c r="DP68" s="225"/>
      <c r="DQ68" s="225"/>
      <c r="DR68" s="225"/>
      <c r="DS68" s="10"/>
      <c r="DT68" s="225"/>
      <c r="DU68" s="10"/>
      <c r="DV68" s="225"/>
      <c r="DW68" s="1"/>
      <c r="EJ68" s="1"/>
      <c r="EK68" s="17"/>
      <c r="EL68" s="17"/>
      <c r="EM68" s="17"/>
      <c r="EN68" s="17"/>
      <c r="EO68" s="17"/>
      <c r="EP68" s="17"/>
      <c r="EQ68" s="17"/>
      <c r="ER68" s="17"/>
      <c r="ES68" s="17"/>
      <c r="EU68" s="17"/>
      <c r="EW68" s="1"/>
      <c r="EX68" s="225"/>
      <c r="EY68" s="225"/>
      <c r="EZ68" s="225"/>
      <c r="FA68" s="225"/>
      <c r="FB68" s="225"/>
      <c r="FC68" s="225"/>
      <c r="FD68" s="225"/>
      <c r="FE68" s="225"/>
      <c r="FF68" s="225"/>
      <c r="FG68" s="10"/>
      <c r="FH68" s="225"/>
      <c r="FI68" s="10"/>
      <c r="FJ68" s="1"/>
      <c r="FK68" s="225"/>
      <c r="FL68" s="225"/>
      <c r="FM68" s="191"/>
      <c r="FN68" s="191"/>
      <c r="FO68" s="225"/>
      <c r="FP68" s="225"/>
      <c r="FQ68" s="151"/>
      <c r="FR68" s="151"/>
      <c r="FS68" s="10"/>
      <c r="FT68" s="191"/>
      <c r="FU68" s="225"/>
      <c r="FV68" s="151"/>
    </row>
    <row r="69" spans="1:178" ht="16" thickBot="1" x14ac:dyDescent="0.25">
      <c r="A69" s="27" t="s">
        <v>96</v>
      </c>
      <c r="B69" t="s">
        <v>140</v>
      </c>
      <c r="C69" s="1"/>
      <c r="D69" s="17">
        <v>6</v>
      </c>
      <c r="E69" s="17">
        <v>6</v>
      </c>
      <c r="F69" s="161">
        <v>9</v>
      </c>
      <c r="G69" s="87">
        <v>5</v>
      </c>
      <c r="H69" s="243">
        <v>6</v>
      </c>
      <c r="I69" s="87">
        <v>6</v>
      </c>
      <c r="J69" s="17"/>
      <c r="K69" s="17"/>
      <c r="L69" s="17"/>
      <c r="M69" s="17"/>
      <c r="N69" s="17"/>
      <c r="O69" s="17"/>
      <c r="P69" s="1"/>
      <c r="Q69" s="48">
        <v>555.59</v>
      </c>
      <c r="R69" s="49"/>
      <c r="S69" s="49">
        <v>2106.9</v>
      </c>
      <c r="T69" s="50">
        <f t="shared" ref="T69:T108" si="6">SUM(Q69:S69)</f>
        <v>2662.4900000000002</v>
      </c>
      <c r="U69" s="48">
        <v>966.6</v>
      </c>
      <c r="V69" s="49">
        <v>1189.07</v>
      </c>
      <c r="W69" s="49">
        <v>636.15</v>
      </c>
      <c r="X69" s="50">
        <f t="shared" ref="X69:X108" si="7">U69+V69+W69</f>
        <v>2791.82</v>
      </c>
      <c r="Y69" s="48">
        <v>2739.53</v>
      </c>
      <c r="Z69" s="49">
        <v>298.5</v>
      </c>
      <c r="AA69" s="49">
        <v>708.22</v>
      </c>
      <c r="AB69" s="50">
        <f t="shared" ref="AB69:AB108" si="8">Y69+Z69+AA69</f>
        <v>3746.25</v>
      </c>
      <c r="AC69" s="164">
        <v>359.69</v>
      </c>
      <c r="AD69" s="165">
        <v>1961.53</v>
      </c>
      <c r="AE69" s="165">
        <v>625.62</v>
      </c>
      <c r="AF69" s="151">
        <f t="shared" ref="AF69:AF108" si="9">AC69+AD69+AE69</f>
        <v>2946.8399999999997</v>
      </c>
      <c r="AG69" s="165">
        <v>280.24</v>
      </c>
      <c r="AH69" s="165"/>
      <c r="AI69" s="165">
        <v>2654.0099999999998</v>
      </c>
      <c r="AJ69" s="151">
        <f t="shared" ref="AJ69:AJ108" si="10">AG69+AH69+AI69</f>
        <v>2934.25</v>
      </c>
      <c r="AK69" s="192">
        <v>755.78</v>
      </c>
      <c r="AL69" s="10">
        <v>50.1</v>
      </c>
      <c r="AM69" s="10">
        <v>2888.57</v>
      </c>
      <c r="AN69" s="151">
        <f t="shared" ref="AN69:AN108" si="11">AK69+AL69+AM69</f>
        <v>3694.4500000000003</v>
      </c>
      <c r="AO69" s="191"/>
      <c r="AP69" s="10"/>
      <c r="AQ69" s="10"/>
      <c r="AR69" s="151"/>
      <c r="AS69" s="191"/>
      <c r="AT69" s="10"/>
      <c r="AU69" s="10"/>
      <c r="AV69" s="151"/>
      <c r="AW69" s="191"/>
      <c r="AX69" s="10"/>
      <c r="AY69" s="10"/>
      <c r="AZ69" s="151"/>
      <c r="BA69" s="191"/>
      <c r="BB69" s="10"/>
      <c r="BC69" s="10"/>
      <c r="BD69" s="151"/>
      <c r="BE69" s="191"/>
      <c r="BF69" s="10"/>
      <c r="BG69" s="10"/>
      <c r="BH69" s="151"/>
      <c r="BI69" s="191"/>
      <c r="BJ69" s="10"/>
      <c r="BK69" s="10"/>
      <c r="BL69" s="151"/>
      <c r="BM69" s="1"/>
      <c r="BN69" s="48"/>
      <c r="BO69" s="56"/>
      <c r="BP69" s="56"/>
      <c r="BQ69" s="50"/>
      <c r="BR69" s="48"/>
      <c r="BS69" s="56"/>
      <c r="BT69" s="56"/>
      <c r="BU69" s="50"/>
      <c r="BV69" s="48"/>
      <c r="BW69" s="56"/>
      <c r="BX69" s="56"/>
      <c r="BY69" s="50"/>
      <c r="BZ69" s="48"/>
      <c r="CA69" s="49"/>
      <c r="CB69" s="49"/>
      <c r="CC69" s="50"/>
      <c r="CD69" s="48"/>
      <c r="CE69" s="49"/>
      <c r="CF69" s="49"/>
      <c r="CG69" s="50"/>
      <c r="CK69" s="12"/>
      <c r="CL69" s="15"/>
      <c r="CO69" s="12"/>
      <c r="CP69" s="15"/>
      <c r="CS69" s="12"/>
      <c r="CT69" s="15"/>
      <c r="CW69" s="12"/>
      <c r="CX69" s="15"/>
      <c r="DA69" s="12"/>
      <c r="DF69" s="15"/>
      <c r="DI69" s="12"/>
      <c r="DJ69" s="1"/>
      <c r="DK69" s="225">
        <v>416.78</v>
      </c>
      <c r="DL69" s="225"/>
      <c r="DM69" s="225"/>
      <c r="DN69" s="225"/>
      <c r="DO69" s="225"/>
      <c r="DP69" s="225"/>
      <c r="DQ69" s="225"/>
      <c r="DR69" s="225"/>
      <c r="DS69" s="10"/>
      <c r="DT69" s="225"/>
      <c r="DU69" s="10"/>
      <c r="DV69" s="225"/>
      <c r="DW69" s="1"/>
      <c r="EJ69" s="1"/>
      <c r="EK69" s="17">
        <v>2</v>
      </c>
      <c r="EL69" s="17"/>
      <c r="EM69" s="17"/>
      <c r="EN69" s="17"/>
      <c r="EO69" s="17"/>
      <c r="EP69" s="17"/>
      <c r="EQ69" s="17"/>
      <c r="ER69" s="17"/>
      <c r="ES69" s="17"/>
      <c r="EU69" s="17"/>
      <c r="EW69" s="1"/>
      <c r="EX69" s="225">
        <v>416.78</v>
      </c>
      <c r="EY69" s="225"/>
      <c r="EZ69" s="225"/>
      <c r="FA69" s="225"/>
      <c r="FB69" s="225"/>
      <c r="FC69" s="225"/>
      <c r="FD69" s="225"/>
      <c r="FE69" s="225"/>
      <c r="FF69" s="225"/>
      <c r="FG69" s="10"/>
      <c r="FH69" s="225"/>
      <c r="FI69" s="10"/>
      <c r="FJ69" s="1"/>
      <c r="FK69" s="225">
        <v>-70.739999999999995</v>
      </c>
      <c r="FL69" s="225"/>
      <c r="FM69" s="191"/>
      <c r="FN69" s="191"/>
      <c r="FO69" s="225"/>
      <c r="FP69" s="225"/>
      <c r="FQ69" s="151"/>
      <c r="FR69" s="151"/>
      <c r="FS69" s="10"/>
      <c r="FT69" s="191"/>
      <c r="FU69" s="225"/>
      <c r="FV69" s="151"/>
    </row>
    <row r="70" spans="1:178" ht="16" thickBot="1" x14ac:dyDescent="0.25">
      <c r="A70" s="27" t="s">
        <v>97</v>
      </c>
      <c r="B70" t="s">
        <v>140</v>
      </c>
      <c r="C70" s="1"/>
      <c r="D70" s="17"/>
      <c r="E70" s="17"/>
      <c r="F70" s="162">
        <v>1</v>
      </c>
      <c r="G70" s="89"/>
      <c r="H70" s="244"/>
      <c r="I70" s="88">
        <v>1</v>
      </c>
      <c r="J70" s="17"/>
      <c r="K70" s="17"/>
      <c r="L70" s="17"/>
      <c r="M70" s="17"/>
      <c r="N70" s="17"/>
      <c r="O70" s="17"/>
      <c r="P70" s="1"/>
      <c r="Q70" s="48"/>
      <c r="R70" s="49"/>
      <c r="S70" s="49">
        <v>0</v>
      </c>
      <c r="T70" s="50">
        <f t="shared" si="6"/>
        <v>0</v>
      </c>
      <c r="U70" s="48"/>
      <c r="V70" s="49"/>
      <c r="W70" s="49">
        <v>0</v>
      </c>
      <c r="X70" s="50">
        <f t="shared" si="7"/>
        <v>0</v>
      </c>
      <c r="Y70" s="48">
        <v>25.34</v>
      </c>
      <c r="Z70" s="49"/>
      <c r="AA70" s="49">
        <v>0</v>
      </c>
      <c r="AB70" s="50">
        <f t="shared" si="8"/>
        <v>25.34</v>
      </c>
      <c r="AC70" s="167"/>
      <c r="AD70" s="166"/>
      <c r="AE70" s="166">
        <v>0</v>
      </c>
      <c r="AF70" s="151">
        <f t="shared" si="9"/>
        <v>0</v>
      </c>
      <c r="AG70" s="166"/>
      <c r="AH70" s="166"/>
      <c r="AI70" s="166">
        <v>0</v>
      </c>
      <c r="AJ70" s="151">
        <f t="shared" si="10"/>
        <v>0</v>
      </c>
      <c r="AK70" s="192">
        <v>78.67</v>
      </c>
      <c r="AL70" s="10"/>
      <c r="AM70" s="10">
        <v>0</v>
      </c>
      <c r="AN70" s="151">
        <f t="shared" si="11"/>
        <v>78.67</v>
      </c>
      <c r="AO70" s="191"/>
      <c r="AP70" s="10"/>
      <c r="AQ70" s="10"/>
      <c r="AR70" s="151"/>
      <c r="AS70" s="191"/>
      <c r="AT70" s="10"/>
      <c r="AU70" s="10"/>
      <c r="AV70" s="151"/>
      <c r="AW70" s="191"/>
      <c r="AX70" s="10"/>
      <c r="AY70" s="10"/>
      <c r="AZ70" s="151"/>
      <c r="BA70" s="191"/>
      <c r="BB70" s="10"/>
      <c r="BC70" s="10"/>
      <c r="BD70" s="151"/>
      <c r="BE70" s="191"/>
      <c r="BF70" s="10"/>
      <c r="BG70" s="10"/>
      <c r="BH70" s="151"/>
      <c r="BI70" s="191"/>
      <c r="BJ70" s="10"/>
      <c r="BK70" s="10"/>
      <c r="BL70" s="151"/>
      <c r="BM70" s="1"/>
      <c r="BN70" s="48"/>
      <c r="BO70" s="56"/>
      <c r="BP70" s="56"/>
      <c r="BQ70" s="50"/>
      <c r="BR70" s="48"/>
      <c r="BS70" s="56"/>
      <c r="BT70" s="56"/>
      <c r="BU70" s="50"/>
      <c r="BV70" s="48"/>
      <c r="BW70" s="56"/>
      <c r="BX70" s="56"/>
      <c r="BY70" s="50"/>
      <c r="BZ70" s="48"/>
      <c r="CA70" s="49"/>
      <c r="CB70" s="49"/>
      <c r="CC70" s="50"/>
      <c r="CD70" s="48"/>
      <c r="CE70" s="49"/>
      <c r="CF70" s="49"/>
      <c r="CG70" s="50"/>
      <c r="CK70" s="12"/>
      <c r="CL70" s="15"/>
      <c r="CO70" s="12"/>
      <c r="CP70" s="15"/>
      <c r="CS70" s="12"/>
      <c r="CT70" s="15"/>
      <c r="CW70" s="12"/>
      <c r="CX70" s="15"/>
      <c r="DA70" s="12"/>
      <c r="DF70" s="15"/>
      <c r="DI70" s="12"/>
      <c r="DJ70" s="1"/>
      <c r="DK70" s="225"/>
      <c r="DL70" s="225"/>
      <c r="DM70" s="225"/>
      <c r="DN70" s="225"/>
      <c r="DO70" s="225"/>
      <c r="DP70" s="225"/>
      <c r="DQ70" s="225"/>
      <c r="DR70" s="225"/>
      <c r="DS70" s="10"/>
      <c r="DT70" s="225"/>
      <c r="DU70" s="10"/>
      <c r="DV70" s="225"/>
      <c r="DW70" s="1"/>
      <c r="EJ70" s="1"/>
      <c r="EK70" s="17"/>
      <c r="EL70" s="17"/>
      <c r="EM70" s="17"/>
      <c r="EN70" s="17"/>
      <c r="EO70" s="17"/>
      <c r="EP70" s="17"/>
      <c r="EQ70" s="17"/>
      <c r="ER70" s="17"/>
      <c r="ES70" s="17"/>
      <c r="EU70" s="17"/>
      <c r="EW70" s="1"/>
      <c r="EX70" s="225"/>
      <c r="EY70" s="225"/>
      <c r="EZ70" s="225"/>
      <c r="FA70" s="225"/>
      <c r="FB70" s="225"/>
      <c r="FC70" s="225"/>
      <c r="FD70" s="225"/>
      <c r="FE70" s="225"/>
      <c r="FF70" s="225"/>
      <c r="FG70" s="10"/>
      <c r="FH70" s="225"/>
      <c r="FI70" s="10"/>
      <c r="FJ70" s="1"/>
      <c r="FK70" s="225"/>
      <c r="FL70" s="225"/>
      <c r="FM70" s="191"/>
      <c r="FN70" s="191"/>
      <c r="FO70" s="225"/>
      <c r="FP70" s="225"/>
      <c r="FQ70" s="151"/>
      <c r="FR70" s="151"/>
      <c r="FS70" s="10"/>
      <c r="FT70" s="191"/>
      <c r="FU70" s="225"/>
      <c r="FV70" s="151"/>
    </row>
    <row r="71" spans="1:178" ht="16" thickBot="1" x14ac:dyDescent="0.25">
      <c r="A71" s="27" t="s">
        <v>98</v>
      </c>
      <c r="B71" t="s">
        <v>140</v>
      </c>
      <c r="C71" s="1"/>
      <c r="D71" s="17">
        <v>6</v>
      </c>
      <c r="E71" s="17">
        <v>6</v>
      </c>
      <c r="F71" s="161">
        <v>7</v>
      </c>
      <c r="G71" s="87">
        <v>9</v>
      </c>
      <c r="H71" s="243">
        <v>9</v>
      </c>
      <c r="I71" s="87">
        <v>11</v>
      </c>
      <c r="J71" s="17"/>
      <c r="K71" s="17"/>
      <c r="L71" s="17"/>
      <c r="M71" s="17"/>
      <c r="N71" s="17"/>
      <c r="O71" s="17"/>
      <c r="P71" s="1"/>
      <c r="Q71" s="48">
        <v>3489.45</v>
      </c>
      <c r="R71" s="49">
        <v>434.89</v>
      </c>
      <c r="S71" s="49">
        <v>342</v>
      </c>
      <c r="T71" s="50">
        <f t="shared" si="6"/>
        <v>4266.34</v>
      </c>
      <c r="U71" s="48">
        <v>6320.18</v>
      </c>
      <c r="V71" s="49"/>
      <c r="W71" s="49">
        <v>0</v>
      </c>
      <c r="X71" s="50">
        <f t="shared" si="7"/>
        <v>6320.18</v>
      </c>
      <c r="Y71" s="48">
        <v>20752.71</v>
      </c>
      <c r="Z71" s="49"/>
      <c r="AA71" s="49">
        <v>0</v>
      </c>
      <c r="AB71" s="50">
        <f t="shared" si="8"/>
        <v>20752.71</v>
      </c>
      <c r="AC71" s="164">
        <v>14241.3</v>
      </c>
      <c r="AD71" s="165">
        <v>1131.1600000000001</v>
      </c>
      <c r="AE71" s="165">
        <v>0</v>
      </c>
      <c r="AF71" s="151">
        <f t="shared" si="9"/>
        <v>15372.46</v>
      </c>
      <c r="AG71" s="165">
        <v>4168.28</v>
      </c>
      <c r="AH71" s="166">
        <v>308.35000000000002</v>
      </c>
      <c r="AI71" s="165">
        <v>200.76</v>
      </c>
      <c r="AJ71" s="151">
        <f t="shared" si="10"/>
        <v>4677.3900000000003</v>
      </c>
      <c r="AK71" s="192">
        <v>3277.66</v>
      </c>
      <c r="AL71" s="10"/>
      <c r="AM71" s="10">
        <v>573.21</v>
      </c>
      <c r="AN71" s="151">
        <f t="shared" si="11"/>
        <v>3850.87</v>
      </c>
      <c r="AO71" s="191"/>
      <c r="AP71" s="10"/>
      <c r="AQ71" s="10"/>
      <c r="AR71" s="151"/>
      <c r="AS71" s="191"/>
      <c r="AT71" s="10"/>
      <c r="AU71" s="10"/>
      <c r="AV71" s="151"/>
      <c r="AW71" s="191"/>
      <c r="AX71" s="10"/>
      <c r="AY71" s="10"/>
      <c r="AZ71" s="151"/>
      <c r="BA71" s="191"/>
      <c r="BB71" s="10"/>
      <c r="BC71" s="10"/>
      <c r="BD71" s="151"/>
      <c r="BE71" s="191"/>
      <c r="BF71" s="10"/>
      <c r="BG71" s="10"/>
      <c r="BH71" s="151"/>
      <c r="BI71" s="191"/>
      <c r="BJ71" s="10"/>
      <c r="BK71" s="10"/>
      <c r="BL71" s="151"/>
      <c r="BM71" s="1"/>
      <c r="BN71" s="48"/>
      <c r="BO71" s="56"/>
      <c r="BP71" s="56"/>
      <c r="BQ71" s="50"/>
      <c r="BR71" s="48"/>
      <c r="BS71" s="56"/>
      <c r="BT71" s="56"/>
      <c r="BU71" s="50"/>
      <c r="BV71" s="48"/>
      <c r="BW71" s="56"/>
      <c r="BX71" s="56"/>
      <c r="BY71" s="50"/>
      <c r="BZ71" s="48"/>
      <c r="CA71" s="49"/>
      <c r="CB71" s="49"/>
      <c r="CC71" s="50"/>
      <c r="CD71" s="48"/>
      <c r="CE71" s="49"/>
      <c r="CF71" s="49"/>
      <c r="CG71" s="50"/>
      <c r="CK71" s="12"/>
      <c r="CL71" s="15"/>
      <c r="CO71" s="12"/>
      <c r="CP71" s="15"/>
      <c r="CS71" s="12"/>
      <c r="CT71" s="15"/>
      <c r="CW71" s="12"/>
      <c r="CX71" s="15"/>
      <c r="DA71" s="12"/>
      <c r="DF71" s="15"/>
      <c r="DI71" s="12"/>
      <c r="DJ71" s="1"/>
      <c r="DK71" s="225">
        <v>897.29</v>
      </c>
      <c r="DL71" s="225"/>
      <c r="DM71" s="225"/>
      <c r="DN71" s="225"/>
      <c r="DO71" s="225"/>
      <c r="DP71" s="225"/>
      <c r="DQ71" s="225"/>
      <c r="DR71" s="225"/>
      <c r="DS71" s="10"/>
      <c r="DT71" s="225"/>
      <c r="DU71" s="10"/>
      <c r="DV71" s="225"/>
      <c r="DW71" s="1"/>
      <c r="EJ71" s="1"/>
      <c r="EK71" s="17">
        <v>2</v>
      </c>
      <c r="EL71" s="17"/>
      <c r="EM71" s="17"/>
      <c r="EN71" s="17"/>
      <c r="EO71" s="17"/>
      <c r="EP71" s="17"/>
      <c r="EQ71" s="17"/>
      <c r="ER71" s="17"/>
      <c r="ES71" s="17"/>
      <c r="EU71" s="17"/>
      <c r="EW71" s="1"/>
      <c r="EX71" s="225">
        <v>897.29</v>
      </c>
      <c r="EY71" s="225"/>
      <c r="EZ71" s="225"/>
      <c r="FA71" s="225"/>
      <c r="FB71" s="225"/>
      <c r="FC71" s="225"/>
      <c r="FD71" s="225"/>
      <c r="FE71" s="225"/>
      <c r="FF71" s="225"/>
      <c r="FG71" s="10"/>
      <c r="FH71" s="225"/>
      <c r="FI71" s="10"/>
      <c r="FJ71" s="1"/>
      <c r="FK71" s="225"/>
      <c r="FL71" s="225"/>
      <c r="FM71" s="191"/>
      <c r="FN71" s="191"/>
      <c r="FO71" s="225"/>
      <c r="FP71" s="225"/>
      <c r="FQ71" s="151"/>
      <c r="FR71" s="151"/>
      <c r="FS71" s="10"/>
      <c r="FT71" s="191"/>
      <c r="FU71" s="225"/>
      <c r="FV71" s="151"/>
    </row>
    <row r="72" spans="1:178" ht="16" thickBot="1" x14ac:dyDescent="0.25">
      <c r="A72" s="27" t="s">
        <v>99</v>
      </c>
      <c r="B72" t="s">
        <v>140</v>
      </c>
      <c r="C72" s="1"/>
      <c r="D72" s="17">
        <v>96</v>
      </c>
      <c r="E72" s="17">
        <v>66</v>
      </c>
      <c r="F72" s="161">
        <v>82</v>
      </c>
      <c r="G72" s="87">
        <v>59</v>
      </c>
      <c r="H72" s="243">
        <v>73</v>
      </c>
      <c r="I72" s="87">
        <v>75</v>
      </c>
      <c r="J72" s="17"/>
      <c r="K72" s="17"/>
      <c r="L72" s="17"/>
      <c r="M72" s="17"/>
      <c r="N72" s="17"/>
      <c r="O72" s="17"/>
      <c r="P72" s="1"/>
      <c r="Q72" s="48">
        <v>81747.27</v>
      </c>
      <c r="R72" s="49">
        <v>10040.42</v>
      </c>
      <c r="S72" s="49">
        <v>49047.560000000005</v>
      </c>
      <c r="T72" s="50">
        <f t="shared" si="6"/>
        <v>140835.25</v>
      </c>
      <c r="U72" s="48">
        <v>40420.57</v>
      </c>
      <c r="V72" s="49">
        <v>6918.42</v>
      </c>
      <c r="W72" s="49">
        <v>51796.94</v>
      </c>
      <c r="X72" s="50">
        <f t="shared" si="7"/>
        <v>99135.93</v>
      </c>
      <c r="Y72" s="48">
        <v>70176.179999999993</v>
      </c>
      <c r="Z72" s="49">
        <v>802.26</v>
      </c>
      <c r="AA72" s="49">
        <v>50853.919999999998</v>
      </c>
      <c r="AB72" s="50">
        <f t="shared" si="8"/>
        <v>121832.35999999999</v>
      </c>
      <c r="AC72" s="164">
        <v>9854.0400000000009</v>
      </c>
      <c r="AD72" s="165">
        <v>41026.6</v>
      </c>
      <c r="AE72" s="165">
        <v>50927.509999999995</v>
      </c>
      <c r="AF72" s="151">
        <f t="shared" si="9"/>
        <v>101808.15</v>
      </c>
      <c r="AG72" s="165">
        <v>39254.32</v>
      </c>
      <c r="AH72" s="165">
        <v>24163.58</v>
      </c>
      <c r="AI72" s="165">
        <v>62792.85</v>
      </c>
      <c r="AJ72" s="151">
        <f t="shared" si="10"/>
        <v>126210.75</v>
      </c>
      <c r="AK72" s="192">
        <v>42676.33</v>
      </c>
      <c r="AL72" s="10">
        <v>19193.240000000002</v>
      </c>
      <c r="AM72" s="10">
        <v>74091.97</v>
      </c>
      <c r="AN72" s="151">
        <f t="shared" si="11"/>
        <v>135961.54</v>
      </c>
      <c r="AO72" s="191"/>
      <c r="AP72" s="10"/>
      <c r="AQ72" s="10"/>
      <c r="AR72" s="151"/>
      <c r="AS72" s="191"/>
      <c r="AT72" s="10"/>
      <c r="AU72" s="10"/>
      <c r="AV72" s="151"/>
      <c r="AW72" s="191"/>
      <c r="AX72" s="10"/>
      <c r="AY72" s="10"/>
      <c r="AZ72" s="151"/>
      <c r="BA72" s="191"/>
      <c r="BB72" s="10"/>
      <c r="BC72" s="10"/>
      <c r="BD72" s="151"/>
      <c r="BE72" s="191"/>
      <c r="BF72" s="10"/>
      <c r="BG72" s="10"/>
      <c r="BH72" s="151"/>
      <c r="BI72" s="191"/>
      <c r="BJ72" s="10"/>
      <c r="BK72" s="10"/>
      <c r="BL72" s="151"/>
      <c r="BM72" s="1"/>
      <c r="BN72" s="48"/>
      <c r="BO72" s="56"/>
      <c r="BP72" s="56"/>
      <c r="BQ72" s="50"/>
      <c r="BR72" s="48"/>
      <c r="BS72" s="56"/>
      <c r="BT72" s="56"/>
      <c r="BU72" s="50"/>
      <c r="BV72" s="48"/>
      <c r="BW72" s="56"/>
      <c r="BX72" s="56"/>
      <c r="BY72" s="50"/>
      <c r="BZ72" s="48"/>
      <c r="CA72" s="49"/>
      <c r="CB72" s="49"/>
      <c r="CC72" s="50"/>
      <c r="CD72" s="48"/>
      <c r="CE72" s="49"/>
      <c r="CF72" s="49"/>
      <c r="CG72" s="50"/>
      <c r="CK72" s="12"/>
      <c r="CL72" s="15"/>
      <c r="CO72" s="12"/>
      <c r="CP72" s="15"/>
      <c r="CS72" s="12"/>
      <c r="CT72" s="15"/>
      <c r="CW72" s="12"/>
      <c r="CX72" s="15"/>
      <c r="DA72" s="12"/>
      <c r="DF72" s="15"/>
      <c r="DI72" s="12"/>
      <c r="DJ72" s="1"/>
      <c r="DK72" s="225">
        <v>461.43</v>
      </c>
      <c r="DL72" s="225">
        <v>281.85000000000002</v>
      </c>
      <c r="DM72" s="225">
        <v>479.16</v>
      </c>
      <c r="DN72" s="225">
        <v>9251.64</v>
      </c>
      <c r="DO72" s="225">
        <v>1291.0899999999999</v>
      </c>
      <c r="DP72" s="225">
        <v>590.97</v>
      </c>
      <c r="DQ72" s="225"/>
      <c r="DR72" s="225"/>
      <c r="DS72" s="10"/>
      <c r="DT72" s="225"/>
      <c r="DU72" s="10"/>
      <c r="DV72" s="225"/>
      <c r="DW72" s="1"/>
      <c r="EJ72" s="1"/>
      <c r="EK72" s="17">
        <v>2</v>
      </c>
      <c r="EL72" s="17">
        <v>2</v>
      </c>
      <c r="EM72" s="17">
        <v>2</v>
      </c>
      <c r="EN72" s="17">
        <v>4</v>
      </c>
      <c r="EO72" s="17">
        <v>2</v>
      </c>
      <c r="EP72" s="17">
        <v>1</v>
      </c>
      <c r="EQ72" s="17"/>
      <c r="ER72" s="17"/>
      <c r="ES72" s="17"/>
      <c r="EU72" s="17"/>
      <c r="EW72" s="1"/>
      <c r="EX72" s="225">
        <v>461.43</v>
      </c>
      <c r="EY72" s="225">
        <v>281.85000000000002</v>
      </c>
      <c r="EZ72" s="225">
        <v>479.16</v>
      </c>
      <c r="FA72" s="225">
        <v>9251.64</v>
      </c>
      <c r="FB72" s="225">
        <v>1291.0899999999999</v>
      </c>
      <c r="FC72" s="225">
        <v>590.97</v>
      </c>
      <c r="FD72" s="225"/>
      <c r="FE72" s="225"/>
      <c r="FF72" s="225"/>
      <c r="FG72" s="10"/>
      <c r="FH72" s="225"/>
      <c r="FI72" s="10"/>
      <c r="FJ72" s="1"/>
      <c r="FK72" s="225"/>
      <c r="FL72" s="225">
        <v>-48.06</v>
      </c>
      <c r="FM72" s="191"/>
      <c r="FN72" s="191">
        <v>-21.96</v>
      </c>
      <c r="FO72" s="225"/>
      <c r="FP72" s="225">
        <v>-479.16</v>
      </c>
      <c r="FQ72" s="151"/>
      <c r="FR72" s="151"/>
      <c r="FS72" s="10"/>
      <c r="FT72" s="191"/>
      <c r="FU72" s="225"/>
      <c r="FV72" s="151"/>
    </row>
    <row r="73" spans="1:178" ht="16" thickBot="1" x14ac:dyDescent="0.25">
      <c r="A73" s="27" t="s">
        <v>100</v>
      </c>
      <c r="B73" t="s">
        <v>140</v>
      </c>
      <c r="C73" s="1"/>
      <c r="D73" s="17">
        <v>1</v>
      </c>
      <c r="E73" s="17">
        <v>2</v>
      </c>
      <c r="F73" s="162">
        <v>1</v>
      </c>
      <c r="G73" s="87">
        <v>1</v>
      </c>
      <c r="H73" s="244"/>
      <c r="I73" s="87"/>
      <c r="J73" s="17"/>
      <c r="K73" s="17"/>
      <c r="L73" s="17"/>
      <c r="M73" s="17"/>
      <c r="N73" s="17"/>
      <c r="O73" s="17"/>
      <c r="P73" s="1"/>
      <c r="Q73" s="48"/>
      <c r="R73" s="49">
        <v>11.87</v>
      </c>
      <c r="S73" s="49">
        <v>0</v>
      </c>
      <c r="T73" s="50">
        <f t="shared" si="6"/>
        <v>11.87</v>
      </c>
      <c r="U73" s="48">
        <v>1093.6500000000001</v>
      </c>
      <c r="V73" s="49"/>
      <c r="W73" s="49">
        <v>0</v>
      </c>
      <c r="X73" s="50">
        <f t="shared" si="7"/>
        <v>1093.6500000000001</v>
      </c>
      <c r="Y73" s="48">
        <v>11.87</v>
      </c>
      <c r="Z73" s="49"/>
      <c r="AA73" s="49">
        <v>0</v>
      </c>
      <c r="AB73" s="50">
        <f t="shared" si="8"/>
        <v>11.87</v>
      </c>
      <c r="AC73" s="164">
        <v>1062.8900000000001</v>
      </c>
      <c r="AD73" s="165"/>
      <c r="AE73" s="166">
        <v>0</v>
      </c>
      <c r="AF73" s="151">
        <f t="shared" si="9"/>
        <v>1062.8900000000001</v>
      </c>
      <c r="AG73" s="166"/>
      <c r="AH73" s="166"/>
      <c r="AI73" s="166">
        <v>0</v>
      </c>
      <c r="AJ73" s="151">
        <f t="shared" si="10"/>
        <v>0</v>
      </c>
      <c r="AK73" s="192"/>
      <c r="AL73" s="10"/>
      <c r="AM73" s="10"/>
      <c r="AN73" s="151">
        <f t="shared" si="11"/>
        <v>0</v>
      </c>
      <c r="AO73" s="191"/>
      <c r="AP73" s="10"/>
      <c r="AQ73" s="10"/>
      <c r="AR73" s="151"/>
      <c r="AS73" s="191"/>
      <c r="AT73" s="10"/>
      <c r="AU73" s="10"/>
      <c r="AV73" s="151"/>
      <c r="AW73" s="191"/>
      <c r="AX73" s="10"/>
      <c r="AY73" s="10"/>
      <c r="AZ73" s="151"/>
      <c r="BA73" s="191"/>
      <c r="BB73" s="10"/>
      <c r="BC73" s="10"/>
      <c r="BD73" s="151"/>
      <c r="BE73" s="191"/>
      <c r="BF73" s="10"/>
      <c r="BG73" s="10"/>
      <c r="BH73" s="151"/>
      <c r="BI73" s="191"/>
      <c r="BJ73" s="10"/>
      <c r="BK73" s="10"/>
      <c r="BL73" s="151"/>
      <c r="BM73" s="1"/>
      <c r="BN73" s="48"/>
      <c r="BO73" s="56"/>
      <c r="BP73" s="56"/>
      <c r="BQ73" s="50"/>
      <c r="BR73" s="48"/>
      <c r="BS73" s="56"/>
      <c r="BT73" s="56"/>
      <c r="BU73" s="50"/>
      <c r="BV73" s="48"/>
      <c r="BW73" s="56"/>
      <c r="BX73" s="56"/>
      <c r="BY73" s="50"/>
      <c r="BZ73" s="48"/>
      <c r="CA73" s="49"/>
      <c r="CB73" s="49"/>
      <c r="CC73" s="50"/>
      <c r="CD73" s="48"/>
      <c r="CE73" s="49"/>
      <c r="CF73" s="49"/>
      <c r="CG73" s="50"/>
      <c r="CK73" s="12"/>
      <c r="CL73" s="15"/>
      <c r="CO73" s="12"/>
      <c r="CP73" s="15"/>
      <c r="CS73" s="12"/>
      <c r="CT73" s="15"/>
      <c r="CW73" s="12"/>
      <c r="CX73" s="15"/>
      <c r="DA73" s="12"/>
      <c r="DF73" s="15"/>
      <c r="DI73" s="12"/>
      <c r="DJ73" s="1"/>
      <c r="DK73" s="225"/>
      <c r="DL73" s="225"/>
      <c r="DM73" s="225"/>
      <c r="DN73" s="225"/>
      <c r="DO73" s="225"/>
      <c r="DP73" s="225"/>
      <c r="DQ73" s="226"/>
      <c r="DR73" s="226"/>
      <c r="DS73" s="235"/>
      <c r="DT73" s="225"/>
      <c r="DU73" s="10"/>
      <c r="DV73" s="225"/>
      <c r="DW73" s="1"/>
      <c r="EJ73" s="1"/>
      <c r="EK73" s="17"/>
      <c r="EL73" s="17"/>
      <c r="EM73" s="17"/>
      <c r="EN73" s="17"/>
      <c r="EO73" s="17"/>
      <c r="EP73" s="17"/>
      <c r="EQ73" s="17"/>
      <c r="ER73" s="17"/>
      <c r="ES73" s="17"/>
      <c r="EU73" s="17"/>
      <c r="EW73" s="1"/>
      <c r="EX73" s="225"/>
      <c r="EY73" s="225"/>
      <c r="EZ73" s="225"/>
      <c r="FA73" s="225"/>
      <c r="FB73" s="225"/>
      <c r="FC73" s="225"/>
      <c r="FD73" s="225"/>
      <c r="FE73" s="225"/>
      <c r="FF73" s="225"/>
      <c r="FG73" s="10"/>
      <c r="FH73" s="225"/>
      <c r="FI73" s="10"/>
      <c r="FJ73" s="1"/>
      <c r="FK73" s="225"/>
      <c r="FL73" s="225"/>
      <c r="FM73" s="191"/>
      <c r="FN73" s="191"/>
      <c r="FO73" s="225"/>
      <c r="FP73" s="225"/>
      <c r="FQ73" s="151"/>
      <c r="FR73" s="151"/>
      <c r="FS73" s="10"/>
      <c r="FT73" s="191"/>
      <c r="FU73" s="225"/>
      <c r="FV73" s="151"/>
    </row>
    <row r="74" spans="1:178" ht="16" thickBot="1" x14ac:dyDescent="0.25">
      <c r="A74" s="27" t="s">
        <v>101</v>
      </c>
      <c r="B74" t="s">
        <v>140</v>
      </c>
      <c r="C74" s="1"/>
      <c r="D74" s="17">
        <v>1</v>
      </c>
      <c r="E74" s="17"/>
      <c r="F74" s="161"/>
      <c r="G74" s="87">
        <v>2</v>
      </c>
      <c r="H74" s="243"/>
      <c r="I74" s="88">
        <v>1</v>
      </c>
      <c r="J74" s="17"/>
      <c r="K74" s="17"/>
      <c r="L74" s="17"/>
      <c r="M74" s="17"/>
      <c r="N74" s="17"/>
      <c r="O74" s="17"/>
      <c r="P74" s="1"/>
      <c r="Q74" s="48">
        <v>24.82</v>
      </c>
      <c r="R74" s="49"/>
      <c r="S74" s="49">
        <v>0</v>
      </c>
      <c r="T74" s="50">
        <f t="shared" si="6"/>
        <v>24.82</v>
      </c>
      <c r="U74" s="48"/>
      <c r="V74" s="49"/>
      <c r="W74" s="49">
        <v>0</v>
      </c>
      <c r="X74" s="50">
        <f t="shared" si="7"/>
        <v>0</v>
      </c>
      <c r="Y74" s="48"/>
      <c r="Z74" s="49"/>
      <c r="AA74" s="49">
        <v>0</v>
      </c>
      <c r="AB74" s="50">
        <f t="shared" si="8"/>
        <v>0</v>
      </c>
      <c r="AC74" s="164">
        <v>248.2</v>
      </c>
      <c r="AD74" s="166"/>
      <c r="AE74" s="166">
        <v>0</v>
      </c>
      <c r="AF74" s="151">
        <f t="shared" si="9"/>
        <v>248.2</v>
      </c>
      <c r="AG74" s="165"/>
      <c r="AH74" s="166"/>
      <c r="AI74" s="166">
        <v>0</v>
      </c>
      <c r="AJ74" s="151">
        <f t="shared" si="10"/>
        <v>0</v>
      </c>
      <c r="AK74" s="192">
        <v>67.209999999999994</v>
      </c>
      <c r="AL74" s="10"/>
      <c r="AM74" s="10">
        <v>0</v>
      </c>
      <c r="AN74" s="151">
        <f t="shared" si="11"/>
        <v>67.209999999999994</v>
      </c>
      <c r="AO74" s="191"/>
      <c r="AP74" s="10"/>
      <c r="AQ74" s="10"/>
      <c r="AR74" s="151"/>
      <c r="AS74" s="191"/>
      <c r="AT74" s="10"/>
      <c r="AU74" s="10"/>
      <c r="AV74" s="151"/>
      <c r="AW74" s="191"/>
      <c r="AX74" s="10"/>
      <c r="AY74" s="10"/>
      <c r="AZ74" s="151"/>
      <c r="BA74" s="191"/>
      <c r="BB74" s="10"/>
      <c r="BC74" s="10"/>
      <c r="BD74" s="151"/>
      <c r="BE74" s="191"/>
      <c r="BF74" s="10"/>
      <c r="BG74" s="10"/>
      <c r="BH74" s="151"/>
      <c r="BI74" s="191"/>
      <c r="BJ74" s="10"/>
      <c r="BK74" s="10"/>
      <c r="BL74" s="151"/>
      <c r="BM74" s="1"/>
      <c r="BN74" s="48"/>
      <c r="BO74" s="56"/>
      <c r="BP74" s="56"/>
      <c r="BQ74" s="50"/>
      <c r="BR74" s="48"/>
      <c r="BS74" s="56"/>
      <c r="BT74" s="56"/>
      <c r="BU74" s="50"/>
      <c r="BV74" s="48"/>
      <c r="BW74" s="56"/>
      <c r="BX74" s="56"/>
      <c r="BY74" s="50"/>
      <c r="BZ74" s="48"/>
      <c r="CA74" s="49"/>
      <c r="CB74" s="49"/>
      <c r="CC74" s="50"/>
      <c r="CD74" s="48"/>
      <c r="CE74" s="49"/>
      <c r="CF74" s="49"/>
      <c r="CG74" s="50"/>
      <c r="CK74" s="12"/>
      <c r="CL74" s="15"/>
      <c r="CO74" s="12"/>
      <c r="CP74" s="15"/>
      <c r="CS74" s="12"/>
      <c r="CT74" s="15"/>
      <c r="CW74" s="12"/>
      <c r="CX74" s="15"/>
      <c r="DA74" s="12"/>
      <c r="DF74" s="15"/>
      <c r="DI74" s="12"/>
      <c r="DJ74" s="1"/>
      <c r="DK74" s="225"/>
      <c r="DL74" s="225"/>
      <c r="DM74" s="225"/>
      <c r="DN74" s="225"/>
      <c r="DO74" s="225"/>
      <c r="DP74" s="225"/>
      <c r="DQ74" s="225"/>
      <c r="DR74" s="225"/>
      <c r="DS74" s="10"/>
      <c r="DT74" s="225"/>
      <c r="DU74" s="10"/>
      <c r="DV74" s="225"/>
      <c r="DW74" s="1"/>
      <c r="EJ74" s="1"/>
      <c r="EK74" s="17"/>
      <c r="EL74" s="17"/>
      <c r="EM74" s="17"/>
      <c r="EN74" s="17"/>
      <c r="EO74" s="17"/>
      <c r="EP74" s="17"/>
      <c r="EQ74" s="17"/>
      <c r="ER74" s="17"/>
      <c r="ES74" s="17"/>
      <c r="EU74" s="17"/>
      <c r="EW74" s="1"/>
      <c r="EX74" s="225"/>
      <c r="EY74" s="225"/>
      <c r="EZ74" s="225"/>
      <c r="FA74" s="225"/>
      <c r="FB74" s="225"/>
      <c r="FC74" s="225"/>
      <c r="FD74" s="225"/>
      <c r="FE74" s="225"/>
      <c r="FF74" s="225"/>
      <c r="FG74" s="10"/>
      <c r="FH74" s="225"/>
      <c r="FI74" s="10"/>
      <c r="FJ74" s="1"/>
      <c r="FK74" s="225"/>
      <c r="FL74" s="225"/>
      <c r="FM74" s="191"/>
      <c r="FN74" s="191"/>
      <c r="FO74" s="225"/>
      <c r="FP74" s="225"/>
      <c r="FQ74" s="151"/>
      <c r="FR74" s="151"/>
      <c r="FS74" s="10"/>
      <c r="FT74" s="191"/>
      <c r="FU74" s="225"/>
      <c r="FV74" s="151"/>
    </row>
    <row r="75" spans="1:178" ht="16" thickBot="1" x14ac:dyDescent="0.25">
      <c r="A75" s="27" t="s">
        <v>102</v>
      </c>
      <c r="B75" t="s">
        <v>140</v>
      </c>
      <c r="C75" s="1"/>
      <c r="D75" s="17">
        <v>13</v>
      </c>
      <c r="E75" s="17">
        <v>13</v>
      </c>
      <c r="F75" s="161">
        <v>19</v>
      </c>
      <c r="G75" s="87">
        <v>21</v>
      </c>
      <c r="H75" s="243">
        <v>18</v>
      </c>
      <c r="I75" s="87">
        <v>20</v>
      </c>
      <c r="J75" s="17"/>
      <c r="K75" s="17"/>
      <c r="L75" s="17"/>
      <c r="M75" s="17"/>
      <c r="N75" s="17"/>
      <c r="O75" s="17"/>
      <c r="P75" s="1"/>
      <c r="Q75" s="48">
        <v>13870.44</v>
      </c>
      <c r="R75" s="49"/>
      <c r="S75" s="49">
        <v>6561.24</v>
      </c>
      <c r="T75" s="50">
        <f t="shared" si="6"/>
        <v>20431.68</v>
      </c>
      <c r="U75" s="48">
        <v>4999.5</v>
      </c>
      <c r="V75" s="49">
        <v>12694.6</v>
      </c>
      <c r="W75" s="49">
        <v>4298.88</v>
      </c>
      <c r="X75" s="50">
        <f t="shared" si="7"/>
        <v>21992.98</v>
      </c>
      <c r="Y75" s="48">
        <v>6564.32</v>
      </c>
      <c r="Z75" s="49">
        <v>15834.07</v>
      </c>
      <c r="AA75" s="49">
        <v>4355.62</v>
      </c>
      <c r="AB75" s="50">
        <f t="shared" si="8"/>
        <v>26754.01</v>
      </c>
      <c r="AC75" s="164">
        <v>10914.57</v>
      </c>
      <c r="AD75" s="165">
        <v>4320.37</v>
      </c>
      <c r="AE75" s="165">
        <v>27538.66</v>
      </c>
      <c r="AF75" s="151">
        <f t="shared" si="9"/>
        <v>42773.599999999999</v>
      </c>
      <c r="AG75" s="165">
        <v>3511.29</v>
      </c>
      <c r="AH75" s="165">
        <v>9127.5499999999993</v>
      </c>
      <c r="AI75" s="165">
        <v>5478.99</v>
      </c>
      <c r="AJ75" s="151">
        <f t="shared" si="10"/>
        <v>18117.830000000002</v>
      </c>
      <c r="AK75" s="192">
        <v>2827.46</v>
      </c>
      <c r="AL75" s="10">
        <v>1811.25</v>
      </c>
      <c r="AM75" s="10">
        <v>21883.22</v>
      </c>
      <c r="AN75" s="151">
        <f t="shared" si="11"/>
        <v>26521.93</v>
      </c>
      <c r="AO75" s="191"/>
      <c r="AP75" s="10"/>
      <c r="AQ75" s="10"/>
      <c r="AR75" s="151"/>
      <c r="AS75" s="191"/>
      <c r="AT75" s="10"/>
      <c r="AU75" s="10"/>
      <c r="AV75" s="151"/>
      <c r="AW75" s="191"/>
      <c r="AX75" s="10"/>
      <c r="AY75" s="10"/>
      <c r="AZ75" s="151"/>
      <c r="BA75" s="191"/>
      <c r="BB75" s="10"/>
      <c r="BC75" s="10"/>
      <c r="BD75" s="151"/>
      <c r="BE75" s="191"/>
      <c r="BF75" s="10"/>
      <c r="BG75" s="10"/>
      <c r="BH75" s="151"/>
      <c r="BI75" s="191"/>
      <c r="BJ75" s="10"/>
      <c r="BK75" s="10"/>
      <c r="BL75" s="151"/>
      <c r="BM75" s="1"/>
      <c r="BN75" s="48"/>
      <c r="BO75" s="56"/>
      <c r="BP75" s="56"/>
      <c r="BQ75" s="50"/>
      <c r="BR75" s="48"/>
      <c r="BS75" s="56"/>
      <c r="BT75" s="56"/>
      <c r="BU75" s="50"/>
      <c r="BV75" s="48"/>
      <c r="BW75" s="56"/>
      <c r="BX75" s="56"/>
      <c r="BY75" s="50"/>
      <c r="BZ75" s="48"/>
      <c r="CA75" s="49"/>
      <c r="CB75" s="49"/>
      <c r="CC75" s="50"/>
      <c r="CD75" s="48"/>
      <c r="CE75" s="49"/>
      <c r="CF75" s="49"/>
      <c r="CG75" s="50"/>
      <c r="CK75" s="12"/>
      <c r="CL75" s="15"/>
      <c r="CO75" s="12"/>
      <c r="CP75" s="15"/>
      <c r="CS75" s="12"/>
      <c r="CT75" s="15"/>
      <c r="CW75" s="12"/>
      <c r="CX75" s="15"/>
      <c r="DA75" s="12"/>
      <c r="DF75" s="15"/>
      <c r="DI75" s="12"/>
      <c r="DJ75" s="1"/>
      <c r="DK75" s="225"/>
      <c r="DL75" s="225">
        <v>1933.13</v>
      </c>
      <c r="DM75" s="225"/>
      <c r="DN75" s="225"/>
      <c r="DO75" s="225"/>
      <c r="DP75" s="225">
        <v>51.53</v>
      </c>
      <c r="DQ75" s="225"/>
      <c r="DR75" s="225"/>
      <c r="DS75" s="10"/>
      <c r="DT75" s="225"/>
      <c r="DU75" s="10"/>
      <c r="DV75" s="225"/>
      <c r="DW75" s="1"/>
      <c r="EJ75" s="1"/>
      <c r="EK75" s="17"/>
      <c r="EL75" s="17">
        <v>1</v>
      </c>
      <c r="EM75" s="17"/>
      <c r="EN75" s="17"/>
      <c r="EO75" s="17"/>
      <c r="EP75" s="17">
        <v>1</v>
      </c>
      <c r="EQ75" s="17"/>
      <c r="ER75" s="17"/>
      <c r="ES75" s="17"/>
      <c r="EU75" s="17"/>
      <c r="EW75" s="1"/>
      <c r="EX75" s="225"/>
      <c r="EY75" s="225">
        <v>1933.13</v>
      </c>
      <c r="EZ75" s="225"/>
      <c r="FA75" s="225"/>
      <c r="FB75" s="225"/>
      <c r="FC75" s="225">
        <v>51.53</v>
      </c>
      <c r="FD75" s="225"/>
      <c r="FE75" s="225"/>
      <c r="FF75" s="225"/>
      <c r="FG75" s="10"/>
      <c r="FH75" s="225"/>
      <c r="FI75" s="10"/>
      <c r="FJ75" s="1"/>
      <c r="FK75" s="225"/>
      <c r="FL75" s="225"/>
      <c r="FM75" s="191"/>
      <c r="FN75" s="191"/>
      <c r="FO75" s="225"/>
      <c r="FP75" s="225"/>
      <c r="FQ75" s="151"/>
      <c r="FR75" s="151"/>
      <c r="FS75" s="10"/>
      <c r="FT75" s="191"/>
      <c r="FU75" s="225"/>
      <c r="FV75" s="151"/>
    </row>
    <row r="76" spans="1:178" ht="16" thickBot="1" x14ac:dyDescent="0.25">
      <c r="A76" s="27" t="s">
        <v>103</v>
      </c>
      <c r="B76" t="s">
        <v>140</v>
      </c>
      <c r="C76" s="1"/>
      <c r="D76" s="17">
        <v>8</v>
      </c>
      <c r="E76" s="17">
        <v>4</v>
      </c>
      <c r="F76" s="161">
        <v>5</v>
      </c>
      <c r="G76" s="87">
        <v>5</v>
      </c>
      <c r="H76" s="243">
        <v>6</v>
      </c>
      <c r="I76" s="87">
        <v>7</v>
      </c>
      <c r="J76" s="17"/>
      <c r="K76" s="17"/>
      <c r="L76" s="17"/>
      <c r="M76" s="17"/>
      <c r="N76" s="17"/>
      <c r="O76" s="17"/>
      <c r="P76" s="1"/>
      <c r="Q76" s="48">
        <v>2725.9</v>
      </c>
      <c r="R76" s="49"/>
      <c r="S76" s="49">
        <v>236.82</v>
      </c>
      <c r="T76" s="50">
        <f t="shared" si="6"/>
        <v>2962.7200000000003</v>
      </c>
      <c r="U76" s="48">
        <v>976.6</v>
      </c>
      <c r="V76" s="49">
        <v>127.18</v>
      </c>
      <c r="W76" s="49">
        <v>236.82</v>
      </c>
      <c r="X76" s="50">
        <f t="shared" si="7"/>
        <v>1340.6</v>
      </c>
      <c r="Y76" s="48">
        <v>1630.41</v>
      </c>
      <c r="Z76" s="49"/>
      <c r="AA76" s="49">
        <v>7139.84</v>
      </c>
      <c r="AB76" s="50">
        <f t="shared" si="8"/>
        <v>8770.25</v>
      </c>
      <c r="AC76" s="164"/>
      <c r="AD76" s="166">
        <v>4245.8500000000004</v>
      </c>
      <c r="AE76" s="165">
        <v>805.03</v>
      </c>
      <c r="AF76" s="151">
        <f t="shared" si="9"/>
        <v>5050.88</v>
      </c>
      <c r="AG76" s="165">
        <v>1495.69</v>
      </c>
      <c r="AH76" s="165"/>
      <c r="AI76" s="165">
        <v>2282.71</v>
      </c>
      <c r="AJ76" s="151">
        <f t="shared" si="10"/>
        <v>3778.4</v>
      </c>
      <c r="AK76" s="192">
        <v>1029.55</v>
      </c>
      <c r="AL76" s="10">
        <v>210.89</v>
      </c>
      <c r="AM76" s="10">
        <v>3332.56</v>
      </c>
      <c r="AN76" s="151">
        <f t="shared" si="11"/>
        <v>4573</v>
      </c>
      <c r="AO76" s="191"/>
      <c r="AP76" s="10"/>
      <c r="AQ76" s="10"/>
      <c r="AR76" s="151"/>
      <c r="AS76" s="191"/>
      <c r="AT76" s="10"/>
      <c r="AU76" s="10"/>
      <c r="AV76" s="151"/>
      <c r="AW76" s="191"/>
      <c r="AX76" s="10"/>
      <c r="AY76" s="10"/>
      <c r="AZ76" s="151"/>
      <c r="BA76" s="191"/>
      <c r="BB76" s="10"/>
      <c r="BC76" s="10"/>
      <c r="BD76" s="151"/>
      <c r="BE76" s="191"/>
      <c r="BF76" s="10"/>
      <c r="BG76" s="10"/>
      <c r="BH76" s="151"/>
      <c r="BI76" s="191"/>
      <c r="BJ76" s="10"/>
      <c r="BK76" s="10"/>
      <c r="BL76" s="151"/>
      <c r="BM76" s="1"/>
      <c r="BN76" s="48"/>
      <c r="BO76" s="56"/>
      <c r="BP76" s="56"/>
      <c r="BQ76" s="50"/>
      <c r="BR76" s="48"/>
      <c r="BS76" s="56"/>
      <c r="BT76" s="56"/>
      <c r="BU76" s="50"/>
      <c r="BV76" s="48"/>
      <c r="BW76" s="56"/>
      <c r="BX76" s="56"/>
      <c r="BY76" s="50"/>
      <c r="BZ76" s="48"/>
      <c r="CA76" s="49"/>
      <c r="CB76" s="49"/>
      <c r="CC76" s="50"/>
      <c r="CD76" s="48"/>
      <c r="CE76" s="49"/>
      <c r="CF76" s="49"/>
      <c r="CG76" s="50"/>
      <c r="CK76" s="12"/>
      <c r="CL76" s="15"/>
      <c r="CO76" s="12"/>
      <c r="CP76" s="15"/>
      <c r="CS76" s="12"/>
      <c r="CT76" s="15"/>
      <c r="CW76" s="12"/>
      <c r="CX76" s="15"/>
      <c r="DA76" s="12"/>
      <c r="DF76" s="15"/>
      <c r="DI76" s="12"/>
      <c r="DJ76" s="1"/>
      <c r="DK76" s="225"/>
      <c r="DL76" s="225"/>
      <c r="DM76" s="225"/>
      <c r="DN76" s="225"/>
      <c r="DO76" s="225"/>
      <c r="DP76" s="225"/>
      <c r="DQ76" s="225"/>
      <c r="DR76" s="225"/>
      <c r="DS76" s="10"/>
      <c r="DT76" s="225"/>
      <c r="DU76" s="10"/>
      <c r="DV76" s="225"/>
      <c r="DW76" s="1"/>
      <c r="EJ76" s="1"/>
      <c r="EK76" s="17"/>
      <c r="EL76" s="17"/>
      <c r="EM76" s="17"/>
      <c r="EN76" s="17"/>
      <c r="EO76" s="17"/>
      <c r="EP76" s="17"/>
      <c r="EQ76" s="17"/>
      <c r="ER76" s="17"/>
      <c r="ES76" s="17"/>
      <c r="EU76" s="17"/>
      <c r="EW76" s="1"/>
      <c r="EX76" s="225"/>
      <c r="EY76" s="225"/>
      <c r="EZ76" s="225"/>
      <c r="FA76" s="225"/>
      <c r="FB76" s="225"/>
      <c r="FC76" s="225"/>
      <c r="FD76" s="225"/>
      <c r="FE76" s="225"/>
      <c r="FF76" s="225"/>
      <c r="FG76" s="10"/>
      <c r="FH76" s="225"/>
      <c r="FI76" s="10"/>
      <c r="FJ76" s="1"/>
      <c r="FK76" s="225"/>
      <c r="FL76" s="225"/>
      <c r="FM76" s="191"/>
      <c r="FN76" s="191"/>
      <c r="FO76" s="225"/>
      <c r="FP76" s="225"/>
      <c r="FQ76" s="151"/>
      <c r="FR76" s="151"/>
      <c r="FS76" s="10"/>
      <c r="FT76" s="191"/>
      <c r="FU76" s="225"/>
      <c r="FV76" s="151"/>
    </row>
    <row r="77" spans="1:178" ht="16" thickBot="1" x14ac:dyDescent="0.25">
      <c r="A77" s="27" t="s">
        <v>104</v>
      </c>
      <c r="B77" t="s">
        <v>140</v>
      </c>
      <c r="C77" s="1"/>
      <c r="D77" s="17">
        <v>3</v>
      </c>
      <c r="E77" s="17">
        <v>3</v>
      </c>
      <c r="F77" s="161">
        <v>3</v>
      </c>
      <c r="G77" s="87">
        <v>3</v>
      </c>
      <c r="H77" s="243">
        <v>3</v>
      </c>
      <c r="I77" s="87">
        <v>4</v>
      </c>
      <c r="J77" s="17"/>
      <c r="K77" s="17"/>
      <c r="L77" s="17"/>
      <c r="M77" s="17"/>
      <c r="N77" s="17"/>
      <c r="O77" s="17"/>
      <c r="P77" s="1"/>
      <c r="Q77" s="48">
        <v>1714.06</v>
      </c>
      <c r="R77" s="49"/>
      <c r="S77" s="49">
        <v>0</v>
      </c>
      <c r="T77" s="50">
        <f t="shared" si="6"/>
        <v>1714.06</v>
      </c>
      <c r="U77" s="48">
        <v>644.32000000000005</v>
      </c>
      <c r="V77" s="49"/>
      <c r="W77" s="49">
        <v>1058.97</v>
      </c>
      <c r="X77" s="50">
        <f t="shared" si="7"/>
        <v>1703.29</v>
      </c>
      <c r="Y77" s="48">
        <v>13853.34</v>
      </c>
      <c r="Z77" s="49">
        <v>882.9</v>
      </c>
      <c r="AA77" s="49">
        <v>0</v>
      </c>
      <c r="AB77" s="50">
        <f t="shared" si="8"/>
        <v>14736.24</v>
      </c>
      <c r="AC77" s="164">
        <v>948.99</v>
      </c>
      <c r="AD77" s="165">
        <v>138.16</v>
      </c>
      <c r="AE77" s="165">
        <v>0</v>
      </c>
      <c r="AF77" s="151">
        <f t="shared" si="9"/>
        <v>1087.1500000000001</v>
      </c>
      <c r="AG77" s="165">
        <v>5745.47</v>
      </c>
      <c r="AH77" s="165">
        <v>742.09</v>
      </c>
      <c r="AI77" s="165">
        <v>217.18</v>
      </c>
      <c r="AJ77" s="151">
        <f t="shared" si="10"/>
        <v>6704.7400000000007</v>
      </c>
      <c r="AK77" s="192">
        <v>5696.47</v>
      </c>
      <c r="AL77" s="10"/>
      <c r="AM77" s="10">
        <v>0</v>
      </c>
      <c r="AN77" s="151">
        <f t="shared" si="11"/>
        <v>5696.47</v>
      </c>
      <c r="AO77" s="191"/>
      <c r="AP77" s="10"/>
      <c r="AQ77" s="10"/>
      <c r="AR77" s="151"/>
      <c r="AS77" s="191"/>
      <c r="AT77" s="10"/>
      <c r="AU77" s="10"/>
      <c r="AV77" s="151"/>
      <c r="AW77" s="191"/>
      <c r="AX77" s="10"/>
      <c r="AY77" s="10"/>
      <c r="AZ77" s="151"/>
      <c r="BA77" s="191"/>
      <c r="BB77" s="10"/>
      <c r="BC77" s="10"/>
      <c r="BD77" s="151"/>
      <c r="BE77" s="191"/>
      <c r="BF77" s="10"/>
      <c r="BG77" s="10"/>
      <c r="BH77" s="151"/>
      <c r="BI77" s="191"/>
      <c r="BJ77" s="10"/>
      <c r="BK77" s="10"/>
      <c r="BL77" s="151"/>
      <c r="BM77" s="1"/>
      <c r="BN77" s="48"/>
      <c r="BO77" s="56"/>
      <c r="BP77" s="56"/>
      <c r="BQ77" s="50"/>
      <c r="BR77" s="48"/>
      <c r="BS77" s="56"/>
      <c r="BT77" s="56"/>
      <c r="BU77" s="50"/>
      <c r="BV77" s="48"/>
      <c r="BW77" s="56"/>
      <c r="BX77" s="56"/>
      <c r="BY77" s="50"/>
      <c r="BZ77" s="48"/>
      <c r="CA77" s="49"/>
      <c r="CB77" s="49"/>
      <c r="CC77" s="50"/>
      <c r="CD77" s="48"/>
      <c r="CE77" s="49"/>
      <c r="CF77" s="49"/>
      <c r="CG77" s="50"/>
      <c r="CK77" s="12"/>
      <c r="CL77" s="15"/>
      <c r="CO77" s="12"/>
      <c r="CP77" s="15"/>
      <c r="CS77" s="12"/>
      <c r="CT77" s="15"/>
      <c r="CW77" s="12"/>
      <c r="CX77" s="15"/>
      <c r="DA77" s="12"/>
      <c r="DF77" s="15"/>
      <c r="DI77" s="12"/>
      <c r="DJ77" s="1"/>
      <c r="DK77" s="225"/>
      <c r="DL77" s="225"/>
      <c r="DM77" s="225"/>
      <c r="DN77" s="225"/>
      <c r="DO77" s="225"/>
      <c r="DP77" s="225"/>
      <c r="DQ77" s="225"/>
      <c r="DR77" s="225"/>
      <c r="DS77" s="10"/>
      <c r="DT77" s="225"/>
      <c r="DU77" s="10"/>
      <c r="DV77" s="225"/>
      <c r="DW77" s="1"/>
      <c r="EJ77" s="1"/>
      <c r="EK77" s="17"/>
      <c r="EL77" s="17"/>
      <c r="EM77" s="17"/>
      <c r="EN77" s="17"/>
      <c r="EO77" s="17"/>
      <c r="EP77" s="17"/>
      <c r="EQ77" s="17"/>
      <c r="ER77" s="17"/>
      <c r="ES77" s="17"/>
      <c r="EU77" s="17"/>
      <c r="EW77" s="1"/>
      <c r="EX77" s="225"/>
      <c r="EY77" s="225"/>
      <c r="EZ77" s="225"/>
      <c r="FA77" s="225"/>
      <c r="FB77" s="225"/>
      <c r="FC77" s="225"/>
      <c r="FD77" s="225"/>
      <c r="FE77" s="225"/>
      <c r="FF77" s="225"/>
      <c r="FG77" s="10"/>
      <c r="FH77" s="225"/>
      <c r="FI77" s="10"/>
      <c r="FJ77" s="1"/>
      <c r="FK77" s="225"/>
      <c r="FL77" s="225"/>
      <c r="FM77" s="191"/>
      <c r="FN77" s="191"/>
      <c r="FO77" s="225"/>
      <c r="FP77" s="225"/>
      <c r="FQ77" s="151"/>
      <c r="FR77" s="151"/>
      <c r="FS77" s="10"/>
      <c r="FT77" s="191"/>
      <c r="FU77" s="225"/>
      <c r="FV77" s="151"/>
    </row>
    <row r="78" spans="1:178" ht="16" thickBot="1" x14ac:dyDescent="0.25">
      <c r="A78" s="27" t="s">
        <v>105</v>
      </c>
      <c r="B78" t="s">
        <v>140</v>
      </c>
      <c r="C78" s="1"/>
      <c r="D78" s="17">
        <v>5</v>
      </c>
      <c r="E78" s="17">
        <v>2</v>
      </c>
      <c r="F78" s="161">
        <v>5</v>
      </c>
      <c r="G78" s="87">
        <v>2</v>
      </c>
      <c r="H78" s="243">
        <v>6</v>
      </c>
      <c r="I78" s="87">
        <v>6</v>
      </c>
      <c r="J78" s="17"/>
      <c r="K78" s="17"/>
      <c r="L78" s="17"/>
      <c r="M78" s="17"/>
      <c r="N78" s="17"/>
      <c r="O78" s="17"/>
      <c r="P78" s="1"/>
      <c r="Q78" s="48">
        <v>1155.17</v>
      </c>
      <c r="R78" s="49">
        <v>572.14</v>
      </c>
      <c r="S78" s="49">
        <v>387.98</v>
      </c>
      <c r="T78" s="50">
        <f t="shared" si="6"/>
        <v>2115.29</v>
      </c>
      <c r="U78" s="48">
        <v>780.83</v>
      </c>
      <c r="V78" s="49"/>
      <c r="W78" s="49">
        <v>572.14</v>
      </c>
      <c r="X78" s="50">
        <f t="shared" si="7"/>
        <v>1352.97</v>
      </c>
      <c r="Y78" s="48">
        <v>1801.94</v>
      </c>
      <c r="Z78" s="49"/>
      <c r="AA78" s="49">
        <v>0</v>
      </c>
      <c r="AB78" s="50">
        <f t="shared" si="8"/>
        <v>1801.94</v>
      </c>
      <c r="AC78" s="164"/>
      <c r="AD78" s="166">
        <v>137.96</v>
      </c>
      <c r="AE78" s="165">
        <v>0</v>
      </c>
      <c r="AF78" s="151">
        <f t="shared" si="9"/>
        <v>137.96</v>
      </c>
      <c r="AG78" s="165">
        <v>1211.1099999999999</v>
      </c>
      <c r="AH78" s="166"/>
      <c r="AI78" s="165">
        <v>170.6</v>
      </c>
      <c r="AJ78" s="151">
        <f t="shared" si="10"/>
        <v>1381.7099999999998</v>
      </c>
      <c r="AK78" s="192">
        <v>250.59</v>
      </c>
      <c r="AL78" s="10">
        <v>856.68</v>
      </c>
      <c r="AM78" s="10">
        <v>227.54</v>
      </c>
      <c r="AN78" s="151">
        <f t="shared" si="11"/>
        <v>1334.81</v>
      </c>
      <c r="AO78" s="191"/>
      <c r="AP78" s="10"/>
      <c r="AQ78" s="10"/>
      <c r="AR78" s="151"/>
      <c r="AS78" s="191"/>
      <c r="AT78" s="10"/>
      <c r="AU78" s="10"/>
      <c r="AV78" s="151"/>
      <c r="AW78" s="191"/>
      <c r="AX78" s="10"/>
      <c r="AY78" s="10"/>
      <c r="AZ78" s="151"/>
      <c r="BA78" s="191"/>
      <c r="BB78" s="10"/>
      <c r="BC78" s="10"/>
      <c r="BD78" s="151"/>
      <c r="BE78" s="191"/>
      <c r="BF78" s="10"/>
      <c r="BG78" s="10"/>
      <c r="BH78" s="151"/>
      <c r="BI78" s="191"/>
      <c r="BJ78" s="10"/>
      <c r="BK78" s="10"/>
      <c r="BL78" s="151"/>
      <c r="BM78" s="1"/>
      <c r="BN78" s="48"/>
      <c r="BO78" s="56"/>
      <c r="BP78" s="56"/>
      <c r="BQ78" s="50"/>
      <c r="BR78" s="48"/>
      <c r="BS78" s="56"/>
      <c r="BT78" s="56"/>
      <c r="BU78" s="50"/>
      <c r="BV78" s="48"/>
      <c r="BW78" s="56"/>
      <c r="BX78" s="56"/>
      <c r="BY78" s="50"/>
      <c r="BZ78" s="48"/>
      <c r="CA78" s="49"/>
      <c r="CB78" s="49"/>
      <c r="CC78" s="50"/>
      <c r="CD78" s="48"/>
      <c r="CE78" s="49"/>
      <c r="CF78" s="49"/>
      <c r="CG78" s="50"/>
      <c r="CK78" s="12"/>
      <c r="CL78" s="15"/>
      <c r="CO78" s="12"/>
      <c r="CP78" s="15"/>
      <c r="CS78" s="12"/>
      <c r="CT78" s="15"/>
      <c r="CW78" s="12"/>
      <c r="CX78" s="15"/>
      <c r="DA78" s="12"/>
      <c r="DF78" s="15"/>
      <c r="DI78" s="12"/>
      <c r="DJ78" s="1"/>
      <c r="DK78" s="225"/>
      <c r="DL78" s="225"/>
      <c r="DM78" s="225"/>
      <c r="DN78" s="225"/>
      <c r="DO78" s="225"/>
      <c r="DP78" s="225"/>
      <c r="DQ78" s="225"/>
      <c r="DR78" s="225"/>
      <c r="DS78" s="10"/>
      <c r="DT78" s="225"/>
      <c r="DU78" s="10"/>
      <c r="DV78" s="225"/>
      <c r="DW78" s="1"/>
      <c r="EJ78" s="1"/>
      <c r="EK78" s="17"/>
      <c r="EL78" s="17"/>
      <c r="EM78" s="17"/>
      <c r="EN78" s="17"/>
      <c r="EO78" s="17"/>
      <c r="EP78" s="17"/>
      <c r="EQ78" s="17"/>
      <c r="ER78" s="17"/>
      <c r="ES78" s="17"/>
      <c r="EU78" s="17"/>
      <c r="EW78" s="1"/>
      <c r="EX78" s="225"/>
      <c r="EY78" s="225"/>
      <c r="EZ78" s="225"/>
      <c r="FA78" s="225"/>
      <c r="FB78" s="225"/>
      <c r="FC78" s="225"/>
      <c r="FD78" s="225"/>
      <c r="FE78" s="225"/>
      <c r="FF78" s="225"/>
      <c r="FG78" s="10"/>
      <c r="FH78" s="225"/>
      <c r="FI78" s="10"/>
      <c r="FJ78" s="1"/>
      <c r="FK78" s="225"/>
      <c r="FL78" s="225"/>
      <c r="FM78" s="191"/>
      <c r="FN78" s="191"/>
      <c r="FO78" s="225"/>
      <c r="FP78" s="225"/>
      <c r="FQ78" s="151"/>
      <c r="FR78" s="151"/>
      <c r="FS78" s="10"/>
      <c r="FT78" s="191"/>
      <c r="FU78" s="225"/>
      <c r="FV78" s="151"/>
    </row>
    <row r="79" spans="1:178" ht="16" thickBot="1" x14ac:dyDescent="0.25">
      <c r="A79" s="27" t="s">
        <v>106</v>
      </c>
      <c r="B79" t="s">
        <v>140</v>
      </c>
      <c r="C79" s="1"/>
      <c r="D79" s="17">
        <v>1</v>
      </c>
      <c r="E79" s="17">
        <v>1</v>
      </c>
      <c r="F79" s="162"/>
      <c r="G79" s="89"/>
      <c r="H79" s="243">
        <v>2</v>
      </c>
      <c r="I79" s="88">
        <v>1</v>
      </c>
      <c r="J79" s="17"/>
      <c r="K79" s="17"/>
      <c r="L79" s="17"/>
      <c r="M79" s="17"/>
      <c r="N79" s="17"/>
      <c r="O79" s="17"/>
      <c r="P79" s="1"/>
      <c r="Q79" s="48">
        <v>21</v>
      </c>
      <c r="R79" s="49"/>
      <c r="S79" s="49">
        <v>0</v>
      </c>
      <c r="T79" s="50">
        <f t="shared" si="6"/>
        <v>21</v>
      </c>
      <c r="U79" s="48">
        <v>191.96</v>
      </c>
      <c r="V79" s="49"/>
      <c r="W79" s="49">
        <v>0</v>
      </c>
      <c r="X79" s="50">
        <f t="shared" si="7"/>
        <v>191.96</v>
      </c>
      <c r="Y79" s="48"/>
      <c r="Z79" s="49"/>
      <c r="AA79" s="49">
        <v>0</v>
      </c>
      <c r="AB79" s="50">
        <f t="shared" si="8"/>
        <v>0</v>
      </c>
      <c r="AC79" s="167"/>
      <c r="AD79" s="166"/>
      <c r="AE79" s="166">
        <v>0</v>
      </c>
      <c r="AF79" s="151">
        <f t="shared" si="9"/>
        <v>0</v>
      </c>
      <c r="AG79" s="165">
        <v>235.06</v>
      </c>
      <c r="AH79" s="166"/>
      <c r="AI79" s="166">
        <v>0</v>
      </c>
      <c r="AJ79" s="151">
        <f t="shared" si="10"/>
        <v>235.06</v>
      </c>
      <c r="AK79" s="192"/>
      <c r="AL79" s="10">
        <v>111.7</v>
      </c>
      <c r="AM79" s="10">
        <v>0</v>
      </c>
      <c r="AN79" s="151">
        <f t="shared" si="11"/>
        <v>111.7</v>
      </c>
      <c r="AO79" s="191"/>
      <c r="AP79" s="10"/>
      <c r="AQ79" s="10"/>
      <c r="AR79" s="151"/>
      <c r="AS79" s="191"/>
      <c r="AT79" s="10"/>
      <c r="AU79" s="10"/>
      <c r="AV79" s="151"/>
      <c r="AW79" s="191"/>
      <c r="AX79" s="10"/>
      <c r="AY79" s="10"/>
      <c r="AZ79" s="151"/>
      <c r="BA79" s="191"/>
      <c r="BB79" s="10"/>
      <c r="BC79" s="10"/>
      <c r="BD79" s="151"/>
      <c r="BE79" s="191"/>
      <c r="BF79" s="10"/>
      <c r="BG79" s="10"/>
      <c r="BH79" s="151"/>
      <c r="BI79" s="191"/>
      <c r="BJ79" s="10"/>
      <c r="BK79" s="10"/>
      <c r="BL79" s="151"/>
      <c r="BM79" s="1"/>
      <c r="BN79" s="48"/>
      <c r="BO79" s="56"/>
      <c r="BP79" s="56"/>
      <c r="BQ79" s="50"/>
      <c r="BR79" s="48"/>
      <c r="BS79" s="56"/>
      <c r="BT79" s="56"/>
      <c r="BU79" s="50"/>
      <c r="BV79" s="48"/>
      <c r="BW79" s="56"/>
      <c r="BX79" s="56"/>
      <c r="BY79" s="50"/>
      <c r="BZ79" s="48"/>
      <c r="CA79" s="49"/>
      <c r="CB79" s="49"/>
      <c r="CC79" s="50"/>
      <c r="CD79" s="48"/>
      <c r="CE79" s="49"/>
      <c r="CF79" s="49"/>
      <c r="CG79" s="50"/>
      <c r="CK79" s="12"/>
      <c r="CL79" s="15"/>
      <c r="CO79" s="12"/>
      <c r="CP79" s="15"/>
      <c r="CS79" s="12"/>
      <c r="CT79" s="15"/>
      <c r="CW79" s="12"/>
      <c r="CX79" s="15"/>
      <c r="DA79" s="12"/>
      <c r="DF79" s="15"/>
      <c r="DI79" s="12"/>
      <c r="DJ79" s="1"/>
      <c r="DK79" s="225"/>
      <c r="DL79" s="225"/>
      <c r="DM79" s="225"/>
      <c r="DN79" s="225"/>
      <c r="DO79" s="225"/>
      <c r="DP79" s="225"/>
      <c r="DQ79" s="225"/>
      <c r="DR79" s="225"/>
      <c r="DS79" s="10"/>
      <c r="DT79" s="225"/>
      <c r="DU79" s="10"/>
      <c r="DV79" s="225"/>
      <c r="DW79" s="1"/>
      <c r="EJ79" s="1"/>
      <c r="EK79" s="17"/>
      <c r="EL79" s="17"/>
      <c r="EM79" s="17"/>
      <c r="EN79" s="17"/>
      <c r="EO79" s="17"/>
      <c r="EP79" s="17"/>
      <c r="EQ79" s="17"/>
      <c r="ER79" s="17"/>
      <c r="ES79" s="17"/>
      <c r="EU79" s="17"/>
      <c r="EW79" s="1"/>
      <c r="EX79" s="225"/>
      <c r="EY79" s="225"/>
      <c r="EZ79" s="225"/>
      <c r="FA79" s="225"/>
      <c r="FB79" s="225"/>
      <c r="FC79" s="225"/>
      <c r="FD79" s="225"/>
      <c r="FE79" s="225"/>
      <c r="FF79" s="225"/>
      <c r="FG79" s="10"/>
      <c r="FH79" s="225"/>
      <c r="FI79" s="10"/>
      <c r="FJ79" s="1"/>
      <c r="FK79" s="225"/>
      <c r="FL79" s="225"/>
      <c r="FM79" s="191"/>
      <c r="FN79" s="191"/>
      <c r="FO79" s="225"/>
      <c r="FP79" s="225"/>
      <c r="FQ79" s="151"/>
      <c r="FR79" s="151"/>
      <c r="FS79" s="10"/>
      <c r="FT79" s="191"/>
      <c r="FU79" s="225"/>
      <c r="FV79" s="151"/>
    </row>
    <row r="80" spans="1:178" ht="16" thickBot="1" x14ac:dyDescent="0.25">
      <c r="A80" s="27" t="s">
        <v>107</v>
      </c>
      <c r="B80" t="s">
        <v>140</v>
      </c>
      <c r="C80" s="1"/>
      <c r="D80" s="17"/>
      <c r="E80" s="17"/>
      <c r="F80" s="162"/>
      <c r="G80" s="89"/>
      <c r="H80" s="244">
        <v>1</v>
      </c>
      <c r="I80" s="87">
        <v>1</v>
      </c>
      <c r="J80" s="17"/>
      <c r="K80" s="17"/>
      <c r="L80" s="17"/>
      <c r="M80" s="17"/>
      <c r="N80" s="17"/>
      <c r="O80" s="17"/>
      <c r="P80" s="1"/>
      <c r="Q80" s="48"/>
      <c r="R80" s="49"/>
      <c r="S80" s="49">
        <v>0</v>
      </c>
      <c r="T80" s="50">
        <f t="shared" si="6"/>
        <v>0</v>
      </c>
      <c r="U80" s="48"/>
      <c r="V80" s="49"/>
      <c r="W80" s="49">
        <v>0</v>
      </c>
      <c r="X80" s="50">
        <f t="shared" si="7"/>
        <v>0</v>
      </c>
      <c r="Y80" s="48"/>
      <c r="Z80" s="49"/>
      <c r="AA80" s="49">
        <v>0</v>
      </c>
      <c r="AB80" s="50">
        <f t="shared" si="8"/>
        <v>0</v>
      </c>
      <c r="AC80" s="167"/>
      <c r="AD80" s="166"/>
      <c r="AE80" s="166">
        <v>0</v>
      </c>
      <c r="AF80" s="151">
        <f t="shared" si="9"/>
        <v>0</v>
      </c>
      <c r="AG80" s="166">
        <v>182.86</v>
      </c>
      <c r="AH80" s="166"/>
      <c r="AI80" s="166">
        <v>0</v>
      </c>
      <c r="AJ80" s="151">
        <f t="shared" si="10"/>
        <v>182.86</v>
      </c>
      <c r="AK80" s="192">
        <v>154.07</v>
      </c>
      <c r="AL80" s="10"/>
      <c r="AM80" s="10">
        <v>0</v>
      </c>
      <c r="AN80" s="151">
        <f t="shared" si="11"/>
        <v>154.07</v>
      </c>
      <c r="AO80" s="191"/>
      <c r="AP80" s="10"/>
      <c r="AQ80" s="10"/>
      <c r="AR80" s="151"/>
      <c r="AS80" s="191"/>
      <c r="AT80" s="10"/>
      <c r="AU80" s="10"/>
      <c r="AV80" s="151"/>
      <c r="AW80" s="191"/>
      <c r="AX80" s="10"/>
      <c r="AY80" s="10"/>
      <c r="AZ80" s="151"/>
      <c r="BA80" s="191"/>
      <c r="BB80" s="10"/>
      <c r="BC80" s="10"/>
      <c r="BD80" s="151"/>
      <c r="BE80" s="191"/>
      <c r="BF80" s="10"/>
      <c r="BG80" s="10"/>
      <c r="BH80" s="151"/>
      <c r="BI80" s="191"/>
      <c r="BJ80" s="10"/>
      <c r="BK80" s="10"/>
      <c r="BL80" s="151"/>
      <c r="BM80" s="1"/>
      <c r="BN80" s="48"/>
      <c r="BO80" s="56"/>
      <c r="BP80" s="56"/>
      <c r="BQ80" s="50"/>
      <c r="BR80" s="48"/>
      <c r="BS80" s="56"/>
      <c r="BT80" s="56"/>
      <c r="BU80" s="50"/>
      <c r="BV80" s="48"/>
      <c r="BW80" s="56"/>
      <c r="BX80" s="56"/>
      <c r="BY80" s="50"/>
      <c r="BZ80" s="48"/>
      <c r="CA80" s="49"/>
      <c r="CB80" s="49"/>
      <c r="CC80" s="50"/>
      <c r="CD80" s="48"/>
      <c r="CE80" s="49"/>
      <c r="CF80" s="49"/>
      <c r="CG80" s="50"/>
      <c r="CK80" s="12"/>
      <c r="CL80" s="15"/>
      <c r="CO80" s="12"/>
      <c r="CP80" s="15"/>
      <c r="CS80" s="12"/>
      <c r="CT80" s="15"/>
      <c r="CW80" s="12"/>
      <c r="CX80" s="15"/>
      <c r="DA80" s="12"/>
      <c r="DF80" s="15"/>
      <c r="DI80" s="12"/>
      <c r="DJ80" s="1"/>
      <c r="DK80" s="225"/>
      <c r="DL80" s="225"/>
      <c r="DM80" s="225"/>
      <c r="DN80" s="225"/>
      <c r="DO80" s="225"/>
      <c r="DP80" s="225"/>
      <c r="DQ80" s="225"/>
      <c r="DR80" s="225"/>
      <c r="DS80" s="10"/>
      <c r="DT80" s="225"/>
      <c r="DU80" s="10"/>
      <c r="DV80" s="225"/>
      <c r="DW80" s="1"/>
      <c r="EJ80" s="1"/>
      <c r="EK80" s="17"/>
      <c r="EL80" s="17"/>
      <c r="EM80" s="17"/>
      <c r="EN80" s="17"/>
      <c r="EO80" s="17"/>
      <c r="EP80" s="17"/>
      <c r="EQ80" s="17"/>
      <c r="ER80" s="17"/>
      <c r="ES80" s="17"/>
      <c r="EU80" s="17"/>
      <c r="EW80" s="1"/>
      <c r="EX80" s="225"/>
      <c r="EY80" s="225"/>
      <c r="EZ80" s="225"/>
      <c r="FA80" s="225"/>
      <c r="FB80" s="225"/>
      <c r="FC80" s="225"/>
      <c r="FD80" s="225"/>
      <c r="FE80" s="225"/>
      <c r="FF80" s="225"/>
      <c r="FG80" s="10"/>
      <c r="FH80" s="225"/>
      <c r="FI80" s="10"/>
      <c r="FJ80" s="1"/>
      <c r="FK80" s="225"/>
      <c r="FL80" s="225"/>
      <c r="FM80" s="191"/>
      <c r="FN80" s="191"/>
      <c r="FO80" s="225"/>
      <c r="FP80" s="225"/>
      <c r="FQ80" s="151"/>
      <c r="FR80" s="151"/>
      <c r="FS80" s="10"/>
      <c r="FT80" s="191"/>
      <c r="FU80" s="225"/>
      <c r="FV80" s="151"/>
    </row>
    <row r="81" spans="1:178" ht="16" thickBot="1" x14ac:dyDescent="0.25">
      <c r="A81" s="27" t="s">
        <v>108</v>
      </c>
      <c r="B81" t="s">
        <v>140</v>
      </c>
      <c r="C81" s="1"/>
      <c r="D81" s="17">
        <v>3</v>
      </c>
      <c r="E81" s="17">
        <v>4</v>
      </c>
      <c r="F81" s="161">
        <v>3</v>
      </c>
      <c r="G81" s="87">
        <v>4</v>
      </c>
      <c r="H81" s="243">
        <v>3</v>
      </c>
      <c r="I81" s="87">
        <v>2</v>
      </c>
      <c r="J81" s="17"/>
      <c r="K81" s="17"/>
      <c r="L81" s="17"/>
      <c r="M81" s="17"/>
      <c r="N81" s="17"/>
      <c r="O81" s="17"/>
      <c r="P81" s="1"/>
      <c r="Q81" s="48">
        <v>22.26</v>
      </c>
      <c r="R81" s="49"/>
      <c r="S81" s="49">
        <v>976.64</v>
      </c>
      <c r="T81" s="50">
        <f t="shared" si="6"/>
        <v>998.9</v>
      </c>
      <c r="U81" s="48">
        <v>278.98</v>
      </c>
      <c r="V81" s="49">
        <v>48.76</v>
      </c>
      <c r="W81" s="49">
        <v>1348.66</v>
      </c>
      <c r="X81" s="50">
        <f t="shared" si="7"/>
        <v>1676.4</v>
      </c>
      <c r="Y81" s="48"/>
      <c r="Z81" s="49"/>
      <c r="AA81" s="49">
        <v>1809.77</v>
      </c>
      <c r="AB81" s="50">
        <f t="shared" si="8"/>
        <v>1809.77</v>
      </c>
      <c r="AC81" s="164">
        <v>246</v>
      </c>
      <c r="AD81" s="165"/>
      <c r="AE81" s="165">
        <v>2189.12</v>
      </c>
      <c r="AF81" s="151">
        <f t="shared" si="9"/>
        <v>2435.12</v>
      </c>
      <c r="AG81" s="165">
        <v>26.5</v>
      </c>
      <c r="AH81" s="165"/>
      <c r="AI81" s="165">
        <v>2337.6999999999998</v>
      </c>
      <c r="AJ81" s="151">
        <f t="shared" si="10"/>
        <v>2364.1999999999998</v>
      </c>
      <c r="AK81" s="192">
        <v>17.600000000000001</v>
      </c>
      <c r="AL81" s="10"/>
      <c r="AM81" s="10">
        <v>305.45</v>
      </c>
      <c r="AN81" s="151">
        <f t="shared" si="11"/>
        <v>323.05</v>
      </c>
      <c r="AO81" s="191"/>
      <c r="AP81" s="10"/>
      <c r="AQ81" s="10"/>
      <c r="AR81" s="151"/>
      <c r="AS81" s="191"/>
      <c r="AT81" s="10"/>
      <c r="AU81" s="10"/>
      <c r="AV81" s="151"/>
      <c r="AW81" s="191"/>
      <c r="AX81" s="10"/>
      <c r="AY81" s="10"/>
      <c r="AZ81" s="151"/>
      <c r="BA81" s="191"/>
      <c r="BB81" s="10"/>
      <c r="BC81" s="10"/>
      <c r="BD81" s="151"/>
      <c r="BE81" s="191"/>
      <c r="BF81" s="10"/>
      <c r="BG81" s="10"/>
      <c r="BH81" s="151"/>
      <c r="BI81" s="191"/>
      <c r="BJ81" s="10"/>
      <c r="BK81" s="10"/>
      <c r="BL81" s="151"/>
      <c r="BM81" s="1"/>
      <c r="BN81" s="48"/>
      <c r="BO81" s="56"/>
      <c r="BP81" s="56"/>
      <c r="BQ81" s="50"/>
      <c r="BR81" s="48"/>
      <c r="BS81" s="56"/>
      <c r="BT81" s="56"/>
      <c r="BU81" s="50"/>
      <c r="BV81" s="48"/>
      <c r="BW81" s="56"/>
      <c r="BX81" s="56"/>
      <c r="BY81" s="50"/>
      <c r="BZ81" s="48"/>
      <c r="CA81" s="49"/>
      <c r="CB81" s="49"/>
      <c r="CC81" s="50"/>
      <c r="CD81" s="48"/>
      <c r="CE81" s="49"/>
      <c r="CF81" s="49"/>
      <c r="CG81" s="50"/>
      <c r="CK81" s="12"/>
      <c r="CL81" s="15"/>
      <c r="CO81" s="12"/>
      <c r="CP81" s="15"/>
      <c r="CS81" s="12"/>
      <c r="CT81" s="15"/>
      <c r="CW81" s="12"/>
      <c r="CX81" s="15"/>
      <c r="DA81" s="12"/>
      <c r="DF81" s="15"/>
      <c r="DI81" s="12"/>
      <c r="DJ81" s="1"/>
      <c r="DK81" s="225"/>
      <c r="DL81" s="225"/>
      <c r="DM81" s="225"/>
      <c r="DN81" s="225"/>
      <c r="DO81" s="225"/>
      <c r="DP81" s="225"/>
      <c r="DQ81" s="225"/>
      <c r="DR81" s="225"/>
      <c r="DS81" s="10"/>
      <c r="DT81" s="225"/>
      <c r="DU81" s="10"/>
      <c r="DV81" s="225"/>
      <c r="DW81" s="1"/>
      <c r="EJ81" s="1"/>
      <c r="EK81" s="17"/>
      <c r="EL81" s="17"/>
      <c r="EM81" s="17"/>
      <c r="EN81" s="17"/>
      <c r="EO81" s="17"/>
      <c r="EP81" s="17"/>
      <c r="EQ81" s="17"/>
      <c r="ER81" s="17"/>
      <c r="ES81" s="17"/>
      <c r="EU81" s="17"/>
      <c r="EW81" s="1"/>
      <c r="EX81" s="225"/>
      <c r="EY81" s="225"/>
      <c r="EZ81" s="225"/>
      <c r="FA81" s="225"/>
      <c r="FB81" s="225"/>
      <c r="FC81" s="225"/>
      <c r="FD81" s="225"/>
      <c r="FE81" s="225"/>
      <c r="FF81" s="225"/>
      <c r="FG81" s="10"/>
      <c r="FH81" s="225"/>
      <c r="FI81" s="10"/>
      <c r="FJ81" s="1"/>
      <c r="FK81" s="225"/>
      <c r="FL81" s="225"/>
      <c r="FM81" s="191"/>
      <c r="FN81" s="191"/>
      <c r="FO81" s="225"/>
      <c r="FP81" s="225"/>
      <c r="FQ81" s="151"/>
      <c r="FR81" s="151"/>
      <c r="FS81" s="10"/>
      <c r="FT81" s="191"/>
      <c r="FU81" s="225"/>
      <c r="FV81" s="151"/>
    </row>
    <row r="82" spans="1:178" ht="16" thickBot="1" x14ac:dyDescent="0.25">
      <c r="A82" s="27" t="s">
        <v>109</v>
      </c>
      <c r="B82" t="s">
        <v>140</v>
      </c>
      <c r="C82" s="1"/>
      <c r="D82" s="17">
        <v>3</v>
      </c>
      <c r="E82" s="17">
        <v>5</v>
      </c>
      <c r="F82" s="161">
        <v>8</v>
      </c>
      <c r="G82" s="87">
        <v>2</v>
      </c>
      <c r="H82" s="243">
        <v>5</v>
      </c>
      <c r="I82" s="87">
        <v>5</v>
      </c>
      <c r="J82" s="17"/>
      <c r="K82" s="17"/>
      <c r="L82" s="17"/>
      <c r="M82" s="17"/>
      <c r="N82" s="17"/>
      <c r="O82" s="17"/>
      <c r="P82" s="1"/>
      <c r="Q82" s="48">
        <v>258.27</v>
      </c>
      <c r="R82" s="49"/>
      <c r="S82" s="49">
        <v>3593.89</v>
      </c>
      <c r="T82" s="50">
        <f t="shared" si="6"/>
        <v>3852.16</v>
      </c>
      <c r="U82" s="48">
        <v>155.04</v>
      </c>
      <c r="V82" s="49"/>
      <c r="W82" s="49">
        <v>4511.6099999999997</v>
      </c>
      <c r="X82" s="50">
        <f t="shared" si="7"/>
        <v>4666.6499999999996</v>
      </c>
      <c r="Y82" s="48">
        <v>761.3</v>
      </c>
      <c r="Z82" s="49"/>
      <c r="AA82" s="49">
        <v>5590.68</v>
      </c>
      <c r="AB82" s="50">
        <f t="shared" si="8"/>
        <v>6351.9800000000005</v>
      </c>
      <c r="AC82" s="164">
        <v>395.11</v>
      </c>
      <c r="AD82" s="166"/>
      <c r="AE82" s="165">
        <v>3040.21</v>
      </c>
      <c r="AF82" s="151">
        <f t="shared" si="9"/>
        <v>3435.32</v>
      </c>
      <c r="AG82" s="165">
        <v>714.63</v>
      </c>
      <c r="AH82" s="166"/>
      <c r="AI82" s="165">
        <v>3818.02</v>
      </c>
      <c r="AJ82" s="151">
        <f t="shared" si="10"/>
        <v>4532.6499999999996</v>
      </c>
      <c r="AK82" s="192">
        <v>270.18</v>
      </c>
      <c r="AL82" s="10">
        <v>155.41</v>
      </c>
      <c r="AM82" s="10">
        <v>2000</v>
      </c>
      <c r="AN82" s="151">
        <f t="shared" si="11"/>
        <v>2425.59</v>
      </c>
      <c r="AO82" s="191"/>
      <c r="AP82" s="10"/>
      <c r="AQ82" s="10"/>
      <c r="AR82" s="151"/>
      <c r="AS82" s="191"/>
      <c r="AT82" s="10"/>
      <c r="AU82" s="10"/>
      <c r="AV82" s="151"/>
      <c r="AW82" s="191"/>
      <c r="AX82" s="10"/>
      <c r="AY82" s="10"/>
      <c r="AZ82" s="151"/>
      <c r="BA82" s="191"/>
      <c r="BB82" s="10"/>
      <c r="BC82" s="10"/>
      <c r="BD82" s="151"/>
      <c r="BE82" s="191"/>
      <c r="BF82" s="10"/>
      <c r="BG82" s="10"/>
      <c r="BH82" s="151"/>
      <c r="BI82" s="191"/>
      <c r="BJ82" s="10"/>
      <c r="BK82" s="10"/>
      <c r="BL82" s="151"/>
      <c r="BM82" s="1"/>
      <c r="BN82" s="48"/>
      <c r="BO82" s="56"/>
      <c r="BP82" s="56"/>
      <c r="BQ82" s="50"/>
      <c r="BR82" s="48"/>
      <c r="BS82" s="56"/>
      <c r="BT82" s="56"/>
      <c r="BU82" s="50"/>
      <c r="BV82" s="48"/>
      <c r="BW82" s="56"/>
      <c r="BX82" s="56"/>
      <c r="BY82" s="50"/>
      <c r="BZ82" s="48"/>
      <c r="CA82" s="49"/>
      <c r="CB82" s="49"/>
      <c r="CC82" s="50"/>
      <c r="CD82" s="48"/>
      <c r="CE82" s="49"/>
      <c r="CF82" s="49"/>
      <c r="CG82" s="50"/>
      <c r="CK82" s="12"/>
      <c r="CL82" s="15"/>
      <c r="CO82" s="12"/>
      <c r="CP82" s="15"/>
      <c r="CS82" s="12"/>
      <c r="CT82" s="15"/>
      <c r="CW82" s="12"/>
      <c r="CX82" s="15"/>
      <c r="DA82" s="12"/>
      <c r="DF82" s="15"/>
      <c r="DI82" s="12"/>
      <c r="DJ82" s="1"/>
      <c r="DK82" s="225"/>
      <c r="DL82" s="225"/>
      <c r="DM82" s="225"/>
      <c r="DN82" s="225"/>
      <c r="DO82" s="225"/>
      <c r="DP82" s="225"/>
      <c r="DQ82" s="225"/>
      <c r="DR82" s="225"/>
      <c r="DS82" s="10"/>
      <c r="DT82" s="225"/>
      <c r="DU82" s="10"/>
      <c r="DV82" s="225"/>
      <c r="DW82" s="1"/>
      <c r="EJ82" s="1"/>
      <c r="EK82" s="17"/>
      <c r="EL82" s="17"/>
      <c r="EM82" s="17"/>
      <c r="EN82" s="17"/>
      <c r="EO82" s="17"/>
      <c r="EP82" s="17"/>
      <c r="EQ82" s="17"/>
      <c r="ER82" s="17"/>
      <c r="ES82" s="17"/>
      <c r="EU82" s="17"/>
      <c r="EW82" s="1"/>
      <c r="EX82" s="225"/>
      <c r="EY82" s="225"/>
      <c r="EZ82" s="225"/>
      <c r="FA82" s="225"/>
      <c r="FB82" s="225"/>
      <c r="FC82" s="225"/>
      <c r="FD82" s="225"/>
      <c r="FE82" s="225"/>
      <c r="FF82" s="225"/>
      <c r="FG82" s="10"/>
      <c r="FH82" s="225"/>
      <c r="FI82" s="10"/>
      <c r="FJ82" s="1"/>
      <c r="FK82" s="225"/>
      <c r="FL82" s="225"/>
      <c r="FM82" s="191"/>
      <c r="FN82" s="191"/>
      <c r="FO82" s="225"/>
      <c r="FP82" s="225"/>
      <c r="FQ82" s="151"/>
      <c r="FR82" s="151"/>
      <c r="FS82" s="10"/>
      <c r="FT82" s="191"/>
      <c r="FU82" s="225"/>
      <c r="FV82" s="151"/>
    </row>
    <row r="83" spans="1:178" ht="16" thickBot="1" x14ac:dyDescent="0.25">
      <c r="A83" s="27" t="s">
        <v>110</v>
      </c>
      <c r="B83" t="s">
        <v>140</v>
      </c>
      <c r="C83" s="1"/>
      <c r="D83" s="17">
        <v>9</v>
      </c>
      <c r="E83" s="17">
        <v>5</v>
      </c>
      <c r="F83" s="161">
        <v>16</v>
      </c>
      <c r="G83" s="87">
        <v>7</v>
      </c>
      <c r="H83" s="243">
        <v>8</v>
      </c>
      <c r="I83" s="87">
        <v>7</v>
      </c>
      <c r="J83" s="17"/>
      <c r="K83" s="17"/>
      <c r="L83" s="17"/>
      <c r="M83" s="17"/>
      <c r="N83" s="17"/>
      <c r="O83" s="17"/>
      <c r="P83" s="1"/>
      <c r="Q83" s="48">
        <v>4564.67</v>
      </c>
      <c r="R83" s="49"/>
      <c r="S83" s="49">
        <v>943.36</v>
      </c>
      <c r="T83" s="50">
        <f t="shared" si="6"/>
        <v>5508.03</v>
      </c>
      <c r="U83" s="48">
        <v>3095.16</v>
      </c>
      <c r="V83" s="49">
        <v>2171.31</v>
      </c>
      <c r="W83" s="49">
        <v>209.29</v>
      </c>
      <c r="X83" s="50">
        <f t="shared" si="7"/>
        <v>5475.7599999999993</v>
      </c>
      <c r="Y83" s="48">
        <v>12637.25</v>
      </c>
      <c r="Z83" s="49">
        <v>992.15</v>
      </c>
      <c r="AA83" s="49">
        <v>273.36</v>
      </c>
      <c r="AB83" s="50">
        <f t="shared" si="8"/>
        <v>13902.76</v>
      </c>
      <c r="AC83" s="164">
        <v>926.13</v>
      </c>
      <c r="AD83" s="165">
        <v>3338.21</v>
      </c>
      <c r="AE83" s="165">
        <v>328.2</v>
      </c>
      <c r="AF83" s="151">
        <f t="shared" si="9"/>
        <v>4592.54</v>
      </c>
      <c r="AG83" s="165">
        <v>2023.54</v>
      </c>
      <c r="AH83" s="165">
        <v>1715.49</v>
      </c>
      <c r="AI83" s="165">
        <v>378.01</v>
      </c>
      <c r="AJ83" s="151">
        <f t="shared" si="10"/>
        <v>4117.04</v>
      </c>
      <c r="AK83" s="192">
        <v>283.64</v>
      </c>
      <c r="AL83" s="10">
        <v>488.04</v>
      </c>
      <c r="AM83" s="10">
        <v>429.29</v>
      </c>
      <c r="AN83" s="151">
        <f t="shared" si="11"/>
        <v>1200.97</v>
      </c>
      <c r="AO83" s="191"/>
      <c r="AP83" s="10"/>
      <c r="AQ83" s="10"/>
      <c r="AR83" s="151"/>
      <c r="AS83" s="191"/>
      <c r="AT83" s="10"/>
      <c r="AU83" s="10"/>
      <c r="AV83" s="151"/>
      <c r="AW83" s="191"/>
      <c r="AX83" s="10"/>
      <c r="AY83" s="10"/>
      <c r="AZ83" s="151"/>
      <c r="BA83" s="191"/>
      <c r="BB83" s="10"/>
      <c r="BC83" s="10"/>
      <c r="BD83" s="151"/>
      <c r="BE83" s="191"/>
      <c r="BF83" s="10"/>
      <c r="BG83" s="10"/>
      <c r="BH83" s="151"/>
      <c r="BI83" s="191"/>
      <c r="BJ83" s="10"/>
      <c r="BK83" s="10"/>
      <c r="BL83" s="151"/>
      <c r="BM83" s="1"/>
      <c r="BN83" s="48"/>
      <c r="BO83" s="56"/>
      <c r="BP83" s="56"/>
      <c r="BQ83" s="50"/>
      <c r="BR83" s="48"/>
      <c r="BS83" s="56"/>
      <c r="BT83" s="56"/>
      <c r="BU83" s="50"/>
      <c r="BV83" s="48"/>
      <c r="BW83" s="56"/>
      <c r="BX83" s="56"/>
      <c r="BY83" s="50"/>
      <c r="BZ83" s="48"/>
      <c r="CA83" s="49"/>
      <c r="CB83" s="49"/>
      <c r="CC83" s="50"/>
      <c r="CD83" s="48"/>
      <c r="CE83" s="49"/>
      <c r="CF83" s="49"/>
      <c r="CG83" s="50"/>
      <c r="CK83" s="12"/>
      <c r="CL83" s="15"/>
      <c r="CO83" s="12"/>
      <c r="CP83" s="15"/>
      <c r="CS83" s="12"/>
      <c r="CT83" s="15"/>
      <c r="CW83" s="12"/>
      <c r="CX83" s="15"/>
      <c r="DA83" s="12"/>
      <c r="DF83" s="15"/>
      <c r="DI83" s="12"/>
      <c r="DJ83" s="1"/>
      <c r="DK83" s="225"/>
      <c r="DL83" s="225"/>
      <c r="DM83" s="225"/>
      <c r="DN83" s="225"/>
      <c r="DO83" s="225"/>
      <c r="DP83" s="225"/>
      <c r="DQ83" s="225"/>
      <c r="DR83" s="225"/>
      <c r="DS83" s="10"/>
      <c r="DT83" s="225"/>
      <c r="DU83" s="10"/>
      <c r="DV83" s="225"/>
      <c r="DW83" s="1"/>
      <c r="EJ83" s="1"/>
      <c r="EK83" s="17"/>
      <c r="EL83" s="17"/>
      <c r="EM83" s="17"/>
      <c r="EN83" s="17"/>
      <c r="EO83" s="17"/>
      <c r="EP83" s="17"/>
      <c r="EQ83" s="17"/>
      <c r="ER83" s="17"/>
      <c r="ES83" s="17"/>
      <c r="EU83" s="17"/>
      <c r="EW83" s="1"/>
      <c r="EX83" s="225"/>
      <c r="EY83" s="225"/>
      <c r="EZ83" s="225"/>
      <c r="FA83" s="225"/>
      <c r="FB83" s="225"/>
      <c r="FC83" s="225"/>
      <c r="FD83" s="225"/>
      <c r="FE83" s="225"/>
      <c r="FF83" s="225"/>
      <c r="FG83" s="10"/>
      <c r="FH83" s="225"/>
      <c r="FI83" s="10"/>
      <c r="FJ83" s="1"/>
      <c r="FK83" s="225"/>
      <c r="FL83" s="225"/>
      <c r="FM83" s="191">
        <v>-250</v>
      </c>
      <c r="FN83" s="191"/>
      <c r="FO83" s="225"/>
      <c r="FP83" s="225"/>
      <c r="FQ83" s="151"/>
      <c r="FR83" s="151"/>
      <c r="FS83" s="10"/>
      <c r="FT83" s="191"/>
      <c r="FU83" s="225"/>
      <c r="FV83" s="151"/>
    </row>
    <row r="84" spans="1:178" ht="16" thickBot="1" x14ac:dyDescent="0.25">
      <c r="A84" s="27" t="s">
        <v>111</v>
      </c>
      <c r="B84" t="s">
        <v>140</v>
      </c>
      <c r="C84" s="1"/>
      <c r="D84" s="17">
        <v>94</v>
      </c>
      <c r="E84" s="17">
        <v>102</v>
      </c>
      <c r="F84" s="161">
        <v>117</v>
      </c>
      <c r="G84" s="87">
        <v>116</v>
      </c>
      <c r="H84" s="243">
        <v>138</v>
      </c>
      <c r="I84" s="87">
        <v>114</v>
      </c>
      <c r="J84" s="17"/>
      <c r="K84" s="17"/>
      <c r="L84" s="17"/>
      <c r="M84" s="17"/>
      <c r="N84" s="17"/>
      <c r="O84" s="17"/>
      <c r="P84" s="1"/>
      <c r="Q84" s="48">
        <v>188375.07</v>
      </c>
      <c r="R84" s="49">
        <v>15221.83</v>
      </c>
      <c r="S84" s="49">
        <v>97034.73</v>
      </c>
      <c r="T84" s="50">
        <f t="shared" si="6"/>
        <v>300631.63</v>
      </c>
      <c r="U84" s="48">
        <v>71043.179999999993</v>
      </c>
      <c r="V84" s="49">
        <v>52584.55</v>
      </c>
      <c r="W84" s="49">
        <v>92542.41</v>
      </c>
      <c r="X84" s="50">
        <f t="shared" si="7"/>
        <v>216170.14</v>
      </c>
      <c r="Y84" s="48">
        <v>129331.45</v>
      </c>
      <c r="Z84" s="49">
        <v>23493.99</v>
      </c>
      <c r="AA84" s="49">
        <v>141013.91</v>
      </c>
      <c r="AB84" s="50">
        <f t="shared" si="8"/>
        <v>293839.34999999998</v>
      </c>
      <c r="AC84" s="164">
        <v>106693.73</v>
      </c>
      <c r="AD84" s="165">
        <v>39486.25</v>
      </c>
      <c r="AE84" s="165">
        <v>156672.95000000001</v>
      </c>
      <c r="AF84" s="151">
        <f t="shared" si="9"/>
        <v>302852.93</v>
      </c>
      <c r="AG84" s="165">
        <v>59340.4</v>
      </c>
      <c r="AH84" s="165">
        <v>52614.11</v>
      </c>
      <c r="AI84" s="165">
        <v>175949.76</v>
      </c>
      <c r="AJ84" s="151">
        <f t="shared" si="10"/>
        <v>287904.27</v>
      </c>
      <c r="AK84" s="192">
        <v>55299.24</v>
      </c>
      <c r="AL84" s="10">
        <v>13070.14</v>
      </c>
      <c r="AM84" s="10">
        <v>189158.28</v>
      </c>
      <c r="AN84" s="151">
        <f t="shared" si="11"/>
        <v>257527.66</v>
      </c>
      <c r="AO84" s="191"/>
      <c r="AP84" s="10"/>
      <c r="AQ84" s="10"/>
      <c r="AR84" s="151"/>
      <c r="AS84" s="191"/>
      <c r="AT84" s="10"/>
      <c r="AU84" s="10"/>
      <c r="AV84" s="151"/>
      <c r="AW84" s="191"/>
      <c r="AX84" s="10"/>
      <c r="AY84" s="10"/>
      <c r="AZ84" s="151"/>
      <c r="BA84" s="191"/>
      <c r="BB84" s="10"/>
      <c r="BC84" s="10"/>
      <c r="BD84" s="151"/>
      <c r="BE84" s="191"/>
      <c r="BF84" s="10"/>
      <c r="BG84" s="10"/>
      <c r="BH84" s="151"/>
      <c r="BI84" s="191"/>
      <c r="BJ84" s="10"/>
      <c r="BK84" s="10"/>
      <c r="BL84" s="151"/>
      <c r="BM84" s="1"/>
      <c r="BN84" s="48"/>
      <c r="BO84" s="56"/>
      <c r="BP84" s="56"/>
      <c r="BQ84" s="50"/>
      <c r="BR84" s="48"/>
      <c r="BS84" s="56"/>
      <c r="BT84" s="56"/>
      <c r="BU84" s="50"/>
      <c r="BV84" s="48"/>
      <c r="BW84" s="56"/>
      <c r="BX84" s="56"/>
      <c r="BY84" s="50"/>
      <c r="BZ84" s="48"/>
      <c r="CA84" s="49"/>
      <c r="CB84" s="49"/>
      <c r="CC84" s="50"/>
      <c r="CD84" s="48"/>
      <c r="CE84" s="49"/>
      <c r="CF84" s="49"/>
      <c r="CG84" s="50"/>
      <c r="CK84" s="12"/>
      <c r="CL84" s="15"/>
      <c r="CO84" s="12"/>
      <c r="CP84" s="15"/>
      <c r="CS84" s="12"/>
      <c r="CT84" s="15"/>
      <c r="CW84" s="12"/>
      <c r="CX84" s="15"/>
      <c r="DA84" s="12"/>
      <c r="DF84" s="15"/>
      <c r="DI84" s="12"/>
      <c r="DJ84" s="1"/>
      <c r="DK84" s="225">
        <v>2427.2199999999998</v>
      </c>
      <c r="DL84" s="225">
        <v>72.42</v>
      </c>
      <c r="DM84" s="225">
        <v>1655.45</v>
      </c>
      <c r="DN84" s="225">
        <v>660.98</v>
      </c>
      <c r="DO84" s="225">
        <v>7056.04</v>
      </c>
      <c r="DP84" s="225">
        <v>4152.37</v>
      </c>
      <c r="DQ84" s="225"/>
      <c r="DR84" s="225"/>
      <c r="DS84" s="10"/>
      <c r="DT84" s="225"/>
      <c r="DU84" s="10"/>
      <c r="DV84" s="225"/>
      <c r="DW84" s="1"/>
      <c r="EJ84" s="1"/>
      <c r="EK84" s="17">
        <v>2</v>
      </c>
      <c r="EL84" s="17">
        <v>1</v>
      </c>
      <c r="EM84" s="17">
        <v>2</v>
      </c>
      <c r="EN84" s="17">
        <v>1</v>
      </c>
      <c r="EO84" s="17">
        <v>4</v>
      </c>
      <c r="EP84" s="17">
        <v>5</v>
      </c>
      <c r="EQ84" s="17"/>
      <c r="ER84" s="17"/>
      <c r="ES84" s="17"/>
      <c r="EU84" s="17"/>
      <c r="EW84" s="1"/>
      <c r="EX84" s="225">
        <v>2427.2199999999998</v>
      </c>
      <c r="EY84" s="225">
        <v>58.53</v>
      </c>
      <c r="EZ84" s="225">
        <v>1655.45</v>
      </c>
      <c r="FA84" s="225">
        <v>660.98</v>
      </c>
      <c r="FB84" s="225">
        <v>7056.04</v>
      </c>
      <c r="FC84" s="225">
        <v>4152.37</v>
      </c>
      <c r="FD84" s="225"/>
      <c r="FE84" s="225"/>
      <c r="FF84" s="225"/>
      <c r="FG84" s="10"/>
      <c r="FH84" s="225"/>
      <c r="FI84" s="10"/>
      <c r="FJ84" s="1"/>
      <c r="FK84" s="225">
        <v>-299.49</v>
      </c>
      <c r="FL84" s="225"/>
      <c r="FM84" s="191"/>
      <c r="FN84" s="191"/>
      <c r="FO84" s="225">
        <v>-729.34</v>
      </c>
      <c r="FP84" s="225"/>
      <c r="FQ84" s="151"/>
      <c r="FR84" s="151"/>
      <c r="FS84" s="10"/>
      <c r="FT84" s="191"/>
      <c r="FU84" s="225"/>
      <c r="FV84" s="151"/>
    </row>
    <row r="85" spans="1:178" ht="16" thickBot="1" x14ac:dyDescent="0.25">
      <c r="A85" s="27" t="s">
        <v>112</v>
      </c>
      <c r="B85" t="s">
        <v>140</v>
      </c>
      <c r="C85" s="1"/>
      <c r="D85" s="17">
        <v>136</v>
      </c>
      <c r="E85" s="17">
        <v>89</v>
      </c>
      <c r="F85" s="161">
        <v>130</v>
      </c>
      <c r="G85" s="87">
        <v>144</v>
      </c>
      <c r="H85" s="243">
        <v>153</v>
      </c>
      <c r="I85" s="87">
        <v>139</v>
      </c>
      <c r="J85" s="17"/>
      <c r="K85" s="17"/>
      <c r="L85" s="17"/>
      <c r="M85" s="17"/>
      <c r="N85" s="17"/>
      <c r="O85" s="17"/>
      <c r="P85" s="1"/>
      <c r="Q85" s="48">
        <v>168412.33</v>
      </c>
      <c r="R85" s="49">
        <v>17101.57</v>
      </c>
      <c r="S85" s="49">
        <v>48736.009999999995</v>
      </c>
      <c r="T85" s="50">
        <f t="shared" si="6"/>
        <v>234249.90999999997</v>
      </c>
      <c r="U85" s="48">
        <v>102148.1</v>
      </c>
      <c r="V85" s="49">
        <v>20628.89</v>
      </c>
      <c r="W85" s="49">
        <v>15222.06</v>
      </c>
      <c r="X85" s="50">
        <f t="shared" si="7"/>
        <v>137999.05000000002</v>
      </c>
      <c r="Y85" s="48">
        <v>198501.87</v>
      </c>
      <c r="Z85" s="49">
        <v>27865.22</v>
      </c>
      <c r="AA85" s="49">
        <v>38507.35</v>
      </c>
      <c r="AB85" s="50">
        <f t="shared" si="8"/>
        <v>264874.44</v>
      </c>
      <c r="AC85" s="164">
        <v>72621.47</v>
      </c>
      <c r="AD85" s="165">
        <v>234078.44</v>
      </c>
      <c r="AE85" s="165">
        <v>35725.980000000003</v>
      </c>
      <c r="AF85" s="151">
        <f t="shared" si="9"/>
        <v>342425.89</v>
      </c>
      <c r="AG85" s="165">
        <v>61983.39</v>
      </c>
      <c r="AH85" s="165">
        <v>22373.24</v>
      </c>
      <c r="AI85" s="165">
        <v>252227.90000000002</v>
      </c>
      <c r="AJ85" s="151">
        <f t="shared" si="10"/>
        <v>336584.53</v>
      </c>
      <c r="AK85" s="192">
        <v>35654.47</v>
      </c>
      <c r="AL85" s="10">
        <v>45427.33</v>
      </c>
      <c r="AM85" s="10">
        <v>235033.11</v>
      </c>
      <c r="AN85" s="151">
        <f t="shared" si="11"/>
        <v>316114.90999999997</v>
      </c>
      <c r="AO85" s="191"/>
      <c r="AP85" s="10"/>
      <c r="AQ85" s="10"/>
      <c r="AR85" s="151"/>
      <c r="AS85" s="191"/>
      <c r="AT85" s="10"/>
      <c r="AU85" s="10"/>
      <c r="AV85" s="151"/>
      <c r="AW85" s="191"/>
      <c r="AX85" s="10"/>
      <c r="AY85" s="10"/>
      <c r="AZ85" s="151"/>
      <c r="BA85" s="191"/>
      <c r="BB85" s="10"/>
      <c r="BC85" s="10"/>
      <c r="BD85" s="151"/>
      <c r="BE85" s="191"/>
      <c r="BF85" s="10"/>
      <c r="BG85" s="10"/>
      <c r="BH85" s="151"/>
      <c r="BI85" s="191"/>
      <c r="BJ85" s="10"/>
      <c r="BK85" s="10"/>
      <c r="BL85" s="151"/>
      <c r="BM85" s="1"/>
      <c r="BN85" s="48"/>
      <c r="BO85" s="56"/>
      <c r="BP85" s="56"/>
      <c r="BQ85" s="50"/>
      <c r="BR85" s="48"/>
      <c r="BS85" s="56"/>
      <c r="BT85" s="56"/>
      <c r="BU85" s="50"/>
      <c r="BV85" s="48"/>
      <c r="BW85" s="56"/>
      <c r="BX85" s="56"/>
      <c r="BY85" s="50"/>
      <c r="BZ85" s="48"/>
      <c r="CA85" s="49"/>
      <c r="CB85" s="49"/>
      <c r="CC85" s="50"/>
      <c r="CD85" s="48"/>
      <c r="CE85" s="49"/>
      <c r="CF85" s="49"/>
      <c r="CG85" s="50"/>
      <c r="CK85" s="12"/>
      <c r="CL85" s="15"/>
      <c r="CO85" s="12"/>
      <c r="CP85" s="15"/>
      <c r="CS85" s="12"/>
      <c r="CT85" s="15"/>
      <c r="CW85" s="12"/>
      <c r="CX85" s="15"/>
      <c r="DA85" s="12"/>
      <c r="DF85" s="15"/>
      <c r="DI85" s="12"/>
      <c r="DJ85" s="1"/>
      <c r="DK85" s="225">
        <v>101676.81</v>
      </c>
      <c r="DL85" s="225">
        <v>1280.0999999999999</v>
      </c>
      <c r="DM85" s="225">
        <v>984.22</v>
      </c>
      <c r="DN85" s="225">
        <v>553.97</v>
      </c>
      <c r="DO85" s="225">
        <v>3035.94</v>
      </c>
      <c r="DP85" s="225">
        <v>14853.5</v>
      </c>
      <c r="DQ85" s="225"/>
      <c r="DR85" s="225"/>
      <c r="DS85" s="10"/>
      <c r="DT85" s="225"/>
      <c r="DU85" s="10"/>
      <c r="DV85" s="225"/>
      <c r="DW85" s="1"/>
      <c r="EJ85" s="1"/>
      <c r="EK85" s="17">
        <v>3</v>
      </c>
      <c r="EL85" s="17">
        <v>1</v>
      </c>
      <c r="EM85" s="17">
        <v>3</v>
      </c>
      <c r="EN85" s="17">
        <v>3</v>
      </c>
      <c r="EO85" s="17">
        <v>4</v>
      </c>
      <c r="EP85" s="17">
        <v>2</v>
      </c>
      <c r="EQ85" s="17"/>
      <c r="ER85" s="17"/>
      <c r="ES85" s="17"/>
      <c r="EU85" s="17"/>
      <c r="EW85" s="1"/>
      <c r="EX85" s="225">
        <v>101676.81</v>
      </c>
      <c r="EY85" s="225">
        <v>1280.0999999999999</v>
      </c>
      <c r="EZ85" s="225">
        <v>984.22</v>
      </c>
      <c r="FA85" s="225">
        <v>553.97</v>
      </c>
      <c r="FB85" s="225">
        <v>3035.94</v>
      </c>
      <c r="FC85" s="225">
        <v>14853.5</v>
      </c>
      <c r="FD85" s="225"/>
      <c r="FE85" s="225"/>
      <c r="FF85" s="225"/>
      <c r="FG85" s="10"/>
      <c r="FH85" s="225"/>
      <c r="FI85" s="10"/>
      <c r="FJ85" s="1"/>
      <c r="FK85" s="225">
        <v>-125</v>
      </c>
      <c r="FL85" s="225">
        <v>-355.84</v>
      </c>
      <c r="FM85" s="191"/>
      <c r="FN85" s="191">
        <v>-50</v>
      </c>
      <c r="FO85" s="225">
        <v>-75</v>
      </c>
      <c r="FP85" s="225">
        <v>-714.25</v>
      </c>
      <c r="FQ85" s="151"/>
      <c r="FR85" s="151"/>
      <c r="FS85" s="10"/>
      <c r="FT85" s="191"/>
      <c r="FU85" s="225"/>
      <c r="FV85" s="151"/>
    </row>
    <row r="86" spans="1:178" ht="16" thickBot="1" x14ac:dyDescent="0.25">
      <c r="A86" s="27" t="s">
        <v>113</v>
      </c>
      <c r="B86" t="s">
        <v>140</v>
      </c>
      <c r="C86" s="1"/>
      <c r="D86" s="17">
        <v>18</v>
      </c>
      <c r="E86" s="17">
        <v>18</v>
      </c>
      <c r="F86" s="161">
        <v>17</v>
      </c>
      <c r="G86" s="87">
        <v>12</v>
      </c>
      <c r="H86" s="243">
        <v>14</v>
      </c>
      <c r="I86" s="87">
        <v>13</v>
      </c>
      <c r="J86" s="17"/>
      <c r="K86" s="17"/>
      <c r="L86" s="17"/>
      <c r="M86" s="17"/>
      <c r="N86" s="17"/>
      <c r="O86" s="17"/>
      <c r="P86" s="1"/>
      <c r="Q86" s="48">
        <v>4323.95</v>
      </c>
      <c r="R86" s="49">
        <v>157.43</v>
      </c>
      <c r="S86" s="49">
        <v>855.84</v>
      </c>
      <c r="T86" s="50">
        <f t="shared" si="6"/>
        <v>5337.22</v>
      </c>
      <c r="U86" s="48">
        <v>3718.14</v>
      </c>
      <c r="V86" s="49">
        <v>6930.33</v>
      </c>
      <c r="W86" s="49">
        <v>1405.01</v>
      </c>
      <c r="X86" s="50">
        <f t="shared" si="7"/>
        <v>12053.48</v>
      </c>
      <c r="Y86" s="48">
        <v>3476.47</v>
      </c>
      <c r="Z86" s="49">
        <v>43.93</v>
      </c>
      <c r="AA86" s="49">
        <v>8723.58</v>
      </c>
      <c r="AB86" s="50">
        <f t="shared" si="8"/>
        <v>12243.98</v>
      </c>
      <c r="AC86" s="164">
        <v>1609.96</v>
      </c>
      <c r="AD86" s="165">
        <v>546.87</v>
      </c>
      <c r="AE86" s="165">
        <v>5067.29</v>
      </c>
      <c r="AF86" s="151">
        <f t="shared" si="9"/>
        <v>7224.12</v>
      </c>
      <c r="AG86" s="165">
        <v>4479.87</v>
      </c>
      <c r="AH86" s="165">
        <v>295.83999999999997</v>
      </c>
      <c r="AI86" s="165">
        <v>5183.29</v>
      </c>
      <c r="AJ86" s="151">
        <f t="shared" si="10"/>
        <v>9959</v>
      </c>
      <c r="AK86" s="192">
        <v>987.69</v>
      </c>
      <c r="AL86" s="10">
        <v>2714.84</v>
      </c>
      <c r="AM86" s="10">
        <v>4119.47</v>
      </c>
      <c r="AN86" s="151">
        <f t="shared" si="11"/>
        <v>7822</v>
      </c>
      <c r="AO86" s="191"/>
      <c r="AP86" s="10"/>
      <c r="AQ86" s="10"/>
      <c r="AR86" s="151"/>
      <c r="AS86" s="191"/>
      <c r="AT86" s="10"/>
      <c r="AU86" s="10"/>
      <c r="AV86" s="151"/>
      <c r="AW86" s="191"/>
      <c r="AX86" s="10"/>
      <c r="AY86" s="10"/>
      <c r="AZ86" s="151"/>
      <c r="BA86" s="191"/>
      <c r="BB86" s="10"/>
      <c r="BC86" s="10"/>
      <c r="BD86" s="151"/>
      <c r="BE86" s="191"/>
      <c r="BF86" s="10"/>
      <c r="BG86" s="10"/>
      <c r="BH86" s="151"/>
      <c r="BI86" s="191"/>
      <c r="BJ86" s="10"/>
      <c r="BK86" s="10"/>
      <c r="BL86" s="151"/>
      <c r="BM86" s="1"/>
      <c r="BN86" s="48"/>
      <c r="BO86" s="56"/>
      <c r="BP86" s="56"/>
      <c r="BQ86" s="50"/>
      <c r="BR86" s="48"/>
      <c r="BS86" s="56"/>
      <c r="BT86" s="56"/>
      <c r="BU86" s="50"/>
      <c r="BV86" s="48"/>
      <c r="BW86" s="56"/>
      <c r="BX86" s="56"/>
      <c r="BY86" s="50"/>
      <c r="BZ86" s="48"/>
      <c r="CA86" s="49"/>
      <c r="CB86" s="49"/>
      <c r="CC86" s="50"/>
      <c r="CD86" s="48"/>
      <c r="CE86" s="49"/>
      <c r="CF86" s="49"/>
      <c r="CG86" s="50"/>
      <c r="CK86" s="12"/>
      <c r="CL86" s="15"/>
      <c r="CO86" s="12"/>
      <c r="CP86" s="15"/>
      <c r="CS86" s="12"/>
      <c r="CT86" s="15"/>
      <c r="CW86" s="12"/>
      <c r="CX86" s="15"/>
      <c r="DA86" s="12"/>
      <c r="DF86" s="15"/>
      <c r="DI86" s="12"/>
      <c r="DJ86" s="1"/>
      <c r="DK86" s="225"/>
      <c r="DL86" s="225"/>
      <c r="DM86" s="225">
        <v>410.25</v>
      </c>
      <c r="DN86" s="225">
        <v>413.87</v>
      </c>
      <c r="DO86" s="225"/>
      <c r="DP86" s="225"/>
      <c r="DQ86" s="225"/>
      <c r="DR86" s="225"/>
      <c r="DS86" s="10"/>
      <c r="DT86" s="225"/>
      <c r="DU86" s="10"/>
      <c r="DV86" s="225"/>
      <c r="DW86" s="1"/>
      <c r="EJ86" s="1"/>
      <c r="EK86" s="17"/>
      <c r="EL86" s="17"/>
      <c r="EM86" s="17">
        <v>1</v>
      </c>
      <c r="EN86" s="17">
        <v>1</v>
      </c>
      <c r="EO86" s="17"/>
      <c r="EP86" s="17"/>
      <c r="EQ86" s="17"/>
      <c r="ER86" s="17"/>
      <c r="ES86" s="17"/>
      <c r="EU86" s="17"/>
      <c r="EW86" s="1"/>
      <c r="EX86" s="225"/>
      <c r="EY86" s="225"/>
      <c r="EZ86" s="225">
        <v>410.25</v>
      </c>
      <c r="FA86" s="225">
        <v>413.87</v>
      </c>
      <c r="FB86" s="225"/>
      <c r="FC86" s="225"/>
      <c r="FD86" s="225"/>
      <c r="FE86" s="225"/>
      <c r="FF86" s="225"/>
      <c r="FG86" s="10"/>
      <c r="FH86" s="225"/>
      <c r="FI86" s="10"/>
      <c r="FJ86" s="1"/>
      <c r="FK86" s="225"/>
      <c r="FL86" s="225"/>
      <c r="FM86" s="191"/>
      <c r="FN86" s="191"/>
      <c r="FO86" s="225"/>
      <c r="FP86" s="225"/>
      <c r="FQ86" s="151"/>
      <c r="FR86" s="151"/>
      <c r="FS86" s="10"/>
      <c r="FT86" s="191"/>
      <c r="FU86" s="225"/>
      <c r="FV86" s="151"/>
    </row>
    <row r="87" spans="1:178" ht="16" thickBot="1" x14ac:dyDescent="0.25">
      <c r="A87" s="27" t="s">
        <v>114</v>
      </c>
      <c r="B87" t="s">
        <v>140</v>
      </c>
      <c r="C87" s="1"/>
      <c r="D87" s="17">
        <v>18</v>
      </c>
      <c r="E87" s="17">
        <v>15</v>
      </c>
      <c r="F87" s="161">
        <v>30</v>
      </c>
      <c r="G87" s="87">
        <v>20</v>
      </c>
      <c r="H87" s="243">
        <v>18</v>
      </c>
      <c r="I87" s="87">
        <v>15</v>
      </c>
      <c r="J87" s="17"/>
      <c r="K87" s="17"/>
      <c r="L87" s="17"/>
      <c r="M87" s="17"/>
      <c r="N87" s="17"/>
      <c r="O87" s="17"/>
      <c r="P87" s="1"/>
      <c r="Q87" s="48">
        <v>18404.66</v>
      </c>
      <c r="R87" s="49">
        <v>639.54999999999995</v>
      </c>
      <c r="S87" s="49">
        <v>3354.6800000000003</v>
      </c>
      <c r="T87" s="50">
        <f t="shared" si="6"/>
        <v>22398.89</v>
      </c>
      <c r="U87" s="48">
        <v>29720.62</v>
      </c>
      <c r="V87" s="49">
        <v>2038.79</v>
      </c>
      <c r="W87" s="49">
        <v>458.05</v>
      </c>
      <c r="X87" s="50">
        <f t="shared" si="7"/>
        <v>32217.46</v>
      </c>
      <c r="Y87" s="48">
        <v>76489.63</v>
      </c>
      <c r="Z87" s="49">
        <v>4630.37</v>
      </c>
      <c r="AA87" s="49">
        <v>3932.3599999999997</v>
      </c>
      <c r="AB87" s="50">
        <f t="shared" si="8"/>
        <v>85052.36</v>
      </c>
      <c r="AC87" s="164">
        <v>40134.160000000003</v>
      </c>
      <c r="AD87" s="165">
        <v>1419.1</v>
      </c>
      <c r="AE87" s="165">
        <v>6467.43</v>
      </c>
      <c r="AF87" s="151">
        <f t="shared" si="9"/>
        <v>48020.69</v>
      </c>
      <c r="AG87" s="165">
        <v>15179.79</v>
      </c>
      <c r="AH87" s="165">
        <v>5870.49</v>
      </c>
      <c r="AI87" s="165">
        <v>3119.23</v>
      </c>
      <c r="AJ87" s="151">
        <f t="shared" si="10"/>
        <v>24169.51</v>
      </c>
      <c r="AK87" s="192">
        <v>3022.09</v>
      </c>
      <c r="AL87" s="10">
        <v>2942.05</v>
      </c>
      <c r="AM87" s="10">
        <v>658.12</v>
      </c>
      <c r="AN87" s="151">
        <f t="shared" si="11"/>
        <v>6622.26</v>
      </c>
      <c r="AO87" s="191"/>
      <c r="AP87" s="10"/>
      <c r="AQ87" s="10"/>
      <c r="AR87" s="151"/>
      <c r="AS87" s="191"/>
      <c r="AT87" s="10"/>
      <c r="AU87" s="10"/>
      <c r="AV87" s="151"/>
      <c r="AW87" s="191"/>
      <c r="AX87" s="10"/>
      <c r="AY87" s="10"/>
      <c r="AZ87" s="151"/>
      <c r="BA87" s="191"/>
      <c r="BB87" s="10"/>
      <c r="BC87" s="10"/>
      <c r="BD87" s="151"/>
      <c r="BE87" s="191"/>
      <c r="BF87" s="10"/>
      <c r="BG87" s="10"/>
      <c r="BH87" s="151"/>
      <c r="BI87" s="191"/>
      <c r="BJ87" s="10"/>
      <c r="BK87" s="10"/>
      <c r="BL87" s="151"/>
      <c r="BM87" s="1"/>
      <c r="BN87" s="48"/>
      <c r="BO87" s="56"/>
      <c r="BP87" s="56"/>
      <c r="BQ87" s="50"/>
      <c r="BR87" s="48"/>
      <c r="BS87" s="56"/>
      <c r="BT87" s="56"/>
      <c r="BU87" s="50"/>
      <c r="BV87" s="48"/>
      <c r="BW87" s="56"/>
      <c r="BX87" s="56"/>
      <c r="BY87" s="50"/>
      <c r="BZ87" s="48"/>
      <c r="CA87" s="49"/>
      <c r="CB87" s="49"/>
      <c r="CC87" s="50"/>
      <c r="CD87" s="48"/>
      <c r="CE87" s="49"/>
      <c r="CF87" s="49"/>
      <c r="CG87" s="50"/>
      <c r="CK87" s="12"/>
      <c r="CL87" s="15"/>
      <c r="CO87" s="12"/>
      <c r="CP87" s="15"/>
      <c r="CS87" s="12"/>
      <c r="CT87" s="15"/>
      <c r="CW87" s="12"/>
      <c r="CX87" s="15"/>
      <c r="DA87" s="12"/>
      <c r="DF87" s="15"/>
      <c r="DI87" s="12"/>
      <c r="DJ87" s="1"/>
      <c r="DK87" s="225">
        <v>194.8</v>
      </c>
      <c r="DL87" s="225"/>
      <c r="DM87" s="225"/>
      <c r="DN87" s="225"/>
      <c r="DO87" s="225"/>
      <c r="DP87" s="225"/>
      <c r="DQ87" s="225"/>
      <c r="DR87" s="225"/>
      <c r="DS87" s="10"/>
      <c r="DT87" s="225"/>
      <c r="DU87" s="10"/>
      <c r="DV87" s="225"/>
      <c r="DW87" s="1"/>
      <c r="EJ87" s="1"/>
      <c r="EK87" s="17">
        <v>2</v>
      </c>
      <c r="EL87" s="17"/>
      <c r="EM87" s="17"/>
      <c r="EN87" s="17"/>
      <c r="EO87" s="17"/>
      <c r="EP87" s="17"/>
      <c r="EQ87" s="17"/>
      <c r="ER87" s="17"/>
      <c r="ES87" s="17"/>
      <c r="EU87" s="17"/>
      <c r="EW87" s="1"/>
      <c r="EX87" s="225">
        <v>194.8</v>
      </c>
      <c r="EY87" s="225"/>
      <c r="EZ87" s="225"/>
      <c r="FA87" s="225"/>
      <c r="FB87" s="225"/>
      <c r="FC87" s="225"/>
      <c r="FD87" s="225"/>
      <c r="FE87" s="225"/>
      <c r="FF87" s="225"/>
      <c r="FG87" s="10"/>
      <c r="FH87" s="225"/>
      <c r="FI87" s="10"/>
      <c r="FJ87" s="1"/>
      <c r="FK87" s="225">
        <v>-95.24</v>
      </c>
      <c r="FL87" s="225"/>
      <c r="FM87" s="191"/>
      <c r="FN87" s="191"/>
      <c r="FO87" s="225"/>
      <c r="FP87" s="225"/>
      <c r="FQ87" s="151"/>
      <c r="FR87" s="151"/>
      <c r="FS87" s="10"/>
      <c r="FT87" s="191"/>
      <c r="FU87" s="225"/>
      <c r="FV87" s="151"/>
    </row>
    <row r="88" spans="1:178" ht="16" thickBot="1" x14ac:dyDescent="0.25">
      <c r="A88" s="27" t="s">
        <v>115</v>
      </c>
      <c r="B88" t="s">
        <v>140</v>
      </c>
      <c r="C88" s="1"/>
      <c r="D88" s="17">
        <v>82</v>
      </c>
      <c r="E88" s="17">
        <v>93</v>
      </c>
      <c r="F88" s="161">
        <v>90</v>
      </c>
      <c r="G88" s="87">
        <v>93</v>
      </c>
      <c r="H88" s="243">
        <v>93</v>
      </c>
      <c r="I88" s="87">
        <v>82</v>
      </c>
      <c r="J88" s="17"/>
      <c r="K88" s="17"/>
      <c r="L88" s="17"/>
      <c r="M88" s="17"/>
      <c r="N88" s="17"/>
      <c r="O88" s="17"/>
      <c r="P88" s="1"/>
      <c r="Q88" s="48">
        <v>26964.31</v>
      </c>
      <c r="R88" s="49">
        <v>9693.0400000000009</v>
      </c>
      <c r="S88" s="49">
        <v>13838.22</v>
      </c>
      <c r="T88" s="50">
        <f t="shared" si="6"/>
        <v>50495.570000000007</v>
      </c>
      <c r="U88" s="48">
        <v>37264.160000000003</v>
      </c>
      <c r="V88" s="49">
        <v>7746.85</v>
      </c>
      <c r="W88" s="49">
        <v>12502.02</v>
      </c>
      <c r="X88" s="50">
        <f t="shared" si="7"/>
        <v>57513.03</v>
      </c>
      <c r="Y88" s="48">
        <v>21386.85</v>
      </c>
      <c r="Z88" s="49">
        <v>26557.57</v>
      </c>
      <c r="AA88" s="49">
        <v>6103.13</v>
      </c>
      <c r="AB88" s="50">
        <f t="shared" si="8"/>
        <v>54047.549999999996</v>
      </c>
      <c r="AC88" s="164">
        <v>19669.62</v>
      </c>
      <c r="AD88" s="165">
        <v>11380.19</v>
      </c>
      <c r="AE88" s="165">
        <v>13548.97</v>
      </c>
      <c r="AF88" s="151">
        <f t="shared" si="9"/>
        <v>44598.78</v>
      </c>
      <c r="AG88" s="165">
        <v>32824.78</v>
      </c>
      <c r="AH88" s="165">
        <v>14150.18</v>
      </c>
      <c r="AI88" s="165">
        <v>12586.83</v>
      </c>
      <c r="AJ88" s="151">
        <f t="shared" si="10"/>
        <v>59561.79</v>
      </c>
      <c r="AK88" s="192">
        <v>9556.5300000000007</v>
      </c>
      <c r="AL88" s="10">
        <v>5321.71</v>
      </c>
      <c r="AM88" s="10">
        <v>13396.720000000001</v>
      </c>
      <c r="AN88" s="151">
        <f t="shared" si="11"/>
        <v>28274.960000000003</v>
      </c>
      <c r="AO88" s="191"/>
      <c r="AP88" s="10"/>
      <c r="AQ88" s="10"/>
      <c r="AR88" s="151"/>
      <c r="AS88" s="191"/>
      <c r="AT88" s="10"/>
      <c r="AU88" s="10"/>
      <c r="AV88" s="151"/>
      <c r="AW88" s="191"/>
      <c r="AX88" s="10"/>
      <c r="AY88" s="10"/>
      <c r="AZ88" s="151"/>
      <c r="BA88" s="191"/>
      <c r="BB88" s="10"/>
      <c r="BC88" s="10"/>
      <c r="BD88" s="151"/>
      <c r="BE88" s="191"/>
      <c r="BF88" s="10"/>
      <c r="BG88" s="10"/>
      <c r="BH88" s="151"/>
      <c r="BI88" s="191"/>
      <c r="BJ88" s="10"/>
      <c r="BK88" s="10"/>
      <c r="BL88" s="151"/>
      <c r="BM88" s="1"/>
      <c r="BN88" s="48"/>
      <c r="BO88" s="56"/>
      <c r="BP88" s="56"/>
      <c r="BQ88" s="50"/>
      <c r="BR88" s="48"/>
      <c r="BS88" s="56"/>
      <c r="BT88" s="56"/>
      <c r="BU88" s="50"/>
      <c r="BV88" s="48"/>
      <c r="BW88" s="56"/>
      <c r="BX88" s="56"/>
      <c r="BY88" s="50"/>
      <c r="BZ88" s="48"/>
      <c r="CA88" s="49"/>
      <c r="CB88" s="49"/>
      <c r="CC88" s="50"/>
      <c r="CD88" s="48"/>
      <c r="CE88" s="49"/>
      <c r="CF88" s="49"/>
      <c r="CG88" s="50"/>
      <c r="CK88" s="12"/>
      <c r="CL88" s="15"/>
      <c r="CO88" s="12"/>
      <c r="CP88" s="15"/>
      <c r="CS88" s="12"/>
      <c r="CT88" s="15"/>
      <c r="CW88" s="12"/>
      <c r="CX88" s="15"/>
      <c r="DA88" s="12"/>
      <c r="DF88" s="15"/>
      <c r="DI88" s="12"/>
      <c r="DJ88" s="1"/>
      <c r="DK88" s="225"/>
      <c r="DL88" s="225">
        <v>5033.1899999999996</v>
      </c>
      <c r="DM88" s="225">
        <v>2681.38</v>
      </c>
      <c r="DN88" s="225">
        <v>173.4</v>
      </c>
      <c r="DO88" s="225">
        <v>11.82</v>
      </c>
      <c r="DP88" s="225">
        <v>346.07</v>
      </c>
      <c r="DQ88" s="225"/>
      <c r="DR88" s="225"/>
      <c r="DS88" s="10"/>
      <c r="DT88" s="225"/>
      <c r="DU88" s="10"/>
      <c r="DV88" s="225"/>
      <c r="DW88" s="1"/>
      <c r="EJ88" s="1"/>
      <c r="EK88" s="17"/>
      <c r="EL88" s="17">
        <v>2</v>
      </c>
      <c r="EM88" s="17">
        <v>3</v>
      </c>
      <c r="EN88" s="17">
        <v>2</v>
      </c>
      <c r="EO88" s="17">
        <v>1</v>
      </c>
      <c r="EP88" s="17">
        <v>2</v>
      </c>
      <c r="EQ88" s="17"/>
      <c r="ER88" s="17"/>
      <c r="ES88" s="17"/>
      <c r="EU88" s="17"/>
      <c r="EW88" s="1"/>
      <c r="EX88" s="225"/>
      <c r="EY88" s="225">
        <v>5033.1899999999996</v>
      </c>
      <c r="EZ88" s="225">
        <v>2681.38</v>
      </c>
      <c r="FA88" s="225">
        <v>173.4</v>
      </c>
      <c r="FB88" s="225">
        <v>0</v>
      </c>
      <c r="FC88" s="225">
        <v>346.07</v>
      </c>
      <c r="FD88" s="225"/>
      <c r="FE88" s="225"/>
      <c r="FF88" s="225"/>
      <c r="FG88" s="10"/>
      <c r="FH88" s="225"/>
      <c r="FI88" s="10"/>
      <c r="FJ88" s="1"/>
      <c r="FK88" s="225">
        <v>-166.55</v>
      </c>
      <c r="FL88" s="225"/>
      <c r="FM88" s="191"/>
      <c r="FN88" s="191">
        <v>-1987.14</v>
      </c>
      <c r="FO88" s="225"/>
      <c r="FP88" s="225"/>
      <c r="FQ88" s="151"/>
      <c r="FR88" s="151"/>
      <c r="FS88" s="10"/>
      <c r="FT88" s="191"/>
      <c r="FU88" s="225"/>
      <c r="FV88" s="151"/>
    </row>
    <row r="89" spans="1:178" ht="16" thickBot="1" x14ac:dyDescent="0.25">
      <c r="A89" s="27" t="s">
        <v>116</v>
      </c>
      <c r="B89" t="s">
        <v>140</v>
      </c>
      <c r="C89" s="1"/>
      <c r="D89" s="17">
        <v>106</v>
      </c>
      <c r="E89" s="17">
        <v>88</v>
      </c>
      <c r="F89" s="161">
        <v>116</v>
      </c>
      <c r="G89" s="87">
        <v>100</v>
      </c>
      <c r="H89" s="243">
        <v>108</v>
      </c>
      <c r="I89" s="87">
        <v>92</v>
      </c>
      <c r="J89" s="17"/>
      <c r="K89" s="17"/>
      <c r="L89" s="17"/>
      <c r="M89" s="17"/>
      <c r="N89" s="17"/>
      <c r="O89" s="17"/>
      <c r="P89" s="1"/>
      <c r="Q89" s="48">
        <v>33606.51</v>
      </c>
      <c r="R89" s="49">
        <v>3703.58</v>
      </c>
      <c r="S89" s="49">
        <v>16129.72</v>
      </c>
      <c r="T89" s="50">
        <f t="shared" si="6"/>
        <v>53439.810000000005</v>
      </c>
      <c r="U89" s="48">
        <v>35618.57</v>
      </c>
      <c r="V89" s="49">
        <v>6308.01</v>
      </c>
      <c r="W89" s="49">
        <v>9950.44</v>
      </c>
      <c r="X89" s="50">
        <f t="shared" si="7"/>
        <v>51877.020000000004</v>
      </c>
      <c r="Y89" s="48">
        <v>55895.199999999997</v>
      </c>
      <c r="Z89" s="49">
        <v>11141.75</v>
      </c>
      <c r="AA89" s="49">
        <v>12200.6</v>
      </c>
      <c r="AB89" s="50">
        <f t="shared" si="8"/>
        <v>79237.55</v>
      </c>
      <c r="AC89" s="164">
        <v>42069.63</v>
      </c>
      <c r="AD89" s="165">
        <v>22944.11</v>
      </c>
      <c r="AE89" s="165">
        <v>10367.629999999999</v>
      </c>
      <c r="AF89" s="151">
        <f t="shared" si="9"/>
        <v>75381.37</v>
      </c>
      <c r="AG89" s="165">
        <v>33236.699999999997</v>
      </c>
      <c r="AH89" s="165">
        <v>8450.69</v>
      </c>
      <c r="AI89" s="165">
        <v>21876.9</v>
      </c>
      <c r="AJ89" s="151">
        <f t="shared" si="10"/>
        <v>63564.29</v>
      </c>
      <c r="AK89" s="192">
        <v>15195.07</v>
      </c>
      <c r="AL89" s="10">
        <v>4596.7299999999996</v>
      </c>
      <c r="AM89" s="10">
        <v>19078.07</v>
      </c>
      <c r="AN89" s="151">
        <f t="shared" si="11"/>
        <v>38869.869999999995</v>
      </c>
      <c r="AO89" s="191"/>
      <c r="AP89" s="10"/>
      <c r="AQ89" s="10"/>
      <c r="AR89" s="151"/>
      <c r="AS89" s="191"/>
      <c r="AT89" s="10"/>
      <c r="AU89" s="10"/>
      <c r="AV89" s="151"/>
      <c r="AW89" s="191"/>
      <c r="AX89" s="10"/>
      <c r="AY89" s="10"/>
      <c r="AZ89" s="151"/>
      <c r="BA89" s="191"/>
      <c r="BB89" s="10"/>
      <c r="BC89" s="10"/>
      <c r="BD89" s="151"/>
      <c r="BE89" s="191"/>
      <c r="BF89" s="10"/>
      <c r="BG89" s="10"/>
      <c r="BH89" s="151"/>
      <c r="BI89" s="191"/>
      <c r="BJ89" s="10"/>
      <c r="BK89" s="10"/>
      <c r="BL89" s="151"/>
      <c r="BM89" s="1"/>
      <c r="BN89" s="48"/>
      <c r="BO89" s="56"/>
      <c r="BP89" s="56"/>
      <c r="BQ89" s="50"/>
      <c r="BR89" s="48"/>
      <c r="BS89" s="56"/>
      <c r="BT89" s="56"/>
      <c r="BU89" s="50"/>
      <c r="BV89" s="48"/>
      <c r="BW89" s="56"/>
      <c r="BX89" s="56"/>
      <c r="BY89" s="50"/>
      <c r="BZ89" s="48"/>
      <c r="CA89" s="49"/>
      <c r="CB89" s="49"/>
      <c r="CC89" s="50"/>
      <c r="CD89" s="48"/>
      <c r="CE89" s="49"/>
      <c r="CF89" s="49"/>
      <c r="CG89" s="50"/>
      <c r="CK89" s="12"/>
      <c r="CL89" s="15"/>
      <c r="CO89" s="12"/>
      <c r="CP89" s="15"/>
      <c r="CS89" s="12"/>
      <c r="CT89" s="15"/>
      <c r="CW89" s="12"/>
      <c r="CX89" s="15"/>
      <c r="DA89" s="12"/>
      <c r="DF89" s="15"/>
      <c r="DI89" s="12"/>
      <c r="DJ89" s="1"/>
      <c r="DK89" s="225">
        <v>148.38999999999999</v>
      </c>
      <c r="DL89" s="225">
        <v>133.30000000000001</v>
      </c>
      <c r="DM89" s="225">
        <v>1379.32</v>
      </c>
      <c r="DN89" s="225"/>
      <c r="DO89" s="225">
        <v>1397.39</v>
      </c>
      <c r="DP89" s="225">
        <v>3805.52</v>
      </c>
      <c r="DQ89" s="225"/>
      <c r="DR89" s="225"/>
      <c r="DS89" s="10"/>
      <c r="DT89" s="225"/>
      <c r="DU89" s="10"/>
      <c r="DV89" s="225"/>
      <c r="DW89" s="1"/>
      <c r="EJ89" s="1"/>
      <c r="EK89" s="17">
        <v>1</v>
      </c>
      <c r="EL89" s="17">
        <v>3</v>
      </c>
      <c r="EM89" s="17">
        <v>4</v>
      </c>
      <c r="EN89" s="17"/>
      <c r="EO89" s="17">
        <v>1</v>
      </c>
      <c r="EP89" s="17">
        <v>2</v>
      </c>
      <c r="EQ89" s="17"/>
      <c r="ER89" s="17"/>
      <c r="ES89" s="17"/>
      <c r="EU89" s="17"/>
      <c r="EW89" s="1"/>
      <c r="EX89" s="225">
        <v>148.38999999999999</v>
      </c>
      <c r="EY89" s="225">
        <v>133.30000000000001</v>
      </c>
      <c r="EZ89" s="225">
        <v>1379.32</v>
      </c>
      <c r="FA89" s="225"/>
      <c r="FB89" s="225">
        <v>1397.39</v>
      </c>
      <c r="FC89" s="225">
        <v>3805.52</v>
      </c>
      <c r="FD89" s="225"/>
      <c r="FE89" s="225"/>
      <c r="FF89" s="225"/>
      <c r="FG89" s="10"/>
      <c r="FH89" s="225"/>
      <c r="FI89" s="10"/>
      <c r="FJ89" s="1"/>
      <c r="FK89" s="225">
        <v>-227.56</v>
      </c>
      <c r="FL89" s="225">
        <v>-909.55</v>
      </c>
      <c r="FM89" s="191"/>
      <c r="FN89" s="191">
        <v>-91.82</v>
      </c>
      <c r="FO89" s="225"/>
      <c r="FP89" s="225"/>
      <c r="FQ89" s="151"/>
      <c r="FR89" s="151"/>
      <c r="FS89" s="10"/>
      <c r="FT89" s="191"/>
      <c r="FU89" s="225"/>
      <c r="FV89" s="151"/>
    </row>
    <row r="90" spans="1:178" ht="16" thickBot="1" x14ac:dyDescent="0.25">
      <c r="A90" s="27" t="s">
        <v>117</v>
      </c>
      <c r="B90" t="s">
        <v>140</v>
      </c>
      <c r="C90" s="1"/>
      <c r="D90" s="17">
        <v>86</v>
      </c>
      <c r="E90" s="17">
        <v>93</v>
      </c>
      <c r="F90" s="161">
        <v>116</v>
      </c>
      <c r="G90" s="87">
        <v>112</v>
      </c>
      <c r="H90" s="243">
        <v>112</v>
      </c>
      <c r="I90" s="87">
        <v>113</v>
      </c>
      <c r="J90" s="17"/>
      <c r="K90" s="17"/>
      <c r="L90" s="17"/>
      <c r="M90" s="17"/>
      <c r="N90" s="17"/>
      <c r="O90" s="17"/>
      <c r="P90" s="1"/>
      <c r="Q90" s="48">
        <v>18172.77</v>
      </c>
      <c r="R90" s="49">
        <v>8700.3700000000008</v>
      </c>
      <c r="S90" s="49">
        <v>12240.369999999999</v>
      </c>
      <c r="T90" s="50">
        <f t="shared" si="6"/>
        <v>39113.509999999995</v>
      </c>
      <c r="U90" s="48">
        <v>34786.17</v>
      </c>
      <c r="V90" s="49">
        <v>12286.22</v>
      </c>
      <c r="W90" s="49">
        <v>17932.370000000003</v>
      </c>
      <c r="X90" s="50">
        <f t="shared" si="7"/>
        <v>65004.76</v>
      </c>
      <c r="Y90" s="48">
        <v>43884.71</v>
      </c>
      <c r="Z90" s="49">
        <v>6294.63</v>
      </c>
      <c r="AA90" s="49">
        <v>19839.260000000002</v>
      </c>
      <c r="AB90" s="50">
        <f t="shared" si="8"/>
        <v>70018.600000000006</v>
      </c>
      <c r="AC90" s="164">
        <v>33220.53</v>
      </c>
      <c r="AD90" s="165">
        <v>27619.119999999999</v>
      </c>
      <c r="AE90" s="165">
        <v>18580.259999999998</v>
      </c>
      <c r="AF90" s="151">
        <f t="shared" si="9"/>
        <v>79419.909999999989</v>
      </c>
      <c r="AG90" s="165">
        <v>24674.03</v>
      </c>
      <c r="AH90" s="165">
        <v>12863.5</v>
      </c>
      <c r="AI90" s="165">
        <v>21770.27</v>
      </c>
      <c r="AJ90" s="151">
        <f t="shared" si="10"/>
        <v>59307.8</v>
      </c>
      <c r="AK90" s="192">
        <v>13728.66</v>
      </c>
      <c r="AL90" s="10">
        <v>10257.74</v>
      </c>
      <c r="AM90" s="10">
        <v>16595.28</v>
      </c>
      <c r="AN90" s="151">
        <f t="shared" si="11"/>
        <v>40581.68</v>
      </c>
      <c r="AO90" s="191"/>
      <c r="AP90" s="10"/>
      <c r="AQ90" s="10"/>
      <c r="AR90" s="151"/>
      <c r="AS90" s="191"/>
      <c r="AT90" s="10"/>
      <c r="AU90" s="10"/>
      <c r="AV90" s="151"/>
      <c r="AW90" s="191"/>
      <c r="AX90" s="10"/>
      <c r="AY90" s="10"/>
      <c r="AZ90" s="151"/>
      <c r="BA90" s="191"/>
      <c r="BB90" s="10"/>
      <c r="BC90" s="10"/>
      <c r="BD90" s="151"/>
      <c r="BE90" s="191"/>
      <c r="BF90" s="10"/>
      <c r="BG90" s="10"/>
      <c r="BH90" s="151"/>
      <c r="BI90" s="191"/>
      <c r="BJ90" s="10"/>
      <c r="BK90" s="10"/>
      <c r="BL90" s="151"/>
      <c r="BM90" s="1"/>
      <c r="BN90" s="48"/>
      <c r="BO90" s="56"/>
      <c r="BP90" s="56"/>
      <c r="BQ90" s="50"/>
      <c r="BR90" s="48"/>
      <c r="BS90" s="56"/>
      <c r="BT90" s="56"/>
      <c r="BU90" s="50"/>
      <c r="BV90" s="48"/>
      <c r="BW90" s="56"/>
      <c r="BX90" s="56"/>
      <c r="BY90" s="50"/>
      <c r="BZ90" s="48"/>
      <c r="CA90" s="49"/>
      <c r="CB90" s="49"/>
      <c r="CC90" s="50"/>
      <c r="CD90" s="48"/>
      <c r="CE90" s="49"/>
      <c r="CF90" s="49"/>
      <c r="CG90" s="50"/>
      <c r="CK90" s="12"/>
      <c r="CL90" s="15"/>
      <c r="CO90" s="12"/>
      <c r="CP90" s="15"/>
      <c r="CS90" s="12"/>
      <c r="CT90" s="15"/>
      <c r="CW90" s="12"/>
      <c r="CX90" s="15"/>
      <c r="DA90" s="12"/>
      <c r="DF90" s="15"/>
      <c r="DI90" s="12"/>
      <c r="DJ90" s="1"/>
      <c r="DK90" s="225">
        <v>3227.52</v>
      </c>
      <c r="DL90" s="225"/>
      <c r="DM90" s="225">
        <v>318.55</v>
      </c>
      <c r="DN90" s="225">
        <v>5678.73</v>
      </c>
      <c r="DO90" s="225">
        <v>3375.63</v>
      </c>
      <c r="DP90" s="225">
        <v>514.62</v>
      </c>
      <c r="DQ90" s="225"/>
      <c r="DR90" s="225"/>
      <c r="DS90" s="10"/>
      <c r="DT90" s="225"/>
      <c r="DU90" s="10"/>
      <c r="DV90" s="225"/>
      <c r="DW90" s="1"/>
      <c r="EJ90" s="1"/>
      <c r="EK90" s="17">
        <v>4</v>
      </c>
      <c r="EL90" s="17"/>
      <c r="EM90" s="17">
        <v>2</v>
      </c>
      <c r="EN90" s="17">
        <v>3</v>
      </c>
      <c r="EO90" s="17">
        <v>5</v>
      </c>
      <c r="EP90" s="17">
        <v>2</v>
      </c>
      <c r="EQ90" s="17"/>
      <c r="ER90" s="17"/>
      <c r="ES90" s="17"/>
      <c r="EU90" s="17"/>
      <c r="EW90" s="1"/>
      <c r="EX90" s="225">
        <v>3215.29</v>
      </c>
      <c r="EY90" s="225"/>
      <c r="EZ90" s="225">
        <v>318.55</v>
      </c>
      <c r="FA90" s="225">
        <v>5678.73</v>
      </c>
      <c r="FB90" s="225">
        <v>3375.63</v>
      </c>
      <c r="FC90" s="225">
        <v>514.62</v>
      </c>
      <c r="FD90" s="225"/>
      <c r="FE90" s="225"/>
      <c r="FF90" s="225"/>
      <c r="FG90" s="10"/>
      <c r="FH90" s="225"/>
      <c r="FI90" s="10"/>
      <c r="FJ90" s="1"/>
      <c r="FK90" s="225">
        <v>-2935.19</v>
      </c>
      <c r="FL90" s="225">
        <v>-29.06</v>
      </c>
      <c r="FM90" s="233"/>
      <c r="FN90" s="233"/>
      <c r="FO90" s="226"/>
      <c r="FP90" s="226"/>
      <c r="FQ90" s="234"/>
      <c r="FR90" s="234"/>
      <c r="FS90" s="235"/>
      <c r="FT90" s="191"/>
      <c r="FU90" s="225"/>
      <c r="FV90" s="151"/>
    </row>
    <row r="91" spans="1:178" ht="16" thickBot="1" x14ac:dyDescent="0.25">
      <c r="A91" s="27" t="s">
        <v>118</v>
      </c>
      <c r="B91" t="s">
        <v>140</v>
      </c>
      <c r="C91" s="1"/>
      <c r="D91" s="17">
        <v>109</v>
      </c>
      <c r="E91" s="17">
        <v>80</v>
      </c>
      <c r="F91" s="161">
        <v>87</v>
      </c>
      <c r="G91" s="87">
        <v>84</v>
      </c>
      <c r="H91" s="243">
        <v>93</v>
      </c>
      <c r="I91" s="87">
        <v>90</v>
      </c>
      <c r="J91" s="17"/>
      <c r="K91" s="17"/>
      <c r="L91" s="17"/>
      <c r="M91" s="17"/>
      <c r="N91" s="17"/>
      <c r="O91" s="17"/>
      <c r="P91" s="1"/>
      <c r="Q91" s="48">
        <v>36147.589999999997</v>
      </c>
      <c r="R91" s="49">
        <v>17425.740000000002</v>
      </c>
      <c r="S91" s="49">
        <v>5366.5</v>
      </c>
      <c r="T91" s="50">
        <f t="shared" si="6"/>
        <v>58939.83</v>
      </c>
      <c r="U91" s="48">
        <v>27567.62</v>
      </c>
      <c r="V91" s="49">
        <v>10428.629999999999</v>
      </c>
      <c r="W91" s="49">
        <v>14526.25</v>
      </c>
      <c r="X91" s="50">
        <f t="shared" si="7"/>
        <v>52522.5</v>
      </c>
      <c r="Y91" s="48">
        <v>21695.55</v>
      </c>
      <c r="Z91" s="49">
        <v>10425.68</v>
      </c>
      <c r="AA91" s="49">
        <v>13806.449999999999</v>
      </c>
      <c r="AB91" s="50">
        <f t="shared" si="8"/>
        <v>45927.68</v>
      </c>
      <c r="AC91" s="164">
        <v>34223.410000000003</v>
      </c>
      <c r="AD91" s="165">
        <v>11720.2</v>
      </c>
      <c r="AE91" s="165">
        <v>5192.7700000000004</v>
      </c>
      <c r="AF91" s="151">
        <f t="shared" si="9"/>
        <v>51136.380000000005</v>
      </c>
      <c r="AG91" s="165">
        <v>25613.81</v>
      </c>
      <c r="AH91" s="165">
        <v>28402.02</v>
      </c>
      <c r="AI91" s="165">
        <v>8379.2099999999991</v>
      </c>
      <c r="AJ91" s="151">
        <f t="shared" si="10"/>
        <v>62395.040000000001</v>
      </c>
      <c r="AK91" s="192">
        <v>13173.65</v>
      </c>
      <c r="AL91" s="10">
        <v>12729.21</v>
      </c>
      <c r="AM91" s="10">
        <v>11517.84</v>
      </c>
      <c r="AN91" s="151">
        <f t="shared" si="11"/>
        <v>37420.699999999997</v>
      </c>
      <c r="AO91" s="191"/>
      <c r="AP91" s="10"/>
      <c r="AQ91" s="10"/>
      <c r="AR91" s="151"/>
      <c r="AS91" s="191"/>
      <c r="AT91" s="10"/>
      <c r="AU91" s="10"/>
      <c r="AV91" s="151"/>
      <c r="AW91" s="191"/>
      <c r="AX91" s="10"/>
      <c r="AY91" s="10"/>
      <c r="AZ91" s="151"/>
      <c r="BA91" s="191"/>
      <c r="BB91" s="10"/>
      <c r="BC91" s="10"/>
      <c r="BD91" s="151"/>
      <c r="BE91" s="191"/>
      <c r="BF91" s="10"/>
      <c r="BG91" s="10"/>
      <c r="BH91" s="151"/>
      <c r="BI91" s="191"/>
      <c r="BJ91" s="10"/>
      <c r="BK91" s="10"/>
      <c r="BL91" s="151"/>
      <c r="BM91" s="1"/>
      <c r="BN91" s="48"/>
      <c r="BO91" s="56"/>
      <c r="BP91" s="56"/>
      <c r="BQ91" s="50"/>
      <c r="BR91" s="48"/>
      <c r="BS91" s="56"/>
      <c r="BT91" s="56"/>
      <c r="BU91" s="50"/>
      <c r="BV91" s="48"/>
      <c r="BW91" s="56"/>
      <c r="BX91" s="56"/>
      <c r="BY91" s="50"/>
      <c r="BZ91" s="48"/>
      <c r="CA91" s="49"/>
      <c r="CB91" s="49"/>
      <c r="CC91" s="50"/>
      <c r="CD91" s="48"/>
      <c r="CE91" s="49"/>
      <c r="CF91" s="49"/>
      <c r="CG91" s="50"/>
      <c r="CK91" s="12"/>
      <c r="CL91" s="15"/>
      <c r="CO91" s="12"/>
      <c r="CP91" s="15"/>
      <c r="CS91" s="12"/>
      <c r="CT91" s="15"/>
      <c r="CW91" s="12"/>
      <c r="CX91" s="15"/>
      <c r="DA91" s="12"/>
      <c r="DF91" s="15"/>
      <c r="DI91" s="12"/>
      <c r="DJ91" s="1"/>
      <c r="DK91" s="225">
        <v>959.24</v>
      </c>
      <c r="DL91" s="225">
        <v>338.34</v>
      </c>
      <c r="DM91" s="225"/>
      <c r="DN91" s="225"/>
      <c r="DO91" s="225"/>
      <c r="DP91" s="225">
        <v>2344.35</v>
      </c>
      <c r="DQ91" s="225"/>
      <c r="DR91" s="225"/>
      <c r="DS91" s="10"/>
      <c r="DT91" s="225"/>
      <c r="DU91" s="10"/>
      <c r="DV91" s="225"/>
      <c r="DW91" s="1"/>
      <c r="EJ91" s="1"/>
      <c r="EK91" s="17">
        <v>3</v>
      </c>
      <c r="EL91" s="17">
        <v>1</v>
      </c>
      <c r="EM91" s="17"/>
      <c r="EN91" s="17"/>
      <c r="EO91" s="17"/>
      <c r="EP91" s="17">
        <v>2</v>
      </c>
      <c r="EQ91" s="17"/>
      <c r="ER91" s="17"/>
      <c r="ES91" s="17"/>
      <c r="EU91" s="17"/>
      <c r="EW91" s="1"/>
      <c r="EX91" s="225">
        <v>959.24</v>
      </c>
      <c r="EY91" s="225">
        <v>338.34</v>
      </c>
      <c r="EZ91" s="225"/>
      <c r="FA91" s="225"/>
      <c r="FB91" s="225"/>
      <c r="FC91" s="225">
        <v>2344.35</v>
      </c>
      <c r="FD91" s="225"/>
      <c r="FE91" s="225"/>
      <c r="FF91" s="225"/>
      <c r="FG91" s="10"/>
      <c r="FH91" s="225"/>
      <c r="FI91" s="10"/>
      <c r="FJ91" s="1"/>
      <c r="FK91" s="225"/>
      <c r="FL91" s="225">
        <v>-34.9</v>
      </c>
      <c r="FM91" s="191"/>
      <c r="FN91" s="191"/>
      <c r="FO91" s="225">
        <v>-200</v>
      </c>
      <c r="FP91" s="225">
        <v>-100</v>
      </c>
      <c r="FQ91" s="151"/>
      <c r="FR91" s="151"/>
      <c r="FS91" s="10"/>
      <c r="FT91" s="191"/>
      <c r="FU91" s="225"/>
      <c r="FV91" s="151"/>
    </row>
    <row r="92" spans="1:178" ht="16" thickBot="1" x14ac:dyDescent="0.25">
      <c r="A92" s="27" t="s">
        <v>119</v>
      </c>
      <c r="B92" t="s">
        <v>140</v>
      </c>
      <c r="C92" s="1"/>
      <c r="D92" s="17">
        <v>113</v>
      </c>
      <c r="E92" s="17">
        <v>108</v>
      </c>
      <c r="F92" s="161">
        <v>141</v>
      </c>
      <c r="G92" s="87">
        <v>118</v>
      </c>
      <c r="H92" s="243">
        <v>125</v>
      </c>
      <c r="I92" s="87">
        <v>104</v>
      </c>
      <c r="J92" s="17"/>
      <c r="K92" s="17"/>
      <c r="L92" s="17"/>
      <c r="M92" s="17"/>
      <c r="N92" s="17"/>
      <c r="O92" s="17"/>
      <c r="P92" s="1"/>
      <c r="Q92" s="48">
        <v>78880.06</v>
      </c>
      <c r="R92" s="49">
        <v>71931.100000000006</v>
      </c>
      <c r="S92" s="49">
        <v>23130.83</v>
      </c>
      <c r="T92" s="50">
        <f t="shared" si="6"/>
        <v>173941.99</v>
      </c>
      <c r="U92" s="48">
        <v>39065.85</v>
      </c>
      <c r="V92" s="49">
        <v>86375.78</v>
      </c>
      <c r="W92" s="49">
        <v>36387.58</v>
      </c>
      <c r="X92" s="50">
        <f t="shared" si="7"/>
        <v>161829.21000000002</v>
      </c>
      <c r="Y92" s="48">
        <v>76663.08</v>
      </c>
      <c r="Z92" s="49">
        <v>83828.55</v>
      </c>
      <c r="AA92" s="49">
        <v>43391.89</v>
      </c>
      <c r="AB92" s="50">
        <f t="shared" si="8"/>
        <v>203883.52000000002</v>
      </c>
      <c r="AC92" s="164">
        <v>45760.28</v>
      </c>
      <c r="AD92" s="165">
        <v>116894.66</v>
      </c>
      <c r="AE92" s="165">
        <v>35729.26</v>
      </c>
      <c r="AF92" s="151">
        <f t="shared" si="9"/>
        <v>198384.2</v>
      </c>
      <c r="AG92" s="165">
        <v>37438.14</v>
      </c>
      <c r="AH92" s="165">
        <v>110752.02</v>
      </c>
      <c r="AI92" s="165">
        <v>29874.579999999998</v>
      </c>
      <c r="AJ92" s="151">
        <f t="shared" si="10"/>
        <v>178064.74</v>
      </c>
      <c r="AK92" s="192">
        <v>27929.15</v>
      </c>
      <c r="AL92" s="10">
        <v>75942.33</v>
      </c>
      <c r="AM92" s="10">
        <v>16963.71</v>
      </c>
      <c r="AN92" s="151">
        <f t="shared" si="11"/>
        <v>120835.19</v>
      </c>
      <c r="AO92" s="191"/>
      <c r="AP92" s="10"/>
      <c r="AQ92" s="10"/>
      <c r="AR92" s="151"/>
      <c r="AS92" s="191"/>
      <c r="AT92" s="10"/>
      <c r="AU92" s="10"/>
      <c r="AV92" s="151"/>
      <c r="AW92" s="191"/>
      <c r="AX92" s="10"/>
      <c r="AY92" s="10"/>
      <c r="AZ92" s="151"/>
      <c r="BA92" s="191"/>
      <c r="BB92" s="10"/>
      <c r="BC92" s="10"/>
      <c r="BD92" s="151"/>
      <c r="BE92" s="191"/>
      <c r="BF92" s="10"/>
      <c r="BG92" s="10"/>
      <c r="BH92" s="151"/>
      <c r="BI92" s="191"/>
      <c r="BJ92" s="10"/>
      <c r="BK92" s="10"/>
      <c r="BL92" s="151"/>
      <c r="BM92" s="1"/>
      <c r="BN92" s="48"/>
      <c r="BO92" s="56"/>
      <c r="BP92" s="56"/>
      <c r="BQ92" s="50"/>
      <c r="BR92" s="48"/>
      <c r="BS92" s="56"/>
      <c r="BT92" s="56"/>
      <c r="BU92" s="50"/>
      <c r="BV92" s="48"/>
      <c r="BW92" s="56"/>
      <c r="BX92" s="56"/>
      <c r="BY92" s="50"/>
      <c r="BZ92" s="48"/>
      <c r="CA92" s="49"/>
      <c r="CB92" s="49"/>
      <c r="CC92" s="50"/>
      <c r="CD92" s="48"/>
      <c r="CE92" s="49"/>
      <c r="CF92" s="49"/>
      <c r="CG92" s="50"/>
      <c r="CK92" s="12"/>
      <c r="CL92" s="15"/>
      <c r="CO92" s="12"/>
      <c r="CP92" s="15"/>
      <c r="CS92" s="12"/>
      <c r="CT92" s="15"/>
      <c r="CW92" s="12"/>
      <c r="CX92" s="15"/>
      <c r="DA92" s="12"/>
      <c r="DF92" s="15"/>
      <c r="DI92" s="12"/>
      <c r="DJ92" s="1"/>
      <c r="DK92" s="225">
        <v>13504.46</v>
      </c>
      <c r="DL92" s="225">
        <v>729.56</v>
      </c>
      <c r="DM92" s="225">
        <v>472.83</v>
      </c>
      <c r="DN92" s="225">
        <v>10964.69</v>
      </c>
      <c r="DO92" s="225">
        <v>4224.33</v>
      </c>
      <c r="DP92" s="225">
        <v>2117.81</v>
      </c>
      <c r="DQ92" s="225"/>
      <c r="DR92" s="225"/>
      <c r="DS92" s="10"/>
      <c r="DT92" s="225"/>
      <c r="DU92" s="10"/>
      <c r="DV92" s="225"/>
      <c r="DW92" s="1"/>
      <c r="EJ92" s="1"/>
      <c r="EK92" s="17">
        <v>2</v>
      </c>
      <c r="EL92" s="17">
        <v>3</v>
      </c>
      <c r="EM92" s="17">
        <v>1</v>
      </c>
      <c r="EN92" s="17">
        <v>2</v>
      </c>
      <c r="EO92" s="17">
        <v>3</v>
      </c>
      <c r="EP92" s="17">
        <v>2</v>
      </c>
      <c r="EQ92" s="17"/>
      <c r="ER92" s="17"/>
      <c r="ES92" s="17"/>
      <c r="EU92" s="17"/>
      <c r="EW92" s="1"/>
      <c r="EX92" s="225">
        <v>13504.46</v>
      </c>
      <c r="EY92" s="225">
        <v>729.56</v>
      </c>
      <c r="EZ92" s="225">
        <v>472.83</v>
      </c>
      <c r="FA92" s="225">
        <v>10964.69</v>
      </c>
      <c r="FB92" s="225">
        <v>4224.33</v>
      </c>
      <c r="FC92" s="225">
        <v>2117.81</v>
      </c>
      <c r="FD92" s="225"/>
      <c r="FE92" s="225"/>
      <c r="FF92" s="225"/>
      <c r="FG92" s="10"/>
      <c r="FH92" s="225"/>
      <c r="FI92" s="10"/>
      <c r="FJ92" s="1"/>
      <c r="FK92" s="225">
        <v>-254</v>
      </c>
      <c r="FL92" s="225">
        <v>-367.05</v>
      </c>
      <c r="FM92" s="191">
        <v>-189.46</v>
      </c>
      <c r="FN92" s="191"/>
      <c r="FO92" s="225"/>
      <c r="FP92" s="225"/>
      <c r="FQ92" s="151"/>
      <c r="FR92" s="151"/>
      <c r="FS92" s="10"/>
      <c r="FT92" s="191"/>
      <c r="FU92" s="225"/>
      <c r="FV92" s="151"/>
    </row>
    <row r="93" spans="1:178" ht="16" thickBot="1" x14ac:dyDescent="0.25">
      <c r="A93" s="27" t="s">
        <v>120</v>
      </c>
      <c r="B93" t="s">
        <v>140</v>
      </c>
      <c r="C93" s="1"/>
      <c r="D93" s="17">
        <v>73</v>
      </c>
      <c r="E93" s="17">
        <v>49</v>
      </c>
      <c r="F93" s="161">
        <v>88</v>
      </c>
      <c r="G93" s="87">
        <v>63</v>
      </c>
      <c r="H93" s="243">
        <v>62</v>
      </c>
      <c r="I93" s="87">
        <v>82</v>
      </c>
      <c r="J93" s="17"/>
      <c r="K93" s="17"/>
      <c r="L93" s="17"/>
      <c r="M93" s="17"/>
      <c r="N93" s="17"/>
      <c r="O93" s="17"/>
      <c r="P93" s="1"/>
      <c r="Q93" s="48">
        <v>72637.78</v>
      </c>
      <c r="R93" s="49">
        <v>27768</v>
      </c>
      <c r="S93" s="49">
        <v>36645.31</v>
      </c>
      <c r="T93" s="50">
        <f t="shared" si="6"/>
        <v>137051.09</v>
      </c>
      <c r="U93" s="48">
        <v>28660.05</v>
      </c>
      <c r="V93" s="49">
        <v>13513.83</v>
      </c>
      <c r="W93" s="49">
        <v>47286.560000000005</v>
      </c>
      <c r="X93" s="50">
        <f t="shared" si="7"/>
        <v>89460.44</v>
      </c>
      <c r="Y93" s="48">
        <v>77938.820000000007</v>
      </c>
      <c r="Z93" s="49">
        <v>53972.39</v>
      </c>
      <c r="AA93" s="49">
        <v>60904.6</v>
      </c>
      <c r="AB93" s="50">
        <f t="shared" si="8"/>
        <v>192815.81000000003</v>
      </c>
      <c r="AC93" s="164">
        <v>36020.400000000001</v>
      </c>
      <c r="AD93" s="165">
        <v>16023.72</v>
      </c>
      <c r="AE93" s="165">
        <v>93794.5</v>
      </c>
      <c r="AF93" s="151">
        <f t="shared" si="9"/>
        <v>145838.62</v>
      </c>
      <c r="AG93" s="165">
        <v>39440.07</v>
      </c>
      <c r="AH93" s="165">
        <v>5821.95</v>
      </c>
      <c r="AI93" s="165">
        <v>91417.46</v>
      </c>
      <c r="AJ93" s="151">
        <f t="shared" si="10"/>
        <v>136679.48000000001</v>
      </c>
      <c r="AK93" s="192">
        <v>49532.7</v>
      </c>
      <c r="AL93" s="10">
        <v>8310.27</v>
      </c>
      <c r="AM93" s="10">
        <v>127431.65999999999</v>
      </c>
      <c r="AN93" s="151">
        <f t="shared" si="11"/>
        <v>185274.63</v>
      </c>
      <c r="AO93" s="191"/>
      <c r="AP93" s="10"/>
      <c r="AQ93" s="10"/>
      <c r="AR93" s="151"/>
      <c r="AS93" s="191"/>
      <c r="AT93" s="10"/>
      <c r="AU93" s="10"/>
      <c r="AV93" s="151"/>
      <c r="AW93" s="191"/>
      <c r="AX93" s="10"/>
      <c r="AY93" s="10"/>
      <c r="AZ93" s="151"/>
      <c r="BA93" s="191"/>
      <c r="BB93" s="10"/>
      <c r="BC93" s="10"/>
      <c r="BD93" s="151"/>
      <c r="BE93" s="191"/>
      <c r="BF93" s="10"/>
      <c r="BG93" s="10"/>
      <c r="BH93" s="151"/>
      <c r="BI93" s="191"/>
      <c r="BJ93" s="10"/>
      <c r="BK93" s="10"/>
      <c r="BL93" s="151"/>
      <c r="BM93" s="1"/>
      <c r="BN93" s="48"/>
      <c r="BO93" s="56"/>
      <c r="BP93" s="56"/>
      <c r="BQ93" s="50"/>
      <c r="BR93" s="48"/>
      <c r="BS93" s="56"/>
      <c r="BT93" s="56"/>
      <c r="BU93" s="50"/>
      <c r="BV93" s="48"/>
      <c r="BW93" s="56"/>
      <c r="BX93" s="56"/>
      <c r="BY93" s="50"/>
      <c r="BZ93" s="48"/>
      <c r="CA93" s="49"/>
      <c r="CB93" s="49"/>
      <c r="CC93" s="50"/>
      <c r="CD93" s="48"/>
      <c r="CE93" s="49"/>
      <c r="CF93" s="49"/>
      <c r="CG93" s="50"/>
      <c r="CK93" s="12"/>
      <c r="CL93" s="15"/>
      <c r="CO93" s="12"/>
      <c r="CP93" s="15"/>
      <c r="CS93" s="12"/>
      <c r="CT93" s="15"/>
      <c r="CW93" s="12"/>
      <c r="CX93" s="15"/>
      <c r="DA93" s="12"/>
      <c r="DF93" s="15"/>
      <c r="DI93" s="12"/>
      <c r="DJ93" s="1"/>
      <c r="DK93" s="225">
        <v>7037.29</v>
      </c>
      <c r="DL93" s="225"/>
      <c r="DM93" s="225">
        <v>489.56</v>
      </c>
      <c r="DN93" s="225">
        <v>110.68</v>
      </c>
      <c r="DO93" s="225">
        <v>3246.31</v>
      </c>
      <c r="DP93" s="225">
        <v>8597.3799999999992</v>
      </c>
      <c r="DQ93" s="225"/>
      <c r="DR93" s="225"/>
      <c r="DS93" s="10"/>
      <c r="DT93" s="225"/>
      <c r="DU93" s="10"/>
      <c r="DV93" s="225"/>
      <c r="DW93" s="1"/>
      <c r="EJ93" s="1"/>
      <c r="EK93" s="17">
        <v>6</v>
      </c>
      <c r="EL93" s="17"/>
      <c r="EM93" s="17">
        <v>2</v>
      </c>
      <c r="EN93" s="17">
        <v>2</v>
      </c>
      <c r="EO93" s="17">
        <v>3</v>
      </c>
      <c r="EP93" s="17">
        <v>2</v>
      </c>
      <c r="EQ93" s="17"/>
      <c r="ER93" s="17"/>
      <c r="ES93" s="17"/>
      <c r="EU93" s="17"/>
      <c r="EW93" s="1"/>
      <c r="EX93" s="225">
        <v>7037.29</v>
      </c>
      <c r="EY93" s="225"/>
      <c r="EZ93" s="225">
        <v>489.56</v>
      </c>
      <c r="FA93" s="225">
        <v>110.68</v>
      </c>
      <c r="FB93" s="225">
        <v>3246.31</v>
      </c>
      <c r="FC93" s="225">
        <v>8597.3799999999992</v>
      </c>
      <c r="FD93" s="225"/>
      <c r="FE93" s="225"/>
      <c r="FF93" s="225"/>
      <c r="FG93" s="10"/>
      <c r="FH93" s="225"/>
      <c r="FI93" s="10"/>
      <c r="FJ93" s="1"/>
      <c r="FK93" s="225"/>
      <c r="FL93" s="225"/>
      <c r="FM93" s="191"/>
      <c r="FN93" s="191"/>
      <c r="FO93" s="225"/>
      <c r="FP93" s="225"/>
      <c r="FQ93" s="151"/>
      <c r="FR93" s="151"/>
      <c r="FS93" s="10"/>
      <c r="FT93" s="191"/>
      <c r="FU93" s="225"/>
      <c r="FV93" s="151"/>
    </row>
    <row r="94" spans="1:178" ht="16" thickBot="1" x14ac:dyDescent="0.25">
      <c r="A94" s="27" t="s">
        <v>121</v>
      </c>
      <c r="B94" t="s">
        <v>140</v>
      </c>
      <c r="C94" s="1"/>
      <c r="D94" s="17">
        <v>97</v>
      </c>
      <c r="E94" s="17">
        <v>115</v>
      </c>
      <c r="F94" s="161">
        <v>117</v>
      </c>
      <c r="G94" s="87">
        <v>124</v>
      </c>
      <c r="H94" s="243">
        <v>102</v>
      </c>
      <c r="I94" s="87">
        <v>96</v>
      </c>
      <c r="J94" s="17"/>
      <c r="K94" s="17"/>
      <c r="L94" s="17"/>
      <c r="M94" s="17"/>
      <c r="N94" s="17"/>
      <c r="O94" s="17"/>
      <c r="P94" s="1"/>
      <c r="Q94" s="48">
        <v>40761.54</v>
      </c>
      <c r="R94" s="49">
        <v>27084.23</v>
      </c>
      <c r="S94" s="49">
        <v>12699.03</v>
      </c>
      <c r="T94" s="50">
        <f t="shared" si="6"/>
        <v>80544.800000000003</v>
      </c>
      <c r="U94" s="48">
        <v>55502.89</v>
      </c>
      <c r="V94" s="49">
        <v>21564.639999999999</v>
      </c>
      <c r="W94" s="49">
        <v>26012.449999999997</v>
      </c>
      <c r="X94" s="50">
        <f t="shared" si="7"/>
        <v>103079.98</v>
      </c>
      <c r="Y94" s="48">
        <v>59384.51</v>
      </c>
      <c r="Z94" s="49">
        <v>30117.48</v>
      </c>
      <c r="AA94" s="49">
        <v>22339.190000000002</v>
      </c>
      <c r="AB94" s="50">
        <f t="shared" si="8"/>
        <v>111841.18000000001</v>
      </c>
      <c r="AC94" s="164">
        <v>53119.65</v>
      </c>
      <c r="AD94" s="165">
        <v>26991.79</v>
      </c>
      <c r="AE94" s="165">
        <v>25547.84</v>
      </c>
      <c r="AF94" s="151">
        <f t="shared" si="9"/>
        <v>105659.28</v>
      </c>
      <c r="AG94" s="165">
        <v>35522.449999999997</v>
      </c>
      <c r="AH94" s="165">
        <v>18632.169999999998</v>
      </c>
      <c r="AI94" s="165">
        <v>27033.050000000003</v>
      </c>
      <c r="AJ94" s="151">
        <f t="shared" si="10"/>
        <v>81187.67</v>
      </c>
      <c r="AK94" s="192">
        <v>21302.84</v>
      </c>
      <c r="AL94" s="10">
        <v>14949.7</v>
      </c>
      <c r="AM94" s="10">
        <v>25236</v>
      </c>
      <c r="AN94" s="151">
        <f t="shared" si="11"/>
        <v>61488.54</v>
      </c>
      <c r="AO94" s="191"/>
      <c r="AP94" s="10"/>
      <c r="AQ94" s="10"/>
      <c r="AR94" s="151"/>
      <c r="AS94" s="191"/>
      <c r="AT94" s="10"/>
      <c r="AU94" s="10"/>
      <c r="AV94" s="151"/>
      <c r="AW94" s="191"/>
      <c r="AX94" s="10"/>
      <c r="AY94" s="10"/>
      <c r="AZ94" s="151"/>
      <c r="BA94" s="191"/>
      <c r="BB94" s="10"/>
      <c r="BC94" s="10"/>
      <c r="BD94" s="151"/>
      <c r="BE94" s="191"/>
      <c r="BF94" s="10"/>
      <c r="BG94" s="10"/>
      <c r="BH94" s="151"/>
      <c r="BI94" s="191"/>
      <c r="BJ94" s="10"/>
      <c r="BK94" s="10"/>
      <c r="BL94" s="151"/>
      <c r="BM94" s="1"/>
      <c r="BN94" s="48"/>
      <c r="BO94" s="56"/>
      <c r="BP94" s="56"/>
      <c r="BQ94" s="50"/>
      <c r="BR94" s="48"/>
      <c r="BS94" s="56"/>
      <c r="BT94" s="56"/>
      <c r="BU94" s="50"/>
      <c r="BV94" s="48"/>
      <c r="BW94" s="56"/>
      <c r="BX94" s="56"/>
      <c r="BY94" s="50"/>
      <c r="BZ94" s="48"/>
      <c r="CA94" s="49"/>
      <c r="CB94" s="49"/>
      <c r="CC94" s="50"/>
      <c r="CD94" s="48"/>
      <c r="CE94" s="49"/>
      <c r="CF94" s="49"/>
      <c r="CG94" s="50"/>
      <c r="CK94" s="12"/>
      <c r="CL94" s="15"/>
      <c r="CO94" s="12"/>
      <c r="CP94" s="15"/>
      <c r="CS94" s="12"/>
      <c r="CT94" s="15"/>
      <c r="CW94" s="12"/>
      <c r="CX94" s="15"/>
      <c r="DA94" s="12"/>
      <c r="DF94" s="15"/>
      <c r="DI94" s="12"/>
      <c r="DJ94" s="1"/>
      <c r="DK94" s="225">
        <v>963.26</v>
      </c>
      <c r="DL94" s="225">
        <v>0</v>
      </c>
      <c r="DM94" s="225">
        <v>2979.55</v>
      </c>
      <c r="DN94" s="225">
        <v>681.08</v>
      </c>
      <c r="DO94" s="225">
        <v>2695.12</v>
      </c>
      <c r="DP94" s="225">
        <v>2646.75</v>
      </c>
      <c r="DQ94" s="225"/>
      <c r="DR94" s="225"/>
      <c r="DS94" s="10"/>
      <c r="DT94" s="225"/>
      <c r="DU94" s="10"/>
      <c r="DV94" s="225"/>
      <c r="DW94" s="1"/>
      <c r="EJ94" s="1"/>
      <c r="EK94" s="17">
        <v>3</v>
      </c>
      <c r="EL94" s="17">
        <v>1</v>
      </c>
      <c r="EM94" s="17">
        <v>4</v>
      </c>
      <c r="EN94" s="17">
        <v>1</v>
      </c>
      <c r="EO94" s="17">
        <v>4</v>
      </c>
      <c r="EP94" s="17">
        <v>2</v>
      </c>
      <c r="EQ94" s="17"/>
      <c r="ER94" s="17"/>
      <c r="ES94" s="17"/>
      <c r="EU94" s="17"/>
      <c r="EW94" s="1"/>
      <c r="EX94" s="225">
        <v>963.26</v>
      </c>
      <c r="EY94" s="225">
        <v>0</v>
      </c>
      <c r="EZ94" s="225">
        <v>2979.55</v>
      </c>
      <c r="FA94" s="225">
        <v>681.08</v>
      </c>
      <c r="FB94" s="225">
        <v>2695.12</v>
      </c>
      <c r="FC94" s="225">
        <v>2646.75</v>
      </c>
      <c r="FD94" s="225"/>
      <c r="FE94" s="225"/>
      <c r="FF94" s="225"/>
      <c r="FG94" s="10"/>
      <c r="FH94" s="225"/>
      <c r="FI94" s="10"/>
      <c r="FJ94" s="1"/>
      <c r="FK94" s="225"/>
      <c r="FL94" s="225"/>
      <c r="FM94" s="191">
        <v>-56.36</v>
      </c>
      <c r="FN94" s="191"/>
      <c r="FO94" s="225"/>
      <c r="FP94" s="225">
        <v>-710.73</v>
      </c>
      <c r="FQ94" s="151"/>
      <c r="FR94" s="151"/>
      <c r="FS94" s="10"/>
      <c r="FT94" s="191"/>
      <c r="FU94" s="225"/>
      <c r="FV94" s="151"/>
    </row>
    <row r="95" spans="1:178" ht="16" thickBot="1" x14ac:dyDescent="0.25">
      <c r="A95" s="27" t="s">
        <v>122</v>
      </c>
      <c r="B95" t="s">
        <v>140</v>
      </c>
      <c r="C95" s="1"/>
      <c r="D95" s="17">
        <v>44</v>
      </c>
      <c r="E95" s="17">
        <v>25</v>
      </c>
      <c r="F95" s="161">
        <v>39</v>
      </c>
      <c r="G95" s="87">
        <v>51</v>
      </c>
      <c r="H95" s="243">
        <v>52</v>
      </c>
      <c r="I95" s="87">
        <v>53</v>
      </c>
      <c r="J95" s="17"/>
      <c r="K95" s="17"/>
      <c r="L95" s="17"/>
      <c r="M95" s="17"/>
      <c r="N95" s="17"/>
      <c r="O95" s="17"/>
      <c r="P95" s="1"/>
      <c r="Q95" s="48">
        <v>16779.29</v>
      </c>
      <c r="R95" s="49">
        <v>17859.13</v>
      </c>
      <c r="S95" s="49">
        <v>5436.4500000000007</v>
      </c>
      <c r="T95" s="50">
        <f t="shared" si="6"/>
        <v>40074.869999999995</v>
      </c>
      <c r="U95" s="48">
        <v>63260.15</v>
      </c>
      <c r="V95" s="49">
        <v>1423.48</v>
      </c>
      <c r="W95" s="49">
        <v>20783.940000000002</v>
      </c>
      <c r="X95" s="50">
        <f t="shared" si="7"/>
        <v>85467.57</v>
      </c>
      <c r="Y95" s="48">
        <v>25472.91</v>
      </c>
      <c r="Z95" s="49">
        <v>1816.79</v>
      </c>
      <c r="AA95" s="49">
        <v>9891.24</v>
      </c>
      <c r="AB95" s="50">
        <f t="shared" si="8"/>
        <v>37180.94</v>
      </c>
      <c r="AC95" s="164">
        <v>24572.68</v>
      </c>
      <c r="AD95" s="165">
        <v>12686.54</v>
      </c>
      <c r="AE95" s="165">
        <v>5187.1100000000006</v>
      </c>
      <c r="AF95" s="151">
        <f t="shared" si="9"/>
        <v>42446.33</v>
      </c>
      <c r="AG95" s="165">
        <v>27400.02</v>
      </c>
      <c r="AH95" s="165">
        <v>7205.58</v>
      </c>
      <c r="AI95" s="165">
        <v>19130.68</v>
      </c>
      <c r="AJ95" s="151">
        <f t="shared" si="10"/>
        <v>53736.28</v>
      </c>
      <c r="AK95" s="192">
        <v>8998.31</v>
      </c>
      <c r="AL95" s="10">
        <v>2190.5300000000002</v>
      </c>
      <c r="AM95" s="10">
        <v>26031.21</v>
      </c>
      <c r="AN95" s="151">
        <f t="shared" si="11"/>
        <v>37220.050000000003</v>
      </c>
      <c r="AO95" s="191"/>
      <c r="AP95" s="10"/>
      <c r="AQ95" s="10"/>
      <c r="AR95" s="151"/>
      <c r="AS95" s="191"/>
      <c r="AT95" s="10"/>
      <c r="AU95" s="10"/>
      <c r="AV95" s="151"/>
      <c r="AW95" s="191"/>
      <c r="AX95" s="10"/>
      <c r="AY95" s="10"/>
      <c r="AZ95" s="151"/>
      <c r="BA95" s="191"/>
      <c r="BB95" s="10"/>
      <c r="BC95" s="10"/>
      <c r="BD95" s="151"/>
      <c r="BE95" s="191"/>
      <c r="BF95" s="10"/>
      <c r="BG95" s="10"/>
      <c r="BH95" s="151"/>
      <c r="BI95" s="191"/>
      <c r="BJ95" s="10"/>
      <c r="BK95" s="10"/>
      <c r="BL95" s="151"/>
      <c r="BM95" s="1"/>
      <c r="BN95" s="48"/>
      <c r="BO95" s="56"/>
      <c r="BP95" s="56"/>
      <c r="BQ95" s="50"/>
      <c r="BR95" s="48"/>
      <c r="BS95" s="56"/>
      <c r="BT95" s="56"/>
      <c r="BU95" s="50"/>
      <c r="BV95" s="48"/>
      <c r="BW95" s="56"/>
      <c r="BX95" s="56"/>
      <c r="BY95" s="50"/>
      <c r="BZ95" s="48"/>
      <c r="CA95" s="49"/>
      <c r="CB95" s="49"/>
      <c r="CC95" s="50"/>
      <c r="CD95" s="48"/>
      <c r="CE95" s="49"/>
      <c r="CF95" s="49"/>
      <c r="CG95" s="50"/>
      <c r="CK95" s="12"/>
      <c r="CL95" s="15"/>
      <c r="CO95" s="12"/>
      <c r="CP95" s="15"/>
      <c r="CS95" s="12"/>
      <c r="CT95" s="15"/>
      <c r="CW95" s="12"/>
      <c r="CX95" s="15"/>
      <c r="DA95" s="12"/>
      <c r="DF95" s="15"/>
      <c r="DI95" s="12"/>
      <c r="DJ95" s="1"/>
      <c r="DK95" s="225"/>
      <c r="DL95" s="225">
        <v>4872.43</v>
      </c>
      <c r="DM95" s="225"/>
      <c r="DN95" s="225"/>
      <c r="DO95" s="225"/>
      <c r="DP95" s="225"/>
      <c r="DQ95" s="225"/>
      <c r="DR95" s="225"/>
      <c r="DS95" s="10"/>
      <c r="DT95" s="225"/>
      <c r="DU95" s="10"/>
      <c r="DV95" s="225"/>
      <c r="DW95" s="1"/>
      <c r="EJ95" s="1"/>
      <c r="EK95" s="17"/>
      <c r="EL95" s="17">
        <v>2</v>
      </c>
      <c r="EM95" s="17"/>
      <c r="EN95" s="17"/>
      <c r="EO95" s="17"/>
      <c r="EP95" s="17"/>
      <c r="EQ95" s="17"/>
      <c r="ER95" s="17"/>
      <c r="ES95" s="17"/>
      <c r="EU95" s="17"/>
      <c r="EW95" s="1"/>
      <c r="EX95" s="225"/>
      <c r="EY95" s="225">
        <v>4872.43</v>
      </c>
      <c r="EZ95" s="225"/>
      <c r="FA95" s="225"/>
      <c r="FB95" s="225"/>
      <c r="FC95" s="225"/>
      <c r="FD95" s="225"/>
      <c r="FE95" s="225"/>
      <c r="FF95" s="225"/>
      <c r="FG95" s="10"/>
      <c r="FH95" s="225"/>
      <c r="FI95" s="10"/>
      <c r="FJ95" s="1"/>
      <c r="FK95" s="225"/>
      <c r="FL95" s="225"/>
      <c r="FM95" s="191"/>
      <c r="FN95" s="191"/>
      <c r="FO95" s="225">
        <v>-76</v>
      </c>
      <c r="FP95" s="225">
        <v>-38</v>
      </c>
      <c r="FQ95" s="151"/>
      <c r="FR95" s="151"/>
      <c r="FS95" s="10"/>
      <c r="FT95" s="191"/>
      <c r="FU95" s="225"/>
      <c r="FV95" s="151"/>
    </row>
    <row r="96" spans="1:178" ht="16" thickBot="1" x14ac:dyDescent="0.25">
      <c r="A96" s="27" t="s">
        <v>123</v>
      </c>
      <c r="B96" t="s">
        <v>140</v>
      </c>
      <c r="C96" s="1"/>
      <c r="D96" s="17">
        <v>2</v>
      </c>
      <c r="E96" s="17">
        <v>1</v>
      </c>
      <c r="F96" s="161">
        <v>1</v>
      </c>
      <c r="G96" s="87"/>
      <c r="H96" s="243"/>
      <c r="I96" s="88"/>
      <c r="J96" s="17"/>
      <c r="K96" s="17"/>
      <c r="L96" s="17"/>
      <c r="M96" s="17"/>
      <c r="N96" s="17"/>
      <c r="O96" s="17"/>
      <c r="P96" s="1"/>
      <c r="Q96" s="48">
        <v>142.96</v>
      </c>
      <c r="R96" s="49"/>
      <c r="S96" s="49">
        <v>0</v>
      </c>
      <c r="T96" s="50">
        <f t="shared" si="6"/>
        <v>142.96</v>
      </c>
      <c r="U96" s="48"/>
      <c r="V96" s="49">
        <v>578.07000000000005</v>
      </c>
      <c r="W96" s="49">
        <v>0</v>
      </c>
      <c r="X96" s="50">
        <f t="shared" si="7"/>
        <v>578.07000000000005</v>
      </c>
      <c r="Y96" s="48"/>
      <c r="Z96" s="49"/>
      <c r="AA96" s="49">
        <v>918.57</v>
      </c>
      <c r="AB96" s="50">
        <f t="shared" si="8"/>
        <v>918.57</v>
      </c>
      <c r="AC96" s="167"/>
      <c r="AD96" s="165"/>
      <c r="AE96" s="166">
        <v>0</v>
      </c>
      <c r="AF96" s="151">
        <f t="shared" si="9"/>
        <v>0</v>
      </c>
      <c r="AG96" s="165"/>
      <c r="AH96" s="166"/>
      <c r="AI96" s="166">
        <v>0</v>
      </c>
      <c r="AJ96" s="151">
        <f t="shared" si="10"/>
        <v>0</v>
      </c>
      <c r="AK96" s="192"/>
      <c r="AL96" s="10"/>
      <c r="AM96" s="10"/>
      <c r="AN96" s="151">
        <f t="shared" si="11"/>
        <v>0</v>
      </c>
      <c r="AO96" s="191"/>
      <c r="AP96" s="10"/>
      <c r="AQ96" s="10"/>
      <c r="AR96" s="151"/>
      <c r="AS96" s="191"/>
      <c r="AT96" s="10"/>
      <c r="AU96" s="10"/>
      <c r="AV96" s="151"/>
      <c r="AW96" s="191"/>
      <c r="AX96" s="10"/>
      <c r="AY96" s="10"/>
      <c r="AZ96" s="151"/>
      <c r="BA96" s="191"/>
      <c r="BB96" s="10"/>
      <c r="BC96" s="10"/>
      <c r="BD96" s="151"/>
      <c r="BE96" s="191"/>
      <c r="BF96" s="10"/>
      <c r="BG96" s="10"/>
      <c r="BH96" s="151"/>
      <c r="BI96" s="191"/>
      <c r="BJ96" s="10"/>
      <c r="BK96" s="10"/>
      <c r="BL96" s="151"/>
      <c r="BM96" s="1"/>
      <c r="BN96" s="48"/>
      <c r="BO96" s="56"/>
      <c r="BP96" s="56"/>
      <c r="BQ96" s="50"/>
      <c r="BR96" s="48"/>
      <c r="BS96" s="56"/>
      <c r="BT96" s="56"/>
      <c r="BU96" s="50"/>
      <c r="BV96" s="48"/>
      <c r="BW96" s="56"/>
      <c r="BX96" s="56"/>
      <c r="BY96" s="50"/>
      <c r="BZ96" s="48"/>
      <c r="CA96" s="49"/>
      <c r="CB96" s="49"/>
      <c r="CC96" s="50"/>
      <c r="CD96" s="48"/>
      <c r="CE96" s="49"/>
      <c r="CF96" s="49"/>
      <c r="CG96" s="50"/>
      <c r="CK96" s="12"/>
      <c r="CL96" s="15"/>
      <c r="CO96" s="12"/>
      <c r="CP96" s="15"/>
      <c r="CS96" s="12"/>
      <c r="CT96" s="15"/>
      <c r="CW96" s="12"/>
      <c r="CX96" s="15"/>
      <c r="DA96" s="12"/>
      <c r="DF96" s="15"/>
      <c r="DI96" s="12"/>
      <c r="DJ96" s="1"/>
      <c r="DK96" s="225"/>
      <c r="DL96" s="225"/>
      <c r="DM96" s="225"/>
      <c r="DN96" s="225"/>
      <c r="DO96" s="225"/>
      <c r="DP96" s="225"/>
      <c r="DQ96" s="225"/>
      <c r="DR96" s="225"/>
      <c r="DS96" s="10"/>
      <c r="DT96" s="225"/>
      <c r="DU96" s="10"/>
      <c r="DV96" s="225"/>
      <c r="DW96" s="1"/>
      <c r="EJ96" s="1"/>
      <c r="EK96" s="17"/>
      <c r="EL96" s="17"/>
      <c r="EM96" s="17"/>
      <c r="EN96" s="17"/>
      <c r="EO96" s="17"/>
      <c r="EP96" s="17"/>
      <c r="EQ96" s="17"/>
      <c r="ER96" s="17"/>
      <c r="ES96" s="17"/>
      <c r="EU96" s="17"/>
      <c r="EW96" s="1"/>
      <c r="EX96" s="225"/>
      <c r="EY96" s="225"/>
      <c r="EZ96" s="225"/>
      <c r="FA96" s="225"/>
      <c r="FB96" s="225"/>
      <c r="FC96" s="225"/>
      <c r="FD96" s="225"/>
      <c r="FE96" s="225"/>
      <c r="FF96" s="225"/>
      <c r="FG96" s="10"/>
      <c r="FH96" s="225"/>
      <c r="FI96" s="10"/>
      <c r="FJ96" s="1"/>
      <c r="FK96" s="225"/>
      <c r="FL96" s="225"/>
      <c r="FM96" s="191"/>
      <c r="FN96" s="191"/>
      <c r="FO96" s="225"/>
      <c r="FP96" s="225"/>
      <c r="FQ96" s="151"/>
      <c r="FR96" s="151"/>
      <c r="FS96" s="10"/>
      <c r="FT96" s="191"/>
      <c r="FU96" s="225"/>
      <c r="FV96" s="151"/>
    </row>
    <row r="97" spans="1:178" ht="16" thickBot="1" x14ac:dyDescent="0.25">
      <c r="A97" s="27" t="s">
        <v>124</v>
      </c>
      <c r="B97" t="s">
        <v>140</v>
      </c>
      <c r="C97" s="1"/>
      <c r="D97" s="17"/>
      <c r="E97" s="17"/>
      <c r="F97" s="162"/>
      <c r="G97" s="89"/>
      <c r="H97" s="244"/>
      <c r="I97" s="88"/>
      <c r="J97" s="17"/>
      <c r="K97" s="17"/>
      <c r="L97" s="17"/>
      <c r="M97" s="17"/>
      <c r="N97" s="17"/>
      <c r="O97" s="17"/>
      <c r="P97" s="1"/>
      <c r="Q97" s="48"/>
      <c r="R97" s="49"/>
      <c r="S97" s="49">
        <v>0</v>
      </c>
      <c r="T97" s="50">
        <f t="shared" si="6"/>
        <v>0</v>
      </c>
      <c r="U97" s="48"/>
      <c r="V97" s="49"/>
      <c r="W97" s="49">
        <v>0</v>
      </c>
      <c r="X97" s="50">
        <f t="shared" si="7"/>
        <v>0</v>
      </c>
      <c r="Y97" s="48"/>
      <c r="Z97" s="49"/>
      <c r="AA97" s="49"/>
      <c r="AB97" s="50">
        <f t="shared" si="8"/>
        <v>0</v>
      </c>
      <c r="AC97" s="167"/>
      <c r="AD97" s="166"/>
      <c r="AE97" s="166">
        <v>0</v>
      </c>
      <c r="AF97" s="151">
        <f t="shared" si="9"/>
        <v>0</v>
      </c>
      <c r="AG97" s="166"/>
      <c r="AH97" s="166"/>
      <c r="AI97" s="166">
        <v>0</v>
      </c>
      <c r="AJ97" s="151">
        <f t="shared" si="10"/>
        <v>0</v>
      </c>
      <c r="AK97" s="192"/>
      <c r="AL97" s="10"/>
      <c r="AM97" s="10"/>
      <c r="AN97" s="151">
        <f t="shared" si="11"/>
        <v>0</v>
      </c>
      <c r="AO97" s="191"/>
      <c r="AP97" s="10"/>
      <c r="AQ97" s="10"/>
      <c r="AR97" s="151"/>
      <c r="AS97" s="191"/>
      <c r="AT97" s="10"/>
      <c r="AU97" s="10"/>
      <c r="AV97" s="151"/>
      <c r="AW97" s="191"/>
      <c r="AX97" s="10"/>
      <c r="AY97" s="10"/>
      <c r="AZ97" s="151"/>
      <c r="BA97" s="191"/>
      <c r="BB97" s="10"/>
      <c r="BC97" s="10"/>
      <c r="BD97" s="151"/>
      <c r="BE97" s="191"/>
      <c r="BF97" s="10"/>
      <c r="BG97" s="10"/>
      <c r="BH97" s="151"/>
      <c r="BI97" s="191"/>
      <c r="BJ97" s="10"/>
      <c r="BK97" s="10"/>
      <c r="BL97" s="151"/>
      <c r="BM97" s="1"/>
      <c r="BN97" s="48"/>
      <c r="BO97" s="56"/>
      <c r="BP97" s="56"/>
      <c r="BQ97" s="50"/>
      <c r="BR97" s="48"/>
      <c r="BS97" s="56"/>
      <c r="BT97" s="56"/>
      <c r="BU97" s="50"/>
      <c r="BV97" s="48"/>
      <c r="BW97" s="56"/>
      <c r="BX97" s="56"/>
      <c r="BY97" s="50"/>
      <c r="BZ97" s="48"/>
      <c r="CA97" s="49"/>
      <c r="CB97" s="49"/>
      <c r="CC97" s="50"/>
      <c r="CD97" s="48"/>
      <c r="CE97" s="49"/>
      <c r="CF97" s="49"/>
      <c r="CG97" s="50"/>
      <c r="CK97" s="12"/>
      <c r="CL97" s="15"/>
      <c r="CO97" s="12"/>
      <c r="CP97" s="15"/>
      <c r="CS97" s="12"/>
      <c r="CT97" s="15"/>
      <c r="CW97" s="12"/>
      <c r="CX97" s="15"/>
      <c r="DA97" s="12"/>
      <c r="DF97" s="15"/>
      <c r="DI97" s="12"/>
      <c r="DJ97" s="1"/>
      <c r="DK97" s="226"/>
      <c r="DL97" s="226"/>
      <c r="DM97" s="226"/>
      <c r="DN97" s="226"/>
      <c r="DO97" s="226"/>
      <c r="DP97" s="226"/>
      <c r="DQ97" s="225"/>
      <c r="DR97" s="225"/>
      <c r="DS97" s="10"/>
      <c r="DT97" s="225"/>
      <c r="DU97" s="10"/>
      <c r="DV97" s="225"/>
      <c r="DW97" s="1"/>
      <c r="EJ97" s="1"/>
      <c r="EK97" s="19"/>
      <c r="EL97" s="19"/>
      <c r="EM97" s="19"/>
      <c r="EN97" s="19"/>
      <c r="EO97" s="19"/>
      <c r="EP97" s="19"/>
      <c r="EQ97" s="19"/>
      <c r="ER97" s="19"/>
      <c r="ES97" s="19"/>
      <c r="EU97" s="17"/>
      <c r="EW97" s="1"/>
      <c r="EX97" s="226"/>
      <c r="EY97" s="226"/>
      <c r="EZ97" s="226"/>
      <c r="FA97" s="226"/>
      <c r="FB97" s="226"/>
      <c r="FC97" s="226"/>
      <c r="FD97" s="226"/>
      <c r="FE97" s="226"/>
      <c r="FF97" s="226"/>
      <c r="FG97" s="10"/>
      <c r="FH97" s="225"/>
      <c r="FI97" s="10"/>
      <c r="FJ97" s="1"/>
      <c r="FK97" s="226"/>
      <c r="FL97" s="226"/>
      <c r="FM97" s="191"/>
      <c r="FN97" s="191"/>
      <c r="FO97" s="225"/>
      <c r="FP97" s="225"/>
      <c r="FQ97" s="151"/>
      <c r="FR97" s="151"/>
      <c r="FS97" s="10"/>
      <c r="FT97" s="191"/>
      <c r="FU97" s="225"/>
      <c r="FV97" s="151"/>
    </row>
    <row r="98" spans="1:178" ht="16" thickBot="1" x14ac:dyDescent="0.25">
      <c r="A98" s="27" t="s">
        <v>125</v>
      </c>
      <c r="B98" t="s">
        <v>140</v>
      </c>
      <c r="C98" s="1"/>
      <c r="D98" s="17">
        <v>45</v>
      </c>
      <c r="E98" s="17">
        <v>36</v>
      </c>
      <c r="F98" s="161">
        <v>45</v>
      </c>
      <c r="G98" s="87">
        <v>37</v>
      </c>
      <c r="H98" s="243">
        <v>33</v>
      </c>
      <c r="I98" s="87">
        <v>27</v>
      </c>
      <c r="J98" s="17"/>
      <c r="K98" s="17"/>
      <c r="L98" s="17"/>
      <c r="M98" s="17"/>
      <c r="N98" s="17"/>
      <c r="O98" s="17"/>
      <c r="P98" s="1"/>
      <c r="Q98" s="48">
        <v>13461.31</v>
      </c>
      <c r="R98" s="49">
        <v>5339.31</v>
      </c>
      <c r="S98" s="49">
        <v>1304.27</v>
      </c>
      <c r="T98" s="50">
        <f t="shared" si="6"/>
        <v>20104.89</v>
      </c>
      <c r="U98" s="48">
        <v>13744.11</v>
      </c>
      <c r="V98" s="49">
        <v>7176.37</v>
      </c>
      <c r="W98" s="49">
        <v>4737.93</v>
      </c>
      <c r="X98" s="50">
        <f t="shared" si="7"/>
        <v>25658.41</v>
      </c>
      <c r="Y98" s="48">
        <v>28977.23</v>
      </c>
      <c r="Z98" s="49">
        <v>8485.41</v>
      </c>
      <c r="AA98" s="49">
        <v>6093.1399999999994</v>
      </c>
      <c r="AB98" s="50">
        <f t="shared" si="8"/>
        <v>43555.78</v>
      </c>
      <c r="AC98" s="164">
        <v>7602.55</v>
      </c>
      <c r="AD98" s="165">
        <v>5223.63</v>
      </c>
      <c r="AE98" s="165">
        <v>3370.4</v>
      </c>
      <c r="AF98" s="151">
        <f t="shared" si="9"/>
        <v>16196.58</v>
      </c>
      <c r="AG98" s="165">
        <v>7139.02</v>
      </c>
      <c r="AH98" s="165">
        <v>6637.55</v>
      </c>
      <c r="AI98" s="165">
        <v>5633.28</v>
      </c>
      <c r="AJ98" s="151">
        <f t="shared" si="10"/>
        <v>19409.849999999999</v>
      </c>
      <c r="AK98" s="192">
        <v>13337.11</v>
      </c>
      <c r="AL98" s="10">
        <v>6368.85</v>
      </c>
      <c r="AM98" s="10">
        <v>7449.77</v>
      </c>
      <c r="AN98" s="151">
        <f t="shared" si="11"/>
        <v>27155.73</v>
      </c>
      <c r="AO98" s="191"/>
      <c r="AP98" s="10"/>
      <c r="AQ98" s="10"/>
      <c r="AR98" s="151"/>
      <c r="AS98" s="191"/>
      <c r="AT98" s="10"/>
      <c r="AU98" s="10"/>
      <c r="AV98" s="151"/>
      <c r="AW98" s="191"/>
      <c r="AX98" s="10"/>
      <c r="AY98" s="10"/>
      <c r="AZ98" s="151"/>
      <c r="BA98" s="191"/>
      <c r="BB98" s="10"/>
      <c r="BC98" s="10"/>
      <c r="BD98" s="151"/>
      <c r="BE98" s="191"/>
      <c r="BF98" s="10"/>
      <c r="BG98" s="10"/>
      <c r="BH98" s="151"/>
      <c r="BI98" s="191"/>
      <c r="BJ98" s="10"/>
      <c r="BK98" s="10"/>
      <c r="BL98" s="151"/>
      <c r="BM98" s="1"/>
      <c r="BN98" s="48"/>
      <c r="BO98" s="56"/>
      <c r="BP98" s="56"/>
      <c r="BQ98" s="50"/>
      <c r="BR98" s="48"/>
      <c r="BS98" s="56"/>
      <c r="BT98" s="56"/>
      <c r="BU98" s="50"/>
      <c r="BV98" s="48"/>
      <c r="BW98" s="56"/>
      <c r="BX98" s="56"/>
      <c r="BY98" s="50"/>
      <c r="BZ98" s="48"/>
      <c r="CA98" s="49"/>
      <c r="CB98" s="49"/>
      <c r="CC98" s="50"/>
      <c r="CD98" s="48"/>
      <c r="CE98" s="49"/>
      <c r="CF98" s="49"/>
      <c r="CG98" s="50"/>
      <c r="CK98" s="12"/>
      <c r="CL98" s="15"/>
      <c r="CO98" s="12"/>
      <c r="CP98" s="15"/>
      <c r="CS98" s="12"/>
      <c r="CT98" s="15"/>
      <c r="CW98" s="12"/>
      <c r="CX98" s="15"/>
      <c r="DA98" s="12"/>
      <c r="DF98" s="15"/>
      <c r="DI98" s="12"/>
      <c r="DJ98" s="1"/>
      <c r="DK98" s="225"/>
      <c r="DL98" s="225"/>
      <c r="DM98" s="225">
        <v>271.25</v>
      </c>
      <c r="DN98" s="225">
        <v>483.19</v>
      </c>
      <c r="DO98" s="225"/>
      <c r="DP98" s="225"/>
      <c r="DQ98" s="225"/>
      <c r="DR98" s="225"/>
      <c r="DS98" s="10"/>
      <c r="DT98" s="225"/>
      <c r="DU98" s="10"/>
      <c r="DV98" s="225"/>
      <c r="DW98" s="1"/>
      <c r="EJ98" s="1"/>
      <c r="EK98" s="17"/>
      <c r="EL98" s="17"/>
      <c r="EM98" s="17">
        <v>1</v>
      </c>
      <c r="EN98" s="17">
        <v>1</v>
      </c>
      <c r="EO98" s="17"/>
      <c r="EP98" s="17"/>
      <c r="EQ98" s="17"/>
      <c r="ER98" s="17"/>
      <c r="ES98" s="17"/>
      <c r="EU98" s="17"/>
      <c r="EW98" s="1"/>
      <c r="EX98" s="225"/>
      <c r="EY98" s="225"/>
      <c r="EZ98" s="225">
        <v>271.25</v>
      </c>
      <c r="FA98" s="225">
        <v>483.19</v>
      </c>
      <c r="FB98" s="225"/>
      <c r="FC98" s="225"/>
      <c r="FD98" s="225"/>
      <c r="FE98" s="225"/>
      <c r="FF98" s="225"/>
      <c r="FG98" s="10"/>
      <c r="FH98" s="225"/>
      <c r="FI98" s="10"/>
      <c r="FJ98" s="1"/>
      <c r="FK98" s="225"/>
      <c r="FL98" s="225"/>
      <c r="FM98" s="191">
        <v>-271.25</v>
      </c>
      <c r="FN98" s="191"/>
      <c r="FO98" s="225"/>
      <c r="FP98" s="225"/>
      <c r="FQ98" s="151"/>
      <c r="FR98" s="151"/>
      <c r="FS98" s="10"/>
      <c r="FT98" s="191"/>
      <c r="FU98" s="225"/>
      <c r="FV98" s="151"/>
    </row>
    <row r="99" spans="1:178" ht="16" thickBot="1" x14ac:dyDescent="0.25">
      <c r="A99" s="27" t="s">
        <v>126</v>
      </c>
      <c r="B99" t="s">
        <v>140</v>
      </c>
      <c r="C99" s="1"/>
      <c r="D99" s="17">
        <v>32</v>
      </c>
      <c r="E99" s="17">
        <v>28</v>
      </c>
      <c r="F99" s="161">
        <v>44</v>
      </c>
      <c r="G99" s="87">
        <v>33</v>
      </c>
      <c r="H99" s="243">
        <v>35</v>
      </c>
      <c r="I99" s="87">
        <v>40</v>
      </c>
      <c r="J99" s="17"/>
      <c r="K99" s="17"/>
      <c r="L99" s="17"/>
      <c r="M99" s="17"/>
      <c r="N99" s="17"/>
      <c r="O99" s="17"/>
      <c r="P99" s="1"/>
      <c r="Q99" s="48">
        <v>9783.06</v>
      </c>
      <c r="R99" s="49">
        <v>9677.7800000000007</v>
      </c>
      <c r="S99" s="49">
        <v>5823.55</v>
      </c>
      <c r="T99" s="50">
        <f t="shared" si="6"/>
        <v>25284.39</v>
      </c>
      <c r="U99" s="48">
        <v>17288.14</v>
      </c>
      <c r="V99" s="49">
        <v>651.11</v>
      </c>
      <c r="W99" s="49">
        <v>21347.34</v>
      </c>
      <c r="X99" s="50">
        <f t="shared" si="7"/>
        <v>39286.589999999997</v>
      </c>
      <c r="Y99" s="48">
        <v>54717.41</v>
      </c>
      <c r="Z99" s="49">
        <v>186.48</v>
      </c>
      <c r="AA99" s="49">
        <v>28449.55</v>
      </c>
      <c r="AB99" s="50">
        <f t="shared" si="8"/>
        <v>83353.440000000002</v>
      </c>
      <c r="AC99" s="164">
        <v>18208.66</v>
      </c>
      <c r="AD99" s="165">
        <v>10281.84</v>
      </c>
      <c r="AE99" s="165">
        <v>5014.0200000000004</v>
      </c>
      <c r="AF99" s="151">
        <f t="shared" si="9"/>
        <v>33504.520000000004</v>
      </c>
      <c r="AG99" s="165">
        <v>5772.42</v>
      </c>
      <c r="AH99" s="165">
        <v>33565.040000000001</v>
      </c>
      <c r="AI99" s="165">
        <v>1781.5900000000001</v>
      </c>
      <c r="AJ99" s="151">
        <f t="shared" si="10"/>
        <v>41119.050000000003</v>
      </c>
      <c r="AK99" s="192">
        <v>61566.66</v>
      </c>
      <c r="AL99" s="10">
        <v>1734.59</v>
      </c>
      <c r="AM99" s="10">
        <v>17897.57</v>
      </c>
      <c r="AN99" s="151">
        <f t="shared" si="11"/>
        <v>81198.820000000007</v>
      </c>
      <c r="AO99" s="191"/>
      <c r="AP99" s="10"/>
      <c r="AQ99" s="10"/>
      <c r="AR99" s="151"/>
      <c r="AS99" s="191"/>
      <c r="AT99" s="10"/>
      <c r="AU99" s="10"/>
      <c r="AV99" s="151"/>
      <c r="AW99" s="191"/>
      <c r="AX99" s="10"/>
      <c r="AY99" s="10"/>
      <c r="AZ99" s="151"/>
      <c r="BA99" s="191"/>
      <c r="BB99" s="10"/>
      <c r="BC99" s="10"/>
      <c r="BD99" s="151"/>
      <c r="BE99" s="191"/>
      <c r="BF99" s="10"/>
      <c r="BG99" s="10"/>
      <c r="BH99" s="151"/>
      <c r="BI99" s="191"/>
      <c r="BJ99" s="10"/>
      <c r="BK99" s="10"/>
      <c r="BL99" s="151"/>
      <c r="BM99" s="1"/>
      <c r="BN99" s="48"/>
      <c r="BO99" s="56"/>
      <c r="BP99" s="56"/>
      <c r="BQ99" s="50"/>
      <c r="BR99" s="48"/>
      <c r="BS99" s="56"/>
      <c r="BT99" s="56"/>
      <c r="BU99" s="50"/>
      <c r="BV99" s="48"/>
      <c r="BW99" s="56"/>
      <c r="BX99" s="56"/>
      <c r="BY99" s="50"/>
      <c r="BZ99" s="48"/>
      <c r="CA99" s="49"/>
      <c r="CB99" s="49"/>
      <c r="CC99" s="50"/>
      <c r="CD99" s="48"/>
      <c r="CE99" s="49"/>
      <c r="CF99" s="49"/>
      <c r="CG99" s="50"/>
      <c r="CK99" s="12"/>
      <c r="CL99" s="15"/>
      <c r="CO99" s="12"/>
      <c r="CP99" s="15"/>
      <c r="CS99" s="12"/>
      <c r="CT99" s="15"/>
      <c r="CW99" s="12"/>
      <c r="CX99" s="15"/>
      <c r="DA99" s="12"/>
      <c r="DF99" s="15"/>
      <c r="DI99" s="12"/>
      <c r="DJ99" s="1"/>
      <c r="DK99" s="225"/>
      <c r="DL99" s="225"/>
      <c r="DM99" s="225"/>
      <c r="DN99" s="225"/>
      <c r="DO99" s="225">
        <v>4556.16</v>
      </c>
      <c r="DP99" s="225">
        <v>431.26</v>
      </c>
      <c r="DQ99" s="225"/>
      <c r="DR99" s="225"/>
      <c r="DS99" s="10"/>
      <c r="DT99" s="225"/>
      <c r="DU99" s="10"/>
      <c r="DV99" s="225"/>
      <c r="DW99" s="1"/>
      <c r="EJ99" s="1"/>
      <c r="EK99" s="17"/>
      <c r="EL99" s="17"/>
      <c r="EM99" s="17"/>
      <c r="EN99" s="17"/>
      <c r="EO99" s="17">
        <v>1</v>
      </c>
      <c r="EP99" s="17">
        <v>3</v>
      </c>
      <c r="EQ99" s="17"/>
      <c r="ER99" s="17"/>
      <c r="ES99" s="17"/>
      <c r="EU99" s="17"/>
      <c r="EW99" s="1"/>
      <c r="EX99" s="225"/>
      <c r="EY99" s="225"/>
      <c r="EZ99" s="225"/>
      <c r="FA99" s="225"/>
      <c r="FB99" s="225">
        <v>4556.16</v>
      </c>
      <c r="FC99" s="225">
        <v>431.26</v>
      </c>
      <c r="FD99" s="225"/>
      <c r="FE99" s="225"/>
      <c r="FF99" s="225"/>
      <c r="FG99" s="10"/>
      <c r="FH99" s="225"/>
      <c r="FI99" s="10"/>
      <c r="FJ99" s="1"/>
      <c r="FK99" s="225"/>
      <c r="FL99" s="225"/>
      <c r="FM99" s="191"/>
      <c r="FN99" s="191"/>
      <c r="FO99" s="225"/>
      <c r="FP99" s="225"/>
      <c r="FQ99" s="151"/>
      <c r="FR99" s="151"/>
      <c r="FS99" s="10"/>
      <c r="FT99" s="191"/>
      <c r="FU99" s="225"/>
      <c r="FV99" s="151"/>
    </row>
    <row r="100" spans="1:178" ht="16" thickBot="1" x14ac:dyDescent="0.25">
      <c r="A100" s="27" t="s">
        <v>138</v>
      </c>
      <c r="B100" t="s">
        <v>140</v>
      </c>
      <c r="C100" s="1"/>
      <c r="D100" s="17"/>
      <c r="E100" s="17"/>
      <c r="F100" s="162"/>
      <c r="G100" s="17"/>
      <c r="H100" s="244"/>
      <c r="I100" s="88"/>
      <c r="K100" s="17"/>
      <c r="L100" s="17"/>
      <c r="M100" s="17"/>
      <c r="N100" s="17"/>
      <c r="O100" s="17"/>
      <c r="P100" s="1"/>
      <c r="Q100" s="48"/>
      <c r="R100" s="49"/>
      <c r="S100" s="49">
        <v>0</v>
      </c>
      <c r="T100" s="50">
        <f t="shared" si="6"/>
        <v>0</v>
      </c>
      <c r="U100" s="48"/>
      <c r="V100" s="49"/>
      <c r="W100" s="49">
        <v>0</v>
      </c>
      <c r="X100" s="50">
        <f t="shared" si="7"/>
        <v>0</v>
      </c>
      <c r="Y100" s="48"/>
      <c r="Z100" s="49"/>
      <c r="AA100" s="49"/>
      <c r="AB100" s="50">
        <f t="shared" si="8"/>
        <v>0</v>
      </c>
      <c r="AC100" s="164"/>
      <c r="AD100" s="166"/>
      <c r="AE100" s="166">
        <v>0</v>
      </c>
      <c r="AF100" s="151">
        <f t="shared" si="9"/>
        <v>0</v>
      </c>
      <c r="AG100" s="166"/>
      <c r="AH100" s="166"/>
      <c r="AI100" s="166">
        <v>0</v>
      </c>
      <c r="AJ100" s="151">
        <f t="shared" si="10"/>
        <v>0</v>
      </c>
      <c r="AK100" s="192"/>
      <c r="AL100" s="10"/>
      <c r="AM100" s="10"/>
      <c r="AN100" s="151">
        <f t="shared" si="11"/>
        <v>0</v>
      </c>
      <c r="AO100" s="191"/>
      <c r="AP100" s="10"/>
      <c r="AQ100" s="10"/>
      <c r="AR100" s="151"/>
      <c r="AS100" s="191"/>
      <c r="AT100" s="10"/>
      <c r="AU100" s="10"/>
      <c r="AV100" s="151"/>
      <c r="AW100" s="191"/>
      <c r="AX100" s="10"/>
      <c r="AY100" s="10"/>
      <c r="AZ100" s="151"/>
      <c r="BA100" s="191"/>
      <c r="BB100" s="10"/>
      <c r="BC100" s="10"/>
      <c r="BD100" s="151"/>
      <c r="BE100" s="191"/>
      <c r="BF100" s="10"/>
      <c r="BG100" s="10"/>
      <c r="BH100" s="151"/>
      <c r="BI100" s="191"/>
      <c r="BJ100" s="10"/>
      <c r="BK100" s="10"/>
      <c r="BL100" s="151"/>
      <c r="BM100" s="1"/>
      <c r="BN100" s="48"/>
      <c r="BO100" s="56"/>
      <c r="BP100" s="56"/>
      <c r="BQ100" s="50"/>
      <c r="BR100" s="48"/>
      <c r="BS100" s="56"/>
      <c r="BT100" s="56"/>
      <c r="BU100" s="50"/>
      <c r="BV100" s="48"/>
      <c r="BW100" s="56"/>
      <c r="BX100" s="56"/>
      <c r="BY100" s="50"/>
      <c r="BZ100" s="48"/>
      <c r="CA100" s="49"/>
      <c r="CB100" s="49"/>
      <c r="CC100" s="50"/>
      <c r="CD100" s="48"/>
      <c r="CE100" s="49"/>
      <c r="CF100" s="49"/>
      <c r="CG100" s="50"/>
      <c r="CK100" s="12"/>
      <c r="CL100" s="15"/>
      <c r="CO100" s="12"/>
      <c r="CP100" s="15"/>
      <c r="CS100" s="12"/>
      <c r="CT100" s="15"/>
      <c r="CW100" s="12"/>
      <c r="CX100" s="15"/>
      <c r="DA100" s="12"/>
      <c r="DF100" s="15"/>
      <c r="DI100" s="12"/>
      <c r="DJ100" s="1"/>
      <c r="DK100" s="225"/>
      <c r="DL100" s="225"/>
      <c r="DM100" s="225"/>
      <c r="DN100" s="225"/>
      <c r="DO100" s="225"/>
      <c r="DP100" s="225"/>
      <c r="DQ100" s="225"/>
      <c r="DR100" s="225"/>
      <c r="DS100" s="10"/>
      <c r="DT100" s="225"/>
      <c r="DU100" s="10"/>
      <c r="DV100" s="225"/>
      <c r="DW100" s="1"/>
      <c r="EJ100" s="1"/>
      <c r="EK100" s="17"/>
      <c r="EL100" s="17"/>
      <c r="EM100" s="17"/>
      <c r="EN100" s="17"/>
      <c r="EO100" s="17"/>
      <c r="EP100" s="17"/>
      <c r="EQ100" s="17"/>
      <c r="ER100" s="17"/>
      <c r="ES100" s="17"/>
      <c r="EU100" s="17"/>
      <c r="EW100" s="1"/>
      <c r="EX100" s="225"/>
      <c r="EY100" s="225"/>
      <c r="EZ100" s="225"/>
      <c r="FA100" s="225"/>
      <c r="FB100" s="225"/>
      <c r="FC100" s="225"/>
      <c r="FD100" s="225"/>
      <c r="FE100" s="225"/>
      <c r="FF100" s="225"/>
      <c r="FG100" s="10"/>
      <c r="FH100" s="225"/>
      <c r="FI100" s="10"/>
      <c r="FJ100" s="1"/>
      <c r="FK100" s="225"/>
      <c r="FL100" s="225"/>
      <c r="FM100" s="191"/>
      <c r="FN100" s="191"/>
      <c r="FO100" s="225"/>
      <c r="FP100" s="225"/>
      <c r="FQ100" s="151"/>
      <c r="FR100" s="151"/>
      <c r="FS100" s="10"/>
      <c r="FT100" s="191"/>
      <c r="FU100" s="225"/>
      <c r="FV100" s="151"/>
    </row>
    <row r="101" spans="1:178" ht="16" thickBot="1" x14ac:dyDescent="0.25">
      <c r="A101" s="27" t="s">
        <v>127</v>
      </c>
      <c r="B101" t="s">
        <v>140</v>
      </c>
      <c r="C101" s="1"/>
      <c r="D101" s="17">
        <v>1</v>
      </c>
      <c r="E101" s="17"/>
      <c r="F101" s="161"/>
      <c r="G101" s="87"/>
      <c r="H101" s="243"/>
      <c r="J101" s="17"/>
      <c r="K101" s="17"/>
      <c r="L101" s="17"/>
      <c r="M101" s="17"/>
      <c r="N101" s="17"/>
      <c r="O101" s="17"/>
      <c r="P101" s="1"/>
      <c r="Q101" s="48">
        <v>4765.74</v>
      </c>
      <c r="R101" s="49"/>
      <c r="S101" s="49">
        <v>0</v>
      </c>
      <c r="T101" s="50">
        <f t="shared" si="6"/>
        <v>4765.74</v>
      </c>
      <c r="U101" s="48"/>
      <c r="V101" s="49"/>
      <c r="W101" s="49">
        <v>0</v>
      </c>
      <c r="X101" s="50">
        <f t="shared" si="7"/>
        <v>0</v>
      </c>
      <c r="Y101" s="48"/>
      <c r="Z101" s="49"/>
      <c r="AA101" s="49"/>
      <c r="AB101" s="50">
        <f t="shared" si="8"/>
        <v>0</v>
      </c>
      <c r="AC101" s="167"/>
      <c r="AD101" s="166"/>
      <c r="AE101" s="166">
        <v>0</v>
      </c>
      <c r="AF101" s="151">
        <f t="shared" si="9"/>
        <v>0</v>
      </c>
      <c r="AG101" s="165"/>
      <c r="AH101" s="166"/>
      <c r="AI101" s="166">
        <v>0</v>
      </c>
      <c r="AJ101" s="151">
        <f t="shared" si="10"/>
        <v>0</v>
      </c>
      <c r="AK101" s="192"/>
      <c r="AL101" s="10"/>
      <c r="AM101" s="10"/>
      <c r="AN101" s="151">
        <f t="shared" si="11"/>
        <v>0</v>
      </c>
      <c r="AO101" s="191"/>
      <c r="AP101" s="10"/>
      <c r="AQ101" s="10"/>
      <c r="AR101" s="151"/>
      <c r="AS101" s="191"/>
      <c r="AT101" s="10"/>
      <c r="AU101" s="10"/>
      <c r="AV101" s="151"/>
      <c r="AW101" s="191"/>
      <c r="AX101" s="10"/>
      <c r="AY101" s="10"/>
      <c r="AZ101" s="151"/>
      <c r="BA101" s="191"/>
      <c r="BB101" s="10"/>
      <c r="BC101" s="10"/>
      <c r="BD101" s="151"/>
      <c r="BE101" s="191"/>
      <c r="BF101" s="10"/>
      <c r="BG101" s="10"/>
      <c r="BH101" s="151"/>
      <c r="BI101" s="191"/>
      <c r="BJ101" s="10"/>
      <c r="BK101" s="10"/>
      <c r="BL101" s="151"/>
      <c r="BM101" s="1"/>
      <c r="BN101" s="48"/>
      <c r="BO101" s="56"/>
      <c r="BP101" s="56"/>
      <c r="BQ101" s="50"/>
      <c r="BR101" s="48"/>
      <c r="BS101" s="56"/>
      <c r="BT101" s="56"/>
      <c r="BU101" s="50"/>
      <c r="BV101" s="48"/>
      <c r="BW101" s="56"/>
      <c r="BX101" s="56"/>
      <c r="BY101" s="50"/>
      <c r="BZ101" s="48"/>
      <c r="CA101" s="49"/>
      <c r="CB101" s="49"/>
      <c r="CC101" s="50"/>
      <c r="CD101" s="48"/>
      <c r="CE101" s="49"/>
      <c r="CF101" s="49"/>
      <c r="CG101" s="50"/>
      <c r="CK101" s="12"/>
      <c r="CL101" s="15"/>
      <c r="CO101" s="12"/>
      <c r="CP101" s="15"/>
      <c r="CS101" s="12"/>
      <c r="CT101" s="15"/>
      <c r="CW101" s="12"/>
      <c r="CX101" s="15"/>
      <c r="DA101" s="12"/>
      <c r="DF101" s="15"/>
      <c r="DI101" s="12"/>
      <c r="DJ101" s="1"/>
      <c r="DK101" s="225"/>
      <c r="DL101" s="225"/>
      <c r="DM101" s="225"/>
      <c r="DN101" s="225"/>
      <c r="DO101" s="225"/>
      <c r="DP101" s="225"/>
      <c r="DQ101" s="225"/>
      <c r="DR101" s="225"/>
      <c r="DS101" s="10"/>
      <c r="DT101" s="225"/>
      <c r="DU101" s="10"/>
      <c r="DV101" s="225"/>
      <c r="DW101" s="1"/>
      <c r="EJ101" s="1"/>
      <c r="EK101" s="17"/>
      <c r="EL101" s="17"/>
      <c r="EM101" s="17"/>
      <c r="EN101" s="17"/>
      <c r="EO101" s="17"/>
      <c r="EP101" s="17"/>
      <c r="EQ101" s="17"/>
      <c r="ER101" s="17"/>
      <c r="ES101" s="17"/>
      <c r="EU101" s="17"/>
      <c r="EW101" s="1"/>
      <c r="EX101" s="225"/>
      <c r="EY101" s="225"/>
      <c r="EZ101" s="225"/>
      <c r="FA101" s="225"/>
      <c r="FB101" s="225"/>
      <c r="FC101" s="225"/>
      <c r="FD101" s="225"/>
      <c r="FE101" s="225"/>
      <c r="FF101" s="225"/>
      <c r="FG101" s="10"/>
      <c r="FH101" s="225"/>
      <c r="FI101" s="10"/>
      <c r="FJ101" s="1"/>
      <c r="FK101" s="225"/>
      <c r="FL101" s="225"/>
      <c r="FM101" s="191"/>
      <c r="FN101" s="191"/>
      <c r="FO101" s="225"/>
      <c r="FP101" s="225"/>
      <c r="FQ101" s="151"/>
      <c r="FR101" s="151"/>
      <c r="FS101" s="10"/>
      <c r="FT101" s="191"/>
      <c r="FU101" s="225"/>
      <c r="FV101" s="151"/>
    </row>
    <row r="102" spans="1:178" ht="16" thickBot="1" x14ac:dyDescent="0.25">
      <c r="A102" s="27" t="s">
        <v>128</v>
      </c>
      <c r="B102" t="s">
        <v>140</v>
      </c>
      <c r="C102" s="1"/>
      <c r="D102" s="17">
        <v>13</v>
      </c>
      <c r="E102" s="17">
        <v>1</v>
      </c>
      <c r="F102" s="162">
        <v>15</v>
      </c>
      <c r="G102" s="89">
        <v>1</v>
      </c>
      <c r="H102" s="243">
        <v>3</v>
      </c>
      <c r="I102" s="87">
        <v>15</v>
      </c>
      <c r="J102" s="17"/>
      <c r="K102" s="17"/>
      <c r="L102" s="17"/>
      <c r="M102" s="17"/>
      <c r="N102" s="17"/>
      <c r="O102" s="17"/>
      <c r="P102" s="1"/>
      <c r="Q102" s="48">
        <v>12528.44</v>
      </c>
      <c r="R102" s="49"/>
      <c r="S102" s="49">
        <v>0</v>
      </c>
      <c r="T102" s="50">
        <f t="shared" si="6"/>
        <v>12528.44</v>
      </c>
      <c r="U102" s="48">
        <v>527.28</v>
      </c>
      <c r="V102" s="49"/>
      <c r="W102" s="49">
        <v>0</v>
      </c>
      <c r="X102" s="50">
        <f t="shared" si="7"/>
        <v>527.28</v>
      </c>
      <c r="Y102" s="48">
        <v>19827.97</v>
      </c>
      <c r="Z102" s="49">
        <v>1015.68</v>
      </c>
      <c r="AA102" s="49">
        <v>0</v>
      </c>
      <c r="AB102" s="50">
        <f t="shared" si="8"/>
        <v>20843.650000000001</v>
      </c>
      <c r="AC102" s="164">
        <v>144.38</v>
      </c>
      <c r="AD102" s="165"/>
      <c r="AE102" s="165">
        <v>0</v>
      </c>
      <c r="AF102" s="151">
        <f t="shared" si="9"/>
        <v>144.38</v>
      </c>
      <c r="AG102" s="165">
        <v>49.89</v>
      </c>
      <c r="AH102" s="165">
        <v>277.74</v>
      </c>
      <c r="AI102" s="165">
        <v>0</v>
      </c>
      <c r="AJ102" s="151">
        <f t="shared" si="10"/>
        <v>327.63</v>
      </c>
      <c r="AK102" s="192">
        <v>1252.42</v>
      </c>
      <c r="AL102" s="10">
        <v>57.02</v>
      </c>
      <c r="AM102" s="10">
        <v>302.31</v>
      </c>
      <c r="AN102" s="151">
        <f t="shared" si="11"/>
        <v>1611.75</v>
      </c>
      <c r="AO102" s="191"/>
      <c r="AP102" s="10"/>
      <c r="AQ102" s="10"/>
      <c r="AR102" s="151"/>
      <c r="AS102" s="191"/>
      <c r="AT102" s="10"/>
      <c r="AU102" s="10"/>
      <c r="AV102" s="151"/>
      <c r="AW102" s="191"/>
      <c r="AX102" s="10"/>
      <c r="AY102" s="10"/>
      <c r="AZ102" s="151"/>
      <c r="BA102" s="191"/>
      <c r="BB102" s="10"/>
      <c r="BC102" s="10"/>
      <c r="BD102" s="151"/>
      <c r="BE102" s="191"/>
      <c r="BF102" s="10"/>
      <c r="BG102" s="10"/>
      <c r="BH102" s="151"/>
      <c r="BI102" s="191"/>
      <c r="BJ102" s="10"/>
      <c r="BK102" s="10"/>
      <c r="BL102" s="151"/>
      <c r="BM102" s="1"/>
      <c r="BN102" s="48"/>
      <c r="BO102" s="56"/>
      <c r="BP102" s="56"/>
      <c r="BQ102" s="50"/>
      <c r="BR102" s="48"/>
      <c r="BS102" s="56"/>
      <c r="BT102" s="56"/>
      <c r="BU102" s="50"/>
      <c r="BV102" s="48"/>
      <c r="BW102" s="56"/>
      <c r="BX102" s="56"/>
      <c r="BY102" s="50"/>
      <c r="BZ102" s="48"/>
      <c r="CA102" s="49"/>
      <c r="CB102" s="49"/>
      <c r="CC102" s="50"/>
      <c r="CD102" s="48"/>
      <c r="CE102" s="49"/>
      <c r="CF102" s="49"/>
      <c r="CG102" s="50"/>
      <c r="CK102" s="12"/>
      <c r="CL102" s="15"/>
      <c r="CO102" s="12"/>
      <c r="CP102" s="15"/>
      <c r="CS102" s="12"/>
      <c r="CT102" s="15"/>
      <c r="CW102" s="12"/>
      <c r="CX102" s="15"/>
      <c r="DA102" s="12"/>
      <c r="DF102" s="15"/>
      <c r="DI102" s="12"/>
      <c r="DJ102" s="1"/>
      <c r="DK102" s="225"/>
      <c r="DL102" s="225"/>
      <c r="DM102" s="225"/>
      <c r="DN102" s="225"/>
      <c r="DO102" s="225"/>
      <c r="DP102" s="225"/>
      <c r="DQ102" s="225"/>
      <c r="DR102" s="225"/>
      <c r="DS102" s="10"/>
      <c r="DT102" s="225"/>
      <c r="DU102" s="10"/>
      <c r="DV102" s="225"/>
      <c r="DW102" s="1"/>
      <c r="EJ102" s="1"/>
      <c r="EK102" s="17"/>
      <c r="EL102" s="17"/>
      <c r="EM102" s="17"/>
      <c r="EN102" s="17"/>
      <c r="EO102" s="17"/>
      <c r="EP102" s="17"/>
      <c r="EQ102" s="17"/>
      <c r="ER102" s="17"/>
      <c r="ES102" s="17"/>
      <c r="EU102" s="17"/>
      <c r="EW102" s="1"/>
      <c r="EX102" s="225"/>
      <c r="EY102" s="225"/>
      <c r="EZ102" s="225"/>
      <c r="FA102" s="225"/>
      <c r="FB102" s="225"/>
      <c r="FC102" s="225"/>
      <c r="FD102" s="225"/>
      <c r="FE102" s="225"/>
      <c r="FF102" s="225"/>
      <c r="FG102" s="10"/>
      <c r="FH102" s="225"/>
      <c r="FI102" s="10"/>
      <c r="FJ102" s="1"/>
      <c r="FK102" s="225"/>
      <c r="FL102" s="225"/>
      <c r="FM102" s="191"/>
      <c r="FN102" s="191"/>
      <c r="FO102" s="225"/>
      <c r="FP102" s="225"/>
      <c r="FQ102" s="151"/>
      <c r="FR102" s="151"/>
      <c r="FS102" s="10"/>
      <c r="FT102" s="191"/>
      <c r="FU102" s="225"/>
      <c r="FV102" s="151"/>
    </row>
    <row r="103" spans="1:178" ht="16" thickBot="1" x14ac:dyDescent="0.25">
      <c r="A103" s="27" t="s">
        <v>129</v>
      </c>
      <c r="B103" t="s">
        <v>140</v>
      </c>
      <c r="C103" s="1"/>
      <c r="D103" s="17"/>
      <c r="E103" s="17"/>
      <c r="F103" s="161"/>
      <c r="G103" s="87"/>
      <c r="H103" s="244"/>
      <c r="I103" s="87"/>
      <c r="J103" s="17"/>
      <c r="K103" s="17"/>
      <c r="L103" s="17"/>
      <c r="M103" s="17"/>
      <c r="N103" s="17"/>
      <c r="O103" s="17"/>
      <c r="P103" s="1"/>
      <c r="Q103" s="48"/>
      <c r="R103" s="49"/>
      <c r="S103" s="49">
        <v>0</v>
      </c>
      <c r="T103" s="50">
        <f t="shared" si="6"/>
        <v>0</v>
      </c>
      <c r="U103" s="48"/>
      <c r="V103" s="49"/>
      <c r="W103" s="49">
        <v>0</v>
      </c>
      <c r="X103" s="50">
        <f t="shared" si="7"/>
        <v>0</v>
      </c>
      <c r="Y103" s="48"/>
      <c r="Z103" s="49"/>
      <c r="AA103" s="49"/>
      <c r="AB103" s="50">
        <f t="shared" si="8"/>
        <v>0</v>
      </c>
      <c r="AC103" s="167"/>
      <c r="AD103" s="166"/>
      <c r="AE103" s="166">
        <v>0</v>
      </c>
      <c r="AF103" s="151">
        <f t="shared" si="9"/>
        <v>0</v>
      </c>
      <c r="AG103" s="166"/>
      <c r="AH103" s="166"/>
      <c r="AI103" s="166">
        <v>0</v>
      </c>
      <c r="AJ103" s="151">
        <f t="shared" si="10"/>
        <v>0</v>
      </c>
      <c r="AK103" s="192"/>
      <c r="AL103" s="10"/>
      <c r="AM103" s="10"/>
      <c r="AN103" s="151">
        <f t="shared" si="11"/>
        <v>0</v>
      </c>
      <c r="AO103" s="191"/>
      <c r="AP103" s="10"/>
      <c r="AQ103" s="10"/>
      <c r="AR103" s="151"/>
      <c r="AS103" s="191"/>
      <c r="AT103" s="10"/>
      <c r="AU103" s="10"/>
      <c r="AV103" s="151"/>
      <c r="AW103" s="191"/>
      <c r="AX103" s="10"/>
      <c r="AY103" s="10"/>
      <c r="AZ103" s="151"/>
      <c r="BA103" s="191"/>
      <c r="BB103" s="10"/>
      <c r="BC103" s="10"/>
      <c r="BD103" s="151"/>
      <c r="BE103" s="191"/>
      <c r="BF103" s="10"/>
      <c r="BG103" s="10"/>
      <c r="BH103" s="151"/>
      <c r="BI103" s="191"/>
      <c r="BJ103" s="10"/>
      <c r="BK103" s="10"/>
      <c r="BL103" s="151"/>
      <c r="BM103" s="1"/>
      <c r="BN103" s="48"/>
      <c r="BO103" s="56"/>
      <c r="BP103" s="56"/>
      <c r="BQ103" s="50"/>
      <c r="BR103" s="48"/>
      <c r="BS103" s="56"/>
      <c r="BT103" s="56"/>
      <c r="BU103" s="50"/>
      <c r="BV103" s="48"/>
      <c r="BW103" s="56"/>
      <c r="BX103" s="56"/>
      <c r="BY103" s="50"/>
      <c r="BZ103" s="48"/>
      <c r="CA103" s="49"/>
      <c r="CB103" s="49"/>
      <c r="CC103" s="50"/>
      <c r="CD103" s="48"/>
      <c r="CE103" s="49"/>
      <c r="CF103" s="49"/>
      <c r="CG103" s="50"/>
      <c r="CK103" s="12"/>
      <c r="CL103" s="15"/>
      <c r="CO103" s="12"/>
      <c r="CP103" s="15"/>
      <c r="CS103" s="12"/>
      <c r="CT103" s="15"/>
      <c r="CW103" s="12"/>
      <c r="CX103" s="15"/>
      <c r="DA103" s="12"/>
      <c r="DF103" s="15"/>
      <c r="DI103" s="12"/>
      <c r="DJ103" s="1"/>
      <c r="DK103" s="225"/>
      <c r="DL103" s="225"/>
      <c r="DM103" s="225"/>
      <c r="DN103" s="225"/>
      <c r="DO103" s="225"/>
      <c r="DP103" s="225"/>
      <c r="DQ103" s="225"/>
      <c r="DR103" s="225"/>
      <c r="DS103" s="10"/>
      <c r="DT103" s="225"/>
      <c r="DU103" s="10"/>
      <c r="DV103" s="225"/>
      <c r="DW103" s="1"/>
      <c r="EJ103" s="1"/>
      <c r="EK103" s="17"/>
      <c r="EL103" s="17"/>
      <c r="EM103" s="17"/>
      <c r="EN103" s="17"/>
      <c r="EO103" s="17"/>
      <c r="EP103" s="17"/>
      <c r="EQ103" s="17"/>
      <c r="ER103" s="17"/>
      <c r="ES103" s="17"/>
      <c r="EU103" s="17"/>
      <c r="EW103" s="1"/>
      <c r="EX103" s="225"/>
      <c r="EY103" s="225"/>
      <c r="EZ103" s="225"/>
      <c r="FA103" s="225"/>
      <c r="FB103" s="225"/>
      <c r="FC103" s="225"/>
      <c r="FD103" s="225"/>
      <c r="FE103" s="225"/>
      <c r="FF103" s="225"/>
      <c r="FG103" s="10"/>
      <c r="FH103" s="225"/>
      <c r="FI103" s="10"/>
      <c r="FJ103" s="1"/>
      <c r="FK103" s="225"/>
      <c r="FL103" s="225"/>
      <c r="FM103" s="191"/>
      <c r="FN103" s="191"/>
      <c r="FO103" s="225"/>
      <c r="FP103" s="225"/>
      <c r="FQ103" s="151"/>
      <c r="FR103" s="151"/>
      <c r="FS103" s="10"/>
      <c r="FT103" s="191"/>
      <c r="FU103" s="225"/>
      <c r="FV103" s="151"/>
    </row>
    <row r="104" spans="1:178" ht="16" thickBot="1" x14ac:dyDescent="0.25">
      <c r="A104" s="27" t="s">
        <v>130</v>
      </c>
      <c r="B104" t="s">
        <v>140</v>
      </c>
      <c r="C104" s="1"/>
      <c r="D104" s="17">
        <v>13</v>
      </c>
      <c r="E104" s="17">
        <v>10</v>
      </c>
      <c r="F104" s="161">
        <v>6</v>
      </c>
      <c r="G104" s="89">
        <v>6</v>
      </c>
      <c r="H104" s="243">
        <v>5</v>
      </c>
      <c r="I104" s="88">
        <v>4</v>
      </c>
      <c r="J104" s="17"/>
      <c r="K104" s="17"/>
      <c r="L104" s="17"/>
      <c r="M104" s="17"/>
      <c r="N104" s="17"/>
      <c r="O104" s="17"/>
      <c r="P104" s="1"/>
      <c r="Q104" s="48">
        <v>8251.56</v>
      </c>
      <c r="R104" s="49">
        <v>1318.72</v>
      </c>
      <c r="S104" s="49">
        <v>239.03</v>
      </c>
      <c r="T104" s="50">
        <f t="shared" si="6"/>
        <v>9809.31</v>
      </c>
      <c r="U104" s="48">
        <v>1452.5</v>
      </c>
      <c r="V104" s="49">
        <v>1924.08</v>
      </c>
      <c r="W104" s="49">
        <v>299.82</v>
      </c>
      <c r="X104" s="50">
        <f t="shared" si="7"/>
        <v>3676.4</v>
      </c>
      <c r="Y104" s="48">
        <v>34.31</v>
      </c>
      <c r="Z104" s="49">
        <v>358.11</v>
      </c>
      <c r="AA104" s="49">
        <v>360.61</v>
      </c>
      <c r="AB104" s="50">
        <f t="shared" si="8"/>
        <v>753.03</v>
      </c>
      <c r="AC104" s="164">
        <v>1952.93</v>
      </c>
      <c r="AD104" s="165"/>
      <c r="AE104" s="165">
        <v>451.5</v>
      </c>
      <c r="AF104" s="151">
        <f t="shared" si="9"/>
        <v>2404.4300000000003</v>
      </c>
      <c r="AG104" s="165">
        <v>968.1</v>
      </c>
      <c r="AH104" s="165">
        <v>1142.25</v>
      </c>
      <c r="AI104" s="165">
        <v>317.25</v>
      </c>
      <c r="AJ104" s="151">
        <f t="shared" si="10"/>
        <v>2427.6</v>
      </c>
      <c r="AK104" s="192">
        <v>1113.6300000000001</v>
      </c>
      <c r="AL104" s="10"/>
      <c r="AM104" s="10">
        <v>0</v>
      </c>
      <c r="AN104" s="151">
        <f t="shared" si="11"/>
        <v>1113.6300000000001</v>
      </c>
      <c r="AO104" s="191"/>
      <c r="AP104" s="10"/>
      <c r="AQ104" s="10"/>
      <c r="AR104" s="151"/>
      <c r="AS104" s="191"/>
      <c r="AT104" s="10"/>
      <c r="AU104" s="10"/>
      <c r="AV104" s="151"/>
      <c r="AW104" s="191"/>
      <c r="AX104" s="10"/>
      <c r="AY104" s="10"/>
      <c r="AZ104" s="151"/>
      <c r="BA104" s="191"/>
      <c r="BB104" s="10"/>
      <c r="BC104" s="10"/>
      <c r="BD104" s="151"/>
      <c r="BE104" s="191"/>
      <c r="BF104" s="10"/>
      <c r="BG104" s="10"/>
      <c r="BH104" s="151"/>
      <c r="BI104" s="191"/>
      <c r="BJ104" s="10"/>
      <c r="BK104" s="10"/>
      <c r="BL104" s="151"/>
      <c r="BM104" s="1"/>
      <c r="BN104" s="48"/>
      <c r="BO104" s="56"/>
      <c r="BP104" s="56"/>
      <c r="BQ104" s="50"/>
      <c r="BR104" s="48"/>
      <c r="BS104" s="56"/>
      <c r="BT104" s="56"/>
      <c r="BU104" s="50"/>
      <c r="BV104" s="48"/>
      <c r="BW104" s="56"/>
      <c r="BX104" s="56"/>
      <c r="BY104" s="50"/>
      <c r="BZ104" s="48"/>
      <c r="CA104" s="49"/>
      <c r="CB104" s="49"/>
      <c r="CC104" s="50"/>
      <c r="CD104" s="48"/>
      <c r="CE104" s="49"/>
      <c r="CF104" s="49"/>
      <c r="CG104" s="50"/>
      <c r="CK104" s="12"/>
      <c r="CL104" s="15"/>
      <c r="CO104" s="12"/>
      <c r="CP104" s="15"/>
      <c r="CS104" s="12"/>
      <c r="CT104" s="15"/>
      <c r="CW104" s="12"/>
      <c r="CX104" s="15"/>
      <c r="DA104" s="12"/>
      <c r="DF104" s="15"/>
      <c r="DI104" s="12"/>
      <c r="DJ104" s="1"/>
      <c r="DK104" s="225"/>
      <c r="DL104" s="225"/>
      <c r="DM104" s="225"/>
      <c r="DN104" s="225"/>
      <c r="DO104" s="225"/>
      <c r="DP104" s="225"/>
      <c r="DQ104" s="225"/>
      <c r="DR104" s="225"/>
      <c r="DS104" s="10"/>
      <c r="DT104" s="225"/>
      <c r="DU104" s="10"/>
      <c r="DV104" s="225"/>
      <c r="DW104" s="1"/>
      <c r="EJ104" s="1"/>
      <c r="EK104" s="17"/>
      <c r="EL104" s="17"/>
      <c r="EM104" s="17"/>
      <c r="EN104" s="17"/>
      <c r="EO104" s="17"/>
      <c r="EP104" s="17"/>
      <c r="EQ104" s="17"/>
      <c r="ER104" s="17"/>
      <c r="ES104" s="17"/>
      <c r="EU104" s="17"/>
      <c r="EW104" s="1"/>
      <c r="EX104" s="225"/>
      <c r="EY104" s="225"/>
      <c r="EZ104" s="225"/>
      <c r="FA104" s="225"/>
      <c r="FB104" s="225"/>
      <c r="FC104" s="225"/>
      <c r="FD104" s="225"/>
      <c r="FE104" s="225"/>
      <c r="FF104" s="225"/>
      <c r="FG104" s="10"/>
      <c r="FH104" s="225"/>
      <c r="FI104" s="10"/>
      <c r="FJ104" s="1"/>
      <c r="FK104" s="225"/>
      <c r="FL104" s="225"/>
      <c r="FM104" s="191"/>
      <c r="FN104" s="191"/>
      <c r="FO104" s="225"/>
      <c r="FP104" s="225"/>
      <c r="FQ104" s="151"/>
      <c r="FR104" s="151"/>
      <c r="FS104" s="10"/>
      <c r="FT104" s="191"/>
      <c r="FU104" s="225"/>
      <c r="FV104" s="151"/>
    </row>
    <row r="105" spans="1:178" ht="16" thickBot="1" x14ac:dyDescent="0.25">
      <c r="A105" s="27" t="s">
        <v>131</v>
      </c>
      <c r="B105" t="s">
        <v>140</v>
      </c>
      <c r="C105" s="1"/>
      <c r="D105" s="17">
        <v>64</v>
      </c>
      <c r="E105" s="17">
        <v>58</v>
      </c>
      <c r="F105" s="161">
        <v>71</v>
      </c>
      <c r="G105" s="87">
        <v>61</v>
      </c>
      <c r="H105" s="243">
        <v>53</v>
      </c>
      <c r="I105" s="87">
        <v>80</v>
      </c>
      <c r="J105" s="17"/>
      <c r="K105" s="17"/>
      <c r="L105" s="17"/>
      <c r="M105" s="17"/>
      <c r="N105" s="17"/>
      <c r="O105" s="17"/>
      <c r="P105" s="1"/>
      <c r="Q105" s="48">
        <v>18817.599999999999</v>
      </c>
      <c r="R105" s="49">
        <v>6155.7</v>
      </c>
      <c r="S105" s="49">
        <v>25842.79</v>
      </c>
      <c r="T105" s="50">
        <f t="shared" si="6"/>
        <v>50816.09</v>
      </c>
      <c r="U105" s="48">
        <v>14310.09</v>
      </c>
      <c r="V105" s="49">
        <v>14694.86</v>
      </c>
      <c r="W105" s="49">
        <v>28243.480000000003</v>
      </c>
      <c r="X105" s="50">
        <f t="shared" si="7"/>
        <v>57248.430000000008</v>
      </c>
      <c r="Y105" s="48">
        <v>30623.72</v>
      </c>
      <c r="Z105" s="49">
        <v>5784.46</v>
      </c>
      <c r="AA105" s="49">
        <v>18333.099999999999</v>
      </c>
      <c r="AB105" s="50">
        <f t="shared" si="8"/>
        <v>54741.279999999999</v>
      </c>
      <c r="AC105" s="164">
        <v>5388.63</v>
      </c>
      <c r="AD105" s="165">
        <v>29859.56</v>
      </c>
      <c r="AE105" s="165">
        <v>20719.010000000002</v>
      </c>
      <c r="AF105" s="151">
        <f t="shared" si="9"/>
        <v>55967.200000000004</v>
      </c>
      <c r="AG105" s="165">
        <v>6391.87</v>
      </c>
      <c r="AH105" s="165">
        <v>4116.93</v>
      </c>
      <c r="AI105" s="165">
        <v>30848.13</v>
      </c>
      <c r="AJ105" s="151">
        <f t="shared" si="10"/>
        <v>41356.93</v>
      </c>
      <c r="AK105" s="192">
        <v>13700.49</v>
      </c>
      <c r="AL105" s="10">
        <v>3125.77</v>
      </c>
      <c r="AM105" s="10">
        <v>36015.380000000005</v>
      </c>
      <c r="AN105" s="151">
        <f t="shared" si="11"/>
        <v>52841.64</v>
      </c>
      <c r="AO105" s="191"/>
      <c r="AP105" s="10"/>
      <c r="AQ105" s="10"/>
      <c r="AR105" s="151"/>
      <c r="AS105" s="191"/>
      <c r="AT105" s="10"/>
      <c r="AU105" s="10"/>
      <c r="AV105" s="151"/>
      <c r="AW105" s="191"/>
      <c r="AX105" s="10"/>
      <c r="AY105" s="10"/>
      <c r="AZ105" s="151"/>
      <c r="BA105" s="191"/>
      <c r="BB105" s="10"/>
      <c r="BC105" s="10"/>
      <c r="BD105" s="151"/>
      <c r="BE105" s="191"/>
      <c r="BF105" s="10"/>
      <c r="BG105" s="10"/>
      <c r="BH105" s="151"/>
      <c r="BI105" s="191"/>
      <c r="BJ105" s="10"/>
      <c r="BK105" s="10"/>
      <c r="BL105" s="151"/>
      <c r="BM105" s="1"/>
      <c r="BN105" s="48"/>
      <c r="BO105" s="56"/>
      <c r="BP105" s="56"/>
      <c r="BQ105" s="50"/>
      <c r="BR105" s="48"/>
      <c r="BS105" s="56"/>
      <c r="BT105" s="56"/>
      <c r="BU105" s="50"/>
      <c r="BV105" s="48"/>
      <c r="BW105" s="56"/>
      <c r="BX105" s="56"/>
      <c r="BY105" s="50"/>
      <c r="BZ105" s="48"/>
      <c r="CA105" s="49"/>
      <c r="CB105" s="49"/>
      <c r="CC105" s="50"/>
      <c r="CD105" s="48"/>
      <c r="CE105" s="49"/>
      <c r="CF105" s="49"/>
      <c r="CG105" s="50"/>
      <c r="CK105" s="12"/>
      <c r="CL105" s="15"/>
      <c r="CO105" s="12"/>
      <c r="CP105" s="15"/>
      <c r="CS105" s="12"/>
      <c r="CT105" s="15"/>
      <c r="CW105" s="12"/>
      <c r="CX105" s="15"/>
      <c r="DA105" s="12"/>
      <c r="DF105" s="15"/>
      <c r="DI105" s="12"/>
      <c r="DJ105" s="1"/>
      <c r="DK105" s="225"/>
      <c r="DL105" s="225">
        <v>250.6</v>
      </c>
      <c r="DM105" s="225"/>
      <c r="DN105" s="225">
        <v>161.18</v>
      </c>
      <c r="DO105" s="225"/>
      <c r="DP105" s="225">
        <v>671.76</v>
      </c>
      <c r="DQ105" s="225"/>
      <c r="DR105" s="225"/>
      <c r="DS105" s="10"/>
      <c r="DT105" s="225"/>
      <c r="DU105" s="10"/>
      <c r="DV105" s="225"/>
      <c r="DW105" s="1"/>
      <c r="EJ105" s="1"/>
      <c r="EK105" s="17"/>
      <c r="EL105" s="17">
        <v>1</v>
      </c>
      <c r="EM105" s="17"/>
      <c r="EN105" s="17">
        <v>1</v>
      </c>
      <c r="EO105" s="17"/>
      <c r="EP105" s="17">
        <v>2</v>
      </c>
      <c r="EQ105" s="17"/>
      <c r="ER105" s="17"/>
      <c r="ES105" s="17"/>
      <c r="EU105" s="17"/>
      <c r="EW105" s="1"/>
      <c r="EX105" s="225"/>
      <c r="EY105" s="225">
        <v>250.6</v>
      </c>
      <c r="EZ105" s="225"/>
      <c r="FA105" s="225">
        <v>161.18</v>
      </c>
      <c r="FB105" s="225"/>
      <c r="FC105" s="225">
        <v>671.76</v>
      </c>
      <c r="FD105" s="225"/>
      <c r="FE105" s="225"/>
      <c r="FF105" s="225"/>
      <c r="FG105" s="10"/>
      <c r="FH105" s="225"/>
      <c r="FI105" s="10"/>
      <c r="FJ105" s="1"/>
      <c r="FK105" s="225"/>
      <c r="FL105" s="225">
        <v>-250.6</v>
      </c>
      <c r="FM105" s="191"/>
      <c r="FN105" s="191"/>
      <c r="FO105" s="225"/>
      <c r="FP105" s="225"/>
      <c r="FQ105" s="151"/>
      <c r="FR105" s="151"/>
      <c r="FS105" s="10"/>
      <c r="FT105" s="191"/>
      <c r="FU105" s="225"/>
      <c r="FV105" s="151"/>
    </row>
    <row r="106" spans="1:178" ht="16" thickBot="1" x14ac:dyDescent="0.25">
      <c r="A106" s="27" t="s">
        <v>132</v>
      </c>
      <c r="B106" t="s">
        <v>140</v>
      </c>
      <c r="C106" s="1"/>
      <c r="D106" s="17">
        <v>5</v>
      </c>
      <c r="E106" s="17">
        <v>2</v>
      </c>
      <c r="F106" s="162">
        <v>3</v>
      </c>
      <c r="G106" s="87">
        <v>3</v>
      </c>
      <c r="H106" s="243">
        <v>4</v>
      </c>
      <c r="I106" s="87">
        <v>6</v>
      </c>
      <c r="J106" s="17"/>
      <c r="K106" s="17"/>
      <c r="L106" s="17"/>
      <c r="M106" s="17"/>
      <c r="N106" s="17"/>
      <c r="O106" s="17"/>
      <c r="P106" s="1"/>
      <c r="Q106" s="48">
        <v>1847.77</v>
      </c>
      <c r="R106" s="49">
        <v>44.75</v>
      </c>
      <c r="S106" s="49">
        <v>0</v>
      </c>
      <c r="T106" s="50">
        <f t="shared" si="6"/>
        <v>1892.52</v>
      </c>
      <c r="U106" s="48"/>
      <c r="V106" s="49">
        <v>813.44</v>
      </c>
      <c r="W106" s="49">
        <v>71.739999999999995</v>
      </c>
      <c r="X106" s="50">
        <f t="shared" si="7"/>
        <v>885.18000000000006</v>
      </c>
      <c r="Y106" s="48">
        <v>13636.63</v>
      </c>
      <c r="Z106" s="49">
        <v>752.41</v>
      </c>
      <c r="AA106" s="49">
        <v>0</v>
      </c>
      <c r="AB106" s="50">
        <f t="shared" si="8"/>
        <v>14389.039999999999</v>
      </c>
      <c r="AC106" s="164">
        <v>8288.75</v>
      </c>
      <c r="AD106" s="165">
        <v>703.5</v>
      </c>
      <c r="AE106" s="165">
        <v>0</v>
      </c>
      <c r="AF106" s="151">
        <f t="shared" si="9"/>
        <v>8992.25</v>
      </c>
      <c r="AG106" s="165">
        <v>372.79</v>
      </c>
      <c r="AH106" s="166">
        <v>53.34</v>
      </c>
      <c r="AI106" s="165">
        <v>0</v>
      </c>
      <c r="AJ106" s="151">
        <f t="shared" si="10"/>
        <v>426.13</v>
      </c>
      <c r="AK106" s="192">
        <v>6257.41</v>
      </c>
      <c r="AL106" s="10">
        <v>931.64</v>
      </c>
      <c r="AM106" s="10">
        <v>0</v>
      </c>
      <c r="AN106" s="151">
        <f t="shared" si="11"/>
        <v>7189.05</v>
      </c>
      <c r="AO106" s="191"/>
      <c r="AP106" s="10"/>
      <c r="AQ106" s="10"/>
      <c r="AR106" s="151"/>
      <c r="AS106" s="191"/>
      <c r="AT106" s="10"/>
      <c r="AU106" s="10"/>
      <c r="AV106" s="151"/>
      <c r="AW106" s="191"/>
      <c r="AX106" s="10"/>
      <c r="AY106" s="10"/>
      <c r="AZ106" s="151"/>
      <c r="BA106" s="191"/>
      <c r="BB106" s="10"/>
      <c r="BC106" s="10"/>
      <c r="BD106" s="151"/>
      <c r="BE106" s="191"/>
      <c r="BF106" s="10"/>
      <c r="BG106" s="10"/>
      <c r="BH106" s="151"/>
      <c r="BI106" s="191"/>
      <c r="BJ106" s="10"/>
      <c r="BK106" s="10"/>
      <c r="BL106" s="151"/>
      <c r="BM106" s="1"/>
      <c r="BN106" s="48"/>
      <c r="BO106" s="56"/>
      <c r="BP106" s="56"/>
      <c r="BQ106" s="50"/>
      <c r="BR106" s="48"/>
      <c r="BS106" s="56"/>
      <c r="BT106" s="56"/>
      <c r="BU106" s="50"/>
      <c r="BV106" s="48"/>
      <c r="BW106" s="56"/>
      <c r="BX106" s="56"/>
      <c r="BY106" s="50"/>
      <c r="BZ106" s="48"/>
      <c r="CA106" s="49"/>
      <c r="CB106" s="49"/>
      <c r="CC106" s="50"/>
      <c r="CD106" s="48"/>
      <c r="CE106" s="49"/>
      <c r="CF106" s="49"/>
      <c r="CG106" s="50"/>
      <c r="CK106" s="12"/>
      <c r="CL106" s="15"/>
      <c r="CO106" s="12"/>
      <c r="CP106" s="15"/>
      <c r="CS106" s="12"/>
      <c r="CT106" s="15"/>
      <c r="CW106" s="12"/>
      <c r="CX106" s="15"/>
      <c r="DA106" s="12"/>
      <c r="DF106" s="15"/>
      <c r="DI106" s="12"/>
      <c r="DJ106" s="1"/>
      <c r="DK106" s="225"/>
      <c r="DL106" s="225"/>
      <c r="DM106" s="225"/>
      <c r="DN106" s="225"/>
      <c r="DO106" s="225"/>
      <c r="DP106" s="225"/>
      <c r="DQ106" s="225"/>
      <c r="DR106" s="225"/>
      <c r="DS106" s="10"/>
      <c r="DT106" s="225"/>
      <c r="DU106" s="10"/>
      <c r="DV106" s="225"/>
      <c r="DW106" s="1"/>
      <c r="EJ106" s="1"/>
      <c r="EK106" s="17"/>
      <c r="EL106" s="17"/>
      <c r="EM106" s="17"/>
      <c r="EN106" s="17"/>
      <c r="EO106" s="17"/>
      <c r="EP106" s="17"/>
      <c r="EQ106" s="17"/>
      <c r="ER106" s="17"/>
      <c r="ES106" s="17"/>
      <c r="EU106" s="17"/>
      <c r="EW106" s="1"/>
      <c r="EX106" s="225"/>
      <c r="EY106" s="225"/>
      <c r="EZ106" s="225"/>
      <c r="FA106" s="225"/>
      <c r="FB106" s="225"/>
      <c r="FC106" s="225"/>
      <c r="FD106" s="225"/>
      <c r="FE106" s="225"/>
      <c r="FF106" s="225"/>
      <c r="FG106" s="10"/>
      <c r="FH106" s="225"/>
      <c r="FI106" s="10"/>
      <c r="FJ106" s="1"/>
      <c r="FK106" s="225"/>
      <c r="FL106" s="225"/>
      <c r="FM106" s="191"/>
      <c r="FN106" s="191"/>
      <c r="FO106" s="225"/>
      <c r="FP106" s="225"/>
      <c r="FQ106" s="151"/>
      <c r="FR106" s="151"/>
      <c r="FS106" s="10"/>
      <c r="FT106" s="191"/>
      <c r="FU106" s="225"/>
      <c r="FV106" s="151"/>
    </row>
    <row r="107" spans="1:178" ht="16" thickBot="1" x14ac:dyDescent="0.25">
      <c r="A107" s="27" t="s">
        <v>133</v>
      </c>
      <c r="B107" t="s">
        <v>140</v>
      </c>
      <c r="C107" s="1"/>
      <c r="D107" s="17"/>
      <c r="E107" s="17">
        <v>2</v>
      </c>
      <c r="F107" s="161"/>
      <c r="G107" s="87"/>
      <c r="H107" s="244"/>
      <c r="I107" s="87"/>
      <c r="J107" s="17"/>
      <c r="K107" s="17"/>
      <c r="L107" s="17"/>
      <c r="M107" s="17"/>
      <c r="N107" s="17"/>
      <c r="O107" s="17"/>
      <c r="P107" s="1"/>
      <c r="Q107" s="48"/>
      <c r="R107" s="49"/>
      <c r="S107" s="49">
        <v>0</v>
      </c>
      <c r="T107" s="50">
        <f t="shared" si="6"/>
        <v>0</v>
      </c>
      <c r="U107" s="48">
        <v>338.29</v>
      </c>
      <c r="V107" s="49"/>
      <c r="W107" s="49">
        <v>0</v>
      </c>
      <c r="X107" s="50">
        <f t="shared" si="7"/>
        <v>338.29</v>
      </c>
      <c r="Y107" s="48"/>
      <c r="Z107" s="49"/>
      <c r="AA107" s="49">
        <v>0</v>
      </c>
      <c r="AB107" s="50">
        <f t="shared" si="8"/>
        <v>0</v>
      </c>
      <c r="AC107" s="164"/>
      <c r="AD107" s="166"/>
      <c r="AE107" s="166">
        <v>0</v>
      </c>
      <c r="AF107" s="151">
        <f t="shared" si="9"/>
        <v>0</v>
      </c>
      <c r="AG107" s="166"/>
      <c r="AH107" s="166"/>
      <c r="AI107" s="166">
        <v>0</v>
      </c>
      <c r="AJ107" s="151">
        <f t="shared" si="10"/>
        <v>0</v>
      </c>
      <c r="AK107" s="192"/>
      <c r="AL107" s="10"/>
      <c r="AM107" s="10">
        <v>0</v>
      </c>
      <c r="AN107" s="151">
        <f t="shared" si="11"/>
        <v>0</v>
      </c>
      <c r="AO107" s="191"/>
      <c r="AP107" s="10"/>
      <c r="AQ107" s="10"/>
      <c r="AR107" s="151"/>
      <c r="AS107" s="191"/>
      <c r="AT107" s="10"/>
      <c r="AU107" s="10"/>
      <c r="AV107" s="151"/>
      <c r="AW107" s="191"/>
      <c r="AX107" s="10"/>
      <c r="AY107" s="10"/>
      <c r="AZ107" s="151"/>
      <c r="BA107" s="191"/>
      <c r="BB107" s="10"/>
      <c r="BC107" s="10"/>
      <c r="BD107" s="151"/>
      <c r="BE107" s="191"/>
      <c r="BF107" s="10"/>
      <c r="BG107" s="10"/>
      <c r="BH107" s="151"/>
      <c r="BI107" s="191"/>
      <c r="BJ107" s="10"/>
      <c r="BK107" s="10"/>
      <c r="BL107" s="151"/>
      <c r="BM107" s="1"/>
      <c r="BN107" s="48"/>
      <c r="BO107" s="56"/>
      <c r="BP107" s="56"/>
      <c r="BQ107" s="50"/>
      <c r="BR107" s="48"/>
      <c r="BS107" s="56"/>
      <c r="BT107" s="56"/>
      <c r="BU107" s="50"/>
      <c r="BV107" s="48"/>
      <c r="BW107" s="56"/>
      <c r="BX107" s="56"/>
      <c r="BY107" s="50"/>
      <c r="BZ107" s="48"/>
      <c r="CA107" s="49"/>
      <c r="CB107" s="49"/>
      <c r="CC107" s="50"/>
      <c r="CD107" s="48"/>
      <c r="CE107" s="49"/>
      <c r="CF107" s="49"/>
      <c r="CG107" s="50"/>
      <c r="CK107" s="12"/>
      <c r="CL107" s="15"/>
      <c r="CO107" s="12"/>
      <c r="CP107" s="15"/>
      <c r="CS107" s="12"/>
      <c r="CT107" s="15"/>
      <c r="CW107" s="12"/>
      <c r="CX107" s="15"/>
      <c r="DA107" s="12"/>
      <c r="DF107" s="15"/>
      <c r="DI107" s="12"/>
      <c r="DJ107" s="1"/>
      <c r="DK107" s="225"/>
      <c r="DL107" s="225"/>
      <c r="DM107" s="225"/>
      <c r="DN107" s="225"/>
      <c r="DO107" s="225"/>
      <c r="DP107" s="225"/>
      <c r="DQ107" s="225"/>
      <c r="DR107" s="225"/>
      <c r="DS107" s="10"/>
      <c r="DT107" s="225"/>
      <c r="DU107" s="10"/>
      <c r="DV107" s="225"/>
      <c r="DW107" s="1"/>
      <c r="EJ107" s="1"/>
      <c r="EK107" s="17"/>
      <c r="EL107" s="17"/>
      <c r="EM107" s="17"/>
      <c r="EN107" s="17"/>
      <c r="EO107" s="17"/>
      <c r="EP107" s="17"/>
      <c r="EQ107" s="17"/>
      <c r="ER107" s="17"/>
      <c r="ES107" s="17"/>
      <c r="EU107" s="17"/>
      <c r="EW107" s="1"/>
      <c r="EX107" s="225"/>
      <c r="EY107" s="225"/>
      <c r="EZ107" s="225"/>
      <c r="FA107" s="225"/>
      <c r="FB107" s="225"/>
      <c r="FC107" s="225"/>
      <c r="FD107" s="225"/>
      <c r="FE107" s="225"/>
      <c r="FF107" s="225"/>
      <c r="FG107" s="10"/>
      <c r="FH107" s="225"/>
      <c r="FI107" s="10"/>
      <c r="FJ107" s="1"/>
      <c r="FK107" s="225"/>
      <c r="FL107" s="225"/>
      <c r="FM107" s="191"/>
      <c r="FN107" s="191"/>
      <c r="FO107" s="225"/>
      <c r="FP107" s="225"/>
      <c r="FQ107" s="151"/>
      <c r="FR107" s="151"/>
      <c r="FS107" s="10"/>
      <c r="FT107" s="191"/>
      <c r="FU107" s="225"/>
      <c r="FV107" s="151"/>
    </row>
    <row r="108" spans="1:178" ht="16" thickBot="1" x14ac:dyDescent="0.25">
      <c r="A108" s="28" t="s">
        <v>134</v>
      </c>
      <c r="B108" s="13" t="s">
        <v>140</v>
      </c>
      <c r="C108" s="29"/>
      <c r="D108" s="18">
        <v>32</v>
      </c>
      <c r="E108" s="18">
        <v>27</v>
      </c>
      <c r="F108" s="163">
        <v>35</v>
      </c>
      <c r="G108" s="90">
        <v>31</v>
      </c>
      <c r="H108" s="245">
        <v>36</v>
      </c>
      <c r="I108" s="207">
        <v>34</v>
      </c>
      <c r="J108" s="17"/>
      <c r="K108" s="18"/>
      <c r="L108" s="18"/>
      <c r="M108" s="18"/>
      <c r="N108" s="18"/>
      <c r="O108" s="18"/>
      <c r="P108" s="29"/>
      <c r="Q108" s="48">
        <v>7226.14</v>
      </c>
      <c r="R108" s="49"/>
      <c r="S108" s="49">
        <v>7960.6299999999992</v>
      </c>
      <c r="T108" s="50">
        <f t="shared" si="6"/>
        <v>15186.77</v>
      </c>
      <c r="U108" s="48">
        <v>14160.52</v>
      </c>
      <c r="V108" s="49">
        <v>7298.27</v>
      </c>
      <c r="W108" s="49">
        <v>2141.04</v>
      </c>
      <c r="X108" s="50">
        <f t="shared" si="7"/>
        <v>23599.83</v>
      </c>
      <c r="Y108" s="48">
        <v>13928.55</v>
      </c>
      <c r="Z108" s="49">
        <v>3802.02</v>
      </c>
      <c r="AA108" s="49">
        <v>4050.9</v>
      </c>
      <c r="AB108" s="50">
        <f t="shared" si="8"/>
        <v>21781.47</v>
      </c>
      <c r="AC108" s="169">
        <v>98177.91</v>
      </c>
      <c r="AD108" s="170">
        <v>4277.32</v>
      </c>
      <c r="AE108" s="170">
        <v>1883.58</v>
      </c>
      <c r="AF108" s="151">
        <f t="shared" si="9"/>
        <v>104338.81000000001</v>
      </c>
      <c r="AG108" s="169">
        <v>14096.31</v>
      </c>
      <c r="AH108" s="170">
        <v>3843.83</v>
      </c>
      <c r="AI108" s="170">
        <v>3919.1800000000003</v>
      </c>
      <c r="AJ108" s="151">
        <f t="shared" si="10"/>
        <v>21859.32</v>
      </c>
      <c r="AK108" s="192">
        <v>58451.98</v>
      </c>
      <c r="AL108" s="192">
        <v>3222.86</v>
      </c>
      <c r="AM108" s="192">
        <v>3053.5200000000004</v>
      </c>
      <c r="AN108" s="151">
        <f t="shared" si="11"/>
        <v>64728.36</v>
      </c>
      <c r="AO108" s="191"/>
      <c r="AP108" s="192"/>
      <c r="AQ108" s="192"/>
      <c r="AR108" s="151"/>
      <c r="AS108" s="191"/>
      <c r="AT108" s="192"/>
      <c r="AU108" s="192"/>
      <c r="AV108" s="151"/>
      <c r="AW108" s="203"/>
      <c r="AX108" s="198"/>
      <c r="AY108" s="198"/>
      <c r="AZ108" s="151"/>
      <c r="BA108" s="191"/>
      <c r="BB108" s="192"/>
      <c r="BC108" s="192"/>
      <c r="BD108" s="151"/>
      <c r="BE108" s="191"/>
      <c r="BF108" s="192"/>
      <c r="BG108" s="192"/>
      <c r="BH108" s="151"/>
      <c r="BI108" s="191"/>
      <c r="BJ108" s="192"/>
      <c r="BK108" s="192"/>
      <c r="BL108" s="151"/>
      <c r="BM108" s="29"/>
      <c r="BN108" s="51"/>
      <c r="BO108" s="52"/>
      <c r="BP108" s="52"/>
      <c r="BQ108" s="53"/>
      <c r="BR108" s="51"/>
      <c r="BS108" s="52"/>
      <c r="BT108" s="52"/>
      <c r="BU108" s="53"/>
      <c r="BV108" s="51"/>
      <c r="BW108" s="52"/>
      <c r="BX108" s="52"/>
      <c r="BY108" s="53"/>
      <c r="BZ108" s="51"/>
      <c r="CA108" s="52"/>
      <c r="CB108" s="52"/>
      <c r="CC108" s="53"/>
      <c r="CD108" s="51"/>
      <c r="CE108" s="52"/>
      <c r="CF108" s="52"/>
      <c r="CG108" s="53"/>
      <c r="CK108" s="12"/>
      <c r="CL108" s="16"/>
      <c r="CM108" s="13"/>
      <c r="CN108" s="13"/>
      <c r="CO108" s="14"/>
      <c r="CP108" s="16"/>
      <c r="CQ108" s="13"/>
      <c r="CR108" s="13"/>
      <c r="CS108" s="14"/>
      <c r="CT108" s="16"/>
      <c r="CU108" s="13"/>
      <c r="CV108" s="13"/>
      <c r="CW108" s="14"/>
      <c r="CX108" s="16"/>
      <c r="CY108" s="13"/>
      <c r="CZ108" s="13"/>
      <c r="DA108" s="14"/>
      <c r="DB108" s="13"/>
      <c r="DC108" s="13"/>
      <c r="DD108" s="13"/>
      <c r="DE108" s="13"/>
      <c r="DF108" s="16"/>
      <c r="DG108" s="13"/>
      <c r="DH108" s="13"/>
      <c r="DI108" s="14"/>
      <c r="DJ108" s="29"/>
      <c r="DK108" s="225">
        <v>502.68</v>
      </c>
      <c r="DL108" s="225"/>
      <c r="DM108" s="225"/>
      <c r="DN108" s="225">
        <v>1078.79</v>
      </c>
      <c r="DO108" s="225"/>
      <c r="DP108" s="225">
        <v>183.64</v>
      </c>
      <c r="DQ108" s="225"/>
      <c r="DR108" s="225"/>
      <c r="DS108" s="10"/>
      <c r="DT108" s="225"/>
      <c r="DU108" s="10"/>
      <c r="DV108" s="225"/>
      <c r="DW108" s="29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29"/>
      <c r="EK108" s="18">
        <v>1</v>
      </c>
      <c r="EL108" s="18"/>
      <c r="EM108" s="18"/>
      <c r="EN108" s="18">
        <v>1</v>
      </c>
      <c r="EO108" s="18"/>
      <c r="EP108" s="18">
        <v>1</v>
      </c>
      <c r="EQ108" s="18"/>
      <c r="ER108" s="18"/>
      <c r="ES108" s="18"/>
      <c r="ET108" s="13"/>
      <c r="EU108" s="18"/>
      <c r="EV108" s="13"/>
      <c r="EW108" s="29"/>
      <c r="EX108" s="227">
        <v>502.68</v>
      </c>
      <c r="EY108" s="227"/>
      <c r="EZ108" s="227"/>
      <c r="FA108" s="227">
        <v>1078.79</v>
      </c>
      <c r="FB108" s="227"/>
      <c r="FC108" s="227">
        <v>183.64</v>
      </c>
      <c r="FD108" s="227"/>
      <c r="FE108" s="227"/>
      <c r="FF108" s="227"/>
      <c r="FG108" s="198"/>
      <c r="FH108" s="227"/>
      <c r="FI108" s="198"/>
      <c r="FJ108" s="29"/>
      <c r="FK108" s="227">
        <v>-28.7</v>
      </c>
      <c r="FL108" s="227"/>
      <c r="FM108" s="203"/>
      <c r="FN108" s="203"/>
      <c r="FO108" s="227"/>
      <c r="FP108" s="227"/>
      <c r="FQ108" s="152"/>
      <c r="FR108" s="152"/>
      <c r="FS108" s="10"/>
      <c r="FT108" s="203"/>
      <c r="FU108" s="227"/>
      <c r="FV108" s="152"/>
    </row>
    <row r="109" spans="1:178" ht="16" thickBot="1" x14ac:dyDescent="0.25">
      <c r="A109" s="27"/>
      <c r="C109" s="1"/>
      <c r="D109" s="17">
        <f>SUM(D4:D108)</f>
        <v>1850</v>
      </c>
      <c r="E109" s="17">
        <f t="shared" ref="E109:O109" si="12">SUM(E4:E108)</f>
        <v>1587</v>
      </c>
      <c r="F109" s="17">
        <f t="shared" si="12"/>
        <v>1964</v>
      </c>
      <c r="G109" s="17">
        <f t="shared" si="12"/>
        <v>1741</v>
      </c>
      <c r="H109" s="17">
        <f t="shared" si="12"/>
        <v>1848</v>
      </c>
      <c r="I109" s="186">
        <f t="shared" si="12"/>
        <v>1816</v>
      </c>
      <c r="J109" s="186">
        <f t="shared" si="12"/>
        <v>0</v>
      </c>
      <c r="K109" s="17">
        <f t="shared" si="12"/>
        <v>0</v>
      </c>
      <c r="L109" s="17">
        <f t="shared" si="12"/>
        <v>0</v>
      </c>
      <c r="M109" s="17">
        <f t="shared" si="12"/>
        <v>0</v>
      </c>
      <c r="N109" s="17">
        <f t="shared" si="12"/>
        <v>0</v>
      </c>
      <c r="O109" s="17">
        <f t="shared" si="12"/>
        <v>0</v>
      </c>
      <c r="P109" s="1"/>
      <c r="Q109" s="158">
        <f>SUM(Q4:Q108)</f>
        <v>1128803.9500000002</v>
      </c>
      <c r="R109" s="158">
        <f t="shared" ref="R109:AB109" si="13">SUM(R4:R108)</f>
        <v>296605.36</v>
      </c>
      <c r="S109" s="158">
        <f t="shared" si="13"/>
        <v>470387.50000000006</v>
      </c>
      <c r="T109" s="158">
        <f t="shared" si="13"/>
        <v>1895796.81</v>
      </c>
      <c r="U109" s="158">
        <f t="shared" si="13"/>
        <v>815631.36000000022</v>
      </c>
      <c r="V109" s="158">
        <f t="shared" si="13"/>
        <v>390552.93000000005</v>
      </c>
      <c r="W109" s="158">
        <f t="shared" si="13"/>
        <v>500453.23000000004</v>
      </c>
      <c r="X109" s="158">
        <f t="shared" si="13"/>
        <v>1706637.52</v>
      </c>
      <c r="Y109" s="158">
        <f t="shared" si="13"/>
        <v>1443576.1999999997</v>
      </c>
      <c r="Z109" s="158">
        <f t="shared" si="13"/>
        <v>405954.78999999986</v>
      </c>
      <c r="AA109" s="158">
        <f t="shared" si="13"/>
        <v>652240.98999999987</v>
      </c>
      <c r="AB109" s="158">
        <f t="shared" si="13"/>
        <v>2501771.9799999991</v>
      </c>
      <c r="AC109" s="175">
        <f>SUM(AC4:AC108)</f>
        <v>915341.69000000029</v>
      </c>
      <c r="AD109" s="175">
        <f t="shared" ref="AD109:AE109" si="14">SUM(AD4:AD108)</f>
        <v>783312.87</v>
      </c>
      <c r="AE109" s="175">
        <f t="shared" si="14"/>
        <v>619775.85999999987</v>
      </c>
      <c r="AF109" s="172">
        <f t="shared" ref="AF109" si="15">SUM(AC109:AE109)</f>
        <v>2318430.42</v>
      </c>
      <c r="AG109" s="171">
        <f>SUM(AG4:AG108)</f>
        <v>723280.14</v>
      </c>
      <c r="AH109" s="188">
        <f t="shared" ref="AH109:AI109" si="16">SUM(AH4:AH108)</f>
        <v>434897.35</v>
      </c>
      <c r="AI109" s="188">
        <f t="shared" si="16"/>
        <v>878177.56</v>
      </c>
      <c r="AJ109" s="172">
        <f t="shared" ref="AJ109" si="17">SUM(AG109:AI109)</f>
        <v>2036355.05</v>
      </c>
      <c r="AK109" s="201">
        <f>SUM(AK4:AK108)</f>
        <v>680180.68000000017</v>
      </c>
      <c r="AL109" s="200">
        <f t="shared" ref="AL109:AM109" si="18">SUM(AL4:AL108)</f>
        <v>285935.09000000003</v>
      </c>
      <c r="AM109" s="200">
        <f t="shared" si="18"/>
        <v>911337.56999999983</v>
      </c>
      <c r="AN109" s="208">
        <f t="shared" ref="AN109" si="19">SUM(AK109:AM109)</f>
        <v>1877453.34</v>
      </c>
      <c r="AO109" s="209">
        <f>SUM(AO4:AO108)</f>
        <v>0</v>
      </c>
      <c r="AP109" s="208">
        <f t="shared" ref="AP109:AQ109" si="20">SUM(AP4:AP108)</f>
        <v>0</v>
      </c>
      <c r="AQ109" s="172">
        <f t="shared" si="20"/>
        <v>0</v>
      </c>
      <c r="AR109" s="208">
        <f t="shared" ref="AR109" si="21">SUM(AO109:AQ109)</f>
        <v>0</v>
      </c>
      <c r="AS109" s="209">
        <f>SUM(AS4:AS108)</f>
        <v>0</v>
      </c>
      <c r="AT109" s="208">
        <f t="shared" ref="AT109:AU109" si="22">SUM(AT4:AT108)</f>
        <v>0</v>
      </c>
      <c r="AU109" s="172">
        <f t="shared" si="22"/>
        <v>0</v>
      </c>
      <c r="AV109" s="172">
        <f t="shared" ref="AV109" si="23">SUM(AS109:AU109)</f>
        <v>0</v>
      </c>
      <c r="AW109" s="209">
        <f>SUM(AW4:AW108)</f>
        <v>0</v>
      </c>
      <c r="AX109" s="208">
        <f t="shared" ref="AX109" si="24">SUM(AX4:AX108)</f>
        <v>0</v>
      </c>
      <c r="AY109" s="208">
        <f t="shared" ref="AY109" si="25">SUM(AY4:AY108)</f>
        <v>0</v>
      </c>
      <c r="AZ109" s="209">
        <f t="shared" ref="AZ109" si="26">SUM(AW109:AY109)</f>
        <v>0</v>
      </c>
      <c r="BA109" s="201">
        <f>SUM(BA4:BA108)</f>
        <v>0</v>
      </c>
      <c r="BB109" s="200">
        <f t="shared" ref="BB109:BC109" si="27">SUM(BB4:BB108)</f>
        <v>0</v>
      </c>
      <c r="BC109" s="218">
        <f t="shared" si="27"/>
        <v>0</v>
      </c>
      <c r="BD109" s="172">
        <f t="shared" ref="BD109" si="28">BA109+BB109+BC109</f>
        <v>0</v>
      </c>
      <c r="BE109" s="201">
        <f>SUM(BE4:BE108)</f>
        <v>0</v>
      </c>
      <c r="BF109" s="201">
        <f t="shared" ref="BF109:BG109" si="29">SUM(BF4:BF108)</f>
        <v>0</v>
      </c>
      <c r="BG109" s="201">
        <f t="shared" si="29"/>
        <v>0</v>
      </c>
      <c r="BH109" s="172">
        <f t="shared" ref="BH109" si="30">BE109+BF109+BG109</f>
        <v>0</v>
      </c>
      <c r="BI109" s="201">
        <f>SUM(BI4:BI108)</f>
        <v>0</v>
      </c>
      <c r="BJ109" s="201">
        <f t="shared" ref="BJ109:BK109" si="31">SUM(BJ4:BJ108)</f>
        <v>0</v>
      </c>
      <c r="BK109" s="201">
        <f t="shared" si="31"/>
        <v>0</v>
      </c>
      <c r="BL109" s="172">
        <f t="shared" ref="BL109" si="32">BI109+BJ109+BK109</f>
        <v>0</v>
      </c>
      <c r="BM109" s="1"/>
      <c r="BN109" s="48"/>
      <c r="BO109" s="49"/>
      <c r="BP109" s="49"/>
      <c r="BQ109" s="50"/>
      <c r="BR109" s="48"/>
      <c r="BS109" s="49"/>
      <c r="BT109" s="49"/>
      <c r="BU109" s="50"/>
      <c r="BV109" s="48"/>
      <c r="BW109" s="49"/>
      <c r="BX109" s="49"/>
      <c r="BY109" s="50"/>
      <c r="BZ109" s="48"/>
      <c r="CA109" s="49"/>
      <c r="CB109" s="49"/>
      <c r="CC109" s="50"/>
      <c r="CD109" s="48"/>
      <c r="CE109" s="49"/>
      <c r="CF109" s="49"/>
      <c r="CG109" s="50"/>
      <c r="CH109" s="185"/>
      <c r="CI109" s="62"/>
      <c r="CJ109" s="62"/>
      <c r="CK109" s="190"/>
      <c r="CL109" s="15"/>
      <c r="CO109" s="12"/>
      <c r="CP109" s="15"/>
      <c r="CS109" s="12"/>
      <c r="CT109" s="15"/>
      <c r="CW109" s="12"/>
      <c r="CX109" s="15"/>
      <c r="DA109" s="12"/>
      <c r="DF109" s="15"/>
      <c r="DI109" s="12"/>
      <c r="DJ109" s="1"/>
      <c r="DK109" s="178">
        <f>SUM(DK4:DK108)</f>
        <v>135999.33000000002</v>
      </c>
      <c r="DL109" s="178">
        <f t="shared" ref="DL109:DR109" si="33">SUM(DL4:DL108)</f>
        <v>17727.159999999996</v>
      </c>
      <c r="DM109" s="178">
        <f t="shared" si="33"/>
        <v>21878.63</v>
      </c>
      <c r="DN109" s="178">
        <f t="shared" si="33"/>
        <v>35008.020000000004</v>
      </c>
      <c r="DO109" s="178">
        <f t="shared" si="33"/>
        <v>38947.78</v>
      </c>
      <c r="DP109" s="178">
        <f t="shared" si="33"/>
        <v>70265.029999999984</v>
      </c>
      <c r="DQ109" s="178">
        <f t="shared" si="33"/>
        <v>0</v>
      </c>
      <c r="DR109" s="178">
        <f t="shared" si="33"/>
        <v>0</v>
      </c>
      <c r="DS109" s="178">
        <f>SUM(DS4:DS108)</f>
        <v>0</v>
      </c>
      <c r="DT109" s="178">
        <f t="shared" ref="DT109" si="34">SUM(DT4:DT108)</f>
        <v>0</v>
      </c>
      <c r="DU109" s="178">
        <f t="shared" ref="DU109" si="35">SUM(DU4:DU108)</f>
        <v>0</v>
      </c>
      <c r="DV109" s="178">
        <f t="shared" ref="DV109" si="36">SUM(DV4:DV108)</f>
        <v>0</v>
      </c>
      <c r="DW109" s="1"/>
      <c r="EJ109" s="1"/>
      <c r="EK109" s="17">
        <f>SUM(EK4:EK108)</f>
        <v>46</v>
      </c>
      <c r="EL109" s="17">
        <f t="shared" ref="EL109:EV109" si="37">SUM(EL4:EL108)</f>
        <v>25</v>
      </c>
      <c r="EM109" s="17">
        <f t="shared" si="37"/>
        <v>34</v>
      </c>
      <c r="EN109" s="17">
        <f t="shared" si="37"/>
        <v>30</v>
      </c>
      <c r="EO109" s="17">
        <f t="shared" si="37"/>
        <v>36</v>
      </c>
      <c r="EP109" s="17">
        <f t="shared" si="37"/>
        <v>40</v>
      </c>
      <c r="EQ109" s="17">
        <f t="shared" si="37"/>
        <v>0</v>
      </c>
      <c r="ER109" s="17">
        <f t="shared" si="37"/>
        <v>0</v>
      </c>
      <c r="ES109" s="17">
        <f t="shared" si="37"/>
        <v>0</v>
      </c>
      <c r="ET109" s="17">
        <f t="shared" si="37"/>
        <v>0</v>
      </c>
      <c r="EU109" s="17">
        <f t="shared" si="37"/>
        <v>0</v>
      </c>
      <c r="EV109" s="17">
        <f t="shared" si="37"/>
        <v>0</v>
      </c>
      <c r="EW109" s="1"/>
      <c r="EX109" s="225">
        <f>SUM(EX4:EX108)</f>
        <v>135973.6</v>
      </c>
      <c r="EY109" s="225">
        <f t="shared" ref="EY109:FI109" si="38">SUM(EY4:EY108)</f>
        <v>17713.269999999997</v>
      </c>
      <c r="EZ109" s="225">
        <f t="shared" si="38"/>
        <v>21869.63</v>
      </c>
      <c r="FA109" s="225">
        <f t="shared" si="38"/>
        <v>35008.020000000004</v>
      </c>
      <c r="FB109" s="225">
        <f t="shared" si="38"/>
        <v>38935.959999999992</v>
      </c>
      <c r="FC109" s="225">
        <f t="shared" si="38"/>
        <v>70265.029999999984</v>
      </c>
      <c r="FD109" s="225">
        <f t="shared" si="38"/>
        <v>0</v>
      </c>
      <c r="FE109" s="225">
        <f t="shared" si="38"/>
        <v>0</v>
      </c>
      <c r="FF109" s="225">
        <f t="shared" si="38"/>
        <v>0</v>
      </c>
      <c r="FG109" s="225">
        <f t="shared" si="38"/>
        <v>0</v>
      </c>
      <c r="FH109" s="225">
        <f t="shared" si="38"/>
        <v>0</v>
      </c>
      <c r="FI109" s="225">
        <f t="shared" si="38"/>
        <v>0</v>
      </c>
      <c r="FJ109" s="212"/>
      <c r="FK109" s="225">
        <f t="shared" ref="FK109" si="39">SUM(FK4:FK108)</f>
        <v>-4917.5899999999992</v>
      </c>
      <c r="FL109" s="225">
        <f t="shared" ref="FL109" si="40">SUM(FL4:FL108)</f>
        <v>-2710.9</v>
      </c>
      <c r="FM109" s="225">
        <f t="shared" ref="FM109" si="41">SUM(FM4:FM108)</f>
        <v>-2742.9</v>
      </c>
      <c r="FN109" s="225">
        <f t="shared" ref="FN109" si="42">SUM(FN4:FN108)</f>
        <v>-2320.8500000000004</v>
      </c>
      <c r="FO109" s="225">
        <f t="shared" ref="FO109" si="43">SUM(FO4:FO108)</f>
        <v>-1801.06</v>
      </c>
      <c r="FP109" s="225">
        <f t="shared" ref="FP109" si="44">SUM(FP4:FP108)</f>
        <v>-2600.2399999999998</v>
      </c>
      <c r="FQ109" s="225">
        <f t="shared" ref="FQ109" si="45">SUM(FQ4:FQ108)</f>
        <v>0</v>
      </c>
      <c r="FR109" s="225">
        <f t="shared" ref="FR109" si="46">SUM(FR4:FR108)</f>
        <v>0</v>
      </c>
      <c r="FS109" s="178">
        <f t="shared" ref="FS109" si="47">SUM(FS4:FS108)</f>
        <v>0</v>
      </c>
      <c r="FT109" s="225">
        <f t="shared" ref="FT109" si="48">SUM(FT4:FT108)</f>
        <v>0</v>
      </c>
      <c r="FU109" s="225">
        <f t="shared" ref="FU109" si="49">SUM(FU4:FU108)</f>
        <v>0</v>
      </c>
      <c r="FV109" s="225">
        <f t="shared" ref="FV109" si="50">SUM(FV4:FV108)</f>
        <v>0</v>
      </c>
    </row>
    <row r="110" spans="1:178" ht="16" thickBot="1" x14ac:dyDescent="0.25">
      <c r="A110" s="20" t="s">
        <v>31</v>
      </c>
      <c r="B110" s="21" t="s">
        <v>142</v>
      </c>
      <c r="C110" s="22"/>
      <c r="D110" s="23"/>
      <c r="E110" s="23"/>
      <c r="F110" s="155"/>
      <c r="G110" s="92"/>
      <c r="H110" s="93"/>
      <c r="I110" s="88"/>
      <c r="J110" s="17"/>
      <c r="K110" s="23"/>
      <c r="L110" s="23"/>
      <c r="M110" s="23"/>
      <c r="N110" s="23"/>
      <c r="O110" s="23"/>
      <c r="P110" s="22"/>
      <c r="Q110" s="48"/>
      <c r="R110" s="49"/>
      <c r="S110" s="49"/>
      <c r="T110" s="50">
        <f>SUM(Q110:S110)</f>
        <v>0</v>
      </c>
      <c r="U110" s="48"/>
      <c r="V110" s="49"/>
      <c r="W110" s="49"/>
      <c r="X110" s="50">
        <f>SUM(U110:W110)</f>
        <v>0</v>
      </c>
      <c r="Y110" s="48"/>
      <c r="Z110" s="49"/>
      <c r="AA110" s="49"/>
      <c r="AB110" s="50">
        <f>Y110+Z110+AA110</f>
        <v>0</v>
      </c>
      <c r="AC110" s="167"/>
      <c r="AD110" s="166"/>
      <c r="AE110" s="166"/>
      <c r="AF110" s="151">
        <f>AC110+AD110+AE110</f>
        <v>0</v>
      </c>
      <c r="AG110" s="166"/>
      <c r="AH110" s="166"/>
      <c r="AI110" s="166"/>
      <c r="AJ110" s="151">
        <f>AG110+AH110+AI110</f>
        <v>0</v>
      </c>
      <c r="AK110" s="192"/>
      <c r="AL110" s="192"/>
      <c r="AM110" s="192"/>
      <c r="AN110" s="151">
        <f>AK110+AL110+AM110</f>
        <v>0</v>
      </c>
      <c r="AO110" s="191"/>
      <c r="AP110" s="192"/>
      <c r="AQ110" s="192"/>
      <c r="AR110" s="151"/>
      <c r="AS110" s="191"/>
      <c r="AT110" s="192"/>
      <c r="AU110" s="192"/>
      <c r="AV110" s="151"/>
      <c r="AW110" s="191"/>
      <c r="AX110" s="192"/>
      <c r="AY110" s="192"/>
      <c r="AZ110" s="151"/>
      <c r="BA110" s="191"/>
      <c r="BB110" s="192"/>
      <c r="BC110" s="192"/>
      <c r="BD110" s="151"/>
      <c r="BE110" s="191"/>
      <c r="BF110" s="192"/>
      <c r="BG110" s="192"/>
      <c r="BH110" s="151"/>
      <c r="BI110" s="191"/>
      <c r="BJ110" s="192"/>
      <c r="BK110" s="192"/>
      <c r="BL110" s="151"/>
      <c r="BM110" s="22"/>
      <c r="BN110" s="54"/>
      <c r="BO110" s="55"/>
      <c r="BP110" s="55"/>
      <c r="BQ110" s="57"/>
      <c r="BR110" s="54"/>
      <c r="BS110" s="55"/>
      <c r="BT110" s="55"/>
      <c r="BU110" s="57"/>
      <c r="BV110" s="54"/>
      <c r="BW110" s="55"/>
      <c r="BX110" s="55"/>
      <c r="BY110" s="57"/>
      <c r="BZ110" s="54"/>
      <c r="CA110" s="55"/>
      <c r="CB110" s="55"/>
      <c r="CC110" s="57"/>
      <c r="CD110" s="54"/>
      <c r="CE110" s="55"/>
      <c r="CF110" s="55"/>
      <c r="CG110" s="57"/>
      <c r="CK110" s="12"/>
      <c r="CL110" s="24"/>
      <c r="CM110" s="21"/>
      <c r="CN110" s="21"/>
      <c r="CO110" s="25"/>
      <c r="CP110" s="24"/>
      <c r="CQ110" s="21"/>
      <c r="CR110" s="21"/>
      <c r="CS110" s="25"/>
      <c r="CT110" s="24"/>
      <c r="CU110" s="21"/>
      <c r="CV110" s="21"/>
      <c r="CW110" s="25"/>
      <c r="CX110" s="24"/>
      <c r="CY110" s="21"/>
      <c r="CZ110" s="21"/>
      <c r="DA110" s="25"/>
      <c r="DB110" s="21"/>
      <c r="DC110" s="21"/>
      <c r="DD110" s="21"/>
      <c r="DE110" s="21"/>
      <c r="DF110" s="24"/>
      <c r="DG110" s="21"/>
      <c r="DH110" s="21"/>
      <c r="DI110" s="25"/>
      <c r="DJ110" s="22"/>
      <c r="DK110" s="228"/>
      <c r="DL110" s="229"/>
      <c r="DM110" s="228"/>
      <c r="DN110" s="229"/>
      <c r="DO110" s="228"/>
      <c r="DP110" s="229"/>
      <c r="DQ110" s="228"/>
      <c r="DR110" s="228"/>
      <c r="DS110" s="229"/>
      <c r="DT110" s="228"/>
      <c r="DU110" s="228"/>
      <c r="DV110" s="228"/>
      <c r="DW110" s="22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2"/>
      <c r="EK110" s="23"/>
      <c r="EL110" s="26"/>
      <c r="EM110" s="23"/>
      <c r="EN110" s="26"/>
      <c r="EO110" s="23"/>
      <c r="EP110" s="26"/>
      <c r="EQ110" s="23"/>
      <c r="ER110" s="23"/>
      <c r="ES110" s="26"/>
      <c r="ET110" s="21"/>
      <c r="EU110" s="23"/>
      <c r="EV110" s="21"/>
      <c r="EW110" s="22"/>
      <c r="EX110" s="228"/>
      <c r="EY110" s="229"/>
      <c r="EZ110" s="228"/>
      <c r="FA110" s="229"/>
      <c r="FB110" s="228"/>
      <c r="FC110" s="229"/>
      <c r="FD110" s="228"/>
      <c r="FE110" s="228"/>
      <c r="FF110" s="229"/>
      <c r="FG110" s="199"/>
      <c r="FH110" s="228"/>
      <c r="FI110" s="199"/>
      <c r="FJ110" s="22"/>
      <c r="FK110" s="228"/>
      <c r="FL110" s="229"/>
      <c r="FM110" s="228"/>
      <c r="FN110" s="228"/>
      <c r="FO110" s="228"/>
      <c r="FP110" s="228"/>
      <c r="FQ110" s="228"/>
      <c r="FR110" s="228"/>
      <c r="FS110" s="228"/>
      <c r="FT110" s="202"/>
      <c r="FU110" s="228"/>
      <c r="FV110" s="236"/>
    </row>
    <row r="111" spans="1:178" ht="16" thickBot="1" x14ac:dyDescent="0.25">
      <c r="A111" s="27" t="s">
        <v>32</v>
      </c>
      <c r="B111" t="s">
        <v>142</v>
      </c>
      <c r="C111" s="1"/>
      <c r="D111" s="17"/>
      <c r="E111" s="17"/>
      <c r="F111" s="156"/>
      <c r="G111" s="89"/>
      <c r="H111" s="88"/>
      <c r="I111" s="88"/>
      <c r="J111" s="17"/>
      <c r="K111" s="17"/>
      <c r="L111" s="17"/>
      <c r="M111" s="17"/>
      <c r="N111" s="17"/>
      <c r="O111" s="17"/>
      <c r="P111" s="1"/>
      <c r="Q111" s="48"/>
      <c r="R111" s="49"/>
      <c r="S111" s="49"/>
      <c r="T111" s="50">
        <f t="shared" ref="T111:T174" si="51">SUM(Q111:S111)</f>
        <v>0</v>
      </c>
      <c r="U111" s="48"/>
      <c r="V111" s="49"/>
      <c r="W111" s="49"/>
      <c r="X111" s="50">
        <f t="shared" ref="X111:X174" si="52">SUM(U111:W111)</f>
        <v>0</v>
      </c>
      <c r="Y111" s="48"/>
      <c r="Z111" s="49"/>
      <c r="AA111" s="49"/>
      <c r="AB111" s="50">
        <f t="shared" ref="AB111:AB174" si="53">Y111+Z111+AA111</f>
        <v>0</v>
      </c>
      <c r="AC111" s="167"/>
      <c r="AD111" s="166"/>
      <c r="AE111" s="166"/>
      <c r="AF111" s="151">
        <f t="shared" ref="AF111:AF174" si="54">AC111+AD111+AE111</f>
        <v>0</v>
      </c>
      <c r="AG111" s="166"/>
      <c r="AH111" s="166"/>
      <c r="AI111" s="166"/>
      <c r="AJ111" s="151">
        <f t="shared" ref="AJ111:AJ174" si="55">AG111+AH111+AI111</f>
        <v>0</v>
      </c>
      <c r="AK111" s="192"/>
      <c r="AL111" s="10"/>
      <c r="AM111" s="10"/>
      <c r="AN111" s="151">
        <f t="shared" ref="AN111:AN174" si="56">AK111+AL111+AM111</f>
        <v>0</v>
      </c>
      <c r="AO111" s="191"/>
      <c r="AP111" s="10"/>
      <c r="AQ111" s="10"/>
      <c r="AR111" s="151"/>
      <c r="AS111" s="191"/>
      <c r="AT111" s="10"/>
      <c r="AU111" s="10"/>
      <c r="AV111" s="151"/>
      <c r="AW111" s="191"/>
      <c r="AX111" s="10"/>
      <c r="AY111" s="10"/>
      <c r="AZ111" s="151"/>
      <c r="BA111" s="191"/>
      <c r="BB111" s="10"/>
      <c r="BC111" s="10"/>
      <c r="BD111" s="151"/>
      <c r="BE111" s="191"/>
      <c r="BF111" s="10"/>
      <c r="BG111" s="10"/>
      <c r="BH111" s="151"/>
      <c r="BI111" s="191"/>
      <c r="BJ111" s="10"/>
      <c r="BK111" s="10"/>
      <c r="BL111" s="151"/>
      <c r="BM111" s="1"/>
      <c r="BN111" s="48"/>
      <c r="BO111" s="56"/>
      <c r="BP111" s="56"/>
      <c r="BQ111" s="50"/>
      <c r="BR111" s="48"/>
      <c r="BS111" s="56"/>
      <c r="BT111" s="56"/>
      <c r="BU111" s="50"/>
      <c r="BV111" s="48"/>
      <c r="BW111" s="56"/>
      <c r="BX111" s="56"/>
      <c r="BY111" s="50"/>
      <c r="BZ111" s="48"/>
      <c r="CA111" s="49"/>
      <c r="CB111" s="49"/>
      <c r="CC111" s="50"/>
      <c r="CD111" s="48"/>
      <c r="CE111" s="49"/>
      <c r="CF111" s="49"/>
      <c r="CG111" s="50"/>
      <c r="CK111" s="12"/>
      <c r="CL111" s="15"/>
      <c r="CO111" s="12"/>
      <c r="CP111" s="15"/>
      <c r="CS111" s="12"/>
      <c r="CT111" s="15"/>
      <c r="CW111" s="12"/>
      <c r="CX111" s="15"/>
      <c r="DA111" s="12"/>
      <c r="DF111" s="15"/>
      <c r="DI111" s="12"/>
      <c r="DJ111" s="1"/>
      <c r="DK111" s="225"/>
      <c r="DL111" s="225"/>
      <c r="DM111" s="225"/>
      <c r="DN111" s="225"/>
      <c r="DO111" s="225"/>
      <c r="DP111" s="225"/>
      <c r="DQ111" s="225"/>
      <c r="DR111" s="225"/>
      <c r="DS111" s="225"/>
      <c r="DT111" s="225"/>
      <c r="DU111" s="225"/>
      <c r="DV111" s="225"/>
      <c r="DW111" s="1"/>
      <c r="EJ111" s="1"/>
      <c r="EK111" s="17"/>
      <c r="EL111" s="17"/>
      <c r="EM111" s="17"/>
      <c r="EN111" s="17"/>
      <c r="EO111" s="17"/>
      <c r="EP111" s="17"/>
      <c r="EQ111" s="17"/>
      <c r="ER111" s="17"/>
      <c r="ES111" s="17"/>
      <c r="EU111" s="17"/>
      <c r="EW111" s="1"/>
      <c r="EX111" s="225"/>
      <c r="EY111" s="225"/>
      <c r="EZ111" s="225"/>
      <c r="FA111" s="225"/>
      <c r="FB111" s="225"/>
      <c r="FC111" s="225"/>
      <c r="FD111" s="225"/>
      <c r="FE111" s="225"/>
      <c r="FF111" s="225"/>
      <c r="FG111" s="10"/>
      <c r="FH111" s="225"/>
      <c r="FI111" s="10"/>
      <c r="FJ111" s="1"/>
      <c r="FK111" s="225"/>
      <c r="FL111" s="225"/>
      <c r="FM111" s="225"/>
      <c r="FN111" s="225"/>
      <c r="FO111" s="225"/>
      <c r="FP111" s="225"/>
      <c r="FQ111" s="225"/>
      <c r="FR111" s="225"/>
      <c r="FS111" s="225"/>
      <c r="FT111" s="191"/>
      <c r="FU111" s="225"/>
      <c r="FV111" s="151"/>
    </row>
    <row r="112" spans="1:178" ht="16" thickBot="1" x14ac:dyDescent="0.25">
      <c r="A112" s="27" t="s">
        <v>33</v>
      </c>
      <c r="B112" t="s">
        <v>142</v>
      </c>
      <c r="C112" s="1"/>
      <c r="D112" s="17">
        <v>2</v>
      </c>
      <c r="E112" s="17">
        <v>1</v>
      </c>
      <c r="F112" s="156">
        <v>2</v>
      </c>
      <c r="G112" s="87">
        <v>1</v>
      </c>
      <c r="H112" s="87">
        <v>1</v>
      </c>
      <c r="I112" s="87"/>
      <c r="J112" s="17"/>
      <c r="K112" s="17"/>
      <c r="L112" s="17"/>
      <c r="M112" s="17"/>
      <c r="N112" s="17"/>
      <c r="O112" s="17"/>
      <c r="P112" s="1"/>
      <c r="Q112" s="48">
        <v>48.51</v>
      </c>
      <c r="R112" s="49"/>
      <c r="S112" s="49"/>
      <c r="T112" s="50">
        <f t="shared" si="51"/>
        <v>48.51</v>
      </c>
      <c r="U112" s="48"/>
      <c r="V112" s="49">
        <v>59.6</v>
      </c>
      <c r="W112" s="49"/>
      <c r="X112" s="50">
        <f t="shared" si="52"/>
        <v>59.6</v>
      </c>
      <c r="Y112" s="48">
        <v>25</v>
      </c>
      <c r="Z112" s="49"/>
      <c r="AA112" s="49">
        <v>92.33</v>
      </c>
      <c r="AB112" s="50">
        <f t="shared" si="53"/>
        <v>117.33</v>
      </c>
      <c r="AC112" s="164"/>
      <c r="AD112" s="166"/>
      <c r="AE112" s="165">
        <v>125.31</v>
      </c>
      <c r="AF112" s="151">
        <f t="shared" si="54"/>
        <v>125.31</v>
      </c>
      <c r="AG112" s="166"/>
      <c r="AH112" s="166"/>
      <c r="AI112" s="165">
        <v>157.02000000000001</v>
      </c>
      <c r="AJ112" s="151">
        <f t="shared" si="55"/>
        <v>157.02000000000001</v>
      </c>
      <c r="AK112" s="192"/>
      <c r="AL112" s="10"/>
      <c r="AM112" s="10"/>
      <c r="AN112" s="151">
        <f t="shared" si="56"/>
        <v>0</v>
      </c>
      <c r="AO112" s="191"/>
      <c r="AP112" s="10"/>
      <c r="AQ112" s="10"/>
      <c r="AR112" s="151"/>
      <c r="AS112" s="191"/>
      <c r="AT112" s="10"/>
      <c r="AU112" s="10"/>
      <c r="AV112" s="151"/>
      <c r="AW112" s="191"/>
      <c r="AX112" s="10"/>
      <c r="AY112" s="10"/>
      <c r="AZ112" s="151"/>
      <c r="BA112" s="191"/>
      <c r="BB112" s="10"/>
      <c r="BC112" s="10"/>
      <c r="BD112" s="151"/>
      <c r="BE112" s="191"/>
      <c r="BF112" s="10"/>
      <c r="BG112" s="10"/>
      <c r="BH112" s="151"/>
      <c r="BI112" s="191"/>
      <c r="BJ112" s="10"/>
      <c r="BK112" s="10"/>
      <c r="BL112" s="151"/>
      <c r="BM112" s="1"/>
      <c r="BN112" s="48"/>
      <c r="BO112" s="56"/>
      <c r="BP112" s="56"/>
      <c r="BQ112" s="50"/>
      <c r="BR112" s="48"/>
      <c r="BS112" s="56"/>
      <c r="BT112" s="56"/>
      <c r="BU112" s="50"/>
      <c r="BV112" s="48"/>
      <c r="BW112" s="56"/>
      <c r="BX112" s="56"/>
      <c r="BY112" s="50"/>
      <c r="BZ112" s="48"/>
      <c r="CA112" s="49"/>
      <c r="CB112" s="49"/>
      <c r="CC112" s="50"/>
      <c r="CD112" s="48"/>
      <c r="CE112" s="49"/>
      <c r="CF112" s="49"/>
      <c r="CG112" s="50"/>
      <c r="CK112" s="12"/>
      <c r="CL112" s="15"/>
      <c r="CO112" s="12"/>
      <c r="CP112" s="15"/>
      <c r="CS112" s="12"/>
      <c r="CT112" s="15"/>
      <c r="CW112" s="12"/>
      <c r="CX112" s="15"/>
      <c r="DA112" s="12"/>
      <c r="DF112" s="15"/>
      <c r="DI112" s="12"/>
      <c r="DJ112" s="1"/>
      <c r="DK112" s="225"/>
      <c r="DL112" s="225"/>
      <c r="DM112" s="225"/>
      <c r="DN112" s="225"/>
      <c r="DO112" s="225"/>
      <c r="DP112" s="225"/>
      <c r="DQ112" s="225"/>
      <c r="DR112" s="225"/>
      <c r="DS112" s="225"/>
      <c r="DT112" s="225"/>
      <c r="DU112" s="225"/>
      <c r="DV112" s="225"/>
      <c r="DW112" s="1"/>
      <c r="EJ112" s="1"/>
      <c r="EK112" s="17"/>
      <c r="EL112" s="17"/>
      <c r="EM112" s="17"/>
      <c r="EN112" s="17"/>
      <c r="EO112" s="17"/>
      <c r="EP112" s="17"/>
      <c r="EQ112" s="17"/>
      <c r="ER112" s="17"/>
      <c r="ES112" s="17"/>
      <c r="EU112" s="17"/>
      <c r="EW112" s="1"/>
      <c r="EX112" s="225"/>
      <c r="EY112" s="225"/>
      <c r="EZ112" s="225"/>
      <c r="FA112" s="225"/>
      <c r="FB112" s="225"/>
      <c r="FC112" s="225"/>
      <c r="FD112" s="225"/>
      <c r="FE112" s="225"/>
      <c r="FF112" s="225"/>
      <c r="FG112" s="10"/>
      <c r="FH112" s="225"/>
      <c r="FI112" s="10"/>
      <c r="FJ112" s="1"/>
      <c r="FK112" s="225"/>
      <c r="FL112" s="225"/>
      <c r="FM112" s="225"/>
      <c r="FN112" s="225"/>
      <c r="FO112" s="225"/>
      <c r="FP112" s="225"/>
      <c r="FQ112" s="225"/>
      <c r="FR112" s="225"/>
      <c r="FS112" s="225"/>
      <c r="FT112" s="191"/>
      <c r="FU112" s="225"/>
      <c r="FV112" s="151"/>
    </row>
    <row r="113" spans="1:178" ht="16" thickBot="1" x14ac:dyDescent="0.25">
      <c r="A113" s="27" t="s">
        <v>34</v>
      </c>
      <c r="B113" t="s">
        <v>142</v>
      </c>
      <c r="C113" s="1"/>
      <c r="D113" s="17"/>
      <c r="E113" s="17"/>
      <c r="F113" s="156"/>
      <c r="G113" s="89"/>
      <c r="H113" s="88"/>
      <c r="I113" s="88"/>
      <c r="J113" s="17"/>
      <c r="K113" s="17"/>
      <c r="L113" s="17"/>
      <c r="M113" s="17"/>
      <c r="N113" s="17"/>
      <c r="O113" s="17"/>
      <c r="P113" s="1"/>
      <c r="Q113" s="48"/>
      <c r="R113" s="49"/>
      <c r="S113" s="49"/>
      <c r="T113" s="50">
        <f t="shared" si="51"/>
        <v>0</v>
      </c>
      <c r="U113" s="48"/>
      <c r="V113" s="49"/>
      <c r="W113" s="49"/>
      <c r="X113" s="50">
        <f t="shared" si="52"/>
        <v>0</v>
      </c>
      <c r="Y113" s="48"/>
      <c r="Z113" s="49"/>
      <c r="AA113" s="49"/>
      <c r="AB113" s="50">
        <f t="shared" si="53"/>
        <v>0</v>
      </c>
      <c r="AC113" s="167"/>
      <c r="AD113" s="166"/>
      <c r="AE113" s="166"/>
      <c r="AF113" s="151">
        <f t="shared" si="54"/>
        <v>0</v>
      </c>
      <c r="AG113" s="166"/>
      <c r="AH113" s="166"/>
      <c r="AI113" s="166"/>
      <c r="AJ113" s="151">
        <f t="shared" si="55"/>
        <v>0</v>
      </c>
      <c r="AK113" s="192"/>
      <c r="AL113" s="10"/>
      <c r="AM113" s="10"/>
      <c r="AN113" s="151">
        <f t="shared" si="56"/>
        <v>0</v>
      </c>
      <c r="AO113" s="191"/>
      <c r="AP113" s="10"/>
      <c r="AQ113" s="10"/>
      <c r="AR113" s="151"/>
      <c r="AS113" s="191"/>
      <c r="AT113" s="10"/>
      <c r="AU113" s="10"/>
      <c r="AV113" s="151"/>
      <c r="AW113" s="191"/>
      <c r="AX113" s="10"/>
      <c r="AY113" s="10"/>
      <c r="AZ113" s="151"/>
      <c r="BA113" s="191"/>
      <c r="BB113" s="10"/>
      <c r="BC113" s="10"/>
      <c r="BD113" s="151"/>
      <c r="BE113" s="191"/>
      <c r="BF113" s="10"/>
      <c r="BG113" s="10"/>
      <c r="BH113" s="151"/>
      <c r="BI113" s="191"/>
      <c r="BJ113" s="10"/>
      <c r="BK113" s="10"/>
      <c r="BL113" s="151"/>
      <c r="BM113" s="1"/>
      <c r="BN113" s="48"/>
      <c r="BO113" s="56"/>
      <c r="BP113" s="56"/>
      <c r="BQ113" s="50"/>
      <c r="BR113" s="48"/>
      <c r="BS113" s="56"/>
      <c r="BT113" s="56"/>
      <c r="BU113" s="50"/>
      <c r="BV113" s="48"/>
      <c r="BW113" s="56"/>
      <c r="BX113" s="56"/>
      <c r="BY113" s="50"/>
      <c r="BZ113" s="48"/>
      <c r="CA113" s="49"/>
      <c r="CB113" s="49"/>
      <c r="CC113" s="50"/>
      <c r="CD113" s="48"/>
      <c r="CE113" s="49"/>
      <c r="CF113" s="49"/>
      <c r="CG113" s="50"/>
      <c r="CK113" s="12"/>
      <c r="CL113" s="15"/>
      <c r="CO113" s="12"/>
      <c r="CP113" s="15"/>
      <c r="CS113" s="12"/>
      <c r="CT113" s="15"/>
      <c r="CW113" s="12"/>
      <c r="CX113" s="15"/>
      <c r="DA113" s="12"/>
      <c r="DF113" s="15"/>
      <c r="DI113" s="12"/>
      <c r="DJ113" s="1"/>
      <c r="DK113" s="225"/>
      <c r="DL113" s="225"/>
      <c r="DM113" s="225"/>
      <c r="DN113" s="225"/>
      <c r="DO113" s="225"/>
      <c r="DP113" s="225"/>
      <c r="DQ113" s="225"/>
      <c r="DR113" s="225"/>
      <c r="DS113" s="225"/>
      <c r="DT113" s="225"/>
      <c r="DU113" s="225"/>
      <c r="DV113" s="225"/>
      <c r="DW113" s="1"/>
      <c r="EJ113" s="1"/>
      <c r="EK113" s="17"/>
      <c r="EL113" s="17"/>
      <c r="EM113" s="17"/>
      <c r="EN113" s="17"/>
      <c r="EO113" s="17"/>
      <c r="EP113" s="17"/>
      <c r="EQ113" s="17"/>
      <c r="ER113" s="17"/>
      <c r="ES113" s="17"/>
      <c r="EU113" s="17"/>
      <c r="EW113" s="1"/>
      <c r="EX113" s="225"/>
      <c r="EY113" s="225"/>
      <c r="EZ113" s="225"/>
      <c r="FA113" s="225"/>
      <c r="FB113" s="225"/>
      <c r="FC113" s="225"/>
      <c r="FD113" s="225"/>
      <c r="FE113" s="225"/>
      <c r="FF113" s="225"/>
      <c r="FG113" s="10"/>
      <c r="FH113" s="225"/>
      <c r="FI113" s="10"/>
      <c r="FJ113" s="1"/>
      <c r="FK113" s="225"/>
      <c r="FL113" s="225"/>
      <c r="FM113" s="225"/>
      <c r="FN113" s="225"/>
      <c r="FO113" s="225"/>
      <c r="FP113" s="225"/>
      <c r="FQ113" s="225"/>
      <c r="FR113" s="225"/>
      <c r="FS113" s="225"/>
      <c r="FT113" s="191"/>
      <c r="FU113" s="225"/>
      <c r="FV113" s="151"/>
    </row>
    <row r="114" spans="1:178" ht="16" thickBot="1" x14ac:dyDescent="0.25">
      <c r="A114" s="27" t="s">
        <v>35</v>
      </c>
      <c r="B114" t="s">
        <v>142</v>
      </c>
      <c r="C114" s="1"/>
      <c r="D114" s="17"/>
      <c r="E114" s="17"/>
      <c r="F114" s="156"/>
      <c r="G114" s="87">
        <v>1</v>
      </c>
      <c r="H114" s="87">
        <v>1</v>
      </c>
      <c r="I114" s="87">
        <v>1</v>
      </c>
      <c r="J114" s="17"/>
      <c r="K114" s="17"/>
      <c r="L114" s="17"/>
      <c r="M114" s="17"/>
      <c r="N114" s="17"/>
      <c r="O114" s="17"/>
      <c r="P114" s="1"/>
      <c r="Q114" s="48"/>
      <c r="R114" s="49"/>
      <c r="S114" s="49"/>
      <c r="T114" s="50">
        <f t="shared" si="51"/>
        <v>0</v>
      </c>
      <c r="U114" s="48"/>
      <c r="V114" s="49"/>
      <c r="W114" s="49"/>
      <c r="X114" s="50">
        <f t="shared" si="52"/>
        <v>0</v>
      </c>
      <c r="Y114" s="48"/>
      <c r="Z114" s="49"/>
      <c r="AA114" s="49"/>
      <c r="AB114" s="50">
        <f t="shared" si="53"/>
        <v>0</v>
      </c>
      <c r="AC114" s="164">
        <v>2673.26</v>
      </c>
      <c r="AD114" s="166"/>
      <c r="AE114" s="165"/>
      <c r="AF114" s="151">
        <f t="shared" si="54"/>
        <v>2673.26</v>
      </c>
      <c r="AG114" s="166">
        <v>2832.77</v>
      </c>
      <c r="AH114" s="166"/>
      <c r="AI114" s="165"/>
      <c r="AJ114" s="151">
        <f t="shared" si="55"/>
        <v>2832.77</v>
      </c>
      <c r="AK114" s="192">
        <v>244.28</v>
      </c>
      <c r="AL114" s="10"/>
      <c r="AM114" s="10"/>
      <c r="AN114" s="151">
        <f t="shared" si="56"/>
        <v>244.28</v>
      </c>
      <c r="AO114" s="191"/>
      <c r="AP114" s="10"/>
      <c r="AQ114" s="10"/>
      <c r="AR114" s="151"/>
      <c r="AS114" s="191"/>
      <c r="AT114" s="10"/>
      <c r="AU114" s="10"/>
      <c r="AV114" s="151"/>
      <c r="AW114" s="191"/>
      <c r="AX114" s="10"/>
      <c r="AY114" s="10"/>
      <c r="AZ114" s="151"/>
      <c r="BA114" s="191"/>
      <c r="BB114" s="10"/>
      <c r="BC114" s="10"/>
      <c r="BD114" s="151"/>
      <c r="BE114" s="191"/>
      <c r="BF114" s="10"/>
      <c r="BG114" s="10"/>
      <c r="BH114" s="151"/>
      <c r="BI114" s="191"/>
      <c r="BJ114" s="10"/>
      <c r="BK114" s="10"/>
      <c r="BL114" s="151"/>
      <c r="BM114" s="1"/>
      <c r="BN114" s="48"/>
      <c r="BO114" s="56"/>
      <c r="BP114" s="56"/>
      <c r="BQ114" s="50"/>
      <c r="BR114" s="48"/>
      <c r="BS114" s="56"/>
      <c r="BT114" s="56"/>
      <c r="BU114" s="50"/>
      <c r="BV114" s="48"/>
      <c r="BW114" s="56"/>
      <c r="BX114" s="56"/>
      <c r="BY114" s="50"/>
      <c r="BZ114" s="48"/>
      <c r="CA114" s="49"/>
      <c r="CB114" s="49"/>
      <c r="CC114" s="50"/>
      <c r="CD114" s="48"/>
      <c r="CE114" s="49"/>
      <c r="CF114" s="49"/>
      <c r="CG114" s="50"/>
      <c r="CK114" s="12"/>
      <c r="CL114" s="15"/>
      <c r="CO114" s="12"/>
      <c r="CP114" s="15"/>
      <c r="CS114" s="12"/>
      <c r="CT114" s="15"/>
      <c r="CW114" s="12"/>
      <c r="CX114" s="15"/>
      <c r="DA114" s="12"/>
      <c r="DF114" s="15"/>
      <c r="DI114" s="12"/>
      <c r="DJ114" s="1"/>
      <c r="DK114" s="225"/>
      <c r="DL114" s="225"/>
      <c r="DM114" s="225"/>
      <c r="DN114" s="225"/>
      <c r="DO114" s="225"/>
      <c r="DP114" s="225"/>
      <c r="DQ114" s="225"/>
      <c r="DR114" s="225"/>
      <c r="DS114" s="225"/>
      <c r="DT114" s="225"/>
      <c r="DU114" s="225"/>
      <c r="DV114" s="225"/>
      <c r="DW114" s="1"/>
      <c r="EJ114" s="1"/>
      <c r="EK114" s="17"/>
      <c r="EL114" s="17"/>
      <c r="EM114" s="17"/>
      <c r="EN114" s="17"/>
      <c r="EO114" s="17"/>
      <c r="EP114" s="17"/>
      <c r="EQ114" s="17"/>
      <c r="ER114" s="17"/>
      <c r="ES114" s="17"/>
      <c r="EU114" s="17"/>
      <c r="EW114" s="1"/>
      <c r="EX114" s="225"/>
      <c r="EY114" s="225"/>
      <c r="EZ114" s="225"/>
      <c r="FA114" s="225"/>
      <c r="FB114" s="225"/>
      <c r="FC114" s="225"/>
      <c r="FD114" s="225"/>
      <c r="FE114" s="225"/>
      <c r="FF114" s="225"/>
      <c r="FG114" s="10"/>
      <c r="FH114" s="225"/>
      <c r="FI114" s="10"/>
      <c r="FJ114" s="1"/>
      <c r="FK114" s="225"/>
      <c r="FL114" s="225"/>
      <c r="FM114" s="225"/>
      <c r="FN114" s="225"/>
      <c r="FO114" s="225"/>
      <c r="FP114" s="225"/>
      <c r="FQ114" s="225"/>
      <c r="FR114" s="225"/>
      <c r="FS114" s="225"/>
      <c r="FT114" s="191"/>
      <c r="FU114" s="225"/>
      <c r="FV114" s="151"/>
    </row>
    <row r="115" spans="1:178" ht="16" thickBot="1" x14ac:dyDescent="0.25">
      <c r="A115" s="27" t="s">
        <v>36</v>
      </c>
      <c r="B115" t="s">
        <v>142</v>
      </c>
      <c r="C115" s="1"/>
      <c r="D115" s="17"/>
      <c r="E115" s="17"/>
      <c r="F115" s="156"/>
      <c r="G115" s="89"/>
      <c r="H115" s="88"/>
      <c r="I115" s="88"/>
      <c r="J115" s="17"/>
      <c r="K115" s="17"/>
      <c r="L115" s="17"/>
      <c r="M115" s="17"/>
      <c r="N115" s="17"/>
      <c r="O115" s="17"/>
      <c r="P115" s="1"/>
      <c r="Q115" s="48"/>
      <c r="R115" s="49"/>
      <c r="S115" s="49"/>
      <c r="T115" s="50">
        <f t="shared" si="51"/>
        <v>0</v>
      </c>
      <c r="U115" s="48"/>
      <c r="V115" s="49"/>
      <c r="W115" s="49"/>
      <c r="X115" s="50">
        <f t="shared" si="52"/>
        <v>0</v>
      </c>
      <c r="Y115" s="48"/>
      <c r="Z115" s="49"/>
      <c r="AA115" s="49"/>
      <c r="AB115" s="50">
        <f t="shared" si="53"/>
        <v>0</v>
      </c>
      <c r="AC115" s="167"/>
      <c r="AD115" s="166"/>
      <c r="AE115" s="166"/>
      <c r="AF115" s="151">
        <f t="shared" si="54"/>
        <v>0</v>
      </c>
      <c r="AG115" s="166"/>
      <c r="AH115" s="166"/>
      <c r="AI115" s="166"/>
      <c r="AJ115" s="151">
        <f t="shared" si="55"/>
        <v>0</v>
      </c>
      <c r="AK115" s="192"/>
      <c r="AL115" s="10"/>
      <c r="AM115" s="10"/>
      <c r="AN115" s="151">
        <f t="shared" si="56"/>
        <v>0</v>
      </c>
      <c r="AO115" s="191"/>
      <c r="AP115" s="10"/>
      <c r="AQ115" s="10"/>
      <c r="AR115" s="151"/>
      <c r="AS115" s="191"/>
      <c r="AT115" s="10"/>
      <c r="AU115" s="10"/>
      <c r="AV115" s="151"/>
      <c r="AW115" s="191"/>
      <c r="AX115" s="10"/>
      <c r="AY115" s="10"/>
      <c r="AZ115" s="151"/>
      <c r="BA115" s="191"/>
      <c r="BB115" s="10"/>
      <c r="BC115" s="10"/>
      <c r="BD115" s="151"/>
      <c r="BE115" s="191"/>
      <c r="BF115" s="10"/>
      <c r="BG115" s="10"/>
      <c r="BH115" s="151"/>
      <c r="BI115" s="191"/>
      <c r="BJ115" s="10"/>
      <c r="BK115" s="10"/>
      <c r="BL115" s="151"/>
      <c r="BM115" s="1"/>
      <c r="BN115" s="48"/>
      <c r="BO115" s="56"/>
      <c r="BP115" s="56"/>
      <c r="BQ115" s="50"/>
      <c r="BR115" s="48"/>
      <c r="BS115" s="56"/>
      <c r="BT115" s="56"/>
      <c r="BU115" s="50"/>
      <c r="BV115" s="48"/>
      <c r="BW115" s="56"/>
      <c r="BX115" s="56"/>
      <c r="BY115" s="50"/>
      <c r="BZ115" s="48"/>
      <c r="CA115" s="49"/>
      <c r="CB115" s="49"/>
      <c r="CC115" s="50"/>
      <c r="CD115" s="48"/>
      <c r="CE115" s="49"/>
      <c r="CF115" s="49"/>
      <c r="CG115" s="50"/>
      <c r="CK115" s="12"/>
      <c r="CL115" s="15"/>
      <c r="CO115" s="12"/>
      <c r="CP115" s="15"/>
      <c r="CS115" s="12"/>
      <c r="CT115" s="15"/>
      <c r="CW115" s="12"/>
      <c r="CX115" s="15"/>
      <c r="DA115" s="12"/>
      <c r="DF115" s="15"/>
      <c r="DI115" s="12"/>
      <c r="DJ115" s="1"/>
      <c r="DK115" s="225"/>
      <c r="DL115" s="225"/>
      <c r="DM115" s="225"/>
      <c r="DN115" s="225"/>
      <c r="DO115" s="225"/>
      <c r="DP115" s="225"/>
      <c r="DQ115" s="225"/>
      <c r="DR115" s="225"/>
      <c r="DS115" s="225"/>
      <c r="DT115" s="225"/>
      <c r="DU115" s="225"/>
      <c r="DV115" s="225"/>
      <c r="DW115" s="1"/>
      <c r="EJ115" s="1"/>
      <c r="EK115" s="17"/>
      <c r="EL115" s="17"/>
      <c r="EM115" s="17"/>
      <c r="EN115" s="17"/>
      <c r="EO115" s="17"/>
      <c r="EP115" s="17"/>
      <c r="EQ115" s="17"/>
      <c r="ER115" s="17"/>
      <c r="ES115" s="17"/>
      <c r="EU115" s="17"/>
      <c r="EW115" s="1"/>
      <c r="EX115" s="225"/>
      <c r="EY115" s="225"/>
      <c r="EZ115" s="225"/>
      <c r="FA115" s="225"/>
      <c r="FB115" s="225"/>
      <c r="FC115" s="225"/>
      <c r="FD115" s="225"/>
      <c r="FE115" s="225"/>
      <c r="FF115" s="225"/>
      <c r="FG115" s="10"/>
      <c r="FH115" s="225"/>
      <c r="FI115" s="10"/>
      <c r="FJ115" s="1"/>
      <c r="FK115" s="225"/>
      <c r="FL115" s="225"/>
      <c r="FM115" s="225"/>
      <c r="FN115" s="225"/>
      <c r="FO115" s="225"/>
      <c r="FP115" s="225"/>
      <c r="FQ115" s="225"/>
      <c r="FR115" s="225"/>
      <c r="FS115" s="225"/>
      <c r="FT115" s="191"/>
      <c r="FU115" s="225"/>
      <c r="FV115" s="151"/>
    </row>
    <row r="116" spans="1:178" ht="16" thickBot="1" x14ac:dyDescent="0.25">
      <c r="A116" s="27" t="s">
        <v>37</v>
      </c>
      <c r="B116" t="s">
        <v>142</v>
      </c>
      <c r="C116" s="1"/>
      <c r="D116" s="17">
        <v>1</v>
      </c>
      <c r="E116" s="17"/>
      <c r="F116" s="156"/>
      <c r="G116" s="87"/>
      <c r="H116" s="87"/>
      <c r="I116" s="88"/>
      <c r="J116" s="17"/>
      <c r="K116" s="17"/>
      <c r="L116" s="17"/>
      <c r="M116" s="17"/>
      <c r="N116" s="17"/>
      <c r="O116" s="17"/>
      <c r="P116" s="1"/>
      <c r="Q116" s="48">
        <v>282.60000000000002</v>
      </c>
      <c r="R116" s="49"/>
      <c r="S116" s="49"/>
      <c r="T116" s="50">
        <f t="shared" si="51"/>
        <v>282.60000000000002</v>
      </c>
      <c r="U116" s="48"/>
      <c r="V116" s="49"/>
      <c r="W116" s="49"/>
      <c r="X116" s="50">
        <f t="shared" si="52"/>
        <v>0</v>
      </c>
      <c r="Y116" s="48"/>
      <c r="Z116" s="49"/>
      <c r="AA116" s="49"/>
      <c r="AB116" s="50">
        <f t="shared" si="53"/>
        <v>0</v>
      </c>
      <c r="AC116" s="164"/>
      <c r="AD116" s="166"/>
      <c r="AE116" s="166"/>
      <c r="AF116" s="151">
        <f t="shared" si="54"/>
        <v>0</v>
      </c>
      <c r="AG116" s="165"/>
      <c r="AH116" s="166"/>
      <c r="AI116" s="166"/>
      <c r="AJ116" s="151">
        <f t="shared" si="55"/>
        <v>0</v>
      </c>
      <c r="AK116" s="192"/>
      <c r="AL116" s="10"/>
      <c r="AM116" s="10"/>
      <c r="AN116" s="151">
        <f t="shared" si="56"/>
        <v>0</v>
      </c>
      <c r="AO116" s="191"/>
      <c r="AP116" s="10"/>
      <c r="AQ116" s="10"/>
      <c r="AR116" s="151"/>
      <c r="AS116" s="191"/>
      <c r="AT116" s="10"/>
      <c r="AU116" s="10"/>
      <c r="AV116" s="151"/>
      <c r="AW116" s="191"/>
      <c r="AX116" s="10"/>
      <c r="AY116" s="10"/>
      <c r="AZ116" s="151"/>
      <c r="BA116" s="191"/>
      <c r="BB116" s="10"/>
      <c r="BC116" s="10"/>
      <c r="BD116" s="151"/>
      <c r="BE116" s="191"/>
      <c r="BF116" s="10"/>
      <c r="BG116" s="10"/>
      <c r="BH116" s="151"/>
      <c r="BI116" s="191"/>
      <c r="BJ116" s="10"/>
      <c r="BK116" s="10"/>
      <c r="BL116" s="151"/>
      <c r="BM116" s="1"/>
      <c r="BN116" s="48"/>
      <c r="BO116" s="56"/>
      <c r="BP116" s="56"/>
      <c r="BQ116" s="50"/>
      <c r="BR116" s="48"/>
      <c r="BS116" s="56"/>
      <c r="BT116" s="56"/>
      <c r="BU116" s="50"/>
      <c r="BV116" s="48"/>
      <c r="BW116" s="56"/>
      <c r="BX116" s="56"/>
      <c r="BY116" s="50"/>
      <c r="BZ116" s="48"/>
      <c r="CA116" s="49"/>
      <c r="CB116" s="49"/>
      <c r="CC116" s="50"/>
      <c r="CD116" s="48"/>
      <c r="CE116" s="49"/>
      <c r="CF116" s="49"/>
      <c r="CG116" s="50"/>
      <c r="CK116" s="12"/>
      <c r="CL116" s="15"/>
      <c r="CO116" s="12"/>
      <c r="CP116" s="15"/>
      <c r="CS116" s="12"/>
      <c r="CT116" s="15"/>
      <c r="CW116" s="12"/>
      <c r="CX116" s="15"/>
      <c r="DA116" s="12"/>
      <c r="DF116" s="15"/>
      <c r="DI116" s="12"/>
      <c r="DJ116" s="1"/>
      <c r="DK116" s="225"/>
      <c r="DL116" s="225"/>
      <c r="DM116" s="225"/>
      <c r="DN116" s="225"/>
      <c r="DO116" s="225"/>
      <c r="DP116" s="225"/>
      <c r="DQ116" s="225"/>
      <c r="DR116" s="225"/>
      <c r="DS116" s="225"/>
      <c r="DT116" s="225"/>
      <c r="DU116" s="225"/>
      <c r="DV116" s="225"/>
      <c r="DW116" s="1"/>
      <c r="EJ116" s="1"/>
      <c r="EK116" s="17"/>
      <c r="EL116" s="17"/>
      <c r="EM116" s="17"/>
      <c r="EN116" s="17"/>
      <c r="EO116" s="17"/>
      <c r="EP116" s="17"/>
      <c r="EQ116" s="17"/>
      <c r="ER116" s="17"/>
      <c r="ES116" s="17"/>
      <c r="EU116" s="17"/>
      <c r="EW116" s="1"/>
      <c r="EX116" s="225"/>
      <c r="EY116" s="225"/>
      <c r="EZ116" s="225"/>
      <c r="FA116" s="225"/>
      <c r="FB116" s="225"/>
      <c r="FC116" s="225"/>
      <c r="FD116" s="225"/>
      <c r="FE116" s="225"/>
      <c r="FF116" s="225"/>
      <c r="FG116" s="10"/>
      <c r="FH116" s="225"/>
      <c r="FI116" s="10"/>
      <c r="FJ116" s="1"/>
      <c r="FK116" s="225"/>
      <c r="FL116" s="225"/>
      <c r="FM116" s="225"/>
      <c r="FN116" s="225"/>
      <c r="FO116" s="225"/>
      <c r="FP116" s="225"/>
      <c r="FQ116" s="225"/>
      <c r="FR116" s="225"/>
      <c r="FS116" s="225"/>
      <c r="FT116" s="191"/>
      <c r="FU116" s="225"/>
      <c r="FV116" s="151"/>
    </row>
    <row r="117" spans="1:178" ht="16" thickBot="1" x14ac:dyDescent="0.25">
      <c r="A117" s="27" t="s">
        <v>38</v>
      </c>
      <c r="B117" t="s">
        <v>142</v>
      </c>
      <c r="C117" s="1"/>
      <c r="D117" s="17">
        <v>1</v>
      </c>
      <c r="E117" s="17"/>
      <c r="F117" s="156"/>
      <c r="G117" s="87">
        <v>2</v>
      </c>
      <c r="H117" s="87"/>
      <c r="I117" s="87">
        <v>4</v>
      </c>
      <c r="J117" s="17"/>
      <c r="K117" s="17"/>
      <c r="L117" s="17"/>
      <c r="M117" s="17"/>
      <c r="N117" s="17"/>
      <c r="O117" s="17"/>
      <c r="P117" s="1"/>
      <c r="Q117" s="48"/>
      <c r="R117" s="49"/>
      <c r="S117" s="49">
        <v>361.79</v>
      </c>
      <c r="T117" s="50">
        <f t="shared" si="51"/>
        <v>361.79</v>
      </c>
      <c r="U117" s="48"/>
      <c r="V117" s="49"/>
      <c r="W117" s="49"/>
      <c r="X117" s="50">
        <f t="shared" si="52"/>
        <v>0</v>
      </c>
      <c r="Y117" s="48"/>
      <c r="Z117" s="49"/>
      <c r="AA117" s="49"/>
      <c r="AB117" s="50">
        <f t="shared" si="53"/>
        <v>0</v>
      </c>
      <c r="AC117" s="164">
        <v>9.65</v>
      </c>
      <c r="AD117" s="166"/>
      <c r="AE117" s="165">
        <v>359.89</v>
      </c>
      <c r="AF117" s="151">
        <f t="shared" si="54"/>
        <v>369.53999999999996</v>
      </c>
      <c r="AG117" s="165"/>
      <c r="AH117" s="166"/>
      <c r="AI117" s="166"/>
      <c r="AJ117" s="151">
        <f t="shared" si="55"/>
        <v>0</v>
      </c>
      <c r="AK117" s="192">
        <v>1573.27</v>
      </c>
      <c r="AL117" s="10"/>
      <c r="AM117" s="10"/>
      <c r="AN117" s="151">
        <f t="shared" si="56"/>
        <v>1573.27</v>
      </c>
      <c r="AO117" s="191"/>
      <c r="AP117" s="10"/>
      <c r="AQ117" s="10"/>
      <c r="AR117" s="151"/>
      <c r="AS117" s="191"/>
      <c r="AT117" s="10"/>
      <c r="AU117" s="10"/>
      <c r="AV117" s="151"/>
      <c r="AW117" s="191"/>
      <c r="AX117" s="10"/>
      <c r="AY117" s="10"/>
      <c r="AZ117" s="151"/>
      <c r="BA117" s="191"/>
      <c r="BB117" s="10"/>
      <c r="BC117" s="10"/>
      <c r="BD117" s="151"/>
      <c r="BE117" s="191"/>
      <c r="BF117" s="10"/>
      <c r="BG117" s="10"/>
      <c r="BH117" s="151"/>
      <c r="BI117" s="191"/>
      <c r="BJ117" s="10"/>
      <c r="BK117" s="10"/>
      <c r="BL117" s="151"/>
      <c r="BM117" s="1"/>
      <c r="BN117" s="48"/>
      <c r="BO117" s="56"/>
      <c r="BP117" s="56"/>
      <c r="BQ117" s="50"/>
      <c r="BR117" s="48"/>
      <c r="BS117" s="56"/>
      <c r="BT117" s="56"/>
      <c r="BU117" s="50"/>
      <c r="BV117" s="48"/>
      <c r="BW117" s="56"/>
      <c r="BX117" s="56"/>
      <c r="BY117" s="50"/>
      <c r="BZ117" s="48"/>
      <c r="CA117" s="49"/>
      <c r="CB117" s="49"/>
      <c r="CC117" s="50"/>
      <c r="CD117" s="48"/>
      <c r="CE117" s="49"/>
      <c r="CF117" s="49"/>
      <c r="CG117" s="50"/>
      <c r="CK117" s="12"/>
      <c r="CL117" s="15"/>
      <c r="CO117" s="12"/>
      <c r="CP117" s="15"/>
      <c r="CS117" s="12"/>
      <c r="CT117" s="15"/>
      <c r="CW117" s="12"/>
      <c r="CX117" s="15"/>
      <c r="DA117" s="12"/>
      <c r="DF117" s="15"/>
      <c r="DI117" s="12"/>
      <c r="DJ117" s="1"/>
      <c r="DK117" s="225"/>
      <c r="DL117" s="225"/>
      <c r="DM117" s="225"/>
      <c r="DN117" s="225"/>
      <c r="DO117" s="225"/>
      <c r="DP117" s="225"/>
      <c r="DQ117" s="225"/>
      <c r="DR117" s="225"/>
      <c r="DS117" s="225"/>
      <c r="DT117" s="225"/>
      <c r="DU117" s="225"/>
      <c r="DV117" s="225"/>
      <c r="DW117" s="1"/>
      <c r="EJ117" s="1"/>
      <c r="EK117" s="17"/>
      <c r="EL117" s="17"/>
      <c r="EM117" s="17"/>
      <c r="EN117" s="17"/>
      <c r="EO117" s="17"/>
      <c r="EP117" s="17"/>
      <c r="EQ117" s="17"/>
      <c r="ER117" s="17"/>
      <c r="ES117" s="17"/>
      <c r="EU117" s="17"/>
      <c r="EW117" s="1"/>
      <c r="EX117" s="225"/>
      <c r="EY117" s="225"/>
      <c r="EZ117" s="225"/>
      <c r="FA117" s="225"/>
      <c r="FB117" s="225"/>
      <c r="FC117" s="225"/>
      <c r="FD117" s="225"/>
      <c r="FE117" s="225"/>
      <c r="FF117" s="225"/>
      <c r="FG117" s="10"/>
      <c r="FH117" s="225"/>
      <c r="FI117" s="10"/>
      <c r="FJ117" s="1"/>
      <c r="FK117" s="225"/>
      <c r="FL117" s="225"/>
      <c r="FM117" s="225"/>
      <c r="FN117" s="225"/>
      <c r="FO117" s="225"/>
      <c r="FP117" s="225"/>
      <c r="FQ117" s="225"/>
      <c r="FR117" s="225"/>
      <c r="FS117" s="225"/>
      <c r="FT117" s="191"/>
      <c r="FU117" s="225"/>
      <c r="FV117" s="151"/>
    </row>
    <row r="118" spans="1:178" ht="16" thickBot="1" x14ac:dyDescent="0.25">
      <c r="A118" s="27" t="s">
        <v>39</v>
      </c>
      <c r="B118" t="s">
        <v>142</v>
      </c>
      <c r="C118" s="1"/>
      <c r="D118" s="17"/>
      <c r="E118" s="17"/>
      <c r="F118" s="156"/>
      <c r="G118" s="87"/>
      <c r="H118" s="88"/>
      <c r="I118" s="88"/>
      <c r="J118" s="17"/>
      <c r="K118" s="17"/>
      <c r="L118" s="17"/>
      <c r="M118" s="17"/>
      <c r="N118" s="17"/>
      <c r="O118" s="17"/>
      <c r="P118" s="1"/>
      <c r="Q118" s="48"/>
      <c r="R118" s="49"/>
      <c r="S118" s="49"/>
      <c r="T118" s="50">
        <f t="shared" si="51"/>
        <v>0</v>
      </c>
      <c r="U118" s="48"/>
      <c r="V118" s="49"/>
      <c r="W118" s="49"/>
      <c r="X118" s="50">
        <f t="shared" si="52"/>
        <v>0</v>
      </c>
      <c r="Y118" s="48"/>
      <c r="Z118" s="49"/>
      <c r="AA118" s="49"/>
      <c r="AB118" s="50">
        <f t="shared" si="53"/>
        <v>0</v>
      </c>
      <c r="AC118" s="164"/>
      <c r="AD118" s="166"/>
      <c r="AE118" s="166"/>
      <c r="AF118" s="151">
        <f t="shared" si="54"/>
        <v>0</v>
      </c>
      <c r="AG118" s="166"/>
      <c r="AH118" s="166"/>
      <c r="AI118" s="166"/>
      <c r="AJ118" s="151">
        <f t="shared" si="55"/>
        <v>0</v>
      </c>
      <c r="AK118" s="192"/>
      <c r="AL118" s="10"/>
      <c r="AM118" s="10"/>
      <c r="AN118" s="151">
        <f t="shared" si="56"/>
        <v>0</v>
      </c>
      <c r="AO118" s="191"/>
      <c r="AP118" s="10"/>
      <c r="AQ118" s="10"/>
      <c r="AR118" s="151"/>
      <c r="AS118" s="191"/>
      <c r="AT118" s="10"/>
      <c r="AU118" s="10"/>
      <c r="AV118" s="151"/>
      <c r="AW118" s="191"/>
      <c r="AX118" s="10"/>
      <c r="AY118" s="10"/>
      <c r="AZ118" s="151"/>
      <c r="BA118" s="191"/>
      <c r="BB118" s="10"/>
      <c r="BC118" s="10"/>
      <c r="BD118" s="151"/>
      <c r="BE118" s="191"/>
      <c r="BF118" s="10"/>
      <c r="BG118" s="10"/>
      <c r="BH118" s="151"/>
      <c r="BI118" s="191"/>
      <c r="BJ118" s="10"/>
      <c r="BK118" s="10"/>
      <c r="BL118" s="151"/>
      <c r="BM118" s="1"/>
      <c r="BN118" s="48"/>
      <c r="BO118" s="56"/>
      <c r="BP118" s="56"/>
      <c r="BQ118" s="50"/>
      <c r="BR118" s="48"/>
      <c r="BS118" s="56"/>
      <c r="BT118" s="56"/>
      <c r="BU118" s="50"/>
      <c r="BV118" s="48"/>
      <c r="BW118" s="56"/>
      <c r="BX118" s="56"/>
      <c r="BY118" s="50"/>
      <c r="BZ118" s="48"/>
      <c r="CA118" s="49"/>
      <c r="CB118" s="49"/>
      <c r="CC118" s="50"/>
      <c r="CD118" s="48"/>
      <c r="CE118" s="49"/>
      <c r="CF118" s="49"/>
      <c r="CG118" s="50"/>
      <c r="CK118" s="12"/>
      <c r="CL118" s="15"/>
      <c r="CO118" s="12"/>
      <c r="CP118" s="15"/>
      <c r="CS118" s="12"/>
      <c r="CT118" s="15"/>
      <c r="CW118" s="12"/>
      <c r="CX118" s="15"/>
      <c r="DA118" s="12"/>
      <c r="DF118" s="15"/>
      <c r="DI118" s="12"/>
      <c r="DJ118" s="1"/>
      <c r="DK118" s="225"/>
      <c r="DL118" s="225"/>
      <c r="DM118" s="225"/>
      <c r="DN118" s="225"/>
      <c r="DO118" s="225"/>
      <c r="DP118" s="225"/>
      <c r="DQ118" s="225"/>
      <c r="DR118" s="225"/>
      <c r="DS118" s="225"/>
      <c r="DT118" s="225"/>
      <c r="DU118" s="225"/>
      <c r="DV118" s="225"/>
      <c r="DW118" s="1"/>
      <c r="EJ118" s="1"/>
      <c r="EK118" s="17"/>
      <c r="EL118" s="17"/>
      <c r="EM118" s="17"/>
      <c r="EN118" s="17"/>
      <c r="EO118" s="17"/>
      <c r="EP118" s="17"/>
      <c r="EQ118" s="17"/>
      <c r="ER118" s="17"/>
      <c r="ES118" s="17"/>
      <c r="EU118" s="17"/>
      <c r="EW118" s="1"/>
      <c r="EX118" s="225"/>
      <c r="EY118" s="225"/>
      <c r="EZ118" s="225"/>
      <c r="FA118" s="225"/>
      <c r="FB118" s="225"/>
      <c r="FC118" s="225"/>
      <c r="FD118" s="225"/>
      <c r="FE118" s="225"/>
      <c r="FF118" s="225"/>
      <c r="FG118" s="10"/>
      <c r="FH118" s="225"/>
      <c r="FI118" s="10"/>
      <c r="FJ118" s="1"/>
      <c r="FK118" s="225"/>
      <c r="FL118" s="225"/>
      <c r="FM118" s="225"/>
      <c r="FN118" s="225"/>
      <c r="FO118" s="225"/>
      <c r="FP118" s="225"/>
      <c r="FQ118" s="225"/>
      <c r="FR118" s="225"/>
      <c r="FS118" s="225"/>
      <c r="FT118" s="191"/>
      <c r="FU118" s="225"/>
      <c r="FV118" s="151"/>
    </row>
    <row r="119" spans="1:178" ht="16" thickBot="1" x14ac:dyDescent="0.25">
      <c r="A119" s="27" t="s">
        <v>40</v>
      </c>
      <c r="B119" t="s">
        <v>142</v>
      </c>
      <c r="C119" s="1"/>
      <c r="D119" s="17"/>
      <c r="E119" s="17"/>
      <c r="F119" s="156"/>
      <c r="G119" s="89"/>
      <c r="H119" s="88"/>
      <c r="I119" s="88"/>
      <c r="J119" s="17"/>
      <c r="K119" s="17"/>
      <c r="L119" s="17"/>
      <c r="M119" s="17"/>
      <c r="N119" s="17"/>
      <c r="O119" s="17"/>
      <c r="P119" s="1"/>
      <c r="Q119" s="48"/>
      <c r="R119" s="49"/>
      <c r="S119" s="49"/>
      <c r="T119" s="50">
        <f t="shared" si="51"/>
        <v>0</v>
      </c>
      <c r="U119" s="48"/>
      <c r="V119" s="49"/>
      <c r="W119" s="49"/>
      <c r="X119" s="50">
        <f t="shared" si="52"/>
        <v>0</v>
      </c>
      <c r="Y119" s="48"/>
      <c r="Z119" s="49"/>
      <c r="AA119" s="49"/>
      <c r="AB119" s="50">
        <f t="shared" si="53"/>
        <v>0</v>
      </c>
      <c r="AC119" s="167"/>
      <c r="AD119" s="166"/>
      <c r="AE119" s="166"/>
      <c r="AF119" s="151">
        <f t="shared" si="54"/>
        <v>0</v>
      </c>
      <c r="AG119" s="166"/>
      <c r="AH119" s="166"/>
      <c r="AI119" s="166"/>
      <c r="AJ119" s="151">
        <f t="shared" si="55"/>
        <v>0</v>
      </c>
      <c r="AK119" s="192"/>
      <c r="AL119" s="10"/>
      <c r="AM119" s="10"/>
      <c r="AN119" s="151">
        <f t="shared" si="56"/>
        <v>0</v>
      </c>
      <c r="AO119" s="191"/>
      <c r="AP119" s="10"/>
      <c r="AQ119" s="10"/>
      <c r="AR119" s="151"/>
      <c r="AS119" s="191"/>
      <c r="AT119" s="10"/>
      <c r="AU119" s="10"/>
      <c r="AV119" s="151"/>
      <c r="AW119" s="191"/>
      <c r="AX119" s="10"/>
      <c r="AY119" s="10"/>
      <c r="AZ119" s="151"/>
      <c r="BA119" s="191"/>
      <c r="BB119" s="10"/>
      <c r="BC119" s="10"/>
      <c r="BD119" s="151"/>
      <c r="BE119" s="191"/>
      <c r="BF119" s="10"/>
      <c r="BG119" s="10"/>
      <c r="BH119" s="151"/>
      <c r="BI119" s="191"/>
      <c r="BJ119" s="10"/>
      <c r="BK119" s="10"/>
      <c r="BL119" s="151"/>
      <c r="BM119" s="1"/>
      <c r="BN119" s="48"/>
      <c r="BO119" s="56"/>
      <c r="BP119" s="56"/>
      <c r="BQ119" s="50"/>
      <c r="BR119" s="48"/>
      <c r="BS119" s="56"/>
      <c r="BT119" s="56"/>
      <c r="BU119" s="50"/>
      <c r="BV119" s="48"/>
      <c r="BW119" s="56"/>
      <c r="BX119" s="56"/>
      <c r="BY119" s="50"/>
      <c r="BZ119" s="48"/>
      <c r="CA119" s="49"/>
      <c r="CB119" s="49"/>
      <c r="CC119" s="50"/>
      <c r="CD119" s="48"/>
      <c r="CE119" s="49"/>
      <c r="CF119" s="49"/>
      <c r="CG119" s="50"/>
      <c r="CK119" s="12"/>
      <c r="CL119" s="15"/>
      <c r="CO119" s="12"/>
      <c r="CP119" s="15"/>
      <c r="CS119" s="12"/>
      <c r="CT119" s="15"/>
      <c r="CW119" s="12"/>
      <c r="CX119" s="15"/>
      <c r="DA119" s="12"/>
      <c r="DF119" s="15"/>
      <c r="DI119" s="12"/>
      <c r="DJ119" s="1"/>
      <c r="DK119" s="225"/>
      <c r="DL119" s="225"/>
      <c r="DM119" s="225"/>
      <c r="DN119" s="225"/>
      <c r="DO119" s="225"/>
      <c r="DP119" s="225"/>
      <c r="DQ119" s="225"/>
      <c r="DR119" s="225"/>
      <c r="DS119" s="225"/>
      <c r="DT119" s="225"/>
      <c r="DU119" s="225"/>
      <c r="DV119" s="225"/>
      <c r="DW119" s="1"/>
      <c r="EJ119" s="1"/>
      <c r="EK119" s="17"/>
      <c r="EL119" s="17"/>
      <c r="EM119" s="17"/>
      <c r="EN119" s="17"/>
      <c r="EO119" s="17"/>
      <c r="EP119" s="17"/>
      <c r="EQ119" s="17"/>
      <c r="ER119" s="17"/>
      <c r="ES119" s="17"/>
      <c r="EU119" s="17"/>
      <c r="EW119" s="1"/>
      <c r="EX119" s="225"/>
      <c r="EY119" s="225"/>
      <c r="EZ119" s="225"/>
      <c r="FA119" s="225"/>
      <c r="FB119" s="225"/>
      <c r="FC119" s="225"/>
      <c r="FD119" s="225"/>
      <c r="FE119" s="225"/>
      <c r="FF119" s="225"/>
      <c r="FG119" s="10"/>
      <c r="FH119" s="225"/>
      <c r="FI119" s="10"/>
      <c r="FJ119" s="1"/>
      <c r="FK119" s="225"/>
      <c r="FL119" s="225"/>
      <c r="FM119" s="225"/>
      <c r="FN119" s="225"/>
      <c r="FO119" s="225"/>
      <c r="FP119" s="225"/>
      <c r="FQ119" s="225"/>
      <c r="FR119" s="225"/>
      <c r="FS119" s="225"/>
      <c r="FT119" s="191"/>
      <c r="FU119" s="225"/>
      <c r="FV119" s="151"/>
    </row>
    <row r="120" spans="1:178" ht="16" thickBot="1" x14ac:dyDescent="0.25">
      <c r="A120" s="27" t="s">
        <v>41</v>
      </c>
      <c r="B120" t="s">
        <v>142</v>
      </c>
      <c r="C120" s="1"/>
      <c r="D120" s="17"/>
      <c r="E120" s="17"/>
      <c r="F120" s="156"/>
      <c r="G120" s="89"/>
      <c r="H120" s="88"/>
      <c r="I120" s="88"/>
      <c r="J120" s="17"/>
      <c r="K120" s="17"/>
      <c r="L120" s="17"/>
      <c r="M120" s="17"/>
      <c r="N120" s="17"/>
      <c r="O120" s="17"/>
      <c r="P120" s="1"/>
      <c r="Q120" s="48"/>
      <c r="R120" s="49"/>
      <c r="S120" s="49"/>
      <c r="T120" s="50">
        <f t="shared" si="51"/>
        <v>0</v>
      </c>
      <c r="U120" s="48"/>
      <c r="V120" s="49"/>
      <c r="W120" s="49"/>
      <c r="X120" s="50">
        <f t="shared" si="52"/>
        <v>0</v>
      </c>
      <c r="Y120" s="48"/>
      <c r="Z120" s="49"/>
      <c r="AA120" s="49"/>
      <c r="AB120" s="50">
        <f t="shared" si="53"/>
        <v>0</v>
      </c>
      <c r="AC120" s="167"/>
      <c r="AD120" s="166"/>
      <c r="AE120" s="166"/>
      <c r="AF120" s="151">
        <f t="shared" si="54"/>
        <v>0</v>
      </c>
      <c r="AG120" s="166"/>
      <c r="AH120" s="166"/>
      <c r="AI120" s="166"/>
      <c r="AJ120" s="151">
        <f t="shared" si="55"/>
        <v>0</v>
      </c>
      <c r="AK120" s="192"/>
      <c r="AL120" s="10"/>
      <c r="AM120" s="10"/>
      <c r="AN120" s="151">
        <f t="shared" si="56"/>
        <v>0</v>
      </c>
      <c r="AO120" s="191"/>
      <c r="AP120" s="10"/>
      <c r="AQ120" s="10"/>
      <c r="AR120" s="151"/>
      <c r="AS120" s="191"/>
      <c r="AT120" s="10"/>
      <c r="AU120" s="10"/>
      <c r="AV120" s="151"/>
      <c r="AW120" s="191"/>
      <c r="AX120" s="10"/>
      <c r="AY120" s="10"/>
      <c r="AZ120" s="151"/>
      <c r="BA120" s="191"/>
      <c r="BB120" s="10"/>
      <c r="BC120" s="10"/>
      <c r="BD120" s="151"/>
      <c r="BE120" s="191"/>
      <c r="BF120" s="10"/>
      <c r="BG120" s="10"/>
      <c r="BH120" s="151"/>
      <c r="BI120" s="191"/>
      <c r="BJ120" s="10"/>
      <c r="BK120" s="10"/>
      <c r="BL120" s="151"/>
      <c r="BM120" s="1"/>
      <c r="BN120" s="48"/>
      <c r="BO120" s="56"/>
      <c r="BP120" s="56"/>
      <c r="BQ120" s="50"/>
      <c r="BR120" s="48"/>
      <c r="BS120" s="56"/>
      <c r="BT120" s="56"/>
      <c r="BU120" s="50"/>
      <c r="BV120" s="48"/>
      <c r="BW120" s="56"/>
      <c r="BX120" s="56"/>
      <c r="BY120" s="50"/>
      <c r="BZ120" s="48"/>
      <c r="CA120" s="49"/>
      <c r="CB120" s="49"/>
      <c r="CC120" s="50"/>
      <c r="CD120" s="48"/>
      <c r="CE120" s="49"/>
      <c r="CF120" s="49"/>
      <c r="CG120" s="50"/>
      <c r="CK120" s="12"/>
      <c r="CL120" s="15"/>
      <c r="CO120" s="12"/>
      <c r="CP120" s="15"/>
      <c r="CS120" s="12"/>
      <c r="CT120" s="15"/>
      <c r="CW120" s="12"/>
      <c r="CX120" s="15"/>
      <c r="DA120" s="12"/>
      <c r="DF120" s="15"/>
      <c r="DI120" s="12"/>
      <c r="DJ120" s="1"/>
      <c r="DK120" s="225"/>
      <c r="DL120" s="225"/>
      <c r="DM120" s="225"/>
      <c r="DN120" s="225"/>
      <c r="DO120" s="225"/>
      <c r="DP120" s="225"/>
      <c r="DQ120" s="225"/>
      <c r="DR120" s="225"/>
      <c r="DS120" s="225"/>
      <c r="DT120" s="225"/>
      <c r="DU120" s="225"/>
      <c r="DV120" s="225"/>
      <c r="DW120" s="1"/>
      <c r="EJ120" s="1"/>
      <c r="EK120" s="17"/>
      <c r="EL120" s="17"/>
      <c r="EM120" s="17"/>
      <c r="EN120" s="17"/>
      <c r="EO120" s="17"/>
      <c r="EP120" s="17"/>
      <c r="EQ120" s="17"/>
      <c r="ER120" s="17"/>
      <c r="ES120" s="17"/>
      <c r="EU120" s="17"/>
      <c r="EW120" s="1"/>
      <c r="EX120" s="225"/>
      <c r="EY120" s="225"/>
      <c r="EZ120" s="225"/>
      <c r="FA120" s="225"/>
      <c r="FB120" s="225"/>
      <c r="FC120" s="225"/>
      <c r="FD120" s="225"/>
      <c r="FE120" s="225"/>
      <c r="FF120" s="225"/>
      <c r="FG120" s="10"/>
      <c r="FH120" s="225"/>
      <c r="FI120" s="10"/>
      <c r="FJ120" s="1"/>
      <c r="FK120" s="225"/>
      <c r="FL120" s="225"/>
      <c r="FM120" s="225"/>
      <c r="FN120" s="225"/>
      <c r="FO120" s="225"/>
      <c r="FP120" s="225"/>
      <c r="FQ120" s="225"/>
      <c r="FR120" s="225"/>
      <c r="FS120" s="225"/>
      <c r="FT120" s="191"/>
      <c r="FU120" s="225"/>
      <c r="FV120" s="151"/>
    </row>
    <row r="121" spans="1:178" ht="16" thickBot="1" x14ac:dyDescent="0.25">
      <c r="A121" s="27" t="s">
        <v>42</v>
      </c>
      <c r="B121" t="s">
        <v>142</v>
      </c>
      <c r="C121" s="1"/>
      <c r="D121" s="17"/>
      <c r="E121" s="17"/>
      <c r="F121" s="156"/>
      <c r="G121" s="89"/>
      <c r="H121" s="88"/>
      <c r="I121" s="88">
        <v>1</v>
      </c>
      <c r="J121" s="17"/>
      <c r="K121" s="17"/>
      <c r="L121" s="17"/>
      <c r="M121" s="17"/>
      <c r="N121" s="17"/>
      <c r="O121" s="17"/>
      <c r="P121" s="1"/>
      <c r="Q121" s="48"/>
      <c r="R121" s="49"/>
      <c r="S121" s="49"/>
      <c r="T121" s="50">
        <f t="shared" si="51"/>
        <v>0</v>
      </c>
      <c r="U121" s="48"/>
      <c r="V121" s="49"/>
      <c r="W121" s="49"/>
      <c r="X121" s="50">
        <f t="shared" si="52"/>
        <v>0</v>
      </c>
      <c r="Y121" s="48"/>
      <c r="Z121" s="49"/>
      <c r="AA121" s="49"/>
      <c r="AB121" s="50">
        <f t="shared" si="53"/>
        <v>0</v>
      </c>
      <c r="AC121" s="167"/>
      <c r="AD121" s="166"/>
      <c r="AE121" s="166"/>
      <c r="AF121" s="151">
        <f t="shared" si="54"/>
        <v>0</v>
      </c>
      <c r="AG121" s="166"/>
      <c r="AH121" s="166"/>
      <c r="AI121" s="166"/>
      <c r="AJ121" s="151">
        <f t="shared" si="55"/>
        <v>0</v>
      </c>
      <c r="AK121" s="192">
        <v>1324.39</v>
      </c>
      <c r="AL121" s="10"/>
      <c r="AM121" s="10"/>
      <c r="AN121" s="151">
        <f t="shared" si="56"/>
        <v>1324.39</v>
      </c>
      <c r="AO121" s="191"/>
      <c r="AP121" s="10"/>
      <c r="AQ121" s="10"/>
      <c r="AR121" s="151"/>
      <c r="AS121" s="191"/>
      <c r="AT121" s="10"/>
      <c r="AU121" s="10"/>
      <c r="AV121" s="151"/>
      <c r="AW121" s="191"/>
      <c r="AX121" s="10"/>
      <c r="AY121" s="10"/>
      <c r="AZ121" s="151"/>
      <c r="BA121" s="191"/>
      <c r="BB121" s="10"/>
      <c r="BC121" s="10"/>
      <c r="BD121" s="151"/>
      <c r="BE121" s="191"/>
      <c r="BF121" s="10"/>
      <c r="BG121" s="10"/>
      <c r="BH121" s="151"/>
      <c r="BI121" s="191"/>
      <c r="BJ121" s="10"/>
      <c r="BK121" s="10"/>
      <c r="BL121" s="151"/>
      <c r="BM121" s="1"/>
      <c r="BN121" s="48"/>
      <c r="BO121" s="56"/>
      <c r="BP121" s="56"/>
      <c r="BQ121" s="50"/>
      <c r="BR121" s="48"/>
      <c r="BS121" s="56"/>
      <c r="BT121" s="56"/>
      <c r="BU121" s="50"/>
      <c r="BV121" s="48"/>
      <c r="BW121" s="56"/>
      <c r="BX121" s="56"/>
      <c r="BY121" s="50"/>
      <c r="BZ121" s="48"/>
      <c r="CA121" s="49"/>
      <c r="CB121" s="49"/>
      <c r="CC121" s="50"/>
      <c r="CD121" s="48"/>
      <c r="CE121" s="49"/>
      <c r="CF121" s="49"/>
      <c r="CG121" s="50"/>
      <c r="CK121" s="12"/>
      <c r="CL121" s="15"/>
      <c r="CO121" s="12"/>
      <c r="CP121" s="15"/>
      <c r="CS121" s="12"/>
      <c r="CT121" s="15"/>
      <c r="CW121" s="12"/>
      <c r="CX121" s="15"/>
      <c r="DA121" s="12"/>
      <c r="DF121" s="15"/>
      <c r="DI121" s="12"/>
      <c r="DJ121" s="1"/>
      <c r="DK121" s="225"/>
      <c r="DL121" s="225"/>
      <c r="DM121" s="225"/>
      <c r="DN121" s="225"/>
      <c r="DO121" s="225"/>
      <c r="DP121" s="225"/>
      <c r="DQ121" s="225"/>
      <c r="DR121" s="225"/>
      <c r="DS121" s="225"/>
      <c r="DT121" s="225"/>
      <c r="DU121" s="225"/>
      <c r="DV121" s="225"/>
      <c r="DW121" s="1"/>
      <c r="EJ121" s="1"/>
      <c r="EK121" s="17"/>
      <c r="EL121" s="17"/>
      <c r="EM121" s="17"/>
      <c r="EN121" s="17"/>
      <c r="EO121" s="17"/>
      <c r="EP121" s="17"/>
      <c r="EQ121" s="17"/>
      <c r="ER121" s="17"/>
      <c r="ES121" s="17"/>
      <c r="EU121" s="17"/>
      <c r="EW121" s="1"/>
      <c r="EX121" s="225"/>
      <c r="EY121" s="225"/>
      <c r="EZ121" s="225"/>
      <c r="FA121" s="225"/>
      <c r="FB121" s="225"/>
      <c r="FC121" s="225"/>
      <c r="FD121" s="225"/>
      <c r="FE121" s="225"/>
      <c r="FF121" s="225"/>
      <c r="FG121" s="10"/>
      <c r="FH121" s="225"/>
      <c r="FI121" s="10"/>
      <c r="FJ121" s="1"/>
      <c r="FK121" s="225"/>
      <c r="FL121" s="225"/>
      <c r="FM121" s="225"/>
      <c r="FN121" s="225"/>
      <c r="FO121" s="225"/>
      <c r="FP121" s="225"/>
      <c r="FQ121" s="225"/>
      <c r="FR121" s="225"/>
      <c r="FS121" s="225"/>
      <c r="FT121" s="191"/>
      <c r="FU121" s="225"/>
      <c r="FV121" s="151"/>
    </row>
    <row r="122" spans="1:178" ht="16" thickBot="1" x14ac:dyDescent="0.25">
      <c r="A122" s="27" t="s">
        <v>43</v>
      </c>
      <c r="B122" t="s">
        <v>142</v>
      </c>
      <c r="C122" s="1"/>
      <c r="D122" s="17"/>
      <c r="E122" s="17"/>
      <c r="F122" s="156"/>
      <c r="G122" s="89"/>
      <c r="H122" s="88"/>
      <c r="I122" s="88">
        <v>1</v>
      </c>
      <c r="J122" s="17"/>
      <c r="K122" s="17"/>
      <c r="L122" s="17"/>
      <c r="M122" s="17"/>
      <c r="N122" s="17"/>
      <c r="O122" s="17"/>
      <c r="P122" s="1"/>
      <c r="Q122" s="48"/>
      <c r="R122" s="49"/>
      <c r="S122" s="49"/>
      <c r="T122" s="50">
        <f t="shared" si="51"/>
        <v>0</v>
      </c>
      <c r="U122" s="48"/>
      <c r="V122" s="49"/>
      <c r="W122" s="49"/>
      <c r="X122" s="50">
        <f t="shared" si="52"/>
        <v>0</v>
      </c>
      <c r="Y122" s="48"/>
      <c r="Z122" s="49"/>
      <c r="AA122" s="49"/>
      <c r="AB122" s="50">
        <f t="shared" si="53"/>
        <v>0</v>
      </c>
      <c r="AC122" s="167"/>
      <c r="AD122" s="166"/>
      <c r="AE122" s="166"/>
      <c r="AF122" s="151">
        <f t="shared" si="54"/>
        <v>0</v>
      </c>
      <c r="AG122" s="166"/>
      <c r="AH122" s="166"/>
      <c r="AI122" s="166"/>
      <c r="AJ122" s="151">
        <f t="shared" si="55"/>
        <v>0</v>
      </c>
      <c r="AK122" s="192"/>
      <c r="AL122" s="10">
        <v>2416.89</v>
      </c>
      <c r="AM122" s="10"/>
      <c r="AN122" s="151">
        <f t="shared" si="56"/>
        <v>2416.89</v>
      </c>
      <c r="AO122" s="191"/>
      <c r="AP122" s="10"/>
      <c r="AQ122" s="10"/>
      <c r="AR122" s="151"/>
      <c r="AS122" s="191"/>
      <c r="AT122" s="10"/>
      <c r="AU122" s="10"/>
      <c r="AV122" s="151"/>
      <c r="AW122" s="191"/>
      <c r="AX122" s="10"/>
      <c r="AY122" s="10"/>
      <c r="AZ122" s="151"/>
      <c r="BA122" s="191"/>
      <c r="BB122" s="10"/>
      <c r="BC122" s="10"/>
      <c r="BD122" s="151"/>
      <c r="BE122" s="191"/>
      <c r="BF122" s="10"/>
      <c r="BG122" s="10"/>
      <c r="BH122" s="151"/>
      <c r="BI122" s="191"/>
      <c r="BJ122" s="10"/>
      <c r="BK122" s="10"/>
      <c r="BL122" s="151"/>
      <c r="BM122" s="1"/>
      <c r="BN122" s="48"/>
      <c r="BO122" s="56"/>
      <c r="BP122" s="56"/>
      <c r="BQ122" s="50"/>
      <c r="BR122" s="48"/>
      <c r="BS122" s="56"/>
      <c r="BT122" s="56"/>
      <c r="BU122" s="50"/>
      <c r="BV122" s="48"/>
      <c r="BW122" s="56"/>
      <c r="BX122" s="56"/>
      <c r="BY122" s="50"/>
      <c r="BZ122" s="48"/>
      <c r="CA122" s="49"/>
      <c r="CB122" s="49"/>
      <c r="CC122" s="50"/>
      <c r="CD122" s="48"/>
      <c r="CE122" s="49"/>
      <c r="CF122" s="49"/>
      <c r="CG122" s="50"/>
      <c r="CK122" s="12"/>
      <c r="CL122" s="15"/>
      <c r="CO122" s="12"/>
      <c r="CP122" s="15"/>
      <c r="CS122" s="12"/>
      <c r="CT122" s="15"/>
      <c r="CW122" s="12"/>
      <c r="CX122" s="15"/>
      <c r="DA122" s="12"/>
      <c r="DF122" s="15"/>
      <c r="DI122" s="12"/>
      <c r="DJ122" s="1"/>
      <c r="DK122" s="225"/>
      <c r="DL122" s="225"/>
      <c r="DM122" s="225"/>
      <c r="DN122" s="225"/>
      <c r="DO122" s="225"/>
      <c r="DP122" s="225"/>
      <c r="DQ122" s="225"/>
      <c r="DR122" s="225"/>
      <c r="DS122" s="225"/>
      <c r="DT122" s="225"/>
      <c r="DU122" s="225"/>
      <c r="DV122" s="225"/>
      <c r="DW122" s="1"/>
      <c r="EJ122" s="1"/>
      <c r="EK122" s="17"/>
      <c r="EL122" s="17"/>
      <c r="EM122" s="17"/>
      <c r="EN122" s="17"/>
      <c r="EO122" s="17"/>
      <c r="EP122" s="17"/>
      <c r="EQ122" s="17"/>
      <c r="ER122" s="17"/>
      <c r="ES122" s="17"/>
      <c r="EU122" s="17"/>
      <c r="EW122" s="1"/>
      <c r="EX122" s="225"/>
      <c r="EY122" s="225"/>
      <c r="EZ122" s="225"/>
      <c r="FA122" s="225"/>
      <c r="FB122" s="225"/>
      <c r="FC122" s="225"/>
      <c r="FD122" s="225"/>
      <c r="FE122" s="225"/>
      <c r="FF122" s="225"/>
      <c r="FG122" s="10"/>
      <c r="FH122" s="225"/>
      <c r="FI122" s="10"/>
      <c r="FJ122" s="1"/>
      <c r="FK122" s="225"/>
      <c r="FL122" s="225"/>
      <c r="FM122" s="225"/>
      <c r="FN122" s="225"/>
      <c r="FO122" s="225"/>
      <c r="FP122" s="225"/>
      <c r="FQ122" s="225"/>
      <c r="FR122" s="225"/>
      <c r="FS122" s="225"/>
      <c r="FT122" s="191"/>
      <c r="FU122" s="225"/>
      <c r="FV122" s="151"/>
    </row>
    <row r="123" spans="1:178" ht="16" thickBot="1" x14ac:dyDescent="0.25">
      <c r="A123" s="27" t="s">
        <v>44</v>
      </c>
      <c r="B123" t="s">
        <v>142</v>
      </c>
      <c r="C123" s="1"/>
      <c r="D123" s="17"/>
      <c r="E123" s="17"/>
      <c r="F123" s="156"/>
      <c r="G123" s="89"/>
      <c r="H123" s="88"/>
      <c r="I123" s="88"/>
      <c r="J123" s="17"/>
      <c r="K123" s="17"/>
      <c r="L123" s="17"/>
      <c r="M123" s="17"/>
      <c r="N123" s="17"/>
      <c r="O123" s="17"/>
      <c r="P123" s="1"/>
      <c r="Q123" s="48"/>
      <c r="R123" s="49"/>
      <c r="S123" s="49"/>
      <c r="T123" s="50">
        <f t="shared" si="51"/>
        <v>0</v>
      </c>
      <c r="U123" s="48"/>
      <c r="V123" s="49"/>
      <c r="W123" s="49"/>
      <c r="X123" s="50">
        <f t="shared" si="52"/>
        <v>0</v>
      </c>
      <c r="Y123" s="48"/>
      <c r="Z123" s="49"/>
      <c r="AA123" s="49"/>
      <c r="AB123" s="50">
        <f t="shared" si="53"/>
        <v>0</v>
      </c>
      <c r="AC123" s="167"/>
      <c r="AD123" s="166"/>
      <c r="AE123" s="166"/>
      <c r="AF123" s="151">
        <f t="shared" si="54"/>
        <v>0</v>
      </c>
      <c r="AG123" s="166"/>
      <c r="AH123" s="166"/>
      <c r="AI123" s="166"/>
      <c r="AJ123" s="151">
        <f t="shared" si="55"/>
        <v>0</v>
      </c>
      <c r="AK123" s="192"/>
      <c r="AL123" s="10"/>
      <c r="AM123" s="10"/>
      <c r="AN123" s="151">
        <f t="shared" si="56"/>
        <v>0</v>
      </c>
      <c r="AO123" s="191"/>
      <c r="AP123" s="10"/>
      <c r="AQ123" s="10"/>
      <c r="AR123" s="151"/>
      <c r="AS123" s="191"/>
      <c r="AT123" s="10"/>
      <c r="AU123" s="10"/>
      <c r="AV123" s="151"/>
      <c r="AW123" s="191"/>
      <c r="AX123" s="10"/>
      <c r="AY123" s="10"/>
      <c r="AZ123" s="151"/>
      <c r="BA123" s="191"/>
      <c r="BB123" s="10"/>
      <c r="BC123" s="10"/>
      <c r="BD123" s="151"/>
      <c r="BE123" s="191"/>
      <c r="BF123" s="10"/>
      <c r="BG123" s="10"/>
      <c r="BH123" s="151"/>
      <c r="BI123" s="191"/>
      <c r="BJ123" s="10"/>
      <c r="BK123" s="10"/>
      <c r="BL123" s="151"/>
      <c r="BM123" s="1"/>
      <c r="BN123" s="48"/>
      <c r="BO123" s="56"/>
      <c r="BP123" s="56"/>
      <c r="BQ123" s="50"/>
      <c r="BR123" s="48"/>
      <c r="BS123" s="56"/>
      <c r="BT123" s="56"/>
      <c r="BU123" s="50"/>
      <c r="BV123" s="48"/>
      <c r="BW123" s="56"/>
      <c r="BX123" s="56"/>
      <c r="BY123" s="50"/>
      <c r="BZ123" s="48"/>
      <c r="CA123" s="49"/>
      <c r="CB123" s="49"/>
      <c r="CC123" s="50"/>
      <c r="CD123" s="48"/>
      <c r="CE123" s="49"/>
      <c r="CF123" s="49"/>
      <c r="CG123" s="50"/>
      <c r="CK123" s="12"/>
      <c r="CL123" s="15"/>
      <c r="CO123" s="12"/>
      <c r="CP123" s="15"/>
      <c r="CS123" s="12"/>
      <c r="CT123" s="15"/>
      <c r="CW123" s="12"/>
      <c r="CX123" s="15"/>
      <c r="DA123" s="12"/>
      <c r="DF123" s="15"/>
      <c r="DI123" s="12"/>
      <c r="DJ123" s="1"/>
      <c r="DK123" s="225"/>
      <c r="DL123" s="225"/>
      <c r="DM123" s="225"/>
      <c r="DN123" s="225"/>
      <c r="DO123" s="225"/>
      <c r="DP123" s="225"/>
      <c r="DQ123" s="225"/>
      <c r="DR123" s="225"/>
      <c r="DS123" s="225"/>
      <c r="DT123" s="225"/>
      <c r="DU123" s="225"/>
      <c r="DV123" s="225"/>
      <c r="DW123" s="1"/>
      <c r="EJ123" s="1"/>
      <c r="EK123" s="17"/>
      <c r="EL123" s="17"/>
      <c r="EM123" s="17"/>
      <c r="EN123" s="17"/>
      <c r="EO123" s="17"/>
      <c r="EP123" s="17"/>
      <c r="EQ123" s="17"/>
      <c r="ER123" s="17"/>
      <c r="ES123" s="17"/>
      <c r="EU123" s="17"/>
      <c r="EW123" s="1"/>
      <c r="EX123" s="225"/>
      <c r="EY123" s="225"/>
      <c r="EZ123" s="225"/>
      <c r="FA123" s="225"/>
      <c r="FB123" s="225"/>
      <c r="FC123" s="225"/>
      <c r="FD123" s="225"/>
      <c r="FE123" s="225"/>
      <c r="FF123" s="225"/>
      <c r="FG123" s="10"/>
      <c r="FH123" s="225"/>
      <c r="FI123" s="10"/>
      <c r="FJ123" s="1"/>
      <c r="FK123" s="225"/>
      <c r="FL123" s="225"/>
      <c r="FM123" s="225"/>
      <c r="FN123" s="225"/>
      <c r="FO123" s="225"/>
      <c r="FP123" s="225"/>
      <c r="FQ123" s="225"/>
      <c r="FR123" s="225"/>
      <c r="FS123" s="225"/>
      <c r="FT123" s="191"/>
      <c r="FU123" s="225"/>
      <c r="FV123" s="151"/>
    </row>
    <row r="124" spans="1:178" ht="16" thickBot="1" x14ac:dyDescent="0.25">
      <c r="A124" s="27" t="s">
        <v>45</v>
      </c>
      <c r="B124" t="s">
        <v>142</v>
      </c>
      <c r="C124" s="1"/>
      <c r="D124" s="17"/>
      <c r="E124" s="17"/>
      <c r="F124" s="156"/>
      <c r="G124" s="89"/>
      <c r="H124" s="88"/>
      <c r="I124" s="88"/>
      <c r="J124" s="17"/>
      <c r="K124" s="17"/>
      <c r="L124" s="17"/>
      <c r="M124" s="17"/>
      <c r="N124" s="17"/>
      <c r="O124" s="17"/>
      <c r="P124" s="1"/>
      <c r="Q124" s="48"/>
      <c r="R124" s="49"/>
      <c r="S124" s="49"/>
      <c r="T124" s="50">
        <f t="shared" si="51"/>
        <v>0</v>
      </c>
      <c r="U124" s="48"/>
      <c r="V124" s="49"/>
      <c r="W124" s="49"/>
      <c r="X124" s="50">
        <f t="shared" si="52"/>
        <v>0</v>
      </c>
      <c r="Y124" s="48"/>
      <c r="Z124" s="49"/>
      <c r="AA124" s="49"/>
      <c r="AB124" s="50">
        <f t="shared" si="53"/>
        <v>0</v>
      </c>
      <c r="AC124" s="167"/>
      <c r="AD124" s="166"/>
      <c r="AE124" s="166"/>
      <c r="AF124" s="151">
        <f t="shared" si="54"/>
        <v>0</v>
      </c>
      <c r="AG124" s="166"/>
      <c r="AH124" s="166"/>
      <c r="AI124" s="166"/>
      <c r="AJ124" s="151">
        <f t="shared" si="55"/>
        <v>0</v>
      </c>
      <c r="AK124" s="192"/>
      <c r="AL124" s="10"/>
      <c r="AM124" s="10"/>
      <c r="AN124" s="151">
        <f t="shared" si="56"/>
        <v>0</v>
      </c>
      <c r="AO124" s="191"/>
      <c r="AP124" s="10"/>
      <c r="AQ124" s="10"/>
      <c r="AR124" s="151"/>
      <c r="AS124" s="191"/>
      <c r="AT124" s="10"/>
      <c r="AU124" s="10"/>
      <c r="AV124" s="151"/>
      <c r="AW124" s="191"/>
      <c r="AX124" s="10"/>
      <c r="AY124" s="10"/>
      <c r="AZ124" s="151"/>
      <c r="BA124" s="191"/>
      <c r="BB124" s="10"/>
      <c r="BC124" s="10"/>
      <c r="BD124" s="151"/>
      <c r="BE124" s="191"/>
      <c r="BF124" s="10"/>
      <c r="BG124" s="10"/>
      <c r="BH124" s="151"/>
      <c r="BI124" s="191"/>
      <c r="BJ124" s="10"/>
      <c r="BK124" s="10"/>
      <c r="BL124" s="151"/>
      <c r="BM124" s="1"/>
      <c r="BN124" s="48"/>
      <c r="BO124" s="56"/>
      <c r="BP124" s="56"/>
      <c r="BQ124" s="50"/>
      <c r="BR124" s="48"/>
      <c r="BS124" s="56"/>
      <c r="BT124" s="56"/>
      <c r="BU124" s="50"/>
      <c r="BV124" s="48"/>
      <c r="BW124" s="56"/>
      <c r="BX124" s="56"/>
      <c r="BY124" s="50"/>
      <c r="BZ124" s="48"/>
      <c r="CA124" s="49"/>
      <c r="CB124" s="49"/>
      <c r="CC124" s="50"/>
      <c r="CD124" s="48"/>
      <c r="CE124" s="49"/>
      <c r="CF124" s="49"/>
      <c r="CG124" s="50"/>
      <c r="CK124" s="12"/>
      <c r="CL124" s="15"/>
      <c r="CO124" s="12"/>
      <c r="CP124" s="15"/>
      <c r="CS124" s="12"/>
      <c r="CT124" s="15"/>
      <c r="CW124" s="12"/>
      <c r="CX124" s="15"/>
      <c r="DA124" s="12"/>
      <c r="DF124" s="15"/>
      <c r="DI124" s="12"/>
      <c r="DJ124" s="1"/>
      <c r="DK124" s="225"/>
      <c r="DL124" s="225"/>
      <c r="DM124" s="225"/>
      <c r="DN124" s="225"/>
      <c r="DO124" s="225"/>
      <c r="DP124" s="225"/>
      <c r="DQ124" s="225"/>
      <c r="DR124" s="225"/>
      <c r="DS124" s="225"/>
      <c r="DT124" s="225"/>
      <c r="DU124" s="225"/>
      <c r="DV124" s="225"/>
      <c r="DW124" s="1"/>
      <c r="EJ124" s="1"/>
      <c r="EK124" s="17"/>
      <c r="EL124" s="17"/>
      <c r="EM124" s="17"/>
      <c r="EN124" s="17"/>
      <c r="EO124" s="17"/>
      <c r="EP124" s="17"/>
      <c r="EQ124" s="17"/>
      <c r="ER124" s="17"/>
      <c r="ES124" s="17"/>
      <c r="EU124" s="17"/>
      <c r="EW124" s="1"/>
      <c r="EX124" s="225"/>
      <c r="EY124" s="225"/>
      <c r="EZ124" s="225"/>
      <c r="FA124" s="225"/>
      <c r="FB124" s="225"/>
      <c r="FC124" s="225"/>
      <c r="FD124" s="225"/>
      <c r="FE124" s="225"/>
      <c r="FF124" s="225"/>
      <c r="FG124" s="10"/>
      <c r="FH124" s="225"/>
      <c r="FI124" s="10"/>
      <c r="FJ124" s="1"/>
      <c r="FK124" s="225"/>
      <c r="FL124" s="225"/>
      <c r="FM124" s="225"/>
      <c r="FN124" s="225"/>
      <c r="FO124" s="225"/>
      <c r="FP124" s="225"/>
      <c r="FQ124" s="225"/>
      <c r="FR124" s="225"/>
      <c r="FS124" s="225"/>
      <c r="FT124" s="191"/>
      <c r="FU124" s="225"/>
      <c r="FV124" s="151"/>
    </row>
    <row r="125" spans="1:178" ht="16" thickBot="1" x14ac:dyDescent="0.25">
      <c r="A125" s="27" t="s">
        <v>46</v>
      </c>
      <c r="B125" t="s">
        <v>142</v>
      </c>
      <c r="C125" s="1"/>
      <c r="D125" s="17"/>
      <c r="E125" s="17"/>
      <c r="F125" s="156"/>
      <c r="G125" s="89"/>
      <c r="H125" s="88"/>
      <c r="I125" s="88"/>
      <c r="J125" s="17"/>
      <c r="K125" s="17"/>
      <c r="L125" s="17"/>
      <c r="M125" s="17"/>
      <c r="N125" s="17"/>
      <c r="O125" s="17"/>
      <c r="P125" s="1"/>
      <c r="Q125" s="48"/>
      <c r="R125" s="49"/>
      <c r="S125" s="49"/>
      <c r="T125" s="50">
        <f t="shared" si="51"/>
        <v>0</v>
      </c>
      <c r="U125" s="48"/>
      <c r="V125" s="49"/>
      <c r="W125" s="49"/>
      <c r="X125" s="50">
        <f t="shared" si="52"/>
        <v>0</v>
      </c>
      <c r="Y125" s="48"/>
      <c r="Z125" s="49"/>
      <c r="AA125" s="49"/>
      <c r="AB125" s="50">
        <f t="shared" si="53"/>
        <v>0</v>
      </c>
      <c r="AC125" s="167"/>
      <c r="AD125" s="166"/>
      <c r="AE125" s="166"/>
      <c r="AF125" s="151">
        <f t="shared" si="54"/>
        <v>0</v>
      </c>
      <c r="AG125" s="166"/>
      <c r="AH125" s="166"/>
      <c r="AI125" s="166"/>
      <c r="AJ125" s="151">
        <f t="shared" si="55"/>
        <v>0</v>
      </c>
      <c r="AK125" s="192"/>
      <c r="AL125" s="10"/>
      <c r="AM125" s="10"/>
      <c r="AN125" s="151">
        <f t="shared" si="56"/>
        <v>0</v>
      </c>
      <c r="AO125" s="191"/>
      <c r="AP125" s="10"/>
      <c r="AQ125" s="10"/>
      <c r="AR125" s="151"/>
      <c r="AS125" s="191"/>
      <c r="AT125" s="10"/>
      <c r="AU125" s="10"/>
      <c r="AV125" s="151"/>
      <c r="AW125" s="191"/>
      <c r="AX125" s="10"/>
      <c r="AY125" s="10"/>
      <c r="AZ125" s="151"/>
      <c r="BA125" s="191"/>
      <c r="BB125" s="10"/>
      <c r="BC125" s="10"/>
      <c r="BD125" s="151"/>
      <c r="BE125" s="191"/>
      <c r="BF125" s="10"/>
      <c r="BG125" s="10"/>
      <c r="BH125" s="151"/>
      <c r="BI125" s="191"/>
      <c r="BJ125" s="10"/>
      <c r="BK125" s="10"/>
      <c r="BL125" s="151"/>
      <c r="BM125" s="1"/>
      <c r="BN125" s="48"/>
      <c r="BO125" s="56"/>
      <c r="BP125" s="56"/>
      <c r="BQ125" s="50"/>
      <c r="BR125" s="48"/>
      <c r="BS125" s="56"/>
      <c r="BT125" s="56"/>
      <c r="BU125" s="50"/>
      <c r="BV125" s="48"/>
      <c r="BW125" s="56"/>
      <c r="BX125" s="56"/>
      <c r="BY125" s="50"/>
      <c r="BZ125" s="48"/>
      <c r="CA125" s="49"/>
      <c r="CB125" s="49"/>
      <c r="CC125" s="50"/>
      <c r="CD125" s="48"/>
      <c r="CE125" s="49"/>
      <c r="CF125" s="49"/>
      <c r="CG125" s="50"/>
      <c r="CK125" s="12"/>
      <c r="CL125" s="15"/>
      <c r="CO125" s="12"/>
      <c r="CP125" s="15"/>
      <c r="CS125" s="12"/>
      <c r="CT125" s="15"/>
      <c r="CW125" s="12"/>
      <c r="CX125" s="15"/>
      <c r="DA125" s="12"/>
      <c r="DF125" s="15"/>
      <c r="DI125" s="12"/>
      <c r="DJ125" s="1"/>
      <c r="DK125" s="225"/>
      <c r="DL125" s="225"/>
      <c r="DM125" s="225"/>
      <c r="DN125" s="225"/>
      <c r="DO125" s="225"/>
      <c r="DP125" s="225"/>
      <c r="DQ125" s="225"/>
      <c r="DR125" s="225"/>
      <c r="DS125" s="225"/>
      <c r="DT125" s="225"/>
      <c r="DU125" s="225"/>
      <c r="DV125" s="225"/>
      <c r="DW125" s="1"/>
      <c r="EJ125" s="1"/>
      <c r="EK125" s="17"/>
      <c r="EL125" s="17"/>
      <c r="EM125" s="17"/>
      <c r="EN125" s="17"/>
      <c r="EO125" s="17"/>
      <c r="EP125" s="17"/>
      <c r="EQ125" s="17"/>
      <c r="ER125" s="17"/>
      <c r="ES125" s="17"/>
      <c r="EU125" s="17"/>
      <c r="EW125" s="1"/>
      <c r="EX125" s="225"/>
      <c r="EY125" s="225"/>
      <c r="EZ125" s="225"/>
      <c r="FA125" s="225"/>
      <c r="FB125" s="225"/>
      <c r="FC125" s="225"/>
      <c r="FD125" s="225"/>
      <c r="FE125" s="225"/>
      <c r="FF125" s="225"/>
      <c r="FG125" s="10"/>
      <c r="FH125" s="225"/>
      <c r="FI125" s="10"/>
      <c r="FJ125" s="1"/>
      <c r="FK125" s="225"/>
      <c r="FL125" s="225"/>
      <c r="FM125" s="225"/>
      <c r="FN125" s="225"/>
      <c r="FO125" s="225"/>
      <c r="FP125" s="225"/>
      <c r="FQ125" s="225"/>
      <c r="FR125" s="225"/>
      <c r="FS125" s="225"/>
      <c r="FT125" s="191"/>
      <c r="FU125" s="225"/>
      <c r="FV125" s="151"/>
    </row>
    <row r="126" spans="1:178" ht="16" thickBot="1" x14ac:dyDescent="0.25">
      <c r="A126" s="27" t="s">
        <v>47</v>
      </c>
      <c r="B126" t="s">
        <v>142</v>
      </c>
      <c r="C126" s="1"/>
      <c r="D126" s="17">
        <v>1</v>
      </c>
      <c r="E126" s="17"/>
      <c r="F126" s="156">
        <v>1</v>
      </c>
      <c r="G126" s="89">
        <v>1</v>
      </c>
      <c r="H126" s="87"/>
      <c r="I126" s="88">
        <v>1</v>
      </c>
      <c r="J126" s="17"/>
      <c r="K126" s="17"/>
      <c r="L126" s="17"/>
      <c r="M126" s="17"/>
      <c r="N126" s="17"/>
      <c r="O126" s="17"/>
      <c r="P126" s="1"/>
      <c r="Q126" s="48">
        <v>378.5</v>
      </c>
      <c r="R126" s="49"/>
      <c r="S126" s="49"/>
      <c r="T126" s="50">
        <f t="shared" si="51"/>
        <v>378.5</v>
      </c>
      <c r="U126" s="48"/>
      <c r="V126" s="49"/>
      <c r="W126" s="49"/>
      <c r="X126" s="50">
        <f t="shared" si="52"/>
        <v>0</v>
      </c>
      <c r="Y126" s="48">
        <v>616.82000000000005</v>
      </c>
      <c r="Z126" s="49"/>
      <c r="AA126" s="49"/>
      <c r="AB126" s="50">
        <f t="shared" si="53"/>
        <v>616.82000000000005</v>
      </c>
      <c r="AC126" s="167">
        <v>342.26</v>
      </c>
      <c r="AD126" s="166"/>
      <c r="AE126" s="166"/>
      <c r="AF126" s="151">
        <f t="shared" si="54"/>
        <v>342.26</v>
      </c>
      <c r="AG126" s="165"/>
      <c r="AH126" s="166"/>
      <c r="AI126" s="166"/>
      <c r="AJ126" s="151">
        <f t="shared" si="55"/>
        <v>0</v>
      </c>
      <c r="AK126" s="192">
        <v>1315.61</v>
      </c>
      <c r="AL126" s="10"/>
      <c r="AM126" s="10"/>
      <c r="AN126" s="151">
        <f t="shared" si="56"/>
        <v>1315.61</v>
      </c>
      <c r="AO126" s="191"/>
      <c r="AP126" s="10"/>
      <c r="AQ126" s="10"/>
      <c r="AR126" s="151"/>
      <c r="AS126" s="191"/>
      <c r="AT126" s="10"/>
      <c r="AU126" s="10"/>
      <c r="AV126" s="151"/>
      <c r="AW126" s="191"/>
      <c r="AX126" s="10"/>
      <c r="AY126" s="10"/>
      <c r="AZ126" s="151"/>
      <c r="BA126" s="191"/>
      <c r="BB126" s="10"/>
      <c r="BC126" s="10"/>
      <c r="BD126" s="151"/>
      <c r="BE126" s="191"/>
      <c r="BF126" s="10"/>
      <c r="BG126" s="10"/>
      <c r="BH126" s="151"/>
      <c r="BI126" s="191"/>
      <c r="BJ126" s="10"/>
      <c r="BK126" s="10"/>
      <c r="BL126" s="151"/>
      <c r="BM126" s="1"/>
      <c r="BN126" s="48"/>
      <c r="BO126" s="56"/>
      <c r="BP126" s="56"/>
      <c r="BQ126" s="50"/>
      <c r="BR126" s="48"/>
      <c r="BS126" s="56"/>
      <c r="BT126" s="56"/>
      <c r="BU126" s="50"/>
      <c r="BV126" s="48"/>
      <c r="BW126" s="56"/>
      <c r="BX126" s="56"/>
      <c r="BY126" s="50"/>
      <c r="BZ126" s="48"/>
      <c r="CA126" s="49"/>
      <c r="CB126" s="49"/>
      <c r="CC126" s="50"/>
      <c r="CD126" s="48"/>
      <c r="CE126" s="49"/>
      <c r="CF126" s="49"/>
      <c r="CG126" s="50"/>
      <c r="CK126" s="12"/>
      <c r="CL126" s="15"/>
      <c r="CO126" s="12"/>
      <c r="CP126" s="15"/>
      <c r="CS126" s="12"/>
      <c r="CT126" s="15"/>
      <c r="CW126" s="12"/>
      <c r="CX126" s="15"/>
      <c r="DA126" s="12"/>
      <c r="DF126" s="15"/>
      <c r="DI126" s="12"/>
      <c r="DJ126" s="1"/>
      <c r="DK126" s="225"/>
      <c r="DL126" s="225"/>
      <c r="DM126" s="225"/>
      <c r="DN126" s="225"/>
      <c r="DO126" s="225"/>
      <c r="DP126" s="225"/>
      <c r="DQ126" s="225"/>
      <c r="DR126" s="225"/>
      <c r="DS126" s="225"/>
      <c r="DT126" s="225"/>
      <c r="DU126" s="225"/>
      <c r="DV126" s="225"/>
      <c r="DW126" s="1"/>
      <c r="EJ126" s="1"/>
      <c r="EK126" s="17"/>
      <c r="EL126" s="17"/>
      <c r="EM126" s="17"/>
      <c r="EN126" s="17"/>
      <c r="EO126" s="17"/>
      <c r="EP126" s="17"/>
      <c r="EQ126" s="17"/>
      <c r="ER126" s="17"/>
      <c r="ES126" s="17"/>
      <c r="EU126" s="17"/>
      <c r="EW126" s="1"/>
      <c r="EX126" s="225"/>
      <c r="EY126" s="225"/>
      <c r="EZ126" s="225"/>
      <c r="FA126" s="225"/>
      <c r="FB126" s="225"/>
      <c r="FC126" s="225"/>
      <c r="FD126" s="225"/>
      <c r="FE126" s="225"/>
      <c r="FF126" s="225"/>
      <c r="FG126" s="10"/>
      <c r="FH126" s="225"/>
      <c r="FI126" s="10"/>
      <c r="FJ126" s="1"/>
      <c r="FK126" s="225"/>
      <c r="FL126" s="225"/>
      <c r="FM126" s="225"/>
      <c r="FN126" s="225"/>
      <c r="FO126" s="225"/>
      <c r="FP126" s="225"/>
      <c r="FQ126" s="225"/>
      <c r="FR126" s="225"/>
      <c r="FS126" s="225"/>
      <c r="FT126" s="191"/>
      <c r="FU126" s="225"/>
      <c r="FV126" s="151"/>
    </row>
    <row r="127" spans="1:178" ht="16" thickBot="1" x14ac:dyDescent="0.25">
      <c r="A127" s="27" t="s">
        <v>48</v>
      </c>
      <c r="B127" t="s">
        <v>142</v>
      </c>
      <c r="C127" s="1"/>
      <c r="D127" s="17"/>
      <c r="E127" s="17"/>
      <c r="F127" s="156"/>
      <c r="G127" s="89"/>
      <c r="H127" s="88"/>
      <c r="I127" s="88"/>
      <c r="J127" s="17"/>
      <c r="K127" s="17"/>
      <c r="L127" s="17"/>
      <c r="M127" s="17"/>
      <c r="N127" s="17"/>
      <c r="O127" s="17"/>
      <c r="P127" s="1"/>
      <c r="Q127" s="48"/>
      <c r="R127" s="49"/>
      <c r="S127" s="49"/>
      <c r="T127" s="50">
        <f t="shared" si="51"/>
        <v>0</v>
      </c>
      <c r="U127" s="48"/>
      <c r="V127" s="49"/>
      <c r="W127" s="49"/>
      <c r="X127" s="50">
        <f t="shared" si="52"/>
        <v>0</v>
      </c>
      <c r="Y127" s="48"/>
      <c r="Z127" s="49"/>
      <c r="AA127" s="49"/>
      <c r="AB127" s="50">
        <f t="shared" si="53"/>
        <v>0</v>
      </c>
      <c r="AC127" s="167"/>
      <c r="AD127" s="166"/>
      <c r="AE127" s="166"/>
      <c r="AF127" s="151">
        <f t="shared" si="54"/>
        <v>0</v>
      </c>
      <c r="AG127" s="166"/>
      <c r="AH127" s="166"/>
      <c r="AI127" s="166"/>
      <c r="AJ127" s="151">
        <f t="shared" si="55"/>
        <v>0</v>
      </c>
      <c r="AK127" s="192"/>
      <c r="AL127" s="10"/>
      <c r="AM127" s="10"/>
      <c r="AN127" s="151">
        <f t="shared" si="56"/>
        <v>0</v>
      </c>
      <c r="AO127" s="191"/>
      <c r="AP127" s="10"/>
      <c r="AQ127" s="10"/>
      <c r="AR127" s="151"/>
      <c r="AS127" s="191"/>
      <c r="AT127" s="10"/>
      <c r="AU127" s="10"/>
      <c r="AV127" s="151"/>
      <c r="AW127" s="191"/>
      <c r="AX127" s="10"/>
      <c r="AY127" s="10"/>
      <c r="AZ127" s="151"/>
      <c r="BA127" s="191"/>
      <c r="BB127" s="10"/>
      <c r="BC127" s="10"/>
      <c r="BD127" s="151"/>
      <c r="BE127" s="191"/>
      <c r="BF127" s="10"/>
      <c r="BG127" s="10"/>
      <c r="BH127" s="151"/>
      <c r="BI127" s="191"/>
      <c r="BJ127" s="10"/>
      <c r="BK127" s="10"/>
      <c r="BL127" s="151"/>
      <c r="BM127" s="1"/>
      <c r="BN127" s="48"/>
      <c r="BO127" s="56"/>
      <c r="BP127" s="56"/>
      <c r="BQ127" s="50"/>
      <c r="BR127" s="48"/>
      <c r="BS127" s="56"/>
      <c r="BT127" s="56"/>
      <c r="BU127" s="50"/>
      <c r="BV127" s="48"/>
      <c r="BW127" s="56"/>
      <c r="BX127" s="56"/>
      <c r="BY127" s="50"/>
      <c r="BZ127" s="48"/>
      <c r="CA127" s="49"/>
      <c r="CB127" s="49"/>
      <c r="CC127" s="50"/>
      <c r="CD127" s="48"/>
      <c r="CE127" s="49"/>
      <c r="CF127" s="49"/>
      <c r="CG127" s="50"/>
      <c r="CK127" s="12"/>
      <c r="CL127" s="15"/>
      <c r="CO127" s="12"/>
      <c r="CP127" s="15"/>
      <c r="CS127" s="12"/>
      <c r="CT127" s="15"/>
      <c r="CW127" s="12"/>
      <c r="CX127" s="15"/>
      <c r="DA127" s="12"/>
      <c r="DF127" s="15"/>
      <c r="DI127" s="12"/>
      <c r="DJ127" s="1"/>
      <c r="DK127" s="225"/>
      <c r="DL127" s="225"/>
      <c r="DM127" s="225"/>
      <c r="DN127" s="225"/>
      <c r="DO127" s="225"/>
      <c r="DP127" s="225"/>
      <c r="DQ127" s="225"/>
      <c r="DR127" s="225"/>
      <c r="DS127" s="225"/>
      <c r="DT127" s="225"/>
      <c r="DU127" s="225"/>
      <c r="DV127" s="225"/>
      <c r="DW127" s="1"/>
      <c r="EJ127" s="1"/>
      <c r="EK127" s="17"/>
      <c r="EL127" s="17"/>
      <c r="EM127" s="17"/>
      <c r="EN127" s="17"/>
      <c r="EO127" s="17"/>
      <c r="EP127" s="17"/>
      <c r="EQ127" s="17"/>
      <c r="ER127" s="17"/>
      <c r="ES127" s="17"/>
      <c r="EU127" s="17"/>
      <c r="EW127" s="1"/>
      <c r="EX127" s="225"/>
      <c r="EY127" s="225"/>
      <c r="EZ127" s="225"/>
      <c r="FA127" s="225"/>
      <c r="FB127" s="225"/>
      <c r="FC127" s="225"/>
      <c r="FD127" s="225"/>
      <c r="FE127" s="225"/>
      <c r="FF127" s="225"/>
      <c r="FG127" s="10"/>
      <c r="FH127" s="225"/>
      <c r="FI127" s="10"/>
      <c r="FJ127" s="1"/>
      <c r="FK127" s="225"/>
      <c r="FL127" s="225"/>
      <c r="FM127" s="225"/>
      <c r="FN127" s="225"/>
      <c r="FO127" s="225"/>
      <c r="FP127" s="225"/>
      <c r="FQ127" s="225"/>
      <c r="FR127" s="225"/>
      <c r="FS127" s="225"/>
      <c r="FT127" s="191"/>
      <c r="FU127" s="225"/>
      <c r="FV127" s="151"/>
    </row>
    <row r="128" spans="1:178" ht="16" thickBot="1" x14ac:dyDescent="0.25">
      <c r="A128" s="27" t="s">
        <v>49</v>
      </c>
      <c r="B128" t="s">
        <v>142</v>
      </c>
      <c r="C128" s="1"/>
      <c r="D128" s="17"/>
      <c r="E128" s="17"/>
      <c r="F128" s="156"/>
      <c r="G128" s="87"/>
      <c r="H128" s="87"/>
      <c r="I128" s="87"/>
      <c r="J128" s="17"/>
      <c r="K128" s="17"/>
      <c r="L128" s="17"/>
      <c r="M128" s="17"/>
      <c r="N128" s="17"/>
      <c r="O128" s="17"/>
      <c r="P128" s="1"/>
      <c r="Q128" s="48"/>
      <c r="R128" s="49"/>
      <c r="S128" s="49"/>
      <c r="T128" s="50">
        <f t="shared" si="51"/>
        <v>0</v>
      </c>
      <c r="U128" s="48"/>
      <c r="V128" s="49"/>
      <c r="W128" s="49"/>
      <c r="X128" s="50">
        <f t="shared" si="52"/>
        <v>0</v>
      </c>
      <c r="Y128" s="48"/>
      <c r="Z128" s="49"/>
      <c r="AA128" s="49"/>
      <c r="AB128" s="50">
        <f t="shared" si="53"/>
        <v>0</v>
      </c>
      <c r="AC128" s="164"/>
      <c r="AD128" s="166"/>
      <c r="AE128" s="166"/>
      <c r="AF128" s="151">
        <f t="shared" si="54"/>
        <v>0</v>
      </c>
      <c r="AG128" s="165"/>
      <c r="AH128" s="166"/>
      <c r="AI128" s="166"/>
      <c r="AJ128" s="151">
        <f t="shared" si="55"/>
        <v>0</v>
      </c>
      <c r="AK128" s="192"/>
      <c r="AL128" s="10"/>
      <c r="AM128" s="10"/>
      <c r="AN128" s="151">
        <f t="shared" si="56"/>
        <v>0</v>
      </c>
      <c r="AO128" s="191"/>
      <c r="AP128" s="10"/>
      <c r="AQ128" s="10"/>
      <c r="AR128" s="151"/>
      <c r="AS128" s="191"/>
      <c r="AT128" s="10"/>
      <c r="AU128" s="10"/>
      <c r="AV128" s="151"/>
      <c r="AW128" s="191"/>
      <c r="AX128" s="10"/>
      <c r="AY128" s="10"/>
      <c r="AZ128" s="151"/>
      <c r="BA128" s="191"/>
      <c r="BB128" s="10"/>
      <c r="BC128" s="10"/>
      <c r="BD128" s="151"/>
      <c r="BE128" s="191"/>
      <c r="BF128" s="10"/>
      <c r="BG128" s="10"/>
      <c r="BH128" s="151"/>
      <c r="BI128" s="191"/>
      <c r="BJ128" s="10"/>
      <c r="BK128" s="10"/>
      <c r="BL128" s="151"/>
      <c r="BM128" s="1"/>
      <c r="BN128" s="48"/>
      <c r="BO128" s="56"/>
      <c r="BP128" s="56"/>
      <c r="BQ128" s="50"/>
      <c r="BR128" s="48"/>
      <c r="BS128" s="56"/>
      <c r="BT128" s="56"/>
      <c r="BU128" s="50"/>
      <c r="BV128" s="48"/>
      <c r="BW128" s="56"/>
      <c r="BX128" s="56"/>
      <c r="BY128" s="50"/>
      <c r="BZ128" s="48"/>
      <c r="CA128" s="49"/>
      <c r="CB128" s="49"/>
      <c r="CC128" s="50"/>
      <c r="CD128" s="48"/>
      <c r="CE128" s="49"/>
      <c r="CF128" s="49"/>
      <c r="CG128" s="50"/>
      <c r="CK128" s="12"/>
      <c r="CL128" s="15"/>
      <c r="CO128" s="12"/>
      <c r="CP128" s="15"/>
      <c r="CS128" s="12"/>
      <c r="CT128" s="15"/>
      <c r="CW128" s="12"/>
      <c r="CX128" s="15"/>
      <c r="DA128" s="12"/>
      <c r="DF128" s="15"/>
      <c r="DI128" s="12"/>
      <c r="DJ128" s="1"/>
      <c r="DK128" s="225"/>
      <c r="DL128" s="225"/>
      <c r="DM128" s="225"/>
      <c r="DN128" s="225"/>
      <c r="DO128" s="225"/>
      <c r="DP128" s="225"/>
      <c r="DQ128" s="225"/>
      <c r="DR128" s="225"/>
      <c r="DS128" s="225"/>
      <c r="DT128" s="225"/>
      <c r="DU128" s="225"/>
      <c r="DV128" s="225"/>
      <c r="DW128" s="1"/>
      <c r="EJ128" s="1"/>
      <c r="EK128" s="17"/>
      <c r="EL128" s="17"/>
      <c r="EM128" s="17"/>
      <c r="EN128" s="17"/>
      <c r="EO128" s="17"/>
      <c r="EP128" s="17"/>
      <c r="EQ128" s="17"/>
      <c r="ER128" s="17"/>
      <c r="ES128" s="17"/>
      <c r="EU128" s="17"/>
      <c r="EW128" s="1"/>
      <c r="EX128" s="225"/>
      <c r="EY128" s="225"/>
      <c r="EZ128" s="225"/>
      <c r="FA128" s="225"/>
      <c r="FB128" s="225"/>
      <c r="FC128" s="225"/>
      <c r="FD128" s="225"/>
      <c r="FE128" s="225"/>
      <c r="FF128" s="225"/>
      <c r="FG128" s="10"/>
      <c r="FH128" s="225"/>
      <c r="FI128" s="10"/>
      <c r="FJ128" s="1"/>
      <c r="FK128" s="225"/>
      <c r="FL128" s="225"/>
      <c r="FM128" s="225"/>
      <c r="FN128" s="225"/>
      <c r="FO128" s="225"/>
      <c r="FP128" s="225"/>
      <c r="FQ128" s="225"/>
      <c r="FR128" s="225"/>
      <c r="FS128" s="225"/>
      <c r="FT128" s="191"/>
      <c r="FU128" s="225"/>
      <c r="FV128" s="151"/>
    </row>
    <row r="129" spans="1:178" ht="16" thickBot="1" x14ac:dyDescent="0.25">
      <c r="A129" s="27" t="s">
        <v>50</v>
      </c>
      <c r="B129" t="s">
        <v>142</v>
      </c>
      <c r="C129" s="1"/>
      <c r="D129" s="17"/>
      <c r="E129" s="17"/>
      <c r="F129" s="156"/>
      <c r="G129" s="89"/>
      <c r="H129" s="88"/>
      <c r="I129" s="88"/>
      <c r="J129" s="17"/>
      <c r="K129" s="17"/>
      <c r="L129" s="17"/>
      <c r="M129" s="17"/>
      <c r="N129" s="17"/>
      <c r="O129" s="17"/>
      <c r="P129" s="1"/>
      <c r="Q129" s="48"/>
      <c r="R129" s="49"/>
      <c r="S129" s="49"/>
      <c r="T129" s="50">
        <f t="shared" si="51"/>
        <v>0</v>
      </c>
      <c r="U129" s="48"/>
      <c r="V129" s="49"/>
      <c r="W129" s="49"/>
      <c r="X129" s="50">
        <f t="shared" si="52"/>
        <v>0</v>
      </c>
      <c r="Y129" s="48"/>
      <c r="Z129" s="49"/>
      <c r="AA129" s="49"/>
      <c r="AB129" s="50">
        <f t="shared" si="53"/>
        <v>0</v>
      </c>
      <c r="AC129" s="167"/>
      <c r="AD129" s="166"/>
      <c r="AE129" s="166"/>
      <c r="AF129" s="151">
        <f t="shared" si="54"/>
        <v>0</v>
      </c>
      <c r="AG129" s="166"/>
      <c r="AH129" s="166"/>
      <c r="AI129" s="166"/>
      <c r="AJ129" s="151">
        <f t="shared" si="55"/>
        <v>0</v>
      </c>
      <c r="AK129" s="192"/>
      <c r="AL129" s="10"/>
      <c r="AM129" s="10"/>
      <c r="AN129" s="151">
        <f t="shared" si="56"/>
        <v>0</v>
      </c>
      <c r="AO129" s="191"/>
      <c r="AP129" s="10"/>
      <c r="AQ129" s="10"/>
      <c r="AR129" s="151"/>
      <c r="AS129" s="191"/>
      <c r="AT129" s="10"/>
      <c r="AU129" s="10"/>
      <c r="AV129" s="151"/>
      <c r="AW129" s="191"/>
      <c r="AX129" s="10"/>
      <c r="AY129" s="10"/>
      <c r="AZ129" s="151"/>
      <c r="BA129" s="191"/>
      <c r="BB129" s="10"/>
      <c r="BC129" s="10"/>
      <c r="BD129" s="151"/>
      <c r="BE129" s="191"/>
      <c r="BF129" s="10"/>
      <c r="BG129" s="10"/>
      <c r="BH129" s="151"/>
      <c r="BI129" s="191"/>
      <c r="BJ129" s="10"/>
      <c r="BK129" s="10"/>
      <c r="BL129" s="151"/>
      <c r="BM129" s="1"/>
      <c r="BN129" s="48"/>
      <c r="BO129" s="56"/>
      <c r="BP129" s="56"/>
      <c r="BQ129" s="50"/>
      <c r="BR129" s="48"/>
      <c r="BS129" s="56"/>
      <c r="BT129" s="56"/>
      <c r="BU129" s="50"/>
      <c r="BV129" s="48"/>
      <c r="BW129" s="56"/>
      <c r="BX129" s="56"/>
      <c r="BY129" s="50"/>
      <c r="BZ129" s="48"/>
      <c r="CA129" s="49"/>
      <c r="CB129" s="49"/>
      <c r="CC129" s="50"/>
      <c r="CD129" s="48"/>
      <c r="CE129" s="49"/>
      <c r="CF129" s="49"/>
      <c r="CG129" s="50"/>
      <c r="CK129" s="12"/>
      <c r="CL129" s="15"/>
      <c r="CO129" s="12"/>
      <c r="CP129" s="15"/>
      <c r="CS129" s="12"/>
      <c r="CT129" s="15"/>
      <c r="CW129" s="12"/>
      <c r="CX129" s="15"/>
      <c r="DA129" s="12"/>
      <c r="DF129" s="15"/>
      <c r="DI129" s="12"/>
      <c r="DJ129" s="1"/>
      <c r="DK129" s="225"/>
      <c r="DL129" s="225"/>
      <c r="DM129" s="225"/>
      <c r="DN129" s="225"/>
      <c r="DO129" s="225"/>
      <c r="DP129" s="225"/>
      <c r="DQ129" s="225"/>
      <c r="DR129" s="225"/>
      <c r="DS129" s="225"/>
      <c r="DT129" s="225"/>
      <c r="DU129" s="225"/>
      <c r="DV129" s="225"/>
      <c r="DW129" s="1"/>
      <c r="EJ129" s="1"/>
      <c r="EK129" s="17"/>
      <c r="EL129" s="17"/>
      <c r="EM129" s="17"/>
      <c r="EN129" s="17"/>
      <c r="EO129" s="17"/>
      <c r="EP129" s="17"/>
      <c r="EQ129" s="17"/>
      <c r="ER129" s="17"/>
      <c r="ES129" s="17"/>
      <c r="EU129" s="17"/>
      <c r="EW129" s="1"/>
      <c r="EX129" s="225"/>
      <c r="EY129" s="225"/>
      <c r="EZ129" s="225"/>
      <c r="FA129" s="225"/>
      <c r="FB129" s="225"/>
      <c r="FC129" s="225"/>
      <c r="FD129" s="225"/>
      <c r="FE129" s="225"/>
      <c r="FF129" s="225"/>
      <c r="FG129" s="10"/>
      <c r="FH129" s="225"/>
      <c r="FI129" s="10"/>
      <c r="FJ129" s="1"/>
      <c r="FK129" s="225"/>
      <c r="FL129" s="225"/>
      <c r="FM129" s="225"/>
      <c r="FN129" s="225"/>
      <c r="FO129" s="225"/>
      <c r="FP129" s="225"/>
      <c r="FQ129" s="225"/>
      <c r="FR129" s="225"/>
      <c r="FS129" s="225"/>
      <c r="FT129" s="191"/>
      <c r="FU129" s="225"/>
      <c r="FV129" s="151"/>
    </row>
    <row r="130" spans="1:178" ht="16" thickBot="1" x14ac:dyDescent="0.25">
      <c r="A130" s="27" t="s">
        <v>51</v>
      </c>
      <c r="B130" t="s">
        <v>142</v>
      </c>
      <c r="C130" s="1"/>
      <c r="D130" s="17"/>
      <c r="E130" s="17"/>
      <c r="F130" s="156"/>
      <c r="G130" s="89"/>
      <c r="H130" s="88"/>
      <c r="I130" s="88"/>
      <c r="J130" s="17"/>
      <c r="K130" s="17"/>
      <c r="L130" s="17"/>
      <c r="M130" s="17"/>
      <c r="N130" s="17"/>
      <c r="O130" s="17"/>
      <c r="P130" s="1"/>
      <c r="Q130" s="48"/>
      <c r="R130" s="49"/>
      <c r="S130" s="49"/>
      <c r="T130" s="50">
        <f t="shared" si="51"/>
        <v>0</v>
      </c>
      <c r="U130" s="48"/>
      <c r="V130" s="49"/>
      <c r="W130" s="49"/>
      <c r="X130" s="50">
        <f t="shared" si="52"/>
        <v>0</v>
      </c>
      <c r="Y130" s="48"/>
      <c r="Z130" s="49"/>
      <c r="AA130" s="49"/>
      <c r="AB130" s="50">
        <f t="shared" si="53"/>
        <v>0</v>
      </c>
      <c r="AC130" s="167"/>
      <c r="AD130" s="166"/>
      <c r="AE130" s="166"/>
      <c r="AF130" s="151">
        <f t="shared" si="54"/>
        <v>0</v>
      </c>
      <c r="AG130" s="166"/>
      <c r="AH130" s="166"/>
      <c r="AI130" s="166"/>
      <c r="AJ130" s="151">
        <f t="shared" si="55"/>
        <v>0</v>
      </c>
      <c r="AK130" s="192"/>
      <c r="AL130" s="10"/>
      <c r="AM130" s="10"/>
      <c r="AN130" s="151">
        <f t="shared" si="56"/>
        <v>0</v>
      </c>
      <c r="AO130" s="191"/>
      <c r="AP130" s="10"/>
      <c r="AQ130" s="10"/>
      <c r="AR130" s="151"/>
      <c r="AS130" s="191"/>
      <c r="AT130" s="10"/>
      <c r="AU130" s="10"/>
      <c r="AV130" s="151"/>
      <c r="AW130" s="191"/>
      <c r="AX130" s="10"/>
      <c r="AY130" s="10"/>
      <c r="AZ130" s="151"/>
      <c r="BA130" s="191"/>
      <c r="BB130" s="10"/>
      <c r="BC130" s="10"/>
      <c r="BD130" s="151"/>
      <c r="BE130" s="191"/>
      <c r="BF130" s="10"/>
      <c r="BG130" s="10"/>
      <c r="BH130" s="151"/>
      <c r="BI130" s="191"/>
      <c r="BJ130" s="10"/>
      <c r="BK130" s="10"/>
      <c r="BL130" s="151"/>
      <c r="BM130" s="1"/>
      <c r="BN130" s="48"/>
      <c r="BO130" s="56"/>
      <c r="BP130" s="56"/>
      <c r="BQ130" s="50"/>
      <c r="BR130" s="48"/>
      <c r="BS130" s="56"/>
      <c r="BT130" s="56"/>
      <c r="BU130" s="50"/>
      <c r="BV130" s="48"/>
      <c r="BW130" s="56"/>
      <c r="BX130" s="56"/>
      <c r="BY130" s="50"/>
      <c r="BZ130" s="48"/>
      <c r="CA130" s="49"/>
      <c r="CB130" s="49"/>
      <c r="CC130" s="50"/>
      <c r="CD130" s="48"/>
      <c r="CE130" s="49"/>
      <c r="CF130" s="49"/>
      <c r="CG130" s="50"/>
      <c r="CK130" s="12"/>
      <c r="CL130" s="15"/>
      <c r="CO130" s="12"/>
      <c r="CP130" s="15"/>
      <c r="CS130" s="12"/>
      <c r="CT130" s="15"/>
      <c r="CW130" s="12"/>
      <c r="CX130" s="15"/>
      <c r="DA130" s="12"/>
      <c r="DF130" s="15"/>
      <c r="DI130" s="12"/>
      <c r="DJ130" s="1"/>
      <c r="DK130" s="225"/>
      <c r="DL130" s="225"/>
      <c r="DM130" s="225"/>
      <c r="DN130" s="225"/>
      <c r="DO130" s="225"/>
      <c r="DP130" s="225"/>
      <c r="DQ130" s="225"/>
      <c r="DR130" s="225"/>
      <c r="DS130" s="225"/>
      <c r="DT130" s="225"/>
      <c r="DU130" s="225"/>
      <c r="DV130" s="225"/>
      <c r="DW130" s="1"/>
      <c r="EJ130" s="1"/>
      <c r="EK130" s="17"/>
      <c r="EL130" s="17"/>
      <c r="EM130" s="17"/>
      <c r="EN130" s="17"/>
      <c r="EO130" s="17"/>
      <c r="EP130" s="17"/>
      <c r="EQ130" s="17"/>
      <c r="ER130" s="17"/>
      <c r="ES130" s="17"/>
      <c r="EU130" s="17"/>
      <c r="EW130" s="1"/>
      <c r="EX130" s="225"/>
      <c r="EY130" s="225"/>
      <c r="EZ130" s="225"/>
      <c r="FA130" s="225"/>
      <c r="FB130" s="225"/>
      <c r="FC130" s="225"/>
      <c r="FD130" s="225"/>
      <c r="FE130" s="225"/>
      <c r="FF130" s="225"/>
      <c r="FG130" s="10"/>
      <c r="FH130" s="225"/>
      <c r="FI130" s="10"/>
      <c r="FJ130" s="1"/>
      <c r="FK130" s="225"/>
      <c r="FL130" s="225"/>
      <c r="FM130" s="225"/>
      <c r="FN130" s="225"/>
      <c r="FO130" s="225"/>
      <c r="FP130" s="225"/>
      <c r="FQ130" s="225"/>
      <c r="FR130" s="225"/>
      <c r="FS130" s="225"/>
      <c r="FT130" s="191"/>
      <c r="FU130" s="225"/>
      <c r="FV130" s="151"/>
    </row>
    <row r="131" spans="1:178" ht="16" thickBot="1" x14ac:dyDescent="0.25">
      <c r="A131" s="27" t="s">
        <v>52</v>
      </c>
      <c r="B131" t="s">
        <v>142</v>
      </c>
      <c r="C131" s="1"/>
      <c r="D131" s="17"/>
      <c r="E131" s="17"/>
      <c r="F131" s="156"/>
      <c r="G131" s="89"/>
      <c r="H131" s="88"/>
      <c r="I131" s="88"/>
      <c r="J131" s="17"/>
      <c r="K131" s="17"/>
      <c r="L131" s="17"/>
      <c r="M131" s="17"/>
      <c r="N131" s="17"/>
      <c r="O131" s="17"/>
      <c r="P131" s="1"/>
      <c r="Q131" s="48"/>
      <c r="R131" s="49"/>
      <c r="S131" s="49"/>
      <c r="T131" s="50">
        <f t="shared" si="51"/>
        <v>0</v>
      </c>
      <c r="U131" s="48"/>
      <c r="V131" s="49"/>
      <c r="W131" s="49"/>
      <c r="X131" s="50">
        <f t="shared" si="52"/>
        <v>0</v>
      </c>
      <c r="Y131" s="48"/>
      <c r="Z131" s="49"/>
      <c r="AA131" s="49"/>
      <c r="AB131" s="50">
        <f t="shared" si="53"/>
        <v>0</v>
      </c>
      <c r="AC131" s="167"/>
      <c r="AD131" s="166"/>
      <c r="AE131" s="166"/>
      <c r="AF131" s="151">
        <f t="shared" si="54"/>
        <v>0</v>
      </c>
      <c r="AG131" s="166"/>
      <c r="AH131" s="166"/>
      <c r="AI131" s="166"/>
      <c r="AJ131" s="151">
        <f t="shared" si="55"/>
        <v>0</v>
      </c>
      <c r="AK131" s="192"/>
      <c r="AL131" s="10"/>
      <c r="AM131" s="10"/>
      <c r="AN131" s="151">
        <f t="shared" si="56"/>
        <v>0</v>
      </c>
      <c r="AO131" s="191"/>
      <c r="AP131" s="10"/>
      <c r="AQ131" s="10"/>
      <c r="AR131" s="151"/>
      <c r="AS131" s="191"/>
      <c r="AT131" s="10"/>
      <c r="AU131" s="10"/>
      <c r="AV131" s="151"/>
      <c r="AW131" s="191"/>
      <c r="AX131" s="10"/>
      <c r="AY131" s="10"/>
      <c r="AZ131" s="151"/>
      <c r="BA131" s="191"/>
      <c r="BB131" s="10"/>
      <c r="BC131" s="10"/>
      <c r="BD131" s="151"/>
      <c r="BE131" s="191"/>
      <c r="BF131" s="10"/>
      <c r="BG131" s="10"/>
      <c r="BH131" s="151"/>
      <c r="BI131" s="191"/>
      <c r="BJ131" s="10"/>
      <c r="BK131" s="10"/>
      <c r="BL131" s="151"/>
      <c r="BM131" s="1"/>
      <c r="BN131" s="48"/>
      <c r="BO131" s="56"/>
      <c r="BP131" s="56"/>
      <c r="BQ131" s="50"/>
      <c r="BR131" s="48"/>
      <c r="BS131" s="56"/>
      <c r="BT131" s="56"/>
      <c r="BU131" s="50"/>
      <c r="BV131" s="48"/>
      <c r="BW131" s="56"/>
      <c r="BX131" s="56"/>
      <c r="BY131" s="50"/>
      <c r="BZ131" s="48"/>
      <c r="CA131" s="49"/>
      <c r="CB131" s="49"/>
      <c r="CC131" s="50"/>
      <c r="CD131" s="48"/>
      <c r="CE131" s="49"/>
      <c r="CF131" s="49"/>
      <c r="CG131" s="50"/>
      <c r="CK131" s="12"/>
      <c r="CL131" s="15"/>
      <c r="CO131" s="12"/>
      <c r="CP131" s="15"/>
      <c r="CS131" s="12"/>
      <c r="CT131" s="15"/>
      <c r="CW131" s="12"/>
      <c r="CX131" s="15"/>
      <c r="DA131" s="12"/>
      <c r="DF131" s="15"/>
      <c r="DI131" s="12"/>
      <c r="DJ131" s="1"/>
      <c r="DK131" s="225"/>
      <c r="DL131" s="225"/>
      <c r="DM131" s="225"/>
      <c r="DN131" s="225"/>
      <c r="DO131" s="225"/>
      <c r="DP131" s="225"/>
      <c r="DQ131" s="225"/>
      <c r="DR131" s="225"/>
      <c r="DS131" s="225"/>
      <c r="DT131" s="225"/>
      <c r="DU131" s="225"/>
      <c r="DV131" s="225"/>
      <c r="DW131" s="1"/>
      <c r="EJ131" s="1"/>
      <c r="EK131" s="17"/>
      <c r="EL131" s="17"/>
      <c r="EM131" s="17"/>
      <c r="EN131" s="17"/>
      <c r="EO131" s="17"/>
      <c r="EP131" s="17"/>
      <c r="EQ131" s="17"/>
      <c r="ER131" s="17"/>
      <c r="ES131" s="17"/>
      <c r="EU131" s="17"/>
      <c r="EW131" s="1"/>
      <c r="EX131" s="225"/>
      <c r="EY131" s="225"/>
      <c r="EZ131" s="225"/>
      <c r="FA131" s="225"/>
      <c r="FB131" s="225"/>
      <c r="FC131" s="225"/>
      <c r="FD131" s="225"/>
      <c r="FE131" s="225"/>
      <c r="FF131" s="225"/>
      <c r="FG131" s="10"/>
      <c r="FH131" s="225"/>
      <c r="FI131" s="10"/>
      <c r="FJ131" s="1"/>
      <c r="FK131" s="225"/>
      <c r="FL131" s="225"/>
      <c r="FM131" s="225"/>
      <c r="FN131" s="225"/>
      <c r="FO131" s="225"/>
      <c r="FP131" s="225"/>
      <c r="FQ131" s="225"/>
      <c r="FR131" s="225"/>
      <c r="FS131" s="225"/>
      <c r="FT131" s="191"/>
      <c r="FU131" s="225"/>
      <c r="FV131" s="151"/>
    </row>
    <row r="132" spans="1:178" ht="16" thickBot="1" x14ac:dyDescent="0.25">
      <c r="A132" s="27" t="s">
        <v>53</v>
      </c>
      <c r="B132" t="s">
        <v>142</v>
      </c>
      <c r="C132" s="1"/>
      <c r="D132" s="17"/>
      <c r="E132" s="17"/>
      <c r="F132" s="156"/>
      <c r="G132" s="89"/>
      <c r="H132" s="88"/>
      <c r="I132" s="88"/>
      <c r="J132" s="17"/>
      <c r="K132" s="17"/>
      <c r="L132" s="17"/>
      <c r="M132" s="17"/>
      <c r="N132" s="17"/>
      <c r="O132" s="17"/>
      <c r="P132" s="1"/>
      <c r="Q132" s="48"/>
      <c r="R132" s="49"/>
      <c r="S132" s="49"/>
      <c r="T132" s="50">
        <f t="shared" si="51"/>
        <v>0</v>
      </c>
      <c r="U132" s="48"/>
      <c r="V132" s="49"/>
      <c r="W132" s="49"/>
      <c r="X132" s="50">
        <f t="shared" si="52"/>
        <v>0</v>
      </c>
      <c r="Y132" s="48"/>
      <c r="Z132" s="49"/>
      <c r="AA132" s="49"/>
      <c r="AB132" s="50">
        <f t="shared" si="53"/>
        <v>0</v>
      </c>
      <c r="AC132" s="167"/>
      <c r="AD132" s="166"/>
      <c r="AE132" s="166"/>
      <c r="AF132" s="151">
        <f t="shared" si="54"/>
        <v>0</v>
      </c>
      <c r="AG132" s="166"/>
      <c r="AH132" s="166"/>
      <c r="AI132" s="166"/>
      <c r="AJ132" s="151">
        <f t="shared" si="55"/>
        <v>0</v>
      </c>
      <c r="AK132" s="192"/>
      <c r="AL132" s="10"/>
      <c r="AM132" s="10"/>
      <c r="AN132" s="151">
        <f t="shared" si="56"/>
        <v>0</v>
      </c>
      <c r="AO132" s="191"/>
      <c r="AP132" s="10"/>
      <c r="AQ132" s="10"/>
      <c r="AR132" s="151"/>
      <c r="AS132" s="191"/>
      <c r="AT132" s="10"/>
      <c r="AU132" s="10"/>
      <c r="AV132" s="151"/>
      <c r="AW132" s="191"/>
      <c r="AX132" s="10"/>
      <c r="AY132" s="10"/>
      <c r="AZ132" s="151"/>
      <c r="BA132" s="191"/>
      <c r="BB132" s="10"/>
      <c r="BC132" s="10"/>
      <c r="BD132" s="151"/>
      <c r="BE132" s="191"/>
      <c r="BF132" s="10"/>
      <c r="BG132" s="10"/>
      <c r="BH132" s="151"/>
      <c r="BI132" s="191"/>
      <c r="BJ132" s="10"/>
      <c r="BK132" s="10"/>
      <c r="BL132" s="151"/>
      <c r="BM132" s="1"/>
      <c r="BN132" s="48"/>
      <c r="BO132" s="56"/>
      <c r="BP132" s="56"/>
      <c r="BQ132" s="50"/>
      <c r="BR132" s="48"/>
      <c r="BS132" s="56"/>
      <c r="BT132" s="56"/>
      <c r="BU132" s="50"/>
      <c r="BV132" s="48"/>
      <c r="BW132" s="56"/>
      <c r="BX132" s="56"/>
      <c r="BY132" s="50"/>
      <c r="BZ132" s="48"/>
      <c r="CA132" s="49"/>
      <c r="CB132" s="49"/>
      <c r="CC132" s="50"/>
      <c r="CD132" s="48"/>
      <c r="CE132" s="49"/>
      <c r="CF132" s="49"/>
      <c r="CG132" s="50"/>
      <c r="CK132" s="12"/>
      <c r="CL132" s="15"/>
      <c r="CO132" s="12"/>
      <c r="CP132" s="15"/>
      <c r="CS132" s="12"/>
      <c r="CT132" s="15"/>
      <c r="CW132" s="12"/>
      <c r="CX132" s="15"/>
      <c r="DA132" s="12"/>
      <c r="DF132" s="15"/>
      <c r="DI132" s="12"/>
      <c r="DJ132" s="1"/>
      <c r="DK132" s="225"/>
      <c r="DL132" s="225"/>
      <c r="DM132" s="225"/>
      <c r="DN132" s="225"/>
      <c r="DO132" s="225"/>
      <c r="DP132" s="225"/>
      <c r="DQ132" s="225"/>
      <c r="DR132" s="225"/>
      <c r="DS132" s="225"/>
      <c r="DT132" s="225"/>
      <c r="DU132" s="225"/>
      <c r="DV132" s="225"/>
      <c r="DW132" s="1"/>
      <c r="EJ132" s="1"/>
      <c r="EK132" s="17"/>
      <c r="EL132" s="17"/>
      <c r="EM132" s="17"/>
      <c r="EN132" s="17"/>
      <c r="EO132" s="17"/>
      <c r="EP132" s="17"/>
      <c r="EQ132" s="17"/>
      <c r="ER132" s="17"/>
      <c r="ES132" s="17"/>
      <c r="EU132" s="17"/>
      <c r="EW132" s="1"/>
      <c r="EX132" s="225"/>
      <c r="EY132" s="225"/>
      <c r="EZ132" s="225"/>
      <c r="FA132" s="225"/>
      <c r="FB132" s="225"/>
      <c r="FC132" s="225"/>
      <c r="FD132" s="225"/>
      <c r="FE132" s="225"/>
      <c r="FF132" s="225"/>
      <c r="FG132" s="10"/>
      <c r="FH132" s="225"/>
      <c r="FI132" s="10"/>
      <c r="FJ132" s="1"/>
      <c r="FK132" s="225"/>
      <c r="FL132" s="225"/>
      <c r="FM132" s="225"/>
      <c r="FN132" s="225"/>
      <c r="FO132" s="225"/>
      <c r="FP132" s="225"/>
      <c r="FQ132" s="225"/>
      <c r="FR132" s="225"/>
      <c r="FS132" s="225"/>
      <c r="FT132" s="191"/>
      <c r="FU132" s="225"/>
      <c r="FV132" s="151"/>
    </row>
    <row r="133" spans="1:178" ht="16" thickBot="1" x14ac:dyDescent="0.25">
      <c r="A133" s="27" t="s">
        <v>54</v>
      </c>
      <c r="B133" t="s">
        <v>142</v>
      </c>
      <c r="C133" s="1"/>
      <c r="D133" s="17"/>
      <c r="E133" s="17"/>
      <c r="F133" s="156"/>
      <c r="G133" s="89"/>
      <c r="H133" s="88"/>
      <c r="I133" s="88"/>
      <c r="J133" s="17"/>
      <c r="K133" s="17"/>
      <c r="L133" s="17"/>
      <c r="M133" s="17"/>
      <c r="N133" s="17"/>
      <c r="O133" s="17"/>
      <c r="P133" s="1"/>
      <c r="Q133" s="48"/>
      <c r="R133" s="49"/>
      <c r="S133" s="49"/>
      <c r="T133" s="50">
        <f t="shared" si="51"/>
        <v>0</v>
      </c>
      <c r="U133" s="48"/>
      <c r="V133" s="49"/>
      <c r="W133" s="49"/>
      <c r="X133" s="50">
        <f t="shared" si="52"/>
        <v>0</v>
      </c>
      <c r="Y133" s="48"/>
      <c r="Z133" s="49"/>
      <c r="AA133" s="49"/>
      <c r="AB133" s="50">
        <f t="shared" si="53"/>
        <v>0</v>
      </c>
      <c r="AC133" s="167"/>
      <c r="AD133" s="166"/>
      <c r="AE133" s="166"/>
      <c r="AF133" s="151">
        <f t="shared" si="54"/>
        <v>0</v>
      </c>
      <c r="AG133" s="166"/>
      <c r="AH133" s="166"/>
      <c r="AI133" s="166"/>
      <c r="AJ133" s="151">
        <f t="shared" si="55"/>
        <v>0</v>
      </c>
      <c r="AK133" s="192"/>
      <c r="AL133" s="10"/>
      <c r="AM133" s="10"/>
      <c r="AN133" s="151">
        <f t="shared" si="56"/>
        <v>0</v>
      </c>
      <c r="AO133" s="191"/>
      <c r="AP133" s="10"/>
      <c r="AQ133" s="10"/>
      <c r="AR133" s="151"/>
      <c r="AS133" s="191"/>
      <c r="AT133" s="10"/>
      <c r="AU133" s="10"/>
      <c r="AV133" s="151"/>
      <c r="AW133" s="191"/>
      <c r="AX133" s="10"/>
      <c r="AY133" s="10"/>
      <c r="AZ133" s="151"/>
      <c r="BA133" s="191"/>
      <c r="BB133" s="10"/>
      <c r="BC133" s="10"/>
      <c r="BD133" s="151"/>
      <c r="BE133" s="191"/>
      <c r="BF133" s="10"/>
      <c r="BG133" s="10"/>
      <c r="BH133" s="151"/>
      <c r="BI133" s="191"/>
      <c r="BJ133" s="10"/>
      <c r="BK133" s="10"/>
      <c r="BL133" s="151"/>
      <c r="BM133" s="1"/>
      <c r="BN133" s="48"/>
      <c r="BO133" s="56"/>
      <c r="BP133" s="56"/>
      <c r="BQ133" s="50"/>
      <c r="BR133" s="48"/>
      <c r="BS133" s="56"/>
      <c r="BT133" s="56"/>
      <c r="BU133" s="50"/>
      <c r="BV133" s="48"/>
      <c r="BW133" s="56"/>
      <c r="BX133" s="56"/>
      <c r="BY133" s="50"/>
      <c r="BZ133" s="48"/>
      <c r="CA133" s="49"/>
      <c r="CB133" s="49"/>
      <c r="CC133" s="50"/>
      <c r="CD133" s="48"/>
      <c r="CE133" s="49"/>
      <c r="CF133" s="49"/>
      <c r="CG133" s="50"/>
      <c r="CK133" s="12"/>
      <c r="CL133" s="15"/>
      <c r="CO133" s="12"/>
      <c r="CP133" s="15"/>
      <c r="CS133" s="12"/>
      <c r="CT133" s="15"/>
      <c r="CW133" s="12"/>
      <c r="CX133" s="15"/>
      <c r="DA133" s="12"/>
      <c r="DF133" s="15"/>
      <c r="DI133" s="12"/>
      <c r="DJ133" s="1"/>
      <c r="DK133" s="225"/>
      <c r="DL133" s="225"/>
      <c r="DM133" s="225"/>
      <c r="DN133" s="225"/>
      <c r="DO133" s="225"/>
      <c r="DP133" s="225"/>
      <c r="DQ133" s="225"/>
      <c r="DR133" s="225"/>
      <c r="DS133" s="225"/>
      <c r="DT133" s="225"/>
      <c r="DU133" s="225"/>
      <c r="DV133" s="225"/>
      <c r="DW133" s="1"/>
      <c r="EJ133" s="1"/>
      <c r="EK133" s="17"/>
      <c r="EL133" s="17"/>
      <c r="EM133" s="17"/>
      <c r="EN133" s="17"/>
      <c r="EO133" s="17"/>
      <c r="EP133" s="17"/>
      <c r="EQ133" s="17"/>
      <c r="ER133" s="17"/>
      <c r="ES133" s="17"/>
      <c r="EU133" s="17"/>
      <c r="EW133" s="1"/>
      <c r="EX133" s="225"/>
      <c r="EY133" s="225"/>
      <c r="EZ133" s="225"/>
      <c r="FA133" s="225"/>
      <c r="FB133" s="225"/>
      <c r="FC133" s="225"/>
      <c r="FD133" s="225"/>
      <c r="FE133" s="225"/>
      <c r="FF133" s="225"/>
      <c r="FG133" s="10"/>
      <c r="FH133" s="225"/>
      <c r="FI133" s="10"/>
      <c r="FJ133" s="1"/>
      <c r="FK133" s="225"/>
      <c r="FL133" s="225"/>
      <c r="FM133" s="225"/>
      <c r="FN133" s="225"/>
      <c r="FO133" s="225"/>
      <c r="FP133" s="225"/>
      <c r="FQ133" s="225"/>
      <c r="FR133" s="225"/>
      <c r="FS133" s="225"/>
      <c r="FT133" s="191"/>
      <c r="FU133" s="225"/>
      <c r="FV133" s="151"/>
    </row>
    <row r="134" spans="1:178" ht="16" thickBot="1" x14ac:dyDescent="0.25">
      <c r="A134" s="27" t="s">
        <v>55</v>
      </c>
      <c r="B134" t="s">
        <v>142</v>
      </c>
      <c r="C134" s="1"/>
      <c r="D134" s="17"/>
      <c r="E134" s="17"/>
      <c r="F134" s="156"/>
      <c r="G134" s="89"/>
      <c r="H134" s="88"/>
      <c r="I134" s="88"/>
      <c r="J134" s="17"/>
      <c r="K134" s="17"/>
      <c r="L134" s="17"/>
      <c r="M134" s="17"/>
      <c r="N134" s="17"/>
      <c r="O134" s="17"/>
      <c r="P134" s="1"/>
      <c r="Q134" s="48"/>
      <c r="R134" s="49"/>
      <c r="S134" s="49"/>
      <c r="T134" s="50">
        <f t="shared" si="51"/>
        <v>0</v>
      </c>
      <c r="U134" s="48"/>
      <c r="V134" s="49"/>
      <c r="W134" s="49"/>
      <c r="X134" s="50">
        <f t="shared" si="52"/>
        <v>0</v>
      </c>
      <c r="Y134" s="48"/>
      <c r="Z134" s="49"/>
      <c r="AA134" s="49"/>
      <c r="AB134" s="50">
        <f t="shared" si="53"/>
        <v>0</v>
      </c>
      <c r="AC134" s="167"/>
      <c r="AD134" s="166"/>
      <c r="AE134" s="166"/>
      <c r="AF134" s="151">
        <f t="shared" si="54"/>
        <v>0</v>
      </c>
      <c r="AG134" s="166"/>
      <c r="AH134" s="166"/>
      <c r="AI134" s="166"/>
      <c r="AJ134" s="151">
        <f t="shared" si="55"/>
        <v>0</v>
      </c>
      <c r="AK134" s="192"/>
      <c r="AL134" s="10"/>
      <c r="AM134" s="10"/>
      <c r="AN134" s="151">
        <f t="shared" si="56"/>
        <v>0</v>
      </c>
      <c r="AO134" s="191"/>
      <c r="AP134" s="10"/>
      <c r="AQ134" s="10"/>
      <c r="AR134" s="151"/>
      <c r="AS134" s="191"/>
      <c r="AT134" s="10"/>
      <c r="AU134" s="10"/>
      <c r="AV134" s="151"/>
      <c r="AW134" s="191"/>
      <c r="AX134" s="10"/>
      <c r="AY134" s="10"/>
      <c r="AZ134" s="151"/>
      <c r="BA134" s="191"/>
      <c r="BB134" s="10"/>
      <c r="BC134" s="10"/>
      <c r="BD134" s="151"/>
      <c r="BE134" s="191"/>
      <c r="BF134" s="10"/>
      <c r="BG134" s="10"/>
      <c r="BH134" s="151"/>
      <c r="BI134" s="191"/>
      <c r="BJ134" s="10"/>
      <c r="BK134" s="10"/>
      <c r="BL134" s="151"/>
      <c r="BM134" s="1"/>
      <c r="BN134" s="48"/>
      <c r="BO134" s="56"/>
      <c r="BP134" s="56"/>
      <c r="BQ134" s="50"/>
      <c r="BR134" s="48"/>
      <c r="BS134" s="56"/>
      <c r="BT134" s="56"/>
      <c r="BU134" s="50"/>
      <c r="BV134" s="48"/>
      <c r="BW134" s="56"/>
      <c r="BX134" s="56"/>
      <c r="BY134" s="50"/>
      <c r="BZ134" s="48"/>
      <c r="CA134" s="49"/>
      <c r="CB134" s="49"/>
      <c r="CC134" s="50"/>
      <c r="CD134" s="48"/>
      <c r="CE134" s="49"/>
      <c r="CF134" s="49"/>
      <c r="CG134" s="50"/>
      <c r="CK134" s="12"/>
      <c r="CL134" s="15"/>
      <c r="CO134" s="12"/>
      <c r="CP134" s="15"/>
      <c r="CS134" s="12"/>
      <c r="CT134" s="15"/>
      <c r="CW134" s="12"/>
      <c r="CX134" s="15"/>
      <c r="DA134" s="12"/>
      <c r="DF134" s="15"/>
      <c r="DI134" s="12"/>
      <c r="DJ134" s="1"/>
      <c r="DK134" s="225"/>
      <c r="DL134" s="225"/>
      <c r="DM134" s="225"/>
      <c r="DN134" s="225"/>
      <c r="DO134" s="225"/>
      <c r="DP134" s="225"/>
      <c r="DQ134" s="225"/>
      <c r="DR134" s="225"/>
      <c r="DS134" s="225"/>
      <c r="DT134" s="225"/>
      <c r="DU134" s="225"/>
      <c r="DV134" s="225"/>
      <c r="DW134" s="1"/>
      <c r="EJ134" s="1"/>
      <c r="EK134" s="17"/>
      <c r="EL134" s="17"/>
      <c r="EM134" s="17"/>
      <c r="EN134" s="17"/>
      <c r="EO134" s="17"/>
      <c r="EP134" s="17"/>
      <c r="EQ134" s="17"/>
      <c r="ER134" s="17"/>
      <c r="ES134" s="17"/>
      <c r="EU134" s="17"/>
      <c r="EW134" s="1"/>
      <c r="EX134" s="225"/>
      <c r="EY134" s="225"/>
      <c r="EZ134" s="225"/>
      <c r="FA134" s="225"/>
      <c r="FB134" s="225"/>
      <c r="FC134" s="225"/>
      <c r="FD134" s="225"/>
      <c r="FE134" s="225"/>
      <c r="FF134" s="225"/>
      <c r="FG134" s="10"/>
      <c r="FH134" s="225"/>
      <c r="FI134" s="10"/>
      <c r="FJ134" s="1"/>
      <c r="FK134" s="225"/>
      <c r="FL134" s="225"/>
      <c r="FM134" s="225"/>
      <c r="FN134" s="225"/>
      <c r="FO134" s="225"/>
      <c r="FP134" s="225"/>
      <c r="FQ134" s="225"/>
      <c r="FR134" s="225"/>
      <c r="FS134" s="225"/>
      <c r="FT134" s="191"/>
      <c r="FU134" s="225"/>
      <c r="FV134" s="151"/>
    </row>
    <row r="135" spans="1:178" ht="16" thickBot="1" x14ac:dyDescent="0.25">
      <c r="A135" s="27" t="s">
        <v>56</v>
      </c>
      <c r="B135" t="s">
        <v>142</v>
      </c>
      <c r="C135" s="1"/>
      <c r="D135" s="17"/>
      <c r="E135" s="17"/>
      <c r="F135" s="156"/>
      <c r="G135" s="89"/>
      <c r="H135" s="88"/>
      <c r="I135" s="88"/>
      <c r="J135" s="17"/>
      <c r="K135" s="17"/>
      <c r="L135" s="17"/>
      <c r="M135" s="17"/>
      <c r="N135" s="17"/>
      <c r="O135" s="17"/>
      <c r="P135" s="1"/>
      <c r="Q135" s="48"/>
      <c r="R135" s="49"/>
      <c r="S135" s="49"/>
      <c r="T135" s="50">
        <f t="shared" si="51"/>
        <v>0</v>
      </c>
      <c r="U135" s="48"/>
      <c r="V135" s="49"/>
      <c r="W135" s="49"/>
      <c r="X135" s="50">
        <f t="shared" si="52"/>
        <v>0</v>
      </c>
      <c r="Y135" s="48"/>
      <c r="Z135" s="49"/>
      <c r="AA135" s="49"/>
      <c r="AB135" s="50">
        <f t="shared" si="53"/>
        <v>0</v>
      </c>
      <c r="AC135" s="167"/>
      <c r="AD135" s="166"/>
      <c r="AE135" s="166"/>
      <c r="AF135" s="151">
        <f t="shared" si="54"/>
        <v>0</v>
      </c>
      <c r="AG135" s="166"/>
      <c r="AH135" s="166"/>
      <c r="AI135" s="166"/>
      <c r="AJ135" s="151">
        <f t="shared" si="55"/>
        <v>0</v>
      </c>
      <c r="AK135" s="192"/>
      <c r="AL135" s="10"/>
      <c r="AM135" s="10"/>
      <c r="AN135" s="151">
        <f t="shared" si="56"/>
        <v>0</v>
      </c>
      <c r="AO135" s="191"/>
      <c r="AP135" s="10"/>
      <c r="AQ135" s="10"/>
      <c r="AR135" s="151"/>
      <c r="AS135" s="191"/>
      <c r="AT135" s="10"/>
      <c r="AU135" s="10"/>
      <c r="AV135" s="151"/>
      <c r="AW135" s="191"/>
      <c r="AX135" s="10"/>
      <c r="AY135" s="10"/>
      <c r="AZ135" s="151"/>
      <c r="BA135" s="191"/>
      <c r="BB135" s="10"/>
      <c r="BC135" s="10"/>
      <c r="BD135" s="151"/>
      <c r="BE135" s="191"/>
      <c r="BF135" s="10"/>
      <c r="BG135" s="10"/>
      <c r="BH135" s="151"/>
      <c r="BI135" s="191"/>
      <c r="BJ135" s="10"/>
      <c r="BK135" s="10"/>
      <c r="BL135" s="151"/>
      <c r="BM135" s="1"/>
      <c r="BN135" s="48"/>
      <c r="BO135" s="56"/>
      <c r="BP135" s="56"/>
      <c r="BQ135" s="50"/>
      <c r="BR135" s="48"/>
      <c r="BS135" s="56"/>
      <c r="BT135" s="56"/>
      <c r="BU135" s="50"/>
      <c r="BV135" s="48"/>
      <c r="BW135" s="56"/>
      <c r="BX135" s="56"/>
      <c r="BY135" s="50"/>
      <c r="BZ135" s="48"/>
      <c r="CA135" s="49"/>
      <c r="CB135" s="49"/>
      <c r="CC135" s="50"/>
      <c r="CD135" s="48"/>
      <c r="CE135" s="49"/>
      <c r="CF135" s="49"/>
      <c r="CG135" s="50"/>
      <c r="CK135" s="12"/>
      <c r="CL135" s="15"/>
      <c r="CO135" s="12"/>
      <c r="CP135" s="15"/>
      <c r="CS135" s="12"/>
      <c r="CT135" s="15"/>
      <c r="CW135" s="12"/>
      <c r="CX135" s="15"/>
      <c r="DA135" s="12"/>
      <c r="DF135" s="15"/>
      <c r="DI135" s="12"/>
      <c r="DJ135" s="1"/>
      <c r="DK135" s="225"/>
      <c r="DL135" s="225"/>
      <c r="DM135" s="225"/>
      <c r="DN135" s="225"/>
      <c r="DO135" s="225"/>
      <c r="DP135" s="225"/>
      <c r="DQ135" s="225"/>
      <c r="DR135" s="225"/>
      <c r="DS135" s="225"/>
      <c r="DT135" s="225"/>
      <c r="DU135" s="225"/>
      <c r="DV135" s="225"/>
      <c r="DW135" s="1"/>
      <c r="EJ135" s="1"/>
      <c r="EK135" s="17"/>
      <c r="EL135" s="17"/>
      <c r="EM135" s="17"/>
      <c r="EN135" s="17"/>
      <c r="EO135" s="17"/>
      <c r="EP135" s="17"/>
      <c r="EQ135" s="17"/>
      <c r="ER135" s="17"/>
      <c r="ES135" s="17"/>
      <c r="EU135" s="17"/>
      <c r="EW135" s="1"/>
      <c r="EX135" s="225"/>
      <c r="EY135" s="225"/>
      <c r="EZ135" s="225"/>
      <c r="FA135" s="225"/>
      <c r="FB135" s="225"/>
      <c r="FC135" s="225"/>
      <c r="FD135" s="225"/>
      <c r="FE135" s="225"/>
      <c r="FF135" s="225"/>
      <c r="FG135" s="10"/>
      <c r="FH135" s="225"/>
      <c r="FI135" s="10"/>
      <c r="FJ135" s="1"/>
      <c r="FK135" s="225"/>
      <c r="FL135" s="225"/>
      <c r="FM135" s="225"/>
      <c r="FN135" s="225"/>
      <c r="FO135" s="225"/>
      <c r="FP135" s="225"/>
      <c r="FQ135" s="225"/>
      <c r="FR135" s="225"/>
      <c r="FS135" s="225"/>
      <c r="FT135" s="191"/>
      <c r="FU135" s="225"/>
      <c r="FV135" s="151"/>
    </row>
    <row r="136" spans="1:178" ht="16" thickBot="1" x14ac:dyDescent="0.25">
      <c r="A136" s="27" t="s">
        <v>57</v>
      </c>
      <c r="B136" t="s">
        <v>142</v>
      </c>
      <c r="C136" s="1"/>
      <c r="D136" s="17"/>
      <c r="E136" s="17"/>
      <c r="F136" s="156"/>
      <c r="G136" s="89"/>
      <c r="H136" s="88"/>
      <c r="I136" s="88"/>
      <c r="J136" s="17"/>
      <c r="K136" s="17"/>
      <c r="L136" s="17"/>
      <c r="M136" s="17"/>
      <c r="N136" s="17"/>
      <c r="O136" s="17"/>
      <c r="P136" s="1"/>
      <c r="Q136" s="48"/>
      <c r="R136" s="49"/>
      <c r="S136" s="49"/>
      <c r="T136" s="50">
        <f t="shared" si="51"/>
        <v>0</v>
      </c>
      <c r="U136" s="48"/>
      <c r="V136" s="49"/>
      <c r="W136" s="49"/>
      <c r="X136" s="50">
        <f t="shared" si="52"/>
        <v>0</v>
      </c>
      <c r="Y136" s="48"/>
      <c r="Z136" s="49"/>
      <c r="AA136" s="49"/>
      <c r="AB136" s="50">
        <f t="shared" si="53"/>
        <v>0</v>
      </c>
      <c r="AC136" s="167"/>
      <c r="AD136" s="166"/>
      <c r="AE136" s="166"/>
      <c r="AF136" s="151">
        <f t="shared" si="54"/>
        <v>0</v>
      </c>
      <c r="AG136" s="166"/>
      <c r="AH136" s="166"/>
      <c r="AI136" s="166"/>
      <c r="AJ136" s="151">
        <f t="shared" si="55"/>
        <v>0</v>
      </c>
      <c r="AK136" s="192"/>
      <c r="AL136" s="10"/>
      <c r="AM136" s="10"/>
      <c r="AN136" s="151">
        <f t="shared" si="56"/>
        <v>0</v>
      </c>
      <c r="AO136" s="191"/>
      <c r="AP136" s="10"/>
      <c r="AQ136" s="10"/>
      <c r="AR136" s="151"/>
      <c r="AS136" s="191"/>
      <c r="AT136" s="10"/>
      <c r="AU136" s="10"/>
      <c r="AV136" s="151"/>
      <c r="AW136" s="191"/>
      <c r="AX136" s="10"/>
      <c r="AY136" s="10"/>
      <c r="AZ136" s="151"/>
      <c r="BA136" s="191"/>
      <c r="BB136" s="10"/>
      <c r="BC136" s="10"/>
      <c r="BD136" s="151"/>
      <c r="BE136" s="191"/>
      <c r="BF136" s="10"/>
      <c r="BG136" s="10"/>
      <c r="BH136" s="151"/>
      <c r="BI136" s="191"/>
      <c r="BJ136" s="10"/>
      <c r="BK136" s="10"/>
      <c r="BL136" s="151"/>
      <c r="BM136" s="1"/>
      <c r="BN136" s="48"/>
      <c r="BO136" s="56"/>
      <c r="BP136" s="56"/>
      <c r="BQ136" s="50"/>
      <c r="BR136" s="48"/>
      <c r="BS136" s="56"/>
      <c r="BT136" s="56"/>
      <c r="BU136" s="50"/>
      <c r="BV136" s="48"/>
      <c r="BW136" s="56"/>
      <c r="BX136" s="56"/>
      <c r="BY136" s="50"/>
      <c r="BZ136" s="48"/>
      <c r="CA136" s="49"/>
      <c r="CB136" s="49"/>
      <c r="CC136" s="50"/>
      <c r="CD136" s="48"/>
      <c r="CE136" s="49"/>
      <c r="CF136" s="49"/>
      <c r="CG136" s="50"/>
      <c r="CK136" s="12"/>
      <c r="CL136" s="15"/>
      <c r="CO136" s="12"/>
      <c r="CP136" s="15"/>
      <c r="CS136" s="12"/>
      <c r="CT136" s="15"/>
      <c r="CW136" s="12"/>
      <c r="CX136" s="15"/>
      <c r="DA136" s="12"/>
      <c r="DF136" s="15"/>
      <c r="DI136" s="12"/>
      <c r="DJ136" s="1"/>
      <c r="DK136" s="225"/>
      <c r="DL136" s="225"/>
      <c r="DM136" s="225"/>
      <c r="DN136" s="225"/>
      <c r="DO136" s="225"/>
      <c r="DP136" s="225"/>
      <c r="DQ136" s="225"/>
      <c r="DR136" s="225"/>
      <c r="DS136" s="225"/>
      <c r="DT136" s="225"/>
      <c r="DU136" s="225"/>
      <c r="DV136" s="225"/>
      <c r="DW136" s="1"/>
      <c r="EJ136" s="1"/>
      <c r="EK136" s="17"/>
      <c r="EL136" s="17"/>
      <c r="EM136" s="17"/>
      <c r="EN136" s="17"/>
      <c r="EO136" s="17"/>
      <c r="EP136" s="17"/>
      <c r="EQ136" s="17"/>
      <c r="ER136" s="17"/>
      <c r="ES136" s="17"/>
      <c r="EU136" s="17"/>
      <c r="EW136" s="1"/>
      <c r="EX136" s="225"/>
      <c r="EY136" s="225"/>
      <c r="EZ136" s="225"/>
      <c r="FA136" s="225"/>
      <c r="FB136" s="225"/>
      <c r="FC136" s="225"/>
      <c r="FD136" s="225"/>
      <c r="FE136" s="225"/>
      <c r="FF136" s="225"/>
      <c r="FG136" s="10"/>
      <c r="FH136" s="225"/>
      <c r="FI136" s="10"/>
      <c r="FJ136" s="1"/>
      <c r="FK136" s="225"/>
      <c r="FL136" s="225"/>
      <c r="FM136" s="225"/>
      <c r="FN136" s="225"/>
      <c r="FO136" s="225"/>
      <c r="FP136" s="225"/>
      <c r="FQ136" s="225"/>
      <c r="FR136" s="225"/>
      <c r="FS136" s="225"/>
      <c r="FT136" s="191"/>
      <c r="FU136" s="225"/>
      <c r="FV136" s="151"/>
    </row>
    <row r="137" spans="1:178" ht="16" thickBot="1" x14ac:dyDescent="0.25">
      <c r="A137" s="27" t="s">
        <v>58</v>
      </c>
      <c r="B137" t="s">
        <v>142</v>
      </c>
      <c r="C137" s="1"/>
      <c r="D137" s="17"/>
      <c r="E137" s="17"/>
      <c r="F137" s="156"/>
      <c r="G137" s="89"/>
      <c r="H137" s="88"/>
      <c r="I137" s="88"/>
      <c r="J137" s="17"/>
      <c r="K137" s="17"/>
      <c r="L137" s="17"/>
      <c r="M137" s="17"/>
      <c r="N137" s="17"/>
      <c r="O137" s="17"/>
      <c r="P137" s="1"/>
      <c r="Q137" s="48"/>
      <c r="R137" s="49"/>
      <c r="S137" s="49"/>
      <c r="T137" s="50">
        <f t="shared" si="51"/>
        <v>0</v>
      </c>
      <c r="U137" s="48"/>
      <c r="V137" s="49"/>
      <c r="W137" s="49"/>
      <c r="X137" s="50">
        <f t="shared" si="52"/>
        <v>0</v>
      </c>
      <c r="Y137" s="48"/>
      <c r="Z137" s="49"/>
      <c r="AA137" s="49"/>
      <c r="AB137" s="50">
        <f t="shared" si="53"/>
        <v>0</v>
      </c>
      <c r="AC137" s="167"/>
      <c r="AD137" s="166"/>
      <c r="AE137" s="166"/>
      <c r="AF137" s="151">
        <f t="shared" si="54"/>
        <v>0</v>
      </c>
      <c r="AG137" s="166"/>
      <c r="AH137" s="166"/>
      <c r="AI137" s="166"/>
      <c r="AJ137" s="151">
        <f t="shared" si="55"/>
        <v>0</v>
      </c>
      <c r="AK137" s="192"/>
      <c r="AL137" s="10"/>
      <c r="AM137" s="10"/>
      <c r="AN137" s="151">
        <f t="shared" si="56"/>
        <v>0</v>
      </c>
      <c r="AO137" s="191"/>
      <c r="AP137" s="10"/>
      <c r="AQ137" s="10"/>
      <c r="AR137" s="151"/>
      <c r="AS137" s="191"/>
      <c r="AT137" s="10"/>
      <c r="AU137" s="10"/>
      <c r="AV137" s="151"/>
      <c r="AW137" s="191"/>
      <c r="AX137" s="10"/>
      <c r="AY137" s="10"/>
      <c r="AZ137" s="151"/>
      <c r="BA137" s="191"/>
      <c r="BB137" s="10"/>
      <c r="BC137" s="10"/>
      <c r="BD137" s="151"/>
      <c r="BE137" s="191"/>
      <c r="BF137" s="10"/>
      <c r="BG137" s="10"/>
      <c r="BH137" s="151"/>
      <c r="BI137" s="191"/>
      <c r="BJ137" s="10"/>
      <c r="BK137" s="10"/>
      <c r="BL137" s="151"/>
      <c r="BM137" s="1"/>
      <c r="BN137" s="48"/>
      <c r="BO137" s="56"/>
      <c r="BP137" s="56"/>
      <c r="BQ137" s="50"/>
      <c r="BR137" s="48"/>
      <c r="BS137" s="56"/>
      <c r="BT137" s="56"/>
      <c r="BU137" s="50"/>
      <c r="BV137" s="48"/>
      <c r="BW137" s="56"/>
      <c r="BX137" s="56"/>
      <c r="BY137" s="50"/>
      <c r="BZ137" s="48"/>
      <c r="CA137" s="49"/>
      <c r="CB137" s="49"/>
      <c r="CC137" s="50"/>
      <c r="CD137" s="48"/>
      <c r="CE137" s="49"/>
      <c r="CF137" s="49"/>
      <c r="CG137" s="50"/>
      <c r="CK137" s="12"/>
      <c r="CL137" s="15"/>
      <c r="CO137" s="12"/>
      <c r="CP137" s="15"/>
      <c r="CS137" s="12"/>
      <c r="CT137" s="15"/>
      <c r="CW137" s="12"/>
      <c r="CX137" s="15"/>
      <c r="DA137" s="12"/>
      <c r="DF137" s="15"/>
      <c r="DI137" s="12"/>
      <c r="DJ137" s="1"/>
      <c r="DK137" s="225"/>
      <c r="DL137" s="225"/>
      <c r="DM137" s="225"/>
      <c r="DN137" s="225"/>
      <c r="DO137" s="225"/>
      <c r="DP137" s="225"/>
      <c r="DQ137" s="225"/>
      <c r="DR137" s="225"/>
      <c r="DS137" s="225"/>
      <c r="DT137" s="225"/>
      <c r="DU137" s="225"/>
      <c r="DV137" s="225"/>
      <c r="DW137" s="1"/>
      <c r="EJ137" s="1"/>
      <c r="EK137" s="17"/>
      <c r="EL137" s="17"/>
      <c r="EM137" s="17"/>
      <c r="EN137" s="17"/>
      <c r="EO137" s="17"/>
      <c r="EP137" s="17"/>
      <c r="EQ137" s="17"/>
      <c r="ER137" s="17"/>
      <c r="ES137" s="17"/>
      <c r="EU137" s="17"/>
      <c r="EW137" s="1"/>
      <c r="EX137" s="225"/>
      <c r="EY137" s="225"/>
      <c r="EZ137" s="225"/>
      <c r="FA137" s="225"/>
      <c r="FB137" s="225"/>
      <c r="FC137" s="225"/>
      <c r="FD137" s="225"/>
      <c r="FE137" s="225"/>
      <c r="FF137" s="225"/>
      <c r="FG137" s="10"/>
      <c r="FH137" s="225"/>
      <c r="FI137" s="10"/>
      <c r="FJ137" s="1"/>
      <c r="FK137" s="225"/>
      <c r="FL137" s="225"/>
      <c r="FM137" s="225"/>
      <c r="FN137" s="225"/>
      <c r="FO137" s="225"/>
      <c r="FP137" s="225"/>
      <c r="FQ137" s="225"/>
      <c r="FR137" s="225"/>
      <c r="FS137" s="225"/>
      <c r="FT137" s="191"/>
      <c r="FU137" s="225"/>
      <c r="FV137" s="151"/>
    </row>
    <row r="138" spans="1:178" ht="16" thickBot="1" x14ac:dyDescent="0.25">
      <c r="A138" s="27" t="s">
        <v>59</v>
      </c>
      <c r="B138" t="s">
        <v>142</v>
      </c>
      <c r="C138" s="1"/>
      <c r="D138" s="17"/>
      <c r="E138" s="17"/>
      <c r="F138" s="156"/>
      <c r="G138" s="89"/>
      <c r="H138" s="88"/>
      <c r="I138" s="88"/>
      <c r="J138" s="17"/>
      <c r="K138" s="17"/>
      <c r="L138" s="17"/>
      <c r="M138" s="17"/>
      <c r="N138" s="17"/>
      <c r="O138" s="17"/>
      <c r="P138" s="1"/>
      <c r="Q138" s="48"/>
      <c r="R138" s="49"/>
      <c r="S138" s="49"/>
      <c r="T138" s="50">
        <f t="shared" si="51"/>
        <v>0</v>
      </c>
      <c r="U138" s="48"/>
      <c r="V138" s="49"/>
      <c r="W138" s="49"/>
      <c r="X138" s="50">
        <f t="shared" si="52"/>
        <v>0</v>
      </c>
      <c r="Y138" s="48"/>
      <c r="Z138" s="49"/>
      <c r="AA138" s="49"/>
      <c r="AB138" s="50">
        <f t="shared" si="53"/>
        <v>0</v>
      </c>
      <c r="AC138" s="167"/>
      <c r="AD138" s="166"/>
      <c r="AE138" s="166"/>
      <c r="AF138" s="151">
        <f t="shared" si="54"/>
        <v>0</v>
      </c>
      <c r="AG138" s="166"/>
      <c r="AH138" s="166"/>
      <c r="AI138" s="166"/>
      <c r="AJ138" s="151">
        <f t="shared" si="55"/>
        <v>0</v>
      </c>
      <c r="AK138" s="192"/>
      <c r="AL138" s="10"/>
      <c r="AM138" s="10"/>
      <c r="AN138" s="151">
        <f t="shared" si="56"/>
        <v>0</v>
      </c>
      <c r="AO138" s="191"/>
      <c r="AP138" s="10"/>
      <c r="AQ138" s="10"/>
      <c r="AR138" s="151"/>
      <c r="AS138" s="191"/>
      <c r="AT138" s="10"/>
      <c r="AU138" s="10"/>
      <c r="AV138" s="151"/>
      <c r="AW138" s="191"/>
      <c r="AX138" s="10"/>
      <c r="AY138" s="10"/>
      <c r="AZ138" s="151"/>
      <c r="BA138" s="191"/>
      <c r="BB138" s="10"/>
      <c r="BC138" s="10"/>
      <c r="BD138" s="151"/>
      <c r="BE138" s="191"/>
      <c r="BF138" s="10"/>
      <c r="BG138" s="10"/>
      <c r="BH138" s="151"/>
      <c r="BI138" s="191"/>
      <c r="BJ138" s="10"/>
      <c r="BK138" s="10"/>
      <c r="BL138" s="151"/>
      <c r="BM138" s="1"/>
      <c r="BN138" s="48"/>
      <c r="BO138" s="56"/>
      <c r="BP138" s="56"/>
      <c r="BQ138" s="50"/>
      <c r="BR138" s="48"/>
      <c r="BS138" s="56"/>
      <c r="BT138" s="56"/>
      <c r="BU138" s="50"/>
      <c r="BV138" s="48"/>
      <c r="BW138" s="56"/>
      <c r="BX138" s="56"/>
      <c r="BY138" s="50"/>
      <c r="BZ138" s="48"/>
      <c r="CA138" s="49"/>
      <c r="CB138" s="49"/>
      <c r="CC138" s="50"/>
      <c r="CD138" s="48"/>
      <c r="CE138" s="49"/>
      <c r="CF138" s="49"/>
      <c r="CG138" s="50"/>
      <c r="CK138" s="12"/>
      <c r="CL138" s="15"/>
      <c r="CO138" s="12"/>
      <c r="CP138" s="15"/>
      <c r="CS138" s="12"/>
      <c r="CT138" s="15"/>
      <c r="CW138" s="12"/>
      <c r="CX138" s="15"/>
      <c r="DA138" s="12"/>
      <c r="DF138" s="15"/>
      <c r="DI138" s="12"/>
      <c r="DJ138" s="1"/>
      <c r="DK138" s="225"/>
      <c r="DL138" s="225"/>
      <c r="DM138" s="225"/>
      <c r="DN138" s="225"/>
      <c r="DO138" s="225"/>
      <c r="DP138" s="225"/>
      <c r="DQ138" s="225"/>
      <c r="DR138" s="225"/>
      <c r="DS138" s="225"/>
      <c r="DT138" s="225"/>
      <c r="DU138" s="225"/>
      <c r="DV138" s="225"/>
      <c r="DW138" s="1"/>
      <c r="EJ138" s="1"/>
      <c r="EK138" s="17"/>
      <c r="EL138" s="17"/>
      <c r="EM138" s="17"/>
      <c r="EN138" s="17"/>
      <c r="EO138" s="17"/>
      <c r="EP138" s="17"/>
      <c r="EQ138" s="17"/>
      <c r="ER138" s="17"/>
      <c r="ES138" s="17"/>
      <c r="EU138" s="17"/>
      <c r="EW138" s="1"/>
      <c r="EX138" s="225"/>
      <c r="EY138" s="225"/>
      <c r="EZ138" s="225"/>
      <c r="FA138" s="225"/>
      <c r="FB138" s="225"/>
      <c r="FC138" s="225"/>
      <c r="FD138" s="225"/>
      <c r="FE138" s="225"/>
      <c r="FF138" s="225"/>
      <c r="FG138" s="10"/>
      <c r="FH138" s="225"/>
      <c r="FI138" s="10"/>
      <c r="FJ138" s="1"/>
      <c r="FK138" s="225"/>
      <c r="FL138" s="225"/>
      <c r="FM138" s="225"/>
      <c r="FN138" s="225"/>
      <c r="FO138" s="225"/>
      <c r="FP138" s="225"/>
      <c r="FQ138" s="225"/>
      <c r="FR138" s="225"/>
      <c r="FS138" s="225"/>
      <c r="FT138" s="191"/>
      <c r="FU138" s="225"/>
      <c r="FV138" s="151"/>
    </row>
    <row r="139" spans="1:178" ht="16" thickBot="1" x14ac:dyDescent="0.25">
      <c r="A139" s="27" t="s">
        <v>60</v>
      </c>
      <c r="B139" t="s">
        <v>142</v>
      </c>
      <c r="C139" s="1"/>
      <c r="D139" s="17"/>
      <c r="E139" s="17"/>
      <c r="F139" s="156"/>
      <c r="G139" s="89"/>
      <c r="H139" s="88"/>
      <c r="I139" s="88"/>
      <c r="J139" s="17"/>
      <c r="K139" s="17"/>
      <c r="L139" s="17"/>
      <c r="M139" s="17"/>
      <c r="N139" s="17"/>
      <c r="O139" s="17"/>
      <c r="P139" s="1"/>
      <c r="Q139" s="48"/>
      <c r="R139" s="49"/>
      <c r="S139" s="49"/>
      <c r="T139" s="50">
        <f t="shared" si="51"/>
        <v>0</v>
      </c>
      <c r="U139" s="48"/>
      <c r="V139" s="49"/>
      <c r="W139" s="49"/>
      <c r="X139" s="50">
        <f t="shared" si="52"/>
        <v>0</v>
      </c>
      <c r="Y139" s="48"/>
      <c r="Z139" s="49"/>
      <c r="AA139" s="49"/>
      <c r="AB139" s="50">
        <f t="shared" si="53"/>
        <v>0</v>
      </c>
      <c r="AC139" s="167"/>
      <c r="AD139" s="166"/>
      <c r="AE139" s="166"/>
      <c r="AF139" s="151">
        <f t="shared" si="54"/>
        <v>0</v>
      </c>
      <c r="AG139" s="166"/>
      <c r="AH139" s="166"/>
      <c r="AI139" s="166"/>
      <c r="AJ139" s="151">
        <f t="shared" si="55"/>
        <v>0</v>
      </c>
      <c r="AK139" s="192"/>
      <c r="AL139" s="10"/>
      <c r="AM139" s="10"/>
      <c r="AN139" s="151">
        <f t="shared" si="56"/>
        <v>0</v>
      </c>
      <c r="AO139" s="191"/>
      <c r="AP139" s="10"/>
      <c r="AQ139" s="10"/>
      <c r="AR139" s="151"/>
      <c r="AS139" s="191"/>
      <c r="AT139" s="10"/>
      <c r="AU139" s="10"/>
      <c r="AV139" s="151"/>
      <c r="AW139" s="191"/>
      <c r="AX139" s="10"/>
      <c r="AY139" s="10"/>
      <c r="AZ139" s="151"/>
      <c r="BA139" s="191"/>
      <c r="BB139" s="10"/>
      <c r="BC139" s="10"/>
      <c r="BD139" s="151"/>
      <c r="BE139" s="191"/>
      <c r="BF139" s="10"/>
      <c r="BG139" s="10"/>
      <c r="BH139" s="151"/>
      <c r="BI139" s="191"/>
      <c r="BJ139" s="10"/>
      <c r="BK139" s="10"/>
      <c r="BL139" s="151"/>
      <c r="BM139" s="1"/>
      <c r="BN139" s="48"/>
      <c r="BO139" s="56"/>
      <c r="BP139" s="56"/>
      <c r="BQ139" s="50"/>
      <c r="BR139" s="48"/>
      <c r="BS139" s="56"/>
      <c r="BT139" s="56"/>
      <c r="BU139" s="50"/>
      <c r="BV139" s="48"/>
      <c r="BW139" s="56"/>
      <c r="BX139" s="56"/>
      <c r="BY139" s="50"/>
      <c r="BZ139" s="48"/>
      <c r="CA139" s="49"/>
      <c r="CB139" s="49"/>
      <c r="CC139" s="50"/>
      <c r="CD139" s="48"/>
      <c r="CE139" s="49"/>
      <c r="CF139" s="49"/>
      <c r="CG139" s="50"/>
      <c r="CK139" s="12"/>
      <c r="CL139" s="15"/>
      <c r="CO139" s="12"/>
      <c r="CP139" s="15"/>
      <c r="CS139" s="12"/>
      <c r="CT139" s="15"/>
      <c r="CW139" s="12"/>
      <c r="CX139" s="15"/>
      <c r="DA139" s="12"/>
      <c r="DF139" s="15"/>
      <c r="DI139" s="12"/>
      <c r="DJ139" s="1"/>
      <c r="DK139" s="225"/>
      <c r="DL139" s="225"/>
      <c r="DM139" s="225"/>
      <c r="DN139" s="225"/>
      <c r="DO139" s="225"/>
      <c r="DP139" s="225"/>
      <c r="DQ139" s="225"/>
      <c r="DR139" s="225"/>
      <c r="DS139" s="225"/>
      <c r="DT139" s="225"/>
      <c r="DU139" s="225"/>
      <c r="DV139" s="225"/>
      <c r="DW139" s="1"/>
      <c r="EJ139" s="1"/>
      <c r="EK139" s="17"/>
      <c r="EL139" s="17"/>
      <c r="EM139" s="17"/>
      <c r="EN139" s="17"/>
      <c r="EO139" s="17"/>
      <c r="EP139" s="17"/>
      <c r="EQ139" s="17"/>
      <c r="ER139" s="17"/>
      <c r="ES139" s="17"/>
      <c r="EU139" s="17"/>
      <c r="EW139" s="1"/>
      <c r="EX139" s="225"/>
      <c r="EY139" s="225"/>
      <c r="EZ139" s="225"/>
      <c r="FA139" s="225"/>
      <c r="FB139" s="225"/>
      <c r="FC139" s="225"/>
      <c r="FD139" s="225"/>
      <c r="FE139" s="225"/>
      <c r="FF139" s="225"/>
      <c r="FG139" s="10"/>
      <c r="FH139" s="225"/>
      <c r="FI139" s="10"/>
      <c r="FJ139" s="1"/>
      <c r="FK139" s="225"/>
      <c r="FL139" s="225"/>
      <c r="FM139" s="225"/>
      <c r="FN139" s="225"/>
      <c r="FO139" s="225"/>
      <c r="FP139" s="225"/>
      <c r="FQ139" s="225"/>
      <c r="FR139" s="225"/>
      <c r="FS139" s="225"/>
      <c r="FT139" s="191"/>
      <c r="FU139" s="225"/>
      <c r="FV139" s="151"/>
    </row>
    <row r="140" spans="1:178" ht="16" thickBot="1" x14ac:dyDescent="0.25">
      <c r="A140" s="27" t="s">
        <v>61</v>
      </c>
      <c r="B140" t="s">
        <v>142</v>
      </c>
      <c r="C140" s="1"/>
      <c r="D140" s="17"/>
      <c r="E140" s="17"/>
      <c r="F140" s="156"/>
      <c r="G140" s="89"/>
      <c r="H140" s="88"/>
      <c r="I140" s="88"/>
      <c r="J140" s="17"/>
      <c r="K140" s="17"/>
      <c r="L140" s="17"/>
      <c r="M140" s="17"/>
      <c r="N140" s="17"/>
      <c r="O140" s="17"/>
      <c r="P140" s="1"/>
      <c r="Q140" s="48"/>
      <c r="R140" s="49"/>
      <c r="S140" s="49"/>
      <c r="T140" s="50">
        <f t="shared" si="51"/>
        <v>0</v>
      </c>
      <c r="U140" s="48"/>
      <c r="V140" s="49"/>
      <c r="W140" s="49"/>
      <c r="X140" s="50">
        <f t="shared" si="52"/>
        <v>0</v>
      </c>
      <c r="Y140" s="48"/>
      <c r="Z140" s="49"/>
      <c r="AA140" s="49"/>
      <c r="AB140" s="50">
        <f t="shared" si="53"/>
        <v>0</v>
      </c>
      <c r="AC140" s="167"/>
      <c r="AD140" s="166"/>
      <c r="AE140" s="166"/>
      <c r="AF140" s="151">
        <f t="shared" si="54"/>
        <v>0</v>
      </c>
      <c r="AG140" s="166"/>
      <c r="AH140" s="166"/>
      <c r="AI140" s="166"/>
      <c r="AJ140" s="151">
        <f t="shared" si="55"/>
        <v>0</v>
      </c>
      <c r="AK140" s="192"/>
      <c r="AL140" s="10"/>
      <c r="AM140" s="10"/>
      <c r="AN140" s="151">
        <f t="shared" si="56"/>
        <v>0</v>
      </c>
      <c r="AO140" s="191"/>
      <c r="AP140" s="10"/>
      <c r="AQ140" s="10"/>
      <c r="AR140" s="151"/>
      <c r="AS140" s="191"/>
      <c r="AT140" s="10"/>
      <c r="AU140" s="10"/>
      <c r="AV140" s="151"/>
      <c r="AW140" s="191"/>
      <c r="AX140" s="10"/>
      <c r="AY140" s="10"/>
      <c r="AZ140" s="151"/>
      <c r="BA140" s="191"/>
      <c r="BB140" s="10"/>
      <c r="BC140" s="10"/>
      <c r="BD140" s="151"/>
      <c r="BE140" s="191"/>
      <c r="BF140" s="10"/>
      <c r="BG140" s="10"/>
      <c r="BH140" s="151"/>
      <c r="BI140" s="191"/>
      <c r="BJ140" s="10"/>
      <c r="BK140" s="10"/>
      <c r="BL140" s="151"/>
      <c r="BM140" s="1"/>
      <c r="BN140" s="48"/>
      <c r="BO140" s="56"/>
      <c r="BP140" s="56"/>
      <c r="BQ140" s="50"/>
      <c r="BR140" s="48"/>
      <c r="BS140" s="56"/>
      <c r="BT140" s="56"/>
      <c r="BU140" s="50"/>
      <c r="BV140" s="48"/>
      <c r="BW140" s="56"/>
      <c r="BX140" s="56"/>
      <c r="BY140" s="50"/>
      <c r="BZ140" s="48"/>
      <c r="CA140" s="49"/>
      <c r="CB140" s="49"/>
      <c r="CC140" s="50"/>
      <c r="CD140" s="48"/>
      <c r="CE140" s="49"/>
      <c r="CF140" s="49"/>
      <c r="CG140" s="50"/>
      <c r="CK140" s="12"/>
      <c r="CL140" s="15"/>
      <c r="CO140" s="12"/>
      <c r="CP140" s="15"/>
      <c r="CS140" s="12"/>
      <c r="CT140" s="15"/>
      <c r="CW140" s="12"/>
      <c r="CX140" s="15"/>
      <c r="DA140" s="12"/>
      <c r="DF140" s="15"/>
      <c r="DI140" s="12"/>
      <c r="DJ140" s="1"/>
      <c r="DK140" s="225"/>
      <c r="DL140" s="225"/>
      <c r="DM140" s="225"/>
      <c r="DN140" s="225"/>
      <c r="DO140" s="225"/>
      <c r="DP140" s="225"/>
      <c r="DQ140" s="225"/>
      <c r="DR140" s="225"/>
      <c r="DS140" s="225"/>
      <c r="DT140" s="225"/>
      <c r="DU140" s="225"/>
      <c r="DV140" s="225"/>
      <c r="DW140" s="1"/>
      <c r="EJ140" s="1"/>
      <c r="EK140" s="17"/>
      <c r="EL140" s="17"/>
      <c r="EM140" s="17"/>
      <c r="EN140" s="17"/>
      <c r="EO140" s="17"/>
      <c r="EP140" s="17"/>
      <c r="EQ140" s="17"/>
      <c r="ER140" s="17"/>
      <c r="ES140" s="17"/>
      <c r="EU140" s="17"/>
      <c r="EW140" s="1"/>
      <c r="EX140" s="225"/>
      <c r="EY140" s="225"/>
      <c r="EZ140" s="225"/>
      <c r="FA140" s="225"/>
      <c r="FB140" s="225"/>
      <c r="FC140" s="225"/>
      <c r="FD140" s="225"/>
      <c r="FE140" s="225"/>
      <c r="FF140" s="225"/>
      <c r="FG140" s="10"/>
      <c r="FH140" s="225"/>
      <c r="FI140" s="10"/>
      <c r="FJ140" s="1"/>
      <c r="FK140" s="225"/>
      <c r="FL140" s="225"/>
      <c r="FM140" s="225"/>
      <c r="FN140" s="225"/>
      <c r="FO140" s="225"/>
      <c r="FP140" s="225"/>
      <c r="FQ140" s="225"/>
      <c r="FR140" s="225"/>
      <c r="FS140" s="225"/>
      <c r="FT140" s="191"/>
      <c r="FU140" s="225"/>
      <c r="FV140" s="151"/>
    </row>
    <row r="141" spans="1:178" ht="16" thickBot="1" x14ac:dyDescent="0.25">
      <c r="A141" s="27" t="s">
        <v>62</v>
      </c>
      <c r="B141" t="s">
        <v>142</v>
      </c>
      <c r="C141" s="1"/>
      <c r="D141" s="17"/>
      <c r="E141" s="17"/>
      <c r="F141" s="156"/>
      <c r="G141" s="89"/>
      <c r="H141" s="88"/>
      <c r="I141" s="88"/>
      <c r="J141" s="17"/>
      <c r="K141" s="17"/>
      <c r="L141" s="17"/>
      <c r="M141" s="17"/>
      <c r="N141" s="17"/>
      <c r="O141" s="17"/>
      <c r="P141" s="1"/>
      <c r="Q141" s="48"/>
      <c r="R141" s="49"/>
      <c r="S141" s="49"/>
      <c r="T141" s="50">
        <f t="shared" si="51"/>
        <v>0</v>
      </c>
      <c r="U141" s="48"/>
      <c r="V141" s="49"/>
      <c r="W141" s="49"/>
      <c r="X141" s="50">
        <f t="shared" si="52"/>
        <v>0</v>
      </c>
      <c r="Y141" s="48"/>
      <c r="Z141" s="49"/>
      <c r="AA141" s="49"/>
      <c r="AB141" s="50">
        <f t="shared" si="53"/>
        <v>0</v>
      </c>
      <c r="AC141" s="167"/>
      <c r="AD141" s="166"/>
      <c r="AE141" s="166"/>
      <c r="AF141" s="151">
        <f t="shared" si="54"/>
        <v>0</v>
      </c>
      <c r="AG141" s="166"/>
      <c r="AH141" s="166"/>
      <c r="AI141" s="166"/>
      <c r="AJ141" s="151">
        <f t="shared" si="55"/>
        <v>0</v>
      </c>
      <c r="AK141" s="192"/>
      <c r="AL141" s="10"/>
      <c r="AM141" s="10"/>
      <c r="AN141" s="151">
        <f t="shared" si="56"/>
        <v>0</v>
      </c>
      <c r="AO141" s="191"/>
      <c r="AP141" s="10"/>
      <c r="AQ141" s="10"/>
      <c r="AR141" s="151"/>
      <c r="AS141" s="191"/>
      <c r="AT141" s="10"/>
      <c r="AU141" s="10"/>
      <c r="AV141" s="151"/>
      <c r="AW141" s="191"/>
      <c r="AX141" s="10"/>
      <c r="AY141" s="10"/>
      <c r="AZ141" s="151"/>
      <c r="BA141" s="191"/>
      <c r="BB141" s="10"/>
      <c r="BC141" s="10"/>
      <c r="BD141" s="151"/>
      <c r="BE141" s="191"/>
      <c r="BF141" s="10"/>
      <c r="BG141" s="10"/>
      <c r="BH141" s="151"/>
      <c r="BI141" s="191"/>
      <c r="BJ141" s="10"/>
      <c r="BK141" s="10"/>
      <c r="BL141" s="151"/>
      <c r="BM141" s="1"/>
      <c r="BN141" s="48"/>
      <c r="BO141" s="56"/>
      <c r="BP141" s="56"/>
      <c r="BQ141" s="50"/>
      <c r="BR141" s="48"/>
      <c r="BS141" s="56"/>
      <c r="BT141" s="56"/>
      <c r="BU141" s="50"/>
      <c r="BV141" s="48"/>
      <c r="BW141" s="56"/>
      <c r="BX141" s="56"/>
      <c r="BY141" s="50"/>
      <c r="BZ141" s="48"/>
      <c r="CA141" s="49"/>
      <c r="CB141" s="49"/>
      <c r="CC141" s="50"/>
      <c r="CD141" s="48"/>
      <c r="CE141" s="49"/>
      <c r="CF141" s="49"/>
      <c r="CG141" s="50"/>
      <c r="CK141" s="12"/>
      <c r="CL141" s="15"/>
      <c r="CO141" s="12"/>
      <c r="CP141" s="15"/>
      <c r="CS141" s="12"/>
      <c r="CT141" s="15"/>
      <c r="CW141" s="12"/>
      <c r="CX141" s="15"/>
      <c r="DA141" s="12"/>
      <c r="DF141" s="15"/>
      <c r="DI141" s="12"/>
      <c r="DJ141" s="1"/>
      <c r="DK141" s="225"/>
      <c r="DL141" s="225"/>
      <c r="DM141" s="225"/>
      <c r="DN141" s="225"/>
      <c r="DO141" s="225"/>
      <c r="DP141" s="225"/>
      <c r="DQ141" s="225"/>
      <c r="DR141" s="225"/>
      <c r="DS141" s="225"/>
      <c r="DT141" s="225"/>
      <c r="DU141" s="225"/>
      <c r="DV141" s="225"/>
      <c r="DW141" s="1"/>
      <c r="EJ141" s="1"/>
      <c r="EK141" s="17"/>
      <c r="EL141" s="17"/>
      <c r="EM141" s="17"/>
      <c r="EN141" s="17"/>
      <c r="EO141" s="17"/>
      <c r="EP141" s="17"/>
      <c r="EQ141" s="17"/>
      <c r="ER141" s="17"/>
      <c r="ES141" s="17"/>
      <c r="EU141" s="17"/>
      <c r="EW141" s="1"/>
      <c r="EX141" s="225"/>
      <c r="EY141" s="225"/>
      <c r="EZ141" s="225"/>
      <c r="FA141" s="225"/>
      <c r="FB141" s="225"/>
      <c r="FC141" s="225"/>
      <c r="FD141" s="225"/>
      <c r="FE141" s="225"/>
      <c r="FF141" s="225"/>
      <c r="FG141" s="10"/>
      <c r="FH141" s="225"/>
      <c r="FI141" s="10"/>
      <c r="FJ141" s="1"/>
      <c r="FK141" s="225"/>
      <c r="FL141" s="225"/>
      <c r="FM141" s="225"/>
      <c r="FN141" s="225"/>
      <c r="FO141" s="225"/>
      <c r="FP141" s="225"/>
      <c r="FQ141" s="225"/>
      <c r="FR141" s="225"/>
      <c r="FS141" s="225"/>
      <c r="FT141" s="191"/>
      <c r="FU141" s="225"/>
      <c r="FV141" s="151"/>
    </row>
    <row r="142" spans="1:178" ht="16" thickBot="1" x14ac:dyDescent="0.25">
      <c r="A142" s="27" t="s">
        <v>63</v>
      </c>
      <c r="B142" t="s">
        <v>142</v>
      </c>
      <c r="C142" s="1"/>
      <c r="D142" s="17"/>
      <c r="E142" s="17"/>
      <c r="F142" s="156"/>
      <c r="G142" s="89"/>
      <c r="H142" s="88"/>
      <c r="I142" s="88"/>
      <c r="J142" s="17"/>
      <c r="K142" s="17"/>
      <c r="L142" s="17"/>
      <c r="M142" s="17"/>
      <c r="N142" s="17"/>
      <c r="O142" s="17"/>
      <c r="P142" s="1"/>
      <c r="Q142" s="48"/>
      <c r="R142" s="49"/>
      <c r="S142" s="49"/>
      <c r="T142" s="50">
        <f t="shared" si="51"/>
        <v>0</v>
      </c>
      <c r="U142" s="48"/>
      <c r="V142" s="49"/>
      <c r="W142" s="49"/>
      <c r="X142" s="50">
        <f t="shared" si="52"/>
        <v>0</v>
      </c>
      <c r="Y142" s="48"/>
      <c r="Z142" s="49"/>
      <c r="AA142" s="49"/>
      <c r="AB142" s="50">
        <f t="shared" si="53"/>
        <v>0</v>
      </c>
      <c r="AC142" s="167"/>
      <c r="AD142" s="166"/>
      <c r="AE142" s="166"/>
      <c r="AF142" s="151">
        <f t="shared" si="54"/>
        <v>0</v>
      </c>
      <c r="AG142" s="166"/>
      <c r="AH142" s="166"/>
      <c r="AI142" s="166"/>
      <c r="AJ142" s="151">
        <f t="shared" si="55"/>
        <v>0</v>
      </c>
      <c r="AK142" s="192"/>
      <c r="AL142" s="10"/>
      <c r="AM142" s="10"/>
      <c r="AN142" s="151">
        <f t="shared" si="56"/>
        <v>0</v>
      </c>
      <c r="AO142" s="191"/>
      <c r="AP142" s="10"/>
      <c r="AQ142" s="10"/>
      <c r="AR142" s="151"/>
      <c r="AS142" s="191"/>
      <c r="AT142" s="10"/>
      <c r="AU142" s="10"/>
      <c r="AV142" s="151"/>
      <c r="AW142" s="191"/>
      <c r="AX142" s="10"/>
      <c r="AY142" s="10"/>
      <c r="AZ142" s="151"/>
      <c r="BA142" s="191"/>
      <c r="BB142" s="10"/>
      <c r="BC142" s="10"/>
      <c r="BD142" s="151"/>
      <c r="BE142" s="191"/>
      <c r="BF142" s="10"/>
      <c r="BG142" s="10"/>
      <c r="BH142" s="151"/>
      <c r="BI142" s="191"/>
      <c r="BJ142" s="10"/>
      <c r="BK142" s="10"/>
      <c r="BL142" s="151"/>
      <c r="BM142" s="1"/>
      <c r="BN142" s="48"/>
      <c r="BO142" s="56"/>
      <c r="BP142" s="56"/>
      <c r="BQ142" s="50"/>
      <c r="BR142" s="48"/>
      <c r="BS142" s="56"/>
      <c r="BT142" s="56"/>
      <c r="BU142" s="50"/>
      <c r="BV142" s="48"/>
      <c r="BW142" s="56"/>
      <c r="BX142" s="56"/>
      <c r="BY142" s="50"/>
      <c r="BZ142" s="48"/>
      <c r="CA142" s="49"/>
      <c r="CB142" s="49"/>
      <c r="CC142" s="50"/>
      <c r="CD142" s="48"/>
      <c r="CE142" s="49"/>
      <c r="CF142" s="49"/>
      <c r="CG142" s="50"/>
      <c r="CK142" s="12"/>
      <c r="CL142" s="15"/>
      <c r="CO142" s="12"/>
      <c r="CP142" s="15"/>
      <c r="CS142" s="12"/>
      <c r="CT142" s="15"/>
      <c r="CW142" s="12"/>
      <c r="CX142" s="15"/>
      <c r="DA142" s="12"/>
      <c r="DF142" s="15"/>
      <c r="DI142" s="12"/>
      <c r="DJ142" s="1"/>
      <c r="DK142" s="225"/>
      <c r="DL142" s="225"/>
      <c r="DM142" s="225"/>
      <c r="DN142" s="225"/>
      <c r="DO142" s="225"/>
      <c r="DP142" s="225"/>
      <c r="DQ142" s="225"/>
      <c r="DR142" s="225"/>
      <c r="DS142" s="225"/>
      <c r="DT142" s="225"/>
      <c r="DU142" s="225"/>
      <c r="DV142" s="225"/>
      <c r="DW142" s="1"/>
      <c r="EJ142" s="1"/>
      <c r="EK142" s="17"/>
      <c r="EL142" s="17"/>
      <c r="EM142" s="17"/>
      <c r="EN142" s="17"/>
      <c r="EO142" s="17"/>
      <c r="EP142" s="17"/>
      <c r="EQ142" s="17"/>
      <c r="ER142" s="17"/>
      <c r="ES142" s="17"/>
      <c r="EU142" s="17"/>
      <c r="EW142" s="1"/>
      <c r="EX142" s="225"/>
      <c r="EY142" s="225"/>
      <c r="EZ142" s="225"/>
      <c r="FA142" s="225"/>
      <c r="FB142" s="225"/>
      <c r="FC142" s="225"/>
      <c r="FD142" s="225"/>
      <c r="FE142" s="225"/>
      <c r="FF142" s="225"/>
      <c r="FG142" s="10"/>
      <c r="FH142" s="225"/>
      <c r="FI142" s="10"/>
      <c r="FJ142" s="1"/>
      <c r="FK142" s="225"/>
      <c r="FL142" s="225"/>
      <c r="FM142" s="225"/>
      <c r="FN142" s="225"/>
      <c r="FO142" s="225"/>
      <c r="FP142" s="225"/>
      <c r="FQ142" s="225"/>
      <c r="FR142" s="225"/>
      <c r="FS142" s="225"/>
      <c r="FT142" s="191"/>
      <c r="FU142" s="225"/>
      <c r="FV142" s="151"/>
    </row>
    <row r="143" spans="1:178" ht="16" thickBot="1" x14ac:dyDescent="0.25">
      <c r="A143" s="27" t="s">
        <v>64</v>
      </c>
      <c r="B143" t="s">
        <v>142</v>
      </c>
      <c r="C143" s="1"/>
      <c r="D143" s="17">
        <v>1</v>
      </c>
      <c r="E143" s="17">
        <v>1</v>
      </c>
      <c r="F143" s="156">
        <v>1</v>
      </c>
      <c r="G143" s="89">
        <v>2</v>
      </c>
      <c r="H143" s="88">
        <v>2</v>
      </c>
      <c r="I143" s="87">
        <v>2</v>
      </c>
      <c r="J143" s="17"/>
      <c r="K143" s="17"/>
      <c r="L143" s="17"/>
      <c r="M143" s="17"/>
      <c r="N143" s="17"/>
      <c r="O143" s="17"/>
      <c r="P143" s="1"/>
      <c r="Q143" s="48">
        <v>36.71</v>
      </c>
      <c r="R143" s="49"/>
      <c r="S143" s="49"/>
      <c r="T143" s="50">
        <f t="shared" si="51"/>
        <v>36.71</v>
      </c>
      <c r="U143" s="48">
        <v>37.31</v>
      </c>
      <c r="V143" s="49"/>
      <c r="W143" s="49"/>
      <c r="X143" s="50">
        <f t="shared" si="52"/>
        <v>37.31</v>
      </c>
      <c r="Y143" s="48">
        <v>37.89</v>
      </c>
      <c r="Z143" s="49"/>
      <c r="AA143" s="49"/>
      <c r="AB143" s="50">
        <f t="shared" si="53"/>
        <v>37.89</v>
      </c>
      <c r="AC143" s="167">
        <v>51</v>
      </c>
      <c r="AD143" s="166">
        <v>78.67</v>
      </c>
      <c r="AE143" s="166"/>
      <c r="AF143" s="151">
        <f t="shared" si="54"/>
        <v>129.67000000000002</v>
      </c>
      <c r="AG143" s="166">
        <v>51</v>
      </c>
      <c r="AH143" s="166">
        <v>78.67</v>
      </c>
      <c r="AI143" s="166"/>
      <c r="AJ143" s="151">
        <f t="shared" si="55"/>
        <v>129.67000000000002</v>
      </c>
      <c r="AK143" s="192">
        <v>129.66999999999999</v>
      </c>
      <c r="AL143" s="10"/>
      <c r="AM143" s="10"/>
      <c r="AN143" s="151">
        <f t="shared" si="56"/>
        <v>129.66999999999999</v>
      </c>
      <c r="AO143" s="191"/>
      <c r="AP143" s="10"/>
      <c r="AQ143" s="10"/>
      <c r="AR143" s="151"/>
      <c r="AS143" s="191"/>
      <c r="AT143" s="10"/>
      <c r="AU143" s="10"/>
      <c r="AV143" s="151"/>
      <c r="AW143" s="191"/>
      <c r="AX143" s="10"/>
      <c r="AY143" s="10"/>
      <c r="AZ143" s="151"/>
      <c r="BA143" s="191"/>
      <c r="BB143" s="10"/>
      <c r="BC143" s="10"/>
      <c r="BD143" s="151"/>
      <c r="BE143" s="191"/>
      <c r="BF143" s="10"/>
      <c r="BG143" s="10"/>
      <c r="BH143" s="151"/>
      <c r="BI143" s="191"/>
      <c r="BJ143" s="10"/>
      <c r="BK143" s="10"/>
      <c r="BL143" s="151"/>
      <c r="BM143" s="1"/>
      <c r="BN143" s="48"/>
      <c r="BO143" s="56"/>
      <c r="BP143" s="56"/>
      <c r="BQ143" s="50"/>
      <c r="BR143" s="48"/>
      <c r="BS143" s="56"/>
      <c r="BT143" s="56"/>
      <c r="BU143" s="50"/>
      <c r="BV143" s="48"/>
      <c r="BW143" s="56"/>
      <c r="BX143" s="56"/>
      <c r="BY143" s="50"/>
      <c r="BZ143" s="48"/>
      <c r="CA143" s="49"/>
      <c r="CB143" s="49"/>
      <c r="CC143" s="50"/>
      <c r="CD143" s="48"/>
      <c r="CE143" s="49"/>
      <c r="CF143" s="49"/>
      <c r="CG143" s="50"/>
      <c r="CK143" s="12"/>
      <c r="CL143" s="15"/>
      <c r="CO143" s="12"/>
      <c r="CP143" s="15"/>
      <c r="CS143" s="12"/>
      <c r="CT143" s="15"/>
      <c r="CW143" s="12"/>
      <c r="CX143" s="15"/>
      <c r="DA143" s="12"/>
      <c r="DF143" s="15"/>
      <c r="DI143" s="12"/>
      <c r="DJ143" s="1"/>
      <c r="DK143" s="225"/>
      <c r="DL143" s="225"/>
      <c r="DM143" s="225"/>
      <c r="DN143" s="225"/>
      <c r="DO143" s="225"/>
      <c r="DP143" s="225"/>
      <c r="DQ143" s="225"/>
      <c r="DR143" s="225"/>
      <c r="DS143" s="225"/>
      <c r="DT143" s="225"/>
      <c r="DU143" s="225"/>
      <c r="DV143" s="225"/>
      <c r="DW143" s="1"/>
      <c r="EJ143" s="1"/>
      <c r="EK143" s="17"/>
      <c r="EL143" s="17"/>
      <c r="EM143" s="17"/>
      <c r="EN143" s="17"/>
      <c r="EO143" s="17"/>
      <c r="EP143" s="17"/>
      <c r="EQ143" s="17"/>
      <c r="ER143" s="17"/>
      <c r="ES143" s="17"/>
      <c r="EU143" s="17"/>
      <c r="EW143" s="1"/>
      <c r="EX143" s="225"/>
      <c r="EY143" s="225"/>
      <c r="EZ143" s="225"/>
      <c r="FA143" s="225"/>
      <c r="FB143" s="225"/>
      <c r="FC143" s="225"/>
      <c r="FD143" s="225"/>
      <c r="FE143" s="225"/>
      <c r="FF143" s="225"/>
      <c r="FG143" s="10"/>
      <c r="FH143" s="225"/>
      <c r="FI143" s="10"/>
      <c r="FJ143" s="1"/>
      <c r="FK143" s="225"/>
      <c r="FL143" s="225"/>
      <c r="FM143" s="225"/>
      <c r="FN143" s="225"/>
      <c r="FO143" s="225"/>
      <c r="FP143" s="225"/>
      <c r="FQ143" s="225"/>
      <c r="FR143" s="225"/>
      <c r="FS143" s="225"/>
      <c r="FT143" s="191"/>
      <c r="FU143" s="225"/>
      <c r="FV143" s="151"/>
    </row>
    <row r="144" spans="1:178" ht="16" thickBot="1" x14ac:dyDescent="0.25">
      <c r="A144" s="27" t="s">
        <v>65</v>
      </c>
      <c r="B144" t="s">
        <v>142</v>
      </c>
      <c r="C144" s="1"/>
      <c r="D144" s="17"/>
      <c r="E144" s="17"/>
      <c r="F144" s="156"/>
      <c r="G144" s="89"/>
      <c r="H144" s="88"/>
      <c r="I144" s="88"/>
      <c r="J144" s="17"/>
      <c r="K144" s="17"/>
      <c r="L144" s="17"/>
      <c r="M144" s="17"/>
      <c r="N144" s="17"/>
      <c r="O144" s="17"/>
      <c r="P144" s="1"/>
      <c r="Q144" s="48"/>
      <c r="R144" s="49"/>
      <c r="S144" s="49"/>
      <c r="T144" s="50">
        <f t="shared" si="51"/>
        <v>0</v>
      </c>
      <c r="U144" s="48"/>
      <c r="V144" s="49"/>
      <c r="W144" s="49"/>
      <c r="X144" s="50">
        <f t="shared" si="52"/>
        <v>0</v>
      </c>
      <c r="Y144" s="48"/>
      <c r="Z144" s="49"/>
      <c r="AA144" s="49"/>
      <c r="AB144" s="50">
        <f t="shared" si="53"/>
        <v>0</v>
      </c>
      <c r="AC144" s="167"/>
      <c r="AD144" s="166"/>
      <c r="AE144" s="166"/>
      <c r="AF144" s="151">
        <f t="shared" si="54"/>
        <v>0</v>
      </c>
      <c r="AG144" s="166"/>
      <c r="AH144" s="166"/>
      <c r="AI144" s="166"/>
      <c r="AJ144" s="151">
        <f t="shared" si="55"/>
        <v>0</v>
      </c>
      <c r="AK144" s="192"/>
      <c r="AL144" s="10"/>
      <c r="AM144" s="10"/>
      <c r="AN144" s="151">
        <f t="shared" si="56"/>
        <v>0</v>
      </c>
      <c r="AO144" s="191"/>
      <c r="AP144" s="10"/>
      <c r="AQ144" s="10"/>
      <c r="AR144" s="151"/>
      <c r="AS144" s="191"/>
      <c r="AT144" s="10"/>
      <c r="AU144" s="10"/>
      <c r="AV144" s="151"/>
      <c r="AW144" s="191"/>
      <c r="AX144" s="10"/>
      <c r="AY144" s="10"/>
      <c r="AZ144" s="151"/>
      <c r="BA144" s="191"/>
      <c r="BB144" s="10"/>
      <c r="BC144" s="10"/>
      <c r="BD144" s="151"/>
      <c r="BE144" s="191"/>
      <c r="BF144" s="10"/>
      <c r="BG144" s="10"/>
      <c r="BH144" s="151"/>
      <c r="BI144" s="191"/>
      <c r="BJ144" s="10"/>
      <c r="BK144" s="10"/>
      <c r="BL144" s="151"/>
      <c r="BM144" s="1"/>
      <c r="BN144" s="48"/>
      <c r="BO144" s="56"/>
      <c r="BP144" s="56"/>
      <c r="BQ144" s="50"/>
      <c r="BR144" s="48"/>
      <c r="BS144" s="56"/>
      <c r="BT144" s="56"/>
      <c r="BU144" s="50"/>
      <c r="BV144" s="48"/>
      <c r="BW144" s="56"/>
      <c r="BX144" s="56"/>
      <c r="BY144" s="50"/>
      <c r="BZ144" s="48"/>
      <c r="CA144" s="49"/>
      <c r="CB144" s="49"/>
      <c r="CC144" s="50"/>
      <c r="CD144" s="48"/>
      <c r="CE144" s="49"/>
      <c r="CF144" s="49"/>
      <c r="CG144" s="50"/>
      <c r="CK144" s="12"/>
      <c r="CL144" s="15"/>
      <c r="CO144" s="12"/>
      <c r="CP144" s="15"/>
      <c r="CS144" s="12"/>
      <c r="CT144" s="15"/>
      <c r="CW144" s="12"/>
      <c r="CX144" s="15"/>
      <c r="DA144" s="12"/>
      <c r="DF144" s="15"/>
      <c r="DI144" s="12"/>
      <c r="DJ144" s="1"/>
      <c r="DK144" s="225"/>
      <c r="DL144" s="225"/>
      <c r="DM144" s="225"/>
      <c r="DN144" s="225"/>
      <c r="DO144" s="225"/>
      <c r="DP144" s="225"/>
      <c r="DQ144" s="225"/>
      <c r="DR144" s="225"/>
      <c r="DS144" s="225"/>
      <c r="DT144" s="225"/>
      <c r="DU144" s="225"/>
      <c r="DV144" s="225"/>
      <c r="DW144" s="1"/>
      <c r="EJ144" s="1"/>
      <c r="EK144" s="17"/>
      <c r="EL144" s="17"/>
      <c r="EM144" s="17"/>
      <c r="EN144" s="17"/>
      <c r="EO144" s="17"/>
      <c r="EP144" s="17"/>
      <c r="EQ144" s="17"/>
      <c r="ER144" s="17"/>
      <c r="ES144" s="17"/>
      <c r="EU144" s="17"/>
      <c r="EW144" s="1"/>
      <c r="EX144" s="225"/>
      <c r="EY144" s="225"/>
      <c r="EZ144" s="225"/>
      <c r="FA144" s="225"/>
      <c r="FB144" s="225"/>
      <c r="FC144" s="225"/>
      <c r="FD144" s="225"/>
      <c r="FE144" s="225"/>
      <c r="FF144" s="225"/>
      <c r="FG144" s="10"/>
      <c r="FH144" s="225"/>
      <c r="FI144" s="10"/>
      <c r="FJ144" s="1"/>
      <c r="FK144" s="225"/>
      <c r="FL144" s="225"/>
      <c r="FM144" s="225"/>
      <c r="FN144" s="225"/>
      <c r="FO144" s="225"/>
      <c r="FP144" s="225"/>
      <c r="FQ144" s="225"/>
      <c r="FR144" s="225"/>
      <c r="FS144" s="225"/>
      <c r="FT144" s="191"/>
      <c r="FU144" s="225"/>
      <c r="FV144" s="151"/>
    </row>
    <row r="145" spans="1:178" ht="16" thickBot="1" x14ac:dyDescent="0.25">
      <c r="A145" s="27" t="s">
        <v>66</v>
      </c>
      <c r="B145" t="s">
        <v>142</v>
      </c>
      <c r="C145" s="1"/>
      <c r="D145" s="17"/>
      <c r="E145" s="17"/>
      <c r="F145" s="156"/>
      <c r="G145" s="89"/>
      <c r="H145" s="87"/>
      <c r="I145" s="88"/>
      <c r="J145" s="17"/>
      <c r="K145" s="17"/>
      <c r="L145" s="17"/>
      <c r="M145" s="17"/>
      <c r="N145" s="17"/>
      <c r="O145" s="17"/>
      <c r="P145" s="1"/>
      <c r="Q145" s="48"/>
      <c r="R145" s="49"/>
      <c r="S145" s="49"/>
      <c r="T145" s="50">
        <f t="shared" si="51"/>
        <v>0</v>
      </c>
      <c r="U145" s="48"/>
      <c r="V145" s="49"/>
      <c r="W145" s="49"/>
      <c r="X145" s="50">
        <f t="shared" si="52"/>
        <v>0</v>
      </c>
      <c r="Y145" s="48"/>
      <c r="Z145" s="49"/>
      <c r="AA145" s="49"/>
      <c r="AB145" s="50">
        <f t="shared" si="53"/>
        <v>0</v>
      </c>
      <c r="AC145" s="167"/>
      <c r="AD145" s="166"/>
      <c r="AE145" s="166"/>
      <c r="AF145" s="151">
        <f t="shared" si="54"/>
        <v>0</v>
      </c>
      <c r="AG145" s="165"/>
      <c r="AH145" s="166"/>
      <c r="AI145" s="166"/>
      <c r="AJ145" s="151">
        <f t="shared" si="55"/>
        <v>0</v>
      </c>
      <c r="AK145" s="192"/>
      <c r="AL145" s="10"/>
      <c r="AM145" s="10"/>
      <c r="AN145" s="151">
        <f t="shared" si="56"/>
        <v>0</v>
      </c>
      <c r="AO145" s="191"/>
      <c r="AP145" s="10"/>
      <c r="AQ145" s="10"/>
      <c r="AR145" s="151"/>
      <c r="AS145" s="191"/>
      <c r="AT145" s="10"/>
      <c r="AU145" s="10"/>
      <c r="AV145" s="151"/>
      <c r="AW145" s="191"/>
      <c r="AX145" s="10"/>
      <c r="AY145" s="10"/>
      <c r="AZ145" s="151"/>
      <c r="BA145" s="191"/>
      <c r="BB145" s="10"/>
      <c r="BC145" s="10"/>
      <c r="BD145" s="151"/>
      <c r="BE145" s="191"/>
      <c r="BF145" s="10"/>
      <c r="BG145" s="10"/>
      <c r="BH145" s="151"/>
      <c r="BI145" s="191"/>
      <c r="BJ145" s="10"/>
      <c r="BK145" s="10"/>
      <c r="BL145" s="151"/>
      <c r="BM145" s="1"/>
      <c r="BN145" s="48"/>
      <c r="BO145" s="56"/>
      <c r="BP145" s="56"/>
      <c r="BQ145" s="50"/>
      <c r="BR145" s="48"/>
      <c r="BS145" s="56"/>
      <c r="BT145" s="56"/>
      <c r="BU145" s="50"/>
      <c r="BV145" s="48"/>
      <c r="BW145" s="56"/>
      <c r="BX145" s="56"/>
      <c r="BY145" s="50"/>
      <c r="BZ145" s="48"/>
      <c r="CA145" s="49"/>
      <c r="CB145" s="49"/>
      <c r="CC145" s="50"/>
      <c r="CD145" s="48"/>
      <c r="CE145" s="49"/>
      <c r="CF145" s="49"/>
      <c r="CG145" s="50"/>
      <c r="CK145" s="12"/>
      <c r="CL145" s="15"/>
      <c r="CO145" s="12"/>
      <c r="CP145" s="15"/>
      <c r="CS145" s="12"/>
      <c r="CT145" s="15"/>
      <c r="CW145" s="12"/>
      <c r="CX145" s="15"/>
      <c r="DA145" s="12"/>
      <c r="DF145" s="15"/>
      <c r="DI145" s="12"/>
      <c r="DJ145" s="1"/>
      <c r="DK145" s="225"/>
      <c r="DL145" s="225"/>
      <c r="DM145" s="225"/>
      <c r="DN145" s="225"/>
      <c r="DO145" s="225"/>
      <c r="DP145" s="225"/>
      <c r="DQ145" s="225"/>
      <c r="DR145" s="225"/>
      <c r="DS145" s="225"/>
      <c r="DT145" s="225"/>
      <c r="DU145" s="225"/>
      <c r="DV145" s="225"/>
      <c r="DW145" s="1"/>
      <c r="EJ145" s="1"/>
      <c r="EK145" s="17"/>
      <c r="EL145" s="17"/>
      <c r="EM145" s="17"/>
      <c r="EN145" s="17"/>
      <c r="EO145" s="17"/>
      <c r="EP145" s="17"/>
      <c r="EQ145" s="17"/>
      <c r="ER145" s="17"/>
      <c r="ES145" s="17"/>
      <c r="EU145" s="17"/>
      <c r="EW145" s="1"/>
      <c r="EX145" s="225"/>
      <c r="EY145" s="225"/>
      <c r="EZ145" s="225"/>
      <c r="FA145" s="225"/>
      <c r="FB145" s="225"/>
      <c r="FC145" s="225"/>
      <c r="FD145" s="225"/>
      <c r="FE145" s="225"/>
      <c r="FF145" s="225"/>
      <c r="FG145" s="10"/>
      <c r="FH145" s="225"/>
      <c r="FI145" s="10"/>
      <c r="FJ145" s="1"/>
      <c r="FK145" s="225"/>
      <c r="FL145" s="225"/>
      <c r="FM145" s="225"/>
      <c r="FN145" s="225"/>
      <c r="FO145" s="225"/>
      <c r="FP145" s="225"/>
      <c r="FQ145" s="225"/>
      <c r="FR145" s="225"/>
      <c r="FS145" s="225"/>
      <c r="FT145" s="191"/>
      <c r="FU145" s="225"/>
      <c r="FV145" s="151"/>
    </row>
    <row r="146" spans="1:178" ht="16" thickBot="1" x14ac:dyDescent="0.25">
      <c r="A146" s="27" t="s">
        <v>67</v>
      </c>
      <c r="B146" t="s">
        <v>142</v>
      </c>
      <c r="C146" s="1"/>
      <c r="D146" s="17"/>
      <c r="E146" s="17"/>
      <c r="F146" s="156"/>
      <c r="G146" s="89"/>
      <c r="H146" s="88"/>
      <c r="I146" s="88"/>
      <c r="J146" s="17"/>
      <c r="K146" s="17"/>
      <c r="L146" s="17"/>
      <c r="M146" s="17"/>
      <c r="N146" s="17"/>
      <c r="O146" s="17"/>
      <c r="P146" s="1"/>
      <c r="Q146" s="48"/>
      <c r="R146" s="49"/>
      <c r="S146" s="49"/>
      <c r="T146" s="50">
        <f t="shared" si="51"/>
        <v>0</v>
      </c>
      <c r="U146" s="48"/>
      <c r="V146" s="49"/>
      <c r="W146" s="49"/>
      <c r="X146" s="50">
        <f t="shared" si="52"/>
        <v>0</v>
      </c>
      <c r="Y146" s="48"/>
      <c r="Z146" s="49"/>
      <c r="AA146" s="49"/>
      <c r="AB146" s="50">
        <f t="shared" si="53"/>
        <v>0</v>
      </c>
      <c r="AC146" s="167"/>
      <c r="AD146" s="166"/>
      <c r="AE146" s="166"/>
      <c r="AF146" s="151">
        <f t="shared" si="54"/>
        <v>0</v>
      </c>
      <c r="AG146" s="166"/>
      <c r="AH146" s="166"/>
      <c r="AI146" s="166"/>
      <c r="AJ146" s="151">
        <f t="shared" si="55"/>
        <v>0</v>
      </c>
      <c r="AK146" s="192"/>
      <c r="AL146" s="10"/>
      <c r="AM146" s="10"/>
      <c r="AN146" s="151">
        <f t="shared" si="56"/>
        <v>0</v>
      </c>
      <c r="AO146" s="191"/>
      <c r="AP146" s="10"/>
      <c r="AQ146" s="10"/>
      <c r="AR146" s="151"/>
      <c r="AS146" s="191"/>
      <c r="AT146" s="10"/>
      <c r="AU146" s="10"/>
      <c r="AV146" s="151"/>
      <c r="AW146" s="191"/>
      <c r="AX146" s="10"/>
      <c r="AY146" s="10"/>
      <c r="AZ146" s="151"/>
      <c r="BA146" s="191"/>
      <c r="BB146" s="10"/>
      <c r="BC146" s="10"/>
      <c r="BD146" s="151"/>
      <c r="BE146" s="191"/>
      <c r="BF146" s="10"/>
      <c r="BG146" s="10"/>
      <c r="BH146" s="151"/>
      <c r="BI146" s="191"/>
      <c r="BJ146" s="10"/>
      <c r="BK146" s="10"/>
      <c r="BL146" s="151"/>
      <c r="BM146" s="1"/>
      <c r="BN146" s="48"/>
      <c r="BO146" s="56"/>
      <c r="BP146" s="56"/>
      <c r="BQ146" s="50"/>
      <c r="BR146" s="48"/>
      <c r="BS146" s="56"/>
      <c r="BT146" s="56"/>
      <c r="BU146" s="50"/>
      <c r="BV146" s="48"/>
      <c r="BW146" s="56"/>
      <c r="BX146" s="56"/>
      <c r="BY146" s="50"/>
      <c r="BZ146" s="48"/>
      <c r="CA146" s="49"/>
      <c r="CB146" s="49"/>
      <c r="CC146" s="50"/>
      <c r="CD146" s="48"/>
      <c r="CE146" s="49"/>
      <c r="CF146" s="49"/>
      <c r="CG146" s="50"/>
      <c r="CK146" s="12"/>
      <c r="CL146" s="15"/>
      <c r="CO146" s="12"/>
      <c r="CP146" s="15"/>
      <c r="CS146" s="12"/>
      <c r="CT146" s="15"/>
      <c r="CW146" s="12"/>
      <c r="CX146" s="15"/>
      <c r="DA146" s="12"/>
      <c r="DF146" s="15"/>
      <c r="DI146" s="12"/>
      <c r="DJ146" s="1"/>
      <c r="DK146" s="225"/>
      <c r="DL146" s="225"/>
      <c r="DM146" s="225"/>
      <c r="DN146" s="225"/>
      <c r="DO146" s="225"/>
      <c r="DP146" s="225"/>
      <c r="DQ146" s="225"/>
      <c r="DR146" s="225"/>
      <c r="DS146" s="225"/>
      <c r="DT146" s="225"/>
      <c r="DU146" s="225"/>
      <c r="DV146" s="225"/>
      <c r="DW146" s="1"/>
      <c r="EJ146" s="1"/>
      <c r="EK146" s="17"/>
      <c r="EL146" s="17"/>
      <c r="EM146" s="17"/>
      <c r="EN146" s="17"/>
      <c r="EO146" s="17"/>
      <c r="EP146" s="17"/>
      <c r="EQ146" s="17"/>
      <c r="ER146" s="17"/>
      <c r="ES146" s="17"/>
      <c r="EU146" s="17"/>
      <c r="EW146" s="1"/>
      <c r="EX146" s="225"/>
      <c r="EY146" s="225"/>
      <c r="EZ146" s="225"/>
      <c r="FA146" s="225"/>
      <c r="FB146" s="225"/>
      <c r="FC146" s="225"/>
      <c r="FD146" s="225"/>
      <c r="FE146" s="225"/>
      <c r="FF146" s="225"/>
      <c r="FG146" s="10"/>
      <c r="FH146" s="225"/>
      <c r="FI146" s="10"/>
      <c r="FJ146" s="1"/>
      <c r="FK146" s="225"/>
      <c r="FL146" s="225"/>
      <c r="FM146" s="225"/>
      <c r="FN146" s="225"/>
      <c r="FO146" s="225"/>
      <c r="FP146" s="225"/>
      <c r="FQ146" s="225"/>
      <c r="FR146" s="225"/>
      <c r="FS146" s="225"/>
      <c r="FT146" s="191"/>
      <c r="FU146" s="225"/>
      <c r="FV146" s="151"/>
    </row>
    <row r="147" spans="1:178" ht="16" thickBot="1" x14ac:dyDescent="0.25">
      <c r="A147" s="27" t="s">
        <v>68</v>
      </c>
      <c r="B147" t="s">
        <v>142</v>
      </c>
      <c r="C147" s="1"/>
      <c r="D147" s="17"/>
      <c r="E147" s="17"/>
      <c r="F147" s="156"/>
      <c r="G147" s="89"/>
      <c r="H147" s="88"/>
      <c r="I147" s="88"/>
      <c r="J147" s="17"/>
      <c r="K147" s="17"/>
      <c r="L147" s="17"/>
      <c r="M147" s="17"/>
      <c r="N147" s="17"/>
      <c r="O147" s="17"/>
      <c r="P147" s="1"/>
      <c r="Q147" s="48"/>
      <c r="R147" s="49"/>
      <c r="S147" s="49"/>
      <c r="T147" s="50">
        <f t="shared" si="51"/>
        <v>0</v>
      </c>
      <c r="U147" s="48"/>
      <c r="V147" s="49"/>
      <c r="W147" s="49"/>
      <c r="X147" s="50">
        <f t="shared" si="52"/>
        <v>0</v>
      </c>
      <c r="Y147" s="48"/>
      <c r="Z147" s="49"/>
      <c r="AA147" s="49"/>
      <c r="AB147" s="50">
        <f t="shared" si="53"/>
        <v>0</v>
      </c>
      <c r="AC147" s="167"/>
      <c r="AD147" s="166"/>
      <c r="AE147" s="166"/>
      <c r="AF147" s="151">
        <f t="shared" si="54"/>
        <v>0</v>
      </c>
      <c r="AG147" s="166"/>
      <c r="AH147" s="166"/>
      <c r="AI147" s="166"/>
      <c r="AJ147" s="151">
        <f t="shared" si="55"/>
        <v>0</v>
      </c>
      <c r="AK147" s="192"/>
      <c r="AL147" s="10"/>
      <c r="AM147" s="10"/>
      <c r="AN147" s="151">
        <f t="shared" si="56"/>
        <v>0</v>
      </c>
      <c r="AO147" s="191"/>
      <c r="AP147" s="10"/>
      <c r="AQ147" s="10"/>
      <c r="AR147" s="151"/>
      <c r="AS147" s="191"/>
      <c r="AT147" s="10"/>
      <c r="AU147" s="10"/>
      <c r="AV147" s="151"/>
      <c r="AW147" s="191"/>
      <c r="AX147" s="10"/>
      <c r="AY147" s="10"/>
      <c r="AZ147" s="151"/>
      <c r="BA147" s="191"/>
      <c r="BB147" s="10"/>
      <c r="BC147" s="10"/>
      <c r="BD147" s="151"/>
      <c r="BE147" s="191"/>
      <c r="BF147" s="10"/>
      <c r="BG147" s="10"/>
      <c r="BH147" s="151"/>
      <c r="BI147" s="191"/>
      <c r="BJ147" s="10"/>
      <c r="BK147" s="10"/>
      <c r="BL147" s="151"/>
      <c r="BM147" s="1"/>
      <c r="BN147" s="48"/>
      <c r="BO147" s="56"/>
      <c r="BP147" s="56"/>
      <c r="BQ147" s="50"/>
      <c r="BR147" s="48"/>
      <c r="BS147" s="56"/>
      <c r="BT147" s="56"/>
      <c r="BU147" s="50"/>
      <c r="BV147" s="48"/>
      <c r="BW147" s="56"/>
      <c r="BX147" s="56"/>
      <c r="BY147" s="50"/>
      <c r="BZ147" s="48"/>
      <c r="CA147" s="49"/>
      <c r="CB147" s="49"/>
      <c r="CC147" s="50"/>
      <c r="CD147" s="48"/>
      <c r="CE147" s="49"/>
      <c r="CF147" s="49"/>
      <c r="CG147" s="50"/>
      <c r="CK147" s="12"/>
      <c r="CL147" s="15"/>
      <c r="CO147" s="12"/>
      <c r="CP147" s="15"/>
      <c r="CS147" s="12"/>
      <c r="CT147" s="15"/>
      <c r="CW147" s="12"/>
      <c r="CX147" s="15"/>
      <c r="DA147" s="12"/>
      <c r="DF147" s="15"/>
      <c r="DI147" s="12"/>
      <c r="DJ147" s="1"/>
      <c r="DK147" s="225"/>
      <c r="DL147" s="225"/>
      <c r="DM147" s="225"/>
      <c r="DN147" s="225"/>
      <c r="DO147" s="225"/>
      <c r="DP147" s="225"/>
      <c r="DQ147" s="225"/>
      <c r="DR147" s="225"/>
      <c r="DS147" s="225"/>
      <c r="DT147" s="225"/>
      <c r="DU147" s="225"/>
      <c r="DV147" s="225"/>
      <c r="DW147" s="1"/>
      <c r="EJ147" s="1"/>
      <c r="EK147" s="17"/>
      <c r="EL147" s="17"/>
      <c r="EM147" s="17"/>
      <c r="EN147" s="17"/>
      <c r="EO147" s="17"/>
      <c r="EP147" s="17"/>
      <c r="EQ147" s="17"/>
      <c r="ER147" s="17"/>
      <c r="ES147" s="17"/>
      <c r="EU147" s="17"/>
      <c r="EW147" s="1"/>
      <c r="EX147" s="225"/>
      <c r="EY147" s="225"/>
      <c r="EZ147" s="225"/>
      <c r="FA147" s="225"/>
      <c r="FB147" s="225"/>
      <c r="FC147" s="225"/>
      <c r="FD147" s="225"/>
      <c r="FE147" s="225"/>
      <c r="FF147" s="225"/>
      <c r="FG147" s="10"/>
      <c r="FH147" s="225"/>
      <c r="FI147" s="10"/>
      <c r="FJ147" s="1"/>
      <c r="FK147" s="225"/>
      <c r="FL147" s="225"/>
      <c r="FM147" s="225"/>
      <c r="FN147" s="225"/>
      <c r="FO147" s="225"/>
      <c r="FP147" s="225"/>
      <c r="FQ147" s="225"/>
      <c r="FR147" s="225"/>
      <c r="FS147" s="225"/>
      <c r="FT147" s="191"/>
      <c r="FU147" s="225"/>
      <c r="FV147" s="151"/>
    </row>
    <row r="148" spans="1:178" ht="16" thickBot="1" x14ac:dyDescent="0.25">
      <c r="A148" s="27" t="s">
        <v>69</v>
      </c>
      <c r="B148" t="s">
        <v>142</v>
      </c>
      <c r="C148" s="1"/>
      <c r="D148" s="17"/>
      <c r="E148" s="17"/>
      <c r="F148" s="156"/>
      <c r="G148" s="89"/>
      <c r="H148" s="88"/>
      <c r="I148" s="88"/>
      <c r="J148" s="17"/>
      <c r="K148" s="17"/>
      <c r="L148" s="17"/>
      <c r="M148" s="17"/>
      <c r="N148" s="17"/>
      <c r="O148" s="17"/>
      <c r="P148" s="1"/>
      <c r="Q148" s="48"/>
      <c r="R148" s="49"/>
      <c r="S148" s="49"/>
      <c r="T148" s="50">
        <f t="shared" si="51"/>
        <v>0</v>
      </c>
      <c r="U148" s="48"/>
      <c r="V148" s="49"/>
      <c r="W148" s="49"/>
      <c r="X148" s="50">
        <f t="shared" si="52"/>
        <v>0</v>
      </c>
      <c r="Y148" s="48"/>
      <c r="Z148" s="49"/>
      <c r="AA148" s="49"/>
      <c r="AB148" s="50">
        <f t="shared" si="53"/>
        <v>0</v>
      </c>
      <c r="AC148" s="167"/>
      <c r="AD148" s="166"/>
      <c r="AE148" s="166"/>
      <c r="AF148" s="151">
        <f t="shared" si="54"/>
        <v>0</v>
      </c>
      <c r="AG148" s="166"/>
      <c r="AH148" s="166"/>
      <c r="AI148" s="166"/>
      <c r="AJ148" s="151">
        <f t="shared" si="55"/>
        <v>0</v>
      </c>
      <c r="AK148" s="192"/>
      <c r="AL148" s="10"/>
      <c r="AM148" s="10"/>
      <c r="AN148" s="151">
        <f t="shared" si="56"/>
        <v>0</v>
      </c>
      <c r="AO148" s="191"/>
      <c r="AP148" s="10"/>
      <c r="AQ148" s="10"/>
      <c r="AR148" s="151"/>
      <c r="AS148" s="191"/>
      <c r="AT148" s="10"/>
      <c r="AU148" s="10"/>
      <c r="AV148" s="151"/>
      <c r="AW148" s="191"/>
      <c r="AX148" s="10"/>
      <c r="AY148" s="10"/>
      <c r="AZ148" s="151"/>
      <c r="BA148" s="191"/>
      <c r="BB148" s="10"/>
      <c r="BC148" s="10"/>
      <c r="BD148" s="151"/>
      <c r="BE148" s="191"/>
      <c r="BF148" s="10"/>
      <c r="BG148" s="10"/>
      <c r="BH148" s="151"/>
      <c r="BI148" s="191"/>
      <c r="BJ148" s="10"/>
      <c r="BK148" s="10"/>
      <c r="BL148" s="151"/>
      <c r="BM148" s="1"/>
      <c r="BN148" s="48"/>
      <c r="BO148" s="56"/>
      <c r="BP148" s="56"/>
      <c r="BQ148" s="50"/>
      <c r="BR148" s="48"/>
      <c r="BS148" s="56"/>
      <c r="BT148" s="56"/>
      <c r="BU148" s="50"/>
      <c r="BV148" s="48"/>
      <c r="BW148" s="56"/>
      <c r="BX148" s="56"/>
      <c r="BY148" s="50"/>
      <c r="BZ148" s="48"/>
      <c r="CA148" s="49"/>
      <c r="CB148" s="49"/>
      <c r="CC148" s="50"/>
      <c r="CD148" s="48"/>
      <c r="CE148" s="49"/>
      <c r="CF148" s="49"/>
      <c r="CG148" s="50"/>
      <c r="CK148" s="12"/>
      <c r="CL148" s="15"/>
      <c r="CO148" s="12"/>
      <c r="CP148" s="15"/>
      <c r="CS148" s="12"/>
      <c r="CT148" s="15"/>
      <c r="CW148" s="12"/>
      <c r="CX148" s="15"/>
      <c r="DA148" s="12"/>
      <c r="DF148" s="15"/>
      <c r="DI148" s="12"/>
      <c r="DJ148" s="1"/>
      <c r="DK148" s="225"/>
      <c r="DL148" s="225"/>
      <c r="DM148" s="225"/>
      <c r="DN148" s="225"/>
      <c r="DO148" s="225"/>
      <c r="DP148" s="225"/>
      <c r="DQ148" s="225"/>
      <c r="DR148" s="225"/>
      <c r="DS148" s="225"/>
      <c r="DT148" s="225"/>
      <c r="DU148" s="225"/>
      <c r="DV148" s="225"/>
      <c r="DW148" s="1"/>
      <c r="EJ148" s="1"/>
      <c r="EK148" s="17"/>
      <c r="EL148" s="17"/>
      <c r="EM148" s="17"/>
      <c r="EN148" s="17"/>
      <c r="EO148" s="17"/>
      <c r="EP148" s="17"/>
      <c r="EQ148" s="17"/>
      <c r="ER148" s="17"/>
      <c r="ES148" s="17"/>
      <c r="EU148" s="17"/>
      <c r="EW148" s="1"/>
      <c r="EX148" s="225"/>
      <c r="EY148" s="225"/>
      <c r="EZ148" s="225"/>
      <c r="FA148" s="225"/>
      <c r="FB148" s="225"/>
      <c r="FC148" s="225"/>
      <c r="FD148" s="225"/>
      <c r="FE148" s="225"/>
      <c r="FF148" s="225"/>
      <c r="FG148" s="10"/>
      <c r="FH148" s="225"/>
      <c r="FI148" s="10"/>
      <c r="FJ148" s="1"/>
      <c r="FK148" s="225"/>
      <c r="FL148" s="225"/>
      <c r="FM148" s="225"/>
      <c r="FN148" s="225"/>
      <c r="FO148" s="225"/>
      <c r="FP148" s="225"/>
      <c r="FQ148" s="225"/>
      <c r="FR148" s="225"/>
      <c r="FS148" s="225"/>
      <c r="FT148" s="191"/>
      <c r="FU148" s="225"/>
      <c r="FV148" s="151"/>
    </row>
    <row r="149" spans="1:178" ht="16" thickBot="1" x14ac:dyDescent="0.25">
      <c r="A149" s="27" t="s">
        <v>70</v>
      </c>
      <c r="B149" t="s">
        <v>142</v>
      </c>
      <c r="C149" s="1"/>
      <c r="D149" s="17">
        <v>1</v>
      </c>
      <c r="E149" s="17">
        <v>1</v>
      </c>
      <c r="F149" s="156">
        <v>1</v>
      </c>
      <c r="G149" s="89">
        <v>2</v>
      </c>
      <c r="H149" s="87">
        <v>2</v>
      </c>
      <c r="I149" s="87"/>
      <c r="J149" s="17"/>
      <c r="K149" s="17"/>
      <c r="L149" s="17"/>
      <c r="M149" s="17"/>
      <c r="N149" s="17"/>
      <c r="O149" s="17"/>
      <c r="P149" s="1"/>
      <c r="Q149" s="48">
        <v>89.01</v>
      </c>
      <c r="R149" s="49"/>
      <c r="S149" s="49"/>
      <c r="T149" s="50">
        <f t="shared" si="51"/>
        <v>89.01</v>
      </c>
      <c r="U149" s="48"/>
      <c r="V149" s="49">
        <v>216.46</v>
      </c>
      <c r="W149" s="49"/>
      <c r="X149" s="50">
        <f t="shared" si="52"/>
        <v>216.46</v>
      </c>
      <c r="Y149" s="48"/>
      <c r="Z149" s="49">
        <v>50.15</v>
      </c>
      <c r="AA149" s="49"/>
      <c r="AB149" s="50">
        <f t="shared" si="53"/>
        <v>50.15</v>
      </c>
      <c r="AC149" s="167">
        <v>25</v>
      </c>
      <c r="AD149" s="166"/>
      <c r="AE149" s="166">
        <v>100</v>
      </c>
      <c r="AF149" s="151">
        <f t="shared" si="54"/>
        <v>125</v>
      </c>
      <c r="AG149" s="165"/>
      <c r="AH149" s="166">
        <v>50</v>
      </c>
      <c r="AI149" s="166">
        <v>146.35</v>
      </c>
      <c r="AJ149" s="151">
        <f t="shared" si="55"/>
        <v>196.35</v>
      </c>
      <c r="AK149" s="192"/>
      <c r="AL149" s="10"/>
      <c r="AM149" s="10"/>
      <c r="AN149" s="151">
        <f t="shared" si="56"/>
        <v>0</v>
      </c>
      <c r="AO149" s="191"/>
      <c r="AP149" s="10"/>
      <c r="AQ149" s="10"/>
      <c r="AR149" s="151"/>
      <c r="AS149" s="191"/>
      <c r="AT149" s="10"/>
      <c r="AU149" s="10"/>
      <c r="AV149" s="151"/>
      <c r="AW149" s="191"/>
      <c r="AX149" s="10"/>
      <c r="AY149" s="10"/>
      <c r="AZ149" s="151"/>
      <c r="BA149" s="191"/>
      <c r="BB149" s="10"/>
      <c r="BC149" s="10"/>
      <c r="BD149" s="151"/>
      <c r="BE149" s="191"/>
      <c r="BF149" s="10"/>
      <c r="BG149" s="10"/>
      <c r="BH149" s="151"/>
      <c r="BI149" s="191"/>
      <c r="BJ149" s="10"/>
      <c r="BK149" s="10"/>
      <c r="BL149" s="151"/>
      <c r="BM149" s="1"/>
      <c r="BN149" s="48"/>
      <c r="BO149" s="56"/>
      <c r="BP149" s="56"/>
      <c r="BQ149" s="50"/>
      <c r="BR149" s="48"/>
      <c r="BS149" s="56"/>
      <c r="BT149" s="56"/>
      <c r="BU149" s="50"/>
      <c r="BV149" s="48"/>
      <c r="BW149" s="56"/>
      <c r="BX149" s="56"/>
      <c r="BY149" s="50"/>
      <c r="BZ149" s="48"/>
      <c r="CA149" s="49"/>
      <c r="CB149" s="49"/>
      <c r="CC149" s="50"/>
      <c r="CD149" s="48"/>
      <c r="CE149" s="49"/>
      <c r="CF149" s="49"/>
      <c r="CG149" s="50"/>
      <c r="CK149" s="12"/>
      <c r="CL149" s="15"/>
      <c r="CO149" s="12"/>
      <c r="CP149" s="15"/>
      <c r="CS149" s="12"/>
      <c r="CT149" s="15"/>
      <c r="CW149" s="12"/>
      <c r="CX149" s="15"/>
      <c r="DA149" s="12"/>
      <c r="DF149" s="15"/>
      <c r="DI149" s="12"/>
      <c r="DJ149" s="1"/>
      <c r="DK149" s="225"/>
      <c r="DL149" s="225"/>
      <c r="DM149" s="225"/>
      <c r="DN149" s="225"/>
      <c r="DO149" s="225"/>
      <c r="DP149" s="225"/>
      <c r="DQ149" s="225"/>
      <c r="DR149" s="225"/>
      <c r="DS149" s="225"/>
      <c r="DT149" s="225"/>
      <c r="DU149" s="225"/>
      <c r="DV149" s="225"/>
      <c r="DW149" s="1"/>
      <c r="EJ149" s="1"/>
      <c r="EK149" s="17"/>
      <c r="EL149" s="17"/>
      <c r="EM149" s="17"/>
      <c r="EN149" s="17"/>
      <c r="EO149" s="17"/>
      <c r="EP149" s="17"/>
      <c r="EQ149" s="17"/>
      <c r="ER149" s="17"/>
      <c r="ES149" s="17"/>
      <c r="EU149" s="17"/>
      <c r="EW149" s="1"/>
      <c r="EX149" s="225"/>
      <c r="EY149" s="225"/>
      <c r="EZ149" s="225"/>
      <c r="FA149" s="225"/>
      <c r="FB149" s="225"/>
      <c r="FC149" s="225"/>
      <c r="FD149" s="225"/>
      <c r="FE149" s="225"/>
      <c r="FF149" s="225"/>
      <c r="FG149" s="10"/>
      <c r="FH149" s="225"/>
      <c r="FI149" s="10"/>
      <c r="FJ149" s="1"/>
      <c r="FK149" s="225"/>
      <c r="FL149" s="225"/>
      <c r="FM149" s="225"/>
      <c r="FN149" s="225"/>
      <c r="FO149" s="225"/>
      <c r="FP149" s="225"/>
      <c r="FQ149" s="225"/>
      <c r="FR149" s="225"/>
      <c r="FS149" s="225"/>
      <c r="FT149" s="191"/>
      <c r="FU149" s="225"/>
      <c r="FV149" s="151"/>
    </row>
    <row r="150" spans="1:178" ht="16" thickBot="1" x14ac:dyDescent="0.25">
      <c r="A150" s="27" t="s">
        <v>71</v>
      </c>
      <c r="B150" t="s">
        <v>142</v>
      </c>
      <c r="C150" s="1"/>
      <c r="D150" s="17"/>
      <c r="E150" s="17"/>
      <c r="F150" s="156"/>
      <c r="G150" s="89"/>
      <c r="H150" s="88"/>
      <c r="I150" s="88"/>
      <c r="J150" s="17"/>
      <c r="K150" s="17"/>
      <c r="L150" s="17"/>
      <c r="M150" s="17"/>
      <c r="N150" s="17"/>
      <c r="O150" s="17"/>
      <c r="P150" s="1"/>
      <c r="Q150" s="48"/>
      <c r="R150" s="49"/>
      <c r="S150" s="49"/>
      <c r="T150" s="50">
        <f t="shared" si="51"/>
        <v>0</v>
      </c>
      <c r="U150" s="48"/>
      <c r="V150" s="49"/>
      <c r="W150" s="49"/>
      <c r="X150" s="50">
        <f t="shared" si="52"/>
        <v>0</v>
      </c>
      <c r="Y150" s="48"/>
      <c r="Z150" s="49"/>
      <c r="AA150" s="49"/>
      <c r="AB150" s="50">
        <f t="shared" si="53"/>
        <v>0</v>
      </c>
      <c r="AC150" s="167"/>
      <c r="AD150" s="166"/>
      <c r="AE150" s="166"/>
      <c r="AF150" s="151">
        <f t="shared" si="54"/>
        <v>0</v>
      </c>
      <c r="AG150" s="166"/>
      <c r="AH150" s="166"/>
      <c r="AI150" s="166"/>
      <c r="AJ150" s="151">
        <f t="shared" si="55"/>
        <v>0</v>
      </c>
      <c r="AK150" s="192"/>
      <c r="AL150" s="10"/>
      <c r="AM150" s="10"/>
      <c r="AN150" s="151">
        <f t="shared" si="56"/>
        <v>0</v>
      </c>
      <c r="AO150" s="191"/>
      <c r="AP150" s="10"/>
      <c r="AQ150" s="10"/>
      <c r="AR150" s="151"/>
      <c r="AS150" s="191"/>
      <c r="AT150" s="10"/>
      <c r="AU150" s="10"/>
      <c r="AV150" s="151"/>
      <c r="AW150" s="191"/>
      <c r="AX150" s="10"/>
      <c r="AY150" s="10"/>
      <c r="AZ150" s="151"/>
      <c r="BA150" s="191"/>
      <c r="BB150" s="10"/>
      <c r="BC150" s="10"/>
      <c r="BD150" s="151"/>
      <c r="BE150" s="191"/>
      <c r="BF150" s="10"/>
      <c r="BG150" s="10"/>
      <c r="BH150" s="151"/>
      <c r="BI150" s="191"/>
      <c r="BJ150" s="10"/>
      <c r="BK150" s="10"/>
      <c r="BL150" s="151"/>
      <c r="BM150" s="1"/>
      <c r="BN150" s="48"/>
      <c r="BO150" s="56"/>
      <c r="BP150" s="56"/>
      <c r="BQ150" s="50"/>
      <c r="BR150" s="48"/>
      <c r="BS150" s="56"/>
      <c r="BT150" s="56"/>
      <c r="BU150" s="50"/>
      <c r="BV150" s="48"/>
      <c r="BW150" s="56"/>
      <c r="BX150" s="56"/>
      <c r="BY150" s="50"/>
      <c r="BZ150" s="48"/>
      <c r="CA150" s="49"/>
      <c r="CB150" s="49"/>
      <c r="CC150" s="50"/>
      <c r="CD150" s="48"/>
      <c r="CE150" s="49"/>
      <c r="CF150" s="49"/>
      <c r="CG150" s="50"/>
      <c r="CK150" s="12"/>
      <c r="CL150" s="15"/>
      <c r="CO150" s="12"/>
      <c r="CP150" s="15"/>
      <c r="CS150" s="12"/>
      <c r="CT150" s="15"/>
      <c r="CW150" s="12"/>
      <c r="CX150" s="15"/>
      <c r="DA150" s="12"/>
      <c r="DF150" s="15"/>
      <c r="DI150" s="12"/>
      <c r="DJ150" s="1"/>
      <c r="DK150" s="225"/>
      <c r="DL150" s="225"/>
      <c r="DM150" s="225"/>
      <c r="DN150" s="225"/>
      <c r="DO150" s="225"/>
      <c r="DP150" s="225"/>
      <c r="DQ150" s="225"/>
      <c r="DR150" s="225"/>
      <c r="DS150" s="225"/>
      <c r="DT150" s="225"/>
      <c r="DU150" s="225"/>
      <c r="DV150" s="225"/>
      <c r="DW150" s="1"/>
      <c r="EJ150" s="1"/>
      <c r="EK150" s="17"/>
      <c r="EL150" s="17"/>
      <c r="EM150" s="17"/>
      <c r="EN150" s="17"/>
      <c r="EO150" s="17"/>
      <c r="EP150" s="17"/>
      <c r="EQ150" s="17"/>
      <c r="ER150" s="17"/>
      <c r="ES150" s="17"/>
      <c r="EU150" s="17"/>
      <c r="EW150" s="1"/>
      <c r="EX150" s="225"/>
      <c r="EY150" s="225"/>
      <c r="EZ150" s="225"/>
      <c r="FA150" s="225"/>
      <c r="FB150" s="225"/>
      <c r="FC150" s="225"/>
      <c r="FD150" s="225"/>
      <c r="FE150" s="225"/>
      <c r="FF150" s="225"/>
      <c r="FG150" s="10"/>
      <c r="FH150" s="225"/>
      <c r="FI150" s="10"/>
      <c r="FJ150" s="1"/>
      <c r="FK150" s="225"/>
      <c r="FL150" s="225"/>
      <c r="FM150" s="225"/>
      <c r="FN150" s="225"/>
      <c r="FO150" s="225"/>
      <c r="FP150" s="225"/>
      <c r="FQ150" s="225"/>
      <c r="FR150" s="225"/>
      <c r="FS150" s="225"/>
      <c r="FT150" s="191"/>
      <c r="FU150" s="225"/>
      <c r="FV150" s="151"/>
    </row>
    <row r="151" spans="1:178" ht="16" thickBot="1" x14ac:dyDescent="0.25">
      <c r="A151" s="27" t="s">
        <v>72</v>
      </c>
      <c r="B151" t="s">
        <v>142</v>
      </c>
      <c r="C151" s="1"/>
      <c r="D151" s="17"/>
      <c r="E151" s="17"/>
      <c r="F151" s="156"/>
      <c r="G151" s="89"/>
      <c r="H151" s="88"/>
      <c r="I151" s="88"/>
      <c r="J151" s="17"/>
      <c r="K151" s="17"/>
      <c r="L151" s="17"/>
      <c r="M151" s="17"/>
      <c r="N151" s="17"/>
      <c r="O151" s="17"/>
      <c r="P151" s="1"/>
      <c r="Q151" s="48"/>
      <c r="R151" s="49"/>
      <c r="S151" s="49"/>
      <c r="T151" s="50">
        <f t="shared" si="51"/>
        <v>0</v>
      </c>
      <c r="U151" s="48"/>
      <c r="V151" s="49"/>
      <c r="W151" s="49"/>
      <c r="X151" s="50">
        <f t="shared" si="52"/>
        <v>0</v>
      </c>
      <c r="Y151" s="48"/>
      <c r="Z151" s="49"/>
      <c r="AA151" s="49"/>
      <c r="AB151" s="50">
        <f t="shared" si="53"/>
        <v>0</v>
      </c>
      <c r="AC151" s="167"/>
      <c r="AD151" s="166"/>
      <c r="AE151" s="166"/>
      <c r="AF151" s="151">
        <f t="shared" si="54"/>
        <v>0</v>
      </c>
      <c r="AG151" s="166"/>
      <c r="AH151" s="166"/>
      <c r="AI151" s="166"/>
      <c r="AJ151" s="151">
        <f t="shared" si="55"/>
        <v>0</v>
      </c>
      <c r="AK151" s="192"/>
      <c r="AL151" s="10"/>
      <c r="AM151" s="10"/>
      <c r="AN151" s="151">
        <f t="shared" si="56"/>
        <v>0</v>
      </c>
      <c r="AO151" s="191"/>
      <c r="AP151" s="10"/>
      <c r="AQ151" s="10"/>
      <c r="AR151" s="151"/>
      <c r="AS151" s="191"/>
      <c r="AT151" s="10"/>
      <c r="AU151" s="10"/>
      <c r="AV151" s="151"/>
      <c r="AW151" s="191"/>
      <c r="AX151" s="10"/>
      <c r="AY151" s="10"/>
      <c r="AZ151" s="151"/>
      <c r="BA151" s="191"/>
      <c r="BB151" s="10"/>
      <c r="BC151" s="10"/>
      <c r="BD151" s="151"/>
      <c r="BE151" s="191"/>
      <c r="BF151" s="10"/>
      <c r="BG151" s="10"/>
      <c r="BH151" s="151"/>
      <c r="BI151" s="191"/>
      <c r="BJ151" s="10"/>
      <c r="BK151" s="10"/>
      <c r="BL151" s="151"/>
      <c r="BM151" s="1"/>
      <c r="BN151" s="48"/>
      <c r="BO151" s="56"/>
      <c r="BP151" s="56"/>
      <c r="BQ151" s="50"/>
      <c r="BR151" s="48"/>
      <c r="BS151" s="56"/>
      <c r="BT151" s="56"/>
      <c r="BU151" s="50"/>
      <c r="BV151" s="48"/>
      <c r="BW151" s="56"/>
      <c r="BX151" s="56"/>
      <c r="BY151" s="50"/>
      <c r="BZ151" s="48"/>
      <c r="CA151" s="49"/>
      <c r="CB151" s="49"/>
      <c r="CC151" s="50"/>
      <c r="CD151" s="48"/>
      <c r="CE151" s="49"/>
      <c r="CF151" s="49"/>
      <c r="CG151" s="50"/>
      <c r="CK151" s="12"/>
      <c r="CL151" s="15"/>
      <c r="CO151" s="12"/>
      <c r="CP151" s="15"/>
      <c r="CS151" s="12"/>
      <c r="CT151" s="15"/>
      <c r="CW151" s="12"/>
      <c r="CX151" s="15"/>
      <c r="DA151" s="12"/>
      <c r="DF151" s="15"/>
      <c r="DI151" s="12"/>
      <c r="DJ151" s="1"/>
      <c r="DK151" s="225"/>
      <c r="DL151" s="225"/>
      <c r="DM151" s="225"/>
      <c r="DN151" s="225"/>
      <c r="DO151" s="225"/>
      <c r="DP151" s="225"/>
      <c r="DQ151" s="225"/>
      <c r="DR151" s="225"/>
      <c r="DS151" s="225"/>
      <c r="DT151" s="225"/>
      <c r="DU151" s="225"/>
      <c r="DV151" s="225"/>
      <c r="DW151" s="1"/>
      <c r="EJ151" s="1"/>
      <c r="EK151" s="17"/>
      <c r="EL151" s="17"/>
      <c r="EM151" s="17"/>
      <c r="EN151" s="17"/>
      <c r="EO151" s="17"/>
      <c r="EP151" s="17"/>
      <c r="EQ151" s="17"/>
      <c r="ER151" s="17"/>
      <c r="ES151" s="17"/>
      <c r="EU151" s="17"/>
      <c r="EW151" s="1"/>
      <c r="EX151" s="225"/>
      <c r="EY151" s="225"/>
      <c r="EZ151" s="225"/>
      <c r="FA151" s="225"/>
      <c r="FB151" s="225"/>
      <c r="FC151" s="225"/>
      <c r="FD151" s="225"/>
      <c r="FE151" s="225"/>
      <c r="FF151" s="225"/>
      <c r="FG151" s="10"/>
      <c r="FH151" s="225"/>
      <c r="FI151" s="10"/>
      <c r="FJ151" s="1"/>
      <c r="FK151" s="225"/>
      <c r="FL151" s="225"/>
      <c r="FM151" s="225"/>
      <c r="FN151" s="225"/>
      <c r="FO151" s="225"/>
      <c r="FP151" s="225"/>
      <c r="FQ151" s="225"/>
      <c r="FR151" s="225"/>
      <c r="FS151" s="225"/>
      <c r="FT151" s="191"/>
      <c r="FU151" s="225"/>
      <c r="FV151" s="151"/>
    </row>
    <row r="152" spans="1:178" ht="16" thickBot="1" x14ac:dyDescent="0.25">
      <c r="A152" s="27" t="s">
        <v>73</v>
      </c>
      <c r="B152" t="s">
        <v>142</v>
      </c>
      <c r="C152" s="1"/>
      <c r="D152" s="17"/>
      <c r="E152" s="17"/>
      <c r="F152" s="156"/>
      <c r="G152" s="89"/>
      <c r="H152" s="88"/>
      <c r="I152" s="88"/>
      <c r="J152" s="17"/>
      <c r="K152" s="17"/>
      <c r="L152" s="17"/>
      <c r="M152" s="17"/>
      <c r="N152" s="17"/>
      <c r="O152" s="17"/>
      <c r="P152" s="1"/>
      <c r="Q152" s="48"/>
      <c r="R152" s="49"/>
      <c r="S152" s="49"/>
      <c r="T152" s="50">
        <f t="shared" si="51"/>
        <v>0</v>
      </c>
      <c r="U152" s="48"/>
      <c r="V152" s="49"/>
      <c r="W152" s="49"/>
      <c r="X152" s="50">
        <f t="shared" si="52"/>
        <v>0</v>
      </c>
      <c r="Y152" s="48"/>
      <c r="Z152" s="49"/>
      <c r="AA152" s="49"/>
      <c r="AB152" s="50">
        <f t="shared" si="53"/>
        <v>0</v>
      </c>
      <c r="AC152" s="167"/>
      <c r="AD152" s="166"/>
      <c r="AE152" s="166"/>
      <c r="AF152" s="151">
        <f t="shared" si="54"/>
        <v>0</v>
      </c>
      <c r="AG152" s="166"/>
      <c r="AH152" s="166"/>
      <c r="AI152" s="166"/>
      <c r="AJ152" s="151">
        <f t="shared" si="55"/>
        <v>0</v>
      </c>
      <c r="AK152" s="192"/>
      <c r="AL152" s="10"/>
      <c r="AM152" s="10"/>
      <c r="AN152" s="151">
        <f t="shared" si="56"/>
        <v>0</v>
      </c>
      <c r="AO152" s="191"/>
      <c r="AP152" s="10"/>
      <c r="AQ152" s="10"/>
      <c r="AR152" s="151"/>
      <c r="AS152" s="191"/>
      <c r="AT152" s="10"/>
      <c r="AU152" s="10"/>
      <c r="AV152" s="151"/>
      <c r="AW152" s="191"/>
      <c r="AX152" s="10"/>
      <c r="AY152" s="10"/>
      <c r="AZ152" s="151"/>
      <c r="BA152" s="191"/>
      <c r="BB152" s="10"/>
      <c r="BC152" s="10"/>
      <c r="BD152" s="151"/>
      <c r="BE152" s="191"/>
      <c r="BF152" s="10"/>
      <c r="BG152" s="10"/>
      <c r="BH152" s="151"/>
      <c r="BI152" s="191"/>
      <c r="BJ152" s="10"/>
      <c r="BK152" s="10"/>
      <c r="BL152" s="151"/>
      <c r="BM152" s="1"/>
      <c r="BN152" s="48"/>
      <c r="BO152" s="56"/>
      <c r="BP152" s="56"/>
      <c r="BQ152" s="50"/>
      <c r="BR152" s="48"/>
      <c r="BS152" s="56"/>
      <c r="BT152" s="56"/>
      <c r="BU152" s="50"/>
      <c r="BV152" s="48"/>
      <c r="BW152" s="56"/>
      <c r="BX152" s="56"/>
      <c r="BY152" s="50"/>
      <c r="BZ152" s="48"/>
      <c r="CA152" s="49"/>
      <c r="CB152" s="49"/>
      <c r="CC152" s="50"/>
      <c r="CD152" s="48"/>
      <c r="CE152" s="49"/>
      <c r="CF152" s="49"/>
      <c r="CG152" s="50"/>
      <c r="CK152" s="12"/>
      <c r="CL152" s="15"/>
      <c r="CO152" s="12"/>
      <c r="CP152" s="15"/>
      <c r="CS152" s="12"/>
      <c r="CT152" s="15"/>
      <c r="CW152" s="12"/>
      <c r="CX152" s="15"/>
      <c r="DA152" s="12"/>
      <c r="DF152" s="15"/>
      <c r="DI152" s="12"/>
      <c r="DJ152" s="1"/>
      <c r="DK152" s="225"/>
      <c r="DL152" s="225"/>
      <c r="DM152" s="225"/>
      <c r="DN152" s="225"/>
      <c r="DO152" s="225"/>
      <c r="DP152" s="225"/>
      <c r="DQ152" s="225"/>
      <c r="DR152" s="225"/>
      <c r="DS152" s="225"/>
      <c r="DT152" s="225"/>
      <c r="DU152" s="225"/>
      <c r="DV152" s="225"/>
      <c r="DW152" s="1"/>
      <c r="EJ152" s="1"/>
      <c r="EK152" s="17"/>
      <c r="EL152" s="17"/>
      <c r="EM152" s="17"/>
      <c r="EN152" s="17"/>
      <c r="EO152" s="17"/>
      <c r="EP152" s="17"/>
      <c r="EQ152" s="17"/>
      <c r="ER152" s="17"/>
      <c r="ES152" s="17"/>
      <c r="EU152" s="17"/>
      <c r="EW152" s="1"/>
      <c r="EX152" s="225"/>
      <c r="EY152" s="225"/>
      <c r="EZ152" s="225"/>
      <c r="FA152" s="225"/>
      <c r="FB152" s="225"/>
      <c r="FC152" s="225"/>
      <c r="FD152" s="225"/>
      <c r="FE152" s="225"/>
      <c r="FF152" s="225"/>
      <c r="FG152" s="10"/>
      <c r="FH152" s="225"/>
      <c r="FI152" s="10"/>
      <c r="FJ152" s="1"/>
      <c r="FK152" s="225"/>
      <c r="FL152" s="225"/>
      <c r="FM152" s="225"/>
      <c r="FN152" s="225"/>
      <c r="FO152" s="225"/>
      <c r="FP152" s="225"/>
      <c r="FQ152" s="225"/>
      <c r="FR152" s="225"/>
      <c r="FS152" s="225"/>
      <c r="FT152" s="191"/>
      <c r="FU152" s="225"/>
      <c r="FV152" s="151"/>
    </row>
    <row r="153" spans="1:178" ht="16" thickBot="1" x14ac:dyDescent="0.25">
      <c r="A153" s="27" t="s">
        <v>74</v>
      </c>
      <c r="B153" t="s">
        <v>142</v>
      </c>
      <c r="C153" s="1"/>
      <c r="D153" s="17">
        <v>1</v>
      </c>
      <c r="E153" s="17">
        <v>2</v>
      </c>
      <c r="F153" s="156">
        <v>1</v>
      </c>
      <c r="G153" s="87">
        <v>2</v>
      </c>
      <c r="H153" s="88">
        <v>2</v>
      </c>
      <c r="I153" s="87">
        <v>1</v>
      </c>
      <c r="J153" s="17"/>
      <c r="K153" s="17"/>
      <c r="L153" s="17"/>
      <c r="M153" s="17"/>
      <c r="N153" s="17"/>
      <c r="O153" s="17"/>
      <c r="P153" s="1"/>
      <c r="Q153" s="48">
        <v>29.85</v>
      </c>
      <c r="R153" s="49"/>
      <c r="S153" s="49"/>
      <c r="T153" s="50">
        <f t="shared" si="51"/>
        <v>29.85</v>
      </c>
      <c r="U153" s="48">
        <v>75</v>
      </c>
      <c r="V153" s="49">
        <v>79.05</v>
      </c>
      <c r="W153" s="49"/>
      <c r="X153" s="50">
        <f t="shared" si="52"/>
        <v>154.05000000000001</v>
      </c>
      <c r="Y153" s="48"/>
      <c r="Z153" s="49"/>
      <c r="AA153" s="49">
        <v>213.25</v>
      </c>
      <c r="AB153" s="50">
        <f t="shared" si="53"/>
        <v>213.25</v>
      </c>
      <c r="AC153" s="164">
        <v>75</v>
      </c>
      <c r="AD153" s="166"/>
      <c r="AE153" s="165">
        <v>297.7</v>
      </c>
      <c r="AF153" s="151">
        <f t="shared" si="54"/>
        <v>372.7</v>
      </c>
      <c r="AG153" s="166"/>
      <c r="AH153" s="166">
        <v>150.91999999999999</v>
      </c>
      <c r="AI153" s="166">
        <v>365.77</v>
      </c>
      <c r="AJ153" s="151">
        <f t="shared" si="55"/>
        <v>516.68999999999994</v>
      </c>
      <c r="AK153" s="192"/>
      <c r="AL153" s="10"/>
      <c r="AM153" s="10">
        <v>219.59</v>
      </c>
      <c r="AN153" s="151">
        <f t="shared" si="56"/>
        <v>219.59</v>
      </c>
      <c r="AO153" s="191"/>
      <c r="AP153" s="10"/>
      <c r="AQ153" s="10"/>
      <c r="AR153" s="151"/>
      <c r="AS153" s="191"/>
      <c r="AT153" s="10"/>
      <c r="AU153" s="10"/>
      <c r="AV153" s="151"/>
      <c r="AW153" s="191"/>
      <c r="AX153" s="10"/>
      <c r="AY153" s="10"/>
      <c r="AZ153" s="151"/>
      <c r="BA153" s="191"/>
      <c r="BB153" s="10"/>
      <c r="BC153" s="10"/>
      <c r="BD153" s="151"/>
      <c r="BE153" s="191"/>
      <c r="BF153" s="10"/>
      <c r="BG153" s="10"/>
      <c r="BH153" s="151"/>
      <c r="BI153" s="191"/>
      <c r="BJ153" s="10"/>
      <c r="BK153" s="10"/>
      <c r="BL153" s="151"/>
      <c r="BM153" s="1"/>
      <c r="BN153" s="48"/>
      <c r="BO153" s="56"/>
      <c r="BP153" s="56"/>
      <c r="BQ153" s="50"/>
      <c r="BR153" s="48"/>
      <c r="BS153" s="56"/>
      <c r="BT153" s="56"/>
      <c r="BU153" s="50"/>
      <c r="BV153" s="48"/>
      <c r="BW153" s="56"/>
      <c r="BX153" s="56"/>
      <c r="BY153" s="50"/>
      <c r="BZ153" s="48"/>
      <c r="CA153" s="49"/>
      <c r="CB153" s="49"/>
      <c r="CC153" s="50"/>
      <c r="CD153" s="48"/>
      <c r="CE153" s="49"/>
      <c r="CF153" s="49"/>
      <c r="CG153" s="50"/>
      <c r="CK153" s="12"/>
      <c r="CL153" s="15"/>
      <c r="CO153" s="12"/>
      <c r="CP153" s="15"/>
      <c r="CS153" s="12"/>
      <c r="CT153" s="15"/>
      <c r="CW153" s="12"/>
      <c r="CX153" s="15"/>
      <c r="DA153" s="12"/>
      <c r="DF153" s="15"/>
      <c r="DI153" s="12"/>
      <c r="DJ153" s="1"/>
      <c r="DK153" s="225"/>
      <c r="DL153" s="225"/>
      <c r="DM153" s="225"/>
      <c r="DN153" s="225"/>
      <c r="DO153" s="225"/>
      <c r="DP153" s="225"/>
      <c r="DQ153" s="225"/>
      <c r="DR153" s="225"/>
      <c r="DS153" s="225"/>
      <c r="DT153" s="225"/>
      <c r="DU153" s="225"/>
      <c r="DV153" s="225"/>
      <c r="DW153" s="1"/>
      <c r="EJ153" s="1"/>
      <c r="EK153" s="17"/>
      <c r="EL153" s="17"/>
      <c r="EM153" s="17"/>
      <c r="EN153" s="17"/>
      <c r="EO153" s="17"/>
      <c r="EP153" s="17"/>
      <c r="EQ153" s="17"/>
      <c r="ER153" s="17"/>
      <c r="ES153" s="17"/>
      <c r="EU153" s="17"/>
      <c r="EW153" s="1"/>
      <c r="EX153" s="225"/>
      <c r="EY153" s="225"/>
      <c r="EZ153" s="225"/>
      <c r="FA153" s="225"/>
      <c r="FB153" s="225"/>
      <c r="FC153" s="225"/>
      <c r="FD153" s="225"/>
      <c r="FE153" s="225"/>
      <c r="FF153" s="225"/>
      <c r="FG153" s="10"/>
      <c r="FH153" s="225"/>
      <c r="FI153" s="10"/>
      <c r="FJ153" s="1"/>
      <c r="FK153" s="225"/>
      <c r="FL153" s="225"/>
      <c r="FM153" s="225"/>
      <c r="FN153" s="225"/>
      <c r="FO153" s="225"/>
      <c r="FP153" s="225"/>
      <c r="FQ153" s="225"/>
      <c r="FR153" s="225"/>
      <c r="FS153" s="225"/>
      <c r="FT153" s="191"/>
      <c r="FU153" s="225"/>
      <c r="FV153" s="151"/>
    </row>
    <row r="154" spans="1:178" ht="16" thickBot="1" x14ac:dyDescent="0.25">
      <c r="A154" s="27" t="s">
        <v>75</v>
      </c>
      <c r="B154" t="s">
        <v>142</v>
      </c>
      <c r="C154" s="1"/>
      <c r="D154" s="17"/>
      <c r="E154" s="17"/>
      <c r="F154" s="156"/>
      <c r="G154" s="89"/>
      <c r="H154" s="88"/>
      <c r="I154" s="88"/>
      <c r="J154" s="17"/>
      <c r="K154" s="17"/>
      <c r="L154" s="17"/>
      <c r="M154" s="17"/>
      <c r="N154" s="17"/>
      <c r="O154" s="17"/>
      <c r="P154" s="1"/>
      <c r="Q154" s="48"/>
      <c r="R154" s="49"/>
      <c r="S154" s="49"/>
      <c r="T154" s="50">
        <f t="shared" si="51"/>
        <v>0</v>
      </c>
      <c r="U154" s="48"/>
      <c r="V154" s="49"/>
      <c r="W154" s="49"/>
      <c r="X154" s="50">
        <f t="shared" si="52"/>
        <v>0</v>
      </c>
      <c r="Y154" s="48"/>
      <c r="Z154" s="49"/>
      <c r="AA154" s="49"/>
      <c r="AB154" s="50">
        <f t="shared" si="53"/>
        <v>0</v>
      </c>
      <c r="AC154" s="167"/>
      <c r="AD154" s="166"/>
      <c r="AE154" s="166"/>
      <c r="AF154" s="151">
        <f t="shared" si="54"/>
        <v>0</v>
      </c>
      <c r="AG154" s="166"/>
      <c r="AH154" s="166"/>
      <c r="AI154" s="166"/>
      <c r="AJ154" s="151">
        <f t="shared" si="55"/>
        <v>0</v>
      </c>
      <c r="AK154" s="192"/>
      <c r="AL154" s="10"/>
      <c r="AM154" s="10"/>
      <c r="AN154" s="151">
        <f t="shared" si="56"/>
        <v>0</v>
      </c>
      <c r="AO154" s="191"/>
      <c r="AP154" s="10"/>
      <c r="AQ154" s="10"/>
      <c r="AR154" s="151"/>
      <c r="AS154" s="191"/>
      <c r="AT154" s="10"/>
      <c r="AU154" s="10"/>
      <c r="AV154" s="151"/>
      <c r="AW154" s="191"/>
      <c r="AX154" s="10"/>
      <c r="AY154" s="10"/>
      <c r="AZ154" s="151"/>
      <c r="BA154" s="191"/>
      <c r="BB154" s="10"/>
      <c r="BC154" s="10"/>
      <c r="BD154" s="151"/>
      <c r="BE154" s="191"/>
      <c r="BF154" s="10"/>
      <c r="BG154" s="10"/>
      <c r="BH154" s="151"/>
      <c r="BI154" s="191"/>
      <c r="BJ154" s="10"/>
      <c r="BK154" s="10"/>
      <c r="BL154" s="151"/>
      <c r="BM154" s="1"/>
      <c r="BN154" s="48"/>
      <c r="BO154" s="56"/>
      <c r="BP154" s="56"/>
      <c r="BQ154" s="50"/>
      <c r="BR154" s="48"/>
      <c r="BS154" s="56"/>
      <c r="BT154" s="56"/>
      <c r="BU154" s="50"/>
      <c r="BV154" s="48"/>
      <c r="BW154" s="56"/>
      <c r="BX154" s="56"/>
      <c r="BY154" s="50"/>
      <c r="BZ154" s="48"/>
      <c r="CA154" s="49"/>
      <c r="CB154" s="49"/>
      <c r="CC154" s="50"/>
      <c r="CD154" s="48"/>
      <c r="CE154" s="49"/>
      <c r="CF154" s="49"/>
      <c r="CG154" s="50"/>
      <c r="CK154" s="12"/>
      <c r="CL154" s="15"/>
      <c r="CO154" s="12"/>
      <c r="CP154" s="15"/>
      <c r="CS154" s="12"/>
      <c r="CT154" s="15"/>
      <c r="CW154" s="12"/>
      <c r="CX154" s="15"/>
      <c r="DA154" s="12"/>
      <c r="DF154" s="15"/>
      <c r="DI154" s="12"/>
      <c r="DJ154" s="1"/>
      <c r="DK154" s="225"/>
      <c r="DL154" s="225"/>
      <c r="DM154" s="225"/>
      <c r="DN154" s="225"/>
      <c r="DO154" s="225"/>
      <c r="DP154" s="225"/>
      <c r="DQ154" s="225"/>
      <c r="DR154" s="225"/>
      <c r="DS154" s="225"/>
      <c r="DT154" s="225"/>
      <c r="DU154" s="225"/>
      <c r="DV154" s="225"/>
      <c r="DW154" s="1"/>
      <c r="EJ154" s="1"/>
      <c r="EK154" s="17"/>
      <c r="EL154" s="17"/>
      <c r="EM154" s="17"/>
      <c r="EN154" s="17"/>
      <c r="EO154" s="17"/>
      <c r="EP154" s="17"/>
      <c r="EQ154" s="17"/>
      <c r="ER154" s="17"/>
      <c r="ES154" s="17"/>
      <c r="EU154" s="17"/>
      <c r="EW154" s="1"/>
      <c r="EX154" s="225"/>
      <c r="EY154" s="225"/>
      <c r="EZ154" s="225"/>
      <c r="FA154" s="225"/>
      <c r="FB154" s="225"/>
      <c r="FC154" s="225"/>
      <c r="FD154" s="225"/>
      <c r="FE154" s="225"/>
      <c r="FF154" s="225"/>
      <c r="FG154" s="10"/>
      <c r="FH154" s="225"/>
      <c r="FI154" s="10"/>
      <c r="FJ154" s="1"/>
      <c r="FK154" s="225"/>
      <c r="FL154" s="225"/>
      <c r="FM154" s="225"/>
      <c r="FN154" s="225"/>
      <c r="FO154" s="225"/>
      <c r="FP154" s="225"/>
      <c r="FQ154" s="225"/>
      <c r="FR154" s="225"/>
      <c r="FS154" s="225"/>
      <c r="FT154" s="191"/>
      <c r="FU154" s="225"/>
      <c r="FV154" s="151"/>
    </row>
    <row r="155" spans="1:178" ht="16" thickBot="1" x14ac:dyDescent="0.25">
      <c r="A155" s="27" t="s">
        <v>76</v>
      </c>
      <c r="B155" t="s">
        <v>142</v>
      </c>
      <c r="C155" s="1"/>
      <c r="D155" s="17"/>
      <c r="E155" s="17"/>
      <c r="F155" s="156"/>
      <c r="G155" s="89"/>
      <c r="H155" s="88"/>
      <c r="I155" s="88"/>
      <c r="J155" s="17"/>
      <c r="K155" s="17"/>
      <c r="L155" s="17"/>
      <c r="M155" s="17"/>
      <c r="N155" s="17"/>
      <c r="O155" s="17"/>
      <c r="P155" s="1"/>
      <c r="Q155" s="48"/>
      <c r="R155" s="49"/>
      <c r="S155" s="49"/>
      <c r="T155" s="50">
        <f t="shared" si="51"/>
        <v>0</v>
      </c>
      <c r="U155" s="48"/>
      <c r="V155" s="49"/>
      <c r="W155" s="49"/>
      <c r="X155" s="50">
        <f t="shared" si="52"/>
        <v>0</v>
      </c>
      <c r="Y155" s="48"/>
      <c r="Z155" s="49"/>
      <c r="AA155" s="49"/>
      <c r="AB155" s="50">
        <f t="shared" si="53"/>
        <v>0</v>
      </c>
      <c r="AC155" s="167"/>
      <c r="AD155" s="166"/>
      <c r="AE155" s="166"/>
      <c r="AF155" s="151">
        <f t="shared" si="54"/>
        <v>0</v>
      </c>
      <c r="AG155" s="166"/>
      <c r="AH155" s="166"/>
      <c r="AI155" s="166"/>
      <c r="AJ155" s="151">
        <f t="shared" si="55"/>
        <v>0</v>
      </c>
      <c r="AK155" s="192"/>
      <c r="AL155" s="10"/>
      <c r="AM155" s="10"/>
      <c r="AN155" s="151">
        <f t="shared" si="56"/>
        <v>0</v>
      </c>
      <c r="AO155" s="191"/>
      <c r="AP155" s="10"/>
      <c r="AQ155" s="10"/>
      <c r="AR155" s="151"/>
      <c r="AS155" s="191"/>
      <c r="AT155" s="10"/>
      <c r="AU155" s="10"/>
      <c r="AV155" s="151"/>
      <c r="AW155" s="191"/>
      <c r="AX155" s="10"/>
      <c r="AY155" s="10"/>
      <c r="AZ155" s="151"/>
      <c r="BA155" s="191"/>
      <c r="BB155" s="10"/>
      <c r="BC155" s="10"/>
      <c r="BD155" s="151"/>
      <c r="BE155" s="191"/>
      <c r="BF155" s="10"/>
      <c r="BG155" s="10"/>
      <c r="BH155" s="151"/>
      <c r="BI155" s="191"/>
      <c r="BJ155" s="10"/>
      <c r="BK155" s="10"/>
      <c r="BL155" s="151"/>
      <c r="BM155" s="1"/>
      <c r="BN155" s="48"/>
      <c r="BO155" s="56"/>
      <c r="BP155" s="56"/>
      <c r="BQ155" s="50"/>
      <c r="BR155" s="48"/>
      <c r="BS155" s="56"/>
      <c r="BT155" s="56"/>
      <c r="BU155" s="50"/>
      <c r="BV155" s="48"/>
      <c r="BW155" s="56"/>
      <c r="BX155" s="56"/>
      <c r="BY155" s="50"/>
      <c r="BZ155" s="48"/>
      <c r="CA155" s="49"/>
      <c r="CB155" s="49"/>
      <c r="CC155" s="50"/>
      <c r="CD155" s="48"/>
      <c r="CE155" s="49"/>
      <c r="CF155" s="49"/>
      <c r="CG155" s="50"/>
      <c r="CK155" s="12"/>
      <c r="CL155" s="15"/>
      <c r="CO155" s="12"/>
      <c r="CP155" s="15"/>
      <c r="CS155" s="12"/>
      <c r="CT155" s="15"/>
      <c r="CW155" s="12"/>
      <c r="CX155" s="15"/>
      <c r="DA155" s="12"/>
      <c r="DF155" s="15"/>
      <c r="DI155" s="12"/>
      <c r="DJ155" s="1"/>
      <c r="DK155" s="225"/>
      <c r="DL155" s="225"/>
      <c r="DM155" s="225"/>
      <c r="DN155" s="225"/>
      <c r="DO155" s="225"/>
      <c r="DP155" s="225"/>
      <c r="DQ155" s="225"/>
      <c r="DR155" s="225"/>
      <c r="DS155" s="225"/>
      <c r="DT155" s="225"/>
      <c r="DU155" s="225"/>
      <c r="DV155" s="225"/>
      <c r="DW155" s="1"/>
      <c r="EJ155" s="1"/>
      <c r="EK155" s="17"/>
      <c r="EL155" s="17"/>
      <c r="EM155" s="17"/>
      <c r="EN155" s="17"/>
      <c r="EO155" s="17"/>
      <c r="EP155" s="17"/>
      <c r="EQ155" s="17"/>
      <c r="ER155" s="17"/>
      <c r="ES155" s="17"/>
      <c r="EU155" s="17"/>
      <c r="EW155" s="1"/>
      <c r="EX155" s="225"/>
      <c r="EY155" s="225"/>
      <c r="EZ155" s="225"/>
      <c r="FA155" s="225"/>
      <c r="FB155" s="225"/>
      <c r="FC155" s="225"/>
      <c r="FD155" s="225"/>
      <c r="FE155" s="225"/>
      <c r="FF155" s="225"/>
      <c r="FG155" s="10"/>
      <c r="FH155" s="225"/>
      <c r="FI155" s="10"/>
      <c r="FJ155" s="1"/>
      <c r="FK155" s="225"/>
      <c r="FL155" s="225"/>
      <c r="FM155" s="225"/>
      <c r="FN155" s="225"/>
      <c r="FO155" s="225"/>
      <c r="FP155" s="225"/>
      <c r="FQ155" s="225"/>
      <c r="FR155" s="225"/>
      <c r="FS155" s="225"/>
      <c r="FT155" s="191"/>
      <c r="FU155" s="225"/>
      <c r="FV155" s="151"/>
    </row>
    <row r="156" spans="1:178" ht="16" thickBot="1" x14ac:dyDescent="0.25">
      <c r="A156" s="27" t="s">
        <v>77</v>
      </c>
      <c r="B156" t="s">
        <v>142</v>
      </c>
      <c r="C156" s="1"/>
      <c r="D156" s="17"/>
      <c r="E156" s="17"/>
      <c r="F156" s="156"/>
      <c r="G156" s="89"/>
      <c r="H156" s="88"/>
      <c r="I156" s="88"/>
      <c r="J156" s="17"/>
      <c r="K156" s="17"/>
      <c r="L156" s="17"/>
      <c r="M156" s="17"/>
      <c r="N156" s="17"/>
      <c r="O156" s="17"/>
      <c r="P156" s="1"/>
      <c r="Q156" s="48"/>
      <c r="R156" s="49"/>
      <c r="S156" s="49"/>
      <c r="T156" s="50">
        <f t="shared" si="51"/>
        <v>0</v>
      </c>
      <c r="U156" s="48"/>
      <c r="V156" s="49"/>
      <c r="W156" s="49"/>
      <c r="X156" s="50">
        <f t="shared" si="52"/>
        <v>0</v>
      </c>
      <c r="Y156" s="48"/>
      <c r="Z156" s="49"/>
      <c r="AA156" s="49"/>
      <c r="AB156" s="50">
        <f t="shared" si="53"/>
        <v>0</v>
      </c>
      <c r="AC156" s="167"/>
      <c r="AD156" s="166"/>
      <c r="AE156" s="166"/>
      <c r="AF156" s="151">
        <f t="shared" si="54"/>
        <v>0</v>
      </c>
      <c r="AG156" s="166"/>
      <c r="AH156" s="166"/>
      <c r="AI156" s="166"/>
      <c r="AJ156" s="151">
        <f t="shared" si="55"/>
        <v>0</v>
      </c>
      <c r="AK156" s="192"/>
      <c r="AL156" s="10"/>
      <c r="AM156" s="10"/>
      <c r="AN156" s="151">
        <f t="shared" si="56"/>
        <v>0</v>
      </c>
      <c r="AO156" s="191"/>
      <c r="AP156" s="10"/>
      <c r="AQ156" s="10"/>
      <c r="AR156" s="151"/>
      <c r="AS156" s="191"/>
      <c r="AT156" s="10"/>
      <c r="AU156" s="10"/>
      <c r="AV156" s="151"/>
      <c r="AW156" s="191"/>
      <c r="AX156" s="10"/>
      <c r="AY156" s="10"/>
      <c r="AZ156" s="151"/>
      <c r="BA156" s="191"/>
      <c r="BB156" s="10"/>
      <c r="BC156" s="10"/>
      <c r="BD156" s="151"/>
      <c r="BE156" s="191"/>
      <c r="BF156" s="10"/>
      <c r="BG156" s="10"/>
      <c r="BH156" s="151"/>
      <c r="BI156" s="191"/>
      <c r="BJ156" s="10"/>
      <c r="BK156" s="10"/>
      <c r="BL156" s="151"/>
      <c r="BM156" s="1"/>
      <c r="BN156" s="48"/>
      <c r="BO156" s="56"/>
      <c r="BP156" s="56"/>
      <c r="BQ156" s="50"/>
      <c r="BR156" s="48"/>
      <c r="BS156" s="56"/>
      <c r="BT156" s="56"/>
      <c r="BU156" s="50"/>
      <c r="BV156" s="48"/>
      <c r="BW156" s="56"/>
      <c r="BX156" s="56"/>
      <c r="BY156" s="50"/>
      <c r="BZ156" s="48"/>
      <c r="CA156" s="49"/>
      <c r="CB156" s="49"/>
      <c r="CC156" s="50"/>
      <c r="CD156" s="48"/>
      <c r="CE156" s="49"/>
      <c r="CF156" s="49"/>
      <c r="CG156" s="50"/>
      <c r="CK156" s="12"/>
      <c r="CL156" s="15"/>
      <c r="CO156" s="12"/>
      <c r="CP156" s="15"/>
      <c r="CS156" s="12"/>
      <c r="CT156" s="15"/>
      <c r="CW156" s="12"/>
      <c r="CX156" s="15"/>
      <c r="DA156" s="12"/>
      <c r="DF156" s="15"/>
      <c r="DI156" s="12"/>
      <c r="DJ156" s="1"/>
      <c r="DK156" s="225"/>
      <c r="DL156" s="225"/>
      <c r="DM156" s="225"/>
      <c r="DN156" s="225"/>
      <c r="DO156" s="225"/>
      <c r="DP156" s="225"/>
      <c r="DQ156" s="225"/>
      <c r="DR156" s="225"/>
      <c r="DS156" s="225"/>
      <c r="DT156" s="225"/>
      <c r="DU156" s="225"/>
      <c r="DV156" s="225"/>
      <c r="DW156" s="1"/>
      <c r="EJ156" s="1"/>
      <c r="EK156" s="17"/>
      <c r="EL156" s="17"/>
      <c r="EM156" s="17"/>
      <c r="EN156" s="17"/>
      <c r="EO156" s="17"/>
      <c r="EP156" s="17"/>
      <c r="EQ156" s="17"/>
      <c r="ER156" s="17"/>
      <c r="ES156" s="17"/>
      <c r="EU156" s="17"/>
      <c r="EW156" s="1"/>
      <c r="EX156" s="225"/>
      <c r="EY156" s="225"/>
      <c r="EZ156" s="225"/>
      <c r="FA156" s="225"/>
      <c r="FB156" s="225"/>
      <c r="FC156" s="225"/>
      <c r="FD156" s="225"/>
      <c r="FE156" s="225"/>
      <c r="FF156" s="225"/>
      <c r="FG156" s="10"/>
      <c r="FH156" s="225"/>
      <c r="FI156" s="10"/>
      <c r="FJ156" s="1"/>
      <c r="FK156" s="225"/>
      <c r="FL156" s="225"/>
      <c r="FM156" s="225"/>
      <c r="FN156" s="225"/>
      <c r="FO156" s="225"/>
      <c r="FP156" s="225"/>
      <c r="FQ156" s="225"/>
      <c r="FR156" s="225"/>
      <c r="FS156" s="225"/>
      <c r="FT156" s="191"/>
      <c r="FU156" s="225"/>
      <c r="FV156" s="151"/>
    </row>
    <row r="157" spans="1:178" ht="16" thickBot="1" x14ac:dyDescent="0.25">
      <c r="A157" s="27" t="s">
        <v>78</v>
      </c>
      <c r="B157" t="s">
        <v>142</v>
      </c>
      <c r="C157" s="1"/>
      <c r="D157" s="17"/>
      <c r="E157" s="17"/>
      <c r="F157" s="156"/>
      <c r="G157" s="89"/>
      <c r="H157" s="88"/>
      <c r="I157" s="88"/>
      <c r="J157" s="17"/>
      <c r="K157" s="17"/>
      <c r="L157" s="17"/>
      <c r="M157" s="17"/>
      <c r="N157" s="17"/>
      <c r="O157" s="17"/>
      <c r="P157" s="1"/>
      <c r="Q157" s="48"/>
      <c r="R157" s="49"/>
      <c r="S157" s="49"/>
      <c r="T157" s="50">
        <f t="shared" si="51"/>
        <v>0</v>
      </c>
      <c r="U157" s="48"/>
      <c r="V157" s="49"/>
      <c r="W157" s="49"/>
      <c r="X157" s="50">
        <f t="shared" si="52"/>
        <v>0</v>
      </c>
      <c r="Y157" s="48"/>
      <c r="Z157" s="49"/>
      <c r="AA157" s="49"/>
      <c r="AB157" s="50">
        <f t="shared" si="53"/>
        <v>0</v>
      </c>
      <c r="AC157" s="167"/>
      <c r="AD157" s="166"/>
      <c r="AE157" s="166"/>
      <c r="AF157" s="151">
        <f t="shared" si="54"/>
        <v>0</v>
      </c>
      <c r="AG157" s="166"/>
      <c r="AH157" s="166"/>
      <c r="AI157" s="166"/>
      <c r="AJ157" s="151">
        <f t="shared" si="55"/>
        <v>0</v>
      </c>
      <c r="AK157" s="192"/>
      <c r="AL157" s="10"/>
      <c r="AM157" s="10"/>
      <c r="AN157" s="151">
        <f t="shared" si="56"/>
        <v>0</v>
      </c>
      <c r="AO157" s="191"/>
      <c r="AP157" s="10"/>
      <c r="AQ157" s="10"/>
      <c r="AR157" s="151"/>
      <c r="AS157" s="191"/>
      <c r="AT157" s="10"/>
      <c r="AU157" s="10"/>
      <c r="AV157" s="151"/>
      <c r="AW157" s="191"/>
      <c r="AX157" s="10"/>
      <c r="AY157" s="10"/>
      <c r="AZ157" s="151"/>
      <c r="BA157" s="191"/>
      <c r="BB157" s="10"/>
      <c r="BC157" s="10"/>
      <c r="BD157" s="151"/>
      <c r="BE157" s="191"/>
      <c r="BF157" s="10"/>
      <c r="BG157" s="10"/>
      <c r="BH157" s="151"/>
      <c r="BI157" s="191"/>
      <c r="BJ157" s="10"/>
      <c r="BK157" s="10"/>
      <c r="BL157" s="151"/>
      <c r="BM157" s="1"/>
      <c r="BN157" s="48"/>
      <c r="BO157" s="56"/>
      <c r="BP157" s="56"/>
      <c r="BQ157" s="50"/>
      <c r="BR157" s="48"/>
      <c r="BS157" s="56"/>
      <c r="BT157" s="56"/>
      <c r="BU157" s="50"/>
      <c r="BV157" s="48"/>
      <c r="BW157" s="56"/>
      <c r="BX157" s="56"/>
      <c r="BY157" s="50"/>
      <c r="BZ157" s="48"/>
      <c r="CA157" s="49"/>
      <c r="CB157" s="49"/>
      <c r="CC157" s="50"/>
      <c r="CD157" s="48"/>
      <c r="CE157" s="49"/>
      <c r="CF157" s="49"/>
      <c r="CG157" s="50"/>
      <c r="CK157" s="12"/>
      <c r="CL157" s="15"/>
      <c r="CO157" s="12"/>
      <c r="CP157" s="15"/>
      <c r="CS157" s="12"/>
      <c r="CT157" s="15"/>
      <c r="CW157" s="12"/>
      <c r="CX157" s="15"/>
      <c r="DA157" s="12"/>
      <c r="DF157" s="15"/>
      <c r="DI157" s="12"/>
      <c r="DJ157" s="1"/>
      <c r="DK157" s="225"/>
      <c r="DL157" s="225"/>
      <c r="DM157" s="225"/>
      <c r="DN157" s="225"/>
      <c r="DO157" s="225"/>
      <c r="DP157" s="225"/>
      <c r="DQ157" s="225"/>
      <c r="DR157" s="225"/>
      <c r="DS157" s="225"/>
      <c r="DT157" s="225"/>
      <c r="DU157" s="225"/>
      <c r="DV157" s="225"/>
      <c r="DW157" s="1"/>
      <c r="EJ157" s="1"/>
      <c r="EK157" s="17"/>
      <c r="EL157" s="17"/>
      <c r="EM157" s="17"/>
      <c r="EN157" s="17"/>
      <c r="EO157" s="17"/>
      <c r="EP157" s="17"/>
      <c r="EQ157" s="17"/>
      <c r="ER157" s="17"/>
      <c r="ES157" s="17"/>
      <c r="EU157" s="17"/>
      <c r="EW157" s="1"/>
      <c r="EX157" s="225"/>
      <c r="EY157" s="225"/>
      <c r="EZ157" s="225"/>
      <c r="FA157" s="225"/>
      <c r="FB157" s="225"/>
      <c r="FC157" s="225"/>
      <c r="FD157" s="225"/>
      <c r="FE157" s="225"/>
      <c r="FF157" s="225"/>
      <c r="FG157" s="10"/>
      <c r="FH157" s="225"/>
      <c r="FI157" s="10"/>
      <c r="FJ157" s="1"/>
      <c r="FK157" s="225"/>
      <c r="FL157" s="225"/>
      <c r="FM157" s="225"/>
      <c r="FN157" s="225"/>
      <c r="FO157" s="225"/>
      <c r="FP157" s="225"/>
      <c r="FQ157" s="225"/>
      <c r="FR157" s="225"/>
      <c r="FS157" s="225"/>
      <c r="FT157" s="191"/>
      <c r="FU157" s="225"/>
      <c r="FV157" s="151"/>
    </row>
    <row r="158" spans="1:178" ht="16" thickBot="1" x14ac:dyDescent="0.25">
      <c r="A158" s="27" t="s">
        <v>79</v>
      </c>
      <c r="B158" t="s">
        <v>142</v>
      </c>
      <c r="C158" s="1"/>
      <c r="D158" s="17"/>
      <c r="E158" s="17"/>
      <c r="F158" s="156"/>
      <c r="G158" s="89"/>
      <c r="H158" s="88"/>
      <c r="I158" s="88"/>
      <c r="J158" s="17"/>
      <c r="K158" s="17"/>
      <c r="L158" s="17"/>
      <c r="M158" s="17"/>
      <c r="N158" s="17"/>
      <c r="O158" s="17"/>
      <c r="P158" s="1"/>
      <c r="Q158" s="48"/>
      <c r="R158" s="49"/>
      <c r="S158" s="49"/>
      <c r="T158" s="50">
        <f t="shared" si="51"/>
        <v>0</v>
      </c>
      <c r="U158" s="48"/>
      <c r="V158" s="49"/>
      <c r="W158" s="49"/>
      <c r="X158" s="50">
        <f t="shared" si="52"/>
        <v>0</v>
      </c>
      <c r="Y158" s="48"/>
      <c r="Z158" s="49"/>
      <c r="AA158" s="49"/>
      <c r="AB158" s="50">
        <f t="shared" si="53"/>
        <v>0</v>
      </c>
      <c r="AC158" s="167"/>
      <c r="AD158" s="166"/>
      <c r="AE158" s="166"/>
      <c r="AF158" s="151">
        <f t="shared" si="54"/>
        <v>0</v>
      </c>
      <c r="AG158" s="166"/>
      <c r="AH158" s="166"/>
      <c r="AI158" s="166"/>
      <c r="AJ158" s="151">
        <f t="shared" si="55"/>
        <v>0</v>
      </c>
      <c r="AK158" s="192"/>
      <c r="AL158" s="10"/>
      <c r="AM158" s="10"/>
      <c r="AN158" s="151">
        <f t="shared" si="56"/>
        <v>0</v>
      </c>
      <c r="AO158" s="191"/>
      <c r="AP158" s="10"/>
      <c r="AQ158" s="10"/>
      <c r="AR158" s="151"/>
      <c r="AS158" s="191"/>
      <c r="AT158" s="10"/>
      <c r="AU158" s="10"/>
      <c r="AV158" s="151"/>
      <c r="AW158" s="191"/>
      <c r="AX158" s="10"/>
      <c r="AY158" s="10"/>
      <c r="AZ158" s="151"/>
      <c r="BA158" s="191"/>
      <c r="BB158" s="10"/>
      <c r="BC158" s="10"/>
      <c r="BD158" s="151"/>
      <c r="BE158" s="191"/>
      <c r="BF158" s="10"/>
      <c r="BG158" s="10"/>
      <c r="BH158" s="151"/>
      <c r="BI158" s="191"/>
      <c r="BJ158" s="10"/>
      <c r="BK158" s="10"/>
      <c r="BL158" s="151"/>
      <c r="BM158" s="1"/>
      <c r="BN158" s="48"/>
      <c r="BO158" s="56"/>
      <c r="BP158" s="56"/>
      <c r="BQ158" s="50"/>
      <c r="BR158" s="48"/>
      <c r="BS158" s="56"/>
      <c r="BT158" s="56"/>
      <c r="BU158" s="50"/>
      <c r="BV158" s="48"/>
      <c r="BW158" s="56"/>
      <c r="BX158" s="56"/>
      <c r="BY158" s="50"/>
      <c r="BZ158" s="48"/>
      <c r="CA158" s="49"/>
      <c r="CB158" s="49"/>
      <c r="CC158" s="50"/>
      <c r="CD158" s="48"/>
      <c r="CE158" s="49"/>
      <c r="CF158" s="49"/>
      <c r="CG158" s="50"/>
      <c r="CK158" s="12"/>
      <c r="CL158" s="15"/>
      <c r="CO158" s="12"/>
      <c r="CP158" s="15"/>
      <c r="CS158" s="12"/>
      <c r="CT158" s="15"/>
      <c r="CW158" s="12"/>
      <c r="CX158" s="15"/>
      <c r="DA158" s="12"/>
      <c r="DF158" s="15"/>
      <c r="DI158" s="12"/>
      <c r="DJ158" s="1"/>
      <c r="DK158" s="225"/>
      <c r="DL158" s="225"/>
      <c r="DM158" s="225"/>
      <c r="DN158" s="225"/>
      <c r="DO158" s="225"/>
      <c r="DP158" s="225"/>
      <c r="DQ158" s="225"/>
      <c r="DR158" s="225"/>
      <c r="DS158" s="225"/>
      <c r="DT158" s="225"/>
      <c r="DU158" s="225"/>
      <c r="DV158" s="225"/>
      <c r="DW158" s="1"/>
      <c r="EJ158" s="1"/>
      <c r="EK158" s="17"/>
      <c r="EL158" s="17"/>
      <c r="EM158" s="17"/>
      <c r="EN158" s="17"/>
      <c r="EO158" s="17"/>
      <c r="EP158" s="17"/>
      <c r="EQ158" s="17"/>
      <c r="ER158" s="17"/>
      <c r="ES158" s="17"/>
      <c r="EU158" s="17"/>
      <c r="EW158" s="1"/>
      <c r="EX158" s="225"/>
      <c r="EY158" s="225"/>
      <c r="EZ158" s="225"/>
      <c r="FA158" s="225"/>
      <c r="FB158" s="225"/>
      <c r="FC158" s="225"/>
      <c r="FD158" s="225"/>
      <c r="FE158" s="225"/>
      <c r="FF158" s="225"/>
      <c r="FG158" s="10"/>
      <c r="FH158" s="225"/>
      <c r="FI158" s="10"/>
      <c r="FJ158" s="1"/>
      <c r="FK158" s="225"/>
      <c r="FL158" s="225"/>
      <c r="FM158" s="225"/>
      <c r="FN158" s="225"/>
      <c r="FO158" s="225"/>
      <c r="FP158" s="225"/>
      <c r="FQ158" s="225"/>
      <c r="FR158" s="225"/>
      <c r="FS158" s="225"/>
      <c r="FT158" s="191"/>
      <c r="FU158" s="225"/>
      <c r="FV158" s="151"/>
    </row>
    <row r="159" spans="1:178" ht="16" thickBot="1" x14ac:dyDescent="0.25">
      <c r="A159" s="27" t="s">
        <v>80</v>
      </c>
      <c r="B159" t="s">
        <v>142</v>
      </c>
      <c r="C159" s="1"/>
      <c r="D159" s="17"/>
      <c r="E159" s="17"/>
      <c r="F159" s="156"/>
      <c r="G159" s="89"/>
      <c r="H159" s="88"/>
      <c r="I159" s="88"/>
      <c r="J159" s="17"/>
      <c r="K159" s="17"/>
      <c r="L159" s="17"/>
      <c r="M159" s="17"/>
      <c r="N159" s="17"/>
      <c r="O159" s="17"/>
      <c r="P159" s="1"/>
      <c r="Q159" s="48"/>
      <c r="R159" s="49"/>
      <c r="S159" s="49"/>
      <c r="T159" s="50">
        <f t="shared" si="51"/>
        <v>0</v>
      </c>
      <c r="U159" s="48"/>
      <c r="V159" s="49"/>
      <c r="W159" s="49"/>
      <c r="X159" s="50">
        <f t="shared" si="52"/>
        <v>0</v>
      </c>
      <c r="Y159" s="48"/>
      <c r="Z159" s="49"/>
      <c r="AA159" s="49"/>
      <c r="AB159" s="50">
        <f t="shared" si="53"/>
        <v>0</v>
      </c>
      <c r="AC159" s="167"/>
      <c r="AD159" s="166"/>
      <c r="AE159" s="166"/>
      <c r="AF159" s="151">
        <f t="shared" si="54"/>
        <v>0</v>
      </c>
      <c r="AG159" s="166"/>
      <c r="AH159" s="166"/>
      <c r="AI159" s="166"/>
      <c r="AJ159" s="151">
        <f t="shared" si="55"/>
        <v>0</v>
      </c>
      <c r="AK159" s="192"/>
      <c r="AL159" s="10"/>
      <c r="AM159" s="10"/>
      <c r="AN159" s="151">
        <f t="shared" si="56"/>
        <v>0</v>
      </c>
      <c r="AO159" s="191"/>
      <c r="AP159" s="10"/>
      <c r="AQ159" s="10"/>
      <c r="AR159" s="151"/>
      <c r="AS159" s="191"/>
      <c r="AT159" s="10"/>
      <c r="AU159" s="10"/>
      <c r="AV159" s="151"/>
      <c r="AW159" s="191"/>
      <c r="AX159" s="10"/>
      <c r="AY159" s="10"/>
      <c r="AZ159" s="151"/>
      <c r="BA159" s="191"/>
      <c r="BB159" s="10"/>
      <c r="BC159" s="10"/>
      <c r="BD159" s="151"/>
      <c r="BE159" s="191"/>
      <c r="BF159" s="10"/>
      <c r="BG159" s="10"/>
      <c r="BH159" s="151"/>
      <c r="BI159" s="191"/>
      <c r="BJ159" s="10"/>
      <c r="BK159" s="10"/>
      <c r="BL159" s="151"/>
      <c r="BM159" s="1"/>
      <c r="BN159" s="48"/>
      <c r="BO159" s="56"/>
      <c r="BP159" s="56"/>
      <c r="BQ159" s="50"/>
      <c r="BR159" s="48"/>
      <c r="BS159" s="56"/>
      <c r="BT159" s="56"/>
      <c r="BU159" s="50"/>
      <c r="BV159" s="48"/>
      <c r="BW159" s="56"/>
      <c r="BX159" s="56"/>
      <c r="BY159" s="50"/>
      <c r="BZ159" s="48"/>
      <c r="CA159" s="49"/>
      <c r="CB159" s="49"/>
      <c r="CC159" s="50"/>
      <c r="CD159" s="48"/>
      <c r="CE159" s="49"/>
      <c r="CF159" s="49"/>
      <c r="CG159" s="50"/>
      <c r="CK159" s="12"/>
      <c r="CL159" s="15"/>
      <c r="CO159" s="12"/>
      <c r="CP159" s="15"/>
      <c r="CS159" s="12"/>
      <c r="CT159" s="15"/>
      <c r="CW159" s="12"/>
      <c r="CX159" s="15"/>
      <c r="DA159" s="12"/>
      <c r="DF159" s="15"/>
      <c r="DI159" s="12"/>
      <c r="DJ159" s="1"/>
      <c r="DK159" s="225"/>
      <c r="DL159" s="225"/>
      <c r="DM159" s="225"/>
      <c r="DN159" s="225"/>
      <c r="DO159" s="225"/>
      <c r="DP159" s="225"/>
      <c r="DQ159" s="225"/>
      <c r="DR159" s="225"/>
      <c r="DS159" s="225"/>
      <c r="DT159" s="225"/>
      <c r="DU159" s="225"/>
      <c r="DV159" s="225"/>
      <c r="DW159" s="1"/>
      <c r="EJ159" s="1"/>
      <c r="EK159" s="17"/>
      <c r="EL159" s="17"/>
      <c r="EM159" s="17"/>
      <c r="EN159" s="17"/>
      <c r="EO159" s="17"/>
      <c r="EP159" s="17"/>
      <c r="EQ159" s="17"/>
      <c r="ER159" s="17"/>
      <c r="ES159" s="17"/>
      <c r="EU159" s="17"/>
      <c r="EW159" s="1"/>
      <c r="EX159" s="225"/>
      <c r="EY159" s="225"/>
      <c r="EZ159" s="225"/>
      <c r="FA159" s="225"/>
      <c r="FB159" s="225"/>
      <c r="FC159" s="225"/>
      <c r="FD159" s="225"/>
      <c r="FE159" s="225"/>
      <c r="FF159" s="225"/>
      <c r="FG159" s="10"/>
      <c r="FH159" s="225"/>
      <c r="FI159" s="10"/>
      <c r="FJ159" s="1"/>
      <c r="FK159" s="225"/>
      <c r="FL159" s="225"/>
      <c r="FM159" s="225"/>
      <c r="FN159" s="225"/>
      <c r="FO159" s="225"/>
      <c r="FP159" s="225"/>
      <c r="FQ159" s="225"/>
      <c r="FR159" s="225"/>
      <c r="FS159" s="225"/>
      <c r="FT159" s="191"/>
      <c r="FU159" s="225"/>
      <c r="FV159" s="151"/>
    </row>
    <row r="160" spans="1:178" ht="16" thickBot="1" x14ac:dyDescent="0.25">
      <c r="A160" s="27" t="s">
        <v>81</v>
      </c>
      <c r="B160" t="s">
        <v>142</v>
      </c>
      <c r="C160" s="1"/>
      <c r="D160" s="17"/>
      <c r="E160" s="17"/>
      <c r="F160" s="156"/>
      <c r="G160" s="89"/>
      <c r="H160" s="88"/>
      <c r="I160" s="88"/>
      <c r="J160" s="17"/>
      <c r="K160" s="17"/>
      <c r="L160" s="17"/>
      <c r="M160" s="17"/>
      <c r="N160" s="17"/>
      <c r="O160" s="17"/>
      <c r="P160" s="1"/>
      <c r="Q160" s="48"/>
      <c r="R160" s="49"/>
      <c r="S160" s="49"/>
      <c r="T160" s="50">
        <f t="shared" si="51"/>
        <v>0</v>
      </c>
      <c r="U160" s="48"/>
      <c r="V160" s="49"/>
      <c r="W160" s="49"/>
      <c r="X160" s="50">
        <f t="shared" si="52"/>
        <v>0</v>
      </c>
      <c r="Y160" s="48"/>
      <c r="Z160" s="49"/>
      <c r="AA160" s="49"/>
      <c r="AB160" s="50">
        <f t="shared" si="53"/>
        <v>0</v>
      </c>
      <c r="AC160" s="167"/>
      <c r="AD160" s="166"/>
      <c r="AE160" s="166"/>
      <c r="AF160" s="151">
        <f t="shared" si="54"/>
        <v>0</v>
      </c>
      <c r="AG160" s="166"/>
      <c r="AH160" s="166"/>
      <c r="AI160" s="166"/>
      <c r="AJ160" s="151">
        <f t="shared" si="55"/>
        <v>0</v>
      </c>
      <c r="AK160" s="192"/>
      <c r="AL160" s="10"/>
      <c r="AM160" s="10"/>
      <c r="AN160" s="151">
        <f t="shared" si="56"/>
        <v>0</v>
      </c>
      <c r="AO160" s="191"/>
      <c r="AP160" s="10"/>
      <c r="AQ160" s="10"/>
      <c r="AR160" s="151"/>
      <c r="AS160" s="191"/>
      <c r="AT160" s="10"/>
      <c r="AU160" s="10"/>
      <c r="AV160" s="151"/>
      <c r="AW160" s="191"/>
      <c r="AX160" s="10"/>
      <c r="AY160" s="10"/>
      <c r="AZ160" s="151"/>
      <c r="BA160" s="191"/>
      <c r="BB160" s="10"/>
      <c r="BC160" s="10"/>
      <c r="BD160" s="151"/>
      <c r="BE160" s="191"/>
      <c r="BF160" s="10"/>
      <c r="BG160" s="10"/>
      <c r="BH160" s="151"/>
      <c r="BI160" s="191"/>
      <c r="BJ160" s="10"/>
      <c r="BK160" s="10"/>
      <c r="BL160" s="151"/>
      <c r="BM160" s="1"/>
      <c r="BN160" s="48"/>
      <c r="BO160" s="56"/>
      <c r="BP160" s="56"/>
      <c r="BQ160" s="50"/>
      <c r="BR160" s="48"/>
      <c r="BS160" s="56"/>
      <c r="BT160" s="56"/>
      <c r="BU160" s="50"/>
      <c r="BV160" s="48"/>
      <c r="BW160" s="56"/>
      <c r="BX160" s="56"/>
      <c r="BY160" s="50"/>
      <c r="BZ160" s="48"/>
      <c r="CA160" s="49"/>
      <c r="CB160" s="49"/>
      <c r="CC160" s="50"/>
      <c r="CD160" s="48"/>
      <c r="CE160" s="49"/>
      <c r="CF160" s="49"/>
      <c r="CG160" s="50"/>
      <c r="CK160" s="12"/>
      <c r="CL160" s="15"/>
      <c r="CO160" s="12"/>
      <c r="CP160" s="15"/>
      <c r="CS160" s="12"/>
      <c r="CT160" s="15"/>
      <c r="CW160" s="12"/>
      <c r="CX160" s="15"/>
      <c r="DA160" s="12"/>
      <c r="DF160" s="15"/>
      <c r="DI160" s="12"/>
      <c r="DJ160" s="1"/>
      <c r="DK160" s="225"/>
      <c r="DL160" s="225"/>
      <c r="DM160" s="225"/>
      <c r="DN160" s="225"/>
      <c r="DO160" s="225"/>
      <c r="DP160" s="225"/>
      <c r="DQ160" s="225"/>
      <c r="DR160" s="225"/>
      <c r="DS160" s="225"/>
      <c r="DT160" s="225"/>
      <c r="DU160" s="225"/>
      <c r="DV160" s="225"/>
      <c r="DW160" s="1"/>
      <c r="EJ160" s="1"/>
      <c r="EK160" s="17"/>
      <c r="EL160" s="17"/>
      <c r="EM160" s="17"/>
      <c r="EN160" s="17"/>
      <c r="EO160" s="17"/>
      <c r="EP160" s="17"/>
      <c r="EQ160" s="17"/>
      <c r="ER160" s="17"/>
      <c r="ES160" s="17"/>
      <c r="EU160" s="17"/>
      <c r="EW160" s="1"/>
      <c r="EX160" s="225"/>
      <c r="EY160" s="225"/>
      <c r="EZ160" s="225"/>
      <c r="FA160" s="225"/>
      <c r="FB160" s="225"/>
      <c r="FC160" s="225"/>
      <c r="FD160" s="225"/>
      <c r="FE160" s="225"/>
      <c r="FF160" s="225"/>
      <c r="FG160" s="10"/>
      <c r="FH160" s="225"/>
      <c r="FI160" s="10"/>
      <c r="FJ160" s="1"/>
      <c r="FK160" s="225"/>
      <c r="FL160" s="225"/>
      <c r="FM160" s="225"/>
      <c r="FN160" s="225"/>
      <c r="FO160" s="225"/>
      <c r="FP160" s="225"/>
      <c r="FQ160" s="225"/>
      <c r="FR160" s="225"/>
      <c r="FS160" s="225"/>
      <c r="FT160" s="191"/>
      <c r="FU160" s="225"/>
      <c r="FV160" s="151"/>
    </row>
    <row r="161" spans="1:178" ht="16" thickBot="1" x14ac:dyDescent="0.25">
      <c r="A161" s="27" t="s">
        <v>82</v>
      </c>
      <c r="B161" t="s">
        <v>142</v>
      </c>
      <c r="C161" s="1"/>
      <c r="D161" s="17"/>
      <c r="E161" s="17"/>
      <c r="F161" s="156"/>
      <c r="G161" s="89"/>
      <c r="H161" s="88"/>
      <c r="I161" s="88"/>
      <c r="J161" s="17"/>
      <c r="K161" s="17"/>
      <c r="L161" s="17"/>
      <c r="M161" s="17"/>
      <c r="N161" s="17"/>
      <c r="O161" s="17"/>
      <c r="P161" s="1"/>
      <c r="Q161" s="48"/>
      <c r="R161" s="49"/>
      <c r="S161" s="49"/>
      <c r="T161" s="50">
        <f t="shared" si="51"/>
        <v>0</v>
      </c>
      <c r="U161" s="48"/>
      <c r="V161" s="49"/>
      <c r="W161" s="49"/>
      <c r="X161" s="50">
        <f t="shared" si="52"/>
        <v>0</v>
      </c>
      <c r="Y161" s="48"/>
      <c r="Z161" s="49"/>
      <c r="AA161" s="49"/>
      <c r="AB161" s="50">
        <f t="shared" si="53"/>
        <v>0</v>
      </c>
      <c r="AC161" s="167"/>
      <c r="AD161" s="166"/>
      <c r="AE161" s="166"/>
      <c r="AF161" s="151">
        <f t="shared" si="54"/>
        <v>0</v>
      </c>
      <c r="AG161" s="166"/>
      <c r="AH161" s="166"/>
      <c r="AI161" s="166"/>
      <c r="AJ161" s="151">
        <f t="shared" si="55"/>
        <v>0</v>
      </c>
      <c r="AK161" s="192"/>
      <c r="AL161" s="10"/>
      <c r="AM161" s="10"/>
      <c r="AN161" s="151">
        <f t="shared" si="56"/>
        <v>0</v>
      </c>
      <c r="AO161" s="191"/>
      <c r="AP161" s="10"/>
      <c r="AQ161" s="10"/>
      <c r="AR161" s="151"/>
      <c r="AS161" s="191"/>
      <c r="AT161" s="10"/>
      <c r="AU161" s="10"/>
      <c r="AV161" s="151"/>
      <c r="AW161" s="191"/>
      <c r="AX161" s="10"/>
      <c r="AY161" s="10"/>
      <c r="AZ161" s="151"/>
      <c r="BA161" s="191"/>
      <c r="BB161" s="10"/>
      <c r="BC161" s="10"/>
      <c r="BD161" s="151"/>
      <c r="BE161" s="191"/>
      <c r="BF161" s="10"/>
      <c r="BG161" s="10"/>
      <c r="BH161" s="151"/>
      <c r="BI161" s="191"/>
      <c r="BJ161" s="10"/>
      <c r="BK161" s="10"/>
      <c r="BL161" s="151"/>
      <c r="BM161" s="1"/>
      <c r="BN161" s="48"/>
      <c r="BO161" s="56"/>
      <c r="BP161" s="56"/>
      <c r="BQ161" s="50"/>
      <c r="BR161" s="48"/>
      <c r="BS161" s="56"/>
      <c r="BT161" s="56"/>
      <c r="BU161" s="50"/>
      <c r="BV161" s="48"/>
      <c r="BW161" s="56"/>
      <c r="BX161" s="56"/>
      <c r="BY161" s="50"/>
      <c r="BZ161" s="48"/>
      <c r="CA161" s="49"/>
      <c r="CB161" s="49"/>
      <c r="CC161" s="50"/>
      <c r="CD161" s="48"/>
      <c r="CE161" s="49"/>
      <c r="CF161" s="49"/>
      <c r="CG161" s="50"/>
      <c r="CK161" s="12"/>
      <c r="CL161" s="15"/>
      <c r="CO161" s="12"/>
      <c r="CP161" s="15"/>
      <c r="CS161" s="12"/>
      <c r="CT161" s="15"/>
      <c r="CW161" s="12"/>
      <c r="CX161" s="15"/>
      <c r="DA161" s="12"/>
      <c r="DF161" s="15"/>
      <c r="DI161" s="12"/>
      <c r="DJ161" s="1"/>
      <c r="DK161" s="225"/>
      <c r="DL161" s="225"/>
      <c r="DM161" s="225"/>
      <c r="DN161" s="225"/>
      <c r="DO161" s="225"/>
      <c r="DP161" s="225"/>
      <c r="DQ161" s="225"/>
      <c r="DR161" s="225"/>
      <c r="DS161" s="225"/>
      <c r="DT161" s="225"/>
      <c r="DU161" s="225"/>
      <c r="DV161" s="225"/>
      <c r="DW161" s="1"/>
      <c r="EJ161" s="1"/>
      <c r="EK161" s="17"/>
      <c r="EL161" s="17"/>
      <c r="EM161" s="17"/>
      <c r="EN161" s="17"/>
      <c r="EO161" s="17"/>
      <c r="EP161" s="17"/>
      <c r="EQ161" s="17"/>
      <c r="ER161" s="17"/>
      <c r="ES161" s="17"/>
      <c r="EU161" s="17"/>
      <c r="EW161" s="1"/>
      <c r="EX161" s="225"/>
      <c r="EY161" s="225"/>
      <c r="EZ161" s="225"/>
      <c r="FA161" s="225"/>
      <c r="FB161" s="225"/>
      <c r="FC161" s="225"/>
      <c r="FD161" s="225"/>
      <c r="FE161" s="225"/>
      <c r="FF161" s="225"/>
      <c r="FG161" s="10"/>
      <c r="FH161" s="225"/>
      <c r="FI161" s="10"/>
      <c r="FJ161" s="1"/>
      <c r="FK161" s="225"/>
      <c r="FL161" s="225"/>
      <c r="FM161" s="225"/>
      <c r="FN161" s="225"/>
      <c r="FO161" s="225"/>
      <c r="FP161" s="225"/>
      <c r="FQ161" s="225"/>
      <c r="FR161" s="225"/>
      <c r="FS161" s="225"/>
      <c r="FT161" s="191"/>
      <c r="FU161" s="225"/>
      <c r="FV161" s="151"/>
    </row>
    <row r="162" spans="1:178" ht="16" thickBot="1" x14ac:dyDescent="0.25">
      <c r="A162" s="27" t="s">
        <v>83</v>
      </c>
      <c r="B162" t="s">
        <v>142</v>
      </c>
      <c r="C162" s="1"/>
      <c r="D162" s="17"/>
      <c r="E162" s="17"/>
      <c r="F162" s="156"/>
      <c r="G162" s="89"/>
      <c r="H162" s="88"/>
      <c r="I162" s="88"/>
      <c r="J162" s="17"/>
      <c r="K162" s="17"/>
      <c r="L162" s="17"/>
      <c r="M162" s="17"/>
      <c r="N162" s="17"/>
      <c r="O162" s="17"/>
      <c r="P162" s="1"/>
      <c r="Q162" s="48"/>
      <c r="R162" s="49"/>
      <c r="S162" s="49"/>
      <c r="T162" s="50">
        <f t="shared" si="51"/>
        <v>0</v>
      </c>
      <c r="U162" s="48"/>
      <c r="V162" s="49"/>
      <c r="W162" s="49"/>
      <c r="X162" s="50">
        <f t="shared" si="52"/>
        <v>0</v>
      </c>
      <c r="Y162" s="48"/>
      <c r="Z162" s="49"/>
      <c r="AA162" s="49"/>
      <c r="AB162" s="50">
        <f t="shared" si="53"/>
        <v>0</v>
      </c>
      <c r="AC162" s="167"/>
      <c r="AD162" s="166"/>
      <c r="AE162" s="166"/>
      <c r="AF162" s="151">
        <f t="shared" si="54"/>
        <v>0</v>
      </c>
      <c r="AG162" s="166"/>
      <c r="AH162" s="166"/>
      <c r="AI162" s="166"/>
      <c r="AJ162" s="151">
        <f t="shared" si="55"/>
        <v>0</v>
      </c>
      <c r="AK162" s="192"/>
      <c r="AL162" s="10"/>
      <c r="AM162" s="10"/>
      <c r="AN162" s="151">
        <f t="shared" si="56"/>
        <v>0</v>
      </c>
      <c r="AO162" s="191"/>
      <c r="AP162" s="10"/>
      <c r="AQ162" s="10"/>
      <c r="AR162" s="151"/>
      <c r="AS162" s="191"/>
      <c r="AT162" s="10"/>
      <c r="AU162" s="10"/>
      <c r="AV162" s="151"/>
      <c r="AW162" s="191"/>
      <c r="AX162" s="10"/>
      <c r="AY162" s="10"/>
      <c r="AZ162" s="151"/>
      <c r="BA162" s="191"/>
      <c r="BB162" s="10"/>
      <c r="BC162" s="10"/>
      <c r="BD162" s="151"/>
      <c r="BE162" s="191"/>
      <c r="BF162" s="10"/>
      <c r="BG162" s="10"/>
      <c r="BH162" s="151"/>
      <c r="BI162" s="191"/>
      <c r="BJ162" s="10"/>
      <c r="BK162" s="10"/>
      <c r="BL162" s="151"/>
      <c r="BM162" s="1"/>
      <c r="BN162" s="48"/>
      <c r="BO162" s="56"/>
      <c r="BP162" s="56"/>
      <c r="BQ162" s="50"/>
      <c r="BR162" s="48"/>
      <c r="BS162" s="56"/>
      <c r="BT162" s="56"/>
      <c r="BU162" s="50"/>
      <c r="BV162" s="48"/>
      <c r="BW162" s="56"/>
      <c r="BX162" s="56"/>
      <c r="BY162" s="50"/>
      <c r="BZ162" s="48"/>
      <c r="CA162" s="49"/>
      <c r="CB162" s="49"/>
      <c r="CC162" s="50"/>
      <c r="CD162" s="48"/>
      <c r="CE162" s="49"/>
      <c r="CF162" s="49"/>
      <c r="CG162" s="50"/>
      <c r="CK162" s="12"/>
      <c r="CL162" s="15"/>
      <c r="CO162" s="12"/>
      <c r="CP162" s="15"/>
      <c r="CS162" s="12"/>
      <c r="CT162" s="15"/>
      <c r="CW162" s="12"/>
      <c r="CX162" s="15"/>
      <c r="DA162" s="12"/>
      <c r="DF162" s="15"/>
      <c r="DI162" s="12"/>
      <c r="DJ162" s="1"/>
      <c r="DK162" s="225"/>
      <c r="DL162" s="225"/>
      <c r="DM162" s="225"/>
      <c r="DN162" s="225"/>
      <c r="DO162" s="225"/>
      <c r="DP162" s="225"/>
      <c r="DQ162" s="225"/>
      <c r="DR162" s="225"/>
      <c r="DS162" s="225"/>
      <c r="DT162" s="225"/>
      <c r="DU162" s="225"/>
      <c r="DV162" s="225"/>
      <c r="DW162" s="1"/>
      <c r="EJ162" s="1"/>
      <c r="EK162" s="17"/>
      <c r="EL162" s="17"/>
      <c r="EM162" s="17"/>
      <c r="EN162" s="17"/>
      <c r="EO162" s="17"/>
      <c r="EP162" s="17"/>
      <c r="EQ162" s="17"/>
      <c r="ER162" s="17"/>
      <c r="ES162" s="17"/>
      <c r="EU162" s="17"/>
      <c r="EW162" s="1"/>
      <c r="EX162" s="225"/>
      <c r="EY162" s="225"/>
      <c r="EZ162" s="225"/>
      <c r="FA162" s="225"/>
      <c r="FB162" s="225"/>
      <c r="FC162" s="225"/>
      <c r="FD162" s="225"/>
      <c r="FE162" s="225"/>
      <c r="FF162" s="225"/>
      <c r="FG162" s="10"/>
      <c r="FH162" s="225"/>
      <c r="FI162" s="10"/>
      <c r="FJ162" s="1"/>
      <c r="FK162" s="225"/>
      <c r="FL162" s="225"/>
      <c r="FM162" s="225"/>
      <c r="FN162" s="225"/>
      <c r="FO162" s="225"/>
      <c r="FP162" s="225"/>
      <c r="FQ162" s="225"/>
      <c r="FR162" s="225"/>
      <c r="FS162" s="225"/>
      <c r="FT162" s="191"/>
      <c r="FU162" s="225"/>
      <c r="FV162" s="151"/>
    </row>
    <row r="163" spans="1:178" ht="16" thickBot="1" x14ac:dyDescent="0.25">
      <c r="A163" s="27" t="s">
        <v>84</v>
      </c>
      <c r="B163" t="s">
        <v>142</v>
      </c>
      <c r="C163" s="1"/>
      <c r="D163" s="17">
        <v>2</v>
      </c>
      <c r="E163" s="17">
        <v>2</v>
      </c>
      <c r="F163" s="156"/>
      <c r="G163" s="89"/>
      <c r="H163" s="87"/>
      <c r="I163" s="88">
        <v>1</v>
      </c>
      <c r="J163" s="17"/>
      <c r="K163" s="17"/>
      <c r="L163" s="17"/>
      <c r="M163" s="17"/>
      <c r="N163" s="17"/>
      <c r="O163" s="17"/>
      <c r="P163" s="1"/>
      <c r="Q163" s="48">
        <v>768.97</v>
      </c>
      <c r="R163" s="49"/>
      <c r="S163" s="49"/>
      <c r="T163" s="50">
        <f t="shared" si="51"/>
        <v>768.97</v>
      </c>
      <c r="U163" s="48">
        <v>768.97</v>
      </c>
      <c r="V163" s="49"/>
      <c r="W163" s="49"/>
      <c r="X163" s="50">
        <f t="shared" si="52"/>
        <v>768.97</v>
      </c>
      <c r="Y163" s="48"/>
      <c r="Z163" s="49"/>
      <c r="AA163" s="49"/>
      <c r="AB163" s="50">
        <f t="shared" si="53"/>
        <v>0</v>
      </c>
      <c r="AC163" s="167"/>
      <c r="AD163" s="166"/>
      <c r="AE163" s="166"/>
      <c r="AF163" s="151">
        <f t="shared" si="54"/>
        <v>0</v>
      </c>
      <c r="AG163" s="165"/>
      <c r="AH163" s="166"/>
      <c r="AI163" s="166"/>
      <c r="AJ163" s="151">
        <f t="shared" si="55"/>
        <v>0</v>
      </c>
      <c r="AK163" s="192">
        <v>76.55</v>
      </c>
      <c r="AL163" s="10"/>
      <c r="AM163" s="10"/>
      <c r="AN163" s="151">
        <f t="shared" si="56"/>
        <v>76.55</v>
      </c>
      <c r="AO163" s="191"/>
      <c r="AP163" s="10"/>
      <c r="AQ163" s="10"/>
      <c r="AR163" s="151"/>
      <c r="AS163" s="191"/>
      <c r="AT163" s="10"/>
      <c r="AU163" s="10"/>
      <c r="AV163" s="151"/>
      <c r="AW163" s="191"/>
      <c r="AX163" s="10"/>
      <c r="AY163" s="10"/>
      <c r="AZ163" s="151"/>
      <c r="BA163" s="191"/>
      <c r="BB163" s="10"/>
      <c r="BC163" s="10"/>
      <c r="BD163" s="151"/>
      <c r="BE163" s="191"/>
      <c r="BF163" s="10"/>
      <c r="BG163" s="10"/>
      <c r="BH163" s="151"/>
      <c r="BI163" s="191"/>
      <c r="BJ163" s="10"/>
      <c r="BK163" s="10"/>
      <c r="BL163" s="151"/>
      <c r="BM163" s="1"/>
      <c r="BN163" s="48"/>
      <c r="BO163" s="56"/>
      <c r="BP163" s="56"/>
      <c r="BQ163" s="50"/>
      <c r="BR163" s="48"/>
      <c r="BS163" s="56"/>
      <c r="BT163" s="56"/>
      <c r="BU163" s="50"/>
      <c r="BV163" s="48"/>
      <c r="BW163" s="56"/>
      <c r="BX163" s="56"/>
      <c r="BY163" s="50"/>
      <c r="BZ163" s="48"/>
      <c r="CA163" s="49"/>
      <c r="CB163" s="49"/>
      <c r="CC163" s="50"/>
      <c r="CD163" s="48"/>
      <c r="CE163" s="49"/>
      <c r="CF163" s="49"/>
      <c r="CG163" s="50"/>
      <c r="CK163" s="12"/>
      <c r="CL163" s="15"/>
      <c r="CO163" s="12"/>
      <c r="CP163" s="15"/>
      <c r="CS163" s="12"/>
      <c r="CT163" s="15"/>
      <c r="CW163" s="12"/>
      <c r="CX163" s="15"/>
      <c r="DA163" s="12"/>
      <c r="DF163" s="15"/>
      <c r="DI163" s="12"/>
      <c r="DJ163" s="1"/>
      <c r="DK163" s="225"/>
      <c r="DL163" s="225"/>
      <c r="DM163" s="225"/>
      <c r="DN163" s="225"/>
      <c r="DO163" s="225"/>
      <c r="DP163" s="225"/>
      <c r="DQ163" s="225"/>
      <c r="DR163" s="225"/>
      <c r="DS163" s="225"/>
      <c r="DT163" s="225"/>
      <c r="DU163" s="225"/>
      <c r="DV163" s="225"/>
      <c r="DW163" s="1"/>
      <c r="EJ163" s="1"/>
      <c r="EK163" s="17"/>
      <c r="EL163" s="17"/>
      <c r="EM163" s="17"/>
      <c r="EN163" s="17"/>
      <c r="EO163" s="17"/>
      <c r="EP163" s="17"/>
      <c r="EQ163" s="17"/>
      <c r="ER163" s="17"/>
      <c r="ES163" s="17"/>
      <c r="EU163" s="17"/>
      <c r="EW163" s="1"/>
      <c r="EX163" s="225"/>
      <c r="EY163" s="225"/>
      <c r="EZ163" s="225"/>
      <c r="FA163" s="225"/>
      <c r="FB163" s="225"/>
      <c r="FC163" s="225"/>
      <c r="FD163" s="225"/>
      <c r="FE163" s="225"/>
      <c r="FF163" s="225"/>
      <c r="FG163" s="10"/>
      <c r="FH163" s="225"/>
      <c r="FI163" s="10"/>
      <c r="FJ163" s="1"/>
      <c r="FK163" s="225"/>
      <c r="FL163" s="225"/>
      <c r="FM163" s="225"/>
      <c r="FN163" s="225"/>
      <c r="FO163" s="225"/>
      <c r="FP163" s="225"/>
      <c r="FQ163" s="225"/>
      <c r="FR163" s="225"/>
      <c r="FS163" s="225"/>
      <c r="FT163" s="191"/>
      <c r="FU163" s="225"/>
      <c r="FV163" s="151"/>
    </row>
    <row r="164" spans="1:178" ht="16" thickBot="1" x14ac:dyDescent="0.25">
      <c r="A164" s="27" t="s">
        <v>85</v>
      </c>
      <c r="B164" t="s">
        <v>142</v>
      </c>
      <c r="C164" s="1"/>
      <c r="D164" s="17"/>
      <c r="E164" s="17"/>
      <c r="F164" s="156"/>
      <c r="G164" s="89"/>
      <c r="H164" s="88"/>
      <c r="I164" s="88"/>
      <c r="J164" s="17"/>
      <c r="K164" s="17"/>
      <c r="L164" s="17"/>
      <c r="M164" s="17"/>
      <c r="N164" s="17"/>
      <c r="O164" s="17"/>
      <c r="P164" s="1"/>
      <c r="Q164" s="48"/>
      <c r="R164" s="49"/>
      <c r="S164" s="49"/>
      <c r="T164" s="50">
        <f t="shared" si="51"/>
        <v>0</v>
      </c>
      <c r="U164" s="48"/>
      <c r="V164" s="49"/>
      <c r="W164" s="49"/>
      <c r="X164" s="50">
        <f t="shared" si="52"/>
        <v>0</v>
      </c>
      <c r="Y164" s="48"/>
      <c r="Z164" s="49"/>
      <c r="AA164" s="49"/>
      <c r="AB164" s="50">
        <f t="shared" si="53"/>
        <v>0</v>
      </c>
      <c r="AC164" s="167"/>
      <c r="AD164" s="166"/>
      <c r="AE164" s="166"/>
      <c r="AF164" s="151">
        <f t="shared" si="54"/>
        <v>0</v>
      </c>
      <c r="AG164" s="166"/>
      <c r="AH164" s="166"/>
      <c r="AI164" s="166"/>
      <c r="AJ164" s="151">
        <f t="shared" si="55"/>
        <v>0</v>
      </c>
      <c r="AK164" s="192"/>
      <c r="AL164" s="10"/>
      <c r="AM164" s="10"/>
      <c r="AN164" s="151">
        <f t="shared" si="56"/>
        <v>0</v>
      </c>
      <c r="AO164" s="191"/>
      <c r="AP164" s="10"/>
      <c r="AQ164" s="10"/>
      <c r="AR164" s="151"/>
      <c r="AS164" s="191"/>
      <c r="AT164" s="10"/>
      <c r="AU164" s="10"/>
      <c r="AV164" s="151"/>
      <c r="AW164" s="191"/>
      <c r="AX164" s="10"/>
      <c r="AY164" s="10"/>
      <c r="AZ164" s="151"/>
      <c r="BA164" s="191"/>
      <c r="BB164" s="10"/>
      <c r="BC164" s="10"/>
      <c r="BD164" s="151"/>
      <c r="BE164" s="191"/>
      <c r="BF164" s="10"/>
      <c r="BG164" s="10"/>
      <c r="BH164" s="151"/>
      <c r="BI164" s="191"/>
      <c r="BJ164" s="10"/>
      <c r="BK164" s="10"/>
      <c r="BL164" s="151"/>
      <c r="BM164" s="1"/>
      <c r="BN164" s="48"/>
      <c r="BO164" s="56"/>
      <c r="BP164" s="56"/>
      <c r="BQ164" s="50"/>
      <c r="BR164" s="48"/>
      <c r="BS164" s="56"/>
      <c r="BT164" s="56"/>
      <c r="BU164" s="50"/>
      <c r="BV164" s="48"/>
      <c r="BW164" s="56"/>
      <c r="BX164" s="56"/>
      <c r="BY164" s="50"/>
      <c r="BZ164" s="48"/>
      <c r="CA164" s="49"/>
      <c r="CB164" s="49"/>
      <c r="CC164" s="50"/>
      <c r="CD164" s="48"/>
      <c r="CE164" s="49"/>
      <c r="CF164" s="49"/>
      <c r="CG164" s="50"/>
      <c r="CK164" s="12"/>
      <c r="CL164" s="15"/>
      <c r="CO164" s="12"/>
      <c r="CP164" s="15"/>
      <c r="CS164" s="12"/>
      <c r="CT164" s="15"/>
      <c r="CW164" s="12"/>
      <c r="CX164" s="15"/>
      <c r="DA164" s="12"/>
      <c r="DF164" s="15"/>
      <c r="DI164" s="12"/>
      <c r="DJ164" s="1"/>
      <c r="DK164" s="225"/>
      <c r="DL164" s="225"/>
      <c r="DM164" s="225"/>
      <c r="DN164" s="225"/>
      <c r="DO164" s="225"/>
      <c r="DP164" s="225"/>
      <c r="DQ164" s="225"/>
      <c r="DR164" s="225"/>
      <c r="DS164" s="225"/>
      <c r="DT164" s="225"/>
      <c r="DU164" s="225"/>
      <c r="DV164" s="225"/>
      <c r="DW164" s="1"/>
      <c r="EJ164" s="1"/>
      <c r="EK164" s="17"/>
      <c r="EL164" s="17"/>
      <c r="EM164" s="17"/>
      <c r="EN164" s="17"/>
      <c r="EO164" s="17"/>
      <c r="EP164" s="17"/>
      <c r="EQ164" s="17"/>
      <c r="ER164" s="17"/>
      <c r="ES164" s="17"/>
      <c r="EU164" s="17"/>
      <c r="EW164" s="1"/>
      <c r="EX164" s="225"/>
      <c r="EY164" s="225"/>
      <c r="EZ164" s="225"/>
      <c r="FA164" s="225"/>
      <c r="FB164" s="225"/>
      <c r="FC164" s="225"/>
      <c r="FD164" s="225"/>
      <c r="FE164" s="225"/>
      <c r="FF164" s="225"/>
      <c r="FG164" s="10"/>
      <c r="FH164" s="225"/>
      <c r="FI164" s="10"/>
      <c r="FJ164" s="1"/>
      <c r="FK164" s="225"/>
      <c r="FL164" s="225"/>
      <c r="FM164" s="225"/>
      <c r="FN164" s="225"/>
      <c r="FO164" s="225"/>
      <c r="FP164" s="225"/>
      <c r="FQ164" s="225"/>
      <c r="FR164" s="225"/>
      <c r="FS164" s="225"/>
      <c r="FT164" s="191"/>
      <c r="FU164" s="225"/>
      <c r="FV164" s="151"/>
    </row>
    <row r="165" spans="1:178" ht="16" thickBot="1" x14ac:dyDescent="0.25">
      <c r="A165" s="27" t="s">
        <v>86</v>
      </c>
      <c r="B165" t="s">
        <v>142</v>
      </c>
      <c r="C165" s="1"/>
      <c r="D165" s="17"/>
      <c r="E165" s="17"/>
      <c r="F165" s="156"/>
      <c r="G165" s="89"/>
      <c r="H165" s="88"/>
      <c r="I165" s="88"/>
      <c r="J165" s="17"/>
      <c r="K165" s="17"/>
      <c r="L165" s="17"/>
      <c r="M165" s="17"/>
      <c r="N165" s="17"/>
      <c r="O165" s="17"/>
      <c r="P165" s="1"/>
      <c r="Q165" s="48"/>
      <c r="R165" s="49"/>
      <c r="S165" s="49"/>
      <c r="T165" s="50">
        <f t="shared" si="51"/>
        <v>0</v>
      </c>
      <c r="U165" s="48"/>
      <c r="V165" s="49"/>
      <c r="W165" s="49"/>
      <c r="X165" s="50">
        <f t="shared" si="52"/>
        <v>0</v>
      </c>
      <c r="Y165" s="48"/>
      <c r="Z165" s="49"/>
      <c r="AA165" s="49"/>
      <c r="AB165" s="50">
        <f t="shared" si="53"/>
        <v>0</v>
      </c>
      <c r="AC165" s="167"/>
      <c r="AD165" s="166"/>
      <c r="AE165" s="166"/>
      <c r="AF165" s="151">
        <f t="shared" si="54"/>
        <v>0</v>
      </c>
      <c r="AG165" s="166"/>
      <c r="AH165" s="166"/>
      <c r="AI165" s="166"/>
      <c r="AJ165" s="151">
        <f t="shared" si="55"/>
        <v>0</v>
      </c>
      <c r="AK165" s="192"/>
      <c r="AL165" s="10"/>
      <c r="AM165" s="10"/>
      <c r="AN165" s="151">
        <f t="shared" si="56"/>
        <v>0</v>
      </c>
      <c r="AO165" s="191"/>
      <c r="AP165" s="10"/>
      <c r="AQ165" s="10"/>
      <c r="AR165" s="151"/>
      <c r="AS165" s="191"/>
      <c r="AT165" s="10"/>
      <c r="AU165" s="10"/>
      <c r="AV165" s="151"/>
      <c r="AW165" s="191"/>
      <c r="AX165" s="10"/>
      <c r="AY165" s="10"/>
      <c r="AZ165" s="151"/>
      <c r="BA165" s="191"/>
      <c r="BB165" s="10"/>
      <c r="BC165" s="10"/>
      <c r="BD165" s="151"/>
      <c r="BE165" s="191"/>
      <c r="BF165" s="10"/>
      <c r="BG165" s="10"/>
      <c r="BH165" s="151"/>
      <c r="BI165" s="191"/>
      <c r="BJ165" s="10"/>
      <c r="BK165" s="10"/>
      <c r="BL165" s="151"/>
      <c r="BM165" s="1"/>
      <c r="BN165" s="48"/>
      <c r="BO165" s="56"/>
      <c r="BP165" s="56"/>
      <c r="BQ165" s="50"/>
      <c r="BR165" s="48"/>
      <c r="BS165" s="56"/>
      <c r="BT165" s="56"/>
      <c r="BU165" s="50"/>
      <c r="BV165" s="48"/>
      <c r="BW165" s="56"/>
      <c r="BX165" s="56"/>
      <c r="BY165" s="50"/>
      <c r="BZ165" s="48"/>
      <c r="CA165" s="49"/>
      <c r="CB165" s="49"/>
      <c r="CC165" s="50"/>
      <c r="CD165" s="48"/>
      <c r="CE165" s="49"/>
      <c r="CF165" s="49"/>
      <c r="CG165" s="50"/>
      <c r="CK165" s="12"/>
      <c r="CL165" s="15"/>
      <c r="CO165" s="12"/>
      <c r="CP165" s="15"/>
      <c r="CS165" s="12"/>
      <c r="CT165" s="15"/>
      <c r="CW165" s="12"/>
      <c r="CX165" s="15"/>
      <c r="DA165" s="12"/>
      <c r="DF165" s="15"/>
      <c r="DI165" s="12"/>
      <c r="DJ165" s="1"/>
      <c r="DK165" s="225"/>
      <c r="DL165" s="225"/>
      <c r="DM165" s="225"/>
      <c r="DN165" s="225"/>
      <c r="DO165" s="225"/>
      <c r="DP165" s="225"/>
      <c r="DQ165" s="225"/>
      <c r="DR165" s="225"/>
      <c r="DS165" s="225"/>
      <c r="DT165" s="225"/>
      <c r="DU165" s="225"/>
      <c r="DV165" s="225"/>
      <c r="DW165" s="1"/>
      <c r="EJ165" s="1"/>
      <c r="EK165" s="17"/>
      <c r="EL165" s="17"/>
      <c r="EM165" s="17"/>
      <c r="EN165" s="17"/>
      <c r="EO165" s="17"/>
      <c r="EP165" s="17"/>
      <c r="EQ165" s="17"/>
      <c r="ER165" s="17"/>
      <c r="ES165" s="17"/>
      <c r="EU165" s="17"/>
      <c r="EW165" s="1"/>
      <c r="EX165" s="225"/>
      <c r="EY165" s="225"/>
      <c r="EZ165" s="225"/>
      <c r="FA165" s="225"/>
      <c r="FB165" s="225"/>
      <c r="FC165" s="225"/>
      <c r="FD165" s="225"/>
      <c r="FE165" s="225"/>
      <c r="FF165" s="225"/>
      <c r="FG165" s="10"/>
      <c r="FH165" s="225"/>
      <c r="FI165" s="10"/>
      <c r="FJ165" s="1"/>
      <c r="FK165" s="225"/>
      <c r="FL165" s="225"/>
      <c r="FM165" s="225"/>
      <c r="FN165" s="225"/>
      <c r="FO165" s="225"/>
      <c r="FP165" s="225"/>
      <c r="FQ165" s="225"/>
      <c r="FR165" s="225"/>
      <c r="FS165" s="225"/>
      <c r="FT165" s="191"/>
      <c r="FU165" s="225"/>
      <c r="FV165" s="151"/>
    </row>
    <row r="166" spans="1:178" ht="16" thickBot="1" x14ac:dyDescent="0.25">
      <c r="A166" s="27" t="s">
        <v>87</v>
      </c>
      <c r="B166" t="s">
        <v>142</v>
      </c>
      <c r="C166" s="1"/>
      <c r="D166" s="17"/>
      <c r="E166" s="17"/>
      <c r="F166" s="156"/>
      <c r="G166" s="89"/>
      <c r="H166" s="88"/>
      <c r="I166" s="88"/>
      <c r="J166" s="17"/>
      <c r="K166" s="17"/>
      <c r="L166" s="17"/>
      <c r="M166" s="17"/>
      <c r="N166" s="17"/>
      <c r="O166" s="17"/>
      <c r="P166" s="1"/>
      <c r="Q166" s="48"/>
      <c r="R166" s="49"/>
      <c r="S166" s="49"/>
      <c r="T166" s="50">
        <f t="shared" si="51"/>
        <v>0</v>
      </c>
      <c r="U166" s="48"/>
      <c r="V166" s="49"/>
      <c r="W166" s="49"/>
      <c r="X166" s="50">
        <f t="shared" si="52"/>
        <v>0</v>
      </c>
      <c r="Y166" s="48"/>
      <c r="Z166" s="49"/>
      <c r="AA166" s="49"/>
      <c r="AB166" s="50">
        <f t="shared" si="53"/>
        <v>0</v>
      </c>
      <c r="AC166" s="167"/>
      <c r="AD166" s="166"/>
      <c r="AE166" s="166"/>
      <c r="AF166" s="151">
        <f t="shared" si="54"/>
        <v>0</v>
      </c>
      <c r="AG166" s="166"/>
      <c r="AH166" s="166"/>
      <c r="AI166" s="166"/>
      <c r="AJ166" s="151">
        <f t="shared" si="55"/>
        <v>0</v>
      </c>
      <c r="AK166" s="192"/>
      <c r="AL166" s="10"/>
      <c r="AM166" s="10"/>
      <c r="AN166" s="151">
        <f t="shared" si="56"/>
        <v>0</v>
      </c>
      <c r="AO166" s="191"/>
      <c r="AP166" s="10"/>
      <c r="AQ166" s="10"/>
      <c r="AR166" s="151"/>
      <c r="AS166" s="191"/>
      <c r="AT166" s="10"/>
      <c r="AU166" s="10"/>
      <c r="AV166" s="151"/>
      <c r="AW166" s="191"/>
      <c r="AX166" s="10"/>
      <c r="AY166" s="10"/>
      <c r="AZ166" s="151"/>
      <c r="BA166" s="191"/>
      <c r="BB166" s="10"/>
      <c r="BC166" s="10"/>
      <c r="BD166" s="151"/>
      <c r="BE166" s="191"/>
      <c r="BF166" s="10"/>
      <c r="BG166" s="10"/>
      <c r="BH166" s="151"/>
      <c r="BI166" s="191"/>
      <c r="BJ166" s="10"/>
      <c r="BK166" s="10"/>
      <c r="BL166" s="151"/>
      <c r="BM166" s="1"/>
      <c r="BN166" s="48"/>
      <c r="BO166" s="56"/>
      <c r="BP166" s="56"/>
      <c r="BQ166" s="50"/>
      <c r="BR166" s="48"/>
      <c r="BS166" s="56"/>
      <c r="BT166" s="56"/>
      <c r="BU166" s="50"/>
      <c r="BV166" s="48"/>
      <c r="BW166" s="56"/>
      <c r="BX166" s="56"/>
      <c r="BY166" s="50"/>
      <c r="BZ166" s="48"/>
      <c r="CA166" s="49"/>
      <c r="CB166" s="49"/>
      <c r="CC166" s="50"/>
      <c r="CD166" s="48"/>
      <c r="CE166" s="49"/>
      <c r="CF166" s="49"/>
      <c r="CG166" s="50"/>
      <c r="CK166" s="12"/>
      <c r="CL166" s="15"/>
      <c r="CO166" s="12"/>
      <c r="CP166" s="15"/>
      <c r="CS166" s="12"/>
      <c r="CT166" s="15"/>
      <c r="CW166" s="12"/>
      <c r="CX166" s="15"/>
      <c r="DA166" s="12"/>
      <c r="DF166" s="15"/>
      <c r="DI166" s="12"/>
      <c r="DJ166" s="1"/>
      <c r="DK166" s="225"/>
      <c r="DL166" s="225"/>
      <c r="DM166" s="225"/>
      <c r="DN166" s="225"/>
      <c r="DO166" s="225"/>
      <c r="DP166" s="225"/>
      <c r="DQ166" s="225"/>
      <c r="DR166" s="225"/>
      <c r="DS166" s="225"/>
      <c r="DT166" s="225"/>
      <c r="DU166" s="225"/>
      <c r="DV166" s="225"/>
      <c r="DW166" s="1"/>
      <c r="EJ166" s="1"/>
      <c r="EK166" s="17"/>
      <c r="EL166" s="17"/>
      <c r="EM166" s="17"/>
      <c r="EN166" s="17"/>
      <c r="EO166" s="17"/>
      <c r="EP166" s="17"/>
      <c r="EQ166" s="17"/>
      <c r="ER166" s="17"/>
      <c r="ES166" s="17"/>
      <c r="EU166" s="17"/>
      <c r="EW166" s="1"/>
      <c r="EX166" s="225"/>
      <c r="EY166" s="225"/>
      <c r="EZ166" s="225"/>
      <c r="FA166" s="225"/>
      <c r="FB166" s="225"/>
      <c r="FC166" s="225"/>
      <c r="FD166" s="225"/>
      <c r="FE166" s="225"/>
      <c r="FF166" s="225"/>
      <c r="FG166" s="10"/>
      <c r="FH166" s="225"/>
      <c r="FI166" s="10"/>
      <c r="FJ166" s="1"/>
      <c r="FK166" s="225"/>
      <c r="FL166" s="225"/>
      <c r="FM166" s="225"/>
      <c r="FN166" s="225"/>
      <c r="FO166" s="225"/>
      <c r="FP166" s="225"/>
      <c r="FQ166" s="225"/>
      <c r="FR166" s="225"/>
      <c r="FS166" s="225"/>
      <c r="FT166" s="191"/>
      <c r="FU166" s="225"/>
      <c r="FV166" s="151"/>
    </row>
    <row r="167" spans="1:178" ht="16" thickBot="1" x14ac:dyDescent="0.25">
      <c r="A167" s="27" t="s">
        <v>88</v>
      </c>
      <c r="B167" t="s">
        <v>142</v>
      </c>
      <c r="C167" s="1"/>
      <c r="D167" s="17"/>
      <c r="E167" s="17"/>
      <c r="F167" s="156"/>
      <c r="G167" s="89"/>
      <c r="H167" s="88"/>
      <c r="I167" s="88"/>
      <c r="J167" s="17"/>
      <c r="K167" s="17"/>
      <c r="L167" s="17"/>
      <c r="M167" s="17"/>
      <c r="N167" s="17"/>
      <c r="O167" s="17"/>
      <c r="P167" s="1"/>
      <c r="Q167" s="48"/>
      <c r="R167" s="49"/>
      <c r="S167" s="49"/>
      <c r="T167" s="50">
        <f t="shared" si="51"/>
        <v>0</v>
      </c>
      <c r="U167" s="48"/>
      <c r="V167" s="49"/>
      <c r="W167" s="49"/>
      <c r="X167" s="50">
        <f t="shared" si="52"/>
        <v>0</v>
      </c>
      <c r="Y167" s="48"/>
      <c r="Z167" s="49"/>
      <c r="AA167" s="49"/>
      <c r="AB167" s="50">
        <f t="shared" si="53"/>
        <v>0</v>
      </c>
      <c r="AC167" s="167"/>
      <c r="AD167" s="166"/>
      <c r="AE167" s="166"/>
      <c r="AF167" s="151">
        <f t="shared" si="54"/>
        <v>0</v>
      </c>
      <c r="AG167" s="166"/>
      <c r="AH167" s="166"/>
      <c r="AI167" s="166"/>
      <c r="AJ167" s="151">
        <f t="shared" si="55"/>
        <v>0</v>
      </c>
      <c r="AK167" s="192"/>
      <c r="AL167" s="10"/>
      <c r="AM167" s="10"/>
      <c r="AN167" s="151">
        <f t="shared" si="56"/>
        <v>0</v>
      </c>
      <c r="AO167" s="191"/>
      <c r="AP167" s="10"/>
      <c r="AQ167" s="10"/>
      <c r="AR167" s="151"/>
      <c r="AS167" s="191"/>
      <c r="AT167" s="10"/>
      <c r="AU167" s="10"/>
      <c r="AV167" s="151"/>
      <c r="AW167" s="191"/>
      <c r="AX167" s="10"/>
      <c r="AY167" s="10"/>
      <c r="AZ167" s="151"/>
      <c r="BA167" s="191"/>
      <c r="BB167" s="10"/>
      <c r="BC167" s="10"/>
      <c r="BD167" s="151"/>
      <c r="BE167" s="191"/>
      <c r="BF167" s="10"/>
      <c r="BG167" s="10"/>
      <c r="BH167" s="151"/>
      <c r="BI167" s="191"/>
      <c r="BJ167" s="10"/>
      <c r="BK167" s="10"/>
      <c r="BL167" s="151"/>
      <c r="BM167" s="1"/>
      <c r="BN167" s="48"/>
      <c r="BO167" s="56"/>
      <c r="BP167" s="56"/>
      <c r="BQ167" s="50"/>
      <c r="BR167" s="48"/>
      <c r="BS167" s="56"/>
      <c r="BT167" s="56"/>
      <c r="BU167" s="50"/>
      <c r="BV167" s="48"/>
      <c r="BW167" s="56"/>
      <c r="BX167" s="56"/>
      <c r="BY167" s="50"/>
      <c r="BZ167" s="48"/>
      <c r="CA167" s="49"/>
      <c r="CB167" s="49"/>
      <c r="CC167" s="50"/>
      <c r="CD167" s="48"/>
      <c r="CE167" s="49"/>
      <c r="CF167" s="49"/>
      <c r="CG167" s="50"/>
      <c r="CK167" s="12"/>
      <c r="CL167" s="15"/>
      <c r="CO167" s="12"/>
      <c r="CP167" s="15"/>
      <c r="CS167" s="12"/>
      <c r="CT167" s="15"/>
      <c r="CW167" s="12"/>
      <c r="CX167" s="15"/>
      <c r="DA167" s="12"/>
      <c r="DF167" s="15"/>
      <c r="DI167" s="12"/>
      <c r="DJ167" s="1"/>
      <c r="DK167" s="225"/>
      <c r="DL167" s="225"/>
      <c r="DM167" s="225"/>
      <c r="DN167" s="225"/>
      <c r="DO167" s="225"/>
      <c r="DP167" s="225"/>
      <c r="DQ167" s="225"/>
      <c r="DR167" s="225"/>
      <c r="DS167" s="225"/>
      <c r="DT167" s="225"/>
      <c r="DU167" s="225"/>
      <c r="DV167" s="225"/>
      <c r="DW167" s="1"/>
      <c r="EJ167" s="1"/>
      <c r="EK167" s="17"/>
      <c r="EL167" s="17"/>
      <c r="EM167" s="17"/>
      <c r="EN167" s="17"/>
      <c r="EO167" s="17"/>
      <c r="EP167" s="17"/>
      <c r="EQ167" s="17"/>
      <c r="ER167" s="17"/>
      <c r="ES167" s="17"/>
      <c r="EU167" s="17"/>
      <c r="EW167" s="1"/>
      <c r="EX167" s="225"/>
      <c r="EY167" s="225"/>
      <c r="EZ167" s="225"/>
      <c r="FA167" s="225"/>
      <c r="FB167" s="225"/>
      <c r="FC167" s="225"/>
      <c r="FD167" s="225"/>
      <c r="FE167" s="225"/>
      <c r="FF167" s="225"/>
      <c r="FG167" s="10"/>
      <c r="FH167" s="225"/>
      <c r="FI167" s="10"/>
      <c r="FJ167" s="1"/>
      <c r="FK167" s="225"/>
      <c r="FL167" s="225"/>
      <c r="FM167" s="225"/>
      <c r="FN167" s="225"/>
      <c r="FO167" s="225"/>
      <c r="FP167" s="225"/>
      <c r="FQ167" s="225"/>
      <c r="FR167" s="225"/>
      <c r="FS167" s="225"/>
      <c r="FT167" s="191"/>
      <c r="FU167" s="225"/>
      <c r="FV167" s="151"/>
    </row>
    <row r="168" spans="1:178" ht="16" thickBot="1" x14ac:dyDescent="0.25">
      <c r="A168" s="27" t="s">
        <v>89</v>
      </c>
      <c r="B168" t="s">
        <v>142</v>
      </c>
      <c r="C168" s="1"/>
      <c r="D168" s="17"/>
      <c r="E168" s="17"/>
      <c r="F168" s="156"/>
      <c r="G168" s="89"/>
      <c r="H168" s="88"/>
      <c r="I168" s="88"/>
      <c r="J168" s="17"/>
      <c r="K168" s="17"/>
      <c r="L168" s="17"/>
      <c r="M168" s="17"/>
      <c r="N168" s="17"/>
      <c r="O168" s="17"/>
      <c r="P168" s="1"/>
      <c r="Q168" s="48"/>
      <c r="R168" s="49"/>
      <c r="S168" s="49"/>
      <c r="T168" s="50">
        <f t="shared" si="51"/>
        <v>0</v>
      </c>
      <c r="U168" s="48"/>
      <c r="V168" s="49"/>
      <c r="W168" s="49"/>
      <c r="X168" s="50">
        <f t="shared" si="52"/>
        <v>0</v>
      </c>
      <c r="Y168" s="48"/>
      <c r="Z168" s="49"/>
      <c r="AA168" s="49"/>
      <c r="AB168" s="50">
        <f t="shared" si="53"/>
        <v>0</v>
      </c>
      <c r="AC168" s="167"/>
      <c r="AD168" s="166"/>
      <c r="AE168" s="166"/>
      <c r="AF168" s="151">
        <f t="shared" si="54"/>
        <v>0</v>
      </c>
      <c r="AG168" s="166"/>
      <c r="AH168" s="166"/>
      <c r="AI168" s="166"/>
      <c r="AJ168" s="151">
        <f t="shared" si="55"/>
        <v>0</v>
      </c>
      <c r="AK168" s="192"/>
      <c r="AL168" s="10"/>
      <c r="AM168" s="10"/>
      <c r="AN168" s="151">
        <f t="shared" si="56"/>
        <v>0</v>
      </c>
      <c r="AO168" s="191"/>
      <c r="AP168" s="10"/>
      <c r="AQ168" s="10"/>
      <c r="AR168" s="151"/>
      <c r="AS168" s="191"/>
      <c r="AT168" s="10"/>
      <c r="AU168" s="10"/>
      <c r="AV168" s="151"/>
      <c r="AW168" s="191"/>
      <c r="AX168" s="10"/>
      <c r="AY168" s="10"/>
      <c r="AZ168" s="151"/>
      <c r="BA168" s="191"/>
      <c r="BB168" s="10"/>
      <c r="BC168" s="10"/>
      <c r="BD168" s="151"/>
      <c r="BE168" s="191"/>
      <c r="BF168" s="10"/>
      <c r="BG168" s="10"/>
      <c r="BH168" s="151"/>
      <c r="BI168" s="191"/>
      <c r="BJ168" s="10"/>
      <c r="BK168" s="10"/>
      <c r="BL168" s="151"/>
      <c r="BM168" s="1"/>
      <c r="BN168" s="48"/>
      <c r="BO168" s="56"/>
      <c r="BP168" s="56"/>
      <c r="BQ168" s="50"/>
      <c r="BR168" s="48"/>
      <c r="BS168" s="56"/>
      <c r="BT168" s="56"/>
      <c r="BU168" s="50"/>
      <c r="BV168" s="48"/>
      <c r="BW168" s="56"/>
      <c r="BX168" s="56"/>
      <c r="BY168" s="50"/>
      <c r="BZ168" s="48"/>
      <c r="CA168" s="49"/>
      <c r="CB168" s="49"/>
      <c r="CC168" s="50"/>
      <c r="CD168" s="48"/>
      <c r="CE168" s="49"/>
      <c r="CF168" s="49"/>
      <c r="CG168" s="50"/>
      <c r="CK168" s="12"/>
      <c r="CL168" s="15"/>
      <c r="CO168" s="12"/>
      <c r="CP168" s="15"/>
      <c r="CS168" s="12"/>
      <c r="CT168" s="15"/>
      <c r="CW168" s="12"/>
      <c r="CX168" s="15"/>
      <c r="DA168" s="12"/>
      <c r="DF168" s="15"/>
      <c r="DI168" s="12"/>
      <c r="DJ168" s="1"/>
      <c r="DK168" s="225"/>
      <c r="DL168" s="225"/>
      <c r="DM168" s="225"/>
      <c r="DN168" s="225"/>
      <c r="DO168" s="225"/>
      <c r="DP168" s="225"/>
      <c r="DQ168" s="225"/>
      <c r="DR168" s="225"/>
      <c r="DS168" s="225"/>
      <c r="DT168" s="225"/>
      <c r="DU168" s="225"/>
      <c r="DV168" s="225"/>
      <c r="DW168" s="1"/>
      <c r="EJ168" s="1"/>
      <c r="EK168" s="17"/>
      <c r="EL168" s="17"/>
      <c r="EM168" s="17"/>
      <c r="EN168" s="17"/>
      <c r="EO168" s="17"/>
      <c r="EP168" s="17"/>
      <c r="EQ168" s="17"/>
      <c r="ER168" s="17"/>
      <c r="ES168" s="17"/>
      <c r="EU168" s="17"/>
      <c r="EW168" s="1"/>
      <c r="EX168" s="225"/>
      <c r="EY168" s="225"/>
      <c r="EZ168" s="225"/>
      <c r="FA168" s="225"/>
      <c r="FB168" s="225"/>
      <c r="FC168" s="225"/>
      <c r="FD168" s="225"/>
      <c r="FE168" s="225"/>
      <c r="FF168" s="225"/>
      <c r="FG168" s="10"/>
      <c r="FH168" s="225"/>
      <c r="FI168" s="10"/>
      <c r="FJ168" s="1"/>
      <c r="FK168" s="225"/>
      <c r="FL168" s="225"/>
      <c r="FM168" s="225"/>
      <c r="FN168" s="225"/>
      <c r="FO168" s="225"/>
      <c r="FP168" s="225"/>
      <c r="FQ168" s="225"/>
      <c r="FR168" s="225"/>
      <c r="FS168" s="225"/>
      <c r="FT168" s="191"/>
      <c r="FU168" s="225"/>
      <c r="FV168" s="151"/>
    </row>
    <row r="169" spans="1:178" ht="16" thickBot="1" x14ac:dyDescent="0.25">
      <c r="A169" s="27" t="s">
        <v>90</v>
      </c>
      <c r="B169" t="s">
        <v>142</v>
      </c>
      <c r="C169" s="1"/>
      <c r="D169" s="17"/>
      <c r="E169" s="17"/>
      <c r="F169" s="156"/>
      <c r="G169" s="89"/>
      <c r="H169" s="88"/>
      <c r="I169" s="88"/>
      <c r="J169" s="17"/>
      <c r="K169" s="17"/>
      <c r="L169" s="17"/>
      <c r="M169" s="17"/>
      <c r="N169" s="17"/>
      <c r="O169" s="17"/>
      <c r="P169" s="1"/>
      <c r="Q169" s="48"/>
      <c r="R169" s="49"/>
      <c r="S169" s="49"/>
      <c r="T169" s="50">
        <f t="shared" si="51"/>
        <v>0</v>
      </c>
      <c r="U169" s="48"/>
      <c r="V169" s="49"/>
      <c r="W169" s="49"/>
      <c r="X169" s="50">
        <f t="shared" si="52"/>
        <v>0</v>
      </c>
      <c r="Y169" s="48"/>
      <c r="Z169" s="49"/>
      <c r="AA169" s="49"/>
      <c r="AB169" s="50">
        <f t="shared" si="53"/>
        <v>0</v>
      </c>
      <c r="AC169" s="167"/>
      <c r="AD169" s="166"/>
      <c r="AE169" s="166"/>
      <c r="AF169" s="151">
        <f t="shared" si="54"/>
        <v>0</v>
      </c>
      <c r="AG169" s="166"/>
      <c r="AH169" s="166"/>
      <c r="AI169" s="166"/>
      <c r="AJ169" s="151">
        <f t="shared" si="55"/>
        <v>0</v>
      </c>
      <c r="AK169" s="192"/>
      <c r="AL169" s="10"/>
      <c r="AM169" s="10"/>
      <c r="AN169" s="151">
        <f t="shared" si="56"/>
        <v>0</v>
      </c>
      <c r="AO169" s="191"/>
      <c r="AP169" s="10"/>
      <c r="AQ169" s="10"/>
      <c r="AR169" s="151"/>
      <c r="AS169" s="191"/>
      <c r="AT169" s="10"/>
      <c r="AU169" s="10"/>
      <c r="AV169" s="151"/>
      <c r="AW169" s="191"/>
      <c r="AX169" s="10"/>
      <c r="AY169" s="10"/>
      <c r="AZ169" s="151"/>
      <c r="BA169" s="191"/>
      <c r="BB169" s="10"/>
      <c r="BC169" s="10"/>
      <c r="BD169" s="151"/>
      <c r="BE169" s="191"/>
      <c r="BF169" s="10"/>
      <c r="BG169" s="10"/>
      <c r="BH169" s="151"/>
      <c r="BI169" s="191"/>
      <c r="BJ169" s="10"/>
      <c r="BK169" s="10"/>
      <c r="BL169" s="151"/>
      <c r="BM169" s="1"/>
      <c r="BN169" s="48"/>
      <c r="BO169" s="56"/>
      <c r="BP169" s="56"/>
      <c r="BQ169" s="50"/>
      <c r="BR169" s="48"/>
      <c r="BS169" s="56"/>
      <c r="BT169" s="56"/>
      <c r="BU169" s="50"/>
      <c r="BV169" s="48"/>
      <c r="BW169" s="56"/>
      <c r="BX169" s="56"/>
      <c r="BY169" s="50"/>
      <c r="BZ169" s="48"/>
      <c r="CA169" s="49"/>
      <c r="CB169" s="49"/>
      <c r="CC169" s="50"/>
      <c r="CD169" s="48"/>
      <c r="CE169" s="49"/>
      <c r="CF169" s="49"/>
      <c r="CG169" s="50"/>
      <c r="CK169" s="12"/>
      <c r="CL169" s="15"/>
      <c r="CO169" s="12"/>
      <c r="CP169" s="15"/>
      <c r="CS169" s="12"/>
      <c r="CT169" s="15"/>
      <c r="CW169" s="12"/>
      <c r="CX169" s="15"/>
      <c r="DA169" s="12"/>
      <c r="DF169" s="15"/>
      <c r="DI169" s="12"/>
      <c r="DJ169" s="1"/>
      <c r="DK169" s="225"/>
      <c r="DL169" s="225"/>
      <c r="DM169" s="225"/>
      <c r="DN169" s="225"/>
      <c r="DO169" s="225"/>
      <c r="DP169" s="225"/>
      <c r="DQ169" s="225"/>
      <c r="DR169" s="225"/>
      <c r="DS169" s="225"/>
      <c r="DT169" s="225"/>
      <c r="DU169" s="225"/>
      <c r="DV169" s="225"/>
      <c r="DW169" s="1"/>
      <c r="EJ169" s="1"/>
      <c r="EK169" s="17"/>
      <c r="EL169" s="17"/>
      <c r="EM169" s="17"/>
      <c r="EN169" s="17"/>
      <c r="EO169" s="17"/>
      <c r="EP169" s="17"/>
      <c r="EQ169" s="17"/>
      <c r="ER169" s="17"/>
      <c r="ES169" s="17"/>
      <c r="EU169" s="17"/>
      <c r="EW169" s="1"/>
      <c r="EX169" s="225"/>
      <c r="EY169" s="225"/>
      <c r="EZ169" s="225"/>
      <c r="FA169" s="225"/>
      <c r="FB169" s="225"/>
      <c r="FC169" s="225"/>
      <c r="FD169" s="225"/>
      <c r="FE169" s="225"/>
      <c r="FF169" s="225"/>
      <c r="FG169" s="10"/>
      <c r="FH169" s="225"/>
      <c r="FI169" s="10"/>
      <c r="FJ169" s="1"/>
      <c r="FK169" s="225"/>
      <c r="FL169" s="225"/>
      <c r="FM169" s="225"/>
      <c r="FN169" s="225"/>
      <c r="FO169" s="225"/>
      <c r="FP169" s="225"/>
      <c r="FQ169" s="225"/>
      <c r="FR169" s="225"/>
      <c r="FS169" s="225"/>
      <c r="FT169" s="191"/>
      <c r="FU169" s="225"/>
      <c r="FV169" s="151"/>
    </row>
    <row r="170" spans="1:178" ht="16" thickBot="1" x14ac:dyDescent="0.25">
      <c r="A170" s="27" t="s">
        <v>91</v>
      </c>
      <c r="B170" t="s">
        <v>142</v>
      </c>
      <c r="C170" s="1"/>
      <c r="D170" s="17"/>
      <c r="E170" s="17"/>
      <c r="F170" s="156"/>
      <c r="G170" s="89"/>
      <c r="H170" s="88"/>
      <c r="I170" s="88"/>
      <c r="J170" s="17"/>
      <c r="K170" s="17"/>
      <c r="L170" s="17"/>
      <c r="M170" s="17"/>
      <c r="N170" s="17"/>
      <c r="O170" s="17"/>
      <c r="P170" s="1"/>
      <c r="Q170" s="48"/>
      <c r="R170" s="49"/>
      <c r="S170" s="49"/>
      <c r="T170" s="50">
        <f t="shared" si="51"/>
        <v>0</v>
      </c>
      <c r="U170" s="48"/>
      <c r="V170" s="49"/>
      <c r="W170" s="49"/>
      <c r="X170" s="50">
        <f t="shared" si="52"/>
        <v>0</v>
      </c>
      <c r="Y170" s="48"/>
      <c r="Z170" s="49"/>
      <c r="AA170" s="49"/>
      <c r="AB170" s="50">
        <f t="shared" si="53"/>
        <v>0</v>
      </c>
      <c r="AC170" s="167"/>
      <c r="AD170" s="166"/>
      <c r="AE170" s="166"/>
      <c r="AF170" s="151">
        <f t="shared" si="54"/>
        <v>0</v>
      </c>
      <c r="AG170" s="166"/>
      <c r="AH170" s="166"/>
      <c r="AI170" s="166"/>
      <c r="AJ170" s="151">
        <f t="shared" si="55"/>
        <v>0</v>
      </c>
      <c r="AK170" s="192"/>
      <c r="AL170" s="10"/>
      <c r="AM170" s="10"/>
      <c r="AN170" s="151">
        <f t="shared" si="56"/>
        <v>0</v>
      </c>
      <c r="AO170" s="191"/>
      <c r="AP170" s="10"/>
      <c r="AQ170" s="10"/>
      <c r="AR170" s="151"/>
      <c r="AS170" s="191"/>
      <c r="AT170" s="10"/>
      <c r="AU170" s="10"/>
      <c r="AV170" s="151"/>
      <c r="AW170" s="191"/>
      <c r="AX170" s="10"/>
      <c r="AY170" s="10"/>
      <c r="AZ170" s="151"/>
      <c r="BA170" s="191"/>
      <c r="BB170" s="10"/>
      <c r="BC170" s="10"/>
      <c r="BD170" s="151"/>
      <c r="BE170" s="191"/>
      <c r="BF170" s="10"/>
      <c r="BG170" s="10"/>
      <c r="BH170" s="151"/>
      <c r="BI170" s="191"/>
      <c r="BJ170" s="10"/>
      <c r="BK170" s="10"/>
      <c r="BL170" s="151"/>
      <c r="BM170" s="1"/>
      <c r="BN170" s="48"/>
      <c r="BO170" s="56"/>
      <c r="BP170" s="56"/>
      <c r="BQ170" s="50"/>
      <c r="BR170" s="48"/>
      <c r="BS170" s="56"/>
      <c r="BT170" s="56"/>
      <c r="BU170" s="50"/>
      <c r="BV170" s="48"/>
      <c r="BW170" s="56"/>
      <c r="BX170" s="56"/>
      <c r="BY170" s="50"/>
      <c r="BZ170" s="48"/>
      <c r="CA170" s="49"/>
      <c r="CB170" s="49"/>
      <c r="CC170" s="50"/>
      <c r="CD170" s="48"/>
      <c r="CE170" s="49"/>
      <c r="CF170" s="49"/>
      <c r="CG170" s="50"/>
      <c r="CK170" s="12"/>
      <c r="CL170" s="15"/>
      <c r="CO170" s="12"/>
      <c r="CP170" s="15"/>
      <c r="CS170" s="12"/>
      <c r="CT170" s="15"/>
      <c r="CW170" s="12"/>
      <c r="CX170" s="15"/>
      <c r="DA170" s="12"/>
      <c r="DF170" s="15"/>
      <c r="DI170" s="12"/>
      <c r="DJ170" s="1"/>
      <c r="DK170" s="225"/>
      <c r="DL170" s="225"/>
      <c r="DM170" s="225"/>
      <c r="DN170" s="225"/>
      <c r="DO170" s="225"/>
      <c r="DP170" s="225"/>
      <c r="DQ170" s="225"/>
      <c r="DR170" s="225"/>
      <c r="DS170" s="225"/>
      <c r="DT170" s="225"/>
      <c r="DU170" s="225"/>
      <c r="DV170" s="225"/>
      <c r="DW170" s="1"/>
      <c r="EJ170" s="1"/>
      <c r="EK170" s="17"/>
      <c r="EL170" s="17"/>
      <c r="EM170" s="17"/>
      <c r="EN170" s="17"/>
      <c r="EO170" s="17"/>
      <c r="EP170" s="17"/>
      <c r="EQ170" s="17"/>
      <c r="ER170" s="17"/>
      <c r="ES170" s="17"/>
      <c r="EU170" s="17"/>
      <c r="EW170" s="1"/>
      <c r="EX170" s="225"/>
      <c r="EY170" s="225"/>
      <c r="EZ170" s="225"/>
      <c r="FA170" s="225"/>
      <c r="FB170" s="225"/>
      <c r="FC170" s="225"/>
      <c r="FD170" s="225"/>
      <c r="FE170" s="225"/>
      <c r="FF170" s="225"/>
      <c r="FG170" s="10"/>
      <c r="FH170" s="225"/>
      <c r="FI170" s="10"/>
      <c r="FJ170" s="1"/>
      <c r="FK170" s="225"/>
      <c r="FL170" s="225"/>
      <c r="FM170" s="225"/>
      <c r="FN170" s="225"/>
      <c r="FO170" s="225"/>
      <c r="FP170" s="225"/>
      <c r="FQ170" s="225"/>
      <c r="FR170" s="225"/>
      <c r="FS170" s="225"/>
      <c r="FT170" s="191"/>
      <c r="FU170" s="225"/>
      <c r="FV170" s="151"/>
    </row>
    <row r="171" spans="1:178" ht="16" thickBot="1" x14ac:dyDescent="0.25">
      <c r="A171" s="27" t="s">
        <v>92</v>
      </c>
      <c r="B171" t="s">
        <v>142</v>
      </c>
      <c r="C171" s="1"/>
      <c r="D171" s="17"/>
      <c r="E171" s="17"/>
      <c r="F171" s="156"/>
      <c r="G171" s="89"/>
      <c r="H171" s="88"/>
      <c r="I171" s="88"/>
      <c r="J171" s="17"/>
      <c r="K171" s="17"/>
      <c r="L171" s="17"/>
      <c r="M171" s="17"/>
      <c r="N171" s="17"/>
      <c r="O171" s="17"/>
      <c r="P171" s="1"/>
      <c r="Q171" s="48"/>
      <c r="R171" s="49"/>
      <c r="S171" s="49"/>
      <c r="T171" s="50">
        <f t="shared" si="51"/>
        <v>0</v>
      </c>
      <c r="U171" s="48"/>
      <c r="V171" s="49"/>
      <c r="W171" s="49"/>
      <c r="X171" s="50">
        <f t="shared" si="52"/>
        <v>0</v>
      </c>
      <c r="Y171" s="48"/>
      <c r="Z171" s="49"/>
      <c r="AA171" s="49"/>
      <c r="AB171" s="50">
        <f t="shared" si="53"/>
        <v>0</v>
      </c>
      <c r="AC171" s="167"/>
      <c r="AD171" s="166"/>
      <c r="AE171" s="166"/>
      <c r="AF171" s="151">
        <f t="shared" si="54"/>
        <v>0</v>
      </c>
      <c r="AG171" s="166"/>
      <c r="AH171" s="166"/>
      <c r="AI171" s="166"/>
      <c r="AJ171" s="151">
        <f t="shared" si="55"/>
        <v>0</v>
      </c>
      <c r="AK171" s="192"/>
      <c r="AL171" s="10"/>
      <c r="AM171" s="10"/>
      <c r="AN171" s="151">
        <f t="shared" si="56"/>
        <v>0</v>
      </c>
      <c r="AO171" s="191"/>
      <c r="AP171" s="10"/>
      <c r="AQ171" s="10"/>
      <c r="AR171" s="151"/>
      <c r="AS171" s="191"/>
      <c r="AT171" s="10"/>
      <c r="AU171" s="10"/>
      <c r="AV171" s="151"/>
      <c r="AW171" s="191"/>
      <c r="AX171" s="10"/>
      <c r="AY171" s="10"/>
      <c r="AZ171" s="151"/>
      <c r="BA171" s="191"/>
      <c r="BB171" s="10"/>
      <c r="BC171" s="10"/>
      <c r="BD171" s="151"/>
      <c r="BE171" s="191"/>
      <c r="BF171" s="10"/>
      <c r="BG171" s="10"/>
      <c r="BH171" s="151"/>
      <c r="BI171" s="191"/>
      <c r="BJ171" s="10"/>
      <c r="BK171" s="10"/>
      <c r="BL171" s="151"/>
      <c r="BM171" s="1"/>
      <c r="BN171" s="48"/>
      <c r="BO171" s="56"/>
      <c r="BP171" s="56"/>
      <c r="BQ171" s="50"/>
      <c r="BR171" s="48"/>
      <c r="BS171" s="56"/>
      <c r="BT171" s="56"/>
      <c r="BU171" s="50"/>
      <c r="BV171" s="48"/>
      <c r="BW171" s="56"/>
      <c r="BX171" s="56"/>
      <c r="BY171" s="50"/>
      <c r="BZ171" s="48"/>
      <c r="CA171" s="49"/>
      <c r="CB171" s="49"/>
      <c r="CC171" s="50"/>
      <c r="CD171" s="48"/>
      <c r="CE171" s="49"/>
      <c r="CF171" s="49"/>
      <c r="CG171" s="50"/>
      <c r="CK171" s="12"/>
      <c r="CL171" s="15"/>
      <c r="CO171" s="12"/>
      <c r="CP171" s="15"/>
      <c r="CS171" s="12"/>
      <c r="CT171" s="15"/>
      <c r="CW171" s="12"/>
      <c r="CX171" s="15"/>
      <c r="DA171" s="12"/>
      <c r="DF171" s="15"/>
      <c r="DI171" s="12"/>
      <c r="DJ171" s="1"/>
      <c r="DK171" s="225"/>
      <c r="DL171" s="225"/>
      <c r="DM171" s="225"/>
      <c r="DN171" s="225"/>
      <c r="DO171" s="225"/>
      <c r="DP171" s="225"/>
      <c r="DQ171" s="225"/>
      <c r="DR171" s="225"/>
      <c r="DS171" s="225"/>
      <c r="DT171" s="225"/>
      <c r="DU171" s="225"/>
      <c r="DV171" s="225"/>
      <c r="DW171" s="1"/>
      <c r="EJ171" s="1"/>
      <c r="EK171" s="17"/>
      <c r="EL171" s="17"/>
      <c r="EM171" s="17"/>
      <c r="EN171" s="17"/>
      <c r="EO171" s="17"/>
      <c r="EP171" s="17"/>
      <c r="EQ171" s="17"/>
      <c r="ER171" s="17"/>
      <c r="ES171" s="17"/>
      <c r="EU171" s="17"/>
      <c r="EW171" s="1"/>
      <c r="EX171" s="225"/>
      <c r="EY171" s="225"/>
      <c r="EZ171" s="225"/>
      <c r="FA171" s="225"/>
      <c r="FB171" s="225"/>
      <c r="FC171" s="225"/>
      <c r="FD171" s="225"/>
      <c r="FE171" s="225"/>
      <c r="FF171" s="225"/>
      <c r="FG171" s="10"/>
      <c r="FH171" s="225"/>
      <c r="FI171" s="10"/>
      <c r="FJ171" s="1"/>
      <c r="FK171" s="225"/>
      <c r="FL171" s="225"/>
      <c r="FM171" s="225"/>
      <c r="FN171" s="225"/>
      <c r="FO171" s="225"/>
      <c r="FP171" s="225"/>
      <c r="FQ171" s="225"/>
      <c r="FR171" s="225"/>
      <c r="FS171" s="225"/>
      <c r="FT171" s="191"/>
      <c r="FU171" s="225"/>
      <c r="FV171" s="151"/>
    </row>
    <row r="172" spans="1:178" ht="16" thickBot="1" x14ac:dyDescent="0.25">
      <c r="A172" s="27" t="s">
        <v>93</v>
      </c>
      <c r="B172" t="s">
        <v>142</v>
      </c>
      <c r="C172" s="1"/>
      <c r="D172" s="17"/>
      <c r="E172" s="17"/>
      <c r="F172" s="156"/>
      <c r="G172" s="89"/>
      <c r="H172" s="88"/>
      <c r="I172" s="88"/>
      <c r="J172" s="17"/>
      <c r="K172" s="17"/>
      <c r="L172" s="17"/>
      <c r="M172" s="17"/>
      <c r="N172" s="17"/>
      <c r="O172" s="17"/>
      <c r="P172" s="1"/>
      <c r="Q172" s="48"/>
      <c r="R172" s="49"/>
      <c r="S172" s="49"/>
      <c r="T172" s="50">
        <f t="shared" si="51"/>
        <v>0</v>
      </c>
      <c r="U172" s="48"/>
      <c r="V172" s="49"/>
      <c r="W172" s="49"/>
      <c r="X172" s="50">
        <f t="shared" si="52"/>
        <v>0</v>
      </c>
      <c r="Y172" s="48"/>
      <c r="Z172" s="49"/>
      <c r="AA172" s="49"/>
      <c r="AB172" s="50">
        <f t="shared" si="53"/>
        <v>0</v>
      </c>
      <c r="AC172" s="167"/>
      <c r="AD172" s="166"/>
      <c r="AE172" s="166"/>
      <c r="AF172" s="151">
        <f t="shared" si="54"/>
        <v>0</v>
      </c>
      <c r="AG172" s="166"/>
      <c r="AH172" s="166"/>
      <c r="AI172" s="166"/>
      <c r="AJ172" s="151">
        <f t="shared" si="55"/>
        <v>0</v>
      </c>
      <c r="AK172" s="192"/>
      <c r="AL172" s="10"/>
      <c r="AM172" s="10"/>
      <c r="AN172" s="151">
        <f t="shared" si="56"/>
        <v>0</v>
      </c>
      <c r="AO172" s="191"/>
      <c r="AP172" s="10"/>
      <c r="AQ172" s="10"/>
      <c r="AR172" s="151"/>
      <c r="AS172" s="191"/>
      <c r="AT172" s="10"/>
      <c r="AU172" s="10"/>
      <c r="AV172" s="151"/>
      <c r="AW172" s="191"/>
      <c r="AX172" s="10"/>
      <c r="AY172" s="10"/>
      <c r="AZ172" s="151"/>
      <c r="BA172" s="191"/>
      <c r="BB172" s="10"/>
      <c r="BC172" s="10"/>
      <c r="BD172" s="151"/>
      <c r="BE172" s="191"/>
      <c r="BF172" s="10"/>
      <c r="BG172" s="10"/>
      <c r="BH172" s="151"/>
      <c r="BI172" s="191"/>
      <c r="BJ172" s="10"/>
      <c r="BK172" s="10"/>
      <c r="BL172" s="151"/>
      <c r="BM172" s="1"/>
      <c r="BN172" s="48"/>
      <c r="BO172" s="56"/>
      <c r="BP172" s="56"/>
      <c r="BQ172" s="50"/>
      <c r="BR172" s="48"/>
      <c r="BS172" s="56"/>
      <c r="BT172" s="56"/>
      <c r="BU172" s="50"/>
      <c r="BV172" s="48"/>
      <c r="BW172" s="56"/>
      <c r="BX172" s="56"/>
      <c r="BY172" s="50"/>
      <c r="BZ172" s="48"/>
      <c r="CA172" s="49"/>
      <c r="CB172" s="49"/>
      <c r="CC172" s="50"/>
      <c r="CD172" s="48"/>
      <c r="CE172" s="49"/>
      <c r="CF172" s="49"/>
      <c r="CG172" s="50"/>
      <c r="CK172" s="12"/>
      <c r="CL172" s="15"/>
      <c r="CO172" s="12"/>
      <c r="CP172" s="15"/>
      <c r="CS172" s="12"/>
      <c r="CT172" s="15"/>
      <c r="CW172" s="12"/>
      <c r="CX172" s="15"/>
      <c r="DA172" s="12"/>
      <c r="DF172" s="15"/>
      <c r="DI172" s="12"/>
      <c r="DJ172" s="1"/>
      <c r="DK172" s="225"/>
      <c r="DL172" s="225"/>
      <c r="DM172" s="225"/>
      <c r="DN172" s="225"/>
      <c r="DO172" s="225"/>
      <c r="DP172" s="225"/>
      <c r="DQ172" s="225"/>
      <c r="DR172" s="225"/>
      <c r="DS172" s="225"/>
      <c r="DT172" s="225"/>
      <c r="DU172" s="225"/>
      <c r="DV172" s="225"/>
      <c r="DW172" s="1"/>
      <c r="EJ172" s="1"/>
      <c r="EK172" s="17"/>
      <c r="EL172" s="17"/>
      <c r="EM172" s="17"/>
      <c r="EN172" s="17"/>
      <c r="EO172" s="17"/>
      <c r="EP172" s="17"/>
      <c r="EQ172" s="17"/>
      <c r="ER172" s="17"/>
      <c r="ES172" s="17"/>
      <c r="EU172" s="17"/>
      <c r="EW172" s="1"/>
      <c r="EX172" s="225"/>
      <c r="EY172" s="225"/>
      <c r="EZ172" s="225"/>
      <c r="FA172" s="225"/>
      <c r="FB172" s="225"/>
      <c r="FC172" s="225"/>
      <c r="FD172" s="225"/>
      <c r="FE172" s="225"/>
      <c r="FF172" s="225"/>
      <c r="FG172" s="10"/>
      <c r="FH172" s="225"/>
      <c r="FI172" s="10"/>
      <c r="FJ172" s="1"/>
      <c r="FK172" s="225"/>
      <c r="FL172" s="225"/>
      <c r="FM172" s="225"/>
      <c r="FN172" s="225"/>
      <c r="FO172" s="225"/>
      <c r="FP172" s="225"/>
      <c r="FQ172" s="225"/>
      <c r="FR172" s="225"/>
      <c r="FS172" s="225"/>
      <c r="FT172" s="191"/>
      <c r="FU172" s="225"/>
      <c r="FV172" s="151"/>
    </row>
    <row r="173" spans="1:178" ht="16" thickBot="1" x14ac:dyDescent="0.25">
      <c r="A173" s="27" t="s">
        <v>94</v>
      </c>
      <c r="B173" t="s">
        <v>142</v>
      </c>
      <c r="C173" s="1"/>
      <c r="D173" s="17"/>
      <c r="E173" s="17">
        <v>1</v>
      </c>
      <c r="F173" s="156">
        <v>1</v>
      </c>
      <c r="G173" s="89"/>
      <c r="H173" s="88"/>
      <c r="I173" s="88"/>
      <c r="J173" s="17"/>
      <c r="K173" s="17"/>
      <c r="L173" s="17"/>
      <c r="M173" s="17"/>
      <c r="N173" s="17"/>
      <c r="O173" s="17"/>
      <c r="P173" s="1"/>
      <c r="Q173" s="48"/>
      <c r="R173" s="49"/>
      <c r="S173" s="49"/>
      <c r="T173" s="50">
        <f t="shared" si="51"/>
        <v>0</v>
      </c>
      <c r="U173" s="48">
        <v>8.65</v>
      </c>
      <c r="V173" s="49"/>
      <c r="W173" s="49"/>
      <c r="X173" s="50">
        <f t="shared" si="52"/>
        <v>8.65</v>
      </c>
      <c r="Y173" s="48"/>
      <c r="Z173" s="49">
        <v>57.23</v>
      </c>
      <c r="AA173" s="49"/>
      <c r="AB173" s="50">
        <f t="shared" si="53"/>
        <v>57.23</v>
      </c>
      <c r="AC173" s="167"/>
      <c r="AD173" s="166"/>
      <c r="AE173" s="166"/>
      <c r="AF173" s="151">
        <f t="shared" si="54"/>
        <v>0</v>
      </c>
      <c r="AG173" s="166"/>
      <c r="AH173" s="166"/>
      <c r="AI173" s="166"/>
      <c r="AJ173" s="151">
        <f t="shared" si="55"/>
        <v>0</v>
      </c>
      <c r="AK173" s="192"/>
      <c r="AL173" s="10"/>
      <c r="AM173" s="10"/>
      <c r="AN173" s="151">
        <f t="shared" si="56"/>
        <v>0</v>
      </c>
      <c r="AO173" s="191"/>
      <c r="AP173" s="10"/>
      <c r="AQ173" s="10"/>
      <c r="AR173" s="151"/>
      <c r="AS173" s="191"/>
      <c r="AT173" s="10"/>
      <c r="AU173" s="10"/>
      <c r="AV173" s="151"/>
      <c r="AW173" s="191"/>
      <c r="AX173" s="10"/>
      <c r="AY173" s="10"/>
      <c r="AZ173" s="151"/>
      <c r="BA173" s="191"/>
      <c r="BB173" s="10"/>
      <c r="BC173" s="10"/>
      <c r="BD173" s="151"/>
      <c r="BE173" s="191"/>
      <c r="BF173" s="10"/>
      <c r="BG173" s="10"/>
      <c r="BH173" s="151"/>
      <c r="BI173" s="191"/>
      <c r="BJ173" s="10"/>
      <c r="BK173" s="10"/>
      <c r="BL173" s="151"/>
      <c r="BM173" s="1"/>
      <c r="BN173" s="48"/>
      <c r="BO173" s="56"/>
      <c r="BP173" s="56"/>
      <c r="BQ173" s="50"/>
      <c r="BR173" s="48"/>
      <c r="BS173" s="56"/>
      <c r="BT173" s="56"/>
      <c r="BU173" s="50"/>
      <c r="BV173" s="48"/>
      <c r="BW173" s="56"/>
      <c r="BX173" s="56"/>
      <c r="BY173" s="50"/>
      <c r="BZ173" s="48"/>
      <c r="CA173" s="49"/>
      <c r="CB173" s="49"/>
      <c r="CC173" s="50"/>
      <c r="CD173" s="48"/>
      <c r="CE173" s="49"/>
      <c r="CF173" s="49"/>
      <c r="CG173" s="50"/>
      <c r="CK173" s="12"/>
      <c r="CL173" s="15"/>
      <c r="CO173" s="12"/>
      <c r="CP173" s="15"/>
      <c r="CS173" s="12"/>
      <c r="CT173" s="15"/>
      <c r="CW173" s="12"/>
      <c r="CX173" s="15"/>
      <c r="DA173" s="12"/>
      <c r="DF173" s="15"/>
      <c r="DI173" s="12"/>
      <c r="DJ173" s="1"/>
      <c r="DK173" s="225"/>
      <c r="DL173" s="225"/>
      <c r="DM173" s="225"/>
      <c r="DN173" s="225"/>
      <c r="DO173" s="225"/>
      <c r="DP173" s="225"/>
      <c r="DQ173" s="225"/>
      <c r="DR173" s="225"/>
      <c r="DS173" s="225"/>
      <c r="DT173" s="225"/>
      <c r="DU173" s="225"/>
      <c r="DV173" s="225"/>
      <c r="DW173" s="1"/>
      <c r="EJ173" s="1"/>
      <c r="EK173" s="17"/>
      <c r="EL173" s="17"/>
      <c r="EM173" s="17"/>
      <c r="EN173" s="17"/>
      <c r="EO173" s="17"/>
      <c r="EP173" s="17"/>
      <c r="EQ173" s="17"/>
      <c r="ER173" s="17"/>
      <c r="ES173" s="17"/>
      <c r="EU173" s="17"/>
      <c r="EW173" s="1"/>
      <c r="EX173" s="225"/>
      <c r="EY173" s="225"/>
      <c r="EZ173" s="225"/>
      <c r="FA173" s="225"/>
      <c r="FB173" s="225"/>
      <c r="FC173" s="225"/>
      <c r="FD173" s="225"/>
      <c r="FE173" s="225"/>
      <c r="FF173" s="225"/>
      <c r="FG173" s="10"/>
      <c r="FH173" s="225"/>
      <c r="FI173" s="10"/>
      <c r="FJ173" s="1"/>
      <c r="FK173" s="225"/>
      <c r="FL173" s="225"/>
      <c r="FM173" s="225"/>
      <c r="FN173" s="225"/>
      <c r="FO173" s="225"/>
      <c r="FP173" s="225"/>
      <c r="FQ173" s="225"/>
      <c r="FR173" s="225"/>
      <c r="FS173" s="225"/>
      <c r="FT173" s="191"/>
      <c r="FU173" s="225"/>
      <c r="FV173" s="151"/>
    </row>
    <row r="174" spans="1:178" ht="16" thickBot="1" x14ac:dyDescent="0.25">
      <c r="A174" s="27" t="s">
        <v>95</v>
      </c>
      <c r="B174" t="s">
        <v>142</v>
      </c>
      <c r="C174" s="1"/>
      <c r="D174" s="17"/>
      <c r="E174" s="17"/>
      <c r="F174" s="156"/>
      <c r="G174" s="89"/>
      <c r="H174" s="88"/>
      <c r="I174" s="88"/>
      <c r="J174" s="17"/>
      <c r="K174" s="17"/>
      <c r="L174" s="17"/>
      <c r="M174" s="17"/>
      <c r="N174" s="17"/>
      <c r="O174" s="17"/>
      <c r="P174" s="1"/>
      <c r="Q174" s="48"/>
      <c r="R174" s="49"/>
      <c r="S174" s="49"/>
      <c r="T174" s="50">
        <f t="shared" si="51"/>
        <v>0</v>
      </c>
      <c r="U174" s="48"/>
      <c r="V174" s="49"/>
      <c r="W174" s="49"/>
      <c r="X174" s="50">
        <f t="shared" si="52"/>
        <v>0</v>
      </c>
      <c r="Y174" s="48"/>
      <c r="Z174" s="49"/>
      <c r="AA174" s="49"/>
      <c r="AB174" s="50">
        <f t="shared" si="53"/>
        <v>0</v>
      </c>
      <c r="AC174" s="167"/>
      <c r="AD174" s="166"/>
      <c r="AE174" s="166"/>
      <c r="AF174" s="151">
        <f t="shared" si="54"/>
        <v>0</v>
      </c>
      <c r="AG174" s="166"/>
      <c r="AH174" s="166"/>
      <c r="AI174" s="166"/>
      <c r="AJ174" s="151">
        <f t="shared" si="55"/>
        <v>0</v>
      </c>
      <c r="AK174" s="192"/>
      <c r="AL174" s="10"/>
      <c r="AM174" s="10"/>
      <c r="AN174" s="151">
        <f t="shared" si="56"/>
        <v>0</v>
      </c>
      <c r="AO174" s="191"/>
      <c r="AP174" s="10"/>
      <c r="AQ174" s="10"/>
      <c r="AR174" s="151"/>
      <c r="AS174" s="191"/>
      <c r="AT174" s="10"/>
      <c r="AU174" s="10"/>
      <c r="AV174" s="151"/>
      <c r="AW174" s="191"/>
      <c r="AX174" s="10"/>
      <c r="AY174" s="10"/>
      <c r="AZ174" s="151"/>
      <c r="BA174" s="191"/>
      <c r="BB174" s="10"/>
      <c r="BC174" s="10"/>
      <c r="BD174" s="151"/>
      <c r="BE174" s="191"/>
      <c r="BF174" s="10"/>
      <c r="BG174" s="10"/>
      <c r="BH174" s="151"/>
      <c r="BI174" s="191"/>
      <c r="BJ174" s="10"/>
      <c r="BK174" s="10"/>
      <c r="BL174" s="151"/>
      <c r="BM174" s="1"/>
      <c r="BN174" s="48"/>
      <c r="BO174" s="56"/>
      <c r="BP174" s="56"/>
      <c r="BQ174" s="50"/>
      <c r="BR174" s="48"/>
      <c r="BS174" s="56"/>
      <c r="BT174" s="56"/>
      <c r="BU174" s="50"/>
      <c r="BV174" s="48"/>
      <c r="BW174" s="56"/>
      <c r="BX174" s="56"/>
      <c r="BY174" s="50"/>
      <c r="BZ174" s="48"/>
      <c r="CA174" s="49"/>
      <c r="CB174" s="49"/>
      <c r="CC174" s="50"/>
      <c r="CD174" s="48"/>
      <c r="CE174" s="49"/>
      <c r="CF174" s="49"/>
      <c r="CG174" s="50"/>
      <c r="CK174" s="12"/>
      <c r="CL174" s="15"/>
      <c r="CO174" s="12"/>
      <c r="CP174" s="15"/>
      <c r="CS174" s="12"/>
      <c r="CT174" s="15"/>
      <c r="CW174" s="12"/>
      <c r="CX174" s="15"/>
      <c r="DA174" s="12"/>
      <c r="DF174" s="15"/>
      <c r="DI174" s="12"/>
      <c r="DJ174" s="1"/>
      <c r="DK174" s="225"/>
      <c r="DL174" s="225"/>
      <c r="DM174" s="225"/>
      <c r="DN174" s="225"/>
      <c r="DO174" s="225"/>
      <c r="DP174" s="225"/>
      <c r="DQ174" s="225"/>
      <c r="DR174" s="225"/>
      <c r="DS174" s="225"/>
      <c r="DT174" s="225"/>
      <c r="DU174" s="225"/>
      <c r="DV174" s="225"/>
      <c r="DW174" s="1"/>
      <c r="EJ174" s="1"/>
      <c r="EK174" s="17"/>
      <c r="EL174" s="17"/>
      <c r="EM174" s="17"/>
      <c r="EN174" s="17"/>
      <c r="EO174" s="17"/>
      <c r="EP174" s="17"/>
      <c r="EQ174" s="17"/>
      <c r="ER174" s="17"/>
      <c r="ES174" s="17"/>
      <c r="EU174" s="17"/>
      <c r="EW174" s="1"/>
      <c r="EX174" s="225"/>
      <c r="EY174" s="225"/>
      <c r="EZ174" s="225"/>
      <c r="FA174" s="225"/>
      <c r="FB174" s="225"/>
      <c r="FC174" s="225"/>
      <c r="FD174" s="225"/>
      <c r="FE174" s="225"/>
      <c r="FF174" s="225"/>
      <c r="FG174" s="10"/>
      <c r="FH174" s="225"/>
      <c r="FI174" s="10"/>
      <c r="FJ174" s="1"/>
      <c r="FK174" s="225"/>
      <c r="FL174" s="225"/>
      <c r="FM174" s="225"/>
      <c r="FN174" s="225"/>
      <c r="FO174" s="225"/>
      <c r="FP174" s="225"/>
      <c r="FQ174" s="225"/>
      <c r="FR174" s="225"/>
      <c r="FS174" s="225"/>
      <c r="FT174" s="191"/>
      <c r="FU174" s="225"/>
      <c r="FV174" s="151"/>
    </row>
    <row r="175" spans="1:178" ht="16" thickBot="1" x14ac:dyDescent="0.25">
      <c r="A175" s="27" t="s">
        <v>96</v>
      </c>
      <c r="B175" t="s">
        <v>142</v>
      </c>
      <c r="C175" s="1"/>
      <c r="D175" s="17"/>
      <c r="E175" s="17"/>
      <c r="F175" s="156"/>
      <c r="G175" s="89">
        <v>1</v>
      </c>
      <c r="H175" s="88"/>
      <c r="I175" s="88"/>
      <c r="J175" s="17"/>
      <c r="K175" s="17"/>
      <c r="L175" s="17"/>
      <c r="M175" s="17"/>
      <c r="N175" s="17"/>
      <c r="O175" s="17"/>
      <c r="P175" s="1"/>
      <c r="Q175" s="48"/>
      <c r="R175" s="49"/>
      <c r="S175" s="49"/>
      <c r="T175" s="50">
        <f t="shared" ref="T175:T214" si="57">SUM(Q175:S175)</f>
        <v>0</v>
      </c>
      <c r="U175" s="48"/>
      <c r="V175" s="49"/>
      <c r="W175" s="49"/>
      <c r="X175" s="50">
        <f t="shared" ref="X175:X214" si="58">SUM(U175:W175)</f>
        <v>0</v>
      </c>
      <c r="Y175" s="48"/>
      <c r="Z175" s="49"/>
      <c r="AA175" s="49"/>
      <c r="AB175" s="50">
        <f t="shared" ref="AB175:AB214" si="59">Y175+Z175+AA175</f>
        <v>0</v>
      </c>
      <c r="AC175" s="167">
        <v>8.86</v>
      </c>
      <c r="AD175" s="166"/>
      <c r="AE175" s="166"/>
      <c r="AF175" s="151">
        <f t="shared" ref="AF175:AF214" si="60">AC175+AD175+AE175</f>
        <v>8.86</v>
      </c>
      <c r="AG175" s="166"/>
      <c r="AH175" s="166"/>
      <c r="AI175" s="166"/>
      <c r="AJ175" s="151">
        <f t="shared" ref="AJ175:AJ214" si="61">AG175+AH175+AI175</f>
        <v>0</v>
      </c>
      <c r="AK175" s="192"/>
      <c r="AL175" s="10"/>
      <c r="AM175" s="10"/>
      <c r="AN175" s="151">
        <f t="shared" ref="AN175:AN214" si="62">AK175+AL175+AM175</f>
        <v>0</v>
      </c>
      <c r="AO175" s="191"/>
      <c r="AP175" s="10"/>
      <c r="AQ175" s="10"/>
      <c r="AR175" s="151"/>
      <c r="AS175" s="191"/>
      <c r="AT175" s="10"/>
      <c r="AU175" s="10"/>
      <c r="AV175" s="151"/>
      <c r="AW175" s="191"/>
      <c r="AX175" s="10"/>
      <c r="AY175" s="10"/>
      <c r="AZ175" s="151"/>
      <c r="BA175" s="191"/>
      <c r="BB175" s="10"/>
      <c r="BC175" s="10"/>
      <c r="BD175" s="151"/>
      <c r="BE175" s="191"/>
      <c r="BF175" s="10"/>
      <c r="BG175" s="10"/>
      <c r="BH175" s="151"/>
      <c r="BI175" s="191"/>
      <c r="BJ175" s="10"/>
      <c r="BK175" s="10"/>
      <c r="BL175" s="151"/>
      <c r="BM175" s="1"/>
      <c r="BN175" s="48"/>
      <c r="BO175" s="56"/>
      <c r="BP175" s="56"/>
      <c r="BQ175" s="50"/>
      <c r="BR175" s="48"/>
      <c r="BS175" s="56"/>
      <c r="BT175" s="56"/>
      <c r="BU175" s="50"/>
      <c r="BV175" s="48"/>
      <c r="BW175" s="56"/>
      <c r="BX175" s="56"/>
      <c r="BY175" s="50"/>
      <c r="BZ175" s="48"/>
      <c r="CA175" s="49"/>
      <c r="CB175" s="49"/>
      <c r="CC175" s="50"/>
      <c r="CD175" s="48"/>
      <c r="CE175" s="49"/>
      <c r="CF175" s="49"/>
      <c r="CG175" s="50"/>
      <c r="CK175" s="12"/>
      <c r="CL175" s="15"/>
      <c r="CO175" s="12"/>
      <c r="CP175" s="15"/>
      <c r="CS175" s="12"/>
      <c r="CT175" s="15"/>
      <c r="CW175" s="12"/>
      <c r="CX175" s="15"/>
      <c r="DA175" s="12"/>
      <c r="DF175" s="15"/>
      <c r="DI175" s="12"/>
      <c r="DJ175" s="1"/>
      <c r="DK175" s="225"/>
      <c r="DL175" s="225"/>
      <c r="DM175" s="225"/>
      <c r="DN175" s="225"/>
      <c r="DO175" s="225"/>
      <c r="DP175" s="225"/>
      <c r="DQ175" s="225"/>
      <c r="DR175" s="225"/>
      <c r="DS175" s="225"/>
      <c r="DT175" s="225"/>
      <c r="DU175" s="225"/>
      <c r="DV175" s="225"/>
      <c r="DW175" s="1"/>
      <c r="EJ175" s="1"/>
      <c r="EK175" s="17"/>
      <c r="EL175" s="17"/>
      <c r="EM175" s="17"/>
      <c r="EN175" s="17"/>
      <c r="EO175" s="17"/>
      <c r="EP175" s="17"/>
      <c r="EQ175" s="17"/>
      <c r="ER175" s="17"/>
      <c r="ES175" s="17"/>
      <c r="EU175" s="17"/>
      <c r="EW175" s="1"/>
      <c r="EX175" s="225"/>
      <c r="EY175" s="225"/>
      <c r="EZ175" s="225"/>
      <c r="FA175" s="225"/>
      <c r="FB175" s="225"/>
      <c r="FC175" s="225"/>
      <c r="FD175" s="225"/>
      <c r="FE175" s="225"/>
      <c r="FF175" s="225"/>
      <c r="FG175" s="10"/>
      <c r="FH175" s="225"/>
      <c r="FI175" s="10"/>
      <c r="FJ175" s="1"/>
      <c r="FK175" s="225"/>
      <c r="FL175" s="225"/>
      <c r="FM175" s="225"/>
      <c r="FN175" s="225"/>
      <c r="FO175" s="225"/>
      <c r="FP175" s="225"/>
      <c r="FQ175" s="225"/>
      <c r="FR175" s="225"/>
      <c r="FS175" s="225"/>
      <c r="FT175" s="191"/>
      <c r="FU175" s="225"/>
      <c r="FV175" s="151"/>
    </row>
    <row r="176" spans="1:178" ht="16" thickBot="1" x14ac:dyDescent="0.25">
      <c r="A176" s="27" t="s">
        <v>97</v>
      </c>
      <c r="B176" t="s">
        <v>142</v>
      </c>
      <c r="C176" s="1"/>
      <c r="D176" s="17"/>
      <c r="E176" s="17"/>
      <c r="F176" s="156"/>
      <c r="G176" s="89"/>
      <c r="H176" s="88"/>
      <c r="I176" s="88"/>
      <c r="J176" s="17"/>
      <c r="K176" s="17"/>
      <c r="L176" s="17"/>
      <c r="M176" s="17"/>
      <c r="N176" s="17"/>
      <c r="O176" s="17"/>
      <c r="P176" s="1"/>
      <c r="Q176" s="48"/>
      <c r="R176" s="49"/>
      <c r="S176" s="49"/>
      <c r="T176" s="50">
        <f t="shared" si="57"/>
        <v>0</v>
      </c>
      <c r="U176" s="48"/>
      <c r="V176" s="49"/>
      <c r="W176" s="49"/>
      <c r="X176" s="50">
        <f t="shared" si="58"/>
        <v>0</v>
      </c>
      <c r="Y176" s="48"/>
      <c r="Z176" s="49"/>
      <c r="AA176" s="49"/>
      <c r="AB176" s="50">
        <f t="shared" si="59"/>
        <v>0</v>
      </c>
      <c r="AC176" s="167"/>
      <c r="AD176" s="166"/>
      <c r="AE176" s="166"/>
      <c r="AF176" s="151">
        <f t="shared" si="60"/>
        <v>0</v>
      </c>
      <c r="AG176" s="166"/>
      <c r="AH176" s="166"/>
      <c r="AI176" s="166"/>
      <c r="AJ176" s="151">
        <f t="shared" si="61"/>
        <v>0</v>
      </c>
      <c r="AK176" s="192"/>
      <c r="AL176" s="10"/>
      <c r="AM176" s="10"/>
      <c r="AN176" s="151">
        <f t="shared" si="62"/>
        <v>0</v>
      </c>
      <c r="AO176" s="191"/>
      <c r="AP176" s="10"/>
      <c r="AQ176" s="10"/>
      <c r="AR176" s="151"/>
      <c r="AS176" s="191"/>
      <c r="AT176" s="10"/>
      <c r="AU176" s="10"/>
      <c r="AV176" s="151"/>
      <c r="AW176" s="191"/>
      <c r="AX176" s="10"/>
      <c r="AY176" s="10"/>
      <c r="AZ176" s="151"/>
      <c r="BA176" s="191"/>
      <c r="BB176" s="10"/>
      <c r="BC176" s="10"/>
      <c r="BD176" s="151"/>
      <c r="BE176" s="191"/>
      <c r="BF176" s="10"/>
      <c r="BG176" s="10"/>
      <c r="BH176" s="151"/>
      <c r="BI176" s="191"/>
      <c r="BJ176" s="10"/>
      <c r="BK176" s="10"/>
      <c r="BL176" s="151"/>
      <c r="BM176" s="1"/>
      <c r="BN176" s="48"/>
      <c r="BO176" s="56"/>
      <c r="BP176" s="56"/>
      <c r="BQ176" s="50"/>
      <c r="BR176" s="48"/>
      <c r="BS176" s="56"/>
      <c r="BT176" s="56"/>
      <c r="BU176" s="50"/>
      <c r="BV176" s="48"/>
      <c r="BW176" s="56"/>
      <c r="BX176" s="56"/>
      <c r="BY176" s="50"/>
      <c r="BZ176" s="48"/>
      <c r="CA176" s="49"/>
      <c r="CB176" s="49"/>
      <c r="CC176" s="50"/>
      <c r="CD176" s="48"/>
      <c r="CE176" s="49"/>
      <c r="CF176" s="49"/>
      <c r="CG176" s="50"/>
      <c r="CK176" s="12"/>
      <c r="CL176" s="15"/>
      <c r="CO176" s="12"/>
      <c r="CP176" s="15"/>
      <c r="CS176" s="12"/>
      <c r="CT176" s="15"/>
      <c r="CW176" s="12"/>
      <c r="CX176" s="15"/>
      <c r="DA176" s="12"/>
      <c r="DF176" s="15"/>
      <c r="DI176" s="12"/>
      <c r="DJ176" s="1"/>
      <c r="DK176" s="225"/>
      <c r="DL176" s="225"/>
      <c r="DM176" s="225"/>
      <c r="DN176" s="225"/>
      <c r="DO176" s="225"/>
      <c r="DP176" s="225"/>
      <c r="DQ176" s="225"/>
      <c r="DR176" s="225"/>
      <c r="DS176" s="225"/>
      <c r="DT176" s="225"/>
      <c r="DU176" s="225"/>
      <c r="DV176" s="225"/>
      <c r="DW176" s="1"/>
      <c r="EJ176" s="1"/>
      <c r="EK176" s="17"/>
      <c r="EL176" s="17"/>
      <c r="EM176" s="17"/>
      <c r="EN176" s="17"/>
      <c r="EO176" s="17"/>
      <c r="EP176" s="17"/>
      <c r="EQ176" s="17"/>
      <c r="ER176" s="17"/>
      <c r="ES176" s="17"/>
      <c r="EU176" s="17"/>
      <c r="EW176" s="1"/>
      <c r="EX176" s="225"/>
      <c r="EY176" s="225"/>
      <c r="EZ176" s="225"/>
      <c r="FA176" s="225"/>
      <c r="FB176" s="225"/>
      <c r="FC176" s="225"/>
      <c r="FD176" s="225"/>
      <c r="FE176" s="225"/>
      <c r="FF176" s="225"/>
      <c r="FG176" s="10"/>
      <c r="FH176" s="225"/>
      <c r="FI176" s="10"/>
      <c r="FJ176" s="1"/>
      <c r="FK176" s="225"/>
      <c r="FL176" s="225"/>
      <c r="FM176" s="225"/>
      <c r="FN176" s="225"/>
      <c r="FO176" s="225"/>
      <c r="FP176" s="225"/>
      <c r="FQ176" s="225"/>
      <c r="FR176" s="225"/>
      <c r="FS176" s="225"/>
      <c r="FT176" s="191"/>
      <c r="FU176" s="225"/>
      <c r="FV176" s="151"/>
    </row>
    <row r="177" spans="1:178" ht="16" thickBot="1" x14ac:dyDescent="0.25">
      <c r="A177" s="27" t="s">
        <v>98</v>
      </c>
      <c r="B177" t="s">
        <v>142</v>
      </c>
      <c r="C177" s="1"/>
      <c r="D177" s="17"/>
      <c r="E177" s="17"/>
      <c r="F177" s="156"/>
      <c r="G177" s="89"/>
      <c r="H177" s="88"/>
      <c r="I177" s="88"/>
      <c r="J177" s="17"/>
      <c r="K177" s="17"/>
      <c r="L177" s="17"/>
      <c r="M177" s="17"/>
      <c r="N177" s="17"/>
      <c r="O177" s="17"/>
      <c r="P177" s="1"/>
      <c r="Q177" s="48"/>
      <c r="R177" s="49"/>
      <c r="S177" s="49"/>
      <c r="T177" s="50">
        <f t="shared" si="57"/>
        <v>0</v>
      </c>
      <c r="U177" s="48"/>
      <c r="V177" s="49"/>
      <c r="W177" s="49"/>
      <c r="X177" s="50">
        <f t="shared" si="58"/>
        <v>0</v>
      </c>
      <c r="Y177" s="48"/>
      <c r="Z177" s="49"/>
      <c r="AA177" s="49"/>
      <c r="AB177" s="50">
        <f t="shared" si="59"/>
        <v>0</v>
      </c>
      <c r="AC177" s="167"/>
      <c r="AD177" s="166"/>
      <c r="AE177" s="166"/>
      <c r="AF177" s="151">
        <f t="shared" si="60"/>
        <v>0</v>
      </c>
      <c r="AG177" s="166"/>
      <c r="AH177" s="166"/>
      <c r="AI177" s="166"/>
      <c r="AJ177" s="151">
        <f t="shared" si="61"/>
        <v>0</v>
      </c>
      <c r="AK177" s="192"/>
      <c r="AL177" s="10"/>
      <c r="AM177" s="10"/>
      <c r="AN177" s="151">
        <f t="shared" si="62"/>
        <v>0</v>
      </c>
      <c r="AO177" s="191"/>
      <c r="AP177" s="10"/>
      <c r="AQ177" s="10"/>
      <c r="AR177" s="151"/>
      <c r="AS177" s="191"/>
      <c r="AT177" s="10"/>
      <c r="AU177" s="10"/>
      <c r="AV177" s="151"/>
      <c r="AW177" s="191"/>
      <c r="AX177" s="10"/>
      <c r="AY177" s="10"/>
      <c r="AZ177" s="151"/>
      <c r="BA177" s="191"/>
      <c r="BB177" s="10"/>
      <c r="BC177" s="10"/>
      <c r="BD177" s="151"/>
      <c r="BE177" s="191"/>
      <c r="BF177" s="10"/>
      <c r="BG177" s="10"/>
      <c r="BH177" s="151"/>
      <c r="BI177" s="191"/>
      <c r="BJ177" s="10"/>
      <c r="BK177" s="10"/>
      <c r="BL177" s="151"/>
      <c r="BM177" s="1"/>
      <c r="BN177" s="48"/>
      <c r="BO177" s="56"/>
      <c r="BP177" s="56"/>
      <c r="BQ177" s="50"/>
      <c r="BR177" s="48"/>
      <c r="BS177" s="56"/>
      <c r="BT177" s="56"/>
      <c r="BU177" s="50"/>
      <c r="BV177" s="48"/>
      <c r="BW177" s="56"/>
      <c r="BX177" s="56"/>
      <c r="BY177" s="50"/>
      <c r="BZ177" s="48"/>
      <c r="CA177" s="49"/>
      <c r="CB177" s="49"/>
      <c r="CC177" s="50"/>
      <c r="CD177" s="48"/>
      <c r="CE177" s="49"/>
      <c r="CF177" s="49"/>
      <c r="CG177" s="50"/>
      <c r="CK177" s="12"/>
      <c r="CL177" s="15"/>
      <c r="CO177" s="12"/>
      <c r="CP177" s="15"/>
      <c r="CS177" s="12"/>
      <c r="CT177" s="15"/>
      <c r="CW177" s="12"/>
      <c r="CX177" s="15"/>
      <c r="DA177" s="12"/>
      <c r="DF177" s="15"/>
      <c r="DI177" s="12"/>
      <c r="DJ177" s="1"/>
      <c r="DK177" s="225"/>
      <c r="DL177" s="225"/>
      <c r="DM177" s="225"/>
      <c r="DN177" s="225"/>
      <c r="DO177" s="225"/>
      <c r="DP177" s="225"/>
      <c r="DQ177" s="225"/>
      <c r="DR177" s="225"/>
      <c r="DS177" s="225"/>
      <c r="DT177" s="225"/>
      <c r="DU177" s="225"/>
      <c r="DV177" s="225"/>
      <c r="DW177" s="1"/>
      <c r="EJ177" s="1"/>
      <c r="EK177" s="17"/>
      <c r="EL177" s="17"/>
      <c r="EM177" s="17"/>
      <c r="EN177" s="17"/>
      <c r="EO177" s="17"/>
      <c r="EP177" s="17"/>
      <c r="EQ177" s="17"/>
      <c r="ER177" s="17"/>
      <c r="ES177" s="17"/>
      <c r="EU177" s="17"/>
      <c r="EW177" s="1"/>
      <c r="EX177" s="225"/>
      <c r="EY177" s="225"/>
      <c r="EZ177" s="225"/>
      <c r="FA177" s="225"/>
      <c r="FB177" s="225"/>
      <c r="FC177" s="225"/>
      <c r="FD177" s="225"/>
      <c r="FE177" s="225"/>
      <c r="FF177" s="225"/>
      <c r="FG177" s="10"/>
      <c r="FH177" s="225"/>
      <c r="FI177" s="10"/>
      <c r="FJ177" s="1"/>
      <c r="FK177" s="225"/>
      <c r="FL177" s="225"/>
      <c r="FM177" s="225"/>
      <c r="FN177" s="225"/>
      <c r="FO177" s="225"/>
      <c r="FP177" s="225"/>
      <c r="FQ177" s="225"/>
      <c r="FR177" s="225"/>
      <c r="FS177" s="225"/>
      <c r="FT177" s="191"/>
      <c r="FU177" s="225"/>
      <c r="FV177" s="151"/>
    </row>
    <row r="178" spans="1:178" ht="16" thickBot="1" x14ac:dyDescent="0.25">
      <c r="A178" s="27" t="s">
        <v>99</v>
      </c>
      <c r="B178" t="s">
        <v>142</v>
      </c>
      <c r="C178" s="1"/>
      <c r="D178" s="17"/>
      <c r="E178" s="17">
        <v>1</v>
      </c>
      <c r="F178" s="156"/>
      <c r="G178" s="89"/>
      <c r="H178" s="88"/>
      <c r="I178" s="88"/>
      <c r="J178" s="17"/>
      <c r="K178" s="17"/>
      <c r="L178" s="17"/>
      <c r="M178" s="17"/>
      <c r="N178" s="17"/>
      <c r="O178" s="17"/>
      <c r="P178" s="1"/>
      <c r="Q178" s="48"/>
      <c r="R178" s="49"/>
      <c r="S178" s="49"/>
      <c r="T178" s="50">
        <f t="shared" si="57"/>
        <v>0</v>
      </c>
      <c r="U178" s="48">
        <v>0.12</v>
      </c>
      <c r="V178" s="49"/>
      <c r="W178" s="49"/>
      <c r="X178" s="50">
        <f t="shared" si="58"/>
        <v>0.12</v>
      </c>
      <c r="Y178" s="48"/>
      <c r="Z178" s="49"/>
      <c r="AA178" s="49"/>
      <c r="AB178" s="50">
        <f t="shared" si="59"/>
        <v>0</v>
      </c>
      <c r="AC178" s="167"/>
      <c r="AD178" s="166"/>
      <c r="AE178" s="166"/>
      <c r="AF178" s="151">
        <f t="shared" si="60"/>
        <v>0</v>
      </c>
      <c r="AG178" s="166"/>
      <c r="AH178" s="166"/>
      <c r="AI178" s="166"/>
      <c r="AJ178" s="151">
        <f t="shared" si="61"/>
        <v>0</v>
      </c>
      <c r="AK178" s="192"/>
      <c r="AL178" s="10"/>
      <c r="AM178" s="10"/>
      <c r="AN178" s="151">
        <f t="shared" si="62"/>
        <v>0</v>
      </c>
      <c r="AO178" s="191"/>
      <c r="AP178" s="10"/>
      <c r="AQ178" s="10"/>
      <c r="AR178" s="151"/>
      <c r="AS178" s="191"/>
      <c r="AT178" s="10"/>
      <c r="AU178" s="10"/>
      <c r="AV178" s="151"/>
      <c r="AW178" s="191"/>
      <c r="AX178" s="10"/>
      <c r="AY178" s="10"/>
      <c r="AZ178" s="151"/>
      <c r="BA178" s="191"/>
      <c r="BB178" s="10"/>
      <c r="BC178" s="10"/>
      <c r="BD178" s="151"/>
      <c r="BE178" s="191"/>
      <c r="BF178" s="10"/>
      <c r="BG178" s="10"/>
      <c r="BH178" s="151"/>
      <c r="BI178" s="191"/>
      <c r="BJ178" s="10"/>
      <c r="BK178" s="10"/>
      <c r="BL178" s="151"/>
      <c r="BM178" s="1"/>
      <c r="BN178" s="48"/>
      <c r="BO178" s="56"/>
      <c r="BP178" s="56"/>
      <c r="BQ178" s="50"/>
      <c r="BR178" s="48"/>
      <c r="BS178" s="56"/>
      <c r="BT178" s="56"/>
      <c r="BU178" s="50"/>
      <c r="BV178" s="48"/>
      <c r="BW178" s="56"/>
      <c r="BX178" s="56"/>
      <c r="BY178" s="50"/>
      <c r="BZ178" s="48"/>
      <c r="CA178" s="49"/>
      <c r="CB178" s="49"/>
      <c r="CC178" s="50"/>
      <c r="CD178" s="48"/>
      <c r="CE178" s="49"/>
      <c r="CF178" s="49"/>
      <c r="CG178" s="50"/>
      <c r="CK178" s="12"/>
      <c r="CL178" s="15"/>
      <c r="CO178" s="12"/>
      <c r="CP178" s="15"/>
      <c r="CS178" s="12"/>
      <c r="CT178" s="15"/>
      <c r="CW178" s="12"/>
      <c r="CX178" s="15"/>
      <c r="DA178" s="12"/>
      <c r="DF178" s="15"/>
      <c r="DI178" s="12"/>
      <c r="DJ178" s="1"/>
      <c r="DK178" s="225"/>
      <c r="DL178" s="225"/>
      <c r="DM178" s="225"/>
      <c r="DN178" s="225"/>
      <c r="DO178" s="225"/>
      <c r="DP178" s="225"/>
      <c r="DQ178" s="225"/>
      <c r="DR178" s="225"/>
      <c r="DS178" s="225"/>
      <c r="DT178" s="225"/>
      <c r="DU178" s="225"/>
      <c r="DV178" s="225"/>
      <c r="DW178" s="1"/>
      <c r="EJ178" s="1"/>
      <c r="EK178" s="17"/>
      <c r="EL178" s="17"/>
      <c r="EM178" s="17"/>
      <c r="EN178" s="17"/>
      <c r="EO178" s="17"/>
      <c r="EP178" s="17"/>
      <c r="EQ178" s="17"/>
      <c r="ER178" s="17"/>
      <c r="ES178" s="17"/>
      <c r="EU178" s="17"/>
      <c r="EW178" s="1"/>
      <c r="EX178" s="225"/>
      <c r="EY178" s="225"/>
      <c r="EZ178" s="225"/>
      <c r="FA178" s="225"/>
      <c r="FB178" s="225"/>
      <c r="FC178" s="225"/>
      <c r="FD178" s="225"/>
      <c r="FE178" s="225"/>
      <c r="FF178" s="225"/>
      <c r="FG178" s="10"/>
      <c r="FH178" s="225"/>
      <c r="FI178" s="10"/>
      <c r="FJ178" s="1"/>
      <c r="FK178" s="225"/>
      <c r="FL178" s="225"/>
      <c r="FM178" s="225"/>
      <c r="FN178" s="225"/>
      <c r="FO178" s="225"/>
      <c r="FP178" s="225"/>
      <c r="FQ178" s="225"/>
      <c r="FR178" s="225"/>
      <c r="FS178" s="225"/>
      <c r="FT178" s="191"/>
      <c r="FU178" s="225"/>
      <c r="FV178" s="151"/>
    </row>
    <row r="179" spans="1:178" ht="16" thickBot="1" x14ac:dyDescent="0.25">
      <c r="A179" s="27" t="s">
        <v>100</v>
      </c>
      <c r="B179" t="s">
        <v>142</v>
      </c>
      <c r="C179" s="1"/>
      <c r="D179" s="17"/>
      <c r="E179" s="17"/>
      <c r="F179" s="156"/>
      <c r="G179" s="89"/>
      <c r="H179" s="88"/>
      <c r="I179" s="88"/>
      <c r="J179" s="17"/>
      <c r="K179" s="17"/>
      <c r="L179" s="17"/>
      <c r="M179" s="17"/>
      <c r="N179" s="17"/>
      <c r="O179" s="17"/>
      <c r="P179" s="1"/>
      <c r="Q179" s="48"/>
      <c r="R179" s="49"/>
      <c r="S179" s="49"/>
      <c r="T179" s="50">
        <f t="shared" si="57"/>
        <v>0</v>
      </c>
      <c r="U179" s="48"/>
      <c r="V179" s="49"/>
      <c r="W179" s="49"/>
      <c r="X179" s="50">
        <f t="shared" si="58"/>
        <v>0</v>
      </c>
      <c r="Y179" s="48"/>
      <c r="Z179" s="49"/>
      <c r="AA179" s="49"/>
      <c r="AB179" s="50">
        <f t="shared" si="59"/>
        <v>0</v>
      </c>
      <c r="AC179" s="167"/>
      <c r="AD179" s="166"/>
      <c r="AE179" s="166"/>
      <c r="AF179" s="151">
        <f t="shared" si="60"/>
        <v>0</v>
      </c>
      <c r="AG179" s="166"/>
      <c r="AH179" s="166"/>
      <c r="AI179" s="166"/>
      <c r="AJ179" s="151">
        <f t="shared" si="61"/>
        <v>0</v>
      </c>
      <c r="AK179" s="192"/>
      <c r="AL179" s="10"/>
      <c r="AM179" s="10"/>
      <c r="AN179" s="151">
        <f t="shared" si="62"/>
        <v>0</v>
      </c>
      <c r="AO179" s="191"/>
      <c r="AP179" s="10"/>
      <c r="AQ179" s="10"/>
      <c r="AR179" s="151"/>
      <c r="AS179" s="191"/>
      <c r="AT179" s="10"/>
      <c r="AU179" s="10"/>
      <c r="AV179" s="151"/>
      <c r="AW179" s="191"/>
      <c r="AX179" s="10"/>
      <c r="AY179" s="10"/>
      <c r="AZ179" s="151"/>
      <c r="BA179" s="191"/>
      <c r="BB179" s="10"/>
      <c r="BC179" s="10"/>
      <c r="BD179" s="151"/>
      <c r="BE179" s="191"/>
      <c r="BF179" s="10"/>
      <c r="BG179" s="10"/>
      <c r="BH179" s="151"/>
      <c r="BI179" s="191"/>
      <c r="BJ179" s="10"/>
      <c r="BK179" s="10"/>
      <c r="BL179" s="151"/>
      <c r="BM179" s="1"/>
      <c r="BN179" s="48"/>
      <c r="BO179" s="56"/>
      <c r="BP179" s="56"/>
      <c r="BQ179" s="50"/>
      <c r="BR179" s="48"/>
      <c r="BS179" s="56"/>
      <c r="BT179" s="56"/>
      <c r="BU179" s="50"/>
      <c r="BV179" s="48"/>
      <c r="BW179" s="56"/>
      <c r="BX179" s="56"/>
      <c r="BY179" s="50"/>
      <c r="BZ179" s="48"/>
      <c r="CA179" s="49"/>
      <c r="CB179" s="49"/>
      <c r="CC179" s="50"/>
      <c r="CD179" s="48"/>
      <c r="CE179" s="49"/>
      <c r="CF179" s="49"/>
      <c r="CG179" s="50"/>
      <c r="CK179" s="12"/>
      <c r="CL179" s="15"/>
      <c r="CO179" s="12"/>
      <c r="CP179" s="15"/>
      <c r="CS179" s="12"/>
      <c r="CT179" s="15"/>
      <c r="CW179" s="12"/>
      <c r="CX179" s="15"/>
      <c r="DA179" s="12"/>
      <c r="DF179" s="15"/>
      <c r="DI179" s="12"/>
      <c r="DJ179" s="1"/>
      <c r="DK179" s="225"/>
      <c r="DL179" s="225"/>
      <c r="DM179" s="225"/>
      <c r="DN179" s="225"/>
      <c r="DO179" s="225"/>
      <c r="DP179" s="225"/>
      <c r="DQ179" s="225"/>
      <c r="DR179" s="225"/>
      <c r="DS179" s="225"/>
      <c r="DT179" s="225"/>
      <c r="DU179" s="225"/>
      <c r="DV179" s="225"/>
      <c r="DW179" s="1"/>
      <c r="EJ179" s="1"/>
      <c r="EK179" s="17"/>
      <c r="EL179" s="17"/>
      <c r="EM179" s="17"/>
      <c r="EN179" s="17"/>
      <c r="EO179" s="17"/>
      <c r="EP179" s="17"/>
      <c r="EQ179" s="17"/>
      <c r="ER179" s="17"/>
      <c r="ES179" s="17"/>
      <c r="EU179" s="17"/>
      <c r="EW179" s="1"/>
      <c r="EX179" s="225"/>
      <c r="EY179" s="225"/>
      <c r="EZ179" s="225"/>
      <c r="FA179" s="225"/>
      <c r="FB179" s="225"/>
      <c r="FC179" s="225"/>
      <c r="FD179" s="225"/>
      <c r="FE179" s="225"/>
      <c r="FF179" s="225"/>
      <c r="FG179" s="10"/>
      <c r="FH179" s="225"/>
      <c r="FI179" s="10"/>
      <c r="FJ179" s="1"/>
      <c r="FK179" s="225"/>
      <c r="FL179" s="225"/>
      <c r="FM179" s="225"/>
      <c r="FN179" s="225"/>
      <c r="FO179" s="225"/>
      <c r="FP179" s="225"/>
      <c r="FQ179" s="225"/>
      <c r="FR179" s="225"/>
      <c r="FS179" s="225"/>
      <c r="FT179" s="191"/>
      <c r="FU179" s="225"/>
      <c r="FV179" s="151"/>
    </row>
    <row r="180" spans="1:178" ht="16" thickBot="1" x14ac:dyDescent="0.25">
      <c r="A180" s="27" t="s">
        <v>101</v>
      </c>
      <c r="B180" t="s">
        <v>142</v>
      </c>
      <c r="C180" s="1"/>
      <c r="D180" s="17"/>
      <c r="E180" s="17"/>
      <c r="F180" s="156"/>
      <c r="G180" s="89"/>
      <c r="H180" s="88"/>
      <c r="I180" s="88"/>
      <c r="J180" s="17"/>
      <c r="K180" s="17"/>
      <c r="L180" s="17"/>
      <c r="M180" s="17"/>
      <c r="N180" s="17"/>
      <c r="O180" s="17"/>
      <c r="P180" s="1"/>
      <c r="Q180" s="48"/>
      <c r="R180" s="49"/>
      <c r="S180" s="49"/>
      <c r="T180" s="50">
        <f t="shared" si="57"/>
        <v>0</v>
      </c>
      <c r="U180" s="48"/>
      <c r="V180" s="49"/>
      <c r="W180" s="49"/>
      <c r="X180" s="50">
        <f t="shared" si="58"/>
        <v>0</v>
      </c>
      <c r="Y180" s="48"/>
      <c r="Z180" s="49"/>
      <c r="AA180" s="49"/>
      <c r="AB180" s="50">
        <f t="shared" si="59"/>
        <v>0</v>
      </c>
      <c r="AC180" s="167"/>
      <c r="AD180" s="166"/>
      <c r="AE180" s="166"/>
      <c r="AF180" s="151">
        <f t="shared" si="60"/>
        <v>0</v>
      </c>
      <c r="AG180" s="166"/>
      <c r="AH180" s="166"/>
      <c r="AI180" s="166"/>
      <c r="AJ180" s="151">
        <f t="shared" si="61"/>
        <v>0</v>
      </c>
      <c r="AK180" s="192"/>
      <c r="AL180" s="10"/>
      <c r="AM180" s="10"/>
      <c r="AN180" s="151">
        <f t="shared" si="62"/>
        <v>0</v>
      </c>
      <c r="AO180" s="191"/>
      <c r="AP180" s="10"/>
      <c r="AQ180" s="10"/>
      <c r="AR180" s="151"/>
      <c r="AS180" s="191"/>
      <c r="AT180" s="10"/>
      <c r="AU180" s="10"/>
      <c r="AV180" s="151"/>
      <c r="AW180" s="191"/>
      <c r="AX180" s="10"/>
      <c r="AY180" s="10"/>
      <c r="AZ180" s="151"/>
      <c r="BA180" s="191"/>
      <c r="BB180" s="10"/>
      <c r="BC180" s="10"/>
      <c r="BD180" s="151"/>
      <c r="BE180" s="191"/>
      <c r="BF180" s="10"/>
      <c r="BG180" s="10"/>
      <c r="BH180" s="151"/>
      <c r="BI180" s="191"/>
      <c r="BJ180" s="10"/>
      <c r="BK180" s="10"/>
      <c r="BL180" s="151"/>
      <c r="BM180" s="1"/>
      <c r="BN180" s="48"/>
      <c r="BO180" s="56"/>
      <c r="BP180" s="56"/>
      <c r="BQ180" s="50"/>
      <c r="BR180" s="48"/>
      <c r="BS180" s="56"/>
      <c r="BT180" s="56"/>
      <c r="BU180" s="50"/>
      <c r="BV180" s="48"/>
      <c r="BW180" s="56"/>
      <c r="BX180" s="56"/>
      <c r="BY180" s="50"/>
      <c r="BZ180" s="48"/>
      <c r="CA180" s="49"/>
      <c r="CB180" s="49"/>
      <c r="CC180" s="50"/>
      <c r="CD180" s="48"/>
      <c r="CE180" s="49"/>
      <c r="CF180" s="49"/>
      <c r="CG180" s="50"/>
      <c r="CK180" s="12"/>
      <c r="CL180" s="15"/>
      <c r="CO180" s="12"/>
      <c r="CP180" s="15"/>
      <c r="CS180" s="12"/>
      <c r="CT180" s="15"/>
      <c r="CW180" s="12"/>
      <c r="CX180" s="15"/>
      <c r="DA180" s="12"/>
      <c r="DF180" s="15"/>
      <c r="DI180" s="12"/>
      <c r="DJ180" s="1"/>
      <c r="DK180" s="225"/>
      <c r="DL180" s="225"/>
      <c r="DM180" s="225"/>
      <c r="DN180" s="225"/>
      <c r="DO180" s="225"/>
      <c r="DP180" s="225"/>
      <c r="DQ180" s="225"/>
      <c r="DR180" s="225"/>
      <c r="DS180" s="225"/>
      <c r="DT180" s="225"/>
      <c r="DU180" s="225"/>
      <c r="DV180" s="225"/>
      <c r="DW180" s="1"/>
      <c r="EJ180" s="1"/>
      <c r="EK180" s="17"/>
      <c r="EL180" s="17"/>
      <c r="EM180" s="17"/>
      <c r="EN180" s="17"/>
      <c r="EO180" s="17"/>
      <c r="EP180" s="17"/>
      <c r="EQ180" s="17"/>
      <c r="ER180" s="17"/>
      <c r="ES180" s="17"/>
      <c r="EU180" s="17"/>
      <c r="EW180" s="1"/>
      <c r="EX180" s="225"/>
      <c r="EY180" s="225"/>
      <c r="EZ180" s="225"/>
      <c r="FA180" s="225"/>
      <c r="FB180" s="225"/>
      <c r="FC180" s="225"/>
      <c r="FD180" s="225"/>
      <c r="FE180" s="225"/>
      <c r="FF180" s="225"/>
      <c r="FG180" s="10"/>
      <c r="FH180" s="225"/>
      <c r="FI180" s="10"/>
      <c r="FJ180" s="1"/>
      <c r="FK180" s="225"/>
      <c r="FL180" s="225"/>
      <c r="FM180" s="225"/>
      <c r="FN180" s="225"/>
      <c r="FO180" s="225"/>
      <c r="FP180" s="225"/>
      <c r="FQ180" s="225"/>
      <c r="FR180" s="225"/>
      <c r="FS180" s="225"/>
      <c r="FT180" s="191"/>
      <c r="FU180" s="225"/>
      <c r="FV180" s="151"/>
    </row>
    <row r="181" spans="1:178" ht="16" thickBot="1" x14ac:dyDescent="0.25">
      <c r="A181" s="27" t="s">
        <v>102</v>
      </c>
      <c r="B181" t="s">
        <v>142</v>
      </c>
      <c r="C181" s="1"/>
      <c r="D181" s="17"/>
      <c r="E181" s="17"/>
      <c r="F181" s="156"/>
      <c r="G181" s="87"/>
      <c r="H181" s="88"/>
      <c r="I181" s="88"/>
      <c r="J181" s="17"/>
      <c r="K181" s="17"/>
      <c r="L181" s="17"/>
      <c r="M181" s="17"/>
      <c r="N181" s="17"/>
      <c r="O181" s="17"/>
      <c r="P181" s="1"/>
      <c r="Q181" s="48"/>
      <c r="R181" s="49"/>
      <c r="S181" s="49"/>
      <c r="T181" s="50">
        <f t="shared" si="57"/>
        <v>0</v>
      </c>
      <c r="U181" s="48"/>
      <c r="V181" s="49"/>
      <c r="W181" s="49"/>
      <c r="X181" s="50">
        <f t="shared" si="58"/>
        <v>0</v>
      </c>
      <c r="Y181" s="48"/>
      <c r="Z181" s="49"/>
      <c r="AA181" s="49"/>
      <c r="AB181" s="50">
        <f t="shared" si="59"/>
        <v>0</v>
      </c>
      <c r="AC181" s="164"/>
      <c r="AD181" s="166"/>
      <c r="AE181" s="166"/>
      <c r="AF181" s="151">
        <f t="shared" si="60"/>
        <v>0</v>
      </c>
      <c r="AG181" s="166"/>
      <c r="AH181" s="166"/>
      <c r="AI181" s="166"/>
      <c r="AJ181" s="151">
        <f t="shared" si="61"/>
        <v>0</v>
      </c>
      <c r="AK181" s="192"/>
      <c r="AL181" s="10"/>
      <c r="AM181" s="10"/>
      <c r="AN181" s="151">
        <f t="shared" si="62"/>
        <v>0</v>
      </c>
      <c r="AO181" s="191"/>
      <c r="AP181" s="10"/>
      <c r="AQ181" s="10"/>
      <c r="AR181" s="151"/>
      <c r="AS181" s="191"/>
      <c r="AT181" s="10"/>
      <c r="AU181" s="10"/>
      <c r="AV181" s="151"/>
      <c r="AW181" s="191"/>
      <c r="AX181" s="10"/>
      <c r="AY181" s="10"/>
      <c r="AZ181" s="151"/>
      <c r="BA181" s="191"/>
      <c r="BB181" s="10"/>
      <c r="BC181" s="10"/>
      <c r="BD181" s="151"/>
      <c r="BE181" s="191"/>
      <c r="BF181" s="10"/>
      <c r="BG181" s="10"/>
      <c r="BH181" s="151"/>
      <c r="BI181" s="191"/>
      <c r="BJ181" s="10"/>
      <c r="BK181" s="10"/>
      <c r="BL181" s="151"/>
      <c r="BM181" s="1"/>
      <c r="BN181" s="48"/>
      <c r="BO181" s="56"/>
      <c r="BP181" s="56"/>
      <c r="BQ181" s="50"/>
      <c r="BR181" s="48"/>
      <c r="BS181" s="56"/>
      <c r="BT181" s="56"/>
      <c r="BU181" s="50"/>
      <c r="BV181" s="48"/>
      <c r="BW181" s="56"/>
      <c r="BX181" s="56"/>
      <c r="BY181" s="50"/>
      <c r="BZ181" s="48"/>
      <c r="CA181" s="49"/>
      <c r="CB181" s="49"/>
      <c r="CC181" s="50"/>
      <c r="CD181" s="48"/>
      <c r="CE181" s="49"/>
      <c r="CF181" s="49"/>
      <c r="CG181" s="50"/>
      <c r="CK181" s="12"/>
      <c r="CL181" s="15"/>
      <c r="CO181" s="12"/>
      <c r="CP181" s="15"/>
      <c r="CS181" s="12"/>
      <c r="CT181" s="15"/>
      <c r="CW181" s="12"/>
      <c r="CX181" s="15"/>
      <c r="DA181" s="12"/>
      <c r="DF181" s="15"/>
      <c r="DI181" s="12"/>
      <c r="DJ181" s="1"/>
      <c r="DK181" s="225"/>
      <c r="DL181" s="225"/>
      <c r="DM181" s="225"/>
      <c r="DN181" s="225"/>
      <c r="DO181" s="225"/>
      <c r="DP181" s="225"/>
      <c r="DQ181" s="225"/>
      <c r="DR181" s="225"/>
      <c r="DS181" s="225"/>
      <c r="DT181" s="225"/>
      <c r="DU181" s="225"/>
      <c r="DV181" s="225"/>
      <c r="DW181" s="1"/>
      <c r="EJ181" s="1"/>
      <c r="EK181" s="17"/>
      <c r="EL181" s="17"/>
      <c r="EM181" s="17"/>
      <c r="EN181" s="17"/>
      <c r="EO181" s="17"/>
      <c r="EP181" s="17"/>
      <c r="EQ181" s="17"/>
      <c r="ER181" s="17"/>
      <c r="ES181" s="17"/>
      <c r="EU181" s="17"/>
      <c r="EW181" s="1"/>
      <c r="EX181" s="225"/>
      <c r="EY181" s="225"/>
      <c r="EZ181" s="225"/>
      <c r="FA181" s="225"/>
      <c r="FB181" s="225"/>
      <c r="FC181" s="225"/>
      <c r="FD181" s="225"/>
      <c r="FE181" s="225"/>
      <c r="FF181" s="225"/>
      <c r="FG181" s="10"/>
      <c r="FH181" s="225"/>
      <c r="FI181" s="10"/>
      <c r="FJ181" s="1"/>
      <c r="FK181" s="225"/>
      <c r="FL181" s="225"/>
      <c r="FM181" s="225"/>
      <c r="FN181" s="225"/>
      <c r="FO181" s="225"/>
      <c r="FP181" s="225"/>
      <c r="FQ181" s="225"/>
      <c r="FR181" s="225"/>
      <c r="FS181" s="225"/>
      <c r="FT181" s="191"/>
      <c r="FU181" s="225"/>
      <c r="FV181" s="151"/>
    </row>
    <row r="182" spans="1:178" ht="16" thickBot="1" x14ac:dyDescent="0.25">
      <c r="A182" s="27" t="s">
        <v>103</v>
      </c>
      <c r="B182" t="s">
        <v>142</v>
      </c>
      <c r="C182" s="1"/>
      <c r="D182" s="17"/>
      <c r="E182" s="17"/>
      <c r="F182" s="156"/>
      <c r="G182" s="89"/>
      <c r="H182" s="88"/>
      <c r="I182" s="88"/>
      <c r="J182" s="17"/>
      <c r="K182" s="17"/>
      <c r="L182" s="17"/>
      <c r="M182" s="17"/>
      <c r="N182" s="17"/>
      <c r="O182" s="17"/>
      <c r="P182" s="1"/>
      <c r="Q182" s="48"/>
      <c r="R182" s="49"/>
      <c r="S182" s="49"/>
      <c r="T182" s="50">
        <f t="shared" si="57"/>
        <v>0</v>
      </c>
      <c r="U182" s="48"/>
      <c r="V182" s="49"/>
      <c r="W182" s="49"/>
      <c r="X182" s="50">
        <f t="shared" si="58"/>
        <v>0</v>
      </c>
      <c r="Y182" s="48"/>
      <c r="Z182" s="49"/>
      <c r="AA182" s="49"/>
      <c r="AB182" s="50">
        <f t="shared" si="59"/>
        <v>0</v>
      </c>
      <c r="AC182" s="167"/>
      <c r="AD182" s="166"/>
      <c r="AE182" s="166"/>
      <c r="AF182" s="151">
        <f t="shared" si="60"/>
        <v>0</v>
      </c>
      <c r="AG182" s="166"/>
      <c r="AH182" s="166"/>
      <c r="AI182" s="166"/>
      <c r="AJ182" s="151">
        <f t="shared" si="61"/>
        <v>0</v>
      </c>
      <c r="AK182" s="192"/>
      <c r="AL182" s="10"/>
      <c r="AM182" s="10"/>
      <c r="AN182" s="151">
        <f t="shared" si="62"/>
        <v>0</v>
      </c>
      <c r="AO182" s="191"/>
      <c r="AP182" s="10"/>
      <c r="AQ182" s="10"/>
      <c r="AR182" s="151"/>
      <c r="AS182" s="191"/>
      <c r="AT182" s="10"/>
      <c r="AU182" s="10"/>
      <c r="AV182" s="151"/>
      <c r="AW182" s="191"/>
      <c r="AX182" s="10"/>
      <c r="AY182" s="10"/>
      <c r="AZ182" s="151"/>
      <c r="BA182" s="191"/>
      <c r="BB182" s="10"/>
      <c r="BC182" s="10"/>
      <c r="BD182" s="151"/>
      <c r="BE182" s="191"/>
      <c r="BF182" s="10"/>
      <c r="BG182" s="10"/>
      <c r="BH182" s="151"/>
      <c r="BI182" s="191"/>
      <c r="BJ182" s="10"/>
      <c r="BK182" s="10"/>
      <c r="BL182" s="151"/>
      <c r="BM182" s="1"/>
      <c r="BN182" s="48"/>
      <c r="BO182" s="56"/>
      <c r="BP182" s="56"/>
      <c r="BQ182" s="50"/>
      <c r="BR182" s="48"/>
      <c r="BS182" s="56"/>
      <c r="BT182" s="56"/>
      <c r="BU182" s="50"/>
      <c r="BV182" s="48"/>
      <c r="BW182" s="56"/>
      <c r="BX182" s="56"/>
      <c r="BY182" s="50"/>
      <c r="BZ182" s="48"/>
      <c r="CA182" s="49"/>
      <c r="CB182" s="49"/>
      <c r="CC182" s="50"/>
      <c r="CD182" s="48"/>
      <c r="CE182" s="49"/>
      <c r="CF182" s="49"/>
      <c r="CG182" s="50"/>
      <c r="CK182" s="12"/>
      <c r="CL182" s="15"/>
      <c r="CO182" s="12"/>
      <c r="CP182" s="15"/>
      <c r="CS182" s="12"/>
      <c r="CT182" s="15"/>
      <c r="CW182" s="12"/>
      <c r="CX182" s="15"/>
      <c r="DA182" s="12"/>
      <c r="DF182" s="15"/>
      <c r="DI182" s="12"/>
      <c r="DJ182" s="1"/>
      <c r="DK182" s="225"/>
      <c r="DL182" s="225"/>
      <c r="DM182" s="225"/>
      <c r="DN182" s="225"/>
      <c r="DO182" s="225"/>
      <c r="DP182" s="225"/>
      <c r="DQ182" s="225"/>
      <c r="DR182" s="225"/>
      <c r="DS182" s="225"/>
      <c r="DT182" s="225"/>
      <c r="DU182" s="225"/>
      <c r="DV182" s="225"/>
      <c r="DW182" s="1"/>
      <c r="EJ182" s="1"/>
      <c r="EK182" s="17"/>
      <c r="EL182" s="17"/>
      <c r="EM182" s="17"/>
      <c r="EN182" s="17"/>
      <c r="EO182" s="17"/>
      <c r="EP182" s="17"/>
      <c r="EQ182" s="17"/>
      <c r="ER182" s="17"/>
      <c r="ES182" s="17"/>
      <c r="EU182" s="17"/>
      <c r="EW182" s="1"/>
      <c r="EX182" s="225"/>
      <c r="EY182" s="225"/>
      <c r="EZ182" s="225"/>
      <c r="FA182" s="225"/>
      <c r="FB182" s="225"/>
      <c r="FC182" s="225"/>
      <c r="FD182" s="225"/>
      <c r="FE182" s="225"/>
      <c r="FF182" s="225"/>
      <c r="FG182" s="10"/>
      <c r="FH182" s="225"/>
      <c r="FI182" s="10"/>
      <c r="FJ182" s="1"/>
      <c r="FK182" s="225"/>
      <c r="FL182" s="225"/>
      <c r="FM182" s="225"/>
      <c r="FN182" s="225"/>
      <c r="FO182" s="225"/>
      <c r="FP182" s="225"/>
      <c r="FQ182" s="225"/>
      <c r="FR182" s="225"/>
      <c r="FS182" s="225"/>
      <c r="FT182" s="191"/>
      <c r="FU182" s="225"/>
      <c r="FV182" s="151"/>
    </row>
    <row r="183" spans="1:178" ht="16" thickBot="1" x14ac:dyDescent="0.25">
      <c r="A183" s="27" t="s">
        <v>104</v>
      </c>
      <c r="B183" t="s">
        <v>142</v>
      </c>
      <c r="C183" s="1"/>
      <c r="D183" s="17"/>
      <c r="E183" s="17"/>
      <c r="F183" s="156"/>
      <c r="G183" s="89"/>
      <c r="H183" s="88"/>
      <c r="I183" s="88"/>
      <c r="J183" s="17"/>
      <c r="K183" s="17"/>
      <c r="L183" s="17"/>
      <c r="M183" s="17"/>
      <c r="N183" s="17"/>
      <c r="O183" s="17"/>
      <c r="P183" s="1"/>
      <c r="Q183" s="48"/>
      <c r="R183" s="49"/>
      <c r="S183" s="49"/>
      <c r="T183" s="50">
        <f t="shared" si="57"/>
        <v>0</v>
      </c>
      <c r="U183" s="48"/>
      <c r="V183" s="49"/>
      <c r="W183" s="49"/>
      <c r="X183" s="50">
        <f t="shared" si="58"/>
        <v>0</v>
      </c>
      <c r="Y183" s="48"/>
      <c r="Z183" s="49"/>
      <c r="AA183" s="49"/>
      <c r="AB183" s="50">
        <f t="shared" si="59"/>
        <v>0</v>
      </c>
      <c r="AC183" s="167"/>
      <c r="AD183" s="166"/>
      <c r="AE183" s="166"/>
      <c r="AF183" s="151">
        <f t="shared" si="60"/>
        <v>0</v>
      </c>
      <c r="AG183" s="166"/>
      <c r="AH183" s="166"/>
      <c r="AI183" s="166"/>
      <c r="AJ183" s="151">
        <f t="shared" si="61"/>
        <v>0</v>
      </c>
      <c r="AK183" s="192"/>
      <c r="AL183" s="10"/>
      <c r="AM183" s="10"/>
      <c r="AN183" s="151">
        <f t="shared" si="62"/>
        <v>0</v>
      </c>
      <c r="AO183" s="191"/>
      <c r="AP183" s="10"/>
      <c r="AQ183" s="10"/>
      <c r="AR183" s="151"/>
      <c r="AS183" s="191"/>
      <c r="AT183" s="10"/>
      <c r="AU183" s="10"/>
      <c r="AV183" s="151"/>
      <c r="AW183" s="191"/>
      <c r="AX183" s="10"/>
      <c r="AY183" s="10"/>
      <c r="AZ183" s="151"/>
      <c r="BA183" s="191"/>
      <c r="BB183" s="10"/>
      <c r="BC183" s="10"/>
      <c r="BD183" s="151"/>
      <c r="BE183" s="191"/>
      <c r="BF183" s="10"/>
      <c r="BG183" s="10"/>
      <c r="BH183" s="151"/>
      <c r="BI183" s="191"/>
      <c r="BJ183" s="10"/>
      <c r="BK183" s="10"/>
      <c r="BL183" s="151"/>
      <c r="BM183" s="1"/>
      <c r="BN183" s="48"/>
      <c r="BO183" s="56"/>
      <c r="BP183" s="56"/>
      <c r="BQ183" s="50"/>
      <c r="BR183" s="48"/>
      <c r="BS183" s="56"/>
      <c r="BT183" s="56"/>
      <c r="BU183" s="50"/>
      <c r="BV183" s="48"/>
      <c r="BW183" s="56"/>
      <c r="BX183" s="56"/>
      <c r="BY183" s="50"/>
      <c r="BZ183" s="48"/>
      <c r="CA183" s="49"/>
      <c r="CB183" s="49"/>
      <c r="CC183" s="50"/>
      <c r="CD183" s="48"/>
      <c r="CE183" s="49"/>
      <c r="CF183" s="49"/>
      <c r="CG183" s="50"/>
      <c r="CK183" s="12"/>
      <c r="CL183" s="15"/>
      <c r="CO183" s="12"/>
      <c r="CP183" s="15"/>
      <c r="CS183" s="12"/>
      <c r="CT183" s="15"/>
      <c r="CW183" s="12"/>
      <c r="CX183" s="15"/>
      <c r="DA183" s="12"/>
      <c r="DF183" s="15"/>
      <c r="DI183" s="12"/>
      <c r="DJ183" s="1"/>
      <c r="DK183" s="225"/>
      <c r="DL183" s="225"/>
      <c r="DM183" s="225"/>
      <c r="DN183" s="225"/>
      <c r="DO183" s="225"/>
      <c r="DP183" s="225"/>
      <c r="DQ183" s="225"/>
      <c r="DR183" s="225"/>
      <c r="DS183" s="225"/>
      <c r="DT183" s="225"/>
      <c r="DU183" s="225"/>
      <c r="DV183" s="225"/>
      <c r="DW183" s="1"/>
      <c r="EJ183" s="1"/>
      <c r="EK183" s="17"/>
      <c r="EL183" s="17"/>
      <c r="EM183" s="17"/>
      <c r="EN183" s="17"/>
      <c r="EO183" s="17"/>
      <c r="EP183" s="17"/>
      <c r="EQ183" s="17"/>
      <c r="ER183" s="17"/>
      <c r="ES183" s="17"/>
      <c r="EU183" s="17"/>
      <c r="EW183" s="1"/>
      <c r="EX183" s="225"/>
      <c r="EY183" s="225"/>
      <c r="EZ183" s="225"/>
      <c r="FA183" s="225"/>
      <c r="FB183" s="225"/>
      <c r="FC183" s="225"/>
      <c r="FD183" s="225"/>
      <c r="FE183" s="225"/>
      <c r="FF183" s="225"/>
      <c r="FG183" s="10"/>
      <c r="FH183" s="225"/>
      <c r="FI183" s="10"/>
      <c r="FJ183" s="1"/>
      <c r="FK183" s="225"/>
      <c r="FL183" s="225"/>
      <c r="FM183" s="225"/>
      <c r="FN183" s="225"/>
      <c r="FO183" s="225"/>
      <c r="FP183" s="225"/>
      <c r="FQ183" s="225"/>
      <c r="FR183" s="225"/>
      <c r="FS183" s="225"/>
      <c r="FT183" s="191"/>
      <c r="FU183" s="225"/>
      <c r="FV183" s="151"/>
    </row>
    <row r="184" spans="1:178" ht="16" thickBot="1" x14ac:dyDescent="0.25">
      <c r="A184" s="27" t="s">
        <v>105</v>
      </c>
      <c r="B184" t="s">
        <v>142</v>
      </c>
      <c r="C184" s="1"/>
      <c r="D184" s="17"/>
      <c r="E184" s="17"/>
      <c r="F184" s="156"/>
      <c r="G184" s="89"/>
      <c r="H184" s="87"/>
      <c r="I184" s="88"/>
      <c r="J184" s="17"/>
      <c r="K184" s="17"/>
      <c r="L184" s="17"/>
      <c r="M184" s="17"/>
      <c r="N184" s="17"/>
      <c r="O184" s="17"/>
      <c r="P184" s="1"/>
      <c r="Q184" s="48"/>
      <c r="R184" s="49"/>
      <c r="S184" s="49"/>
      <c r="T184" s="50">
        <f t="shared" si="57"/>
        <v>0</v>
      </c>
      <c r="U184" s="48"/>
      <c r="V184" s="49"/>
      <c r="W184" s="49"/>
      <c r="X184" s="50">
        <f t="shared" si="58"/>
        <v>0</v>
      </c>
      <c r="Y184" s="48"/>
      <c r="Z184" s="49"/>
      <c r="AA184" s="49"/>
      <c r="AB184" s="50">
        <f t="shared" si="59"/>
        <v>0</v>
      </c>
      <c r="AC184" s="167"/>
      <c r="AD184" s="166"/>
      <c r="AE184" s="166"/>
      <c r="AF184" s="151">
        <f t="shared" si="60"/>
        <v>0</v>
      </c>
      <c r="AG184" s="165"/>
      <c r="AH184" s="166"/>
      <c r="AI184" s="166"/>
      <c r="AJ184" s="151">
        <f t="shared" si="61"/>
        <v>0</v>
      </c>
      <c r="AK184" s="192"/>
      <c r="AL184" s="10"/>
      <c r="AM184" s="10"/>
      <c r="AN184" s="151">
        <f t="shared" si="62"/>
        <v>0</v>
      </c>
      <c r="AO184" s="191"/>
      <c r="AP184" s="10"/>
      <c r="AQ184" s="10"/>
      <c r="AR184" s="151"/>
      <c r="AS184" s="191"/>
      <c r="AT184" s="10"/>
      <c r="AU184" s="10"/>
      <c r="AV184" s="151"/>
      <c r="AW184" s="191"/>
      <c r="AX184" s="10"/>
      <c r="AY184" s="10"/>
      <c r="AZ184" s="151"/>
      <c r="BA184" s="191"/>
      <c r="BB184" s="10"/>
      <c r="BC184" s="10"/>
      <c r="BD184" s="151"/>
      <c r="BE184" s="191"/>
      <c r="BF184" s="10"/>
      <c r="BG184" s="10"/>
      <c r="BH184" s="151"/>
      <c r="BI184" s="191"/>
      <c r="BJ184" s="10"/>
      <c r="BK184" s="10"/>
      <c r="BL184" s="151"/>
      <c r="BM184" s="1"/>
      <c r="BN184" s="48"/>
      <c r="BO184" s="56"/>
      <c r="BP184" s="56"/>
      <c r="BQ184" s="50"/>
      <c r="BR184" s="48"/>
      <c r="BS184" s="56"/>
      <c r="BT184" s="56"/>
      <c r="BU184" s="50"/>
      <c r="BV184" s="48"/>
      <c r="BW184" s="56"/>
      <c r="BX184" s="56"/>
      <c r="BY184" s="50"/>
      <c r="BZ184" s="48"/>
      <c r="CA184" s="49"/>
      <c r="CB184" s="49"/>
      <c r="CC184" s="50"/>
      <c r="CD184" s="48"/>
      <c r="CE184" s="49"/>
      <c r="CF184" s="49"/>
      <c r="CG184" s="50"/>
      <c r="CK184" s="12"/>
      <c r="CL184" s="15"/>
      <c r="CO184" s="12"/>
      <c r="CP184" s="15"/>
      <c r="CS184" s="12"/>
      <c r="CT184" s="15"/>
      <c r="CW184" s="12"/>
      <c r="CX184" s="15"/>
      <c r="DA184" s="12"/>
      <c r="DF184" s="15"/>
      <c r="DI184" s="12"/>
      <c r="DJ184" s="1"/>
      <c r="DK184" s="225"/>
      <c r="DL184" s="225"/>
      <c r="DM184" s="225"/>
      <c r="DN184" s="225"/>
      <c r="DO184" s="225"/>
      <c r="DP184" s="225"/>
      <c r="DQ184" s="225"/>
      <c r="DR184" s="225"/>
      <c r="DS184" s="225"/>
      <c r="DT184" s="225"/>
      <c r="DU184" s="225"/>
      <c r="DV184" s="225"/>
      <c r="DW184" s="1"/>
      <c r="EJ184" s="1"/>
      <c r="EK184" s="17"/>
      <c r="EL184" s="17"/>
      <c r="EM184" s="17"/>
      <c r="EN184" s="17"/>
      <c r="EO184" s="17"/>
      <c r="EP184" s="17"/>
      <c r="EQ184" s="17"/>
      <c r="ER184" s="17"/>
      <c r="ES184" s="17"/>
      <c r="EU184" s="17"/>
      <c r="EW184" s="1"/>
      <c r="EX184" s="225"/>
      <c r="EY184" s="225"/>
      <c r="EZ184" s="225"/>
      <c r="FA184" s="225"/>
      <c r="FB184" s="225"/>
      <c r="FC184" s="225"/>
      <c r="FD184" s="225"/>
      <c r="FE184" s="225"/>
      <c r="FF184" s="225"/>
      <c r="FG184" s="10"/>
      <c r="FH184" s="225"/>
      <c r="FI184" s="10"/>
      <c r="FJ184" s="1"/>
      <c r="FK184" s="225"/>
      <c r="FL184" s="225"/>
      <c r="FM184" s="225"/>
      <c r="FN184" s="225"/>
      <c r="FO184" s="225"/>
      <c r="FP184" s="225"/>
      <c r="FQ184" s="225"/>
      <c r="FR184" s="225"/>
      <c r="FS184" s="225"/>
      <c r="FT184" s="191"/>
      <c r="FU184" s="225"/>
      <c r="FV184" s="151"/>
    </row>
    <row r="185" spans="1:178" ht="16" thickBot="1" x14ac:dyDescent="0.25">
      <c r="A185" s="27" t="s">
        <v>106</v>
      </c>
      <c r="B185" t="s">
        <v>142</v>
      </c>
      <c r="C185" s="1"/>
      <c r="D185" s="17"/>
      <c r="E185" s="17"/>
      <c r="F185" s="156"/>
      <c r="G185" s="89"/>
      <c r="H185" s="88"/>
      <c r="I185" s="88"/>
      <c r="J185" s="17"/>
      <c r="K185" s="17"/>
      <c r="L185" s="17"/>
      <c r="M185" s="17"/>
      <c r="N185" s="17"/>
      <c r="O185" s="17"/>
      <c r="P185" s="1"/>
      <c r="Q185" s="48"/>
      <c r="R185" s="49"/>
      <c r="S185" s="49"/>
      <c r="T185" s="50">
        <f t="shared" si="57"/>
        <v>0</v>
      </c>
      <c r="U185" s="48"/>
      <c r="V185" s="49"/>
      <c r="W185" s="49"/>
      <c r="X185" s="50">
        <f t="shared" si="58"/>
        <v>0</v>
      </c>
      <c r="Y185" s="48"/>
      <c r="Z185" s="49"/>
      <c r="AA185" s="49"/>
      <c r="AB185" s="50">
        <f t="shared" si="59"/>
        <v>0</v>
      </c>
      <c r="AC185" s="167"/>
      <c r="AD185" s="166"/>
      <c r="AE185" s="166"/>
      <c r="AF185" s="151">
        <f t="shared" si="60"/>
        <v>0</v>
      </c>
      <c r="AG185" s="166"/>
      <c r="AH185" s="166"/>
      <c r="AI185" s="166"/>
      <c r="AJ185" s="151">
        <f t="shared" si="61"/>
        <v>0</v>
      </c>
      <c r="AK185" s="192"/>
      <c r="AL185" s="10"/>
      <c r="AM185" s="10"/>
      <c r="AN185" s="151">
        <f t="shared" si="62"/>
        <v>0</v>
      </c>
      <c r="AO185" s="191"/>
      <c r="AP185" s="10"/>
      <c r="AQ185" s="10"/>
      <c r="AR185" s="151"/>
      <c r="AS185" s="191"/>
      <c r="AT185" s="10"/>
      <c r="AU185" s="10"/>
      <c r="AV185" s="151"/>
      <c r="AW185" s="191"/>
      <c r="AX185" s="10"/>
      <c r="AY185" s="10"/>
      <c r="AZ185" s="151"/>
      <c r="BA185" s="191"/>
      <c r="BB185" s="10"/>
      <c r="BC185" s="10"/>
      <c r="BD185" s="151"/>
      <c r="BE185" s="191"/>
      <c r="BF185" s="10"/>
      <c r="BG185" s="10"/>
      <c r="BH185" s="151"/>
      <c r="BI185" s="191"/>
      <c r="BJ185" s="10"/>
      <c r="BK185" s="10"/>
      <c r="BL185" s="151"/>
      <c r="BM185" s="1"/>
      <c r="BN185" s="48"/>
      <c r="BO185" s="56"/>
      <c r="BP185" s="56"/>
      <c r="BQ185" s="50"/>
      <c r="BR185" s="48"/>
      <c r="BS185" s="56"/>
      <c r="BT185" s="56"/>
      <c r="BU185" s="50"/>
      <c r="BV185" s="48"/>
      <c r="BW185" s="56"/>
      <c r="BX185" s="56"/>
      <c r="BY185" s="50"/>
      <c r="BZ185" s="48"/>
      <c r="CA185" s="49"/>
      <c r="CB185" s="49"/>
      <c r="CC185" s="50"/>
      <c r="CD185" s="48"/>
      <c r="CE185" s="49"/>
      <c r="CF185" s="49"/>
      <c r="CG185" s="50"/>
      <c r="CK185" s="12"/>
      <c r="CL185" s="15"/>
      <c r="CO185" s="12"/>
      <c r="CP185" s="15"/>
      <c r="CS185" s="12"/>
      <c r="CT185" s="15"/>
      <c r="CW185" s="12"/>
      <c r="CX185" s="15"/>
      <c r="DA185" s="12"/>
      <c r="DF185" s="15"/>
      <c r="DI185" s="12"/>
      <c r="DJ185" s="1"/>
      <c r="DK185" s="225"/>
      <c r="DL185" s="225"/>
      <c r="DM185" s="225"/>
      <c r="DN185" s="225"/>
      <c r="DO185" s="225"/>
      <c r="DP185" s="225"/>
      <c r="DQ185" s="225"/>
      <c r="DR185" s="225"/>
      <c r="DS185" s="225"/>
      <c r="DT185" s="225"/>
      <c r="DU185" s="225"/>
      <c r="DV185" s="225"/>
      <c r="DW185" s="1"/>
      <c r="EJ185" s="1"/>
      <c r="EK185" s="17"/>
      <c r="EL185" s="17"/>
      <c r="EM185" s="17"/>
      <c r="EN185" s="17"/>
      <c r="EO185" s="17"/>
      <c r="EP185" s="17"/>
      <c r="EQ185" s="17"/>
      <c r="ER185" s="17"/>
      <c r="ES185" s="17"/>
      <c r="EU185" s="17"/>
      <c r="EW185" s="1"/>
      <c r="EX185" s="225"/>
      <c r="EY185" s="225"/>
      <c r="EZ185" s="225"/>
      <c r="FA185" s="225"/>
      <c r="FB185" s="225"/>
      <c r="FC185" s="225"/>
      <c r="FD185" s="225"/>
      <c r="FE185" s="225"/>
      <c r="FF185" s="225"/>
      <c r="FG185" s="10"/>
      <c r="FH185" s="225"/>
      <c r="FI185" s="10"/>
      <c r="FJ185" s="1"/>
      <c r="FK185" s="225"/>
      <c r="FL185" s="225"/>
      <c r="FM185" s="225"/>
      <c r="FN185" s="225"/>
      <c r="FO185" s="225"/>
      <c r="FP185" s="225"/>
      <c r="FQ185" s="225"/>
      <c r="FR185" s="225"/>
      <c r="FS185" s="225"/>
      <c r="FT185" s="191"/>
      <c r="FU185" s="225"/>
      <c r="FV185" s="151"/>
    </row>
    <row r="186" spans="1:178" ht="16" thickBot="1" x14ac:dyDescent="0.25">
      <c r="A186" s="27" t="s">
        <v>107</v>
      </c>
      <c r="B186" t="s">
        <v>142</v>
      </c>
      <c r="C186" s="1"/>
      <c r="D186" s="17"/>
      <c r="E186" s="17"/>
      <c r="F186" s="156"/>
      <c r="G186" s="89"/>
      <c r="H186" s="88"/>
      <c r="I186" s="88"/>
      <c r="J186" s="17"/>
      <c r="K186" s="17"/>
      <c r="L186" s="17"/>
      <c r="M186" s="17"/>
      <c r="N186" s="17"/>
      <c r="O186" s="17"/>
      <c r="P186" s="1"/>
      <c r="Q186" s="48"/>
      <c r="R186" s="49"/>
      <c r="S186" s="49"/>
      <c r="T186" s="50">
        <f t="shared" si="57"/>
        <v>0</v>
      </c>
      <c r="U186" s="48"/>
      <c r="V186" s="49"/>
      <c r="W186" s="49"/>
      <c r="X186" s="50">
        <f t="shared" si="58"/>
        <v>0</v>
      </c>
      <c r="Y186" s="48"/>
      <c r="Z186" s="49"/>
      <c r="AA186" s="49"/>
      <c r="AB186" s="50">
        <f t="shared" si="59"/>
        <v>0</v>
      </c>
      <c r="AC186" s="167"/>
      <c r="AD186" s="166"/>
      <c r="AE186" s="166"/>
      <c r="AF186" s="151">
        <f t="shared" si="60"/>
        <v>0</v>
      </c>
      <c r="AG186" s="166"/>
      <c r="AH186" s="166"/>
      <c r="AI186" s="166"/>
      <c r="AJ186" s="151">
        <f t="shared" si="61"/>
        <v>0</v>
      </c>
      <c r="AK186" s="192"/>
      <c r="AL186" s="10"/>
      <c r="AM186" s="10"/>
      <c r="AN186" s="151">
        <f t="shared" si="62"/>
        <v>0</v>
      </c>
      <c r="AO186" s="191"/>
      <c r="AP186" s="10"/>
      <c r="AQ186" s="10"/>
      <c r="AR186" s="151"/>
      <c r="AS186" s="191"/>
      <c r="AT186" s="10"/>
      <c r="AU186" s="10"/>
      <c r="AV186" s="151"/>
      <c r="AW186" s="191"/>
      <c r="AX186" s="10"/>
      <c r="AY186" s="10"/>
      <c r="AZ186" s="151"/>
      <c r="BA186" s="191"/>
      <c r="BB186" s="10"/>
      <c r="BC186" s="10"/>
      <c r="BD186" s="151"/>
      <c r="BE186" s="191"/>
      <c r="BF186" s="10"/>
      <c r="BG186" s="10"/>
      <c r="BH186" s="151"/>
      <c r="BI186" s="191"/>
      <c r="BJ186" s="10"/>
      <c r="BK186" s="10"/>
      <c r="BL186" s="151"/>
      <c r="BM186" s="1"/>
      <c r="BN186" s="48"/>
      <c r="BO186" s="56"/>
      <c r="BP186" s="56"/>
      <c r="BQ186" s="50"/>
      <c r="BR186" s="48"/>
      <c r="BS186" s="56"/>
      <c r="BT186" s="56"/>
      <c r="BU186" s="50"/>
      <c r="BV186" s="48"/>
      <c r="BW186" s="56"/>
      <c r="BX186" s="56"/>
      <c r="BY186" s="50"/>
      <c r="BZ186" s="48"/>
      <c r="CA186" s="49"/>
      <c r="CB186" s="49"/>
      <c r="CC186" s="50"/>
      <c r="CD186" s="48"/>
      <c r="CE186" s="49"/>
      <c r="CF186" s="49"/>
      <c r="CG186" s="50"/>
      <c r="CK186" s="12"/>
      <c r="CL186" s="15"/>
      <c r="CO186" s="12"/>
      <c r="CP186" s="15"/>
      <c r="CS186" s="12"/>
      <c r="CT186" s="15"/>
      <c r="CW186" s="12"/>
      <c r="CX186" s="15"/>
      <c r="DA186" s="12"/>
      <c r="DF186" s="15"/>
      <c r="DI186" s="12"/>
      <c r="DJ186" s="1"/>
      <c r="DK186" s="225"/>
      <c r="DL186" s="225"/>
      <c r="DM186" s="225"/>
      <c r="DN186" s="225"/>
      <c r="DO186" s="225"/>
      <c r="DP186" s="225"/>
      <c r="DQ186" s="225"/>
      <c r="DR186" s="225"/>
      <c r="DS186" s="225"/>
      <c r="DT186" s="225"/>
      <c r="DU186" s="225"/>
      <c r="DV186" s="225"/>
      <c r="DW186" s="1"/>
      <c r="EJ186" s="1"/>
      <c r="EK186" s="17"/>
      <c r="EL186" s="17"/>
      <c r="EM186" s="17"/>
      <c r="EN186" s="17"/>
      <c r="EO186" s="17"/>
      <c r="EP186" s="17"/>
      <c r="EQ186" s="17"/>
      <c r="ER186" s="17"/>
      <c r="ES186" s="17"/>
      <c r="EU186" s="17"/>
      <c r="EW186" s="1"/>
      <c r="EX186" s="225"/>
      <c r="EY186" s="225"/>
      <c r="EZ186" s="225"/>
      <c r="FA186" s="225"/>
      <c r="FB186" s="225"/>
      <c r="FC186" s="225"/>
      <c r="FD186" s="225"/>
      <c r="FE186" s="225"/>
      <c r="FF186" s="225"/>
      <c r="FG186" s="10"/>
      <c r="FH186" s="225"/>
      <c r="FI186" s="10"/>
      <c r="FJ186" s="1"/>
      <c r="FK186" s="225"/>
      <c r="FL186" s="225"/>
      <c r="FM186" s="225"/>
      <c r="FN186" s="225"/>
      <c r="FO186" s="225"/>
      <c r="FP186" s="225"/>
      <c r="FQ186" s="225"/>
      <c r="FR186" s="225"/>
      <c r="FS186" s="225"/>
      <c r="FT186" s="191"/>
      <c r="FU186" s="225"/>
      <c r="FV186" s="151"/>
    </row>
    <row r="187" spans="1:178" ht="16" thickBot="1" x14ac:dyDescent="0.25">
      <c r="A187" s="27" t="s">
        <v>108</v>
      </c>
      <c r="B187" t="s">
        <v>142</v>
      </c>
      <c r="C187" s="1"/>
      <c r="D187" s="17"/>
      <c r="E187" s="17"/>
      <c r="F187" s="156"/>
      <c r="G187" s="89"/>
      <c r="H187" s="88"/>
      <c r="I187" s="88"/>
      <c r="J187" s="17"/>
      <c r="K187" s="17"/>
      <c r="L187" s="17"/>
      <c r="M187" s="17"/>
      <c r="N187" s="17"/>
      <c r="O187" s="17"/>
      <c r="P187" s="1"/>
      <c r="Q187" s="48"/>
      <c r="R187" s="49"/>
      <c r="S187" s="49"/>
      <c r="T187" s="50">
        <f t="shared" si="57"/>
        <v>0</v>
      </c>
      <c r="U187" s="48"/>
      <c r="V187" s="49"/>
      <c r="W187" s="49"/>
      <c r="X187" s="50">
        <f t="shared" si="58"/>
        <v>0</v>
      </c>
      <c r="Y187" s="48"/>
      <c r="Z187" s="49"/>
      <c r="AA187" s="49"/>
      <c r="AB187" s="50">
        <f t="shared" si="59"/>
        <v>0</v>
      </c>
      <c r="AC187" s="167"/>
      <c r="AD187" s="166"/>
      <c r="AE187" s="166"/>
      <c r="AF187" s="151">
        <f t="shared" si="60"/>
        <v>0</v>
      </c>
      <c r="AG187" s="166"/>
      <c r="AH187" s="166"/>
      <c r="AI187" s="166"/>
      <c r="AJ187" s="151">
        <f t="shared" si="61"/>
        <v>0</v>
      </c>
      <c r="AK187" s="192"/>
      <c r="AL187" s="10"/>
      <c r="AM187" s="10"/>
      <c r="AN187" s="151">
        <f t="shared" si="62"/>
        <v>0</v>
      </c>
      <c r="AO187" s="191"/>
      <c r="AP187" s="10"/>
      <c r="AQ187" s="10"/>
      <c r="AR187" s="151"/>
      <c r="AS187" s="191"/>
      <c r="AT187" s="10"/>
      <c r="AU187" s="10"/>
      <c r="AV187" s="151"/>
      <c r="AW187" s="191"/>
      <c r="AX187" s="10"/>
      <c r="AY187" s="10"/>
      <c r="AZ187" s="151"/>
      <c r="BA187" s="191"/>
      <c r="BB187" s="10"/>
      <c r="BC187" s="10"/>
      <c r="BD187" s="151"/>
      <c r="BE187" s="191"/>
      <c r="BF187" s="10"/>
      <c r="BG187" s="10"/>
      <c r="BH187" s="151"/>
      <c r="BI187" s="191"/>
      <c r="BJ187" s="10"/>
      <c r="BK187" s="10"/>
      <c r="BL187" s="151"/>
      <c r="BM187" s="1"/>
      <c r="BN187" s="48"/>
      <c r="BO187" s="56"/>
      <c r="BP187" s="56"/>
      <c r="BQ187" s="50"/>
      <c r="BR187" s="48"/>
      <c r="BS187" s="56"/>
      <c r="BT187" s="56"/>
      <c r="BU187" s="50"/>
      <c r="BV187" s="48"/>
      <c r="BW187" s="56"/>
      <c r="BX187" s="56"/>
      <c r="BY187" s="50"/>
      <c r="BZ187" s="48"/>
      <c r="CA187" s="49"/>
      <c r="CB187" s="49"/>
      <c r="CC187" s="50"/>
      <c r="CD187" s="48"/>
      <c r="CE187" s="49"/>
      <c r="CF187" s="49"/>
      <c r="CG187" s="50"/>
      <c r="CK187" s="12"/>
      <c r="CL187" s="15"/>
      <c r="CO187" s="12"/>
      <c r="CP187" s="15"/>
      <c r="CS187" s="12"/>
      <c r="CT187" s="15"/>
      <c r="CW187" s="12"/>
      <c r="CX187" s="15"/>
      <c r="DA187" s="12"/>
      <c r="DF187" s="15"/>
      <c r="DI187" s="12"/>
      <c r="DJ187" s="1"/>
      <c r="DK187" s="225"/>
      <c r="DL187" s="225"/>
      <c r="DM187" s="225"/>
      <c r="DN187" s="225"/>
      <c r="DO187" s="225"/>
      <c r="DP187" s="225"/>
      <c r="DQ187" s="225"/>
      <c r="DR187" s="225"/>
      <c r="DS187" s="225"/>
      <c r="DT187" s="225"/>
      <c r="DU187" s="225"/>
      <c r="DV187" s="225"/>
      <c r="DW187" s="1"/>
      <c r="EJ187" s="1"/>
      <c r="EK187" s="17"/>
      <c r="EL187" s="17"/>
      <c r="EM187" s="17"/>
      <c r="EN187" s="17"/>
      <c r="EO187" s="17"/>
      <c r="EP187" s="17"/>
      <c r="EQ187" s="17"/>
      <c r="ER187" s="17"/>
      <c r="ES187" s="17"/>
      <c r="EU187" s="17"/>
      <c r="EW187" s="1"/>
      <c r="EX187" s="225"/>
      <c r="EY187" s="225"/>
      <c r="EZ187" s="225"/>
      <c r="FA187" s="225"/>
      <c r="FB187" s="225"/>
      <c r="FC187" s="225"/>
      <c r="FD187" s="225"/>
      <c r="FE187" s="225"/>
      <c r="FF187" s="225"/>
      <c r="FG187" s="10"/>
      <c r="FH187" s="225"/>
      <c r="FI187" s="10"/>
      <c r="FJ187" s="1"/>
      <c r="FK187" s="225"/>
      <c r="FL187" s="225"/>
      <c r="FM187" s="225"/>
      <c r="FN187" s="225"/>
      <c r="FO187" s="225"/>
      <c r="FP187" s="225"/>
      <c r="FQ187" s="225"/>
      <c r="FR187" s="225"/>
      <c r="FS187" s="225"/>
      <c r="FT187" s="191"/>
      <c r="FU187" s="225"/>
      <c r="FV187" s="151"/>
    </row>
    <row r="188" spans="1:178" ht="16" thickBot="1" x14ac:dyDescent="0.25">
      <c r="A188" s="27" t="s">
        <v>109</v>
      </c>
      <c r="B188" t="s">
        <v>142</v>
      </c>
      <c r="C188" s="1"/>
      <c r="D188" s="17"/>
      <c r="E188" s="17"/>
      <c r="F188" s="156"/>
      <c r="G188" s="89"/>
      <c r="H188" s="88"/>
      <c r="I188" s="88"/>
      <c r="J188" s="17"/>
      <c r="K188" s="17"/>
      <c r="L188" s="17"/>
      <c r="M188" s="17"/>
      <c r="N188" s="17"/>
      <c r="O188" s="17"/>
      <c r="P188" s="1"/>
      <c r="Q188" s="48"/>
      <c r="R188" s="49"/>
      <c r="S188" s="49"/>
      <c r="T188" s="50">
        <f t="shared" si="57"/>
        <v>0</v>
      </c>
      <c r="U188" s="48"/>
      <c r="V188" s="49"/>
      <c r="W188" s="49"/>
      <c r="X188" s="50">
        <f t="shared" si="58"/>
        <v>0</v>
      </c>
      <c r="Y188" s="48"/>
      <c r="Z188" s="49"/>
      <c r="AA188" s="49"/>
      <c r="AB188" s="50">
        <f t="shared" si="59"/>
        <v>0</v>
      </c>
      <c r="AC188" s="167"/>
      <c r="AD188" s="166"/>
      <c r="AE188" s="166"/>
      <c r="AF188" s="151">
        <f t="shared" si="60"/>
        <v>0</v>
      </c>
      <c r="AG188" s="166"/>
      <c r="AH188" s="166"/>
      <c r="AI188" s="166"/>
      <c r="AJ188" s="151">
        <f t="shared" si="61"/>
        <v>0</v>
      </c>
      <c r="AK188" s="192"/>
      <c r="AL188" s="10"/>
      <c r="AM188" s="10"/>
      <c r="AN188" s="151">
        <f t="shared" si="62"/>
        <v>0</v>
      </c>
      <c r="AO188" s="191"/>
      <c r="AP188" s="10"/>
      <c r="AQ188" s="10"/>
      <c r="AR188" s="151"/>
      <c r="AS188" s="191"/>
      <c r="AT188" s="10"/>
      <c r="AU188" s="10"/>
      <c r="AV188" s="151"/>
      <c r="AW188" s="191"/>
      <c r="AX188" s="10"/>
      <c r="AY188" s="10"/>
      <c r="AZ188" s="151"/>
      <c r="BA188" s="191"/>
      <c r="BB188" s="10"/>
      <c r="BC188" s="10"/>
      <c r="BD188" s="151"/>
      <c r="BE188" s="191"/>
      <c r="BF188" s="10"/>
      <c r="BG188" s="10"/>
      <c r="BH188" s="151"/>
      <c r="BI188" s="191"/>
      <c r="BJ188" s="10"/>
      <c r="BK188" s="10"/>
      <c r="BL188" s="151"/>
      <c r="BM188" s="1"/>
      <c r="BN188" s="48"/>
      <c r="BO188" s="56"/>
      <c r="BP188" s="56"/>
      <c r="BQ188" s="50"/>
      <c r="BR188" s="48"/>
      <c r="BS188" s="56"/>
      <c r="BT188" s="56"/>
      <c r="BU188" s="50"/>
      <c r="BV188" s="48"/>
      <c r="BW188" s="56"/>
      <c r="BX188" s="56"/>
      <c r="BY188" s="50"/>
      <c r="BZ188" s="48"/>
      <c r="CA188" s="49"/>
      <c r="CB188" s="49"/>
      <c r="CC188" s="50"/>
      <c r="CD188" s="48"/>
      <c r="CE188" s="49"/>
      <c r="CF188" s="49"/>
      <c r="CG188" s="50"/>
      <c r="CK188" s="12"/>
      <c r="CL188" s="15"/>
      <c r="CO188" s="12"/>
      <c r="CP188" s="15"/>
      <c r="CS188" s="12"/>
      <c r="CT188" s="15"/>
      <c r="CW188" s="12"/>
      <c r="CX188" s="15"/>
      <c r="DA188" s="12"/>
      <c r="DF188" s="15"/>
      <c r="DI188" s="12"/>
      <c r="DJ188" s="1"/>
      <c r="DK188" s="225"/>
      <c r="DL188" s="225"/>
      <c r="DM188" s="225"/>
      <c r="DN188" s="225"/>
      <c r="DO188" s="225"/>
      <c r="DP188" s="225"/>
      <c r="DQ188" s="225"/>
      <c r="DR188" s="225"/>
      <c r="DS188" s="225"/>
      <c r="DT188" s="225"/>
      <c r="DU188" s="225"/>
      <c r="DV188" s="225"/>
      <c r="DW188" s="1"/>
      <c r="EJ188" s="1"/>
      <c r="EK188" s="17"/>
      <c r="EL188" s="17"/>
      <c r="EM188" s="17"/>
      <c r="EN188" s="17"/>
      <c r="EO188" s="17"/>
      <c r="EP188" s="17"/>
      <c r="EQ188" s="17"/>
      <c r="ER188" s="17"/>
      <c r="ES188" s="17"/>
      <c r="EU188" s="17"/>
      <c r="EW188" s="1"/>
      <c r="EX188" s="225"/>
      <c r="EY188" s="225"/>
      <c r="EZ188" s="225"/>
      <c r="FA188" s="225"/>
      <c r="FB188" s="225"/>
      <c r="FC188" s="225"/>
      <c r="FD188" s="225"/>
      <c r="FE188" s="225"/>
      <c r="FF188" s="225"/>
      <c r="FG188" s="10"/>
      <c r="FH188" s="225"/>
      <c r="FI188" s="10"/>
      <c r="FJ188" s="1"/>
      <c r="FK188" s="225"/>
      <c r="FL188" s="225"/>
      <c r="FM188" s="225"/>
      <c r="FN188" s="225"/>
      <c r="FO188" s="225"/>
      <c r="FP188" s="225"/>
      <c r="FQ188" s="225"/>
      <c r="FR188" s="225"/>
      <c r="FS188" s="225"/>
      <c r="FT188" s="191"/>
      <c r="FU188" s="225"/>
      <c r="FV188" s="151"/>
    </row>
    <row r="189" spans="1:178" ht="16" thickBot="1" x14ac:dyDescent="0.25">
      <c r="A189" s="27" t="s">
        <v>110</v>
      </c>
      <c r="B189" t="s">
        <v>142</v>
      </c>
      <c r="C189" s="1"/>
      <c r="D189" s="17"/>
      <c r="E189" s="17"/>
      <c r="F189" s="156"/>
      <c r="G189" s="89"/>
      <c r="H189" s="88"/>
      <c r="I189" s="88"/>
      <c r="J189" s="17"/>
      <c r="K189" s="17"/>
      <c r="L189" s="17"/>
      <c r="M189" s="17"/>
      <c r="N189" s="17"/>
      <c r="O189" s="17"/>
      <c r="P189" s="1"/>
      <c r="Q189" s="48"/>
      <c r="R189" s="49"/>
      <c r="S189" s="49"/>
      <c r="T189" s="50">
        <f t="shared" si="57"/>
        <v>0</v>
      </c>
      <c r="U189" s="48"/>
      <c r="V189" s="49"/>
      <c r="W189" s="49"/>
      <c r="X189" s="50">
        <f t="shared" si="58"/>
        <v>0</v>
      </c>
      <c r="Y189" s="48"/>
      <c r="Z189" s="49"/>
      <c r="AA189" s="49"/>
      <c r="AB189" s="50">
        <f t="shared" si="59"/>
        <v>0</v>
      </c>
      <c r="AC189" s="167"/>
      <c r="AD189" s="166"/>
      <c r="AE189" s="166"/>
      <c r="AF189" s="151">
        <f t="shared" si="60"/>
        <v>0</v>
      </c>
      <c r="AG189" s="166"/>
      <c r="AH189" s="166"/>
      <c r="AI189" s="166"/>
      <c r="AJ189" s="151">
        <f t="shared" si="61"/>
        <v>0</v>
      </c>
      <c r="AK189" s="192"/>
      <c r="AL189" s="10"/>
      <c r="AM189" s="10"/>
      <c r="AN189" s="151">
        <f t="shared" si="62"/>
        <v>0</v>
      </c>
      <c r="AO189" s="191"/>
      <c r="AP189" s="10"/>
      <c r="AQ189" s="10"/>
      <c r="AR189" s="151"/>
      <c r="AS189" s="191"/>
      <c r="AT189" s="10"/>
      <c r="AU189" s="10"/>
      <c r="AV189" s="151"/>
      <c r="AW189" s="191"/>
      <c r="AX189" s="10"/>
      <c r="AY189" s="10"/>
      <c r="AZ189" s="151"/>
      <c r="BA189" s="191"/>
      <c r="BB189" s="10"/>
      <c r="BC189" s="10"/>
      <c r="BD189" s="151"/>
      <c r="BE189" s="191"/>
      <c r="BF189" s="10"/>
      <c r="BG189" s="10"/>
      <c r="BH189" s="151"/>
      <c r="BI189" s="191"/>
      <c r="BJ189" s="10"/>
      <c r="BK189" s="10"/>
      <c r="BL189" s="151"/>
      <c r="BM189" s="1"/>
      <c r="BN189" s="48"/>
      <c r="BO189" s="56"/>
      <c r="BP189" s="56"/>
      <c r="BQ189" s="50"/>
      <c r="BR189" s="48"/>
      <c r="BS189" s="56"/>
      <c r="BT189" s="56"/>
      <c r="BU189" s="50"/>
      <c r="BV189" s="48"/>
      <c r="BW189" s="56"/>
      <c r="BX189" s="56"/>
      <c r="BY189" s="50"/>
      <c r="BZ189" s="48"/>
      <c r="CA189" s="49"/>
      <c r="CB189" s="49"/>
      <c r="CC189" s="50"/>
      <c r="CD189" s="48"/>
      <c r="CE189" s="49"/>
      <c r="CF189" s="49"/>
      <c r="CG189" s="50"/>
      <c r="CK189" s="12"/>
      <c r="CL189" s="15"/>
      <c r="CO189" s="12"/>
      <c r="CP189" s="15"/>
      <c r="CS189" s="12"/>
      <c r="CT189" s="15"/>
      <c r="CW189" s="12"/>
      <c r="CX189" s="15"/>
      <c r="DA189" s="12"/>
      <c r="DF189" s="15"/>
      <c r="DI189" s="12"/>
      <c r="DJ189" s="1"/>
      <c r="DK189" s="225"/>
      <c r="DL189" s="225"/>
      <c r="DM189" s="225"/>
      <c r="DN189" s="225"/>
      <c r="DO189" s="225"/>
      <c r="DP189" s="225"/>
      <c r="DQ189" s="225"/>
      <c r="DR189" s="225"/>
      <c r="DS189" s="225"/>
      <c r="DT189" s="225"/>
      <c r="DU189" s="225"/>
      <c r="DV189" s="225"/>
      <c r="DW189" s="1"/>
      <c r="EJ189" s="1"/>
      <c r="EK189" s="17"/>
      <c r="EL189" s="17"/>
      <c r="EM189" s="17"/>
      <c r="EN189" s="17"/>
      <c r="EO189" s="17"/>
      <c r="EP189" s="17"/>
      <c r="EQ189" s="17"/>
      <c r="ER189" s="17"/>
      <c r="ES189" s="17"/>
      <c r="EU189" s="17"/>
      <c r="EW189" s="1"/>
      <c r="EX189" s="225"/>
      <c r="EY189" s="225"/>
      <c r="EZ189" s="225"/>
      <c r="FA189" s="225"/>
      <c r="FB189" s="225"/>
      <c r="FC189" s="225"/>
      <c r="FD189" s="225"/>
      <c r="FE189" s="225"/>
      <c r="FF189" s="225"/>
      <c r="FG189" s="10"/>
      <c r="FH189" s="225"/>
      <c r="FI189" s="10"/>
      <c r="FJ189" s="1"/>
      <c r="FK189" s="225"/>
      <c r="FL189" s="225"/>
      <c r="FM189" s="225"/>
      <c r="FN189" s="225"/>
      <c r="FO189" s="225"/>
      <c r="FP189" s="225"/>
      <c r="FQ189" s="225"/>
      <c r="FR189" s="225"/>
      <c r="FS189" s="225"/>
      <c r="FT189" s="191"/>
      <c r="FU189" s="225"/>
      <c r="FV189" s="151"/>
    </row>
    <row r="190" spans="1:178" ht="16" thickBot="1" x14ac:dyDescent="0.25">
      <c r="A190" s="27" t="s">
        <v>111</v>
      </c>
      <c r="B190" t="s">
        <v>142</v>
      </c>
      <c r="C190" s="1"/>
      <c r="D190" s="17">
        <v>1</v>
      </c>
      <c r="E190" s="17"/>
      <c r="F190" s="156"/>
      <c r="G190" s="89"/>
      <c r="H190" s="87">
        <v>1</v>
      </c>
      <c r="I190" s="87"/>
      <c r="J190" s="17"/>
      <c r="K190" s="17"/>
      <c r="L190" s="17"/>
      <c r="M190" s="17"/>
      <c r="N190" s="17"/>
      <c r="O190" s="17"/>
      <c r="P190" s="1"/>
      <c r="Q190" s="48">
        <v>3198.14</v>
      </c>
      <c r="R190" s="49"/>
      <c r="S190" s="49"/>
      <c r="T190" s="50">
        <f t="shared" si="57"/>
        <v>3198.14</v>
      </c>
      <c r="U190" s="48"/>
      <c r="V190" s="49"/>
      <c r="W190" s="49"/>
      <c r="X190" s="50">
        <f t="shared" si="58"/>
        <v>0</v>
      </c>
      <c r="Y190" s="48"/>
      <c r="Z190" s="49"/>
      <c r="AA190" s="49"/>
      <c r="AB190" s="50">
        <f t="shared" si="59"/>
        <v>0</v>
      </c>
      <c r="AC190" s="167"/>
      <c r="AD190" s="166"/>
      <c r="AE190" s="166"/>
      <c r="AF190" s="151">
        <f t="shared" si="60"/>
        <v>0</v>
      </c>
      <c r="AG190" s="165">
        <v>63.13</v>
      </c>
      <c r="AH190" s="166"/>
      <c r="AI190" s="166"/>
      <c r="AJ190" s="151">
        <f t="shared" si="61"/>
        <v>63.13</v>
      </c>
      <c r="AK190" s="192"/>
      <c r="AL190" s="10"/>
      <c r="AM190" s="10"/>
      <c r="AN190" s="151">
        <f t="shared" si="62"/>
        <v>0</v>
      </c>
      <c r="AO190" s="191"/>
      <c r="AP190" s="10"/>
      <c r="AQ190" s="10"/>
      <c r="AR190" s="151"/>
      <c r="AS190" s="191"/>
      <c r="AT190" s="10"/>
      <c r="AU190" s="10"/>
      <c r="AV190" s="151"/>
      <c r="AW190" s="191"/>
      <c r="AX190" s="10"/>
      <c r="AY190" s="10"/>
      <c r="AZ190" s="151"/>
      <c r="BA190" s="191"/>
      <c r="BB190" s="10"/>
      <c r="BC190" s="10"/>
      <c r="BD190" s="151"/>
      <c r="BE190" s="191"/>
      <c r="BF190" s="10"/>
      <c r="BG190" s="10"/>
      <c r="BH190" s="151"/>
      <c r="BI190" s="191"/>
      <c r="BJ190" s="10"/>
      <c r="BK190" s="10"/>
      <c r="BL190" s="151"/>
      <c r="BM190" s="1"/>
      <c r="BN190" s="48"/>
      <c r="BO190" s="56"/>
      <c r="BP190" s="56"/>
      <c r="BQ190" s="50"/>
      <c r="BR190" s="48"/>
      <c r="BS190" s="56"/>
      <c r="BT190" s="56"/>
      <c r="BU190" s="50"/>
      <c r="BV190" s="48"/>
      <c r="BW190" s="56"/>
      <c r="BX190" s="56"/>
      <c r="BY190" s="50"/>
      <c r="BZ190" s="48"/>
      <c r="CA190" s="49"/>
      <c r="CB190" s="49"/>
      <c r="CC190" s="50"/>
      <c r="CD190" s="48"/>
      <c r="CE190" s="49"/>
      <c r="CF190" s="49"/>
      <c r="CG190" s="50"/>
      <c r="CK190" s="12"/>
      <c r="CL190" s="15"/>
      <c r="CO190" s="12"/>
      <c r="CP190" s="15"/>
      <c r="CS190" s="12"/>
      <c r="CT190" s="15"/>
      <c r="CW190" s="12"/>
      <c r="CX190" s="15"/>
      <c r="DA190" s="12"/>
      <c r="DF190" s="15"/>
      <c r="DI190" s="12"/>
      <c r="DJ190" s="1"/>
      <c r="DK190" s="225"/>
      <c r="DL190" s="225"/>
      <c r="DM190" s="225"/>
      <c r="DN190" s="225"/>
      <c r="DO190" s="225"/>
      <c r="DP190" s="225"/>
      <c r="DQ190" s="225"/>
      <c r="DR190" s="225"/>
      <c r="DS190" s="225"/>
      <c r="DT190" s="225"/>
      <c r="DU190" s="225"/>
      <c r="DV190" s="225"/>
      <c r="DW190" s="1"/>
      <c r="EJ190" s="1"/>
      <c r="EK190" s="17"/>
      <c r="EL190" s="17"/>
      <c r="EM190" s="17"/>
      <c r="EN190" s="17"/>
      <c r="EO190" s="17"/>
      <c r="EP190" s="17"/>
      <c r="EQ190" s="17"/>
      <c r="ER190" s="17"/>
      <c r="ES190" s="17"/>
      <c r="EU190" s="17"/>
      <c r="EW190" s="1"/>
      <c r="EX190" s="225"/>
      <c r="EY190" s="225"/>
      <c r="EZ190" s="225"/>
      <c r="FA190" s="225"/>
      <c r="FB190" s="225"/>
      <c r="FC190" s="225"/>
      <c r="FD190" s="225"/>
      <c r="FE190" s="225"/>
      <c r="FF190" s="225"/>
      <c r="FG190" s="10"/>
      <c r="FH190" s="225"/>
      <c r="FI190" s="10"/>
      <c r="FJ190" s="1"/>
      <c r="FK190" s="225"/>
      <c r="FL190" s="225"/>
      <c r="FM190" s="225"/>
      <c r="FN190" s="225"/>
      <c r="FO190" s="225"/>
      <c r="FP190" s="225"/>
      <c r="FQ190" s="225"/>
      <c r="FR190" s="225"/>
      <c r="FS190" s="225"/>
      <c r="FT190" s="191"/>
      <c r="FU190" s="225"/>
      <c r="FV190" s="151"/>
    </row>
    <row r="191" spans="1:178" ht="16" thickBot="1" x14ac:dyDescent="0.25">
      <c r="A191" s="27" t="s">
        <v>112</v>
      </c>
      <c r="B191" t="s">
        <v>142</v>
      </c>
      <c r="C191" s="1"/>
      <c r="D191" s="17">
        <v>1</v>
      </c>
      <c r="E191" s="17"/>
      <c r="F191" s="156">
        <v>2</v>
      </c>
      <c r="G191" s="89"/>
      <c r="H191" s="87">
        <v>1</v>
      </c>
      <c r="I191" s="87"/>
      <c r="J191" s="17"/>
      <c r="K191" s="17"/>
      <c r="L191" s="17"/>
      <c r="M191" s="17"/>
      <c r="N191" s="17"/>
      <c r="O191" s="17"/>
      <c r="P191" s="1"/>
      <c r="Q191" s="48">
        <v>404.27</v>
      </c>
      <c r="R191" s="49"/>
      <c r="S191" s="49"/>
      <c r="T191" s="50">
        <f t="shared" si="57"/>
        <v>404.27</v>
      </c>
      <c r="U191" s="48"/>
      <c r="V191" s="49"/>
      <c r="W191" s="49"/>
      <c r="X191" s="50">
        <f t="shared" si="58"/>
        <v>0</v>
      </c>
      <c r="Y191" s="48">
        <v>6859.89</v>
      </c>
      <c r="Z191" s="49"/>
      <c r="AA191" s="49"/>
      <c r="AB191" s="50">
        <f t="shared" si="59"/>
        <v>6859.89</v>
      </c>
      <c r="AC191" s="167"/>
      <c r="AD191" s="166"/>
      <c r="AE191" s="166"/>
      <c r="AF191" s="151">
        <f t="shared" si="60"/>
        <v>0</v>
      </c>
      <c r="AG191" s="165">
        <v>379.69</v>
      </c>
      <c r="AH191" s="166"/>
      <c r="AI191" s="166"/>
      <c r="AJ191" s="151">
        <f t="shared" si="61"/>
        <v>379.69</v>
      </c>
      <c r="AK191" s="192"/>
      <c r="AL191" s="10"/>
      <c r="AM191" s="10"/>
      <c r="AN191" s="151">
        <f t="shared" si="62"/>
        <v>0</v>
      </c>
      <c r="AO191" s="191"/>
      <c r="AP191" s="10"/>
      <c r="AQ191" s="10"/>
      <c r="AR191" s="151"/>
      <c r="AS191" s="191"/>
      <c r="AT191" s="10"/>
      <c r="AU191" s="10"/>
      <c r="AV191" s="151"/>
      <c r="AW191" s="191"/>
      <c r="AX191" s="10"/>
      <c r="AY191" s="10"/>
      <c r="AZ191" s="151"/>
      <c r="BA191" s="191"/>
      <c r="BB191" s="10"/>
      <c r="BC191" s="10"/>
      <c r="BD191" s="151"/>
      <c r="BE191" s="191"/>
      <c r="BF191" s="10"/>
      <c r="BG191" s="10"/>
      <c r="BH191" s="151"/>
      <c r="BI191" s="191"/>
      <c r="BJ191" s="10"/>
      <c r="BK191" s="10"/>
      <c r="BL191" s="151"/>
      <c r="BM191" s="1"/>
      <c r="BN191" s="48"/>
      <c r="BO191" s="56"/>
      <c r="BP191" s="56"/>
      <c r="BQ191" s="50"/>
      <c r="BR191" s="48"/>
      <c r="BS191" s="56"/>
      <c r="BT191" s="56"/>
      <c r="BU191" s="50"/>
      <c r="BV191" s="48"/>
      <c r="BW191" s="56"/>
      <c r="BX191" s="56"/>
      <c r="BY191" s="50"/>
      <c r="BZ191" s="48"/>
      <c r="CA191" s="49"/>
      <c r="CB191" s="49"/>
      <c r="CC191" s="50"/>
      <c r="CD191" s="48"/>
      <c r="CE191" s="49"/>
      <c r="CF191" s="49"/>
      <c r="CG191" s="50"/>
      <c r="CK191" s="12"/>
      <c r="CL191" s="15"/>
      <c r="CO191" s="12"/>
      <c r="CP191" s="15"/>
      <c r="CS191" s="12"/>
      <c r="CT191" s="15"/>
      <c r="CW191" s="12"/>
      <c r="CX191" s="15"/>
      <c r="DA191" s="12"/>
      <c r="DF191" s="15"/>
      <c r="DI191" s="12"/>
      <c r="DJ191" s="1"/>
      <c r="DK191" s="225"/>
      <c r="DL191" s="225"/>
      <c r="DM191" s="225"/>
      <c r="DN191" s="225"/>
      <c r="DO191" s="225"/>
      <c r="DP191" s="225"/>
      <c r="DQ191" s="225"/>
      <c r="DR191" s="225"/>
      <c r="DS191" s="225"/>
      <c r="DT191" s="225"/>
      <c r="DU191" s="225"/>
      <c r="DV191" s="225"/>
      <c r="DW191" s="1"/>
      <c r="EJ191" s="1"/>
      <c r="EK191" s="17"/>
      <c r="EL191" s="17"/>
      <c r="EM191" s="17"/>
      <c r="EN191" s="17"/>
      <c r="EO191" s="17"/>
      <c r="EP191" s="17"/>
      <c r="EQ191" s="17"/>
      <c r="ER191" s="17"/>
      <c r="ES191" s="17"/>
      <c r="EU191" s="17"/>
      <c r="EW191" s="1"/>
      <c r="EX191" s="225"/>
      <c r="EY191" s="225"/>
      <c r="EZ191" s="225"/>
      <c r="FA191" s="225"/>
      <c r="FB191" s="225"/>
      <c r="FC191" s="225"/>
      <c r="FD191" s="225"/>
      <c r="FE191" s="225"/>
      <c r="FF191" s="225"/>
      <c r="FG191" s="10"/>
      <c r="FH191" s="225"/>
      <c r="FI191" s="10"/>
      <c r="FJ191" s="1"/>
      <c r="FK191" s="225"/>
      <c r="FL191" s="225"/>
      <c r="FM191" s="225"/>
      <c r="FN191" s="225"/>
      <c r="FO191" s="225"/>
      <c r="FP191" s="225"/>
      <c r="FQ191" s="225"/>
      <c r="FR191" s="225"/>
      <c r="FS191" s="225"/>
      <c r="FT191" s="191"/>
      <c r="FU191" s="225"/>
      <c r="FV191" s="151"/>
    </row>
    <row r="192" spans="1:178" ht="16" thickBot="1" x14ac:dyDescent="0.25">
      <c r="A192" s="27" t="s">
        <v>113</v>
      </c>
      <c r="B192" t="s">
        <v>142</v>
      </c>
      <c r="C192" s="1"/>
      <c r="D192" s="17"/>
      <c r="E192" s="17"/>
      <c r="F192" s="156"/>
      <c r="G192" s="89"/>
      <c r="H192" s="88"/>
      <c r="I192" s="88"/>
      <c r="J192" s="17"/>
      <c r="K192" s="17"/>
      <c r="L192" s="17"/>
      <c r="M192" s="17"/>
      <c r="N192" s="17"/>
      <c r="O192" s="17"/>
      <c r="P192" s="1"/>
      <c r="Q192" s="48"/>
      <c r="R192" s="49"/>
      <c r="S192" s="49"/>
      <c r="T192" s="50">
        <f t="shared" si="57"/>
        <v>0</v>
      </c>
      <c r="U192" s="48"/>
      <c r="V192" s="49"/>
      <c r="W192" s="49"/>
      <c r="X192" s="50">
        <f t="shared" si="58"/>
        <v>0</v>
      </c>
      <c r="Y192" s="48"/>
      <c r="Z192" s="49"/>
      <c r="AA192" s="49"/>
      <c r="AB192" s="50">
        <f t="shared" si="59"/>
        <v>0</v>
      </c>
      <c r="AC192" s="167"/>
      <c r="AD192" s="166"/>
      <c r="AE192" s="166"/>
      <c r="AF192" s="151">
        <f t="shared" si="60"/>
        <v>0</v>
      </c>
      <c r="AG192" s="166"/>
      <c r="AH192" s="166"/>
      <c r="AI192" s="166"/>
      <c r="AJ192" s="151">
        <f t="shared" si="61"/>
        <v>0</v>
      </c>
      <c r="AK192" s="192"/>
      <c r="AL192" s="10"/>
      <c r="AM192" s="10"/>
      <c r="AN192" s="151">
        <f t="shared" si="62"/>
        <v>0</v>
      </c>
      <c r="AO192" s="191"/>
      <c r="AP192" s="10"/>
      <c r="AQ192" s="10"/>
      <c r="AR192" s="151"/>
      <c r="AS192" s="191"/>
      <c r="AT192" s="10"/>
      <c r="AU192" s="10"/>
      <c r="AV192" s="151"/>
      <c r="AW192" s="191"/>
      <c r="AX192" s="10"/>
      <c r="AY192" s="10"/>
      <c r="AZ192" s="151"/>
      <c r="BA192" s="191"/>
      <c r="BB192" s="10"/>
      <c r="BC192" s="10"/>
      <c r="BD192" s="151"/>
      <c r="BE192" s="191"/>
      <c r="BF192" s="10"/>
      <c r="BG192" s="10"/>
      <c r="BH192" s="151"/>
      <c r="BI192" s="191"/>
      <c r="BJ192" s="10"/>
      <c r="BK192" s="10"/>
      <c r="BL192" s="151"/>
      <c r="BM192" s="1"/>
      <c r="BN192" s="48"/>
      <c r="BO192" s="56"/>
      <c r="BP192" s="56"/>
      <c r="BQ192" s="50"/>
      <c r="BR192" s="48"/>
      <c r="BS192" s="56"/>
      <c r="BT192" s="56"/>
      <c r="BU192" s="50"/>
      <c r="BV192" s="48"/>
      <c r="BW192" s="56"/>
      <c r="BX192" s="56"/>
      <c r="BY192" s="50"/>
      <c r="BZ192" s="48"/>
      <c r="CA192" s="49"/>
      <c r="CB192" s="49"/>
      <c r="CC192" s="50"/>
      <c r="CD192" s="48"/>
      <c r="CE192" s="49"/>
      <c r="CF192" s="49"/>
      <c r="CG192" s="50"/>
      <c r="CK192" s="12"/>
      <c r="CL192" s="15"/>
      <c r="CO192" s="12"/>
      <c r="CP192" s="15"/>
      <c r="CS192" s="12"/>
      <c r="CT192" s="15"/>
      <c r="CW192" s="12"/>
      <c r="CX192" s="15"/>
      <c r="DA192" s="12"/>
      <c r="DF192" s="15"/>
      <c r="DI192" s="12"/>
      <c r="DJ192" s="1"/>
      <c r="DK192" s="225"/>
      <c r="DL192" s="225"/>
      <c r="DM192" s="225"/>
      <c r="DN192" s="225"/>
      <c r="DO192" s="225"/>
      <c r="DP192" s="225"/>
      <c r="DQ192" s="225"/>
      <c r="DR192" s="225"/>
      <c r="DS192" s="225"/>
      <c r="DT192" s="225"/>
      <c r="DU192" s="225"/>
      <c r="DV192" s="225"/>
      <c r="DW192" s="1"/>
      <c r="EJ192" s="1"/>
      <c r="EK192" s="17"/>
      <c r="EL192" s="17"/>
      <c r="EM192" s="17"/>
      <c r="EN192" s="17"/>
      <c r="EO192" s="17"/>
      <c r="EP192" s="17"/>
      <c r="EQ192" s="17"/>
      <c r="ER192" s="17"/>
      <c r="ES192" s="17"/>
      <c r="EU192" s="17"/>
      <c r="EW192" s="1"/>
      <c r="EX192" s="225"/>
      <c r="EY192" s="225"/>
      <c r="EZ192" s="225"/>
      <c r="FA192" s="225"/>
      <c r="FB192" s="225"/>
      <c r="FC192" s="225"/>
      <c r="FD192" s="225"/>
      <c r="FE192" s="225"/>
      <c r="FF192" s="225"/>
      <c r="FG192" s="10"/>
      <c r="FH192" s="225"/>
      <c r="FI192" s="10"/>
      <c r="FJ192" s="1"/>
      <c r="FK192" s="225"/>
      <c r="FL192" s="225"/>
      <c r="FM192" s="225"/>
      <c r="FN192" s="225"/>
      <c r="FO192" s="225"/>
      <c r="FP192" s="225"/>
      <c r="FQ192" s="225"/>
      <c r="FR192" s="225"/>
      <c r="FS192" s="225"/>
      <c r="FT192" s="191"/>
      <c r="FU192" s="225"/>
      <c r="FV192" s="151"/>
    </row>
    <row r="193" spans="1:178" ht="16" thickBot="1" x14ac:dyDescent="0.25">
      <c r="A193" s="27" t="s">
        <v>114</v>
      </c>
      <c r="B193" t="s">
        <v>142</v>
      </c>
      <c r="C193" s="1"/>
      <c r="D193" s="17"/>
      <c r="E193" s="17"/>
      <c r="F193" s="156"/>
      <c r="G193" s="89"/>
      <c r="H193" s="88"/>
      <c r="I193" s="88"/>
      <c r="J193" s="17"/>
      <c r="K193" s="17"/>
      <c r="L193" s="17"/>
      <c r="M193" s="17"/>
      <c r="N193" s="17"/>
      <c r="O193" s="17"/>
      <c r="P193" s="1"/>
      <c r="Q193" s="48"/>
      <c r="R193" s="49"/>
      <c r="S193" s="49"/>
      <c r="T193" s="50">
        <f t="shared" si="57"/>
        <v>0</v>
      </c>
      <c r="U193" s="48"/>
      <c r="V193" s="49"/>
      <c r="W193" s="49"/>
      <c r="X193" s="50">
        <f t="shared" si="58"/>
        <v>0</v>
      </c>
      <c r="Y193" s="48"/>
      <c r="Z193" s="49"/>
      <c r="AA193" s="49"/>
      <c r="AB193" s="50">
        <f t="shared" si="59"/>
        <v>0</v>
      </c>
      <c r="AC193" s="167"/>
      <c r="AD193" s="166"/>
      <c r="AE193" s="166"/>
      <c r="AF193" s="151">
        <f t="shared" si="60"/>
        <v>0</v>
      </c>
      <c r="AG193" s="166"/>
      <c r="AH193" s="166"/>
      <c r="AI193" s="166"/>
      <c r="AJ193" s="151">
        <f t="shared" si="61"/>
        <v>0</v>
      </c>
      <c r="AK193" s="192"/>
      <c r="AL193" s="10"/>
      <c r="AM193" s="10"/>
      <c r="AN193" s="151">
        <f t="shared" si="62"/>
        <v>0</v>
      </c>
      <c r="AO193" s="191"/>
      <c r="AP193" s="10"/>
      <c r="AQ193" s="10"/>
      <c r="AR193" s="151"/>
      <c r="AS193" s="191"/>
      <c r="AT193" s="10"/>
      <c r="AU193" s="10"/>
      <c r="AV193" s="151"/>
      <c r="AW193" s="191"/>
      <c r="AX193" s="10"/>
      <c r="AY193" s="10"/>
      <c r="AZ193" s="151"/>
      <c r="BA193" s="191"/>
      <c r="BB193" s="10"/>
      <c r="BC193" s="10"/>
      <c r="BD193" s="151"/>
      <c r="BE193" s="191"/>
      <c r="BF193" s="10"/>
      <c r="BG193" s="10"/>
      <c r="BH193" s="151"/>
      <c r="BI193" s="191"/>
      <c r="BJ193" s="10"/>
      <c r="BK193" s="10"/>
      <c r="BL193" s="151"/>
      <c r="BM193" s="1"/>
      <c r="BN193" s="48"/>
      <c r="BO193" s="56"/>
      <c r="BP193" s="56"/>
      <c r="BQ193" s="50"/>
      <c r="BR193" s="48"/>
      <c r="BS193" s="56"/>
      <c r="BT193" s="56"/>
      <c r="BU193" s="50"/>
      <c r="BV193" s="48"/>
      <c r="BW193" s="56"/>
      <c r="BX193" s="56"/>
      <c r="BY193" s="50"/>
      <c r="BZ193" s="48"/>
      <c r="CA193" s="49"/>
      <c r="CB193" s="49"/>
      <c r="CC193" s="50"/>
      <c r="CD193" s="48"/>
      <c r="CE193" s="49"/>
      <c r="CF193" s="49"/>
      <c r="CG193" s="50"/>
      <c r="CK193" s="12"/>
      <c r="CL193" s="15"/>
      <c r="CO193" s="12"/>
      <c r="CP193" s="15"/>
      <c r="CS193" s="12"/>
      <c r="CT193" s="15"/>
      <c r="CW193" s="12"/>
      <c r="CX193" s="15"/>
      <c r="DA193" s="12"/>
      <c r="DF193" s="15"/>
      <c r="DI193" s="12"/>
      <c r="DJ193" s="1"/>
      <c r="DK193" s="225"/>
      <c r="DL193" s="225"/>
      <c r="DM193" s="225"/>
      <c r="DN193" s="225"/>
      <c r="DO193" s="225"/>
      <c r="DP193" s="225"/>
      <c r="DQ193" s="225"/>
      <c r="DR193" s="225"/>
      <c r="DS193" s="225"/>
      <c r="DT193" s="225"/>
      <c r="DU193" s="225"/>
      <c r="DV193" s="225"/>
      <c r="DW193" s="1"/>
      <c r="EJ193" s="1"/>
      <c r="EK193" s="17"/>
      <c r="EL193" s="17"/>
      <c r="EM193" s="17"/>
      <c r="EN193" s="17"/>
      <c r="EO193" s="17"/>
      <c r="EP193" s="17"/>
      <c r="EQ193" s="17"/>
      <c r="ER193" s="17"/>
      <c r="ES193" s="17"/>
      <c r="EU193" s="17"/>
      <c r="EW193" s="1"/>
      <c r="EX193" s="225"/>
      <c r="EY193" s="225"/>
      <c r="EZ193" s="225"/>
      <c r="FA193" s="225"/>
      <c r="FB193" s="225"/>
      <c r="FC193" s="225"/>
      <c r="FD193" s="225"/>
      <c r="FE193" s="225"/>
      <c r="FF193" s="225"/>
      <c r="FG193" s="10"/>
      <c r="FH193" s="225"/>
      <c r="FI193" s="10"/>
      <c r="FJ193" s="1"/>
      <c r="FK193" s="225"/>
      <c r="FL193" s="225"/>
      <c r="FM193" s="225"/>
      <c r="FN193" s="225"/>
      <c r="FO193" s="225"/>
      <c r="FP193" s="225"/>
      <c r="FQ193" s="225"/>
      <c r="FR193" s="225"/>
      <c r="FS193" s="225"/>
      <c r="FT193" s="191"/>
      <c r="FU193" s="225"/>
      <c r="FV193" s="151"/>
    </row>
    <row r="194" spans="1:178" ht="16" thickBot="1" x14ac:dyDescent="0.25">
      <c r="A194" s="27" t="s">
        <v>115</v>
      </c>
      <c r="B194" t="s">
        <v>142</v>
      </c>
      <c r="C194" s="1"/>
      <c r="D194" s="17">
        <v>1</v>
      </c>
      <c r="E194" s="17"/>
      <c r="F194" s="156">
        <v>1</v>
      </c>
      <c r="G194" s="89">
        <v>1</v>
      </c>
      <c r="H194" s="88">
        <v>1</v>
      </c>
      <c r="I194" s="88">
        <v>1</v>
      </c>
      <c r="J194" s="17"/>
      <c r="K194" s="17"/>
      <c r="L194" s="17"/>
      <c r="M194" s="17"/>
      <c r="N194" s="17"/>
      <c r="O194" s="17"/>
      <c r="P194" s="1"/>
      <c r="Q194" s="48"/>
      <c r="R194" s="49"/>
      <c r="S194" s="49">
        <v>10516.32</v>
      </c>
      <c r="T194" s="50">
        <f t="shared" si="57"/>
        <v>10516.32</v>
      </c>
      <c r="U194" s="48"/>
      <c r="V194" s="49"/>
      <c r="W194" s="49"/>
      <c r="X194" s="50">
        <f t="shared" si="58"/>
        <v>0</v>
      </c>
      <c r="Y194" s="48"/>
      <c r="Z194" s="49"/>
      <c r="AA194" s="49">
        <v>10516.32</v>
      </c>
      <c r="AB194" s="50">
        <f t="shared" si="59"/>
        <v>10516.32</v>
      </c>
      <c r="AC194" s="167"/>
      <c r="AD194" s="166"/>
      <c r="AE194" s="166">
        <v>10516.32</v>
      </c>
      <c r="AF194" s="151">
        <f t="shared" si="60"/>
        <v>10516.32</v>
      </c>
      <c r="AG194" s="166"/>
      <c r="AH194" s="166"/>
      <c r="AI194" s="166">
        <v>10516.32</v>
      </c>
      <c r="AJ194" s="151">
        <f t="shared" si="61"/>
        <v>10516.32</v>
      </c>
      <c r="AK194" s="192"/>
      <c r="AL194" s="10"/>
      <c r="AM194" s="10">
        <v>10516.32</v>
      </c>
      <c r="AN194" s="151">
        <f t="shared" si="62"/>
        <v>10516.32</v>
      </c>
      <c r="AO194" s="191"/>
      <c r="AP194" s="10"/>
      <c r="AQ194" s="10"/>
      <c r="AR194" s="151"/>
      <c r="AS194" s="191"/>
      <c r="AT194" s="10"/>
      <c r="AU194" s="10"/>
      <c r="AV194" s="151"/>
      <c r="AW194" s="191"/>
      <c r="AX194" s="10"/>
      <c r="AY194" s="10"/>
      <c r="AZ194" s="151"/>
      <c r="BA194" s="191"/>
      <c r="BB194" s="10"/>
      <c r="BC194" s="10"/>
      <c r="BD194" s="151"/>
      <c r="BE194" s="191"/>
      <c r="BF194" s="10"/>
      <c r="BG194" s="10"/>
      <c r="BH194" s="151"/>
      <c r="BI194" s="191"/>
      <c r="BJ194" s="10"/>
      <c r="BK194" s="10"/>
      <c r="BL194" s="151"/>
      <c r="BM194" s="1"/>
      <c r="BN194" s="48"/>
      <c r="BO194" s="56"/>
      <c r="BP194" s="56"/>
      <c r="BQ194" s="50"/>
      <c r="BR194" s="48"/>
      <c r="BS194" s="56"/>
      <c r="BT194" s="56"/>
      <c r="BU194" s="50"/>
      <c r="BV194" s="48"/>
      <c r="BW194" s="56"/>
      <c r="BX194" s="56"/>
      <c r="BY194" s="50"/>
      <c r="BZ194" s="48"/>
      <c r="CA194" s="49"/>
      <c r="CB194" s="49"/>
      <c r="CC194" s="50"/>
      <c r="CD194" s="48"/>
      <c r="CE194" s="49"/>
      <c r="CF194" s="49"/>
      <c r="CG194" s="50"/>
      <c r="CK194" s="12"/>
      <c r="CL194" s="15"/>
      <c r="CO194" s="12"/>
      <c r="CP194" s="15"/>
      <c r="CS194" s="12"/>
      <c r="CT194" s="15"/>
      <c r="CW194" s="12"/>
      <c r="CX194" s="15"/>
      <c r="DA194" s="12"/>
      <c r="DF194" s="15"/>
      <c r="DI194" s="12"/>
      <c r="DJ194" s="1"/>
      <c r="DK194" s="225"/>
      <c r="DL194" s="225"/>
      <c r="DM194" s="225"/>
      <c r="DN194" s="225"/>
      <c r="DO194" s="225"/>
      <c r="DP194" s="225"/>
      <c r="DQ194" s="225"/>
      <c r="DR194" s="225"/>
      <c r="DS194" s="225"/>
      <c r="DT194" s="225"/>
      <c r="DU194" s="225"/>
      <c r="DV194" s="225"/>
      <c r="DW194" s="1"/>
      <c r="EJ194" s="1"/>
      <c r="EK194" s="17"/>
      <c r="EL194" s="17"/>
      <c r="EM194" s="17"/>
      <c r="EN194" s="17"/>
      <c r="EO194" s="17"/>
      <c r="EP194" s="17"/>
      <c r="EQ194" s="17"/>
      <c r="ER194" s="17"/>
      <c r="ES194" s="17"/>
      <c r="EU194" s="17"/>
      <c r="EW194" s="1"/>
      <c r="EX194" s="225"/>
      <c r="EY194" s="225"/>
      <c r="EZ194" s="225"/>
      <c r="FA194" s="225"/>
      <c r="FB194" s="225"/>
      <c r="FC194" s="225"/>
      <c r="FD194" s="225"/>
      <c r="FE194" s="225"/>
      <c r="FF194" s="225"/>
      <c r="FG194" s="10"/>
      <c r="FH194" s="225"/>
      <c r="FI194" s="10"/>
      <c r="FJ194" s="1"/>
      <c r="FK194" s="225"/>
      <c r="FL194" s="225"/>
      <c r="FM194" s="225"/>
      <c r="FN194" s="225"/>
      <c r="FO194" s="225"/>
      <c r="FP194" s="225"/>
      <c r="FQ194" s="225"/>
      <c r="FR194" s="225"/>
      <c r="FS194" s="225"/>
      <c r="FT194" s="191"/>
      <c r="FU194" s="225"/>
      <c r="FV194" s="151"/>
    </row>
    <row r="195" spans="1:178" ht="16" thickBot="1" x14ac:dyDescent="0.25">
      <c r="A195" s="27" t="s">
        <v>116</v>
      </c>
      <c r="B195" t="s">
        <v>142</v>
      </c>
      <c r="C195" s="1"/>
      <c r="D195" s="17"/>
      <c r="E195" s="17">
        <v>1</v>
      </c>
      <c r="F195" s="156"/>
      <c r="G195" s="89"/>
      <c r="H195" s="87">
        <v>1</v>
      </c>
      <c r="I195" s="88">
        <v>1</v>
      </c>
      <c r="J195" s="17"/>
      <c r="K195" s="17"/>
      <c r="L195" s="17"/>
      <c r="M195" s="17"/>
      <c r="N195" s="17"/>
      <c r="O195" s="17"/>
      <c r="P195" s="1"/>
      <c r="Q195" s="48"/>
      <c r="R195" s="49"/>
      <c r="S195" s="49"/>
      <c r="T195" s="50">
        <f t="shared" si="57"/>
        <v>0</v>
      </c>
      <c r="U195" s="48">
        <v>286.55</v>
      </c>
      <c r="V195" s="49"/>
      <c r="W195" s="49"/>
      <c r="X195" s="50">
        <f t="shared" si="58"/>
        <v>286.55</v>
      </c>
      <c r="Y195" s="48"/>
      <c r="Z195" s="49"/>
      <c r="AA195" s="49"/>
      <c r="AB195" s="50">
        <f t="shared" si="59"/>
        <v>0</v>
      </c>
      <c r="AC195" s="167"/>
      <c r="AD195" s="166"/>
      <c r="AE195" s="166"/>
      <c r="AF195" s="151">
        <f t="shared" si="60"/>
        <v>0</v>
      </c>
      <c r="AG195" s="165">
        <v>264.63</v>
      </c>
      <c r="AH195" s="166"/>
      <c r="AI195" s="166"/>
      <c r="AJ195" s="151">
        <f t="shared" si="61"/>
        <v>264.63</v>
      </c>
      <c r="AK195" s="192">
        <v>318.69</v>
      </c>
      <c r="AL195" s="10"/>
      <c r="AM195" s="10"/>
      <c r="AN195" s="151">
        <f t="shared" si="62"/>
        <v>318.69</v>
      </c>
      <c r="AO195" s="191"/>
      <c r="AP195" s="10"/>
      <c r="AQ195" s="10"/>
      <c r="AR195" s="151"/>
      <c r="AS195" s="191"/>
      <c r="AT195" s="10"/>
      <c r="AU195" s="10"/>
      <c r="AV195" s="151"/>
      <c r="AW195" s="191"/>
      <c r="AX195" s="10"/>
      <c r="AY195" s="10"/>
      <c r="AZ195" s="151"/>
      <c r="BA195" s="191"/>
      <c r="BB195" s="10"/>
      <c r="BC195" s="10"/>
      <c r="BD195" s="151"/>
      <c r="BE195" s="191"/>
      <c r="BF195" s="10"/>
      <c r="BG195" s="10"/>
      <c r="BH195" s="151"/>
      <c r="BI195" s="191"/>
      <c r="BJ195" s="10"/>
      <c r="BK195" s="10"/>
      <c r="BL195" s="151"/>
      <c r="BM195" s="1"/>
      <c r="BN195" s="48"/>
      <c r="BO195" s="56"/>
      <c r="BP195" s="56"/>
      <c r="BQ195" s="50"/>
      <c r="BR195" s="48"/>
      <c r="BS195" s="56"/>
      <c r="BT195" s="56"/>
      <c r="BU195" s="50"/>
      <c r="BV195" s="48"/>
      <c r="BW195" s="56"/>
      <c r="BX195" s="56"/>
      <c r="BY195" s="50"/>
      <c r="BZ195" s="48"/>
      <c r="CA195" s="49"/>
      <c r="CB195" s="49"/>
      <c r="CC195" s="50"/>
      <c r="CD195" s="48"/>
      <c r="CE195" s="49"/>
      <c r="CF195" s="49"/>
      <c r="CG195" s="50"/>
      <c r="CK195" s="12"/>
      <c r="CL195" s="15"/>
      <c r="CO195" s="12"/>
      <c r="CP195" s="15"/>
      <c r="CS195" s="12"/>
      <c r="CT195" s="15"/>
      <c r="CW195" s="12"/>
      <c r="CX195" s="15"/>
      <c r="DA195" s="12"/>
      <c r="DF195" s="15"/>
      <c r="DI195" s="12"/>
      <c r="DJ195" s="1"/>
      <c r="DK195" s="225"/>
      <c r="DL195" s="225"/>
      <c r="DM195" s="225"/>
      <c r="DN195" s="225"/>
      <c r="DO195" s="225"/>
      <c r="DP195" s="225"/>
      <c r="DQ195" s="225"/>
      <c r="DR195" s="225"/>
      <c r="DS195" s="225"/>
      <c r="DT195" s="225"/>
      <c r="DU195" s="225"/>
      <c r="DV195" s="225"/>
      <c r="DW195" s="1"/>
      <c r="EJ195" s="1"/>
      <c r="EK195" s="17"/>
      <c r="EL195" s="17"/>
      <c r="EM195" s="17"/>
      <c r="EN195" s="17"/>
      <c r="EO195" s="17"/>
      <c r="EP195" s="17"/>
      <c r="EQ195" s="17"/>
      <c r="ER195" s="17"/>
      <c r="ES195" s="17"/>
      <c r="EU195" s="17"/>
      <c r="EW195" s="1"/>
      <c r="EX195" s="225"/>
      <c r="EY195" s="225"/>
      <c r="EZ195" s="225"/>
      <c r="FA195" s="225"/>
      <c r="FB195" s="225"/>
      <c r="FC195" s="225"/>
      <c r="FD195" s="225"/>
      <c r="FE195" s="225"/>
      <c r="FF195" s="225"/>
      <c r="FG195" s="10"/>
      <c r="FH195" s="225"/>
      <c r="FI195" s="10"/>
      <c r="FJ195" s="1"/>
      <c r="FK195" s="225"/>
      <c r="FL195" s="225"/>
      <c r="FM195" s="225"/>
      <c r="FN195" s="225"/>
      <c r="FO195" s="225"/>
      <c r="FP195" s="225"/>
      <c r="FQ195" s="225"/>
      <c r="FR195" s="225"/>
      <c r="FS195" s="225"/>
      <c r="FT195" s="191"/>
      <c r="FU195" s="225"/>
      <c r="FV195" s="151"/>
    </row>
    <row r="196" spans="1:178" ht="16" thickBot="1" x14ac:dyDescent="0.25">
      <c r="A196" s="27" t="s">
        <v>117</v>
      </c>
      <c r="B196" t="s">
        <v>142</v>
      </c>
      <c r="C196" s="1"/>
      <c r="D196" s="17"/>
      <c r="E196" s="17"/>
      <c r="F196" s="156"/>
      <c r="G196" s="89"/>
      <c r="H196" s="88"/>
      <c r="I196" s="88"/>
      <c r="J196" s="17"/>
      <c r="K196" s="17"/>
      <c r="L196" s="17"/>
      <c r="M196" s="17"/>
      <c r="N196" s="17"/>
      <c r="O196" s="17"/>
      <c r="P196" s="1"/>
      <c r="Q196" s="48"/>
      <c r="R196" s="49"/>
      <c r="S196" s="49"/>
      <c r="T196" s="50">
        <f t="shared" si="57"/>
        <v>0</v>
      </c>
      <c r="U196" s="48"/>
      <c r="V196" s="49"/>
      <c r="W196" s="49"/>
      <c r="X196" s="50">
        <f t="shared" si="58"/>
        <v>0</v>
      </c>
      <c r="Y196" s="48"/>
      <c r="Z196" s="49"/>
      <c r="AA196" s="49"/>
      <c r="AB196" s="50">
        <f t="shared" si="59"/>
        <v>0</v>
      </c>
      <c r="AC196" s="167"/>
      <c r="AD196" s="166"/>
      <c r="AE196" s="166"/>
      <c r="AF196" s="151">
        <f t="shared" si="60"/>
        <v>0</v>
      </c>
      <c r="AG196" s="166"/>
      <c r="AH196" s="166"/>
      <c r="AI196" s="166"/>
      <c r="AJ196" s="151">
        <f t="shared" si="61"/>
        <v>0</v>
      </c>
      <c r="AK196" s="192"/>
      <c r="AL196" s="10"/>
      <c r="AM196" s="10"/>
      <c r="AN196" s="151">
        <f t="shared" si="62"/>
        <v>0</v>
      </c>
      <c r="AO196" s="191"/>
      <c r="AP196" s="10"/>
      <c r="AQ196" s="10"/>
      <c r="AR196" s="151"/>
      <c r="AS196" s="191"/>
      <c r="AT196" s="10"/>
      <c r="AU196" s="10"/>
      <c r="AV196" s="151"/>
      <c r="AW196" s="191"/>
      <c r="AX196" s="10"/>
      <c r="AY196" s="10"/>
      <c r="AZ196" s="151"/>
      <c r="BA196" s="191"/>
      <c r="BB196" s="10"/>
      <c r="BC196" s="10"/>
      <c r="BD196" s="151"/>
      <c r="BE196" s="191"/>
      <c r="BF196" s="10"/>
      <c r="BG196" s="10"/>
      <c r="BH196" s="151"/>
      <c r="BI196" s="191"/>
      <c r="BJ196" s="10"/>
      <c r="BK196" s="10"/>
      <c r="BL196" s="151"/>
      <c r="BM196" s="1"/>
      <c r="BN196" s="48"/>
      <c r="BO196" s="56"/>
      <c r="BP196" s="56"/>
      <c r="BQ196" s="50"/>
      <c r="BR196" s="48"/>
      <c r="BS196" s="56"/>
      <c r="BT196" s="56"/>
      <c r="BU196" s="50"/>
      <c r="BV196" s="48"/>
      <c r="BW196" s="56"/>
      <c r="BX196" s="56"/>
      <c r="BY196" s="50"/>
      <c r="BZ196" s="48"/>
      <c r="CA196" s="49"/>
      <c r="CB196" s="49"/>
      <c r="CC196" s="50"/>
      <c r="CD196" s="48"/>
      <c r="CE196" s="49"/>
      <c r="CF196" s="49"/>
      <c r="CG196" s="50"/>
      <c r="CK196" s="12"/>
      <c r="CL196" s="15"/>
      <c r="CO196" s="12"/>
      <c r="CP196" s="15"/>
      <c r="CS196" s="12"/>
      <c r="CT196" s="15"/>
      <c r="CW196" s="12"/>
      <c r="CX196" s="15"/>
      <c r="DA196" s="12"/>
      <c r="DF196" s="15"/>
      <c r="DI196" s="12"/>
      <c r="DJ196" s="1"/>
      <c r="DK196" s="225"/>
      <c r="DL196" s="225"/>
      <c r="DM196" s="225"/>
      <c r="DN196" s="225"/>
      <c r="DO196" s="225"/>
      <c r="DP196" s="225"/>
      <c r="DQ196" s="225"/>
      <c r="DR196" s="225"/>
      <c r="DS196" s="225"/>
      <c r="DT196" s="225"/>
      <c r="DU196" s="225"/>
      <c r="DV196" s="225"/>
      <c r="DW196" s="1"/>
      <c r="EJ196" s="1"/>
      <c r="EK196" s="17"/>
      <c r="EL196" s="17"/>
      <c r="EM196" s="17"/>
      <c r="EN196" s="17"/>
      <c r="EO196" s="17"/>
      <c r="EP196" s="17"/>
      <c r="EQ196" s="17"/>
      <c r="ER196" s="17"/>
      <c r="ES196" s="17"/>
      <c r="EU196" s="17"/>
      <c r="EW196" s="1"/>
      <c r="EX196" s="225"/>
      <c r="EY196" s="225"/>
      <c r="EZ196" s="225"/>
      <c r="FA196" s="225"/>
      <c r="FB196" s="225"/>
      <c r="FC196" s="225"/>
      <c r="FD196" s="225"/>
      <c r="FE196" s="225"/>
      <c r="FF196" s="225"/>
      <c r="FG196" s="10"/>
      <c r="FH196" s="225"/>
      <c r="FI196" s="10"/>
      <c r="FJ196" s="1"/>
      <c r="FK196" s="225"/>
      <c r="FL196" s="225"/>
      <c r="FM196" s="225"/>
      <c r="FN196" s="225"/>
      <c r="FO196" s="225"/>
      <c r="FP196" s="225"/>
      <c r="FQ196" s="225"/>
      <c r="FR196" s="225"/>
      <c r="FS196" s="225"/>
      <c r="FT196" s="191"/>
      <c r="FU196" s="225"/>
      <c r="FV196" s="151"/>
    </row>
    <row r="197" spans="1:178" ht="16" thickBot="1" x14ac:dyDescent="0.25">
      <c r="A197" s="27" t="s">
        <v>118</v>
      </c>
      <c r="B197" t="s">
        <v>142</v>
      </c>
      <c r="C197" s="1"/>
      <c r="D197" s="17"/>
      <c r="E197" s="17"/>
      <c r="F197" s="156"/>
      <c r="G197" s="89"/>
      <c r="H197" s="88"/>
      <c r="I197" s="88"/>
      <c r="J197" s="17"/>
      <c r="K197" s="17"/>
      <c r="L197" s="17"/>
      <c r="M197" s="17"/>
      <c r="N197" s="17"/>
      <c r="O197" s="17"/>
      <c r="P197" s="1"/>
      <c r="Q197" s="48"/>
      <c r="R197" s="49"/>
      <c r="S197" s="49"/>
      <c r="T197" s="50">
        <f t="shared" si="57"/>
        <v>0</v>
      </c>
      <c r="U197" s="48"/>
      <c r="V197" s="49"/>
      <c r="W197" s="49"/>
      <c r="X197" s="50">
        <f t="shared" si="58"/>
        <v>0</v>
      </c>
      <c r="Y197" s="48"/>
      <c r="Z197" s="49"/>
      <c r="AA197" s="49"/>
      <c r="AB197" s="50">
        <f t="shared" si="59"/>
        <v>0</v>
      </c>
      <c r="AC197" s="167"/>
      <c r="AD197" s="166"/>
      <c r="AE197" s="166"/>
      <c r="AF197" s="151">
        <f t="shared" si="60"/>
        <v>0</v>
      </c>
      <c r="AG197" s="166"/>
      <c r="AH197" s="166"/>
      <c r="AI197" s="166"/>
      <c r="AJ197" s="151">
        <f t="shared" si="61"/>
        <v>0</v>
      </c>
      <c r="AK197" s="192"/>
      <c r="AL197" s="10"/>
      <c r="AM197" s="10"/>
      <c r="AN197" s="151">
        <f t="shared" si="62"/>
        <v>0</v>
      </c>
      <c r="AO197" s="191"/>
      <c r="AP197" s="10"/>
      <c r="AQ197" s="10"/>
      <c r="AR197" s="151"/>
      <c r="AS197" s="191"/>
      <c r="AT197" s="10"/>
      <c r="AU197" s="10"/>
      <c r="AV197" s="151"/>
      <c r="AW197" s="191"/>
      <c r="AX197" s="10"/>
      <c r="AY197" s="10"/>
      <c r="AZ197" s="151"/>
      <c r="BA197" s="191"/>
      <c r="BB197" s="10"/>
      <c r="BC197" s="10"/>
      <c r="BD197" s="151"/>
      <c r="BE197" s="191"/>
      <c r="BF197" s="10"/>
      <c r="BG197" s="10"/>
      <c r="BH197" s="151"/>
      <c r="BI197" s="191"/>
      <c r="BJ197" s="10"/>
      <c r="BK197" s="10"/>
      <c r="BL197" s="151"/>
      <c r="BM197" s="1"/>
      <c r="BN197" s="48"/>
      <c r="BO197" s="56"/>
      <c r="BP197" s="56"/>
      <c r="BQ197" s="50"/>
      <c r="BR197" s="48"/>
      <c r="BS197" s="56"/>
      <c r="BT197" s="56"/>
      <c r="BU197" s="50"/>
      <c r="BV197" s="48"/>
      <c r="BW197" s="56"/>
      <c r="BX197" s="56"/>
      <c r="BY197" s="50"/>
      <c r="BZ197" s="48"/>
      <c r="CA197" s="49"/>
      <c r="CB197" s="49"/>
      <c r="CC197" s="50"/>
      <c r="CD197" s="48"/>
      <c r="CE197" s="49"/>
      <c r="CF197" s="49"/>
      <c r="CG197" s="50"/>
      <c r="CK197" s="12"/>
      <c r="CL197" s="15"/>
      <c r="CO197" s="12"/>
      <c r="CP197" s="15"/>
      <c r="CS197" s="12"/>
      <c r="CT197" s="15"/>
      <c r="CW197" s="12"/>
      <c r="CX197" s="15"/>
      <c r="DA197" s="12"/>
      <c r="DF197" s="15"/>
      <c r="DI197" s="12"/>
      <c r="DJ197" s="1"/>
      <c r="DK197" s="225"/>
      <c r="DL197" s="225"/>
      <c r="DM197" s="225"/>
      <c r="DN197" s="225"/>
      <c r="DO197" s="225"/>
      <c r="DP197" s="225"/>
      <c r="DQ197" s="225"/>
      <c r="DR197" s="225"/>
      <c r="DS197" s="225"/>
      <c r="DT197" s="225"/>
      <c r="DU197" s="225"/>
      <c r="DV197" s="225"/>
      <c r="DW197" s="1"/>
      <c r="EJ197" s="1"/>
      <c r="EK197" s="17"/>
      <c r="EL197" s="17"/>
      <c r="EM197" s="17"/>
      <c r="EN197" s="17"/>
      <c r="EO197" s="17"/>
      <c r="EP197" s="17"/>
      <c r="EQ197" s="17"/>
      <c r="ER197" s="17"/>
      <c r="ES197" s="17"/>
      <c r="EU197" s="17"/>
      <c r="EW197" s="1"/>
      <c r="EX197" s="225"/>
      <c r="EY197" s="225"/>
      <c r="EZ197" s="225"/>
      <c r="FA197" s="225"/>
      <c r="FB197" s="225"/>
      <c r="FC197" s="225"/>
      <c r="FD197" s="225"/>
      <c r="FE197" s="225"/>
      <c r="FF197" s="225"/>
      <c r="FG197" s="10"/>
      <c r="FH197" s="225"/>
      <c r="FI197" s="10"/>
      <c r="FJ197" s="1"/>
      <c r="FK197" s="225"/>
      <c r="FL197" s="225"/>
      <c r="FM197" s="225"/>
      <c r="FN197" s="225"/>
      <c r="FO197" s="225"/>
      <c r="FP197" s="225"/>
      <c r="FQ197" s="225"/>
      <c r="FR197" s="225"/>
      <c r="FS197" s="225"/>
      <c r="FT197" s="191"/>
      <c r="FU197" s="225"/>
      <c r="FV197" s="151"/>
    </row>
    <row r="198" spans="1:178" ht="16" thickBot="1" x14ac:dyDescent="0.25">
      <c r="A198" s="27" t="s">
        <v>119</v>
      </c>
      <c r="B198" t="s">
        <v>142</v>
      </c>
      <c r="C198" s="1"/>
      <c r="D198" s="17">
        <v>1</v>
      </c>
      <c r="E198" s="17">
        <v>1</v>
      </c>
      <c r="F198" s="156">
        <v>2</v>
      </c>
      <c r="G198" s="87">
        <v>1</v>
      </c>
      <c r="H198" s="87">
        <v>2</v>
      </c>
      <c r="I198" s="87">
        <v>1</v>
      </c>
      <c r="J198" s="17"/>
      <c r="K198" s="17"/>
      <c r="L198" s="17"/>
      <c r="M198" s="17"/>
      <c r="N198" s="17"/>
      <c r="O198" s="17"/>
      <c r="P198" s="1"/>
      <c r="Q198" s="48"/>
      <c r="R198" s="49">
        <v>5004.6000000000004</v>
      </c>
      <c r="S198" s="49"/>
      <c r="T198" s="50">
        <f t="shared" si="57"/>
        <v>5004.6000000000004</v>
      </c>
      <c r="U198" s="48"/>
      <c r="V198" s="49">
        <v>6448.77</v>
      </c>
      <c r="W198" s="49"/>
      <c r="X198" s="50">
        <f t="shared" si="58"/>
        <v>6448.77</v>
      </c>
      <c r="Y198" s="48">
        <v>1419.38</v>
      </c>
      <c r="Z198" s="49">
        <v>9435.76</v>
      </c>
      <c r="AA198" s="49"/>
      <c r="AB198" s="50">
        <f t="shared" si="59"/>
        <v>10855.14</v>
      </c>
      <c r="AC198" s="167"/>
      <c r="AD198" s="166">
        <v>7345.79</v>
      </c>
      <c r="AE198" s="165"/>
      <c r="AF198" s="151">
        <f t="shared" si="60"/>
        <v>7345.79</v>
      </c>
      <c r="AG198" s="165">
        <v>3069.34</v>
      </c>
      <c r="AH198" s="166">
        <v>5554.21</v>
      </c>
      <c r="AI198" s="165"/>
      <c r="AJ198" s="151">
        <f t="shared" si="61"/>
        <v>8623.5499999999993</v>
      </c>
      <c r="AK198" s="192"/>
      <c r="AL198" s="10">
        <v>2281.2399999999998</v>
      </c>
      <c r="AM198" s="10"/>
      <c r="AN198" s="151">
        <f t="shared" si="62"/>
        <v>2281.2399999999998</v>
      </c>
      <c r="AO198" s="191"/>
      <c r="AP198" s="10"/>
      <c r="AQ198" s="10"/>
      <c r="AR198" s="151"/>
      <c r="AS198" s="191"/>
      <c r="AT198" s="10"/>
      <c r="AU198" s="10"/>
      <c r="AV198" s="151"/>
      <c r="AW198" s="191"/>
      <c r="AX198" s="10"/>
      <c r="AY198" s="10"/>
      <c r="AZ198" s="151"/>
      <c r="BA198" s="191"/>
      <c r="BB198" s="10"/>
      <c r="BC198" s="10"/>
      <c r="BD198" s="151"/>
      <c r="BE198" s="191"/>
      <c r="BF198" s="10"/>
      <c r="BG198" s="10"/>
      <c r="BH198" s="151"/>
      <c r="BI198" s="191"/>
      <c r="BJ198" s="10"/>
      <c r="BK198" s="10"/>
      <c r="BL198" s="151"/>
      <c r="BM198" s="1"/>
      <c r="BN198" s="48"/>
      <c r="BO198" s="56"/>
      <c r="BP198" s="56"/>
      <c r="BQ198" s="50"/>
      <c r="BR198" s="48"/>
      <c r="BS198" s="56"/>
      <c r="BT198" s="56"/>
      <c r="BU198" s="50"/>
      <c r="BV198" s="48"/>
      <c r="BW198" s="56"/>
      <c r="BX198" s="56"/>
      <c r="BY198" s="50"/>
      <c r="BZ198" s="48"/>
      <c r="CA198" s="49"/>
      <c r="CB198" s="49"/>
      <c r="CC198" s="50"/>
      <c r="CD198" s="48"/>
      <c r="CE198" s="49"/>
      <c r="CF198" s="49"/>
      <c r="CG198" s="50"/>
      <c r="CK198" s="12"/>
      <c r="CL198" s="15"/>
      <c r="CO198" s="12"/>
      <c r="CP198" s="15"/>
      <c r="CS198" s="12"/>
      <c r="CT198" s="15"/>
      <c r="CW198" s="12"/>
      <c r="CX198" s="15"/>
      <c r="DA198" s="12"/>
      <c r="DF198" s="15"/>
      <c r="DI198" s="12"/>
      <c r="DJ198" s="1"/>
      <c r="DK198" s="225"/>
      <c r="DL198" s="225"/>
      <c r="DM198" s="225"/>
      <c r="DN198" s="225"/>
      <c r="DO198" s="225"/>
      <c r="DP198" s="225"/>
      <c r="DQ198" s="225"/>
      <c r="DR198" s="225"/>
      <c r="DS198" s="225"/>
      <c r="DT198" s="225"/>
      <c r="DU198" s="225"/>
      <c r="DV198" s="225"/>
      <c r="DW198" s="1"/>
      <c r="EJ198" s="1"/>
      <c r="EK198" s="17"/>
      <c r="EL198" s="17"/>
      <c r="EM198" s="17"/>
      <c r="EN198" s="17"/>
      <c r="EO198" s="17"/>
      <c r="EP198" s="17"/>
      <c r="EQ198" s="17"/>
      <c r="ER198" s="17"/>
      <c r="ES198" s="17"/>
      <c r="EU198" s="17"/>
      <c r="EW198" s="1"/>
      <c r="EX198" s="225"/>
      <c r="EY198" s="225"/>
      <c r="EZ198" s="225"/>
      <c r="FA198" s="225"/>
      <c r="FB198" s="225"/>
      <c r="FC198" s="225"/>
      <c r="FD198" s="225"/>
      <c r="FE198" s="225"/>
      <c r="FF198" s="225"/>
      <c r="FG198" s="10"/>
      <c r="FH198" s="225"/>
      <c r="FI198" s="10"/>
      <c r="FJ198" s="1"/>
      <c r="FK198" s="225"/>
      <c r="FL198" s="225"/>
      <c r="FM198" s="225"/>
      <c r="FN198" s="225"/>
      <c r="FO198" s="225"/>
      <c r="FP198" s="225"/>
      <c r="FQ198" s="225"/>
      <c r="FR198" s="225"/>
      <c r="FS198" s="225"/>
      <c r="FT198" s="191"/>
      <c r="FU198" s="225"/>
      <c r="FV198" s="151"/>
    </row>
    <row r="199" spans="1:178" ht="16" thickBot="1" x14ac:dyDescent="0.25">
      <c r="A199" s="27" t="s">
        <v>120</v>
      </c>
      <c r="B199" t="s">
        <v>142</v>
      </c>
      <c r="C199" s="1"/>
      <c r="D199" s="17">
        <v>3</v>
      </c>
      <c r="E199" s="17">
        <v>3</v>
      </c>
      <c r="F199" s="156">
        <v>3</v>
      </c>
      <c r="G199" s="87">
        <v>3</v>
      </c>
      <c r="H199" s="87">
        <v>3</v>
      </c>
      <c r="I199" s="87">
        <v>3</v>
      </c>
      <c r="J199" s="17"/>
      <c r="K199" s="17"/>
      <c r="L199" s="17"/>
      <c r="M199" s="17"/>
      <c r="N199" s="17"/>
      <c r="O199" s="17"/>
      <c r="P199" s="1"/>
      <c r="Q199" s="48"/>
      <c r="R199" s="49"/>
      <c r="S199" s="49">
        <v>628796.21</v>
      </c>
      <c r="T199" s="50">
        <f t="shared" si="57"/>
        <v>628796.21</v>
      </c>
      <c r="U199" s="48"/>
      <c r="V199" s="49"/>
      <c r="W199" s="49">
        <v>720090.18</v>
      </c>
      <c r="X199" s="50">
        <f t="shared" si="58"/>
        <v>720090.18</v>
      </c>
      <c r="Y199" s="48"/>
      <c r="Z199" s="49"/>
      <c r="AA199" s="49">
        <v>692886.53</v>
      </c>
      <c r="AB199" s="50">
        <f t="shared" si="59"/>
        <v>692886.53</v>
      </c>
      <c r="AC199" s="164"/>
      <c r="AD199" s="166"/>
      <c r="AE199" s="166">
        <v>819956.66</v>
      </c>
      <c r="AF199" s="151">
        <f t="shared" si="60"/>
        <v>819956.66</v>
      </c>
      <c r="AG199" s="165"/>
      <c r="AH199" s="166"/>
      <c r="AI199" s="166">
        <v>885942.03</v>
      </c>
      <c r="AJ199" s="151">
        <f t="shared" si="61"/>
        <v>885942.03</v>
      </c>
      <c r="AK199" s="192"/>
      <c r="AL199" s="10"/>
      <c r="AM199" s="10">
        <v>1011164.12</v>
      </c>
      <c r="AN199" s="151">
        <f t="shared" si="62"/>
        <v>1011164.12</v>
      </c>
      <c r="AO199" s="191"/>
      <c r="AP199" s="10"/>
      <c r="AQ199" s="10"/>
      <c r="AR199" s="151"/>
      <c r="AS199" s="191"/>
      <c r="AT199" s="10"/>
      <c r="AU199" s="10"/>
      <c r="AV199" s="151"/>
      <c r="AW199" s="191"/>
      <c r="AX199" s="10"/>
      <c r="AY199" s="10"/>
      <c r="AZ199" s="151"/>
      <c r="BA199" s="191"/>
      <c r="BB199" s="10"/>
      <c r="BC199" s="10"/>
      <c r="BD199" s="151"/>
      <c r="BE199" s="191"/>
      <c r="BF199" s="10"/>
      <c r="BG199" s="10"/>
      <c r="BH199" s="151"/>
      <c r="BI199" s="191"/>
      <c r="BJ199" s="10"/>
      <c r="BK199" s="10"/>
      <c r="BL199" s="151"/>
      <c r="BM199" s="1"/>
      <c r="BN199" s="48"/>
      <c r="BO199" s="56"/>
      <c r="BP199" s="56"/>
      <c r="BQ199" s="50"/>
      <c r="BR199" s="48"/>
      <c r="BS199" s="56"/>
      <c r="BT199" s="56"/>
      <c r="BU199" s="50"/>
      <c r="BV199" s="48"/>
      <c r="BW199" s="56"/>
      <c r="BX199" s="56"/>
      <c r="BY199" s="50"/>
      <c r="BZ199" s="48"/>
      <c r="CA199" s="49"/>
      <c r="CB199" s="49"/>
      <c r="CC199" s="50"/>
      <c r="CD199" s="48"/>
      <c r="CE199" s="49"/>
      <c r="CF199" s="49"/>
      <c r="CG199" s="50"/>
      <c r="CK199" s="12"/>
      <c r="CL199" s="15"/>
      <c r="CO199" s="12"/>
      <c r="CP199" s="15"/>
      <c r="CS199" s="12"/>
      <c r="CT199" s="15"/>
      <c r="CW199" s="12"/>
      <c r="CX199" s="15"/>
      <c r="DA199" s="12"/>
      <c r="DF199" s="15"/>
      <c r="DI199" s="12"/>
      <c r="DJ199" s="1"/>
      <c r="DK199" s="225"/>
      <c r="DL199" s="225"/>
      <c r="DM199" s="225"/>
      <c r="DN199" s="225"/>
      <c r="DO199" s="225"/>
      <c r="DP199" s="225"/>
      <c r="DQ199" s="225"/>
      <c r="DR199" s="225"/>
      <c r="DS199" s="225"/>
      <c r="DT199" s="225"/>
      <c r="DU199" s="225"/>
      <c r="DV199" s="225"/>
      <c r="DW199" s="1"/>
      <c r="EJ199" s="1"/>
      <c r="EK199" s="17"/>
      <c r="EL199" s="17"/>
      <c r="EM199" s="17"/>
      <c r="EN199" s="17"/>
      <c r="EO199" s="17"/>
      <c r="EP199" s="17"/>
      <c r="EQ199" s="17"/>
      <c r="ER199" s="17"/>
      <c r="ES199" s="17"/>
      <c r="EU199" s="17"/>
      <c r="EW199" s="1"/>
      <c r="EX199" s="225"/>
      <c r="EY199" s="225"/>
      <c r="EZ199" s="225"/>
      <c r="FA199" s="225"/>
      <c r="FB199" s="225"/>
      <c r="FC199" s="225"/>
      <c r="FD199" s="225"/>
      <c r="FE199" s="225"/>
      <c r="FF199" s="225"/>
      <c r="FG199" s="10"/>
      <c r="FH199" s="225"/>
      <c r="FI199" s="10"/>
      <c r="FJ199" s="1"/>
      <c r="FK199" s="225"/>
      <c r="FL199" s="225"/>
      <c r="FM199" s="225"/>
      <c r="FN199" s="225"/>
      <c r="FO199" s="225"/>
      <c r="FP199" s="225"/>
      <c r="FQ199" s="225"/>
      <c r="FR199" s="225"/>
      <c r="FS199" s="225"/>
      <c r="FT199" s="191"/>
      <c r="FU199" s="225"/>
      <c r="FV199" s="151"/>
    </row>
    <row r="200" spans="1:178" ht="16" thickBot="1" x14ac:dyDescent="0.25">
      <c r="A200" s="27" t="s">
        <v>121</v>
      </c>
      <c r="B200" t="s">
        <v>142</v>
      </c>
      <c r="C200" s="1"/>
      <c r="D200" s="17"/>
      <c r="E200" s="17"/>
      <c r="F200" s="156"/>
      <c r="G200" s="89"/>
      <c r="H200" s="87"/>
      <c r="I200" s="88"/>
      <c r="J200" s="17"/>
      <c r="K200" s="17"/>
      <c r="L200" s="17"/>
      <c r="M200" s="17"/>
      <c r="N200" s="17"/>
      <c r="O200" s="17"/>
      <c r="P200" s="1"/>
      <c r="Q200" s="48"/>
      <c r="R200" s="49"/>
      <c r="S200" s="49"/>
      <c r="T200" s="50">
        <f t="shared" si="57"/>
        <v>0</v>
      </c>
      <c r="U200" s="48"/>
      <c r="V200" s="49"/>
      <c r="W200" s="49"/>
      <c r="X200" s="50">
        <f t="shared" si="58"/>
        <v>0</v>
      </c>
      <c r="Y200" s="48"/>
      <c r="Z200" s="49"/>
      <c r="AA200" s="49"/>
      <c r="AB200" s="50">
        <f t="shared" si="59"/>
        <v>0</v>
      </c>
      <c r="AC200" s="167"/>
      <c r="AD200" s="166"/>
      <c r="AE200" s="166"/>
      <c r="AF200" s="151">
        <f t="shared" si="60"/>
        <v>0</v>
      </c>
      <c r="AG200" s="165"/>
      <c r="AH200" s="166"/>
      <c r="AI200" s="166">
        <v>0</v>
      </c>
      <c r="AJ200" s="151">
        <f t="shared" si="61"/>
        <v>0</v>
      </c>
      <c r="AK200" s="192"/>
      <c r="AL200" s="10"/>
      <c r="AM200" s="10"/>
      <c r="AN200" s="151">
        <f t="shared" si="62"/>
        <v>0</v>
      </c>
      <c r="AO200" s="191"/>
      <c r="AP200" s="10"/>
      <c r="AQ200" s="10"/>
      <c r="AR200" s="151"/>
      <c r="AS200" s="191"/>
      <c r="AT200" s="10"/>
      <c r="AU200" s="10"/>
      <c r="AV200" s="151"/>
      <c r="AW200" s="191"/>
      <c r="AX200" s="10"/>
      <c r="AY200" s="10"/>
      <c r="AZ200" s="151"/>
      <c r="BA200" s="191"/>
      <c r="BB200" s="10"/>
      <c r="BC200" s="10"/>
      <c r="BD200" s="151"/>
      <c r="BE200" s="191"/>
      <c r="BF200" s="10"/>
      <c r="BG200" s="10"/>
      <c r="BH200" s="151"/>
      <c r="BI200" s="191"/>
      <c r="BJ200" s="10"/>
      <c r="BK200" s="10"/>
      <c r="BL200" s="151"/>
      <c r="BM200" s="1"/>
      <c r="BN200" s="48"/>
      <c r="BO200" s="56"/>
      <c r="BP200" s="56"/>
      <c r="BQ200" s="50"/>
      <c r="BR200" s="48"/>
      <c r="BS200" s="56"/>
      <c r="BT200" s="56"/>
      <c r="BU200" s="50"/>
      <c r="BV200" s="48"/>
      <c r="BW200" s="56"/>
      <c r="BX200" s="56"/>
      <c r="BY200" s="50"/>
      <c r="BZ200" s="48"/>
      <c r="CA200" s="49"/>
      <c r="CB200" s="49"/>
      <c r="CC200" s="50"/>
      <c r="CD200" s="48"/>
      <c r="CE200" s="49"/>
      <c r="CF200" s="49"/>
      <c r="CG200" s="50"/>
      <c r="CK200" s="12"/>
      <c r="CL200" s="15"/>
      <c r="CO200" s="12"/>
      <c r="CP200" s="15"/>
      <c r="CS200" s="12"/>
      <c r="CT200" s="15"/>
      <c r="CW200" s="12"/>
      <c r="CX200" s="15"/>
      <c r="DA200" s="12"/>
      <c r="DF200" s="15"/>
      <c r="DI200" s="12"/>
      <c r="DJ200" s="1"/>
      <c r="DK200" s="225"/>
      <c r="DL200" s="225"/>
      <c r="DM200" s="225"/>
      <c r="DN200" s="225"/>
      <c r="DO200" s="225"/>
      <c r="DP200" s="225"/>
      <c r="DQ200" s="225"/>
      <c r="DR200" s="225"/>
      <c r="DS200" s="225"/>
      <c r="DT200" s="225"/>
      <c r="DU200" s="225"/>
      <c r="DV200" s="225"/>
      <c r="DW200" s="1"/>
      <c r="EJ200" s="1"/>
      <c r="EK200" s="17"/>
      <c r="EL200" s="17"/>
      <c r="EM200" s="17"/>
      <c r="EN200" s="17"/>
      <c r="EO200" s="17"/>
      <c r="EP200" s="17"/>
      <c r="EQ200" s="17"/>
      <c r="ER200" s="17"/>
      <c r="ES200" s="17"/>
      <c r="EU200" s="17"/>
      <c r="EW200" s="1"/>
      <c r="EX200" s="225"/>
      <c r="EY200" s="225"/>
      <c r="EZ200" s="225"/>
      <c r="FA200" s="225"/>
      <c r="FB200" s="225"/>
      <c r="FC200" s="225"/>
      <c r="FD200" s="225"/>
      <c r="FE200" s="225"/>
      <c r="FF200" s="225"/>
      <c r="FG200" s="10"/>
      <c r="FH200" s="225"/>
      <c r="FI200" s="10"/>
      <c r="FJ200" s="1"/>
      <c r="FK200" s="225"/>
      <c r="FL200" s="225"/>
      <c r="FM200" s="225"/>
      <c r="FN200" s="225"/>
      <c r="FO200" s="225"/>
      <c r="FP200" s="225"/>
      <c r="FQ200" s="225"/>
      <c r="FR200" s="225"/>
      <c r="FS200" s="225"/>
      <c r="FT200" s="191"/>
      <c r="FU200" s="225"/>
      <c r="FV200" s="151"/>
    </row>
    <row r="201" spans="1:178" ht="16" thickBot="1" x14ac:dyDescent="0.25">
      <c r="A201" s="27" t="s">
        <v>122</v>
      </c>
      <c r="B201" t="s">
        <v>142</v>
      </c>
      <c r="C201" s="1"/>
      <c r="D201" s="17"/>
      <c r="E201" s="17"/>
      <c r="F201" s="156"/>
      <c r="G201" s="89"/>
      <c r="H201" s="88"/>
      <c r="I201" s="88"/>
      <c r="J201" s="17"/>
      <c r="K201" s="17"/>
      <c r="L201" s="17"/>
      <c r="M201" s="17"/>
      <c r="N201" s="17"/>
      <c r="O201" s="17"/>
      <c r="P201" s="1"/>
      <c r="Q201" s="48"/>
      <c r="R201" s="49"/>
      <c r="S201" s="49"/>
      <c r="T201" s="50">
        <f t="shared" si="57"/>
        <v>0</v>
      </c>
      <c r="U201" s="48"/>
      <c r="V201" s="49"/>
      <c r="W201" s="49"/>
      <c r="X201" s="50">
        <f t="shared" si="58"/>
        <v>0</v>
      </c>
      <c r="Y201" s="48"/>
      <c r="Z201" s="49"/>
      <c r="AA201" s="49"/>
      <c r="AB201" s="50">
        <f t="shared" si="59"/>
        <v>0</v>
      </c>
      <c r="AC201" s="167"/>
      <c r="AD201" s="166"/>
      <c r="AE201" s="166"/>
      <c r="AF201" s="151">
        <f t="shared" si="60"/>
        <v>0</v>
      </c>
      <c r="AG201" s="166"/>
      <c r="AH201" s="166"/>
      <c r="AI201" s="166"/>
      <c r="AJ201" s="151">
        <f t="shared" si="61"/>
        <v>0</v>
      </c>
      <c r="AK201" s="192"/>
      <c r="AL201" s="10"/>
      <c r="AM201" s="10"/>
      <c r="AN201" s="151">
        <f t="shared" si="62"/>
        <v>0</v>
      </c>
      <c r="AO201" s="191"/>
      <c r="AP201" s="10"/>
      <c r="AQ201" s="10"/>
      <c r="AR201" s="151"/>
      <c r="AS201" s="191"/>
      <c r="AT201" s="10"/>
      <c r="AU201" s="10"/>
      <c r="AV201" s="151"/>
      <c r="AW201" s="191"/>
      <c r="AX201" s="10"/>
      <c r="AY201" s="10"/>
      <c r="AZ201" s="151"/>
      <c r="BA201" s="191"/>
      <c r="BB201" s="10"/>
      <c r="BC201" s="10"/>
      <c r="BD201" s="151"/>
      <c r="BE201" s="191"/>
      <c r="BF201" s="10"/>
      <c r="BG201" s="10"/>
      <c r="BH201" s="151"/>
      <c r="BI201" s="191"/>
      <c r="BJ201" s="10"/>
      <c r="BK201" s="10"/>
      <c r="BL201" s="151"/>
      <c r="BM201" s="1"/>
      <c r="BN201" s="48"/>
      <c r="BO201" s="56"/>
      <c r="BP201" s="56"/>
      <c r="BQ201" s="50"/>
      <c r="BR201" s="48"/>
      <c r="BS201" s="56"/>
      <c r="BT201" s="56"/>
      <c r="BU201" s="50"/>
      <c r="BV201" s="48"/>
      <c r="BW201" s="56"/>
      <c r="BX201" s="56"/>
      <c r="BY201" s="50"/>
      <c r="BZ201" s="48"/>
      <c r="CA201" s="49"/>
      <c r="CB201" s="49"/>
      <c r="CC201" s="50"/>
      <c r="CD201" s="48"/>
      <c r="CE201" s="49"/>
      <c r="CF201" s="49"/>
      <c r="CG201" s="50"/>
      <c r="CK201" s="12"/>
      <c r="CL201" s="15"/>
      <c r="CO201" s="12"/>
      <c r="CP201" s="15"/>
      <c r="CS201" s="12"/>
      <c r="CT201" s="15"/>
      <c r="CW201" s="12"/>
      <c r="CX201" s="15"/>
      <c r="DA201" s="12"/>
      <c r="DF201" s="15"/>
      <c r="DI201" s="12"/>
      <c r="DJ201" s="1"/>
      <c r="DK201" s="225"/>
      <c r="DL201" s="225"/>
      <c r="DM201" s="225"/>
      <c r="DN201" s="225"/>
      <c r="DO201" s="225"/>
      <c r="DP201" s="225"/>
      <c r="DQ201" s="225"/>
      <c r="DR201" s="225"/>
      <c r="DS201" s="225"/>
      <c r="DT201" s="225"/>
      <c r="DU201" s="225"/>
      <c r="DV201" s="225"/>
      <c r="DW201" s="1"/>
      <c r="EJ201" s="1"/>
      <c r="EK201" s="17"/>
      <c r="EL201" s="17"/>
      <c r="EM201" s="17"/>
      <c r="EN201" s="17"/>
      <c r="EO201" s="17"/>
      <c r="EP201" s="17"/>
      <c r="EQ201" s="17"/>
      <c r="ER201" s="17"/>
      <c r="ES201" s="17"/>
      <c r="EU201" s="17"/>
      <c r="EW201" s="1"/>
      <c r="EX201" s="225"/>
      <c r="EY201" s="225"/>
      <c r="EZ201" s="225"/>
      <c r="FA201" s="225"/>
      <c r="FB201" s="225"/>
      <c r="FC201" s="225"/>
      <c r="FD201" s="225"/>
      <c r="FE201" s="225"/>
      <c r="FF201" s="225"/>
      <c r="FG201" s="10"/>
      <c r="FH201" s="225"/>
      <c r="FI201" s="10"/>
      <c r="FJ201" s="1"/>
      <c r="FK201" s="225"/>
      <c r="FL201" s="225"/>
      <c r="FM201" s="225"/>
      <c r="FN201" s="225"/>
      <c r="FO201" s="225"/>
      <c r="FP201" s="225"/>
      <c r="FQ201" s="225"/>
      <c r="FR201" s="225"/>
      <c r="FS201" s="225"/>
      <c r="FT201" s="191"/>
      <c r="FU201" s="225"/>
      <c r="FV201" s="151"/>
    </row>
    <row r="202" spans="1:178" ht="16" thickBot="1" x14ac:dyDescent="0.25">
      <c r="A202" s="27" t="s">
        <v>123</v>
      </c>
      <c r="B202" t="s">
        <v>142</v>
      </c>
      <c r="C202" s="1"/>
      <c r="D202" s="17"/>
      <c r="E202" s="17"/>
      <c r="F202" s="156"/>
      <c r="G202" s="89"/>
      <c r="H202" s="88"/>
      <c r="I202" s="88"/>
      <c r="J202" s="17"/>
      <c r="K202" s="17"/>
      <c r="L202" s="17"/>
      <c r="M202" s="17"/>
      <c r="N202" s="17"/>
      <c r="O202" s="17"/>
      <c r="P202" s="1"/>
      <c r="Q202" s="48"/>
      <c r="R202" s="49"/>
      <c r="S202" s="49"/>
      <c r="T202" s="50">
        <f t="shared" si="57"/>
        <v>0</v>
      </c>
      <c r="U202" s="48"/>
      <c r="V202" s="49"/>
      <c r="W202" s="49"/>
      <c r="X202" s="50">
        <f t="shared" si="58"/>
        <v>0</v>
      </c>
      <c r="Y202" s="48"/>
      <c r="Z202" s="49"/>
      <c r="AA202" s="49"/>
      <c r="AB202" s="50">
        <f t="shared" si="59"/>
        <v>0</v>
      </c>
      <c r="AC202" s="167"/>
      <c r="AD202" s="166"/>
      <c r="AE202" s="166"/>
      <c r="AF202" s="151">
        <f t="shared" si="60"/>
        <v>0</v>
      </c>
      <c r="AG202" s="166"/>
      <c r="AH202" s="166"/>
      <c r="AI202" s="166"/>
      <c r="AJ202" s="151">
        <f t="shared" si="61"/>
        <v>0</v>
      </c>
      <c r="AK202" s="192"/>
      <c r="AL202" s="10"/>
      <c r="AM202" s="10"/>
      <c r="AN202" s="151">
        <f t="shared" si="62"/>
        <v>0</v>
      </c>
      <c r="AO202" s="191"/>
      <c r="AP202" s="10"/>
      <c r="AQ202" s="10"/>
      <c r="AR202" s="151"/>
      <c r="AS202" s="191"/>
      <c r="AT202" s="10"/>
      <c r="AU202" s="10"/>
      <c r="AV202" s="151"/>
      <c r="AW202" s="191"/>
      <c r="AX202" s="10"/>
      <c r="AY202" s="10"/>
      <c r="AZ202" s="151"/>
      <c r="BA202" s="191"/>
      <c r="BB202" s="10"/>
      <c r="BC202" s="10"/>
      <c r="BD202" s="151"/>
      <c r="BE202" s="191"/>
      <c r="BF202" s="10"/>
      <c r="BG202" s="10"/>
      <c r="BH202" s="151"/>
      <c r="BI202" s="191"/>
      <c r="BJ202" s="10"/>
      <c r="BK202" s="10"/>
      <c r="BL202" s="151"/>
      <c r="BM202" s="1"/>
      <c r="BN202" s="48"/>
      <c r="BO202" s="56"/>
      <c r="BP202" s="56"/>
      <c r="BQ202" s="50"/>
      <c r="BR202" s="48"/>
      <c r="BS202" s="56"/>
      <c r="BT202" s="56"/>
      <c r="BU202" s="50"/>
      <c r="BV202" s="48"/>
      <c r="BW202" s="56"/>
      <c r="BX202" s="56"/>
      <c r="BY202" s="50"/>
      <c r="BZ202" s="48"/>
      <c r="CA202" s="49"/>
      <c r="CB202" s="49"/>
      <c r="CC202" s="50"/>
      <c r="CD202" s="48"/>
      <c r="CE202" s="49"/>
      <c r="CF202" s="49"/>
      <c r="CG202" s="50"/>
      <c r="CK202" s="12"/>
      <c r="CL202" s="15"/>
      <c r="CO202" s="12"/>
      <c r="CP202" s="15"/>
      <c r="CS202" s="12"/>
      <c r="CT202" s="15"/>
      <c r="CW202" s="12"/>
      <c r="CX202" s="15"/>
      <c r="DA202" s="12"/>
      <c r="DF202" s="15"/>
      <c r="DI202" s="12"/>
      <c r="DJ202" s="1"/>
      <c r="DK202" s="225"/>
      <c r="DL202" s="225"/>
      <c r="DM202" s="225"/>
      <c r="DN202" s="225"/>
      <c r="DO202" s="225"/>
      <c r="DP202" s="225"/>
      <c r="DQ202" s="225"/>
      <c r="DR202" s="225"/>
      <c r="DS202" s="225"/>
      <c r="DT202" s="225"/>
      <c r="DU202" s="225"/>
      <c r="DV202" s="225"/>
      <c r="DW202" s="1"/>
      <c r="EJ202" s="1"/>
      <c r="EK202" s="17"/>
      <c r="EL202" s="17"/>
      <c r="EM202" s="17"/>
      <c r="EN202" s="17"/>
      <c r="EO202" s="17"/>
      <c r="EP202" s="17"/>
      <c r="EQ202" s="17"/>
      <c r="ER202" s="17"/>
      <c r="ES202" s="17"/>
      <c r="EU202" s="17"/>
      <c r="EW202" s="1"/>
      <c r="EX202" s="225"/>
      <c r="EY202" s="225"/>
      <c r="EZ202" s="225"/>
      <c r="FA202" s="225"/>
      <c r="FB202" s="225"/>
      <c r="FC202" s="225"/>
      <c r="FD202" s="225"/>
      <c r="FE202" s="225"/>
      <c r="FF202" s="225"/>
      <c r="FG202" s="10"/>
      <c r="FH202" s="225"/>
      <c r="FI202" s="10"/>
      <c r="FJ202" s="1"/>
      <c r="FK202" s="225"/>
      <c r="FL202" s="225"/>
      <c r="FM202" s="225"/>
      <c r="FN202" s="225"/>
      <c r="FO202" s="225"/>
      <c r="FP202" s="225"/>
      <c r="FQ202" s="225"/>
      <c r="FR202" s="225"/>
      <c r="FS202" s="225"/>
      <c r="FT202" s="191"/>
      <c r="FU202" s="225"/>
      <c r="FV202" s="151"/>
    </row>
    <row r="203" spans="1:178" ht="16" thickBot="1" x14ac:dyDescent="0.25">
      <c r="A203" s="27" t="s">
        <v>124</v>
      </c>
      <c r="B203" t="s">
        <v>142</v>
      </c>
      <c r="C203" s="1"/>
      <c r="D203" s="17"/>
      <c r="E203" s="17"/>
      <c r="F203" s="156"/>
      <c r="G203" s="89"/>
      <c r="H203" s="88"/>
      <c r="I203" s="88"/>
      <c r="J203" s="17"/>
      <c r="K203" s="17"/>
      <c r="L203" s="17"/>
      <c r="M203" s="17"/>
      <c r="N203" s="17"/>
      <c r="O203" s="17"/>
      <c r="P203" s="1"/>
      <c r="Q203" s="48"/>
      <c r="R203" s="49"/>
      <c r="S203" s="49"/>
      <c r="T203" s="50">
        <f t="shared" si="57"/>
        <v>0</v>
      </c>
      <c r="U203" s="48"/>
      <c r="V203" s="49"/>
      <c r="W203" s="49"/>
      <c r="X203" s="50">
        <f t="shared" si="58"/>
        <v>0</v>
      </c>
      <c r="Y203" s="48"/>
      <c r="Z203" s="49"/>
      <c r="AA203" s="49"/>
      <c r="AB203" s="50">
        <f t="shared" si="59"/>
        <v>0</v>
      </c>
      <c r="AC203" s="167"/>
      <c r="AD203" s="166"/>
      <c r="AE203" s="166"/>
      <c r="AF203" s="151">
        <f t="shared" si="60"/>
        <v>0</v>
      </c>
      <c r="AG203" s="166"/>
      <c r="AH203" s="166"/>
      <c r="AI203" s="166"/>
      <c r="AJ203" s="151">
        <f t="shared" si="61"/>
        <v>0</v>
      </c>
      <c r="AK203" s="192"/>
      <c r="AL203" s="10"/>
      <c r="AM203" s="10"/>
      <c r="AN203" s="151">
        <f t="shared" si="62"/>
        <v>0</v>
      </c>
      <c r="AO203" s="191"/>
      <c r="AP203" s="10"/>
      <c r="AQ203" s="10"/>
      <c r="AR203" s="151"/>
      <c r="AS203" s="191"/>
      <c r="AT203" s="10"/>
      <c r="AU203" s="10"/>
      <c r="AV203" s="151"/>
      <c r="AW203" s="191"/>
      <c r="AX203" s="10"/>
      <c r="AY203" s="10"/>
      <c r="AZ203" s="151"/>
      <c r="BA203" s="191"/>
      <c r="BB203" s="10"/>
      <c r="BC203" s="10"/>
      <c r="BD203" s="151"/>
      <c r="BE203" s="191"/>
      <c r="BF203" s="10"/>
      <c r="BG203" s="10"/>
      <c r="BH203" s="151"/>
      <c r="BI203" s="191"/>
      <c r="BJ203" s="10"/>
      <c r="BK203" s="10"/>
      <c r="BL203" s="151"/>
      <c r="BM203" s="1"/>
      <c r="BN203" s="48"/>
      <c r="BO203" s="56"/>
      <c r="BP203" s="56"/>
      <c r="BQ203" s="50"/>
      <c r="BR203" s="48"/>
      <c r="BS203" s="56"/>
      <c r="BT203" s="56"/>
      <c r="BU203" s="50"/>
      <c r="BV203" s="48"/>
      <c r="BW203" s="56"/>
      <c r="BX203" s="56"/>
      <c r="BY203" s="50"/>
      <c r="BZ203" s="48"/>
      <c r="CA203" s="49"/>
      <c r="CB203" s="49"/>
      <c r="CC203" s="50"/>
      <c r="CD203" s="48"/>
      <c r="CE203" s="49"/>
      <c r="CF203" s="49"/>
      <c r="CG203" s="50"/>
      <c r="CK203" s="12"/>
      <c r="CL203" s="15"/>
      <c r="CO203" s="12"/>
      <c r="CP203" s="15"/>
      <c r="CS203" s="12"/>
      <c r="CT203" s="15"/>
      <c r="CW203" s="12"/>
      <c r="CX203" s="15"/>
      <c r="DA203" s="12"/>
      <c r="DF203" s="15"/>
      <c r="DI203" s="12"/>
      <c r="DJ203" s="1"/>
      <c r="DK203" s="225"/>
      <c r="DL203" s="226"/>
      <c r="DM203" s="225"/>
      <c r="DN203" s="226"/>
      <c r="DO203" s="225"/>
      <c r="DP203" s="226"/>
      <c r="DQ203" s="225"/>
      <c r="DR203" s="225"/>
      <c r="DS203" s="226"/>
      <c r="DT203" s="225"/>
      <c r="DU203" s="225"/>
      <c r="DV203" s="225"/>
      <c r="DW203" s="1"/>
      <c r="EJ203" s="1"/>
      <c r="EK203" s="17"/>
      <c r="EL203" s="19"/>
      <c r="EM203" s="17"/>
      <c r="EN203" s="19"/>
      <c r="EO203" s="17"/>
      <c r="EP203" s="19"/>
      <c r="EQ203" s="17"/>
      <c r="ER203" s="17"/>
      <c r="ES203" s="19"/>
      <c r="EU203" s="17"/>
      <c r="EW203" s="1"/>
      <c r="EX203" s="225"/>
      <c r="EY203" s="226"/>
      <c r="EZ203" s="225"/>
      <c r="FA203" s="226"/>
      <c r="FB203" s="225"/>
      <c r="FC203" s="226"/>
      <c r="FD203" s="225"/>
      <c r="FE203" s="225"/>
      <c r="FF203" s="226"/>
      <c r="FG203" s="10"/>
      <c r="FH203" s="225"/>
      <c r="FI203" s="10"/>
      <c r="FJ203" s="1"/>
      <c r="FK203" s="225"/>
      <c r="FL203" s="226"/>
      <c r="FM203" s="225"/>
      <c r="FN203" s="225"/>
      <c r="FO203" s="225"/>
      <c r="FP203" s="225"/>
      <c r="FQ203" s="225"/>
      <c r="FR203" s="225"/>
      <c r="FS203" s="225"/>
      <c r="FT203" s="191"/>
      <c r="FU203" s="225"/>
      <c r="FV203" s="151"/>
    </row>
    <row r="204" spans="1:178" ht="16" thickBot="1" x14ac:dyDescent="0.25">
      <c r="A204" s="27" t="s">
        <v>125</v>
      </c>
      <c r="B204" t="s">
        <v>142</v>
      </c>
      <c r="C204" s="1"/>
      <c r="D204" s="17"/>
      <c r="E204" s="17"/>
      <c r="F204" s="156"/>
      <c r="G204" s="89"/>
      <c r="H204" s="88"/>
      <c r="I204" s="88"/>
      <c r="J204" s="17"/>
      <c r="K204" s="17"/>
      <c r="L204" s="17"/>
      <c r="M204" s="17"/>
      <c r="N204" s="17"/>
      <c r="O204" s="17"/>
      <c r="P204" s="1"/>
      <c r="Q204" s="48"/>
      <c r="R204" s="49"/>
      <c r="S204" s="49"/>
      <c r="T204" s="50">
        <f t="shared" si="57"/>
        <v>0</v>
      </c>
      <c r="U204" s="48"/>
      <c r="V204" s="49"/>
      <c r="W204" s="49"/>
      <c r="X204" s="50">
        <f t="shared" si="58"/>
        <v>0</v>
      </c>
      <c r="Y204" s="48"/>
      <c r="Z204" s="49"/>
      <c r="AA204" s="49"/>
      <c r="AB204" s="50">
        <f t="shared" si="59"/>
        <v>0</v>
      </c>
      <c r="AC204" s="167"/>
      <c r="AD204" s="166"/>
      <c r="AE204" s="166"/>
      <c r="AF204" s="151">
        <f t="shared" si="60"/>
        <v>0</v>
      </c>
      <c r="AG204" s="166"/>
      <c r="AH204" s="166"/>
      <c r="AI204" s="166"/>
      <c r="AJ204" s="151">
        <f t="shared" si="61"/>
        <v>0</v>
      </c>
      <c r="AK204" s="192"/>
      <c r="AL204" s="10"/>
      <c r="AM204" s="10"/>
      <c r="AN204" s="151">
        <f t="shared" si="62"/>
        <v>0</v>
      </c>
      <c r="AO204" s="191"/>
      <c r="AP204" s="10"/>
      <c r="AQ204" s="10"/>
      <c r="AR204" s="151"/>
      <c r="AS204" s="191"/>
      <c r="AT204" s="10"/>
      <c r="AU204" s="10"/>
      <c r="AV204" s="151"/>
      <c r="AW204" s="191"/>
      <c r="AX204" s="10"/>
      <c r="AY204" s="10"/>
      <c r="AZ204" s="151"/>
      <c r="BA204" s="191"/>
      <c r="BB204" s="10"/>
      <c r="BC204" s="10"/>
      <c r="BD204" s="151"/>
      <c r="BE204" s="191"/>
      <c r="BF204" s="10"/>
      <c r="BG204" s="10"/>
      <c r="BH204" s="151"/>
      <c r="BI204" s="191"/>
      <c r="BJ204" s="10"/>
      <c r="BK204" s="10"/>
      <c r="BL204" s="151"/>
      <c r="BM204" s="1"/>
      <c r="BN204" s="48"/>
      <c r="BO204" s="56"/>
      <c r="BP204" s="56"/>
      <c r="BQ204" s="50"/>
      <c r="BR204" s="48"/>
      <c r="BS204" s="56"/>
      <c r="BT204" s="56"/>
      <c r="BU204" s="50"/>
      <c r="BV204" s="48"/>
      <c r="BW204" s="56"/>
      <c r="BX204" s="56"/>
      <c r="BY204" s="50"/>
      <c r="BZ204" s="48"/>
      <c r="CA204" s="49"/>
      <c r="CB204" s="49"/>
      <c r="CC204" s="50"/>
      <c r="CD204" s="48"/>
      <c r="CE204" s="49"/>
      <c r="CF204" s="49"/>
      <c r="CG204" s="50"/>
      <c r="CK204" s="12"/>
      <c r="CL204" s="15"/>
      <c r="CO204" s="12"/>
      <c r="CP204" s="15"/>
      <c r="CS204" s="12"/>
      <c r="CT204" s="15"/>
      <c r="CW204" s="12"/>
      <c r="CX204" s="15"/>
      <c r="DA204" s="12"/>
      <c r="DF204" s="15"/>
      <c r="DI204" s="12"/>
      <c r="DJ204" s="1"/>
      <c r="DK204" s="225"/>
      <c r="DL204" s="225"/>
      <c r="DM204" s="225"/>
      <c r="DN204" s="225"/>
      <c r="DO204" s="225"/>
      <c r="DP204" s="225"/>
      <c r="DQ204" s="225"/>
      <c r="DR204" s="225"/>
      <c r="DS204" s="225"/>
      <c r="DT204" s="225"/>
      <c r="DU204" s="225"/>
      <c r="DV204" s="225"/>
      <c r="DW204" s="1"/>
      <c r="EJ204" s="1"/>
      <c r="EK204" s="17"/>
      <c r="EL204" s="17"/>
      <c r="EM204" s="17"/>
      <c r="EN204" s="17"/>
      <c r="EO204" s="17"/>
      <c r="EP204" s="17"/>
      <c r="EQ204" s="17"/>
      <c r="ER204" s="17"/>
      <c r="ES204" s="17"/>
      <c r="EU204" s="17"/>
      <c r="EW204" s="1"/>
      <c r="EX204" s="225"/>
      <c r="EY204" s="225"/>
      <c r="EZ204" s="225"/>
      <c r="FA204" s="225"/>
      <c r="FB204" s="225"/>
      <c r="FC204" s="225"/>
      <c r="FD204" s="225"/>
      <c r="FE204" s="225"/>
      <c r="FF204" s="225"/>
      <c r="FG204" s="10"/>
      <c r="FH204" s="225"/>
      <c r="FI204" s="10"/>
      <c r="FJ204" s="1"/>
      <c r="FK204" s="225"/>
      <c r="FL204" s="225"/>
      <c r="FM204" s="225"/>
      <c r="FN204" s="225"/>
      <c r="FO204" s="225"/>
      <c r="FP204" s="225"/>
      <c r="FQ204" s="225"/>
      <c r="FR204" s="225"/>
      <c r="FS204" s="225"/>
      <c r="FT204" s="191"/>
      <c r="FU204" s="225"/>
      <c r="FV204" s="151"/>
    </row>
    <row r="205" spans="1:178" ht="16" thickBot="1" x14ac:dyDescent="0.25">
      <c r="A205" s="27" t="s">
        <v>126</v>
      </c>
      <c r="B205" t="s">
        <v>142</v>
      </c>
      <c r="C205" s="1"/>
      <c r="D205" s="17">
        <v>1</v>
      </c>
      <c r="E205" s="17"/>
      <c r="F205" s="156"/>
      <c r="G205" s="89"/>
      <c r="H205" s="88"/>
      <c r="I205" s="88"/>
      <c r="J205" s="17"/>
      <c r="K205" s="17"/>
      <c r="L205" s="17"/>
      <c r="M205" s="17"/>
      <c r="N205" s="17"/>
      <c r="O205" s="17"/>
      <c r="P205" s="1"/>
      <c r="Q205" s="48">
        <v>4236.5200000000004</v>
      </c>
      <c r="R205" s="49"/>
      <c r="S205" s="49"/>
      <c r="T205" s="50">
        <f t="shared" si="57"/>
        <v>4236.5200000000004</v>
      </c>
      <c r="U205" s="48"/>
      <c r="V205" s="49"/>
      <c r="W205" s="49"/>
      <c r="X205" s="50">
        <f t="shared" si="58"/>
        <v>0</v>
      </c>
      <c r="Y205" s="48"/>
      <c r="Z205" s="49"/>
      <c r="AA205" s="49"/>
      <c r="AB205" s="50">
        <f t="shared" si="59"/>
        <v>0</v>
      </c>
      <c r="AC205" s="167"/>
      <c r="AD205" s="166"/>
      <c r="AE205" s="166"/>
      <c r="AF205" s="151">
        <f t="shared" si="60"/>
        <v>0</v>
      </c>
      <c r="AG205" s="166"/>
      <c r="AH205" s="166"/>
      <c r="AI205" s="166"/>
      <c r="AJ205" s="151">
        <f t="shared" si="61"/>
        <v>0</v>
      </c>
      <c r="AK205" s="192"/>
      <c r="AL205" s="10"/>
      <c r="AM205" s="10"/>
      <c r="AN205" s="151">
        <f t="shared" si="62"/>
        <v>0</v>
      </c>
      <c r="AO205" s="191"/>
      <c r="AP205" s="10"/>
      <c r="AQ205" s="10"/>
      <c r="AR205" s="151"/>
      <c r="AS205" s="191"/>
      <c r="AT205" s="10"/>
      <c r="AU205" s="10"/>
      <c r="AV205" s="151"/>
      <c r="AW205" s="191"/>
      <c r="AX205" s="10"/>
      <c r="AY205" s="10"/>
      <c r="AZ205" s="151"/>
      <c r="BA205" s="191"/>
      <c r="BB205" s="10"/>
      <c r="BC205" s="10"/>
      <c r="BD205" s="151"/>
      <c r="BE205" s="191"/>
      <c r="BF205" s="10"/>
      <c r="BG205" s="10"/>
      <c r="BH205" s="151"/>
      <c r="BI205" s="191"/>
      <c r="BJ205" s="10"/>
      <c r="BK205" s="10"/>
      <c r="BL205" s="151"/>
      <c r="BM205" s="1"/>
      <c r="BN205" s="48"/>
      <c r="BO205" s="56"/>
      <c r="BP205" s="56"/>
      <c r="BQ205" s="50"/>
      <c r="BR205" s="48"/>
      <c r="BS205" s="56"/>
      <c r="BT205" s="56"/>
      <c r="BU205" s="50"/>
      <c r="BV205" s="48"/>
      <c r="BW205" s="56"/>
      <c r="BX205" s="56"/>
      <c r="BY205" s="50"/>
      <c r="BZ205" s="48"/>
      <c r="CA205" s="49"/>
      <c r="CB205" s="49"/>
      <c r="CC205" s="50"/>
      <c r="CD205" s="48"/>
      <c r="CE205" s="49"/>
      <c r="CF205" s="49"/>
      <c r="CG205" s="50"/>
      <c r="CK205" s="12"/>
      <c r="CL205" s="15"/>
      <c r="CO205" s="12"/>
      <c r="CP205" s="15"/>
      <c r="CS205" s="12"/>
      <c r="CT205" s="15"/>
      <c r="CW205" s="12"/>
      <c r="CX205" s="15"/>
      <c r="DA205" s="12"/>
      <c r="DF205" s="15"/>
      <c r="DI205" s="12"/>
      <c r="DJ205" s="1"/>
      <c r="DK205" s="225"/>
      <c r="DL205" s="225"/>
      <c r="DM205" s="225"/>
      <c r="DN205" s="225"/>
      <c r="DO205" s="225"/>
      <c r="DP205" s="225"/>
      <c r="DQ205" s="225"/>
      <c r="DR205" s="225"/>
      <c r="DS205" s="225"/>
      <c r="DT205" s="225"/>
      <c r="DU205" s="225"/>
      <c r="DV205" s="225"/>
      <c r="DW205" s="1"/>
      <c r="EJ205" s="1"/>
      <c r="EK205" s="17"/>
      <c r="EL205" s="17"/>
      <c r="EM205" s="17"/>
      <c r="EN205" s="17"/>
      <c r="EO205" s="17"/>
      <c r="EP205" s="17"/>
      <c r="EQ205" s="17"/>
      <c r="ER205" s="17"/>
      <c r="ES205" s="17"/>
      <c r="EU205" s="17"/>
      <c r="EW205" s="1"/>
      <c r="EX205" s="225"/>
      <c r="EY205" s="225"/>
      <c r="EZ205" s="225"/>
      <c r="FA205" s="225"/>
      <c r="FB205" s="225"/>
      <c r="FC205" s="225"/>
      <c r="FD205" s="225"/>
      <c r="FE205" s="225"/>
      <c r="FF205" s="225"/>
      <c r="FG205" s="10"/>
      <c r="FH205" s="225"/>
      <c r="FI205" s="10"/>
      <c r="FJ205" s="1"/>
      <c r="FK205" s="225"/>
      <c r="FL205" s="225"/>
      <c r="FM205" s="225"/>
      <c r="FN205" s="225"/>
      <c r="FO205" s="225"/>
      <c r="FP205" s="225"/>
      <c r="FQ205" s="225"/>
      <c r="FR205" s="225"/>
      <c r="FS205" s="225"/>
      <c r="FT205" s="191"/>
      <c r="FU205" s="225"/>
      <c r="FV205" s="151"/>
    </row>
    <row r="206" spans="1:178" ht="16" thickBot="1" x14ac:dyDescent="0.25">
      <c r="A206" s="27" t="s">
        <v>138</v>
      </c>
      <c r="B206" t="s">
        <v>142</v>
      </c>
      <c r="C206" s="1"/>
      <c r="D206" s="17"/>
      <c r="E206" s="17"/>
      <c r="F206" s="156"/>
      <c r="G206" s="89"/>
      <c r="H206" s="88"/>
      <c r="I206" s="88"/>
      <c r="J206" s="17"/>
      <c r="K206" s="17"/>
      <c r="L206" s="17"/>
      <c r="M206" s="17"/>
      <c r="N206" s="17"/>
      <c r="O206" s="17"/>
      <c r="P206" s="1"/>
      <c r="Q206" s="48"/>
      <c r="R206" s="49"/>
      <c r="S206" s="49"/>
      <c r="T206" s="50">
        <f t="shared" si="57"/>
        <v>0</v>
      </c>
      <c r="U206" s="48"/>
      <c r="V206" s="49"/>
      <c r="W206" s="49"/>
      <c r="X206" s="50">
        <f t="shared" si="58"/>
        <v>0</v>
      </c>
      <c r="Y206" s="48"/>
      <c r="Z206" s="49"/>
      <c r="AA206" s="49"/>
      <c r="AB206" s="50">
        <f t="shared" si="59"/>
        <v>0</v>
      </c>
      <c r="AC206" s="167"/>
      <c r="AD206" s="166"/>
      <c r="AE206" s="166"/>
      <c r="AF206" s="151">
        <f t="shared" si="60"/>
        <v>0</v>
      </c>
      <c r="AG206" s="166"/>
      <c r="AH206" s="166"/>
      <c r="AI206" s="166"/>
      <c r="AJ206" s="151">
        <f t="shared" si="61"/>
        <v>0</v>
      </c>
      <c r="AK206" s="192"/>
      <c r="AL206" s="10"/>
      <c r="AM206" s="10"/>
      <c r="AN206" s="151">
        <f t="shared" si="62"/>
        <v>0</v>
      </c>
      <c r="AO206" s="191"/>
      <c r="AP206" s="10"/>
      <c r="AQ206" s="10"/>
      <c r="AR206" s="151"/>
      <c r="AS206" s="191"/>
      <c r="AT206" s="10"/>
      <c r="AU206" s="10"/>
      <c r="AV206" s="151"/>
      <c r="AW206" s="191"/>
      <c r="AX206" s="10"/>
      <c r="AY206" s="10"/>
      <c r="AZ206" s="151"/>
      <c r="BA206" s="191"/>
      <c r="BB206" s="10"/>
      <c r="BC206" s="10"/>
      <c r="BD206" s="151"/>
      <c r="BE206" s="191"/>
      <c r="BF206" s="10"/>
      <c r="BG206" s="10"/>
      <c r="BH206" s="151"/>
      <c r="BI206" s="191"/>
      <c r="BJ206" s="10"/>
      <c r="BK206" s="10"/>
      <c r="BL206" s="151"/>
      <c r="BM206" s="1"/>
      <c r="BN206" s="48"/>
      <c r="BO206" s="56"/>
      <c r="BP206" s="56"/>
      <c r="BQ206" s="50"/>
      <c r="BR206" s="48"/>
      <c r="BS206" s="56"/>
      <c r="BT206" s="56"/>
      <c r="BU206" s="50"/>
      <c r="BV206" s="48"/>
      <c r="BW206" s="56"/>
      <c r="BX206" s="56"/>
      <c r="BY206" s="50"/>
      <c r="BZ206" s="48"/>
      <c r="CA206" s="49"/>
      <c r="CB206" s="49"/>
      <c r="CC206" s="50"/>
      <c r="CD206" s="48"/>
      <c r="CE206" s="49"/>
      <c r="CF206" s="49"/>
      <c r="CG206" s="50"/>
      <c r="CK206" s="12"/>
      <c r="CL206" s="15"/>
      <c r="CO206" s="12"/>
      <c r="CP206" s="15"/>
      <c r="CS206" s="12"/>
      <c r="CT206" s="15"/>
      <c r="CW206" s="12"/>
      <c r="CX206" s="15"/>
      <c r="DA206" s="12"/>
      <c r="DF206" s="15"/>
      <c r="DI206" s="12"/>
      <c r="DJ206" s="1"/>
      <c r="DK206" s="225"/>
      <c r="DL206" s="225"/>
      <c r="DM206" s="225"/>
      <c r="DN206" s="225"/>
      <c r="DO206" s="225"/>
      <c r="DP206" s="225"/>
      <c r="DQ206" s="225"/>
      <c r="DR206" s="225"/>
      <c r="DS206" s="225"/>
      <c r="DT206" s="225"/>
      <c r="DU206" s="225"/>
      <c r="DV206" s="225"/>
      <c r="DW206" s="1"/>
      <c r="EJ206" s="1"/>
      <c r="EK206" s="17"/>
      <c r="EL206" s="17"/>
      <c r="EM206" s="17"/>
      <c r="EN206" s="17"/>
      <c r="EO206" s="17"/>
      <c r="EP206" s="17"/>
      <c r="EQ206" s="17"/>
      <c r="ER206" s="17"/>
      <c r="ES206" s="17"/>
      <c r="EU206" s="17"/>
      <c r="EW206" s="1"/>
      <c r="EX206" s="225"/>
      <c r="EY206" s="225"/>
      <c r="EZ206" s="225"/>
      <c r="FA206" s="225"/>
      <c r="FB206" s="225"/>
      <c r="FC206" s="225"/>
      <c r="FD206" s="225"/>
      <c r="FE206" s="225"/>
      <c r="FF206" s="225"/>
      <c r="FG206" s="10"/>
      <c r="FH206" s="225"/>
      <c r="FI206" s="10"/>
      <c r="FJ206" s="1"/>
      <c r="FK206" s="225"/>
      <c r="FL206" s="225"/>
      <c r="FM206" s="225"/>
      <c r="FN206" s="225"/>
      <c r="FO206" s="225"/>
      <c r="FP206" s="225"/>
      <c r="FQ206" s="225"/>
      <c r="FR206" s="225"/>
      <c r="FS206" s="225"/>
      <c r="FT206" s="191"/>
      <c r="FU206" s="225"/>
      <c r="FV206" s="151"/>
    </row>
    <row r="207" spans="1:178" ht="16" thickBot="1" x14ac:dyDescent="0.25">
      <c r="A207" s="27" t="s">
        <v>127</v>
      </c>
      <c r="B207" t="s">
        <v>142</v>
      </c>
      <c r="C207" s="1"/>
      <c r="D207" s="17"/>
      <c r="E207" s="17"/>
      <c r="F207" s="156"/>
      <c r="G207" s="89"/>
      <c r="H207" s="88"/>
      <c r="I207" s="88"/>
      <c r="J207" s="17"/>
      <c r="K207" s="17"/>
      <c r="L207" s="17"/>
      <c r="M207" s="17"/>
      <c r="N207" s="17"/>
      <c r="O207" s="17"/>
      <c r="P207" s="1"/>
      <c r="Q207" s="48"/>
      <c r="R207" s="49"/>
      <c r="S207" s="49"/>
      <c r="T207" s="50">
        <f t="shared" si="57"/>
        <v>0</v>
      </c>
      <c r="U207" s="48"/>
      <c r="V207" s="49"/>
      <c r="W207" s="49"/>
      <c r="X207" s="50">
        <f t="shared" si="58"/>
        <v>0</v>
      </c>
      <c r="Y207" s="48"/>
      <c r="Z207" s="49"/>
      <c r="AA207" s="49"/>
      <c r="AB207" s="50">
        <f t="shared" si="59"/>
        <v>0</v>
      </c>
      <c r="AC207" s="167"/>
      <c r="AD207" s="166"/>
      <c r="AE207" s="166"/>
      <c r="AF207" s="151">
        <f t="shared" si="60"/>
        <v>0</v>
      </c>
      <c r="AG207" s="166"/>
      <c r="AH207" s="166"/>
      <c r="AI207" s="166"/>
      <c r="AJ207" s="151">
        <f t="shared" si="61"/>
        <v>0</v>
      </c>
      <c r="AK207" s="192"/>
      <c r="AL207" s="10"/>
      <c r="AM207" s="10"/>
      <c r="AN207" s="151">
        <f t="shared" si="62"/>
        <v>0</v>
      </c>
      <c r="AO207" s="191"/>
      <c r="AP207" s="10"/>
      <c r="AQ207" s="10"/>
      <c r="AR207" s="151"/>
      <c r="AS207" s="191"/>
      <c r="AT207" s="10"/>
      <c r="AU207" s="10"/>
      <c r="AV207" s="151"/>
      <c r="AW207" s="191"/>
      <c r="AX207" s="10"/>
      <c r="AY207" s="10"/>
      <c r="AZ207" s="151"/>
      <c r="BA207" s="191"/>
      <c r="BB207" s="10"/>
      <c r="BC207" s="10"/>
      <c r="BD207" s="151"/>
      <c r="BE207" s="191"/>
      <c r="BF207" s="10"/>
      <c r="BG207" s="10"/>
      <c r="BH207" s="151"/>
      <c r="BI207" s="191"/>
      <c r="BJ207" s="10"/>
      <c r="BK207" s="10"/>
      <c r="BL207" s="151"/>
      <c r="BM207" s="1"/>
      <c r="BN207" s="48"/>
      <c r="BO207" s="56"/>
      <c r="BP207" s="56"/>
      <c r="BQ207" s="50"/>
      <c r="BR207" s="48"/>
      <c r="BS207" s="56"/>
      <c r="BT207" s="56"/>
      <c r="BU207" s="50"/>
      <c r="BV207" s="48"/>
      <c r="BW207" s="56"/>
      <c r="BX207" s="56"/>
      <c r="BY207" s="50"/>
      <c r="BZ207" s="48"/>
      <c r="CA207" s="49"/>
      <c r="CB207" s="49"/>
      <c r="CC207" s="50"/>
      <c r="CD207" s="48"/>
      <c r="CE207" s="49"/>
      <c r="CF207" s="49"/>
      <c r="CG207" s="50"/>
      <c r="CK207" s="12"/>
      <c r="CL207" s="15"/>
      <c r="CO207" s="12"/>
      <c r="CP207" s="15"/>
      <c r="CS207" s="12"/>
      <c r="CT207" s="15"/>
      <c r="CW207" s="12"/>
      <c r="CX207" s="15"/>
      <c r="DA207" s="12"/>
      <c r="DF207" s="15"/>
      <c r="DI207" s="12"/>
      <c r="DJ207" s="1"/>
      <c r="DK207" s="225"/>
      <c r="DL207" s="225"/>
      <c r="DM207" s="225"/>
      <c r="DN207" s="225"/>
      <c r="DO207" s="225"/>
      <c r="DP207" s="225"/>
      <c r="DQ207" s="225"/>
      <c r="DR207" s="225"/>
      <c r="DS207" s="225"/>
      <c r="DT207" s="225"/>
      <c r="DU207" s="225"/>
      <c r="DV207" s="225"/>
      <c r="DW207" s="1"/>
      <c r="EJ207" s="1"/>
      <c r="EK207" s="17"/>
      <c r="EL207" s="17"/>
      <c r="EM207" s="17"/>
      <c r="EN207" s="17"/>
      <c r="EO207" s="17"/>
      <c r="EP207" s="17"/>
      <c r="EQ207" s="17"/>
      <c r="ER207" s="17"/>
      <c r="ES207" s="17"/>
      <c r="EU207" s="17"/>
      <c r="EW207" s="1"/>
      <c r="EX207" s="225"/>
      <c r="EY207" s="225"/>
      <c r="EZ207" s="225"/>
      <c r="FA207" s="225"/>
      <c r="FB207" s="225"/>
      <c r="FC207" s="225"/>
      <c r="FD207" s="225"/>
      <c r="FE207" s="225"/>
      <c r="FF207" s="225"/>
      <c r="FG207" s="10"/>
      <c r="FH207" s="225"/>
      <c r="FI207" s="10"/>
      <c r="FJ207" s="1"/>
      <c r="FK207" s="225"/>
      <c r="FL207" s="225"/>
      <c r="FM207" s="225"/>
      <c r="FN207" s="225"/>
      <c r="FO207" s="225"/>
      <c r="FP207" s="225"/>
      <c r="FQ207" s="225"/>
      <c r="FR207" s="225"/>
      <c r="FS207" s="225"/>
      <c r="FT207" s="191"/>
      <c r="FU207" s="225"/>
      <c r="FV207" s="151"/>
    </row>
    <row r="208" spans="1:178" ht="16" thickBot="1" x14ac:dyDescent="0.25">
      <c r="A208" s="27" t="s">
        <v>128</v>
      </c>
      <c r="B208" t="s">
        <v>142</v>
      </c>
      <c r="C208" s="1"/>
      <c r="D208" s="17"/>
      <c r="E208" s="17"/>
      <c r="F208" s="156"/>
      <c r="G208" s="89"/>
      <c r="H208" s="88"/>
      <c r="I208" s="88"/>
      <c r="J208" s="17"/>
      <c r="K208" s="17"/>
      <c r="L208" s="17"/>
      <c r="M208" s="17"/>
      <c r="N208" s="17"/>
      <c r="O208" s="17"/>
      <c r="P208" s="1"/>
      <c r="Q208" s="48"/>
      <c r="R208" s="49"/>
      <c r="S208" s="49"/>
      <c r="T208" s="50">
        <f t="shared" si="57"/>
        <v>0</v>
      </c>
      <c r="U208" s="48"/>
      <c r="V208" s="49"/>
      <c r="W208" s="49"/>
      <c r="X208" s="50">
        <f t="shared" si="58"/>
        <v>0</v>
      </c>
      <c r="Y208" s="48"/>
      <c r="Z208" s="49"/>
      <c r="AA208" s="49"/>
      <c r="AB208" s="50">
        <f t="shared" si="59"/>
        <v>0</v>
      </c>
      <c r="AC208" s="167"/>
      <c r="AD208" s="166"/>
      <c r="AE208" s="166"/>
      <c r="AF208" s="151">
        <f t="shared" si="60"/>
        <v>0</v>
      </c>
      <c r="AG208" s="166"/>
      <c r="AH208" s="166"/>
      <c r="AI208" s="166"/>
      <c r="AJ208" s="151">
        <f t="shared" si="61"/>
        <v>0</v>
      </c>
      <c r="AK208" s="192"/>
      <c r="AL208" s="10"/>
      <c r="AM208" s="10"/>
      <c r="AN208" s="151">
        <f t="shared" si="62"/>
        <v>0</v>
      </c>
      <c r="AO208" s="191"/>
      <c r="AP208" s="10"/>
      <c r="AQ208" s="10"/>
      <c r="AR208" s="151"/>
      <c r="AS208" s="191"/>
      <c r="AT208" s="10"/>
      <c r="AU208" s="10"/>
      <c r="AV208" s="151"/>
      <c r="AW208" s="191"/>
      <c r="AX208" s="10"/>
      <c r="AY208" s="10"/>
      <c r="AZ208" s="151"/>
      <c r="BA208" s="191"/>
      <c r="BB208" s="10"/>
      <c r="BC208" s="10"/>
      <c r="BD208" s="151"/>
      <c r="BE208" s="191"/>
      <c r="BF208" s="10"/>
      <c r="BG208" s="10"/>
      <c r="BH208" s="151"/>
      <c r="BI208" s="191"/>
      <c r="BJ208" s="10"/>
      <c r="BK208" s="10"/>
      <c r="BL208" s="151"/>
      <c r="BM208" s="1"/>
      <c r="BN208" s="48"/>
      <c r="BO208" s="56"/>
      <c r="BP208" s="56"/>
      <c r="BQ208" s="50"/>
      <c r="BR208" s="48"/>
      <c r="BS208" s="56"/>
      <c r="BT208" s="56"/>
      <c r="BU208" s="50"/>
      <c r="BV208" s="48"/>
      <c r="BW208" s="56"/>
      <c r="BX208" s="56"/>
      <c r="BY208" s="50"/>
      <c r="BZ208" s="48"/>
      <c r="CA208" s="49"/>
      <c r="CB208" s="49"/>
      <c r="CC208" s="50"/>
      <c r="CD208" s="48"/>
      <c r="CE208" s="49"/>
      <c r="CF208" s="49"/>
      <c r="CG208" s="50"/>
      <c r="CK208" s="12"/>
      <c r="CL208" s="15"/>
      <c r="CO208" s="12"/>
      <c r="CP208" s="15"/>
      <c r="CS208" s="12"/>
      <c r="CT208" s="15"/>
      <c r="CW208" s="12"/>
      <c r="CX208" s="15"/>
      <c r="DA208" s="12"/>
      <c r="DF208" s="15"/>
      <c r="DI208" s="12"/>
      <c r="DJ208" s="1"/>
      <c r="DK208" s="225"/>
      <c r="DL208" s="225"/>
      <c r="DM208" s="225"/>
      <c r="DN208" s="225"/>
      <c r="DO208" s="225"/>
      <c r="DP208" s="225"/>
      <c r="DQ208" s="225"/>
      <c r="DR208" s="225"/>
      <c r="DS208" s="225"/>
      <c r="DT208" s="225"/>
      <c r="DU208" s="225"/>
      <c r="DV208" s="225"/>
      <c r="DW208" s="1"/>
      <c r="EJ208" s="1"/>
      <c r="EK208" s="17"/>
      <c r="EL208" s="17"/>
      <c r="EM208" s="17"/>
      <c r="EN208" s="17"/>
      <c r="EO208" s="17"/>
      <c r="EP208" s="17"/>
      <c r="EQ208" s="17"/>
      <c r="ER208" s="17"/>
      <c r="ES208" s="17"/>
      <c r="EU208" s="17"/>
      <c r="EW208" s="1"/>
      <c r="EX208" s="225"/>
      <c r="EY208" s="225"/>
      <c r="EZ208" s="225"/>
      <c r="FA208" s="225"/>
      <c r="FB208" s="225"/>
      <c r="FC208" s="225"/>
      <c r="FD208" s="225"/>
      <c r="FE208" s="225"/>
      <c r="FF208" s="225"/>
      <c r="FG208" s="10"/>
      <c r="FH208" s="225"/>
      <c r="FI208" s="10"/>
      <c r="FJ208" s="1"/>
      <c r="FK208" s="225"/>
      <c r="FL208" s="225"/>
      <c r="FM208" s="225"/>
      <c r="FN208" s="225"/>
      <c r="FO208" s="225"/>
      <c r="FP208" s="225"/>
      <c r="FQ208" s="225"/>
      <c r="FR208" s="225"/>
      <c r="FS208" s="225"/>
      <c r="FT208" s="191"/>
      <c r="FU208" s="225"/>
      <c r="FV208" s="151"/>
    </row>
    <row r="209" spans="1:178" ht="16" thickBot="1" x14ac:dyDescent="0.25">
      <c r="A209" s="27" t="s">
        <v>129</v>
      </c>
      <c r="B209" t="s">
        <v>142</v>
      </c>
      <c r="C209" s="1"/>
      <c r="D209" s="17"/>
      <c r="E209" s="17"/>
      <c r="F209" s="156"/>
      <c r="G209" s="89"/>
      <c r="H209" s="88"/>
      <c r="I209" s="88"/>
      <c r="J209" s="17"/>
      <c r="K209" s="17"/>
      <c r="L209" s="17"/>
      <c r="M209" s="17"/>
      <c r="N209" s="17"/>
      <c r="O209" s="17"/>
      <c r="P209" s="1"/>
      <c r="Q209" s="48"/>
      <c r="R209" s="49"/>
      <c r="S209" s="49"/>
      <c r="T209" s="50">
        <f t="shared" si="57"/>
        <v>0</v>
      </c>
      <c r="U209" s="48"/>
      <c r="V209" s="49"/>
      <c r="W209" s="49"/>
      <c r="X209" s="50">
        <f t="shared" si="58"/>
        <v>0</v>
      </c>
      <c r="Y209" s="48"/>
      <c r="Z209" s="49"/>
      <c r="AA209" s="49"/>
      <c r="AB209" s="50">
        <f t="shared" si="59"/>
        <v>0</v>
      </c>
      <c r="AC209" s="167"/>
      <c r="AD209" s="166"/>
      <c r="AE209" s="166"/>
      <c r="AF209" s="151">
        <f t="shared" si="60"/>
        <v>0</v>
      </c>
      <c r="AG209" s="166"/>
      <c r="AH209" s="166"/>
      <c r="AI209" s="166"/>
      <c r="AJ209" s="151">
        <f t="shared" si="61"/>
        <v>0</v>
      </c>
      <c r="AK209" s="192"/>
      <c r="AL209" s="10"/>
      <c r="AM209" s="10"/>
      <c r="AN209" s="151">
        <f t="shared" si="62"/>
        <v>0</v>
      </c>
      <c r="AO209" s="191"/>
      <c r="AP209" s="10"/>
      <c r="AQ209" s="10"/>
      <c r="AR209" s="151"/>
      <c r="AS209" s="191"/>
      <c r="AT209" s="10"/>
      <c r="AU209" s="10"/>
      <c r="AV209" s="151"/>
      <c r="AW209" s="191"/>
      <c r="AX209" s="10"/>
      <c r="AY209" s="10"/>
      <c r="AZ209" s="151"/>
      <c r="BA209" s="191"/>
      <c r="BB209" s="10"/>
      <c r="BC209" s="10"/>
      <c r="BD209" s="151"/>
      <c r="BE209" s="191"/>
      <c r="BF209" s="10"/>
      <c r="BG209" s="10"/>
      <c r="BH209" s="151"/>
      <c r="BI209" s="191"/>
      <c r="BJ209" s="10"/>
      <c r="BK209" s="10"/>
      <c r="BL209" s="151"/>
      <c r="BM209" s="1"/>
      <c r="BN209" s="48"/>
      <c r="BO209" s="56"/>
      <c r="BP209" s="56"/>
      <c r="BQ209" s="50"/>
      <c r="BR209" s="48"/>
      <c r="BS209" s="56"/>
      <c r="BT209" s="56"/>
      <c r="BU209" s="50"/>
      <c r="BV209" s="48"/>
      <c r="BW209" s="56"/>
      <c r="BX209" s="56"/>
      <c r="BY209" s="50"/>
      <c r="BZ209" s="48"/>
      <c r="CA209" s="49"/>
      <c r="CB209" s="49"/>
      <c r="CC209" s="50"/>
      <c r="CD209" s="48"/>
      <c r="CE209" s="49"/>
      <c r="CF209" s="49"/>
      <c r="CG209" s="50"/>
      <c r="CK209" s="12"/>
      <c r="CL209" s="15"/>
      <c r="CO209" s="12"/>
      <c r="CP209" s="15"/>
      <c r="CS209" s="12"/>
      <c r="CT209" s="15"/>
      <c r="CW209" s="12"/>
      <c r="CX209" s="15"/>
      <c r="DA209" s="12"/>
      <c r="DF209" s="15"/>
      <c r="DI209" s="12"/>
      <c r="DJ209" s="1"/>
      <c r="DK209" s="225"/>
      <c r="DL209" s="225"/>
      <c r="DM209" s="225"/>
      <c r="DN209" s="225"/>
      <c r="DO209" s="225"/>
      <c r="DP209" s="225"/>
      <c r="DQ209" s="225"/>
      <c r="DR209" s="225"/>
      <c r="DS209" s="225"/>
      <c r="DT209" s="225"/>
      <c r="DU209" s="225"/>
      <c r="DV209" s="225"/>
      <c r="DW209" s="1"/>
      <c r="EJ209" s="1"/>
      <c r="EK209" s="17"/>
      <c r="EL209" s="17"/>
      <c r="EM209" s="17"/>
      <c r="EN209" s="17"/>
      <c r="EO209" s="17"/>
      <c r="EP209" s="17"/>
      <c r="EQ209" s="17"/>
      <c r="ER209" s="17"/>
      <c r="ES209" s="17"/>
      <c r="EU209" s="17"/>
      <c r="EW209" s="1"/>
      <c r="EX209" s="225"/>
      <c r="EY209" s="225"/>
      <c r="EZ209" s="225"/>
      <c r="FA209" s="225"/>
      <c r="FB209" s="225"/>
      <c r="FC209" s="225"/>
      <c r="FD209" s="225"/>
      <c r="FE209" s="225"/>
      <c r="FF209" s="225"/>
      <c r="FG209" s="10"/>
      <c r="FH209" s="225"/>
      <c r="FI209" s="10"/>
      <c r="FJ209" s="1"/>
      <c r="FK209" s="225"/>
      <c r="FL209" s="225"/>
      <c r="FM209" s="225"/>
      <c r="FN209" s="225"/>
      <c r="FO209" s="225"/>
      <c r="FP209" s="225"/>
      <c r="FQ209" s="225"/>
      <c r="FR209" s="225"/>
      <c r="FS209" s="225"/>
      <c r="FT209" s="191"/>
      <c r="FU209" s="225"/>
      <c r="FV209" s="151"/>
    </row>
    <row r="210" spans="1:178" ht="16" thickBot="1" x14ac:dyDescent="0.25">
      <c r="A210" s="27" t="s">
        <v>130</v>
      </c>
      <c r="B210" t="s">
        <v>142</v>
      </c>
      <c r="C210" s="1"/>
      <c r="D210" s="17"/>
      <c r="E210" s="17"/>
      <c r="F210" s="156"/>
      <c r="G210" s="87"/>
      <c r="H210" s="87"/>
      <c r="I210" s="87"/>
      <c r="J210" s="17"/>
      <c r="K210" s="17"/>
      <c r="L210" s="17"/>
      <c r="M210" s="17"/>
      <c r="N210" s="17"/>
      <c r="O210" s="17"/>
      <c r="P210" s="1"/>
      <c r="Q210" s="48"/>
      <c r="R210" s="49"/>
      <c r="S210" s="49"/>
      <c r="T210" s="50">
        <f t="shared" si="57"/>
        <v>0</v>
      </c>
      <c r="U210" s="48"/>
      <c r="V210" s="49"/>
      <c r="W210" s="49"/>
      <c r="X210" s="50">
        <f t="shared" si="58"/>
        <v>0</v>
      </c>
      <c r="Y210" s="48"/>
      <c r="Z210" s="49"/>
      <c r="AA210" s="49"/>
      <c r="AB210" s="50">
        <f t="shared" si="59"/>
        <v>0</v>
      </c>
      <c r="AC210" s="164"/>
      <c r="AD210" s="166"/>
      <c r="AE210" s="166"/>
      <c r="AF210" s="151">
        <f t="shared" si="60"/>
        <v>0</v>
      </c>
      <c r="AG210" s="165"/>
      <c r="AH210" s="166"/>
      <c r="AI210" s="166"/>
      <c r="AJ210" s="151">
        <f t="shared" si="61"/>
        <v>0</v>
      </c>
      <c r="AK210" s="192"/>
      <c r="AL210" s="10"/>
      <c r="AM210" s="10"/>
      <c r="AN210" s="151">
        <f t="shared" si="62"/>
        <v>0</v>
      </c>
      <c r="AO210" s="191"/>
      <c r="AP210" s="10"/>
      <c r="AQ210" s="10"/>
      <c r="AR210" s="151"/>
      <c r="AS210" s="191"/>
      <c r="AT210" s="10"/>
      <c r="AU210" s="10"/>
      <c r="AV210" s="151"/>
      <c r="AW210" s="191"/>
      <c r="AX210" s="10"/>
      <c r="AY210" s="10"/>
      <c r="AZ210" s="151"/>
      <c r="BA210" s="191"/>
      <c r="BB210" s="10"/>
      <c r="BC210" s="10"/>
      <c r="BD210" s="151"/>
      <c r="BE210" s="191"/>
      <c r="BF210" s="10"/>
      <c r="BG210" s="10"/>
      <c r="BH210" s="151"/>
      <c r="BI210" s="191"/>
      <c r="BJ210" s="10"/>
      <c r="BK210" s="10"/>
      <c r="BL210" s="151"/>
      <c r="BM210" s="1"/>
      <c r="BN210" s="48"/>
      <c r="BO210" s="56"/>
      <c r="BP210" s="56"/>
      <c r="BQ210" s="50"/>
      <c r="BR210" s="48"/>
      <c r="BS210" s="56"/>
      <c r="BT210" s="56"/>
      <c r="BU210" s="50"/>
      <c r="BV210" s="48"/>
      <c r="BW210" s="56"/>
      <c r="BX210" s="56"/>
      <c r="BY210" s="50"/>
      <c r="BZ210" s="48"/>
      <c r="CA210" s="49"/>
      <c r="CB210" s="49"/>
      <c r="CC210" s="50"/>
      <c r="CD210" s="48"/>
      <c r="CE210" s="49"/>
      <c r="CF210" s="49"/>
      <c r="CG210" s="50"/>
      <c r="CK210" s="12"/>
      <c r="CL210" s="15"/>
      <c r="CO210" s="12"/>
      <c r="CP210" s="15"/>
      <c r="CS210" s="12"/>
      <c r="CT210" s="15"/>
      <c r="CW210" s="12"/>
      <c r="CX210" s="15"/>
      <c r="DA210" s="12"/>
      <c r="DF210" s="15"/>
      <c r="DI210" s="12"/>
      <c r="DJ210" s="1"/>
      <c r="DK210" s="225"/>
      <c r="DL210" s="225"/>
      <c r="DM210" s="225"/>
      <c r="DN210" s="225"/>
      <c r="DO210" s="225"/>
      <c r="DP210" s="225"/>
      <c r="DQ210" s="225"/>
      <c r="DR210" s="225"/>
      <c r="DS210" s="225"/>
      <c r="DT210" s="225"/>
      <c r="DU210" s="225"/>
      <c r="DV210" s="225"/>
      <c r="DW210" s="1"/>
      <c r="EJ210" s="1"/>
      <c r="EK210" s="17"/>
      <c r="EL210" s="17"/>
      <c r="EM210" s="17"/>
      <c r="EN210" s="17"/>
      <c r="EO210" s="17"/>
      <c r="EP210" s="17"/>
      <c r="EQ210" s="17"/>
      <c r="ER210" s="17"/>
      <c r="ES210" s="17"/>
      <c r="EU210" s="17"/>
      <c r="EW210" s="1"/>
      <c r="EX210" s="225"/>
      <c r="EY210" s="225"/>
      <c r="EZ210" s="225"/>
      <c r="FA210" s="225"/>
      <c r="FB210" s="225"/>
      <c r="FC210" s="225"/>
      <c r="FD210" s="225"/>
      <c r="FE210" s="225"/>
      <c r="FF210" s="225"/>
      <c r="FG210" s="10"/>
      <c r="FH210" s="225"/>
      <c r="FI210" s="10"/>
      <c r="FJ210" s="1"/>
      <c r="FK210" s="225"/>
      <c r="FL210" s="225"/>
      <c r="FM210" s="225"/>
      <c r="FN210" s="225"/>
      <c r="FO210" s="225"/>
      <c r="FP210" s="225"/>
      <c r="FQ210" s="225"/>
      <c r="FR210" s="225"/>
      <c r="FS210" s="225"/>
      <c r="FT210" s="191"/>
      <c r="FU210" s="225"/>
      <c r="FV210" s="151"/>
    </row>
    <row r="211" spans="1:178" ht="16" thickBot="1" x14ac:dyDescent="0.25">
      <c r="A211" s="27" t="s">
        <v>131</v>
      </c>
      <c r="B211" t="s">
        <v>142</v>
      </c>
      <c r="C211" s="1"/>
      <c r="D211" s="17">
        <v>24</v>
      </c>
      <c r="E211" s="17">
        <v>17</v>
      </c>
      <c r="F211" s="156">
        <v>24</v>
      </c>
      <c r="G211" s="87">
        <v>20</v>
      </c>
      <c r="H211" s="87">
        <v>11</v>
      </c>
      <c r="I211" s="87">
        <v>14</v>
      </c>
      <c r="J211" s="17"/>
      <c r="K211" s="17"/>
      <c r="L211" s="17"/>
      <c r="M211" s="17"/>
      <c r="N211" s="17"/>
      <c r="O211" s="17"/>
      <c r="P211" s="1"/>
      <c r="Q211" s="48">
        <v>369.55</v>
      </c>
      <c r="R211" s="49">
        <v>357.92</v>
      </c>
      <c r="S211" s="49">
        <v>28074.560000000001</v>
      </c>
      <c r="T211" s="50">
        <f t="shared" si="57"/>
        <v>28802.030000000002</v>
      </c>
      <c r="U211" s="48">
        <v>68.41</v>
      </c>
      <c r="V211" s="49">
        <v>499.18</v>
      </c>
      <c r="W211" s="49">
        <v>26581.89</v>
      </c>
      <c r="X211" s="50">
        <f t="shared" si="58"/>
        <v>27149.48</v>
      </c>
      <c r="Y211" s="48">
        <v>671.79</v>
      </c>
      <c r="Z211" s="49"/>
      <c r="AA211" s="49">
        <v>26906.83</v>
      </c>
      <c r="AB211" s="50">
        <f t="shared" si="59"/>
        <v>27578.620000000003</v>
      </c>
      <c r="AC211" s="164">
        <v>60.96</v>
      </c>
      <c r="AD211" s="165">
        <v>886.39</v>
      </c>
      <c r="AE211" s="165">
        <v>27328.49</v>
      </c>
      <c r="AF211" s="151">
        <f t="shared" si="60"/>
        <v>28275.84</v>
      </c>
      <c r="AG211" s="165">
        <v>3454.21</v>
      </c>
      <c r="AH211" s="165">
        <v>60.25</v>
      </c>
      <c r="AI211" s="165">
        <v>1491.91</v>
      </c>
      <c r="AJ211" s="151">
        <f t="shared" si="61"/>
        <v>5006.37</v>
      </c>
      <c r="AK211" s="192">
        <v>11790.15</v>
      </c>
      <c r="AL211" s="10">
        <v>2401.69</v>
      </c>
      <c r="AM211" s="10">
        <v>3080.24</v>
      </c>
      <c r="AN211" s="151">
        <f t="shared" si="62"/>
        <v>17272.080000000002</v>
      </c>
      <c r="AO211" s="191"/>
      <c r="AP211" s="10"/>
      <c r="AQ211" s="10"/>
      <c r="AR211" s="151"/>
      <c r="AS211" s="191"/>
      <c r="AT211" s="10"/>
      <c r="AU211" s="10"/>
      <c r="AV211" s="151"/>
      <c r="AW211" s="191"/>
      <c r="AX211" s="10"/>
      <c r="AY211" s="10"/>
      <c r="AZ211" s="151"/>
      <c r="BA211" s="191"/>
      <c r="BB211" s="10"/>
      <c r="BC211" s="10"/>
      <c r="BD211" s="151"/>
      <c r="BE211" s="191"/>
      <c r="BF211" s="10"/>
      <c r="BG211" s="10"/>
      <c r="BH211" s="151"/>
      <c r="BI211" s="191"/>
      <c r="BJ211" s="10"/>
      <c r="BK211" s="10"/>
      <c r="BL211" s="151"/>
      <c r="BM211" s="1"/>
      <c r="BN211" s="48"/>
      <c r="BO211" s="56"/>
      <c r="BP211" s="56"/>
      <c r="BQ211" s="50"/>
      <c r="BR211" s="48"/>
      <c r="BS211" s="56"/>
      <c r="BT211" s="56"/>
      <c r="BU211" s="50"/>
      <c r="BV211" s="48"/>
      <c r="BW211" s="56"/>
      <c r="BX211" s="56"/>
      <c r="BY211" s="50"/>
      <c r="BZ211" s="48"/>
      <c r="CA211" s="49"/>
      <c r="CB211" s="49"/>
      <c r="CC211" s="50"/>
      <c r="CD211" s="48"/>
      <c r="CE211" s="49"/>
      <c r="CF211" s="49"/>
      <c r="CG211" s="50"/>
      <c r="CK211" s="12"/>
      <c r="CL211" s="15"/>
      <c r="CO211" s="12"/>
      <c r="CP211" s="15"/>
      <c r="CS211" s="12"/>
      <c r="CT211" s="15"/>
      <c r="CW211" s="12"/>
      <c r="CX211" s="15"/>
      <c r="DA211" s="12"/>
      <c r="DF211" s="15"/>
      <c r="DI211" s="12"/>
      <c r="DJ211" s="1"/>
      <c r="DK211" s="225">
        <v>336.67</v>
      </c>
      <c r="DL211" s="225"/>
      <c r="DM211" s="225"/>
      <c r="DN211" s="225"/>
      <c r="DO211" s="225"/>
      <c r="DP211" s="225"/>
      <c r="DQ211" s="225"/>
      <c r="DR211" s="225"/>
      <c r="DS211" s="225"/>
      <c r="DT211" s="225"/>
      <c r="DU211" s="225"/>
      <c r="DV211" s="225"/>
      <c r="DW211" s="1"/>
      <c r="EJ211" s="1"/>
      <c r="EK211" s="17">
        <v>1</v>
      </c>
      <c r="EL211" s="17"/>
      <c r="EM211" s="17"/>
      <c r="EN211" s="17"/>
      <c r="EO211" s="17"/>
      <c r="EP211" s="17"/>
      <c r="EQ211" s="17"/>
      <c r="ER211" s="17"/>
      <c r="ES211" s="17"/>
      <c r="EU211" s="17"/>
      <c r="EW211" s="1"/>
      <c r="EX211" s="225">
        <v>336.67</v>
      </c>
      <c r="EY211" s="225"/>
      <c r="EZ211" s="225"/>
      <c r="FA211" s="225"/>
      <c r="FB211" s="225"/>
      <c r="FC211" s="225"/>
      <c r="FD211" s="225"/>
      <c r="FE211" s="225"/>
      <c r="FF211" s="225"/>
      <c r="FG211" s="10"/>
      <c r="FH211" s="225"/>
      <c r="FI211" s="10"/>
      <c r="FJ211" s="1"/>
      <c r="FK211" s="225"/>
      <c r="FL211" s="225"/>
      <c r="FM211" s="225"/>
      <c r="FN211" s="225"/>
      <c r="FO211" s="225"/>
      <c r="FP211" s="225"/>
      <c r="FQ211" s="225"/>
      <c r="FR211" s="225"/>
      <c r="FS211" s="225"/>
      <c r="FT211" s="191"/>
      <c r="FU211" s="225"/>
      <c r="FV211" s="151"/>
    </row>
    <row r="212" spans="1:178" ht="16" thickBot="1" x14ac:dyDescent="0.25">
      <c r="A212" s="27" t="s">
        <v>132</v>
      </c>
      <c r="B212" t="s">
        <v>142</v>
      </c>
      <c r="C212" s="1"/>
      <c r="D212" s="17">
        <v>1</v>
      </c>
      <c r="E212" s="17">
        <v>1</v>
      </c>
      <c r="F212" s="156">
        <v>1</v>
      </c>
      <c r="G212" s="87">
        <v>1</v>
      </c>
      <c r="H212" s="87">
        <v>1</v>
      </c>
      <c r="I212" s="87">
        <v>2</v>
      </c>
      <c r="J212" s="17"/>
      <c r="K212" s="17"/>
      <c r="L212" s="17"/>
      <c r="M212" s="17"/>
      <c r="N212" s="17"/>
      <c r="O212" s="17"/>
      <c r="P212" s="1"/>
      <c r="Q212" s="48"/>
      <c r="R212" s="49"/>
      <c r="S212" s="49">
        <v>200.97</v>
      </c>
      <c r="T212" s="50">
        <f t="shared" si="57"/>
        <v>200.97</v>
      </c>
      <c r="U212" s="48"/>
      <c r="V212" s="49"/>
      <c r="W212" s="49">
        <v>227.47</v>
      </c>
      <c r="X212" s="50">
        <f t="shared" si="58"/>
        <v>227.47</v>
      </c>
      <c r="Y212" s="48"/>
      <c r="Z212" s="49"/>
      <c r="AA212" s="49">
        <v>253.97</v>
      </c>
      <c r="AB212" s="50">
        <f t="shared" si="59"/>
        <v>253.97</v>
      </c>
      <c r="AC212" s="167">
        <v>26.5</v>
      </c>
      <c r="AD212" s="165"/>
      <c r="AE212" s="165"/>
      <c r="AF212" s="151">
        <f t="shared" si="60"/>
        <v>26.5</v>
      </c>
      <c r="AG212" s="165"/>
      <c r="AH212" s="166">
        <v>53</v>
      </c>
      <c r="AI212" s="165"/>
      <c r="AJ212" s="151">
        <f t="shared" si="61"/>
        <v>53</v>
      </c>
      <c r="AK212" s="192">
        <v>11394.11</v>
      </c>
      <c r="AL212" s="10"/>
      <c r="AM212" s="10">
        <v>84.77</v>
      </c>
      <c r="AN212" s="151">
        <f t="shared" si="62"/>
        <v>11478.880000000001</v>
      </c>
      <c r="AO212" s="191"/>
      <c r="AP212" s="10"/>
      <c r="AQ212" s="10"/>
      <c r="AR212" s="151"/>
      <c r="AS212" s="191"/>
      <c r="AT212" s="10"/>
      <c r="AU212" s="10"/>
      <c r="AV212" s="151"/>
      <c r="AW212" s="191"/>
      <c r="AX212" s="10"/>
      <c r="AY212" s="10"/>
      <c r="AZ212" s="151"/>
      <c r="BA212" s="191"/>
      <c r="BB212" s="10"/>
      <c r="BC212" s="10"/>
      <c r="BD212" s="151"/>
      <c r="BE212" s="191"/>
      <c r="BF212" s="10"/>
      <c r="BG212" s="10"/>
      <c r="BH212" s="151"/>
      <c r="BI212" s="191"/>
      <c r="BJ212" s="10"/>
      <c r="BK212" s="10"/>
      <c r="BL212" s="151"/>
      <c r="BM212" s="1"/>
      <c r="BN212" s="48"/>
      <c r="BO212" s="56"/>
      <c r="BP212" s="56"/>
      <c r="BQ212" s="50"/>
      <c r="BR212" s="48"/>
      <c r="BS212" s="56"/>
      <c r="BT212" s="56"/>
      <c r="BU212" s="50"/>
      <c r="BV212" s="48"/>
      <c r="BW212" s="56"/>
      <c r="BX212" s="56"/>
      <c r="BY212" s="50"/>
      <c r="BZ212" s="48"/>
      <c r="CA212" s="49"/>
      <c r="CB212" s="49"/>
      <c r="CC212" s="50"/>
      <c r="CD212" s="48"/>
      <c r="CE212" s="49"/>
      <c r="CF212" s="49"/>
      <c r="CG212" s="50"/>
      <c r="CK212" s="12"/>
      <c r="CL212" s="15"/>
      <c r="CO212" s="12"/>
      <c r="CP212" s="15"/>
      <c r="CS212" s="12"/>
      <c r="CT212" s="15"/>
      <c r="CW212" s="12"/>
      <c r="CX212" s="15"/>
      <c r="DA212" s="12"/>
      <c r="DF212" s="15"/>
      <c r="DI212" s="12"/>
      <c r="DJ212" s="1"/>
      <c r="DK212" s="225"/>
      <c r="DL212" s="225"/>
      <c r="DM212" s="225"/>
      <c r="DN212" s="225"/>
      <c r="DO212" s="225"/>
      <c r="DP212" s="225"/>
      <c r="DQ212" s="225"/>
      <c r="DR212" s="225"/>
      <c r="DS212" s="225"/>
      <c r="DT212" s="225"/>
      <c r="DU212" s="225"/>
      <c r="DV212" s="225"/>
      <c r="DW212" s="1"/>
      <c r="EJ212" s="1"/>
      <c r="EK212" s="17"/>
      <c r="EL212" s="17"/>
      <c r="EM212" s="17"/>
      <c r="EN212" s="17"/>
      <c r="EO212" s="17"/>
      <c r="EP212" s="17"/>
      <c r="EQ212" s="17"/>
      <c r="ER212" s="17"/>
      <c r="ES212" s="17"/>
      <c r="EU212" s="17"/>
      <c r="EW212" s="1"/>
      <c r="EX212" s="225"/>
      <c r="EY212" s="225"/>
      <c r="EZ212" s="225"/>
      <c r="FA212" s="225"/>
      <c r="FB212" s="225"/>
      <c r="FC212" s="225"/>
      <c r="FD212" s="225"/>
      <c r="FE212" s="225"/>
      <c r="FF212" s="225"/>
      <c r="FG212" s="10"/>
      <c r="FH212" s="225"/>
      <c r="FI212" s="10"/>
      <c r="FJ212" s="1"/>
      <c r="FK212" s="225"/>
      <c r="FL212" s="225"/>
      <c r="FM212" s="225"/>
      <c r="FN212" s="225"/>
      <c r="FO212" s="225"/>
      <c r="FP212" s="225"/>
      <c r="FQ212" s="225"/>
      <c r="FR212" s="225"/>
      <c r="FS212" s="225"/>
      <c r="FT212" s="191"/>
      <c r="FU212" s="225"/>
      <c r="FV212" s="151"/>
    </row>
    <row r="213" spans="1:178" ht="16" thickBot="1" x14ac:dyDescent="0.25">
      <c r="A213" s="27" t="s">
        <v>133</v>
      </c>
      <c r="B213" t="s">
        <v>142</v>
      </c>
      <c r="C213" s="1"/>
      <c r="D213" s="17"/>
      <c r="E213" s="17"/>
      <c r="F213" s="156"/>
      <c r="G213" s="89"/>
      <c r="H213" s="88"/>
      <c r="I213" s="88"/>
      <c r="J213" s="17"/>
      <c r="K213" s="17"/>
      <c r="L213" s="17"/>
      <c r="M213" s="17"/>
      <c r="N213" s="17"/>
      <c r="O213" s="17"/>
      <c r="P213" s="1"/>
      <c r="Q213" s="48"/>
      <c r="R213" s="49"/>
      <c r="S213" s="49"/>
      <c r="T213" s="50">
        <f t="shared" si="57"/>
        <v>0</v>
      </c>
      <c r="U213" s="48"/>
      <c r="V213" s="49"/>
      <c r="W213" s="49"/>
      <c r="X213" s="50">
        <f t="shared" si="58"/>
        <v>0</v>
      </c>
      <c r="Y213" s="48"/>
      <c r="Z213" s="49"/>
      <c r="AA213" s="49"/>
      <c r="AB213" s="50">
        <f t="shared" si="59"/>
        <v>0</v>
      </c>
      <c r="AC213" s="167"/>
      <c r="AD213" s="166"/>
      <c r="AE213" s="166"/>
      <c r="AF213" s="151">
        <f t="shared" si="60"/>
        <v>0</v>
      </c>
      <c r="AG213" s="166"/>
      <c r="AH213" s="166"/>
      <c r="AI213" s="166"/>
      <c r="AJ213" s="151">
        <f t="shared" si="61"/>
        <v>0</v>
      </c>
      <c r="AK213" s="192"/>
      <c r="AL213" s="10"/>
      <c r="AM213" s="10"/>
      <c r="AN213" s="151">
        <f t="shared" si="62"/>
        <v>0</v>
      </c>
      <c r="AO213" s="191"/>
      <c r="AP213" s="10"/>
      <c r="AQ213" s="10"/>
      <c r="AR213" s="151"/>
      <c r="AS213" s="191"/>
      <c r="AT213" s="10"/>
      <c r="AU213" s="10"/>
      <c r="AV213" s="151"/>
      <c r="AW213" s="191"/>
      <c r="AX213" s="10"/>
      <c r="AY213" s="10"/>
      <c r="AZ213" s="151"/>
      <c r="BA213" s="191"/>
      <c r="BB213" s="10"/>
      <c r="BC213" s="10"/>
      <c r="BD213" s="151"/>
      <c r="BE213" s="191"/>
      <c r="BF213" s="10"/>
      <c r="BG213" s="10"/>
      <c r="BH213" s="151"/>
      <c r="BI213" s="191"/>
      <c r="BJ213" s="10"/>
      <c r="BK213" s="10"/>
      <c r="BL213" s="151"/>
      <c r="BM213" s="1"/>
      <c r="BN213" s="48"/>
      <c r="BO213" s="56"/>
      <c r="BP213" s="56"/>
      <c r="BQ213" s="50"/>
      <c r="BR213" s="48"/>
      <c r="BS213" s="56"/>
      <c r="BT213" s="56"/>
      <c r="BU213" s="50"/>
      <c r="BV213" s="48"/>
      <c r="BW213" s="56"/>
      <c r="BX213" s="56"/>
      <c r="BY213" s="50"/>
      <c r="BZ213" s="48"/>
      <c r="CA213" s="49"/>
      <c r="CB213" s="49"/>
      <c r="CC213" s="50"/>
      <c r="CD213" s="48"/>
      <c r="CE213" s="49"/>
      <c r="CF213" s="49"/>
      <c r="CG213" s="50"/>
      <c r="CK213" s="12"/>
      <c r="CL213" s="15"/>
      <c r="CO213" s="12"/>
      <c r="CP213" s="15"/>
      <c r="CS213" s="12"/>
      <c r="CT213" s="15"/>
      <c r="CW213" s="12"/>
      <c r="CX213" s="15"/>
      <c r="DA213" s="12"/>
      <c r="DF213" s="15"/>
      <c r="DI213" s="12"/>
      <c r="DJ213" s="1"/>
      <c r="DK213" s="225"/>
      <c r="DL213" s="225"/>
      <c r="DM213" s="225"/>
      <c r="DN213" s="225"/>
      <c r="DO213" s="225"/>
      <c r="DP213" s="225"/>
      <c r="DQ213" s="225"/>
      <c r="DR213" s="225"/>
      <c r="DS213" s="225"/>
      <c r="DT213" s="225"/>
      <c r="DU213" s="225"/>
      <c r="DV213" s="225"/>
      <c r="DW213" s="1"/>
      <c r="EJ213" s="1"/>
      <c r="EK213" s="17"/>
      <c r="EL213" s="17"/>
      <c r="EM213" s="17"/>
      <c r="EN213" s="17"/>
      <c r="EO213" s="17"/>
      <c r="EP213" s="17"/>
      <c r="EQ213" s="17"/>
      <c r="ER213" s="17"/>
      <c r="ES213" s="17"/>
      <c r="EU213" s="17"/>
      <c r="EW213" s="1"/>
      <c r="EX213" s="225"/>
      <c r="EY213" s="225"/>
      <c r="EZ213" s="225"/>
      <c r="FA213" s="225"/>
      <c r="FB213" s="225"/>
      <c r="FC213" s="225"/>
      <c r="FD213" s="225"/>
      <c r="FE213" s="225"/>
      <c r="FF213" s="225"/>
      <c r="FG213" s="10"/>
      <c r="FH213" s="225"/>
      <c r="FI213" s="10"/>
      <c r="FJ213" s="1"/>
      <c r="FK213" s="225"/>
      <c r="FL213" s="225"/>
      <c r="FM213" s="225"/>
      <c r="FN213" s="225"/>
      <c r="FO213" s="225"/>
      <c r="FP213" s="225"/>
      <c r="FQ213" s="225"/>
      <c r="FR213" s="225"/>
      <c r="FS213" s="225"/>
      <c r="FT213" s="191"/>
      <c r="FU213" s="225"/>
      <c r="FV213" s="151"/>
    </row>
    <row r="214" spans="1:178" ht="16" thickBot="1" x14ac:dyDescent="0.25">
      <c r="A214" s="28" t="s">
        <v>134</v>
      </c>
      <c r="B214" s="13" t="s">
        <v>142</v>
      </c>
      <c r="C214" s="29"/>
      <c r="D214" s="18">
        <v>1</v>
      </c>
      <c r="E214" s="18"/>
      <c r="F214" s="154"/>
      <c r="G214" s="94"/>
      <c r="H214" s="90"/>
      <c r="I214" s="91"/>
      <c r="J214" s="18"/>
      <c r="K214" s="18"/>
      <c r="L214" s="18"/>
      <c r="M214" s="18"/>
      <c r="N214" s="18"/>
      <c r="O214" s="18"/>
      <c r="P214" s="29"/>
      <c r="Q214" s="51"/>
      <c r="R214" s="52"/>
      <c r="S214" s="52">
        <v>1070.1099999999999</v>
      </c>
      <c r="T214" s="50">
        <f t="shared" si="57"/>
        <v>1070.1099999999999</v>
      </c>
      <c r="U214" s="51"/>
      <c r="V214" s="52"/>
      <c r="W214" s="52"/>
      <c r="X214" s="50">
        <f t="shared" si="58"/>
        <v>0</v>
      </c>
      <c r="Y214" s="51"/>
      <c r="Z214" s="52"/>
      <c r="AA214" s="52"/>
      <c r="AB214" s="50">
        <f t="shared" si="59"/>
        <v>0</v>
      </c>
      <c r="AC214" s="173"/>
      <c r="AD214" s="174"/>
      <c r="AE214" s="174"/>
      <c r="AF214" s="151">
        <f t="shared" si="60"/>
        <v>0</v>
      </c>
      <c r="AG214" s="168"/>
      <c r="AH214" s="174"/>
      <c r="AI214" s="174"/>
      <c r="AJ214" s="151">
        <f t="shared" si="61"/>
        <v>0</v>
      </c>
      <c r="AK214" s="192"/>
      <c r="AL214" s="10"/>
      <c r="AM214" s="10"/>
      <c r="AN214" s="151">
        <f t="shared" si="62"/>
        <v>0</v>
      </c>
      <c r="AO214" s="191"/>
      <c r="AP214" s="192"/>
      <c r="AQ214" s="192"/>
      <c r="AR214" s="151"/>
      <c r="AS214" s="191"/>
      <c r="AT214" s="192"/>
      <c r="AU214" s="192"/>
      <c r="AV214" s="151"/>
      <c r="AW214" s="191"/>
      <c r="AX214" s="192"/>
      <c r="AY214" s="192"/>
      <c r="AZ214" s="151"/>
      <c r="BA214" s="191"/>
      <c r="BB214" s="192"/>
      <c r="BC214" s="192"/>
      <c r="BD214" s="151"/>
      <c r="BE214" s="191"/>
      <c r="BF214" s="192"/>
      <c r="BG214" s="192"/>
      <c r="BH214" s="151"/>
      <c r="BI214" s="191"/>
      <c r="BJ214" s="192"/>
      <c r="BK214" s="192"/>
      <c r="BL214" s="151"/>
      <c r="BM214" s="29"/>
      <c r="BN214" s="48"/>
      <c r="BO214" s="49"/>
      <c r="BP214" s="49"/>
      <c r="BQ214" s="50"/>
      <c r="BR214" s="48"/>
      <c r="BS214" s="49"/>
      <c r="BT214" s="49"/>
      <c r="BU214" s="50"/>
      <c r="BV214" s="48"/>
      <c r="BW214" s="56"/>
      <c r="BX214" s="56"/>
      <c r="BY214" s="50"/>
      <c r="BZ214" s="48"/>
      <c r="CA214" s="49"/>
      <c r="CB214" s="49"/>
      <c r="CC214" s="50"/>
      <c r="CD214" s="48"/>
      <c r="CE214" s="49"/>
      <c r="CF214" s="49"/>
      <c r="CG214" s="50"/>
      <c r="CK214" s="12"/>
      <c r="CL214" s="15"/>
      <c r="CO214" s="12"/>
      <c r="CP214" s="15"/>
      <c r="CS214" s="12"/>
      <c r="CT214" s="15"/>
      <c r="CW214" s="12"/>
      <c r="CX214" s="15"/>
      <c r="DA214" s="12"/>
      <c r="DB214" s="15"/>
      <c r="DE214" s="12"/>
      <c r="DF214" s="15"/>
      <c r="DI214" s="12"/>
      <c r="DJ214" s="1"/>
      <c r="DK214" s="225"/>
      <c r="DL214" s="225"/>
      <c r="DM214" s="225"/>
      <c r="DN214" s="225"/>
      <c r="DO214" s="225"/>
      <c r="DP214" s="225"/>
      <c r="DQ214" s="225"/>
      <c r="DR214" s="225"/>
      <c r="DS214" s="225"/>
      <c r="DT214" s="225"/>
      <c r="DU214" s="225"/>
      <c r="DV214" s="225"/>
      <c r="DW214" s="29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29"/>
      <c r="EK214" s="18"/>
      <c r="EL214" s="18"/>
      <c r="EM214" s="18"/>
      <c r="EN214" s="18"/>
      <c r="EO214" s="18"/>
      <c r="EP214" s="18"/>
      <c r="EQ214" s="18"/>
      <c r="ER214" s="18"/>
      <c r="ES214" s="18"/>
      <c r="ET214" s="13"/>
      <c r="EU214" s="18"/>
      <c r="EV214" s="13"/>
      <c r="EW214" s="29"/>
      <c r="EX214" s="227"/>
      <c r="EY214" s="227"/>
      <c r="EZ214" s="227"/>
      <c r="FA214" s="227"/>
      <c r="FB214" s="227"/>
      <c r="FC214" s="227"/>
      <c r="FD214" s="227"/>
      <c r="FE214" s="227"/>
      <c r="FF214" s="227"/>
      <c r="FG214" s="198"/>
      <c r="FH214" s="227"/>
      <c r="FI214" s="198"/>
      <c r="FJ214" s="29"/>
      <c r="FK214" s="227"/>
      <c r="FL214" s="227"/>
      <c r="FM214" s="227"/>
      <c r="FN214" s="227"/>
      <c r="FO214" s="227"/>
      <c r="FP214" s="227"/>
      <c r="FQ214" s="227"/>
      <c r="FR214" s="227"/>
      <c r="FS214" s="227"/>
      <c r="FT214" s="191"/>
      <c r="FU214" s="225"/>
      <c r="FV214" s="151"/>
    </row>
    <row r="215" spans="1:178" ht="16" thickBot="1" x14ac:dyDescent="0.25">
      <c r="A215" s="27"/>
      <c r="C215" s="1"/>
      <c r="D215" s="185">
        <f>SUM(D110:D214)</f>
        <v>44</v>
      </c>
      <c r="E215" s="185">
        <f t="shared" ref="E215:O215" si="63">SUM(E110:E214)</f>
        <v>32</v>
      </c>
      <c r="F215" s="185">
        <f t="shared" si="63"/>
        <v>40</v>
      </c>
      <c r="G215" s="185">
        <f t="shared" si="63"/>
        <v>38</v>
      </c>
      <c r="H215" s="185">
        <f t="shared" si="63"/>
        <v>29</v>
      </c>
      <c r="I215" s="185">
        <f t="shared" si="63"/>
        <v>34</v>
      </c>
      <c r="J215" s="185">
        <f t="shared" si="63"/>
        <v>0</v>
      </c>
      <c r="K215" s="185">
        <f t="shared" si="63"/>
        <v>0</v>
      </c>
      <c r="L215" s="185">
        <f t="shared" si="63"/>
        <v>0</v>
      </c>
      <c r="M215" s="185">
        <f t="shared" si="63"/>
        <v>0</v>
      </c>
      <c r="N215" s="185">
        <f t="shared" si="63"/>
        <v>0</v>
      </c>
      <c r="O215" s="185">
        <f t="shared" si="63"/>
        <v>0</v>
      </c>
      <c r="P215" s="1"/>
      <c r="Q215" s="158">
        <f>SUM(Q110:Q214)</f>
        <v>9842.6299999999992</v>
      </c>
      <c r="R215" s="158">
        <f t="shared" ref="R215:AB215" si="64">SUM(R110:R214)</f>
        <v>5362.52</v>
      </c>
      <c r="S215" s="158">
        <f t="shared" si="64"/>
        <v>669019.96</v>
      </c>
      <c r="T215" s="158">
        <f t="shared" si="64"/>
        <v>684225.11</v>
      </c>
      <c r="U215" s="158">
        <f t="shared" si="64"/>
        <v>1245.01</v>
      </c>
      <c r="V215" s="158">
        <f t="shared" si="64"/>
        <v>7303.06</v>
      </c>
      <c r="W215" s="158">
        <f t="shared" si="64"/>
        <v>746899.54</v>
      </c>
      <c r="X215" s="158">
        <f t="shared" si="64"/>
        <v>755447.61</v>
      </c>
      <c r="Y215" s="158">
        <f t="shared" si="64"/>
        <v>9630.77</v>
      </c>
      <c r="Z215" s="158">
        <f t="shared" si="64"/>
        <v>9543.14</v>
      </c>
      <c r="AA215" s="158">
        <f t="shared" si="64"/>
        <v>730869.23</v>
      </c>
      <c r="AB215" s="159">
        <f t="shared" si="64"/>
        <v>750043.14</v>
      </c>
      <c r="AC215" s="176">
        <f>SUM(AC110:AC214)</f>
        <v>3272.4900000000002</v>
      </c>
      <c r="AD215" s="176">
        <f t="shared" ref="AD215:AE215" si="65">SUM(AD110:AD214)</f>
        <v>8310.85</v>
      </c>
      <c r="AE215" s="177">
        <f t="shared" si="65"/>
        <v>858684.37</v>
      </c>
      <c r="AF215" s="178">
        <f t="shared" ref="AF215" si="66">SUM(AC215:AE215)</f>
        <v>870267.71</v>
      </c>
      <c r="AG215" s="189">
        <f>SUM(AG110:AG214)</f>
        <v>10114.77</v>
      </c>
      <c r="AH215" s="189">
        <f t="shared" ref="AH215:AI215" si="67">SUM(AH110:AH214)</f>
        <v>5947.05</v>
      </c>
      <c r="AI215" s="187">
        <f t="shared" si="67"/>
        <v>898619.4</v>
      </c>
      <c r="AJ215" s="178">
        <f t="shared" ref="AJ215" si="68">SUM(AG215:AI215)</f>
        <v>914681.22</v>
      </c>
      <c r="AK215" s="200">
        <f>SUM(AK110:AK214)</f>
        <v>28166.720000000001</v>
      </c>
      <c r="AL215" s="200">
        <f t="shared" ref="AL215:AM215" si="69">SUM(AL110:AL214)</f>
        <v>7099.82</v>
      </c>
      <c r="AM215" s="200">
        <f t="shared" si="69"/>
        <v>1025065.04</v>
      </c>
      <c r="AN215" s="209">
        <f t="shared" ref="AN215" si="70">SUM(AK215:AM215)</f>
        <v>1060331.58</v>
      </c>
      <c r="AO215" s="209">
        <f>SUM(AO110:AO214)</f>
        <v>0</v>
      </c>
      <c r="AP215" s="208">
        <f t="shared" ref="AP215:AQ215" si="71">SUM(AP110:AP214)</f>
        <v>0</v>
      </c>
      <c r="AQ215" s="172">
        <f t="shared" si="71"/>
        <v>0</v>
      </c>
      <c r="AR215" s="209">
        <f t="shared" ref="AR215" si="72">SUM(AO215:AQ215)</f>
        <v>0</v>
      </c>
      <c r="AS215" s="209">
        <f>SUM(AS110:AS214)</f>
        <v>0</v>
      </c>
      <c r="AT215" s="208">
        <f t="shared" ref="AT215:AU215" si="73">SUM(AT110:AT214)</f>
        <v>0</v>
      </c>
      <c r="AU215" s="208">
        <f t="shared" si="73"/>
        <v>0</v>
      </c>
      <c r="AV215" s="172">
        <f t="shared" ref="AV215" si="74">SUM(AS215:AU215)</f>
        <v>0</v>
      </c>
      <c r="AW215" s="208">
        <f>SUM(AW110:AW214)</f>
        <v>0</v>
      </c>
      <c r="AX215" s="208">
        <f t="shared" ref="AX215" si="75">SUM(AX110:AX214)</f>
        <v>0</v>
      </c>
      <c r="AY215" s="208">
        <f t="shared" ref="AY215" si="76">SUM(AY110:AY214)</f>
        <v>0</v>
      </c>
      <c r="AZ215" s="209">
        <f t="shared" ref="AZ215" si="77">SUM(AW215:AY215)</f>
        <v>0</v>
      </c>
      <c r="BA215" s="201">
        <f>SUM(BA110:BA214)</f>
        <v>0</v>
      </c>
      <c r="BB215" s="200">
        <f t="shared" ref="BB215:BC215" si="78">SUM(BB110:BB214)</f>
        <v>0</v>
      </c>
      <c r="BC215" s="218">
        <f t="shared" si="78"/>
        <v>0</v>
      </c>
      <c r="BD215" s="172">
        <f t="shared" ref="BD215" si="79">BA215+BB215+BC215</f>
        <v>0</v>
      </c>
      <c r="BE215" s="201">
        <f>SUM(BE110:BE214)</f>
        <v>0</v>
      </c>
      <c r="BF215" s="201">
        <f t="shared" ref="BF215:BG215" si="80">SUM(BF110:BF214)</f>
        <v>0</v>
      </c>
      <c r="BG215" s="201">
        <f t="shared" si="80"/>
        <v>0</v>
      </c>
      <c r="BH215" s="172">
        <f t="shared" ref="BH215" si="81">BE215+BF215+BG215</f>
        <v>0</v>
      </c>
      <c r="BI215" s="209">
        <f>SUM(BI110:BI214)</f>
        <v>0</v>
      </c>
      <c r="BJ215" s="209">
        <f t="shared" ref="BJ215:BK215" si="82">SUM(BJ110:BJ214)</f>
        <v>0</v>
      </c>
      <c r="BK215" s="209">
        <f t="shared" si="82"/>
        <v>0</v>
      </c>
      <c r="BL215" s="172">
        <f t="shared" ref="BL215" si="83">BI215+BJ215+BK215</f>
        <v>0</v>
      </c>
      <c r="BM215" s="1"/>
      <c r="BN215" s="54"/>
      <c r="BO215" s="55"/>
      <c r="BP215" s="55"/>
      <c r="BQ215" s="57"/>
      <c r="BR215" s="55"/>
      <c r="BS215" s="55"/>
      <c r="BT215" s="55"/>
      <c r="BU215" s="57"/>
      <c r="BV215" s="54"/>
      <c r="BW215" s="55"/>
      <c r="BX215" s="55"/>
      <c r="BY215" s="57"/>
      <c r="BZ215" s="55"/>
      <c r="CA215" s="55"/>
      <c r="CB215" s="55"/>
      <c r="CC215" s="57"/>
      <c r="CD215" s="55"/>
      <c r="CE215" s="55"/>
      <c r="CF215" s="55"/>
      <c r="CG215" s="57"/>
      <c r="CH215" s="21"/>
      <c r="CI215" s="21"/>
      <c r="CJ215" s="21"/>
      <c r="CK215" s="25"/>
      <c r="CL215" s="185"/>
      <c r="CM215" s="62"/>
      <c r="CN215" s="62"/>
      <c r="CO215" s="190"/>
      <c r="CP215" s="62"/>
      <c r="CQ215" s="62"/>
      <c r="CR215" s="62"/>
      <c r="CS215" s="62"/>
      <c r="CT215" s="185"/>
      <c r="CU215" s="62"/>
      <c r="CV215" s="62"/>
      <c r="CW215" s="190"/>
      <c r="CX215" s="185"/>
      <c r="CY215" s="62"/>
      <c r="CZ215" s="62"/>
      <c r="DA215" s="62"/>
      <c r="DB215" s="185"/>
      <c r="DC215" s="62"/>
      <c r="DD215" s="62"/>
      <c r="DE215" s="190"/>
      <c r="DF215" s="62"/>
      <c r="DG215" s="62"/>
      <c r="DH215" s="62"/>
      <c r="DI215" s="190"/>
      <c r="DJ215" s="61"/>
      <c r="DK215" s="178"/>
      <c r="DL215" s="178"/>
      <c r="DM215" s="178"/>
      <c r="DN215" s="178"/>
      <c r="DO215" s="178"/>
      <c r="DP215" s="178"/>
      <c r="DQ215" s="178"/>
      <c r="DR215" s="178"/>
      <c r="DS215" s="178"/>
      <c r="DT215" s="178"/>
      <c r="DU215" s="178"/>
      <c r="DV215" s="178"/>
      <c r="DW215" s="1"/>
      <c r="EJ215" s="1"/>
      <c r="EK215" s="17"/>
      <c r="EL215" s="17"/>
      <c r="EM215" s="17"/>
      <c r="EN215" s="17"/>
      <c r="EO215" s="17"/>
      <c r="EP215" s="17"/>
      <c r="EQ215" s="17"/>
      <c r="ER215" s="17"/>
      <c r="ES215" s="17"/>
      <c r="EU215" s="17"/>
      <c r="EW215" s="1"/>
      <c r="EX215" s="225"/>
      <c r="EY215" s="225"/>
      <c r="EZ215" s="225"/>
      <c r="FA215" s="225"/>
      <c r="FB215" s="225"/>
      <c r="FC215" s="225"/>
      <c r="FD215" s="225"/>
      <c r="FE215" s="225"/>
      <c r="FF215" s="225"/>
      <c r="FG215" s="192"/>
      <c r="FH215" s="225"/>
      <c r="FI215" s="192"/>
      <c r="FJ215" s="1"/>
      <c r="FK215" s="225"/>
      <c r="FL215" s="225"/>
      <c r="FM215" s="225"/>
      <c r="FN215" s="225"/>
      <c r="FO215" s="225"/>
      <c r="FP215" s="225"/>
      <c r="FQ215" s="225"/>
      <c r="FR215" s="225"/>
      <c r="FS215" s="225"/>
      <c r="FT215" s="209"/>
      <c r="FU215" s="178"/>
      <c r="FV215" s="172"/>
    </row>
    <row r="216" spans="1:178" ht="16" thickBot="1" x14ac:dyDescent="0.25">
      <c r="A216" s="20" t="s">
        <v>31</v>
      </c>
      <c r="B216" s="21" t="s">
        <v>141</v>
      </c>
      <c r="C216" s="22"/>
      <c r="D216">
        <v>86</v>
      </c>
      <c r="E216" s="17">
        <v>91</v>
      </c>
      <c r="F216" s="240">
        <v>90</v>
      </c>
      <c r="G216" s="87">
        <v>88</v>
      </c>
      <c r="H216" s="86">
        <v>109</v>
      </c>
      <c r="I216" s="87">
        <v>99</v>
      </c>
      <c r="J216" s="17"/>
      <c r="K216" s="17"/>
      <c r="L216" s="17"/>
      <c r="M216" s="17"/>
      <c r="N216" s="17"/>
      <c r="O216" s="17"/>
      <c r="P216" s="22"/>
      <c r="Q216" s="48">
        <v>4526.1899999999996</v>
      </c>
      <c r="R216" s="49">
        <v>1373.76</v>
      </c>
      <c r="S216" s="49">
        <v>6119.78</v>
      </c>
      <c r="T216" s="50">
        <f>Q216+R216+S216</f>
        <v>12019.73</v>
      </c>
      <c r="U216" s="48">
        <v>5343.78</v>
      </c>
      <c r="V216" s="49">
        <v>4763.6099999999997</v>
      </c>
      <c r="W216" s="49">
        <v>7093.7</v>
      </c>
      <c r="X216" s="50">
        <f>U216+V216+W216</f>
        <v>17201.09</v>
      </c>
      <c r="Y216" s="48">
        <v>5185.82</v>
      </c>
      <c r="Z216" s="49">
        <v>4688.3</v>
      </c>
      <c r="AA216" s="49">
        <v>8449.7200000000012</v>
      </c>
      <c r="AB216" s="50">
        <f>Y216+Z216+AA216</f>
        <v>18323.84</v>
      </c>
      <c r="AC216" s="179">
        <v>2658.5</v>
      </c>
      <c r="AD216" s="180">
        <v>4727.29</v>
      </c>
      <c r="AE216" s="180">
        <v>6164.09</v>
      </c>
      <c r="AF216" s="151">
        <f>AC216+AD216+AE216</f>
        <v>13549.880000000001</v>
      </c>
      <c r="AG216" s="191">
        <v>5450.5</v>
      </c>
      <c r="AH216" s="192">
        <v>3424.03</v>
      </c>
      <c r="AI216" s="192">
        <v>9412.23</v>
      </c>
      <c r="AJ216" s="151">
        <f>AG216+AH216+AI216</f>
        <v>18286.760000000002</v>
      </c>
      <c r="AK216" s="100">
        <v>1236.77</v>
      </c>
      <c r="AL216" s="99">
        <v>3831.4</v>
      </c>
      <c r="AM216" s="99">
        <v>9524.99</v>
      </c>
      <c r="AN216" s="151">
        <f>AK216+AL216+AM216</f>
        <v>14593.16</v>
      </c>
      <c r="AO216" s="191"/>
      <c r="AP216" s="192"/>
      <c r="AQ216" s="192"/>
      <c r="AR216" s="151"/>
      <c r="AS216" s="191"/>
      <c r="AT216" s="192"/>
      <c r="AU216" s="192"/>
      <c r="AV216" s="151"/>
      <c r="AW216" s="192"/>
      <c r="AX216" s="192"/>
      <c r="AY216" s="192"/>
      <c r="AZ216" s="151"/>
      <c r="BA216" s="10"/>
      <c r="BB216" s="10"/>
      <c r="BC216" s="10"/>
      <c r="BD216" s="151"/>
      <c r="BE216" s="191"/>
      <c r="BF216" s="192"/>
      <c r="BG216" s="192"/>
      <c r="BH216" s="151"/>
      <c r="BI216" s="191"/>
      <c r="BJ216" s="192"/>
      <c r="BK216" s="192"/>
      <c r="BL216" s="151"/>
      <c r="BM216" s="22"/>
      <c r="BN216" s="54">
        <v>81.67</v>
      </c>
      <c r="BO216" s="55">
        <v>177.04</v>
      </c>
      <c r="BP216" s="55">
        <v>391.21</v>
      </c>
      <c r="BQ216" s="57">
        <f>BN216+BO216+BP216</f>
        <v>649.91999999999996</v>
      </c>
      <c r="BR216" s="54"/>
      <c r="BS216" s="55">
        <v>105.1</v>
      </c>
      <c r="BT216" s="55">
        <v>594.79</v>
      </c>
      <c r="BU216" s="57">
        <f>BR216+BS216+BT216</f>
        <v>699.89</v>
      </c>
      <c r="BV216" s="54">
        <v>184.05</v>
      </c>
      <c r="BW216" s="55"/>
      <c r="BX216" s="55">
        <v>98.44</v>
      </c>
      <c r="BY216" s="57">
        <f>BV216+BW216+BX216</f>
        <v>282.49</v>
      </c>
      <c r="BZ216" s="181">
        <v>398.26</v>
      </c>
      <c r="CA216" s="95">
        <v>5552.18</v>
      </c>
      <c r="CB216" s="96">
        <v>1034.3600000000001</v>
      </c>
      <c r="CC216" s="97">
        <f>BZ216+CA216+CB216</f>
        <v>6984.8000000000011</v>
      </c>
      <c r="CD216" s="181">
        <v>422.99</v>
      </c>
      <c r="CE216" s="95">
        <v>5355.68</v>
      </c>
      <c r="CF216" s="95">
        <v>2334.2399999999998</v>
      </c>
      <c r="CG216" s="97">
        <f>CD216+CE216+CF216</f>
        <v>8112.91</v>
      </c>
      <c r="CH216" s="202">
        <v>73.58</v>
      </c>
      <c r="CI216" s="199">
        <v>5476.88</v>
      </c>
      <c r="CJ216" s="199">
        <v>2561.11</v>
      </c>
      <c r="CK216" s="97">
        <f>CH216+CI216+CJ216</f>
        <v>8111.57</v>
      </c>
      <c r="CL216" s="111"/>
      <c r="CM216" s="111"/>
      <c r="CN216" s="111"/>
      <c r="CO216" s="112"/>
      <c r="CP216" s="191"/>
      <c r="CQ216" s="192"/>
      <c r="CR216" s="192"/>
      <c r="CS216" s="151"/>
      <c r="CT216" s="111"/>
      <c r="CU216" s="111"/>
      <c r="CV216" s="111"/>
      <c r="CW216" s="112"/>
      <c r="CX216" s="192"/>
      <c r="CY216" s="192"/>
      <c r="CZ216" s="192"/>
      <c r="DA216" s="151"/>
      <c r="DB216" s="10"/>
      <c r="DC216" s="10"/>
      <c r="DD216" s="10"/>
      <c r="DE216" s="151"/>
      <c r="DF216" s="192"/>
      <c r="DG216" s="192"/>
      <c r="DH216" s="192"/>
      <c r="DI216" s="151"/>
      <c r="DJ216" s="1"/>
      <c r="DK216" s="224">
        <v>289.68</v>
      </c>
      <c r="DL216" s="224">
        <v>269.13</v>
      </c>
      <c r="DM216" s="224">
        <v>248.23</v>
      </c>
      <c r="DN216" s="224">
        <v>1524.24</v>
      </c>
      <c r="DO216" s="224">
        <v>815.53</v>
      </c>
      <c r="DP216" s="224">
        <v>951.88</v>
      </c>
      <c r="DQ216" s="224"/>
      <c r="DR216" s="224"/>
      <c r="DS216" s="224"/>
      <c r="DT216" s="225"/>
      <c r="DU216" s="225"/>
      <c r="DV216" s="225"/>
      <c r="DW216" s="22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2"/>
      <c r="EK216" s="26">
        <v>2</v>
      </c>
      <c r="EL216" s="26">
        <v>3</v>
      </c>
      <c r="EM216" s="26">
        <v>3</v>
      </c>
      <c r="EN216" s="26">
        <v>4</v>
      </c>
      <c r="EO216" s="26">
        <v>4</v>
      </c>
      <c r="EP216" s="26">
        <v>3</v>
      </c>
      <c r="EQ216" s="26"/>
      <c r="ER216" s="26"/>
      <c r="ES216" s="26"/>
      <c r="ET216" s="21"/>
      <c r="EU216" s="23"/>
      <c r="EV216" s="21"/>
      <c r="EW216" s="22"/>
      <c r="EX216" s="229">
        <v>289.68</v>
      </c>
      <c r="EY216" s="229">
        <v>264.88</v>
      </c>
      <c r="EZ216" s="229">
        <v>248.23</v>
      </c>
      <c r="FA216" s="229">
        <v>1524.24</v>
      </c>
      <c r="FB216" s="229">
        <v>815.53</v>
      </c>
      <c r="FC216" s="229">
        <v>951.88</v>
      </c>
      <c r="FD216" s="229"/>
      <c r="FE216" s="229"/>
      <c r="FF216" s="229"/>
      <c r="FG216" s="199"/>
      <c r="FH216" s="228"/>
      <c r="FI216" s="199"/>
      <c r="FJ216" s="22"/>
      <c r="FK216" s="229">
        <v>-200</v>
      </c>
      <c r="FL216" s="229"/>
      <c r="FM216" s="229">
        <v>-43.5</v>
      </c>
      <c r="FN216" s="229">
        <v>-54.54</v>
      </c>
      <c r="FO216" s="229"/>
      <c r="FP216" s="229">
        <v>-184.96</v>
      </c>
      <c r="FQ216" s="229"/>
      <c r="FR216" s="229"/>
      <c r="FS216" s="229"/>
      <c r="FT216" s="202"/>
      <c r="FU216" s="228"/>
      <c r="FV216" s="236"/>
    </row>
    <row r="217" spans="1:178" ht="16" thickBot="1" x14ac:dyDescent="0.25">
      <c r="A217" s="27" t="s">
        <v>32</v>
      </c>
      <c r="B217" t="s">
        <v>141</v>
      </c>
      <c r="C217" s="1"/>
      <c r="D217">
        <v>18</v>
      </c>
      <c r="E217" s="17">
        <v>23</v>
      </c>
      <c r="F217" s="241">
        <v>26</v>
      </c>
      <c r="G217" s="87">
        <v>27</v>
      </c>
      <c r="H217" s="87">
        <v>28</v>
      </c>
      <c r="I217" s="87">
        <v>33</v>
      </c>
      <c r="J217" s="17"/>
      <c r="K217" s="17"/>
      <c r="L217" s="17"/>
      <c r="M217" s="17"/>
      <c r="N217" s="17"/>
      <c r="O217" s="17"/>
      <c r="P217" s="1"/>
      <c r="Q217" s="48">
        <v>1225.2</v>
      </c>
      <c r="R217" s="49">
        <v>238.06</v>
      </c>
      <c r="S217" s="49">
        <v>1245.03</v>
      </c>
      <c r="T217" s="50">
        <f t="shared" ref="T217:T280" si="84">Q217+R217+S217</f>
        <v>2708.29</v>
      </c>
      <c r="U217" s="48">
        <v>1193.05</v>
      </c>
      <c r="V217" s="49">
        <v>1139.7</v>
      </c>
      <c r="W217" s="49">
        <v>1354.25</v>
      </c>
      <c r="X217" s="50">
        <f t="shared" ref="X217:X280" si="85">U217+V217+W217</f>
        <v>3687</v>
      </c>
      <c r="Y217" s="48">
        <v>849.04</v>
      </c>
      <c r="Z217" s="49">
        <v>1928.98</v>
      </c>
      <c r="AA217" s="49">
        <v>1963.4299999999998</v>
      </c>
      <c r="AB217" s="50">
        <f t="shared" ref="AB217:AB280" si="86">Y217+Z217+AA217</f>
        <v>4741.45</v>
      </c>
      <c r="AC217" s="164">
        <v>891.84</v>
      </c>
      <c r="AD217" s="165">
        <v>1253.33</v>
      </c>
      <c r="AE217" s="165">
        <v>1889.43</v>
      </c>
      <c r="AF217" s="151">
        <f t="shared" ref="AF217:AF280" si="87">AC217+AD217+AE217</f>
        <v>4034.6000000000004</v>
      </c>
      <c r="AG217" s="191">
        <v>695.39</v>
      </c>
      <c r="AH217" s="10">
        <v>1733.25</v>
      </c>
      <c r="AI217" s="10">
        <v>1800.06</v>
      </c>
      <c r="AJ217" s="151">
        <f t="shared" ref="AJ217:AJ280" si="88">AG217+AH217+AI217</f>
        <v>4228.7</v>
      </c>
      <c r="AK217" s="100">
        <v>788.51</v>
      </c>
      <c r="AL217" s="100">
        <v>1092.3399999999999</v>
      </c>
      <c r="AM217" s="99">
        <v>2695.1899999999996</v>
      </c>
      <c r="AN217" s="151">
        <f t="shared" ref="AN217:AN280" si="89">AK217+AL217+AM217</f>
        <v>4576.0399999999991</v>
      </c>
      <c r="AO217" s="191"/>
      <c r="AP217" s="10"/>
      <c r="AQ217" s="10"/>
      <c r="AR217" s="151"/>
      <c r="AS217" s="191"/>
      <c r="AT217" s="192"/>
      <c r="AU217" s="192"/>
      <c r="AV217" s="151"/>
      <c r="AW217" s="192"/>
      <c r="AX217" s="192"/>
      <c r="AY217" s="192"/>
      <c r="AZ217" s="151"/>
      <c r="BA217" s="10"/>
      <c r="BB217" s="10"/>
      <c r="BC217" s="10"/>
      <c r="BD217" s="151"/>
      <c r="BE217" s="191"/>
      <c r="BF217" s="10"/>
      <c r="BG217" s="10"/>
      <c r="BH217" s="151"/>
      <c r="BI217" s="191"/>
      <c r="BJ217" s="10"/>
      <c r="BK217" s="10"/>
      <c r="BL217" s="151"/>
      <c r="BM217" s="1"/>
      <c r="BN217" s="48"/>
      <c r="BO217" s="49">
        <v>220.52</v>
      </c>
      <c r="BP217" s="49">
        <v>120.76</v>
      </c>
      <c r="BQ217" s="50">
        <f t="shared" ref="BQ217:BQ280" si="90">BN217+BO217+BP217</f>
        <v>341.28000000000003</v>
      </c>
      <c r="BR217" s="48"/>
      <c r="BS217" s="49"/>
      <c r="BT217" s="49">
        <v>132.97</v>
      </c>
      <c r="BU217" s="50">
        <f t="shared" ref="BU217:BU280" si="91">BR217+BS217+BT217</f>
        <v>132.97</v>
      </c>
      <c r="BV217" s="48">
        <v>0.5</v>
      </c>
      <c r="BW217" s="49"/>
      <c r="BX217" s="49">
        <v>136.28</v>
      </c>
      <c r="BY217" s="50">
        <f t="shared" ref="BY217:BY280" si="92">BV217+BW217+BX217</f>
        <v>136.78</v>
      </c>
      <c r="BZ217" s="182">
        <v>67.19</v>
      </c>
      <c r="CA217" s="266">
        <v>1810.82</v>
      </c>
      <c r="CB217" s="266">
        <v>307.46999999999997</v>
      </c>
      <c r="CC217" s="98">
        <f t="shared" ref="CC217:CC280" si="93">BZ217+CA217+CB217</f>
        <v>2185.48</v>
      </c>
      <c r="CD217" s="183">
        <v>152.32</v>
      </c>
      <c r="CE217" s="99">
        <v>1193.3</v>
      </c>
      <c r="CF217" s="266">
        <v>612.42000000000007</v>
      </c>
      <c r="CG217" s="98">
        <f t="shared" ref="CG217:CG280" si="94">CD217+CE217+CF217</f>
        <v>1958.04</v>
      </c>
      <c r="CH217" s="191">
        <v>52.2</v>
      </c>
      <c r="CI217" s="192">
        <v>1622.91</v>
      </c>
      <c r="CJ217" s="192">
        <v>419.39</v>
      </c>
      <c r="CK217" s="98">
        <f t="shared" ref="CK217:CK280" si="95">CH217+CI217+CJ217</f>
        <v>2094.5</v>
      </c>
      <c r="CL217" s="111"/>
      <c r="CM217" s="111"/>
      <c r="CN217" s="111"/>
      <c r="CO217" s="112"/>
      <c r="CP217" s="191"/>
      <c r="CQ217" s="192"/>
      <c r="CR217" s="192"/>
      <c r="CS217" s="151"/>
      <c r="CT217" s="111"/>
      <c r="CU217" s="111"/>
      <c r="CV217" s="111"/>
      <c r="CW217" s="112"/>
      <c r="CX217" s="192"/>
      <c r="CY217" s="192"/>
      <c r="CZ217" s="192"/>
      <c r="DA217" s="151"/>
      <c r="DB217" s="10"/>
      <c r="DC217" s="10"/>
      <c r="DD217" s="10"/>
      <c r="DE217" s="151"/>
      <c r="DF217" s="192"/>
      <c r="DG217" s="192"/>
      <c r="DH217" s="192"/>
      <c r="DI217" s="151"/>
      <c r="DJ217" s="1"/>
      <c r="DK217" s="225"/>
      <c r="DL217" s="225"/>
      <c r="DM217" s="225">
        <v>378.37</v>
      </c>
      <c r="DN217" s="225">
        <v>37.17</v>
      </c>
      <c r="DO217" s="225">
        <v>102.09</v>
      </c>
      <c r="DP217" s="225">
        <v>428.13</v>
      </c>
      <c r="DQ217" s="225"/>
      <c r="DR217" s="225"/>
      <c r="DS217" s="225"/>
      <c r="DT217" s="225"/>
      <c r="DU217" s="225"/>
      <c r="DV217" s="225"/>
      <c r="DW217" s="1"/>
      <c r="EJ217" s="1"/>
      <c r="EK217" s="17"/>
      <c r="EL217" s="17"/>
      <c r="EM217" s="17">
        <v>2</v>
      </c>
      <c r="EN217" s="17">
        <v>1</v>
      </c>
      <c r="EO217" s="17">
        <v>1</v>
      </c>
      <c r="EP217" s="17">
        <v>1</v>
      </c>
      <c r="EQ217" s="17"/>
      <c r="ER217" s="17"/>
      <c r="ES217" s="17"/>
      <c r="EU217" s="17"/>
      <c r="EW217" s="1"/>
      <c r="EX217" s="225"/>
      <c r="EY217" s="225"/>
      <c r="EZ217" s="225">
        <v>378.37</v>
      </c>
      <c r="FA217" s="225">
        <v>37.17</v>
      </c>
      <c r="FB217" s="225">
        <v>102.09</v>
      </c>
      <c r="FC217" s="225">
        <v>428.13</v>
      </c>
      <c r="FD217" s="225"/>
      <c r="FE217" s="225"/>
      <c r="FF217" s="225"/>
      <c r="FG217" s="10"/>
      <c r="FH217" s="225"/>
      <c r="FI217" s="10"/>
      <c r="FJ217" s="1"/>
      <c r="FK217" s="225"/>
      <c r="FL217" s="225"/>
      <c r="FM217" s="225"/>
      <c r="FN217" s="225"/>
      <c r="FO217" s="225"/>
      <c r="FP217" s="225"/>
      <c r="FQ217" s="225"/>
      <c r="FR217" s="225"/>
      <c r="FS217" s="225"/>
      <c r="FT217" s="191"/>
      <c r="FU217" s="225"/>
      <c r="FV217" s="151"/>
    </row>
    <row r="218" spans="1:178" ht="16" thickBot="1" x14ac:dyDescent="0.25">
      <c r="A218" s="27" t="s">
        <v>33</v>
      </c>
      <c r="B218" t="s">
        <v>141</v>
      </c>
      <c r="C218" s="1"/>
      <c r="D218">
        <v>2</v>
      </c>
      <c r="E218" s="17">
        <v>1</v>
      </c>
      <c r="F218" s="241">
        <v>1</v>
      </c>
      <c r="G218" s="87">
        <v>3</v>
      </c>
      <c r="H218" s="87">
        <v>1</v>
      </c>
      <c r="I218" s="87">
        <v>1</v>
      </c>
      <c r="J218" s="17"/>
      <c r="K218" s="17"/>
      <c r="L218" s="17"/>
      <c r="M218" s="17"/>
      <c r="N218" s="17"/>
      <c r="O218" s="17"/>
      <c r="P218" s="1"/>
      <c r="Q218" s="48">
        <v>898.18</v>
      </c>
      <c r="R218" s="49">
        <v>0</v>
      </c>
      <c r="S218" s="49">
        <v>0</v>
      </c>
      <c r="T218" s="50">
        <f t="shared" si="84"/>
        <v>898.18</v>
      </c>
      <c r="U218" s="48">
        <v>345.2</v>
      </c>
      <c r="V218" s="49">
        <v>0</v>
      </c>
      <c r="W218" s="49">
        <v>0</v>
      </c>
      <c r="X218" s="50">
        <f t="shared" si="85"/>
        <v>345.2</v>
      </c>
      <c r="Y218" s="48">
        <v>259.02</v>
      </c>
      <c r="Z218" s="49">
        <v>0</v>
      </c>
      <c r="AA218" s="49">
        <v>0</v>
      </c>
      <c r="AB218" s="50">
        <f t="shared" si="86"/>
        <v>259.02</v>
      </c>
      <c r="AC218" s="164">
        <v>477.86</v>
      </c>
      <c r="AD218" s="166"/>
      <c r="AE218" s="165">
        <v>0</v>
      </c>
      <c r="AF218" s="151">
        <f t="shared" si="87"/>
        <v>477.86</v>
      </c>
      <c r="AG218" s="191">
        <v>59.6</v>
      </c>
      <c r="AH218" s="10"/>
      <c r="AI218" s="10">
        <v>0</v>
      </c>
      <c r="AJ218" s="151">
        <f t="shared" si="88"/>
        <v>59.6</v>
      </c>
      <c r="AK218" s="100">
        <v>92.27</v>
      </c>
      <c r="AL218" s="100">
        <v>0</v>
      </c>
      <c r="AM218" s="100">
        <v>0</v>
      </c>
      <c r="AN218" s="151">
        <f t="shared" si="89"/>
        <v>92.27</v>
      </c>
      <c r="AO218" s="191"/>
      <c r="AP218" s="10"/>
      <c r="AQ218" s="10"/>
      <c r="AR218" s="151"/>
      <c r="AS218" s="191"/>
      <c r="AT218" s="192"/>
      <c r="AU218" s="192"/>
      <c r="AV218" s="151"/>
      <c r="AW218" s="192"/>
      <c r="AX218" s="192"/>
      <c r="AY218" s="192"/>
      <c r="AZ218" s="151"/>
      <c r="BA218" s="10"/>
      <c r="BB218" s="10"/>
      <c r="BC218" s="10"/>
      <c r="BD218" s="151"/>
      <c r="BE218" s="191"/>
      <c r="BF218" s="10"/>
      <c r="BG218" s="10"/>
      <c r="BH218" s="151"/>
      <c r="BI218" s="191"/>
      <c r="BJ218" s="10"/>
      <c r="BK218" s="10"/>
      <c r="BL218" s="151"/>
      <c r="BM218" s="1"/>
      <c r="BN218" s="48"/>
      <c r="BO218" s="49"/>
      <c r="BP218" s="49">
        <v>0</v>
      </c>
      <c r="BQ218" s="50">
        <f t="shared" si="90"/>
        <v>0</v>
      </c>
      <c r="BR218" s="48"/>
      <c r="BS218" s="49"/>
      <c r="BT218" s="49">
        <v>0</v>
      </c>
      <c r="BU218" s="50">
        <f t="shared" si="91"/>
        <v>0</v>
      </c>
      <c r="BV218" s="48"/>
      <c r="BW218" s="49"/>
      <c r="BX218" s="49">
        <v>0</v>
      </c>
      <c r="BY218" s="50">
        <f t="shared" si="92"/>
        <v>0</v>
      </c>
      <c r="BZ218" s="183"/>
      <c r="CA218" s="266"/>
      <c r="CB218" s="266"/>
      <c r="CC218" s="98">
        <f t="shared" si="93"/>
        <v>0</v>
      </c>
      <c r="CD218" s="183"/>
      <c r="CE218" s="266"/>
      <c r="CF218" s="266"/>
      <c r="CG218" s="98">
        <f t="shared" si="94"/>
        <v>0</v>
      </c>
      <c r="CH218" s="191"/>
      <c r="CI218" s="192"/>
      <c r="CJ218" s="192">
        <v>0</v>
      </c>
      <c r="CK218" s="98">
        <f t="shared" si="95"/>
        <v>0</v>
      </c>
      <c r="CL218" s="111"/>
      <c r="CM218" s="111"/>
      <c r="CN218" s="111"/>
      <c r="CO218" s="112"/>
      <c r="CP218" s="191"/>
      <c r="CQ218" s="192"/>
      <c r="CR218" s="192"/>
      <c r="CS218" s="151"/>
      <c r="CT218" s="111"/>
      <c r="CU218" s="111"/>
      <c r="CV218" s="111"/>
      <c r="CW218" s="112"/>
      <c r="CX218" s="192"/>
      <c r="CY218" s="192"/>
      <c r="CZ218" s="192"/>
      <c r="DA218" s="151"/>
      <c r="DB218" s="10"/>
      <c r="DC218" s="10"/>
      <c r="DD218" s="10"/>
      <c r="DE218" s="151"/>
      <c r="DF218" s="192"/>
      <c r="DG218" s="192"/>
      <c r="DH218" s="192"/>
      <c r="DI218" s="151"/>
      <c r="DJ218" s="1"/>
      <c r="DK218" s="225"/>
      <c r="DL218" s="225"/>
      <c r="DM218" s="225"/>
      <c r="DN218" s="225"/>
      <c r="DO218" s="225"/>
      <c r="DP218" s="225"/>
      <c r="DQ218" s="225"/>
      <c r="DR218" s="225"/>
      <c r="DS218" s="225"/>
      <c r="DT218" s="224"/>
      <c r="DU218" s="224"/>
      <c r="DV218" s="224"/>
      <c r="DW218" s="1"/>
      <c r="EJ218" s="1"/>
      <c r="EK218" s="17"/>
      <c r="EL218" s="17"/>
      <c r="EM218" s="17"/>
      <c r="EN218" s="17"/>
      <c r="EO218" s="17"/>
      <c r="EP218" s="17"/>
      <c r="EQ218" s="17"/>
      <c r="ER218" s="17"/>
      <c r="ES218" s="17"/>
      <c r="EU218" s="17"/>
      <c r="EW218" s="1"/>
      <c r="EX218" s="225"/>
      <c r="EY218" s="225"/>
      <c r="EZ218" s="225"/>
      <c r="FA218" s="225"/>
      <c r="FB218" s="225"/>
      <c r="FC218" s="225"/>
      <c r="FD218" s="225"/>
      <c r="FE218" s="225"/>
      <c r="FF218" s="225"/>
      <c r="FG218" s="10"/>
      <c r="FH218" s="225"/>
      <c r="FI218" s="10"/>
      <c r="FJ218" s="1"/>
      <c r="FK218" s="225"/>
      <c r="FL218" s="225"/>
      <c r="FM218" s="225"/>
      <c r="FN218" s="225"/>
      <c r="FO218" s="225"/>
      <c r="FP218" s="225"/>
      <c r="FQ218" s="225"/>
      <c r="FR218" s="225"/>
      <c r="FS218" s="225"/>
      <c r="FT218" s="191"/>
      <c r="FU218" s="225"/>
      <c r="FV218" s="151"/>
    </row>
    <row r="219" spans="1:178" ht="16" thickBot="1" x14ac:dyDescent="0.25">
      <c r="A219" s="27" t="s">
        <v>34</v>
      </c>
      <c r="B219" t="s">
        <v>141</v>
      </c>
      <c r="C219" s="1"/>
      <c r="D219">
        <v>205</v>
      </c>
      <c r="E219" s="17">
        <v>234</v>
      </c>
      <c r="F219" s="241">
        <v>238</v>
      </c>
      <c r="G219" s="87">
        <v>247</v>
      </c>
      <c r="H219" s="87">
        <v>277</v>
      </c>
      <c r="I219" s="87">
        <v>293</v>
      </c>
      <c r="J219" s="17"/>
      <c r="K219" s="17"/>
      <c r="L219" s="17"/>
      <c r="M219" s="17"/>
      <c r="N219" s="17"/>
      <c r="O219" s="17"/>
      <c r="P219" s="1"/>
      <c r="Q219" s="48">
        <v>14562.21</v>
      </c>
      <c r="R219" s="49">
        <v>3208.68</v>
      </c>
      <c r="S219" s="49">
        <v>18301.73</v>
      </c>
      <c r="T219" s="50">
        <f t="shared" si="84"/>
        <v>36072.619999999995</v>
      </c>
      <c r="U219" s="48">
        <v>17436.169999999998</v>
      </c>
      <c r="V219" s="49">
        <v>13313.27</v>
      </c>
      <c r="W219" s="49">
        <v>11890.42</v>
      </c>
      <c r="X219" s="50">
        <f t="shared" si="85"/>
        <v>42639.86</v>
      </c>
      <c r="Y219" s="48">
        <v>15321.62</v>
      </c>
      <c r="Z219" s="49">
        <v>18024</v>
      </c>
      <c r="AA219" s="49">
        <v>18854.22</v>
      </c>
      <c r="AB219" s="50">
        <f t="shared" si="86"/>
        <v>52199.840000000004</v>
      </c>
      <c r="AC219" s="164">
        <v>18305.8</v>
      </c>
      <c r="AD219" s="165">
        <v>13562.31</v>
      </c>
      <c r="AE219" s="165">
        <v>19448.849999999999</v>
      </c>
      <c r="AF219" s="151">
        <f t="shared" si="87"/>
        <v>51316.959999999999</v>
      </c>
      <c r="AG219" s="191">
        <v>18128.25</v>
      </c>
      <c r="AH219" s="10">
        <v>17132.45</v>
      </c>
      <c r="AI219" s="10">
        <v>20512.509999999998</v>
      </c>
      <c r="AJ219" s="151">
        <f t="shared" si="88"/>
        <v>55773.209999999992</v>
      </c>
      <c r="AK219" s="99">
        <v>13761.22</v>
      </c>
      <c r="AL219" s="99">
        <v>14560.83</v>
      </c>
      <c r="AM219" s="99">
        <v>23127.989999999998</v>
      </c>
      <c r="AN219" s="151">
        <f t="shared" si="89"/>
        <v>51450.039999999994</v>
      </c>
      <c r="AO219" s="191"/>
      <c r="AP219" s="10"/>
      <c r="AQ219" s="10"/>
      <c r="AR219" s="151"/>
      <c r="AS219" s="191"/>
      <c r="AT219" s="192"/>
      <c r="AU219" s="192"/>
      <c r="AV219" s="151"/>
      <c r="AW219" s="192"/>
      <c r="AX219" s="192"/>
      <c r="AY219" s="192"/>
      <c r="AZ219" s="151"/>
      <c r="BA219" s="10"/>
      <c r="BB219" s="10"/>
      <c r="BC219" s="10"/>
      <c r="BD219" s="151"/>
      <c r="BE219" s="191"/>
      <c r="BF219" s="10"/>
      <c r="BG219" s="10"/>
      <c r="BH219" s="151"/>
      <c r="BI219" s="191"/>
      <c r="BJ219" s="10"/>
      <c r="BK219" s="10"/>
      <c r="BL219" s="151"/>
      <c r="BM219" s="1"/>
      <c r="BN219" s="48">
        <v>2599.2199999999998</v>
      </c>
      <c r="BO219" s="49">
        <v>1012.92</v>
      </c>
      <c r="BP219" s="49">
        <v>6945.2</v>
      </c>
      <c r="BQ219" s="50">
        <f t="shared" si="90"/>
        <v>10557.34</v>
      </c>
      <c r="BR219" s="48">
        <v>3717.04</v>
      </c>
      <c r="BS219" s="49">
        <v>4239.88</v>
      </c>
      <c r="BT219" s="49">
        <v>4907.46</v>
      </c>
      <c r="BU219" s="50">
        <f t="shared" si="91"/>
        <v>12864.380000000001</v>
      </c>
      <c r="BV219" s="48">
        <v>2770.87</v>
      </c>
      <c r="BW219" s="49">
        <v>5369.33</v>
      </c>
      <c r="BX219" s="49">
        <v>9844.8300000000017</v>
      </c>
      <c r="BY219" s="50">
        <f t="shared" si="92"/>
        <v>17985.030000000002</v>
      </c>
      <c r="BZ219" s="182">
        <v>5463.1</v>
      </c>
      <c r="CA219" s="99">
        <v>20314.72</v>
      </c>
      <c r="CB219" s="99">
        <v>8632.9500000000007</v>
      </c>
      <c r="CC219" s="98">
        <f t="shared" si="93"/>
        <v>34410.770000000004</v>
      </c>
      <c r="CD219" s="182">
        <v>3909.58</v>
      </c>
      <c r="CE219" s="99">
        <v>32771.58</v>
      </c>
      <c r="CF219" s="99">
        <v>10460.530000000001</v>
      </c>
      <c r="CG219" s="98">
        <f t="shared" si="94"/>
        <v>47141.69</v>
      </c>
      <c r="CH219" s="191">
        <v>4033.64</v>
      </c>
      <c r="CI219" s="192">
        <v>17366.8</v>
      </c>
      <c r="CJ219" s="192">
        <v>11225.96</v>
      </c>
      <c r="CK219" s="98">
        <f t="shared" si="95"/>
        <v>32626.399999999998</v>
      </c>
      <c r="CL219" s="111"/>
      <c r="CM219" s="111"/>
      <c r="CN219" s="111"/>
      <c r="CO219" s="112"/>
      <c r="CP219" s="191"/>
      <c r="CQ219" s="192"/>
      <c r="CR219" s="192"/>
      <c r="CS219" s="151"/>
      <c r="CT219" s="111"/>
      <c r="CU219" s="111"/>
      <c r="CV219" s="111"/>
      <c r="CW219" s="112"/>
      <c r="CX219" s="192"/>
      <c r="CY219" s="192"/>
      <c r="CZ219" s="192"/>
      <c r="DA219" s="151"/>
      <c r="DB219" s="10"/>
      <c r="DC219" s="10"/>
      <c r="DD219" s="10"/>
      <c r="DE219" s="151"/>
      <c r="DF219" s="192"/>
      <c r="DG219" s="192"/>
      <c r="DH219" s="192"/>
      <c r="DI219" s="151"/>
      <c r="DJ219" s="1"/>
      <c r="DK219" s="225">
        <v>1088.72</v>
      </c>
      <c r="DL219" s="225">
        <v>2910.67</v>
      </c>
      <c r="DM219" s="225">
        <v>5282.54</v>
      </c>
      <c r="DN219" s="225">
        <v>3321.21</v>
      </c>
      <c r="DO219" s="225">
        <v>4116.6899999999996</v>
      </c>
      <c r="DP219" s="225">
        <v>6283.4</v>
      </c>
      <c r="DQ219" s="225"/>
      <c r="DR219" s="225"/>
      <c r="DS219" s="225"/>
      <c r="DT219" s="225"/>
      <c r="DU219" s="225"/>
      <c r="DV219" s="225"/>
      <c r="DW219" s="1"/>
      <c r="EJ219" s="1"/>
      <c r="EK219" s="17">
        <v>5</v>
      </c>
      <c r="EL219" s="17">
        <v>10</v>
      </c>
      <c r="EM219" s="17">
        <v>13</v>
      </c>
      <c r="EN219" s="17">
        <v>8</v>
      </c>
      <c r="EO219" s="17">
        <v>8</v>
      </c>
      <c r="EP219" s="17">
        <v>10</v>
      </c>
      <c r="EQ219" s="17"/>
      <c r="ER219" s="17"/>
      <c r="ES219" s="17"/>
      <c r="EU219" s="17"/>
      <c r="EW219" s="1"/>
      <c r="EX219" s="225">
        <v>1088.72</v>
      </c>
      <c r="EY219" s="225">
        <v>2910.67</v>
      </c>
      <c r="EZ219" s="225">
        <v>5264.06</v>
      </c>
      <c r="FA219" s="225">
        <v>3321.21</v>
      </c>
      <c r="FB219" s="225">
        <v>4116.6899999999996</v>
      </c>
      <c r="FC219" s="225">
        <v>6283.4</v>
      </c>
      <c r="FD219" s="225"/>
      <c r="FE219" s="225"/>
      <c r="FF219" s="225"/>
      <c r="FG219" s="10"/>
      <c r="FH219" s="225"/>
      <c r="FI219" s="10"/>
      <c r="FJ219" s="1"/>
      <c r="FK219" s="225">
        <v>-1415.88</v>
      </c>
      <c r="FL219" s="225">
        <v>-507.5</v>
      </c>
      <c r="FM219" s="225">
        <v>-1270.27</v>
      </c>
      <c r="FN219" s="225">
        <v>-175</v>
      </c>
      <c r="FO219" s="225">
        <v>-1637.66</v>
      </c>
      <c r="FP219" s="225">
        <v>-100</v>
      </c>
      <c r="FQ219" s="225"/>
      <c r="FR219" s="225"/>
      <c r="FS219" s="225"/>
      <c r="FT219" s="191"/>
      <c r="FU219" s="225"/>
      <c r="FV219" s="151"/>
    </row>
    <row r="220" spans="1:178" ht="16" thickBot="1" x14ac:dyDescent="0.25">
      <c r="A220" s="27" t="s">
        <v>35</v>
      </c>
      <c r="B220" t="s">
        <v>141</v>
      </c>
      <c r="C220" s="1"/>
      <c r="D220">
        <v>85</v>
      </c>
      <c r="E220" s="17">
        <v>98</v>
      </c>
      <c r="F220" s="241">
        <v>103</v>
      </c>
      <c r="G220" s="87">
        <v>106</v>
      </c>
      <c r="H220" s="87">
        <v>102</v>
      </c>
      <c r="I220" s="87">
        <v>100</v>
      </c>
      <c r="J220" s="17"/>
      <c r="K220" s="17"/>
      <c r="L220" s="17"/>
      <c r="M220" s="17"/>
      <c r="N220" s="17"/>
      <c r="O220" s="17"/>
      <c r="P220" s="1"/>
      <c r="Q220" s="48">
        <v>12055.65</v>
      </c>
      <c r="R220" s="49">
        <v>4101.1099999999997</v>
      </c>
      <c r="S220" s="49">
        <v>4675.8099999999995</v>
      </c>
      <c r="T220" s="50">
        <f t="shared" si="84"/>
        <v>20832.57</v>
      </c>
      <c r="U220" s="48">
        <v>13643.44</v>
      </c>
      <c r="V220" s="49">
        <v>7484.45</v>
      </c>
      <c r="W220" s="49">
        <v>1768.07</v>
      </c>
      <c r="X220" s="50">
        <f t="shared" si="85"/>
        <v>22895.96</v>
      </c>
      <c r="Y220" s="48">
        <v>19718.759999999998</v>
      </c>
      <c r="Z220" s="49">
        <v>2718.8</v>
      </c>
      <c r="AA220" s="49">
        <v>4441.74</v>
      </c>
      <c r="AB220" s="50">
        <f t="shared" si="86"/>
        <v>26879.299999999996</v>
      </c>
      <c r="AC220" s="164">
        <v>13999.36</v>
      </c>
      <c r="AD220" s="165">
        <v>8500.3799999999992</v>
      </c>
      <c r="AE220" s="165">
        <v>3119.99</v>
      </c>
      <c r="AF220" s="151">
        <f t="shared" si="87"/>
        <v>25619.729999999996</v>
      </c>
      <c r="AG220" s="191">
        <v>9868.7999999999993</v>
      </c>
      <c r="AH220" s="10">
        <v>8394.17</v>
      </c>
      <c r="AI220" s="10">
        <v>5330.2699999999995</v>
      </c>
      <c r="AJ220" s="151">
        <f t="shared" si="88"/>
        <v>23593.24</v>
      </c>
      <c r="AK220" s="99">
        <v>7891.17</v>
      </c>
      <c r="AL220" s="99">
        <v>5472.86</v>
      </c>
      <c r="AM220" s="99">
        <v>6449.79</v>
      </c>
      <c r="AN220" s="151">
        <f t="shared" si="89"/>
        <v>19813.82</v>
      </c>
      <c r="AO220" s="191"/>
      <c r="AP220" s="10"/>
      <c r="AQ220" s="10"/>
      <c r="AR220" s="151"/>
      <c r="AS220" s="191"/>
      <c r="AT220" s="192"/>
      <c r="AU220" s="192"/>
      <c r="AV220" s="151"/>
      <c r="AW220" s="192"/>
      <c r="AX220" s="192"/>
      <c r="AY220" s="192"/>
      <c r="AZ220" s="151"/>
      <c r="BA220" s="10"/>
      <c r="BB220" s="10"/>
      <c r="BC220" s="10"/>
      <c r="BD220" s="151"/>
      <c r="BE220" s="191"/>
      <c r="BF220" s="10"/>
      <c r="BG220" s="10"/>
      <c r="BH220" s="151"/>
      <c r="BI220" s="191"/>
      <c r="BJ220" s="10"/>
      <c r="BK220" s="10"/>
      <c r="BL220" s="151"/>
      <c r="BM220" s="1"/>
      <c r="BN220" s="48">
        <v>1018.55</v>
      </c>
      <c r="BO220" s="49">
        <v>1329.2</v>
      </c>
      <c r="BP220" s="49">
        <v>0</v>
      </c>
      <c r="BQ220" s="50">
        <f t="shared" si="90"/>
        <v>2347.75</v>
      </c>
      <c r="BR220" s="48">
        <v>1048.8499999999999</v>
      </c>
      <c r="BS220" s="49">
        <v>1586.14</v>
      </c>
      <c r="BT220" s="49">
        <v>497.81</v>
      </c>
      <c r="BU220" s="50">
        <f t="shared" si="91"/>
        <v>3132.7999999999997</v>
      </c>
      <c r="BV220" s="48">
        <v>1835.87</v>
      </c>
      <c r="BW220" s="49">
        <v>406.57</v>
      </c>
      <c r="BX220" s="49">
        <v>2153.42</v>
      </c>
      <c r="BY220" s="50">
        <f t="shared" si="92"/>
        <v>4395.8600000000006</v>
      </c>
      <c r="BZ220" s="182">
        <v>3423.29</v>
      </c>
      <c r="CA220" s="99">
        <v>5271.65</v>
      </c>
      <c r="CB220" s="99">
        <v>2137.0299999999997</v>
      </c>
      <c r="CC220" s="98">
        <f t="shared" si="93"/>
        <v>10831.969999999998</v>
      </c>
      <c r="CD220" s="182">
        <v>1002.13</v>
      </c>
      <c r="CE220" s="99">
        <v>4878.21</v>
      </c>
      <c r="CF220" s="99">
        <v>3068.03</v>
      </c>
      <c r="CG220" s="98">
        <f t="shared" si="94"/>
        <v>8948.3700000000008</v>
      </c>
      <c r="CH220" s="191">
        <v>1205.81</v>
      </c>
      <c r="CI220" s="192">
        <v>5261.15</v>
      </c>
      <c r="CJ220" s="192">
        <v>3609.84</v>
      </c>
      <c r="CK220" s="98">
        <f t="shared" si="95"/>
        <v>10076.799999999999</v>
      </c>
      <c r="CL220" s="111"/>
      <c r="CM220" s="111"/>
      <c r="CN220" s="111"/>
      <c r="CO220" s="112"/>
      <c r="CP220" s="191"/>
      <c r="CQ220" s="192"/>
      <c r="CR220" s="192"/>
      <c r="CS220" s="151"/>
      <c r="CT220" s="111"/>
      <c r="CU220" s="111"/>
      <c r="CV220" s="111"/>
      <c r="CW220" s="112"/>
      <c r="CX220" s="192"/>
      <c r="CY220" s="192"/>
      <c r="CZ220" s="192"/>
      <c r="DA220" s="151"/>
      <c r="DB220" s="10"/>
      <c r="DC220" s="10"/>
      <c r="DD220" s="10"/>
      <c r="DE220" s="151"/>
      <c r="DF220" s="192"/>
      <c r="DG220" s="192"/>
      <c r="DH220" s="192"/>
      <c r="DI220" s="151"/>
      <c r="DJ220" s="1"/>
      <c r="DK220" s="225">
        <v>1405.68</v>
      </c>
      <c r="DL220" s="225">
        <v>2721.71</v>
      </c>
      <c r="DM220" s="225">
        <v>1269.42</v>
      </c>
      <c r="DN220" s="225">
        <v>2565.63</v>
      </c>
      <c r="DO220" s="225">
        <v>1893.62</v>
      </c>
      <c r="DP220" s="225">
        <v>1002.89</v>
      </c>
      <c r="DQ220" s="225"/>
      <c r="DR220" s="225"/>
      <c r="DS220" s="225"/>
      <c r="DT220" s="225"/>
      <c r="DU220" s="225"/>
      <c r="DV220" s="225"/>
      <c r="DW220" s="1"/>
      <c r="EJ220" s="1"/>
      <c r="EK220" s="17">
        <v>1</v>
      </c>
      <c r="EL220" s="17">
        <v>4</v>
      </c>
      <c r="EM220" s="17">
        <v>3</v>
      </c>
      <c r="EN220" s="17">
        <v>3</v>
      </c>
      <c r="EO220" s="17">
        <v>3</v>
      </c>
      <c r="EP220" s="17">
        <v>2</v>
      </c>
      <c r="EQ220" s="17"/>
      <c r="ER220" s="17"/>
      <c r="ES220" s="17"/>
      <c r="EU220" s="17"/>
      <c r="EW220" s="1"/>
      <c r="EX220" s="225">
        <v>1384.61</v>
      </c>
      <c r="EY220" s="225">
        <v>2721.71</v>
      </c>
      <c r="EZ220" s="225">
        <v>1269.42</v>
      </c>
      <c r="FA220" s="225">
        <v>2565.63</v>
      </c>
      <c r="FB220" s="225">
        <v>1893.62</v>
      </c>
      <c r="FC220" s="225">
        <v>1002.89</v>
      </c>
      <c r="FD220" s="225"/>
      <c r="FE220" s="225"/>
      <c r="FF220" s="225"/>
      <c r="FG220" s="10"/>
      <c r="FH220" s="225"/>
      <c r="FI220" s="10"/>
      <c r="FJ220" s="1"/>
      <c r="FK220" s="225">
        <v>-288.06</v>
      </c>
      <c r="FL220" s="225">
        <v>-200</v>
      </c>
      <c r="FM220" s="225">
        <v>-893.37</v>
      </c>
      <c r="FN220" s="225"/>
      <c r="FO220" s="225">
        <v>-400</v>
      </c>
      <c r="FP220" s="225">
        <v>-219.19</v>
      </c>
      <c r="FQ220" s="225"/>
      <c r="FR220" s="225"/>
      <c r="FS220" s="225"/>
      <c r="FT220" s="191"/>
      <c r="FU220" s="225"/>
      <c r="FV220" s="151"/>
    </row>
    <row r="221" spans="1:178" ht="16" thickBot="1" x14ac:dyDescent="0.25">
      <c r="A221" s="27" t="s">
        <v>36</v>
      </c>
      <c r="B221" t="s">
        <v>141</v>
      </c>
      <c r="C221" s="1"/>
      <c r="D221">
        <v>156</v>
      </c>
      <c r="E221" s="17">
        <v>175</v>
      </c>
      <c r="F221" s="241">
        <v>198</v>
      </c>
      <c r="G221" s="87">
        <v>202</v>
      </c>
      <c r="H221" s="87">
        <v>208</v>
      </c>
      <c r="I221" s="87">
        <v>205</v>
      </c>
      <c r="J221" s="17"/>
      <c r="K221" s="17"/>
      <c r="L221" s="17"/>
      <c r="M221" s="17"/>
      <c r="N221" s="17"/>
      <c r="O221" s="17"/>
      <c r="P221" s="1"/>
      <c r="Q221" s="48">
        <v>8743.98</v>
      </c>
      <c r="R221" s="49">
        <v>3641.95</v>
      </c>
      <c r="S221" s="49">
        <v>16150.64</v>
      </c>
      <c r="T221" s="50">
        <f t="shared" si="84"/>
        <v>28536.57</v>
      </c>
      <c r="U221" s="48">
        <v>11897.09</v>
      </c>
      <c r="V221" s="49">
        <v>5987.29</v>
      </c>
      <c r="W221" s="49">
        <v>12770.41</v>
      </c>
      <c r="X221" s="50">
        <f t="shared" si="85"/>
        <v>30654.79</v>
      </c>
      <c r="Y221" s="48">
        <v>19315.14</v>
      </c>
      <c r="Z221" s="49">
        <v>8380.43</v>
      </c>
      <c r="AA221" s="49">
        <v>12545.87</v>
      </c>
      <c r="AB221" s="50">
        <f t="shared" si="86"/>
        <v>40241.440000000002</v>
      </c>
      <c r="AC221" s="164">
        <v>16437.23</v>
      </c>
      <c r="AD221" s="165">
        <v>14832.96</v>
      </c>
      <c r="AE221" s="165">
        <v>16663.84</v>
      </c>
      <c r="AF221" s="151">
        <f t="shared" si="87"/>
        <v>47934.03</v>
      </c>
      <c r="AG221" s="191">
        <v>9087.74</v>
      </c>
      <c r="AH221" s="10">
        <v>12436.18</v>
      </c>
      <c r="AI221" s="10">
        <v>19036.54</v>
      </c>
      <c r="AJ221" s="151">
        <f t="shared" si="88"/>
        <v>40560.46</v>
      </c>
      <c r="AK221" s="100">
        <v>8023.97</v>
      </c>
      <c r="AL221" s="99">
        <v>7133.27</v>
      </c>
      <c r="AM221" s="99">
        <v>17825.84</v>
      </c>
      <c r="AN221" s="151">
        <f t="shared" si="89"/>
        <v>32983.08</v>
      </c>
      <c r="AO221" s="191"/>
      <c r="AP221" s="10"/>
      <c r="AQ221" s="10"/>
      <c r="AR221" s="151"/>
      <c r="AS221" s="191"/>
      <c r="AT221" s="192"/>
      <c r="AU221" s="192"/>
      <c r="AV221" s="151"/>
      <c r="AW221" s="192"/>
      <c r="AX221" s="192"/>
      <c r="AY221" s="192"/>
      <c r="AZ221" s="151"/>
      <c r="BA221" s="10"/>
      <c r="BB221" s="10"/>
      <c r="BC221" s="10"/>
      <c r="BD221" s="151"/>
      <c r="BE221" s="191"/>
      <c r="BF221" s="10"/>
      <c r="BG221" s="10"/>
      <c r="BH221" s="151"/>
      <c r="BI221" s="191"/>
      <c r="BJ221" s="10"/>
      <c r="BK221" s="10"/>
      <c r="BL221" s="151"/>
      <c r="BM221" s="1"/>
      <c r="BN221" s="48">
        <v>1279.31</v>
      </c>
      <c r="BO221" s="49">
        <v>168.41</v>
      </c>
      <c r="BP221" s="49">
        <v>1014.74</v>
      </c>
      <c r="BQ221" s="50">
        <f t="shared" si="90"/>
        <v>2462.46</v>
      </c>
      <c r="BR221" s="48">
        <v>506.12</v>
      </c>
      <c r="BS221" s="49">
        <v>410.19</v>
      </c>
      <c r="BT221" s="49">
        <v>848.16</v>
      </c>
      <c r="BU221" s="50">
        <f t="shared" si="91"/>
        <v>1764.4699999999998</v>
      </c>
      <c r="BV221" s="48">
        <v>1106.32</v>
      </c>
      <c r="BW221" s="49">
        <v>825.6</v>
      </c>
      <c r="BX221" s="49">
        <v>1332.5</v>
      </c>
      <c r="BY221" s="50">
        <f t="shared" si="92"/>
        <v>3264.42</v>
      </c>
      <c r="BZ221" s="182">
        <v>1387.78</v>
      </c>
      <c r="CA221" s="266">
        <v>7503.79</v>
      </c>
      <c r="CB221" s="99">
        <v>7645.23</v>
      </c>
      <c r="CC221" s="98">
        <f t="shared" si="93"/>
        <v>16536.8</v>
      </c>
      <c r="CD221" s="182">
        <v>1267.3</v>
      </c>
      <c r="CE221" s="99">
        <v>7014.96</v>
      </c>
      <c r="CF221" s="99">
        <v>8892.73</v>
      </c>
      <c r="CG221" s="98">
        <f t="shared" si="94"/>
        <v>17174.989999999998</v>
      </c>
      <c r="CH221" s="191">
        <v>778.73</v>
      </c>
      <c r="CI221" s="192">
        <v>7954.84</v>
      </c>
      <c r="CJ221" s="192">
        <v>8116.4600000000009</v>
      </c>
      <c r="CK221" s="98">
        <f t="shared" si="95"/>
        <v>16850.03</v>
      </c>
      <c r="CL221" s="111"/>
      <c r="CM221" s="111"/>
      <c r="CN221" s="111"/>
      <c r="CO221" s="112"/>
      <c r="CP221" s="191"/>
      <c r="CQ221" s="192"/>
      <c r="CR221" s="192"/>
      <c r="CS221" s="151"/>
      <c r="CT221" s="111"/>
      <c r="CU221" s="111"/>
      <c r="CV221" s="111"/>
      <c r="CW221" s="112"/>
      <c r="CX221" s="192"/>
      <c r="CY221" s="192"/>
      <c r="CZ221" s="192"/>
      <c r="DA221" s="151"/>
      <c r="DB221" s="10"/>
      <c r="DC221" s="10"/>
      <c r="DD221" s="10"/>
      <c r="DE221" s="151"/>
      <c r="DF221" s="192"/>
      <c r="DG221" s="192"/>
      <c r="DH221" s="192"/>
      <c r="DI221" s="151"/>
      <c r="DJ221" s="1"/>
      <c r="DK221" s="225">
        <v>1092.6400000000001</v>
      </c>
      <c r="DL221" s="225">
        <v>440.39</v>
      </c>
      <c r="DM221" s="225">
        <v>881.42</v>
      </c>
      <c r="DN221" s="225">
        <v>2451.61</v>
      </c>
      <c r="DO221" s="225">
        <v>1485.98</v>
      </c>
      <c r="DP221" s="225">
        <v>5851.3</v>
      </c>
      <c r="DQ221" s="225"/>
      <c r="DR221" s="225"/>
      <c r="DS221" s="225"/>
      <c r="DT221" s="225"/>
      <c r="DU221" s="225"/>
      <c r="DV221" s="225"/>
      <c r="DW221" s="1"/>
      <c r="EJ221" s="1"/>
      <c r="EK221" s="17">
        <v>6</v>
      </c>
      <c r="EL221" s="17">
        <v>1</v>
      </c>
      <c r="EM221" s="17">
        <v>4</v>
      </c>
      <c r="EN221" s="17">
        <v>9</v>
      </c>
      <c r="EO221" s="17">
        <v>4</v>
      </c>
      <c r="EP221" s="17">
        <v>14</v>
      </c>
      <c r="EQ221" s="17"/>
      <c r="ER221" s="17"/>
      <c r="ES221" s="17"/>
      <c r="EU221" s="17"/>
      <c r="EW221" s="1"/>
      <c r="EX221" s="225">
        <v>1092.6400000000001</v>
      </c>
      <c r="EY221" s="225">
        <v>440.39</v>
      </c>
      <c r="EZ221" s="225">
        <v>869.19</v>
      </c>
      <c r="FA221" s="225">
        <v>2451.61</v>
      </c>
      <c r="FB221" s="225">
        <v>1485.98</v>
      </c>
      <c r="FC221" s="225">
        <v>5839.25</v>
      </c>
      <c r="FD221" s="225"/>
      <c r="FE221" s="225"/>
      <c r="FF221" s="225"/>
      <c r="FG221" s="10"/>
      <c r="FH221" s="225"/>
      <c r="FI221" s="10"/>
      <c r="FJ221" s="1"/>
      <c r="FK221" s="225">
        <v>-3180.7</v>
      </c>
      <c r="FL221" s="225">
        <v>-13.18</v>
      </c>
      <c r="FM221" s="225"/>
      <c r="FN221" s="225"/>
      <c r="FO221" s="225">
        <v>-270.48</v>
      </c>
      <c r="FP221" s="225"/>
      <c r="FQ221" s="225"/>
      <c r="FR221" s="225"/>
      <c r="FS221" s="225"/>
      <c r="FT221" s="191"/>
      <c r="FU221" s="225"/>
      <c r="FV221" s="151"/>
    </row>
    <row r="222" spans="1:178" ht="16" thickBot="1" x14ac:dyDescent="0.25">
      <c r="A222" s="27" t="s">
        <v>37</v>
      </c>
      <c r="B222" t="s">
        <v>141</v>
      </c>
      <c r="C222" s="1"/>
      <c r="D222">
        <v>139</v>
      </c>
      <c r="E222" s="17">
        <v>165</v>
      </c>
      <c r="F222" s="241">
        <v>148</v>
      </c>
      <c r="G222" s="87">
        <v>161</v>
      </c>
      <c r="H222" s="87">
        <v>160</v>
      </c>
      <c r="I222" s="87">
        <v>182</v>
      </c>
      <c r="J222" s="17"/>
      <c r="K222" s="17"/>
      <c r="L222" s="17"/>
      <c r="M222" s="17"/>
      <c r="N222" s="17"/>
      <c r="O222" s="17"/>
      <c r="P222" s="1"/>
      <c r="Q222" s="48">
        <v>19594.36</v>
      </c>
      <c r="R222" s="49">
        <v>8249.7199999999993</v>
      </c>
      <c r="S222" s="49">
        <v>7643.5599999999995</v>
      </c>
      <c r="T222" s="50">
        <f t="shared" si="84"/>
        <v>35487.64</v>
      </c>
      <c r="U222" s="48">
        <v>23297.17</v>
      </c>
      <c r="V222" s="49">
        <v>14625.88</v>
      </c>
      <c r="W222" s="49">
        <v>11085.01</v>
      </c>
      <c r="X222" s="50">
        <f t="shared" si="85"/>
        <v>49008.06</v>
      </c>
      <c r="Y222" s="48">
        <v>22070.37</v>
      </c>
      <c r="Z222" s="49">
        <v>10407.25</v>
      </c>
      <c r="AA222" s="49">
        <v>11899.81</v>
      </c>
      <c r="AB222" s="50">
        <f t="shared" si="86"/>
        <v>44377.43</v>
      </c>
      <c r="AC222" s="164">
        <v>27232.32</v>
      </c>
      <c r="AD222" s="165">
        <v>9103.35</v>
      </c>
      <c r="AE222" s="165">
        <v>4431.88</v>
      </c>
      <c r="AF222" s="151">
        <f t="shared" si="87"/>
        <v>40767.549999999996</v>
      </c>
      <c r="AG222" s="191">
        <v>19506.79</v>
      </c>
      <c r="AH222" s="10">
        <v>8942.08</v>
      </c>
      <c r="AI222" s="10">
        <v>4546.2800000000007</v>
      </c>
      <c r="AJ222" s="151">
        <f t="shared" si="88"/>
        <v>32995.15</v>
      </c>
      <c r="AK222" s="99">
        <v>16762.990000000002</v>
      </c>
      <c r="AL222" s="99">
        <v>10348.209999999999</v>
      </c>
      <c r="AM222" s="99">
        <v>4769.3500000000004</v>
      </c>
      <c r="AN222" s="151">
        <f t="shared" si="89"/>
        <v>31880.550000000003</v>
      </c>
      <c r="AO222" s="191"/>
      <c r="AP222" s="10"/>
      <c r="AQ222" s="10"/>
      <c r="AR222" s="151"/>
      <c r="AS222" s="191"/>
      <c r="AT222" s="192"/>
      <c r="AU222" s="192"/>
      <c r="AV222" s="151"/>
      <c r="AW222" s="192"/>
      <c r="AX222" s="192"/>
      <c r="AY222" s="192"/>
      <c r="AZ222" s="151"/>
      <c r="BA222" s="10"/>
      <c r="BB222" s="10"/>
      <c r="BC222" s="10"/>
      <c r="BD222" s="151"/>
      <c r="BE222" s="191"/>
      <c r="BF222" s="10"/>
      <c r="BG222" s="10"/>
      <c r="BH222" s="151"/>
      <c r="BI222" s="191"/>
      <c r="BJ222" s="10"/>
      <c r="BK222" s="10"/>
      <c r="BL222" s="151"/>
      <c r="BM222" s="1"/>
      <c r="BN222" s="48">
        <v>1644.51</v>
      </c>
      <c r="BO222" s="49">
        <v>1489.65</v>
      </c>
      <c r="BP222" s="49">
        <v>4166.74</v>
      </c>
      <c r="BQ222" s="50">
        <f t="shared" si="90"/>
        <v>7300.9</v>
      </c>
      <c r="BR222" s="48">
        <v>2190.92</v>
      </c>
      <c r="BS222" s="49">
        <v>1177.83</v>
      </c>
      <c r="BT222" s="49">
        <v>5652.51</v>
      </c>
      <c r="BU222" s="50">
        <f t="shared" si="91"/>
        <v>9021.26</v>
      </c>
      <c r="BV222" s="48">
        <v>1520.55</v>
      </c>
      <c r="BW222" s="49">
        <v>2740.83</v>
      </c>
      <c r="BX222" s="49">
        <v>4785.66</v>
      </c>
      <c r="BY222" s="50">
        <f t="shared" si="92"/>
        <v>9047.0400000000009</v>
      </c>
      <c r="BZ222" s="182">
        <v>3954.53</v>
      </c>
      <c r="CA222" s="99">
        <v>8041.11</v>
      </c>
      <c r="CB222" s="99">
        <v>3023.07</v>
      </c>
      <c r="CC222" s="98">
        <f t="shared" si="93"/>
        <v>15018.71</v>
      </c>
      <c r="CD222" s="182">
        <v>2478.1999999999998</v>
      </c>
      <c r="CE222" s="99">
        <v>9068.7099999999991</v>
      </c>
      <c r="CF222" s="99">
        <v>2555.69</v>
      </c>
      <c r="CG222" s="98">
        <f t="shared" si="94"/>
        <v>14102.6</v>
      </c>
      <c r="CH222" s="191">
        <v>2665.49</v>
      </c>
      <c r="CI222" s="192">
        <v>6358.32</v>
      </c>
      <c r="CJ222" s="192">
        <v>2708.44</v>
      </c>
      <c r="CK222" s="98">
        <f t="shared" si="95"/>
        <v>11732.25</v>
      </c>
      <c r="CL222" s="111"/>
      <c r="CM222" s="111"/>
      <c r="CN222" s="111"/>
      <c r="CO222" s="112"/>
      <c r="CP222" s="191"/>
      <c r="CQ222" s="192"/>
      <c r="CR222" s="192"/>
      <c r="CS222" s="151"/>
      <c r="CT222" s="111"/>
      <c r="CU222" s="111"/>
      <c r="CV222" s="111"/>
      <c r="CW222" s="112"/>
      <c r="CX222" s="192"/>
      <c r="CY222" s="192"/>
      <c r="CZ222" s="192"/>
      <c r="DA222" s="151"/>
      <c r="DB222" s="10"/>
      <c r="DC222" s="10"/>
      <c r="DD222" s="10"/>
      <c r="DE222" s="151"/>
      <c r="DF222" s="192"/>
      <c r="DG222" s="192"/>
      <c r="DH222" s="192"/>
      <c r="DI222" s="151"/>
      <c r="DJ222" s="1"/>
      <c r="DK222" s="225">
        <v>3763.57</v>
      </c>
      <c r="DL222" s="225">
        <v>1749.18</v>
      </c>
      <c r="DM222" s="225">
        <v>3182.39</v>
      </c>
      <c r="DN222" s="225">
        <v>4358.24</v>
      </c>
      <c r="DO222" s="225">
        <v>1303.3499999999999</v>
      </c>
      <c r="DP222" s="225">
        <v>2681.23</v>
      </c>
      <c r="DQ222" s="225"/>
      <c r="DR222" s="225"/>
      <c r="DS222" s="225"/>
      <c r="DT222" s="225"/>
      <c r="DU222" s="225"/>
      <c r="DV222" s="225"/>
      <c r="DW222" s="1"/>
      <c r="EJ222" s="1"/>
      <c r="EK222" s="17">
        <v>6</v>
      </c>
      <c r="EL222" s="17">
        <v>4</v>
      </c>
      <c r="EM222" s="17">
        <v>11</v>
      </c>
      <c r="EN222" s="17">
        <v>4</v>
      </c>
      <c r="EO222" s="17">
        <v>4</v>
      </c>
      <c r="EP222" s="17">
        <v>5</v>
      </c>
      <c r="EQ222" s="17"/>
      <c r="ER222" s="17"/>
      <c r="ES222" s="17"/>
      <c r="EU222" s="17"/>
      <c r="EW222" s="1"/>
      <c r="EX222" s="225">
        <v>3763.57</v>
      </c>
      <c r="EY222" s="225">
        <v>1749.18</v>
      </c>
      <c r="EZ222" s="225">
        <v>3182.39</v>
      </c>
      <c r="FA222" s="225">
        <v>4358.24</v>
      </c>
      <c r="FB222" s="225">
        <v>1303.3499999999999</v>
      </c>
      <c r="FC222" s="225">
        <v>2681.23</v>
      </c>
      <c r="FD222" s="225"/>
      <c r="FE222" s="225"/>
      <c r="FF222" s="225"/>
      <c r="FG222" s="10"/>
      <c r="FH222" s="225"/>
      <c r="FI222" s="10"/>
      <c r="FJ222" s="1"/>
      <c r="FK222" s="225">
        <v>-150.63999999999999</v>
      </c>
      <c r="FL222" s="225">
        <v>-150</v>
      </c>
      <c r="FM222" s="225">
        <v>-565.66</v>
      </c>
      <c r="FN222" s="225"/>
      <c r="FO222" s="225">
        <v>-278.20999999999998</v>
      </c>
      <c r="FP222" s="225">
        <v>-200</v>
      </c>
      <c r="FQ222" s="225"/>
      <c r="FR222" s="225"/>
      <c r="FS222" s="225"/>
      <c r="FT222" s="191"/>
      <c r="FU222" s="225"/>
      <c r="FV222" s="151"/>
    </row>
    <row r="223" spans="1:178" ht="16" thickBot="1" x14ac:dyDescent="0.25">
      <c r="A223" s="27" t="s">
        <v>38</v>
      </c>
      <c r="B223" t="s">
        <v>141</v>
      </c>
      <c r="C223" s="1"/>
      <c r="D223">
        <v>267</v>
      </c>
      <c r="E223" s="17">
        <v>181</v>
      </c>
      <c r="F223" s="241">
        <v>229</v>
      </c>
      <c r="G223" s="87">
        <v>234</v>
      </c>
      <c r="H223" s="87">
        <v>336</v>
      </c>
      <c r="I223" s="87">
        <v>315</v>
      </c>
      <c r="J223" s="17"/>
      <c r="K223" s="17"/>
      <c r="L223" s="17"/>
      <c r="M223" s="17"/>
      <c r="N223" s="17"/>
      <c r="O223" s="17"/>
      <c r="P223" s="1"/>
      <c r="Q223" s="48">
        <v>29576.92</v>
      </c>
      <c r="R223" s="49">
        <v>12420.99</v>
      </c>
      <c r="S223" s="49">
        <v>21357.91</v>
      </c>
      <c r="T223" s="50">
        <f t="shared" si="84"/>
        <v>63355.819999999992</v>
      </c>
      <c r="U223" s="48">
        <v>20161.48</v>
      </c>
      <c r="V223" s="49">
        <v>11318.39</v>
      </c>
      <c r="W223" s="49">
        <v>16078.939999999999</v>
      </c>
      <c r="X223" s="50">
        <f t="shared" si="85"/>
        <v>47558.81</v>
      </c>
      <c r="Y223" s="48">
        <v>37315.14</v>
      </c>
      <c r="Z223" s="49">
        <v>12868.68</v>
      </c>
      <c r="AA223" s="49">
        <v>18572.849999999999</v>
      </c>
      <c r="AB223" s="50">
        <f t="shared" si="86"/>
        <v>68756.67</v>
      </c>
      <c r="AC223" s="164">
        <v>31960.85</v>
      </c>
      <c r="AD223" s="165">
        <v>17082.78</v>
      </c>
      <c r="AE223" s="165">
        <v>21201.739999999998</v>
      </c>
      <c r="AF223" s="151">
        <f t="shared" si="87"/>
        <v>70245.37</v>
      </c>
      <c r="AG223" s="191">
        <v>44109.68</v>
      </c>
      <c r="AH223" s="10">
        <v>22180.55</v>
      </c>
      <c r="AI223" s="10">
        <v>22665.37</v>
      </c>
      <c r="AJ223" s="151">
        <f t="shared" si="88"/>
        <v>88955.599999999991</v>
      </c>
      <c r="AK223" s="99">
        <v>17146.96</v>
      </c>
      <c r="AL223" s="99">
        <v>25358.29</v>
      </c>
      <c r="AM223" s="99">
        <v>14012.07</v>
      </c>
      <c r="AN223" s="151">
        <f t="shared" si="89"/>
        <v>56517.32</v>
      </c>
      <c r="AO223" s="191"/>
      <c r="AP223" s="10"/>
      <c r="AQ223" s="10"/>
      <c r="AR223" s="151"/>
      <c r="AS223" s="191"/>
      <c r="AT223" s="192"/>
      <c r="AU223" s="192"/>
      <c r="AV223" s="151"/>
      <c r="AW223" s="192"/>
      <c r="AX223" s="192"/>
      <c r="AY223" s="192"/>
      <c r="AZ223" s="151"/>
      <c r="BA223" s="10"/>
      <c r="BB223" s="10"/>
      <c r="BC223" s="10"/>
      <c r="BD223" s="151"/>
      <c r="BE223" s="191"/>
      <c r="BF223" s="10"/>
      <c r="BG223" s="10"/>
      <c r="BH223" s="151"/>
      <c r="BI223" s="191"/>
      <c r="BJ223" s="10"/>
      <c r="BK223" s="10"/>
      <c r="BL223" s="151"/>
      <c r="BM223" s="1"/>
      <c r="BN223" s="48">
        <v>4185.6499999999996</v>
      </c>
      <c r="BO223" s="49">
        <v>3403.19</v>
      </c>
      <c r="BP223" s="49">
        <v>7313.34</v>
      </c>
      <c r="BQ223" s="50">
        <f t="shared" si="90"/>
        <v>14902.18</v>
      </c>
      <c r="BR223" s="48">
        <v>4492.0200000000004</v>
      </c>
      <c r="BS223" s="49">
        <v>1987.87</v>
      </c>
      <c r="BT223" s="49">
        <v>6421.69</v>
      </c>
      <c r="BU223" s="50">
        <f t="shared" si="91"/>
        <v>12901.58</v>
      </c>
      <c r="BV223" s="48">
        <v>5372.14</v>
      </c>
      <c r="BW223" s="49">
        <v>6445.11</v>
      </c>
      <c r="BX223" s="49">
        <v>7694.69</v>
      </c>
      <c r="BY223" s="50">
        <f t="shared" si="92"/>
        <v>19511.939999999999</v>
      </c>
      <c r="BZ223" s="182">
        <v>5775.32</v>
      </c>
      <c r="CA223" s="99">
        <v>13818.03</v>
      </c>
      <c r="CB223" s="99">
        <v>10632.16</v>
      </c>
      <c r="CC223" s="98">
        <f t="shared" si="93"/>
        <v>30225.51</v>
      </c>
      <c r="CD223" s="182">
        <v>8953.39</v>
      </c>
      <c r="CE223" s="99">
        <v>19879.849999999999</v>
      </c>
      <c r="CF223" s="99">
        <v>10422.51</v>
      </c>
      <c r="CG223" s="98">
        <f t="shared" si="94"/>
        <v>39255.75</v>
      </c>
      <c r="CH223" s="191">
        <v>3722.51</v>
      </c>
      <c r="CI223" s="192">
        <v>26207</v>
      </c>
      <c r="CJ223" s="192">
        <v>5967.88</v>
      </c>
      <c r="CK223" s="98">
        <f t="shared" si="95"/>
        <v>35897.39</v>
      </c>
      <c r="CL223" s="111"/>
      <c r="CM223" s="111"/>
      <c r="CN223" s="111"/>
      <c r="CO223" s="112"/>
      <c r="CP223" s="191"/>
      <c r="CQ223" s="192"/>
      <c r="CR223" s="192"/>
      <c r="CS223" s="151"/>
      <c r="CT223" s="111"/>
      <c r="CU223" s="111"/>
      <c r="CV223" s="111"/>
      <c r="CW223" s="112"/>
      <c r="CX223" s="192"/>
      <c r="CY223" s="192"/>
      <c r="CZ223" s="192"/>
      <c r="DA223" s="151"/>
      <c r="DB223" s="10"/>
      <c r="DC223" s="10"/>
      <c r="DD223" s="10"/>
      <c r="DE223" s="151"/>
      <c r="DF223" s="192"/>
      <c r="DG223" s="192"/>
      <c r="DH223" s="192"/>
      <c r="DI223" s="151"/>
      <c r="DJ223" s="1"/>
      <c r="DK223" s="225">
        <v>1984.4</v>
      </c>
      <c r="DL223" s="225">
        <v>3091.64</v>
      </c>
      <c r="DM223" s="225">
        <v>4275.66</v>
      </c>
      <c r="DN223" s="225">
        <v>2026.52</v>
      </c>
      <c r="DO223" s="225">
        <v>6073.14</v>
      </c>
      <c r="DP223" s="225">
        <v>15447.57</v>
      </c>
      <c r="DQ223" s="225"/>
      <c r="DR223" s="225"/>
      <c r="DS223" s="225"/>
      <c r="DT223" s="225"/>
      <c r="DU223" s="225"/>
      <c r="DV223" s="225"/>
      <c r="DW223" s="1"/>
      <c r="EJ223" s="1"/>
      <c r="EK223" s="17">
        <v>5</v>
      </c>
      <c r="EL223" s="17">
        <v>11</v>
      </c>
      <c r="EM223" s="17">
        <v>11</v>
      </c>
      <c r="EN223" s="17">
        <v>3</v>
      </c>
      <c r="EO223" s="17">
        <v>8</v>
      </c>
      <c r="EP223" s="17">
        <v>19</v>
      </c>
      <c r="EQ223" s="17"/>
      <c r="ER223" s="17"/>
      <c r="ES223" s="17"/>
      <c r="EU223" s="17"/>
      <c r="EW223" s="1"/>
      <c r="EX223" s="225">
        <v>1984.4</v>
      </c>
      <c r="EY223" s="225">
        <v>3081.04</v>
      </c>
      <c r="EZ223" s="225">
        <v>4275.66</v>
      </c>
      <c r="FA223" s="225">
        <v>2026.52</v>
      </c>
      <c r="FB223" s="225">
        <v>6073.14</v>
      </c>
      <c r="FC223" s="225">
        <v>15447.57</v>
      </c>
      <c r="FD223" s="225"/>
      <c r="FE223" s="225"/>
      <c r="FF223" s="225"/>
      <c r="FG223" s="10"/>
      <c r="FH223" s="225"/>
      <c r="FI223" s="10"/>
      <c r="FJ223" s="1"/>
      <c r="FK223" s="225">
        <v>-186.71</v>
      </c>
      <c r="FL223" s="225">
        <v>-1753.23</v>
      </c>
      <c r="FM223" s="225">
        <v>-733.86</v>
      </c>
      <c r="FN223" s="225">
        <v>-25</v>
      </c>
      <c r="FO223" s="225">
        <v>-125</v>
      </c>
      <c r="FP223" s="225">
        <v>-510</v>
      </c>
      <c r="FQ223" s="225"/>
      <c r="FR223" s="225"/>
      <c r="FS223" s="225"/>
      <c r="FT223" s="191"/>
      <c r="FU223" s="225"/>
      <c r="FV223" s="151"/>
    </row>
    <row r="224" spans="1:178" ht="16" thickBot="1" x14ac:dyDescent="0.25">
      <c r="A224" s="27" t="s">
        <v>39</v>
      </c>
      <c r="B224" t="s">
        <v>141</v>
      </c>
      <c r="C224" s="1"/>
      <c r="D224">
        <v>17</v>
      </c>
      <c r="E224" s="17">
        <v>15</v>
      </c>
      <c r="F224" s="241">
        <v>17</v>
      </c>
      <c r="G224" s="87">
        <v>17</v>
      </c>
      <c r="H224" s="87">
        <v>20</v>
      </c>
      <c r="I224" s="87">
        <v>16</v>
      </c>
      <c r="J224" s="17"/>
      <c r="K224" s="17"/>
      <c r="L224" s="17"/>
      <c r="M224" s="17"/>
      <c r="N224" s="17"/>
      <c r="O224" s="17"/>
      <c r="P224" s="1"/>
      <c r="Q224" s="48">
        <v>1111</v>
      </c>
      <c r="R224" s="49">
        <v>4194.3100000000004</v>
      </c>
      <c r="S224" s="49">
        <v>6253.5999999999995</v>
      </c>
      <c r="T224" s="50">
        <f t="shared" si="84"/>
        <v>11558.91</v>
      </c>
      <c r="U224" s="48">
        <v>1114.96</v>
      </c>
      <c r="V224" s="49">
        <v>1303.0999999999999</v>
      </c>
      <c r="W224" s="49">
        <v>5906.79</v>
      </c>
      <c r="X224" s="50">
        <f t="shared" si="85"/>
        <v>8324.85</v>
      </c>
      <c r="Y224" s="48">
        <v>1413.52</v>
      </c>
      <c r="Z224" s="49">
        <v>1272.6099999999999</v>
      </c>
      <c r="AA224" s="49">
        <v>7405.71</v>
      </c>
      <c r="AB224" s="50">
        <f t="shared" si="86"/>
        <v>10091.84</v>
      </c>
      <c r="AC224" s="164">
        <v>2909.38</v>
      </c>
      <c r="AD224" s="165">
        <v>1112.5899999999999</v>
      </c>
      <c r="AE224" s="165">
        <v>11388.5</v>
      </c>
      <c r="AF224" s="151">
        <f t="shared" si="87"/>
        <v>15410.470000000001</v>
      </c>
      <c r="AG224" s="191">
        <v>1397.04</v>
      </c>
      <c r="AH224" s="10">
        <v>3583.25</v>
      </c>
      <c r="AI224" s="10">
        <v>8334.0300000000007</v>
      </c>
      <c r="AJ224" s="151">
        <f t="shared" si="88"/>
        <v>13314.32</v>
      </c>
      <c r="AK224" s="100">
        <v>3224.22</v>
      </c>
      <c r="AL224" s="99">
        <v>349.27</v>
      </c>
      <c r="AM224" s="99">
        <v>7824.65</v>
      </c>
      <c r="AN224" s="151">
        <f t="shared" si="89"/>
        <v>11398.14</v>
      </c>
      <c r="AO224" s="191"/>
      <c r="AP224" s="10"/>
      <c r="AQ224" s="10"/>
      <c r="AR224" s="151"/>
      <c r="AS224" s="191"/>
      <c r="AT224" s="192"/>
      <c r="AU224" s="192"/>
      <c r="AV224" s="151"/>
      <c r="AW224" s="192"/>
      <c r="AX224" s="192"/>
      <c r="AY224" s="192"/>
      <c r="AZ224" s="151"/>
      <c r="BA224" s="10"/>
      <c r="BB224" s="10"/>
      <c r="BC224" s="10"/>
      <c r="BD224" s="151"/>
      <c r="BE224" s="191"/>
      <c r="BF224" s="10"/>
      <c r="BG224" s="10"/>
      <c r="BH224" s="151"/>
      <c r="BI224" s="191"/>
      <c r="BJ224" s="10"/>
      <c r="BK224" s="10"/>
      <c r="BL224" s="151"/>
      <c r="BM224" s="1"/>
      <c r="BN224" s="48">
        <v>96.15</v>
      </c>
      <c r="BO224" s="49"/>
      <c r="BP224" s="49">
        <v>1583.23</v>
      </c>
      <c r="BQ224" s="50">
        <f t="shared" si="90"/>
        <v>1679.38</v>
      </c>
      <c r="BR224" s="48">
        <v>311.63</v>
      </c>
      <c r="BS224" s="49"/>
      <c r="BT224" s="49">
        <v>1499.68</v>
      </c>
      <c r="BU224" s="50">
        <f t="shared" si="91"/>
        <v>1811.31</v>
      </c>
      <c r="BV224" s="48">
        <v>170.84</v>
      </c>
      <c r="BW224" s="49">
        <v>631.94000000000005</v>
      </c>
      <c r="BX224" s="49">
        <v>3138.6</v>
      </c>
      <c r="BY224" s="50">
        <f t="shared" si="92"/>
        <v>3941.38</v>
      </c>
      <c r="BZ224" s="182">
        <v>113.51</v>
      </c>
      <c r="CA224" s="266">
        <v>1350.57</v>
      </c>
      <c r="CB224" s="99">
        <v>10350.460000000001</v>
      </c>
      <c r="CC224" s="98">
        <f t="shared" si="93"/>
        <v>11814.54</v>
      </c>
      <c r="CD224" s="182">
        <v>329.21</v>
      </c>
      <c r="CE224" s="99">
        <v>1274.96</v>
      </c>
      <c r="CF224" s="99">
        <v>8334.0300000000007</v>
      </c>
      <c r="CG224" s="98">
        <f t="shared" si="94"/>
        <v>9938.2000000000007</v>
      </c>
      <c r="CH224" s="191">
        <v>384.46</v>
      </c>
      <c r="CI224" s="192">
        <v>1464.18</v>
      </c>
      <c r="CJ224" s="192">
        <v>7824.65</v>
      </c>
      <c r="CK224" s="98">
        <f t="shared" si="95"/>
        <v>9673.2899999999991</v>
      </c>
      <c r="CL224" s="111"/>
      <c r="CM224" s="111"/>
      <c r="CN224" s="111"/>
      <c r="CO224" s="112"/>
      <c r="CP224" s="191"/>
      <c r="CQ224" s="192"/>
      <c r="CR224" s="192"/>
      <c r="CS224" s="151"/>
      <c r="CT224" s="111"/>
      <c r="CU224" s="111"/>
      <c r="CV224" s="111"/>
      <c r="CW224" s="112"/>
      <c r="CX224" s="192"/>
      <c r="CY224" s="192"/>
      <c r="CZ224" s="192"/>
      <c r="DA224" s="151"/>
      <c r="DB224" s="10"/>
      <c r="DC224" s="10"/>
      <c r="DD224" s="10"/>
      <c r="DE224" s="151"/>
      <c r="DF224" s="192"/>
      <c r="DG224" s="192"/>
      <c r="DH224" s="192"/>
      <c r="DI224" s="151"/>
      <c r="DJ224" s="1"/>
      <c r="DK224" s="225"/>
      <c r="DL224" s="225">
        <v>4441.29</v>
      </c>
      <c r="DM224" s="225"/>
      <c r="DN224" s="225"/>
      <c r="DO224" s="225"/>
      <c r="DP224" s="225">
        <v>1488.96</v>
      </c>
      <c r="DQ224" s="225"/>
      <c r="DR224" s="225"/>
      <c r="DS224" s="225"/>
      <c r="DT224" s="225"/>
      <c r="DU224" s="225"/>
      <c r="DV224" s="225"/>
      <c r="DW224" s="1"/>
      <c r="EJ224" s="1"/>
      <c r="EK224" s="17"/>
      <c r="EL224" s="17">
        <v>3</v>
      </c>
      <c r="EM224" s="17"/>
      <c r="EN224" s="17"/>
      <c r="EO224" s="17"/>
      <c r="EP224" s="17">
        <v>2</v>
      </c>
      <c r="EQ224" s="17"/>
      <c r="ER224" s="17"/>
      <c r="ES224" s="17"/>
      <c r="EU224" s="17"/>
      <c r="EW224" s="1"/>
      <c r="EX224" s="225"/>
      <c r="EY224" s="225">
        <v>4441.29</v>
      </c>
      <c r="EZ224" s="225"/>
      <c r="FA224" s="225"/>
      <c r="FB224" s="225"/>
      <c r="FC224" s="225">
        <v>1488.96</v>
      </c>
      <c r="FD224" s="225"/>
      <c r="FE224" s="225"/>
      <c r="FF224" s="225"/>
      <c r="FG224" s="10"/>
      <c r="FH224" s="225"/>
      <c r="FI224" s="10"/>
      <c r="FJ224" s="1"/>
      <c r="FK224" s="225"/>
      <c r="FL224" s="225"/>
      <c r="FM224" s="225">
        <v>-246.98</v>
      </c>
      <c r="FN224" s="225"/>
      <c r="FO224" s="225"/>
      <c r="FP224" s="225"/>
      <c r="FQ224" s="225"/>
      <c r="FR224" s="225"/>
      <c r="FS224" s="225"/>
      <c r="FT224" s="191"/>
      <c r="FU224" s="225"/>
      <c r="FV224" s="151"/>
    </row>
    <row r="225" spans="1:178" ht="16" thickBot="1" x14ac:dyDescent="0.25">
      <c r="A225" s="27" t="s">
        <v>40</v>
      </c>
      <c r="B225" t="s">
        <v>141</v>
      </c>
      <c r="C225" s="1"/>
      <c r="D225">
        <v>77</v>
      </c>
      <c r="E225" s="17">
        <v>76</v>
      </c>
      <c r="F225" s="241">
        <v>75</v>
      </c>
      <c r="G225" s="87">
        <v>71</v>
      </c>
      <c r="H225" s="87">
        <v>70</v>
      </c>
      <c r="I225" s="87">
        <v>81</v>
      </c>
      <c r="J225" s="17"/>
      <c r="K225" s="17"/>
      <c r="L225" s="17"/>
      <c r="M225" s="17"/>
      <c r="N225" s="17"/>
      <c r="O225" s="17"/>
      <c r="P225" s="1"/>
      <c r="Q225" s="48">
        <v>9047.49</v>
      </c>
      <c r="R225" s="49">
        <v>6804.4900000000007</v>
      </c>
      <c r="S225" s="49">
        <v>10921.69</v>
      </c>
      <c r="T225" s="50">
        <f t="shared" si="84"/>
        <v>26773.67</v>
      </c>
      <c r="U225" s="48">
        <v>11141.79</v>
      </c>
      <c r="V225" s="49">
        <v>4908.25</v>
      </c>
      <c r="W225" s="49">
        <v>8727.49</v>
      </c>
      <c r="X225" s="50">
        <f t="shared" si="85"/>
        <v>24777.53</v>
      </c>
      <c r="Y225" s="48">
        <v>12315.3</v>
      </c>
      <c r="Z225" s="49">
        <v>8729.89</v>
      </c>
      <c r="AA225" s="49">
        <v>10568.18</v>
      </c>
      <c r="AB225" s="50">
        <f t="shared" si="86"/>
        <v>31613.37</v>
      </c>
      <c r="AC225" s="164">
        <v>9016.31</v>
      </c>
      <c r="AD225" s="165">
        <v>6513.66</v>
      </c>
      <c r="AE225" s="165">
        <v>9286.630000000001</v>
      </c>
      <c r="AF225" s="151">
        <f t="shared" si="87"/>
        <v>24816.6</v>
      </c>
      <c r="AG225" s="191">
        <v>7918.36</v>
      </c>
      <c r="AH225" s="10">
        <v>5910.28</v>
      </c>
      <c r="AI225" s="10">
        <v>4588.75</v>
      </c>
      <c r="AJ225" s="151">
        <f t="shared" si="88"/>
        <v>18417.39</v>
      </c>
      <c r="AK225" s="99">
        <v>9026.83</v>
      </c>
      <c r="AL225" s="99">
        <v>4281.49</v>
      </c>
      <c r="AM225" s="99">
        <v>6419.98</v>
      </c>
      <c r="AN225" s="151">
        <f t="shared" si="89"/>
        <v>19728.3</v>
      </c>
      <c r="AO225" s="191"/>
      <c r="AP225" s="10"/>
      <c r="AQ225" s="10"/>
      <c r="AR225" s="151"/>
      <c r="AS225" s="191"/>
      <c r="AT225" s="192"/>
      <c r="AU225" s="192"/>
      <c r="AV225" s="151"/>
      <c r="AW225" s="192"/>
      <c r="AX225" s="192"/>
      <c r="AY225" s="192"/>
      <c r="AZ225" s="151"/>
      <c r="BA225" s="10"/>
      <c r="BB225" s="10"/>
      <c r="BC225" s="10"/>
      <c r="BD225" s="151"/>
      <c r="BE225" s="191"/>
      <c r="BF225" s="10"/>
      <c r="BG225" s="10"/>
      <c r="BH225" s="151"/>
      <c r="BI225" s="191"/>
      <c r="BJ225" s="10"/>
      <c r="BK225" s="10"/>
      <c r="BL225" s="151"/>
      <c r="BM225" s="1"/>
      <c r="BN225" s="48">
        <v>1342.84</v>
      </c>
      <c r="BO225" s="49">
        <v>974.61</v>
      </c>
      <c r="BP225" s="49">
        <v>3655.5</v>
      </c>
      <c r="BQ225" s="50">
        <f t="shared" si="90"/>
        <v>5972.95</v>
      </c>
      <c r="BR225" s="48">
        <v>1753.9</v>
      </c>
      <c r="BS225" s="49">
        <v>1502.93</v>
      </c>
      <c r="BT225" s="49">
        <v>3416.88</v>
      </c>
      <c r="BU225" s="50">
        <f t="shared" si="91"/>
        <v>6673.71</v>
      </c>
      <c r="BV225" s="48">
        <v>1641.17</v>
      </c>
      <c r="BW225" s="49">
        <v>2570.4499999999998</v>
      </c>
      <c r="BX225" s="49">
        <v>9754.61</v>
      </c>
      <c r="BY225" s="50">
        <f t="shared" si="92"/>
        <v>13966.23</v>
      </c>
      <c r="BZ225" s="182">
        <v>2299.9299999999998</v>
      </c>
      <c r="CA225" s="99">
        <v>16591.009999999998</v>
      </c>
      <c r="CB225" s="99">
        <v>6638.6</v>
      </c>
      <c r="CC225" s="98">
        <f t="shared" si="93"/>
        <v>25529.54</v>
      </c>
      <c r="CD225" s="182">
        <v>1367.24</v>
      </c>
      <c r="CE225" s="99">
        <v>2976.32</v>
      </c>
      <c r="CF225" s="99">
        <v>3834.67</v>
      </c>
      <c r="CG225" s="98">
        <f t="shared" si="94"/>
        <v>8178.2300000000005</v>
      </c>
      <c r="CH225" s="191">
        <v>1909.11</v>
      </c>
      <c r="CI225" s="192">
        <v>2682.25</v>
      </c>
      <c r="CJ225" s="192">
        <v>4840.58</v>
      </c>
      <c r="CK225" s="98">
        <f t="shared" si="95"/>
        <v>9431.9399999999987</v>
      </c>
      <c r="CL225" s="111"/>
      <c r="CM225" s="111"/>
      <c r="CN225" s="111"/>
      <c r="CO225" s="112"/>
      <c r="CP225" s="191"/>
      <c r="CQ225" s="192"/>
      <c r="CR225" s="192"/>
      <c r="CS225" s="151"/>
      <c r="CT225" s="111"/>
      <c r="CU225" s="111"/>
      <c r="CV225" s="111"/>
      <c r="CW225" s="112"/>
      <c r="CX225" s="192"/>
      <c r="CY225" s="192"/>
      <c r="CZ225" s="192"/>
      <c r="DA225" s="151"/>
      <c r="DB225" s="10"/>
      <c r="DC225" s="10"/>
      <c r="DD225" s="10"/>
      <c r="DE225" s="151"/>
      <c r="DF225" s="192"/>
      <c r="DG225" s="192"/>
      <c r="DH225" s="192"/>
      <c r="DI225" s="151"/>
      <c r="DJ225" s="1"/>
      <c r="DK225" s="225">
        <v>933.62</v>
      </c>
      <c r="DL225" s="225">
        <v>1583.62</v>
      </c>
      <c r="DM225" s="225">
        <v>909.07</v>
      </c>
      <c r="DN225" s="225">
        <v>532.65</v>
      </c>
      <c r="DO225" s="225">
        <v>2047.81</v>
      </c>
      <c r="DP225" s="225">
        <v>2011</v>
      </c>
      <c r="DQ225" s="225"/>
      <c r="DR225" s="225"/>
      <c r="DS225" s="225"/>
      <c r="DT225" s="225"/>
      <c r="DU225" s="225"/>
      <c r="DV225" s="225"/>
      <c r="DW225" s="1"/>
      <c r="EJ225" s="1"/>
      <c r="EK225" s="17">
        <v>1</v>
      </c>
      <c r="EL225" s="17">
        <v>2</v>
      </c>
      <c r="EM225" s="17">
        <v>3</v>
      </c>
      <c r="EN225" s="17">
        <v>1</v>
      </c>
      <c r="EO225" s="17">
        <v>2</v>
      </c>
      <c r="EP225" s="17">
        <v>2</v>
      </c>
      <c r="EQ225" s="17"/>
      <c r="ER225" s="17"/>
      <c r="ES225" s="17"/>
      <c r="EU225" s="17"/>
      <c r="EW225" s="1"/>
      <c r="EX225" s="225">
        <v>933.62</v>
      </c>
      <c r="EY225" s="225">
        <v>1583.62</v>
      </c>
      <c r="EZ225" s="225">
        <v>909.07</v>
      </c>
      <c r="FA225" s="225">
        <v>532.65</v>
      </c>
      <c r="FB225" s="225">
        <v>2047.81</v>
      </c>
      <c r="FC225" s="225">
        <v>2011</v>
      </c>
      <c r="FD225" s="225"/>
      <c r="FE225" s="225"/>
      <c r="FF225" s="225"/>
      <c r="FG225" s="10"/>
      <c r="FH225" s="225"/>
      <c r="FI225" s="10"/>
      <c r="FJ225" s="1"/>
      <c r="FK225" s="225"/>
      <c r="FL225" s="225"/>
      <c r="FM225" s="225"/>
      <c r="FN225" s="225"/>
      <c r="FO225" s="225">
        <v>-437.07</v>
      </c>
      <c r="FP225" s="225"/>
      <c r="FQ225" s="225"/>
      <c r="FR225" s="225"/>
      <c r="FS225" s="225"/>
      <c r="FT225" s="191"/>
      <c r="FU225" s="225"/>
      <c r="FV225" s="151"/>
    </row>
    <row r="226" spans="1:178" ht="16" thickBot="1" x14ac:dyDescent="0.25">
      <c r="A226" s="27" t="s">
        <v>41</v>
      </c>
      <c r="B226" t="s">
        <v>141</v>
      </c>
      <c r="C226" s="1"/>
      <c r="D226">
        <v>0</v>
      </c>
      <c r="E226" s="17"/>
      <c r="F226" s="241">
        <v>0</v>
      </c>
      <c r="G226" s="89">
        <v>0</v>
      </c>
      <c r="H226" s="88"/>
      <c r="I226" s="88"/>
      <c r="J226" s="17"/>
      <c r="K226" s="17"/>
      <c r="L226" s="17"/>
      <c r="M226" s="17"/>
      <c r="N226" s="17"/>
      <c r="O226" s="17"/>
      <c r="P226" s="1"/>
      <c r="Q226" s="48">
        <v>0</v>
      </c>
      <c r="R226" s="49">
        <v>0</v>
      </c>
      <c r="S226" s="49">
        <v>0</v>
      </c>
      <c r="T226" s="50">
        <f t="shared" si="84"/>
        <v>0</v>
      </c>
      <c r="U226" s="48">
        <v>0</v>
      </c>
      <c r="V226" s="49">
        <v>0</v>
      </c>
      <c r="W226" s="49">
        <v>0</v>
      </c>
      <c r="X226" s="50">
        <f t="shared" si="85"/>
        <v>0</v>
      </c>
      <c r="Y226" s="48"/>
      <c r="Z226" s="49"/>
      <c r="AA226" s="49"/>
      <c r="AB226" s="50">
        <f t="shared" si="86"/>
        <v>0</v>
      </c>
      <c r="AC226" s="167"/>
      <c r="AD226" s="166"/>
      <c r="AE226" s="166">
        <v>0</v>
      </c>
      <c r="AF226" s="151">
        <f t="shared" si="87"/>
        <v>0</v>
      </c>
      <c r="AG226" s="191"/>
      <c r="AH226" s="10"/>
      <c r="AI226" s="10">
        <v>0</v>
      </c>
      <c r="AJ226" s="151">
        <f t="shared" si="88"/>
        <v>0</v>
      </c>
      <c r="AK226" s="100"/>
      <c r="AL226" s="100"/>
      <c r="AM226" s="100"/>
      <c r="AN226" s="151">
        <f t="shared" si="89"/>
        <v>0</v>
      </c>
      <c r="AO226" s="191"/>
      <c r="AP226" s="10"/>
      <c r="AQ226" s="10"/>
      <c r="AR226" s="151"/>
      <c r="AS226" s="191"/>
      <c r="AT226" s="192"/>
      <c r="AU226" s="192"/>
      <c r="AV226" s="151"/>
      <c r="AW226" s="192"/>
      <c r="AX226" s="192"/>
      <c r="AY226" s="192"/>
      <c r="AZ226" s="151"/>
      <c r="BA226" s="10"/>
      <c r="BB226" s="10"/>
      <c r="BC226" s="10"/>
      <c r="BD226" s="151"/>
      <c r="BE226" s="191"/>
      <c r="BF226" s="10"/>
      <c r="BG226" s="10"/>
      <c r="BH226" s="151"/>
      <c r="BI226" s="191"/>
      <c r="BJ226" s="10"/>
      <c r="BK226" s="10"/>
      <c r="BL226" s="151"/>
      <c r="BM226" s="1"/>
      <c r="BN226" s="48"/>
      <c r="BO226" s="49"/>
      <c r="BP226" s="49">
        <v>0</v>
      </c>
      <c r="BQ226" s="50">
        <f t="shared" si="90"/>
        <v>0</v>
      </c>
      <c r="BR226" s="48"/>
      <c r="BS226" s="49"/>
      <c r="BT226" s="49">
        <v>0</v>
      </c>
      <c r="BU226" s="50">
        <f t="shared" si="91"/>
        <v>0</v>
      </c>
      <c r="BV226" s="48"/>
      <c r="BW226" s="49"/>
      <c r="BX226" s="49">
        <v>0</v>
      </c>
      <c r="BY226" s="50">
        <f t="shared" si="92"/>
        <v>0</v>
      </c>
      <c r="BZ226" s="183"/>
      <c r="CA226" s="266"/>
      <c r="CB226" s="266"/>
      <c r="CC226" s="98">
        <f t="shared" si="93"/>
        <v>0</v>
      </c>
      <c r="CD226" s="183"/>
      <c r="CE226" s="266"/>
      <c r="CF226" s="266"/>
      <c r="CG226" s="98">
        <f t="shared" si="94"/>
        <v>0</v>
      </c>
      <c r="CH226" s="191"/>
      <c r="CI226" s="192"/>
      <c r="CJ226" s="192">
        <v>0</v>
      </c>
      <c r="CK226" s="98">
        <f t="shared" si="95"/>
        <v>0</v>
      </c>
      <c r="CL226" s="111"/>
      <c r="CM226" s="111"/>
      <c r="CN226" s="111"/>
      <c r="CO226" s="112"/>
      <c r="CP226" s="191"/>
      <c r="CQ226" s="192"/>
      <c r="CR226" s="192"/>
      <c r="CS226" s="151"/>
      <c r="CT226" s="111"/>
      <c r="CU226" s="111"/>
      <c r="CV226" s="111"/>
      <c r="CW226" s="112"/>
      <c r="CX226" s="192"/>
      <c r="CY226" s="192"/>
      <c r="CZ226" s="192"/>
      <c r="DA226" s="151"/>
      <c r="DB226" s="10"/>
      <c r="DC226" s="10"/>
      <c r="DD226" s="10"/>
      <c r="DE226" s="151"/>
      <c r="DF226" s="192"/>
      <c r="DG226" s="192"/>
      <c r="DH226" s="192"/>
      <c r="DI226" s="151"/>
      <c r="DJ226" s="1"/>
      <c r="DK226" s="225"/>
      <c r="DL226" s="225"/>
      <c r="DM226" s="225"/>
      <c r="DN226" s="225"/>
      <c r="DO226" s="225"/>
      <c r="DP226" s="225"/>
      <c r="DQ226" s="225"/>
      <c r="DR226" s="225"/>
      <c r="DS226" s="225"/>
      <c r="DT226" s="225"/>
      <c r="DU226" s="225"/>
      <c r="DV226" s="225"/>
      <c r="DW226" s="1"/>
      <c r="EJ226" s="1"/>
      <c r="EK226" s="17"/>
      <c r="EL226" s="17"/>
      <c r="EM226" s="17"/>
      <c r="EN226" s="17"/>
      <c r="EO226" s="17"/>
      <c r="EP226" s="17"/>
      <c r="EQ226" s="17"/>
      <c r="ER226" s="17"/>
      <c r="ES226" s="17"/>
      <c r="EU226" s="17"/>
      <c r="EW226" s="1"/>
      <c r="EX226" s="225"/>
      <c r="EY226" s="225"/>
      <c r="EZ226" s="225"/>
      <c r="FA226" s="225"/>
      <c r="FB226" s="225"/>
      <c r="FC226" s="225"/>
      <c r="FD226" s="225"/>
      <c r="FE226" s="225"/>
      <c r="FF226" s="225"/>
      <c r="FG226" s="10"/>
      <c r="FH226" s="225"/>
      <c r="FI226" s="10"/>
      <c r="FJ226" s="1"/>
      <c r="FK226" s="225"/>
      <c r="FL226" s="225"/>
      <c r="FM226" s="225"/>
      <c r="FN226" s="225"/>
      <c r="FO226" s="225"/>
      <c r="FP226" s="225"/>
      <c r="FQ226" s="225"/>
      <c r="FR226" s="225"/>
      <c r="FS226" s="225"/>
      <c r="FT226" s="191"/>
      <c r="FU226" s="225"/>
      <c r="FV226" s="151"/>
    </row>
    <row r="227" spans="1:178" ht="16" thickBot="1" x14ac:dyDescent="0.25">
      <c r="A227" s="27" t="s">
        <v>42</v>
      </c>
      <c r="B227" t="s">
        <v>141</v>
      </c>
      <c r="C227" s="1"/>
      <c r="D227">
        <v>45</v>
      </c>
      <c r="E227" s="17"/>
      <c r="F227" s="241">
        <v>42</v>
      </c>
      <c r="G227" s="87">
        <v>48</v>
      </c>
      <c r="H227" s="87">
        <v>46</v>
      </c>
      <c r="I227" s="87">
        <v>43</v>
      </c>
      <c r="J227" s="17"/>
      <c r="K227" s="17"/>
      <c r="L227" s="17"/>
      <c r="M227" s="17"/>
      <c r="N227" s="17"/>
      <c r="O227" s="17"/>
      <c r="P227" s="1"/>
      <c r="Q227" s="48">
        <v>6807.54</v>
      </c>
      <c r="R227" s="49">
        <v>542.98</v>
      </c>
      <c r="S227" s="49">
        <v>7357.1</v>
      </c>
      <c r="T227" s="50">
        <f t="shared" si="84"/>
        <v>14707.62</v>
      </c>
      <c r="U227" s="48">
        <v>8883.44</v>
      </c>
      <c r="V227" s="49">
        <v>5353.41</v>
      </c>
      <c r="W227" s="49">
        <v>6185.48</v>
      </c>
      <c r="X227" s="50">
        <f t="shared" si="85"/>
        <v>20422.330000000002</v>
      </c>
      <c r="Y227" s="48">
        <v>5040.5200000000004</v>
      </c>
      <c r="Z227" s="49">
        <v>5357.96</v>
      </c>
      <c r="AA227" s="49">
        <v>8446.1</v>
      </c>
      <c r="AB227" s="50">
        <f t="shared" si="86"/>
        <v>18844.580000000002</v>
      </c>
      <c r="AC227" s="164">
        <v>5406.42</v>
      </c>
      <c r="AD227" s="165">
        <v>2813.68</v>
      </c>
      <c r="AE227" s="165">
        <v>6761.13</v>
      </c>
      <c r="AF227" s="151">
        <f t="shared" si="87"/>
        <v>14981.23</v>
      </c>
      <c r="AG227" s="191">
        <v>3447.42</v>
      </c>
      <c r="AH227" s="10">
        <v>3007.18</v>
      </c>
      <c r="AI227" s="10">
        <v>7967.54</v>
      </c>
      <c r="AJ227" s="151">
        <f t="shared" si="88"/>
        <v>14422.14</v>
      </c>
      <c r="AK227" s="100">
        <v>2237.87</v>
      </c>
      <c r="AL227" s="99">
        <v>3232.26</v>
      </c>
      <c r="AM227" s="99">
        <v>7710.05</v>
      </c>
      <c r="AN227" s="151">
        <f t="shared" si="89"/>
        <v>13180.18</v>
      </c>
      <c r="AO227" s="191"/>
      <c r="AP227" s="10"/>
      <c r="AQ227" s="10"/>
      <c r="AR227" s="151"/>
      <c r="AS227" s="191"/>
      <c r="AT227" s="192"/>
      <c r="AU227" s="192"/>
      <c r="AV227" s="151"/>
      <c r="AW227" s="192"/>
      <c r="AX227" s="192"/>
      <c r="AY227" s="192"/>
      <c r="AZ227" s="151"/>
      <c r="BA227" s="10"/>
      <c r="BB227" s="10"/>
      <c r="BC227" s="10"/>
      <c r="BD227" s="151"/>
      <c r="BE227" s="191"/>
      <c r="BF227" s="10"/>
      <c r="BG227" s="10"/>
      <c r="BH227" s="151"/>
      <c r="BI227" s="191"/>
      <c r="BJ227" s="10"/>
      <c r="BK227" s="10"/>
      <c r="BL227" s="151"/>
      <c r="BM227" s="1"/>
      <c r="BN227" s="48">
        <v>567.69000000000005</v>
      </c>
      <c r="BO227" s="49">
        <v>90.58</v>
      </c>
      <c r="BP227" s="49">
        <v>1560.3899999999999</v>
      </c>
      <c r="BQ227" s="50">
        <f t="shared" si="90"/>
        <v>2218.66</v>
      </c>
      <c r="BR227" s="48">
        <v>816.07</v>
      </c>
      <c r="BS227" s="49">
        <v>2366.7800000000002</v>
      </c>
      <c r="BT227" s="49">
        <v>159.97</v>
      </c>
      <c r="BU227" s="50">
        <f t="shared" si="91"/>
        <v>3342.82</v>
      </c>
      <c r="BV227" s="48">
        <v>464.32</v>
      </c>
      <c r="BW227" s="49">
        <v>2244.11</v>
      </c>
      <c r="BX227" s="49">
        <v>5283.3899999999994</v>
      </c>
      <c r="BY227" s="50">
        <f t="shared" si="92"/>
        <v>7991.82</v>
      </c>
      <c r="BZ227" s="182">
        <v>2175.33</v>
      </c>
      <c r="CA227" s="99">
        <v>2634</v>
      </c>
      <c r="CB227" s="99">
        <v>3605.96</v>
      </c>
      <c r="CC227" s="98">
        <f t="shared" si="93"/>
        <v>8415.2900000000009</v>
      </c>
      <c r="CD227" s="182">
        <v>1293.6199999999999</v>
      </c>
      <c r="CE227" s="99">
        <v>770.17</v>
      </c>
      <c r="CF227" s="99">
        <v>4231.12</v>
      </c>
      <c r="CG227" s="98">
        <f t="shared" si="94"/>
        <v>6294.91</v>
      </c>
      <c r="CH227" s="191">
        <v>813.94</v>
      </c>
      <c r="CI227" s="192">
        <v>2235.84</v>
      </c>
      <c r="CJ227" s="192">
        <v>4367.13</v>
      </c>
      <c r="CK227" s="98">
        <f t="shared" si="95"/>
        <v>7416.91</v>
      </c>
      <c r="CL227" s="111"/>
      <c r="CM227" s="111"/>
      <c r="CN227" s="111"/>
      <c r="CO227" s="112"/>
      <c r="CP227" s="191"/>
      <c r="CQ227" s="192"/>
      <c r="CR227" s="192"/>
      <c r="CS227" s="151"/>
      <c r="CT227" s="111"/>
      <c r="CU227" s="111"/>
      <c r="CV227" s="111"/>
      <c r="CW227" s="112"/>
      <c r="CX227" s="192"/>
      <c r="CY227" s="192"/>
      <c r="CZ227" s="192"/>
      <c r="DA227" s="151"/>
      <c r="DB227" s="10"/>
      <c r="DC227" s="10"/>
      <c r="DD227" s="10"/>
      <c r="DE227" s="151"/>
      <c r="DF227" s="192"/>
      <c r="DG227" s="192"/>
      <c r="DH227" s="192"/>
      <c r="DI227" s="151"/>
      <c r="DJ227" s="1"/>
      <c r="DK227" s="225">
        <v>164.4</v>
      </c>
      <c r="DL227" s="225"/>
      <c r="DM227" s="225">
        <v>3309.68</v>
      </c>
      <c r="DN227" s="225"/>
      <c r="DO227" s="225">
        <v>415.96</v>
      </c>
      <c r="DP227" s="225">
        <v>411.45</v>
      </c>
      <c r="DQ227" s="225"/>
      <c r="DR227" s="225"/>
      <c r="DS227" s="225"/>
      <c r="DT227" s="225"/>
      <c r="DU227" s="225"/>
      <c r="DV227" s="225"/>
      <c r="DW227" s="1"/>
      <c r="EJ227" s="1"/>
      <c r="EK227" s="17">
        <v>1</v>
      </c>
      <c r="EL227" s="17"/>
      <c r="EM227" s="17">
        <v>3</v>
      </c>
      <c r="EN227" s="17"/>
      <c r="EO227" s="17">
        <v>1</v>
      </c>
      <c r="EP227" s="17">
        <v>1</v>
      </c>
      <c r="EQ227" s="17"/>
      <c r="ER227" s="17"/>
      <c r="ES227" s="17"/>
      <c r="EU227" s="17"/>
      <c r="EW227" s="1"/>
      <c r="EX227" s="225">
        <v>164.4</v>
      </c>
      <c r="EY227" s="225"/>
      <c r="EZ227" s="225">
        <v>3309.68</v>
      </c>
      <c r="FA227" s="225"/>
      <c r="FB227" s="225">
        <v>415.96</v>
      </c>
      <c r="FC227" s="225">
        <v>411.45</v>
      </c>
      <c r="FD227" s="225"/>
      <c r="FE227" s="225"/>
      <c r="FF227" s="225"/>
      <c r="FG227" s="10"/>
      <c r="FH227" s="225"/>
      <c r="FI227" s="10"/>
      <c r="FJ227" s="1"/>
      <c r="FK227" s="225"/>
      <c r="FL227" s="225"/>
      <c r="FM227" s="225"/>
      <c r="FN227" s="225"/>
      <c r="FO227" s="225"/>
      <c r="FP227" s="225">
        <v>-415.96</v>
      </c>
      <c r="FQ227" s="225"/>
      <c r="FR227" s="225"/>
      <c r="FS227" s="225"/>
      <c r="FT227" s="191"/>
      <c r="FU227" s="225"/>
      <c r="FV227" s="151"/>
    </row>
    <row r="228" spans="1:178" ht="16" thickBot="1" x14ac:dyDescent="0.25">
      <c r="A228" s="27" t="s">
        <v>43</v>
      </c>
      <c r="B228" t="s">
        <v>141</v>
      </c>
      <c r="C228" s="1"/>
      <c r="D228">
        <v>104</v>
      </c>
      <c r="E228" s="17">
        <v>95</v>
      </c>
      <c r="F228" s="241">
        <v>115</v>
      </c>
      <c r="G228" s="87">
        <v>128</v>
      </c>
      <c r="H228" s="87">
        <v>120</v>
      </c>
      <c r="I228" s="87">
        <v>102</v>
      </c>
      <c r="J228" s="17"/>
      <c r="K228" s="17"/>
      <c r="L228" s="17"/>
      <c r="M228" s="17"/>
      <c r="N228" s="17"/>
      <c r="O228" s="17"/>
      <c r="P228" s="1"/>
      <c r="Q228" s="48">
        <v>9842.77</v>
      </c>
      <c r="R228" s="49">
        <v>8499.16</v>
      </c>
      <c r="S228" s="49">
        <v>34615.78</v>
      </c>
      <c r="T228" s="50">
        <f t="shared" si="84"/>
        <v>52957.71</v>
      </c>
      <c r="U228" s="48">
        <v>7790.72</v>
      </c>
      <c r="V228" s="49">
        <v>7387.32</v>
      </c>
      <c r="W228" s="49">
        <v>40001.4</v>
      </c>
      <c r="X228" s="50">
        <f t="shared" si="85"/>
        <v>55179.44</v>
      </c>
      <c r="Y228" s="48">
        <v>9988.64</v>
      </c>
      <c r="Z228" s="49">
        <v>12881.98</v>
      </c>
      <c r="AA228" s="49">
        <v>45642.840000000004</v>
      </c>
      <c r="AB228" s="50">
        <f t="shared" si="86"/>
        <v>68513.460000000006</v>
      </c>
      <c r="AC228" s="164">
        <v>7991.84</v>
      </c>
      <c r="AD228" s="165">
        <v>8570.4</v>
      </c>
      <c r="AE228" s="165">
        <v>53525.120000000003</v>
      </c>
      <c r="AF228" s="151">
        <f t="shared" si="87"/>
        <v>70087.360000000001</v>
      </c>
      <c r="AG228" s="191">
        <v>8161.66</v>
      </c>
      <c r="AH228" s="10">
        <v>6152.76</v>
      </c>
      <c r="AI228" s="10">
        <v>55172.15</v>
      </c>
      <c r="AJ228" s="151">
        <f t="shared" si="88"/>
        <v>69486.570000000007</v>
      </c>
      <c r="AK228" s="99">
        <v>4464.21</v>
      </c>
      <c r="AL228" s="99">
        <v>5128.8500000000004</v>
      </c>
      <c r="AM228" s="99">
        <v>34436.81</v>
      </c>
      <c r="AN228" s="151">
        <f t="shared" si="89"/>
        <v>44029.869999999995</v>
      </c>
      <c r="AO228" s="191"/>
      <c r="AP228" s="10"/>
      <c r="AQ228" s="10"/>
      <c r="AR228" s="151"/>
      <c r="AS228" s="191"/>
      <c r="AT228" s="192"/>
      <c r="AU228" s="192"/>
      <c r="AV228" s="151"/>
      <c r="AW228" s="192"/>
      <c r="AX228" s="192"/>
      <c r="AY228" s="192"/>
      <c r="AZ228" s="151"/>
      <c r="BA228" s="10"/>
      <c r="BB228" s="10"/>
      <c r="BC228" s="10"/>
      <c r="BD228" s="151"/>
      <c r="BE228" s="191"/>
      <c r="BF228" s="10"/>
      <c r="BG228" s="10"/>
      <c r="BH228" s="151"/>
      <c r="BI228" s="191"/>
      <c r="BJ228" s="10"/>
      <c r="BK228" s="10"/>
      <c r="BL228" s="151"/>
      <c r="BM228" s="1"/>
      <c r="BN228" s="48">
        <v>2571.9699999999998</v>
      </c>
      <c r="BO228" s="49">
        <v>2911.1</v>
      </c>
      <c r="BP228" s="49">
        <v>23928.83</v>
      </c>
      <c r="BQ228" s="50">
        <f t="shared" si="90"/>
        <v>29411.9</v>
      </c>
      <c r="BR228" s="48">
        <v>2490.5300000000002</v>
      </c>
      <c r="BS228" s="49">
        <v>2899.06</v>
      </c>
      <c r="BT228" s="49">
        <v>24214.789999999997</v>
      </c>
      <c r="BU228" s="50">
        <f t="shared" si="91"/>
        <v>29604.379999999997</v>
      </c>
      <c r="BV228" s="48">
        <v>2959.4</v>
      </c>
      <c r="BW228" s="49">
        <v>4697.2</v>
      </c>
      <c r="BX228" s="49">
        <v>25749.13</v>
      </c>
      <c r="BY228" s="50">
        <f t="shared" si="92"/>
        <v>33405.730000000003</v>
      </c>
      <c r="BZ228" s="182">
        <v>3659.47</v>
      </c>
      <c r="CA228" s="99">
        <v>7625.4</v>
      </c>
      <c r="CB228" s="99">
        <v>44018.34</v>
      </c>
      <c r="CC228" s="98">
        <f t="shared" si="93"/>
        <v>55303.209999999992</v>
      </c>
      <c r="CD228" s="182">
        <v>2214.71</v>
      </c>
      <c r="CE228" s="99">
        <v>14474.98</v>
      </c>
      <c r="CF228" s="99">
        <v>44305.22</v>
      </c>
      <c r="CG228" s="98">
        <f t="shared" si="94"/>
        <v>60994.91</v>
      </c>
      <c r="CH228" s="191">
        <v>1625.8</v>
      </c>
      <c r="CI228" s="192">
        <v>9311.0400000000009</v>
      </c>
      <c r="CJ228" s="192">
        <v>23183.73</v>
      </c>
      <c r="CK228" s="98">
        <f t="shared" si="95"/>
        <v>34120.57</v>
      </c>
      <c r="CL228" s="111"/>
      <c r="CM228" s="111"/>
      <c r="CN228" s="111"/>
      <c r="CO228" s="112"/>
      <c r="CP228" s="191"/>
      <c r="CQ228" s="192"/>
      <c r="CR228" s="192"/>
      <c r="CS228" s="151"/>
      <c r="CT228" s="111"/>
      <c r="CU228" s="111"/>
      <c r="CV228" s="111"/>
      <c r="CW228" s="112"/>
      <c r="CX228" s="192"/>
      <c r="CY228" s="192"/>
      <c r="CZ228" s="192"/>
      <c r="DA228" s="151"/>
      <c r="DB228" s="10"/>
      <c r="DC228" s="10"/>
      <c r="DD228" s="10"/>
      <c r="DE228" s="151"/>
      <c r="DF228" s="192"/>
      <c r="DG228" s="192"/>
      <c r="DH228" s="192"/>
      <c r="DI228" s="151"/>
      <c r="DJ228" s="1"/>
      <c r="DK228" s="225">
        <v>156.30000000000001</v>
      </c>
      <c r="DL228" s="225">
        <v>3030.37</v>
      </c>
      <c r="DM228" s="225">
        <v>2291.7399999999998</v>
      </c>
      <c r="DN228" s="225">
        <v>4282.26</v>
      </c>
      <c r="DO228" s="225">
        <v>543.12</v>
      </c>
      <c r="DP228" s="225">
        <v>1918.32</v>
      </c>
      <c r="DQ228" s="225"/>
      <c r="DR228" s="225"/>
      <c r="DS228" s="225"/>
      <c r="DT228" s="225"/>
      <c r="DU228" s="225"/>
      <c r="DV228" s="225"/>
      <c r="DW228" s="1"/>
      <c r="EJ228" s="1"/>
      <c r="EK228" s="17">
        <v>1</v>
      </c>
      <c r="EL228" s="17">
        <v>6</v>
      </c>
      <c r="EM228" s="17">
        <v>3</v>
      </c>
      <c r="EN228" s="17">
        <v>4</v>
      </c>
      <c r="EO228" s="17">
        <v>1</v>
      </c>
      <c r="EP228" s="17">
        <v>4</v>
      </c>
      <c r="EQ228" s="17"/>
      <c r="ER228" s="17"/>
      <c r="ES228" s="17"/>
      <c r="EU228" s="17"/>
      <c r="EW228" s="1"/>
      <c r="EX228" s="225">
        <v>156.30000000000001</v>
      </c>
      <c r="EY228" s="225">
        <v>3030.37</v>
      </c>
      <c r="EZ228" s="225">
        <v>2291.7399999999998</v>
      </c>
      <c r="FA228" s="225">
        <v>4282.26</v>
      </c>
      <c r="FB228" s="225">
        <v>543.12</v>
      </c>
      <c r="FC228" s="225">
        <v>1918.32</v>
      </c>
      <c r="FD228" s="225"/>
      <c r="FE228" s="225"/>
      <c r="FF228" s="225"/>
      <c r="FG228" s="10"/>
      <c r="FH228" s="225"/>
      <c r="FI228" s="10"/>
      <c r="FJ228" s="1"/>
      <c r="FK228" s="225">
        <v>-792.68</v>
      </c>
      <c r="FL228" s="225">
        <v>-300</v>
      </c>
      <c r="FM228" s="225">
        <v>-301.7</v>
      </c>
      <c r="FN228" s="225">
        <v>-300</v>
      </c>
      <c r="FO228" s="225">
        <v>-265.68</v>
      </c>
      <c r="FP228" s="225"/>
      <c r="FQ228" s="225"/>
      <c r="FR228" s="225"/>
      <c r="FS228" s="225"/>
      <c r="FT228" s="191"/>
      <c r="FU228" s="225"/>
      <c r="FV228" s="151"/>
    </row>
    <row r="229" spans="1:178" ht="16" thickBot="1" x14ac:dyDescent="0.25">
      <c r="A229" s="27" t="s">
        <v>44</v>
      </c>
      <c r="B229" t="s">
        <v>141</v>
      </c>
      <c r="C229" s="1"/>
      <c r="D229">
        <v>3</v>
      </c>
      <c r="E229" s="17">
        <v>9</v>
      </c>
      <c r="F229" s="241">
        <v>6</v>
      </c>
      <c r="G229" s="87">
        <v>9</v>
      </c>
      <c r="H229" s="87">
        <v>5</v>
      </c>
      <c r="I229" s="87">
        <v>4</v>
      </c>
      <c r="J229" s="17"/>
      <c r="K229" s="17"/>
      <c r="L229" s="17"/>
      <c r="M229" s="17"/>
      <c r="N229" s="17"/>
      <c r="O229" s="17"/>
      <c r="P229" s="1"/>
      <c r="Q229" s="48">
        <v>213.23</v>
      </c>
      <c r="R229" s="49">
        <v>605.86</v>
      </c>
      <c r="S229" s="49">
        <v>0</v>
      </c>
      <c r="T229" s="50">
        <f t="shared" si="84"/>
        <v>819.09</v>
      </c>
      <c r="U229" s="48">
        <v>1326.23</v>
      </c>
      <c r="V229" s="49">
        <v>0</v>
      </c>
      <c r="W229" s="49">
        <v>0</v>
      </c>
      <c r="X229" s="50">
        <f t="shared" si="85"/>
        <v>1326.23</v>
      </c>
      <c r="Y229" s="48">
        <v>830.99</v>
      </c>
      <c r="Z229" s="49">
        <v>340.26</v>
      </c>
      <c r="AA229" s="49">
        <v>0</v>
      </c>
      <c r="AB229" s="50">
        <f t="shared" si="86"/>
        <v>1171.25</v>
      </c>
      <c r="AC229" s="164">
        <v>849.17</v>
      </c>
      <c r="AD229" s="166">
        <v>578.58000000000004</v>
      </c>
      <c r="AE229" s="165">
        <v>760.3</v>
      </c>
      <c r="AF229" s="151">
        <f t="shared" si="87"/>
        <v>2188.0500000000002</v>
      </c>
      <c r="AG229" s="191">
        <v>422.67</v>
      </c>
      <c r="AH229" s="10">
        <v>299.76</v>
      </c>
      <c r="AI229" s="10">
        <v>385.56</v>
      </c>
      <c r="AJ229" s="151">
        <f t="shared" si="88"/>
        <v>1107.99</v>
      </c>
      <c r="AK229" s="100">
        <v>208.38</v>
      </c>
      <c r="AL229" s="99">
        <v>453.75</v>
      </c>
      <c r="AM229" s="100">
        <v>921.3</v>
      </c>
      <c r="AN229" s="151">
        <f t="shared" si="89"/>
        <v>1583.4299999999998</v>
      </c>
      <c r="AO229" s="191"/>
      <c r="AP229" s="10"/>
      <c r="AQ229" s="10"/>
      <c r="AR229" s="151"/>
      <c r="AS229" s="191"/>
      <c r="AT229" s="192"/>
      <c r="AU229" s="192"/>
      <c r="AV229" s="151"/>
      <c r="AW229" s="192"/>
      <c r="AX229" s="192"/>
      <c r="AY229" s="192"/>
      <c r="AZ229" s="151"/>
      <c r="BA229" s="10"/>
      <c r="BB229" s="10"/>
      <c r="BC229" s="10"/>
      <c r="BD229" s="151"/>
      <c r="BE229" s="191"/>
      <c r="BF229" s="10"/>
      <c r="BG229" s="10"/>
      <c r="BH229" s="151"/>
      <c r="BI229" s="191"/>
      <c r="BJ229" s="10"/>
      <c r="BK229" s="10"/>
      <c r="BL229" s="151"/>
      <c r="BM229" s="1"/>
      <c r="BN229" s="48"/>
      <c r="BO229" s="49"/>
      <c r="BP229" s="49">
        <v>0</v>
      </c>
      <c r="BQ229" s="50">
        <f t="shared" si="90"/>
        <v>0</v>
      </c>
      <c r="BR229" s="48"/>
      <c r="BS229" s="49"/>
      <c r="BT229" s="49">
        <v>0</v>
      </c>
      <c r="BU229" s="50">
        <f t="shared" si="91"/>
        <v>0</v>
      </c>
      <c r="BV229" s="48">
        <v>613.95000000000005</v>
      </c>
      <c r="BW229" s="49"/>
      <c r="BX229" s="49">
        <v>0</v>
      </c>
      <c r="BY229" s="50">
        <f t="shared" si="92"/>
        <v>613.95000000000005</v>
      </c>
      <c r="BZ229" s="183">
        <v>263.47000000000003</v>
      </c>
      <c r="CA229" s="266">
        <v>1588.56</v>
      </c>
      <c r="CB229" s="266">
        <v>760.3</v>
      </c>
      <c r="CC229" s="98">
        <f t="shared" si="93"/>
        <v>2612.33</v>
      </c>
      <c r="CD229" s="182">
        <v>226.47</v>
      </c>
      <c r="CE229" s="266"/>
      <c r="CF229" s="266">
        <v>385.56</v>
      </c>
      <c r="CG229" s="98">
        <f t="shared" si="94"/>
        <v>612.03</v>
      </c>
      <c r="CH229" s="191"/>
      <c r="CI229" s="192">
        <v>453.75</v>
      </c>
      <c r="CJ229" s="192">
        <v>0</v>
      </c>
      <c r="CK229" s="98">
        <f t="shared" si="95"/>
        <v>453.75</v>
      </c>
      <c r="CL229" s="111"/>
      <c r="CM229" s="111"/>
      <c r="CN229" s="111"/>
      <c r="CO229" s="112"/>
      <c r="CP229" s="191"/>
      <c r="CQ229" s="192"/>
      <c r="CR229" s="192"/>
      <c r="CS229" s="151"/>
      <c r="CT229" s="111"/>
      <c r="CU229" s="111"/>
      <c r="CV229" s="111"/>
      <c r="CW229" s="112"/>
      <c r="CX229" s="192"/>
      <c r="CY229" s="192"/>
      <c r="CZ229" s="192"/>
      <c r="DA229" s="151"/>
      <c r="DB229" s="10"/>
      <c r="DC229" s="10"/>
      <c r="DD229" s="10"/>
      <c r="DE229" s="151"/>
      <c r="DF229" s="192"/>
      <c r="DG229" s="192"/>
      <c r="DH229" s="192"/>
      <c r="DI229" s="151"/>
      <c r="DJ229" s="1"/>
      <c r="DK229" s="225"/>
      <c r="DL229" s="225"/>
      <c r="DM229" s="225"/>
      <c r="DN229" s="225"/>
      <c r="DO229" s="225"/>
      <c r="DP229" s="225"/>
      <c r="DQ229" s="225"/>
      <c r="DR229" s="225"/>
      <c r="DS229" s="225"/>
      <c r="DT229" s="225"/>
      <c r="DU229" s="225"/>
      <c r="DV229" s="225"/>
      <c r="DW229" s="1"/>
      <c r="EJ229" s="1"/>
      <c r="EK229" s="17"/>
      <c r="EL229" s="17"/>
      <c r="EM229" s="17"/>
      <c r="EN229" s="17"/>
      <c r="EO229" s="17"/>
      <c r="EP229" s="17"/>
      <c r="EQ229" s="17"/>
      <c r="ER229" s="17"/>
      <c r="ES229" s="17"/>
      <c r="EU229" s="17"/>
      <c r="EW229" s="1"/>
      <c r="EX229" s="225"/>
      <c r="EY229" s="225"/>
      <c r="EZ229" s="225"/>
      <c r="FA229" s="225"/>
      <c r="FB229" s="225"/>
      <c r="FC229" s="225"/>
      <c r="FD229" s="225"/>
      <c r="FE229" s="225"/>
      <c r="FF229" s="225"/>
      <c r="FG229" s="10"/>
      <c r="FH229" s="225"/>
      <c r="FI229" s="10"/>
      <c r="FJ229" s="1"/>
      <c r="FK229" s="225"/>
      <c r="FL229" s="225"/>
      <c r="FM229" s="225"/>
      <c r="FN229" s="225"/>
      <c r="FO229" s="225"/>
      <c r="FP229" s="225"/>
      <c r="FQ229" s="225"/>
      <c r="FR229" s="225"/>
      <c r="FS229" s="225"/>
      <c r="FT229" s="191"/>
      <c r="FU229" s="225"/>
      <c r="FV229" s="151"/>
    </row>
    <row r="230" spans="1:178" ht="16" thickBot="1" x14ac:dyDescent="0.25">
      <c r="A230" s="27" t="s">
        <v>45</v>
      </c>
      <c r="B230" t="s">
        <v>141</v>
      </c>
      <c r="C230" s="1"/>
      <c r="D230">
        <v>825</v>
      </c>
      <c r="E230" s="17">
        <v>759</v>
      </c>
      <c r="F230" s="241">
        <v>881</v>
      </c>
      <c r="G230" s="87">
        <v>854</v>
      </c>
      <c r="H230" s="87">
        <v>965</v>
      </c>
      <c r="I230" s="87">
        <v>906</v>
      </c>
      <c r="J230" s="17"/>
      <c r="K230" s="17"/>
      <c r="L230" s="17"/>
      <c r="M230" s="17"/>
      <c r="N230" s="17"/>
      <c r="O230" s="17"/>
      <c r="P230" s="1"/>
      <c r="Q230" s="48">
        <v>103664.07</v>
      </c>
      <c r="R230" s="49">
        <v>55354.16</v>
      </c>
      <c r="S230" s="49">
        <v>39727.58</v>
      </c>
      <c r="T230" s="50">
        <f t="shared" si="84"/>
        <v>198745.81</v>
      </c>
      <c r="U230" s="48">
        <v>101107.31</v>
      </c>
      <c r="V230" s="49">
        <v>55507.57</v>
      </c>
      <c r="W230" s="49">
        <v>47769.31</v>
      </c>
      <c r="X230" s="50">
        <f t="shared" si="85"/>
        <v>204384.19</v>
      </c>
      <c r="Y230" s="48">
        <v>142329.67000000001</v>
      </c>
      <c r="Z230" s="49">
        <v>67540.25</v>
      </c>
      <c r="AA230" s="49">
        <v>49833.95</v>
      </c>
      <c r="AB230" s="50">
        <f t="shared" si="86"/>
        <v>259703.87</v>
      </c>
      <c r="AC230" s="164">
        <v>92045.6</v>
      </c>
      <c r="AD230" s="165">
        <v>68469.62</v>
      </c>
      <c r="AE230" s="165">
        <v>45574.82</v>
      </c>
      <c r="AF230" s="151">
        <f t="shared" si="87"/>
        <v>206090.04</v>
      </c>
      <c r="AG230" s="191">
        <v>78639.58</v>
      </c>
      <c r="AH230" s="10">
        <v>70727.240000000005</v>
      </c>
      <c r="AI230" s="10">
        <v>55289.25</v>
      </c>
      <c r="AJ230" s="151">
        <f t="shared" si="88"/>
        <v>204656.07</v>
      </c>
      <c r="AK230" s="99">
        <v>54829.23</v>
      </c>
      <c r="AL230" s="99">
        <v>59089.62</v>
      </c>
      <c r="AM230" s="99">
        <v>49356.78</v>
      </c>
      <c r="AN230" s="151">
        <f t="shared" si="89"/>
        <v>163275.63</v>
      </c>
      <c r="AO230" s="191"/>
      <c r="AP230" s="10"/>
      <c r="AQ230" s="10"/>
      <c r="AR230" s="151"/>
      <c r="AS230" s="191"/>
      <c r="AT230" s="192"/>
      <c r="AU230" s="192"/>
      <c r="AV230" s="151"/>
      <c r="AW230" s="192"/>
      <c r="AX230" s="192"/>
      <c r="AY230" s="192"/>
      <c r="AZ230" s="151"/>
      <c r="BA230" s="10"/>
      <c r="BB230" s="10"/>
      <c r="BC230" s="10"/>
      <c r="BD230" s="151"/>
      <c r="BE230" s="191"/>
      <c r="BF230" s="10"/>
      <c r="BG230" s="10"/>
      <c r="BH230" s="151"/>
      <c r="BI230" s="191"/>
      <c r="BJ230" s="10"/>
      <c r="BK230" s="10"/>
      <c r="BL230" s="151"/>
      <c r="BM230" s="1"/>
      <c r="BN230" s="48">
        <v>7721.36</v>
      </c>
      <c r="BO230" s="49">
        <v>12550.19</v>
      </c>
      <c r="BP230" s="49">
        <v>11022.6</v>
      </c>
      <c r="BQ230" s="50">
        <f t="shared" si="90"/>
        <v>31294.15</v>
      </c>
      <c r="BR230" s="48">
        <v>8759.33</v>
      </c>
      <c r="BS230" s="49">
        <v>14019.03</v>
      </c>
      <c r="BT230" s="49">
        <v>9593.24</v>
      </c>
      <c r="BU230" s="50">
        <f t="shared" si="91"/>
        <v>32371.599999999999</v>
      </c>
      <c r="BV230" s="48">
        <v>14211.41</v>
      </c>
      <c r="BW230" s="49">
        <v>9018.7900000000009</v>
      </c>
      <c r="BX230" s="49">
        <v>19768.07</v>
      </c>
      <c r="BY230" s="50">
        <f t="shared" si="92"/>
        <v>42998.270000000004</v>
      </c>
      <c r="BZ230" s="182">
        <v>15201.87</v>
      </c>
      <c r="CA230" s="99">
        <v>73644.17</v>
      </c>
      <c r="CB230" s="99">
        <v>23014.22</v>
      </c>
      <c r="CC230" s="98">
        <f t="shared" si="93"/>
        <v>111860.26</v>
      </c>
      <c r="CD230" s="182">
        <v>15906.75</v>
      </c>
      <c r="CE230" s="99">
        <v>59112.77</v>
      </c>
      <c r="CF230" s="99">
        <v>25725.010000000002</v>
      </c>
      <c r="CG230" s="98">
        <f t="shared" si="94"/>
        <v>100744.53</v>
      </c>
      <c r="CH230" s="191">
        <v>10903.79</v>
      </c>
      <c r="CI230" s="192">
        <v>68807.149999999994</v>
      </c>
      <c r="CJ230" s="192">
        <v>23177.82</v>
      </c>
      <c r="CK230" s="98">
        <f t="shared" si="95"/>
        <v>102888.76000000001</v>
      </c>
      <c r="CL230" s="111"/>
      <c r="CM230" s="111"/>
      <c r="CN230" s="111"/>
      <c r="CO230" s="112"/>
      <c r="CP230" s="191"/>
      <c r="CQ230" s="192"/>
      <c r="CR230" s="192"/>
      <c r="CS230" s="151"/>
      <c r="CT230" s="111"/>
      <c r="CU230" s="111"/>
      <c r="CV230" s="111"/>
      <c r="CW230" s="112"/>
      <c r="CX230" s="192"/>
      <c r="CY230" s="192"/>
      <c r="CZ230" s="192"/>
      <c r="DA230" s="151"/>
      <c r="DB230" s="10"/>
      <c r="DC230" s="10"/>
      <c r="DD230" s="10"/>
      <c r="DE230" s="151"/>
      <c r="DF230" s="192"/>
      <c r="DG230" s="192"/>
      <c r="DH230" s="192"/>
      <c r="DI230" s="151"/>
      <c r="DJ230" s="1"/>
      <c r="DK230" s="225">
        <v>7555.78</v>
      </c>
      <c r="DL230" s="225">
        <v>3574.27</v>
      </c>
      <c r="DM230" s="225">
        <v>5742.33</v>
      </c>
      <c r="DN230" s="225">
        <v>9645.81</v>
      </c>
      <c r="DO230" s="225">
        <v>8456.4699999999993</v>
      </c>
      <c r="DP230" s="225">
        <v>23416.81</v>
      </c>
      <c r="DQ230" s="225"/>
      <c r="DR230" s="225"/>
      <c r="DS230" s="225"/>
      <c r="DT230" s="225"/>
      <c r="DU230" s="225"/>
      <c r="DV230" s="225"/>
      <c r="DW230" s="1"/>
      <c r="EJ230" s="1"/>
      <c r="EK230" s="17">
        <v>19</v>
      </c>
      <c r="EL230" s="17">
        <v>11</v>
      </c>
      <c r="EM230" s="17">
        <v>16</v>
      </c>
      <c r="EN230" s="17">
        <v>23</v>
      </c>
      <c r="EO230" s="17">
        <v>13</v>
      </c>
      <c r="EP230" s="17">
        <v>46</v>
      </c>
      <c r="EQ230" s="17"/>
      <c r="ER230" s="17"/>
      <c r="ES230" s="17"/>
      <c r="EU230" s="17"/>
      <c r="EW230" s="1"/>
      <c r="EX230" s="225">
        <v>7555.78</v>
      </c>
      <c r="EY230" s="225">
        <v>3574.27</v>
      </c>
      <c r="EZ230" s="225">
        <v>5742.33</v>
      </c>
      <c r="FA230" s="225">
        <v>9645.81</v>
      </c>
      <c r="FB230" s="225">
        <v>8456.4699999999993</v>
      </c>
      <c r="FC230" s="225">
        <v>23416.81</v>
      </c>
      <c r="FD230" s="225"/>
      <c r="FE230" s="225"/>
      <c r="FF230" s="225"/>
      <c r="FG230" s="10"/>
      <c r="FH230" s="225"/>
      <c r="FI230" s="10"/>
      <c r="FJ230" s="1"/>
      <c r="FK230" s="225">
        <v>-1065.22</v>
      </c>
      <c r="FL230" s="225">
        <v>-912.93</v>
      </c>
      <c r="FM230" s="225">
        <v>-1028.4100000000001</v>
      </c>
      <c r="FN230" s="225">
        <v>-1222.52</v>
      </c>
      <c r="FO230" s="225">
        <v>-1243.5899999999999</v>
      </c>
      <c r="FP230" s="225">
        <v>-1295.92</v>
      </c>
      <c r="FQ230" s="225"/>
      <c r="FR230" s="225"/>
      <c r="FS230" s="225"/>
      <c r="FT230" s="191"/>
      <c r="FU230" s="225"/>
      <c r="FV230" s="151"/>
    </row>
    <row r="231" spans="1:178" ht="16" thickBot="1" x14ac:dyDescent="0.25">
      <c r="A231" s="27" t="s">
        <v>46</v>
      </c>
      <c r="B231" t="s">
        <v>141</v>
      </c>
      <c r="C231" s="1"/>
      <c r="D231">
        <v>7</v>
      </c>
      <c r="E231" s="17">
        <v>8</v>
      </c>
      <c r="F231" s="241">
        <v>11</v>
      </c>
      <c r="G231" s="87">
        <v>8</v>
      </c>
      <c r="H231" s="87">
        <v>5</v>
      </c>
      <c r="I231" s="87">
        <v>6</v>
      </c>
      <c r="J231" s="17"/>
      <c r="K231" s="17"/>
      <c r="L231" s="17"/>
      <c r="M231" s="17"/>
      <c r="N231" s="17"/>
      <c r="O231" s="17"/>
      <c r="P231" s="1"/>
      <c r="Q231" s="48">
        <v>373.5</v>
      </c>
      <c r="R231" s="49">
        <v>1263.53</v>
      </c>
      <c r="S231" s="49">
        <v>567.15</v>
      </c>
      <c r="T231" s="50">
        <f t="shared" si="84"/>
        <v>2204.1799999999998</v>
      </c>
      <c r="U231" s="48">
        <v>699.88</v>
      </c>
      <c r="V231" s="49">
        <v>379.62</v>
      </c>
      <c r="W231" s="49">
        <v>1569.59</v>
      </c>
      <c r="X231" s="50">
        <f t="shared" si="85"/>
        <v>2649.09</v>
      </c>
      <c r="Y231" s="48">
        <v>891.25</v>
      </c>
      <c r="Z231" s="49">
        <v>813.41</v>
      </c>
      <c r="AA231" s="49">
        <v>2381.17</v>
      </c>
      <c r="AB231" s="50">
        <f t="shared" si="86"/>
        <v>4085.83</v>
      </c>
      <c r="AC231" s="164">
        <v>508.95</v>
      </c>
      <c r="AD231" s="165">
        <v>759.23</v>
      </c>
      <c r="AE231" s="165">
        <v>2198.0500000000002</v>
      </c>
      <c r="AF231" s="151">
        <f t="shared" si="87"/>
        <v>3466.2300000000005</v>
      </c>
      <c r="AG231" s="191">
        <v>149.34</v>
      </c>
      <c r="AH231" s="10">
        <v>189.32</v>
      </c>
      <c r="AI231" s="10">
        <v>780.81000000000006</v>
      </c>
      <c r="AJ231" s="151">
        <f t="shared" si="88"/>
        <v>1119.47</v>
      </c>
      <c r="AK231" s="100">
        <v>404.13</v>
      </c>
      <c r="AL231" s="100">
        <v>0</v>
      </c>
      <c r="AM231" s="99">
        <v>787.88</v>
      </c>
      <c r="AN231" s="151">
        <f t="shared" si="89"/>
        <v>1192.01</v>
      </c>
      <c r="AO231" s="191"/>
      <c r="AP231" s="10"/>
      <c r="AQ231" s="10"/>
      <c r="AR231" s="151"/>
      <c r="AS231" s="191"/>
      <c r="AT231" s="192"/>
      <c r="AU231" s="192"/>
      <c r="AV231" s="151"/>
      <c r="AW231" s="192"/>
      <c r="AX231" s="192"/>
      <c r="AY231" s="192"/>
      <c r="AZ231" s="151"/>
      <c r="BA231" s="10"/>
      <c r="BB231" s="10"/>
      <c r="BC231" s="10"/>
      <c r="BD231" s="151"/>
      <c r="BE231" s="191"/>
      <c r="BF231" s="10"/>
      <c r="BG231" s="10"/>
      <c r="BH231" s="151"/>
      <c r="BI231" s="191"/>
      <c r="BJ231" s="10"/>
      <c r="BK231" s="10"/>
      <c r="BL231" s="151"/>
      <c r="BM231" s="1"/>
      <c r="BN231" s="48">
        <v>104.57</v>
      </c>
      <c r="BO231" s="49">
        <v>835.05</v>
      </c>
      <c r="BP231" s="49">
        <v>567.15</v>
      </c>
      <c r="BQ231" s="50">
        <f t="shared" si="90"/>
        <v>1506.77</v>
      </c>
      <c r="BR231" s="48">
        <v>512.52</v>
      </c>
      <c r="BS231" s="49"/>
      <c r="BT231" s="49">
        <v>888.8</v>
      </c>
      <c r="BU231" s="50">
        <f t="shared" si="91"/>
        <v>1401.32</v>
      </c>
      <c r="BV231" s="48">
        <v>661.34</v>
      </c>
      <c r="BW231" s="49">
        <v>737.42</v>
      </c>
      <c r="BX231" s="49">
        <v>1275.9100000000001</v>
      </c>
      <c r="BY231" s="50">
        <f t="shared" si="92"/>
        <v>2674.67</v>
      </c>
      <c r="BZ231" s="182">
        <v>160.99</v>
      </c>
      <c r="CA231" s="266">
        <v>664.59</v>
      </c>
      <c r="CB231" s="99">
        <v>1633.07</v>
      </c>
      <c r="CC231" s="98">
        <f t="shared" si="93"/>
        <v>2458.65</v>
      </c>
      <c r="CD231" s="182"/>
      <c r="CE231" s="99">
        <v>364.44</v>
      </c>
      <c r="CF231" s="99">
        <v>60.74</v>
      </c>
      <c r="CG231" s="98">
        <f t="shared" si="94"/>
        <v>425.18</v>
      </c>
      <c r="CH231" s="191">
        <v>18.61</v>
      </c>
      <c r="CI231" s="192">
        <v>334.2</v>
      </c>
      <c r="CJ231" s="192">
        <v>83.55</v>
      </c>
      <c r="CK231" s="98">
        <f t="shared" si="95"/>
        <v>436.36</v>
      </c>
      <c r="CL231" s="111"/>
      <c r="CM231" s="111"/>
      <c r="CN231" s="111"/>
      <c r="CO231" s="112"/>
      <c r="CP231" s="191"/>
      <c r="CQ231" s="192"/>
      <c r="CR231" s="192"/>
      <c r="CS231" s="151"/>
      <c r="CT231" s="111"/>
      <c r="CU231" s="111"/>
      <c r="CV231" s="111"/>
      <c r="CW231" s="112"/>
      <c r="CX231" s="192"/>
      <c r="CY231" s="192"/>
      <c r="CZ231" s="192"/>
      <c r="DA231" s="151"/>
      <c r="DB231" s="10"/>
      <c r="DC231" s="10"/>
      <c r="DD231" s="10"/>
      <c r="DE231" s="151"/>
      <c r="DF231" s="192"/>
      <c r="DG231" s="192"/>
      <c r="DH231" s="192"/>
      <c r="DI231" s="151"/>
      <c r="DJ231" s="1"/>
      <c r="DK231" s="225"/>
      <c r="DL231" s="225"/>
      <c r="DM231" s="225"/>
      <c r="DN231" s="225">
        <v>543.87</v>
      </c>
      <c r="DO231" s="225"/>
      <c r="DP231" s="225"/>
      <c r="DQ231" s="225"/>
      <c r="DR231" s="225"/>
      <c r="DS231" s="225"/>
      <c r="DT231" s="225"/>
      <c r="DU231" s="225"/>
      <c r="DV231" s="225"/>
      <c r="DW231" s="1"/>
      <c r="EJ231" s="1"/>
      <c r="EK231" s="17"/>
      <c r="EL231" s="17"/>
      <c r="EM231" s="17"/>
      <c r="EN231" s="17">
        <v>1</v>
      </c>
      <c r="EO231" s="17"/>
      <c r="EP231" s="17"/>
      <c r="EQ231" s="17"/>
      <c r="ER231" s="17"/>
      <c r="ES231" s="17"/>
      <c r="EU231" s="17"/>
      <c r="EW231" s="1"/>
      <c r="EX231" s="225"/>
      <c r="EY231" s="225"/>
      <c r="EZ231" s="225"/>
      <c r="FA231" s="225">
        <v>543.87</v>
      </c>
      <c r="FB231" s="225"/>
      <c r="FC231" s="225"/>
      <c r="FD231" s="225"/>
      <c r="FE231" s="225"/>
      <c r="FF231" s="225"/>
      <c r="FG231" s="10"/>
      <c r="FH231" s="225"/>
      <c r="FI231" s="10"/>
      <c r="FJ231" s="1"/>
      <c r="FK231" s="225"/>
      <c r="FL231" s="225"/>
      <c r="FM231" s="225"/>
      <c r="FN231" s="225"/>
      <c r="FO231" s="225"/>
      <c r="FP231" s="225"/>
      <c r="FQ231" s="225"/>
      <c r="FR231" s="225"/>
      <c r="FS231" s="225"/>
      <c r="FT231" s="191"/>
      <c r="FU231" s="225"/>
      <c r="FV231" s="151"/>
    </row>
    <row r="232" spans="1:178" ht="16" thickBot="1" x14ac:dyDescent="0.25">
      <c r="A232" s="27" t="s">
        <v>47</v>
      </c>
      <c r="B232" t="s">
        <v>141</v>
      </c>
      <c r="C232" s="1"/>
      <c r="D232">
        <v>424</v>
      </c>
      <c r="E232" s="17">
        <v>285</v>
      </c>
      <c r="F232" s="241">
        <v>327</v>
      </c>
      <c r="G232" s="87">
        <v>328</v>
      </c>
      <c r="H232" s="87">
        <v>496</v>
      </c>
      <c r="I232" s="87">
        <v>486</v>
      </c>
      <c r="J232" s="17"/>
      <c r="K232" s="17"/>
      <c r="L232" s="17"/>
      <c r="M232" s="17"/>
      <c r="N232" s="17"/>
      <c r="O232" s="17"/>
      <c r="P232" s="1"/>
      <c r="Q232" s="48">
        <v>51879.729999999996</v>
      </c>
      <c r="R232" s="49">
        <v>21392.83</v>
      </c>
      <c r="S232" s="49">
        <v>21767.050000000003</v>
      </c>
      <c r="T232" s="50">
        <f t="shared" si="84"/>
        <v>95039.61</v>
      </c>
      <c r="U232" s="48">
        <v>34789.17</v>
      </c>
      <c r="V232" s="49">
        <v>10858.39</v>
      </c>
      <c r="W232" s="49">
        <v>24556.559999999998</v>
      </c>
      <c r="X232" s="50">
        <f t="shared" si="85"/>
        <v>70204.12</v>
      </c>
      <c r="Y232" s="48">
        <v>42463.92</v>
      </c>
      <c r="Z232" s="49">
        <v>22175.01</v>
      </c>
      <c r="AA232" s="49">
        <v>17174.25</v>
      </c>
      <c r="AB232" s="50">
        <f t="shared" si="86"/>
        <v>81813.179999999993</v>
      </c>
      <c r="AC232" s="164">
        <v>38432.730000000003</v>
      </c>
      <c r="AD232" s="165">
        <v>17328.66</v>
      </c>
      <c r="AE232" s="165">
        <v>15801.96</v>
      </c>
      <c r="AF232" s="151">
        <f t="shared" si="87"/>
        <v>71563.350000000006</v>
      </c>
      <c r="AG232" s="191">
        <v>57006</v>
      </c>
      <c r="AH232" s="10">
        <v>20686.16</v>
      </c>
      <c r="AI232" s="10">
        <v>19340.16</v>
      </c>
      <c r="AJ232" s="151">
        <f t="shared" si="88"/>
        <v>97032.320000000007</v>
      </c>
      <c r="AK232" s="99">
        <v>30631.48</v>
      </c>
      <c r="AL232" s="99">
        <v>32964.839999999997</v>
      </c>
      <c r="AM232" s="99">
        <v>14559.11</v>
      </c>
      <c r="AN232" s="151">
        <f t="shared" si="89"/>
        <v>78155.429999999993</v>
      </c>
      <c r="AO232" s="191"/>
      <c r="AP232" s="10"/>
      <c r="AQ232" s="10"/>
      <c r="AR232" s="151"/>
      <c r="AS232" s="191"/>
      <c r="AT232" s="192"/>
      <c r="AU232" s="192"/>
      <c r="AV232" s="151"/>
      <c r="AW232" s="192"/>
      <c r="AX232" s="192"/>
      <c r="AY232" s="192"/>
      <c r="AZ232" s="151"/>
      <c r="BA232" s="10"/>
      <c r="BB232" s="10"/>
      <c r="BC232" s="10"/>
      <c r="BD232" s="151"/>
      <c r="BE232" s="191"/>
      <c r="BF232" s="10"/>
      <c r="BG232" s="10"/>
      <c r="BH232" s="151"/>
      <c r="BI232" s="191"/>
      <c r="BJ232" s="10"/>
      <c r="BK232" s="10"/>
      <c r="BL232" s="151"/>
      <c r="BM232" s="1"/>
      <c r="BN232" s="48">
        <v>2139.44</v>
      </c>
      <c r="BO232" s="49">
        <v>2508.96</v>
      </c>
      <c r="BP232" s="49">
        <v>5325.9</v>
      </c>
      <c r="BQ232" s="50">
        <f t="shared" si="90"/>
        <v>9974.2999999999993</v>
      </c>
      <c r="BR232" s="48">
        <v>1991.23</v>
      </c>
      <c r="BS232" s="49">
        <v>1298.5999999999999</v>
      </c>
      <c r="BT232" s="49">
        <v>7570.83</v>
      </c>
      <c r="BU232" s="50">
        <f t="shared" si="91"/>
        <v>10860.66</v>
      </c>
      <c r="BV232" s="48">
        <v>3604.47</v>
      </c>
      <c r="BW232" s="49">
        <v>2597.23</v>
      </c>
      <c r="BX232" s="49">
        <v>7073.84</v>
      </c>
      <c r="BY232" s="50">
        <f t="shared" si="92"/>
        <v>13275.54</v>
      </c>
      <c r="BZ232" s="182">
        <v>8119.38</v>
      </c>
      <c r="CA232" s="99">
        <v>18128.48</v>
      </c>
      <c r="CB232" s="99">
        <v>6497.98</v>
      </c>
      <c r="CC232" s="98">
        <f t="shared" si="93"/>
        <v>32745.84</v>
      </c>
      <c r="CD232" s="182">
        <v>12014.26</v>
      </c>
      <c r="CE232" s="99">
        <v>17111.150000000001</v>
      </c>
      <c r="CF232" s="99">
        <v>9116.74</v>
      </c>
      <c r="CG232" s="98">
        <f t="shared" si="94"/>
        <v>38242.15</v>
      </c>
      <c r="CH232" s="191">
        <v>5119.51</v>
      </c>
      <c r="CI232" s="192">
        <v>24191.64</v>
      </c>
      <c r="CJ232" s="192">
        <v>6065.76</v>
      </c>
      <c r="CK232" s="98">
        <f t="shared" si="95"/>
        <v>35376.910000000003</v>
      </c>
      <c r="CL232" s="111"/>
      <c r="CM232" s="111"/>
      <c r="CN232" s="111"/>
      <c r="CO232" s="112"/>
      <c r="CP232" s="191"/>
      <c r="CQ232" s="192"/>
      <c r="CR232" s="192"/>
      <c r="CS232" s="151"/>
      <c r="CT232" s="111"/>
      <c r="CU232" s="111"/>
      <c r="CV232" s="111"/>
      <c r="CW232" s="112"/>
      <c r="CX232" s="192"/>
      <c r="CY232" s="192"/>
      <c r="CZ232" s="192"/>
      <c r="DA232" s="151"/>
      <c r="DB232" s="10"/>
      <c r="DC232" s="10"/>
      <c r="DD232" s="10"/>
      <c r="DE232" s="151"/>
      <c r="DF232" s="192"/>
      <c r="DG232" s="192"/>
      <c r="DH232" s="192"/>
      <c r="DI232" s="151"/>
      <c r="DJ232" s="1"/>
      <c r="DK232" s="225">
        <v>2465.13</v>
      </c>
      <c r="DL232" s="225">
        <v>2040.75</v>
      </c>
      <c r="DM232" s="225">
        <v>4692.95</v>
      </c>
      <c r="DN232" s="225">
        <v>4381.7700000000004</v>
      </c>
      <c r="DO232" s="225">
        <v>4600.97</v>
      </c>
      <c r="DP232" s="225">
        <v>4061.55</v>
      </c>
      <c r="DQ232" s="225"/>
      <c r="DR232" s="225"/>
      <c r="DS232" s="225"/>
      <c r="DT232" s="225"/>
      <c r="DU232" s="225"/>
      <c r="DV232" s="225"/>
      <c r="DW232" s="1"/>
      <c r="EJ232" s="1"/>
      <c r="EK232" s="17">
        <v>10</v>
      </c>
      <c r="EL232" s="17">
        <v>6</v>
      </c>
      <c r="EM232" s="17">
        <v>12</v>
      </c>
      <c r="EN232" s="17">
        <v>14</v>
      </c>
      <c r="EO232" s="17">
        <v>11</v>
      </c>
      <c r="EP232" s="17">
        <v>9</v>
      </c>
      <c r="EQ232" s="17"/>
      <c r="ER232" s="17"/>
      <c r="ES232" s="17"/>
      <c r="EU232" s="17"/>
      <c r="EW232" s="1"/>
      <c r="EX232" s="225">
        <v>2454.7600000000002</v>
      </c>
      <c r="EY232" s="225">
        <v>2030.58</v>
      </c>
      <c r="EZ232" s="225">
        <v>4692.95</v>
      </c>
      <c r="FA232" s="225">
        <v>4381.7700000000004</v>
      </c>
      <c r="FB232" s="225">
        <v>4600.97</v>
      </c>
      <c r="FC232" s="225">
        <v>4061.55</v>
      </c>
      <c r="FD232" s="225"/>
      <c r="FE232" s="225"/>
      <c r="FF232" s="225"/>
      <c r="FG232" s="10"/>
      <c r="FH232" s="225"/>
      <c r="FI232" s="10"/>
      <c r="FJ232" s="1"/>
      <c r="FK232" s="225">
        <v>-270.47000000000003</v>
      </c>
      <c r="FL232" s="225">
        <v>-340</v>
      </c>
      <c r="FM232" s="225">
        <v>-1229.93</v>
      </c>
      <c r="FN232" s="225">
        <v>-135.07</v>
      </c>
      <c r="FO232" s="225">
        <v>-2052.17</v>
      </c>
      <c r="FP232" s="225">
        <v>-1094.6199999999999</v>
      </c>
      <c r="FQ232" s="225"/>
      <c r="FR232" s="225"/>
      <c r="FS232" s="225"/>
      <c r="FT232" s="191"/>
      <c r="FU232" s="225"/>
      <c r="FV232" s="151"/>
    </row>
    <row r="233" spans="1:178" ht="16" thickBot="1" x14ac:dyDescent="0.25">
      <c r="A233" s="27" t="s">
        <v>48</v>
      </c>
      <c r="B233" t="s">
        <v>141</v>
      </c>
      <c r="C233" s="1"/>
      <c r="D233">
        <v>2</v>
      </c>
      <c r="E233" s="17">
        <v>3</v>
      </c>
      <c r="F233" s="241">
        <v>5</v>
      </c>
      <c r="G233" s="87">
        <v>5</v>
      </c>
      <c r="H233" s="87">
        <v>4</v>
      </c>
      <c r="I233" s="87">
        <v>3</v>
      </c>
      <c r="J233" s="17"/>
      <c r="K233" s="17"/>
      <c r="L233" s="17"/>
      <c r="M233" s="17"/>
      <c r="N233" s="17"/>
      <c r="O233" s="17"/>
      <c r="P233" s="1"/>
      <c r="Q233" s="48">
        <v>309.39999999999998</v>
      </c>
      <c r="R233" s="49">
        <v>205.09</v>
      </c>
      <c r="S233" s="49">
        <v>0</v>
      </c>
      <c r="T233" s="50">
        <f t="shared" si="84"/>
        <v>514.49</v>
      </c>
      <c r="U233" s="48">
        <v>90.79</v>
      </c>
      <c r="V233" s="49">
        <v>228.32</v>
      </c>
      <c r="W233" s="49">
        <v>0</v>
      </c>
      <c r="X233" s="50">
        <f t="shared" si="85"/>
        <v>319.11</v>
      </c>
      <c r="Y233" s="48">
        <v>629.59</v>
      </c>
      <c r="Z233" s="49">
        <v>520.1</v>
      </c>
      <c r="AA233" s="49">
        <v>0</v>
      </c>
      <c r="AB233" s="50">
        <f t="shared" si="86"/>
        <v>1149.69</v>
      </c>
      <c r="AC233" s="164">
        <v>13.78</v>
      </c>
      <c r="AD233" s="165">
        <v>925.79</v>
      </c>
      <c r="AE233" s="165">
        <v>416.63</v>
      </c>
      <c r="AF233" s="151">
        <f t="shared" si="87"/>
        <v>1356.1999999999998</v>
      </c>
      <c r="AG233" s="191">
        <v>276.52</v>
      </c>
      <c r="AH233" s="10">
        <v>103.17</v>
      </c>
      <c r="AI233" s="10">
        <v>176.44</v>
      </c>
      <c r="AJ233" s="151">
        <f t="shared" si="88"/>
        <v>556.13</v>
      </c>
      <c r="AK233" s="100">
        <v>99.86</v>
      </c>
      <c r="AL233" s="100">
        <v>0</v>
      </c>
      <c r="AM233" s="100">
        <v>348.85</v>
      </c>
      <c r="AN233" s="151">
        <f t="shared" si="89"/>
        <v>448.71000000000004</v>
      </c>
      <c r="AO233" s="191"/>
      <c r="AP233" s="10"/>
      <c r="AQ233" s="10"/>
      <c r="AR233" s="151"/>
      <c r="AS233" s="191"/>
      <c r="AT233" s="192"/>
      <c r="AU233" s="192"/>
      <c r="AV233" s="151"/>
      <c r="AW233" s="192"/>
      <c r="AX233" s="192"/>
      <c r="AY233" s="192"/>
      <c r="AZ233" s="151"/>
      <c r="BA233" s="10"/>
      <c r="BB233" s="10"/>
      <c r="BC233" s="10"/>
      <c r="BD233" s="151"/>
      <c r="BE233" s="191"/>
      <c r="BF233" s="10"/>
      <c r="BG233" s="10"/>
      <c r="BH233" s="151"/>
      <c r="BI233" s="191"/>
      <c r="BJ233" s="10"/>
      <c r="BK233" s="10"/>
      <c r="BL233" s="151"/>
      <c r="BM233" s="1"/>
      <c r="BN233" s="48"/>
      <c r="BO233" s="49"/>
      <c r="BP233" s="49">
        <v>0</v>
      </c>
      <c r="BQ233" s="50">
        <f t="shared" si="90"/>
        <v>0</v>
      </c>
      <c r="BR233" s="48"/>
      <c r="BS233" s="49"/>
      <c r="BT233" s="49">
        <v>0</v>
      </c>
      <c r="BU233" s="50">
        <f t="shared" si="91"/>
        <v>0</v>
      </c>
      <c r="BV233" s="48"/>
      <c r="BW233" s="49"/>
      <c r="BX233" s="49">
        <v>0</v>
      </c>
      <c r="BY233" s="50">
        <f t="shared" si="92"/>
        <v>0</v>
      </c>
      <c r="BZ233" s="183">
        <v>13.78</v>
      </c>
      <c r="CA233" s="266">
        <v>473.79</v>
      </c>
      <c r="CB233" s="99">
        <v>10.56</v>
      </c>
      <c r="CC233" s="98">
        <f t="shared" si="93"/>
        <v>498.13</v>
      </c>
      <c r="CD233" s="183"/>
      <c r="CE233" s="266">
        <v>485.95</v>
      </c>
      <c r="CF233" s="99">
        <v>176.44</v>
      </c>
      <c r="CG233" s="98">
        <f t="shared" si="94"/>
        <v>662.39</v>
      </c>
      <c r="CH233" s="191"/>
      <c r="CI233" s="192">
        <v>461.16</v>
      </c>
      <c r="CJ233" s="192">
        <v>348.85</v>
      </c>
      <c r="CK233" s="98">
        <f t="shared" si="95"/>
        <v>810.01</v>
      </c>
      <c r="CL233" s="111"/>
      <c r="CM233" s="111"/>
      <c r="CN233" s="111"/>
      <c r="CO233" s="112"/>
      <c r="CP233" s="191"/>
      <c r="CQ233" s="192"/>
      <c r="CR233" s="192"/>
      <c r="CS233" s="151"/>
      <c r="CT233" s="111"/>
      <c r="CU233" s="111"/>
      <c r="CV233" s="111"/>
      <c r="CW233" s="112"/>
      <c r="CX233" s="192"/>
      <c r="CY233" s="192"/>
      <c r="CZ233" s="192"/>
      <c r="DA233" s="151"/>
      <c r="DB233" s="10"/>
      <c r="DC233" s="10"/>
      <c r="DD233" s="10"/>
      <c r="DE233" s="151"/>
      <c r="DF233" s="192"/>
      <c r="DG233" s="192"/>
      <c r="DH233" s="192"/>
      <c r="DI233" s="151"/>
      <c r="DJ233" s="1"/>
      <c r="DK233" s="225"/>
      <c r="DL233" s="225"/>
      <c r="DM233" s="225"/>
      <c r="DN233" s="225"/>
      <c r="DO233" s="225"/>
      <c r="DP233" s="225"/>
      <c r="DQ233" s="225"/>
      <c r="DR233" s="225"/>
      <c r="DS233" s="225"/>
      <c r="DT233" s="225"/>
      <c r="DU233" s="225"/>
      <c r="DV233" s="225"/>
      <c r="DW233" s="1"/>
      <c r="EJ233" s="1"/>
      <c r="EK233" s="17"/>
      <c r="EL233" s="17"/>
      <c r="EM233" s="17"/>
      <c r="EN233" s="17"/>
      <c r="EO233" s="17"/>
      <c r="EP233" s="17"/>
      <c r="EQ233" s="17"/>
      <c r="ER233" s="17"/>
      <c r="ES233" s="17"/>
      <c r="EU233" s="17"/>
      <c r="EW233" s="1"/>
      <c r="EX233" s="225"/>
      <c r="EY233" s="225"/>
      <c r="EZ233" s="225"/>
      <c r="FA233" s="225"/>
      <c r="FB233" s="225"/>
      <c r="FC233" s="225"/>
      <c r="FD233" s="225"/>
      <c r="FE233" s="225"/>
      <c r="FF233" s="225"/>
      <c r="FG233" s="10"/>
      <c r="FH233" s="225"/>
      <c r="FI233" s="10"/>
      <c r="FJ233" s="1"/>
      <c r="FK233" s="225"/>
      <c r="FL233" s="225"/>
      <c r="FM233" s="225"/>
      <c r="FN233" s="225"/>
      <c r="FO233" s="225"/>
      <c r="FP233" s="225"/>
      <c r="FQ233" s="225"/>
      <c r="FR233" s="225"/>
      <c r="FS233" s="225"/>
      <c r="FT233" s="191"/>
      <c r="FU233" s="225"/>
      <c r="FV233" s="151"/>
    </row>
    <row r="234" spans="1:178" ht="16" thickBot="1" x14ac:dyDescent="0.25">
      <c r="A234" s="27" t="s">
        <v>49</v>
      </c>
      <c r="B234" t="s">
        <v>141</v>
      </c>
      <c r="C234" s="1"/>
      <c r="D234">
        <v>207</v>
      </c>
      <c r="E234" s="17">
        <v>231</v>
      </c>
      <c r="F234" s="241">
        <v>252</v>
      </c>
      <c r="G234" s="87">
        <v>242</v>
      </c>
      <c r="H234" s="87">
        <v>286</v>
      </c>
      <c r="I234" s="87">
        <v>265</v>
      </c>
      <c r="J234" s="17"/>
      <c r="K234" s="17"/>
      <c r="L234" s="17"/>
      <c r="M234" s="17"/>
      <c r="N234" s="17"/>
      <c r="O234" s="17"/>
      <c r="P234" s="1"/>
      <c r="Q234" s="48">
        <v>23931.54</v>
      </c>
      <c r="R234" s="49">
        <v>13282.08</v>
      </c>
      <c r="S234" s="49">
        <v>13185.189999999999</v>
      </c>
      <c r="T234" s="50">
        <f t="shared" si="84"/>
        <v>50398.81</v>
      </c>
      <c r="U234" s="48">
        <v>31740.43</v>
      </c>
      <c r="V234" s="49">
        <v>10801.63</v>
      </c>
      <c r="W234" s="49">
        <v>17305.68</v>
      </c>
      <c r="X234" s="50">
        <f t="shared" si="85"/>
        <v>59847.74</v>
      </c>
      <c r="Y234" s="48">
        <v>41597.519999999997</v>
      </c>
      <c r="Z234" s="49">
        <v>17850.39</v>
      </c>
      <c r="AA234" s="49">
        <v>24269.97</v>
      </c>
      <c r="AB234" s="50">
        <f t="shared" si="86"/>
        <v>83717.88</v>
      </c>
      <c r="AC234" s="164">
        <v>34030.480000000003</v>
      </c>
      <c r="AD234" s="165">
        <v>12645.65</v>
      </c>
      <c r="AE234" s="165">
        <v>19166.239999999998</v>
      </c>
      <c r="AF234" s="151">
        <f t="shared" si="87"/>
        <v>65842.37</v>
      </c>
      <c r="AG234" s="191">
        <v>35928.86</v>
      </c>
      <c r="AH234" s="10">
        <v>24890.69</v>
      </c>
      <c r="AI234" s="10">
        <v>17750.760000000002</v>
      </c>
      <c r="AJ234" s="151">
        <f t="shared" si="88"/>
        <v>78570.31</v>
      </c>
      <c r="AK234" s="99">
        <v>19315.46</v>
      </c>
      <c r="AL234" s="99">
        <v>17969.46</v>
      </c>
      <c r="AM234" s="99">
        <v>12878.2</v>
      </c>
      <c r="AN234" s="151">
        <f t="shared" si="89"/>
        <v>50163.119999999995</v>
      </c>
      <c r="AO234" s="191"/>
      <c r="AP234" s="10"/>
      <c r="AQ234" s="10"/>
      <c r="AR234" s="151"/>
      <c r="AS234" s="191"/>
      <c r="AT234" s="192"/>
      <c r="AU234" s="192"/>
      <c r="AV234" s="151"/>
      <c r="AW234" s="192"/>
      <c r="AX234" s="192"/>
      <c r="AY234" s="192"/>
      <c r="AZ234" s="151"/>
      <c r="BA234" s="10"/>
      <c r="BB234" s="10"/>
      <c r="BC234" s="10"/>
      <c r="BD234" s="151"/>
      <c r="BE234" s="191"/>
      <c r="BF234" s="10"/>
      <c r="BG234" s="10"/>
      <c r="BH234" s="151"/>
      <c r="BI234" s="191"/>
      <c r="BJ234" s="10"/>
      <c r="BK234" s="10"/>
      <c r="BL234" s="151"/>
      <c r="BM234" s="1"/>
      <c r="BN234" s="48">
        <v>4573.59</v>
      </c>
      <c r="BO234" s="49">
        <v>4732.49</v>
      </c>
      <c r="BP234" s="49">
        <v>4537.97</v>
      </c>
      <c r="BQ234" s="50">
        <f t="shared" si="90"/>
        <v>13844.05</v>
      </c>
      <c r="BR234" s="48">
        <v>6777.96</v>
      </c>
      <c r="BS234" s="49">
        <v>3546.38</v>
      </c>
      <c r="BT234" s="49">
        <v>8266.24</v>
      </c>
      <c r="BU234" s="50">
        <f t="shared" si="91"/>
        <v>18590.580000000002</v>
      </c>
      <c r="BV234" s="48">
        <v>10163.73</v>
      </c>
      <c r="BW234" s="49">
        <v>6180.79</v>
      </c>
      <c r="BX234" s="49">
        <v>10946.32</v>
      </c>
      <c r="BY234" s="50">
        <f t="shared" si="92"/>
        <v>27290.84</v>
      </c>
      <c r="BZ234" s="182">
        <v>7367.59</v>
      </c>
      <c r="CA234" s="99">
        <v>20960.54</v>
      </c>
      <c r="CB234" s="99">
        <v>12853.349999999999</v>
      </c>
      <c r="CC234" s="98">
        <f t="shared" si="93"/>
        <v>41181.479999999996</v>
      </c>
      <c r="CD234" s="182">
        <v>7217.67</v>
      </c>
      <c r="CE234" s="99">
        <v>33344.32</v>
      </c>
      <c r="CF234" s="99">
        <v>9225.3700000000008</v>
      </c>
      <c r="CG234" s="98">
        <f t="shared" si="94"/>
        <v>49787.360000000001</v>
      </c>
      <c r="CH234" s="191">
        <v>4381.25</v>
      </c>
      <c r="CI234" s="192">
        <v>18389.189999999999</v>
      </c>
      <c r="CJ234" s="192">
        <v>6073.1399999999994</v>
      </c>
      <c r="CK234" s="98">
        <f t="shared" si="95"/>
        <v>28843.579999999998</v>
      </c>
      <c r="CL234" s="111"/>
      <c r="CM234" s="111"/>
      <c r="CN234" s="111"/>
      <c r="CO234" s="112"/>
      <c r="CP234" s="191"/>
      <c r="CQ234" s="192"/>
      <c r="CR234" s="192"/>
      <c r="CS234" s="151"/>
      <c r="CT234" s="111"/>
      <c r="CU234" s="111"/>
      <c r="CV234" s="111"/>
      <c r="CW234" s="112"/>
      <c r="CX234" s="192"/>
      <c r="CY234" s="192"/>
      <c r="CZ234" s="192"/>
      <c r="DA234" s="151"/>
      <c r="DB234" s="10"/>
      <c r="DC234" s="10"/>
      <c r="DD234" s="10"/>
      <c r="DE234" s="151"/>
      <c r="DF234" s="192"/>
      <c r="DG234" s="192"/>
      <c r="DH234" s="192"/>
      <c r="DI234" s="151"/>
      <c r="DJ234" s="1"/>
      <c r="DK234" s="225">
        <v>424.5</v>
      </c>
      <c r="DL234" s="225">
        <v>2171.84</v>
      </c>
      <c r="DM234" s="225">
        <v>4330.55</v>
      </c>
      <c r="DN234" s="225">
        <v>3669.54</v>
      </c>
      <c r="DO234" s="225">
        <v>4529.6499999999996</v>
      </c>
      <c r="DP234" s="225">
        <v>20515.54</v>
      </c>
      <c r="DQ234" s="225"/>
      <c r="DR234" s="225"/>
      <c r="DS234" s="225"/>
      <c r="DT234" s="225"/>
      <c r="DU234" s="225"/>
      <c r="DV234" s="225"/>
      <c r="DW234" s="1"/>
      <c r="EJ234" s="1"/>
      <c r="EK234" s="17">
        <v>2</v>
      </c>
      <c r="EL234" s="17">
        <v>6</v>
      </c>
      <c r="EM234" s="17">
        <v>12</v>
      </c>
      <c r="EN234" s="17">
        <v>9</v>
      </c>
      <c r="EO234" s="17">
        <v>9</v>
      </c>
      <c r="EP234" s="17">
        <v>15</v>
      </c>
      <c r="EQ234" s="17"/>
      <c r="ER234" s="17"/>
      <c r="ES234" s="17"/>
      <c r="EU234" s="17"/>
      <c r="EW234" s="1"/>
      <c r="EX234" s="225">
        <v>424.5</v>
      </c>
      <c r="EY234" s="225">
        <v>2171.84</v>
      </c>
      <c r="EZ234" s="225">
        <v>4330.55</v>
      </c>
      <c r="FA234" s="225">
        <v>3656.81</v>
      </c>
      <c r="FB234" s="225">
        <v>4529.6499999999996</v>
      </c>
      <c r="FC234" s="225">
        <v>20515.54</v>
      </c>
      <c r="FD234" s="225"/>
      <c r="FE234" s="225"/>
      <c r="FF234" s="225"/>
      <c r="FG234" s="10"/>
      <c r="FH234" s="225"/>
      <c r="FI234" s="10"/>
      <c r="FJ234" s="1"/>
      <c r="FK234" s="225">
        <v>-2345.7600000000002</v>
      </c>
      <c r="FL234" s="225">
        <v>-134.4</v>
      </c>
      <c r="FM234" s="225">
        <v>-831.02</v>
      </c>
      <c r="FN234" s="225">
        <v>-399.9</v>
      </c>
      <c r="FO234" s="225">
        <v>-180.95</v>
      </c>
      <c r="FP234" s="225">
        <v>-40.97</v>
      </c>
      <c r="FQ234" s="225"/>
      <c r="FR234" s="225"/>
      <c r="FS234" s="225"/>
      <c r="FT234" s="191"/>
      <c r="FU234" s="225"/>
      <c r="FV234" s="151"/>
    </row>
    <row r="235" spans="1:178" ht="16" thickBot="1" x14ac:dyDescent="0.25">
      <c r="A235" s="27" t="s">
        <v>50</v>
      </c>
      <c r="B235" t="s">
        <v>141</v>
      </c>
      <c r="C235" s="1"/>
      <c r="D235">
        <v>150</v>
      </c>
      <c r="E235" s="17">
        <v>152</v>
      </c>
      <c r="F235" s="241">
        <v>198</v>
      </c>
      <c r="G235" s="87">
        <v>203</v>
      </c>
      <c r="H235" s="87">
        <v>218</v>
      </c>
      <c r="I235" s="87">
        <v>185</v>
      </c>
      <c r="J235" s="17"/>
      <c r="K235" s="17"/>
      <c r="L235" s="17"/>
      <c r="M235" s="17"/>
      <c r="N235" s="17"/>
      <c r="O235" s="17"/>
      <c r="P235" s="1"/>
      <c r="Q235" s="48">
        <v>12576.41</v>
      </c>
      <c r="R235" s="49">
        <v>5985.46</v>
      </c>
      <c r="S235" s="49">
        <v>12371.03</v>
      </c>
      <c r="T235" s="50">
        <f t="shared" si="84"/>
        <v>30932.9</v>
      </c>
      <c r="U235" s="48">
        <v>13746.65</v>
      </c>
      <c r="V235" s="49">
        <v>8856.8700000000008</v>
      </c>
      <c r="W235" s="49">
        <v>11440.98</v>
      </c>
      <c r="X235" s="50">
        <f t="shared" si="85"/>
        <v>34044.5</v>
      </c>
      <c r="Y235" s="48">
        <v>23570.57</v>
      </c>
      <c r="Z235" s="49">
        <v>15970.97</v>
      </c>
      <c r="AA235" s="49">
        <v>15687.67</v>
      </c>
      <c r="AB235" s="50">
        <f t="shared" si="86"/>
        <v>55229.21</v>
      </c>
      <c r="AC235" s="164">
        <v>25540.75</v>
      </c>
      <c r="AD235" s="165">
        <v>10988.43</v>
      </c>
      <c r="AE235" s="165">
        <v>20164.740000000002</v>
      </c>
      <c r="AF235" s="151">
        <f t="shared" si="87"/>
        <v>56693.919999999998</v>
      </c>
      <c r="AG235" s="191">
        <v>17250.29</v>
      </c>
      <c r="AH235" s="10">
        <v>15903.68</v>
      </c>
      <c r="AI235" s="10">
        <v>14699.33</v>
      </c>
      <c r="AJ235" s="151">
        <f t="shared" si="88"/>
        <v>47853.3</v>
      </c>
      <c r="AK235" s="99">
        <v>18306.87</v>
      </c>
      <c r="AL235" s="99">
        <v>8917.15</v>
      </c>
      <c r="AM235" s="99">
        <v>16589.919999999998</v>
      </c>
      <c r="AN235" s="151">
        <f t="shared" si="89"/>
        <v>43813.939999999995</v>
      </c>
      <c r="AO235" s="191"/>
      <c r="AP235" s="10"/>
      <c r="AQ235" s="10"/>
      <c r="AR235" s="151"/>
      <c r="AS235" s="191"/>
      <c r="AT235" s="192"/>
      <c r="AU235" s="192"/>
      <c r="AV235" s="151"/>
      <c r="AW235" s="192"/>
      <c r="AX235" s="192"/>
      <c r="AY235" s="192"/>
      <c r="AZ235" s="151"/>
      <c r="BA235" s="10"/>
      <c r="BB235" s="10"/>
      <c r="BC235" s="10"/>
      <c r="BD235" s="151"/>
      <c r="BE235" s="191"/>
      <c r="BF235" s="10"/>
      <c r="BG235" s="10"/>
      <c r="BH235" s="151"/>
      <c r="BI235" s="191"/>
      <c r="BJ235" s="10"/>
      <c r="BK235" s="10"/>
      <c r="BL235" s="151"/>
      <c r="BM235" s="1"/>
      <c r="BN235" s="48">
        <v>2359.6</v>
      </c>
      <c r="BO235" s="49">
        <v>2485.46</v>
      </c>
      <c r="BP235" s="49">
        <v>3882.81</v>
      </c>
      <c r="BQ235" s="50">
        <f t="shared" si="90"/>
        <v>8727.869999999999</v>
      </c>
      <c r="BR235" s="48">
        <v>2009.9</v>
      </c>
      <c r="BS235" s="49">
        <v>3078.41</v>
      </c>
      <c r="BT235" s="49">
        <v>4690.33</v>
      </c>
      <c r="BU235" s="50">
        <f t="shared" si="91"/>
        <v>9778.64</v>
      </c>
      <c r="BV235" s="48">
        <v>3790.32</v>
      </c>
      <c r="BW235" s="49">
        <v>5256.78</v>
      </c>
      <c r="BX235" s="49">
        <v>7387.89</v>
      </c>
      <c r="BY235" s="50">
        <f t="shared" si="92"/>
        <v>16434.990000000002</v>
      </c>
      <c r="BZ235" s="182">
        <v>5434.38</v>
      </c>
      <c r="CA235" s="99">
        <v>6993.95</v>
      </c>
      <c r="CB235" s="99">
        <v>12442.03</v>
      </c>
      <c r="CC235" s="98">
        <f t="shared" si="93"/>
        <v>24870.36</v>
      </c>
      <c r="CD235" s="182">
        <v>4196.04</v>
      </c>
      <c r="CE235" s="99">
        <v>14474.4</v>
      </c>
      <c r="CF235" s="99">
        <v>8478.31</v>
      </c>
      <c r="CG235" s="98">
        <f t="shared" si="94"/>
        <v>27148.75</v>
      </c>
      <c r="CH235" s="191">
        <v>2289.04</v>
      </c>
      <c r="CI235" s="192">
        <v>13467.55</v>
      </c>
      <c r="CJ235" s="192">
        <v>8569.24</v>
      </c>
      <c r="CK235" s="98">
        <f t="shared" si="95"/>
        <v>24325.83</v>
      </c>
      <c r="CL235" s="111"/>
      <c r="CM235" s="111"/>
      <c r="CN235" s="111"/>
      <c r="CO235" s="112"/>
      <c r="CP235" s="191"/>
      <c r="CQ235" s="192"/>
      <c r="CR235" s="192"/>
      <c r="CS235" s="151"/>
      <c r="CT235" s="111"/>
      <c r="CU235" s="111"/>
      <c r="CV235" s="111"/>
      <c r="CW235" s="112"/>
      <c r="CX235" s="192"/>
      <c r="CY235" s="192"/>
      <c r="CZ235" s="192"/>
      <c r="DA235" s="151"/>
      <c r="DB235" s="10"/>
      <c r="DC235" s="10"/>
      <c r="DD235" s="10"/>
      <c r="DE235" s="151"/>
      <c r="DF235" s="192"/>
      <c r="DG235" s="192"/>
      <c r="DH235" s="192"/>
      <c r="DI235" s="151"/>
      <c r="DJ235" s="1"/>
      <c r="DK235" s="225">
        <v>11217.57</v>
      </c>
      <c r="DL235" s="225">
        <v>1058.95</v>
      </c>
      <c r="DM235" s="225">
        <v>1850.18</v>
      </c>
      <c r="DN235" s="225">
        <v>7151.96</v>
      </c>
      <c r="DO235" s="225">
        <v>5569.28</v>
      </c>
      <c r="DP235" s="225">
        <v>8026.82</v>
      </c>
      <c r="DQ235" s="225"/>
      <c r="DR235" s="225"/>
      <c r="DS235" s="225"/>
      <c r="DT235" s="225"/>
      <c r="DU235" s="225"/>
      <c r="DV235" s="225"/>
      <c r="DW235" s="1"/>
      <c r="EJ235" s="1"/>
      <c r="EK235" s="17">
        <v>16</v>
      </c>
      <c r="EL235" s="17">
        <v>5</v>
      </c>
      <c r="EM235" s="17">
        <v>5</v>
      </c>
      <c r="EN235" s="17">
        <v>13</v>
      </c>
      <c r="EO235" s="17">
        <v>12</v>
      </c>
      <c r="EP235" s="17">
        <v>21</v>
      </c>
      <c r="EQ235" s="17"/>
      <c r="ER235" s="17"/>
      <c r="ES235" s="17"/>
      <c r="EU235" s="17"/>
      <c r="EW235" s="1"/>
      <c r="EX235" s="225">
        <v>11217.57</v>
      </c>
      <c r="EY235" s="225">
        <v>1058.95</v>
      </c>
      <c r="EZ235" s="225">
        <v>1850.18</v>
      </c>
      <c r="FA235" s="225">
        <v>7151.96</v>
      </c>
      <c r="FB235" s="225">
        <v>5569.28</v>
      </c>
      <c r="FC235" s="225">
        <v>8007.81</v>
      </c>
      <c r="FD235" s="225"/>
      <c r="FE235" s="225"/>
      <c r="FF235" s="225"/>
      <c r="FG235" s="10"/>
      <c r="FH235" s="225"/>
      <c r="FI235" s="10"/>
      <c r="FJ235" s="1"/>
      <c r="FK235" s="225">
        <v>-451.34</v>
      </c>
      <c r="FL235" s="225">
        <v>-407.81</v>
      </c>
      <c r="FM235" s="225">
        <v>-619.6</v>
      </c>
      <c r="FN235" s="225"/>
      <c r="FO235" s="225">
        <v>-421.74</v>
      </c>
      <c r="FP235" s="225">
        <v>-226.34</v>
      </c>
      <c r="FQ235" s="225"/>
      <c r="FR235" s="225"/>
      <c r="FS235" s="225"/>
      <c r="FT235" s="191"/>
      <c r="FU235" s="225"/>
      <c r="FV235" s="151"/>
    </row>
    <row r="236" spans="1:178" ht="16" thickBot="1" x14ac:dyDescent="0.25">
      <c r="A236" s="27" t="s">
        <v>51</v>
      </c>
      <c r="B236" t="s">
        <v>141</v>
      </c>
      <c r="C236" s="1"/>
      <c r="D236">
        <v>7</v>
      </c>
      <c r="E236" s="17">
        <v>14</v>
      </c>
      <c r="F236" s="241">
        <v>12</v>
      </c>
      <c r="G236" s="87">
        <v>5</v>
      </c>
      <c r="H236" s="87">
        <v>7</v>
      </c>
      <c r="I236" s="87">
        <v>8</v>
      </c>
      <c r="J236" s="17"/>
      <c r="K236" s="17"/>
      <c r="L236" s="17"/>
      <c r="M236" s="17"/>
      <c r="N236" s="17"/>
      <c r="O236" s="17"/>
      <c r="P236" s="1"/>
      <c r="Q236" s="48">
        <v>296.64</v>
      </c>
      <c r="R236" s="49">
        <v>1235.74</v>
      </c>
      <c r="S236" s="49">
        <v>401.5</v>
      </c>
      <c r="T236" s="50">
        <f t="shared" si="84"/>
        <v>1933.88</v>
      </c>
      <c r="U236" s="48">
        <v>2490.17</v>
      </c>
      <c r="V236" s="49">
        <v>549.72</v>
      </c>
      <c r="W236" s="49">
        <v>0</v>
      </c>
      <c r="X236" s="50">
        <f t="shared" si="85"/>
        <v>3039.8900000000003</v>
      </c>
      <c r="Y236" s="48">
        <v>2720.2</v>
      </c>
      <c r="Z236" s="49">
        <v>231.14</v>
      </c>
      <c r="AA236" s="49">
        <v>348.87</v>
      </c>
      <c r="AB236" s="50">
        <f t="shared" si="86"/>
        <v>3300.2099999999996</v>
      </c>
      <c r="AC236" s="164">
        <v>464.74</v>
      </c>
      <c r="AD236" s="165">
        <v>618.01</v>
      </c>
      <c r="AE236" s="165">
        <v>0</v>
      </c>
      <c r="AF236" s="151">
        <f t="shared" si="87"/>
        <v>1082.75</v>
      </c>
      <c r="AG236" s="191">
        <v>467.74</v>
      </c>
      <c r="AH236" s="10">
        <v>527.76</v>
      </c>
      <c r="AI236" s="10">
        <v>0</v>
      </c>
      <c r="AJ236" s="151">
        <f t="shared" si="88"/>
        <v>995.5</v>
      </c>
      <c r="AK236" s="100">
        <v>226.64</v>
      </c>
      <c r="AL236" s="100">
        <v>490.69</v>
      </c>
      <c r="AM236" s="99">
        <v>673.34</v>
      </c>
      <c r="AN236" s="151">
        <f t="shared" si="89"/>
        <v>1390.67</v>
      </c>
      <c r="AO236" s="191"/>
      <c r="AP236" s="10"/>
      <c r="AQ236" s="10"/>
      <c r="AR236" s="151"/>
      <c r="AS236" s="191"/>
      <c r="AT236" s="192"/>
      <c r="AU236" s="192"/>
      <c r="AV236" s="151"/>
      <c r="AW236" s="192"/>
      <c r="AX236" s="192"/>
      <c r="AY236" s="192"/>
      <c r="AZ236" s="151"/>
      <c r="BA236" s="10"/>
      <c r="BB236" s="10"/>
      <c r="BC236" s="10"/>
      <c r="BD236" s="151"/>
      <c r="BE236" s="191"/>
      <c r="BF236" s="10"/>
      <c r="BG236" s="10"/>
      <c r="BH236" s="151"/>
      <c r="BI236" s="191"/>
      <c r="BJ236" s="10"/>
      <c r="BK236" s="10"/>
      <c r="BL236" s="151"/>
      <c r="BM236" s="1"/>
      <c r="BN236" s="48"/>
      <c r="BO236" s="49">
        <v>454.02</v>
      </c>
      <c r="BP236" s="49">
        <v>0</v>
      </c>
      <c r="BQ236" s="50">
        <f t="shared" si="90"/>
        <v>454.02</v>
      </c>
      <c r="BR236" s="48"/>
      <c r="BS236" s="49">
        <v>187.59</v>
      </c>
      <c r="BT236" s="49">
        <v>0</v>
      </c>
      <c r="BU236" s="50">
        <f t="shared" si="91"/>
        <v>187.59</v>
      </c>
      <c r="BV236" s="48"/>
      <c r="BW236" s="49"/>
      <c r="BX236" s="49">
        <v>348.87</v>
      </c>
      <c r="BY236" s="50">
        <f t="shared" si="92"/>
        <v>348.87</v>
      </c>
      <c r="BZ236" s="182"/>
      <c r="CA236" s="266"/>
      <c r="CB236" s="266"/>
      <c r="CC236" s="98">
        <f t="shared" si="93"/>
        <v>0</v>
      </c>
      <c r="CD236" s="183"/>
      <c r="CE236" s="99"/>
      <c r="CF236" s="266"/>
      <c r="CG236" s="98">
        <f t="shared" si="94"/>
        <v>0</v>
      </c>
      <c r="CH236" s="191"/>
      <c r="CI236" s="192"/>
      <c r="CJ236" s="192">
        <v>0</v>
      </c>
      <c r="CK236" s="98">
        <f t="shared" si="95"/>
        <v>0</v>
      </c>
      <c r="CL236" s="111"/>
      <c r="CM236" s="111"/>
      <c r="CN236" s="111"/>
      <c r="CO236" s="112"/>
      <c r="CP236" s="191"/>
      <c r="CQ236" s="192"/>
      <c r="CR236" s="192"/>
      <c r="CS236" s="151"/>
      <c r="CT236" s="111"/>
      <c r="CU236" s="111"/>
      <c r="CV236" s="111"/>
      <c r="CW236" s="112"/>
      <c r="CX236" s="192"/>
      <c r="CY236" s="192"/>
      <c r="CZ236" s="192"/>
      <c r="DA236" s="151"/>
      <c r="DB236" s="10"/>
      <c r="DC236" s="10"/>
      <c r="DD236" s="10"/>
      <c r="DE236" s="151"/>
      <c r="DF236" s="192"/>
      <c r="DG236" s="192"/>
      <c r="DH236" s="192"/>
      <c r="DI236" s="151"/>
      <c r="DJ236" s="1"/>
      <c r="DK236" s="225"/>
      <c r="DL236" s="225"/>
      <c r="DM236" s="225"/>
      <c r="DN236" s="225"/>
      <c r="DO236" s="225"/>
      <c r="DP236" s="225"/>
      <c r="DQ236" s="225"/>
      <c r="DR236" s="225"/>
      <c r="DS236" s="225"/>
      <c r="DT236" s="225"/>
      <c r="DU236" s="225"/>
      <c r="DV236" s="225"/>
      <c r="DW236" s="1"/>
      <c r="EJ236" s="1"/>
      <c r="EK236" s="17"/>
      <c r="EL236" s="17"/>
      <c r="EM236" s="17"/>
      <c r="EN236" s="17"/>
      <c r="EO236" s="17"/>
      <c r="EP236" s="17"/>
      <c r="EQ236" s="17"/>
      <c r="ER236" s="17"/>
      <c r="ES236" s="17"/>
      <c r="EU236" s="17"/>
      <c r="EW236" s="1"/>
      <c r="EX236" s="225"/>
      <c r="EY236" s="225"/>
      <c r="EZ236" s="225"/>
      <c r="FA236" s="225"/>
      <c r="FB236" s="225"/>
      <c r="FC236" s="225"/>
      <c r="FD236" s="225"/>
      <c r="FE236" s="225"/>
      <c r="FF236" s="225"/>
      <c r="FG236" s="10"/>
      <c r="FH236" s="225"/>
      <c r="FI236" s="10"/>
      <c r="FJ236" s="1"/>
      <c r="FK236" s="225"/>
      <c r="FL236" s="225"/>
      <c r="FM236" s="225"/>
      <c r="FN236" s="225"/>
      <c r="FO236" s="225"/>
      <c r="FP236" s="225"/>
      <c r="FQ236" s="225"/>
      <c r="FR236" s="225"/>
      <c r="FS236" s="225"/>
      <c r="FT236" s="191"/>
      <c r="FU236" s="225"/>
      <c r="FV236" s="151"/>
    </row>
    <row r="237" spans="1:178" ht="16" thickBot="1" x14ac:dyDescent="0.25">
      <c r="A237" s="27" t="s">
        <v>52</v>
      </c>
      <c r="B237" t="s">
        <v>141</v>
      </c>
      <c r="C237" s="1"/>
      <c r="D237">
        <v>75</v>
      </c>
      <c r="E237" s="17">
        <v>78</v>
      </c>
      <c r="F237" s="241">
        <v>84</v>
      </c>
      <c r="G237" s="87">
        <v>90</v>
      </c>
      <c r="H237" s="87">
        <v>99</v>
      </c>
      <c r="I237" s="87">
        <v>100</v>
      </c>
      <c r="J237" s="17"/>
      <c r="K237" s="17"/>
      <c r="L237" s="17"/>
      <c r="M237" s="17"/>
      <c r="N237" s="17"/>
      <c r="O237" s="17"/>
      <c r="P237" s="1"/>
      <c r="Q237" s="48">
        <v>8657.81</v>
      </c>
      <c r="R237" s="49">
        <v>4624.8</v>
      </c>
      <c r="S237" s="49">
        <v>6931.65</v>
      </c>
      <c r="T237" s="50">
        <f t="shared" si="84"/>
        <v>20214.260000000002</v>
      </c>
      <c r="U237" s="48">
        <v>10083.35</v>
      </c>
      <c r="V237" s="49">
        <v>3939.38</v>
      </c>
      <c r="W237" s="49">
        <v>7107.03</v>
      </c>
      <c r="X237" s="50">
        <f t="shared" si="85"/>
        <v>21129.759999999998</v>
      </c>
      <c r="Y237" s="48">
        <v>14308.06</v>
      </c>
      <c r="Z237" s="49">
        <v>3762.75</v>
      </c>
      <c r="AA237" s="49">
        <v>10607.11</v>
      </c>
      <c r="AB237" s="50">
        <f t="shared" si="86"/>
        <v>28677.919999999998</v>
      </c>
      <c r="AC237" s="164">
        <v>12862.91</v>
      </c>
      <c r="AD237" s="165">
        <v>7130.79</v>
      </c>
      <c r="AE237" s="165">
        <v>5543.2199999999993</v>
      </c>
      <c r="AF237" s="151">
        <f t="shared" si="87"/>
        <v>25536.92</v>
      </c>
      <c r="AG237" s="191">
        <v>12414.36</v>
      </c>
      <c r="AH237" s="10">
        <v>9827.8799999999992</v>
      </c>
      <c r="AI237" s="10">
        <v>4055.8599999999997</v>
      </c>
      <c r="AJ237" s="151">
        <f t="shared" si="88"/>
        <v>26298.1</v>
      </c>
      <c r="AK237" s="99">
        <v>7782.25</v>
      </c>
      <c r="AL237" s="99">
        <v>4437.6000000000004</v>
      </c>
      <c r="AM237" s="99">
        <v>11546.75</v>
      </c>
      <c r="AN237" s="151">
        <f t="shared" si="89"/>
        <v>23766.6</v>
      </c>
      <c r="AO237" s="191"/>
      <c r="AP237" s="10"/>
      <c r="AQ237" s="10"/>
      <c r="AR237" s="151"/>
      <c r="AS237" s="191"/>
      <c r="AT237" s="192"/>
      <c r="AU237" s="192"/>
      <c r="AV237" s="151"/>
      <c r="AW237" s="192"/>
      <c r="AX237" s="192"/>
      <c r="AY237" s="192"/>
      <c r="AZ237" s="151"/>
      <c r="BA237" s="10"/>
      <c r="BB237" s="10"/>
      <c r="BC237" s="10"/>
      <c r="BD237" s="151"/>
      <c r="BE237" s="191"/>
      <c r="BF237" s="10"/>
      <c r="BG237" s="10"/>
      <c r="BH237" s="151"/>
      <c r="BI237" s="191"/>
      <c r="BJ237" s="10"/>
      <c r="BK237" s="10"/>
      <c r="BL237" s="151"/>
      <c r="BM237" s="1"/>
      <c r="BN237" s="48">
        <v>864.15</v>
      </c>
      <c r="BO237" s="49">
        <v>1771</v>
      </c>
      <c r="BP237" s="49">
        <v>3931.2599999999998</v>
      </c>
      <c r="BQ237" s="50">
        <f t="shared" si="90"/>
        <v>6566.41</v>
      </c>
      <c r="BR237" s="48">
        <v>1891.83</v>
      </c>
      <c r="BS237" s="49">
        <v>408.61</v>
      </c>
      <c r="BT237" s="49">
        <v>4955.0199999999995</v>
      </c>
      <c r="BU237" s="50">
        <f t="shared" si="91"/>
        <v>7255.4599999999991</v>
      </c>
      <c r="BV237" s="48">
        <v>3172.92</v>
      </c>
      <c r="BW237" s="49">
        <v>800.06</v>
      </c>
      <c r="BX237" s="49">
        <v>6286.02</v>
      </c>
      <c r="BY237" s="50">
        <f t="shared" si="92"/>
        <v>10259</v>
      </c>
      <c r="BZ237" s="182">
        <v>3188.55</v>
      </c>
      <c r="CA237" s="99">
        <v>5780.94</v>
      </c>
      <c r="CB237" s="99">
        <v>3276.3199999999997</v>
      </c>
      <c r="CC237" s="98">
        <f t="shared" si="93"/>
        <v>12245.81</v>
      </c>
      <c r="CD237" s="182">
        <v>1166.6099999999999</v>
      </c>
      <c r="CE237" s="99">
        <v>6912.09</v>
      </c>
      <c r="CF237" s="99">
        <v>3477.91</v>
      </c>
      <c r="CG237" s="98">
        <f t="shared" si="94"/>
        <v>11556.61</v>
      </c>
      <c r="CH237" s="191">
        <v>1881.32</v>
      </c>
      <c r="CI237" s="192">
        <v>4558.28</v>
      </c>
      <c r="CJ237" s="192">
        <v>9208.869999999999</v>
      </c>
      <c r="CK237" s="98">
        <f t="shared" si="95"/>
        <v>15648.469999999998</v>
      </c>
      <c r="CL237" s="111"/>
      <c r="CM237" s="111"/>
      <c r="CN237" s="111"/>
      <c r="CO237" s="112"/>
      <c r="CP237" s="191"/>
      <c r="CQ237" s="192"/>
      <c r="CR237" s="192"/>
      <c r="CS237" s="151"/>
      <c r="CT237" s="111"/>
      <c r="CU237" s="111"/>
      <c r="CV237" s="111"/>
      <c r="CW237" s="112"/>
      <c r="CX237" s="192"/>
      <c r="CY237" s="192"/>
      <c r="CZ237" s="192"/>
      <c r="DA237" s="151"/>
      <c r="DB237" s="10"/>
      <c r="DC237" s="10"/>
      <c r="DD237" s="10"/>
      <c r="DE237" s="151"/>
      <c r="DF237" s="192"/>
      <c r="DG237" s="192"/>
      <c r="DH237" s="192"/>
      <c r="DI237" s="151"/>
      <c r="DJ237" s="1"/>
      <c r="DK237" s="225">
        <v>1017.41</v>
      </c>
      <c r="DL237" s="225">
        <v>585.35</v>
      </c>
      <c r="DM237" s="225">
        <v>957.35</v>
      </c>
      <c r="DN237" s="225">
        <v>686.45</v>
      </c>
      <c r="DO237" s="225">
        <v>373.42</v>
      </c>
      <c r="DP237" s="225">
        <v>6109.21</v>
      </c>
      <c r="DQ237" s="225"/>
      <c r="DR237" s="225"/>
      <c r="DS237" s="225"/>
      <c r="DT237" s="225"/>
      <c r="DU237" s="225"/>
      <c r="DV237" s="225"/>
      <c r="DW237" s="1"/>
      <c r="EJ237" s="1"/>
      <c r="EK237" s="17">
        <v>3</v>
      </c>
      <c r="EL237" s="17">
        <v>2</v>
      </c>
      <c r="EM237" s="17">
        <v>2</v>
      </c>
      <c r="EN237" s="17">
        <v>1</v>
      </c>
      <c r="EO237" s="17">
        <v>1</v>
      </c>
      <c r="EP237" s="17">
        <v>5</v>
      </c>
      <c r="EQ237" s="17"/>
      <c r="ER237" s="17"/>
      <c r="ES237" s="17"/>
      <c r="EU237" s="17"/>
      <c r="EW237" s="1"/>
      <c r="EX237" s="225">
        <v>1017.41</v>
      </c>
      <c r="EY237" s="225">
        <v>585.35</v>
      </c>
      <c r="EZ237" s="225">
        <v>957.35</v>
      </c>
      <c r="FA237" s="225">
        <v>686.45</v>
      </c>
      <c r="FB237" s="225">
        <v>373.42</v>
      </c>
      <c r="FC237" s="225">
        <v>6109.21</v>
      </c>
      <c r="FD237" s="225"/>
      <c r="FE237" s="225"/>
      <c r="FF237" s="225"/>
      <c r="FG237" s="10"/>
      <c r="FH237" s="225"/>
      <c r="FI237" s="10"/>
      <c r="FJ237" s="1"/>
      <c r="FK237" s="225"/>
      <c r="FL237" s="225"/>
      <c r="FM237" s="225"/>
      <c r="FN237" s="225"/>
      <c r="FO237" s="225"/>
      <c r="FP237" s="225">
        <v>-373.42</v>
      </c>
      <c r="FQ237" s="225"/>
      <c r="FR237" s="225"/>
      <c r="FS237" s="225"/>
      <c r="FT237" s="191"/>
      <c r="FU237" s="225"/>
      <c r="FV237" s="151"/>
    </row>
    <row r="238" spans="1:178" ht="16" thickBot="1" x14ac:dyDescent="0.25">
      <c r="A238" s="27" t="s">
        <v>53</v>
      </c>
      <c r="B238" t="s">
        <v>141</v>
      </c>
      <c r="C238" s="1"/>
      <c r="D238">
        <v>59</v>
      </c>
      <c r="E238" s="17">
        <v>65</v>
      </c>
      <c r="F238" s="241">
        <v>57</v>
      </c>
      <c r="G238" s="87">
        <v>66</v>
      </c>
      <c r="H238" s="87">
        <v>66</v>
      </c>
      <c r="I238" s="87">
        <v>64</v>
      </c>
      <c r="J238" s="17"/>
      <c r="K238" s="17"/>
      <c r="L238" s="17"/>
      <c r="M238" s="17"/>
      <c r="N238" s="17"/>
      <c r="O238" s="17"/>
      <c r="P238" s="1"/>
      <c r="Q238" s="48">
        <v>4291.2299999999996</v>
      </c>
      <c r="R238" s="49">
        <v>249.2</v>
      </c>
      <c r="S238" s="49">
        <v>10786.439999999999</v>
      </c>
      <c r="T238" s="50">
        <f t="shared" si="84"/>
        <v>15326.869999999999</v>
      </c>
      <c r="U238" s="48">
        <v>5437.42</v>
      </c>
      <c r="V238" s="49">
        <v>3857.94</v>
      </c>
      <c r="W238" s="49">
        <v>7993.57</v>
      </c>
      <c r="X238" s="50">
        <f t="shared" si="85"/>
        <v>17288.93</v>
      </c>
      <c r="Y238" s="48">
        <v>4593.45</v>
      </c>
      <c r="Z238" s="49">
        <v>4694.8100000000004</v>
      </c>
      <c r="AA238" s="49">
        <v>6754.5</v>
      </c>
      <c r="AB238" s="50">
        <f t="shared" si="86"/>
        <v>16042.76</v>
      </c>
      <c r="AC238" s="164">
        <v>11218.25</v>
      </c>
      <c r="AD238" s="165">
        <v>2467.5300000000002</v>
      </c>
      <c r="AE238" s="165">
        <v>5350.72</v>
      </c>
      <c r="AF238" s="151">
        <f t="shared" si="87"/>
        <v>19036.5</v>
      </c>
      <c r="AG238" s="191">
        <v>6038.03</v>
      </c>
      <c r="AH238" s="10">
        <v>4812.07</v>
      </c>
      <c r="AI238" s="10">
        <v>7294.2</v>
      </c>
      <c r="AJ238" s="151">
        <f t="shared" si="88"/>
        <v>18144.3</v>
      </c>
      <c r="AK238" s="99">
        <v>2762.28</v>
      </c>
      <c r="AL238" s="99">
        <v>2454.29</v>
      </c>
      <c r="AM238" s="99">
        <v>11177.25</v>
      </c>
      <c r="AN238" s="151">
        <f t="shared" si="89"/>
        <v>16393.82</v>
      </c>
      <c r="AO238" s="191"/>
      <c r="AP238" s="10"/>
      <c r="AQ238" s="10"/>
      <c r="AR238" s="151"/>
      <c r="AS238" s="191"/>
      <c r="AT238" s="192"/>
      <c r="AU238" s="192"/>
      <c r="AV238" s="151"/>
      <c r="AW238" s="192"/>
      <c r="AX238" s="192"/>
      <c r="AY238" s="192"/>
      <c r="AZ238" s="151"/>
      <c r="BA238" s="10"/>
      <c r="BB238" s="10"/>
      <c r="BC238" s="10"/>
      <c r="BD238" s="151"/>
      <c r="BE238" s="191"/>
      <c r="BF238" s="10"/>
      <c r="BG238" s="10"/>
      <c r="BH238" s="151"/>
      <c r="BI238" s="191"/>
      <c r="BJ238" s="10"/>
      <c r="BK238" s="10"/>
      <c r="BL238" s="151"/>
      <c r="BM238" s="1"/>
      <c r="BN238" s="48">
        <v>240.4</v>
      </c>
      <c r="BO238" s="49"/>
      <c r="BP238" s="49">
        <v>1898.8000000000002</v>
      </c>
      <c r="BQ238" s="50">
        <f t="shared" si="90"/>
        <v>2139.2000000000003</v>
      </c>
      <c r="BR238" s="48">
        <v>418.82</v>
      </c>
      <c r="BS238" s="49">
        <v>515.1</v>
      </c>
      <c r="BT238" s="49">
        <v>0</v>
      </c>
      <c r="BU238" s="50">
        <f t="shared" si="91"/>
        <v>933.92000000000007</v>
      </c>
      <c r="BV238" s="48">
        <v>197.82</v>
      </c>
      <c r="BW238" s="49">
        <v>328.41</v>
      </c>
      <c r="BX238" s="49">
        <v>193.94</v>
      </c>
      <c r="BY238" s="50">
        <f t="shared" si="92"/>
        <v>720.17000000000007</v>
      </c>
      <c r="BZ238" s="182">
        <v>2097.12</v>
      </c>
      <c r="CA238" s="266">
        <v>2395.25</v>
      </c>
      <c r="CB238" s="99">
        <v>4828.63</v>
      </c>
      <c r="CC238" s="98">
        <f t="shared" si="93"/>
        <v>9321</v>
      </c>
      <c r="CD238" s="182">
        <v>425.15</v>
      </c>
      <c r="CE238" s="99">
        <v>1620.79</v>
      </c>
      <c r="CF238" s="99">
        <v>5837.62</v>
      </c>
      <c r="CG238" s="98">
        <f t="shared" si="94"/>
        <v>7883.5599999999995</v>
      </c>
      <c r="CH238" s="191">
        <v>287.43</v>
      </c>
      <c r="CI238" s="192">
        <v>789.26</v>
      </c>
      <c r="CJ238" s="192">
        <v>8271.58</v>
      </c>
      <c r="CK238" s="98">
        <f t="shared" si="95"/>
        <v>9348.27</v>
      </c>
      <c r="CL238" s="111"/>
      <c r="CM238" s="111"/>
      <c r="CN238" s="111"/>
      <c r="CO238" s="112"/>
      <c r="CP238" s="191"/>
      <c r="CQ238" s="192"/>
      <c r="CR238" s="192"/>
      <c r="CS238" s="151"/>
      <c r="CT238" s="111"/>
      <c r="CU238" s="111"/>
      <c r="CV238" s="111"/>
      <c r="CW238" s="112"/>
      <c r="CX238" s="192"/>
      <c r="CY238" s="192"/>
      <c r="CZ238" s="192"/>
      <c r="DA238" s="151"/>
      <c r="DB238" s="10"/>
      <c r="DC238" s="10"/>
      <c r="DD238" s="10"/>
      <c r="DE238" s="151"/>
      <c r="DF238" s="192"/>
      <c r="DG238" s="192"/>
      <c r="DH238" s="192"/>
      <c r="DI238" s="151"/>
      <c r="DJ238" s="1"/>
      <c r="DK238" s="225"/>
      <c r="DL238" s="225">
        <v>249.2</v>
      </c>
      <c r="DM238" s="225"/>
      <c r="DN238" s="225">
        <v>322.33</v>
      </c>
      <c r="DO238" s="225">
        <v>1425.67</v>
      </c>
      <c r="DP238" s="225">
        <v>1729.17</v>
      </c>
      <c r="DQ238" s="225"/>
      <c r="DR238" s="225"/>
      <c r="DS238" s="225"/>
      <c r="DT238" s="225"/>
      <c r="DU238" s="225"/>
      <c r="DV238" s="225"/>
      <c r="DW238" s="1"/>
      <c r="EJ238" s="1"/>
      <c r="EK238" s="17"/>
      <c r="EL238" s="17">
        <v>1</v>
      </c>
      <c r="EM238" s="17"/>
      <c r="EN238" s="17">
        <v>1</v>
      </c>
      <c r="EO238" s="17">
        <v>1</v>
      </c>
      <c r="EP238" s="17">
        <v>4</v>
      </c>
      <c r="EQ238" s="17"/>
      <c r="ER238" s="17"/>
      <c r="ES238" s="17"/>
      <c r="EU238" s="17"/>
      <c r="EW238" s="1"/>
      <c r="EX238" s="225"/>
      <c r="EY238" s="225">
        <v>249.2</v>
      </c>
      <c r="EZ238" s="225"/>
      <c r="FA238" s="225">
        <v>322.33</v>
      </c>
      <c r="FB238" s="225">
        <v>1425.67</v>
      </c>
      <c r="FC238" s="225">
        <v>1729.17</v>
      </c>
      <c r="FD238" s="225"/>
      <c r="FE238" s="225"/>
      <c r="FF238" s="225"/>
      <c r="FG238" s="10"/>
      <c r="FH238" s="225"/>
      <c r="FI238" s="10"/>
      <c r="FJ238" s="1"/>
      <c r="FK238" s="225"/>
      <c r="FL238" s="225"/>
      <c r="FM238" s="225"/>
      <c r="FN238" s="225"/>
      <c r="FO238" s="225"/>
      <c r="FP238" s="225"/>
      <c r="FQ238" s="225"/>
      <c r="FR238" s="225"/>
      <c r="FS238" s="225"/>
      <c r="FT238" s="191"/>
      <c r="FU238" s="225"/>
      <c r="FV238" s="151"/>
    </row>
    <row r="239" spans="1:178" ht="16" thickBot="1" x14ac:dyDescent="0.25">
      <c r="A239" s="27" t="s">
        <v>54</v>
      </c>
      <c r="B239" t="s">
        <v>141</v>
      </c>
      <c r="C239" s="1"/>
      <c r="D239">
        <v>276</v>
      </c>
      <c r="E239" s="17">
        <v>150</v>
      </c>
      <c r="F239" s="241">
        <v>248</v>
      </c>
      <c r="G239" s="87">
        <v>193</v>
      </c>
      <c r="H239" s="87">
        <v>329</v>
      </c>
      <c r="I239" s="87">
        <v>312</v>
      </c>
      <c r="J239" s="17"/>
      <c r="K239" s="17"/>
      <c r="L239" s="17"/>
      <c r="M239" s="17"/>
      <c r="N239" s="17"/>
      <c r="O239" s="17"/>
      <c r="P239" s="1"/>
      <c r="Q239" s="48">
        <v>32851.919999999998</v>
      </c>
      <c r="R239" s="49">
        <v>22252.35</v>
      </c>
      <c r="S239" s="49">
        <v>20886.62</v>
      </c>
      <c r="T239" s="50">
        <f t="shared" si="84"/>
        <v>75990.89</v>
      </c>
      <c r="U239" s="48">
        <v>18305.009999999998</v>
      </c>
      <c r="V239" s="49">
        <v>5336.19</v>
      </c>
      <c r="W239" s="49">
        <v>13392.02</v>
      </c>
      <c r="X239" s="50">
        <f t="shared" si="85"/>
        <v>37033.22</v>
      </c>
      <c r="Y239" s="48">
        <v>44942.66</v>
      </c>
      <c r="Z239" s="49">
        <v>8361.52</v>
      </c>
      <c r="AA239" s="49">
        <v>21679.95</v>
      </c>
      <c r="AB239" s="50">
        <f t="shared" si="86"/>
        <v>74984.13</v>
      </c>
      <c r="AC239" s="164">
        <v>23287.26</v>
      </c>
      <c r="AD239" s="165">
        <v>15355.11</v>
      </c>
      <c r="AE239" s="165">
        <v>13904.75</v>
      </c>
      <c r="AF239" s="151">
        <f t="shared" si="87"/>
        <v>52547.119999999995</v>
      </c>
      <c r="AG239" s="191">
        <v>36640.639999999999</v>
      </c>
      <c r="AH239" s="10">
        <v>23350.89</v>
      </c>
      <c r="AI239" s="10">
        <v>21808.17</v>
      </c>
      <c r="AJ239" s="151">
        <f t="shared" si="88"/>
        <v>81799.7</v>
      </c>
      <c r="AK239" s="99">
        <v>21045.78</v>
      </c>
      <c r="AL239" s="99">
        <v>21400.5</v>
      </c>
      <c r="AM239" s="99">
        <v>27134.45</v>
      </c>
      <c r="AN239" s="151">
        <f t="shared" si="89"/>
        <v>69580.73</v>
      </c>
      <c r="AO239" s="191"/>
      <c r="AP239" s="10"/>
      <c r="AQ239" s="10"/>
      <c r="AR239" s="151"/>
      <c r="AS239" s="191"/>
      <c r="AT239" s="192"/>
      <c r="AU239" s="192"/>
      <c r="AV239" s="151"/>
      <c r="AW239" s="192"/>
      <c r="AX239" s="192"/>
      <c r="AY239" s="192"/>
      <c r="AZ239" s="151"/>
      <c r="BA239" s="10"/>
      <c r="BB239" s="10"/>
      <c r="BC239" s="10"/>
      <c r="BD239" s="151"/>
      <c r="BE239" s="191"/>
      <c r="BF239" s="10"/>
      <c r="BG239" s="10"/>
      <c r="BH239" s="151"/>
      <c r="BI239" s="191"/>
      <c r="BJ239" s="10"/>
      <c r="BK239" s="10"/>
      <c r="BL239" s="151"/>
      <c r="BM239" s="1"/>
      <c r="BN239" s="48">
        <v>3008.32</v>
      </c>
      <c r="BO239" s="49">
        <v>6802.67</v>
      </c>
      <c r="BP239" s="49">
        <v>10907.9</v>
      </c>
      <c r="BQ239" s="50">
        <f t="shared" si="90"/>
        <v>20718.89</v>
      </c>
      <c r="BR239" s="48">
        <v>1916.14</v>
      </c>
      <c r="BS239" s="49">
        <v>1184.32</v>
      </c>
      <c r="BT239" s="49">
        <v>8497.33</v>
      </c>
      <c r="BU239" s="50">
        <f t="shared" si="91"/>
        <v>11597.79</v>
      </c>
      <c r="BV239" s="48">
        <v>6743.33</v>
      </c>
      <c r="BW239" s="49">
        <v>2364.13</v>
      </c>
      <c r="BX239" s="49">
        <v>14372.43</v>
      </c>
      <c r="BY239" s="50">
        <f t="shared" si="92"/>
        <v>23479.89</v>
      </c>
      <c r="BZ239" s="182">
        <v>3080.62</v>
      </c>
      <c r="CA239" s="99">
        <v>20316.72</v>
      </c>
      <c r="CB239" s="99">
        <v>9806.07</v>
      </c>
      <c r="CC239" s="98">
        <f t="shared" si="93"/>
        <v>33203.410000000003</v>
      </c>
      <c r="CD239" s="182">
        <v>7369.22</v>
      </c>
      <c r="CE239" s="99">
        <v>21877.79</v>
      </c>
      <c r="CF239" s="99">
        <v>16439.009999999998</v>
      </c>
      <c r="CG239" s="98">
        <f t="shared" si="94"/>
        <v>45686.020000000004</v>
      </c>
      <c r="CH239" s="191">
        <v>4617.0600000000004</v>
      </c>
      <c r="CI239" s="192">
        <v>23394.46</v>
      </c>
      <c r="CJ239" s="192">
        <v>16976.89</v>
      </c>
      <c r="CK239" s="98">
        <f t="shared" si="95"/>
        <v>44988.41</v>
      </c>
      <c r="CL239" s="111"/>
      <c r="CM239" s="111"/>
      <c r="CN239" s="111"/>
      <c r="CO239" s="112"/>
      <c r="CP239" s="191"/>
      <c r="CQ239" s="192"/>
      <c r="CR239" s="192"/>
      <c r="CS239" s="151"/>
      <c r="CT239" s="111"/>
      <c r="CU239" s="111"/>
      <c r="CV239" s="111"/>
      <c r="CW239" s="112"/>
      <c r="CX239" s="192"/>
      <c r="CY239" s="192"/>
      <c r="CZ239" s="192"/>
      <c r="DA239" s="151"/>
      <c r="DB239" s="10"/>
      <c r="DC239" s="10"/>
      <c r="DD239" s="10"/>
      <c r="DE239" s="151"/>
      <c r="DF239" s="192"/>
      <c r="DG239" s="192"/>
      <c r="DH239" s="192"/>
      <c r="DI239" s="151"/>
      <c r="DJ239" s="1"/>
      <c r="DK239" s="225">
        <v>652.58000000000004</v>
      </c>
      <c r="DL239" s="225">
        <v>2186.21</v>
      </c>
      <c r="DM239" s="225">
        <v>1790.93</v>
      </c>
      <c r="DN239" s="225">
        <v>1763.52</v>
      </c>
      <c r="DO239" s="225">
        <v>3855.97</v>
      </c>
      <c r="DP239" s="225">
        <v>6642.58</v>
      </c>
      <c r="DQ239" s="225"/>
      <c r="DR239" s="225"/>
      <c r="DS239" s="225"/>
      <c r="DT239" s="225"/>
      <c r="DU239" s="225"/>
      <c r="DV239" s="225"/>
      <c r="DW239" s="1"/>
      <c r="EJ239" s="1"/>
      <c r="EK239" s="17">
        <v>4</v>
      </c>
      <c r="EL239" s="17">
        <v>5</v>
      </c>
      <c r="EM239" s="17">
        <v>4</v>
      </c>
      <c r="EN239" s="17">
        <v>5</v>
      </c>
      <c r="EO239" s="17">
        <v>8</v>
      </c>
      <c r="EP239" s="17">
        <v>12</v>
      </c>
      <c r="EQ239" s="17"/>
      <c r="ER239" s="17"/>
      <c r="ES239" s="17"/>
      <c r="EU239" s="17"/>
      <c r="EW239" s="1"/>
      <c r="EX239" s="225">
        <v>652.58000000000004</v>
      </c>
      <c r="EY239" s="225">
        <v>2186.21</v>
      </c>
      <c r="EZ239" s="225">
        <v>1776.22</v>
      </c>
      <c r="FA239" s="225">
        <v>1763.52</v>
      </c>
      <c r="FB239" s="225">
        <v>3855.97</v>
      </c>
      <c r="FC239" s="225">
        <v>6642.58</v>
      </c>
      <c r="FD239" s="225"/>
      <c r="FE239" s="225"/>
      <c r="FF239" s="225"/>
      <c r="FG239" s="10"/>
      <c r="FH239" s="225"/>
      <c r="FI239" s="10"/>
      <c r="FJ239" s="1"/>
      <c r="FK239" s="225">
        <v>-721.9</v>
      </c>
      <c r="FL239" s="225">
        <v>-50</v>
      </c>
      <c r="FM239" s="225">
        <v>-472.17</v>
      </c>
      <c r="FN239" s="225">
        <v>-5.54</v>
      </c>
      <c r="FO239" s="225">
        <v>-1042.77</v>
      </c>
      <c r="FP239" s="225">
        <v>-746.9</v>
      </c>
      <c r="FQ239" s="225"/>
      <c r="FR239" s="225"/>
      <c r="FS239" s="225"/>
      <c r="FT239" s="191"/>
      <c r="FU239" s="225"/>
      <c r="FV239" s="151"/>
    </row>
    <row r="240" spans="1:178" ht="16" thickBot="1" x14ac:dyDescent="0.25">
      <c r="A240" s="27" t="s">
        <v>55</v>
      </c>
      <c r="B240" t="s">
        <v>141</v>
      </c>
      <c r="C240" s="1"/>
      <c r="D240">
        <v>26</v>
      </c>
      <c r="E240" s="17">
        <v>28</v>
      </c>
      <c r="F240" s="241">
        <v>25</v>
      </c>
      <c r="G240" s="87">
        <v>34</v>
      </c>
      <c r="H240" s="87">
        <v>30</v>
      </c>
      <c r="I240" s="87">
        <v>33</v>
      </c>
      <c r="J240" s="17"/>
      <c r="K240" s="17"/>
      <c r="L240" s="17"/>
      <c r="M240" s="17"/>
      <c r="N240" s="17"/>
      <c r="O240" s="17"/>
      <c r="P240" s="1"/>
      <c r="Q240" s="48">
        <v>3324.32</v>
      </c>
      <c r="R240" s="49">
        <v>328.27</v>
      </c>
      <c r="S240" s="49">
        <v>6157.49</v>
      </c>
      <c r="T240" s="50">
        <f t="shared" si="84"/>
        <v>9810.08</v>
      </c>
      <c r="U240" s="48">
        <v>2890.65</v>
      </c>
      <c r="V240" s="49">
        <v>4046.16</v>
      </c>
      <c r="W240" s="49">
        <v>6401.7000000000007</v>
      </c>
      <c r="X240" s="50">
        <f t="shared" si="85"/>
        <v>13338.51</v>
      </c>
      <c r="Y240" s="48">
        <v>3016.46</v>
      </c>
      <c r="Z240" s="49">
        <v>2650.05</v>
      </c>
      <c r="AA240" s="49">
        <v>8500.93</v>
      </c>
      <c r="AB240" s="50">
        <f t="shared" si="86"/>
        <v>14167.44</v>
      </c>
      <c r="AC240" s="164">
        <v>7828.62</v>
      </c>
      <c r="AD240" s="165">
        <v>1316.02</v>
      </c>
      <c r="AE240" s="165">
        <v>9195.32</v>
      </c>
      <c r="AF240" s="151">
        <f t="shared" si="87"/>
        <v>18339.96</v>
      </c>
      <c r="AG240" s="191">
        <v>2668.45</v>
      </c>
      <c r="AH240" s="10">
        <v>5311.92</v>
      </c>
      <c r="AI240" s="10">
        <v>5127.21</v>
      </c>
      <c r="AJ240" s="151">
        <f t="shared" si="88"/>
        <v>13107.58</v>
      </c>
      <c r="AK240" s="100">
        <v>5108.1499999999996</v>
      </c>
      <c r="AL240" s="99">
        <v>1507.73</v>
      </c>
      <c r="AM240" s="99">
        <v>5858.1100000000006</v>
      </c>
      <c r="AN240" s="151">
        <f t="shared" si="89"/>
        <v>12473.99</v>
      </c>
      <c r="AO240" s="191"/>
      <c r="AP240" s="10"/>
      <c r="AQ240" s="10"/>
      <c r="AR240" s="151"/>
      <c r="AS240" s="191"/>
      <c r="AT240" s="192"/>
      <c r="AU240" s="192"/>
      <c r="AV240" s="151"/>
      <c r="AW240" s="192"/>
      <c r="AX240" s="192"/>
      <c r="AY240" s="192"/>
      <c r="AZ240" s="151"/>
      <c r="BA240" s="10"/>
      <c r="BB240" s="10"/>
      <c r="BC240" s="10"/>
      <c r="BD240" s="151"/>
      <c r="BE240" s="191"/>
      <c r="BF240" s="10"/>
      <c r="BG240" s="10"/>
      <c r="BH240" s="151"/>
      <c r="BI240" s="191"/>
      <c r="BJ240" s="10"/>
      <c r="BK240" s="10"/>
      <c r="BL240" s="151"/>
      <c r="BM240" s="1"/>
      <c r="BN240" s="48">
        <v>999.28</v>
      </c>
      <c r="BO240" s="49"/>
      <c r="BP240" s="49">
        <v>4824.3999999999996</v>
      </c>
      <c r="BQ240" s="50">
        <f t="shared" si="90"/>
        <v>5823.6799999999994</v>
      </c>
      <c r="BR240" s="48">
        <v>783.06</v>
      </c>
      <c r="BS240" s="49">
        <v>1814.27</v>
      </c>
      <c r="BT240" s="49">
        <v>4899.53</v>
      </c>
      <c r="BU240" s="50">
        <f t="shared" si="91"/>
        <v>7496.86</v>
      </c>
      <c r="BV240" s="48">
        <v>831.09</v>
      </c>
      <c r="BW240" s="49"/>
      <c r="BX240" s="49">
        <v>6273.83</v>
      </c>
      <c r="BY240" s="50">
        <f t="shared" si="92"/>
        <v>7104.92</v>
      </c>
      <c r="BZ240" s="182">
        <v>874.72</v>
      </c>
      <c r="CA240" s="99">
        <v>1695.52</v>
      </c>
      <c r="CB240" s="99">
        <v>6755.42</v>
      </c>
      <c r="CC240" s="98">
        <f t="shared" si="93"/>
        <v>9325.66</v>
      </c>
      <c r="CD240" s="182">
        <v>878.29</v>
      </c>
      <c r="CE240" s="99">
        <v>1610.45</v>
      </c>
      <c r="CF240" s="99">
        <v>3923.15</v>
      </c>
      <c r="CG240" s="98">
        <f t="shared" si="94"/>
        <v>6411.8899999999994</v>
      </c>
      <c r="CH240" s="191">
        <v>1308.08</v>
      </c>
      <c r="CI240" s="192">
        <v>2400</v>
      </c>
      <c r="CJ240" s="192">
        <v>4032.48</v>
      </c>
      <c r="CK240" s="98">
        <f t="shared" si="95"/>
        <v>7740.5599999999995</v>
      </c>
      <c r="CL240" s="111"/>
      <c r="CM240" s="111"/>
      <c r="CN240" s="111"/>
      <c r="CO240" s="112"/>
      <c r="CP240" s="191"/>
      <c r="CQ240" s="192"/>
      <c r="CR240" s="192"/>
      <c r="CS240" s="151"/>
      <c r="CT240" s="111"/>
      <c r="CU240" s="111"/>
      <c r="CV240" s="111"/>
      <c r="CW240" s="112"/>
      <c r="CX240" s="192"/>
      <c r="CY240" s="192"/>
      <c r="CZ240" s="192"/>
      <c r="DA240" s="151"/>
      <c r="DB240" s="10"/>
      <c r="DC240" s="10"/>
      <c r="DD240" s="10"/>
      <c r="DE240" s="151"/>
      <c r="DF240" s="192"/>
      <c r="DG240" s="192"/>
      <c r="DH240" s="192"/>
      <c r="DI240" s="151"/>
      <c r="DJ240" s="1"/>
      <c r="DK240" s="225">
        <v>1613.07</v>
      </c>
      <c r="DL240" s="225">
        <v>294.44</v>
      </c>
      <c r="DM240" s="225">
        <v>1990.7</v>
      </c>
      <c r="DN240" s="225">
        <v>1516.14</v>
      </c>
      <c r="DO240" s="225">
        <v>3615.83</v>
      </c>
      <c r="DP240" s="225">
        <v>4238.47</v>
      </c>
      <c r="DQ240" s="225"/>
      <c r="DR240" s="225"/>
      <c r="DS240" s="225"/>
      <c r="DT240" s="225"/>
      <c r="DU240" s="225"/>
      <c r="DV240" s="225"/>
      <c r="DW240" s="1"/>
      <c r="EJ240" s="1"/>
      <c r="EK240" s="17">
        <v>3</v>
      </c>
      <c r="EL240" s="17">
        <v>1</v>
      </c>
      <c r="EM240" s="17">
        <v>4</v>
      </c>
      <c r="EN240" s="17">
        <v>2</v>
      </c>
      <c r="EO240" s="17">
        <v>1</v>
      </c>
      <c r="EP240" s="17">
        <v>4</v>
      </c>
      <c r="EQ240" s="17"/>
      <c r="ER240" s="17"/>
      <c r="ES240" s="17"/>
      <c r="EU240" s="17"/>
      <c r="EW240" s="1"/>
      <c r="EX240" s="225">
        <v>1613.07</v>
      </c>
      <c r="EY240" s="225">
        <v>294.44</v>
      </c>
      <c r="EZ240" s="225">
        <v>1990.7</v>
      </c>
      <c r="FA240" s="225">
        <v>1516.14</v>
      </c>
      <c r="FB240" s="225">
        <v>3615.83</v>
      </c>
      <c r="FC240" s="225">
        <v>4238.47</v>
      </c>
      <c r="FD240" s="225"/>
      <c r="FE240" s="225"/>
      <c r="FF240" s="225"/>
      <c r="FG240" s="10"/>
      <c r="FH240" s="225"/>
      <c r="FI240" s="10"/>
      <c r="FJ240" s="1"/>
      <c r="FK240" s="225">
        <v>-210</v>
      </c>
      <c r="FL240" s="225"/>
      <c r="FM240" s="225"/>
      <c r="FN240" s="225">
        <v>-375.65</v>
      </c>
      <c r="FO240" s="225">
        <v>-1207.73</v>
      </c>
      <c r="FP240" s="225"/>
      <c r="FQ240" s="225"/>
      <c r="FR240" s="225"/>
      <c r="FS240" s="225"/>
      <c r="FT240" s="191"/>
      <c r="FU240" s="225"/>
      <c r="FV240" s="151"/>
    </row>
    <row r="241" spans="1:178" ht="16" thickBot="1" x14ac:dyDescent="0.25">
      <c r="A241" s="27" t="s">
        <v>56</v>
      </c>
      <c r="B241" t="s">
        <v>141</v>
      </c>
      <c r="C241" s="1"/>
      <c r="D241">
        <v>23</v>
      </c>
      <c r="E241" s="17">
        <v>30</v>
      </c>
      <c r="F241" s="241">
        <v>34</v>
      </c>
      <c r="G241" s="87">
        <v>28</v>
      </c>
      <c r="H241" s="87">
        <v>39</v>
      </c>
      <c r="I241" s="87">
        <v>32</v>
      </c>
      <c r="J241" s="17"/>
      <c r="K241" s="17"/>
      <c r="L241" s="17"/>
      <c r="M241" s="17"/>
      <c r="N241" s="17"/>
      <c r="O241" s="17"/>
      <c r="P241" s="1"/>
      <c r="Q241" s="48">
        <v>2103.98</v>
      </c>
      <c r="R241" s="49">
        <v>636.98</v>
      </c>
      <c r="S241" s="49">
        <v>5764.84</v>
      </c>
      <c r="T241" s="50">
        <f t="shared" si="84"/>
        <v>8505.7999999999993</v>
      </c>
      <c r="U241" s="48">
        <v>4634.43</v>
      </c>
      <c r="V241" s="49">
        <v>1526.8</v>
      </c>
      <c r="W241" s="49">
        <v>4439.68</v>
      </c>
      <c r="X241" s="50">
        <f t="shared" si="85"/>
        <v>10600.91</v>
      </c>
      <c r="Y241" s="48">
        <v>4672.12</v>
      </c>
      <c r="Z241" s="49">
        <v>1453.38</v>
      </c>
      <c r="AA241" s="49">
        <v>5792.53</v>
      </c>
      <c r="AB241" s="50">
        <f t="shared" si="86"/>
        <v>11918.029999999999</v>
      </c>
      <c r="AC241" s="164">
        <v>3229.51</v>
      </c>
      <c r="AD241" s="165">
        <v>1423.88</v>
      </c>
      <c r="AE241" s="165">
        <v>6593.45</v>
      </c>
      <c r="AF241" s="151">
        <f t="shared" si="87"/>
        <v>11246.84</v>
      </c>
      <c r="AG241" s="191">
        <v>3857.3</v>
      </c>
      <c r="AH241" s="10">
        <v>1796.32</v>
      </c>
      <c r="AI241" s="10">
        <v>6819.6</v>
      </c>
      <c r="AJ241" s="151">
        <f t="shared" si="88"/>
        <v>12473.220000000001</v>
      </c>
      <c r="AK241" s="99">
        <v>2397.52</v>
      </c>
      <c r="AL241" s="100">
        <v>900.38</v>
      </c>
      <c r="AM241" s="99">
        <v>7497.13</v>
      </c>
      <c r="AN241" s="151">
        <f t="shared" si="89"/>
        <v>10795.03</v>
      </c>
      <c r="AO241" s="191"/>
      <c r="AP241" s="10"/>
      <c r="AQ241" s="10"/>
      <c r="AR241" s="151"/>
      <c r="AS241" s="191"/>
      <c r="AT241" s="192"/>
      <c r="AU241" s="192"/>
      <c r="AV241" s="151"/>
      <c r="AW241" s="192"/>
      <c r="AX241" s="192"/>
      <c r="AY241" s="192"/>
      <c r="AZ241" s="151"/>
      <c r="BA241" s="10"/>
      <c r="BB241" s="10"/>
      <c r="BC241" s="10"/>
      <c r="BD241" s="151"/>
      <c r="BE241" s="191"/>
      <c r="BF241" s="10"/>
      <c r="BG241" s="10"/>
      <c r="BH241" s="151"/>
      <c r="BI241" s="191"/>
      <c r="BJ241" s="10"/>
      <c r="BK241" s="10"/>
      <c r="BL241" s="151"/>
      <c r="BM241" s="1"/>
      <c r="BN241" s="48">
        <v>305.22000000000003</v>
      </c>
      <c r="BO241" s="49">
        <v>74.510000000000005</v>
      </c>
      <c r="BP241" s="49">
        <v>4552.91</v>
      </c>
      <c r="BQ241" s="50">
        <f t="shared" si="90"/>
        <v>4932.6399999999994</v>
      </c>
      <c r="BR241" s="48">
        <v>461.88</v>
      </c>
      <c r="BS241" s="49">
        <v>648.55999999999995</v>
      </c>
      <c r="BT241" s="49">
        <v>3521.97</v>
      </c>
      <c r="BU241" s="50">
        <f t="shared" si="91"/>
        <v>4632.41</v>
      </c>
      <c r="BV241" s="48">
        <v>3.41</v>
      </c>
      <c r="BW241" s="49">
        <v>970.26</v>
      </c>
      <c r="BX241" s="49">
        <v>3070.59</v>
      </c>
      <c r="BY241" s="50">
        <f t="shared" si="92"/>
        <v>4044.26</v>
      </c>
      <c r="BZ241" s="182">
        <v>956.49</v>
      </c>
      <c r="CA241" s="99">
        <v>1061.24</v>
      </c>
      <c r="CB241" s="99">
        <v>5663.38</v>
      </c>
      <c r="CC241" s="98">
        <f t="shared" si="93"/>
        <v>7681.1100000000006</v>
      </c>
      <c r="CD241" s="182">
        <v>864.74</v>
      </c>
      <c r="CE241" s="99">
        <v>2086.38</v>
      </c>
      <c r="CF241" s="99">
        <v>5421.5499999999993</v>
      </c>
      <c r="CG241" s="98">
        <f t="shared" si="94"/>
        <v>8372.6699999999983</v>
      </c>
      <c r="CH241" s="191">
        <v>295.45999999999998</v>
      </c>
      <c r="CI241" s="192">
        <v>1461.09</v>
      </c>
      <c r="CJ241" s="192">
        <v>6239.36</v>
      </c>
      <c r="CK241" s="98">
        <f t="shared" si="95"/>
        <v>7995.91</v>
      </c>
      <c r="CL241" s="111"/>
      <c r="CM241" s="111"/>
      <c r="CN241" s="111"/>
      <c r="CO241" s="112"/>
      <c r="CP241" s="191"/>
      <c r="CQ241" s="192"/>
      <c r="CR241" s="192"/>
      <c r="CS241" s="151"/>
      <c r="CT241" s="111"/>
      <c r="CU241" s="111"/>
      <c r="CV241" s="111"/>
      <c r="CW241" s="112"/>
      <c r="CX241" s="192"/>
      <c r="CY241" s="192"/>
      <c r="CZ241" s="192"/>
      <c r="DA241" s="151"/>
      <c r="DB241" s="10"/>
      <c r="DC241" s="10"/>
      <c r="DD241" s="10"/>
      <c r="DE241" s="151"/>
      <c r="DF241" s="192"/>
      <c r="DG241" s="192"/>
      <c r="DH241" s="192"/>
      <c r="DI241" s="151"/>
      <c r="DJ241" s="1"/>
      <c r="DK241" s="225">
        <v>134.21</v>
      </c>
      <c r="DL241" s="225"/>
      <c r="DM241" s="225">
        <v>942.87</v>
      </c>
      <c r="DN241" s="225">
        <v>820.5</v>
      </c>
      <c r="DO241" s="225">
        <v>1836.56</v>
      </c>
      <c r="DP241" s="225">
        <v>600.29</v>
      </c>
      <c r="DQ241" s="225"/>
      <c r="DR241" s="225"/>
      <c r="DS241" s="225"/>
      <c r="DT241" s="225"/>
      <c r="DU241" s="225"/>
      <c r="DV241" s="225"/>
      <c r="DW241" s="1"/>
      <c r="EJ241" s="1"/>
      <c r="EK241" s="17">
        <v>1</v>
      </c>
      <c r="EL241" s="17"/>
      <c r="EM241" s="17">
        <v>1</v>
      </c>
      <c r="EN241" s="17">
        <v>1</v>
      </c>
      <c r="EO241" s="17">
        <v>3</v>
      </c>
      <c r="EP241" s="17">
        <v>1</v>
      </c>
      <c r="EQ241" s="17"/>
      <c r="ER241" s="17"/>
      <c r="ES241" s="17"/>
      <c r="EU241" s="17"/>
      <c r="EW241" s="1"/>
      <c r="EX241" s="225">
        <v>134.21</v>
      </c>
      <c r="EY241" s="225"/>
      <c r="EZ241" s="225">
        <v>942.87</v>
      </c>
      <c r="FA241" s="225">
        <v>820.5</v>
      </c>
      <c r="FB241" s="225">
        <v>1836.56</v>
      </c>
      <c r="FC241" s="225">
        <v>600.29</v>
      </c>
      <c r="FD241" s="225"/>
      <c r="FE241" s="225"/>
      <c r="FF241" s="225"/>
      <c r="FG241" s="10"/>
      <c r="FH241" s="225"/>
      <c r="FI241" s="10"/>
      <c r="FJ241" s="1"/>
      <c r="FK241" s="225"/>
      <c r="FL241" s="225"/>
      <c r="FM241" s="225"/>
      <c r="FN241" s="225"/>
      <c r="FO241" s="225"/>
      <c r="FP241" s="225"/>
      <c r="FQ241" s="225"/>
      <c r="FR241" s="225"/>
      <c r="FS241" s="225"/>
      <c r="FT241" s="191"/>
      <c r="FU241" s="225"/>
      <c r="FV241" s="151"/>
    </row>
    <row r="242" spans="1:178" ht="16" thickBot="1" x14ac:dyDescent="0.25">
      <c r="A242" s="27" t="s">
        <v>57</v>
      </c>
      <c r="B242" t="s">
        <v>141</v>
      </c>
      <c r="C242" s="1"/>
      <c r="D242">
        <v>19</v>
      </c>
      <c r="E242" s="17">
        <v>10</v>
      </c>
      <c r="F242" s="241">
        <v>27</v>
      </c>
      <c r="G242" s="87">
        <v>33</v>
      </c>
      <c r="H242" s="87">
        <v>30</v>
      </c>
      <c r="I242" s="87">
        <v>25</v>
      </c>
      <c r="J242" s="17"/>
      <c r="K242" s="17"/>
      <c r="L242" s="17"/>
      <c r="M242" s="17"/>
      <c r="N242" s="17"/>
      <c r="O242" s="17"/>
      <c r="P242" s="1"/>
      <c r="Q242" s="48">
        <v>2140.98</v>
      </c>
      <c r="R242" s="49">
        <v>3726.56</v>
      </c>
      <c r="S242" s="49">
        <v>5924.33</v>
      </c>
      <c r="T242" s="50">
        <f t="shared" si="84"/>
        <v>11791.869999999999</v>
      </c>
      <c r="U242" s="48">
        <v>249.1</v>
      </c>
      <c r="V242" s="49">
        <v>364.98</v>
      </c>
      <c r="W242" s="49">
        <v>7489.81</v>
      </c>
      <c r="X242" s="50">
        <f t="shared" si="85"/>
        <v>8103.89</v>
      </c>
      <c r="Y242" s="48">
        <v>4880.9799999999996</v>
      </c>
      <c r="Z242" s="49">
        <v>3901.96</v>
      </c>
      <c r="AA242" s="49">
        <v>2885.35</v>
      </c>
      <c r="AB242" s="50">
        <f t="shared" si="86"/>
        <v>11668.289999999999</v>
      </c>
      <c r="AC242" s="164">
        <v>10873.89</v>
      </c>
      <c r="AD242" s="165">
        <v>4739.58</v>
      </c>
      <c r="AE242" s="165">
        <v>2692.55</v>
      </c>
      <c r="AF242" s="151">
        <f t="shared" si="87"/>
        <v>18306.02</v>
      </c>
      <c r="AG242" s="191">
        <v>956.86</v>
      </c>
      <c r="AH242" s="10">
        <v>11725.45</v>
      </c>
      <c r="AI242" s="10">
        <v>2553.19</v>
      </c>
      <c r="AJ242" s="151">
        <f t="shared" si="88"/>
        <v>15235.500000000002</v>
      </c>
      <c r="AK242" s="99">
        <v>1171.52</v>
      </c>
      <c r="AL242" s="99">
        <v>651.24</v>
      </c>
      <c r="AM242" s="99">
        <v>4301.6499999999996</v>
      </c>
      <c r="AN242" s="151">
        <f t="shared" si="89"/>
        <v>6124.41</v>
      </c>
      <c r="AO242" s="191"/>
      <c r="AP242" s="10"/>
      <c r="AQ242" s="10"/>
      <c r="AR242" s="151"/>
      <c r="AS242" s="191"/>
      <c r="AT242" s="192"/>
      <c r="AU242" s="192"/>
      <c r="AV242" s="151"/>
      <c r="AW242" s="192"/>
      <c r="AX242" s="192"/>
      <c r="AY242" s="192"/>
      <c r="AZ242" s="151"/>
      <c r="BA242" s="10"/>
      <c r="BB242" s="10"/>
      <c r="BC242" s="10"/>
      <c r="BD242" s="151"/>
      <c r="BE242" s="191"/>
      <c r="BF242" s="10"/>
      <c r="BG242" s="10"/>
      <c r="BH242" s="151"/>
      <c r="BI242" s="191"/>
      <c r="BJ242" s="10"/>
      <c r="BK242" s="10"/>
      <c r="BL242" s="151"/>
      <c r="BM242" s="1"/>
      <c r="BN242" s="48">
        <v>263.76</v>
      </c>
      <c r="BO242" s="49">
        <v>2409.6999999999998</v>
      </c>
      <c r="BP242" s="49">
        <v>5438.34</v>
      </c>
      <c r="BQ242" s="50">
        <f t="shared" si="90"/>
        <v>8111.8</v>
      </c>
      <c r="BR242" s="48"/>
      <c r="BS242" s="49"/>
      <c r="BT242" s="49">
        <v>7489.81</v>
      </c>
      <c r="BU242" s="50">
        <f t="shared" si="91"/>
        <v>7489.81</v>
      </c>
      <c r="BV242" s="48">
        <v>539.78</v>
      </c>
      <c r="BW242" s="49">
        <v>1861.95</v>
      </c>
      <c r="BX242" s="49">
        <v>2075.17</v>
      </c>
      <c r="BY242" s="50">
        <f t="shared" si="92"/>
        <v>4476.8999999999996</v>
      </c>
      <c r="BZ242" s="182">
        <v>661.12</v>
      </c>
      <c r="CA242" s="99">
        <v>3068.97</v>
      </c>
      <c r="CB242" s="99">
        <v>843.27</v>
      </c>
      <c r="CC242" s="98">
        <f t="shared" si="93"/>
        <v>4573.3599999999997</v>
      </c>
      <c r="CD242" s="182">
        <v>398.96</v>
      </c>
      <c r="CE242" s="99">
        <v>3638.97</v>
      </c>
      <c r="CF242" s="99">
        <v>2257.5700000000002</v>
      </c>
      <c r="CG242" s="98">
        <f t="shared" si="94"/>
        <v>6295.5</v>
      </c>
      <c r="CH242" s="191">
        <v>274.12</v>
      </c>
      <c r="CI242" s="192">
        <v>307.08999999999997</v>
      </c>
      <c r="CJ242" s="192">
        <v>2200.7200000000003</v>
      </c>
      <c r="CK242" s="98">
        <f t="shared" si="95"/>
        <v>2781.9300000000003</v>
      </c>
      <c r="CL242" s="111"/>
      <c r="CM242" s="111"/>
      <c r="CN242" s="111"/>
      <c r="CO242" s="112"/>
      <c r="CP242" s="191"/>
      <c r="CQ242" s="192"/>
      <c r="CR242" s="192"/>
      <c r="CS242" s="151"/>
      <c r="CT242" s="111"/>
      <c r="CU242" s="111"/>
      <c r="CV242" s="111"/>
      <c r="CW242" s="112"/>
      <c r="CX242" s="192"/>
      <c r="CY242" s="192"/>
      <c r="CZ242" s="192"/>
      <c r="DA242" s="151"/>
      <c r="DB242" s="10"/>
      <c r="DC242" s="10"/>
      <c r="DD242" s="10"/>
      <c r="DE242" s="151"/>
      <c r="DF242" s="192"/>
      <c r="DG242" s="192"/>
      <c r="DH242" s="192"/>
      <c r="DI242" s="151"/>
      <c r="DJ242" s="1"/>
      <c r="DK242" s="225"/>
      <c r="DL242" s="225"/>
      <c r="DM242" s="225"/>
      <c r="DN242" s="225">
        <v>249.1</v>
      </c>
      <c r="DO242" s="225">
        <v>1171.22</v>
      </c>
      <c r="DP242" s="225">
        <v>7364.49</v>
      </c>
      <c r="DQ242" s="225"/>
      <c r="DR242" s="225"/>
      <c r="DS242" s="225"/>
      <c r="DT242" s="225"/>
      <c r="DU242" s="225"/>
      <c r="DV242" s="225"/>
      <c r="DW242" s="1"/>
      <c r="EJ242" s="1"/>
      <c r="EK242" s="17"/>
      <c r="EL242" s="17"/>
      <c r="EM242" s="17"/>
      <c r="EN242" s="17">
        <v>1</v>
      </c>
      <c r="EO242" s="17">
        <v>1</v>
      </c>
      <c r="EP242" s="17">
        <v>5</v>
      </c>
      <c r="EQ242" s="17"/>
      <c r="ER242" s="17"/>
      <c r="ES242" s="17"/>
      <c r="EU242" s="17"/>
      <c r="EW242" s="1"/>
      <c r="EX242" s="225"/>
      <c r="EY242" s="225"/>
      <c r="EZ242" s="225"/>
      <c r="FA242" s="225">
        <v>238.5</v>
      </c>
      <c r="FB242" s="225">
        <v>1171.22</v>
      </c>
      <c r="FC242" s="225">
        <v>7364.49</v>
      </c>
      <c r="FD242" s="225"/>
      <c r="FE242" s="225"/>
      <c r="FF242" s="225"/>
      <c r="FG242" s="10"/>
      <c r="FH242" s="225"/>
      <c r="FI242" s="10"/>
      <c r="FJ242" s="1"/>
      <c r="FK242" s="225"/>
      <c r="FL242" s="225"/>
      <c r="FM242" s="225">
        <v>-764.29</v>
      </c>
      <c r="FN242" s="225"/>
      <c r="FO242" s="225">
        <v>-340.35</v>
      </c>
      <c r="FP242" s="225"/>
      <c r="FQ242" s="225"/>
      <c r="FR242" s="225"/>
      <c r="FS242" s="225"/>
      <c r="FT242" s="191"/>
      <c r="FU242" s="225"/>
      <c r="FV242" s="151"/>
    </row>
    <row r="243" spans="1:178" ht="16" thickBot="1" x14ac:dyDescent="0.25">
      <c r="A243" s="27" t="s">
        <v>58</v>
      </c>
      <c r="B243" t="s">
        <v>141</v>
      </c>
      <c r="C243" s="1"/>
      <c r="D243">
        <v>18</v>
      </c>
      <c r="E243" s="17">
        <v>23</v>
      </c>
      <c r="F243" s="241">
        <v>24</v>
      </c>
      <c r="G243" s="87">
        <v>19</v>
      </c>
      <c r="H243" s="87">
        <v>25</v>
      </c>
      <c r="I243" s="87">
        <v>30</v>
      </c>
      <c r="J243" s="17"/>
      <c r="K243" s="17"/>
      <c r="L243" s="17"/>
      <c r="M243" s="17"/>
      <c r="N243" s="17"/>
      <c r="O243" s="17"/>
      <c r="P243" s="1"/>
      <c r="Q243" s="48">
        <v>1810.18</v>
      </c>
      <c r="R243" s="49">
        <v>737.09</v>
      </c>
      <c r="S243" s="49">
        <v>4351.1099999999997</v>
      </c>
      <c r="T243" s="50">
        <f t="shared" si="84"/>
        <v>6898.3799999999992</v>
      </c>
      <c r="U243" s="48">
        <v>3654.39</v>
      </c>
      <c r="V243" s="49">
        <v>180.1</v>
      </c>
      <c r="W243" s="49">
        <v>5416.7</v>
      </c>
      <c r="X243" s="50">
        <f t="shared" si="85"/>
        <v>9251.1899999999987</v>
      </c>
      <c r="Y243" s="48">
        <v>3368.92</v>
      </c>
      <c r="Z243" s="49">
        <v>2801.85</v>
      </c>
      <c r="AA243" s="49">
        <v>5426.07</v>
      </c>
      <c r="AB243" s="50">
        <f t="shared" si="86"/>
        <v>11596.84</v>
      </c>
      <c r="AC243" s="164">
        <v>570.84</v>
      </c>
      <c r="AD243" s="165">
        <v>3871.75</v>
      </c>
      <c r="AE243" s="165">
        <v>5220.84</v>
      </c>
      <c r="AF243" s="151">
        <f t="shared" si="87"/>
        <v>9663.43</v>
      </c>
      <c r="AG243" s="191">
        <v>2268.61</v>
      </c>
      <c r="AH243" s="10">
        <v>1463.22</v>
      </c>
      <c r="AI243" s="10">
        <v>4720.92</v>
      </c>
      <c r="AJ243" s="151">
        <f t="shared" si="88"/>
        <v>8452.75</v>
      </c>
      <c r="AK243" s="99">
        <v>1974.19</v>
      </c>
      <c r="AL243" s="99">
        <v>1395.24</v>
      </c>
      <c r="AM243" s="99">
        <v>1427.53</v>
      </c>
      <c r="AN243" s="151">
        <f t="shared" si="89"/>
        <v>4796.96</v>
      </c>
      <c r="AO243" s="191"/>
      <c r="AP243" s="10"/>
      <c r="AQ243" s="10"/>
      <c r="AR243" s="151"/>
      <c r="AS243" s="191"/>
      <c r="AT243" s="192"/>
      <c r="AU243" s="192"/>
      <c r="AV243" s="151"/>
      <c r="AW243" s="192"/>
      <c r="AX243" s="192"/>
      <c r="AY243" s="192"/>
      <c r="AZ243" s="151"/>
      <c r="BA243" s="10"/>
      <c r="BB243" s="10"/>
      <c r="BC243" s="10"/>
      <c r="BD243" s="151"/>
      <c r="BE243" s="191"/>
      <c r="BF243" s="10"/>
      <c r="BG243" s="10"/>
      <c r="BH243" s="151"/>
      <c r="BI243" s="191"/>
      <c r="BJ243" s="10"/>
      <c r="BK243" s="10"/>
      <c r="BL243" s="151"/>
      <c r="BM243" s="1"/>
      <c r="BN243" s="48">
        <v>352.26</v>
      </c>
      <c r="BO243" s="49"/>
      <c r="BP243" s="49">
        <v>4192.83</v>
      </c>
      <c r="BQ243" s="50">
        <f t="shared" si="90"/>
        <v>4545.09</v>
      </c>
      <c r="BR243" s="48">
        <v>389.89</v>
      </c>
      <c r="BS243" s="49">
        <v>180.1</v>
      </c>
      <c r="BT243" s="49">
        <v>4778.07</v>
      </c>
      <c r="BU243" s="50">
        <f t="shared" si="91"/>
        <v>5348.0599999999995</v>
      </c>
      <c r="BV243" s="48">
        <v>428.08</v>
      </c>
      <c r="BW243" s="49">
        <v>318.33999999999997</v>
      </c>
      <c r="BX243" s="49">
        <v>5374.2</v>
      </c>
      <c r="BY243" s="50">
        <f t="shared" si="92"/>
        <v>6120.62</v>
      </c>
      <c r="BZ243" s="182"/>
      <c r="CA243" s="266">
        <v>3829.54</v>
      </c>
      <c r="CB243" s="99">
        <v>4180.3</v>
      </c>
      <c r="CC243" s="98">
        <f t="shared" si="93"/>
        <v>8009.84</v>
      </c>
      <c r="CD243" s="182">
        <v>1060.1600000000001</v>
      </c>
      <c r="CE243" s="99">
        <v>1360.34</v>
      </c>
      <c r="CF243" s="99">
        <v>4336.63</v>
      </c>
      <c r="CG243" s="98">
        <f t="shared" si="94"/>
        <v>6757.13</v>
      </c>
      <c r="CH243" s="191">
        <v>331.9</v>
      </c>
      <c r="CI243" s="192">
        <v>2683.49</v>
      </c>
      <c r="CJ243" s="192">
        <v>1321.3600000000001</v>
      </c>
      <c r="CK243" s="98">
        <f t="shared" si="95"/>
        <v>4336.75</v>
      </c>
      <c r="CL243" s="111"/>
      <c r="CM243" s="111"/>
      <c r="CN243" s="111"/>
      <c r="CO243" s="112"/>
      <c r="CP243" s="191"/>
      <c r="CQ243" s="192"/>
      <c r="CR243" s="192"/>
      <c r="CS243" s="151"/>
      <c r="CT243" s="111"/>
      <c r="CU243" s="111"/>
      <c r="CV243" s="111"/>
      <c r="CW243" s="112"/>
      <c r="CX243" s="192"/>
      <c r="CY243" s="192"/>
      <c r="CZ243" s="192"/>
      <c r="DA243" s="151"/>
      <c r="DB243" s="10"/>
      <c r="DC243" s="10"/>
      <c r="DD243" s="10"/>
      <c r="DE243" s="151"/>
      <c r="DF243" s="192"/>
      <c r="DG243" s="192"/>
      <c r="DH243" s="192"/>
      <c r="DI243" s="151"/>
      <c r="DJ243" s="1"/>
      <c r="DK243" s="225">
        <v>2088.62</v>
      </c>
      <c r="DL243" s="225"/>
      <c r="DM243" s="225">
        <v>419.44</v>
      </c>
      <c r="DN243" s="225">
        <v>730.64</v>
      </c>
      <c r="DO243" s="225">
        <v>1097.46</v>
      </c>
      <c r="DP243" s="225">
        <v>1678.91</v>
      </c>
      <c r="DQ243" s="225"/>
      <c r="DR243" s="225"/>
      <c r="DS243" s="225"/>
      <c r="DT243" s="225"/>
      <c r="DU243" s="225"/>
      <c r="DV243" s="225"/>
      <c r="DW243" s="1"/>
      <c r="EJ243" s="1"/>
      <c r="EK243" s="17">
        <v>3</v>
      </c>
      <c r="EL243" s="17"/>
      <c r="EM243" s="17">
        <v>1</v>
      </c>
      <c r="EN243" s="17">
        <v>1</v>
      </c>
      <c r="EO243" s="17">
        <v>1</v>
      </c>
      <c r="EP243" s="17">
        <v>3</v>
      </c>
      <c r="EQ243" s="17"/>
      <c r="ER243" s="17"/>
      <c r="ES243" s="17"/>
      <c r="EU243" s="17"/>
      <c r="EW243" s="1"/>
      <c r="EX243" s="225">
        <v>2077.61</v>
      </c>
      <c r="EY243" s="225"/>
      <c r="EZ243" s="225">
        <v>419.44</v>
      </c>
      <c r="FA243" s="225">
        <v>730.64</v>
      </c>
      <c r="FB243" s="225">
        <v>1097.46</v>
      </c>
      <c r="FC243" s="225">
        <v>1678.91</v>
      </c>
      <c r="FD243" s="225"/>
      <c r="FE243" s="225"/>
      <c r="FF243" s="225"/>
      <c r="FG243" s="10"/>
      <c r="FH243" s="225"/>
      <c r="FI243" s="10"/>
      <c r="FJ243" s="1"/>
      <c r="FK243" s="225">
        <v>-250</v>
      </c>
      <c r="FL243" s="225">
        <v>-250</v>
      </c>
      <c r="FM243" s="225"/>
      <c r="FN243" s="225"/>
      <c r="FO243" s="225"/>
      <c r="FP243" s="225"/>
      <c r="FQ243" s="225"/>
      <c r="FR243" s="225"/>
      <c r="FS243" s="225"/>
      <c r="FT243" s="191"/>
      <c r="FU243" s="225"/>
      <c r="FV243" s="151"/>
    </row>
    <row r="244" spans="1:178" ht="16" thickBot="1" x14ac:dyDescent="0.25">
      <c r="A244" s="27" t="s">
        <v>59</v>
      </c>
      <c r="B244" t="s">
        <v>141</v>
      </c>
      <c r="C244" s="1"/>
      <c r="D244">
        <v>38</v>
      </c>
      <c r="E244" s="17">
        <v>41</v>
      </c>
      <c r="F244" s="241">
        <v>46</v>
      </c>
      <c r="G244" s="87">
        <v>42</v>
      </c>
      <c r="H244" s="87">
        <v>48</v>
      </c>
      <c r="I244" s="87">
        <v>50</v>
      </c>
      <c r="J244" s="17"/>
      <c r="K244" s="17"/>
      <c r="L244" s="17"/>
      <c r="M244" s="17"/>
      <c r="N244" s="17"/>
      <c r="O244" s="17"/>
      <c r="P244" s="1"/>
      <c r="Q244" s="48">
        <v>3358.59</v>
      </c>
      <c r="R244" s="49">
        <v>2680.88</v>
      </c>
      <c r="S244" s="49">
        <v>7161.17</v>
      </c>
      <c r="T244" s="50">
        <f t="shared" si="84"/>
        <v>13200.64</v>
      </c>
      <c r="U244" s="48">
        <v>5471.7</v>
      </c>
      <c r="V244" s="49">
        <v>5181.21</v>
      </c>
      <c r="W244" s="49">
        <v>9148.25</v>
      </c>
      <c r="X244" s="50">
        <f t="shared" si="85"/>
        <v>19801.16</v>
      </c>
      <c r="Y244" s="48">
        <v>4723.6099999999997</v>
      </c>
      <c r="Z244" s="49">
        <v>8084.38</v>
      </c>
      <c r="AA244" s="49">
        <v>13279.380000000001</v>
      </c>
      <c r="AB244" s="50">
        <f t="shared" si="86"/>
        <v>26087.370000000003</v>
      </c>
      <c r="AC244" s="164">
        <v>2165.92</v>
      </c>
      <c r="AD244" s="165">
        <v>5836.17</v>
      </c>
      <c r="AE244" s="165">
        <v>17681.3</v>
      </c>
      <c r="AF244" s="151">
        <f t="shared" si="87"/>
        <v>25683.39</v>
      </c>
      <c r="AG244" s="191">
        <v>5843.65</v>
      </c>
      <c r="AH244" s="10">
        <v>3463.29</v>
      </c>
      <c r="AI244" s="10">
        <v>21066.65</v>
      </c>
      <c r="AJ244" s="151">
        <f t="shared" si="88"/>
        <v>30373.59</v>
      </c>
      <c r="AK244" s="99">
        <v>3639.61</v>
      </c>
      <c r="AL244" s="99">
        <v>2139.21</v>
      </c>
      <c r="AM244" s="99">
        <v>25194.579999999998</v>
      </c>
      <c r="AN244" s="151">
        <f t="shared" si="89"/>
        <v>30973.399999999998</v>
      </c>
      <c r="AO244" s="191"/>
      <c r="AP244" s="10"/>
      <c r="AQ244" s="10"/>
      <c r="AR244" s="151"/>
      <c r="AS244" s="191"/>
      <c r="AT244" s="192"/>
      <c r="AU244" s="192"/>
      <c r="AV244" s="151"/>
      <c r="AW244" s="192"/>
      <c r="AX244" s="192"/>
      <c r="AY244" s="192"/>
      <c r="AZ244" s="151"/>
      <c r="BA244" s="10"/>
      <c r="BB244" s="10"/>
      <c r="BC244" s="10"/>
      <c r="BD244" s="151"/>
      <c r="BE244" s="191"/>
      <c r="BF244" s="10"/>
      <c r="BG244" s="10"/>
      <c r="BH244" s="151"/>
      <c r="BI244" s="191"/>
      <c r="BJ244" s="10"/>
      <c r="BK244" s="10"/>
      <c r="BL244" s="151"/>
      <c r="BM244" s="1"/>
      <c r="BN244" s="48">
        <v>1784.18</v>
      </c>
      <c r="BO244" s="49">
        <v>1693.69</v>
      </c>
      <c r="BP244" s="49">
        <v>3353.04</v>
      </c>
      <c r="BQ244" s="50">
        <f t="shared" si="90"/>
        <v>6830.91</v>
      </c>
      <c r="BR244" s="48">
        <v>1923.9</v>
      </c>
      <c r="BS244" s="49">
        <v>3293.27</v>
      </c>
      <c r="BT244" s="49">
        <v>6459.63</v>
      </c>
      <c r="BU244" s="50">
        <f t="shared" si="91"/>
        <v>11676.8</v>
      </c>
      <c r="BV244" s="48">
        <v>1581.57</v>
      </c>
      <c r="BW244" s="49">
        <v>4463.57</v>
      </c>
      <c r="BX244" s="49">
        <v>7391.8099999999995</v>
      </c>
      <c r="BY244" s="50">
        <f t="shared" si="92"/>
        <v>13436.949999999999</v>
      </c>
      <c r="BZ244" s="182">
        <v>663.92</v>
      </c>
      <c r="CA244" s="99">
        <v>3309.13</v>
      </c>
      <c r="CB244" s="99">
        <v>12483.48</v>
      </c>
      <c r="CC244" s="98">
        <f t="shared" si="93"/>
        <v>16456.53</v>
      </c>
      <c r="CD244" s="182">
        <v>856.47</v>
      </c>
      <c r="CE244" s="99">
        <v>1604.28</v>
      </c>
      <c r="CF244" s="99">
        <v>15361.74</v>
      </c>
      <c r="CG244" s="98">
        <f t="shared" si="94"/>
        <v>17822.489999999998</v>
      </c>
      <c r="CH244" s="191">
        <v>1098.1300000000001</v>
      </c>
      <c r="CI244" s="192">
        <v>3093.46</v>
      </c>
      <c r="CJ244" s="192">
        <v>17627.259999999998</v>
      </c>
      <c r="CK244" s="98">
        <f t="shared" si="95"/>
        <v>21818.85</v>
      </c>
      <c r="CL244" s="111"/>
      <c r="CM244" s="111"/>
      <c r="CN244" s="111"/>
      <c r="CO244" s="112"/>
      <c r="CP244" s="191"/>
      <c r="CQ244" s="192"/>
      <c r="CR244" s="192"/>
      <c r="CS244" s="151"/>
      <c r="CT244" s="111"/>
      <c r="CU244" s="111"/>
      <c r="CV244" s="111"/>
      <c r="CW244" s="112"/>
      <c r="CX244" s="192"/>
      <c r="CY244" s="192"/>
      <c r="CZ244" s="192"/>
      <c r="DA244" s="151"/>
      <c r="DB244" s="10"/>
      <c r="DC244" s="10"/>
      <c r="DD244" s="10"/>
      <c r="DE244" s="151"/>
      <c r="DF244" s="192"/>
      <c r="DG244" s="192"/>
      <c r="DH244" s="192"/>
      <c r="DI244" s="151"/>
      <c r="DJ244" s="1"/>
      <c r="DK244" s="225"/>
      <c r="DL244" s="225">
        <v>1152.46</v>
      </c>
      <c r="DM244" s="225"/>
      <c r="DN244" s="225">
        <v>2365.62</v>
      </c>
      <c r="DO244" s="225">
        <v>604.51</v>
      </c>
      <c r="DP244" s="225">
        <v>2301.0700000000002</v>
      </c>
      <c r="DQ244" s="225"/>
      <c r="DR244" s="225"/>
      <c r="DS244" s="225"/>
      <c r="DT244" s="225"/>
      <c r="DU244" s="225"/>
      <c r="DV244" s="225"/>
      <c r="DW244" s="1"/>
      <c r="EJ244" s="1"/>
      <c r="EK244" s="17"/>
      <c r="EL244" s="17">
        <v>3</v>
      </c>
      <c r="EM244" s="17"/>
      <c r="EN244" s="17">
        <v>3</v>
      </c>
      <c r="EO244" s="17">
        <v>1</v>
      </c>
      <c r="EP244" s="17">
        <v>1</v>
      </c>
      <c r="EQ244" s="17"/>
      <c r="ER244" s="17"/>
      <c r="ES244" s="17"/>
      <c r="EU244" s="17"/>
      <c r="EW244" s="1"/>
      <c r="EX244" s="225"/>
      <c r="EY244" s="225">
        <v>1152.46</v>
      </c>
      <c r="EZ244" s="225"/>
      <c r="FA244" s="225">
        <v>2365.62</v>
      </c>
      <c r="FB244" s="225">
        <v>604.51</v>
      </c>
      <c r="FC244" s="225">
        <v>2301.0700000000002</v>
      </c>
      <c r="FD244" s="225"/>
      <c r="FE244" s="225"/>
      <c r="FF244" s="225"/>
      <c r="FG244" s="10"/>
      <c r="FH244" s="225"/>
      <c r="FI244" s="10"/>
      <c r="FJ244" s="1"/>
      <c r="FK244" s="225"/>
      <c r="FL244" s="225"/>
      <c r="FM244" s="225"/>
      <c r="FN244" s="225">
        <v>-88.91</v>
      </c>
      <c r="FO244" s="225"/>
      <c r="FP244" s="225"/>
      <c r="FQ244" s="225"/>
      <c r="FR244" s="225"/>
      <c r="FS244" s="225"/>
      <c r="FT244" s="191"/>
      <c r="FU244" s="225"/>
      <c r="FV244" s="151"/>
    </row>
    <row r="245" spans="1:178" ht="16" thickBot="1" x14ac:dyDescent="0.25">
      <c r="A245" s="27" t="s">
        <v>60</v>
      </c>
      <c r="B245" t="s">
        <v>141</v>
      </c>
      <c r="C245" s="1"/>
      <c r="D245">
        <v>9</v>
      </c>
      <c r="E245" s="17">
        <v>10</v>
      </c>
      <c r="F245" s="241">
        <v>8</v>
      </c>
      <c r="G245" s="87">
        <v>6</v>
      </c>
      <c r="H245" s="87">
        <v>7</v>
      </c>
      <c r="I245" s="87">
        <v>9</v>
      </c>
      <c r="J245" s="17"/>
      <c r="K245" s="17"/>
      <c r="L245" s="17"/>
      <c r="M245" s="17"/>
      <c r="N245" s="17"/>
      <c r="O245" s="17"/>
      <c r="P245" s="1"/>
      <c r="Q245" s="48">
        <v>882.94</v>
      </c>
      <c r="R245" s="49">
        <v>8346.51</v>
      </c>
      <c r="S245" s="49">
        <v>322.64999999999998</v>
      </c>
      <c r="T245" s="50">
        <f t="shared" si="84"/>
        <v>9552.1</v>
      </c>
      <c r="U245" s="48">
        <v>1317</v>
      </c>
      <c r="V245" s="49">
        <v>542.39</v>
      </c>
      <c r="W245" s="49">
        <v>692.81999999999994</v>
      </c>
      <c r="X245" s="50">
        <f t="shared" si="85"/>
        <v>2552.21</v>
      </c>
      <c r="Y245" s="48">
        <v>977.02</v>
      </c>
      <c r="Z245" s="49">
        <v>0</v>
      </c>
      <c r="AA245" s="49">
        <v>1582.2199999999998</v>
      </c>
      <c r="AB245" s="50">
        <f t="shared" si="86"/>
        <v>2559.2399999999998</v>
      </c>
      <c r="AC245" s="164">
        <v>33.979999999999997</v>
      </c>
      <c r="AD245" s="165">
        <v>775.1</v>
      </c>
      <c r="AE245" s="165">
        <v>2070.4699999999998</v>
      </c>
      <c r="AF245" s="151">
        <f t="shared" si="87"/>
        <v>2879.5499999999997</v>
      </c>
      <c r="AG245" s="191">
        <v>392.46</v>
      </c>
      <c r="AH245" s="10">
        <v>212.4</v>
      </c>
      <c r="AI245" s="10">
        <v>2356.02</v>
      </c>
      <c r="AJ245" s="151">
        <f t="shared" si="88"/>
        <v>2960.88</v>
      </c>
      <c r="AK245" s="100">
        <v>309.22000000000003</v>
      </c>
      <c r="AL245" s="100">
        <v>264.98</v>
      </c>
      <c r="AM245" s="99">
        <v>2609.5700000000002</v>
      </c>
      <c r="AN245" s="151">
        <f t="shared" si="89"/>
        <v>3183.7700000000004</v>
      </c>
      <c r="AO245" s="191"/>
      <c r="AP245" s="10"/>
      <c r="AQ245" s="10"/>
      <c r="AR245" s="151"/>
      <c r="AS245" s="191"/>
      <c r="AT245" s="192"/>
      <c r="AU245" s="192"/>
      <c r="AV245" s="151"/>
      <c r="AW245" s="192"/>
      <c r="AX245" s="192"/>
      <c r="AY245" s="192"/>
      <c r="AZ245" s="151"/>
      <c r="BA245" s="10"/>
      <c r="BB245" s="10"/>
      <c r="BC245" s="10"/>
      <c r="BD245" s="151"/>
      <c r="BE245" s="191"/>
      <c r="BF245" s="10"/>
      <c r="BG245" s="10"/>
      <c r="BH245" s="151"/>
      <c r="BI245" s="191"/>
      <c r="BJ245" s="10"/>
      <c r="BK245" s="10"/>
      <c r="BL245" s="151"/>
      <c r="BM245" s="1"/>
      <c r="BN245" s="48">
        <v>602.30999999999995</v>
      </c>
      <c r="BO245" s="49">
        <v>182.42</v>
      </c>
      <c r="BP245" s="49">
        <v>322.64999999999998</v>
      </c>
      <c r="BQ245" s="50">
        <f t="shared" si="90"/>
        <v>1107.3799999999999</v>
      </c>
      <c r="BR245" s="48">
        <v>805.51</v>
      </c>
      <c r="BS245" s="49">
        <v>542.39</v>
      </c>
      <c r="BT245" s="49">
        <v>618.42999999999995</v>
      </c>
      <c r="BU245" s="50">
        <f t="shared" si="91"/>
        <v>1966.33</v>
      </c>
      <c r="BV245" s="48">
        <v>399.49</v>
      </c>
      <c r="BW245" s="49"/>
      <c r="BX245" s="49">
        <v>1582.2199999999998</v>
      </c>
      <c r="BY245" s="50">
        <f t="shared" si="92"/>
        <v>1981.7099999999998</v>
      </c>
      <c r="BZ245" s="183"/>
      <c r="CA245" s="266">
        <v>751.24</v>
      </c>
      <c r="CB245" s="99">
        <v>2070.4699999999998</v>
      </c>
      <c r="CC245" s="98">
        <f t="shared" si="93"/>
        <v>2821.71</v>
      </c>
      <c r="CD245" s="182"/>
      <c r="CE245" s="266">
        <v>9800</v>
      </c>
      <c r="CF245" s="99">
        <v>2356.02</v>
      </c>
      <c r="CG245" s="98">
        <f t="shared" si="94"/>
        <v>12156.02</v>
      </c>
      <c r="CH245" s="191">
        <v>45.78</v>
      </c>
      <c r="CI245" s="192">
        <v>426</v>
      </c>
      <c r="CJ245" s="192">
        <v>2609.5700000000002</v>
      </c>
      <c r="CK245" s="98">
        <f t="shared" si="95"/>
        <v>3081.3500000000004</v>
      </c>
      <c r="CL245" s="111"/>
      <c r="CM245" s="111"/>
      <c r="CN245" s="111"/>
      <c r="CO245" s="112"/>
      <c r="CP245" s="191"/>
      <c r="CQ245" s="192"/>
      <c r="CR245" s="192"/>
      <c r="CS245" s="151"/>
      <c r="CT245" s="111"/>
      <c r="CU245" s="111"/>
      <c r="CV245" s="111"/>
      <c r="CW245" s="112"/>
      <c r="CX245" s="192"/>
      <c r="CY245" s="192"/>
      <c r="CZ245" s="192"/>
      <c r="DA245" s="151"/>
      <c r="DB245" s="10"/>
      <c r="DC245" s="10"/>
      <c r="DD245" s="10"/>
      <c r="DE245" s="151"/>
      <c r="DF245" s="192"/>
      <c r="DG245" s="192"/>
      <c r="DH245" s="192"/>
      <c r="DI245" s="151"/>
      <c r="DJ245" s="1"/>
      <c r="DK245" s="225"/>
      <c r="DL245" s="225">
        <v>8089.7</v>
      </c>
      <c r="DM245" s="225">
        <v>74.39</v>
      </c>
      <c r="DN245" s="225"/>
      <c r="DO245" s="225"/>
      <c r="DP245" s="225"/>
      <c r="DQ245" s="225"/>
      <c r="DR245" s="225"/>
      <c r="DS245" s="225"/>
      <c r="DT245" s="225"/>
      <c r="DU245" s="225"/>
      <c r="DV245" s="225"/>
      <c r="DW245" s="1"/>
      <c r="EJ245" s="1"/>
      <c r="EK245" s="17"/>
      <c r="EL245" s="17">
        <v>1</v>
      </c>
      <c r="EM245" s="17">
        <v>2</v>
      </c>
      <c r="EN245" s="17"/>
      <c r="EO245" s="17"/>
      <c r="EP245" s="17"/>
      <c r="EQ245" s="17"/>
      <c r="ER245" s="17"/>
      <c r="ES245" s="17"/>
      <c r="EU245" s="17"/>
      <c r="EW245" s="1"/>
      <c r="EX245" s="225"/>
      <c r="EY245" s="225">
        <v>8089.7</v>
      </c>
      <c r="EZ245" s="225">
        <v>74.39</v>
      </c>
      <c r="FA245" s="225"/>
      <c r="FB245" s="225"/>
      <c r="FC245" s="225"/>
      <c r="FD245" s="225"/>
      <c r="FE245" s="225"/>
      <c r="FF245" s="225"/>
      <c r="FG245" s="10"/>
      <c r="FH245" s="225"/>
      <c r="FI245" s="10"/>
      <c r="FJ245" s="1"/>
      <c r="FK245" s="225"/>
      <c r="FL245" s="225"/>
      <c r="FM245" s="225"/>
      <c r="FN245" s="225"/>
      <c r="FO245" s="225"/>
      <c r="FP245" s="225"/>
      <c r="FQ245" s="225"/>
      <c r="FR245" s="225"/>
      <c r="FS245" s="225"/>
      <c r="FT245" s="191"/>
      <c r="FU245" s="225"/>
      <c r="FV245" s="151"/>
    </row>
    <row r="246" spans="1:178" ht="16" thickBot="1" x14ac:dyDescent="0.25">
      <c r="A246" s="27" t="s">
        <v>61</v>
      </c>
      <c r="B246" t="s">
        <v>141</v>
      </c>
      <c r="C246" s="1"/>
      <c r="D246">
        <v>4</v>
      </c>
      <c r="E246" s="17">
        <v>4</v>
      </c>
      <c r="F246" s="241">
        <v>4</v>
      </c>
      <c r="G246" s="87">
        <v>7</v>
      </c>
      <c r="H246" s="87">
        <v>5</v>
      </c>
      <c r="I246" s="87">
        <v>5</v>
      </c>
      <c r="J246" s="17"/>
      <c r="K246" s="17"/>
      <c r="L246" s="17"/>
      <c r="M246" s="17"/>
      <c r="N246" s="17"/>
      <c r="O246" s="17"/>
      <c r="P246" s="1"/>
      <c r="Q246" s="48">
        <v>395.5</v>
      </c>
      <c r="R246" s="49">
        <v>269.64</v>
      </c>
      <c r="S246" s="49">
        <v>0</v>
      </c>
      <c r="T246" s="50">
        <f t="shared" si="84"/>
        <v>665.14</v>
      </c>
      <c r="U246" s="48">
        <v>199.25</v>
      </c>
      <c r="V246" s="49">
        <v>196.13</v>
      </c>
      <c r="W246" s="49">
        <v>495.22</v>
      </c>
      <c r="X246" s="50">
        <f t="shared" si="85"/>
        <v>890.6</v>
      </c>
      <c r="Y246" s="48">
        <v>416.54</v>
      </c>
      <c r="Z246" s="49">
        <v>221.01</v>
      </c>
      <c r="AA246" s="49">
        <v>0</v>
      </c>
      <c r="AB246" s="50">
        <f t="shared" si="86"/>
        <v>637.54999999999995</v>
      </c>
      <c r="AC246" s="164">
        <v>881.16</v>
      </c>
      <c r="AD246" s="165">
        <v>246.44</v>
      </c>
      <c r="AE246" s="165">
        <v>0</v>
      </c>
      <c r="AF246" s="151">
        <f t="shared" si="87"/>
        <v>1127.5999999999999</v>
      </c>
      <c r="AG246" s="191">
        <v>20.14</v>
      </c>
      <c r="AH246" s="10">
        <v>917.93</v>
      </c>
      <c r="AI246" s="10">
        <v>0</v>
      </c>
      <c r="AJ246" s="151">
        <f t="shared" si="88"/>
        <v>938.06999999999994</v>
      </c>
      <c r="AK246" s="100">
        <v>206.02</v>
      </c>
      <c r="AL246" s="100">
        <v>92.41</v>
      </c>
      <c r="AM246" s="100">
        <v>263.75</v>
      </c>
      <c r="AN246" s="151">
        <f t="shared" si="89"/>
        <v>562.18000000000006</v>
      </c>
      <c r="AO246" s="191"/>
      <c r="AP246" s="10"/>
      <c r="AQ246" s="10"/>
      <c r="AR246" s="151"/>
      <c r="AS246" s="191"/>
      <c r="AT246" s="192"/>
      <c r="AU246" s="192"/>
      <c r="AV246" s="151"/>
      <c r="AW246" s="192"/>
      <c r="AX246" s="192"/>
      <c r="AY246" s="192"/>
      <c r="AZ246" s="151"/>
      <c r="BA246" s="10"/>
      <c r="BB246" s="10"/>
      <c r="BC246" s="10"/>
      <c r="BD246" s="151"/>
      <c r="BE246" s="191"/>
      <c r="BF246" s="10"/>
      <c r="BG246" s="10"/>
      <c r="BH246" s="151"/>
      <c r="BI246" s="191"/>
      <c r="BJ246" s="10"/>
      <c r="BK246" s="10"/>
      <c r="BL246" s="151"/>
      <c r="BM246" s="1"/>
      <c r="BN246" s="48"/>
      <c r="BO246" s="49"/>
      <c r="BP246" s="49">
        <v>0</v>
      </c>
      <c r="BQ246" s="50">
        <f t="shared" si="90"/>
        <v>0</v>
      </c>
      <c r="BR246" s="48"/>
      <c r="BS246" s="49"/>
      <c r="BT246" s="49">
        <v>0</v>
      </c>
      <c r="BU246" s="50">
        <f t="shared" si="91"/>
        <v>0</v>
      </c>
      <c r="BV246" s="48"/>
      <c r="BW246" s="49"/>
      <c r="BX246" s="49">
        <v>0</v>
      </c>
      <c r="BY246" s="50">
        <f t="shared" si="92"/>
        <v>0</v>
      </c>
      <c r="BZ246" s="183"/>
      <c r="CA246" s="266"/>
      <c r="CB246" s="266"/>
      <c r="CC246" s="98">
        <f t="shared" si="93"/>
        <v>0</v>
      </c>
      <c r="CD246" s="183"/>
      <c r="CE246" s="266"/>
      <c r="CF246" s="266"/>
      <c r="CG246" s="98">
        <f t="shared" si="94"/>
        <v>0</v>
      </c>
      <c r="CH246" s="191"/>
      <c r="CI246" s="192"/>
      <c r="CJ246" s="192">
        <v>0</v>
      </c>
      <c r="CK246" s="98">
        <f t="shared" si="95"/>
        <v>0</v>
      </c>
      <c r="CL246" s="111"/>
      <c r="CM246" s="111"/>
      <c r="CN246" s="111"/>
      <c r="CO246" s="112"/>
      <c r="CP246" s="191"/>
      <c r="CQ246" s="192"/>
      <c r="CR246" s="192"/>
      <c r="CS246" s="151"/>
      <c r="CT246" s="111"/>
      <c r="CU246" s="111"/>
      <c r="CV246" s="111"/>
      <c r="CW246" s="112"/>
      <c r="CX246" s="192"/>
      <c r="CY246" s="192"/>
      <c r="CZ246" s="192"/>
      <c r="DA246" s="151"/>
      <c r="DB246" s="10"/>
      <c r="DC246" s="10"/>
      <c r="DD246" s="10"/>
      <c r="DE246" s="151"/>
      <c r="DF246" s="192"/>
      <c r="DG246" s="192"/>
      <c r="DH246" s="192"/>
      <c r="DI246" s="151"/>
      <c r="DJ246" s="1"/>
      <c r="DK246" s="225"/>
      <c r="DL246" s="225"/>
      <c r="DM246" s="225"/>
      <c r="DN246" s="225"/>
      <c r="DO246" s="225"/>
      <c r="DP246" s="225"/>
      <c r="DQ246" s="225"/>
      <c r="DR246" s="225"/>
      <c r="DS246" s="225"/>
      <c r="DT246" s="225"/>
      <c r="DU246" s="225"/>
      <c r="DV246" s="225"/>
      <c r="DW246" s="1"/>
      <c r="EJ246" s="1"/>
      <c r="EK246" s="17"/>
      <c r="EL246" s="17"/>
      <c r="EM246" s="17"/>
      <c r="EN246" s="17"/>
      <c r="EO246" s="17"/>
      <c r="EP246" s="17"/>
      <c r="EQ246" s="17"/>
      <c r="ER246" s="17"/>
      <c r="ES246" s="17"/>
      <c r="EU246" s="17"/>
      <c r="EW246" s="1"/>
      <c r="EX246" s="225"/>
      <c r="EY246" s="225"/>
      <c r="EZ246" s="225"/>
      <c r="FA246" s="225"/>
      <c r="FB246" s="225"/>
      <c r="FC246" s="225"/>
      <c r="FD246" s="225"/>
      <c r="FE246" s="225"/>
      <c r="FF246" s="225"/>
      <c r="FG246" s="10"/>
      <c r="FH246" s="225"/>
      <c r="FI246" s="10"/>
      <c r="FJ246" s="1"/>
      <c r="FK246" s="225"/>
      <c r="FL246" s="225"/>
      <c r="FM246" s="225"/>
      <c r="FN246" s="225"/>
      <c r="FO246" s="225"/>
      <c r="FP246" s="225"/>
      <c r="FQ246" s="225"/>
      <c r="FR246" s="225"/>
      <c r="FS246" s="225"/>
      <c r="FT246" s="191"/>
      <c r="FU246" s="225"/>
      <c r="FV246" s="151"/>
    </row>
    <row r="247" spans="1:178" ht="16" thickBot="1" x14ac:dyDescent="0.25">
      <c r="A247" s="27" t="s">
        <v>62</v>
      </c>
      <c r="B247" t="s">
        <v>141</v>
      </c>
      <c r="C247" s="1"/>
      <c r="D247">
        <v>273</v>
      </c>
      <c r="E247" s="17">
        <v>312</v>
      </c>
      <c r="F247" s="241">
        <v>306</v>
      </c>
      <c r="G247" s="87">
        <v>314</v>
      </c>
      <c r="H247" s="87">
        <v>330</v>
      </c>
      <c r="I247" s="87">
        <v>286</v>
      </c>
      <c r="J247" s="17"/>
      <c r="K247" s="17"/>
      <c r="L247" s="17"/>
      <c r="M247" s="17"/>
      <c r="N247" s="17"/>
      <c r="O247" s="17"/>
      <c r="P247" s="1"/>
      <c r="Q247" s="48">
        <v>19670.849999999999</v>
      </c>
      <c r="R247" s="49">
        <v>9395.27</v>
      </c>
      <c r="S247" s="49">
        <v>16114.039999999999</v>
      </c>
      <c r="T247" s="50">
        <f t="shared" si="84"/>
        <v>45180.159999999996</v>
      </c>
      <c r="U247" s="48">
        <v>26708.62</v>
      </c>
      <c r="V247" s="49">
        <v>17760.12</v>
      </c>
      <c r="W247" s="49">
        <v>22593.11</v>
      </c>
      <c r="X247" s="50">
        <f t="shared" si="85"/>
        <v>67061.850000000006</v>
      </c>
      <c r="Y247" s="48">
        <v>32802.29</v>
      </c>
      <c r="Z247" s="49">
        <v>18184.46</v>
      </c>
      <c r="AA247" s="49">
        <v>19622.52</v>
      </c>
      <c r="AB247" s="50">
        <f t="shared" si="86"/>
        <v>70609.27</v>
      </c>
      <c r="AC247" s="164">
        <v>20410.099999999999</v>
      </c>
      <c r="AD247" s="165">
        <v>17902.150000000001</v>
      </c>
      <c r="AE247" s="165">
        <v>19576.46</v>
      </c>
      <c r="AF247" s="151">
        <f t="shared" si="87"/>
        <v>57888.71</v>
      </c>
      <c r="AG247" s="191">
        <v>17804.8</v>
      </c>
      <c r="AH247" s="10">
        <v>13471.44</v>
      </c>
      <c r="AI247" s="10">
        <v>20002.879999999997</v>
      </c>
      <c r="AJ247" s="151">
        <f t="shared" si="88"/>
        <v>51279.119999999995</v>
      </c>
      <c r="AK247" s="99">
        <v>6812.39</v>
      </c>
      <c r="AL247" s="100">
        <v>10518.67</v>
      </c>
      <c r="AM247" s="99">
        <v>14287.7</v>
      </c>
      <c r="AN247" s="151">
        <f t="shared" si="89"/>
        <v>31618.760000000002</v>
      </c>
      <c r="AO247" s="191"/>
      <c r="AP247" s="10"/>
      <c r="AQ247" s="10"/>
      <c r="AR247" s="151"/>
      <c r="AS247" s="191"/>
      <c r="AT247" s="192"/>
      <c r="AU247" s="192"/>
      <c r="AV247" s="151"/>
      <c r="AW247" s="192"/>
      <c r="AX247" s="192"/>
      <c r="AY247" s="192"/>
      <c r="AZ247" s="151"/>
      <c r="BA247" s="10"/>
      <c r="BB247" s="10"/>
      <c r="BC247" s="10"/>
      <c r="BD247" s="151"/>
      <c r="BE247" s="191"/>
      <c r="BF247" s="10"/>
      <c r="BG247" s="10"/>
      <c r="BH247" s="151"/>
      <c r="BI247" s="191"/>
      <c r="BJ247" s="10"/>
      <c r="BK247" s="10"/>
      <c r="BL247" s="151"/>
      <c r="BM247" s="1"/>
      <c r="BN247" s="48">
        <v>745.41</v>
      </c>
      <c r="BO247" s="49">
        <v>660.83</v>
      </c>
      <c r="BP247" s="49">
        <v>1637.51</v>
      </c>
      <c r="BQ247" s="50">
        <f t="shared" si="90"/>
        <v>3043.75</v>
      </c>
      <c r="BR247" s="48">
        <v>1096.8399999999999</v>
      </c>
      <c r="BS247" s="49">
        <v>2072.2600000000002</v>
      </c>
      <c r="BT247" s="49">
        <v>3204.86</v>
      </c>
      <c r="BU247" s="50">
        <f t="shared" si="91"/>
        <v>6373.9600000000009</v>
      </c>
      <c r="BV247" s="48">
        <v>1752.99</v>
      </c>
      <c r="BW247" s="49">
        <v>1012.65</v>
      </c>
      <c r="BX247" s="49">
        <v>5731.05</v>
      </c>
      <c r="BY247" s="50">
        <f t="shared" si="92"/>
        <v>8496.69</v>
      </c>
      <c r="BZ247" s="182">
        <v>1839.45</v>
      </c>
      <c r="CA247" s="99">
        <v>6987.97</v>
      </c>
      <c r="CB247" s="99">
        <v>6256.78</v>
      </c>
      <c r="CC247" s="98">
        <f t="shared" si="93"/>
        <v>15084.2</v>
      </c>
      <c r="CD247" s="182">
        <v>2264.2199999999998</v>
      </c>
      <c r="CE247" s="99">
        <v>17776.439999999999</v>
      </c>
      <c r="CF247" s="99">
        <v>4040.94</v>
      </c>
      <c r="CG247" s="98">
        <f t="shared" si="94"/>
        <v>24081.599999999999</v>
      </c>
      <c r="CH247" s="191">
        <v>613.21</v>
      </c>
      <c r="CI247" s="192">
        <v>16236.21</v>
      </c>
      <c r="CJ247" s="192">
        <v>3206.34</v>
      </c>
      <c r="CK247" s="98">
        <f t="shared" si="95"/>
        <v>20055.759999999998</v>
      </c>
      <c r="CL247" s="111"/>
      <c r="CM247" s="111"/>
      <c r="CN247" s="111"/>
      <c r="CO247" s="112"/>
      <c r="CP247" s="191"/>
      <c r="CQ247" s="192"/>
      <c r="CR247" s="192"/>
      <c r="CS247" s="151"/>
      <c r="CT247" s="111"/>
      <c r="CU247" s="111"/>
      <c r="CV247" s="111"/>
      <c r="CW247" s="112"/>
      <c r="CX247" s="192"/>
      <c r="CY247" s="192"/>
      <c r="CZ247" s="192"/>
      <c r="DA247" s="151"/>
      <c r="DB247" s="10"/>
      <c r="DC247" s="10"/>
      <c r="DD247" s="10"/>
      <c r="DE247" s="151"/>
      <c r="DF247" s="192"/>
      <c r="DG247" s="192"/>
      <c r="DH247" s="192"/>
      <c r="DI247" s="151"/>
      <c r="DJ247" s="1"/>
      <c r="DK247" s="225">
        <v>612.36</v>
      </c>
      <c r="DL247" s="225">
        <v>844.24</v>
      </c>
      <c r="DM247" s="225">
        <v>1896.45</v>
      </c>
      <c r="DN247" s="225">
        <v>688.71</v>
      </c>
      <c r="DO247" s="225">
        <v>2525.71</v>
      </c>
      <c r="DP247" s="225">
        <v>8006.89</v>
      </c>
      <c r="DQ247" s="225"/>
      <c r="DR247" s="225"/>
      <c r="DS247" s="225"/>
      <c r="DT247" s="225"/>
      <c r="DU247" s="225"/>
      <c r="DV247" s="225"/>
      <c r="DW247" s="1"/>
      <c r="EJ247" s="1"/>
      <c r="EK247" s="17">
        <v>5</v>
      </c>
      <c r="EL247" s="17">
        <v>4</v>
      </c>
      <c r="EM247" s="17">
        <v>7</v>
      </c>
      <c r="EN247" s="17">
        <v>5</v>
      </c>
      <c r="EO247" s="17">
        <v>4</v>
      </c>
      <c r="EP247" s="17">
        <v>19</v>
      </c>
      <c r="EQ247" s="17"/>
      <c r="ER247" s="17"/>
      <c r="ES247" s="17"/>
      <c r="EU247" s="17"/>
      <c r="EW247" s="1"/>
      <c r="EX247" s="225">
        <v>612.36</v>
      </c>
      <c r="EY247" s="225">
        <v>844.24</v>
      </c>
      <c r="EZ247" s="225">
        <v>1896.45</v>
      </c>
      <c r="FA247" s="225">
        <v>688.71</v>
      </c>
      <c r="FB247" s="225">
        <v>2525.71</v>
      </c>
      <c r="FC247" s="225">
        <v>8006.89</v>
      </c>
      <c r="FD247" s="225"/>
      <c r="FE247" s="225"/>
      <c r="FF247" s="225"/>
      <c r="FG247" s="10"/>
      <c r="FH247" s="225"/>
      <c r="FI247" s="10"/>
      <c r="FJ247" s="1"/>
      <c r="FK247" s="225">
        <v>-95.46</v>
      </c>
      <c r="FL247" s="225">
        <v>-683.71</v>
      </c>
      <c r="FM247" s="225">
        <v>-142.75</v>
      </c>
      <c r="FN247" s="225">
        <v>-348.76</v>
      </c>
      <c r="FO247" s="225">
        <v>-433.54</v>
      </c>
      <c r="FP247" s="225">
        <v>-50</v>
      </c>
      <c r="FQ247" s="225"/>
      <c r="FR247" s="225"/>
      <c r="FS247" s="225"/>
      <c r="FT247" s="191"/>
      <c r="FU247" s="225"/>
      <c r="FV247" s="151"/>
    </row>
    <row r="248" spans="1:178" ht="16" thickBot="1" x14ac:dyDescent="0.25">
      <c r="A248" s="27" t="s">
        <v>63</v>
      </c>
      <c r="B248" t="s">
        <v>141</v>
      </c>
      <c r="C248" s="1"/>
      <c r="D248">
        <v>7</v>
      </c>
      <c r="E248" s="17">
        <v>7</v>
      </c>
      <c r="F248" s="241">
        <v>10</v>
      </c>
      <c r="G248" s="87">
        <v>8</v>
      </c>
      <c r="H248" s="87">
        <v>7</v>
      </c>
      <c r="I248" s="87">
        <v>5</v>
      </c>
      <c r="J248" s="17"/>
      <c r="K248" s="17"/>
      <c r="L248" s="17"/>
      <c r="M248" s="17"/>
      <c r="N248" s="17"/>
      <c r="O248" s="17"/>
      <c r="P248" s="1"/>
      <c r="Q248" s="48">
        <v>837.76</v>
      </c>
      <c r="R248" s="49">
        <v>1184.3900000000001</v>
      </c>
      <c r="S248" s="49">
        <v>653.19000000000005</v>
      </c>
      <c r="T248" s="50">
        <f t="shared" si="84"/>
        <v>2675.34</v>
      </c>
      <c r="U248" s="48">
        <v>1630.36</v>
      </c>
      <c r="V248" s="49">
        <v>96.97</v>
      </c>
      <c r="W248" s="49">
        <v>0</v>
      </c>
      <c r="X248" s="50">
        <f t="shared" si="85"/>
        <v>1727.33</v>
      </c>
      <c r="Y248" s="48">
        <v>1271.17</v>
      </c>
      <c r="Z248" s="49">
        <v>3163.11</v>
      </c>
      <c r="AA248" s="49">
        <v>186.66</v>
      </c>
      <c r="AB248" s="50">
        <f t="shared" si="86"/>
        <v>4620.9400000000005</v>
      </c>
      <c r="AC248" s="164">
        <v>1209.3900000000001</v>
      </c>
      <c r="AD248" s="165">
        <v>2327.16</v>
      </c>
      <c r="AE248" s="165">
        <v>263.7</v>
      </c>
      <c r="AF248" s="151">
        <f t="shared" si="87"/>
        <v>3800.25</v>
      </c>
      <c r="AG248" s="191">
        <v>594.6</v>
      </c>
      <c r="AH248" s="10">
        <v>138.49</v>
      </c>
      <c r="AI248" s="10">
        <v>332.16</v>
      </c>
      <c r="AJ248" s="151">
        <f t="shared" si="88"/>
        <v>1065.25</v>
      </c>
      <c r="AK248" s="99">
        <v>490.63</v>
      </c>
      <c r="AL248" s="100">
        <v>496.93</v>
      </c>
      <c r="AM248" s="100">
        <v>0</v>
      </c>
      <c r="AN248" s="151">
        <f t="shared" si="89"/>
        <v>987.56</v>
      </c>
      <c r="AO248" s="191"/>
      <c r="AP248" s="10"/>
      <c r="AQ248" s="10"/>
      <c r="AR248" s="151"/>
      <c r="AS248" s="191"/>
      <c r="AT248" s="192"/>
      <c r="AU248" s="192"/>
      <c r="AV248" s="151"/>
      <c r="AW248" s="192"/>
      <c r="AX248" s="192"/>
      <c r="AY248" s="192"/>
      <c r="AZ248" s="151"/>
      <c r="BA248" s="10"/>
      <c r="BB248" s="10"/>
      <c r="BC248" s="10"/>
      <c r="BD248" s="151"/>
      <c r="BE248" s="191"/>
      <c r="BF248" s="10"/>
      <c r="BG248" s="10"/>
      <c r="BH248" s="151"/>
      <c r="BI248" s="191"/>
      <c r="BJ248" s="10"/>
      <c r="BK248" s="10"/>
      <c r="BL248" s="151"/>
      <c r="BM248" s="1"/>
      <c r="BN248" s="48">
        <v>102.3</v>
      </c>
      <c r="BO248" s="49">
        <v>814.62</v>
      </c>
      <c r="BP248" s="49">
        <v>653.19000000000005</v>
      </c>
      <c r="BQ248" s="50">
        <f t="shared" si="90"/>
        <v>1570.1100000000001</v>
      </c>
      <c r="BR248" s="48">
        <v>574.32000000000005</v>
      </c>
      <c r="BS248" s="49">
        <v>96.97</v>
      </c>
      <c r="BT248" s="49">
        <v>0</v>
      </c>
      <c r="BU248" s="50">
        <f t="shared" si="91"/>
        <v>671.29000000000008</v>
      </c>
      <c r="BV248" s="48"/>
      <c r="BW248" s="49">
        <v>2427.04</v>
      </c>
      <c r="BX248" s="49">
        <v>186.66</v>
      </c>
      <c r="BY248" s="50">
        <f t="shared" si="92"/>
        <v>2613.6999999999998</v>
      </c>
      <c r="BZ248" s="182">
        <v>422.13</v>
      </c>
      <c r="CA248" s="266">
        <v>2327.16</v>
      </c>
      <c r="CB248" s="99">
        <v>0</v>
      </c>
      <c r="CC248" s="98">
        <f t="shared" si="93"/>
        <v>2749.29</v>
      </c>
      <c r="CD248" s="183">
        <v>500.99</v>
      </c>
      <c r="CE248" s="99">
        <v>276.98</v>
      </c>
      <c r="CF248" s="99">
        <v>0</v>
      </c>
      <c r="CG248" s="98">
        <f t="shared" si="94"/>
        <v>777.97</v>
      </c>
      <c r="CH248" s="191">
        <v>283.33</v>
      </c>
      <c r="CI248" s="192">
        <v>2446.9299999999998</v>
      </c>
      <c r="CJ248" s="192">
        <v>0</v>
      </c>
      <c r="CK248" s="98">
        <f t="shared" si="95"/>
        <v>2730.2599999999998</v>
      </c>
      <c r="CL248" s="111"/>
      <c r="CM248" s="111"/>
      <c r="CN248" s="111"/>
      <c r="CO248" s="112"/>
      <c r="CP248" s="191"/>
      <c r="CQ248" s="192"/>
      <c r="CR248" s="192"/>
      <c r="CS248" s="151"/>
      <c r="CT248" s="111"/>
      <c r="CU248" s="111"/>
      <c r="CV248" s="111"/>
      <c r="CW248" s="112"/>
      <c r="CX248" s="192"/>
      <c r="CY248" s="192"/>
      <c r="CZ248" s="192"/>
      <c r="DA248" s="151"/>
      <c r="DB248" s="10"/>
      <c r="DC248" s="10"/>
      <c r="DD248" s="10"/>
      <c r="DE248" s="151"/>
      <c r="DF248" s="192"/>
      <c r="DG248" s="192"/>
      <c r="DH248" s="192"/>
      <c r="DI248" s="151"/>
      <c r="DJ248" s="1"/>
      <c r="DK248" s="225"/>
      <c r="DL248" s="225"/>
      <c r="DM248" s="225"/>
      <c r="DN248" s="225">
        <v>263.18</v>
      </c>
      <c r="DO248" s="225"/>
      <c r="DP248" s="225"/>
      <c r="DQ248" s="225"/>
      <c r="DR248" s="225"/>
      <c r="DS248" s="225"/>
      <c r="DT248" s="225"/>
      <c r="DU248" s="225"/>
      <c r="DV248" s="225"/>
      <c r="DW248" s="1"/>
      <c r="EJ248" s="1"/>
      <c r="EK248" s="17"/>
      <c r="EL248" s="17"/>
      <c r="EM248" s="17"/>
      <c r="EN248" s="17">
        <v>1</v>
      </c>
      <c r="EO248" s="17"/>
      <c r="EP248" s="17"/>
      <c r="EQ248" s="17"/>
      <c r="ER248" s="17"/>
      <c r="ES248" s="17"/>
      <c r="EU248" s="17"/>
      <c r="EW248" s="1"/>
      <c r="EX248" s="225"/>
      <c r="EY248" s="225"/>
      <c r="EZ248" s="225"/>
      <c r="FA248" s="225">
        <v>263.18</v>
      </c>
      <c r="FB248" s="225"/>
      <c r="FC248" s="225"/>
      <c r="FD248" s="225"/>
      <c r="FE248" s="225"/>
      <c r="FF248" s="225"/>
      <c r="FG248" s="10"/>
      <c r="FH248" s="225"/>
      <c r="FI248" s="10"/>
      <c r="FJ248" s="1"/>
      <c r="FK248" s="225"/>
      <c r="FL248" s="225"/>
      <c r="FM248" s="225"/>
      <c r="FN248" s="225"/>
      <c r="FO248" s="225">
        <v>-81.510000000000005</v>
      </c>
      <c r="FP248" s="225"/>
      <c r="FQ248" s="225"/>
      <c r="FR248" s="225"/>
      <c r="FS248" s="225"/>
      <c r="FT248" s="191"/>
      <c r="FU248" s="225"/>
      <c r="FV248" s="151"/>
    </row>
    <row r="249" spans="1:178" ht="16" thickBot="1" x14ac:dyDescent="0.25">
      <c r="A249" s="27" t="s">
        <v>64</v>
      </c>
      <c r="B249" t="s">
        <v>141</v>
      </c>
      <c r="C249" s="1"/>
      <c r="D249">
        <v>59</v>
      </c>
      <c r="E249" s="17">
        <v>59</v>
      </c>
      <c r="F249" s="241">
        <v>66</v>
      </c>
      <c r="G249" s="87">
        <v>76</v>
      </c>
      <c r="H249" s="87">
        <v>80</v>
      </c>
      <c r="I249" s="87">
        <v>85</v>
      </c>
      <c r="J249" s="17"/>
      <c r="K249" s="17"/>
      <c r="L249" s="17"/>
      <c r="M249" s="17"/>
      <c r="N249" s="17"/>
      <c r="O249" s="17"/>
      <c r="P249" s="1"/>
      <c r="Q249" s="48">
        <v>3259.49</v>
      </c>
      <c r="R249" s="49">
        <v>3495.71</v>
      </c>
      <c r="S249" s="49">
        <v>34258.159999999996</v>
      </c>
      <c r="T249" s="50">
        <f t="shared" si="84"/>
        <v>41013.359999999993</v>
      </c>
      <c r="U249" s="48">
        <v>3253.42</v>
      </c>
      <c r="V249" s="49">
        <v>3310.6</v>
      </c>
      <c r="W249" s="49">
        <v>32952.57</v>
      </c>
      <c r="X249" s="50">
        <f t="shared" si="85"/>
        <v>39516.589999999997</v>
      </c>
      <c r="Y249" s="48">
        <v>7144.36</v>
      </c>
      <c r="Z249" s="49">
        <v>2901.99</v>
      </c>
      <c r="AA249" s="49">
        <v>35156.559999999998</v>
      </c>
      <c r="AB249" s="50">
        <f t="shared" si="86"/>
        <v>45202.909999999996</v>
      </c>
      <c r="AC249" s="164">
        <v>3828.72</v>
      </c>
      <c r="AD249" s="165">
        <v>5864.51</v>
      </c>
      <c r="AE249" s="165">
        <v>37998.420000000006</v>
      </c>
      <c r="AF249" s="151">
        <f t="shared" si="87"/>
        <v>47691.650000000009</v>
      </c>
      <c r="AG249" s="191">
        <v>4038.3</v>
      </c>
      <c r="AH249" s="10">
        <v>4641.1400000000003</v>
      </c>
      <c r="AI249" s="10">
        <v>38928.369999999995</v>
      </c>
      <c r="AJ249" s="151">
        <f t="shared" si="88"/>
        <v>47607.81</v>
      </c>
      <c r="AK249" s="99">
        <v>3012.24</v>
      </c>
      <c r="AL249" s="99">
        <v>4101.34</v>
      </c>
      <c r="AM249" s="99">
        <v>44337.19</v>
      </c>
      <c r="AN249" s="151">
        <f t="shared" si="89"/>
        <v>51450.770000000004</v>
      </c>
      <c r="AO249" s="191"/>
      <c r="AP249" s="10"/>
      <c r="AQ249" s="10"/>
      <c r="AR249" s="151"/>
      <c r="AS249" s="191"/>
      <c r="AT249" s="192"/>
      <c r="AU249" s="192"/>
      <c r="AV249" s="151"/>
      <c r="AW249" s="192"/>
      <c r="AX249" s="192"/>
      <c r="AY249" s="192"/>
      <c r="AZ249" s="151"/>
      <c r="BA249" s="10"/>
      <c r="BB249" s="10"/>
      <c r="BC249" s="10"/>
      <c r="BD249" s="151"/>
      <c r="BE249" s="191"/>
      <c r="BF249" s="10"/>
      <c r="BG249" s="10"/>
      <c r="BH249" s="151"/>
      <c r="BI249" s="191"/>
      <c r="BJ249" s="10"/>
      <c r="BK249" s="10"/>
      <c r="BL249" s="151"/>
      <c r="BM249" s="1"/>
      <c r="BN249" s="48">
        <v>979.4</v>
      </c>
      <c r="BO249" s="49">
        <v>807.63</v>
      </c>
      <c r="BP249" s="49">
        <v>16454.810000000001</v>
      </c>
      <c r="BQ249" s="50">
        <f t="shared" si="90"/>
        <v>18241.84</v>
      </c>
      <c r="BR249" s="48">
        <v>1568.73</v>
      </c>
      <c r="BS249" s="49">
        <v>1657.93</v>
      </c>
      <c r="BT249" s="49">
        <v>14736.99</v>
      </c>
      <c r="BU249" s="50">
        <f t="shared" si="91"/>
        <v>17963.650000000001</v>
      </c>
      <c r="BV249" s="48">
        <v>1685.69</v>
      </c>
      <c r="BW249" s="49">
        <v>2069.33</v>
      </c>
      <c r="BX249" s="49">
        <v>17243.36</v>
      </c>
      <c r="BY249" s="50">
        <f t="shared" si="92"/>
        <v>20998.38</v>
      </c>
      <c r="BZ249" s="182">
        <v>2362.16</v>
      </c>
      <c r="CA249" s="99">
        <v>5517.48</v>
      </c>
      <c r="CB249" s="99">
        <v>18334.66</v>
      </c>
      <c r="CC249" s="98">
        <f t="shared" si="93"/>
        <v>26214.3</v>
      </c>
      <c r="CD249" s="182">
        <v>2149.38</v>
      </c>
      <c r="CE249" s="99">
        <v>10199.02</v>
      </c>
      <c r="CF249" s="99">
        <v>19205.580000000002</v>
      </c>
      <c r="CG249" s="98">
        <f t="shared" si="94"/>
        <v>31553.980000000003</v>
      </c>
      <c r="CH249" s="191">
        <v>1573.34</v>
      </c>
      <c r="CI249" s="192">
        <v>9791.4500000000007</v>
      </c>
      <c r="CJ249" s="192">
        <v>22430.01</v>
      </c>
      <c r="CK249" s="98">
        <f t="shared" si="95"/>
        <v>33794.800000000003</v>
      </c>
      <c r="CL249" s="111"/>
      <c r="CM249" s="111"/>
      <c r="CN249" s="111"/>
      <c r="CO249" s="112"/>
      <c r="CP249" s="191"/>
      <c r="CQ249" s="192"/>
      <c r="CR249" s="192"/>
      <c r="CS249" s="151"/>
      <c r="CT249" s="111"/>
      <c r="CU249" s="111"/>
      <c r="CV249" s="111"/>
      <c r="CW249" s="112"/>
      <c r="CX249" s="192"/>
      <c r="CY249" s="192"/>
      <c r="CZ249" s="192"/>
      <c r="DA249" s="151"/>
      <c r="DB249" s="10"/>
      <c r="DC249" s="10"/>
      <c r="DD249" s="10"/>
      <c r="DE249" s="151"/>
      <c r="DF249" s="192"/>
      <c r="DG249" s="192"/>
      <c r="DH249" s="192"/>
      <c r="DI249" s="151"/>
      <c r="DJ249" s="1"/>
      <c r="DK249" s="225">
        <v>389.34</v>
      </c>
      <c r="DL249" s="225">
        <v>2226.0300000000002</v>
      </c>
      <c r="DM249" s="225"/>
      <c r="DN249" s="225"/>
      <c r="DO249" s="225">
        <v>2602.16</v>
      </c>
      <c r="DP249" s="225"/>
      <c r="DQ249" s="225"/>
      <c r="DR249" s="225"/>
      <c r="DS249" s="225"/>
      <c r="DT249" s="225"/>
      <c r="DU249" s="225"/>
      <c r="DV249" s="225"/>
      <c r="DW249" s="1"/>
      <c r="EJ249" s="1"/>
      <c r="EK249" s="17">
        <v>1</v>
      </c>
      <c r="EL249" s="17">
        <v>1</v>
      </c>
      <c r="EM249" s="17"/>
      <c r="EN249" s="17"/>
      <c r="EO249" s="17">
        <v>2</v>
      </c>
      <c r="EP249" s="17"/>
      <c r="EQ249" s="17"/>
      <c r="ER249" s="17"/>
      <c r="ES249" s="17"/>
      <c r="EU249" s="17"/>
      <c r="EW249" s="1"/>
      <c r="EX249" s="225">
        <v>389.34</v>
      </c>
      <c r="EY249" s="225">
        <v>2226.0300000000002</v>
      </c>
      <c r="EZ249" s="225"/>
      <c r="FA249" s="225"/>
      <c r="FB249" s="225">
        <v>2602.16</v>
      </c>
      <c r="FC249" s="225"/>
      <c r="FD249" s="225"/>
      <c r="FE249" s="225"/>
      <c r="FF249" s="225"/>
      <c r="FG249" s="10"/>
      <c r="FH249" s="225"/>
      <c r="FI249" s="10"/>
      <c r="FJ249" s="1"/>
      <c r="FK249" s="225"/>
      <c r="FL249" s="225">
        <v>-16.5</v>
      </c>
      <c r="FM249" s="225">
        <v>-30</v>
      </c>
      <c r="FN249" s="225"/>
      <c r="FO249" s="225"/>
      <c r="FP249" s="225"/>
      <c r="FQ249" s="225"/>
      <c r="FR249" s="225"/>
      <c r="FS249" s="225"/>
      <c r="FT249" s="191"/>
      <c r="FU249" s="225"/>
      <c r="FV249" s="151"/>
    </row>
    <row r="250" spans="1:178" ht="16" thickBot="1" x14ac:dyDescent="0.25">
      <c r="A250" s="27" t="s">
        <v>65</v>
      </c>
      <c r="B250" t="s">
        <v>141</v>
      </c>
      <c r="C250" s="1"/>
      <c r="D250">
        <v>77</v>
      </c>
      <c r="E250" s="17">
        <v>72</v>
      </c>
      <c r="F250" s="241">
        <v>89</v>
      </c>
      <c r="G250" s="87">
        <v>75</v>
      </c>
      <c r="H250" s="87">
        <v>97</v>
      </c>
      <c r="I250" s="87">
        <v>95</v>
      </c>
      <c r="J250" s="17"/>
      <c r="K250" s="17"/>
      <c r="L250" s="17"/>
      <c r="M250" s="17"/>
      <c r="N250" s="17"/>
      <c r="O250" s="17"/>
      <c r="P250" s="1"/>
      <c r="Q250" s="48">
        <v>10548.43</v>
      </c>
      <c r="R250" s="49">
        <v>2174.7800000000002</v>
      </c>
      <c r="S250" s="49">
        <v>4619.22</v>
      </c>
      <c r="T250" s="50">
        <f t="shared" si="84"/>
        <v>17342.43</v>
      </c>
      <c r="U250" s="48">
        <v>6044.28</v>
      </c>
      <c r="V250" s="49">
        <v>6659.39</v>
      </c>
      <c r="W250" s="49">
        <v>5895.0599999999995</v>
      </c>
      <c r="X250" s="50">
        <f t="shared" si="85"/>
        <v>18598.73</v>
      </c>
      <c r="Y250" s="48">
        <v>15342.14</v>
      </c>
      <c r="Z250" s="49">
        <v>5979.23</v>
      </c>
      <c r="AA250" s="49">
        <v>11703.92</v>
      </c>
      <c r="AB250" s="50">
        <f t="shared" si="86"/>
        <v>33025.29</v>
      </c>
      <c r="AC250" s="164">
        <v>5715.5</v>
      </c>
      <c r="AD250" s="165">
        <v>5328.51</v>
      </c>
      <c r="AE250" s="165">
        <v>8493.23</v>
      </c>
      <c r="AF250" s="151">
        <f t="shared" si="87"/>
        <v>19537.239999999998</v>
      </c>
      <c r="AG250" s="191">
        <v>9904.1200000000008</v>
      </c>
      <c r="AH250" s="10">
        <v>6321.93</v>
      </c>
      <c r="AI250" s="10">
        <v>8727.58</v>
      </c>
      <c r="AJ250" s="151">
        <f t="shared" si="88"/>
        <v>24953.63</v>
      </c>
      <c r="AK250" s="99">
        <v>7024.98</v>
      </c>
      <c r="AL250" s="99">
        <v>3445.75</v>
      </c>
      <c r="AM250" s="99">
        <v>10260.200000000001</v>
      </c>
      <c r="AN250" s="151">
        <f t="shared" si="89"/>
        <v>20730.93</v>
      </c>
      <c r="AO250" s="191"/>
      <c r="AP250" s="10"/>
      <c r="AQ250" s="10"/>
      <c r="AR250" s="151"/>
      <c r="AS250" s="191"/>
      <c r="AT250" s="192"/>
      <c r="AU250" s="192"/>
      <c r="AV250" s="151"/>
      <c r="AW250" s="192"/>
      <c r="AX250" s="192"/>
      <c r="AY250" s="192"/>
      <c r="AZ250" s="151"/>
      <c r="BA250" s="10"/>
      <c r="BB250" s="10"/>
      <c r="BC250" s="10"/>
      <c r="BD250" s="151"/>
      <c r="BE250" s="191"/>
      <c r="BF250" s="10"/>
      <c r="BG250" s="10"/>
      <c r="BH250" s="151"/>
      <c r="BI250" s="191"/>
      <c r="BJ250" s="10"/>
      <c r="BK250" s="10"/>
      <c r="BL250" s="151"/>
      <c r="BM250" s="1"/>
      <c r="BN250" s="48">
        <v>1877.62</v>
      </c>
      <c r="BO250" s="49">
        <v>599.97</v>
      </c>
      <c r="BP250" s="49">
        <v>2429</v>
      </c>
      <c r="BQ250" s="50">
        <f t="shared" si="90"/>
        <v>4906.59</v>
      </c>
      <c r="BR250" s="48">
        <v>1618.54</v>
      </c>
      <c r="BS250" s="49">
        <v>2058.44</v>
      </c>
      <c r="BT250" s="49">
        <v>2404.5700000000002</v>
      </c>
      <c r="BU250" s="50">
        <f t="shared" si="91"/>
        <v>6081.55</v>
      </c>
      <c r="BV250" s="48">
        <v>2668.82</v>
      </c>
      <c r="BW250" s="49">
        <v>2115.31</v>
      </c>
      <c r="BX250" s="49">
        <v>3740.9500000000003</v>
      </c>
      <c r="BY250" s="50">
        <f t="shared" si="92"/>
        <v>8525.08</v>
      </c>
      <c r="BZ250" s="182">
        <v>1251.94</v>
      </c>
      <c r="CA250" s="266">
        <v>4982.0200000000004</v>
      </c>
      <c r="CB250" s="99">
        <v>7472.84</v>
      </c>
      <c r="CC250" s="98">
        <f t="shared" si="93"/>
        <v>13706.800000000001</v>
      </c>
      <c r="CD250" s="182">
        <v>1547.68</v>
      </c>
      <c r="CE250" s="99">
        <v>4551.71</v>
      </c>
      <c r="CF250" s="99">
        <v>6922.3899999999994</v>
      </c>
      <c r="CG250" s="98">
        <f t="shared" si="94"/>
        <v>13021.779999999999</v>
      </c>
      <c r="CH250" s="191">
        <v>1855.81</v>
      </c>
      <c r="CI250" s="192">
        <v>4296.3</v>
      </c>
      <c r="CJ250" s="192">
        <v>6509.58</v>
      </c>
      <c r="CK250" s="98">
        <f t="shared" si="95"/>
        <v>12661.69</v>
      </c>
      <c r="CL250" s="111"/>
      <c r="CM250" s="111"/>
      <c r="CN250" s="111"/>
      <c r="CO250" s="112"/>
      <c r="CP250" s="191"/>
      <c r="CQ250" s="192"/>
      <c r="CR250" s="192"/>
      <c r="CS250" s="151"/>
      <c r="CT250" s="111"/>
      <c r="CU250" s="111"/>
      <c r="CV250" s="111"/>
      <c r="CW250" s="112"/>
      <c r="CX250" s="192"/>
      <c r="CY250" s="192"/>
      <c r="CZ250" s="192"/>
      <c r="DA250" s="151"/>
      <c r="DB250" s="10"/>
      <c r="DC250" s="10"/>
      <c r="DD250" s="10"/>
      <c r="DE250" s="151"/>
      <c r="DF250" s="192"/>
      <c r="DG250" s="192"/>
      <c r="DH250" s="192"/>
      <c r="DI250" s="151"/>
      <c r="DJ250" s="1"/>
      <c r="DK250" s="225">
        <v>542.97</v>
      </c>
      <c r="DL250" s="225"/>
      <c r="DM250" s="225">
        <v>1123.48</v>
      </c>
      <c r="DN250" s="225">
        <v>1436.11</v>
      </c>
      <c r="DO250" s="225">
        <v>753.88</v>
      </c>
      <c r="DP250" s="225">
        <v>3941.75</v>
      </c>
      <c r="DQ250" s="225"/>
      <c r="DR250" s="225"/>
      <c r="DS250" s="225"/>
      <c r="DT250" s="225"/>
      <c r="DU250" s="225"/>
      <c r="DV250" s="225"/>
      <c r="DW250" s="1"/>
      <c r="EJ250" s="1"/>
      <c r="EK250" s="17">
        <v>3</v>
      </c>
      <c r="EL250" s="17"/>
      <c r="EM250" s="17">
        <v>3</v>
      </c>
      <c r="EN250" s="17">
        <v>2</v>
      </c>
      <c r="EO250" s="17">
        <v>1</v>
      </c>
      <c r="EP250" s="17">
        <v>7</v>
      </c>
      <c r="EQ250" s="17"/>
      <c r="ER250" s="17"/>
      <c r="ES250" s="17"/>
      <c r="EU250" s="17"/>
      <c r="EW250" s="1"/>
      <c r="EX250" s="225">
        <v>542.97</v>
      </c>
      <c r="EY250" s="225"/>
      <c r="EZ250" s="225">
        <v>1123.48</v>
      </c>
      <c r="FA250" s="225">
        <v>1436.11</v>
      </c>
      <c r="FB250" s="225">
        <v>753.88</v>
      </c>
      <c r="FC250" s="225">
        <v>3941.75</v>
      </c>
      <c r="FD250" s="225"/>
      <c r="FE250" s="225"/>
      <c r="FF250" s="225"/>
      <c r="FG250" s="10"/>
      <c r="FH250" s="225"/>
      <c r="FI250" s="10"/>
      <c r="FJ250" s="1"/>
      <c r="FK250" s="225"/>
      <c r="FL250" s="225">
        <v>-500</v>
      </c>
      <c r="FM250" s="225">
        <v>-764.58</v>
      </c>
      <c r="FN250" s="225">
        <v>-100</v>
      </c>
      <c r="FO250" s="225">
        <v>-387.84</v>
      </c>
      <c r="FP250" s="225">
        <v>-90.77</v>
      </c>
      <c r="FQ250" s="225"/>
      <c r="FR250" s="225"/>
      <c r="FS250" s="225"/>
      <c r="FT250" s="191"/>
      <c r="FU250" s="225"/>
      <c r="FV250" s="151"/>
    </row>
    <row r="251" spans="1:178" ht="16" thickBot="1" x14ac:dyDescent="0.25">
      <c r="A251" s="27" t="s">
        <v>66</v>
      </c>
      <c r="B251" t="s">
        <v>141</v>
      </c>
      <c r="C251" s="1"/>
      <c r="D251">
        <v>32</v>
      </c>
      <c r="E251" s="17">
        <v>46</v>
      </c>
      <c r="F251" s="241">
        <v>37</v>
      </c>
      <c r="G251" s="87">
        <v>33</v>
      </c>
      <c r="H251" s="87">
        <v>48</v>
      </c>
      <c r="I251" s="87">
        <v>37</v>
      </c>
      <c r="J251" s="17"/>
      <c r="K251" s="17"/>
      <c r="L251" s="17"/>
      <c r="M251" s="17"/>
      <c r="N251" s="17"/>
      <c r="O251" s="17"/>
      <c r="P251" s="1"/>
      <c r="Q251" s="48">
        <v>2334.4499999999998</v>
      </c>
      <c r="R251" s="49">
        <v>2794.57</v>
      </c>
      <c r="S251" s="49">
        <v>3806.75</v>
      </c>
      <c r="T251" s="50">
        <f t="shared" si="84"/>
        <v>8935.77</v>
      </c>
      <c r="U251" s="48">
        <v>6205.15</v>
      </c>
      <c r="V251" s="49">
        <v>2264</v>
      </c>
      <c r="W251" s="49">
        <v>5416.17</v>
      </c>
      <c r="X251" s="50">
        <f t="shared" si="85"/>
        <v>13885.32</v>
      </c>
      <c r="Y251" s="48">
        <v>5011.84</v>
      </c>
      <c r="Z251" s="49">
        <v>3876.39</v>
      </c>
      <c r="AA251" s="49">
        <v>3358.55</v>
      </c>
      <c r="AB251" s="50">
        <f t="shared" si="86"/>
        <v>12246.779999999999</v>
      </c>
      <c r="AC251" s="164">
        <v>2628.06</v>
      </c>
      <c r="AD251" s="165">
        <v>2270.7800000000002</v>
      </c>
      <c r="AE251" s="165">
        <v>2432.39</v>
      </c>
      <c r="AF251" s="151">
        <f t="shared" si="87"/>
        <v>7331.23</v>
      </c>
      <c r="AG251" s="191">
        <v>5699.15</v>
      </c>
      <c r="AH251" s="10">
        <v>2597.27</v>
      </c>
      <c r="AI251" s="10">
        <v>2701.4700000000003</v>
      </c>
      <c r="AJ251" s="151">
        <f t="shared" si="88"/>
        <v>10997.89</v>
      </c>
      <c r="AK251" s="99">
        <v>922.11</v>
      </c>
      <c r="AL251" s="99">
        <v>4364.8900000000003</v>
      </c>
      <c r="AM251" s="99">
        <v>3438.1800000000003</v>
      </c>
      <c r="AN251" s="151">
        <f t="shared" si="89"/>
        <v>8725.18</v>
      </c>
      <c r="AO251" s="191"/>
      <c r="AP251" s="10"/>
      <c r="AQ251" s="10"/>
      <c r="AR251" s="151"/>
      <c r="AS251" s="191"/>
      <c r="AT251" s="192"/>
      <c r="AU251" s="192"/>
      <c r="AV251" s="151"/>
      <c r="AW251" s="192"/>
      <c r="AX251" s="192"/>
      <c r="AY251" s="192"/>
      <c r="AZ251" s="151"/>
      <c r="BA251" s="10"/>
      <c r="BB251" s="10"/>
      <c r="BC251" s="10"/>
      <c r="BD251" s="151"/>
      <c r="BE251" s="191"/>
      <c r="BF251" s="10"/>
      <c r="BG251" s="10"/>
      <c r="BH251" s="151"/>
      <c r="BI251" s="191"/>
      <c r="BJ251" s="10"/>
      <c r="BK251" s="10"/>
      <c r="BL251" s="151"/>
      <c r="BM251" s="1"/>
      <c r="BN251" s="48">
        <v>650.29</v>
      </c>
      <c r="BO251" s="49">
        <v>1798.94</v>
      </c>
      <c r="BP251" s="49">
        <v>998.28</v>
      </c>
      <c r="BQ251" s="50">
        <f t="shared" si="90"/>
        <v>3447.51</v>
      </c>
      <c r="BR251" s="48">
        <v>1538.32</v>
      </c>
      <c r="BS251" s="49">
        <v>589.16999999999996</v>
      </c>
      <c r="BT251" s="49">
        <v>2472.59</v>
      </c>
      <c r="BU251" s="50">
        <f t="shared" si="91"/>
        <v>4600.08</v>
      </c>
      <c r="BV251" s="48">
        <v>1019.23</v>
      </c>
      <c r="BW251" s="49">
        <v>814.41</v>
      </c>
      <c r="BX251" s="49">
        <v>1604.79</v>
      </c>
      <c r="BY251" s="50">
        <f t="shared" si="92"/>
        <v>3438.43</v>
      </c>
      <c r="BZ251" s="182">
        <v>792.36</v>
      </c>
      <c r="CA251" s="99">
        <v>1818.28</v>
      </c>
      <c r="CB251" s="99">
        <v>1321.41</v>
      </c>
      <c r="CC251" s="98">
        <f t="shared" si="93"/>
        <v>3932.05</v>
      </c>
      <c r="CD251" s="182">
        <v>1052.27</v>
      </c>
      <c r="CE251" s="99">
        <v>2855.15</v>
      </c>
      <c r="CF251" s="99">
        <v>893.02</v>
      </c>
      <c r="CG251" s="98">
        <f t="shared" si="94"/>
        <v>4800.4400000000005</v>
      </c>
      <c r="CH251" s="191">
        <v>299.62</v>
      </c>
      <c r="CI251" s="192">
        <v>3008.11</v>
      </c>
      <c r="CJ251" s="192">
        <v>1412.6100000000001</v>
      </c>
      <c r="CK251" s="98">
        <f t="shared" si="95"/>
        <v>4720.34</v>
      </c>
      <c r="CL251" s="111"/>
      <c r="CM251" s="111"/>
      <c r="CN251" s="111"/>
      <c r="CO251" s="112"/>
      <c r="CP251" s="191"/>
      <c r="CQ251" s="192"/>
      <c r="CR251" s="192"/>
      <c r="CS251" s="151"/>
      <c r="CT251" s="111"/>
      <c r="CU251" s="111"/>
      <c r="CV251" s="111"/>
      <c r="CW251" s="112"/>
      <c r="CX251" s="192"/>
      <c r="CY251" s="192"/>
      <c r="CZ251" s="192"/>
      <c r="DA251" s="151"/>
      <c r="DB251" s="10"/>
      <c r="DC251" s="10"/>
      <c r="DD251" s="10"/>
      <c r="DE251" s="151"/>
      <c r="DF251" s="192"/>
      <c r="DG251" s="192"/>
      <c r="DH251" s="192"/>
      <c r="DI251" s="151"/>
      <c r="DJ251" s="1"/>
      <c r="DK251" s="225"/>
      <c r="DL251" s="225">
        <v>317.02999999999997</v>
      </c>
      <c r="DM251" s="225">
        <v>346.81</v>
      </c>
      <c r="DN251" s="225"/>
      <c r="DO251" s="225"/>
      <c r="DP251" s="225">
        <v>313.13</v>
      </c>
      <c r="DQ251" s="225"/>
      <c r="DR251" s="225"/>
      <c r="DS251" s="225"/>
      <c r="DT251" s="225"/>
      <c r="DU251" s="225"/>
      <c r="DV251" s="225"/>
      <c r="DW251" s="1"/>
      <c r="EJ251" s="1"/>
      <c r="EK251" s="17"/>
      <c r="EL251" s="17">
        <v>1</v>
      </c>
      <c r="EM251" s="17">
        <v>2</v>
      </c>
      <c r="EN251" s="17"/>
      <c r="EO251" s="17"/>
      <c r="EP251" s="17">
        <v>2</v>
      </c>
      <c r="EQ251" s="17"/>
      <c r="ER251" s="17"/>
      <c r="ES251" s="17"/>
      <c r="EU251" s="17"/>
      <c r="EW251" s="1"/>
      <c r="EX251" s="225"/>
      <c r="EY251" s="225">
        <v>317.02999999999997</v>
      </c>
      <c r="EZ251" s="225">
        <v>346.81</v>
      </c>
      <c r="FA251" s="225"/>
      <c r="FB251" s="225"/>
      <c r="FC251" s="225">
        <v>313.13</v>
      </c>
      <c r="FD251" s="225"/>
      <c r="FE251" s="225"/>
      <c r="FF251" s="225"/>
      <c r="FG251" s="10"/>
      <c r="FH251" s="225"/>
      <c r="FI251" s="10"/>
      <c r="FJ251" s="1"/>
      <c r="FK251" s="225"/>
      <c r="FL251" s="225"/>
      <c r="FM251" s="225">
        <v>-40</v>
      </c>
      <c r="FN251" s="225"/>
      <c r="FO251" s="225">
        <v>-146.81</v>
      </c>
      <c r="FP251" s="225"/>
      <c r="FQ251" s="225"/>
      <c r="FR251" s="225"/>
      <c r="FS251" s="225"/>
      <c r="FT251" s="191"/>
      <c r="FU251" s="225"/>
      <c r="FV251" s="151"/>
    </row>
    <row r="252" spans="1:178" ht="16" thickBot="1" x14ac:dyDescent="0.25">
      <c r="A252" s="27" t="s">
        <v>67</v>
      </c>
      <c r="B252" t="s">
        <v>141</v>
      </c>
      <c r="C252" s="1"/>
      <c r="D252">
        <v>17</v>
      </c>
      <c r="E252" s="17">
        <v>21</v>
      </c>
      <c r="F252" s="241">
        <v>19</v>
      </c>
      <c r="G252" s="87">
        <v>22</v>
      </c>
      <c r="H252" s="87">
        <v>25</v>
      </c>
      <c r="I252" s="87">
        <v>18</v>
      </c>
      <c r="J252" s="17"/>
      <c r="K252" s="17"/>
      <c r="L252" s="17"/>
      <c r="M252" s="17"/>
      <c r="N252" s="17"/>
      <c r="O252" s="17"/>
      <c r="P252" s="1"/>
      <c r="Q252" s="48">
        <v>1669.79</v>
      </c>
      <c r="R252" s="49">
        <v>2128.2199999999998</v>
      </c>
      <c r="S252" s="49">
        <v>1100.19</v>
      </c>
      <c r="T252" s="50">
        <f t="shared" si="84"/>
        <v>4898.2</v>
      </c>
      <c r="U252" s="48">
        <v>3138.06</v>
      </c>
      <c r="V252" s="49">
        <v>2270.42</v>
      </c>
      <c r="W252" s="49">
        <v>432.71</v>
      </c>
      <c r="X252" s="50">
        <f t="shared" si="85"/>
        <v>5841.19</v>
      </c>
      <c r="Y252" s="48">
        <v>4227.24</v>
      </c>
      <c r="Z252" s="49">
        <v>937.64</v>
      </c>
      <c r="AA252" s="49">
        <v>2122.69</v>
      </c>
      <c r="AB252" s="50">
        <f t="shared" si="86"/>
        <v>7287.57</v>
      </c>
      <c r="AC252" s="164">
        <v>2349.67</v>
      </c>
      <c r="AD252" s="165">
        <v>1955.71</v>
      </c>
      <c r="AE252" s="165">
        <v>758.28</v>
      </c>
      <c r="AF252" s="151">
        <f t="shared" si="87"/>
        <v>5063.66</v>
      </c>
      <c r="AG252" s="191">
        <v>3685.6</v>
      </c>
      <c r="AH252" s="10">
        <v>1949.18</v>
      </c>
      <c r="AI252" s="10">
        <v>1451.19</v>
      </c>
      <c r="AJ252" s="151">
        <f t="shared" si="88"/>
        <v>7085.9699999999993</v>
      </c>
      <c r="AK252" s="100">
        <v>332.53</v>
      </c>
      <c r="AL252" s="100">
        <v>3716.11</v>
      </c>
      <c r="AM252" s="99">
        <v>1282.8</v>
      </c>
      <c r="AN252" s="151">
        <f t="shared" si="89"/>
        <v>5331.4400000000005</v>
      </c>
      <c r="AO252" s="191"/>
      <c r="AP252" s="10"/>
      <c r="AQ252" s="10"/>
      <c r="AR252" s="151"/>
      <c r="AS252" s="191"/>
      <c r="AT252" s="192"/>
      <c r="AU252" s="192"/>
      <c r="AV252" s="151"/>
      <c r="AW252" s="192"/>
      <c r="AX252" s="192"/>
      <c r="AY252" s="192"/>
      <c r="AZ252" s="151"/>
      <c r="BA252" s="10"/>
      <c r="BB252" s="10"/>
      <c r="BC252" s="10"/>
      <c r="BD252" s="151"/>
      <c r="BE252" s="191"/>
      <c r="BF252" s="10"/>
      <c r="BG252" s="10"/>
      <c r="BH252" s="151"/>
      <c r="BI252" s="191"/>
      <c r="BJ252" s="10"/>
      <c r="BK252" s="10"/>
      <c r="BL252" s="151"/>
      <c r="BM252" s="1"/>
      <c r="BN252" s="48">
        <v>280.14999999999998</v>
      </c>
      <c r="BO252" s="49">
        <v>632.03</v>
      </c>
      <c r="BP252" s="49">
        <v>0</v>
      </c>
      <c r="BQ252" s="50">
        <f t="shared" si="90"/>
        <v>912.18</v>
      </c>
      <c r="BR252" s="48">
        <v>412.66</v>
      </c>
      <c r="BS252" s="49">
        <v>198.76</v>
      </c>
      <c r="BT252" s="49">
        <v>0</v>
      </c>
      <c r="BU252" s="50">
        <f t="shared" si="91"/>
        <v>611.42000000000007</v>
      </c>
      <c r="BV252" s="48">
        <v>464.39</v>
      </c>
      <c r="BW252" s="49">
        <v>736.9</v>
      </c>
      <c r="BX252" s="49">
        <v>317.89</v>
      </c>
      <c r="BY252" s="50">
        <f t="shared" si="92"/>
        <v>1519.1799999999998</v>
      </c>
      <c r="BZ252" s="182">
        <v>327.08</v>
      </c>
      <c r="CA252" s="99">
        <v>1623.12</v>
      </c>
      <c r="CB252" s="99">
        <v>459.11</v>
      </c>
      <c r="CC252" s="98">
        <f t="shared" si="93"/>
        <v>2409.31</v>
      </c>
      <c r="CD252" s="183">
        <v>756.55</v>
      </c>
      <c r="CE252" s="99">
        <v>1467.83</v>
      </c>
      <c r="CF252" s="99">
        <v>1085.4000000000001</v>
      </c>
      <c r="CG252" s="98">
        <f t="shared" si="94"/>
        <v>3309.78</v>
      </c>
      <c r="CH252" s="191"/>
      <c r="CI252" s="192">
        <v>1568.92</v>
      </c>
      <c r="CJ252" s="192">
        <v>1282.8</v>
      </c>
      <c r="CK252" s="98">
        <f t="shared" si="95"/>
        <v>2851.7200000000003</v>
      </c>
      <c r="CL252" s="111"/>
      <c r="CM252" s="111"/>
      <c r="CN252" s="111"/>
      <c r="CO252" s="112"/>
      <c r="CP252" s="191"/>
      <c r="CQ252" s="192"/>
      <c r="CR252" s="192"/>
      <c r="CS252" s="151"/>
      <c r="CT252" s="111"/>
      <c r="CU252" s="111"/>
      <c r="CV252" s="111"/>
      <c r="CW252" s="112"/>
      <c r="CX252" s="192"/>
      <c r="CY252" s="192"/>
      <c r="CZ252" s="192"/>
      <c r="DA252" s="151"/>
      <c r="DB252" s="10"/>
      <c r="DC252" s="10"/>
      <c r="DD252" s="10"/>
      <c r="DE252" s="151"/>
      <c r="DF252" s="192"/>
      <c r="DG252" s="192"/>
      <c r="DH252" s="192"/>
      <c r="DI252" s="151"/>
      <c r="DJ252" s="1"/>
      <c r="DK252" s="225"/>
      <c r="DL252" s="225"/>
      <c r="DM252" s="225"/>
      <c r="DN252" s="225"/>
      <c r="DO252" s="225"/>
      <c r="DP252" s="225"/>
      <c r="DQ252" s="225"/>
      <c r="DR252" s="225"/>
      <c r="DS252" s="225"/>
      <c r="DT252" s="225"/>
      <c r="DU252" s="225"/>
      <c r="DV252" s="225"/>
      <c r="DW252" s="1"/>
      <c r="EJ252" s="1"/>
      <c r="EK252" s="17"/>
      <c r="EL252" s="17"/>
      <c r="EM252" s="17"/>
      <c r="EN252" s="17"/>
      <c r="EO252" s="17"/>
      <c r="EP252" s="17"/>
      <c r="EQ252" s="17"/>
      <c r="ER252" s="17"/>
      <c r="ES252" s="17"/>
      <c r="EU252" s="17"/>
      <c r="EW252" s="1"/>
      <c r="EX252" s="225"/>
      <c r="EY252" s="225"/>
      <c r="EZ252" s="225"/>
      <c r="FA252" s="225"/>
      <c r="FB252" s="225"/>
      <c r="FC252" s="225"/>
      <c r="FD252" s="225"/>
      <c r="FE252" s="225"/>
      <c r="FF252" s="225"/>
      <c r="FG252" s="10"/>
      <c r="FH252" s="225"/>
      <c r="FI252" s="10"/>
      <c r="FJ252" s="1"/>
      <c r="FK252" s="225"/>
      <c r="FL252" s="225"/>
      <c r="FM252" s="225"/>
      <c r="FN252" s="225"/>
      <c r="FO252" s="225"/>
      <c r="FP252" s="225"/>
      <c r="FQ252" s="225"/>
      <c r="FR252" s="225"/>
      <c r="FS252" s="225"/>
      <c r="FT252" s="191"/>
      <c r="FU252" s="225"/>
      <c r="FV252" s="151"/>
    </row>
    <row r="253" spans="1:178" ht="16" thickBot="1" x14ac:dyDescent="0.25">
      <c r="A253" s="27" t="s">
        <v>68</v>
      </c>
      <c r="B253" t="s">
        <v>141</v>
      </c>
      <c r="C253" s="1"/>
      <c r="D253">
        <v>0</v>
      </c>
      <c r="E253" s="17">
        <v>0</v>
      </c>
      <c r="F253" s="241">
        <v>0</v>
      </c>
      <c r="G253" s="89">
        <v>1</v>
      </c>
      <c r="H253" s="88"/>
      <c r="I253" s="88"/>
      <c r="J253" s="17"/>
      <c r="K253" s="17"/>
      <c r="L253" s="17"/>
      <c r="M253" s="17"/>
      <c r="N253" s="17"/>
      <c r="O253" s="17"/>
      <c r="P253" s="1"/>
      <c r="Q253" s="48">
        <v>0</v>
      </c>
      <c r="R253" s="49">
        <v>0</v>
      </c>
      <c r="S253" s="49">
        <v>0</v>
      </c>
      <c r="T253" s="50">
        <f t="shared" si="84"/>
        <v>0</v>
      </c>
      <c r="U253" s="48">
        <v>0</v>
      </c>
      <c r="V253" s="49">
        <v>0</v>
      </c>
      <c r="W253" s="49">
        <v>0</v>
      </c>
      <c r="X253" s="50">
        <f t="shared" si="85"/>
        <v>0</v>
      </c>
      <c r="Y253" s="48">
        <v>0</v>
      </c>
      <c r="Z253" s="49">
        <v>0</v>
      </c>
      <c r="AA253" s="49">
        <v>0</v>
      </c>
      <c r="AB253" s="50">
        <f t="shared" si="86"/>
        <v>0</v>
      </c>
      <c r="AC253" s="167">
        <v>30.81</v>
      </c>
      <c r="AD253" s="166"/>
      <c r="AE253" s="166">
        <v>0</v>
      </c>
      <c r="AF253" s="151">
        <f t="shared" si="87"/>
        <v>30.81</v>
      </c>
      <c r="AG253" s="191"/>
      <c r="AH253" s="10"/>
      <c r="AI253" s="10">
        <v>0</v>
      </c>
      <c r="AJ253" s="151">
        <f t="shared" si="88"/>
        <v>0</v>
      </c>
      <c r="AK253" s="100">
        <v>0</v>
      </c>
      <c r="AL253" s="100">
        <v>0</v>
      </c>
      <c r="AM253" s="100">
        <v>0</v>
      </c>
      <c r="AN253" s="151">
        <f t="shared" si="89"/>
        <v>0</v>
      </c>
      <c r="AO253" s="191"/>
      <c r="AP253" s="10"/>
      <c r="AQ253" s="10"/>
      <c r="AR253" s="151"/>
      <c r="AS253" s="191"/>
      <c r="AT253" s="192"/>
      <c r="AU253" s="192"/>
      <c r="AV253" s="151"/>
      <c r="AW253" s="192"/>
      <c r="AX253" s="192"/>
      <c r="AY253" s="192"/>
      <c r="AZ253" s="151"/>
      <c r="BA253" s="10"/>
      <c r="BB253" s="10"/>
      <c r="BC253" s="10"/>
      <c r="BD253" s="151"/>
      <c r="BE253" s="191"/>
      <c r="BF253" s="10"/>
      <c r="BG253" s="10"/>
      <c r="BH253" s="151"/>
      <c r="BI253" s="191"/>
      <c r="BJ253" s="10"/>
      <c r="BK253" s="10"/>
      <c r="BL253" s="151"/>
      <c r="BM253" s="1"/>
      <c r="BN253" s="48"/>
      <c r="BO253" s="49"/>
      <c r="BP253" s="49">
        <v>0</v>
      </c>
      <c r="BQ253" s="50">
        <f t="shared" si="90"/>
        <v>0</v>
      </c>
      <c r="BR253" s="48"/>
      <c r="BS253" s="49"/>
      <c r="BT253" s="49">
        <v>0</v>
      </c>
      <c r="BU253" s="50">
        <f t="shared" si="91"/>
        <v>0</v>
      </c>
      <c r="BV253" s="48"/>
      <c r="BW253" s="49"/>
      <c r="BX253" s="49">
        <v>0</v>
      </c>
      <c r="BY253" s="50">
        <f t="shared" si="92"/>
        <v>0</v>
      </c>
      <c r="BZ253" s="183"/>
      <c r="CA253" s="266"/>
      <c r="CB253" s="266"/>
      <c r="CC253" s="98">
        <f t="shared" si="93"/>
        <v>0</v>
      </c>
      <c r="CD253" s="183"/>
      <c r="CE253" s="266"/>
      <c r="CF253" s="266"/>
      <c r="CG253" s="98">
        <f t="shared" si="94"/>
        <v>0</v>
      </c>
      <c r="CH253" s="191"/>
      <c r="CI253" s="192"/>
      <c r="CJ253" s="192">
        <v>0</v>
      </c>
      <c r="CK253" s="98">
        <f t="shared" si="95"/>
        <v>0</v>
      </c>
      <c r="CL253" s="111"/>
      <c r="CM253" s="111"/>
      <c r="CN253" s="111"/>
      <c r="CO253" s="112"/>
      <c r="CP253" s="191"/>
      <c r="CQ253" s="192"/>
      <c r="CR253" s="192"/>
      <c r="CS253" s="151"/>
      <c r="CT253" s="111"/>
      <c r="CU253" s="111"/>
      <c r="CV253" s="111"/>
      <c r="CW253" s="112"/>
      <c r="CX253" s="192"/>
      <c r="CY253" s="192"/>
      <c r="CZ253" s="192"/>
      <c r="DA253" s="151"/>
      <c r="DB253" s="10"/>
      <c r="DC253" s="10"/>
      <c r="DD253" s="10"/>
      <c r="DE253" s="151"/>
      <c r="DF253" s="192"/>
      <c r="DG253" s="192"/>
      <c r="DH253" s="192"/>
      <c r="DI253" s="151"/>
      <c r="DJ253" s="1"/>
      <c r="DK253" s="225"/>
      <c r="DL253" s="225"/>
      <c r="DM253" s="225"/>
      <c r="DN253" s="225"/>
      <c r="DO253" s="225"/>
      <c r="DP253" s="225"/>
      <c r="DQ253" s="225"/>
      <c r="DR253" s="225"/>
      <c r="DS253" s="225"/>
      <c r="DT253" s="225"/>
      <c r="DU253" s="225"/>
      <c r="DV253" s="225"/>
      <c r="DW253" s="1"/>
      <c r="EJ253" s="1"/>
      <c r="EK253" s="17"/>
      <c r="EL253" s="17"/>
      <c r="EM253" s="17"/>
      <c r="EN253" s="17"/>
      <c r="EO253" s="17"/>
      <c r="EP253" s="17"/>
      <c r="EQ253" s="17"/>
      <c r="ER253" s="17"/>
      <c r="ES253" s="17"/>
      <c r="EU253" s="17"/>
      <c r="EW253" s="1"/>
      <c r="EX253" s="225"/>
      <c r="EY253" s="225"/>
      <c r="EZ253" s="225"/>
      <c r="FA253" s="225"/>
      <c r="FB253" s="225"/>
      <c r="FC253" s="225"/>
      <c r="FD253" s="225"/>
      <c r="FE253" s="225"/>
      <c r="FF253" s="225"/>
      <c r="FG253" s="10"/>
      <c r="FH253" s="225"/>
      <c r="FI253" s="10"/>
      <c r="FJ253" s="1"/>
      <c r="FK253" s="225"/>
      <c r="FL253" s="225"/>
      <c r="FM253" s="225"/>
      <c r="FN253" s="225"/>
      <c r="FO253" s="225"/>
      <c r="FP253" s="225"/>
      <c r="FQ253" s="225"/>
      <c r="FR253" s="225"/>
      <c r="FS253" s="225"/>
      <c r="FT253" s="191"/>
      <c r="FU253" s="225"/>
      <c r="FV253" s="151"/>
    </row>
    <row r="254" spans="1:178" ht="16" thickBot="1" x14ac:dyDescent="0.25">
      <c r="A254" s="27" t="s">
        <v>69</v>
      </c>
      <c r="B254" t="s">
        <v>141</v>
      </c>
      <c r="C254" s="1"/>
      <c r="D254">
        <v>0</v>
      </c>
      <c r="E254" s="17">
        <v>1</v>
      </c>
      <c r="F254" s="241">
        <v>0</v>
      </c>
      <c r="G254" s="89">
        <v>0</v>
      </c>
      <c r="H254" s="88">
        <v>1</v>
      </c>
      <c r="I254" s="88">
        <v>1</v>
      </c>
      <c r="J254" s="17"/>
      <c r="K254" s="17"/>
      <c r="L254" s="17"/>
      <c r="M254" s="17"/>
      <c r="N254" s="17"/>
      <c r="O254" s="17"/>
      <c r="P254" s="1"/>
      <c r="Q254" s="48">
        <v>0</v>
      </c>
      <c r="R254" s="49">
        <v>0</v>
      </c>
      <c r="S254" s="49">
        <v>0</v>
      </c>
      <c r="T254" s="50">
        <f t="shared" si="84"/>
        <v>0</v>
      </c>
      <c r="U254" s="48">
        <v>160.47</v>
      </c>
      <c r="V254" s="49">
        <v>0</v>
      </c>
      <c r="W254" s="49">
        <v>0</v>
      </c>
      <c r="X254" s="50">
        <f t="shared" si="85"/>
        <v>160.47</v>
      </c>
      <c r="Y254" s="48"/>
      <c r="Z254" s="49"/>
      <c r="AA254" s="49"/>
      <c r="AB254" s="50">
        <f t="shared" si="86"/>
        <v>0</v>
      </c>
      <c r="AC254" s="167"/>
      <c r="AD254" s="166"/>
      <c r="AE254" s="166">
        <v>0</v>
      </c>
      <c r="AF254" s="151">
        <f t="shared" si="87"/>
        <v>0</v>
      </c>
      <c r="AG254" s="191">
        <v>191.82</v>
      </c>
      <c r="AH254" s="10"/>
      <c r="AI254" s="10">
        <v>0</v>
      </c>
      <c r="AJ254" s="151">
        <f t="shared" si="88"/>
        <v>191.82</v>
      </c>
      <c r="AK254" s="100">
        <v>0</v>
      </c>
      <c r="AL254" s="100">
        <v>300.42</v>
      </c>
      <c r="AM254" s="100">
        <v>0</v>
      </c>
      <c r="AN254" s="151">
        <f t="shared" si="89"/>
        <v>300.42</v>
      </c>
      <c r="AO254" s="191"/>
      <c r="AP254" s="10"/>
      <c r="AQ254" s="10"/>
      <c r="AR254" s="151"/>
      <c r="AS254" s="191"/>
      <c r="AT254" s="192"/>
      <c r="AU254" s="192"/>
      <c r="AV254" s="151"/>
      <c r="AW254" s="192"/>
      <c r="AX254" s="192"/>
      <c r="AY254" s="192"/>
      <c r="AZ254" s="151"/>
      <c r="BA254" s="10"/>
      <c r="BB254" s="10"/>
      <c r="BC254" s="10"/>
      <c r="BD254" s="151"/>
      <c r="BE254" s="191"/>
      <c r="BF254" s="10"/>
      <c r="BG254" s="10"/>
      <c r="BH254" s="151"/>
      <c r="BI254" s="191"/>
      <c r="BJ254" s="10"/>
      <c r="BK254" s="10"/>
      <c r="BL254" s="151"/>
      <c r="BM254" s="1"/>
      <c r="BN254" s="48"/>
      <c r="BO254" s="49"/>
      <c r="BP254" s="49">
        <v>0</v>
      </c>
      <c r="BQ254" s="50">
        <f t="shared" si="90"/>
        <v>0</v>
      </c>
      <c r="BR254" s="48"/>
      <c r="BS254" s="49"/>
      <c r="BT254" s="49">
        <v>0</v>
      </c>
      <c r="BU254" s="50">
        <f t="shared" si="91"/>
        <v>0</v>
      </c>
      <c r="BV254" s="48"/>
      <c r="BW254" s="49"/>
      <c r="BX254" s="49">
        <v>0</v>
      </c>
      <c r="BY254" s="50">
        <f t="shared" si="92"/>
        <v>0</v>
      </c>
      <c r="BZ254" s="183"/>
      <c r="CA254" s="266"/>
      <c r="CB254" s="266"/>
      <c r="CC254" s="98">
        <f t="shared" si="93"/>
        <v>0</v>
      </c>
      <c r="CD254" s="183"/>
      <c r="CE254" s="266"/>
      <c r="CF254" s="266"/>
      <c r="CG254" s="98">
        <f t="shared" si="94"/>
        <v>0</v>
      </c>
      <c r="CH254" s="191"/>
      <c r="CI254" s="192"/>
      <c r="CJ254" s="192">
        <v>0</v>
      </c>
      <c r="CK254" s="98">
        <f t="shared" si="95"/>
        <v>0</v>
      </c>
      <c r="CL254" s="111"/>
      <c r="CM254" s="111"/>
      <c r="CN254" s="111"/>
      <c r="CO254" s="112"/>
      <c r="CP254" s="191"/>
      <c r="CQ254" s="192"/>
      <c r="CR254" s="192"/>
      <c r="CS254" s="151"/>
      <c r="CT254" s="111"/>
      <c r="CU254" s="111"/>
      <c r="CV254" s="111"/>
      <c r="CW254" s="112"/>
      <c r="CX254" s="192"/>
      <c r="CY254" s="192"/>
      <c r="CZ254" s="192"/>
      <c r="DA254" s="151"/>
      <c r="DB254" s="10"/>
      <c r="DC254" s="10"/>
      <c r="DD254" s="10"/>
      <c r="DE254" s="151"/>
      <c r="DF254" s="192"/>
      <c r="DG254" s="192"/>
      <c r="DH254" s="192"/>
      <c r="DI254" s="151"/>
      <c r="DJ254" s="1"/>
      <c r="DK254" s="225"/>
      <c r="DL254" s="225"/>
      <c r="DM254" s="225"/>
      <c r="DN254" s="225"/>
      <c r="DO254" s="225"/>
      <c r="DP254" s="225"/>
      <c r="DQ254" s="225"/>
      <c r="DR254" s="225"/>
      <c r="DS254" s="225"/>
      <c r="DT254" s="225"/>
      <c r="DU254" s="225"/>
      <c r="DV254" s="225"/>
      <c r="DW254" s="1"/>
      <c r="EJ254" s="1"/>
      <c r="EK254" s="17"/>
      <c r="EL254" s="17"/>
      <c r="EM254" s="17"/>
      <c r="EN254" s="17"/>
      <c r="EO254" s="17"/>
      <c r="EP254" s="17"/>
      <c r="EQ254" s="17"/>
      <c r="ER254" s="17"/>
      <c r="ES254" s="17"/>
      <c r="EU254" s="17"/>
      <c r="EW254" s="1"/>
      <c r="EX254" s="225"/>
      <c r="EY254" s="225"/>
      <c r="EZ254" s="225"/>
      <c r="FA254" s="225"/>
      <c r="FB254" s="225"/>
      <c r="FC254" s="225"/>
      <c r="FD254" s="225"/>
      <c r="FE254" s="225"/>
      <c r="FF254" s="225"/>
      <c r="FG254" s="10"/>
      <c r="FH254" s="225"/>
      <c r="FI254" s="10"/>
      <c r="FJ254" s="1"/>
      <c r="FK254" s="225"/>
      <c r="FL254" s="225"/>
      <c r="FM254" s="225"/>
      <c r="FN254" s="225"/>
      <c r="FO254" s="225"/>
      <c r="FP254" s="225"/>
      <c r="FQ254" s="225"/>
      <c r="FR254" s="225"/>
      <c r="FS254" s="225"/>
      <c r="FT254" s="191"/>
      <c r="FU254" s="225"/>
      <c r="FV254" s="151"/>
    </row>
    <row r="255" spans="1:178" ht="16" thickBot="1" x14ac:dyDescent="0.25">
      <c r="A255" s="27" t="s">
        <v>70</v>
      </c>
      <c r="B255" t="s">
        <v>141</v>
      </c>
      <c r="C255" s="1"/>
      <c r="D255">
        <v>151</v>
      </c>
      <c r="E255" s="17">
        <v>153</v>
      </c>
      <c r="F255" s="241">
        <v>181</v>
      </c>
      <c r="G255" s="87">
        <v>208</v>
      </c>
      <c r="H255" s="87">
        <v>211</v>
      </c>
      <c r="I255" s="87">
        <v>204</v>
      </c>
      <c r="J255" s="17"/>
      <c r="K255" s="17"/>
      <c r="L255" s="17"/>
      <c r="M255" s="17"/>
      <c r="N255" s="17"/>
      <c r="O255" s="17"/>
      <c r="P255" s="1"/>
      <c r="Q255" s="48">
        <v>11347.37</v>
      </c>
      <c r="R255" s="49">
        <v>4319.78</v>
      </c>
      <c r="S255" s="49">
        <v>23430.77</v>
      </c>
      <c r="T255" s="50">
        <f t="shared" si="84"/>
        <v>39097.919999999998</v>
      </c>
      <c r="U255" s="48">
        <v>14252.83</v>
      </c>
      <c r="V255" s="49">
        <v>5181.75</v>
      </c>
      <c r="W255" s="49">
        <v>17643.899999999998</v>
      </c>
      <c r="X255" s="50">
        <f t="shared" si="85"/>
        <v>37078.479999999996</v>
      </c>
      <c r="Y255" s="48">
        <v>21616.94</v>
      </c>
      <c r="Z255" s="49">
        <v>7041.65</v>
      </c>
      <c r="AA255" s="49">
        <v>18845.420000000002</v>
      </c>
      <c r="AB255" s="50">
        <f t="shared" si="86"/>
        <v>47504.009999999995</v>
      </c>
      <c r="AC255" s="164">
        <v>19656.560000000001</v>
      </c>
      <c r="AD255" s="165">
        <v>11203.45</v>
      </c>
      <c r="AE255" s="165">
        <v>19962.97</v>
      </c>
      <c r="AF255" s="151">
        <f t="shared" si="87"/>
        <v>50822.98</v>
      </c>
      <c r="AG255" s="191">
        <v>15318.46</v>
      </c>
      <c r="AH255" s="10">
        <v>14730.42</v>
      </c>
      <c r="AI255" s="10">
        <v>27564.32</v>
      </c>
      <c r="AJ255" s="151">
        <f t="shared" si="88"/>
        <v>57613.2</v>
      </c>
      <c r="AK255" s="99">
        <v>15650.66</v>
      </c>
      <c r="AL255" s="99">
        <v>9069.11</v>
      </c>
      <c r="AM255" s="99">
        <v>25378.29</v>
      </c>
      <c r="AN255" s="151">
        <f t="shared" si="89"/>
        <v>50098.06</v>
      </c>
      <c r="AO255" s="191"/>
      <c r="AP255" s="10"/>
      <c r="AQ255" s="10"/>
      <c r="AR255" s="151"/>
      <c r="AS255" s="191"/>
      <c r="AT255" s="192"/>
      <c r="AU255" s="192"/>
      <c r="AV255" s="151"/>
      <c r="AW255" s="192"/>
      <c r="AX255" s="192"/>
      <c r="AY255" s="192"/>
      <c r="AZ255" s="151"/>
      <c r="BA255" s="10"/>
      <c r="BB255" s="10"/>
      <c r="BC255" s="10"/>
      <c r="BD255" s="151"/>
      <c r="BE255" s="191"/>
      <c r="BF255" s="10"/>
      <c r="BG255" s="10"/>
      <c r="BH255" s="151"/>
      <c r="BI255" s="191"/>
      <c r="BJ255" s="10"/>
      <c r="BK255" s="10"/>
      <c r="BL255" s="151"/>
      <c r="BM255" s="1"/>
      <c r="BN255" s="48">
        <v>567.70000000000005</v>
      </c>
      <c r="BO255" s="49">
        <v>1384.83</v>
      </c>
      <c r="BP255" s="49">
        <v>7668.58</v>
      </c>
      <c r="BQ255" s="50">
        <f t="shared" si="90"/>
        <v>9621.11</v>
      </c>
      <c r="BR255" s="48">
        <v>1429.7</v>
      </c>
      <c r="BS255" s="49">
        <v>918.76</v>
      </c>
      <c r="BT255" s="49">
        <v>9198.1200000000008</v>
      </c>
      <c r="BU255" s="50">
        <f t="shared" si="91"/>
        <v>11546.580000000002</v>
      </c>
      <c r="BV255" s="48">
        <v>4741.6000000000004</v>
      </c>
      <c r="BW255" s="49">
        <v>1957.91</v>
      </c>
      <c r="BX255" s="49">
        <v>9831.42</v>
      </c>
      <c r="BY255" s="50">
        <f t="shared" si="92"/>
        <v>16530.93</v>
      </c>
      <c r="BZ255" s="182">
        <v>3726.31</v>
      </c>
      <c r="CA255" s="99">
        <v>7645.3</v>
      </c>
      <c r="CB255" s="99">
        <v>11226.949999999999</v>
      </c>
      <c r="CC255" s="98">
        <f t="shared" si="93"/>
        <v>22598.559999999998</v>
      </c>
      <c r="CD255" s="182">
        <v>3720.17</v>
      </c>
      <c r="CE255" s="99">
        <v>10094.58</v>
      </c>
      <c r="CF255" s="99">
        <v>12386.89</v>
      </c>
      <c r="CG255" s="98">
        <f t="shared" si="94"/>
        <v>26201.64</v>
      </c>
      <c r="CH255" s="191">
        <v>3139.93</v>
      </c>
      <c r="CI255" s="192">
        <v>8348.4599999999991</v>
      </c>
      <c r="CJ255" s="192">
        <v>15286.02</v>
      </c>
      <c r="CK255" s="98">
        <f t="shared" si="95"/>
        <v>26774.41</v>
      </c>
      <c r="CL255" s="111"/>
      <c r="CM255" s="111"/>
      <c r="CN255" s="111"/>
      <c r="CO255" s="112"/>
      <c r="CP255" s="191"/>
      <c r="CQ255" s="192"/>
      <c r="CR255" s="192"/>
      <c r="CS255" s="151"/>
      <c r="CT255" s="111"/>
      <c r="CU255" s="111"/>
      <c r="CV255" s="111"/>
      <c r="CW255" s="112"/>
      <c r="CX255" s="192"/>
      <c r="CY255" s="192"/>
      <c r="CZ255" s="192"/>
      <c r="DA255" s="151"/>
      <c r="DB255" s="10"/>
      <c r="DC255" s="10"/>
      <c r="DD255" s="10"/>
      <c r="DE255" s="151"/>
      <c r="DF255" s="192"/>
      <c r="DG255" s="192"/>
      <c r="DH255" s="192"/>
      <c r="DI255" s="151"/>
      <c r="DJ255" s="1"/>
      <c r="DK255" s="225"/>
      <c r="DL255" s="225">
        <v>150.16</v>
      </c>
      <c r="DM255" s="225">
        <v>244.98</v>
      </c>
      <c r="DN255" s="225">
        <v>1872.25</v>
      </c>
      <c r="DO255" s="225">
        <v>699.6</v>
      </c>
      <c r="DP255" s="225">
        <v>4128.1000000000004</v>
      </c>
      <c r="DQ255" s="225"/>
      <c r="DR255" s="225"/>
      <c r="DS255" s="225"/>
      <c r="DT255" s="225"/>
      <c r="DU255" s="225"/>
      <c r="DV255" s="225"/>
      <c r="DW255" s="1"/>
      <c r="EJ255" s="1"/>
      <c r="EK255" s="17"/>
      <c r="EL255" s="17">
        <v>1</v>
      </c>
      <c r="EM255" s="17">
        <v>1</v>
      </c>
      <c r="EN255" s="17">
        <v>3</v>
      </c>
      <c r="EO255" s="17">
        <v>2</v>
      </c>
      <c r="EP255" s="17">
        <v>6</v>
      </c>
      <c r="EQ255" s="17"/>
      <c r="ER255" s="17"/>
      <c r="ES255" s="17"/>
      <c r="EU255" s="17"/>
      <c r="EW255" s="1"/>
      <c r="EX255" s="225"/>
      <c r="EY255" s="225">
        <v>140.09</v>
      </c>
      <c r="EZ255" s="225">
        <v>244.98</v>
      </c>
      <c r="FA255" s="225">
        <v>1872.25</v>
      </c>
      <c r="FB255" s="225">
        <v>699.6</v>
      </c>
      <c r="FC255" s="225">
        <v>4128.1000000000004</v>
      </c>
      <c r="FD255" s="225"/>
      <c r="FE255" s="225"/>
      <c r="FF255" s="225"/>
      <c r="FG255" s="10"/>
      <c r="FH255" s="225"/>
      <c r="FI255" s="10"/>
      <c r="FJ255" s="1"/>
      <c r="FK255" s="225">
        <v>-211.94</v>
      </c>
      <c r="FL255" s="225"/>
      <c r="FM255" s="225"/>
      <c r="FN255" s="225"/>
      <c r="FO255" s="225"/>
      <c r="FP255" s="225"/>
      <c r="FQ255" s="225"/>
      <c r="FR255" s="225"/>
      <c r="FS255" s="225"/>
      <c r="FT255" s="191"/>
      <c r="FU255" s="225"/>
      <c r="FV255" s="151"/>
    </row>
    <row r="256" spans="1:178" ht="16" thickBot="1" x14ac:dyDescent="0.25">
      <c r="A256" s="27" t="s">
        <v>71</v>
      </c>
      <c r="B256" t="s">
        <v>141</v>
      </c>
      <c r="C256" s="1"/>
      <c r="D256">
        <v>18</v>
      </c>
      <c r="E256" s="17">
        <v>24</v>
      </c>
      <c r="F256" s="241">
        <v>29</v>
      </c>
      <c r="G256" s="87">
        <v>35</v>
      </c>
      <c r="H256" s="87">
        <v>31</v>
      </c>
      <c r="I256" s="87">
        <v>33</v>
      </c>
      <c r="J256" s="17"/>
      <c r="K256" s="17"/>
      <c r="L256" s="17"/>
      <c r="M256" s="17"/>
      <c r="N256" s="17"/>
      <c r="O256" s="17"/>
      <c r="P256" s="1"/>
      <c r="Q256" s="48">
        <v>1324.32</v>
      </c>
      <c r="R256" s="49">
        <v>1329.71</v>
      </c>
      <c r="S256" s="49">
        <v>2354.1</v>
      </c>
      <c r="T256" s="50">
        <f t="shared" si="84"/>
        <v>5008.1299999999992</v>
      </c>
      <c r="U256" s="48">
        <v>8336.07</v>
      </c>
      <c r="V256" s="49">
        <v>545.66</v>
      </c>
      <c r="W256" s="49">
        <v>1785.65</v>
      </c>
      <c r="X256" s="50">
        <f t="shared" si="85"/>
        <v>10667.38</v>
      </c>
      <c r="Y256" s="48">
        <v>6308.57</v>
      </c>
      <c r="Z256" s="49">
        <v>4133.42</v>
      </c>
      <c r="AA256" s="49">
        <v>368.51</v>
      </c>
      <c r="AB256" s="50">
        <f t="shared" si="86"/>
        <v>10810.5</v>
      </c>
      <c r="AC256" s="164">
        <v>4243.12</v>
      </c>
      <c r="AD256" s="165">
        <v>2446.75</v>
      </c>
      <c r="AE256" s="165">
        <v>3131.05</v>
      </c>
      <c r="AF256" s="151">
        <f t="shared" si="87"/>
        <v>9820.92</v>
      </c>
      <c r="AG256" s="191">
        <v>2097.1799999999998</v>
      </c>
      <c r="AH256" s="10">
        <v>2361</v>
      </c>
      <c r="AI256" s="10">
        <v>3789.84</v>
      </c>
      <c r="AJ256" s="151">
        <f t="shared" si="88"/>
        <v>8248.02</v>
      </c>
      <c r="AK256" s="99">
        <v>2866.63</v>
      </c>
      <c r="AL256" s="100">
        <v>875.75</v>
      </c>
      <c r="AM256" s="99">
        <v>3589.9300000000003</v>
      </c>
      <c r="AN256" s="151">
        <f t="shared" si="89"/>
        <v>7332.31</v>
      </c>
      <c r="AO256" s="191"/>
      <c r="AP256" s="10"/>
      <c r="AQ256" s="10"/>
      <c r="AR256" s="151"/>
      <c r="AS256" s="191"/>
      <c r="AT256" s="192"/>
      <c r="AU256" s="192"/>
      <c r="AV256" s="151"/>
      <c r="AW256" s="192"/>
      <c r="AX256" s="192"/>
      <c r="AY256" s="192"/>
      <c r="AZ256" s="151"/>
      <c r="BA256" s="10"/>
      <c r="BB256" s="10"/>
      <c r="BC256" s="10"/>
      <c r="BD256" s="151"/>
      <c r="BE256" s="191"/>
      <c r="BF256" s="10"/>
      <c r="BG256" s="10"/>
      <c r="BH256" s="151"/>
      <c r="BI256" s="191"/>
      <c r="BJ256" s="10"/>
      <c r="BK256" s="10"/>
      <c r="BL256" s="151"/>
      <c r="BM256" s="1"/>
      <c r="BN256" s="48">
        <v>542.29</v>
      </c>
      <c r="BO256" s="49"/>
      <c r="BP256" s="49">
        <v>2121.2600000000002</v>
      </c>
      <c r="BQ256" s="50">
        <f t="shared" si="90"/>
        <v>2663.55</v>
      </c>
      <c r="BR256" s="48">
        <v>2541.27</v>
      </c>
      <c r="BS256" s="49">
        <v>88.34</v>
      </c>
      <c r="BT256" s="49">
        <v>1044.1600000000001</v>
      </c>
      <c r="BU256" s="50">
        <f t="shared" si="91"/>
        <v>3673.7700000000004</v>
      </c>
      <c r="BV256" s="48">
        <v>1342.7</v>
      </c>
      <c r="BW256" s="49">
        <v>2313.54</v>
      </c>
      <c r="BX256" s="49">
        <v>0</v>
      </c>
      <c r="BY256" s="50">
        <f t="shared" si="92"/>
        <v>3656.24</v>
      </c>
      <c r="BZ256" s="182">
        <v>1701.52</v>
      </c>
      <c r="CA256" s="266">
        <v>6610.18</v>
      </c>
      <c r="CB256" s="99">
        <v>2532.1400000000003</v>
      </c>
      <c r="CC256" s="98">
        <f t="shared" si="93"/>
        <v>10843.84</v>
      </c>
      <c r="CD256" s="182">
        <v>700.36</v>
      </c>
      <c r="CE256" s="99">
        <v>3931.65</v>
      </c>
      <c r="CF256" s="99">
        <v>2928.64</v>
      </c>
      <c r="CG256" s="98">
        <f t="shared" si="94"/>
        <v>7560.65</v>
      </c>
      <c r="CH256" s="191">
        <v>536.79999999999995</v>
      </c>
      <c r="CI256" s="192">
        <v>2182.0500000000002</v>
      </c>
      <c r="CJ256" s="192">
        <v>2750.13</v>
      </c>
      <c r="CK256" s="98">
        <f t="shared" si="95"/>
        <v>5468.9800000000005</v>
      </c>
      <c r="CL256" s="111"/>
      <c r="CM256" s="111"/>
      <c r="CN256" s="111"/>
      <c r="CO256" s="112"/>
      <c r="CP256" s="191"/>
      <c r="CQ256" s="192"/>
      <c r="CR256" s="192"/>
      <c r="CS256" s="151"/>
      <c r="CT256" s="111"/>
      <c r="CU256" s="111"/>
      <c r="CV256" s="111"/>
      <c r="CW256" s="112"/>
      <c r="CX256" s="192"/>
      <c r="CY256" s="192"/>
      <c r="CZ256" s="192"/>
      <c r="DA256" s="151"/>
      <c r="DB256" s="10"/>
      <c r="DC256" s="10"/>
      <c r="DD256" s="10"/>
      <c r="DE256" s="151"/>
      <c r="DF256" s="192"/>
      <c r="DG256" s="192"/>
      <c r="DH256" s="192"/>
      <c r="DI256" s="151"/>
      <c r="DJ256" s="1"/>
      <c r="DK256" s="225">
        <v>753.84</v>
      </c>
      <c r="DL256" s="225">
        <v>184.95</v>
      </c>
      <c r="DM256" s="225">
        <v>4875.18</v>
      </c>
      <c r="DN256" s="225">
        <v>2646.8</v>
      </c>
      <c r="DO256" s="225">
        <v>47.45</v>
      </c>
      <c r="DP256" s="225">
        <v>605</v>
      </c>
      <c r="DQ256" s="225"/>
      <c r="DR256" s="225"/>
      <c r="DS256" s="225"/>
      <c r="DT256" s="225"/>
      <c r="DU256" s="225"/>
      <c r="DV256" s="225"/>
      <c r="DW256" s="1"/>
      <c r="EJ256" s="1"/>
      <c r="EK256" s="17">
        <v>1</v>
      </c>
      <c r="EL256" s="17">
        <v>1</v>
      </c>
      <c r="EM256" s="17">
        <v>3</v>
      </c>
      <c r="EN256" s="17">
        <v>4</v>
      </c>
      <c r="EO256" s="17">
        <v>1</v>
      </c>
      <c r="EP256" s="17">
        <v>1</v>
      </c>
      <c r="EQ256" s="17"/>
      <c r="ER256" s="17"/>
      <c r="ES256" s="17"/>
      <c r="EU256" s="17"/>
      <c r="EW256" s="1"/>
      <c r="EX256" s="225">
        <v>753.84</v>
      </c>
      <c r="EY256" s="225">
        <v>184.95</v>
      </c>
      <c r="EZ256" s="225">
        <v>4875.18</v>
      </c>
      <c r="FA256" s="225">
        <v>2646.8</v>
      </c>
      <c r="FB256" s="225">
        <v>47.45</v>
      </c>
      <c r="FC256" s="225">
        <v>605</v>
      </c>
      <c r="FD256" s="225"/>
      <c r="FE256" s="225"/>
      <c r="FF256" s="225"/>
      <c r="FG256" s="10"/>
      <c r="FH256" s="225"/>
      <c r="FI256" s="10"/>
      <c r="FJ256" s="1"/>
      <c r="FK256" s="225">
        <v>-325</v>
      </c>
      <c r="FL256" s="225">
        <v>-428.77</v>
      </c>
      <c r="FM256" s="225">
        <v>-300</v>
      </c>
      <c r="FN256" s="225">
        <v>-300</v>
      </c>
      <c r="FO256" s="225">
        <v>-84.37</v>
      </c>
      <c r="FP256" s="225">
        <v>-47.45</v>
      </c>
      <c r="FQ256" s="225"/>
      <c r="FR256" s="225"/>
      <c r="FS256" s="225"/>
      <c r="FT256" s="191"/>
      <c r="FU256" s="225"/>
      <c r="FV256" s="151"/>
    </row>
    <row r="257" spans="1:178" ht="16" thickBot="1" x14ac:dyDescent="0.25">
      <c r="A257" s="27" t="s">
        <v>72</v>
      </c>
      <c r="B257" t="s">
        <v>141</v>
      </c>
      <c r="C257" s="1"/>
      <c r="D257">
        <v>109</v>
      </c>
      <c r="E257" s="17">
        <v>123</v>
      </c>
      <c r="F257" s="241">
        <v>126</v>
      </c>
      <c r="G257" s="87">
        <v>142</v>
      </c>
      <c r="H257" s="87">
        <v>139</v>
      </c>
      <c r="I257" s="87">
        <v>133</v>
      </c>
      <c r="J257" s="17"/>
      <c r="K257" s="17"/>
      <c r="L257" s="17"/>
      <c r="M257" s="17"/>
      <c r="N257" s="17"/>
      <c r="O257" s="17"/>
      <c r="P257" s="1"/>
      <c r="Q257" s="48">
        <v>8527.52</v>
      </c>
      <c r="R257" s="49">
        <v>2436.98</v>
      </c>
      <c r="S257" s="49">
        <v>15898.36</v>
      </c>
      <c r="T257" s="50">
        <f t="shared" si="84"/>
        <v>26862.86</v>
      </c>
      <c r="U257" s="48">
        <v>9376.57</v>
      </c>
      <c r="V257" s="49">
        <v>9350.9</v>
      </c>
      <c r="W257" s="49">
        <v>18842.46</v>
      </c>
      <c r="X257" s="50">
        <f t="shared" si="85"/>
        <v>37569.93</v>
      </c>
      <c r="Y257" s="48">
        <v>13851.12</v>
      </c>
      <c r="Z257" s="49">
        <v>4690.45</v>
      </c>
      <c r="AA257" s="49">
        <v>25226.63</v>
      </c>
      <c r="AB257" s="50">
        <f t="shared" si="86"/>
        <v>43768.2</v>
      </c>
      <c r="AC257" s="164">
        <v>15718.87</v>
      </c>
      <c r="AD257" s="165">
        <v>9086.77</v>
      </c>
      <c r="AE257" s="165">
        <v>33492.090000000004</v>
      </c>
      <c r="AF257" s="151">
        <f t="shared" si="87"/>
        <v>58297.73</v>
      </c>
      <c r="AG257" s="191">
        <v>9908.6299999999992</v>
      </c>
      <c r="AH257" s="10">
        <v>12154.8</v>
      </c>
      <c r="AI257" s="10">
        <v>38437.71</v>
      </c>
      <c r="AJ257" s="151">
        <f t="shared" si="88"/>
        <v>60501.14</v>
      </c>
      <c r="AK257" s="99">
        <v>7417.87</v>
      </c>
      <c r="AL257" s="99">
        <v>6128.24</v>
      </c>
      <c r="AM257" s="99">
        <v>44588.53</v>
      </c>
      <c r="AN257" s="151">
        <f t="shared" si="89"/>
        <v>58134.64</v>
      </c>
      <c r="AO257" s="191"/>
      <c r="AP257" s="10"/>
      <c r="AQ257" s="10"/>
      <c r="AR257" s="151"/>
      <c r="AS257" s="191"/>
      <c r="AT257" s="192"/>
      <c r="AU257" s="192"/>
      <c r="AV257" s="151"/>
      <c r="AW257" s="192"/>
      <c r="AX257" s="192"/>
      <c r="AY257" s="192"/>
      <c r="AZ257" s="151"/>
      <c r="BA257" s="10"/>
      <c r="BB257" s="10"/>
      <c r="BC257" s="10"/>
      <c r="BD257" s="151"/>
      <c r="BE257" s="191"/>
      <c r="BF257" s="10"/>
      <c r="BG257" s="10"/>
      <c r="BH257" s="151"/>
      <c r="BI257" s="191"/>
      <c r="BJ257" s="10"/>
      <c r="BK257" s="10"/>
      <c r="BL257" s="151"/>
      <c r="BM257" s="1"/>
      <c r="BN257" s="48">
        <v>1263.1600000000001</v>
      </c>
      <c r="BO257" s="49">
        <v>711.24</v>
      </c>
      <c r="BP257" s="49">
        <v>9037.7900000000009</v>
      </c>
      <c r="BQ257" s="50">
        <f t="shared" si="90"/>
        <v>11012.19</v>
      </c>
      <c r="BR257" s="48">
        <v>852.12</v>
      </c>
      <c r="BS257" s="49">
        <v>3624.74</v>
      </c>
      <c r="BT257" s="49">
        <v>10751.75</v>
      </c>
      <c r="BU257" s="50">
        <f t="shared" si="91"/>
        <v>15228.61</v>
      </c>
      <c r="BV257" s="48">
        <v>2442.64</v>
      </c>
      <c r="BW257" s="49">
        <v>1804.12</v>
      </c>
      <c r="BX257" s="49">
        <v>13083.31</v>
      </c>
      <c r="BY257" s="50">
        <f t="shared" si="92"/>
        <v>17330.07</v>
      </c>
      <c r="BZ257" s="182">
        <v>2550.21</v>
      </c>
      <c r="CA257" s="99">
        <v>9669.15</v>
      </c>
      <c r="CB257" s="99">
        <v>12618.01</v>
      </c>
      <c r="CC257" s="98">
        <f t="shared" si="93"/>
        <v>24837.370000000003</v>
      </c>
      <c r="CD257" s="182">
        <v>2980.63</v>
      </c>
      <c r="CE257" s="99">
        <v>7917.14</v>
      </c>
      <c r="CF257" s="99">
        <v>16252.53</v>
      </c>
      <c r="CG257" s="98">
        <f t="shared" si="94"/>
        <v>27150.300000000003</v>
      </c>
      <c r="CH257" s="191">
        <v>1623.77</v>
      </c>
      <c r="CI257" s="192">
        <v>8004.11</v>
      </c>
      <c r="CJ257" s="192">
        <v>18828.059999999998</v>
      </c>
      <c r="CK257" s="98">
        <f t="shared" si="95"/>
        <v>28455.939999999995</v>
      </c>
      <c r="CL257" s="111"/>
      <c r="CM257" s="111"/>
      <c r="CN257" s="111"/>
      <c r="CO257" s="112"/>
      <c r="CP257" s="191"/>
      <c r="CQ257" s="192"/>
      <c r="CR257" s="192"/>
      <c r="CS257" s="151"/>
      <c r="CT257" s="111"/>
      <c r="CU257" s="111"/>
      <c r="CV257" s="111"/>
      <c r="CW257" s="112"/>
      <c r="CX257" s="192"/>
      <c r="CY257" s="192"/>
      <c r="CZ257" s="192"/>
      <c r="DA257" s="151"/>
      <c r="DB257" s="10"/>
      <c r="DC257" s="10"/>
      <c r="DD257" s="10"/>
      <c r="DE257" s="151"/>
      <c r="DF257" s="192"/>
      <c r="DG257" s="192"/>
      <c r="DH257" s="192"/>
      <c r="DI257" s="151"/>
      <c r="DJ257" s="1"/>
      <c r="DK257" s="225">
        <v>474.4</v>
      </c>
      <c r="DL257" s="225"/>
      <c r="DM257" s="225">
        <v>924.48</v>
      </c>
      <c r="DN257" s="225">
        <v>1418.54</v>
      </c>
      <c r="DO257" s="225">
        <v>381.73</v>
      </c>
      <c r="DP257" s="225">
        <v>4513.96</v>
      </c>
      <c r="DQ257" s="225"/>
      <c r="DR257" s="225"/>
      <c r="DS257" s="225"/>
      <c r="DT257" s="225"/>
      <c r="DU257" s="225"/>
      <c r="DV257" s="225"/>
      <c r="DW257" s="1"/>
      <c r="EJ257" s="1"/>
      <c r="EK257" s="17">
        <v>3</v>
      </c>
      <c r="EL257" s="17"/>
      <c r="EM257" s="17">
        <v>3</v>
      </c>
      <c r="EN257" s="17">
        <v>5</v>
      </c>
      <c r="EO257" s="17">
        <v>1</v>
      </c>
      <c r="EP257" s="17">
        <v>9</v>
      </c>
      <c r="EQ257" s="17"/>
      <c r="ER257" s="17"/>
      <c r="ES257" s="17"/>
      <c r="EU257" s="17"/>
      <c r="EW257" s="1"/>
      <c r="EX257" s="225">
        <v>474.4</v>
      </c>
      <c r="EY257" s="225"/>
      <c r="EZ257" s="225">
        <v>924.48</v>
      </c>
      <c r="FA257" s="225">
        <v>1406.48</v>
      </c>
      <c r="FB257" s="225">
        <v>381.73</v>
      </c>
      <c r="FC257" s="225">
        <v>4513.96</v>
      </c>
      <c r="FD257" s="225"/>
      <c r="FE257" s="225"/>
      <c r="FF257" s="225"/>
      <c r="FG257" s="10"/>
      <c r="FH257" s="225"/>
      <c r="FI257" s="10"/>
      <c r="FJ257" s="1"/>
      <c r="FK257" s="225"/>
      <c r="FL257" s="225">
        <v>-100</v>
      </c>
      <c r="FM257" s="225"/>
      <c r="FN257" s="225"/>
      <c r="FO257" s="225">
        <v>-180.89</v>
      </c>
      <c r="FP257" s="225">
        <v>-193.6</v>
      </c>
      <c r="FQ257" s="225"/>
      <c r="FR257" s="225"/>
      <c r="FS257" s="225"/>
      <c r="FT257" s="191"/>
      <c r="FU257" s="225"/>
      <c r="FV257" s="151"/>
    </row>
    <row r="258" spans="1:178" ht="16" thickBot="1" x14ac:dyDescent="0.25">
      <c r="A258" s="27" t="s">
        <v>73</v>
      </c>
      <c r="B258" t="s">
        <v>141</v>
      </c>
      <c r="C258" s="1"/>
      <c r="D258">
        <v>9</v>
      </c>
      <c r="E258" s="17">
        <v>11</v>
      </c>
      <c r="F258" s="241">
        <v>15</v>
      </c>
      <c r="G258" s="87">
        <v>10</v>
      </c>
      <c r="H258" s="87">
        <v>14</v>
      </c>
      <c r="I258" s="87">
        <v>12</v>
      </c>
      <c r="J258" s="17"/>
      <c r="K258" s="17"/>
      <c r="L258" s="17"/>
      <c r="M258" s="17"/>
      <c r="N258" s="17"/>
      <c r="O258" s="17"/>
      <c r="P258" s="1"/>
      <c r="Q258" s="48">
        <v>1176.6199999999999</v>
      </c>
      <c r="R258" s="49">
        <v>654.95000000000005</v>
      </c>
      <c r="S258" s="49">
        <v>820.01</v>
      </c>
      <c r="T258" s="50">
        <f t="shared" si="84"/>
        <v>2651.58</v>
      </c>
      <c r="U258" s="48">
        <v>2062.37</v>
      </c>
      <c r="V258" s="49">
        <v>0</v>
      </c>
      <c r="W258" s="49">
        <v>820.01</v>
      </c>
      <c r="X258" s="50">
        <f t="shared" si="85"/>
        <v>2882.38</v>
      </c>
      <c r="Y258" s="48">
        <v>2184.1999999999998</v>
      </c>
      <c r="Z258" s="49">
        <v>2036.68</v>
      </c>
      <c r="AA258" s="49">
        <v>0</v>
      </c>
      <c r="AB258" s="50">
        <f t="shared" si="86"/>
        <v>4220.88</v>
      </c>
      <c r="AC258" s="164">
        <v>803.46</v>
      </c>
      <c r="AD258" s="165">
        <v>437.63</v>
      </c>
      <c r="AE258" s="165">
        <v>1464</v>
      </c>
      <c r="AF258" s="151">
        <f t="shared" si="87"/>
        <v>2705.09</v>
      </c>
      <c r="AG258" s="191">
        <v>1599.26</v>
      </c>
      <c r="AH258" s="10">
        <v>78.930000000000007</v>
      </c>
      <c r="AI258" s="10">
        <v>1401.02</v>
      </c>
      <c r="AJ258" s="151">
        <f t="shared" si="88"/>
        <v>3079.21</v>
      </c>
      <c r="AK258" s="100">
        <v>737.04</v>
      </c>
      <c r="AL258" s="100">
        <v>277.05</v>
      </c>
      <c r="AM258" s="100">
        <v>1648.66</v>
      </c>
      <c r="AN258" s="151">
        <f t="shared" si="89"/>
        <v>2662.75</v>
      </c>
      <c r="AO258" s="191"/>
      <c r="AP258" s="10"/>
      <c r="AQ258" s="10"/>
      <c r="AR258" s="151"/>
      <c r="AS258" s="191"/>
      <c r="AT258" s="192"/>
      <c r="AU258" s="192"/>
      <c r="AV258" s="151"/>
      <c r="AW258" s="192"/>
      <c r="AX258" s="192"/>
      <c r="AY258" s="192"/>
      <c r="AZ258" s="151"/>
      <c r="BA258" s="10"/>
      <c r="BB258" s="10"/>
      <c r="BC258" s="10"/>
      <c r="BD258" s="151"/>
      <c r="BE258" s="191"/>
      <c r="BF258" s="10"/>
      <c r="BG258" s="10"/>
      <c r="BH258" s="151"/>
      <c r="BI258" s="191"/>
      <c r="BJ258" s="10"/>
      <c r="BK258" s="10"/>
      <c r="BL258" s="151"/>
      <c r="BM258" s="1"/>
      <c r="BN258" s="48">
        <v>396.1</v>
      </c>
      <c r="BO258" s="49">
        <v>379.82</v>
      </c>
      <c r="BP258" s="49">
        <v>0</v>
      </c>
      <c r="BQ258" s="50">
        <f t="shared" si="90"/>
        <v>775.92000000000007</v>
      </c>
      <c r="BR258" s="48">
        <v>298.52999999999997</v>
      </c>
      <c r="BS258" s="49"/>
      <c r="BT258" s="49">
        <v>0</v>
      </c>
      <c r="BU258" s="50">
        <f t="shared" si="91"/>
        <v>298.52999999999997</v>
      </c>
      <c r="BV258" s="48">
        <v>666.34</v>
      </c>
      <c r="BW258" s="49">
        <v>464.25</v>
      </c>
      <c r="BX258" s="49">
        <v>0</v>
      </c>
      <c r="BY258" s="50">
        <f t="shared" si="92"/>
        <v>1130.5900000000001</v>
      </c>
      <c r="BZ258" s="182">
        <v>226.72</v>
      </c>
      <c r="CA258" s="266"/>
      <c r="CB258" s="99">
        <v>1176.57</v>
      </c>
      <c r="CC258" s="98">
        <f t="shared" si="93"/>
        <v>1403.29</v>
      </c>
      <c r="CD258" s="183">
        <v>214.98</v>
      </c>
      <c r="CE258" s="99">
        <v>473.58</v>
      </c>
      <c r="CF258" s="99">
        <v>1066.96</v>
      </c>
      <c r="CG258" s="98">
        <f t="shared" si="94"/>
        <v>1755.52</v>
      </c>
      <c r="CH258" s="191">
        <v>423.64</v>
      </c>
      <c r="CI258" s="192">
        <v>78.930000000000007</v>
      </c>
      <c r="CJ258" s="192">
        <v>1262.76</v>
      </c>
      <c r="CK258" s="98">
        <f t="shared" si="95"/>
        <v>1765.33</v>
      </c>
      <c r="CL258" s="111"/>
      <c r="CM258" s="111"/>
      <c r="CN258" s="111"/>
      <c r="CO258" s="112"/>
      <c r="CP258" s="191"/>
      <c r="CQ258" s="192"/>
      <c r="CR258" s="192"/>
      <c r="CS258" s="151"/>
      <c r="CT258" s="111"/>
      <c r="CU258" s="111"/>
      <c r="CV258" s="111"/>
      <c r="CW258" s="112"/>
      <c r="CX258" s="192"/>
      <c r="CY258" s="192"/>
      <c r="CZ258" s="192"/>
      <c r="DA258" s="151"/>
      <c r="DB258" s="10"/>
      <c r="DC258" s="10"/>
      <c r="DD258" s="10"/>
      <c r="DE258" s="151"/>
      <c r="DF258" s="192"/>
      <c r="DG258" s="192"/>
      <c r="DH258" s="192"/>
      <c r="DI258" s="151"/>
      <c r="DJ258" s="1"/>
      <c r="DK258" s="225"/>
      <c r="DL258" s="225"/>
      <c r="DM258" s="225">
        <v>820.01</v>
      </c>
      <c r="DN258" s="225"/>
      <c r="DO258" s="225"/>
      <c r="DP258" s="225"/>
      <c r="DQ258" s="225"/>
      <c r="DR258" s="225"/>
      <c r="DS258" s="225"/>
      <c r="DT258" s="225"/>
      <c r="DU258" s="225"/>
      <c r="DV258" s="225"/>
      <c r="DW258" s="1"/>
      <c r="EJ258" s="1"/>
      <c r="EK258" s="17"/>
      <c r="EL258" s="17"/>
      <c r="EM258" s="17">
        <v>1</v>
      </c>
      <c r="EN258" s="17"/>
      <c r="EO258" s="17"/>
      <c r="EP258" s="17"/>
      <c r="EQ258" s="17"/>
      <c r="ER258" s="17"/>
      <c r="ES258" s="17"/>
      <c r="EU258" s="17"/>
      <c r="EW258" s="1"/>
      <c r="EX258" s="225"/>
      <c r="EY258" s="225"/>
      <c r="EZ258" s="225">
        <v>820.01</v>
      </c>
      <c r="FA258" s="225"/>
      <c r="FB258" s="225"/>
      <c r="FC258" s="225"/>
      <c r="FD258" s="225"/>
      <c r="FE258" s="225"/>
      <c r="FF258" s="225"/>
      <c r="FG258" s="10"/>
      <c r="FH258" s="225"/>
      <c r="FI258" s="10"/>
      <c r="FJ258" s="1"/>
      <c r="FK258" s="225"/>
      <c r="FL258" s="225"/>
      <c r="FM258" s="225"/>
      <c r="FN258" s="225"/>
      <c r="FO258" s="225"/>
      <c r="FP258" s="225"/>
      <c r="FQ258" s="225"/>
      <c r="FR258" s="225"/>
      <c r="FS258" s="225"/>
      <c r="FT258" s="191"/>
      <c r="FU258" s="225"/>
      <c r="FV258" s="151"/>
    </row>
    <row r="259" spans="1:178" ht="16" thickBot="1" x14ac:dyDescent="0.25">
      <c r="A259" s="27" t="s">
        <v>74</v>
      </c>
      <c r="B259" t="s">
        <v>141</v>
      </c>
      <c r="C259" s="1"/>
      <c r="D259">
        <v>491</v>
      </c>
      <c r="E259" s="17">
        <v>510</v>
      </c>
      <c r="F259" s="241">
        <v>511</v>
      </c>
      <c r="G259" s="87">
        <v>588</v>
      </c>
      <c r="H259" s="87">
        <v>580</v>
      </c>
      <c r="I259" s="87">
        <v>608</v>
      </c>
      <c r="J259" s="17"/>
      <c r="K259" s="17"/>
      <c r="L259" s="17"/>
      <c r="M259" s="17"/>
      <c r="N259" s="17"/>
      <c r="O259" s="17"/>
      <c r="P259" s="1"/>
      <c r="Q259" s="48">
        <v>48099.310000000005</v>
      </c>
      <c r="R259" s="49">
        <v>23032.61</v>
      </c>
      <c r="S259" s="49">
        <v>40002.75</v>
      </c>
      <c r="T259" s="50">
        <f t="shared" si="84"/>
        <v>111134.67000000001</v>
      </c>
      <c r="U259" s="48">
        <v>55999.76</v>
      </c>
      <c r="V259" s="49">
        <v>36289.039999999994</v>
      </c>
      <c r="W259" s="49">
        <v>42280.009999999995</v>
      </c>
      <c r="X259" s="50">
        <f t="shared" si="85"/>
        <v>134568.81</v>
      </c>
      <c r="Y259" s="48">
        <v>60421.09</v>
      </c>
      <c r="Z259" s="49">
        <v>32608.47</v>
      </c>
      <c r="AA259" s="49">
        <v>46863.040000000001</v>
      </c>
      <c r="AB259" s="50">
        <f t="shared" si="86"/>
        <v>139892.6</v>
      </c>
      <c r="AC259" s="164">
        <v>71075.59</v>
      </c>
      <c r="AD259" s="165">
        <v>38872.559999999998</v>
      </c>
      <c r="AE259" s="165">
        <v>44364.79</v>
      </c>
      <c r="AF259" s="151">
        <f t="shared" si="87"/>
        <v>154312.94</v>
      </c>
      <c r="AG259" s="191">
        <v>53895.64</v>
      </c>
      <c r="AH259" s="10">
        <v>42322.06</v>
      </c>
      <c r="AI259" s="10">
        <v>44355.06</v>
      </c>
      <c r="AJ259" s="151">
        <f t="shared" si="88"/>
        <v>140572.76</v>
      </c>
      <c r="AK259" s="99">
        <v>41195.480000000003</v>
      </c>
      <c r="AL259" s="99">
        <v>37875.32</v>
      </c>
      <c r="AM259" s="99">
        <v>50018.87</v>
      </c>
      <c r="AN259" s="151">
        <f t="shared" si="89"/>
        <v>129089.67000000001</v>
      </c>
      <c r="AO259" s="191"/>
      <c r="AP259" s="10"/>
      <c r="AQ259" s="10"/>
      <c r="AR259" s="151"/>
      <c r="AS259" s="191"/>
      <c r="AT259" s="192"/>
      <c r="AU259" s="192"/>
      <c r="AV259" s="151"/>
      <c r="AW259" s="192"/>
      <c r="AX259" s="192"/>
      <c r="AY259" s="192"/>
      <c r="AZ259" s="151"/>
      <c r="BA259" s="10"/>
      <c r="BB259" s="10"/>
      <c r="BC259" s="10"/>
      <c r="BD259" s="151"/>
      <c r="BE259" s="191"/>
      <c r="BF259" s="10"/>
      <c r="BG259" s="10"/>
      <c r="BH259" s="151"/>
      <c r="BI259" s="191"/>
      <c r="BJ259" s="10"/>
      <c r="BK259" s="10"/>
      <c r="BL259" s="151"/>
      <c r="BM259" s="1"/>
      <c r="BN259" s="48">
        <v>8349.89</v>
      </c>
      <c r="BO259" s="49">
        <v>8422.35</v>
      </c>
      <c r="BP259" s="49">
        <v>17706.810000000001</v>
      </c>
      <c r="BQ259" s="50">
        <f t="shared" si="90"/>
        <v>34479.050000000003</v>
      </c>
      <c r="BR259" s="48">
        <v>8763.65</v>
      </c>
      <c r="BS259" s="49">
        <v>10476.9</v>
      </c>
      <c r="BT259" s="49">
        <v>20758.95</v>
      </c>
      <c r="BU259" s="50">
        <f t="shared" si="91"/>
        <v>39999.5</v>
      </c>
      <c r="BV259" s="48">
        <v>10281.99</v>
      </c>
      <c r="BW259" s="49">
        <v>10223.06</v>
      </c>
      <c r="BX259" s="49">
        <v>21494.09</v>
      </c>
      <c r="BY259" s="50">
        <f t="shared" si="92"/>
        <v>41999.14</v>
      </c>
      <c r="BZ259" s="182">
        <v>20060.43</v>
      </c>
      <c r="CA259" s="99">
        <v>35145.08</v>
      </c>
      <c r="CB259" s="99">
        <v>24752.449999999997</v>
      </c>
      <c r="CC259" s="98">
        <f t="shared" si="93"/>
        <v>79957.959999999992</v>
      </c>
      <c r="CD259" s="182">
        <v>15024.75</v>
      </c>
      <c r="CE259" s="99">
        <v>35794.28</v>
      </c>
      <c r="CF259" s="99">
        <v>26299.14</v>
      </c>
      <c r="CG259" s="98">
        <f t="shared" si="94"/>
        <v>77118.17</v>
      </c>
      <c r="CH259" s="191">
        <v>10163.82</v>
      </c>
      <c r="CI259" s="192">
        <v>38400.89</v>
      </c>
      <c r="CJ259" s="192">
        <v>31473.85</v>
      </c>
      <c r="CK259" s="98">
        <f t="shared" si="95"/>
        <v>80038.559999999998</v>
      </c>
      <c r="CL259" s="111"/>
      <c r="CM259" s="111"/>
      <c r="CN259" s="111"/>
      <c r="CO259" s="112"/>
      <c r="CP259" s="191"/>
      <c r="CQ259" s="192"/>
      <c r="CR259" s="192"/>
      <c r="CS259" s="151"/>
      <c r="CT259" s="111"/>
      <c r="CU259" s="111"/>
      <c r="CV259" s="111"/>
      <c r="CW259" s="112"/>
      <c r="CX259" s="192"/>
      <c r="CY259" s="192"/>
      <c r="CZ259" s="192"/>
      <c r="DA259" s="151"/>
      <c r="DB259" s="10"/>
      <c r="DC259" s="10"/>
      <c r="DD259" s="10"/>
      <c r="DE259" s="151"/>
      <c r="DF259" s="192"/>
      <c r="DG259" s="192"/>
      <c r="DH259" s="192"/>
      <c r="DI259" s="151"/>
      <c r="DJ259" s="1"/>
      <c r="DK259" s="225">
        <v>4093.67</v>
      </c>
      <c r="DL259" s="225">
        <v>3523.78</v>
      </c>
      <c r="DM259" s="225">
        <v>6705.02</v>
      </c>
      <c r="DN259" s="225">
        <v>4152.71</v>
      </c>
      <c r="DO259" s="225">
        <v>12721.53</v>
      </c>
      <c r="DP259" s="225">
        <v>14437.02</v>
      </c>
      <c r="DQ259" s="225"/>
      <c r="DR259" s="225"/>
      <c r="DS259" s="225"/>
      <c r="DT259" s="225"/>
      <c r="DU259" s="225"/>
      <c r="DV259" s="225"/>
      <c r="DW259" s="1"/>
      <c r="EJ259" s="1"/>
      <c r="EK259" s="17">
        <v>12</v>
      </c>
      <c r="EL259" s="17">
        <v>15</v>
      </c>
      <c r="EM259" s="17">
        <v>18</v>
      </c>
      <c r="EN259" s="17">
        <v>15</v>
      </c>
      <c r="EO259" s="17">
        <v>21</v>
      </c>
      <c r="EP259" s="17">
        <v>23</v>
      </c>
      <c r="EQ259" s="17"/>
      <c r="ER259" s="17"/>
      <c r="ES259" s="17"/>
      <c r="EU259" s="17"/>
      <c r="EW259" s="1"/>
      <c r="EX259" s="225">
        <v>4093.67</v>
      </c>
      <c r="EY259" s="225">
        <v>3500.02</v>
      </c>
      <c r="EZ259" s="225">
        <v>6705.02</v>
      </c>
      <c r="FA259" s="225">
        <v>4152.71</v>
      </c>
      <c r="FB259" s="225">
        <v>12721.53</v>
      </c>
      <c r="FC259" s="225">
        <v>14437.02</v>
      </c>
      <c r="FD259" s="225"/>
      <c r="FE259" s="225"/>
      <c r="FF259" s="225"/>
      <c r="FG259" s="10"/>
      <c r="FH259" s="225"/>
      <c r="FI259" s="10"/>
      <c r="FJ259" s="1"/>
      <c r="FK259" s="225">
        <v>-603.28</v>
      </c>
      <c r="FL259" s="225">
        <v>-772.99</v>
      </c>
      <c r="FM259" s="225">
        <v>-2505.59</v>
      </c>
      <c r="FN259" s="225">
        <v>-447.49</v>
      </c>
      <c r="FO259" s="225">
        <v>-530.01</v>
      </c>
      <c r="FP259" s="225">
        <v>-405.38</v>
      </c>
      <c r="FQ259" s="225"/>
      <c r="FR259" s="225"/>
      <c r="FS259" s="225"/>
      <c r="FT259" s="191"/>
      <c r="FU259" s="225"/>
      <c r="FV259" s="151"/>
    </row>
    <row r="260" spans="1:178" ht="16" thickBot="1" x14ac:dyDescent="0.25">
      <c r="A260" s="27" t="s">
        <v>75</v>
      </c>
      <c r="B260" t="s">
        <v>141</v>
      </c>
      <c r="C260" s="1"/>
      <c r="D260">
        <v>10</v>
      </c>
      <c r="E260" s="17">
        <v>16</v>
      </c>
      <c r="F260" s="241">
        <v>26</v>
      </c>
      <c r="G260" s="87">
        <v>23</v>
      </c>
      <c r="H260" s="87">
        <v>18</v>
      </c>
      <c r="I260" s="87">
        <v>14</v>
      </c>
      <c r="J260" s="17"/>
      <c r="K260" s="17"/>
      <c r="L260" s="17"/>
      <c r="M260" s="17"/>
      <c r="N260" s="17"/>
      <c r="O260" s="17"/>
      <c r="P260" s="1"/>
      <c r="Q260" s="48">
        <v>1634.72</v>
      </c>
      <c r="R260" s="49">
        <v>0</v>
      </c>
      <c r="S260" s="49">
        <v>1099.5999999999999</v>
      </c>
      <c r="T260" s="50">
        <f t="shared" si="84"/>
        <v>2734.3199999999997</v>
      </c>
      <c r="U260" s="48">
        <v>2923.69</v>
      </c>
      <c r="V260" s="49">
        <v>2417.9699999999998</v>
      </c>
      <c r="W260" s="49">
        <v>456.29</v>
      </c>
      <c r="X260" s="50">
        <f t="shared" si="85"/>
        <v>5797.95</v>
      </c>
      <c r="Y260" s="48">
        <v>2806.63</v>
      </c>
      <c r="Z260" s="49">
        <v>1726.67</v>
      </c>
      <c r="AA260" s="49">
        <v>2418.42</v>
      </c>
      <c r="AB260" s="50">
        <f t="shared" si="86"/>
        <v>6951.72</v>
      </c>
      <c r="AC260" s="164">
        <v>2642.08</v>
      </c>
      <c r="AD260" s="166">
        <v>1959.05</v>
      </c>
      <c r="AE260" s="165">
        <v>2272.41</v>
      </c>
      <c r="AF260" s="151">
        <f t="shared" si="87"/>
        <v>6873.54</v>
      </c>
      <c r="AG260" s="191">
        <v>1761.68</v>
      </c>
      <c r="AH260" s="10">
        <v>2306.09</v>
      </c>
      <c r="AI260" s="10">
        <v>4971.51</v>
      </c>
      <c r="AJ260" s="151">
        <f t="shared" si="88"/>
        <v>9039.2800000000007</v>
      </c>
      <c r="AK260" s="99">
        <v>1122.1600000000001</v>
      </c>
      <c r="AL260" s="100">
        <v>1528.1</v>
      </c>
      <c r="AM260" s="100">
        <v>1479.26</v>
      </c>
      <c r="AN260" s="151">
        <f t="shared" si="89"/>
        <v>4129.5200000000004</v>
      </c>
      <c r="AO260" s="191"/>
      <c r="AP260" s="10"/>
      <c r="AQ260" s="10"/>
      <c r="AR260" s="151"/>
      <c r="AS260" s="191"/>
      <c r="AT260" s="192"/>
      <c r="AU260" s="192"/>
      <c r="AV260" s="151"/>
      <c r="AW260" s="192"/>
      <c r="AX260" s="192"/>
      <c r="AY260" s="192"/>
      <c r="AZ260" s="151"/>
      <c r="BA260" s="10"/>
      <c r="BB260" s="10"/>
      <c r="BC260" s="10"/>
      <c r="BD260" s="151"/>
      <c r="BE260" s="191"/>
      <c r="BF260" s="10"/>
      <c r="BG260" s="10"/>
      <c r="BH260" s="151"/>
      <c r="BI260" s="191"/>
      <c r="BJ260" s="10"/>
      <c r="BK260" s="10"/>
      <c r="BL260" s="151"/>
      <c r="BM260" s="1"/>
      <c r="BN260" s="48">
        <v>196.86</v>
      </c>
      <c r="BO260" s="49"/>
      <c r="BP260" s="49">
        <v>829.89</v>
      </c>
      <c r="BQ260" s="50">
        <f t="shared" si="90"/>
        <v>1026.75</v>
      </c>
      <c r="BR260" s="48">
        <v>866.77</v>
      </c>
      <c r="BS260" s="49"/>
      <c r="BT260" s="49">
        <v>0</v>
      </c>
      <c r="BU260" s="50">
        <f t="shared" si="91"/>
        <v>866.77</v>
      </c>
      <c r="BV260" s="48">
        <v>560.32000000000005</v>
      </c>
      <c r="BW260" s="49">
        <v>336.43</v>
      </c>
      <c r="BX260" s="49">
        <v>0</v>
      </c>
      <c r="BY260" s="50">
        <f t="shared" si="92"/>
        <v>896.75</v>
      </c>
      <c r="BZ260" s="183">
        <v>512.89</v>
      </c>
      <c r="CA260" s="266">
        <v>1574.87</v>
      </c>
      <c r="CB260" s="99">
        <v>1760.99</v>
      </c>
      <c r="CC260" s="98">
        <f t="shared" si="93"/>
        <v>3848.75</v>
      </c>
      <c r="CD260" s="183">
        <v>170.01</v>
      </c>
      <c r="CE260" s="266">
        <v>290.43</v>
      </c>
      <c r="CF260" s="266">
        <v>4580.43</v>
      </c>
      <c r="CG260" s="98">
        <f t="shared" si="94"/>
        <v>5040.87</v>
      </c>
      <c r="CH260" s="191">
        <v>247.45</v>
      </c>
      <c r="CI260" s="192"/>
      <c r="CJ260" s="192">
        <v>1479.26</v>
      </c>
      <c r="CK260" s="98">
        <f t="shared" si="95"/>
        <v>1726.71</v>
      </c>
      <c r="CL260" s="111"/>
      <c r="CM260" s="111"/>
      <c r="CN260" s="111"/>
      <c r="CO260" s="112"/>
      <c r="CP260" s="191"/>
      <c r="CQ260" s="192"/>
      <c r="CR260" s="192"/>
      <c r="CS260" s="151"/>
      <c r="CT260" s="111"/>
      <c r="CU260" s="111"/>
      <c r="CV260" s="111"/>
      <c r="CW260" s="112"/>
      <c r="CX260" s="192"/>
      <c r="CY260" s="192"/>
      <c r="CZ260" s="192"/>
      <c r="DA260" s="151"/>
      <c r="DB260" s="10"/>
      <c r="DC260" s="10"/>
      <c r="DD260" s="10"/>
      <c r="DE260" s="151"/>
      <c r="DF260" s="192"/>
      <c r="DG260" s="192"/>
      <c r="DH260" s="192"/>
      <c r="DI260" s="151"/>
      <c r="DJ260" s="1"/>
      <c r="DK260" s="225"/>
      <c r="DL260" s="225"/>
      <c r="DM260" s="225">
        <v>653.39</v>
      </c>
      <c r="DN260" s="225">
        <v>708.15</v>
      </c>
      <c r="DO260" s="225">
        <v>0</v>
      </c>
      <c r="DP260" s="225">
        <v>1632.61</v>
      </c>
      <c r="DQ260" s="225"/>
      <c r="DR260" s="225"/>
      <c r="DS260" s="225"/>
      <c r="DT260" s="225"/>
      <c r="DU260" s="225"/>
      <c r="DV260" s="225"/>
      <c r="DW260" s="1"/>
      <c r="EJ260" s="1"/>
      <c r="EK260" s="17"/>
      <c r="EL260" s="17"/>
      <c r="EM260" s="17">
        <v>1</v>
      </c>
      <c r="EN260" s="17">
        <v>1</v>
      </c>
      <c r="EO260" s="17">
        <v>1</v>
      </c>
      <c r="EP260" s="17">
        <v>4</v>
      </c>
      <c r="EQ260" s="17"/>
      <c r="ER260" s="17"/>
      <c r="ES260" s="17"/>
      <c r="EU260" s="17"/>
      <c r="EW260" s="1"/>
      <c r="EX260" s="225"/>
      <c r="EY260" s="225"/>
      <c r="EZ260" s="225">
        <v>653.39</v>
      </c>
      <c r="FA260" s="225">
        <v>708.15</v>
      </c>
      <c r="FB260" s="225">
        <v>0</v>
      </c>
      <c r="FC260" s="225">
        <v>1632.61</v>
      </c>
      <c r="FD260" s="225"/>
      <c r="FE260" s="225"/>
      <c r="FF260" s="225"/>
      <c r="FG260" s="10"/>
      <c r="FH260" s="225"/>
      <c r="FI260" s="10"/>
      <c r="FJ260" s="1"/>
      <c r="FK260" s="225"/>
      <c r="FL260" s="225"/>
      <c r="FM260" s="225"/>
      <c r="FN260" s="225"/>
      <c r="FO260" s="225"/>
      <c r="FP260" s="225"/>
      <c r="FQ260" s="225"/>
      <c r="FR260" s="225"/>
      <c r="FS260" s="225"/>
      <c r="FT260" s="191"/>
      <c r="FU260" s="225"/>
      <c r="FV260" s="151"/>
    </row>
    <row r="261" spans="1:178" ht="16" thickBot="1" x14ac:dyDescent="0.25">
      <c r="A261" s="27" t="s">
        <v>76</v>
      </c>
      <c r="B261" t="s">
        <v>141</v>
      </c>
      <c r="C261" s="1"/>
      <c r="D261">
        <v>88</v>
      </c>
      <c r="E261" s="17">
        <v>93</v>
      </c>
      <c r="F261" s="241">
        <v>83</v>
      </c>
      <c r="G261" s="87">
        <v>102</v>
      </c>
      <c r="H261" s="87">
        <v>94</v>
      </c>
      <c r="I261" s="87">
        <v>83</v>
      </c>
      <c r="J261" s="17"/>
      <c r="K261" s="17"/>
      <c r="L261" s="17"/>
      <c r="M261" s="17"/>
      <c r="N261" s="17"/>
      <c r="O261" s="17"/>
      <c r="P261" s="1"/>
      <c r="Q261" s="48">
        <v>10083.39</v>
      </c>
      <c r="R261" s="49">
        <v>3957.44</v>
      </c>
      <c r="S261" s="49">
        <v>10704.380000000001</v>
      </c>
      <c r="T261" s="50">
        <f t="shared" si="84"/>
        <v>24745.21</v>
      </c>
      <c r="U261" s="48">
        <v>8342.9</v>
      </c>
      <c r="V261" s="49">
        <v>8579.57</v>
      </c>
      <c r="W261" s="49">
        <v>16745.099999999999</v>
      </c>
      <c r="X261" s="50">
        <f t="shared" si="85"/>
        <v>33667.57</v>
      </c>
      <c r="Y261" s="48">
        <v>9533.6299999999992</v>
      </c>
      <c r="Z261" s="49">
        <v>6389.09</v>
      </c>
      <c r="AA261" s="49">
        <v>17162.2</v>
      </c>
      <c r="AB261" s="50">
        <f t="shared" si="86"/>
        <v>33084.92</v>
      </c>
      <c r="AC261" s="164">
        <v>12997.63</v>
      </c>
      <c r="AD261" s="165">
        <v>7513.37</v>
      </c>
      <c r="AE261" s="165">
        <v>15276.52</v>
      </c>
      <c r="AF261" s="151">
        <f t="shared" si="87"/>
        <v>35787.520000000004</v>
      </c>
      <c r="AG261" s="191">
        <v>7256.97</v>
      </c>
      <c r="AH261" s="10">
        <v>9672.3799999999992</v>
      </c>
      <c r="AI261" s="10">
        <v>14512.35</v>
      </c>
      <c r="AJ261" s="151">
        <f t="shared" si="88"/>
        <v>31441.699999999997</v>
      </c>
      <c r="AK261" s="99">
        <v>3419.29</v>
      </c>
      <c r="AL261" s="99">
        <v>5122.58</v>
      </c>
      <c r="AM261" s="99">
        <v>9286.380000000001</v>
      </c>
      <c r="AN261" s="151">
        <f t="shared" si="89"/>
        <v>17828.25</v>
      </c>
      <c r="AO261" s="191"/>
      <c r="AP261" s="10"/>
      <c r="AQ261" s="10"/>
      <c r="AR261" s="151"/>
      <c r="AS261" s="191"/>
      <c r="AT261" s="192"/>
      <c r="AU261" s="192"/>
      <c r="AV261" s="151"/>
      <c r="AW261" s="192"/>
      <c r="AX261" s="192"/>
      <c r="AY261" s="192"/>
      <c r="AZ261" s="151"/>
      <c r="BA261" s="10"/>
      <c r="BB261" s="10"/>
      <c r="BC261" s="10"/>
      <c r="BD261" s="151"/>
      <c r="BE261" s="191"/>
      <c r="BF261" s="10"/>
      <c r="BG261" s="10"/>
      <c r="BH261" s="151"/>
      <c r="BI261" s="191"/>
      <c r="BJ261" s="10"/>
      <c r="BK261" s="10"/>
      <c r="BL261" s="151"/>
      <c r="BM261" s="1"/>
      <c r="BN261" s="48">
        <v>2901.4</v>
      </c>
      <c r="BO261" s="49">
        <v>256.97000000000003</v>
      </c>
      <c r="BP261" s="49">
        <v>3586.07</v>
      </c>
      <c r="BQ261" s="50">
        <f t="shared" si="90"/>
        <v>6744.4400000000005</v>
      </c>
      <c r="BR261" s="48">
        <v>1540.26</v>
      </c>
      <c r="BS261" s="49">
        <v>3225.25</v>
      </c>
      <c r="BT261" s="49">
        <v>4088.8</v>
      </c>
      <c r="BU261" s="50">
        <f t="shared" si="91"/>
        <v>8854.3100000000013</v>
      </c>
      <c r="BV261" s="48">
        <v>1951.53</v>
      </c>
      <c r="BW261" s="49">
        <v>1159.0999999999999</v>
      </c>
      <c r="BX261" s="49">
        <v>6990.08</v>
      </c>
      <c r="BY261" s="50">
        <f t="shared" si="92"/>
        <v>10100.709999999999</v>
      </c>
      <c r="BZ261" s="182">
        <v>2198.37</v>
      </c>
      <c r="CA261" s="99">
        <v>9391.2800000000007</v>
      </c>
      <c r="CB261" s="99">
        <v>12588.09</v>
      </c>
      <c r="CC261" s="98">
        <f t="shared" si="93"/>
        <v>24177.74</v>
      </c>
      <c r="CD261" s="182">
        <v>1915.67</v>
      </c>
      <c r="CE261" s="99">
        <v>8074.41</v>
      </c>
      <c r="CF261" s="99">
        <v>12144.51</v>
      </c>
      <c r="CG261" s="98">
        <f t="shared" si="94"/>
        <v>22134.59</v>
      </c>
      <c r="CH261" s="191">
        <v>697.78</v>
      </c>
      <c r="CI261" s="192">
        <v>12082.5</v>
      </c>
      <c r="CJ261" s="192">
        <v>7093.1500000000005</v>
      </c>
      <c r="CK261" s="98">
        <f t="shared" si="95"/>
        <v>19873.43</v>
      </c>
      <c r="CL261" s="111"/>
      <c r="CM261" s="111"/>
      <c r="CN261" s="111"/>
      <c r="CO261" s="112"/>
      <c r="CP261" s="191"/>
      <c r="CQ261" s="192"/>
      <c r="CR261" s="192"/>
      <c r="CS261" s="151"/>
      <c r="CT261" s="111"/>
      <c r="CU261" s="111"/>
      <c r="CV261" s="111"/>
      <c r="CW261" s="112"/>
      <c r="CX261" s="192"/>
      <c r="CY261" s="192"/>
      <c r="CZ261" s="192"/>
      <c r="DA261" s="151"/>
      <c r="DB261" s="10"/>
      <c r="DC261" s="10"/>
      <c r="DD261" s="10"/>
      <c r="DE261" s="151"/>
      <c r="DF261" s="192"/>
      <c r="DG261" s="192"/>
      <c r="DH261" s="192"/>
      <c r="DI261" s="151"/>
      <c r="DJ261" s="1"/>
      <c r="DK261" s="225">
        <v>974.01</v>
      </c>
      <c r="DL261" s="225">
        <v>489.36</v>
      </c>
      <c r="DM261" s="225">
        <v>357.06</v>
      </c>
      <c r="DN261" s="225"/>
      <c r="DO261" s="225">
        <v>1747.77</v>
      </c>
      <c r="DP261" s="225">
        <v>4327.5600000000004</v>
      </c>
      <c r="DQ261" s="225"/>
      <c r="DR261" s="225"/>
      <c r="DS261" s="225"/>
      <c r="DT261" s="225"/>
      <c r="DU261" s="225"/>
      <c r="DV261" s="225"/>
      <c r="DW261" s="1"/>
      <c r="EJ261" s="1"/>
      <c r="EK261" s="17">
        <v>5</v>
      </c>
      <c r="EL261" s="17">
        <v>2</v>
      </c>
      <c r="EM261" s="17">
        <v>2</v>
      </c>
      <c r="EN261" s="17"/>
      <c r="EO261" s="17">
        <v>3</v>
      </c>
      <c r="EP261" s="17">
        <v>6</v>
      </c>
      <c r="EQ261" s="17"/>
      <c r="ER261" s="17"/>
      <c r="ES261" s="17"/>
      <c r="EU261" s="17"/>
      <c r="EW261" s="1"/>
      <c r="EX261" s="225">
        <v>974.01</v>
      </c>
      <c r="EY261" s="225">
        <v>489.36</v>
      </c>
      <c r="EZ261" s="225">
        <v>357.06</v>
      </c>
      <c r="FA261" s="225"/>
      <c r="FB261" s="225">
        <v>1747.77</v>
      </c>
      <c r="FC261" s="225">
        <v>4327.5600000000004</v>
      </c>
      <c r="FD261" s="225"/>
      <c r="FE261" s="225"/>
      <c r="FF261" s="225"/>
      <c r="FG261" s="10"/>
      <c r="FH261" s="225"/>
      <c r="FI261" s="10"/>
      <c r="FJ261" s="1"/>
      <c r="FK261" s="225">
        <v>-100</v>
      </c>
      <c r="FL261" s="225">
        <v>-120</v>
      </c>
      <c r="FM261" s="225">
        <v>-233.31</v>
      </c>
      <c r="FN261" s="225">
        <v>-50</v>
      </c>
      <c r="FO261" s="225">
        <v>-43.2</v>
      </c>
      <c r="FP261" s="225">
        <v>-221</v>
      </c>
      <c r="FQ261" s="225"/>
      <c r="FR261" s="225"/>
      <c r="FS261" s="225"/>
      <c r="FT261" s="191"/>
      <c r="FU261" s="225"/>
      <c r="FV261" s="151"/>
    </row>
    <row r="262" spans="1:178" ht="16" thickBot="1" x14ac:dyDescent="0.25">
      <c r="A262" s="27" t="s">
        <v>77</v>
      </c>
      <c r="B262" t="s">
        <v>141</v>
      </c>
      <c r="C262" s="1"/>
      <c r="D262">
        <v>15</v>
      </c>
      <c r="E262" s="17">
        <v>18</v>
      </c>
      <c r="F262" s="241">
        <v>21</v>
      </c>
      <c r="G262" s="87">
        <v>21</v>
      </c>
      <c r="H262" s="87">
        <v>25</v>
      </c>
      <c r="I262" s="87">
        <v>18</v>
      </c>
      <c r="J262" s="17"/>
      <c r="K262" s="17"/>
      <c r="L262" s="17"/>
      <c r="M262" s="17"/>
      <c r="N262" s="17"/>
      <c r="O262" s="17"/>
      <c r="P262" s="1"/>
      <c r="Q262" s="48">
        <v>757.76</v>
      </c>
      <c r="R262" s="49">
        <v>762.16</v>
      </c>
      <c r="S262" s="49">
        <v>2046.49</v>
      </c>
      <c r="T262" s="50">
        <f t="shared" si="84"/>
        <v>3566.41</v>
      </c>
      <c r="U262" s="48">
        <v>1542.87</v>
      </c>
      <c r="V262" s="49">
        <v>933.02</v>
      </c>
      <c r="W262" s="49">
        <v>2238.71</v>
      </c>
      <c r="X262" s="50">
        <f t="shared" si="85"/>
        <v>4714.6000000000004</v>
      </c>
      <c r="Y262" s="48">
        <v>2253.31</v>
      </c>
      <c r="Z262" s="49">
        <v>1511.55</v>
      </c>
      <c r="AA262" s="49">
        <v>3342.7</v>
      </c>
      <c r="AB262" s="50">
        <f t="shared" si="86"/>
        <v>7107.5599999999995</v>
      </c>
      <c r="AC262" s="164">
        <v>1544.14</v>
      </c>
      <c r="AD262" s="165">
        <v>335.12</v>
      </c>
      <c r="AE262" s="165">
        <v>7037.13</v>
      </c>
      <c r="AF262" s="151">
        <f t="shared" si="87"/>
        <v>8916.39</v>
      </c>
      <c r="AG262" s="191">
        <v>1376.03</v>
      </c>
      <c r="AH262" s="10">
        <v>1156.96</v>
      </c>
      <c r="AI262" s="10">
        <v>7015.4500000000007</v>
      </c>
      <c r="AJ262" s="151">
        <f t="shared" si="88"/>
        <v>9548.44</v>
      </c>
      <c r="AK262" s="100">
        <v>760.13</v>
      </c>
      <c r="AL262" s="99">
        <v>472.45</v>
      </c>
      <c r="AM262" s="99">
        <v>8582.01</v>
      </c>
      <c r="AN262" s="151">
        <f t="shared" si="89"/>
        <v>9814.59</v>
      </c>
      <c r="AO262" s="191"/>
      <c r="AP262" s="10"/>
      <c r="AQ262" s="10"/>
      <c r="AR262" s="151"/>
      <c r="AS262" s="191"/>
      <c r="AT262" s="192"/>
      <c r="AU262" s="192"/>
      <c r="AV262" s="151"/>
      <c r="AW262" s="192"/>
      <c r="AX262" s="192"/>
      <c r="AY262" s="192"/>
      <c r="AZ262" s="151"/>
      <c r="BA262" s="10"/>
      <c r="BB262" s="10"/>
      <c r="BC262" s="10"/>
      <c r="BD262" s="151"/>
      <c r="BE262" s="191"/>
      <c r="BF262" s="10"/>
      <c r="BG262" s="10"/>
      <c r="BH262" s="151"/>
      <c r="BI262" s="191"/>
      <c r="BJ262" s="10"/>
      <c r="BK262" s="10"/>
      <c r="BL262" s="151"/>
      <c r="BM262" s="1"/>
      <c r="BN262" s="48">
        <v>280.54000000000002</v>
      </c>
      <c r="BO262" s="49">
        <v>762.16</v>
      </c>
      <c r="BP262" s="49">
        <v>1034.74</v>
      </c>
      <c r="BQ262" s="50">
        <f t="shared" si="90"/>
        <v>2077.44</v>
      </c>
      <c r="BR262" s="48">
        <v>131.35</v>
      </c>
      <c r="BS262" s="49">
        <v>201.76</v>
      </c>
      <c r="BT262" s="49">
        <v>2161.94</v>
      </c>
      <c r="BU262" s="50">
        <f t="shared" si="91"/>
        <v>2495.0500000000002</v>
      </c>
      <c r="BV262" s="48">
        <v>400.51</v>
      </c>
      <c r="BW262" s="49">
        <v>543.77</v>
      </c>
      <c r="BX262" s="49">
        <v>3248.51</v>
      </c>
      <c r="BY262" s="50">
        <f t="shared" si="92"/>
        <v>4192.79</v>
      </c>
      <c r="BZ262" s="182">
        <v>203.95</v>
      </c>
      <c r="CA262" s="99">
        <v>2705.6</v>
      </c>
      <c r="CB262" s="99">
        <v>3456.9100000000003</v>
      </c>
      <c r="CC262" s="98">
        <f t="shared" si="93"/>
        <v>6366.46</v>
      </c>
      <c r="CD262" s="182">
        <v>171.9</v>
      </c>
      <c r="CE262" s="99">
        <v>1300.58</v>
      </c>
      <c r="CF262" s="99">
        <v>2813.1000000000004</v>
      </c>
      <c r="CG262" s="98">
        <f t="shared" si="94"/>
        <v>4285.58</v>
      </c>
      <c r="CH262" s="191"/>
      <c r="CI262" s="192">
        <v>1088.3</v>
      </c>
      <c r="CJ262" s="192">
        <v>3346.48</v>
      </c>
      <c r="CK262" s="98">
        <f t="shared" si="95"/>
        <v>4434.78</v>
      </c>
      <c r="CL262" s="111"/>
      <c r="CM262" s="111"/>
      <c r="CN262" s="111"/>
      <c r="CO262" s="112"/>
      <c r="CP262" s="191"/>
      <c r="CQ262" s="192"/>
      <c r="CR262" s="192"/>
      <c r="CS262" s="151"/>
      <c r="CT262" s="111"/>
      <c r="CU262" s="111"/>
      <c r="CV262" s="111"/>
      <c r="CW262" s="112"/>
      <c r="CX262" s="192"/>
      <c r="CY262" s="192"/>
      <c r="CZ262" s="192"/>
      <c r="DA262" s="151"/>
      <c r="DB262" s="10"/>
      <c r="DC262" s="10"/>
      <c r="DD262" s="10"/>
      <c r="DE262" s="151"/>
      <c r="DF262" s="192"/>
      <c r="DG262" s="192"/>
      <c r="DH262" s="192"/>
      <c r="DI262" s="151"/>
      <c r="DJ262" s="1"/>
      <c r="DK262" s="225"/>
      <c r="DL262" s="225"/>
      <c r="DM262" s="225"/>
      <c r="DN262" s="225">
        <v>189.27</v>
      </c>
      <c r="DO262" s="225"/>
      <c r="DP262" s="225"/>
      <c r="DQ262" s="225"/>
      <c r="DR262" s="225"/>
      <c r="DS262" s="225"/>
      <c r="DT262" s="225"/>
      <c r="DU262" s="225"/>
      <c r="DV262" s="225"/>
      <c r="DW262" s="1"/>
      <c r="EJ262" s="1"/>
      <c r="EK262" s="17"/>
      <c r="EL262" s="17"/>
      <c r="EM262" s="17"/>
      <c r="EN262" s="17">
        <v>1</v>
      </c>
      <c r="EO262" s="17"/>
      <c r="EP262" s="17"/>
      <c r="EQ262" s="17"/>
      <c r="ER262" s="17"/>
      <c r="ES262" s="17"/>
      <c r="EU262" s="17"/>
      <c r="EW262" s="1"/>
      <c r="EX262" s="225"/>
      <c r="EY262" s="225"/>
      <c r="EZ262" s="225"/>
      <c r="FA262" s="225">
        <v>189.27</v>
      </c>
      <c r="FB262" s="225"/>
      <c r="FC262" s="225"/>
      <c r="FD262" s="225"/>
      <c r="FE262" s="225"/>
      <c r="FF262" s="225"/>
      <c r="FG262" s="10"/>
      <c r="FH262" s="225"/>
      <c r="FI262" s="10"/>
      <c r="FJ262" s="1"/>
      <c r="FK262" s="225"/>
      <c r="FL262" s="225"/>
      <c r="FM262" s="225"/>
      <c r="FN262" s="225"/>
      <c r="FO262" s="225"/>
      <c r="FP262" s="225"/>
      <c r="FQ262" s="225"/>
      <c r="FR262" s="225"/>
      <c r="FS262" s="225"/>
      <c r="FT262" s="191"/>
      <c r="FU262" s="225"/>
      <c r="FV262" s="151"/>
    </row>
    <row r="263" spans="1:178" ht="16" thickBot="1" x14ac:dyDescent="0.25">
      <c r="A263" s="27" t="s">
        <v>78</v>
      </c>
      <c r="B263" t="s">
        <v>141</v>
      </c>
      <c r="C263" s="1"/>
      <c r="D263">
        <v>50</v>
      </c>
      <c r="E263" s="17">
        <v>60</v>
      </c>
      <c r="F263" s="241">
        <v>56</v>
      </c>
      <c r="G263" s="87">
        <v>65</v>
      </c>
      <c r="H263" s="87">
        <v>63</v>
      </c>
      <c r="I263" s="87">
        <v>57</v>
      </c>
      <c r="J263" s="17"/>
      <c r="K263" s="17"/>
      <c r="L263" s="17"/>
      <c r="M263" s="17"/>
      <c r="N263" s="17"/>
      <c r="O263" s="17"/>
      <c r="P263" s="1"/>
      <c r="Q263" s="48">
        <v>4389.2</v>
      </c>
      <c r="R263" s="49">
        <v>2813.38</v>
      </c>
      <c r="S263" s="49">
        <v>2696.95</v>
      </c>
      <c r="T263" s="50">
        <f t="shared" si="84"/>
        <v>9899.5299999999988</v>
      </c>
      <c r="U263" s="48">
        <v>8575.48</v>
      </c>
      <c r="V263" s="49">
        <v>4719.87</v>
      </c>
      <c r="W263" s="49">
        <v>5890.67</v>
      </c>
      <c r="X263" s="50">
        <f t="shared" si="85"/>
        <v>19186.019999999997</v>
      </c>
      <c r="Y263" s="48">
        <v>7338.8</v>
      </c>
      <c r="Z263" s="49">
        <v>6334.21</v>
      </c>
      <c r="AA263" s="49">
        <v>2664.96</v>
      </c>
      <c r="AB263" s="50">
        <f t="shared" si="86"/>
        <v>16337.970000000001</v>
      </c>
      <c r="AC263" s="164">
        <v>6372.8</v>
      </c>
      <c r="AD263" s="165">
        <v>4362.3100000000004</v>
      </c>
      <c r="AE263" s="165">
        <v>6539.28</v>
      </c>
      <c r="AF263" s="151">
        <f t="shared" si="87"/>
        <v>17274.39</v>
      </c>
      <c r="AG263" s="191">
        <v>6661.89</v>
      </c>
      <c r="AH263" s="10">
        <v>2946.99</v>
      </c>
      <c r="AI263" s="10">
        <v>8911.7000000000007</v>
      </c>
      <c r="AJ263" s="151">
        <f t="shared" si="88"/>
        <v>18520.580000000002</v>
      </c>
      <c r="AK263" s="99">
        <v>2871.49</v>
      </c>
      <c r="AL263" s="100">
        <v>4878.22</v>
      </c>
      <c r="AM263" s="99">
        <v>8520.36</v>
      </c>
      <c r="AN263" s="151">
        <f t="shared" si="89"/>
        <v>16270.07</v>
      </c>
      <c r="AO263" s="191"/>
      <c r="AP263" s="10"/>
      <c r="AQ263" s="10"/>
      <c r="AR263" s="151"/>
      <c r="AS263" s="191"/>
      <c r="AT263" s="192"/>
      <c r="AU263" s="192"/>
      <c r="AV263" s="151"/>
      <c r="AW263" s="192"/>
      <c r="AX263" s="192"/>
      <c r="AY263" s="192"/>
      <c r="AZ263" s="151"/>
      <c r="BA263" s="10"/>
      <c r="BB263" s="10"/>
      <c r="BC263" s="10"/>
      <c r="BD263" s="151"/>
      <c r="BE263" s="191"/>
      <c r="BF263" s="10"/>
      <c r="BG263" s="10"/>
      <c r="BH263" s="151"/>
      <c r="BI263" s="191"/>
      <c r="BJ263" s="10"/>
      <c r="BK263" s="10"/>
      <c r="BL263" s="151"/>
      <c r="BM263" s="1"/>
      <c r="BN263" s="48">
        <v>1211.97</v>
      </c>
      <c r="BO263" s="49">
        <v>1188.32</v>
      </c>
      <c r="BP263" s="49">
        <v>1301.97</v>
      </c>
      <c r="BQ263" s="50">
        <f t="shared" si="90"/>
        <v>3702.26</v>
      </c>
      <c r="BR263" s="48">
        <v>1713.75</v>
      </c>
      <c r="BS263" s="49">
        <v>1328.11</v>
      </c>
      <c r="BT263" s="49">
        <v>2132.23</v>
      </c>
      <c r="BU263" s="50">
        <f t="shared" si="91"/>
        <v>5174.09</v>
      </c>
      <c r="BV263" s="48">
        <v>854.99</v>
      </c>
      <c r="BW263" s="49">
        <v>3095.68</v>
      </c>
      <c r="BX263" s="49">
        <v>718.67</v>
      </c>
      <c r="BY263" s="50">
        <f t="shared" si="92"/>
        <v>4669.34</v>
      </c>
      <c r="BZ263" s="182">
        <v>1189.8699999999999</v>
      </c>
      <c r="CA263" s="99">
        <v>3722.38</v>
      </c>
      <c r="CB263" s="99">
        <v>5130.5499999999993</v>
      </c>
      <c r="CC263" s="98">
        <f t="shared" si="93"/>
        <v>10042.799999999999</v>
      </c>
      <c r="CD263" s="182">
        <v>1188.68</v>
      </c>
      <c r="CE263" s="99">
        <v>12390.41</v>
      </c>
      <c r="CF263" s="99">
        <v>7074.16</v>
      </c>
      <c r="CG263" s="98">
        <f t="shared" si="94"/>
        <v>20653.25</v>
      </c>
      <c r="CH263" s="191">
        <v>879.82</v>
      </c>
      <c r="CI263" s="192">
        <v>3234.72</v>
      </c>
      <c r="CJ263" s="192">
        <v>6712.66</v>
      </c>
      <c r="CK263" s="98">
        <f t="shared" si="95"/>
        <v>10827.2</v>
      </c>
      <c r="CL263" s="111"/>
      <c r="CM263" s="111"/>
      <c r="CN263" s="111"/>
      <c r="CO263" s="112"/>
      <c r="CP263" s="191"/>
      <c r="CQ263" s="192"/>
      <c r="CR263" s="192"/>
      <c r="CS263" s="151"/>
      <c r="CT263" s="111"/>
      <c r="CU263" s="111"/>
      <c r="CV263" s="111"/>
      <c r="CW263" s="112"/>
      <c r="CX263" s="192"/>
      <c r="CY263" s="192"/>
      <c r="CZ263" s="192"/>
      <c r="DA263" s="151"/>
      <c r="DB263" s="10"/>
      <c r="DC263" s="10"/>
      <c r="DD263" s="10"/>
      <c r="DE263" s="151"/>
      <c r="DF263" s="192"/>
      <c r="DG263" s="192"/>
      <c r="DH263" s="192"/>
      <c r="DI263" s="151"/>
      <c r="DJ263" s="1"/>
      <c r="DK263" s="225"/>
      <c r="DL263" s="225">
        <v>33.42</v>
      </c>
      <c r="DM263" s="225">
        <v>1006.81</v>
      </c>
      <c r="DN263" s="225">
        <v>671.91</v>
      </c>
      <c r="DO263" s="225"/>
      <c r="DP263" s="225">
        <v>1763.44</v>
      </c>
      <c r="DQ263" s="225"/>
      <c r="DR263" s="225"/>
      <c r="DS263" s="225"/>
      <c r="DT263" s="225"/>
      <c r="DU263" s="225"/>
      <c r="DV263" s="225"/>
      <c r="DW263" s="1"/>
      <c r="EJ263" s="1"/>
      <c r="EK263" s="17"/>
      <c r="EL263" s="17">
        <v>1</v>
      </c>
      <c r="EM263" s="17">
        <v>3</v>
      </c>
      <c r="EN263" s="17">
        <v>1</v>
      </c>
      <c r="EO263" s="17"/>
      <c r="EP263" s="17">
        <v>3</v>
      </c>
      <c r="EQ263" s="17"/>
      <c r="ER263" s="17"/>
      <c r="ES263" s="17"/>
      <c r="EU263" s="17"/>
      <c r="EW263" s="1"/>
      <c r="EX263" s="225"/>
      <c r="EY263" s="225">
        <v>33.42</v>
      </c>
      <c r="EZ263" s="225">
        <v>1006.81</v>
      </c>
      <c r="FA263" s="225">
        <v>671.91</v>
      </c>
      <c r="FB263" s="225"/>
      <c r="FC263" s="225">
        <v>1763.44</v>
      </c>
      <c r="FD263" s="225"/>
      <c r="FE263" s="225"/>
      <c r="FF263" s="225"/>
      <c r="FG263" s="10"/>
      <c r="FH263" s="225"/>
      <c r="FI263" s="10"/>
      <c r="FJ263" s="1"/>
      <c r="FK263" s="225"/>
      <c r="FL263" s="225"/>
      <c r="FM263" s="225"/>
      <c r="FN263" s="225"/>
      <c r="FO263" s="225"/>
      <c r="FP263" s="225"/>
      <c r="FQ263" s="225"/>
      <c r="FR263" s="225"/>
      <c r="FS263" s="225"/>
      <c r="FT263" s="191"/>
      <c r="FU263" s="225"/>
      <c r="FV263" s="151"/>
    </row>
    <row r="264" spans="1:178" ht="16" thickBot="1" x14ac:dyDescent="0.25">
      <c r="A264" s="27" t="s">
        <v>79</v>
      </c>
      <c r="B264" t="s">
        <v>141</v>
      </c>
      <c r="C264" s="1"/>
      <c r="D264">
        <v>9</v>
      </c>
      <c r="E264" s="17">
        <v>9</v>
      </c>
      <c r="F264" s="241">
        <v>12</v>
      </c>
      <c r="G264" s="87">
        <v>8</v>
      </c>
      <c r="H264" s="87">
        <v>9</v>
      </c>
      <c r="I264" s="87">
        <v>10</v>
      </c>
      <c r="J264" s="17"/>
      <c r="K264" s="17"/>
      <c r="L264" s="17"/>
      <c r="M264" s="17"/>
      <c r="N264" s="17"/>
      <c r="O264" s="17"/>
      <c r="P264" s="1"/>
      <c r="Q264" s="48">
        <v>485.12</v>
      </c>
      <c r="R264" s="49">
        <v>0</v>
      </c>
      <c r="S264" s="49">
        <v>1965.0099999999998</v>
      </c>
      <c r="T264" s="50">
        <f t="shared" si="84"/>
        <v>2450.1299999999997</v>
      </c>
      <c r="U264" s="48">
        <v>374.55</v>
      </c>
      <c r="V264" s="49">
        <v>972.37</v>
      </c>
      <c r="W264" s="49">
        <v>2227.98</v>
      </c>
      <c r="X264" s="50">
        <f t="shared" si="85"/>
        <v>3574.9</v>
      </c>
      <c r="Y264" s="48">
        <v>1351.25</v>
      </c>
      <c r="Z264" s="49">
        <v>791.44</v>
      </c>
      <c r="AA264" s="49">
        <v>883.65000000000009</v>
      </c>
      <c r="AB264" s="50">
        <f t="shared" si="86"/>
        <v>3026.34</v>
      </c>
      <c r="AC264" s="164">
        <v>24.6</v>
      </c>
      <c r="AD264" s="165">
        <v>464.69</v>
      </c>
      <c r="AE264" s="165">
        <v>1811.69</v>
      </c>
      <c r="AF264" s="151">
        <f t="shared" si="87"/>
        <v>2300.98</v>
      </c>
      <c r="AG264" s="191">
        <v>675.07</v>
      </c>
      <c r="AH264" s="10">
        <v>474</v>
      </c>
      <c r="AI264" s="10">
        <v>121.55</v>
      </c>
      <c r="AJ264" s="151">
        <f t="shared" si="88"/>
        <v>1270.6200000000001</v>
      </c>
      <c r="AK264" s="99">
        <v>391.77</v>
      </c>
      <c r="AL264" s="100">
        <v>671.74</v>
      </c>
      <c r="AM264" s="99">
        <v>208.4</v>
      </c>
      <c r="AN264" s="151">
        <f t="shared" si="89"/>
        <v>1271.9100000000001</v>
      </c>
      <c r="AO264" s="191"/>
      <c r="AP264" s="10"/>
      <c r="AQ264" s="10"/>
      <c r="AR264" s="151"/>
      <c r="AS264" s="191"/>
      <c r="AT264" s="192"/>
      <c r="AU264" s="192"/>
      <c r="AV264" s="151"/>
      <c r="AW264" s="192"/>
      <c r="AX264" s="192"/>
      <c r="AY264" s="192"/>
      <c r="AZ264" s="151"/>
      <c r="BA264" s="10"/>
      <c r="BB264" s="10"/>
      <c r="BC264" s="10"/>
      <c r="BD264" s="151"/>
      <c r="BE264" s="191"/>
      <c r="BF264" s="10"/>
      <c r="BG264" s="10"/>
      <c r="BH264" s="151"/>
      <c r="BI264" s="191"/>
      <c r="BJ264" s="10"/>
      <c r="BK264" s="10"/>
      <c r="BL264" s="151"/>
      <c r="BM264" s="1"/>
      <c r="BN264" s="48"/>
      <c r="BO264" s="49"/>
      <c r="BP264" s="49">
        <v>722.21</v>
      </c>
      <c r="BQ264" s="50">
        <f t="shared" si="90"/>
        <v>722.21</v>
      </c>
      <c r="BR264" s="48"/>
      <c r="BS264" s="49"/>
      <c r="BT264" s="49">
        <v>709.23</v>
      </c>
      <c r="BU264" s="50">
        <f t="shared" si="91"/>
        <v>709.23</v>
      </c>
      <c r="BV264" s="48">
        <v>315.10000000000002</v>
      </c>
      <c r="BW264" s="49">
        <v>665.3</v>
      </c>
      <c r="BX264" s="49">
        <v>0</v>
      </c>
      <c r="BY264" s="50">
        <f t="shared" si="92"/>
        <v>980.4</v>
      </c>
      <c r="BZ264" s="182"/>
      <c r="CA264" s="266">
        <v>9490.93</v>
      </c>
      <c r="CB264" s="99">
        <v>1610.56</v>
      </c>
      <c r="CC264" s="98">
        <f t="shared" si="93"/>
        <v>11101.49</v>
      </c>
      <c r="CD264" s="183">
        <v>437.11</v>
      </c>
      <c r="CE264" s="266">
        <v>425.83</v>
      </c>
      <c r="CF264" s="99">
        <v>0</v>
      </c>
      <c r="CG264" s="98">
        <f t="shared" si="94"/>
        <v>862.94</v>
      </c>
      <c r="CH264" s="191">
        <v>315.7</v>
      </c>
      <c r="CI264" s="192">
        <v>1468.62</v>
      </c>
      <c r="CJ264" s="192">
        <v>0</v>
      </c>
      <c r="CK264" s="98">
        <f t="shared" si="95"/>
        <v>1784.32</v>
      </c>
      <c r="CL264" s="111"/>
      <c r="CM264" s="111"/>
      <c r="CN264" s="111"/>
      <c r="CO264" s="112"/>
      <c r="CP264" s="191"/>
      <c r="CQ264" s="192"/>
      <c r="CR264" s="192"/>
      <c r="CS264" s="151"/>
      <c r="CT264" s="111"/>
      <c r="CU264" s="111"/>
      <c r="CV264" s="111"/>
      <c r="CW264" s="112"/>
      <c r="CX264" s="192"/>
      <c r="CY264" s="192"/>
      <c r="CZ264" s="192"/>
      <c r="DA264" s="151"/>
      <c r="DB264" s="10"/>
      <c r="DC264" s="10"/>
      <c r="DD264" s="10"/>
      <c r="DE264" s="151"/>
      <c r="DF264" s="192"/>
      <c r="DG264" s="192"/>
      <c r="DH264" s="192"/>
      <c r="DI264" s="151"/>
      <c r="DJ264" s="1"/>
      <c r="DK264" s="225"/>
      <c r="DL264" s="225"/>
      <c r="DM264" s="225"/>
      <c r="DN264" s="225"/>
      <c r="DO264" s="225"/>
      <c r="DP264" s="225"/>
      <c r="DQ264" s="225"/>
      <c r="DR264" s="225"/>
      <c r="DS264" s="225"/>
      <c r="DT264" s="225"/>
      <c r="DU264" s="225"/>
      <c r="DV264" s="225"/>
      <c r="DW264" s="1"/>
      <c r="EJ264" s="1"/>
      <c r="EK264" s="17"/>
      <c r="EL264" s="17"/>
      <c r="EM264" s="17"/>
      <c r="EN264" s="17"/>
      <c r="EO264" s="17"/>
      <c r="EP264" s="17"/>
      <c r="EQ264" s="17"/>
      <c r="ER264" s="17"/>
      <c r="ES264" s="17"/>
      <c r="EU264" s="17"/>
      <c r="EW264" s="1"/>
      <c r="EX264" s="225"/>
      <c r="EY264" s="225"/>
      <c r="EZ264" s="225"/>
      <c r="FA264" s="225"/>
      <c r="FB264" s="225"/>
      <c r="FC264" s="225"/>
      <c r="FD264" s="225"/>
      <c r="FE264" s="225"/>
      <c r="FF264" s="225"/>
      <c r="FG264" s="10"/>
      <c r="FH264" s="225"/>
      <c r="FI264" s="10"/>
      <c r="FJ264" s="1"/>
      <c r="FK264" s="225"/>
      <c r="FL264" s="225"/>
      <c r="FM264" s="225"/>
      <c r="FN264" s="225"/>
      <c r="FO264" s="225"/>
      <c r="FP264" s="225"/>
      <c r="FQ264" s="225"/>
      <c r="FR264" s="225"/>
      <c r="FS264" s="225"/>
      <c r="FT264" s="191"/>
      <c r="FU264" s="225"/>
      <c r="FV264" s="151"/>
    </row>
    <row r="265" spans="1:178" ht="16" thickBot="1" x14ac:dyDescent="0.25">
      <c r="A265" s="27" t="s">
        <v>80</v>
      </c>
      <c r="B265" t="s">
        <v>141</v>
      </c>
      <c r="C265" s="1"/>
      <c r="D265">
        <v>71</v>
      </c>
      <c r="E265" s="17">
        <v>68</v>
      </c>
      <c r="F265" s="241">
        <v>91</v>
      </c>
      <c r="G265" s="87">
        <v>103</v>
      </c>
      <c r="H265" s="87">
        <v>81</v>
      </c>
      <c r="I265" s="87">
        <v>88</v>
      </c>
      <c r="J265" s="17"/>
      <c r="K265" s="17"/>
      <c r="L265" s="17"/>
      <c r="M265" s="17"/>
      <c r="N265" s="17"/>
      <c r="O265" s="17"/>
      <c r="P265" s="1"/>
      <c r="Q265" s="48">
        <v>6230.79</v>
      </c>
      <c r="R265" s="49">
        <v>4742.99</v>
      </c>
      <c r="S265" s="49">
        <v>8656.58</v>
      </c>
      <c r="T265" s="50">
        <f t="shared" si="84"/>
        <v>19630.36</v>
      </c>
      <c r="U265" s="48">
        <v>4004.87</v>
      </c>
      <c r="V265" s="49">
        <v>5023.62</v>
      </c>
      <c r="W265" s="49">
        <v>8134.1100000000006</v>
      </c>
      <c r="X265" s="50">
        <f t="shared" si="85"/>
        <v>17162.599999999999</v>
      </c>
      <c r="Y265" s="48">
        <v>8842.42</v>
      </c>
      <c r="Z265" s="49">
        <v>3316.79</v>
      </c>
      <c r="AA265" s="49">
        <v>12829.07</v>
      </c>
      <c r="AB265" s="50">
        <f t="shared" si="86"/>
        <v>24988.28</v>
      </c>
      <c r="AC265" s="164">
        <v>10417.530000000001</v>
      </c>
      <c r="AD265" s="165">
        <v>8746.4</v>
      </c>
      <c r="AE265" s="165">
        <v>8605.5600000000013</v>
      </c>
      <c r="AF265" s="151">
        <f t="shared" si="87"/>
        <v>27769.49</v>
      </c>
      <c r="AG265" s="191">
        <v>2697.33</v>
      </c>
      <c r="AH265" s="10">
        <v>8359.2800000000007</v>
      </c>
      <c r="AI265" s="10">
        <v>11797.51</v>
      </c>
      <c r="AJ265" s="151">
        <f t="shared" si="88"/>
        <v>22854.120000000003</v>
      </c>
      <c r="AK265" s="99">
        <v>4167.13</v>
      </c>
      <c r="AL265" s="99">
        <v>3107.4</v>
      </c>
      <c r="AM265" s="99">
        <v>7728.7199999999993</v>
      </c>
      <c r="AN265" s="151">
        <f t="shared" si="89"/>
        <v>15003.25</v>
      </c>
      <c r="AO265" s="191"/>
      <c r="AP265" s="10"/>
      <c r="AQ265" s="10"/>
      <c r="AR265" s="151"/>
      <c r="AS265" s="191"/>
      <c r="AT265" s="192"/>
      <c r="AU265" s="192"/>
      <c r="AV265" s="151"/>
      <c r="AW265" s="192"/>
      <c r="AX265" s="192"/>
      <c r="AY265" s="192"/>
      <c r="AZ265" s="151"/>
      <c r="BA265" s="10"/>
      <c r="BB265" s="10"/>
      <c r="BC265" s="10"/>
      <c r="BD265" s="151"/>
      <c r="BE265" s="191"/>
      <c r="BF265" s="10"/>
      <c r="BG265" s="10"/>
      <c r="BH265" s="151"/>
      <c r="BI265" s="191"/>
      <c r="BJ265" s="10"/>
      <c r="BK265" s="10"/>
      <c r="BL265" s="151"/>
      <c r="BM265" s="1"/>
      <c r="BN265" s="48">
        <v>974.67</v>
      </c>
      <c r="BO265" s="49">
        <v>809.06</v>
      </c>
      <c r="BP265" s="49">
        <v>2039.7200000000003</v>
      </c>
      <c r="BQ265" s="50">
        <f t="shared" si="90"/>
        <v>3823.4500000000003</v>
      </c>
      <c r="BR265" s="48">
        <v>1096.44</v>
      </c>
      <c r="BS265" s="49">
        <v>1638.78</v>
      </c>
      <c r="BT265" s="49">
        <v>2024.31</v>
      </c>
      <c r="BU265" s="50">
        <f t="shared" si="91"/>
        <v>4759.5300000000007</v>
      </c>
      <c r="BV265" s="48">
        <v>1637.08</v>
      </c>
      <c r="BW265" s="49">
        <v>1117.45</v>
      </c>
      <c r="BX265" s="49">
        <v>5627.24</v>
      </c>
      <c r="BY265" s="50">
        <f t="shared" si="92"/>
        <v>8381.77</v>
      </c>
      <c r="BZ265" s="182">
        <v>3823.96</v>
      </c>
      <c r="CA265" s="99">
        <v>7226.67</v>
      </c>
      <c r="CB265" s="99">
        <v>4592.96</v>
      </c>
      <c r="CC265" s="98">
        <f t="shared" si="93"/>
        <v>15643.59</v>
      </c>
      <c r="CD265" s="182">
        <v>838.85</v>
      </c>
      <c r="CE265" s="99">
        <v>5707.4</v>
      </c>
      <c r="CF265" s="99">
        <v>4775.84</v>
      </c>
      <c r="CG265" s="98">
        <f t="shared" si="94"/>
        <v>11322.09</v>
      </c>
      <c r="CH265" s="191">
        <v>1686.82</v>
      </c>
      <c r="CI265" s="192">
        <v>3732.2</v>
      </c>
      <c r="CJ265" s="192">
        <v>4748.2299999999996</v>
      </c>
      <c r="CK265" s="98">
        <f t="shared" si="95"/>
        <v>10167.25</v>
      </c>
      <c r="CL265" s="111"/>
      <c r="CM265" s="111"/>
      <c r="CN265" s="111"/>
      <c r="CO265" s="112"/>
      <c r="CP265" s="191"/>
      <c r="CQ265" s="192"/>
      <c r="CR265" s="192"/>
      <c r="CS265" s="151"/>
      <c r="CT265" s="111"/>
      <c r="CU265" s="111"/>
      <c r="CV265" s="111"/>
      <c r="CW265" s="112"/>
      <c r="CX265" s="192"/>
      <c r="CY265" s="192"/>
      <c r="CZ265" s="192"/>
      <c r="DA265" s="151"/>
      <c r="DB265" s="10"/>
      <c r="DC265" s="10"/>
      <c r="DD265" s="10"/>
      <c r="DE265" s="151"/>
      <c r="DF265" s="192"/>
      <c r="DG265" s="192"/>
      <c r="DH265" s="192"/>
      <c r="DI265" s="151"/>
      <c r="DJ265" s="1"/>
      <c r="DK265" s="225">
        <v>936.48</v>
      </c>
      <c r="DL265" s="225">
        <v>469.85</v>
      </c>
      <c r="DM265" s="225"/>
      <c r="DN265" s="225">
        <v>1834.8</v>
      </c>
      <c r="DO265" s="225">
        <v>6.39</v>
      </c>
      <c r="DP265" s="225">
        <v>5332.41</v>
      </c>
      <c r="DQ265" s="225"/>
      <c r="DR265" s="225"/>
      <c r="DS265" s="225"/>
      <c r="DT265" s="225"/>
      <c r="DU265" s="225"/>
      <c r="DV265" s="225"/>
      <c r="DW265" s="1"/>
      <c r="EJ265" s="1"/>
      <c r="EK265" s="17">
        <v>3</v>
      </c>
      <c r="EL265" s="17">
        <v>2</v>
      </c>
      <c r="EM265" s="17"/>
      <c r="EN265" s="17">
        <v>3</v>
      </c>
      <c r="EO265" s="17"/>
      <c r="EP265" s="17">
        <v>7</v>
      </c>
      <c r="EQ265" s="17"/>
      <c r="ER265" s="17"/>
      <c r="ES265" s="17"/>
      <c r="EU265" s="17"/>
      <c r="EW265" s="1"/>
      <c r="EX265" s="225">
        <v>936.48</v>
      </c>
      <c r="EY265" s="225">
        <v>469.85</v>
      </c>
      <c r="EZ265" s="225"/>
      <c r="FA265" s="225">
        <v>1834.8</v>
      </c>
      <c r="FB265" s="225"/>
      <c r="FC265" s="225">
        <v>5332.41</v>
      </c>
      <c r="FD265" s="225"/>
      <c r="FE265" s="225"/>
      <c r="FF265" s="225"/>
      <c r="FG265" s="10"/>
      <c r="FH265" s="225"/>
      <c r="FI265" s="10"/>
      <c r="FJ265" s="1"/>
      <c r="FK265" s="225"/>
      <c r="FL265" s="225"/>
      <c r="FM265" s="225"/>
      <c r="FN265" s="225"/>
      <c r="FO265" s="225"/>
      <c r="FP265" s="225"/>
      <c r="FQ265" s="225"/>
      <c r="FR265" s="225"/>
      <c r="FS265" s="225"/>
      <c r="FT265" s="191"/>
      <c r="FU265" s="225"/>
      <c r="FV265" s="151"/>
    </row>
    <row r="266" spans="1:178" ht="16" thickBot="1" x14ac:dyDescent="0.25">
      <c r="A266" s="27" t="s">
        <v>81</v>
      </c>
      <c r="B266" t="s">
        <v>141</v>
      </c>
      <c r="C266" s="1"/>
      <c r="D266">
        <v>34</v>
      </c>
      <c r="E266" s="17">
        <v>38</v>
      </c>
      <c r="F266" s="241">
        <v>47</v>
      </c>
      <c r="G266" s="87">
        <v>51</v>
      </c>
      <c r="H266" s="87">
        <v>41</v>
      </c>
      <c r="I266" s="87">
        <v>44</v>
      </c>
      <c r="J266" s="17"/>
      <c r="K266" s="17"/>
      <c r="L266" s="17"/>
      <c r="M266" s="17"/>
      <c r="N266" s="17"/>
      <c r="O266" s="17"/>
      <c r="P266" s="1"/>
      <c r="Q266" s="48">
        <v>6532.02</v>
      </c>
      <c r="R266" s="49">
        <v>618.53</v>
      </c>
      <c r="S266" s="49">
        <v>1229.43</v>
      </c>
      <c r="T266" s="50">
        <f t="shared" si="84"/>
        <v>8379.98</v>
      </c>
      <c r="U266" s="48">
        <v>7638.52</v>
      </c>
      <c r="V266" s="49">
        <v>2995.2</v>
      </c>
      <c r="W266" s="49">
        <v>598.44000000000005</v>
      </c>
      <c r="X266" s="50">
        <f t="shared" si="85"/>
        <v>11232.160000000002</v>
      </c>
      <c r="Y266" s="48">
        <v>5266.42</v>
      </c>
      <c r="Z266" s="49">
        <v>5117.55</v>
      </c>
      <c r="AA266" s="49">
        <v>1764.4699999999998</v>
      </c>
      <c r="AB266" s="50">
        <f t="shared" si="86"/>
        <v>12148.44</v>
      </c>
      <c r="AC266" s="164">
        <v>5270.4</v>
      </c>
      <c r="AD266" s="165">
        <v>4464.5</v>
      </c>
      <c r="AE266" s="165">
        <v>3385.69</v>
      </c>
      <c r="AF266" s="151">
        <f t="shared" si="87"/>
        <v>13120.59</v>
      </c>
      <c r="AG266" s="191">
        <v>2738.99</v>
      </c>
      <c r="AH266" s="10">
        <v>3196</v>
      </c>
      <c r="AI266" s="10">
        <v>5788.18</v>
      </c>
      <c r="AJ266" s="151">
        <f t="shared" si="88"/>
        <v>11723.17</v>
      </c>
      <c r="AK266" s="99">
        <v>3275.46</v>
      </c>
      <c r="AL266" s="99">
        <v>1094.06</v>
      </c>
      <c r="AM266" s="99">
        <v>7785.7000000000007</v>
      </c>
      <c r="AN266" s="151">
        <f t="shared" si="89"/>
        <v>12155.220000000001</v>
      </c>
      <c r="AO266" s="191"/>
      <c r="AP266" s="10"/>
      <c r="AQ266" s="10"/>
      <c r="AR266" s="151"/>
      <c r="AS266" s="191"/>
      <c r="AT266" s="192"/>
      <c r="AU266" s="192"/>
      <c r="AV266" s="151"/>
      <c r="AW266" s="192"/>
      <c r="AX266" s="192"/>
      <c r="AY266" s="192"/>
      <c r="AZ266" s="151"/>
      <c r="BA266" s="10"/>
      <c r="BB266" s="10"/>
      <c r="BC266" s="10"/>
      <c r="BD266" s="151"/>
      <c r="BE266" s="191"/>
      <c r="BF266" s="10"/>
      <c r="BG266" s="10"/>
      <c r="BH266" s="151"/>
      <c r="BI266" s="191"/>
      <c r="BJ266" s="10"/>
      <c r="BK266" s="10"/>
      <c r="BL266" s="151"/>
      <c r="BM266" s="1"/>
      <c r="BN266" s="48">
        <v>1775.75</v>
      </c>
      <c r="BO266" s="49">
        <v>468.32</v>
      </c>
      <c r="BP266" s="49">
        <v>0</v>
      </c>
      <c r="BQ266" s="50">
        <f t="shared" si="90"/>
        <v>2244.0700000000002</v>
      </c>
      <c r="BR266" s="48">
        <v>2122.04</v>
      </c>
      <c r="BS266" s="49">
        <v>931.94</v>
      </c>
      <c r="BT266" s="49">
        <v>0</v>
      </c>
      <c r="BU266" s="50">
        <f t="shared" si="91"/>
        <v>3053.98</v>
      </c>
      <c r="BV266" s="48">
        <v>1964.19</v>
      </c>
      <c r="BW266" s="49">
        <v>1004.96</v>
      </c>
      <c r="BX266" s="49">
        <v>1140.6099999999999</v>
      </c>
      <c r="BY266" s="50">
        <f t="shared" si="92"/>
        <v>4109.76</v>
      </c>
      <c r="BZ266" s="182">
        <v>740.43</v>
      </c>
      <c r="CA266" s="99">
        <v>4338.63</v>
      </c>
      <c r="CB266" s="99">
        <v>2347.54</v>
      </c>
      <c r="CC266" s="98">
        <f t="shared" si="93"/>
        <v>7426.6</v>
      </c>
      <c r="CD266" s="182">
        <v>966.62</v>
      </c>
      <c r="CE266" s="99">
        <v>1185.71</v>
      </c>
      <c r="CF266" s="99">
        <v>4108.2800000000007</v>
      </c>
      <c r="CG266" s="98">
        <f t="shared" si="94"/>
        <v>6260.6100000000006</v>
      </c>
      <c r="CH266" s="191">
        <v>1033.76</v>
      </c>
      <c r="CI266" s="192">
        <v>629.29</v>
      </c>
      <c r="CJ266" s="192">
        <v>4170</v>
      </c>
      <c r="CK266" s="98">
        <f t="shared" si="95"/>
        <v>5833.05</v>
      </c>
      <c r="CL266" s="111"/>
      <c r="CM266" s="111"/>
      <c r="CN266" s="111"/>
      <c r="CO266" s="112"/>
      <c r="CP266" s="191"/>
      <c r="CQ266" s="192"/>
      <c r="CR266" s="192"/>
      <c r="CS266" s="151"/>
      <c r="CT266" s="111"/>
      <c r="CU266" s="111"/>
      <c r="CV266" s="111"/>
      <c r="CW266" s="112"/>
      <c r="CX266" s="192"/>
      <c r="CY266" s="192"/>
      <c r="CZ266" s="192"/>
      <c r="DA266" s="151"/>
      <c r="DB266" s="10"/>
      <c r="DC266" s="10"/>
      <c r="DD266" s="10"/>
      <c r="DE266" s="151"/>
      <c r="DF266" s="192"/>
      <c r="DG266" s="192"/>
      <c r="DH266" s="192"/>
      <c r="DI266" s="151"/>
      <c r="DJ266" s="1"/>
      <c r="DK266" s="225">
        <v>852.59</v>
      </c>
      <c r="DL266" s="225"/>
      <c r="DM266" s="225"/>
      <c r="DN266" s="225">
        <v>968.63</v>
      </c>
      <c r="DO266" s="225"/>
      <c r="DP266" s="225">
        <v>908.4</v>
      </c>
      <c r="DQ266" s="225"/>
      <c r="DR266" s="225"/>
      <c r="DS266" s="225"/>
      <c r="DT266" s="225"/>
      <c r="DU266" s="225"/>
      <c r="DV266" s="225"/>
      <c r="DW266" s="1"/>
      <c r="EJ266" s="1"/>
      <c r="EK266" s="17">
        <v>2</v>
      </c>
      <c r="EL266" s="17"/>
      <c r="EM266" s="17"/>
      <c r="EN266" s="17">
        <v>2</v>
      </c>
      <c r="EO266" s="17"/>
      <c r="EP266" s="17">
        <v>2</v>
      </c>
      <c r="EQ266" s="17"/>
      <c r="ER266" s="17"/>
      <c r="ES266" s="17"/>
      <c r="EU266" s="17"/>
      <c r="EW266" s="1"/>
      <c r="EX266" s="225">
        <v>852.59</v>
      </c>
      <c r="EY266" s="225"/>
      <c r="EZ266" s="225"/>
      <c r="FA266" s="225">
        <v>954.21</v>
      </c>
      <c r="FB266" s="225"/>
      <c r="FC266" s="225">
        <v>908.4</v>
      </c>
      <c r="FD266" s="225"/>
      <c r="FE266" s="225"/>
      <c r="FF266" s="225"/>
      <c r="FG266" s="10"/>
      <c r="FH266" s="225"/>
      <c r="FI266" s="10"/>
      <c r="FJ266" s="1"/>
      <c r="FK266" s="225"/>
      <c r="FL266" s="225">
        <v>-396.7</v>
      </c>
      <c r="FM266" s="225"/>
      <c r="FN266" s="225"/>
      <c r="FO266" s="225"/>
      <c r="FP266" s="225"/>
      <c r="FQ266" s="225"/>
      <c r="FR266" s="225"/>
      <c r="FS266" s="225"/>
      <c r="FT266" s="191"/>
      <c r="FU266" s="225"/>
      <c r="FV266" s="151"/>
    </row>
    <row r="267" spans="1:178" ht="16" thickBot="1" x14ac:dyDescent="0.25">
      <c r="A267" s="27" t="s">
        <v>82</v>
      </c>
      <c r="B267" t="s">
        <v>141</v>
      </c>
      <c r="C267" s="1"/>
      <c r="D267">
        <v>6</v>
      </c>
      <c r="E267" s="17">
        <v>5</v>
      </c>
      <c r="F267" s="241">
        <v>4</v>
      </c>
      <c r="G267" s="87">
        <v>3</v>
      </c>
      <c r="H267" s="87">
        <v>6</v>
      </c>
      <c r="I267" s="87">
        <v>5</v>
      </c>
      <c r="J267" s="17"/>
      <c r="K267" s="17"/>
      <c r="L267" s="17"/>
      <c r="M267" s="17"/>
      <c r="N267" s="17"/>
      <c r="O267" s="17"/>
      <c r="P267" s="1"/>
      <c r="Q267" s="48">
        <v>579.45000000000005</v>
      </c>
      <c r="R267" s="49">
        <v>121.6</v>
      </c>
      <c r="S267" s="49">
        <v>312.10000000000002</v>
      </c>
      <c r="T267" s="50">
        <f t="shared" si="84"/>
        <v>1013.1500000000001</v>
      </c>
      <c r="U267" s="48">
        <v>68.180000000000007</v>
      </c>
      <c r="V267" s="49">
        <v>0</v>
      </c>
      <c r="W267" s="49">
        <v>520.24</v>
      </c>
      <c r="X267" s="50">
        <f t="shared" si="85"/>
        <v>588.42000000000007</v>
      </c>
      <c r="Y267" s="48">
        <v>3.31</v>
      </c>
      <c r="Z267" s="49">
        <v>363.9</v>
      </c>
      <c r="AA267" s="49">
        <v>556.33000000000004</v>
      </c>
      <c r="AB267" s="50">
        <f t="shared" si="86"/>
        <v>923.54</v>
      </c>
      <c r="AC267" s="164"/>
      <c r="AD267" s="166">
        <v>367.39</v>
      </c>
      <c r="AE267" s="165">
        <v>649.4</v>
      </c>
      <c r="AF267" s="151">
        <f t="shared" si="87"/>
        <v>1016.79</v>
      </c>
      <c r="AG267" s="191">
        <v>266.57</v>
      </c>
      <c r="AH267" s="10">
        <v>296.10000000000002</v>
      </c>
      <c r="AI267" s="10">
        <v>220.57</v>
      </c>
      <c r="AJ267" s="151">
        <f t="shared" si="88"/>
        <v>783.24</v>
      </c>
      <c r="AK267" s="100">
        <v>991.68</v>
      </c>
      <c r="AL267" s="99">
        <v>420.11</v>
      </c>
      <c r="AM267" s="100">
        <v>235.23</v>
      </c>
      <c r="AN267" s="151">
        <f t="shared" si="89"/>
        <v>1647.02</v>
      </c>
      <c r="AO267" s="191"/>
      <c r="AP267" s="10"/>
      <c r="AQ267" s="10"/>
      <c r="AR267" s="151"/>
      <c r="AS267" s="191"/>
      <c r="AT267" s="192"/>
      <c r="AU267" s="192"/>
      <c r="AV267" s="151"/>
      <c r="AW267" s="192"/>
      <c r="AX267" s="192"/>
      <c r="AY267" s="192"/>
      <c r="AZ267" s="151"/>
      <c r="BA267" s="10"/>
      <c r="BB267" s="10"/>
      <c r="BC267" s="10"/>
      <c r="BD267" s="151"/>
      <c r="BE267" s="191"/>
      <c r="BF267" s="10"/>
      <c r="BG267" s="10"/>
      <c r="BH267" s="151"/>
      <c r="BI267" s="191"/>
      <c r="BJ267" s="10"/>
      <c r="BK267" s="10"/>
      <c r="BL267" s="151"/>
      <c r="BM267" s="1"/>
      <c r="BN267" s="48"/>
      <c r="BO267" s="49"/>
      <c r="BP267" s="49">
        <v>150.57</v>
      </c>
      <c r="BQ267" s="50">
        <f t="shared" si="90"/>
        <v>150.57</v>
      </c>
      <c r="BR267" s="48"/>
      <c r="BS267" s="49"/>
      <c r="BT267" s="49">
        <v>150.57</v>
      </c>
      <c r="BU267" s="50">
        <f t="shared" si="91"/>
        <v>150.57</v>
      </c>
      <c r="BV267" s="48"/>
      <c r="BW267" s="49"/>
      <c r="BX267" s="49">
        <v>365.23</v>
      </c>
      <c r="BY267" s="50">
        <f t="shared" si="92"/>
        <v>365.23</v>
      </c>
      <c r="BZ267" s="183"/>
      <c r="CA267" s="266"/>
      <c r="CB267" s="266"/>
      <c r="CC267" s="98">
        <f t="shared" si="93"/>
        <v>0</v>
      </c>
      <c r="CD267" s="182">
        <v>222.79</v>
      </c>
      <c r="CE267" s="266"/>
      <c r="CF267" s="266">
        <v>0</v>
      </c>
      <c r="CG267" s="98">
        <f t="shared" si="94"/>
        <v>222.79</v>
      </c>
      <c r="CH267" s="191"/>
      <c r="CI267" s="192">
        <v>319.86</v>
      </c>
      <c r="CJ267" s="192">
        <v>0</v>
      </c>
      <c r="CK267" s="98">
        <f t="shared" si="95"/>
        <v>319.86</v>
      </c>
      <c r="CL267" s="111"/>
      <c r="CM267" s="111"/>
      <c r="CN267" s="111"/>
      <c r="CO267" s="112"/>
      <c r="CP267" s="191"/>
      <c r="CQ267" s="192"/>
      <c r="CR267" s="192"/>
      <c r="CS267" s="151"/>
      <c r="CT267" s="111"/>
      <c r="CU267" s="111"/>
      <c r="CV267" s="111"/>
      <c r="CW267" s="112"/>
      <c r="CX267" s="192"/>
      <c r="CY267" s="192"/>
      <c r="CZ267" s="192"/>
      <c r="DA267" s="151"/>
      <c r="DB267" s="10"/>
      <c r="DC267" s="10"/>
      <c r="DD267" s="10"/>
      <c r="DE267" s="151"/>
      <c r="DF267" s="192"/>
      <c r="DG267" s="192"/>
      <c r="DH267" s="192"/>
      <c r="DI267" s="151"/>
      <c r="DJ267" s="1"/>
      <c r="DK267" s="225"/>
      <c r="DL267" s="225"/>
      <c r="DM267" s="225"/>
      <c r="DN267" s="225"/>
      <c r="DO267" s="225"/>
      <c r="DP267" s="225"/>
      <c r="DQ267" s="225"/>
      <c r="DR267" s="225"/>
      <c r="DS267" s="225"/>
      <c r="DT267" s="225"/>
      <c r="DU267" s="225"/>
      <c r="DV267" s="225"/>
      <c r="DW267" s="1"/>
      <c r="EJ267" s="1"/>
      <c r="EK267" s="17"/>
      <c r="EL267" s="17"/>
      <c r="EM267" s="17"/>
      <c r="EN267" s="17"/>
      <c r="EO267" s="17"/>
      <c r="EP267" s="17"/>
      <c r="EQ267" s="17"/>
      <c r="ER267" s="17"/>
      <c r="ES267" s="17"/>
      <c r="EU267" s="17"/>
      <c r="EW267" s="1"/>
      <c r="EX267" s="225"/>
      <c r="EY267" s="225"/>
      <c r="EZ267" s="225"/>
      <c r="FA267" s="225"/>
      <c r="FB267" s="225"/>
      <c r="FC267" s="225"/>
      <c r="FD267" s="225"/>
      <c r="FE267" s="225"/>
      <c r="FF267" s="225"/>
      <c r="FG267" s="10"/>
      <c r="FH267" s="225"/>
      <c r="FI267" s="10"/>
      <c r="FJ267" s="1"/>
      <c r="FK267" s="225"/>
      <c r="FL267" s="225"/>
      <c r="FM267" s="225"/>
      <c r="FN267" s="225"/>
      <c r="FO267" s="225"/>
      <c r="FP267" s="225"/>
      <c r="FQ267" s="225"/>
      <c r="FR267" s="225"/>
      <c r="FS267" s="225"/>
      <c r="FT267" s="191"/>
      <c r="FU267" s="225"/>
      <c r="FV267" s="151"/>
    </row>
    <row r="268" spans="1:178" ht="16" thickBot="1" x14ac:dyDescent="0.25">
      <c r="A268" s="27" t="s">
        <v>83</v>
      </c>
      <c r="B268" t="s">
        <v>141</v>
      </c>
      <c r="C268" s="1"/>
      <c r="D268">
        <v>27</v>
      </c>
      <c r="E268" s="17">
        <v>26</v>
      </c>
      <c r="F268" s="241">
        <v>27</v>
      </c>
      <c r="G268" s="87">
        <v>28</v>
      </c>
      <c r="H268" s="87">
        <v>26</v>
      </c>
      <c r="I268" s="87">
        <v>27</v>
      </c>
      <c r="J268" s="17"/>
      <c r="K268" s="17"/>
      <c r="L268" s="17"/>
      <c r="M268" s="17"/>
      <c r="N268" s="17"/>
      <c r="O268" s="17"/>
      <c r="P268" s="1"/>
      <c r="Q268" s="48">
        <v>2721.79</v>
      </c>
      <c r="R268" s="49">
        <v>1483.56</v>
      </c>
      <c r="S268" s="49">
        <v>2395.6999999999998</v>
      </c>
      <c r="T268" s="50">
        <f t="shared" si="84"/>
        <v>6601.05</v>
      </c>
      <c r="U268" s="48">
        <v>3306.63</v>
      </c>
      <c r="V268" s="49">
        <v>1945.67</v>
      </c>
      <c r="W268" s="49">
        <v>2246.34</v>
      </c>
      <c r="X268" s="50">
        <f t="shared" si="85"/>
        <v>7498.64</v>
      </c>
      <c r="Y268" s="48">
        <v>3196.89</v>
      </c>
      <c r="Z268" s="49">
        <v>2371.2600000000002</v>
      </c>
      <c r="AA268" s="49">
        <v>4472.76</v>
      </c>
      <c r="AB268" s="50">
        <f t="shared" si="86"/>
        <v>10040.91</v>
      </c>
      <c r="AC268" s="164">
        <v>2649.66</v>
      </c>
      <c r="AD268" s="165">
        <v>2552</v>
      </c>
      <c r="AE268" s="165">
        <v>2763.25</v>
      </c>
      <c r="AF268" s="151">
        <f t="shared" si="87"/>
        <v>7964.91</v>
      </c>
      <c r="AG268" s="191">
        <v>1929.43</v>
      </c>
      <c r="AH268" s="10">
        <v>530.17999999999995</v>
      </c>
      <c r="AI268" s="10">
        <v>7024.42</v>
      </c>
      <c r="AJ268" s="151">
        <f t="shared" si="88"/>
        <v>9484.0300000000007</v>
      </c>
      <c r="AK268" s="99">
        <v>1047.8399999999999</v>
      </c>
      <c r="AL268" s="99">
        <v>818.25</v>
      </c>
      <c r="AM268" s="99">
        <v>4168.0599999999995</v>
      </c>
      <c r="AN268" s="151">
        <f t="shared" si="89"/>
        <v>6034.15</v>
      </c>
      <c r="AO268" s="191"/>
      <c r="AP268" s="10"/>
      <c r="AQ268" s="10"/>
      <c r="AR268" s="151"/>
      <c r="AS268" s="191"/>
      <c r="AT268" s="192"/>
      <c r="AU268" s="192"/>
      <c r="AV268" s="151"/>
      <c r="AW268" s="192"/>
      <c r="AX268" s="192"/>
      <c r="AY268" s="192"/>
      <c r="AZ268" s="151"/>
      <c r="BA268" s="10"/>
      <c r="BB268" s="10"/>
      <c r="BC268" s="10"/>
      <c r="BD268" s="151"/>
      <c r="BE268" s="191"/>
      <c r="BF268" s="10"/>
      <c r="BG268" s="10"/>
      <c r="BH268" s="151"/>
      <c r="BI268" s="191"/>
      <c r="BJ268" s="10"/>
      <c r="BK268" s="10"/>
      <c r="BL268" s="151"/>
      <c r="BM268" s="1"/>
      <c r="BN268" s="48">
        <v>490.84</v>
      </c>
      <c r="BO268" s="49">
        <v>374.4</v>
      </c>
      <c r="BP268" s="49">
        <v>1766.81</v>
      </c>
      <c r="BQ268" s="50">
        <f t="shared" si="90"/>
        <v>2632.05</v>
      </c>
      <c r="BR268" s="48">
        <v>340.81</v>
      </c>
      <c r="BS268" s="49">
        <v>250.82</v>
      </c>
      <c r="BT268" s="49">
        <v>2044.7099999999998</v>
      </c>
      <c r="BU268" s="50">
        <f t="shared" si="91"/>
        <v>2636.3399999999997</v>
      </c>
      <c r="BV268" s="48">
        <v>558.75</v>
      </c>
      <c r="BW268" s="49">
        <v>500.83</v>
      </c>
      <c r="BX268" s="49">
        <v>1995.18</v>
      </c>
      <c r="BY268" s="50">
        <f t="shared" si="92"/>
        <v>3054.76</v>
      </c>
      <c r="BZ268" s="182">
        <v>1065.3399999999999</v>
      </c>
      <c r="CA268" s="266">
        <v>2747.24</v>
      </c>
      <c r="CB268" s="99">
        <v>2489.44</v>
      </c>
      <c r="CC268" s="98">
        <f t="shared" si="93"/>
        <v>6302.02</v>
      </c>
      <c r="CD268" s="182">
        <v>525.26</v>
      </c>
      <c r="CE268" s="99">
        <v>2296.5</v>
      </c>
      <c r="CF268" s="99">
        <v>5160</v>
      </c>
      <c r="CG268" s="98">
        <f t="shared" si="94"/>
        <v>7981.76</v>
      </c>
      <c r="CH268" s="191">
        <v>246.64</v>
      </c>
      <c r="CI268" s="192">
        <v>5814.29</v>
      </c>
      <c r="CJ268" s="192">
        <v>3001.03</v>
      </c>
      <c r="CK268" s="98">
        <f t="shared" si="95"/>
        <v>9061.9600000000009</v>
      </c>
      <c r="CL268" s="111"/>
      <c r="CM268" s="111"/>
      <c r="CN268" s="111"/>
      <c r="CO268" s="112"/>
      <c r="CP268" s="191"/>
      <c r="CQ268" s="192"/>
      <c r="CR268" s="192"/>
      <c r="CS268" s="151"/>
      <c r="CT268" s="111"/>
      <c r="CU268" s="111"/>
      <c r="CV268" s="111"/>
      <c r="CW268" s="112"/>
      <c r="CX268" s="192"/>
      <c r="CY268" s="192"/>
      <c r="CZ268" s="192"/>
      <c r="DA268" s="151"/>
      <c r="DB268" s="10"/>
      <c r="DC268" s="10"/>
      <c r="DD268" s="10"/>
      <c r="DE268" s="151"/>
      <c r="DF268" s="192"/>
      <c r="DG268" s="192"/>
      <c r="DH268" s="192"/>
      <c r="DI268" s="151"/>
      <c r="DJ268" s="1"/>
      <c r="DK268" s="225"/>
      <c r="DL268" s="225">
        <v>132.06</v>
      </c>
      <c r="DM268" s="225"/>
      <c r="DN268" s="225"/>
      <c r="DO268" s="225"/>
      <c r="DP268" s="225">
        <v>965.09</v>
      </c>
      <c r="DQ268" s="225"/>
      <c r="DR268" s="225"/>
      <c r="DS268" s="225"/>
      <c r="DT268" s="225"/>
      <c r="DU268" s="225"/>
      <c r="DV268" s="225"/>
      <c r="DW268" s="1"/>
      <c r="EJ268" s="1"/>
      <c r="EK268" s="17"/>
      <c r="EL268" s="17">
        <v>1</v>
      </c>
      <c r="EM268" s="17"/>
      <c r="EN268" s="17"/>
      <c r="EO268" s="17"/>
      <c r="EP268" s="17">
        <v>1</v>
      </c>
      <c r="EQ268" s="17"/>
      <c r="ER268" s="17"/>
      <c r="ES268" s="17"/>
      <c r="EU268" s="17"/>
      <c r="EW268" s="1"/>
      <c r="EX268" s="225"/>
      <c r="EY268" s="225">
        <v>132.06</v>
      </c>
      <c r="EZ268" s="225"/>
      <c r="FA268" s="225"/>
      <c r="FB268" s="225"/>
      <c r="FC268" s="225">
        <v>965.09</v>
      </c>
      <c r="FD268" s="225"/>
      <c r="FE268" s="225"/>
      <c r="FF268" s="225"/>
      <c r="FG268" s="10"/>
      <c r="FH268" s="225"/>
      <c r="FI268" s="10"/>
      <c r="FJ268" s="1"/>
      <c r="FK268" s="225"/>
      <c r="FL268" s="225"/>
      <c r="FM268" s="225"/>
      <c r="FN268" s="225"/>
      <c r="FO268" s="225"/>
      <c r="FP268" s="225"/>
      <c r="FQ268" s="225"/>
      <c r="FR268" s="225"/>
      <c r="FS268" s="225"/>
      <c r="FT268" s="191"/>
      <c r="FU268" s="225"/>
      <c r="FV268" s="151"/>
    </row>
    <row r="269" spans="1:178" ht="16" thickBot="1" x14ac:dyDescent="0.25">
      <c r="A269" s="27" t="s">
        <v>84</v>
      </c>
      <c r="B269" t="s">
        <v>141</v>
      </c>
      <c r="C269" s="1"/>
      <c r="D269">
        <v>34</v>
      </c>
      <c r="E269" s="17">
        <v>24</v>
      </c>
      <c r="F269" s="241">
        <v>40</v>
      </c>
      <c r="G269" s="87">
        <v>27</v>
      </c>
      <c r="H269" s="87">
        <v>45</v>
      </c>
      <c r="I269" s="87">
        <v>45</v>
      </c>
      <c r="J269" s="17"/>
      <c r="K269" s="17"/>
      <c r="L269" s="17"/>
      <c r="M269" s="17"/>
      <c r="N269" s="17"/>
      <c r="O269" s="17"/>
      <c r="P269" s="1"/>
      <c r="Q269" s="48">
        <v>3192.64</v>
      </c>
      <c r="R269" s="49">
        <v>254.45</v>
      </c>
      <c r="S269" s="49">
        <v>4055.6800000000003</v>
      </c>
      <c r="T269" s="50">
        <f t="shared" si="84"/>
        <v>7502.77</v>
      </c>
      <c r="U269" s="48">
        <v>1884.83</v>
      </c>
      <c r="V269" s="49">
        <v>385.1</v>
      </c>
      <c r="W269" s="49">
        <v>3959.8199999999997</v>
      </c>
      <c r="X269" s="50">
        <f t="shared" si="85"/>
        <v>6229.75</v>
      </c>
      <c r="Y269" s="48">
        <v>3508.79</v>
      </c>
      <c r="Z269" s="49">
        <v>873.51</v>
      </c>
      <c r="AA269" s="49">
        <v>5632.3</v>
      </c>
      <c r="AB269" s="50">
        <f t="shared" si="86"/>
        <v>10014.6</v>
      </c>
      <c r="AC269" s="164">
        <v>657.77</v>
      </c>
      <c r="AD269" s="165">
        <v>1678.49</v>
      </c>
      <c r="AE269" s="165">
        <v>3460.28</v>
      </c>
      <c r="AF269" s="151">
        <f t="shared" si="87"/>
        <v>5796.5400000000009</v>
      </c>
      <c r="AG269" s="191">
        <v>2928.08</v>
      </c>
      <c r="AH269" s="10">
        <v>1756.81</v>
      </c>
      <c r="AI269" s="10">
        <v>3943.91</v>
      </c>
      <c r="AJ269" s="151">
        <f t="shared" si="88"/>
        <v>8628.7999999999993</v>
      </c>
      <c r="AK269" s="99">
        <v>1635.64</v>
      </c>
      <c r="AL269" s="99">
        <v>2163.5</v>
      </c>
      <c r="AM269" s="99">
        <v>5175.88</v>
      </c>
      <c r="AN269" s="151">
        <f t="shared" si="89"/>
        <v>8975.02</v>
      </c>
      <c r="AO269" s="191"/>
      <c r="AP269" s="10"/>
      <c r="AQ269" s="10"/>
      <c r="AR269" s="151"/>
      <c r="AS269" s="191"/>
      <c r="AT269" s="192"/>
      <c r="AU269" s="192"/>
      <c r="AV269" s="151"/>
      <c r="AW269" s="192"/>
      <c r="AX269" s="192"/>
      <c r="AY269" s="192"/>
      <c r="AZ269" s="151"/>
      <c r="BA269" s="10"/>
      <c r="BB269" s="10"/>
      <c r="BC269" s="10"/>
      <c r="BD269" s="151"/>
      <c r="BE269" s="191"/>
      <c r="BF269" s="10"/>
      <c r="BG269" s="10"/>
      <c r="BH269" s="151"/>
      <c r="BI269" s="191"/>
      <c r="BJ269" s="10"/>
      <c r="BK269" s="10"/>
      <c r="BL269" s="151"/>
      <c r="BM269" s="1"/>
      <c r="BN269" s="48">
        <v>1579.37</v>
      </c>
      <c r="BO269" s="49"/>
      <c r="BP269" s="49">
        <v>2377.7800000000002</v>
      </c>
      <c r="BQ269" s="50">
        <f t="shared" si="90"/>
        <v>3957.15</v>
      </c>
      <c r="BR269" s="48">
        <v>502.63</v>
      </c>
      <c r="BS269" s="49">
        <v>43.05</v>
      </c>
      <c r="BT269" s="49">
        <v>2350.4699999999998</v>
      </c>
      <c r="BU269" s="50">
        <f t="shared" si="91"/>
        <v>2896.1499999999996</v>
      </c>
      <c r="BV269" s="48">
        <v>479.7</v>
      </c>
      <c r="BW269" s="49"/>
      <c r="BX269" s="49">
        <v>4303.34</v>
      </c>
      <c r="BY269" s="50">
        <f t="shared" si="92"/>
        <v>4783.04</v>
      </c>
      <c r="BZ269" s="182">
        <v>192.38</v>
      </c>
      <c r="CA269" s="266">
        <v>1319.74</v>
      </c>
      <c r="CB269" s="99">
        <v>2877.7</v>
      </c>
      <c r="CC269" s="98">
        <f t="shared" si="93"/>
        <v>4389.82</v>
      </c>
      <c r="CD269" s="182">
        <v>795</v>
      </c>
      <c r="CE269" s="266">
        <v>2762.32</v>
      </c>
      <c r="CF269" s="99">
        <v>2626.83</v>
      </c>
      <c r="CG269" s="98">
        <f t="shared" si="94"/>
        <v>6184.15</v>
      </c>
      <c r="CH269" s="191">
        <v>676.13</v>
      </c>
      <c r="CI269" s="192">
        <v>1038.57</v>
      </c>
      <c r="CJ269" s="192">
        <v>3094.67</v>
      </c>
      <c r="CK269" s="98">
        <f t="shared" si="95"/>
        <v>4809.37</v>
      </c>
      <c r="CL269" s="111"/>
      <c r="CM269" s="111"/>
      <c r="CN269" s="111"/>
      <c r="CO269" s="112"/>
      <c r="CP269" s="191"/>
      <c r="CQ269" s="192"/>
      <c r="CR269" s="192"/>
      <c r="CS269" s="151"/>
      <c r="CT269" s="111"/>
      <c r="CU269" s="111"/>
      <c r="CV269" s="111"/>
      <c r="CW269" s="112"/>
      <c r="CX269" s="192"/>
      <c r="CY269" s="192"/>
      <c r="CZ269" s="192"/>
      <c r="DA269" s="151"/>
      <c r="DB269" s="10"/>
      <c r="DC269" s="10"/>
      <c r="DD269" s="10"/>
      <c r="DE269" s="151"/>
      <c r="DF269" s="192"/>
      <c r="DG269" s="192"/>
      <c r="DH269" s="192"/>
      <c r="DI269" s="151"/>
      <c r="DJ269" s="1"/>
      <c r="DK269" s="225">
        <v>32.880000000000003</v>
      </c>
      <c r="DL269" s="225"/>
      <c r="DM269" s="225"/>
      <c r="DN269" s="225">
        <v>995.48</v>
      </c>
      <c r="DO269" s="225"/>
      <c r="DP269" s="225"/>
      <c r="DQ269" s="225"/>
      <c r="DR269" s="225"/>
      <c r="DS269" s="225"/>
      <c r="DT269" s="225"/>
      <c r="DU269" s="225"/>
      <c r="DV269" s="225"/>
      <c r="DW269" s="1"/>
      <c r="EJ269" s="1"/>
      <c r="EK269" s="17">
        <v>1</v>
      </c>
      <c r="EL269" s="17"/>
      <c r="EM269" s="17"/>
      <c r="EN269" s="17">
        <v>2</v>
      </c>
      <c r="EO269" s="17"/>
      <c r="EP269" s="17"/>
      <c r="EQ269" s="17"/>
      <c r="ER269" s="17"/>
      <c r="ES269" s="17"/>
      <c r="EU269" s="17"/>
      <c r="EW269" s="1"/>
      <c r="EX269" s="225">
        <v>32.880000000000003</v>
      </c>
      <c r="EY269" s="225"/>
      <c r="EZ269" s="225"/>
      <c r="FA269" s="225">
        <v>995.48</v>
      </c>
      <c r="FB269" s="225"/>
      <c r="FC269" s="225"/>
      <c r="FD269" s="225"/>
      <c r="FE269" s="225"/>
      <c r="FF269" s="225"/>
      <c r="FG269" s="10"/>
      <c r="FH269" s="225"/>
      <c r="FI269" s="10"/>
      <c r="FJ269" s="1"/>
      <c r="FK269" s="225"/>
      <c r="FL269" s="225">
        <v>-32.880000000000003</v>
      </c>
      <c r="FM269" s="225"/>
      <c r="FN269" s="225"/>
      <c r="FO269" s="225"/>
      <c r="FP269" s="225"/>
      <c r="FQ269" s="225"/>
      <c r="FR269" s="225"/>
      <c r="FS269" s="225"/>
      <c r="FT269" s="191"/>
      <c r="FU269" s="225"/>
      <c r="FV269" s="151"/>
    </row>
    <row r="270" spans="1:178" ht="16" thickBot="1" x14ac:dyDescent="0.25">
      <c r="A270" s="27" t="s">
        <v>85</v>
      </c>
      <c r="B270" t="s">
        <v>141</v>
      </c>
      <c r="C270" s="1"/>
      <c r="D270">
        <v>134</v>
      </c>
      <c r="E270" s="17">
        <v>103</v>
      </c>
      <c r="F270" s="241">
        <v>128</v>
      </c>
      <c r="G270" s="87">
        <v>152</v>
      </c>
      <c r="H270" s="87">
        <v>156</v>
      </c>
      <c r="I270" s="87">
        <v>148</v>
      </c>
      <c r="J270" s="17"/>
      <c r="K270" s="17"/>
      <c r="L270" s="17"/>
      <c r="M270" s="17"/>
      <c r="N270" s="17"/>
      <c r="O270" s="17"/>
      <c r="P270" s="1"/>
      <c r="Q270" s="48">
        <v>9665.67</v>
      </c>
      <c r="R270" s="49">
        <v>6624.39</v>
      </c>
      <c r="S270" s="49">
        <v>13320.95</v>
      </c>
      <c r="T270" s="50">
        <f t="shared" si="84"/>
        <v>29611.010000000002</v>
      </c>
      <c r="U270" s="48">
        <v>7359.66</v>
      </c>
      <c r="V270" s="49">
        <v>7236.1</v>
      </c>
      <c r="W270" s="49">
        <v>11272.27</v>
      </c>
      <c r="X270" s="50">
        <f t="shared" si="85"/>
        <v>25868.03</v>
      </c>
      <c r="Y270" s="48">
        <v>13899.26</v>
      </c>
      <c r="Z270" s="49">
        <v>6574.32</v>
      </c>
      <c r="AA270" s="49">
        <v>11127.67</v>
      </c>
      <c r="AB270" s="50">
        <f t="shared" si="86"/>
        <v>31601.25</v>
      </c>
      <c r="AC270" s="164">
        <v>12334.61</v>
      </c>
      <c r="AD270" s="165">
        <v>10654.75</v>
      </c>
      <c r="AE270" s="165">
        <v>9209.01</v>
      </c>
      <c r="AF270" s="151">
        <f t="shared" si="87"/>
        <v>32198.370000000003</v>
      </c>
      <c r="AG270" s="191">
        <v>11750.5</v>
      </c>
      <c r="AH270" s="10">
        <v>9179.41</v>
      </c>
      <c r="AI270" s="10">
        <v>14546.99</v>
      </c>
      <c r="AJ270" s="151">
        <f t="shared" si="88"/>
        <v>35476.9</v>
      </c>
      <c r="AK270" s="99">
        <v>7048.79</v>
      </c>
      <c r="AL270" s="99">
        <v>10210.39</v>
      </c>
      <c r="AM270" s="99">
        <v>12590.04</v>
      </c>
      <c r="AN270" s="151">
        <f t="shared" si="89"/>
        <v>29849.22</v>
      </c>
      <c r="AO270" s="191"/>
      <c r="AP270" s="10"/>
      <c r="AQ270" s="10"/>
      <c r="AR270" s="151"/>
      <c r="AS270" s="191"/>
      <c r="AT270" s="192"/>
      <c r="AU270" s="192"/>
      <c r="AV270" s="151"/>
      <c r="AW270" s="192"/>
      <c r="AX270" s="192"/>
      <c r="AY270" s="192"/>
      <c r="AZ270" s="151"/>
      <c r="BA270" s="10"/>
      <c r="BB270" s="10"/>
      <c r="BC270" s="10"/>
      <c r="BD270" s="151"/>
      <c r="BE270" s="191"/>
      <c r="BF270" s="10"/>
      <c r="BG270" s="10"/>
      <c r="BH270" s="151"/>
      <c r="BI270" s="191"/>
      <c r="BJ270" s="10"/>
      <c r="BK270" s="10"/>
      <c r="BL270" s="151"/>
      <c r="BM270" s="1"/>
      <c r="BN270" s="48">
        <v>1331.71</v>
      </c>
      <c r="BO270" s="49">
        <v>720.83</v>
      </c>
      <c r="BP270" s="49">
        <v>6189.55</v>
      </c>
      <c r="BQ270" s="50">
        <f t="shared" si="90"/>
        <v>8242.09</v>
      </c>
      <c r="BR270" s="48">
        <v>868.6</v>
      </c>
      <c r="BS270" s="49">
        <v>2465.04</v>
      </c>
      <c r="BT270" s="49">
        <v>2336.6299999999997</v>
      </c>
      <c r="BU270" s="50">
        <f t="shared" si="91"/>
        <v>5670.2699999999995</v>
      </c>
      <c r="BV270" s="48">
        <v>3581.82</v>
      </c>
      <c r="BW270" s="49">
        <v>1088.31</v>
      </c>
      <c r="BX270" s="49">
        <v>3042</v>
      </c>
      <c r="BY270" s="50">
        <f t="shared" si="92"/>
        <v>7712.13</v>
      </c>
      <c r="BZ270" s="182">
        <v>5325.54</v>
      </c>
      <c r="CA270" s="99">
        <v>14679.66</v>
      </c>
      <c r="CB270" s="99">
        <v>4914.58</v>
      </c>
      <c r="CC270" s="98">
        <f t="shared" si="93"/>
        <v>24919.78</v>
      </c>
      <c r="CD270" s="182">
        <v>3657.68</v>
      </c>
      <c r="CE270" s="99">
        <v>11237.22</v>
      </c>
      <c r="CF270" s="99">
        <v>10298.209999999999</v>
      </c>
      <c r="CG270" s="98">
        <f t="shared" si="94"/>
        <v>25193.11</v>
      </c>
      <c r="CH270" s="191">
        <v>3036.27</v>
      </c>
      <c r="CI270" s="192">
        <v>8997.98</v>
      </c>
      <c r="CJ270" s="192">
        <v>8538.25</v>
      </c>
      <c r="CK270" s="98">
        <f t="shared" si="95"/>
        <v>20572.5</v>
      </c>
      <c r="CL270" s="111"/>
      <c r="CM270" s="111"/>
      <c r="CN270" s="111"/>
      <c r="CO270" s="112"/>
      <c r="CP270" s="191"/>
      <c r="CQ270" s="192"/>
      <c r="CR270" s="192"/>
      <c r="CS270" s="151"/>
      <c r="CT270" s="111"/>
      <c r="CU270" s="111"/>
      <c r="CV270" s="111"/>
      <c r="CW270" s="112"/>
      <c r="CX270" s="192"/>
      <c r="CY270" s="192"/>
      <c r="CZ270" s="192"/>
      <c r="DA270" s="151"/>
      <c r="DB270" s="10"/>
      <c r="DC270" s="10"/>
      <c r="DD270" s="10"/>
      <c r="DE270" s="151"/>
      <c r="DF270" s="192"/>
      <c r="DG270" s="192"/>
      <c r="DH270" s="192"/>
      <c r="DI270" s="151"/>
      <c r="DJ270" s="1"/>
      <c r="DK270" s="225">
        <v>1038.44</v>
      </c>
      <c r="DL270" s="225"/>
      <c r="DM270" s="225">
        <v>1308.9100000000001</v>
      </c>
      <c r="DN270" s="225">
        <v>1176.4100000000001</v>
      </c>
      <c r="DO270" s="225">
        <v>1281.82</v>
      </c>
      <c r="DP270" s="225">
        <v>2545.5300000000002</v>
      </c>
      <c r="DQ270" s="225"/>
      <c r="DR270" s="225"/>
      <c r="DS270" s="225"/>
      <c r="DT270" s="225"/>
      <c r="DU270" s="225"/>
      <c r="DV270" s="225"/>
      <c r="DW270" s="1"/>
      <c r="EJ270" s="1"/>
      <c r="EK270" s="17">
        <v>3</v>
      </c>
      <c r="EL270" s="17"/>
      <c r="EM270" s="17">
        <v>4</v>
      </c>
      <c r="EN270" s="17">
        <v>3</v>
      </c>
      <c r="EO270" s="17">
        <v>1</v>
      </c>
      <c r="EP270" s="17">
        <v>6</v>
      </c>
      <c r="EQ270" s="17"/>
      <c r="ER270" s="17"/>
      <c r="ES270" s="17"/>
      <c r="EU270" s="17"/>
      <c r="EW270" s="1"/>
      <c r="EX270" s="225">
        <v>1038.44</v>
      </c>
      <c r="EY270" s="225"/>
      <c r="EZ270" s="225">
        <v>1308.9100000000001</v>
      </c>
      <c r="FA270" s="225">
        <v>1176.4100000000001</v>
      </c>
      <c r="FB270" s="225">
        <v>1281.82</v>
      </c>
      <c r="FC270" s="225">
        <v>2531.52</v>
      </c>
      <c r="FD270" s="225"/>
      <c r="FE270" s="225"/>
      <c r="FF270" s="225"/>
      <c r="FG270" s="10"/>
      <c r="FH270" s="225"/>
      <c r="FI270" s="10"/>
      <c r="FJ270" s="1"/>
      <c r="FK270" s="225"/>
      <c r="FL270" s="225"/>
      <c r="FM270" s="225"/>
      <c r="FN270" s="225"/>
      <c r="FO270" s="225">
        <v>-636.76</v>
      </c>
      <c r="FP270" s="225"/>
      <c r="FQ270" s="225"/>
      <c r="FR270" s="225"/>
      <c r="FS270" s="225"/>
      <c r="FT270" s="191"/>
      <c r="FU270" s="225"/>
      <c r="FV270" s="151"/>
    </row>
    <row r="271" spans="1:178" ht="16" thickBot="1" x14ac:dyDescent="0.25">
      <c r="A271" s="27" t="s">
        <v>86</v>
      </c>
      <c r="B271" t="s">
        <v>141</v>
      </c>
      <c r="C271" s="1"/>
      <c r="D271">
        <v>250</v>
      </c>
      <c r="E271" s="17">
        <v>255</v>
      </c>
      <c r="F271" s="241">
        <v>316</v>
      </c>
      <c r="G271" s="87">
        <v>291</v>
      </c>
      <c r="H271" s="87">
        <v>352</v>
      </c>
      <c r="I271" s="87">
        <v>318</v>
      </c>
      <c r="J271" s="17"/>
      <c r="K271" s="17"/>
      <c r="L271" s="17"/>
      <c r="M271" s="17"/>
      <c r="N271" s="17"/>
      <c r="O271" s="17"/>
      <c r="P271" s="1"/>
      <c r="Q271" s="48">
        <v>26573.41</v>
      </c>
      <c r="R271" s="49">
        <v>15389.91</v>
      </c>
      <c r="S271" s="49">
        <v>9776.35</v>
      </c>
      <c r="T271" s="50">
        <f t="shared" si="84"/>
        <v>51739.67</v>
      </c>
      <c r="U271" s="48">
        <v>26159.15</v>
      </c>
      <c r="V271" s="49">
        <v>15700.2</v>
      </c>
      <c r="W271" s="49">
        <v>12793.5</v>
      </c>
      <c r="X271" s="50">
        <f t="shared" si="85"/>
        <v>54652.850000000006</v>
      </c>
      <c r="Y271" s="48">
        <v>42506.31</v>
      </c>
      <c r="Z271" s="49">
        <v>20131.84</v>
      </c>
      <c r="AA271" s="49">
        <v>16000.1</v>
      </c>
      <c r="AB271" s="50">
        <f t="shared" si="86"/>
        <v>78638.25</v>
      </c>
      <c r="AC271" s="164">
        <v>29483.43</v>
      </c>
      <c r="AD271" s="165">
        <v>16351.57</v>
      </c>
      <c r="AE271" s="165">
        <v>17266.13</v>
      </c>
      <c r="AF271" s="151">
        <f t="shared" si="87"/>
        <v>63101.130000000005</v>
      </c>
      <c r="AG271" s="191">
        <v>28977.43</v>
      </c>
      <c r="AH271" s="10">
        <v>17200.28</v>
      </c>
      <c r="AI271" s="10">
        <v>19198.53</v>
      </c>
      <c r="AJ271" s="151">
        <f t="shared" si="88"/>
        <v>65376.24</v>
      </c>
      <c r="AK271" s="99">
        <v>18112.07</v>
      </c>
      <c r="AL271" s="99">
        <v>18272.32</v>
      </c>
      <c r="AM271" s="99">
        <v>21529.75</v>
      </c>
      <c r="AN271" s="151">
        <f t="shared" si="89"/>
        <v>57914.14</v>
      </c>
      <c r="AO271" s="191"/>
      <c r="AP271" s="10"/>
      <c r="AQ271" s="10"/>
      <c r="AR271" s="151"/>
      <c r="AS271" s="191"/>
      <c r="AT271" s="192"/>
      <c r="AU271" s="192"/>
      <c r="AV271" s="151"/>
      <c r="AW271" s="192"/>
      <c r="AX271" s="192"/>
      <c r="AY271" s="192"/>
      <c r="AZ271" s="151"/>
      <c r="BA271" s="10"/>
      <c r="BB271" s="10"/>
      <c r="BC271" s="10"/>
      <c r="BD271" s="151"/>
      <c r="BE271" s="191"/>
      <c r="BF271" s="10"/>
      <c r="BG271" s="10"/>
      <c r="BH271" s="151"/>
      <c r="BI271" s="191"/>
      <c r="BJ271" s="10"/>
      <c r="BK271" s="10"/>
      <c r="BL271" s="151"/>
      <c r="BM271" s="1"/>
      <c r="BN271" s="48">
        <v>4439.1000000000004</v>
      </c>
      <c r="BO271" s="49">
        <v>3111.67</v>
      </c>
      <c r="BP271" s="49">
        <v>3706.2200000000003</v>
      </c>
      <c r="BQ271" s="50">
        <f t="shared" si="90"/>
        <v>11256.990000000002</v>
      </c>
      <c r="BR271" s="48">
        <v>3788.84</v>
      </c>
      <c r="BS271" s="49">
        <v>3643.04</v>
      </c>
      <c r="BT271" s="49">
        <v>5344.74</v>
      </c>
      <c r="BU271" s="50">
        <f t="shared" si="91"/>
        <v>12776.619999999999</v>
      </c>
      <c r="BV271" s="48">
        <v>4905.8999999999996</v>
      </c>
      <c r="BW271" s="49">
        <v>4312.9799999999996</v>
      </c>
      <c r="BX271" s="49">
        <v>5936.9400000000005</v>
      </c>
      <c r="BY271" s="50">
        <f t="shared" si="92"/>
        <v>15155.82</v>
      </c>
      <c r="BZ271" s="182">
        <v>7267.87</v>
      </c>
      <c r="CA271" s="99">
        <v>19709.740000000002</v>
      </c>
      <c r="CB271" s="99">
        <v>10536.83</v>
      </c>
      <c r="CC271" s="98">
        <f t="shared" si="93"/>
        <v>37514.44</v>
      </c>
      <c r="CD271" s="182">
        <v>7296.3</v>
      </c>
      <c r="CE271" s="99">
        <v>22309.81</v>
      </c>
      <c r="CF271" s="99">
        <v>10965.56</v>
      </c>
      <c r="CG271" s="98">
        <f t="shared" si="94"/>
        <v>40571.67</v>
      </c>
      <c r="CH271" s="191">
        <v>4611.18</v>
      </c>
      <c r="CI271" s="192">
        <v>18378.5</v>
      </c>
      <c r="CJ271" s="192">
        <v>10818.91</v>
      </c>
      <c r="CK271" s="98">
        <f t="shared" si="95"/>
        <v>33808.589999999997</v>
      </c>
      <c r="CL271" s="111"/>
      <c r="CM271" s="111"/>
      <c r="CN271" s="111"/>
      <c r="CO271" s="112"/>
      <c r="CP271" s="191"/>
      <c r="CQ271" s="192"/>
      <c r="CR271" s="192"/>
      <c r="CS271" s="151"/>
      <c r="CT271" s="111"/>
      <c r="CU271" s="111"/>
      <c r="CV271" s="111"/>
      <c r="CW271" s="112"/>
      <c r="CX271" s="192"/>
      <c r="CY271" s="192"/>
      <c r="CZ271" s="192"/>
      <c r="DA271" s="151"/>
      <c r="DB271" s="10"/>
      <c r="DC271" s="10"/>
      <c r="DD271" s="10"/>
      <c r="DE271" s="151"/>
      <c r="DF271" s="192"/>
      <c r="DG271" s="192"/>
      <c r="DH271" s="192"/>
      <c r="DI271" s="151"/>
      <c r="DJ271" s="1"/>
      <c r="DK271" s="225">
        <v>4986.51</v>
      </c>
      <c r="DL271" s="225">
        <v>1485.26</v>
      </c>
      <c r="DM271" s="225">
        <v>3372.79</v>
      </c>
      <c r="DN271" s="225">
        <v>3226.24</v>
      </c>
      <c r="DO271" s="225">
        <v>7126.67</v>
      </c>
      <c r="DP271" s="225">
        <v>2427.83</v>
      </c>
      <c r="DQ271" s="225"/>
      <c r="DR271" s="225"/>
      <c r="DS271" s="225"/>
      <c r="DT271" s="225"/>
      <c r="DU271" s="225"/>
      <c r="DV271" s="225"/>
      <c r="DW271" s="1"/>
      <c r="EJ271" s="1"/>
      <c r="EK271" s="17">
        <v>9</v>
      </c>
      <c r="EL271" s="17">
        <v>6</v>
      </c>
      <c r="EM271" s="17">
        <v>8</v>
      </c>
      <c r="EN271" s="17">
        <v>10</v>
      </c>
      <c r="EO271" s="17">
        <v>10</v>
      </c>
      <c r="EP271" s="17">
        <v>6</v>
      </c>
      <c r="EQ271" s="17"/>
      <c r="ER271" s="17"/>
      <c r="ES271" s="17"/>
      <c r="EU271" s="17"/>
      <c r="EW271" s="1"/>
      <c r="EX271" s="225">
        <v>4986.51</v>
      </c>
      <c r="EY271" s="225">
        <v>1464.48</v>
      </c>
      <c r="EZ271" s="225">
        <v>3372.79</v>
      </c>
      <c r="FA271" s="225">
        <v>3213.16</v>
      </c>
      <c r="FB271" s="225">
        <v>7116.67</v>
      </c>
      <c r="FC271" s="225">
        <v>2427.83</v>
      </c>
      <c r="FD271" s="225"/>
      <c r="FE271" s="225"/>
      <c r="FF271" s="225"/>
      <c r="FG271" s="10"/>
      <c r="FH271" s="225"/>
      <c r="FI271" s="10"/>
      <c r="FJ271" s="1"/>
      <c r="FK271" s="225">
        <v>-87.87</v>
      </c>
      <c r="FL271" s="225">
        <v>-1092.52</v>
      </c>
      <c r="FM271" s="225">
        <v>-890.73</v>
      </c>
      <c r="FN271" s="225">
        <v>-166.3</v>
      </c>
      <c r="FO271" s="225">
        <v>-860.59</v>
      </c>
      <c r="FP271" s="225">
        <v>-354</v>
      </c>
      <c r="FQ271" s="225"/>
      <c r="FR271" s="225"/>
      <c r="FS271" s="225"/>
      <c r="FT271" s="191"/>
      <c r="FU271" s="225"/>
      <c r="FV271" s="151"/>
    </row>
    <row r="272" spans="1:178" ht="16" thickBot="1" x14ac:dyDescent="0.25">
      <c r="A272" s="27" t="s">
        <v>87</v>
      </c>
      <c r="B272" t="s">
        <v>141</v>
      </c>
      <c r="C272" s="1"/>
      <c r="D272">
        <v>12</v>
      </c>
      <c r="E272" s="17">
        <v>17</v>
      </c>
      <c r="F272" s="241">
        <v>20</v>
      </c>
      <c r="G272" s="87">
        <v>25</v>
      </c>
      <c r="H272" s="87">
        <v>18</v>
      </c>
      <c r="I272" s="87">
        <v>19</v>
      </c>
      <c r="J272" s="17"/>
      <c r="K272" s="17"/>
      <c r="L272" s="17"/>
      <c r="M272" s="17"/>
      <c r="N272" s="17"/>
      <c r="O272" s="17"/>
      <c r="P272" s="1"/>
      <c r="Q272" s="48">
        <v>411.43</v>
      </c>
      <c r="R272" s="49">
        <v>388.04</v>
      </c>
      <c r="S272" s="49">
        <v>1254.73</v>
      </c>
      <c r="T272" s="50">
        <f t="shared" si="84"/>
        <v>2054.1999999999998</v>
      </c>
      <c r="U272" s="48">
        <v>2172.08</v>
      </c>
      <c r="V272" s="49">
        <v>543.74</v>
      </c>
      <c r="W272" s="49">
        <v>1317.03</v>
      </c>
      <c r="X272" s="50">
        <f t="shared" si="85"/>
        <v>4032.8499999999995</v>
      </c>
      <c r="Y272" s="48">
        <v>2351.67</v>
      </c>
      <c r="Z272" s="49">
        <v>835.69</v>
      </c>
      <c r="AA272" s="49">
        <v>3576.25</v>
      </c>
      <c r="AB272" s="50">
        <f t="shared" si="86"/>
        <v>6763.6100000000006</v>
      </c>
      <c r="AC272" s="164">
        <v>2267.7199999999998</v>
      </c>
      <c r="AD272" s="166">
        <v>814.63</v>
      </c>
      <c r="AE272" s="165">
        <v>4322.82</v>
      </c>
      <c r="AF272" s="151">
        <f t="shared" si="87"/>
        <v>7405.17</v>
      </c>
      <c r="AG272" s="191">
        <v>1082.27</v>
      </c>
      <c r="AH272" s="10">
        <v>841.1</v>
      </c>
      <c r="AI272" s="10">
        <v>3609.8500000000004</v>
      </c>
      <c r="AJ272" s="151">
        <f t="shared" si="88"/>
        <v>5533.22</v>
      </c>
      <c r="AK272" s="100">
        <v>1623.04</v>
      </c>
      <c r="AL272" s="99">
        <v>856.57</v>
      </c>
      <c r="AM272" s="99">
        <v>3817.88</v>
      </c>
      <c r="AN272" s="151">
        <f t="shared" si="89"/>
        <v>6297.49</v>
      </c>
      <c r="AO272" s="191"/>
      <c r="AP272" s="10"/>
      <c r="AQ272" s="10"/>
      <c r="AR272" s="151"/>
      <c r="AS272" s="191"/>
      <c r="AT272" s="192"/>
      <c r="AU272" s="192"/>
      <c r="AV272" s="151"/>
      <c r="AW272" s="192"/>
      <c r="AX272" s="192"/>
      <c r="AY272" s="192"/>
      <c r="AZ272" s="151"/>
      <c r="BA272" s="10"/>
      <c r="BB272" s="10"/>
      <c r="BC272" s="10"/>
      <c r="BD272" s="151"/>
      <c r="BE272" s="191"/>
      <c r="BF272" s="10"/>
      <c r="BG272" s="10"/>
      <c r="BH272" s="151"/>
      <c r="BI272" s="191"/>
      <c r="BJ272" s="10"/>
      <c r="BK272" s="10"/>
      <c r="BL272" s="151"/>
      <c r="BM272" s="1"/>
      <c r="BN272" s="48">
        <v>56.6</v>
      </c>
      <c r="BO272" s="49">
        <v>190.06</v>
      </c>
      <c r="BP272" s="49">
        <v>598.42000000000007</v>
      </c>
      <c r="BQ272" s="50">
        <f t="shared" si="90"/>
        <v>845.08</v>
      </c>
      <c r="BR272" s="48">
        <v>522.1</v>
      </c>
      <c r="BS272" s="49">
        <v>247.28</v>
      </c>
      <c r="BT272" s="49">
        <v>400</v>
      </c>
      <c r="BU272" s="50">
        <f t="shared" si="91"/>
        <v>1169.3800000000001</v>
      </c>
      <c r="BV272" s="48">
        <v>673.35</v>
      </c>
      <c r="BW272" s="49">
        <v>235.3</v>
      </c>
      <c r="BX272" s="49">
        <v>2353.8200000000002</v>
      </c>
      <c r="BY272" s="50">
        <f t="shared" si="92"/>
        <v>3262.4700000000003</v>
      </c>
      <c r="BZ272" s="182">
        <v>825.17</v>
      </c>
      <c r="CA272" s="266">
        <v>1837.66</v>
      </c>
      <c r="CB272" s="99">
        <v>2169.4299999999998</v>
      </c>
      <c r="CC272" s="98">
        <f t="shared" si="93"/>
        <v>4832.26</v>
      </c>
      <c r="CD272" s="182">
        <v>884.12</v>
      </c>
      <c r="CE272" s="99">
        <v>2784.33</v>
      </c>
      <c r="CF272" s="99">
        <v>2156.4499999999998</v>
      </c>
      <c r="CG272" s="98">
        <f t="shared" si="94"/>
        <v>5824.9</v>
      </c>
      <c r="CH272" s="191">
        <v>508.44</v>
      </c>
      <c r="CI272" s="192">
        <v>1557.44</v>
      </c>
      <c r="CJ272" s="192">
        <v>3017.4700000000003</v>
      </c>
      <c r="CK272" s="98">
        <f t="shared" si="95"/>
        <v>5083.3500000000004</v>
      </c>
      <c r="CL272" s="111"/>
      <c r="CM272" s="111"/>
      <c r="CN272" s="111"/>
      <c r="CO272" s="112"/>
      <c r="CP272" s="191"/>
      <c r="CQ272" s="192"/>
      <c r="CR272" s="192"/>
      <c r="CS272" s="151"/>
      <c r="CT272" s="111"/>
      <c r="CU272" s="111"/>
      <c r="CV272" s="111"/>
      <c r="CW272" s="112"/>
      <c r="CX272" s="192"/>
      <c r="CY272" s="192"/>
      <c r="CZ272" s="192"/>
      <c r="DA272" s="151"/>
      <c r="DB272" s="10"/>
      <c r="DC272" s="10"/>
      <c r="DD272" s="10"/>
      <c r="DE272" s="151"/>
      <c r="DF272" s="192"/>
      <c r="DG272" s="192"/>
      <c r="DH272" s="192"/>
      <c r="DI272" s="151"/>
      <c r="DJ272" s="1"/>
      <c r="DK272" s="225"/>
      <c r="DL272" s="225"/>
      <c r="DM272" s="225"/>
      <c r="DN272" s="225"/>
      <c r="DO272" s="225"/>
      <c r="DP272" s="225"/>
      <c r="DQ272" s="225"/>
      <c r="DR272" s="225"/>
      <c r="DS272" s="225"/>
      <c r="DT272" s="225"/>
      <c r="DU272" s="225"/>
      <c r="DV272" s="225"/>
      <c r="DW272" s="1"/>
      <c r="EJ272" s="1"/>
      <c r="EK272" s="17"/>
      <c r="EL272" s="17"/>
      <c r="EM272" s="17"/>
      <c r="EN272" s="17"/>
      <c r="EO272" s="17"/>
      <c r="EP272" s="17"/>
      <c r="EQ272" s="17"/>
      <c r="ER272" s="17"/>
      <c r="ES272" s="17"/>
      <c r="EU272" s="17"/>
      <c r="EW272" s="1"/>
      <c r="EX272" s="225"/>
      <c r="EY272" s="225"/>
      <c r="EZ272" s="225"/>
      <c r="FA272" s="225"/>
      <c r="FB272" s="225"/>
      <c r="FC272" s="225"/>
      <c r="FD272" s="225"/>
      <c r="FE272" s="225"/>
      <c r="FF272" s="225"/>
      <c r="FG272" s="10"/>
      <c r="FH272" s="225"/>
      <c r="FI272" s="10"/>
      <c r="FJ272" s="1"/>
      <c r="FK272" s="225"/>
      <c r="FL272" s="225">
        <v>-296.82</v>
      </c>
      <c r="FM272" s="225"/>
      <c r="FN272" s="225"/>
      <c r="FO272" s="225"/>
      <c r="FP272" s="225"/>
      <c r="FQ272" s="225"/>
      <c r="FR272" s="225"/>
      <c r="FS272" s="225"/>
      <c r="FT272" s="191"/>
      <c r="FU272" s="225"/>
      <c r="FV272" s="151"/>
    </row>
    <row r="273" spans="1:178" ht="16" thickBot="1" x14ac:dyDescent="0.25">
      <c r="A273" s="27" t="s">
        <v>88</v>
      </c>
      <c r="B273" t="s">
        <v>141</v>
      </c>
      <c r="C273" s="1"/>
      <c r="D273">
        <v>0</v>
      </c>
      <c r="E273" s="17"/>
      <c r="F273" s="241">
        <v>0</v>
      </c>
      <c r="G273" s="89">
        <v>0</v>
      </c>
      <c r="H273" s="88"/>
      <c r="I273" s="88"/>
      <c r="J273" s="17"/>
      <c r="K273" s="17"/>
      <c r="L273" s="17"/>
      <c r="M273" s="17"/>
      <c r="N273" s="17"/>
      <c r="O273" s="17"/>
      <c r="P273" s="1"/>
      <c r="Q273" s="48">
        <v>0</v>
      </c>
      <c r="R273" s="49">
        <v>0</v>
      </c>
      <c r="S273" s="49">
        <v>0</v>
      </c>
      <c r="T273" s="50">
        <f t="shared" si="84"/>
        <v>0</v>
      </c>
      <c r="U273" s="48">
        <v>0</v>
      </c>
      <c r="V273" s="49">
        <v>0</v>
      </c>
      <c r="W273" s="49">
        <v>0</v>
      </c>
      <c r="X273" s="50">
        <f t="shared" si="85"/>
        <v>0</v>
      </c>
      <c r="Y273" s="48"/>
      <c r="Z273" s="49"/>
      <c r="AA273" s="49"/>
      <c r="AB273" s="50">
        <f t="shared" si="86"/>
        <v>0</v>
      </c>
      <c r="AC273" s="167"/>
      <c r="AD273" s="166"/>
      <c r="AE273" s="166">
        <v>0</v>
      </c>
      <c r="AF273" s="151">
        <f t="shared" si="87"/>
        <v>0</v>
      </c>
      <c r="AG273" s="191"/>
      <c r="AH273" s="10"/>
      <c r="AI273" s="10">
        <v>0</v>
      </c>
      <c r="AJ273" s="151">
        <f t="shared" si="88"/>
        <v>0</v>
      </c>
      <c r="AK273" s="100"/>
      <c r="AL273" s="100"/>
      <c r="AM273" s="100"/>
      <c r="AN273" s="151">
        <f t="shared" si="89"/>
        <v>0</v>
      </c>
      <c r="AO273" s="191"/>
      <c r="AP273" s="10"/>
      <c r="AQ273" s="10"/>
      <c r="AR273" s="151"/>
      <c r="AS273" s="191"/>
      <c r="AT273" s="192"/>
      <c r="AU273" s="192"/>
      <c r="AV273" s="151"/>
      <c r="AW273" s="192"/>
      <c r="AX273" s="192"/>
      <c r="AY273" s="192"/>
      <c r="AZ273" s="151"/>
      <c r="BA273" s="10"/>
      <c r="BB273" s="10"/>
      <c r="BC273" s="10"/>
      <c r="BD273" s="151"/>
      <c r="BE273" s="191"/>
      <c r="BF273" s="10"/>
      <c r="BG273" s="10"/>
      <c r="BH273" s="151"/>
      <c r="BI273" s="191"/>
      <c r="BJ273" s="10"/>
      <c r="BK273" s="10"/>
      <c r="BL273" s="151"/>
      <c r="BM273" s="1"/>
      <c r="BN273" s="48"/>
      <c r="BO273" s="49"/>
      <c r="BP273" s="49">
        <v>0</v>
      </c>
      <c r="BQ273" s="50">
        <f t="shared" si="90"/>
        <v>0</v>
      </c>
      <c r="BR273" s="48"/>
      <c r="BS273" s="49"/>
      <c r="BT273" s="49">
        <v>0</v>
      </c>
      <c r="BU273" s="50">
        <f t="shared" si="91"/>
        <v>0</v>
      </c>
      <c r="BV273" s="48"/>
      <c r="BW273" s="49"/>
      <c r="BX273" s="49">
        <v>0</v>
      </c>
      <c r="BY273" s="50">
        <f t="shared" si="92"/>
        <v>0</v>
      </c>
      <c r="BZ273" s="183"/>
      <c r="CA273" s="266"/>
      <c r="CB273" s="266"/>
      <c r="CC273" s="98">
        <f t="shared" si="93"/>
        <v>0</v>
      </c>
      <c r="CD273" s="183"/>
      <c r="CE273" s="266"/>
      <c r="CF273" s="266"/>
      <c r="CG273" s="98">
        <f t="shared" si="94"/>
        <v>0</v>
      </c>
      <c r="CH273" s="191"/>
      <c r="CI273" s="192"/>
      <c r="CJ273" s="192">
        <v>0</v>
      </c>
      <c r="CK273" s="98">
        <f t="shared" si="95"/>
        <v>0</v>
      </c>
      <c r="CL273" s="111"/>
      <c r="CM273" s="111"/>
      <c r="CN273" s="111"/>
      <c r="CO273" s="112"/>
      <c r="CP273" s="191"/>
      <c r="CQ273" s="192"/>
      <c r="CR273" s="192"/>
      <c r="CS273" s="151"/>
      <c r="CT273" s="111"/>
      <c r="CU273" s="111"/>
      <c r="CV273" s="111"/>
      <c r="CW273" s="112"/>
      <c r="CX273" s="192"/>
      <c r="CY273" s="192"/>
      <c r="CZ273" s="192"/>
      <c r="DA273" s="151"/>
      <c r="DB273" s="10"/>
      <c r="DC273" s="10"/>
      <c r="DD273" s="10"/>
      <c r="DE273" s="151"/>
      <c r="DF273" s="192"/>
      <c r="DG273" s="192"/>
      <c r="DH273" s="192"/>
      <c r="DI273" s="151"/>
      <c r="DJ273" s="1"/>
      <c r="DK273" s="225"/>
      <c r="DL273" s="225"/>
      <c r="DM273" s="225"/>
      <c r="DN273" s="225"/>
      <c r="DO273" s="225"/>
      <c r="DP273" s="225"/>
      <c r="DQ273" s="225"/>
      <c r="DR273" s="225"/>
      <c r="DS273" s="225"/>
      <c r="DT273" s="225"/>
      <c r="DU273" s="225"/>
      <c r="DV273" s="225"/>
      <c r="DW273" s="1"/>
      <c r="EJ273" s="1"/>
      <c r="EK273" s="17"/>
      <c r="EL273" s="17"/>
      <c r="EM273" s="17"/>
      <c r="EN273" s="17"/>
      <c r="EO273" s="17"/>
      <c r="EP273" s="17"/>
      <c r="EQ273" s="17"/>
      <c r="ER273" s="17"/>
      <c r="ES273" s="17"/>
      <c r="EU273" s="17"/>
      <c r="EW273" s="1"/>
      <c r="EX273" s="225"/>
      <c r="EY273" s="225"/>
      <c r="EZ273" s="225"/>
      <c r="FA273" s="225"/>
      <c r="FB273" s="225"/>
      <c r="FC273" s="225"/>
      <c r="FD273" s="225"/>
      <c r="FE273" s="225"/>
      <c r="FF273" s="225"/>
      <c r="FG273" s="10"/>
      <c r="FH273" s="225"/>
      <c r="FI273" s="10"/>
      <c r="FJ273" s="1"/>
      <c r="FK273" s="225"/>
      <c r="FL273" s="225"/>
      <c r="FM273" s="225"/>
      <c r="FN273" s="225"/>
      <c r="FO273" s="225"/>
      <c r="FP273" s="225"/>
      <c r="FQ273" s="225"/>
      <c r="FR273" s="225"/>
      <c r="FS273" s="225"/>
      <c r="FT273" s="191"/>
      <c r="FU273" s="225"/>
      <c r="FV273" s="151"/>
    </row>
    <row r="274" spans="1:178" ht="16" thickBot="1" x14ac:dyDescent="0.25">
      <c r="A274" s="27" t="s">
        <v>89</v>
      </c>
      <c r="B274" t="s">
        <v>141</v>
      </c>
      <c r="C274" s="1"/>
      <c r="D274">
        <v>1</v>
      </c>
      <c r="E274" s="17">
        <v>2</v>
      </c>
      <c r="F274" s="241">
        <v>2</v>
      </c>
      <c r="G274" s="87">
        <v>4</v>
      </c>
      <c r="H274" s="87">
        <v>4</v>
      </c>
      <c r="I274" s="87">
        <v>3</v>
      </c>
      <c r="J274" s="17"/>
      <c r="K274" s="17"/>
      <c r="L274" s="17"/>
      <c r="M274" s="17"/>
      <c r="N274" s="17"/>
      <c r="O274" s="17"/>
      <c r="P274" s="1"/>
      <c r="Q274" s="48">
        <v>36.5</v>
      </c>
      <c r="R274" s="49">
        <v>0</v>
      </c>
      <c r="S274" s="49">
        <v>0</v>
      </c>
      <c r="T274" s="50">
        <f t="shared" si="84"/>
        <v>36.5</v>
      </c>
      <c r="U274" s="48">
        <v>66.81</v>
      </c>
      <c r="V274" s="49">
        <v>0</v>
      </c>
      <c r="W274" s="49">
        <v>0</v>
      </c>
      <c r="X274" s="50">
        <f t="shared" si="85"/>
        <v>66.81</v>
      </c>
      <c r="Y274" s="48">
        <v>515.04999999999995</v>
      </c>
      <c r="Z274" s="49">
        <v>227.27</v>
      </c>
      <c r="AA274" s="49">
        <v>0</v>
      </c>
      <c r="AB274" s="50">
        <f t="shared" si="86"/>
        <v>742.31999999999994</v>
      </c>
      <c r="AC274" s="167">
        <v>814.44</v>
      </c>
      <c r="AD274" s="166">
        <v>5</v>
      </c>
      <c r="AE274" s="165">
        <v>399.29</v>
      </c>
      <c r="AF274" s="151">
        <f t="shared" si="87"/>
        <v>1218.73</v>
      </c>
      <c r="AG274" s="191">
        <v>39.43</v>
      </c>
      <c r="AH274" s="10">
        <v>1208.53</v>
      </c>
      <c r="AI274" s="10">
        <v>446.66</v>
      </c>
      <c r="AJ274" s="151">
        <f t="shared" si="88"/>
        <v>1694.6200000000001</v>
      </c>
      <c r="AK274" s="100">
        <v>43.98</v>
      </c>
      <c r="AL274" s="100">
        <v>46.72</v>
      </c>
      <c r="AM274" s="100">
        <v>685.89</v>
      </c>
      <c r="AN274" s="151">
        <f t="shared" si="89"/>
        <v>776.58999999999992</v>
      </c>
      <c r="AO274" s="191"/>
      <c r="AP274" s="10"/>
      <c r="AQ274" s="10"/>
      <c r="AR274" s="151"/>
      <c r="AS274" s="191"/>
      <c r="AT274" s="192"/>
      <c r="AU274" s="192"/>
      <c r="AV274" s="151"/>
      <c r="AW274" s="192"/>
      <c r="AX274" s="192"/>
      <c r="AY274" s="192"/>
      <c r="AZ274" s="151"/>
      <c r="BA274" s="10"/>
      <c r="BB274" s="10"/>
      <c r="BC274" s="10"/>
      <c r="BD274" s="151"/>
      <c r="BE274" s="191"/>
      <c r="BF274" s="10"/>
      <c r="BG274" s="10"/>
      <c r="BH274" s="151"/>
      <c r="BI274" s="191"/>
      <c r="BJ274" s="10"/>
      <c r="BK274" s="10"/>
      <c r="BL274" s="151"/>
      <c r="BM274" s="1"/>
      <c r="BN274" s="48">
        <v>36.5</v>
      </c>
      <c r="BO274" s="49"/>
      <c r="BP274" s="49">
        <v>0</v>
      </c>
      <c r="BQ274" s="50">
        <f t="shared" si="90"/>
        <v>36.5</v>
      </c>
      <c r="BR274" s="48">
        <v>28.59</v>
      </c>
      <c r="BS274" s="49"/>
      <c r="BT274" s="49">
        <v>0</v>
      </c>
      <c r="BU274" s="50">
        <f t="shared" si="91"/>
        <v>28.59</v>
      </c>
      <c r="BV274" s="48">
        <v>515.04999999999995</v>
      </c>
      <c r="BW274" s="49"/>
      <c r="BX274" s="49">
        <v>0</v>
      </c>
      <c r="BY274" s="50">
        <f t="shared" si="92"/>
        <v>515.04999999999995</v>
      </c>
      <c r="BZ274" s="183">
        <v>545.12</v>
      </c>
      <c r="CA274" s="266">
        <v>25</v>
      </c>
      <c r="CB274" s="99">
        <v>0</v>
      </c>
      <c r="CC274" s="98">
        <f t="shared" si="93"/>
        <v>570.12</v>
      </c>
      <c r="CD274" s="183"/>
      <c r="CE274" s="266">
        <v>665.73</v>
      </c>
      <c r="CF274" s="99">
        <v>0</v>
      </c>
      <c r="CG274" s="98">
        <f t="shared" si="94"/>
        <v>665.73</v>
      </c>
      <c r="CH274" s="191"/>
      <c r="CI274" s="192">
        <v>186.88</v>
      </c>
      <c r="CJ274" s="192">
        <v>0</v>
      </c>
      <c r="CK274" s="98">
        <f t="shared" si="95"/>
        <v>186.88</v>
      </c>
      <c r="CL274" s="111"/>
      <c r="CM274" s="111"/>
      <c r="CN274" s="111"/>
      <c r="CO274" s="112"/>
      <c r="CP274" s="191"/>
      <c r="CQ274" s="192"/>
      <c r="CR274" s="192"/>
      <c r="CS274" s="151"/>
      <c r="CT274" s="111"/>
      <c r="CU274" s="111"/>
      <c r="CV274" s="111"/>
      <c r="CW274" s="112"/>
      <c r="CX274" s="192"/>
      <c r="CY274" s="192"/>
      <c r="CZ274" s="192"/>
      <c r="DA274" s="151"/>
      <c r="DB274" s="10"/>
      <c r="DC274" s="10"/>
      <c r="DD274" s="10"/>
      <c r="DE274" s="151"/>
      <c r="DF274" s="192"/>
      <c r="DG274" s="192"/>
      <c r="DH274" s="192"/>
      <c r="DI274" s="151"/>
      <c r="DJ274" s="1"/>
      <c r="DK274" s="225"/>
      <c r="DL274" s="225"/>
      <c r="DM274" s="225"/>
      <c r="DN274" s="225"/>
      <c r="DO274" s="225"/>
      <c r="DP274" s="225"/>
      <c r="DQ274" s="225"/>
      <c r="DR274" s="225"/>
      <c r="DS274" s="225"/>
      <c r="DT274" s="225"/>
      <c r="DU274" s="225"/>
      <c r="DV274" s="225"/>
      <c r="DW274" s="1"/>
      <c r="EJ274" s="1"/>
      <c r="EK274" s="17"/>
      <c r="EL274" s="17"/>
      <c r="EM274" s="17"/>
      <c r="EN274" s="17"/>
      <c r="EO274" s="17"/>
      <c r="EP274" s="17"/>
      <c r="EQ274" s="17"/>
      <c r="ER274" s="17"/>
      <c r="ES274" s="17"/>
      <c r="EU274" s="17"/>
      <c r="EW274" s="1"/>
      <c r="EX274" s="225"/>
      <c r="EY274" s="225"/>
      <c r="EZ274" s="225"/>
      <c r="FA274" s="225"/>
      <c r="FB274" s="225"/>
      <c r="FC274" s="225"/>
      <c r="FD274" s="225"/>
      <c r="FE274" s="225"/>
      <c r="FF274" s="225"/>
      <c r="FG274" s="10"/>
      <c r="FH274" s="225"/>
      <c r="FI274" s="10"/>
      <c r="FJ274" s="1"/>
      <c r="FK274" s="225"/>
      <c r="FL274" s="225"/>
      <c r="FM274" s="225"/>
      <c r="FN274" s="225"/>
      <c r="FO274" s="225"/>
      <c r="FP274" s="225"/>
      <c r="FQ274" s="225"/>
      <c r="FR274" s="225"/>
      <c r="FS274" s="225"/>
      <c r="FT274" s="191"/>
      <c r="FU274" s="225"/>
      <c r="FV274" s="151"/>
    </row>
    <row r="275" spans="1:178" ht="16" thickBot="1" x14ac:dyDescent="0.25">
      <c r="A275" s="27" t="s">
        <v>90</v>
      </c>
      <c r="B275" t="s">
        <v>141</v>
      </c>
      <c r="C275" s="1"/>
      <c r="D275">
        <v>155</v>
      </c>
      <c r="E275" s="17"/>
      <c r="F275" s="241">
        <v>151</v>
      </c>
      <c r="G275" s="87">
        <v>151</v>
      </c>
      <c r="H275" s="87">
        <v>144</v>
      </c>
      <c r="I275" s="87">
        <v>134</v>
      </c>
      <c r="J275" s="17"/>
      <c r="K275" s="17"/>
      <c r="L275" s="17"/>
      <c r="M275" s="17"/>
      <c r="N275" s="17"/>
      <c r="O275" s="17"/>
      <c r="P275" s="1"/>
      <c r="Q275" s="48">
        <v>15702.77</v>
      </c>
      <c r="R275" s="49">
        <v>9512.25</v>
      </c>
      <c r="S275" s="49">
        <v>6725.93</v>
      </c>
      <c r="T275" s="50">
        <f t="shared" si="84"/>
        <v>31940.95</v>
      </c>
      <c r="U275" s="48">
        <v>13603.99</v>
      </c>
      <c r="V275" s="49">
        <v>6759.48</v>
      </c>
      <c r="W275" s="49">
        <v>6297.1200000000008</v>
      </c>
      <c r="X275" s="50">
        <f t="shared" si="85"/>
        <v>26660.590000000004</v>
      </c>
      <c r="Y275" s="48">
        <v>16396.32</v>
      </c>
      <c r="Z275" s="49">
        <v>6792.06</v>
      </c>
      <c r="AA275" s="49">
        <v>12401.18</v>
      </c>
      <c r="AB275" s="50">
        <f t="shared" si="86"/>
        <v>35589.56</v>
      </c>
      <c r="AC275" s="164">
        <v>17311.39</v>
      </c>
      <c r="AD275" s="165">
        <v>6392.3</v>
      </c>
      <c r="AE275" s="165">
        <v>9369.61</v>
      </c>
      <c r="AF275" s="151">
        <f t="shared" si="87"/>
        <v>33073.300000000003</v>
      </c>
      <c r="AG275" s="191">
        <v>13242.39</v>
      </c>
      <c r="AH275" s="10">
        <v>8922.25</v>
      </c>
      <c r="AI275" s="10">
        <v>10399.59</v>
      </c>
      <c r="AJ275" s="151">
        <f t="shared" si="88"/>
        <v>32564.23</v>
      </c>
      <c r="AK275" s="99">
        <v>6236.78</v>
      </c>
      <c r="AL275" s="99">
        <v>9144.16</v>
      </c>
      <c r="AM275" s="99">
        <v>11799.81</v>
      </c>
      <c r="AN275" s="151">
        <f t="shared" si="89"/>
        <v>27180.75</v>
      </c>
      <c r="AO275" s="191"/>
      <c r="AP275" s="10"/>
      <c r="AQ275" s="10"/>
      <c r="AR275" s="151"/>
      <c r="AS275" s="191"/>
      <c r="AT275" s="192"/>
      <c r="AU275" s="192"/>
      <c r="AV275" s="151"/>
      <c r="AW275" s="192"/>
      <c r="AX275" s="192"/>
      <c r="AY275" s="192"/>
      <c r="AZ275" s="151"/>
      <c r="BA275" s="10"/>
      <c r="BB275" s="10"/>
      <c r="BC275" s="10"/>
      <c r="BD275" s="151"/>
      <c r="BE275" s="191"/>
      <c r="BF275" s="10"/>
      <c r="BG275" s="10"/>
      <c r="BH275" s="151"/>
      <c r="BI275" s="191"/>
      <c r="BJ275" s="10"/>
      <c r="BK275" s="10"/>
      <c r="BL275" s="151"/>
      <c r="BM275" s="1"/>
      <c r="BN275" s="48">
        <v>2007.82</v>
      </c>
      <c r="BO275" s="49">
        <v>2608.08</v>
      </c>
      <c r="BP275" s="49">
        <v>705.16</v>
      </c>
      <c r="BQ275" s="50">
        <f t="shared" si="90"/>
        <v>5321.0599999999995</v>
      </c>
      <c r="BR275" s="48">
        <v>2572.17</v>
      </c>
      <c r="BS275" s="49">
        <v>310.16000000000003</v>
      </c>
      <c r="BT275" s="49">
        <v>1736.8799999999999</v>
      </c>
      <c r="BU275" s="50">
        <f t="shared" si="91"/>
        <v>4619.21</v>
      </c>
      <c r="BV275" s="48">
        <v>1526.94</v>
      </c>
      <c r="BW275" s="49">
        <v>829.04</v>
      </c>
      <c r="BX275" s="49">
        <v>6486.38</v>
      </c>
      <c r="BY275" s="50">
        <f t="shared" si="92"/>
        <v>8842.36</v>
      </c>
      <c r="BZ275" s="182">
        <v>4447</v>
      </c>
      <c r="CA275" s="266">
        <v>4491.2700000000004</v>
      </c>
      <c r="CB275" s="99">
        <v>1596.93</v>
      </c>
      <c r="CC275" s="98">
        <f t="shared" si="93"/>
        <v>10535.2</v>
      </c>
      <c r="CD275" s="182">
        <v>3027.6</v>
      </c>
      <c r="CE275" s="99">
        <v>7127.05</v>
      </c>
      <c r="CF275" s="99">
        <v>1858.58</v>
      </c>
      <c r="CG275" s="98">
        <f t="shared" si="94"/>
        <v>12013.23</v>
      </c>
      <c r="CH275" s="191">
        <v>1718.09</v>
      </c>
      <c r="CI275" s="192">
        <v>7067.29</v>
      </c>
      <c r="CJ275" s="192">
        <v>2279.75</v>
      </c>
      <c r="CK275" s="98">
        <f t="shared" si="95"/>
        <v>11065.13</v>
      </c>
      <c r="CL275" s="111"/>
      <c r="CM275" s="111"/>
      <c r="CN275" s="111"/>
      <c r="CO275" s="112"/>
      <c r="CP275" s="191"/>
      <c r="CQ275" s="192"/>
      <c r="CR275" s="192"/>
      <c r="CS275" s="151"/>
      <c r="CT275" s="111"/>
      <c r="CU275" s="111"/>
      <c r="CV275" s="111"/>
      <c r="CW275" s="112"/>
      <c r="CX275" s="192"/>
      <c r="CY275" s="192"/>
      <c r="CZ275" s="192"/>
      <c r="DA275" s="151"/>
      <c r="DB275" s="10"/>
      <c r="DC275" s="10"/>
      <c r="DD275" s="10"/>
      <c r="DE275" s="151"/>
      <c r="DF275" s="192"/>
      <c r="DG275" s="192"/>
      <c r="DH275" s="192"/>
      <c r="DI275" s="151"/>
      <c r="DJ275" s="1"/>
      <c r="DK275" s="225">
        <v>134.13</v>
      </c>
      <c r="DL275" s="225">
        <v>3602.39</v>
      </c>
      <c r="DM275" s="225"/>
      <c r="DN275" s="225">
        <v>1409.13</v>
      </c>
      <c r="DO275" s="225">
        <v>699.25</v>
      </c>
      <c r="DP275" s="225">
        <v>2881.31</v>
      </c>
      <c r="DQ275" s="225"/>
      <c r="DR275" s="225"/>
      <c r="DS275" s="225"/>
      <c r="DT275" s="225"/>
      <c r="DU275" s="225"/>
      <c r="DV275" s="225"/>
      <c r="DW275" s="1"/>
      <c r="EJ275" s="1"/>
      <c r="EK275" s="17">
        <v>1</v>
      </c>
      <c r="EL275" s="17">
        <v>5</v>
      </c>
      <c r="EM275" s="17"/>
      <c r="EN275" s="17">
        <v>3</v>
      </c>
      <c r="EO275" s="17">
        <v>2</v>
      </c>
      <c r="EP275" s="17">
        <v>5</v>
      </c>
      <c r="EQ275" s="17"/>
      <c r="ER275" s="17"/>
      <c r="ES275" s="17"/>
      <c r="EU275" s="17"/>
      <c r="EW275" s="1"/>
      <c r="EX275" s="225">
        <v>134.13</v>
      </c>
      <c r="EY275" s="225">
        <v>3602.39</v>
      </c>
      <c r="EZ275" s="225"/>
      <c r="FA275" s="225">
        <v>1409.13</v>
      </c>
      <c r="FB275" s="225">
        <v>699.25</v>
      </c>
      <c r="FC275" s="225">
        <v>2881.31</v>
      </c>
      <c r="FD275" s="225"/>
      <c r="FE275" s="225"/>
      <c r="FF275" s="225"/>
      <c r="FG275" s="10"/>
      <c r="FH275" s="225"/>
      <c r="FI275" s="10"/>
      <c r="FJ275" s="1"/>
      <c r="FK275" s="225"/>
      <c r="FL275" s="225"/>
      <c r="FM275" s="225">
        <v>-134.13</v>
      </c>
      <c r="FN275" s="225"/>
      <c r="FO275" s="225">
        <v>-517.91</v>
      </c>
      <c r="FP275" s="225"/>
      <c r="FQ275" s="225"/>
      <c r="FR275" s="225"/>
      <c r="FS275" s="225"/>
      <c r="FT275" s="191"/>
      <c r="FU275" s="225"/>
      <c r="FV275" s="151"/>
    </row>
    <row r="276" spans="1:178" ht="16" thickBot="1" x14ac:dyDescent="0.25">
      <c r="A276" s="27" t="s">
        <v>91</v>
      </c>
      <c r="B276" t="s">
        <v>141</v>
      </c>
      <c r="C276" s="1"/>
      <c r="D276">
        <v>15</v>
      </c>
      <c r="E276" s="17">
        <v>7</v>
      </c>
      <c r="F276" s="241">
        <v>10</v>
      </c>
      <c r="G276" s="87">
        <v>10</v>
      </c>
      <c r="H276" s="87">
        <v>18</v>
      </c>
      <c r="I276" s="87">
        <v>15</v>
      </c>
      <c r="J276" s="17"/>
      <c r="K276" s="17"/>
      <c r="L276" s="17"/>
      <c r="M276" s="17"/>
      <c r="N276" s="17"/>
      <c r="O276" s="17"/>
      <c r="P276" s="1"/>
      <c r="Q276" s="48">
        <v>1161.8900000000001</v>
      </c>
      <c r="R276" s="49">
        <v>954.84</v>
      </c>
      <c r="S276" s="49">
        <v>3398.48</v>
      </c>
      <c r="T276" s="50">
        <f t="shared" si="84"/>
        <v>5515.21</v>
      </c>
      <c r="U276" s="48">
        <v>129.12</v>
      </c>
      <c r="V276" s="49">
        <v>228.44</v>
      </c>
      <c r="W276" s="49">
        <v>2399.58</v>
      </c>
      <c r="X276" s="50">
        <f t="shared" si="85"/>
        <v>2757.14</v>
      </c>
      <c r="Y276" s="48">
        <v>2342.17</v>
      </c>
      <c r="Z276" s="49">
        <v>755.97</v>
      </c>
      <c r="AA276" s="49">
        <v>2359.9499999999998</v>
      </c>
      <c r="AB276" s="50">
        <f t="shared" si="86"/>
        <v>5458.09</v>
      </c>
      <c r="AC276" s="167">
        <v>663.45</v>
      </c>
      <c r="AD276" s="165">
        <v>1937.75</v>
      </c>
      <c r="AE276" s="165">
        <v>2920.95</v>
      </c>
      <c r="AF276" s="151">
        <f t="shared" si="87"/>
        <v>5522.15</v>
      </c>
      <c r="AG276" s="191">
        <v>1612.05</v>
      </c>
      <c r="AH276" s="10">
        <v>666.52</v>
      </c>
      <c r="AI276" s="10">
        <v>3482.45</v>
      </c>
      <c r="AJ276" s="151">
        <f t="shared" si="88"/>
        <v>5761.0199999999995</v>
      </c>
      <c r="AK276" s="100">
        <v>307.17</v>
      </c>
      <c r="AL276" s="100">
        <v>1134.07</v>
      </c>
      <c r="AM276" s="99">
        <v>4045.51</v>
      </c>
      <c r="AN276" s="151">
        <f t="shared" si="89"/>
        <v>5486.75</v>
      </c>
      <c r="AO276" s="191"/>
      <c r="AP276" s="10"/>
      <c r="AQ276" s="10"/>
      <c r="AR276" s="151"/>
      <c r="AS276" s="191"/>
      <c r="AT276" s="192"/>
      <c r="AU276" s="192"/>
      <c r="AV276" s="151"/>
      <c r="AW276" s="192"/>
      <c r="AX276" s="192"/>
      <c r="AY276" s="192"/>
      <c r="AZ276" s="151"/>
      <c r="BA276" s="10"/>
      <c r="BB276" s="10"/>
      <c r="BC276" s="10"/>
      <c r="BD276" s="151"/>
      <c r="BE276" s="191"/>
      <c r="BF276" s="10"/>
      <c r="BG276" s="10"/>
      <c r="BH276" s="151"/>
      <c r="BI276" s="191"/>
      <c r="BJ276" s="10"/>
      <c r="BK276" s="10"/>
      <c r="BL276" s="151"/>
      <c r="BM276" s="1"/>
      <c r="BN276" s="48">
        <v>33.659999999999997</v>
      </c>
      <c r="BO276" s="49">
        <v>491.92</v>
      </c>
      <c r="BP276" s="49">
        <v>2188.6800000000003</v>
      </c>
      <c r="BQ276" s="50">
        <f t="shared" si="90"/>
        <v>2714.26</v>
      </c>
      <c r="BR276" s="48">
        <v>33.659999999999997</v>
      </c>
      <c r="BS276" s="49"/>
      <c r="BT276" s="49">
        <v>2238.63</v>
      </c>
      <c r="BU276" s="50">
        <f t="shared" si="91"/>
        <v>2272.29</v>
      </c>
      <c r="BV276" s="48"/>
      <c r="BW276" s="49">
        <v>569.46</v>
      </c>
      <c r="BX276" s="49">
        <v>2359.9499999999998</v>
      </c>
      <c r="BY276" s="50">
        <f t="shared" si="92"/>
        <v>2929.41</v>
      </c>
      <c r="BZ276" s="183">
        <v>330.69</v>
      </c>
      <c r="CA276" s="266">
        <v>233.82</v>
      </c>
      <c r="CB276" s="266">
        <v>2839.11</v>
      </c>
      <c r="CC276" s="98">
        <f t="shared" si="93"/>
        <v>3403.62</v>
      </c>
      <c r="CD276" s="182">
        <v>896.02</v>
      </c>
      <c r="CE276" s="99">
        <v>333.76</v>
      </c>
      <c r="CF276" s="266">
        <v>3366.59</v>
      </c>
      <c r="CG276" s="98">
        <f t="shared" si="94"/>
        <v>4596.37</v>
      </c>
      <c r="CH276" s="191">
        <v>103.14</v>
      </c>
      <c r="CI276" s="192">
        <v>1600.74</v>
      </c>
      <c r="CJ276" s="192">
        <v>3918.24</v>
      </c>
      <c r="CK276" s="98">
        <f t="shared" si="95"/>
        <v>5622.12</v>
      </c>
      <c r="CL276" s="111"/>
      <c r="CM276" s="111"/>
      <c r="CN276" s="111"/>
      <c r="CO276" s="112"/>
      <c r="CP276" s="191"/>
      <c r="CQ276" s="192"/>
      <c r="CR276" s="192"/>
      <c r="CS276" s="151"/>
      <c r="CT276" s="111"/>
      <c r="CU276" s="111"/>
      <c r="CV276" s="111"/>
      <c r="CW276" s="112"/>
      <c r="CX276" s="192"/>
      <c r="CY276" s="192"/>
      <c r="CZ276" s="192"/>
      <c r="DA276" s="151"/>
      <c r="DB276" s="10"/>
      <c r="DC276" s="10"/>
      <c r="DD276" s="10"/>
      <c r="DE276" s="151"/>
      <c r="DF276" s="192"/>
      <c r="DG276" s="192"/>
      <c r="DH276" s="192"/>
      <c r="DI276" s="151"/>
      <c r="DJ276" s="1"/>
      <c r="DK276" s="225"/>
      <c r="DL276" s="225"/>
      <c r="DM276" s="225"/>
      <c r="DN276" s="225"/>
      <c r="DO276" s="225">
        <v>1229.78</v>
      </c>
      <c r="DP276" s="225">
        <v>332.76</v>
      </c>
      <c r="DQ276" s="225"/>
      <c r="DR276" s="225"/>
      <c r="DS276" s="225"/>
      <c r="DT276" s="225"/>
      <c r="DU276" s="225"/>
      <c r="DV276" s="225"/>
      <c r="DW276" s="1"/>
      <c r="EJ276" s="1"/>
      <c r="EK276" s="17"/>
      <c r="EL276" s="17"/>
      <c r="EM276" s="17"/>
      <c r="EN276" s="17"/>
      <c r="EO276" s="17">
        <v>1</v>
      </c>
      <c r="EP276" s="17">
        <v>1</v>
      </c>
      <c r="EQ276" s="17"/>
      <c r="ER276" s="17"/>
      <c r="ES276" s="17"/>
      <c r="EU276" s="17"/>
      <c r="EW276" s="1"/>
      <c r="EX276" s="225"/>
      <c r="EY276" s="225"/>
      <c r="EZ276" s="225"/>
      <c r="FA276" s="225"/>
      <c r="FB276" s="225">
        <v>1222.8900000000001</v>
      </c>
      <c r="FC276" s="225">
        <v>332.76</v>
      </c>
      <c r="FD276" s="225"/>
      <c r="FE276" s="225"/>
      <c r="FF276" s="225"/>
      <c r="FG276" s="10"/>
      <c r="FH276" s="225"/>
      <c r="FI276" s="10"/>
      <c r="FJ276" s="1"/>
      <c r="FK276" s="225"/>
      <c r="FL276" s="225"/>
      <c r="FM276" s="225"/>
      <c r="FN276" s="225"/>
      <c r="FO276" s="225"/>
      <c r="FP276" s="225"/>
      <c r="FQ276" s="225"/>
      <c r="FR276" s="225"/>
      <c r="FS276" s="225"/>
      <c r="FT276" s="191"/>
      <c r="FU276" s="225"/>
      <c r="FV276" s="151"/>
    </row>
    <row r="277" spans="1:178" ht="16" thickBot="1" x14ac:dyDescent="0.25">
      <c r="A277" s="27" t="s">
        <v>92</v>
      </c>
      <c r="B277" t="s">
        <v>141</v>
      </c>
      <c r="C277" s="1"/>
      <c r="D277">
        <v>10</v>
      </c>
      <c r="E277" s="17">
        <v>12</v>
      </c>
      <c r="F277" s="241">
        <v>14</v>
      </c>
      <c r="G277" s="87">
        <v>8</v>
      </c>
      <c r="H277" s="87">
        <v>8</v>
      </c>
      <c r="I277" s="87">
        <v>11</v>
      </c>
      <c r="J277" s="17"/>
      <c r="K277" s="17"/>
      <c r="L277" s="17"/>
      <c r="M277" s="17"/>
      <c r="N277" s="17"/>
      <c r="O277" s="17"/>
      <c r="P277" s="1"/>
      <c r="Q277" s="48">
        <v>941.75</v>
      </c>
      <c r="R277" s="49">
        <v>1101.0899999999999</v>
      </c>
      <c r="S277" s="49">
        <v>430.77</v>
      </c>
      <c r="T277" s="50">
        <f t="shared" si="84"/>
        <v>2473.6099999999997</v>
      </c>
      <c r="U277" s="48">
        <v>1369.07</v>
      </c>
      <c r="V277" s="49">
        <v>380.31</v>
      </c>
      <c r="W277" s="49">
        <v>1204.98</v>
      </c>
      <c r="X277" s="50">
        <f t="shared" si="85"/>
        <v>2954.3599999999997</v>
      </c>
      <c r="Y277" s="48">
        <v>1020.2</v>
      </c>
      <c r="Z277" s="49">
        <v>1261.19</v>
      </c>
      <c r="AA277" s="49">
        <v>1933.01</v>
      </c>
      <c r="AB277" s="50">
        <f t="shared" si="86"/>
        <v>4214.4000000000005</v>
      </c>
      <c r="AC277" s="164">
        <v>466</v>
      </c>
      <c r="AD277" s="166">
        <v>436.11</v>
      </c>
      <c r="AE277" s="165">
        <v>337.52</v>
      </c>
      <c r="AF277" s="151">
        <f t="shared" si="87"/>
        <v>1239.6300000000001</v>
      </c>
      <c r="AG277" s="191">
        <v>2414.38</v>
      </c>
      <c r="AH277" s="10">
        <v>159.82</v>
      </c>
      <c r="AI277" s="10">
        <v>387.45</v>
      </c>
      <c r="AJ277" s="151">
        <f t="shared" si="88"/>
        <v>2961.65</v>
      </c>
      <c r="AK277" s="100">
        <v>706.89</v>
      </c>
      <c r="AL277" s="99">
        <v>1234.48</v>
      </c>
      <c r="AM277" s="100">
        <v>425.65</v>
      </c>
      <c r="AN277" s="151">
        <f t="shared" si="89"/>
        <v>2367.02</v>
      </c>
      <c r="AO277" s="191"/>
      <c r="AP277" s="10"/>
      <c r="AQ277" s="10"/>
      <c r="AR277" s="151"/>
      <c r="AS277" s="191"/>
      <c r="AT277" s="192"/>
      <c r="AU277" s="192"/>
      <c r="AV277" s="151"/>
      <c r="AW277" s="192"/>
      <c r="AX277" s="192"/>
      <c r="AY277" s="192"/>
      <c r="AZ277" s="151"/>
      <c r="BA277" s="10"/>
      <c r="BB277" s="10"/>
      <c r="BC277" s="10"/>
      <c r="BD277" s="151"/>
      <c r="BE277" s="191"/>
      <c r="BF277" s="10"/>
      <c r="BG277" s="10"/>
      <c r="BH277" s="151"/>
      <c r="BI277" s="191"/>
      <c r="BJ277" s="10"/>
      <c r="BK277" s="10"/>
      <c r="BL277" s="151"/>
      <c r="BM277" s="1"/>
      <c r="BN277" s="48">
        <v>582.67999999999995</v>
      </c>
      <c r="BO277" s="49">
        <v>488.47</v>
      </c>
      <c r="BP277" s="49">
        <v>0</v>
      </c>
      <c r="BQ277" s="50">
        <f t="shared" si="90"/>
        <v>1071.1500000000001</v>
      </c>
      <c r="BR277" s="48">
        <v>825.03</v>
      </c>
      <c r="BS277" s="49">
        <v>46.06</v>
      </c>
      <c r="BT277" s="49">
        <v>0</v>
      </c>
      <c r="BU277" s="50">
        <f t="shared" si="91"/>
        <v>871.08999999999992</v>
      </c>
      <c r="BV277" s="48">
        <v>82.12</v>
      </c>
      <c r="BW277" s="49">
        <v>815.84</v>
      </c>
      <c r="BX277" s="49">
        <v>106.46</v>
      </c>
      <c r="BY277" s="50">
        <f t="shared" si="92"/>
        <v>1004.4200000000001</v>
      </c>
      <c r="BZ277" s="183">
        <v>314.07</v>
      </c>
      <c r="CA277" s="266">
        <v>863.49</v>
      </c>
      <c r="CB277" s="266">
        <v>142.46</v>
      </c>
      <c r="CC277" s="98">
        <f t="shared" si="93"/>
        <v>1320.02</v>
      </c>
      <c r="CD277" s="182">
        <v>909.56</v>
      </c>
      <c r="CE277" s="266">
        <v>165.93</v>
      </c>
      <c r="CF277" s="266">
        <v>165.93</v>
      </c>
      <c r="CG277" s="98">
        <f t="shared" si="94"/>
        <v>1241.42</v>
      </c>
      <c r="CH277" s="191">
        <v>261</v>
      </c>
      <c r="CI277" s="192">
        <v>2245.14</v>
      </c>
      <c r="CJ277" s="192">
        <v>180.8</v>
      </c>
      <c r="CK277" s="98">
        <f t="shared" si="95"/>
        <v>2686.94</v>
      </c>
      <c r="CL277" s="111"/>
      <c r="CM277" s="111"/>
      <c r="CN277" s="111"/>
      <c r="CO277" s="112"/>
      <c r="CP277" s="191"/>
      <c r="CQ277" s="192"/>
      <c r="CR277" s="192"/>
      <c r="CS277" s="151"/>
      <c r="CT277" s="111"/>
      <c r="CU277" s="111"/>
      <c r="CV277" s="111"/>
      <c r="CW277" s="112"/>
      <c r="CX277" s="192"/>
      <c r="CY277" s="192"/>
      <c r="CZ277" s="192"/>
      <c r="DA277" s="151"/>
      <c r="DB277" s="10"/>
      <c r="DC277" s="10"/>
      <c r="DD277" s="10"/>
      <c r="DE277" s="151"/>
      <c r="DF277" s="192"/>
      <c r="DG277" s="192"/>
      <c r="DH277" s="192"/>
      <c r="DI277" s="151"/>
      <c r="DJ277" s="1"/>
      <c r="DK277" s="225"/>
      <c r="DL277" s="225"/>
      <c r="DM277" s="225"/>
      <c r="DN277" s="225"/>
      <c r="DO277" s="225"/>
      <c r="DP277" s="225">
        <v>1478.32</v>
      </c>
      <c r="DQ277" s="225"/>
      <c r="DR277" s="225"/>
      <c r="DS277" s="225"/>
      <c r="DT277" s="225"/>
      <c r="DU277" s="225"/>
      <c r="DV277" s="225"/>
      <c r="DW277" s="1"/>
      <c r="EJ277" s="1"/>
      <c r="EK277" s="17"/>
      <c r="EL277" s="17"/>
      <c r="EM277" s="17"/>
      <c r="EN277" s="17"/>
      <c r="EO277" s="17"/>
      <c r="EP277" s="17">
        <v>1</v>
      </c>
      <c r="EQ277" s="17"/>
      <c r="ER277" s="17"/>
      <c r="ES277" s="17"/>
      <c r="EU277" s="17"/>
      <c r="EW277" s="1"/>
      <c r="EX277" s="225"/>
      <c r="EY277" s="225"/>
      <c r="EZ277" s="225"/>
      <c r="FA277" s="225"/>
      <c r="FB277" s="225"/>
      <c r="FC277" s="225">
        <v>1478.32</v>
      </c>
      <c r="FD277" s="225"/>
      <c r="FE277" s="225"/>
      <c r="FF277" s="225"/>
      <c r="FG277" s="10"/>
      <c r="FH277" s="225"/>
      <c r="FI277" s="10"/>
      <c r="FJ277" s="1"/>
      <c r="FK277" s="225"/>
      <c r="FL277" s="225"/>
      <c r="FM277" s="225"/>
      <c r="FN277" s="225"/>
      <c r="FO277" s="225"/>
      <c r="FP277" s="225"/>
      <c r="FQ277" s="225"/>
      <c r="FR277" s="225"/>
      <c r="FS277" s="225"/>
      <c r="FT277" s="191"/>
      <c r="FU277" s="225"/>
      <c r="FV277" s="151"/>
    </row>
    <row r="278" spans="1:178" ht="16" thickBot="1" x14ac:dyDescent="0.25">
      <c r="A278" s="27" t="s">
        <v>93</v>
      </c>
      <c r="B278" t="s">
        <v>141</v>
      </c>
      <c r="C278" s="1"/>
      <c r="D278">
        <v>1</v>
      </c>
      <c r="E278" s="17">
        <v>1</v>
      </c>
      <c r="F278" s="241">
        <v>1</v>
      </c>
      <c r="G278" s="87">
        <v>1</v>
      </c>
      <c r="H278" s="88">
        <v>1</v>
      </c>
      <c r="I278" s="88">
        <v>1</v>
      </c>
      <c r="J278" s="17"/>
      <c r="K278" s="17"/>
      <c r="L278" s="17"/>
      <c r="M278" s="17"/>
      <c r="N278" s="17"/>
      <c r="O278" s="17"/>
      <c r="P278" s="1"/>
      <c r="Q278" s="48">
        <v>0</v>
      </c>
      <c r="R278" s="49">
        <v>0</v>
      </c>
      <c r="S278" s="49">
        <v>50.4</v>
      </c>
      <c r="T278" s="50">
        <f t="shared" si="84"/>
        <v>50.4</v>
      </c>
      <c r="U278" s="48">
        <v>0</v>
      </c>
      <c r="V278" s="49">
        <v>0</v>
      </c>
      <c r="W278" s="49">
        <v>64.09</v>
      </c>
      <c r="X278" s="50">
        <f t="shared" si="85"/>
        <v>64.09</v>
      </c>
      <c r="Y278" s="48">
        <v>0</v>
      </c>
      <c r="Z278" s="49">
        <v>0</v>
      </c>
      <c r="AA278" s="49">
        <v>77.31</v>
      </c>
      <c r="AB278" s="50">
        <f t="shared" si="86"/>
        <v>77.31</v>
      </c>
      <c r="AC278" s="167"/>
      <c r="AD278" s="165"/>
      <c r="AE278" s="166">
        <v>92.82</v>
      </c>
      <c r="AF278" s="151">
        <f t="shared" si="87"/>
        <v>92.82</v>
      </c>
      <c r="AG278" s="191"/>
      <c r="AH278" s="10"/>
      <c r="AI278" s="10">
        <v>62.35</v>
      </c>
      <c r="AJ278" s="151">
        <f t="shared" si="88"/>
        <v>62.35</v>
      </c>
      <c r="AK278" s="100">
        <v>0</v>
      </c>
      <c r="AL278" s="100">
        <v>0</v>
      </c>
      <c r="AM278" s="100">
        <v>77.400000000000006</v>
      </c>
      <c r="AN278" s="151">
        <f t="shared" si="89"/>
        <v>77.400000000000006</v>
      </c>
      <c r="AO278" s="191"/>
      <c r="AP278" s="10"/>
      <c r="AQ278" s="10"/>
      <c r="AR278" s="151"/>
      <c r="AS278" s="191"/>
      <c r="AT278" s="192"/>
      <c r="AU278" s="192"/>
      <c r="AV278" s="151"/>
      <c r="AW278" s="192"/>
      <c r="AX278" s="192"/>
      <c r="AY278" s="192"/>
      <c r="AZ278" s="151"/>
      <c r="BA278" s="10"/>
      <c r="BB278" s="10"/>
      <c r="BC278" s="10"/>
      <c r="BD278" s="151"/>
      <c r="BE278" s="191"/>
      <c r="BF278" s="10"/>
      <c r="BG278" s="10"/>
      <c r="BH278" s="151"/>
      <c r="BI278" s="191"/>
      <c r="BJ278" s="10"/>
      <c r="BK278" s="10"/>
      <c r="BL278" s="151"/>
      <c r="BM278" s="1"/>
      <c r="BN278" s="48"/>
      <c r="BO278" s="49"/>
      <c r="BP278" s="49">
        <v>0</v>
      </c>
      <c r="BQ278" s="50">
        <f t="shared" si="90"/>
        <v>0</v>
      </c>
      <c r="BR278" s="48"/>
      <c r="BS278" s="49"/>
      <c r="BT278" s="49">
        <v>0</v>
      </c>
      <c r="BU278" s="50">
        <f t="shared" si="91"/>
        <v>0</v>
      </c>
      <c r="BV278" s="48"/>
      <c r="BW278" s="49"/>
      <c r="BX278" s="49">
        <v>0</v>
      </c>
      <c r="BY278" s="50">
        <f t="shared" si="92"/>
        <v>0</v>
      </c>
      <c r="BZ278" s="183"/>
      <c r="CA278" s="266"/>
      <c r="CB278" s="266"/>
      <c r="CC278" s="98">
        <f t="shared" si="93"/>
        <v>0</v>
      </c>
      <c r="CD278" s="183"/>
      <c r="CE278" s="266"/>
      <c r="CF278" s="266"/>
      <c r="CG278" s="98">
        <f t="shared" si="94"/>
        <v>0</v>
      </c>
      <c r="CH278" s="191"/>
      <c r="CI278" s="192"/>
      <c r="CJ278" s="192">
        <v>0</v>
      </c>
      <c r="CK278" s="98">
        <f t="shared" si="95"/>
        <v>0</v>
      </c>
      <c r="CL278" s="111"/>
      <c r="CM278" s="111"/>
      <c r="CN278" s="111"/>
      <c r="CO278" s="112"/>
      <c r="CP278" s="191"/>
      <c r="CQ278" s="192"/>
      <c r="CR278" s="192"/>
      <c r="CS278" s="151"/>
      <c r="CT278" s="111"/>
      <c r="CU278" s="111"/>
      <c r="CV278" s="111"/>
      <c r="CW278" s="112"/>
      <c r="CX278" s="192"/>
      <c r="CY278" s="192"/>
      <c r="CZ278" s="192"/>
      <c r="DA278" s="151"/>
      <c r="DB278" s="10"/>
      <c r="DC278" s="10"/>
      <c r="DD278" s="10"/>
      <c r="DE278" s="151"/>
      <c r="DF278" s="192"/>
      <c r="DG278" s="192"/>
      <c r="DH278" s="192"/>
      <c r="DI278" s="151"/>
      <c r="DJ278" s="1"/>
      <c r="DK278" s="225"/>
      <c r="DL278" s="225"/>
      <c r="DM278" s="225"/>
      <c r="DN278" s="225"/>
      <c r="DO278" s="225"/>
      <c r="DP278" s="225"/>
      <c r="DQ278" s="225"/>
      <c r="DR278" s="225"/>
      <c r="DS278" s="225"/>
      <c r="DT278" s="225"/>
      <c r="DU278" s="225"/>
      <c r="DV278" s="225"/>
      <c r="DW278" s="1"/>
      <c r="EJ278" s="1"/>
      <c r="EK278" s="17"/>
      <c r="EL278" s="17"/>
      <c r="EM278" s="17"/>
      <c r="EN278" s="17"/>
      <c r="EO278" s="17"/>
      <c r="EP278" s="17"/>
      <c r="EQ278" s="17"/>
      <c r="ER278" s="17"/>
      <c r="ES278" s="17"/>
      <c r="EU278" s="17"/>
      <c r="EW278" s="1"/>
      <c r="EX278" s="225"/>
      <c r="EY278" s="225"/>
      <c r="EZ278" s="225"/>
      <c r="FA278" s="225"/>
      <c r="FB278" s="225"/>
      <c r="FC278" s="225"/>
      <c r="FD278" s="225"/>
      <c r="FE278" s="225"/>
      <c r="FF278" s="225"/>
      <c r="FG278" s="10"/>
      <c r="FH278" s="225"/>
      <c r="FI278" s="10"/>
      <c r="FJ278" s="1"/>
      <c r="FK278" s="225"/>
      <c r="FL278" s="225"/>
      <c r="FM278" s="225"/>
      <c r="FN278" s="225"/>
      <c r="FO278" s="225"/>
      <c r="FP278" s="225"/>
      <c r="FQ278" s="225"/>
      <c r="FR278" s="225"/>
      <c r="FS278" s="225"/>
      <c r="FT278" s="191"/>
      <c r="FU278" s="225"/>
      <c r="FV278" s="151"/>
    </row>
    <row r="279" spans="1:178" ht="16" thickBot="1" x14ac:dyDescent="0.25">
      <c r="A279" s="27" t="s">
        <v>94</v>
      </c>
      <c r="B279" t="s">
        <v>141</v>
      </c>
      <c r="C279" s="1"/>
      <c r="D279">
        <v>47</v>
      </c>
      <c r="E279" s="17">
        <v>48</v>
      </c>
      <c r="F279" s="241">
        <v>51</v>
      </c>
      <c r="G279" s="87">
        <v>49</v>
      </c>
      <c r="H279" s="87">
        <v>57</v>
      </c>
      <c r="I279" s="87">
        <v>53</v>
      </c>
      <c r="J279" s="17"/>
      <c r="K279" s="17"/>
      <c r="L279" s="17"/>
      <c r="M279" s="17"/>
      <c r="N279" s="17"/>
      <c r="O279" s="17"/>
      <c r="P279" s="1"/>
      <c r="Q279" s="48">
        <v>5255.53</v>
      </c>
      <c r="R279" s="49">
        <v>336.15</v>
      </c>
      <c r="S279" s="49">
        <v>3467.4100000000003</v>
      </c>
      <c r="T279" s="50">
        <f t="shared" si="84"/>
        <v>9059.09</v>
      </c>
      <c r="U279" s="48">
        <v>3605.9</v>
      </c>
      <c r="V279" s="49">
        <v>2636.51</v>
      </c>
      <c r="W279" s="49">
        <v>3849.33</v>
      </c>
      <c r="X279" s="50">
        <f t="shared" si="85"/>
        <v>10091.74</v>
      </c>
      <c r="Y279" s="48">
        <v>8913.9500000000007</v>
      </c>
      <c r="Z279" s="49">
        <v>2511.9299999999998</v>
      </c>
      <c r="AA279" s="49">
        <v>4763.2700000000004</v>
      </c>
      <c r="AB279" s="50">
        <f t="shared" si="86"/>
        <v>16189.150000000001</v>
      </c>
      <c r="AC279" s="164">
        <v>5535.3</v>
      </c>
      <c r="AD279" s="165">
        <v>4647.8599999999997</v>
      </c>
      <c r="AE279" s="165">
        <v>5090.74</v>
      </c>
      <c r="AF279" s="151">
        <f t="shared" si="87"/>
        <v>15273.9</v>
      </c>
      <c r="AG279" s="191">
        <v>5793.63</v>
      </c>
      <c r="AH279" s="10">
        <v>4102.74</v>
      </c>
      <c r="AI279" s="10">
        <v>4973.74</v>
      </c>
      <c r="AJ279" s="151">
        <f t="shared" si="88"/>
        <v>14870.109999999999</v>
      </c>
      <c r="AK279" s="99">
        <v>5492.87</v>
      </c>
      <c r="AL279" s="99">
        <v>2382.9</v>
      </c>
      <c r="AM279" s="99">
        <v>4535.67</v>
      </c>
      <c r="AN279" s="151">
        <f t="shared" si="89"/>
        <v>12411.44</v>
      </c>
      <c r="AO279" s="191"/>
      <c r="AP279" s="10"/>
      <c r="AQ279" s="10"/>
      <c r="AR279" s="151"/>
      <c r="AS279" s="191"/>
      <c r="AT279" s="192"/>
      <c r="AU279" s="192"/>
      <c r="AV279" s="151"/>
      <c r="AW279" s="192"/>
      <c r="AX279" s="192"/>
      <c r="AY279" s="192"/>
      <c r="AZ279" s="151"/>
      <c r="BA279" s="10"/>
      <c r="BB279" s="10"/>
      <c r="BC279" s="10"/>
      <c r="BD279" s="151"/>
      <c r="BE279" s="191"/>
      <c r="BF279" s="10"/>
      <c r="BG279" s="10"/>
      <c r="BH279" s="151"/>
      <c r="BI279" s="191"/>
      <c r="BJ279" s="10"/>
      <c r="BK279" s="10"/>
      <c r="BL279" s="151"/>
      <c r="BM279" s="1"/>
      <c r="BN279" s="48">
        <v>1006.85</v>
      </c>
      <c r="BO279" s="49">
        <v>234.98</v>
      </c>
      <c r="BP279" s="49">
        <v>990.17000000000007</v>
      </c>
      <c r="BQ279" s="50">
        <f t="shared" si="90"/>
        <v>2232</v>
      </c>
      <c r="BR279" s="48">
        <v>1214.19</v>
      </c>
      <c r="BS279" s="49"/>
      <c r="BT279" s="49">
        <v>952.14</v>
      </c>
      <c r="BU279" s="50">
        <f t="shared" si="91"/>
        <v>2166.33</v>
      </c>
      <c r="BV279" s="48">
        <v>1254.46</v>
      </c>
      <c r="BW279" s="49">
        <v>331.38</v>
      </c>
      <c r="BX279" s="49">
        <v>1073.43</v>
      </c>
      <c r="BY279" s="50">
        <f t="shared" si="92"/>
        <v>2659.2700000000004</v>
      </c>
      <c r="BZ279" s="182">
        <v>1991.68</v>
      </c>
      <c r="CA279" s="99">
        <v>4495.66</v>
      </c>
      <c r="CB279" s="99">
        <v>936.93</v>
      </c>
      <c r="CC279" s="98">
        <f t="shared" si="93"/>
        <v>7424.27</v>
      </c>
      <c r="CD279" s="182">
        <v>2270.0500000000002</v>
      </c>
      <c r="CE279" s="99">
        <v>2726.9</v>
      </c>
      <c r="CF279" s="99">
        <v>1813.42</v>
      </c>
      <c r="CG279" s="98">
        <f t="shared" si="94"/>
        <v>6810.3700000000008</v>
      </c>
      <c r="CH279" s="191">
        <v>263.18</v>
      </c>
      <c r="CI279" s="192">
        <v>2038.62</v>
      </c>
      <c r="CJ279" s="192">
        <v>2096.2600000000002</v>
      </c>
      <c r="CK279" s="98">
        <f t="shared" si="95"/>
        <v>4398.0599999999995</v>
      </c>
      <c r="CL279" s="111"/>
      <c r="CM279" s="111"/>
      <c r="CN279" s="111"/>
      <c r="CO279" s="112"/>
      <c r="CP279" s="191"/>
      <c r="CQ279" s="192"/>
      <c r="CR279" s="192"/>
      <c r="CS279" s="151"/>
      <c r="CT279" s="111"/>
      <c r="CU279" s="111"/>
      <c r="CV279" s="111"/>
      <c r="CW279" s="112"/>
      <c r="CX279" s="192"/>
      <c r="CY279" s="192"/>
      <c r="CZ279" s="192"/>
      <c r="DA279" s="151"/>
      <c r="DB279" s="10"/>
      <c r="DC279" s="10"/>
      <c r="DD279" s="10"/>
      <c r="DE279" s="151"/>
      <c r="DF279" s="192"/>
      <c r="DG279" s="192"/>
      <c r="DH279" s="192"/>
      <c r="DI279" s="151"/>
      <c r="DJ279" s="1"/>
      <c r="DK279" s="225">
        <v>407.53</v>
      </c>
      <c r="DL279" s="225"/>
      <c r="DM279" s="225">
        <v>438.85</v>
      </c>
      <c r="DN279" s="225">
        <v>40.06</v>
      </c>
      <c r="DO279" s="225">
        <v>2444.7600000000002</v>
      </c>
      <c r="DP279" s="225">
        <v>2873.22</v>
      </c>
      <c r="DQ279" s="225"/>
      <c r="DR279" s="225"/>
      <c r="DS279" s="225"/>
      <c r="DT279" s="225"/>
      <c r="DU279" s="225"/>
      <c r="DV279" s="225"/>
      <c r="DW279" s="1"/>
      <c r="EJ279" s="1"/>
      <c r="EK279" s="17">
        <v>1</v>
      </c>
      <c r="EL279" s="17"/>
      <c r="EM279" s="17">
        <v>2</v>
      </c>
      <c r="EN279" s="17">
        <v>2</v>
      </c>
      <c r="EO279" s="17">
        <v>2</v>
      </c>
      <c r="EP279" s="17">
        <v>4</v>
      </c>
      <c r="EQ279" s="17"/>
      <c r="ER279" s="17"/>
      <c r="ES279" s="17"/>
      <c r="EU279" s="17"/>
      <c r="EW279" s="1"/>
      <c r="EX279" s="225">
        <v>407.53</v>
      </c>
      <c r="EY279" s="225"/>
      <c r="EZ279" s="225">
        <v>438.85</v>
      </c>
      <c r="FA279" s="225">
        <v>40.06</v>
      </c>
      <c r="FB279" s="225">
        <v>2444.7600000000002</v>
      </c>
      <c r="FC279" s="225">
        <v>2873.22</v>
      </c>
      <c r="FD279" s="225"/>
      <c r="FE279" s="225"/>
      <c r="FF279" s="225"/>
      <c r="FG279" s="10"/>
      <c r="FH279" s="225"/>
      <c r="FI279" s="10"/>
      <c r="FJ279" s="1"/>
      <c r="FK279" s="225"/>
      <c r="FL279" s="225"/>
      <c r="FM279" s="225">
        <v>-101.36</v>
      </c>
      <c r="FN279" s="225"/>
      <c r="FO279" s="225"/>
      <c r="FP279" s="225"/>
      <c r="FQ279" s="225"/>
      <c r="FR279" s="225"/>
      <c r="FS279" s="225"/>
      <c r="FT279" s="191"/>
      <c r="FU279" s="225"/>
      <c r="FV279" s="151"/>
    </row>
    <row r="280" spans="1:178" ht="16" thickBot="1" x14ac:dyDescent="0.25">
      <c r="A280" s="27" t="s">
        <v>95</v>
      </c>
      <c r="B280" t="s">
        <v>141</v>
      </c>
      <c r="C280" s="1"/>
      <c r="D280">
        <v>13</v>
      </c>
      <c r="E280" s="17">
        <v>14</v>
      </c>
      <c r="F280" s="241">
        <v>16</v>
      </c>
      <c r="G280" s="87">
        <v>23</v>
      </c>
      <c r="H280" s="87">
        <v>18</v>
      </c>
      <c r="I280" s="87">
        <v>21</v>
      </c>
      <c r="J280" s="17"/>
      <c r="K280" s="17"/>
      <c r="L280" s="17"/>
      <c r="M280" s="17"/>
      <c r="N280" s="17"/>
      <c r="O280" s="17"/>
      <c r="P280" s="1"/>
      <c r="Q280" s="48">
        <v>776.48</v>
      </c>
      <c r="R280" s="49">
        <v>0</v>
      </c>
      <c r="S280" s="49">
        <v>2690.54</v>
      </c>
      <c r="T280" s="50">
        <f t="shared" si="84"/>
        <v>3467.02</v>
      </c>
      <c r="U280" s="48">
        <v>1692.51</v>
      </c>
      <c r="V280" s="49">
        <v>334</v>
      </c>
      <c r="W280" s="49">
        <v>1620.06</v>
      </c>
      <c r="X280" s="50">
        <f t="shared" si="85"/>
        <v>3646.5699999999997</v>
      </c>
      <c r="Y280" s="48">
        <v>2297.39</v>
      </c>
      <c r="Z280" s="49">
        <v>396.29</v>
      </c>
      <c r="AA280" s="49">
        <v>1905.57</v>
      </c>
      <c r="AB280" s="50">
        <f t="shared" si="86"/>
        <v>4599.25</v>
      </c>
      <c r="AC280" s="164">
        <v>3019.16</v>
      </c>
      <c r="AD280" s="165">
        <v>1924.28</v>
      </c>
      <c r="AE280" s="165">
        <v>2226.1</v>
      </c>
      <c r="AF280" s="151">
        <f t="shared" si="87"/>
        <v>7169.5399999999991</v>
      </c>
      <c r="AG280" s="191">
        <v>1354.71</v>
      </c>
      <c r="AH280" s="10">
        <v>1538.35</v>
      </c>
      <c r="AI280" s="10">
        <v>3354.46</v>
      </c>
      <c r="AJ280" s="151">
        <f t="shared" si="88"/>
        <v>6247.52</v>
      </c>
      <c r="AK280" s="99">
        <v>1390</v>
      </c>
      <c r="AL280" s="100">
        <v>1156.1099999999999</v>
      </c>
      <c r="AM280" s="99">
        <v>4452.2199999999993</v>
      </c>
      <c r="AN280" s="151">
        <f t="shared" si="89"/>
        <v>6998.329999999999</v>
      </c>
      <c r="AO280" s="191"/>
      <c r="AP280" s="10"/>
      <c r="AQ280" s="10"/>
      <c r="AR280" s="151"/>
      <c r="AS280" s="191"/>
      <c r="AT280" s="192"/>
      <c r="AU280" s="192"/>
      <c r="AV280" s="151"/>
      <c r="AW280" s="192"/>
      <c r="AX280" s="192"/>
      <c r="AY280" s="192"/>
      <c r="AZ280" s="151"/>
      <c r="BA280" s="10"/>
      <c r="BB280" s="10"/>
      <c r="BC280" s="10"/>
      <c r="BD280" s="151"/>
      <c r="BE280" s="191"/>
      <c r="BF280" s="10"/>
      <c r="BG280" s="10"/>
      <c r="BH280" s="151"/>
      <c r="BI280" s="191"/>
      <c r="BJ280" s="10"/>
      <c r="BK280" s="10"/>
      <c r="BL280" s="151"/>
      <c r="BM280" s="1"/>
      <c r="BN280" s="48">
        <v>218.38</v>
      </c>
      <c r="BO280" s="49"/>
      <c r="BP280" s="49">
        <v>1989.5900000000001</v>
      </c>
      <c r="BQ280" s="50">
        <f t="shared" si="90"/>
        <v>2207.9700000000003</v>
      </c>
      <c r="BR280" s="48">
        <v>109.82</v>
      </c>
      <c r="BS280" s="49"/>
      <c r="BT280" s="49">
        <v>949.63</v>
      </c>
      <c r="BU280" s="50">
        <f t="shared" si="91"/>
        <v>1059.45</v>
      </c>
      <c r="BV280" s="48">
        <v>314.89999999999998</v>
      </c>
      <c r="BW280" s="49"/>
      <c r="BX280" s="49">
        <v>1178.5</v>
      </c>
      <c r="BY280" s="50">
        <f t="shared" si="92"/>
        <v>1493.4</v>
      </c>
      <c r="BZ280" s="182">
        <v>736.98</v>
      </c>
      <c r="CA280" s="266">
        <v>2048.59</v>
      </c>
      <c r="CB280" s="99">
        <v>1452</v>
      </c>
      <c r="CC280" s="98">
        <f t="shared" si="93"/>
        <v>4237.57</v>
      </c>
      <c r="CD280" s="183">
        <v>273.10000000000002</v>
      </c>
      <c r="CE280" s="99">
        <v>1287.18</v>
      </c>
      <c r="CF280" s="99">
        <v>3002.0600000000004</v>
      </c>
      <c r="CG280" s="98">
        <f t="shared" si="94"/>
        <v>4562.34</v>
      </c>
      <c r="CH280" s="191">
        <v>456.41</v>
      </c>
      <c r="CI280" s="192">
        <v>1081.17</v>
      </c>
      <c r="CJ280" s="192">
        <v>4122.0599999999995</v>
      </c>
      <c r="CK280" s="98">
        <f t="shared" si="95"/>
        <v>5659.6399999999994</v>
      </c>
      <c r="CL280" s="111"/>
      <c r="CM280" s="111"/>
      <c r="CN280" s="111"/>
      <c r="CO280" s="112"/>
      <c r="CP280" s="191"/>
      <c r="CQ280" s="192"/>
      <c r="CR280" s="192"/>
      <c r="CS280" s="151"/>
      <c r="CT280" s="111"/>
      <c r="CU280" s="111"/>
      <c r="CV280" s="111"/>
      <c r="CW280" s="112"/>
      <c r="CX280" s="192"/>
      <c r="CY280" s="192"/>
      <c r="CZ280" s="192"/>
      <c r="DA280" s="151"/>
      <c r="DB280" s="10"/>
      <c r="DC280" s="10"/>
      <c r="DD280" s="10"/>
      <c r="DE280" s="151"/>
      <c r="DF280" s="192"/>
      <c r="DG280" s="192"/>
      <c r="DH280" s="192"/>
      <c r="DI280" s="151"/>
      <c r="DJ280" s="1"/>
      <c r="DK280" s="225"/>
      <c r="DL280" s="225"/>
      <c r="DM280" s="225"/>
      <c r="DN280" s="225"/>
      <c r="DO280" s="225">
        <v>179.86</v>
      </c>
      <c r="DP280" s="225">
        <v>28.09</v>
      </c>
      <c r="DQ280" s="225"/>
      <c r="DR280" s="225"/>
      <c r="DS280" s="225"/>
      <c r="DT280" s="225"/>
      <c r="DU280" s="225"/>
      <c r="DV280" s="225"/>
      <c r="DW280" s="1"/>
      <c r="EJ280" s="1"/>
      <c r="EK280" s="17"/>
      <c r="EL280" s="17"/>
      <c r="EM280" s="17"/>
      <c r="EN280" s="17"/>
      <c r="EO280" s="17">
        <v>1</v>
      </c>
      <c r="EP280" s="17">
        <v>1</v>
      </c>
      <c r="EQ280" s="17"/>
      <c r="ER280" s="17"/>
      <c r="ES280" s="17"/>
      <c r="EU280" s="17"/>
      <c r="EW280" s="1"/>
      <c r="EX280" s="225"/>
      <c r="EY280" s="225"/>
      <c r="EZ280" s="225"/>
      <c r="FA280" s="225"/>
      <c r="FB280" s="225">
        <v>179.86</v>
      </c>
      <c r="FC280" s="225">
        <v>28.09</v>
      </c>
      <c r="FD280" s="225"/>
      <c r="FE280" s="225"/>
      <c r="FF280" s="225"/>
      <c r="FG280" s="10"/>
      <c r="FH280" s="225"/>
      <c r="FI280" s="10"/>
      <c r="FJ280" s="1"/>
      <c r="FK280" s="225"/>
      <c r="FL280" s="225"/>
      <c r="FM280" s="225"/>
      <c r="FN280" s="225"/>
      <c r="FO280" s="225"/>
      <c r="FP280" s="225"/>
      <c r="FQ280" s="225"/>
      <c r="FR280" s="225"/>
      <c r="FS280" s="225"/>
      <c r="FT280" s="191"/>
      <c r="FU280" s="225"/>
      <c r="FV280" s="151"/>
    </row>
    <row r="281" spans="1:178" ht="16" thickBot="1" x14ac:dyDescent="0.25">
      <c r="A281" s="27" t="s">
        <v>96</v>
      </c>
      <c r="B281" t="s">
        <v>141</v>
      </c>
      <c r="C281" s="1"/>
      <c r="D281">
        <v>42</v>
      </c>
      <c r="E281" s="17">
        <v>35</v>
      </c>
      <c r="F281" s="241">
        <v>49</v>
      </c>
      <c r="G281" s="87">
        <v>36</v>
      </c>
      <c r="H281" s="87">
        <v>53</v>
      </c>
      <c r="I281" s="87">
        <v>51</v>
      </c>
      <c r="J281" s="17"/>
      <c r="K281" s="17"/>
      <c r="L281" s="17"/>
      <c r="M281" s="17"/>
      <c r="N281" s="17"/>
      <c r="O281" s="17"/>
      <c r="P281" s="1"/>
      <c r="Q281" s="48">
        <v>3787.88</v>
      </c>
      <c r="R281" s="49">
        <v>1038.68</v>
      </c>
      <c r="S281" s="49">
        <v>4648</v>
      </c>
      <c r="T281" s="50">
        <f t="shared" ref="T281:T320" si="96">Q281+R281+S281</f>
        <v>9474.5600000000013</v>
      </c>
      <c r="U281" s="48">
        <v>4049.01</v>
      </c>
      <c r="V281" s="49">
        <v>288.32</v>
      </c>
      <c r="W281" s="49">
        <v>6589.58</v>
      </c>
      <c r="X281" s="50">
        <f t="shared" ref="X281:X320" si="97">U281+V281+W281</f>
        <v>10926.91</v>
      </c>
      <c r="Y281" s="48">
        <v>7253.9800000000005</v>
      </c>
      <c r="Z281" s="49">
        <v>3937.21</v>
      </c>
      <c r="AA281" s="49">
        <v>7168.9400000000005</v>
      </c>
      <c r="AB281" s="50">
        <f t="shared" ref="AB281:AB320" si="98">Y281+Z281+AA281</f>
        <v>18360.13</v>
      </c>
      <c r="AC281" s="164">
        <v>3178.23</v>
      </c>
      <c r="AD281" s="165">
        <v>3137.77</v>
      </c>
      <c r="AE281" s="165">
        <v>3967.53</v>
      </c>
      <c r="AF281" s="151">
        <f t="shared" ref="AF281:AF320" si="99">AC281+AD281+AE281</f>
        <v>10283.530000000001</v>
      </c>
      <c r="AG281" s="191">
        <v>10426.19</v>
      </c>
      <c r="AH281" s="10">
        <v>1681.69</v>
      </c>
      <c r="AI281" s="10">
        <v>6190.6100000000006</v>
      </c>
      <c r="AJ281" s="151">
        <f t="shared" ref="AJ281:AJ320" si="100">AG281+AH281+AI281</f>
        <v>18298.490000000002</v>
      </c>
      <c r="AK281" s="99">
        <v>2440.66</v>
      </c>
      <c r="AL281" s="99">
        <v>7068.58</v>
      </c>
      <c r="AM281" s="99">
        <v>2959.78</v>
      </c>
      <c r="AN281" s="151">
        <f t="shared" ref="AN281:AN320" si="101">AK281+AL281+AM281</f>
        <v>12469.02</v>
      </c>
      <c r="AO281" s="191"/>
      <c r="AP281" s="10"/>
      <c r="AQ281" s="10"/>
      <c r="AR281" s="151"/>
      <c r="AS281" s="191"/>
      <c r="AT281" s="192"/>
      <c r="AU281" s="192"/>
      <c r="AV281" s="151"/>
      <c r="AW281" s="192"/>
      <c r="AX281" s="192"/>
      <c r="AY281" s="192"/>
      <c r="AZ281" s="151"/>
      <c r="BA281" s="10"/>
      <c r="BB281" s="10"/>
      <c r="BC281" s="10"/>
      <c r="BD281" s="151"/>
      <c r="BE281" s="191"/>
      <c r="BF281" s="10"/>
      <c r="BG281" s="10"/>
      <c r="BH281" s="151"/>
      <c r="BI281" s="191"/>
      <c r="BJ281" s="10"/>
      <c r="BK281" s="10"/>
      <c r="BL281" s="151"/>
      <c r="BM281" s="1"/>
      <c r="BN281" s="48">
        <v>720.77</v>
      </c>
      <c r="BO281" s="49">
        <v>359.11</v>
      </c>
      <c r="BP281" s="49">
        <v>1762.6299999999999</v>
      </c>
      <c r="BQ281" s="50">
        <f t="shared" ref="BQ281:BQ320" si="102">BN281+BO281+BP281</f>
        <v>2842.51</v>
      </c>
      <c r="BR281" s="48">
        <v>157.19999999999999</v>
      </c>
      <c r="BS281" s="49"/>
      <c r="BT281" s="49">
        <v>3979.74</v>
      </c>
      <c r="BU281" s="50">
        <f t="shared" ref="BU281:BU320" si="103">BR281+BS281+BT281</f>
        <v>4136.9399999999996</v>
      </c>
      <c r="BV281" s="48">
        <v>332.2</v>
      </c>
      <c r="BW281" s="49">
        <v>125.1</v>
      </c>
      <c r="BX281" s="49">
        <v>4527.16</v>
      </c>
      <c r="BY281" s="50">
        <f t="shared" ref="BY281:BY320" si="104">BV281+BW281+BX281</f>
        <v>4984.46</v>
      </c>
      <c r="BZ281" s="182">
        <v>962.89</v>
      </c>
      <c r="CA281" s="99">
        <v>2455.5300000000002</v>
      </c>
      <c r="CB281" s="99">
        <v>3570.58</v>
      </c>
      <c r="CC281" s="98">
        <f t="shared" ref="CC281:CC320" si="105">BZ281+CA281+CB281</f>
        <v>6989</v>
      </c>
      <c r="CD281" s="182">
        <v>2732.33</v>
      </c>
      <c r="CE281" s="99">
        <v>1253.1199999999999</v>
      </c>
      <c r="CF281" s="99">
        <v>4713.0600000000004</v>
      </c>
      <c r="CG281" s="98">
        <f t="shared" ref="CG281:CG320" si="106">CD281+CE281+CF281</f>
        <v>8698.51</v>
      </c>
      <c r="CH281" s="191">
        <v>780.17</v>
      </c>
      <c r="CI281" s="192">
        <v>4129.95</v>
      </c>
      <c r="CJ281" s="192">
        <v>1401.31</v>
      </c>
      <c r="CK281" s="98">
        <f t="shared" ref="CK281:CK320" si="107">CH281+CI281+CJ281</f>
        <v>6311.43</v>
      </c>
      <c r="CL281" s="111"/>
      <c r="CM281" s="111"/>
      <c r="CN281" s="111"/>
      <c r="CO281" s="112"/>
      <c r="CP281" s="191"/>
      <c r="CQ281" s="192"/>
      <c r="CR281" s="192"/>
      <c r="CS281" s="151"/>
      <c r="CT281" s="111"/>
      <c r="CU281" s="111"/>
      <c r="CV281" s="111"/>
      <c r="CW281" s="112"/>
      <c r="CX281" s="192"/>
      <c r="CY281" s="192"/>
      <c r="CZ281" s="192"/>
      <c r="DA281" s="151"/>
      <c r="DB281" s="10"/>
      <c r="DC281" s="10"/>
      <c r="DD281" s="10"/>
      <c r="DE281" s="151"/>
      <c r="DF281" s="192"/>
      <c r="DG281" s="192"/>
      <c r="DH281" s="192"/>
      <c r="DI281" s="151"/>
      <c r="DJ281" s="1"/>
      <c r="DK281" s="225">
        <v>552.26</v>
      </c>
      <c r="DL281" s="225">
        <v>437.36</v>
      </c>
      <c r="DM281" s="225">
        <v>638.22</v>
      </c>
      <c r="DN281" s="225">
        <v>985.7</v>
      </c>
      <c r="DO281" s="225">
        <v>310.20999999999998</v>
      </c>
      <c r="DP281" s="225">
        <v>2195.8000000000002</v>
      </c>
      <c r="DQ281" s="225"/>
      <c r="DR281" s="225"/>
      <c r="DS281" s="225"/>
      <c r="DT281" s="225"/>
      <c r="DU281" s="225"/>
      <c r="DV281" s="225"/>
      <c r="DW281" s="1"/>
      <c r="EJ281" s="1"/>
      <c r="EK281" s="17">
        <v>3</v>
      </c>
      <c r="EL281" s="17">
        <v>2</v>
      </c>
      <c r="EM281" s="17">
        <v>1</v>
      </c>
      <c r="EN281" s="17">
        <v>3</v>
      </c>
      <c r="EO281" s="17">
        <v>1</v>
      </c>
      <c r="EP281" s="17">
        <v>1</v>
      </c>
      <c r="EQ281" s="17"/>
      <c r="ER281" s="17"/>
      <c r="ES281" s="17"/>
      <c r="EU281" s="17"/>
      <c r="EW281" s="1"/>
      <c r="EX281" s="225">
        <v>552.26</v>
      </c>
      <c r="EY281" s="225">
        <v>437.36</v>
      </c>
      <c r="EZ281" s="225">
        <v>638.22</v>
      </c>
      <c r="FA281" s="225">
        <v>985.7</v>
      </c>
      <c r="FB281" s="225">
        <v>310.20999999999998</v>
      </c>
      <c r="FC281" s="225">
        <v>2195.8000000000002</v>
      </c>
      <c r="FD281" s="225"/>
      <c r="FE281" s="225"/>
      <c r="FF281" s="225"/>
      <c r="FG281" s="10"/>
      <c r="FH281" s="225"/>
      <c r="FI281" s="10"/>
      <c r="FJ281" s="1"/>
      <c r="FK281" s="225">
        <v>-300</v>
      </c>
      <c r="FL281" s="225">
        <v>-346.45</v>
      </c>
      <c r="FM281" s="225">
        <v>-150</v>
      </c>
      <c r="FN281" s="225"/>
      <c r="FO281" s="225"/>
      <c r="FP281" s="225"/>
      <c r="FQ281" s="225"/>
      <c r="FR281" s="225"/>
      <c r="FS281" s="225"/>
      <c r="FT281" s="191"/>
      <c r="FU281" s="225"/>
      <c r="FV281" s="151"/>
    </row>
    <row r="282" spans="1:178" ht="16" thickBot="1" x14ac:dyDescent="0.25">
      <c r="A282" s="27" t="s">
        <v>97</v>
      </c>
      <c r="B282" t="s">
        <v>141</v>
      </c>
      <c r="C282" s="1"/>
      <c r="D282">
        <v>9</v>
      </c>
      <c r="E282" s="17">
        <v>10</v>
      </c>
      <c r="F282" s="241">
        <v>8</v>
      </c>
      <c r="G282" s="87">
        <v>12</v>
      </c>
      <c r="H282" s="87">
        <v>9</v>
      </c>
      <c r="I282" s="87">
        <v>10</v>
      </c>
      <c r="J282" s="17"/>
      <c r="K282" s="17"/>
      <c r="L282" s="17"/>
      <c r="M282" s="17"/>
      <c r="N282" s="17"/>
      <c r="O282" s="17"/>
      <c r="P282" s="1"/>
      <c r="Q282" s="48">
        <v>357.76</v>
      </c>
      <c r="R282" s="49">
        <v>202.5</v>
      </c>
      <c r="S282" s="49">
        <v>1191.54</v>
      </c>
      <c r="T282" s="50">
        <f t="shared" si="96"/>
        <v>1751.8</v>
      </c>
      <c r="U282" s="48">
        <v>666.63</v>
      </c>
      <c r="V282" s="49">
        <v>90.72</v>
      </c>
      <c r="W282" s="49">
        <v>383.81</v>
      </c>
      <c r="X282" s="50">
        <f t="shared" si="97"/>
        <v>1141.1600000000001</v>
      </c>
      <c r="Y282" s="48">
        <v>801.73</v>
      </c>
      <c r="Z282" s="49">
        <v>148.53</v>
      </c>
      <c r="AA282" s="49">
        <v>792.29</v>
      </c>
      <c r="AB282" s="50">
        <f t="shared" si="98"/>
        <v>1742.55</v>
      </c>
      <c r="AC282" s="164">
        <v>1392.76</v>
      </c>
      <c r="AD282" s="166">
        <v>576.34</v>
      </c>
      <c r="AE282" s="165">
        <v>272.39</v>
      </c>
      <c r="AF282" s="151">
        <f t="shared" si="99"/>
        <v>2241.4899999999998</v>
      </c>
      <c r="AG282" s="191">
        <v>319.81</v>
      </c>
      <c r="AH282" s="10">
        <v>438.28</v>
      </c>
      <c r="AI282" s="10">
        <v>821.16000000000008</v>
      </c>
      <c r="AJ282" s="151">
        <f t="shared" si="100"/>
        <v>1579.25</v>
      </c>
      <c r="AK282" s="100">
        <v>235.13</v>
      </c>
      <c r="AL282" s="100">
        <v>9.27</v>
      </c>
      <c r="AM282" s="100">
        <v>691.27</v>
      </c>
      <c r="AN282" s="151">
        <f t="shared" si="101"/>
        <v>935.67</v>
      </c>
      <c r="AO282" s="191"/>
      <c r="AP282" s="10"/>
      <c r="AQ282" s="10"/>
      <c r="AR282" s="151"/>
      <c r="AS282" s="191"/>
      <c r="AT282" s="192"/>
      <c r="AU282" s="192"/>
      <c r="AV282" s="151"/>
      <c r="AW282" s="192"/>
      <c r="AX282" s="192"/>
      <c r="AY282" s="192"/>
      <c r="AZ282" s="151"/>
      <c r="BA282" s="10"/>
      <c r="BB282" s="10"/>
      <c r="BC282" s="10"/>
      <c r="BD282" s="151"/>
      <c r="BE282" s="191"/>
      <c r="BF282" s="10"/>
      <c r="BG282" s="10"/>
      <c r="BH282" s="151"/>
      <c r="BI282" s="191"/>
      <c r="BJ282" s="10"/>
      <c r="BK282" s="10"/>
      <c r="BL282" s="151"/>
      <c r="BM282" s="1"/>
      <c r="BN282" s="48">
        <v>172.04</v>
      </c>
      <c r="BO282" s="49"/>
      <c r="BP282" s="49">
        <v>259.05</v>
      </c>
      <c r="BQ282" s="50">
        <f t="shared" si="102"/>
        <v>431.09000000000003</v>
      </c>
      <c r="BR282" s="48">
        <v>22.46</v>
      </c>
      <c r="BS282" s="49"/>
      <c r="BT282" s="49">
        <v>0</v>
      </c>
      <c r="BU282" s="50">
        <f t="shared" si="103"/>
        <v>22.46</v>
      </c>
      <c r="BV282" s="48">
        <v>292.60000000000002</v>
      </c>
      <c r="BW282" s="49">
        <v>148.53</v>
      </c>
      <c r="BX282" s="49">
        <v>0</v>
      </c>
      <c r="BY282" s="50">
        <f t="shared" si="104"/>
        <v>441.13</v>
      </c>
      <c r="BZ282" s="182">
        <v>451.95</v>
      </c>
      <c r="CA282" s="266">
        <v>1537.98</v>
      </c>
      <c r="CB282" s="266">
        <v>272.39</v>
      </c>
      <c r="CC282" s="98">
        <f t="shared" si="105"/>
        <v>2262.3200000000002</v>
      </c>
      <c r="CD282" s="182">
        <v>307.07</v>
      </c>
      <c r="CE282" s="99"/>
      <c r="CF282" s="266">
        <v>821.16000000000008</v>
      </c>
      <c r="CG282" s="98">
        <f t="shared" si="106"/>
        <v>1128.23</v>
      </c>
      <c r="CH282" s="191">
        <v>0.17</v>
      </c>
      <c r="CI282" s="192">
        <v>27.81</v>
      </c>
      <c r="CJ282" s="192">
        <v>534.35</v>
      </c>
      <c r="CK282" s="98">
        <f t="shared" si="107"/>
        <v>562.33000000000004</v>
      </c>
      <c r="CL282" s="111"/>
      <c r="CM282" s="111"/>
      <c r="CN282" s="111"/>
      <c r="CO282" s="112"/>
      <c r="CP282" s="191"/>
      <c r="CQ282" s="192"/>
      <c r="CR282" s="192"/>
      <c r="CS282" s="151"/>
      <c r="CT282" s="111"/>
      <c r="CU282" s="111"/>
      <c r="CV282" s="111"/>
      <c r="CW282" s="112"/>
      <c r="CX282" s="192"/>
      <c r="CY282" s="192"/>
      <c r="CZ282" s="192"/>
      <c r="DA282" s="151"/>
      <c r="DB282" s="10"/>
      <c r="DC282" s="10"/>
      <c r="DD282" s="10"/>
      <c r="DE282" s="151"/>
      <c r="DF282" s="192"/>
      <c r="DG282" s="192"/>
      <c r="DH282" s="192"/>
      <c r="DI282" s="151"/>
      <c r="DJ282" s="1"/>
      <c r="DK282" s="225"/>
      <c r="DL282" s="225">
        <v>554.27</v>
      </c>
      <c r="DM282" s="225"/>
      <c r="DN282" s="225">
        <v>1236.1199999999999</v>
      </c>
      <c r="DO282" s="225"/>
      <c r="DP282" s="225"/>
      <c r="DQ282" s="225"/>
      <c r="DR282" s="225"/>
      <c r="DS282" s="225"/>
      <c r="DT282" s="225"/>
      <c r="DU282" s="225"/>
      <c r="DV282" s="225"/>
      <c r="DW282" s="1"/>
      <c r="EJ282" s="1"/>
      <c r="EK282" s="17"/>
      <c r="EL282" s="17">
        <v>2</v>
      </c>
      <c r="EM282" s="17"/>
      <c r="EN282" s="17">
        <v>1</v>
      </c>
      <c r="EO282" s="17"/>
      <c r="EP282" s="17"/>
      <c r="EQ282" s="17"/>
      <c r="ER282" s="17"/>
      <c r="ES282" s="17"/>
      <c r="EU282" s="17"/>
      <c r="EW282" s="1"/>
      <c r="EX282" s="225"/>
      <c r="EY282" s="225">
        <v>554.27</v>
      </c>
      <c r="EZ282" s="225"/>
      <c r="FA282" s="225">
        <v>1236.1199999999999</v>
      </c>
      <c r="FB282" s="225"/>
      <c r="FC282" s="225"/>
      <c r="FD282" s="225"/>
      <c r="FE282" s="225"/>
      <c r="FF282" s="225"/>
      <c r="FG282" s="10"/>
      <c r="FH282" s="225"/>
      <c r="FI282" s="10"/>
      <c r="FJ282" s="1"/>
      <c r="FK282" s="225"/>
      <c r="FL282" s="225"/>
      <c r="FM282" s="225"/>
      <c r="FN282" s="225"/>
      <c r="FO282" s="225"/>
      <c r="FP282" s="225"/>
      <c r="FQ282" s="225"/>
      <c r="FR282" s="225"/>
      <c r="FS282" s="225"/>
      <c r="FT282" s="191"/>
      <c r="FU282" s="225"/>
      <c r="FV282" s="151"/>
    </row>
    <row r="283" spans="1:178" ht="16" thickBot="1" x14ac:dyDescent="0.25">
      <c r="A283" s="27" t="s">
        <v>98</v>
      </c>
      <c r="B283" t="s">
        <v>141</v>
      </c>
      <c r="C283" s="1"/>
      <c r="D283">
        <v>56</v>
      </c>
      <c r="E283" s="17">
        <v>72</v>
      </c>
      <c r="F283" s="241">
        <v>75</v>
      </c>
      <c r="G283" s="87">
        <v>72</v>
      </c>
      <c r="H283" s="87">
        <v>68</v>
      </c>
      <c r="I283" s="87">
        <v>68</v>
      </c>
      <c r="J283" s="17"/>
      <c r="K283" s="17"/>
      <c r="L283" s="17"/>
      <c r="M283" s="17"/>
      <c r="N283" s="17"/>
      <c r="O283" s="17"/>
      <c r="P283" s="1"/>
      <c r="Q283" s="48">
        <v>8436.59</v>
      </c>
      <c r="R283" s="49">
        <v>2201.9499999999998</v>
      </c>
      <c r="S283" s="49">
        <v>1950.64</v>
      </c>
      <c r="T283" s="50">
        <f t="shared" si="96"/>
        <v>12589.18</v>
      </c>
      <c r="U283" s="48">
        <v>12822.22</v>
      </c>
      <c r="V283" s="49">
        <v>4841.88</v>
      </c>
      <c r="W283" s="49">
        <v>4373.68</v>
      </c>
      <c r="X283" s="50">
        <f t="shared" si="97"/>
        <v>22037.78</v>
      </c>
      <c r="Y283" s="48">
        <v>12357.7</v>
      </c>
      <c r="Z283" s="49">
        <v>8657.67</v>
      </c>
      <c r="AA283" s="49">
        <v>4876.8</v>
      </c>
      <c r="AB283" s="50">
        <f t="shared" si="98"/>
        <v>25892.170000000002</v>
      </c>
      <c r="AC283" s="164">
        <v>6918.58</v>
      </c>
      <c r="AD283" s="165">
        <v>7391.03</v>
      </c>
      <c r="AE283" s="165">
        <v>9457.65</v>
      </c>
      <c r="AF283" s="151">
        <f t="shared" si="99"/>
        <v>23767.260000000002</v>
      </c>
      <c r="AG283" s="191">
        <v>4510.0600000000004</v>
      </c>
      <c r="AH283" s="10">
        <v>4994.08</v>
      </c>
      <c r="AI283" s="10">
        <v>7104.2000000000007</v>
      </c>
      <c r="AJ283" s="151">
        <f t="shared" si="100"/>
        <v>16608.34</v>
      </c>
      <c r="AK283" s="99">
        <v>6153.48</v>
      </c>
      <c r="AL283" s="99">
        <v>2631.39</v>
      </c>
      <c r="AM283" s="99">
        <v>8796.92</v>
      </c>
      <c r="AN283" s="151">
        <f t="shared" si="101"/>
        <v>17581.79</v>
      </c>
      <c r="AO283" s="191"/>
      <c r="AP283" s="10"/>
      <c r="AQ283" s="10"/>
      <c r="AR283" s="151"/>
      <c r="AS283" s="191"/>
      <c r="AT283" s="192"/>
      <c r="AU283" s="192"/>
      <c r="AV283" s="151"/>
      <c r="AW283" s="192"/>
      <c r="AX283" s="192"/>
      <c r="AY283" s="192"/>
      <c r="AZ283" s="151"/>
      <c r="BA283" s="10"/>
      <c r="BB283" s="10"/>
      <c r="BC283" s="10"/>
      <c r="BD283" s="151"/>
      <c r="BE283" s="191"/>
      <c r="BF283" s="10"/>
      <c r="BG283" s="10"/>
      <c r="BH283" s="151"/>
      <c r="BI283" s="191"/>
      <c r="BJ283" s="10"/>
      <c r="BK283" s="10"/>
      <c r="BL283" s="151"/>
      <c r="BM283" s="1"/>
      <c r="BN283" s="48">
        <v>1584.26</v>
      </c>
      <c r="BO283" s="49">
        <v>348.21</v>
      </c>
      <c r="BP283" s="49">
        <v>1205.53</v>
      </c>
      <c r="BQ283" s="50">
        <f t="shared" si="102"/>
        <v>3138</v>
      </c>
      <c r="BR283" s="48">
        <v>1770.21</v>
      </c>
      <c r="BS283" s="49">
        <v>1296.04</v>
      </c>
      <c r="BT283" s="49">
        <v>203.95</v>
      </c>
      <c r="BU283" s="50">
        <f t="shared" si="103"/>
        <v>3270.2</v>
      </c>
      <c r="BV283" s="48">
        <v>1169.75</v>
      </c>
      <c r="BW283" s="49">
        <v>1548.94</v>
      </c>
      <c r="BX283" s="49">
        <v>1899.67</v>
      </c>
      <c r="BY283" s="50">
        <f t="shared" si="104"/>
        <v>4618.3600000000006</v>
      </c>
      <c r="BZ283" s="182">
        <v>1499.52</v>
      </c>
      <c r="CA283" s="99">
        <v>9013.64</v>
      </c>
      <c r="CB283" s="99">
        <v>5547.4</v>
      </c>
      <c r="CC283" s="98">
        <f t="shared" si="105"/>
        <v>16060.56</v>
      </c>
      <c r="CD283" s="182">
        <v>1195.06</v>
      </c>
      <c r="CE283" s="99">
        <v>5284.59</v>
      </c>
      <c r="CF283" s="99">
        <v>4949.25</v>
      </c>
      <c r="CG283" s="98">
        <f t="shared" si="106"/>
        <v>11428.9</v>
      </c>
      <c r="CH283" s="191">
        <v>868.46</v>
      </c>
      <c r="CI283" s="192">
        <v>4690.07</v>
      </c>
      <c r="CJ283" s="192">
        <v>6301.7699999999995</v>
      </c>
      <c r="CK283" s="98">
        <f t="shared" si="107"/>
        <v>11860.3</v>
      </c>
      <c r="CL283" s="111"/>
      <c r="CM283" s="111"/>
      <c r="CN283" s="111"/>
      <c r="CO283" s="112"/>
      <c r="CP283" s="191"/>
      <c r="CQ283" s="192"/>
      <c r="CR283" s="192"/>
      <c r="CS283" s="151"/>
      <c r="CT283" s="111"/>
      <c r="CU283" s="111"/>
      <c r="CV283" s="111"/>
      <c r="CW283" s="112"/>
      <c r="CX283" s="192"/>
      <c r="CY283" s="192"/>
      <c r="CZ283" s="192"/>
      <c r="DA283" s="151"/>
      <c r="DB283" s="10"/>
      <c r="DC283" s="10"/>
      <c r="DD283" s="10"/>
      <c r="DE283" s="151"/>
      <c r="DF283" s="192"/>
      <c r="DG283" s="192"/>
      <c r="DH283" s="192"/>
      <c r="DI283" s="151"/>
      <c r="DJ283" s="1"/>
      <c r="DK283" s="225">
        <v>233.67</v>
      </c>
      <c r="DL283" s="225"/>
      <c r="DM283" s="225">
        <v>413.79</v>
      </c>
      <c r="DN283" s="225">
        <v>1007.19</v>
      </c>
      <c r="DO283" s="225"/>
      <c r="DP283" s="225">
        <v>463.16</v>
      </c>
      <c r="DQ283" s="225"/>
      <c r="DR283" s="225"/>
      <c r="DS283" s="225"/>
      <c r="DT283" s="225"/>
      <c r="DU283" s="225"/>
      <c r="DV283" s="225"/>
      <c r="DW283" s="1"/>
      <c r="EJ283" s="1"/>
      <c r="EK283" s="17">
        <v>1</v>
      </c>
      <c r="EL283" s="17"/>
      <c r="EM283" s="17">
        <v>1</v>
      </c>
      <c r="EN283" s="17">
        <v>2</v>
      </c>
      <c r="EO283" s="17"/>
      <c r="EP283" s="17">
        <v>1</v>
      </c>
      <c r="EQ283" s="17"/>
      <c r="ER283" s="17"/>
      <c r="ES283" s="17"/>
      <c r="EU283" s="17"/>
      <c r="EW283" s="1"/>
      <c r="EX283" s="225">
        <v>233.67</v>
      </c>
      <c r="EY283" s="225"/>
      <c r="EZ283" s="225">
        <v>413.79</v>
      </c>
      <c r="FA283" s="225">
        <v>1007.19</v>
      </c>
      <c r="FB283" s="225"/>
      <c r="FC283" s="225">
        <v>463.16</v>
      </c>
      <c r="FD283" s="225"/>
      <c r="FE283" s="225"/>
      <c r="FF283" s="225"/>
      <c r="FG283" s="10"/>
      <c r="FH283" s="225"/>
      <c r="FI283" s="10"/>
      <c r="FJ283" s="1"/>
      <c r="FK283" s="225">
        <v>-300</v>
      </c>
      <c r="FL283" s="225">
        <v>-300</v>
      </c>
      <c r="FM283" s="225">
        <v>-250</v>
      </c>
      <c r="FN283" s="225"/>
      <c r="FO283" s="225"/>
      <c r="FP283" s="225"/>
      <c r="FQ283" s="225"/>
      <c r="FR283" s="225"/>
      <c r="FS283" s="225"/>
      <c r="FT283" s="191"/>
      <c r="FU283" s="225"/>
      <c r="FV283" s="151"/>
    </row>
    <row r="284" spans="1:178" ht="16" thickBot="1" x14ac:dyDescent="0.25">
      <c r="A284" s="27" t="s">
        <v>99</v>
      </c>
      <c r="B284" t="s">
        <v>141</v>
      </c>
      <c r="C284" s="1"/>
      <c r="D284">
        <v>1354</v>
      </c>
      <c r="E284" s="17">
        <v>1176</v>
      </c>
      <c r="F284" s="241">
        <v>1445</v>
      </c>
      <c r="G284" s="87">
        <v>1230</v>
      </c>
      <c r="H284" s="87">
        <v>1677</v>
      </c>
      <c r="I284" s="87">
        <v>1766</v>
      </c>
      <c r="J284" s="17"/>
      <c r="K284" s="17"/>
      <c r="L284" s="17"/>
      <c r="M284" s="17"/>
      <c r="N284" s="17"/>
      <c r="O284" s="17"/>
      <c r="P284" s="1"/>
      <c r="Q284" s="48">
        <v>106340.12</v>
      </c>
      <c r="R284" s="49">
        <v>61196.45</v>
      </c>
      <c r="S284" s="49">
        <v>89205.14</v>
      </c>
      <c r="T284" s="50">
        <f t="shared" si="96"/>
        <v>256741.71000000002</v>
      </c>
      <c r="U284" s="48">
        <v>105872.64</v>
      </c>
      <c r="V284" s="49">
        <v>51534.91</v>
      </c>
      <c r="W284" s="49">
        <v>110343.45</v>
      </c>
      <c r="X284" s="50">
        <f t="shared" si="97"/>
        <v>267751</v>
      </c>
      <c r="Y284" s="48">
        <v>160085.75</v>
      </c>
      <c r="Z284" s="49">
        <v>80921.87999999999</v>
      </c>
      <c r="AA284" s="49">
        <v>107556.71</v>
      </c>
      <c r="AB284" s="50">
        <f t="shared" si="98"/>
        <v>348564.34</v>
      </c>
      <c r="AC284" s="164">
        <v>103082.41</v>
      </c>
      <c r="AD284" s="165">
        <v>74777.070000000007</v>
      </c>
      <c r="AE284" s="165">
        <v>94950.989999999991</v>
      </c>
      <c r="AF284" s="151">
        <f t="shared" si="99"/>
        <v>272810.46999999997</v>
      </c>
      <c r="AG284" s="191">
        <v>116037.89</v>
      </c>
      <c r="AH284" s="10">
        <v>98837.05</v>
      </c>
      <c r="AI284" s="10">
        <v>119303.12</v>
      </c>
      <c r="AJ284" s="151">
        <f t="shared" si="100"/>
        <v>334178.06</v>
      </c>
      <c r="AK284" s="99">
        <v>87677.09</v>
      </c>
      <c r="AL284" s="99">
        <v>81775.98</v>
      </c>
      <c r="AM284" s="99">
        <v>126991.59999999999</v>
      </c>
      <c r="AN284" s="151">
        <f t="shared" si="101"/>
        <v>296444.67</v>
      </c>
      <c r="AO284" s="191"/>
      <c r="AP284" s="10"/>
      <c r="AQ284" s="10"/>
      <c r="AR284" s="151"/>
      <c r="AS284" s="191"/>
      <c r="AT284" s="192"/>
      <c r="AU284" s="192"/>
      <c r="AV284" s="151"/>
      <c r="AW284" s="192"/>
      <c r="AX284" s="192"/>
      <c r="AY284" s="192"/>
      <c r="AZ284" s="151"/>
      <c r="BA284" s="10"/>
      <c r="BB284" s="10"/>
      <c r="BC284" s="10"/>
      <c r="BD284" s="151"/>
      <c r="BE284" s="191"/>
      <c r="BF284" s="10"/>
      <c r="BG284" s="10"/>
      <c r="BH284" s="151"/>
      <c r="BI284" s="191"/>
      <c r="BJ284" s="10"/>
      <c r="BK284" s="10"/>
      <c r="BL284" s="151"/>
      <c r="BM284" s="1"/>
      <c r="BN284" s="48">
        <v>12457.41</v>
      </c>
      <c r="BO284" s="49">
        <v>10079.459999999999</v>
      </c>
      <c r="BP284" s="49">
        <v>23046.05</v>
      </c>
      <c r="BQ284" s="50">
        <f t="shared" si="102"/>
        <v>45582.92</v>
      </c>
      <c r="BR284" s="48">
        <v>9551.31</v>
      </c>
      <c r="BS284" s="49">
        <v>12253.33</v>
      </c>
      <c r="BT284" s="49">
        <v>30612.620000000003</v>
      </c>
      <c r="BU284" s="50">
        <f t="shared" si="103"/>
        <v>52417.26</v>
      </c>
      <c r="BV284" s="48">
        <v>16710.689999999999</v>
      </c>
      <c r="BW284" s="49">
        <v>12877</v>
      </c>
      <c r="BX284" s="49">
        <v>38326</v>
      </c>
      <c r="BY284" s="50">
        <f t="shared" si="104"/>
        <v>67913.69</v>
      </c>
      <c r="BZ284" s="182">
        <v>16399.310000000001</v>
      </c>
      <c r="CA284" s="99">
        <v>88719.71</v>
      </c>
      <c r="CB284" s="99">
        <v>50171.03</v>
      </c>
      <c r="CC284" s="98">
        <f t="shared" si="105"/>
        <v>155290.04999999999</v>
      </c>
      <c r="CD284" s="182">
        <v>20753.87</v>
      </c>
      <c r="CE284" s="99">
        <v>92623.77</v>
      </c>
      <c r="CF284" s="99">
        <v>54351.270000000004</v>
      </c>
      <c r="CG284" s="98">
        <f t="shared" si="106"/>
        <v>167728.91</v>
      </c>
      <c r="CH284" s="191">
        <v>15125.91</v>
      </c>
      <c r="CI284" s="192">
        <v>84455.16</v>
      </c>
      <c r="CJ284" s="192">
        <v>62108.7</v>
      </c>
      <c r="CK284" s="98">
        <f t="shared" si="107"/>
        <v>161689.77000000002</v>
      </c>
      <c r="CL284" s="111"/>
      <c r="CM284" s="111"/>
      <c r="CN284" s="111"/>
      <c r="CO284" s="112"/>
      <c r="CP284" s="191"/>
      <c r="CQ284" s="192"/>
      <c r="CR284" s="192"/>
      <c r="CS284" s="151"/>
      <c r="CT284" s="111"/>
      <c r="CU284" s="111"/>
      <c r="CV284" s="111"/>
      <c r="CW284" s="112"/>
      <c r="CX284" s="192"/>
      <c r="CY284" s="192"/>
      <c r="CZ284" s="192"/>
      <c r="DA284" s="151"/>
      <c r="DB284" s="10"/>
      <c r="DC284" s="10"/>
      <c r="DD284" s="10"/>
      <c r="DE284" s="151"/>
      <c r="DF284" s="192"/>
      <c r="DG284" s="192"/>
      <c r="DH284" s="192"/>
      <c r="DI284" s="151"/>
      <c r="DJ284" s="1"/>
      <c r="DK284" s="225">
        <v>12689.84</v>
      </c>
      <c r="DL284" s="225">
        <v>11962.69</v>
      </c>
      <c r="DM284" s="225">
        <v>18368.05</v>
      </c>
      <c r="DN284" s="225">
        <v>33648.76</v>
      </c>
      <c r="DO284" s="225">
        <v>17858.71</v>
      </c>
      <c r="DP284" s="225">
        <v>34524.31</v>
      </c>
      <c r="DQ284" s="225"/>
      <c r="DR284" s="225"/>
      <c r="DS284" s="225"/>
      <c r="DT284" s="225"/>
      <c r="DU284" s="225"/>
      <c r="DV284" s="225"/>
      <c r="DW284" s="1"/>
      <c r="EJ284" s="1"/>
      <c r="EK284" s="17">
        <v>55</v>
      </c>
      <c r="EL284" s="17">
        <v>46</v>
      </c>
      <c r="EM284" s="17">
        <v>56</v>
      </c>
      <c r="EN284" s="17">
        <v>99</v>
      </c>
      <c r="EO284" s="17">
        <v>43</v>
      </c>
      <c r="EP284" s="17">
        <v>77</v>
      </c>
      <c r="EQ284" s="17"/>
      <c r="ER284" s="17"/>
      <c r="ES284" s="17"/>
      <c r="EU284" s="17"/>
      <c r="EW284" s="1"/>
      <c r="EX284" s="225">
        <v>12681.85</v>
      </c>
      <c r="EY284" s="225">
        <v>11962.69</v>
      </c>
      <c r="EZ284" s="225">
        <v>18354.43</v>
      </c>
      <c r="FA284" s="225">
        <v>33622.199999999997</v>
      </c>
      <c r="FB284" s="225">
        <v>17858.71</v>
      </c>
      <c r="FC284" s="225">
        <v>34509.4</v>
      </c>
      <c r="FD284" s="225"/>
      <c r="FE284" s="225"/>
      <c r="FF284" s="225"/>
      <c r="FG284" s="10"/>
      <c r="FH284" s="225"/>
      <c r="FI284" s="10"/>
      <c r="FJ284" s="1"/>
      <c r="FK284" s="225">
        <v>-1494.39</v>
      </c>
      <c r="FL284" s="225">
        <v>-1743.35</v>
      </c>
      <c r="FM284" s="225">
        <v>-2161.64</v>
      </c>
      <c r="FN284" s="225">
        <v>-1896.41</v>
      </c>
      <c r="FO284" s="225">
        <v>-1550.94</v>
      </c>
      <c r="FP284" s="225">
        <v>-1375.49</v>
      </c>
      <c r="FQ284" s="225"/>
      <c r="FR284" s="225"/>
      <c r="FS284" s="225"/>
      <c r="FT284" s="191"/>
      <c r="FU284" s="225"/>
      <c r="FV284" s="151"/>
    </row>
    <row r="285" spans="1:178" ht="16" thickBot="1" x14ac:dyDescent="0.25">
      <c r="A285" s="27" t="s">
        <v>100</v>
      </c>
      <c r="B285" t="s">
        <v>141</v>
      </c>
      <c r="C285" s="1"/>
      <c r="D285">
        <v>0</v>
      </c>
      <c r="E285" s="17">
        <v>1</v>
      </c>
      <c r="F285" s="241">
        <v>1</v>
      </c>
      <c r="G285" s="87">
        <v>0</v>
      </c>
      <c r="H285" s="87"/>
      <c r="I285" s="87"/>
      <c r="J285" s="17"/>
      <c r="K285" s="17"/>
      <c r="L285" s="17"/>
      <c r="M285" s="17"/>
      <c r="N285" s="17"/>
      <c r="O285" s="17"/>
      <c r="P285" s="1"/>
      <c r="Q285" s="48">
        <v>0</v>
      </c>
      <c r="R285" s="49">
        <v>0</v>
      </c>
      <c r="S285" s="49">
        <v>0</v>
      </c>
      <c r="T285" s="50">
        <f t="shared" si="96"/>
        <v>0</v>
      </c>
      <c r="U285" s="48">
        <v>7.23</v>
      </c>
      <c r="V285" s="49">
        <v>0</v>
      </c>
      <c r="W285" s="49">
        <v>0</v>
      </c>
      <c r="X285" s="50">
        <f t="shared" si="97"/>
        <v>7.23</v>
      </c>
      <c r="Y285" s="48">
        <v>154.49</v>
      </c>
      <c r="Z285" s="49">
        <v>0</v>
      </c>
      <c r="AA285" s="49">
        <v>0</v>
      </c>
      <c r="AB285" s="50">
        <f t="shared" si="98"/>
        <v>154.49</v>
      </c>
      <c r="AC285" s="164"/>
      <c r="AD285" s="166"/>
      <c r="AE285" s="166">
        <v>0</v>
      </c>
      <c r="AF285" s="151">
        <f t="shared" si="99"/>
        <v>0</v>
      </c>
      <c r="AG285" s="191"/>
      <c r="AH285" s="10"/>
      <c r="AI285" s="10">
        <v>0</v>
      </c>
      <c r="AJ285" s="151">
        <f t="shared" si="100"/>
        <v>0</v>
      </c>
      <c r="AK285" s="100"/>
      <c r="AL285" s="100"/>
      <c r="AM285" s="100"/>
      <c r="AN285" s="151">
        <f t="shared" si="101"/>
        <v>0</v>
      </c>
      <c r="AO285" s="191"/>
      <c r="AP285" s="10"/>
      <c r="AQ285" s="10"/>
      <c r="AR285" s="151"/>
      <c r="AS285" s="191"/>
      <c r="AT285" s="192"/>
      <c r="AU285" s="192"/>
      <c r="AV285" s="151"/>
      <c r="AW285" s="192"/>
      <c r="AX285" s="192"/>
      <c r="AY285" s="192"/>
      <c r="AZ285" s="151"/>
      <c r="BA285" s="10"/>
      <c r="BB285" s="10"/>
      <c r="BC285" s="10"/>
      <c r="BD285" s="151"/>
      <c r="BE285" s="191"/>
      <c r="BF285" s="10"/>
      <c r="BG285" s="10"/>
      <c r="BH285" s="151"/>
      <c r="BI285" s="191"/>
      <c r="BJ285" s="10"/>
      <c r="BK285" s="10"/>
      <c r="BL285" s="151"/>
      <c r="BM285" s="1"/>
      <c r="BN285" s="48"/>
      <c r="BO285" s="49"/>
      <c r="BP285" s="49">
        <v>0</v>
      </c>
      <c r="BQ285" s="50">
        <f t="shared" si="102"/>
        <v>0</v>
      </c>
      <c r="BR285" s="48"/>
      <c r="BS285" s="49"/>
      <c r="BT285" s="49">
        <v>0</v>
      </c>
      <c r="BU285" s="50">
        <f t="shared" si="103"/>
        <v>0</v>
      </c>
      <c r="BV285" s="48"/>
      <c r="BW285" s="49"/>
      <c r="BX285" s="49">
        <v>0</v>
      </c>
      <c r="BY285" s="50">
        <f t="shared" si="104"/>
        <v>0</v>
      </c>
      <c r="BZ285" s="183"/>
      <c r="CA285" s="266"/>
      <c r="CB285" s="266"/>
      <c r="CC285" s="98">
        <f t="shared" si="105"/>
        <v>0</v>
      </c>
      <c r="CD285" s="183"/>
      <c r="CE285" s="266"/>
      <c r="CF285" s="266"/>
      <c r="CG285" s="98">
        <f t="shared" si="106"/>
        <v>0</v>
      </c>
      <c r="CH285" s="191"/>
      <c r="CI285" s="192"/>
      <c r="CJ285" s="192">
        <v>0</v>
      </c>
      <c r="CK285" s="98">
        <f t="shared" si="107"/>
        <v>0</v>
      </c>
      <c r="CL285" s="111"/>
      <c r="CM285" s="111"/>
      <c r="CN285" s="111"/>
      <c r="CO285" s="112"/>
      <c r="CP285" s="191"/>
      <c r="CQ285" s="192"/>
      <c r="CR285" s="192"/>
      <c r="CS285" s="151"/>
      <c r="CT285" s="111"/>
      <c r="CU285" s="111"/>
      <c r="CV285" s="111"/>
      <c r="CW285" s="112"/>
      <c r="CX285" s="192"/>
      <c r="CY285" s="192"/>
      <c r="CZ285" s="192"/>
      <c r="DA285" s="151"/>
      <c r="DB285" s="10"/>
      <c r="DC285" s="10"/>
      <c r="DD285" s="10"/>
      <c r="DE285" s="151"/>
      <c r="DF285" s="192"/>
      <c r="DG285" s="192"/>
      <c r="DH285" s="192"/>
      <c r="DI285" s="151"/>
      <c r="DJ285" s="1"/>
      <c r="DK285" s="225"/>
      <c r="DL285" s="225"/>
      <c r="DM285" s="225"/>
      <c r="DN285" s="225"/>
      <c r="DO285" s="225"/>
      <c r="DP285" s="225"/>
      <c r="DQ285" s="225"/>
      <c r="DR285" s="225"/>
      <c r="DS285" s="225"/>
      <c r="DT285" s="225"/>
      <c r="DU285" s="225"/>
      <c r="DV285" s="225"/>
      <c r="DW285" s="1"/>
      <c r="EJ285" s="1"/>
      <c r="EK285" s="17"/>
      <c r="EL285" s="17"/>
      <c r="EM285" s="17"/>
      <c r="EN285" s="17"/>
      <c r="EO285" s="17"/>
      <c r="EP285" s="17"/>
      <c r="EQ285" s="17"/>
      <c r="ER285" s="17"/>
      <c r="ES285" s="17"/>
      <c r="EU285" s="17"/>
      <c r="EW285" s="1"/>
      <c r="EX285" s="225"/>
      <c r="EY285" s="225"/>
      <c r="EZ285" s="225"/>
      <c r="FA285" s="225"/>
      <c r="FB285" s="225"/>
      <c r="FC285" s="225"/>
      <c r="FD285" s="225"/>
      <c r="FE285" s="225"/>
      <c r="FF285" s="225"/>
      <c r="FG285" s="10"/>
      <c r="FH285" s="225"/>
      <c r="FI285" s="10"/>
      <c r="FJ285" s="1"/>
      <c r="FK285" s="225"/>
      <c r="FL285" s="225"/>
      <c r="FM285" s="225"/>
      <c r="FN285" s="225"/>
      <c r="FO285" s="225"/>
      <c r="FP285" s="225"/>
      <c r="FQ285" s="225"/>
      <c r="FR285" s="225"/>
      <c r="FS285" s="225"/>
      <c r="FT285" s="191"/>
      <c r="FU285" s="225"/>
      <c r="FV285" s="151"/>
    </row>
    <row r="286" spans="1:178" ht="16" thickBot="1" x14ac:dyDescent="0.25">
      <c r="A286" s="27" t="s">
        <v>101</v>
      </c>
      <c r="B286" t="s">
        <v>141</v>
      </c>
      <c r="C286" s="1"/>
      <c r="D286">
        <v>35</v>
      </c>
      <c r="E286" s="17">
        <v>29</v>
      </c>
      <c r="F286" s="241">
        <v>30</v>
      </c>
      <c r="G286" s="87">
        <v>31</v>
      </c>
      <c r="H286" s="87">
        <v>51</v>
      </c>
      <c r="I286" s="87">
        <v>40</v>
      </c>
      <c r="J286" s="17"/>
      <c r="K286" s="17"/>
      <c r="L286" s="17"/>
      <c r="M286" s="17"/>
      <c r="N286" s="17"/>
      <c r="O286" s="17"/>
      <c r="P286" s="1"/>
      <c r="Q286" s="48">
        <v>4023.64</v>
      </c>
      <c r="R286" s="49">
        <v>1551.26</v>
      </c>
      <c r="S286" s="49">
        <v>3487.6600000000003</v>
      </c>
      <c r="T286" s="50">
        <f t="shared" si="96"/>
        <v>9062.56</v>
      </c>
      <c r="U286" s="48">
        <v>2455.85</v>
      </c>
      <c r="V286" s="49">
        <v>764.09</v>
      </c>
      <c r="W286" s="49">
        <v>3137.3199999999997</v>
      </c>
      <c r="X286" s="50">
        <f t="shared" si="97"/>
        <v>6357.26</v>
      </c>
      <c r="Y286" s="48">
        <v>5270.39</v>
      </c>
      <c r="Z286" s="49">
        <v>1609.83</v>
      </c>
      <c r="AA286" s="49">
        <v>2889.49</v>
      </c>
      <c r="AB286" s="50">
        <f t="shared" si="98"/>
        <v>9769.7099999999991</v>
      </c>
      <c r="AC286" s="164">
        <v>3808.27</v>
      </c>
      <c r="AD286" s="165">
        <v>2558.8000000000002</v>
      </c>
      <c r="AE286" s="165">
        <v>798.22</v>
      </c>
      <c r="AF286" s="151">
        <f t="shared" si="99"/>
        <v>7165.29</v>
      </c>
      <c r="AG286" s="191">
        <v>4280.37</v>
      </c>
      <c r="AH286" s="10">
        <v>3463.78</v>
      </c>
      <c r="AI286" s="10">
        <v>1573.98</v>
      </c>
      <c r="AJ286" s="151">
        <f t="shared" si="100"/>
        <v>9318.1299999999992</v>
      </c>
      <c r="AK286" s="99">
        <v>2710.59</v>
      </c>
      <c r="AL286" s="99">
        <v>2819.96</v>
      </c>
      <c r="AM286" s="99">
        <v>2691.28</v>
      </c>
      <c r="AN286" s="151">
        <f t="shared" si="101"/>
        <v>8221.83</v>
      </c>
      <c r="AO286" s="191"/>
      <c r="AP286" s="10"/>
      <c r="AQ286" s="10"/>
      <c r="AR286" s="151"/>
      <c r="AS286" s="191"/>
      <c r="AT286" s="192"/>
      <c r="AU286" s="192"/>
      <c r="AV286" s="151"/>
      <c r="AW286" s="192"/>
      <c r="AX286" s="192"/>
      <c r="AY286" s="192"/>
      <c r="AZ286" s="151"/>
      <c r="BA286" s="10"/>
      <c r="BB286" s="10"/>
      <c r="BC286" s="10"/>
      <c r="BD286" s="151"/>
      <c r="BE286" s="191"/>
      <c r="BF286" s="10"/>
      <c r="BG286" s="10"/>
      <c r="BH286" s="151"/>
      <c r="BI286" s="191"/>
      <c r="BJ286" s="10"/>
      <c r="BK286" s="10"/>
      <c r="BL286" s="151"/>
      <c r="BM286" s="1"/>
      <c r="BN286" s="48">
        <v>413.06</v>
      </c>
      <c r="BO286" s="49">
        <v>415.78</v>
      </c>
      <c r="BP286" s="49">
        <v>861.13</v>
      </c>
      <c r="BQ286" s="50">
        <f t="shared" si="102"/>
        <v>1689.9699999999998</v>
      </c>
      <c r="BR286" s="48">
        <v>93.43</v>
      </c>
      <c r="BS286" s="49"/>
      <c r="BT286" s="49">
        <v>993.14</v>
      </c>
      <c r="BU286" s="50">
        <f t="shared" si="103"/>
        <v>1086.57</v>
      </c>
      <c r="BV286" s="48">
        <v>1167.02</v>
      </c>
      <c r="BW286" s="49"/>
      <c r="BX286" s="49">
        <v>1184.1200000000001</v>
      </c>
      <c r="BY286" s="50">
        <f t="shared" si="104"/>
        <v>2351.1400000000003</v>
      </c>
      <c r="BZ286" s="182">
        <v>1135.8</v>
      </c>
      <c r="CA286" s="99">
        <v>2256.3200000000002</v>
      </c>
      <c r="CB286" s="99">
        <v>723.22</v>
      </c>
      <c r="CC286" s="98">
        <f t="shared" si="105"/>
        <v>4115.34</v>
      </c>
      <c r="CD286" s="182">
        <v>1020.85</v>
      </c>
      <c r="CE286" s="99">
        <v>1780.4</v>
      </c>
      <c r="CF286" s="99">
        <v>856.85</v>
      </c>
      <c r="CG286" s="98">
        <f t="shared" si="106"/>
        <v>3658.1</v>
      </c>
      <c r="CH286" s="191">
        <v>552.83000000000004</v>
      </c>
      <c r="CI286" s="192">
        <v>1657.74</v>
      </c>
      <c r="CJ286" s="192">
        <v>1753.1100000000001</v>
      </c>
      <c r="CK286" s="98">
        <f t="shared" si="107"/>
        <v>3963.6800000000003</v>
      </c>
      <c r="CL286" s="111"/>
      <c r="CM286" s="111"/>
      <c r="CN286" s="111"/>
      <c r="CO286" s="112"/>
      <c r="CP286" s="191"/>
      <c r="CQ286" s="192"/>
      <c r="CR286" s="192"/>
      <c r="CS286" s="151"/>
      <c r="CT286" s="111"/>
      <c r="CU286" s="111"/>
      <c r="CV286" s="111"/>
      <c r="CW286" s="112"/>
      <c r="CX286" s="192"/>
      <c r="CY286" s="192"/>
      <c r="CZ286" s="192"/>
      <c r="DA286" s="151"/>
      <c r="DB286" s="10"/>
      <c r="DC286" s="10"/>
      <c r="DD286" s="10"/>
      <c r="DE286" s="151"/>
      <c r="DF286" s="192"/>
      <c r="DG286" s="192"/>
      <c r="DH286" s="192"/>
      <c r="DI286" s="151"/>
      <c r="DJ286" s="1"/>
      <c r="DK286" s="225">
        <v>27.17</v>
      </c>
      <c r="DL286" s="225"/>
      <c r="DM286" s="225">
        <v>648.15</v>
      </c>
      <c r="DN286" s="225"/>
      <c r="DO286" s="225"/>
      <c r="DP286" s="225">
        <v>1373.17</v>
      </c>
      <c r="DQ286" s="225"/>
      <c r="DR286" s="225"/>
      <c r="DS286" s="225"/>
      <c r="DT286" s="225"/>
      <c r="DU286" s="225"/>
      <c r="DV286" s="225"/>
      <c r="DW286" s="1"/>
      <c r="EJ286" s="1"/>
      <c r="EK286" s="17">
        <v>1</v>
      </c>
      <c r="EL286" s="17"/>
      <c r="EM286" s="17">
        <v>2</v>
      </c>
      <c r="EN286" s="17"/>
      <c r="EO286" s="17"/>
      <c r="EP286" s="17">
        <v>3</v>
      </c>
      <c r="EQ286" s="17"/>
      <c r="ER286" s="17"/>
      <c r="ES286" s="17"/>
      <c r="EU286" s="17"/>
      <c r="EW286" s="1"/>
      <c r="EX286" s="225">
        <v>27.17</v>
      </c>
      <c r="EY286" s="225"/>
      <c r="EZ286" s="225">
        <v>648.15</v>
      </c>
      <c r="FA286" s="225"/>
      <c r="FB286" s="225"/>
      <c r="FC286" s="225">
        <v>1373.17</v>
      </c>
      <c r="FD286" s="225"/>
      <c r="FE286" s="225"/>
      <c r="FF286" s="225"/>
      <c r="FG286" s="10"/>
      <c r="FH286" s="225"/>
      <c r="FI286" s="10"/>
      <c r="FJ286" s="1"/>
      <c r="FK286" s="225">
        <v>-27.17</v>
      </c>
      <c r="FL286" s="225"/>
      <c r="FM286" s="225"/>
      <c r="FN286" s="225"/>
      <c r="FO286" s="225"/>
      <c r="FP286" s="225"/>
      <c r="FQ286" s="225"/>
      <c r="FR286" s="225"/>
      <c r="FS286" s="225"/>
      <c r="FT286" s="191"/>
      <c r="FU286" s="225"/>
      <c r="FV286" s="151"/>
    </row>
    <row r="287" spans="1:178" ht="16" thickBot="1" x14ac:dyDescent="0.25">
      <c r="A287" s="27" t="s">
        <v>102</v>
      </c>
      <c r="B287" t="s">
        <v>141</v>
      </c>
      <c r="C287" s="1"/>
      <c r="D287">
        <v>52</v>
      </c>
      <c r="E287" s="17">
        <v>74</v>
      </c>
      <c r="F287" s="241">
        <v>68</v>
      </c>
      <c r="G287" s="87">
        <v>88</v>
      </c>
      <c r="H287" s="87">
        <v>85</v>
      </c>
      <c r="I287" s="87">
        <v>71</v>
      </c>
      <c r="J287" s="17"/>
      <c r="K287" s="17"/>
      <c r="L287" s="17"/>
      <c r="M287" s="17"/>
      <c r="N287" s="17"/>
      <c r="O287" s="17"/>
      <c r="P287" s="1"/>
      <c r="Q287" s="48">
        <v>4365.5200000000004</v>
      </c>
      <c r="R287" s="49">
        <v>1067.3900000000001</v>
      </c>
      <c r="S287" s="49">
        <v>7798.0700000000006</v>
      </c>
      <c r="T287" s="50">
        <f t="shared" si="96"/>
        <v>13230.980000000001</v>
      </c>
      <c r="U287" s="48">
        <v>11481.92</v>
      </c>
      <c r="V287" s="49">
        <v>3924.89</v>
      </c>
      <c r="W287" s="49">
        <v>8562.6200000000008</v>
      </c>
      <c r="X287" s="50">
        <f t="shared" si="97"/>
        <v>23969.43</v>
      </c>
      <c r="Y287" s="48">
        <v>8610.18</v>
      </c>
      <c r="Z287" s="49">
        <v>9219.59</v>
      </c>
      <c r="AA287" s="49">
        <v>7573.46</v>
      </c>
      <c r="AB287" s="50">
        <f t="shared" si="98"/>
        <v>25403.23</v>
      </c>
      <c r="AC287" s="164">
        <v>15412.88</v>
      </c>
      <c r="AD287" s="165">
        <v>5659.28</v>
      </c>
      <c r="AE287" s="165">
        <v>17349.93</v>
      </c>
      <c r="AF287" s="151">
        <f t="shared" si="99"/>
        <v>38422.089999999997</v>
      </c>
      <c r="AG287" s="191">
        <v>7931.54</v>
      </c>
      <c r="AH287" s="10">
        <v>11573.46</v>
      </c>
      <c r="AI287" s="10">
        <v>16537.04</v>
      </c>
      <c r="AJ287" s="151">
        <f t="shared" si="100"/>
        <v>36042.04</v>
      </c>
      <c r="AK287" s="99">
        <v>4917.8500000000004</v>
      </c>
      <c r="AL287" s="99">
        <v>2942.14</v>
      </c>
      <c r="AM287" s="99">
        <v>13276.730000000001</v>
      </c>
      <c r="AN287" s="151">
        <f t="shared" si="101"/>
        <v>21136.720000000001</v>
      </c>
      <c r="AO287" s="191"/>
      <c r="AP287" s="10"/>
      <c r="AQ287" s="10"/>
      <c r="AR287" s="151"/>
      <c r="AS287" s="191"/>
      <c r="AT287" s="192"/>
      <c r="AU287" s="192"/>
      <c r="AV287" s="151"/>
      <c r="AW287" s="192"/>
      <c r="AX287" s="192"/>
      <c r="AY287" s="192"/>
      <c r="AZ287" s="151"/>
      <c r="BA287" s="10"/>
      <c r="BB287" s="10"/>
      <c r="BC287" s="10"/>
      <c r="BD287" s="151"/>
      <c r="BE287" s="191"/>
      <c r="BF287" s="10"/>
      <c r="BG287" s="10"/>
      <c r="BH287" s="151"/>
      <c r="BI287" s="191"/>
      <c r="BJ287" s="10"/>
      <c r="BK287" s="10"/>
      <c r="BL287" s="151"/>
      <c r="BM287" s="1"/>
      <c r="BN287" s="48">
        <v>2.76</v>
      </c>
      <c r="BO287" s="49">
        <v>368.29</v>
      </c>
      <c r="BP287" s="49">
        <v>1070.8699999999999</v>
      </c>
      <c r="BQ287" s="50">
        <f t="shared" si="102"/>
        <v>1441.9199999999998</v>
      </c>
      <c r="BR287" s="48">
        <v>880.33</v>
      </c>
      <c r="BS287" s="49">
        <v>297.43</v>
      </c>
      <c r="BT287" s="49">
        <v>2311.56</v>
      </c>
      <c r="BU287" s="50">
        <f t="shared" si="103"/>
        <v>3489.3199999999997</v>
      </c>
      <c r="BV287" s="48">
        <v>1113.56</v>
      </c>
      <c r="BW287" s="49">
        <v>1445.85</v>
      </c>
      <c r="BX287" s="49">
        <v>423.24</v>
      </c>
      <c r="BY287" s="50">
        <f t="shared" si="104"/>
        <v>2982.6499999999996</v>
      </c>
      <c r="BZ287" s="182">
        <v>2479.4499999999998</v>
      </c>
      <c r="CA287" s="99">
        <v>5060.41</v>
      </c>
      <c r="CB287" s="99">
        <v>13435.16</v>
      </c>
      <c r="CC287" s="98">
        <f t="shared" si="105"/>
        <v>20975.02</v>
      </c>
      <c r="CD287" s="182">
        <v>2422.25</v>
      </c>
      <c r="CE287" s="99">
        <v>3795.14</v>
      </c>
      <c r="CF287" s="99">
        <v>14577.03</v>
      </c>
      <c r="CG287" s="98">
        <f t="shared" si="106"/>
        <v>20794.419999999998</v>
      </c>
      <c r="CH287" s="191">
        <v>1261.26</v>
      </c>
      <c r="CI287" s="192">
        <v>5939.85</v>
      </c>
      <c r="CJ287" s="192">
        <v>11538.22</v>
      </c>
      <c r="CK287" s="98">
        <f t="shared" si="107"/>
        <v>18739.330000000002</v>
      </c>
      <c r="CL287" s="111"/>
      <c r="CM287" s="111"/>
      <c r="CN287" s="111"/>
      <c r="CO287" s="112"/>
      <c r="CP287" s="191"/>
      <c r="CQ287" s="192"/>
      <c r="CR287" s="192"/>
      <c r="CS287" s="151"/>
      <c r="CT287" s="111"/>
      <c r="CU287" s="111"/>
      <c r="CV287" s="111"/>
      <c r="CW287" s="112"/>
      <c r="CX287" s="192"/>
      <c r="CY287" s="192"/>
      <c r="CZ287" s="192"/>
      <c r="DA287" s="151"/>
      <c r="DB287" s="10"/>
      <c r="DC287" s="10"/>
      <c r="DD287" s="10"/>
      <c r="DE287" s="151"/>
      <c r="DF287" s="192"/>
      <c r="DG287" s="192"/>
      <c r="DH287" s="192"/>
      <c r="DI287" s="151"/>
      <c r="DJ287" s="1"/>
      <c r="DK287" s="225">
        <v>1765.88</v>
      </c>
      <c r="DL287" s="225">
        <v>1389.39</v>
      </c>
      <c r="DM287" s="225">
        <v>1312.18</v>
      </c>
      <c r="DN287" s="225">
        <v>2583.4299999999998</v>
      </c>
      <c r="DO287" s="225">
        <v>5304.57</v>
      </c>
      <c r="DP287" s="225">
        <v>10464.459999999999</v>
      </c>
      <c r="DQ287" s="225"/>
      <c r="DR287" s="225"/>
      <c r="DS287" s="225"/>
      <c r="DT287" s="225"/>
      <c r="DU287" s="225"/>
      <c r="DV287" s="225"/>
      <c r="DW287" s="1"/>
      <c r="EJ287" s="1"/>
      <c r="EK287" s="17">
        <v>5</v>
      </c>
      <c r="EL287" s="17">
        <v>4</v>
      </c>
      <c r="EM287" s="17">
        <v>2</v>
      </c>
      <c r="EN287" s="17">
        <v>6</v>
      </c>
      <c r="EO287" s="17">
        <v>9</v>
      </c>
      <c r="EP287" s="17">
        <v>8</v>
      </c>
      <c r="EQ287" s="17"/>
      <c r="ER287" s="17"/>
      <c r="ES287" s="17"/>
      <c r="EU287" s="17"/>
      <c r="EW287" s="1"/>
      <c r="EX287" s="225">
        <v>1765.88</v>
      </c>
      <c r="EY287" s="225">
        <v>1389.39</v>
      </c>
      <c r="EZ287" s="225">
        <v>1312.18</v>
      </c>
      <c r="FA287" s="225">
        <v>2583.4299999999998</v>
      </c>
      <c r="FB287" s="225">
        <v>5304.57</v>
      </c>
      <c r="FC287" s="225">
        <v>10464.459999999999</v>
      </c>
      <c r="FD287" s="225"/>
      <c r="FE287" s="225"/>
      <c r="FF287" s="225"/>
      <c r="FG287" s="10"/>
      <c r="FH287" s="225"/>
      <c r="FI287" s="10"/>
      <c r="FJ287" s="1"/>
      <c r="FK287" s="225"/>
      <c r="FL287" s="225">
        <v>-92.52</v>
      </c>
      <c r="FM287" s="225"/>
      <c r="FN287" s="225"/>
      <c r="FO287" s="225">
        <v>-633.89</v>
      </c>
      <c r="FP287" s="225">
        <v>-967.64</v>
      </c>
      <c r="FQ287" s="225"/>
      <c r="FR287" s="225"/>
      <c r="FS287" s="225"/>
      <c r="FT287" s="191"/>
      <c r="FU287" s="225"/>
      <c r="FV287" s="151"/>
    </row>
    <row r="288" spans="1:178" ht="16" thickBot="1" x14ac:dyDescent="0.25">
      <c r="A288" s="27" t="s">
        <v>103</v>
      </c>
      <c r="B288" t="s">
        <v>141</v>
      </c>
      <c r="C288" s="1"/>
      <c r="D288">
        <v>41</v>
      </c>
      <c r="E288" s="17">
        <v>16</v>
      </c>
      <c r="F288" s="241">
        <v>37</v>
      </c>
      <c r="G288" s="87">
        <v>32</v>
      </c>
      <c r="H288" s="87">
        <v>50</v>
      </c>
      <c r="I288" s="87">
        <v>45</v>
      </c>
      <c r="J288" s="17"/>
      <c r="K288" s="17"/>
      <c r="L288" s="17"/>
      <c r="M288" s="17"/>
      <c r="N288" s="17"/>
      <c r="O288" s="17"/>
      <c r="P288" s="1"/>
      <c r="Q288" s="48">
        <v>4809.51</v>
      </c>
      <c r="R288" s="49">
        <v>2608.11</v>
      </c>
      <c r="S288" s="49">
        <v>1933.44</v>
      </c>
      <c r="T288" s="50">
        <f t="shared" si="96"/>
        <v>9351.0600000000013</v>
      </c>
      <c r="U288" s="48">
        <v>1550.74</v>
      </c>
      <c r="V288" s="49">
        <v>382.11</v>
      </c>
      <c r="W288" s="49">
        <v>1579.8600000000001</v>
      </c>
      <c r="X288" s="50">
        <f t="shared" si="97"/>
        <v>3512.71</v>
      </c>
      <c r="Y288" s="48">
        <v>9000.25</v>
      </c>
      <c r="Z288" s="49">
        <v>1953.25</v>
      </c>
      <c r="AA288" s="49">
        <v>1830.42</v>
      </c>
      <c r="AB288" s="50">
        <f t="shared" si="98"/>
        <v>12783.92</v>
      </c>
      <c r="AC288" s="164">
        <v>1858.83</v>
      </c>
      <c r="AD288" s="166">
        <v>5366.37</v>
      </c>
      <c r="AE288" s="165">
        <v>3228.84</v>
      </c>
      <c r="AF288" s="151">
        <f t="shared" si="99"/>
        <v>10454.040000000001</v>
      </c>
      <c r="AG288" s="191">
        <v>4760.8999999999996</v>
      </c>
      <c r="AH288" s="10">
        <v>1094.0999999999999</v>
      </c>
      <c r="AI288" s="10">
        <v>4631.7999999999993</v>
      </c>
      <c r="AJ288" s="151">
        <f t="shared" si="100"/>
        <v>10486.8</v>
      </c>
      <c r="AK288" s="99">
        <v>3879.55</v>
      </c>
      <c r="AL288" s="99">
        <v>2361.84</v>
      </c>
      <c r="AM288" s="99">
        <v>2508.29</v>
      </c>
      <c r="AN288" s="151">
        <f t="shared" si="101"/>
        <v>8749.68</v>
      </c>
      <c r="AO288" s="191"/>
      <c r="AP288" s="10"/>
      <c r="AQ288" s="10"/>
      <c r="AR288" s="151"/>
      <c r="AS288" s="191"/>
      <c r="AT288" s="192"/>
      <c r="AU288" s="192"/>
      <c r="AV288" s="151"/>
      <c r="AW288" s="192"/>
      <c r="AX288" s="192"/>
      <c r="AY288" s="192"/>
      <c r="AZ288" s="151"/>
      <c r="BA288" s="10"/>
      <c r="BB288" s="10"/>
      <c r="BC288" s="10"/>
      <c r="BD288" s="151"/>
      <c r="BE288" s="191"/>
      <c r="BF288" s="10"/>
      <c r="BG288" s="10"/>
      <c r="BH288" s="151"/>
      <c r="BI288" s="191"/>
      <c r="BJ288" s="10"/>
      <c r="BK288" s="10"/>
      <c r="BL288" s="151"/>
      <c r="BM288" s="1"/>
      <c r="BN288" s="48">
        <v>584.14</v>
      </c>
      <c r="BO288" s="49">
        <v>395.78</v>
      </c>
      <c r="BP288" s="49">
        <v>1418.96</v>
      </c>
      <c r="BQ288" s="50">
        <f t="shared" si="102"/>
        <v>2398.88</v>
      </c>
      <c r="BR288" s="48">
        <v>352.97</v>
      </c>
      <c r="BS288" s="49"/>
      <c r="BT288" s="49">
        <v>1003.93</v>
      </c>
      <c r="BU288" s="50">
        <f t="shared" si="103"/>
        <v>1356.9</v>
      </c>
      <c r="BV288" s="48">
        <v>751.61</v>
      </c>
      <c r="BW288" s="49">
        <v>1123.9100000000001</v>
      </c>
      <c r="BX288" s="49">
        <v>977.22</v>
      </c>
      <c r="BY288" s="50">
        <f t="shared" si="104"/>
        <v>2852.74</v>
      </c>
      <c r="BZ288" s="182">
        <v>762.69</v>
      </c>
      <c r="CA288" s="266">
        <v>2932.17</v>
      </c>
      <c r="CB288" s="99">
        <v>1357.74</v>
      </c>
      <c r="CC288" s="98">
        <f t="shared" si="105"/>
        <v>5052.6000000000004</v>
      </c>
      <c r="CD288" s="182">
        <v>959.44</v>
      </c>
      <c r="CE288" s="99">
        <v>1474.34</v>
      </c>
      <c r="CF288" s="99">
        <v>2512.4100000000003</v>
      </c>
      <c r="CG288" s="98">
        <f t="shared" si="106"/>
        <v>4946.1900000000005</v>
      </c>
      <c r="CH288" s="191">
        <v>819.42</v>
      </c>
      <c r="CI288" s="192">
        <v>3801.89</v>
      </c>
      <c r="CJ288" s="192">
        <v>1027.51</v>
      </c>
      <c r="CK288" s="98">
        <f t="shared" si="107"/>
        <v>5648.82</v>
      </c>
      <c r="CL288" s="111"/>
      <c r="CM288" s="111"/>
      <c r="CN288" s="111"/>
      <c r="CO288" s="112"/>
      <c r="CP288" s="191"/>
      <c r="CQ288" s="192"/>
      <c r="CR288" s="192"/>
      <c r="CS288" s="151"/>
      <c r="CT288" s="111"/>
      <c r="CU288" s="111"/>
      <c r="CV288" s="111"/>
      <c r="CW288" s="112"/>
      <c r="CX288" s="192"/>
      <c r="CY288" s="192"/>
      <c r="CZ288" s="192"/>
      <c r="DA288" s="151"/>
      <c r="DB288" s="10"/>
      <c r="DC288" s="10"/>
      <c r="DD288" s="10"/>
      <c r="DE288" s="151"/>
      <c r="DF288" s="192"/>
      <c r="DG288" s="192"/>
      <c r="DH288" s="192"/>
      <c r="DI288" s="151"/>
      <c r="DJ288" s="1"/>
      <c r="DK288" s="225">
        <v>327.02</v>
      </c>
      <c r="DL288" s="225">
        <v>266.81</v>
      </c>
      <c r="DM288" s="225"/>
      <c r="DN288" s="225">
        <v>410.34</v>
      </c>
      <c r="DO288" s="225">
        <v>950.52</v>
      </c>
      <c r="DP288" s="225"/>
      <c r="DQ288" s="225"/>
      <c r="DR288" s="225"/>
      <c r="DS288" s="225"/>
      <c r="DT288" s="225"/>
      <c r="DU288" s="225"/>
      <c r="DV288" s="225"/>
      <c r="DW288" s="1"/>
      <c r="EJ288" s="1"/>
      <c r="EK288" s="17">
        <v>1</v>
      </c>
      <c r="EL288" s="17">
        <v>1</v>
      </c>
      <c r="EM288" s="17"/>
      <c r="EN288" s="17">
        <v>2</v>
      </c>
      <c r="EO288" s="17">
        <v>1</v>
      </c>
      <c r="EP288" s="17"/>
      <c r="EQ288" s="17"/>
      <c r="ER288" s="17"/>
      <c r="ES288" s="17"/>
      <c r="EU288" s="17"/>
      <c r="EW288" s="1"/>
      <c r="EX288" s="225">
        <v>327.02</v>
      </c>
      <c r="EY288" s="225">
        <v>266.81</v>
      </c>
      <c r="EZ288" s="225"/>
      <c r="FA288" s="225">
        <v>410.34</v>
      </c>
      <c r="FB288" s="225">
        <v>950.52</v>
      </c>
      <c r="FC288" s="225"/>
      <c r="FD288" s="225"/>
      <c r="FE288" s="225"/>
      <c r="FF288" s="225"/>
      <c r="FG288" s="10"/>
      <c r="FH288" s="225"/>
      <c r="FI288" s="10"/>
      <c r="FJ288" s="1"/>
      <c r="FK288" s="225">
        <v>-361.6</v>
      </c>
      <c r="FL288" s="225"/>
      <c r="FM288" s="225"/>
      <c r="FN288" s="225">
        <v>-11.09</v>
      </c>
      <c r="FO288" s="225">
        <v>-130.37</v>
      </c>
      <c r="FP288" s="225"/>
      <c r="FQ288" s="225"/>
      <c r="FR288" s="225"/>
      <c r="FS288" s="225"/>
      <c r="FT288" s="191"/>
      <c r="FU288" s="225"/>
      <c r="FV288" s="151"/>
    </row>
    <row r="289" spans="1:178" ht="16" thickBot="1" x14ac:dyDescent="0.25">
      <c r="A289" s="27" t="s">
        <v>104</v>
      </c>
      <c r="B289" t="s">
        <v>141</v>
      </c>
      <c r="C289" s="1"/>
      <c r="D289">
        <v>30</v>
      </c>
      <c r="E289" s="17">
        <v>26</v>
      </c>
      <c r="F289" s="241">
        <v>35</v>
      </c>
      <c r="G289" s="87">
        <v>22</v>
      </c>
      <c r="H289" s="87">
        <v>33</v>
      </c>
      <c r="I289" s="87">
        <v>41</v>
      </c>
      <c r="J289" s="17"/>
      <c r="K289" s="17"/>
      <c r="L289" s="17"/>
      <c r="M289" s="17"/>
      <c r="N289" s="17"/>
      <c r="O289" s="17"/>
      <c r="P289" s="1"/>
      <c r="Q289" s="48">
        <v>2222.94</v>
      </c>
      <c r="R289" s="49">
        <v>1309.52</v>
      </c>
      <c r="S289" s="49">
        <v>5600.13</v>
      </c>
      <c r="T289" s="50">
        <f t="shared" si="96"/>
        <v>9132.59</v>
      </c>
      <c r="U289" s="48">
        <v>2105.9299999999998</v>
      </c>
      <c r="V289" s="49">
        <v>2662.03</v>
      </c>
      <c r="W289" s="49">
        <v>5571.66</v>
      </c>
      <c r="X289" s="50">
        <f t="shared" si="97"/>
        <v>10339.619999999999</v>
      </c>
      <c r="Y289" s="48">
        <v>4427.1400000000003</v>
      </c>
      <c r="Z289" s="49">
        <v>3640.93</v>
      </c>
      <c r="AA289" s="49">
        <v>7484.01</v>
      </c>
      <c r="AB289" s="50">
        <f t="shared" si="98"/>
        <v>15552.08</v>
      </c>
      <c r="AC289" s="164">
        <v>905.11</v>
      </c>
      <c r="AD289" s="165">
        <v>1152.48</v>
      </c>
      <c r="AE289" s="165">
        <v>4257.17</v>
      </c>
      <c r="AF289" s="151">
        <f t="shared" si="99"/>
        <v>6314.76</v>
      </c>
      <c r="AG289" s="191">
        <v>2984.99</v>
      </c>
      <c r="AH289" s="10">
        <v>837.74</v>
      </c>
      <c r="AI289" s="10">
        <v>4298.92</v>
      </c>
      <c r="AJ289" s="151">
        <f t="shared" si="100"/>
        <v>8121.65</v>
      </c>
      <c r="AK289" s="99">
        <v>3176.57</v>
      </c>
      <c r="AL289" s="99">
        <v>1434.9</v>
      </c>
      <c r="AM289" s="99">
        <v>4643.0199999999995</v>
      </c>
      <c r="AN289" s="151">
        <f t="shared" si="101"/>
        <v>9254.49</v>
      </c>
      <c r="AO289" s="191"/>
      <c r="AP289" s="10"/>
      <c r="AQ289" s="10"/>
      <c r="AR289" s="151"/>
      <c r="AS289" s="191"/>
      <c r="AT289" s="192"/>
      <c r="AU289" s="192"/>
      <c r="AV289" s="151"/>
      <c r="AW289" s="192"/>
      <c r="AX289" s="192"/>
      <c r="AY289" s="192"/>
      <c r="AZ289" s="151"/>
      <c r="BA289" s="10"/>
      <c r="BB289" s="10"/>
      <c r="BC289" s="10"/>
      <c r="BD289" s="151"/>
      <c r="BE289" s="191"/>
      <c r="BF289" s="10"/>
      <c r="BG289" s="10"/>
      <c r="BH289" s="151"/>
      <c r="BI289" s="191"/>
      <c r="BJ289" s="10"/>
      <c r="BK289" s="10"/>
      <c r="BL289" s="151"/>
      <c r="BM289" s="1"/>
      <c r="BN289" s="48">
        <v>1100.93</v>
      </c>
      <c r="BO289" s="49">
        <v>731.72</v>
      </c>
      <c r="BP289" s="49">
        <v>3792.41</v>
      </c>
      <c r="BQ289" s="50">
        <f t="shared" si="102"/>
        <v>5625.0599999999995</v>
      </c>
      <c r="BR289" s="48">
        <v>397.81</v>
      </c>
      <c r="BS289" s="49">
        <v>747.3</v>
      </c>
      <c r="BT289" s="49">
        <v>5571.66</v>
      </c>
      <c r="BU289" s="50">
        <f t="shared" si="103"/>
        <v>6716.7699999999995</v>
      </c>
      <c r="BV289" s="48">
        <v>1180.3</v>
      </c>
      <c r="BW289" s="49">
        <v>1093.45</v>
      </c>
      <c r="BX289" s="49">
        <v>7116.24</v>
      </c>
      <c r="BY289" s="50">
        <f t="shared" si="104"/>
        <v>9389.99</v>
      </c>
      <c r="BZ289" s="182">
        <v>119.21</v>
      </c>
      <c r="CA289" s="99">
        <v>1657.12</v>
      </c>
      <c r="CB289" s="99">
        <v>3798.2799999999997</v>
      </c>
      <c r="CC289" s="98">
        <f t="shared" si="105"/>
        <v>5574.61</v>
      </c>
      <c r="CD289" s="182">
        <v>1346.15</v>
      </c>
      <c r="CE289" s="99">
        <v>1788.95</v>
      </c>
      <c r="CF289" s="99">
        <v>3383.84</v>
      </c>
      <c r="CG289" s="98">
        <f t="shared" si="106"/>
        <v>6518.9400000000005</v>
      </c>
      <c r="CH289" s="191">
        <v>654.54999999999995</v>
      </c>
      <c r="CI289" s="192">
        <v>1728.61</v>
      </c>
      <c r="CJ289" s="192">
        <v>4359.4799999999996</v>
      </c>
      <c r="CK289" s="98">
        <f t="shared" si="107"/>
        <v>6742.6399999999994</v>
      </c>
      <c r="CL289" s="111"/>
      <c r="CM289" s="111"/>
      <c r="CN289" s="111"/>
      <c r="CO289" s="112"/>
      <c r="CP289" s="191"/>
      <c r="CQ289" s="192"/>
      <c r="CR289" s="192"/>
      <c r="CS289" s="151"/>
      <c r="CT289" s="111"/>
      <c r="CU289" s="111"/>
      <c r="CV289" s="111"/>
      <c r="CW289" s="112"/>
      <c r="CX289" s="192"/>
      <c r="CY289" s="192"/>
      <c r="CZ289" s="192"/>
      <c r="DA289" s="151"/>
      <c r="DB289" s="10"/>
      <c r="DC289" s="10"/>
      <c r="DD289" s="10"/>
      <c r="DE289" s="151"/>
      <c r="DF289" s="192"/>
      <c r="DG289" s="192"/>
      <c r="DH289" s="192"/>
      <c r="DI289" s="151"/>
      <c r="DJ289" s="1"/>
      <c r="DK289" s="225"/>
      <c r="DL289" s="225"/>
      <c r="DM289" s="225"/>
      <c r="DN289" s="225"/>
      <c r="DO289" s="225"/>
      <c r="DP289" s="225">
        <v>739.5</v>
      </c>
      <c r="DQ289" s="225"/>
      <c r="DR289" s="225"/>
      <c r="DS289" s="225"/>
      <c r="DT289" s="225"/>
      <c r="DU289" s="225"/>
      <c r="DV289" s="225"/>
      <c r="DW289" s="1"/>
      <c r="EJ289" s="1"/>
      <c r="EK289" s="17"/>
      <c r="EL289" s="17"/>
      <c r="EM289" s="17"/>
      <c r="EN289" s="17"/>
      <c r="EO289" s="17"/>
      <c r="EP289" s="17">
        <v>1</v>
      </c>
      <c r="EQ289" s="17"/>
      <c r="ER289" s="17"/>
      <c r="ES289" s="17"/>
      <c r="EU289" s="17"/>
      <c r="EW289" s="1"/>
      <c r="EX289" s="225"/>
      <c r="EY289" s="225"/>
      <c r="EZ289" s="225"/>
      <c r="FA289" s="225"/>
      <c r="FB289" s="225"/>
      <c r="FC289" s="225">
        <v>739.5</v>
      </c>
      <c r="FD289" s="225"/>
      <c r="FE289" s="225"/>
      <c r="FF289" s="225"/>
      <c r="FG289" s="10"/>
      <c r="FH289" s="225"/>
      <c r="FI289" s="10"/>
      <c r="FJ289" s="1"/>
      <c r="FK289" s="225"/>
      <c r="FL289" s="225">
        <v>-190.68</v>
      </c>
      <c r="FM289" s="225"/>
      <c r="FN289" s="225"/>
      <c r="FO289" s="225"/>
      <c r="FP289" s="225"/>
      <c r="FQ289" s="225"/>
      <c r="FR289" s="225"/>
      <c r="FS289" s="225"/>
      <c r="FT289" s="191"/>
      <c r="FU289" s="225"/>
      <c r="FV289" s="151"/>
    </row>
    <row r="290" spans="1:178" ht="16" thickBot="1" x14ac:dyDescent="0.25">
      <c r="A290" s="27" t="s">
        <v>105</v>
      </c>
      <c r="B290" t="s">
        <v>141</v>
      </c>
      <c r="C290" s="1"/>
      <c r="D290">
        <v>135</v>
      </c>
      <c r="E290" s="17">
        <v>119</v>
      </c>
      <c r="F290" s="241">
        <v>148</v>
      </c>
      <c r="G290" s="87">
        <v>134</v>
      </c>
      <c r="H290" s="87">
        <v>142</v>
      </c>
      <c r="I290" s="87">
        <v>142</v>
      </c>
      <c r="J290" s="17"/>
      <c r="K290" s="17"/>
      <c r="L290" s="17"/>
      <c r="M290" s="17"/>
      <c r="N290" s="17"/>
      <c r="O290" s="17"/>
      <c r="P290" s="1"/>
      <c r="Q290" s="48">
        <v>15813.58</v>
      </c>
      <c r="R290" s="49">
        <v>8825.2800000000007</v>
      </c>
      <c r="S290" s="49">
        <v>13868.08</v>
      </c>
      <c r="T290" s="50">
        <f t="shared" si="96"/>
        <v>38506.94</v>
      </c>
      <c r="U290" s="48">
        <v>16738.810000000001</v>
      </c>
      <c r="V290" s="49">
        <v>8852.23</v>
      </c>
      <c r="W290" s="49">
        <v>16048.869999999999</v>
      </c>
      <c r="X290" s="50">
        <f t="shared" si="97"/>
        <v>41639.910000000003</v>
      </c>
      <c r="Y290" s="48">
        <v>26039.03</v>
      </c>
      <c r="Z290" s="49">
        <v>9783.75</v>
      </c>
      <c r="AA290" s="49">
        <v>18488.32</v>
      </c>
      <c r="AB290" s="50">
        <f t="shared" si="98"/>
        <v>54311.1</v>
      </c>
      <c r="AC290" s="164">
        <v>21422.06</v>
      </c>
      <c r="AD290" s="165">
        <v>12412.52</v>
      </c>
      <c r="AE290" s="165">
        <v>22081.920000000002</v>
      </c>
      <c r="AF290" s="151">
        <f t="shared" si="99"/>
        <v>55916.5</v>
      </c>
      <c r="AG290" s="191">
        <v>12787.65</v>
      </c>
      <c r="AH290" s="10">
        <v>13660.69</v>
      </c>
      <c r="AI290" s="10">
        <v>22253.34</v>
      </c>
      <c r="AJ290" s="151">
        <f t="shared" si="100"/>
        <v>48701.68</v>
      </c>
      <c r="AK290" s="99">
        <v>12732.56</v>
      </c>
      <c r="AL290" s="99">
        <v>6890.29</v>
      </c>
      <c r="AM290" s="99">
        <v>22985.340000000004</v>
      </c>
      <c r="AN290" s="151">
        <f t="shared" si="101"/>
        <v>42608.19</v>
      </c>
      <c r="AO290" s="191"/>
      <c r="AP290" s="10"/>
      <c r="AQ290" s="10"/>
      <c r="AR290" s="151"/>
      <c r="AS290" s="191"/>
      <c r="AT290" s="192"/>
      <c r="AU290" s="192"/>
      <c r="AV290" s="151"/>
      <c r="AW290" s="192"/>
      <c r="AX290" s="192"/>
      <c r="AY290" s="192"/>
      <c r="AZ290" s="151"/>
      <c r="BA290" s="10"/>
      <c r="BB290" s="10"/>
      <c r="BC290" s="10"/>
      <c r="BD290" s="151"/>
      <c r="BE290" s="191"/>
      <c r="BF290" s="10"/>
      <c r="BG290" s="10"/>
      <c r="BH290" s="151"/>
      <c r="BI290" s="191"/>
      <c r="BJ290" s="10"/>
      <c r="BK290" s="10"/>
      <c r="BL290" s="151"/>
      <c r="BM290" s="1"/>
      <c r="BN290" s="48">
        <v>4345.88</v>
      </c>
      <c r="BO290" s="49">
        <v>789.52</v>
      </c>
      <c r="BP290" s="49">
        <v>6139.41</v>
      </c>
      <c r="BQ290" s="50">
        <f t="shared" si="102"/>
        <v>11274.81</v>
      </c>
      <c r="BR290" s="48">
        <v>4521.33</v>
      </c>
      <c r="BS290" s="49">
        <v>3615.27</v>
      </c>
      <c r="BT290" s="49">
        <v>4778.41</v>
      </c>
      <c r="BU290" s="50">
        <f t="shared" si="103"/>
        <v>12915.01</v>
      </c>
      <c r="BV290" s="48">
        <v>4559.93</v>
      </c>
      <c r="BW290" s="49">
        <v>5543.77</v>
      </c>
      <c r="BX290" s="49">
        <v>6021.46</v>
      </c>
      <c r="BY290" s="50">
        <f t="shared" si="104"/>
        <v>16125.16</v>
      </c>
      <c r="BZ290" s="182">
        <v>4492.8</v>
      </c>
      <c r="CA290" s="99">
        <v>8376.57</v>
      </c>
      <c r="CB290" s="99">
        <v>18610.68</v>
      </c>
      <c r="CC290" s="98">
        <f t="shared" si="105"/>
        <v>31480.05</v>
      </c>
      <c r="CD290" s="182">
        <v>2561.1</v>
      </c>
      <c r="CE290" s="99">
        <v>8400.36</v>
      </c>
      <c r="CF290" s="99">
        <v>19310.98</v>
      </c>
      <c r="CG290" s="98">
        <f t="shared" si="106"/>
        <v>30272.440000000002</v>
      </c>
      <c r="CH290" s="191">
        <v>2677.4</v>
      </c>
      <c r="CI290" s="192">
        <v>7370.56</v>
      </c>
      <c r="CJ290" s="192">
        <v>19291.55</v>
      </c>
      <c r="CK290" s="98">
        <f t="shared" si="107"/>
        <v>29339.510000000002</v>
      </c>
      <c r="CL290" s="111"/>
      <c r="CM290" s="111"/>
      <c r="CN290" s="111"/>
      <c r="CO290" s="112"/>
      <c r="CP290" s="191"/>
      <c r="CQ290" s="192"/>
      <c r="CR290" s="192"/>
      <c r="CS290" s="151"/>
      <c r="CT290" s="111"/>
      <c r="CU290" s="111"/>
      <c r="CV290" s="111"/>
      <c r="CW290" s="112"/>
      <c r="CX290" s="192"/>
      <c r="CY290" s="192"/>
      <c r="CZ290" s="192"/>
      <c r="DA290" s="151"/>
      <c r="DB290" s="10"/>
      <c r="DC290" s="10"/>
      <c r="DD290" s="10"/>
      <c r="DE290" s="151"/>
      <c r="DF290" s="192"/>
      <c r="DG290" s="192"/>
      <c r="DH290" s="192"/>
      <c r="DI290" s="151"/>
      <c r="DJ290" s="1"/>
      <c r="DK290" s="225">
        <v>351.24</v>
      </c>
      <c r="DL290" s="225">
        <v>2309.69</v>
      </c>
      <c r="DM290" s="225">
        <v>2341.39</v>
      </c>
      <c r="DN290" s="225">
        <v>322.62</v>
      </c>
      <c r="DO290" s="225">
        <v>6374.3</v>
      </c>
      <c r="DP290" s="225">
        <v>4440.92</v>
      </c>
      <c r="DQ290" s="225"/>
      <c r="DR290" s="225"/>
      <c r="DS290" s="225"/>
      <c r="DT290" s="225"/>
      <c r="DU290" s="225"/>
      <c r="DV290" s="225"/>
      <c r="DW290" s="1"/>
      <c r="EJ290" s="1"/>
      <c r="EK290" s="17">
        <v>2</v>
      </c>
      <c r="EL290" s="17">
        <v>4</v>
      </c>
      <c r="EM290" s="17">
        <v>4</v>
      </c>
      <c r="EN290" s="17">
        <v>1</v>
      </c>
      <c r="EO290" s="17">
        <v>6</v>
      </c>
      <c r="EP290" s="17">
        <v>5</v>
      </c>
      <c r="EQ290" s="17"/>
      <c r="ER290" s="17"/>
      <c r="ES290" s="17"/>
      <c r="EU290" s="17"/>
      <c r="EW290" s="1"/>
      <c r="EX290" s="225">
        <v>351.24</v>
      </c>
      <c r="EY290" s="225">
        <v>2309.69</v>
      </c>
      <c r="EZ290" s="225">
        <v>2341.39</v>
      </c>
      <c r="FA290" s="225">
        <v>322.62</v>
      </c>
      <c r="FB290" s="225">
        <v>6374.3</v>
      </c>
      <c r="FC290" s="225">
        <v>4440.92</v>
      </c>
      <c r="FD290" s="225"/>
      <c r="FE290" s="225"/>
      <c r="FF290" s="225"/>
      <c r="FG290" s="10"/>
      <c r="FH290" s="225"/>
      <c r="FI290" s="10"/>
      <c r="FJ290" s="1"/>
      <c r="FK290" s="225"/>
      <c r="FL290" s="225">
        <v>-15</v>
      </c>
      <c r="FM290" s="225"/>
      <c r="FN290" s="225">
        <v>-108.06</v>
      </c>
      <c r="FO290" s="225">
        <v>-1054.3399999999999</v>
      </c>
      <c r="FP290" s="225"/>
      <c r="FQ290" s="225"/>
      <c r="FR290" s="225"/>
      <c r="FS290" s="225"/>
      <c r="FT290" s="191"/>
      <c r="FU290" s="225"/>
      <c r="FV290" s="151"/>
    </row>
    <row r="291" spans="1:178" ht="16" thickBot="1" x14ac:dyDescent="0.25">
      <c r="A291" s="27" t="s">
        <v>106</v>
      </c>
      <c r="B291" t="s">
        <v>141</v>
      </c>
      <c r="C291" s="1"/>
      <c r="D291">
        <v>4</v>
      </c>
      <c r="E291" s="17">
        <v>3</v>
      </c>
      <c r="F291" s="241">
        <v>5</v>
      </c>
      <c r="G291" s="87">
        <v>5</v>
      </c>
      <c r="H291" s="87">
        <v>6</v>
      </c>
      <c r="I291" s="87">
        <v>3</v>
      </c>
      <c r="J291" s="17"/>
      <c r="K291" s="17"/>
      <c r="L291" s="17"/>
      <c r="M291" s="17"/>
      <c r="N291" s="17"/>
      <c r="O291" s="17"/>
      <c r="P291" s="1"/>
      <c r="Q291" s="48">
        <v>169.54</v>
      </c>
      <c r="R291" s="49">
        <v>0</v>
      </c>
      <c r="S291" s="49">
        <v>763.37</v>
      </c>
      <c r="T291" s="50">
        <f t="shared" si="96"/>
        <v>932.91</v>
      </c>
      <c r="U291" s="48">
        <v>227.96</v>
      </c>
      <c r="V291" s="49">
        <v>0</v>
      </c>
      <c r="W291" s="49">
        <v>936.26</v>
      </c>
      <c r="X291" s="50">
        <f t="shared" si="97"/>
        <v>1164.22</v>
      </c>
      <c r="Y291" s="48">
        <v>342.59</v>
      </c>
      <c r="Z291" s="49">
        <v>0</v>
      </c>
      <c r="AA291" s="49">
        <v>1222.73</v>
      </c>
      <c r="AB291" s="50">
        <f t="shared" si="98"/>
        <v>1565.32</v>
      </c>
      <c r="AC291" s="164">
        <v>218.16</v>
      </c>
      <c r="AD291" s="166"/>
      <c r="AE291" s="165">
        <v>886.97</v>
      </c>
      <c r="AF291" s="151">
        <f t="shared" si="99"/>
        <v>1105.1300000000001</v>
      </c>
      <c r="AG291" s="191">
        <v>446.31</v>
      </c>
      <c r="AH291" s="10">
        <v>302.39999999999998</v>
      </c>
      <c r="AI291" s="10">
        <v>194.16</v>
      </c>
      <c r="AJ291" s="151">
        <f t="shared" si="100"/>
        <v>942.87</v>
      </c>
      <c r="AK291" s="100">
        <v>63.58</v>
      </c>
      <c r="AL291" s="100">
        <v>0</v>
      </c>
      <c r="AM291" s="100">
        <v>276.63</v>
      </c>
      <c r="AN291" s="151">
        <f t="shared" si="101"/>
        <v>340.21</v>
      </c>
      <c r="AO291" s="191"/>
      <c r="AP291" s="10"/>
      <c r="AQ291" s="10"/>
      <c r="AR291" s="151"/>
      <c r="AS291" s="191"/>
      <c r="AT291" s="192"/>
      <c r="AU291" s="192"/>
      <c r="AV291" s="151"/>
      <c r="AW291" s="192"/>
      <c r="AX291" s="192"/>
      <c r="AY291" s="192"/>
      <c r="AZ291" s="151"/>
      <c r="BA291" s="10"/>
      <c r="BB291" s="10"/>
      <c r="BC291" s="10"/>
      <c r="BD291" s="151"/>
      <c r="BE291" s="191"/>
      <c r="BF291" s="10"/>
      <c r="BG291" s="10"/>
      <c r="BH291" s="151"/>
      <c r="BI291" s="191"/>
      <c r="BJ291" s="10"/>
      <c r="BK291" s="10"/>
      <c r="BL291" s="151"/>
      <c r="BM291" s="1"/>
      <c r="BN291" s="48">
        <v>169.54</v>
      </c>
      <c r="BO291" s="49"/>
      <c r="BP291" s="49">
        <v>0</v>
      </c>
      <c r="BQ291" s="50">
        <f t="shared" si="102"/>
        <v>169.54</v>
      </c>
      <c r="BR291" s="48">
        <v>227.96</v>
      </c>
      <c r="BS291" s="49"/>
      <c r="BT291" s="49">
        <v>0</v>
      </c>
      <c r="BU291" s="50">
        <f t="shared" si="103"/>
        <v>227.96</v>
      </c>
      <c r="BV291" s="48">
        <v>140.38</v>
      </c>
      <c r="BW291" s="49"/>
      <c r="BX291" s="49">
        <v>0</v>
      </c>
      <c r="BY291" s="50">
        <f t="shared" si="104"/>
        <v>140.38</v>
      </c>
      <c r="BZ291" s="183">
        <v>101.89</v>
      </c>
      <c r="CA291" s="266"/>
      <c r="CB291" s="99">
        <v>711.87</v>
      </c>
      <c r="CC291" s="98">
        <f t="shared" si="105"/>
        <v>813.76</v>
      </c>
      <c r="CD291" s="183">
        <v>446.31</v>
      </c>
      <c r="CE291" s="266">
        <v>422.5</v>
      </c>
      <c r="CF291" s="99">
        <v>0</v>
      </c>
      <c r="CG291" s="98">
        <f t="shared" si="106"/>
        <v>868.81</v>
      </c>
      <c r="CH291" s="191"/>
      <c r="CI291" s="192">
        <v>251.4</v>
      </c>
      <c r="CJ291" s="192">
        <v>62.85</v>
      </c>
      <c r="CK291" s="98">
        <f t="shared" si="107"/>
        <v>314.25</v>
      </c>
      <c r="CL291" s="111"/>
      <c r="CM291" s="111"/>
      <c r="CN291" s="111"/>
      <c r="CO291" s="112"/>
      <c r="CP291" s="191"/>
      <c r="CQ291" s="192"/>
      <c r="CR291" s="192"/>
      <c r="CS291" s="151"/>
      <c r="CT291" s="111"/>
      <c r="CU291" s="111"/>
      <c r="CV291" s="111"/>
      <c r="CW291" s="112"/>
      <c r="CX291" s="192"/>
      <c r="CY291" s="192"/>
      <c r="CZ291" s="192"/>
      <c r="DA291" s="151"/>
      <c r="DB291" s="10"/>
      <c r="DC291" s="10"/>
      <c r="DD291" s="10"/>
      <c r="DE291" s="151"/>
      <c r="DF291" s="192"/>
      <c r="DG291" s="192"/>
      <c r="DH291" s="192"/>
      <c r="DI291" s="151"/>
      <c r="DJ291" s="1"/>
      <c r="DK291" s="225"/>
      <c r="DL291" s="225"/>
      <c r="DM291" s="225"/>
      <c r="DN291" s="225"/>
      <c r="DO291" s="225"/>
      <c r="DP291" s="225"/>
      <c r="DQ291" s="225"/>
      <c r="DR291" s="225"/>
      <c r="DS291" s="225"/>
      <c r="DT291" s="225"/>
      <c r="DU291" s="225"/>
      <c r="DV291" s="225"/>
      <c r="DW291" s="1"/>
      <c r="EJ291" s="1"/>
      <c r="EK291" s="17"/>
      <c r="EL291" s="17"/>
      <c r="EM291" s="17"/>
      <c r="EN291" s="17"/>
      <c r="EO291" s="17"/>
      <c r="EP291" s="17"/>
      <c r="EQ291" s="17"/>
      <c r="ER291" s="17"/>
      <c r="ES291" s="17"/>
      <c r="EU291" s="17"/>
      <c r="EW291" s="1"/>
      <c r="EX291" s="225"/>
      <c r="EY291" s="225"/>
      <c r="EZ291" s="225"/>
      <c r="FA291" s="225"/>
      <c r="FB291" s="225"/>
      <c r="FC291" s="225"/>
      <c r="FD291" s="225"/>
      <c r="FE291" s="225"/>
      <c r="FF291" s="225"/>
      <c r="FG291" s="10"/>
      <c r="FH291" s="225"/>
      <c r="FI291" s="10"/>
      <c r="FJ291" s="1"/>
      <c r="FK291" s="225"/>
      <c r="FL291" s="225"/>
      <c r="FM291" s="225"/>
      <c r="FN291" s="225"/>
      <c r="FO291" s="225"/>
      <c r="FP291" s="225"/>
      <c r="FQ291" s="225"/>
      <c r="FR291" s="225"/>
      <c r="FS291" s="225"/>
      <c r="FT291" s="191"/>
      <c r="FU291" s="225"/>
      <c r="FV291" s="151"/>
    </row>
    <row r="292" spans="1:178" ht="16" thickBot="1" x14ac:dyDescent="0.25">
      <c r="A292" s="27" t="s">
        <v>107</v>
      </c>
      <c r="B292" t="s">
        <v>141</v>
      </c>
      <c r="C292" s="1"/>
      <c r="D292">
        <v>3</v>
      </c>
      <c r="E292" s="17">
        <v>1</v>
      </c>
      <c r="F292" s="241">
        <v>1</v>
      </c>
      <c r="G292" s="87">
        <v>3</v>
      </c>
      <c r="H292" s="87">
        <v>7</v>
      </c>
      <c r="I292" s="87">
        <v>6</v>
      </c>
      <c r="J292" s="17"/>
      <c r="K292" s="17"/>
      <c r="L292" s="17"/>
      <c r="M292" s="17"/>
      <c r="N292" s="17"/>
      <c r="O292" s="17"/>
      <c r="P292" s="1"/>
      <c r="Q292" s="48">
        <v>915.08</v>
      </c>
      <c r="R292" s="49">
        <v>0</v>
      </c>
      <c r="S292" s="49">
        <v>0</v>
      </c>
      <c r="T292" s="50">
        <f t="shared" si="96"/>
        <v>915.08</v>
      </c>
      <c r="U292" s="48">
        <v>308.38</v>
      </c>
      <c r="V292" s="49">
        <v>0</v>
      </c>
      <c r="W292" s="49">
        <v>0</v>
      </c>
      <c r="X292" s="50">
        <f t="shared" si="97"/>
        <v>308.38</v>
      </c>
      <c r="Y292" s="48">
        <v>0</v>
      </c>
      <c r="Z292" s="49">
        <v>824.8</v>
      </c>
      <c r="AA292" s="49">
        <v>0</v>
      </c>
      <c r="AB292" s="50">
        <f t="shared" si="98"/>
        <v>824.8</v>
      </c>
      <c r="AC292" s="164">
        <v>578.08000000000004</v>
      </c>
      <c r="AD292" s="165">
        <v>1130.3900000000001</v>
      </c>
      <c r="AE292" s="165">
        <v>0</v>
      </c>
      <c r="AF292" s="151">
        <f t="shared" si="99"/>
        <v>1708.4700000000003</v>
      </c>
      <c r="AG292" s="191">
        <v>1236.8499999999999</v>
      </c>
      <c r="AH292" s="10">
        <v>529.48</v>
      </c>
      <c r="AI292" s="10">
        <v>1426.33</v>
      </c>
      <c r="AJ292" s="151">
        <f t="shared" si="100"/>
        <v>3192.66</v>
      </c>
      <c r="AK292" s="100">
        <v>747.25</v>
      </c>
      <c r="AL292" s="100">
        <v>0</v>
      </c>
      <c r="AM292" s="100">
        <v>2220.87</v>
      </c>
      <c r="AN292" s="151">
        <f t="shared" si="101"/>
        <v>2968.12</v>
      </c>
      <c r="AO292" s="191"/>
      <c r="AP292" s="10"/>
      <c r="AQ292" s="10"/>
      <c r="AR292" s="151"/>
      <c r="AS292" s="191"/>
      <c r="AT292" s="192"/>
      <c r="AU292" s="192"/>
      <c r="AV292" s="151"/>
      <c r="AW292" s="192"/>
      <c r="AX292" s="192"/>
      <c r="AY292" s="192"/>
      <c r="AZ292" s="151"/>
      <c r="BA292" s="10"/>
      <c r="BB292" s="10"/>
      <c r="BC292" s="10"/>
      <c r="BD292" s="151"/>
      <c r="BE292" s="191"/>
      <c r="BF292" s="10"/>
      <c r="BG292" s="10"/>
      <c r="BH292" s="151"/>
      <c r="BI292" s="191"/>
      <c r="BJ292" s="10"/>
      <c r="BK292" s="10"/>
      <c r="BL292" s="151"/>
      <c r="BM292" s="1"/>
      <c r="BN292" s="48"/>
      <c r="BO292" s="49"/>
      <c r="BP292" s="49">
        <v>0</v>
      </c>
      <c r="BQ292" s="50">
        <f t="shared" si="102"/>
        <v>0</v>
      </c>
      <c r="BR292" s="48"/>
      <c r="BS292" s="49"/>
      <c r="BT292" s="49">
        <v>0</v>
      </c>
      <c r="BU292" s="50">
        <f t="shared" si="103"/>
        <v>0</v>
      </c>
      <c r="BV292" s="48"/>
      <c r="BW292" s="49"/>
      <c r="BX292" s="49">
        <v>0</v>
      </c>
      <c r="BY292" s="50">
        <f t="shared" si="104"/>
        <v>0</v>
      </c>
      <c r="BZ292" s="183">
        <v>33.74</v>
      </c>
      <c r="CA292" s="266">
        <v>1130.3900000000001</v>
      </c>
      <c r="CB292" s="266">
        <v>0</v>
      </c>
      <c r="CC292" s="98">
        <f t="shared" si="105"/>
        <v>1164.1300000000001</v>
      </c>
      <c r="CD292" s="183">
        <v>625.11</v>
      </c>
      <c r="CE292" s="266"/>
      <c r="CF292" s="266">
        <v>1426.33</v>
      </c>
      <c r="CG292" s="98">
        <f t="shared" si="106"/>
        <v>2051.44</v>
      </c>
      <c r="CH292" s="191">
        <v>170.9</v>
      </c>
      <c r="CI292" s="192"/>
      <c r="CJ292" s="192">
        <v>1520.15</v>
      </c>
      <c r="CK292" s="98">
        <f t="shared" si="107"/>
        <v>1691.0500000000002</v>
      </c>
      <c r="CL292" s="111"/>
      <c r="CM292" s="111"/>
      <c r="CN292" s="111"/>
      <c r="CO292" s="112"/>
      <c r="CP292" s="191"/>
      <c r="CQ292" s="192"/>
      <c r="CR292" s="192"/>
      <c r="CS292" s="151"/>
      <c r="CT292" s="111"/>
      <c r="CU292" s="111"/>
      <c r="CV292" s="111"/>
      <c r="CW292" s="112"/>
      <c r="CX292" s="192"/>
      <c r="CY292" s="192"/>
      <c r="CZ292" s="192"/>
      <c r="DA292" s="151"/>
      <c r="DB292" s="10"/>
      <c r="DC292" s="10"/>
      <c r="DD292" s="10"/>
      <c r="DE292" s="151"/>
      <c r="DF292" s="192"/>
      <c r="DG292" s="192"/>
      <c r="DH292" s="192"/>
      <c r="DI292" s="151"/>
      <c r="DJ292" s="1"/>
      <c r="DK292" s="225"/>
      <c r="DL292" s="225"/>
      <c r="DM292" s="225"/>
      <c r="DN292" s="225"/>
      <c r="DO292" s="225"/>
      <c r="DP292" s="225"/>
      <c r="DQ292" s="225"/>
      <c r="DR292" s="225"/>
      <c r="DS292" s="225"/>
      <c r="DT292" s="225"/>
      <c r="DU292" s="225"/>
      <c r="DV292" s="225"/>
      <c r="DW292" s="1"/>
      <c r="EJ292" s="1"/>
      <c r="EK292" s="17"/>
      <c r="EL292" s="17"/>
      <c r="EM292" s="17"/>
      <c r="EN292" s="17"/>
      <c r="EO292" s="17"/>
      <c r="EP292" s="17"/>
      <c r="EQ292" s="17"/>
      <c r="ER292" s="17"/>
      <c r="ES292" s="17"/>
      <c r="EU292" s="17"/>
      <c r="EW292" s="1"/>
      <c r="EX292" s="225"/>
      <c r="EY292" s="225"/>
      <c r="EZ292" s="225"/>
      <c r="FA292" s="225"/>
      <c r="FB292" s="225"/>
      <c r="FC292" s="225"/>
      <c r="FD292" s="225"/>
      <c r="FE292" s="225"/>
      <c r="FF292" s="225"/>
      <c r="FG292" s="10"/>
      <c r="FH292" s="225"/>
      <c r="FI292" s="10"/>
      <c r="FJ292" s="1"/>
      <c r="FK292" s="225"/>
      <c r="FL292" s="225"/>
      <c r="FM292" s="225"/>
      <c r="FN292" s="225"/>
      <c r="FO292" s="225"/>
      <c r="FP292" s="225"/>
      <c r="FQ292" s="225"/>
      <c r="FR292" s="225"/>
      <c r="FS292" s="225"/>
      <c r="FT292" s="191"/>
      <c r="FU292" s="225"/>
      <c r="FV292" s="151"/>
    </row>
    <row r="293" spans="1:178" ht="16" thickBot="1" x14ac:dyDescent="0.25">
      <c r="A293" s="27" t="s">
        <v>108</v>
      </c>
      <c r="B293" t="s">
        <v>141</v>
      </c>
      <c r="C293" s="1"/>
      <c r="D293">
        <v>15</v>
      </c>
      <c r="E293" s="17">
        <v>19</v>
      </c>
      <c r="F293" s="241">
        <v>22</v>
      </c>
      <c r="G293" s="87">
        <v>24</v>
      </c>
      <c r="H293" s="87">
        <v>19</v>
      </c>
      <c r="I293" s="87">
        <v>22</v>
      </c>
      <c r="J293" s="17"/>
      <c r="K293" s="17"/>
      <c r="L293" s="17"/>
      <c r="M293" s="17"/>
      <c r="N293" s="17"/>
      <c r="O293" s="17"/>
      <c r="P293" s="1"/>
      <c r="Q293" s="48">
        <v>1825.99</v>
      </c>
      <c r="R293" s="49">
        <v>634.70000000000005</v>
      </c>
      <c r="S293" s="49">
        <v>793.17</v>
      </c>
      <c r="T293" s="50">
        <f t="shared" si="96"/>
        <v>3253.86</v>
      </c>
      <c r="U293" s="48">
        <v>2278.3000000000002</v>
      </c>
      <c r="V293" s="49">
        <v>353.97</v>
      </c>
      <c r="W293" s="49">
        <v>1894.31</v>
      </c>
      <c r="X293" s="50">
        <f t="shared" si="97"/>
        <v>4526.58</v>
      </c>
      <c r="Y293" s="48">
        <v>2122.89</v>
      </c>
      <c r="Z293" s="49">
        <v>1893.85</v>
      </c>
      <c r="AA293" s="49">
        <v>2783.7200000000003</v>
      </c>
      <c r="AB293" s="50">
        <f t="shared" si="98"/>
        <v>6800.46</v>
      </c>
      <c r="AC293" s="164">
        <v>2104.16</v>
      </c>
      <c r="AD293" s="165">
        <v>1249.76</v>
      </c>
      <c r="AE293" s="165">
        <v>4322.96</v>
      </c>
      <c r="AF293" s="151">
        <f t="shared" si="99"/>
        <v>7676.88</v>
      </c>
      <c r="AG293" s="191">
        <v>1426.22</v>
      </c>
      <c r="AH293" s="10">
        <v>844.29</v>
      </c>
      <c r="AI293" s="10">
        <v>4848.22</v>
      </c>
      <c r="AJ293" s="151">
        <f t="shared" si="100"/>
        <v>7118.7300000000005</v>
      </c>
      <c r="AK293" s="99">
        <v>1144.4000000000001</v>
      </c>
      <c r="AL293" s="99">
        <v>378.93</v>
      </c>
      <c r="AM293" s="99">
        <v>6573.1</v>
      </c>
      <c r="AN293" s="151">
        <f t="shared" si="101"/>
        <v>8096.43</v>
      </c>
      <c r="AO293" s="191"/>
      <c r="AP293" s="10"/>
      <c r="AQ293" s="10"/>
      <c r="AR293" s="151"/>
      <c r="AS293" s="191"/>
      <c r="AT293" s="192"/>
      <c r="AU293" s="192"/>
      <c r="AV293" s="151"/>
      <c r="AW293" s="192"/>
      <c r="AX293" s="192"/>
      <c r="AY293" s="192"/>
      <c r="AZ293" s="151"/>
      <c r="BA293" s="10"/>
      <c r="BB293" s="10"/>
      <c r="BC293" s="10"/>
      <c r="BD293" s="151"/>
      <c r="BE293" s="191"/>
      <c r="BF293" s="10"/>
      <c r="BG293" s="10"/>
      <c r="BH293" s="151"/>
      <c r="BI293" s="191"/>
      <c r="BJ293" s="10"/>
      <c r="BK293" s="10"/>
      <c r="BL293" s="151"/>
      <c r="BM293" s="1"/>
      <c r="BN293" s="48">
        <v>360.2</v>
      </c>
      <c r="BO293" s="49">
        <v>116.03</v>
      </c>
      <c r="BP293" s="49">
        <v>294.58999999999997</v>
      </c>
      <c r="BQ293" s="50">
        <f t="shared" si="102"/>
        <v>770.81999999999994</v>
      </c>
      <c r="BR293" s="48">
        <v>610.72</v>
      </c>
      <c r="BS293" s="49">
        <v>353.97</v>
      </c>
      <c r="BT293" s="49">
        <v>616.55999999999995</v>
      </c>
      <c r="BU293" s="50">
        <f t="shared" si="103"/>
        <v>1581.25</v>
      </c>
      <c r="BV293" s="48">
        <v>106.43</v>
      </c>
      <c r="BW293" s="49">
        <v>306.39</v>
      </c>
      <c r="BX293" s="49">
        <v>1086.42</v>
      </c>
      <c r="BY293" s="50">
        <f t="shared" si="104"/>
        <v>1499.24</v>
      </c>
      <c r="BZ293" s="182">
        <v>670.18</v>
      </c>
      <c r="CA293" s="99">
        <v>1950.27</v>
      </c>
      <c r="CB293" s="99">
        <v>2556.7399999999998</v>
      </c>
      <c r="CC293" s="98">
        <f t="shared" si="105"/>
        <v>5177.1899999999996</v>
      </c>
      <c r="CD293" s="182">
        <v>42.25</v>
      </c>
      <c r="CE293" s="99">
        <v>1176.0899999999999</v>
      </c>
      <c r="CF293" s="99">
        <v>3124.26</v>
      </c>
      <c r="CG293" s="98">
        <f t="shared" si="106"/>
        <v>4342.6000000000004</v>
      </c>
      <c r="CH293" s="191">
        <v>257.73</v>
      </c>
      <c r="CI293" s="192">
        <v>535.72</v>
      </c>
      <c r="CJ293" s="192">
        <v>3977.43</v>
      </c>
      <c r="CK293" s="98">
        <f t="shared" si="107"/>
        <v>4770.88</v>
      </c>
      <c r="CL293" s="111"/>
      <c r="CM293" s="111"/>
      <c r="CN293" s="111"/>
      <c r="CO293" s="112"/>
      <c r="CP293" s="191"/>
      <c r="CQ293" s="192"/>
      <c r="CR293" s="192"/>
      <c r="CS293" s="151"/>
      <c r="CT293" s="111"/>
      <c r="CU293" s="111"/>
      <c r="CV293" s="111"/>
      <c r="CW293" s="112"/>
      <c r="CX293" s="192"/>
      <c r="CY293" s="192"/>
      <c r="CZ293" s="192"/>
      <c r="DA293" s="151"/>
      <c r="DB293" s="10"/>
      <c r="DC293" s="10"/>
      <c r="DD293" s="10"/>
      <c r="DE293" s="151"/>
      <c r="DF293" s="192"/>
      <c r="DG293" s="192"/>
      <c r="DH293" s="192"/>
      <c r="DI293" s="151"/>
      <c r="DJ293" s="1"/>
      <c r="DK293" s="225"/>
      <c r="DL293" s="225"/>
      <c r="DM293" s="225"/>
      <c r="DN293" s="225"/>
      <c r="DO293" s="225"/>
      <c r="DP293" s="225">
        <v>546.57000000000005</v>
      </c>
      <c r="DQ293" s="225"/>
      <c r="DR293" s="225"/>
      <c r="DS293" s="225"/>
      <c r="DT293" s="225"/>
      <c r="DU293" s="225"/>
      <c r="DV293" s="225"/>
      <c r="DW293" s="1"/>
      <c r="EJ293" s="1"/>
      <c r="EK293" s="17"/>
      <c r="EL293" s="17"/>
      <c r="EM293" s="17"/>
      <c r="EN293" s="17"/>
      <c r="EO293" s="17"/>
      <c r="EP293" s="17">
        <v>1</v>
      </c>
      <c r="EQ293" s="17"/>
      <c r="ER293" s="17"/>
      <c r="ES293" s="17"/>
      <c r="EU293" s="17"/>
      <c r="EW293" s="1"/>
      <c r="EX293" s="225"/>
      <c r="EY293" s="225"/>
      <c r="EZ293" s="225"/>
      <c r="FA293" s="225"/>
      <c r="FB293" s="225"/>
      <c r="FC293" s="225">
        <v>546.57000000000005</v>
      </c>
      <c r="FD293" s="225"/>
      <c r="FE293" s="225"/>
      <c r="FF293" s="225"/>
      <c r="FG293" s="10"/>
      <c r="FH293" s="225"/>
      <c r="FI293" s="10"/>
      <c r="FJ293" s="1"/>
      <c r="FK293" s="225"/>
      <c r="FL293" s="225"/>
      <c r="FM293" s="225">
        <v>-74.31</v>
      </c>
      <c r="FN293" s="225"/>
      <c r="FO293" s="225"/>
      <c r="FP293" s="225"/>
      <c r="FQ293" s="225"/>
      <c r="FR293" s="225"/>
      <c r="FS293" s="225"/>
      <c r="FT293" s="191"/>
      <c r="FU293" s="225"/>
      <c r="FV293" s="151"/>
    </row>
    <row r="294" spans="1:178" ht="16" thickBot="1" x14ac:dyDescent="0.25">
      <c r="A294" s="27" t="s">
        <v>109</v>
      </c>
      <c r="B294" t="s">
        <v>141</v>
      </c>
      <c r="C294" s="1"/>
      <c r="D294">
        <v>107</v>
      </c>
      <c r="E294" s="17">
        <v>122</v>
      </c>
      <c r="F294" s="241">
        <v>112</v>
      </c>
      <c r="G294" s="87">
        <v>131</v>
      </c>
      <c r="H294" s="87">
        <v>138</v>
      </c>
      <c r="I294" s="87">
        <v>147</v>
      </c>
      <c r="J294" s="17"/>
      <c r="K294" s="17"/>
      <c r="L294" s="17"/>
      <c r="M294" s="17"/>
      <c r="N294" s="17"/>
      <c r="O294" s="17"/>
      <c r="P294" s="1"/>
      <c r="Q294" s="48">
        <v>12227.220000000001</v>
      </c>
      <c r="R294" s="49">
        <v>3680.54</v>
      </c>
      <c r="S294" s="49">
        <v>10447.970000000001</v>
      </c>
      <c r="T294" s="50">
        <f t="shared" si="96"/>
        <v>26355.730000000003</v>
      </c>
      <c r="U294" s="48">
        <v>12105.04</v>
      </c>
      <c r="V294" s="49">
        <v>10219.299999999999</v>
      </c>
      <c r="W294" s="49">
        <v>9204.83</v>
      </c>
      <c r="X294" s="50">
        <f t="shared" si="97"/>
        <v>31529.17</v>
      </c>
      <c r="Y294" s="48">
        <v>14159.4</v>
      </c>
      <c r="Z294" s="49">
        <v>10244.719999999999</v>
      </c>
      <c r="AA294" s="49">
        <v>9221.2199999999993</v>
      </c>
      <c r="AB294" s="50">
        <f t="shared" si="98"/>
        <v>33625.339999999997</v>
      </c>
      <c r="AC294" s="164">
        <v>14718.53</v>
      </c>
      <c r="AD294" s="165">
        <v>7771.08</v>
      </c>
      <c r="AE294" s="165">
        <v>11137.11</v>
      </c>
      <c r="AF294" s="151">
        <f t="shared" si="99"/>
        <v>33626.720000000001</v>
      </c>
      <c r="AG294" s="191">
        <v>16528.18</v>
      </c>
      <c r="AH294" s="10">
        <v>10742.75</v>
      </c>
      <c r="AI294" s="10">
        <v>13605.79</v>
      </c>
      <c r="AJ294" s="151">
        <f t="shared" si="100"/>
        <v>40876.720000000001</v>
      </c>
      <c r="AK294" s="99">
        <v>9030.9599999999991</v>
      </c>
      <c r="AL294" s="99">
        <v>7866.34</v>
      </c>
      <c r="AM294" s="99">
        <v>10307.280000000001</v>
      </c>
      <c r="AN294" s="151">
        <f t="shared" si="101"/>
        <v>27204.58</v>
      </c>
      <c r="AO294" s="191"/>
      <c r="AP294" s="10"/>
      <c r="AQ294" s="10"/>
      <c r="AR294" s="151"/>
      <c r="AS294" s="191"/>
      <c r="AT294" s="192"/>
      <c r="AU294" s="192"/>
      <c r="AV294" s="151"/>
      <c r="AW294" s="192"/>
      <c r="AX294" s="192"/>
      <c r="AY294" s="192"/>
      <c r="AZ294" s="151"/>
      <c r="BA294" s="10"/>
      <c r="BB294" s="10"/>
      <c r="BC294" s="10"/>
      <c r="BD294" s="151"/>
      <c r="BE294" s="191"/>
      <c r="BF294" s="10"/>
      <c r="BG294" s="10"/>
      <c r="BH294" s="151"/>
      <c r="BI294" s="191"/>
      <c r="BJ294" s="10"/>
      <c r="BK294" s="10"/>
      <c r="BL294" s="151"/>
      <c r="BM294" s="1"/>
      <c r="BN294" s="48">
        <v>1467.97</v>
      </c>
      <c r="BO294" s="49">
        <v>844.31</v>
      </c>
      <c r="BP294" s="49">
        <v>6173.3</v>
      </c>
      <c r="BQ294" s="50">
        <f t="shared" si="102"/>
        <v>8485.58</v>
      </c>
      <c r="BR294" s="48">
        <v>1519.69</v>
      </c>
      <c r="BS294" s="49">
        <v>2064.34</v>
      </c>
      <c r="BT294" s="49">
        <v>6423.37</v>
      </c>
      <c r="BU294" s="50">
        <f t="shared" si="103"/>
        <v>10007.4</v>
      </c>
      <c r="BV294" s="48">
        <v>1485.19</v>
      </c>
      <c r="BW294" s="49">
        <v>2110.14</v>
      </c>
      <c r="BX294" s="49">
        <v>6035.32</v>
      </c>
      <c r="BY294" s="50">
        <f t="shared" si="104"/>
        <v>9630.65</v>
      </c>
      <c r="BZ294" s="182">
        <v>4340.6099999999997</v>
      </c>
      <c r="CA294" s="99">
        <v>6345.58</v>
      </c>
      <c r="CB294" s="99">
        <v>8014.52</v>
      </c>
      <c r="CC294" s="98">
        <f t="shared" si="105"/>
        <v>18700.71</v>
      </c>
      <c r="CD294" s="182">
        <v>4051.89</v>
      </c>
      <c r="CE294" s="99">
        <v>7347.73</v>
      </c>
      <c r="CF294" s="99">
        <v>10037.51</v>
      </c>
      <c r="CG294" s="98">
        <f t="shared" si="106"/>
        <v>21437.129999999997</v>
      </c>
      <c r="CH294" s="191">
        <v>2089.85</v>
      </c>
      <c r="CI294" s="192">
        <v>9835.16</v>
      </c>
      <c r="CJ294" s="192">
        <v>3596.2799999999997</v>
      </c>
      <c r="CK294" s="98">
        <f t="shared" si="107"/>
        <v>15521.29</v>
      </c>
      <c r="CL294" s="111"/>
      <c r="CM294" s="111"/>
      <c r="CN294" s="111"/>
      <c r="CO294" s="112"/>
      <c r="CP294" s="191"/>
      <c r="CQ294" s="192"/>
      <c r="CR294" s="192"/>
      <c r="CS294" s="151"/>
      <c r="CT294" s="111"/>
      <c r="CU294" s="111"/>
      <c r="CV294" s="111"/>
      <c r="CW294" s="112"/>
      <c r="CX294" s="192"/>
      <c r="CY294" s="192"/>
      <c r="CZ294" s="192"/>
      <c r="DA294" s="151"/>
      <c r="DB294" s="10"/>
      <c r="DC294" s="10"/>
      <c r="DD294" s="10"/>
      <c r="DE294" s="151"/>
      <c r="DF294" s="192"/>
      <c r="DG294" s="192"/>
      <c r="DH294" s="192"/>
      <c r="DI294" s="151"/>
      <c r="DJ294" s="1"/>
      <c r="DK294" s="225">
        <v>424.64</v>
      </c>
      <c r="DL294" s="225"/>
      <c r="DM294" s="225">
        <v>2123.63</v>
      </c>
      <c r="DN294" s="225">
        <v>2652.19</v>
      </c>
      <c r="DO294" s="225">
        <v>1604.83</v>
      </c>
      <c r="DP294" s="225">
        <v>12275.53</v>
      </c>
      <c r="DQ294" s="225"/>
      <c r="DR294" s="225"/>
      <c r="DS294" s="225"/>
      <c r="DT294" s="225"/>
      <c r="DU294" s="225"/>
      <c r="DV294" s="225"/>
      <c r="DW294" s="1"/>
      <c r="EJ294" s="1"/>
      <c r="EK294" s="17">
        <v>3</v>
      </c>
      <c r="EL294" s="17"/>
      <c r="EM294" s="17">
        <v>6</v>
      </c>
      <c r="EN294" s="17">
        <v>5</v>
      </c>
      <c r="EO294" s="17">
        <v>2</v>
      </c>
      <c r="EP294" s="17">
        <v>9</v>
      </c>
      <c r="EQ294" s="17"/>
      <c r="ER294" s="17"/>
      <c r="ES294" s="17"/>
      <c r="EU294" s="17"/>
      <c r="EW294" s="1"/>
      <c r="EX294" s="225">
        <v>415.64</v>
      </c>
      <c r="EY294" s="225"/>
      <c r="EZ294" s="225">
        <v>2123.63</v>
      </c>
      <c r="FA294" s="225">
        <v>2652.19</v>
      </c>
      <c r="FB294" s="225">
        <v>1604.83</v>
      </c>
      <c r="FC294" s="225">
        <v>12275.53</v>
      </c>
      <c r="FD294" s="225"/>
      <c r="FE294" s="225"/>
      <c r="FF294" s="225"/>
      <c r="FG294" s="10"/>
      <c r="FH294" s="225"/>
      <c r="FI294" s="10"/>
      <c r="FJ294" s="1"/>
      <c r="FK294" s="225">
        <v>-50</v>
      </c>
      <c r="FL294" s="225">
        <v>-50</v>
      </c>
      <c r="FM294" s="225">
        <v>-50</v>
      </c>
      <c r="FN294" s="225">
        <v>-50</v>
      </c>
      <c r="FO294" s="225">
        <v>-48.74</v>
      </c>
      <c r="FP294" s="225"/>
      <c r="FQ294" s="225"/>
      <c r="FR294" s="225"/>
      <c r="FS294" s="225"/>
      <c r="FT294" s="191"/>
      <c r="FU294" s="225"/>
      <c r="FV294" s="151"/>
    </row>
    <row r="295" spans="1:178" ht="16" thickBot="1" x14ac:dyDescent="0.25">
      <c r="A295" s="27" t="s">
        <v>110</v>
      </c>
      <c r="B295" t="s">
        <v>141</v>
      </c>
      <c r="C295" s="1"/>
      <c r="D295">
        <v>50</v>
      </c>
      <c r="E295" s="17">
        <v>65</v>
      </c>
      <c r="F295" s="241">
        <v>65</v>
      </c>
      <c r="G295" s="87">
        <v>75</v>
      </c>
      <c r="H295" s="87">
        <v>58</v>
      </c>
      <c r="I295" s="87">
        <v>48</v>
      </c>
      <c r="J295" s="17"/>
      <c r="K295" s="17"/>
      <c r="L295" s="17"/>
      <c r="M295" s="17"/>
      <c r="N295" s="17"/>
      <c r="O295" s="17"/>
      <c r="P295" s="1"/>
      <c r="Q295" s="48">
        <v>6592.22</v>
      </c>
      <c r="R295" s="49">
        <v>3885.76</v>
      </c>
      <c r="S295" s="49">
        <v>4411.3</v>
      </c>
      <c r="T295" s="50">
        <f t="shared" si="96"/>
        <v>14889.279999999999</v>
      </c>
      <c r="U295" s="48">
        <v>14526.06</v>
      </c>
      <c r="V295" s="49">
        <v>2580.06</v>
      </c>
      <c r="W295" s="49">
        <v>6150.4400000000005</v>
      </c>
      <c r="X295" s="50">
        <f t="shared" si="97"/>
        <v>23256.559999999998</v>
      </c>
      <c r="Y295" s="48">
        <v>11761.32</v>
      </c>
      <c r="Z295" s="49">
        <v>7969.57</v>
      </c>
      <c r="AA295" s="49">
        <v>2662.79</v>
      </c>
      <c r="AB295" s="50">
        <f t="shared" si="98"/>
        <v>22393.68</v>
      </c>
      <c r="AC295" s="164">
        <v>6874.41</v>
      </c>
      <c r="AD295" s="165">
        <v>9066.2900000000009</v>
      </c>
      <c r="AE295" s="165">
        <v>4939.21</v>
      </c>
      <c r="AF295" s="151">
        <f t="shared" si="99"/>
        <v>20879.91</v>
      </c>
      <c r="AG295" s="191">
        <v>3660.75</v>
      </c>
      <c r="AH295" s="10">
        <v>5840.36</v>
      </c>
      <c r="AI295" s="10">
        <v>9157.48</v>
      </c>
      <c r="AJ295" s="151">
        <f t="shared" si="100"/>
        <v>18658.59</v>
      </c>
      <c r="AK295" s="99">
        <v>2573.6999999999998</v>
      </c>
      <c r="AL295" s="99">
        <v>2715.18</v>
      </c>
      <c r="AM295" s="99">
        <v>7757.84</v>
      </c>
      <c r="AN295" s="151">
        <f t="shared" si="101"/>
        <v>13046.72</v>
      </c>
      <c r="AO295" s="191"/>
      <c r="AP295" s="10"/>
      <c r="AQ295" s="10"/>
      <c r="AR295" s="151"/>
      <c r="AS295" s="191"/>
      <c r="AT295" s="192"/>
      <c r="AU295" s="192"/>
      <c r="AV295" s="151"/>
      <c r="AW295" s="192"/>
      <c r="AX295" s="192"/>
      <c r="AY295" s="192"/>
      <c r="AZ295" s="151"/>
      <c r="BA295" s="10"/>
      <c r="BB295" s="10"/>
      <c r="BC295" s="10"/>
      <c r="BD295" s="151"/>
      <c r="BE295" s="191"/>
      <c r="BF295" s="10"/>
      <c r="BG295" s="10"/>
      <c r="BH295" s="151"/>
      <c r="BI295" s="191"/>
      <c r="BJ295" s="10"/>
      <c r="BK295" s="10"/>
      <c r="BL295" s="151"/>
      <c r="BM295" s="1"/>
      <c r="BN295" s="48">
        <v>458.5</v>
      </c>
      <c r="BO295" s="49">
        <v>986.79</v>
      </c>
      <c r="BP295" s="49">
        <v>554.36</v>
      </c>
      <c r="BQ295" s="50">
        <f t="shared" si="102"/>
        <v>1999.65</v>
      </c>
      <c r="BR295" s="48">
        <v>1787.72</v>
      </c>
      <c r="BS295" s="49">
        <v>181.25</v>
      </c>
      <c r="BT295" s="49">
        <v>1501.68</v>
      </c>
      <c r="BU295" s="50">
        <f t="shared" si="103"/>
        <v>3470.65</v>
      </c>
      <c r="BV295" s="48">
        <v>1360.09</v>
      </c>
      <c r="BW295" s="49">
        <v>2346.06</v>
      </c>
      <c r="BX295" s="49">
        <v>2275.0500000000002</v>
      </c>
      <c r="BY295" s="50">
        <f t="shared" si="104"/>
        <v>5981.2</v>
      </c>
      <c r="BZ295" s="182">
        <v>1549.79</v>
      </c>
      <c r="CA295" s="99">
        <v>2035.83</v>
      </c>
      <c r="CB295" s="99">
        <v>2782.17</v>
      </c>
      <c r="CC295" s="98">
        <f t="shared" si="105"/>
        <v>6367.79</v>
      </c>
      <c r="CD295" s="182">
        <v>598.70000000000005</v>
      </c>
      <c r="CE295" s="99">
        <v>5404.71</v>
      </c>
      <c r="CF295" s="99">
        <v>2757.67</v>
      </c>
      <c r="CG295" s="98">
        <f t="shared" si="106"/>
        <v>8761.08</v>
      </c>
      <c r="CH295" s="191">
        <v>752.23</v>
      </c>
      <c r="CI295" s="192">
        <v>1410.64</v>
      </c>
      <c r="CJ295" s="192">
        <v>4856.54</v>
      </c>
      <c r="CK295" s="98">
        <f t="shared" si="107"/>
        <v>7019.41</v>
      </c>
      <c r="CL295" s="111"/>
      <c r="CM295" s="111"/>
      <c r="CN295" s="111"/>
      <c r="CO295" s="112"/>
      <c r="CP295" s="191"/>
      <c r="CQ295" s="192"/>
      <c r="CR295" s="192"/>
      <c r="CS295" s="151"/>
      <c r="CT295" s="111"/>
      <c r="CU295" s="111"/>
      <c r="CV295" s="111"/>
      <c r="CW295" s="112"/>
      <c r="CX295" s="192"/>
      <c r="CY295" s="192"/>
      <c r="CZ295" s="192"/>
      <c r="DA295" s="151"/>
      <c r="DB295" s="10"/>
      <c r="DC295" s="10"/>
      <c r="DD295" s="10"/>
      <c r="DE295" s="151"/>
      <c r="DF295" s="192"/>
      <c r="DG295" s="192"/>
      <c r="DH295" s="192"/>
      <c r="DI295" s="151"/>
      <c r="DJ295" s="1"/>
      <c r="DK295" s="225">
        <v>149.26</v>
      </c>
      <c r="DL295" s="225"/>
      <c r="DM295" s="225">
        <v>108.66</v>
      </c>
      <c r="DN295" s="225">
        <v>3247</v>
      </c>
      <c r="DO295" s="225">
        <v>244.26</v>
      </c>
      <c r="DP295" s="225">
        <v>108.25</v>
      </c>
      <c r="DQ295" s="225"/>
      <c r="DR295" s="225"/>
      <c r="DS295" s="225"/>
      <c r="DT295" s="225"/>
      <c r="DU295" s="225"/>
      <c r="DV295" s="225"/>
      <c r="DW295" s="1"/>
      <c r="EJ295" s="1"/>
      <c r="EK295" s="17">
        <v>1</v>
      </c>
      <c r="EL295" s="17"/>
      <c r="EM295" s="17">
        <v>2</v>
      </c>
      <c r="EN295" s="17">
        <v>1</v>
      </c>
      <c r="EO295" s="17">
        <v>1</v>
      </c>
      <c r="EP295" s="17">
        <v>1</v>
      </c>
      <c r="EQ295" s="17"/>
      <c r="ER295" s="17"/>
      <c r="ES295" s="17"/>
      <c r="EU295" s="17"/>
      <c r="EW295" s="1"/>
      <c r="EX295" s="225">
        <v>149.26</v>
      </c>
      <c r="EY295" s="225"/>
      <c r="EZ295" s="225">
        <v>108.66</v>
      </c>
      <c r="FA295" s="225">
        <v>3247</v>
      </c>
      <c r="FB295" s="225">
        <v>244.26</v>
      </c>
      <c r="FC295" s="225">
        <v>108.25</v>
      </c>
      <c r="FD295" s="225"/>
      <c r="FE295" s="225"/>
      <c r="FF295" s="225"/>
      <c r="FG295" s="10"/>
      <c r="FH295" s="225"/>
      <c r="FI295" s="10"/>
      <c r="FJ295" s="1"/>
      <c r="FK295" s="225"/>
      <c r="FL295" s="225"/>
      <c r="FM295" s="225"/>
      <c r="FN295" s="225">
        <v>-544.49</v>
      </c>
      <c r="FO295" s="225"/>
      <c r="FP295" s="225"/>
      <c r="FQ295" s="225"/>
      <c r="FR295" s="225"/>
      <c r="FS295" s="225"/>
      <c r="FT295" s="191"/>
      <c r="FU295" s="225"/>
      <c r="FV295" s="151"/>
    </row>
    <row r="296" spans="1:178" ht="16" thickBot="1" x14ac:dyDescent="0.25">
      <c r="A296" s="27" t="s">
        <v>111</v>
      </c>
      <c r="B296" t="s">
        <v>141</v>
      </c>
      <c r="C296" s="1"/>
      <c r="D296">
        <v>1001</v>
      </c>
      <c r="E296" s="17">
        <v>1044</v>
      </c>
      <c r="F296" s="241">
        <v>1192</v>
      </c>
      <c r="G296" s="87">
        <v>1092</v>
      </c>
      <c r="H296" s="87">
        <v>1227</v>
      </c>
      <c r="I296" s="87">
        <v>1204</v>
      </c>
      <c r="J296" s="17"/>
      <c r="K296" s="17"/>
      <c r="L296" s="17"/>
      <c r="M296" s="17"/>
      <c r="N296" s="17"/>
      <c r="O296" s="17"/>
      <c r="P296" s="1"/>
      <c r="Q296" s="48">
        <v>70945.83</v>
      </c>
      <c r="R296" s="49">
        <v>37174.18</v>
      </c>
      <c r="S296" s="49">
        <v>92013.35</v>
      </c>
      <c r="T296" s="50">
        <f t="shared" si="96"/>
        <v>200133.36000000002</v>
      </c>
      <c r="U296" s="48">
        <v>69136.63</v>
      </c>
      <c r="V296" s="49">
        <v>62278.82</v>
      </c>
      <c r="W296" s="49">
        <v>86312.51</v>
      </c>
      <c r="X296" s="50">
        <f t="shared" si="97"/>
        <v>217727.96000000002</v>
      </c>
      <c r="Y296" s="48">
        <v>92043.3</v>
      </c>
      <c r="Z296" s="49">
        <v>79496.289999999994</v>
      </c>
      <c r="AA296" s="49">
        <v>111714.68000000001</v>
      </c>
      <c r="AB296" s="50">
        <f t="shared" si="98"/>
        <v>283254.27</v>
      </c>
      <c r="AC296" s="164">
        <v>80098.25</v>
      </c>
      <c r="AD296" s="165">
        <v>59317.96</v>
      </c>
      <c r="AE296" s="165">
        <v>104104.91</v>
      </c>
      <c r="AF296" s="151">
        <f t="shared" si="99"/>
        <v>243521.12</v>
      </c>
      <c r="AG296" s="191">
        <v>83254.59</v>
      </c>
      <c r="AH296" s="10">
        <v>71021.36</v>
      </c>
      <c r="AI296" s="10">
        <v>107150.09</v>
      </c>
      <c r="AJ296" s="151">
        <f t="shared" si="100"/>
        <v>261426.04</v>
      </c>
      <c r="AK296" s="99">
        <v>50309.59</v>
      </c>
      <c r="AL296" s="99">
        <v>64429.99</v>
      </c>
      <c r="AM296" s="99">
        <v>97269.96</v>
      </c>
      <c r="AN296" s="151">
        <f t="shared" si="101"/>
        <v>212009.53999999998</v>
      </c>
      <c r="AO296" s="191"/>
      <c r="AP296" s="10"/>
      <c r="AQ296" s="10"/>
      <c r="AR296" s="151"/>
      <c r="AS296" s="191"/>
      <c r="AT296" s="192"/>
      <c r="AU296" s="192"/>
      <c r="AV296" s="151"/>
      <c r="AW296" s="192"/>
      <c r="AX296" s="192"/>
      <c r="AY296" s="192"/>
      <c r="AZ296" s="151"/>
      <c r="BA296" s="10"/>
      <c r="BB296" s="10"/>
      <c r="BC296" s="10"/>
      <c r="BD296" s="151"/>
      <c r="BE296" s="191"/>
      <c r="BF296" s="10"/>
      <c r="BG296" s="10"/>
      <c r="BH296" s="151"/>
      <c r="BI296" s="191"/>
      <c r="BJ296" s="10"/>
      <c r="BK296" s="10"/>
      <c r="BL296" s="151"/>
      <c r="BM296" s="1"/>
      <c r="BN296" s="48">
        <v>12762.06</v>
      </c>
      <c r="BO296" s="49">
        <v>11147.19</v>
      </c>
      <c r="BP296" s="49">
        <v>30956.53</v>
      </c>
      <c r="BQ296" s="50">
        <f t="shared" si="102"/>
        <v>54865.78</v>
      </c>
      <c r="BR296" s="48">
        <v>12092.72</v>
      </c>
      <c r="BS296" s="49">
        <v>21749.16</v>
      </c>
      <c r="BT296" s="49">
        <v>28482.420000000002</v>
      </c>
      <c r="BU296" s="50">
        <f t="shared" si="103"/>
        <v>62324.3</v>
      </c>
      <c r="BV296" s="48">
        <v>21600.25</v>
      </c>
      <c r="BW296" s="49">
        <v>22663.69</v>
      </c>
      <c r="BX296" s="49">
        <v>44601.08</v>
      </c>
      <c r="BY296" s="50">
        <f t="shared" si="104"/>
        <v>88865.02</v>
      </c>
      <c r="BZ296" s="182">
        <v>20423.5</v>
      </c>
      <c r="CA296" s="99">
        <v>89978.72</v>
      </c>
      <c r="CB296" s="99">
        <v>59188.639999999999</v>
      </c>
      <c r="CC296" s="98">
        <f t="shared" si="105"/>
        <v>169590.86</v>
      </c>
      <c r="CD296" s="182">
        <v>14074.87</v>
      </c>
      <c r="CE296" s="99">
        <v>105025.43</v>
      </c>
      <c r="CF296" s="99">
        <v>59443.01</v>
      </c>
      <c r="CG296" s="98">
        <f t="shared" si="106"/>
        <v>178543.31</v>
      </c>
      <c r="CH296" s="191">
        <v>11979.96</v>
      </c>
      <c r="CI296" s="192">
        <v>83726.149999999994</v>
      </c>
      <c r="CJ296" s="192">
        <v>55842.57</v>
      </c>
      <c r="CK296" s="98">
        <f t="shared" si="107"/>
        <v>151548.68</v>
      </c>
      <c r="CL296" s="111"/>
      <c r="CM296" s="111"/>
      <c r="CN296" s="111"/>
      <c r="CO296" s="112"/>
      <c r="CP296" s="191"/>
      <c r="CQ296" s="192"/>
      <c r="CR296" s="192"/>
      <c r="CS296" s="151"/>
      <c r="CT296" s="111"/>
      <c r="CU296" s="111"/>
      <c r="CV296" s="111"/>
      <c r="CW296" s="112"/>
      <c r="CX296" s="192"/>
      <c r="CY296" s="192"/>
      <c r="CZ296" s="192"/>
      <c r="DA296" s="151"/>
      <c r="DB296" s="10"/>
      <c r="DC296" s="10"/>
      <c r="DD296" s="10"/>
      <c r="DE296" s="151"/>
      <c r="DF296" s="192"/>
      <c r="DG296" s="192"/>
      <c r="DH296" s="192"/>
      <c r="DI296" s="151"/>
      <c r="DJ296" s="1"/>
      <c r="DK296" s="225">
        <v>14867.28</v>
      </c>
      <c r="DL296" s="225">
        <v>13706.27</v>
      </c>
      <c r="DM296" s="225">
        <v>19562.39</v>
      </c>
      <c r="DN296" s="225">
        <v>34274.800000000003</v>
      </c>
      <c r="DO296" s="225">
        <v>18966.79</v>
      </c>
      <c r="DP296" s="225">
        <v>45774.65</v>
      </c>
      <c r="DQ296" s="225"/>
      <c r="DR296" s="225"/>
      <c r="DS296" s="225"/>
      <c r="DT296" s="225"/>
      <c r="DU296" s="225"/>
      <c r="DV296" s="225"/>
      <c r="DW296" s="1"/>
      <c r="EJ296" s="1"/>
      <c r="EK296" s="17">
        <v>49</v>
      </c>
      <c r="EL296" s="17">
        <v>47</v>
      </c>
      <c r="EM296" s="17">
        <v>58</v>
      </c>
      <c r="EN296" s="17">
        <v>79</v>
      </c>
      <c r="EO296" s="17">
        <v>44</v>
      </c>
      <c r="EP296" s="17">
        <v>92</v>
      </c>
      <c r="EQ296" s="17"/>
      <c r="ER296" s="17"/>
      <c r="ES296" s="17"/>
      <c r="EU296" s="17"/>
      <c r="EW296" s="1"/>
      <c r="EX296" s="225">
        <v>14867.28</v>
      </c>
      <c r="EY296" s="225">
        <v>13706.27</v>
      </c>
      <c r="EZ296" s="225">
        <v>19550.73</v>
      </c>
      <c r="FA296" s="225">
        <v>34274.800000000003</v>
      </c>
      <c r="FB296" s="225">
        <v>18966.79</v>
      </c>
      <c r="FC296" s="225">
        <v>45762.26</v>
      </c>
      <c r="FD296" s="225"/>
      <c r="FE296" s="225"/>
      <c r="FF296" s="225"/>
      <c r="FG296" s="10"/>
      <c r="FH296" s="225"/>
      <c r="FI296" s="10"/>
      <c r="FJ296" s="1"/>
      <c r="FK296" s="225">
        <v>-1378.87</v>
      </c>
      <c r="FL296" s="225">
        <v>-2058.88</v>
      </c>
      <c r="FM296" s="225">
        <v>-3370.43</v>
      </c>
      <c r="FN296" s="225">
        <v>-2162.23</v>
      </c>
      <c r="FO296" s="225">
        <v>-2561.13</v>
      </c>
      <c r="FP296" s="225">
        <v>-2515.42</v>
      </c>
      <c r="FQ296" s="225"/>
      <c r="FR296" s="225"/>
      <c r="FS296" s="225"/>
      <c r="FT296" s="191"/>
      <c r="FU296" s="225"/>
      <c r="FV296" s="151"/>
    </row>
    <row r="297" spans="1:178" ht="16" thickBot="1" x14ac:dyDescent="0.25">
      <c r="A297" s="27" t="s">
        <v>112</v>
      </c>
      <c r="B297" t="s">
        <v>141</v>
      </c>
      <c r="C297" s="1"/>
      <c r="D297">
        <v>980</v>
      </c>
      <c r="E297" s="17">
        <v>926</v>
      </c>
      <c r="F297" s="241">
        <v>1143</v>
      </c>
      <c r="G297" s="87">
        <v>1175</v>
      </c>
      <c r="H297" s="87">
        <v>1194</v>
      </c>
      <c r="I297" s="87">
        <v>1217</v>
      </c>
      <c r="J297" s="17"/>
      <c r="K297" s="17"/>
      <c r="L297" s="17"/>
      <c r="M297" s="17"/>
      <c r="N297" s="17"/>
      <c r="O297" s="17"/>
      <c r="P297" s="1"/>
      <c r="Q297" s="48">
        <v>81272.240000000005</v>
      </c>
      <c r="R297" s="49">
        <v>39964.07</v>
      </c>
      <c r="S297" s="49">
        <v>88855.07</v>
      </c>
      <c r="T297" s="50">
        <f t="shared" si="96"/>
        <v>210091.38</v>
      </c>
      <c r="U297" s="48">
        <v>72207.61</v>
      </c>
      <c r="V297" s="49">
        <v>60317.47</v>
      </c>
      <c r="W297" s="49">
        <v>72375.31</v>
      </c>
      <c r="X297" s="50">
        <f t="shared" si="97"/>
        <v>204900.39</v>
      </c>
      <c r="Y297" s="48">
        <v>107674.98000000001</v>
      </c>
      <c r="Z297" s="49">
        <v>91265.74</v>
      </c>
      <c r="AA297" s="49">
        <v>107602.23</v>
      </c>
      <c r="AB297" s="50">
        <f t="shared" si="98"/>
        <v>306542.95</v>
      </c>
      <c r="AC297" s="164">
        <v>117910.39999999999</v>
      </c>
      <c r="AD297" s="165">
        <v>65799.98</v>
      </c>
      <c r="AE297" s="165">
        <v>84191.83</v>
      </c>
      <c r="AF297" s="151">
        <f t="shared" si="99"/>
        <v>267902.21000000002</v>
      </c>
      <c r="AG297" s="191">
        <v>91935.45</v>
      </c>
      <c r="AH297" s="10">
        <v>87522.13</v>
      </c>
      <c r="AI297" s="10">
        <v>81999.13</v>
      </c>
      <c r="AJ297" s="151">
        <f t="shared" si="100"/>
        <v>261456.71000000002</v>
      </c>
      <c r="AK297" s="99">
        <v>60149.59</v>
      </c>
      <c r="AL297" s="99">
        <v>73606.649999999994</v>
      </c>
      <c r="AM297" s="99">
        <v>88239.31</v>
      </c>
      <c r="AN297" s="151">
        <f t="shared" si="101"/>
        <v>221995.55</v>
      </c>
      <c r="AO297" s="191"/>
      <c r="AP297" s="10"/>
      <c r="AQ297" s="10"/>
      <c r="AR297" s="151"/>
      <c r="AS297" s="191"/>
      <c r="AT297" s="192"/>
      <c r="AU297" s="192"/>
      <c r="AV297" s="151"/>
      <c r="AW297" s="192"/>
      <c r="AX297" s="192"/>
      <c r="AY297" s="192"/>
      <c r="AZ297" s="151"/>
      <c r="BA297" s="10"/>
      <c r="BB297" s="10"/>
      <c r="BC297" s="10"/>
      <c r="BD297" s="151"/>
      <c r="BE297" s="191"/>
      <c r="BF297" s="10"/>
      <c r="BG297" s="10"/>
      <c r="BH297" s="151"/>
      <c r="BI297" s="191"/>
      <c r="BJ297" s="10"/>
      <c r="BK297" s="10"/>
      <c r="BL297" s="151"/>
      <c r="BM297" s="1"/>
      <c r="BN297" s="48">
        <v>23913.759999999998</v>
      </c>
      <c r="BO297" s="49">
        <v>14113.02</v>
      </c>
      <c r="BP297" s="49">
        <v>45121.85</v>
      </c>
      <c r="BQ297" s="50">
        <f t="shared" si="102"/>
        <v>83148.63</v>
      </c>
      <c r="BR297" s="48">
        <v>18068.23</v>
      </c>
      <c r="BS297" s="49">
        <v>26927.03</v>
      </c>
      <c r="BT297" s="49">
        <v>32171.64</v>
      </c>
      <c r="BU297" s="50">
        <f t="shared" si="103"/>
        <v>77166.899999999994</v>
      </c>
      <c r="BV297" s="48">
        <v>29874.61</v>
      </c>
      <c r="BW297" s="49">
        <v>31100.38</v>
      </c>
      <c r="BX297" s="49">
        <v>64406.75</v>
      </c>
      <c r="BY297" s="50">
        <f t="shared" si="104"/>
        <v>125381.74</v>
      </c>
      <c r="BZ297" s="182">
        <v>36371.760000000002</v>
      </c>
      <c r="CA297" s="99">
        <v>101612.29</v>
      </c>
      <c r="CB297" s="99">
        <v>50183.12</v>
      </c>
      <c r="CC297" s="98">
        <f t="shared" si="105"/>
        <v>188167.16999999998</v>
      </c>
      <c r="CD297" s="182">
        <v>21519.07</v>
      </c>
      <c r="CE297" s="99">
        <v>113197.88</v>
      </c>
      <c r="CF297" s="99">
        <v>50843.41</v>
      </c>
      <c r="CG297" s="98">
        <f t="shared" si="106"/>
        <v>185560.36000000002</v>
      </c>
      <c r="CH297" s="191">
        <v>18466.07</v>
      </c>
      <c r="CI297" s="192">
        <v>104810.1</v>
      </c>
      <c r="CJ297" s="192">
        <v>52823.119999999995</v>
      </c>
      <c r="CK297" s="98">
        <f t="shared" si="107"/>
        <v>176099.29</v>
      </c>
      <c r="CL297" s="111"/>
      <c r="CM297" s="111"/>
      <c r="CN297" s="111"/>
      <c r="CO297" s="112"/>
      <c r="CP297" s="191"/>
      <c r="CQ297" s="192"/>
      <c r="CR297" s="192"/>
      <c r="CS297" s="151"/>
      <c r="CT297" s="111"/>
      <c r="CU297" s="111"/>
      <c r="CV297" s="111"/>
      <c r="CW297" s="112"/>
      <c r="CX297" s="192"/>
      <c r="CY297" s="192"/>
      <c r="CZ297" s="192"/>
      <c r="DA297" s="151"/>
      <c r="DB297" s="10"/>
      <c r="DC297" s="10"/>
      <c r="DD297" s="10"/>
      <c r="DE297" s="151"/>
      <c r="DF297" s="192"/>
      <c r="DG297" s="192"/>
      <c r="DH297" s="192"/>
      <c r="DI297" s="151"/>
      <c r="DJ297" s="1"/>
      <c r="DK297" s="225">
        <v>16468.759999999998</v>
      </c>
      <c r="DL297" s="225">
        <v>14408.98</v>
      </c>
      <c r="DM297" s="225">
        <v>22466.639999999999</v>
      </c>
      <c r="DN297" s="225">
        <v>29455.56</v>
      </c>
      <c r="DO297" s="225">
        <v>28272.7</v>
      </c>
      <c r="DP297" s="225">
        <v>37487.81</v>
      </c>
      <c r="DQ297" s="225"/>
      <c r="DR297" s="225"/>
      <c r="DS297" s="225"/>
      <c r="DT297" s="225"/>
      <c r="DU297" s="225"/>
      <c r="DV297" s="225"/>
      <c r="DW297" s="1"/>
      <c r="EJ297" s="1"/>
      <c r="EK297" s="17">
        <v>41</v>
      </c>
      <c r="EL297" s="17">
        <v>51</v>
      </c>
      <c r="EM297" s="17">
        <v>57</v>
      </c>
      <c r="EN297" s="17">
        <v>66</v>
      </c>
      <c r="EO297" s="17">
        <v>55</v>
      </c>
      <c r="EP297" s="17">
        <v>73</v>
      </c>
      <c r="EQ297" s="17"/>
      <c r="ER297" s="17"/>
      <c r="ES297" s="17"/>
      <c r="EU297" s="17"/>
      <c r="EW297" s="1"/>
      <c r="EX297" s="225">
        <v>16448.509999999998</v>
      </c>
      <c r="EY297" s="225">
        <v>14396.43</v>
      </c>
      <c r="EZ297" s="225">
        <v>22456.04</v>
      </c>
      <c r="FA297" s="225">
        <v>29431.59</v>
      </c>
      <c r="FB297" s="225">
        <v>28254.9</v>
      </c>
      <c r="FC297" s="225">
        <v>37487.81</v>
      </c>
      <c r="FD297" s="225"/>
      <c r="FE297" s="225"/>
      <c r="FF297" s="225"/>
      <c r="FG297" s="10"/>
      <c r="FH297" s="225"/>
      <c r="FI297" s="10"/>
      <c r="FJ297" s="1"/>
      <c r="FK297" s="225">
        <v>-1143.0899999999999</v>
      </c>
      <c r="FL297" s="225">
        <v>-1229.3699999999999</v>
      </c>
      <c r="FM297" s="225">
        <v>-486.7</v>
      </c>
      <c r="FN297" s="225">
        <v>-108.4</v>
      </c>
      <c r="FO297" s="225">
        <v>-1473.24</v>
      </c>
      <c r="FP297" s="225">
        <v>-4167.22</v>
      </c>
      <c r="FQ297" s="225"/>
      <c r="FR297" s="225"/>
      <c r="FS297" s="225"/>
      <c r="FT297" s="191"/>
      <c r="FU297" s="225"/>
      <c r="FV297" s="151"/>
    </row>
    <row r="298" spans="1:178" ht="16" thickBot="1" x14ac:dyDescent="0.25">
      <c r="A298" s="27" t="s">
        <v>113</v>
      </c>
      <c r="B298" t="s">
        <v>141</v>
      </c>
      <c r="C298" s="1"/>
      <c r="D298">
        <v>465</v>
      </c>
      <c r="E298" s="17">
        <v>528</v>
      </c>
      <c r="F298" s="241">
        <v>618</v>
      </c>
      <c r="G298" s="87">
        <v>616</v>
      </c>
      <c r="H298" s="87">
        <v>589</v>
      </c>
      <c r="I298" s="87">
        <v>596</v>
      </c>
      <c r="J298" s="17"/>
      <c r="K298" s="17"/>
      <c r="L298" s="17"/>
      <c r="M298" s="17"/>
      <c r="N298" s="17"/>
      <c r="O298" s="17"/>
      <c r="P298" s="1"/>
      <c r="Q298" s="48">
        <v>62812.22</v>
      </c>
      <c r="R298" s="49">
        <v>19655.72</v>
      </c>
      <c r="S298" s="49">
        <v>28319.53</v>
      </c>
      <c r="T298" s="50">
        <f t="shared" si="96"/>
        <v>110787.47</v>
      </c>
      <c r="U298" s="48">
        <v>81292.39</v>
      </c>
      <c r="V298" s="49">
        <v>38322.959999999999</v>
      </c>
      <c r="W298" s="49">
        <v>27540.84</v>
      </c>
      <c r="X298" s="50">
        <f t="shared" si="97"/>
        <v>147156.19</v>
      </c>
      <c r="Y298" s="48">
        <v>113926.87000000001</v>
      </c>
      <c r="Z298" s="49">
        <v>47736.55</v>
      </c>
      <c r="AA298" s="49">
        <v>37469.18</v>
      </c>
      <c r="AB298" s="50">
        <f t="shared" si="98"/>
        <v>199132.6</v>
      </c>
      <c r="AC298" s="164">
        <v>92079.039999999994</v>
      </c>
      <c r="AD298" s="165">
        <v>44672.59</v>
      </c>
      <c r="AE298" s="165">
        <v>31235.659999999996</v>
      </c>
      <c r="AF298" s="151">
        <f t="shared" si="99"/>
        <v>167987.29</v>
      </c>
      <c r="AG298" s="191">
        <v>62501.32</v>
      </c>
      <c r="AH298" s="10">
        <v>44288.22</v>
      </c>
      <c r="AI298" s="10">
        <v>33128.699999999997</v>
      </c>
      <c r="AJ298" s="151">
        <f t="shared" si="100"/>
        <v>139918.24</v>
      </c>
      <c r="AK298" s="99">
        <v>47988.76</v>
      </c>
      <c r="AL298" s="99">
        <v>31956.74</v>
      </c>
      <c r="AM298" s="99">
        <v>43229.31</v>
      </c>
      <c r="AN298" s="151">
        <f t="shared" si="101"/>
        <v>123174.81</v>
      </c>
      <c r="AO298" s="191"/>
      <c r="AP298" s="10"/>
      <c r="AQ298" s="10"/>
      <c r="AR298" s="151"/>
      <c r="AS298" s="191"/>
      <c r="AT298" s="192"/>
      <c r="AU298" s="192"/>
      <c r="AV298" s="151"/>
      <c r="AW298" s="192"/>
      <c r="AX298" s="192"/>
      <c r="AY298" s="192"/>
      <c r="AZ298" s="151"/>
      <c r="BA298" s="10"/>
      <c r="BB298" s="10"/>
      <c r="BC298" s="10"/>
      <c r="BD298" s="151"/>
      <c r="BE298" s="191"/>
      <c r="BF298" s="10"/>
      <c r="BG298" s="10"/>
      <c r="BH298" s="151"/>
      <c r="BI298" s="191"/>
      <c r="BJ298" s="10"/>
      <c r="BK298" s="10"/>
      <c r="BL298" s="151"/>
      <c r="BM298" s="1"/>
      <c r="BN298" s="48">
        <v>4970.72</v>
      </c>
      <c r="BO298" s="49">
        <v>4818.53</v>
      </c>
      <c r="BP298" s="49">
        <v>9845.369999999999</v>
      </c>
      <c r="BQ298" s="50">
        <f t="shared" si="102"/>
        <v>19634.62</v>
      </c>
      <c r="BR298" s="48">
        <v>10647.23</v>
      </c>
      <c r="BS298" s="49">
        <v>5502.17</v>
      </c>
      <c r="BT298" s="49">
        <v>10789.7</v>
      </c>
      <c r="BU298" s="50">
        <f t="shared" si="103"/>
        <v>26939.1</v>
      </c>
      <c r="BV298" s="48">
        <v>9968.6</v>
      </c>
      <c r="BW298" s="49">
        <v>12137.81</v>
      </c>
      <c r="BX298" s="49">
        <v>17268.71</v>
      </c>
      <c r="BY298" s="50">
        <f t="shared" si="104"/>
        <v>39375.119999999995</v>
      </c>
      <c r="BZ298" s="182">
        <v>15197.5</v>
      </c>
      <c r="CA298" s="99">
        <v>33205.69</v>
      </c>
      <c r="CB298" s="99">
        <v>18081.169999999998</v>
      </c>
      <c r="CC298" s="98">
        <f t="shared" si="105"/>
        <v>66484.36</v>
      </c>
      <c r="CD298" s="182">
        <v>12954.61</v>
      </c>
      <c r="CE298" s="99">
        <v>39046.230000000003</v>
      </c>
      <c r="CF298" s="99">
        <v>19556.04</v>
      </c>
      <c r="CG298" s="98">
        <f t="shared" si="106"/>
        <v>71556.88</v>
      </c>
      <c r="CH298" s="191">
        <v>7421.44</v>
      </c>
      <c r="CI298" s="192">
        <v>40889.9</v>
      </c>
      <c r="CJ298" s="192">
        <v>21559.13</v>
      </c>
      <c r="CK298" s="98">
        <f t="shared" si="107"/>
        <v>69870.47</v>
      </c>
      <c r="CL298" s="111"/>
      <c r="CM298" s="111"/>
      <c r="CN298" s="111"/>
      <c r="CO298" s="112"/>
      <c r="CP298" s="191"/>
      <c r="CQ298" s="192"/>
      <c r="CR298" s="192"/>
      <c r="CS298" s="151"/>
      <c r="CT298" s="111"/>
      <c r="CU298" s="111"/>
      <c r="CV298" s="111"/>
      <c r="CW298" s="112"/>
      <c r="CX298" s="192"/>
      <c r="CY298" s="192"/>
      <c r="CZ298" s="192"/>
      <c r="DA298" s="151"/>
      <c r="DB298" s="10"/>
      <c r="DC298" s="10"/>
      <c r="DD298" s="10"/>
      <c r="DE298" s="151"/>
      <c r="DF298" s="192"/>
      <c r="DG298" s="192"/>
      <c r="DH298" s="192"/>
      <c r="DI298" s="151"/>
      <c r="DJ298" s="1"/>
      <c r="DK298" s="225">
        <v>4844.1000000000004</v>
      </c>
      <c r="DL298" s="225">
        <v>4797.72</v>
      </c>
      <c r="DM298" s="225">
        <v>6746.51</v>
      </c>
      <c r="DN298" s="225">
        <v>5674.32</v>
      </c>
      <c r="DO298" s="225">
        <v>13525.2</v>
      </c>
      <c r="DP298" s="225">
        <v>17458.560000000001</v>
      </c>
      <c r="DQ298" s="225"/>
      <c r="DR298" s="225"/>
      <c r="DS298" s="225"/>
      <c r="DT298" s="225"/>
      <c r="DU298" s="225"/>
      <c r="DV298" s="225"/>
      <c r="DW298" s="1"/>
      <c r="EJ298" s="1"/>
      <c r="EK298" s="17">
        <v>14</v>
      </c>
      <c r="EL298" s="17">
        <v>9</v>
      </c>
      <c r="EM298" s="17">
        <v>17</v>
      </c>
      <c r="EN298" s="17">
        <v>11</v>
      </c>
      <c r="EO298" s="17">
        <v>23</v>
      </c>
      <c r="EP298" s="17">
        <v>27</v>
      </c>
      <c r="EQ298" s="17"/>
      <c r="ER298" s="17"/>
      <c r="ES298" s="17"/>
      <c r="EU298" s="17"/>
      <c r="EW298" s="1"/>
      <c r="EX298" s="225">
        <v>4844.1000000000004</v>
      </c>
      <c r="EY298" s="225">
        <v>4797.72</v>
      </c>
      <c r="EZ298" s="225">
        <v>6746.51</v>
      </c>
      <c r="FA298" s="225">
        <v>5674.32</v>
      </c>
      <c r="FB298" s="225">
        <v>13525.2</v>
      </c>
      <c r="FC298" s="225">
        <v>17458.560000000001</v>
      </c>
      <c r="FD298" s="225"/>
      <c r="FE298" s="225"/>
      <c r="FF298" s="225"/>
      <c r="FG298" s="10"/>
      <c r="FH298" s="225"/>
      <c r="FI298" s="10"/>
      <c r="FJ298" s="1"/>
      <c r="FK298" s="225">
        <v>-3798.19</v>
      </c>
      <c r="FL298" s="225">
        <v>-2868.92</v>
      </c>
      <c r="FM298" s="225">
        <v>-729.58</v>
      </c>
      <c r="FN298" s="225">
        <v>-1810.11</v>
      </c>
      <c r="FO298" s="225">
        <v>-2486.6</v>
      </c>
      <c r="FP298" s="225">
        <v>-2512.92</v>
      </c>
      <c r="FQ298" s="225"/>
      <c r="FR298" s="225"/>
      <c r="FS298" s="225"/>
      <c r="FT298" s="191"/>
      <c r="FU298" s="225"/>
      <c r="FV298" s="151"/>
    </row>
    <row r="299" spans="1:178" ht="16" thickBot="1" x14ac:dyDescent="0.25">
      <c r="A299" s="27" t="s">
        <v>114</v>
      </c>
      <c r="B299" t="s">
        <v>141</v>
      </c>
      <c r="C299" s="1"/>
      <c r="D299">
        <v>547</v>
      </c>
      <c r="E299" s="17">
        <v>521</v>
      </c>
      <c r="F299" s="241">
        <v>568</v>
      </c>
      <c r="G299" s="87">
        <v>564</v>
      </c>
      <c r="H299" s="87">
        <v>664</v>
      </c>
      <c r="I299" s="87">
        <v>685</v>
      </c>
      <c r="J299" s="17"/>
      <c r="K299" s="17"/>
      <c r="L299" s="17"/>
      <c r="M299" s="17"/>
      <c r="N299" s="17"/>
      <c r="O299" s="17"/>
      <c r="P299" s="1"/>
      <c r="Q299" s="48">
        <v>32511.040000000001</v>
      </c>
      <c r="R299" s="49">
        <v>15647.15</v>
      </c>
      <c r="S299" s="49">
        <v>46385.88</v>
      </c>
      <c r="T299" s="50">
        <f t="shared" si="96"/>
        <v>94544.07</v>
      </c>
      <c r="U299" s="48">
        <v>34960.01</v>
      </c>
      <c r="V299" s="49">
        <v>22667.72</v>
      </c>
      <c r="W299" s="49">
        <v>42865.85</v>
      </c>
      <c r="X299" s="50">
        <f t="shared" si="97"/>
        <v>100493.58</v>
      </c>
      <c r="Y299" s="48">
        <v>41684.43</v>
      </c>
      <c r="Z299" s="49">
        <v>31142.53</v>
      </c>
      <c r="AA299" s="49">
        <v>53639.76</v>
      </c>
      <c r="AB299" s="50">
        <f t="shared" si="98"/>
        <v>126466.72</v>
      </c>
      <c r="AC299" s="164">
        <v>47797.07</v>
      </c>
      <c r="AD299" s="165">
        <v>31001.63</v>
      </c>
      <c r="AE299" s="165">
        <v>44830.69</v>
      </c>
      <c r="AF299" s="151">
        <f t="shared" si="99"/>
        <v>123629.39</v>
      </c>
      <c r="AG299" s="191">
        <v>53075.99</v>
      </c>
      <c r="AH299" s="10">
        <v>39216.480000000003</v>
      </c>
      <c r="AI299" s="10">
        <v>50546.81</v>
      </c>
      <c r="AJ299" s="151">
        <f t="shared" si="100"/>
        <v>142839.28</v>
      </c>
      <c r="AK299" s="99">
        <v>25424.62</v>
      </c>
      <c r="AL299" s="99">
        <v>41193.730000000003</v>
      </c>
      <c r="AM299" s="99">
        <v>42121.520000000004</v>
      </c>
      <c r="AN299" s="151">
        <f t="shared" si="101"/>
        <v>108739.87000000001</v>
      </c>
      <c r="AO299" s="191"/>
      <c r="AP299" s="10"/>
      <c r="AQ299" s="10"/>
      <c r="AR299" s="151"/>
      <c r="AS299" s="191"/>
      <c r="AT299" s="192"/>
      <c r="AU299" s="192"/>
      <c r="AV299" s="151"/>
      <c r="AW299" s="192"/>
      <c r="AX299" s="192"/>
      <c r="AY299" s="192"/>
      <c r="AZ299" s="151"/>
      <c r="BA299" s="10"/>
      <c r="BB299" s="10"/>
      <c r="BC299" s="10"/>
      <c r="BD299" s="151"/>
      <c r="BE299" s="191"/>
      <c r="BF299" s="10"/>
      <c r="BG299" s="10"/>
      <c r="BH299" s="151"/>
      <c r="BI299" s="191"/>
      <c r="BJ299" s="10"/>
      <c r="BK299" s="10"/>
      <c r="BL299" s="151"/>
      <c r="BM299" s="1"/>
      <c r="BN299" s="48">
        <v>3219.67</v>
      </c>
      <c r="BO299" s="49">
        <v>3321.74</v>
      </c>
      <c r="BP299" s="49">
        <v>11006.8</v>
      </c>
      <c r="BQ299" s="50">
        <f t="shared" si="102"/>
        <v>17548.21</v>
      </c>
      <c r="BR299" s="48">
        <v>3930.48</v>
      </c>
      <c r="BS299" s="49">
        <v>4884.25</v>
      </c>
      <c r="BT299" s="49">
        <v>13533.09</v>
      </c>
      <c r="BU299" s="50">
        <f t="shared" si="103"/>
        <v>22347.82</v>
      </c>
      <c r="BV299" s="48">
        <v>8710.8799999999992</v>
      </c>
      <c r="BW299" s="49">
        <v>6576.91</v>
      </c>
      <c r="BX299" s="49">
        <v>17496.47</v>
      </c>
      <c r="BY299" s="50">
        <f t="shared" si="104"/>
        <v>32784.26</v>
      </c>
      <c r="BZ299" s="182">
        <v>10375.18</v>
      </c>
      <c r="CA299" s="99">
        <v>49271.15</v>
      </c>
      <c r="CB299" s="99">
        <v>25406.94</v>
      </c>
      <c r="CC299" s="98">
        <f t="shared" si="105"/>
        <v>85053.27</v>
      </c>
      <c r="CD299" s="182">
        <v>13342.05</v>
      </c>
      <c r="CE299" s="99">
        <v>42669</v>
      </c>
      <c r="CF299" s="99">
        <v>27911.21</v>
      </c>
      <c r="CG299" s="98">
        <f t="shared" si="106"/>
        <v>83922.260000000009</v>
      </c>
      <c r="CH299" s="191">
        <v>6605.61</v>
      </c>
      <c r="CI299" s="192">
        <v>55794.06</v>
      </c>
      <c r="CJ299" s="192">
        <v>21980.850000000002</v>
      </c>
      <c r="CK299" s="98">
        <f t="shared" si="107"/>
        <v>84380.52</v>
      </c>
      <c r="CL299" s="111"/>
      <c r="CM299" s="111"/>
      <c r="CN299" s="111"/>
      <c r="CO299" s="112"/>
      <c r="CP299" s="191"/>
      <c r="CQ299" s="192"/>
      <c r="CR299" s="192"/>
      <c r="CS299" s="151"/>
      <c r="CT299" s="111"/>
      <c r="CU299" s="111"/>
      <c r="CV299" s="111"/>
      <c r="CW299" s="112"/>
      <c r="CX299" s="192"/>
      <c r="CY299" s="192"/>
      <c r="CZ299" s="192"/>
      <c r="DA299" s="151"/>
      <c r="DB299" s="10"/>
      <c r="DC299" s="10"/>
      <c r="DD299" s="10"/>
      <c r="DE299" s="151"/>
      <c r="DF299" s="192"/>
      <c r="DG299" s="192"/>
      <c r="DH299" s="192"/>
      <c r="DI299" s="151"/>
      <c r="DJ299" s="1"/>
      <c r="DK299" s="225">
        <v>5812.67</v>
      </c>
      <c r="DL299" s="225">
        <v>4373.1899999999996</v>
      </c>
      <c r="DM299" s="225">
        <v>8613.27</v>
      </c>
      <c r="DN299" s="225">
        <v>12766.84</v>
      </c>
      <c r="DO299" s="225">
        <v>8643.5300000000007</v>
      </c>
      <c r="DP299" s="225">
        <v>23267.69</v>
      </c>
      <c r="DQ299" s="225"/>
      <c r="DR299" s="225"/>
      <c r="DS299" s="225"/>
      <c r="DT299" s="225"/>
      <c r="DU299" s="225"/>
      <c r="DV299" s="225"/>
      <c r="DW299" s="1"/>
      <c r="EJ299" s="1"/>
      <c r="EK299" s="17">
        <v>23</v>
      </c>
      <c r="EL299" s="17">
        <v>23</v>
      </c>
      <c r="EM299" s="17">
        <v>26</v>
      </c>
      <c r="EN299" s="17">
        <v>27</v>
      </c>
      <c r="EO299" s="17">
        <v>23</v>
      </c>
      <c r="EP299" s="17">
        <v>54</v>
      </c>
      <c r="EQ299" s="17"/>
      <c r="ER299" s="17"/>
      <c r="ES299" s="17"/>
      <c r="EU299" s="17"/>
      <c r="EW299" s="1"/>
      <c r="EX299" s="225">
        <v>5802.73</v>
      </c>
      <c r="EY299" s="225">
        <v>4348.2</v>
      </c>
      <c r="EZ299" s="225">
        <v>8613.27</v>
      </c>
      <c r="FA299" s="225">
        <v>12766.84</v>
      </c>
      <c r="FB299" s="225">
        <v>8643.5300000000007</v>
      </c>
      <c r="FC299" s="225">
        <v>23267.69</v>
      </c>
      <c r="FD299" s="225"/>
      <c r="FE299" s="225"/>
      <c r="FF299" s="225"/>
      <c r="FG299" s="10"/>
      <c r="FH299" s="225"/>
      <c r="FI299" s="10"/>
      <c r="FJ299" s="1"/>
      <c r="FK299" s="225">
        <v>-806.79</v>
      </c>
      <c r="FL299" s="225">
        <v>-413.46</v>
      </c>
      <c r="FM299" s="225">
        <v>-723.68</v>
      </c>
      <c r="FN299" s="225">
        <v>-408</v>
      </c>
      <c r="FO299" s="225">
        <v>-494.67</v>
      </c>
      <c r="FP299" s="225">
        <v>-791.65</v>
      </c>
      <c r="FQ299" s="225"/>
      <c r="FR299" s="225"/>
      <c r="FS299" s="225"/>
      <c r="FT299" s="191"/>
      <c r="FU299" s="225"/>
      <c r="FV299" s="151"/>
    </row>
    <row r="300" spans="1:178" ht="16" thickBot="1" x14ac:dyDescent="0.25">
      <c r="A300" s="27" t="s">
        <v>115</v>
      </c>
      <c r="B300" t="s">
        <v>141</v>
      </c>
      <c r="C300" s="1"/>
      <c r="D300">
        <v>1912</v>
      </c>
      <c r="E300" s="17">
        <v>2040</v>
      </c>
      <c r="F300" s="241">
        <v>2175</v>
      </c>
      <c r="G300" s="87">
        <v>2216</v>
      </c>
      <c r="H300" s="87">
        <v>2282</v>
      </c>
      <c r="I300" s="87">
        <v>2255</v>
      </c>
      <c r="J300" s="17"/>
      <c r="K300" s="17"/>
      <c r="L300" s="17"/>
      <c r="M300" s="17"/>
      <c r="N300" s="17"/>
      <c r="O300" s="17"/>
      <c r="P300" s="1"/>
      <c r="Q300" s="48">
        <v>208478.4</v>
      </c>
      <c r="R300" s="49">
        <v>95141.32</v>
      </c>
      <c r="S300" s="49">
        <v>155355.79999999999</v>
      </c>
      <c r="T300" s="50">
        <f t="shared" si="96"/>
        <v>458975.51999999996</v>
      </c>
      <c r="U300" s="48">
        <v>254604.9</v>
      </c>
      <c r="V300" s="49">
        <v>148171</v>
      </c>
      <c r="W300" s="49">
        <v>143539.69</v>
      </c>
      <c r="X300" s="50">
        <f t="shared" si="97"/>
        <v>546315.59000000008</v>
      </c>
      <c r="Y300" s="48">
        <v>292564.77</v>
      </c>
      <c r="Z300" s="49">
        <v>164908.28</v>
      </c>
      <c r="AA300" s="49">
        <v>183769.9</v>
      </c>
      <c r="AB300" s="50">
        <f t="shared" si="98"/>
        <v>641242.95000000007</v>
      </c>
      <c r="AC300" s="164">
        <v>253982.94</v>
      </c>
      <c r="AD300" s="165">
        <v>167505.01999999999</v>
      </c>
      <c r="AE300" s="165">
        <v>153761.95000000001</v>
      </c>
      <c r="AF300" s="151">
        <f t="shared" si="99"/>
        <v>575249.90999999992</v>
      </c>
      <c r="AG300" s="191">
        <v>197826.65</v>
      </c>
      <c r="AH300" s="10">
        <v>166974.79999999999</v>
      </c>
      <c r="AI300" s="10">
        <v>149398.12</v>
      </c>
      <c r="AJ300" s="151">
        <f t="shared" si="100"/>
        <v>514199.56999999995</v>
      </c>
      <c r="AK300" s="99">
        <v>153661.06</v>
      </c>
      <c r="AL300" s="99">
        <v>130839.34</v>
      </c>
      <c r="AM300" s="99">
        <v>162999.93</v>
      </c>
      <c r="AN300" s="151">
        <f t="shared" si="101"/>
        <v>447500.33</v>
      </c>
      <c r="AO300" s="191"/>
      <c r="AP300" s="10"/>
      <c r="AQ300" s="10"/>
      <c r="AR300" s="151"/>
      <c r="AS300" s="191"/>
      <c r="AT300" s="192"/>
      <c r="AU300" s="192"/>
      <c r="AV300" s="151"/>
      <c r="AW300" s="192"/>
      <c r="AX300" s="192"/>
      <c r="AY300" s="192"/>
      <c r="AZ300" s="151"/>
      <c r="BA300" s="10"/>
      <c r="BB300" s="10"/>
      <c r="BC300" s="10"/>
      <c r="BD300" s="151"/>
      <c r="BE300" s="191"/>
      <c r="BF300" s="10"/>
      <c r="BG300" s="10"/>
      <c r="BH300" s="151"/>
      <c r="BI300" s="191"/>
      <c r="BJ300" s="10"/>
      <c r="BK300" s="10"/>
      <c r="BL300" s="151"/>
      <c r="BM300" s="1"/>
      <c r="BN300" s="48">
        <v>36738.32</v>
      </c>
      <c r="BO300" s="49">
        <v>31796.25</v>
      </c>
      <c r="BP300" s="49">
        <v>94483.510000000009</v>
      </c>
      <c r="BQ300" s="50">
        <f t="shared" si="102"/>
        <v>163018.08000000002</v>
      </c>
      <c r="BR300" s="48">
        <v>39912.43</v>
      </c>
      <c r="BS300" s="49">
        <v>50839.45</v>
      </c>
      <c r="BT300" s="49">
        <v>84701</v>
      </c>
      <c r="BU300" s="50">
        <f t="shared" si="103"/>
        <v>175452.88</v>
      </c>
      <c r="BV300" s="48">
        <v>55485.16</v>
      </c>
      <c r="BW300" s="49">
        <v>51191.360000000001</v>
      </c>
      <c r="BX300" s="49">
        <v>105566.17</v>
      </c>
      <c r="BY300" s="50">
        <f t="shared" si="104"/>
        <v>212242.69</v>
      </c>
      <c r="BZ300" s="182">
        <v>76350.649999999994</v>
      </c>
      <c r="CA300" s="99">
        <v>215799.67999999999</v>
      </c>
      <c r="CB300" s="99">
        <v>104779.39</v>
      </c>
      <c r="CC300" s="98">
        <f t="shared" si="105"/>
        <v>396929.72</v>
      </c>
      <c r="CD300" s="182">
        <v>55291.37</v>
      </c>
      <c r="CE300" s="99">
        <v>226236.49</v>
      </c>
      <c r="CF300" s="99">
        <v>96133.239999999991</v>
      </c>
      <c r="CG300" s="98">
        <f t="shared" si="106"/>
        <v>377661.1</v>
      </c>
      <c r="CH300" s="191">
        <v>41606.19</v>
      </c>
      <c r="CI300" s="192">
        <v>222230.41</v>
      </c>
      <c r="CJ300" s="192">
        <v>100584.04000000001</v>
      </c>
      <c r="CK300" s="98">
        <f t="shared" si="107"/>
        <v>364420.64</v>
      </c>
      <c r="CL300" s="111"/>
      <c r="CM300" s="111"/>
      <c r="CN300" s="111"/>
      <c r="CO300" s="112"/>
      <c r="CP300" s="191"/>
      <c r="CQ300" s="192"/>
      <c r="CR300" s="192"/>
      <c r="CS300" s="151"/>
      <c r="CT300" s="111"/>
      <c r="CU300" s="111"/>
      <c r="CV300" s="111"/>
      <c r="CW300" s="112"/>
      <c r="CX300" s="192"/>
      <c r="CY300" s="192"/>
      <c r="CZ300" s="192"/>
      <c r="DA300" s="151"/>
      <c r="DB300" s="10"/>
      <c r="DC300" s="10"/>
      <c r="DD300" s="10"/>
      <c r="DE300" s="151"/>
      <c r="DF300" s="192"/>
      <c r="DG300" s="192"/>
      <c r="DH300" s="192"/>
      <c r="DI300" s="151"/>
      <c r="DJ300" s="1"/>
      <c r="DK300" s="225">
        <v>27998.35</v>
      </c>
      <c r="DL300" s="225">
        <v>15396.8</v>
      </c>
      <c r="DM300" s="225">
        <v>39988.99</v>
      </c>
      <c r="DN300" s="225">
        <v>26716.78</v>
      </c>
      <c r="DO300" s="225">
        <v>41682.93</v>
      </c>
      <c r="DP300" s="225">
        <v>62200.28</v>
      </c>
      <c r="DQ300" s="225"/>
      <c r="DR300" s="225"/>
      <c r="DS300" s="225"/>
      <c r="DT300" s="225"/>
      <c r="DU300" s="225"/>
      <c r="DV300" s="225"/>
      <c r="DW300" s="1"/>
      <c r="EJ300" s="1"/>
      <c r="EK300" s="17">
        <v>81</v>
      </c>
      <c r="EL300" s="17">
        <v>42</v>
      </c>
      <c r="EM300" s="17">
        <v>84</v>
      </c>
      <c r="EN300" s="17">
        <v>54</v>
      </c>
      <c r="EO300" s="17">
        <v>60</v>
      </c>
      <c r="EP300" s="17">
        <v>113</v>
      </c>
      <c r="EQ300" s="17"/>
      <c r="ER300" s="17"/>
      <c r="ES300" s="17"/>
      <c r="EU300" s="17"/>
      <c r="EW300" s="1"/>
      <c r="EX300" s="225">
        <v>27973.360000000001</v>
      </c>
      <c r="EY300" s="225">
        <v>15396.8</v>
      </c>
      <c r="EZ300" s="225">
        <v>39988.99</v>
      </c>
      <c r="FA300" s="225">
        <v>26702.35</v>
      </c>
      <c r="FB300" s="225">
        <v>41675.82</v>
      </c>
      <c r="FC300" s="225">
        <v>62176.57</v>
      </c>
      <c r="FD300" s="225"/>
      <c r="FE300" s="225"/>
      <c r="FF300" s="225"/>
      <c r="FG300" s="10"/>
      <c r="FH300" s="225"/>
      <c r="FI300" s="10"/>
      <c r="FJ300" s="1"/>
      <c r="FK300" s="225">
        <v>-4350.71</v>
      </c>
      <c r="FL300" s="225">
        <v>-1969.58</v>
      </c>
      <c r="FM300" s="225">
        <v>-6301.61</v>
      </c>
      <c r="FN300" s="225">
        <v>-1948.68</v>
      </c>
      <c r="FO300" s="225">
        <v>-9617.5</v>
      </c>
      <c r="FP300" s="225">
        <v>-5069.3900000000003</v>
      </c>
      <c r="FQ300" s="225"/>
      <c r="FR300" s="225"/>
      <c r="FS300" s="225"/>
      <c r="FT300" s="191"/>
      <c r="FU300" s="225"/>
      <c r="FV300" s="151"/>
    </row>
    <row r="301" spans="1:178" ht="16" thickBot="1" x14ac:dyDescent="0.25">
      <c r="A301" s="27" t="s">
        <v>116</v>
      </c>
      <c r="B301" t="s">
        <v>141</v>
      </c>
      <c r="C301" s="1"/>
      <c r="D301">
        <v>1381</v>
      </c>
      <c r="E301" s="17">
        <v>1571</v>
      </c>
      <c r="F301" s="241">
        <v>1537</v>
      </c>
      <c r="G301" s="87">
        <v>1594</v>
      </c>
      <c r="H301" s="87">
        <v>1592</v>
      </c>
      <c r="I301" s="87">
        <v>1585</v>
      </c>
      <c r="J301" s="17"/>
      <c r="K301" s="17"/>
      <c r="L301" s="17"/>
      <c r="M301" s="17"/>
      <c r="N301" s="17"/>
      <c r="O301" s="17"/>
      <c r="P301" s="1"/>
      <c r="Q301" s="48">
        <v>118920.11</v>
      </c>
      <c r="R301" s="49">
        <v>65998.009999999995</v>
      </c>
      <c r="S301" s="49">
        <v>99122.66</v>
      </c>
      <c r="T301" s="50">
        <f t="shared" si="96"/>
        <v>284040.78000000003</v>
      </c>
      <c r="U301" s="48">
        <v>168554.73</v>
      </c>
      <c r="V301" s="49">
        <v>100140.25</v>
      </c>
      <c r="W301" s="49">
        <v>109543.98999999999</v>
      </c>
      <c r="X301" s="50">
        <f t="shared" si="97"/>
        <v>378238.97</v>
      </c>
      <c r="Y301" s="48">
        <v>164176.95000000001</v>
      </c>
      <c r="Z301" s="49">
        <v>115871.57</v>
      </c>
      <c r="AA301" s="49">
        <v>122146.26000000001</v>
      </c>
      <c r="AB301" s="50">
        <f t="shared" si="98"/>
        <v>402194.78</v>
      </c>
      <c r="AC301" s="164">
        <v>139893.84</v>
      </c>
      <c r="AD301" s="165">
        <v>99768.26</v>
      </c>
      <c r="AE301" s="165">
        <v>99796.33</v>
      </c>
      <c r="AF301" s="151">
        <f t="shared" si="99"/>
        <v>339458.43</v>
      </c>
      <c r="AG301" s="191">
        <v>107518.28</v>
      </c>
      <c r="AH301" s="10">
        <v>100611.8</v>
      </c>
      <c r="AI301" s="10">
        <v>112649.28</v>
      </c>
      <c r="AJ301" s="151">
        <f t="shared" si="100"/>
        <v>320779.36</v>
      </c>
      <c r="AK301" s="99">
        <v>74639.91</v>
      </c>
      <c r="AL301" s="99">
        <v>78958.48</v>
      </c>
      <c r="AM301" s="99">
        <v>120142.97</v>
      </c>
      <c r="AN301" s="151">
        <f t="shared" si="101"/>
        <v>273741.36</v>
      </c>
      <c r="AO301" s="191"/>
      <c r="AP301" s="10"/>
      <c r="AQ301" s="10"/>
      <c r="AR301" s="151"/>
      <c r="AS301" s="191"/>
      <c r="AT301" s="192"/>
      <c r="AU301" s="192"/>
      <c r="AV301" s="151"/>
      <c r="AW301" s="192"/>
      <c r="AX301" s="192"/>
      <c r="AY301" s="192"/>
      <c r="AZ301" s="151"/>
      <c r="BA301" s="10"/>
      <c r="BB301" s="10"/>
      <c r="BC301" s="10"/>
      <c r="BD301" s="151"/>
      <c r="BE301" s="191"/>
      <c r="BF301" s="10"/>
      <c r="BG301" s="10"/>
      <c r="BH301" s="151"/>
      <c r="BI301" s="191"/>
      <c r="BJ301" s="10"/>
      <c r="BK301" s="10"/>
      <c r="BL301" s="151"/>
      <c r="BM301" s="1"/>
      <c r="BN301" s="48">
        <v>14074.74</v>
      </c>
      <c r="BO301" s="49">
        <v>12864.18</v>
      </c>
      <c r="BP301" s="49">
        <v>37233.5</v>
      </c>
      <c r="BQ301" s="50">
        <f t="shared" si="102"/>
        <v>64172.42</v>
      </c>
      <c r="BR301" s="48">
        <v>22528.99</v>
      </c>
      <c r="BS301" s="49">
        <v>21632.17</v>
      </c>
      <c r="BT301" s="49">
        <v>37540.559999999998</v>
      </c>
      <c r="BU301" s="50">
        <f t="shared" si="103"/>
        <v>81701.72</v>
      </c>
      <c r="BV301" s="48">
        <v>24331.279999999999</v>
      </c>
      <c r="BW301" s="49">
        <v>27544.82</v>
      </c>
      <c r="BX301" s="49">
        <v>45058.119999999995</v>
      </c>
      <c r="BY301" s="50">
        <f t="shared" si="104"/>
        <v>96934.22</v>
      </c>
      <c r="BZ301" s="182">
        <v>31140.62</v>
      </c>
      <c r="CA301" s="99">
        <v>127514.55</v>
      </c>
      <c r="CB301" s="99">
        <v>53072.28</v>
      </c>
      <c r="CC301" s="98">
        <f t="shared" si="105"/>
        <v>211727.45</v>
      </c>
      <c r="CD301" s="182">
        <v>23410.639999999999</v>
      </c>
      <c r="CE301" s="99">
        <v>146081.09</v>
      </c>
      <c r="CF301" s="99">
        <v>63843.42</v>
      </c>
      <c r="CG301" s="98">
        <f t="shared" si="106"/>
        <v>233335.14999999997</v>
      </c>
      <c r="CH301" s="191">
        <v>16873.78</v>
      </c>
      <c r="CI301" s="192">
        <v>130903.19</v>
      </c>
      <c r="CJ301" s="192">
        <v>63709.159999999996</v>
      </c>
      <c r="CK301" s="98">
        <f t="shared" si="107"/>
        <v>211486.13</v>
      </c>
      <c r="CL301" s="111"/>
      <c r="CM301" s="111"/>
      <c r="CN301" s="111"/>
      <c r="CO301" s="112"/>
      <c r="CP301" s="191"/>
      <c r="CQ301" s="192"/>
      <c r="CR301" s="192"/>
      <c r="CS301" s="151"/>
      <c r="CT301" s="111"/>
      <c r="CU301" s="111"/>
      <c r="CV301" s="111"/>
      <c r="CW301" s="112"/>
      <c r="CX301" s="192"/>
      <c r="CY301" s="192"/>
      <c r="CZ301" s="192"/>
      <c r="DA301" s="151"/>
      <c r="DB301" s="10"/>
      <c r="DC301" s="10"/>
      <c r="DD301" s="10"/>
      <c r="DE301" s="151"/>
      <c r="DF301" s="192"/>
      <c r="DG301" s="192"/>
      <c r="DH301" s="192"/>
      <c r="DI301" s="151"/>
      <c r="DJ301" s="1"/>
      <c r="DK301" s="225">
        <v>9104.15</v>
      </c>
      <c r="DL301" s="225">
        <v>8156.64</v>
      </c>
      <c r="DM301" s="225">
        <v>10043.9</v>
      </c>
      <c r="DN301" s="225">
        <v>17040.54</v>
      </c>
      <c r="DO301" s="225">
        <v>12305.73</v>
      </c>
      <c r="DP301" s="225">
        <v>27024.2</v>
      </c>
      <c r="DQ301" s="225"/>
      <c r="DR301" s="225"/>
      <c r="DS301" s="225"/>
      <c r="DT301" s="225"/>
      <c r="DU301" s="225"/>
      <c r="DV301" s="225"/>
      <c r="DW301" s="1"/>
      <c r="EJ301" s="1"/>
      <c r="EK301" s="17">
        <v>34</v>
      </c>
      <c r="EL301" s="17">
        <v>35</v>
      </c>
      <c r="EM301" s="17">
        <v>34</v>
      </c>
      <c r="EN301" s="17">
        <v>44</v>
      </c>
      <c r="EO301" s="17">
        <v>26</v>
      </c>
      <c r="EP301" s="17">
        <v>59</v>
      </c>
      <c r="EQ301" s="17"/>
      <c r="ER301" s="17"/>
      <c r="ES301" s="17"/>
      <c r="EU301" s="17"/>
      <c r="EW301" s="1"/>
      <c r="EX301" s="225">
        <v>9104.15</v>
      </c>
      <c r="EY301" s="225">
        <v>8144.14</v>
      </c>
      <c r="EZ301" s="225">
        <v>10034.4</v>
      </c>
      <c r="FA301" s="225">
        <v>17034.07</v>
      </c>
      <c r="FB301" s="225">
        <v>12305.73</v>
      </c>
      <c r="FC301" s="225">
        <v>27012.01</v>
      </c>
      <c r="FD301" s="225"/>
      <c r="FE301" s="225"/>
      <c r="FF301" s="225"/>
      <c r="FG301" s="10"/>
      <c r="FH301" s="225"/>
      <c r="FI301" s="10"/>
      <c r="FJ301" s="1"/>
      <c r="FK301" s="225">
        <v>-875.65</v>
      </c>
      <c r="FL301" s="225">
        <v>-1701.84</v>
      </c>
      <c r="FM301" s="225">
        <v>-2216.4899999999998</v>
      </c>
      <c r="FN301" s="225">
        <v>-858.78</v>
      </c>
      <c r="FO301" s="225">
        <v>-3332.88</v>
      </c>
      <c r="FP301" s="225">
        <v>-1849.66</v>
      </c>
      <c r="FQ301" s="225"/>
      <c r="FR301" s="225"/>
      <c r="FS301" s="225"/>
      <c r="FT301" s="191"/>
      <c r="FU301" s="225"/>
      <c r="FV301" s="151"/>
    </row>
    <row r="302" spans="1:178" ht="16" thickBot="1" x14ac:dyDescent="0.25">
      <c r="A302" s="27" t="s">
        <v>117</v>
      </c>
      <c r="B302" t="s">
        <v>141</v>
      </c>
      <c r="C302" s="1"/>
      <c r="D302">
        <v>1883</v>
      </c>
      <c r="E302" s="17">
        <v>2051</v>
      </c>
      <c r="F302" s="241">
        <v>2152</v>
      </c>
      <c r="G302" s="87">
        <v>2240</v>
      </c>
      <c r="H302" s="87">
        <v>2280</v>
      </c>
      <c r="I302" s="87">
        <v>2176</v>
      </c>
      <c r="J302" s="17"/>
      <c r="K302" s="17"/>
      <c r="L302" s="17"/>
      <c r="M302" s="17"/>
      <c r="N302" s="17"/>
      <c r="O302" s="17"/>
      <c r="P302" s="1"/>
      <c r="Q302" s="48">
        <v>170154.42</v>
      </c>
      <c r="R302" s="49">
        <v>97546.8</v>
      </c>
      <c r="S302" s="49">
        <v>151514.16</v>
      </c>
      <c r="T302" s="50">
        <f t="shared" si="96"/>
        <v>419215.38</v>
      </c>
      <c r="U302" s="48">
        <v>219461.53</v>
      </c>
      <c r="V302" s="49">
        <v>154856.04</v>
      </c>
      <c r="W302" s="49">
        <v>171699.71000000002</v>
      </c>
      <c r="X302" s="50">
        <f t="shared" si="97"/>
        <v>546017.28000000003</v>
      </c>
      <c r="Y302" s="48">
        <v>246345.46</v>
      </c>
      <c r="Z302" s="49">
        <v>171171.36</v>
      </c>
      <c r="AA302" s="49">
        <v>176573.41</v>
      </c>
      <c r="AB302" s="50">
        <f t="shared" si="98"/>
        <v>594090.23</v>
      </c>
      <c r="AC302" s="164">
        <v>241739.74</v>
      </c>
      <c r="AD302" s="165">
        <v>162181.99</v>
      </c>
      <c r="AE302" s="165">
        <v>143157.09</v>
      </c>
      <c r="AF302" s="151">
        <f t="shared" si="99"/>
        <v>547078.81999999995</v>
      </c>
      <c r="AG302" s="191">
        <v>196655.19</v>
      </c>
      <c r="AH302" s="10">
        <v>178109.61</v>
      </c>
      <c r="AI302" s="10">
        <v>161835.40999999997</v>
      </c>
      <c r="AJ302" s="151">
        <f t="shared" si="100"/>
        <v>536600.21</v>
      </c>
      <c r="AK302" s="99">
        <v>138295.72999999998</v>
      </c>
      <c r="AL302" s="99">
        <v>149804.47</v>
      </c>
      <c r="AM302" s="99">
        <v>147871.38</v>
      </c>
      <c r="AN302" s="151">
        <f t="shared" si="101"/>
        <v>435971.57999999996</v>
      </c>
      <c r="AO302" s="191"/>
      <c r="AP302" s="10"/>
      <c r="AQ302" s="10"/>
      <c r="AR302" s="151"/>
      <c r="AS302" s="191"/>
      <c r="AT302" s="192"/>
      <c r="AU302" s="192"/>
      <c r="AV302" s="151"/>
      <c r="AW302" s="192"/>
      <c r="AX302" s="192"/>
      <c r="AY302" s="192"/>
      <c r="AZ302" s="151"/>
      <c r="BA302" s="10"/>
      <c r="BB302" s="10"/>
      <c r="BC302" s="10"/>
      <c r="BD302" s="151"/>
      <c r="BE302" s="191"/>
      <c r="BF302" s="10"/>
      <c r="BG302" s="10"/>
      <c r="BH302" s="151"/>
      <c r="BI302" s="191"/>
      <c r="BJ302" s="10"/>
      <c r="BK302" s="10"/>
      <c r="BL302" s="151"/>
      <c r="BM302" s="1"/>
      <c r="BN302" s="48">
        <v>41568.519999999997</v>
      </c>
      <c r="BO302" s="49">
        <v>32523.39</v>
      </c>
      <c r="BP302" s="49">
        <v>88319.87</v>
      </c>
      <c r="BQ302" s="50">
        <f t="shared" si="102"/>
        <v>162411.78</v>
      </c>
      <c r="BR302" s="48">
        <v>53923.9</v>
      </c>
      <c r="BS302" s="49">
        <v>57120.89</v>
      </c>
      <c r="BT302" s="49">
        <v>90623.039999999994</v>
      </c>
      <c r="BU302" s="50">
        <f t="shared" si="103"/>
        <v>201667.83000000002</v>
      </c>
      <c r="BV302" s="48">
        <v>57213.55</v>
      </c>
      <c r="BW302" s="49">
        <v>68239.58</v>
      </c>
      <c r="BX302" s="49">
        <v>105058.04000000001</v>
      </c>
      <c r="BY302" s="50">
        <f t="shared" si="104"/>
        <v>230511.17</v>
      </c>
      <c r="BZ302" s="182">
        <v>73214.070000000007</v>
      </c>
      <c r="CA302" s="99">
        <v>248183.78</v>
      </c>
      <c r="CB302" s="99">
        <v>89149.16</v>
      </c>
      <c r="CC302" s="98">
        <f t="shared" si="105"/>
        <v>410547.01</v>
      </c>
      <c r="CD302" s="182">
        <v>52534.25</v>
      </c>
      <c r="CE302" s="99">
        <v>258184.87</v>
      </c>
      <c r="CF302" s="99">
        <v>105464.6</v>
      </c>
      <c r="CG302" s="98">
        <f t="shared" si="106"/>
        <v>416183.72</v>
      </c>
      <c r="CH302" s="191">
        <v>39730.06</v>
      </c>
      <c r="CI302" s="192">
        <v>266765.95</v>
      </c>
      <c r="CJ302" s="192">
        <v>90950.9</v>
      </c>
      <c r="CK302" s="98">
        <f t="shared" si="107"/>
        <v>397446.91000000003</v>
      </c>
      <c r="CL302" s="111"/>
      <c r="CM302" s="111"/>
      <c r="CN302" s="111"/>
      <c r="CO302" s="112"/>
      <c r="CP302" s="191"/>
      <c r="CQ302" s="192"/>
      <c r="CR302" s="192"/>
      <c r="CS302" s="151"/>
      <c r="CT302" s="111"/>
      <c r="CU302" s="111"/>
      <c r="CV302" s="111"/>
      <c r="CW302" s="112"/>
      <c r="CX302" s="192"/>
      <c r="CY302" s="192"/>
      <c r="CZ302" s="192"/>
      <c r="DA302" s="151"/>
      <c r="DB302" s="10"/>
      <c r="DC302" s="10"/>
      <c r="DD302" s="10"/>
      <c r="DE302" s="151"/>
      <c r="DF302" s="192"/>
      <c r="DG302" s="192"/>
      <c r="DH302" s="192"/>
      <c r="DI302" s="151"/>
      <c r="DJ302" s="1"/>
      <c r="DK302" s="225">
        <v>30769.77</v>
      </c>
      <c r="DL302" s="225">
        <v>24934.22</v>
      </c>
      <c r="DM302" s="225">
        <v>56144.21</v>
      </c>
      <c r="DN302" s="225">
        <v>53614.85</v>
      </c>
      <c r="DO302" s="225">
        <v>54694.28</v>
      </c>
      <c r="DP302" s="225">
        <v>100668.12</v>
      </c>
      <c r="DQ302" s="225"/>
      <c r="DR302" s="225"/>
      <c r="DS302" s="225"/>
      <c r="DT302" s="225"/>
      <c r="DU302" s="225"/>
      <c r="DV302" s="225"/>
      <c r="DW302" s="1"/>
      <c r="EJ302" s="1"/>
      <c r="EK302" s="17">
        <v>97</v>
      </c>
      <c r="EL302" s="17">
        <v>72</v>
      </c>
      <c r="EM302" s="17">
        <v>123</v>
      </c>
      <c r="EN302" s="17">
        <v>111</v>
      </c>
      <c r="EO302" s="17">
        <v>98</v>
      </c>
      <c r="EP302" s="17">
        <v>174</v>
      </c>
      <c r="EQ302" s="17"/>
      <c r="ER302" s="17"/>
      <c r="ES302" s="17"/>
      <c r="EU302" s="17"/>
      <c r="EW302" s="1"/>
      <c r="EX302" s="225">
        <v>30755.08</v>
      </c>
      <c r="EY302" s="225">
        <v>24916.31</v>
      </c>
      <c r="EZ302" s="225">
        <v>56144.21</v>
      </c>
      <c r="FA302" s="225">
        <v>53594.75</v>
      </c>
      <c r="FB302" s="225">
        <v>54694.28</v>
      </c>
      <c r="FC302" s="225">
        <v>100668.12</v>
      </c>
      <c r="FD302" s="225"/>
      <c r="FE302" s="225"/>
      <c r="FF302" s="225"/>
      <c r="FG302" s="10"/>
      <c r="FH302" s="225"/>
      <c r="FI302" s="10"/>
      <c r="FJ302" s="1"/>
      <c r="FK302" s="225">
        <v>-4926.82</v>
      </c>
      <c r="FL302" s="225">
        <v>-4320.16</v>
      </c>
      <c r="FM302" s="226">
        <v>-5182.72</v>
      </c>
      <c r="FN302" s="226">
        <v>-3712.94</v>
      </c>
      <c r="FO302" s="226">
        <v>-5684.94</v>
      </c>
      <c r="FP302" s="226">
        <v>-4185.57</v>
      </c>
      <c r="FQ302" s="226"/>
      <c r="FR302" s="226"/>
      <c r="FS302" s="226"/>
      <c r="FT302" s="191"/>
      <c r="FU302" s="225"/>
      <c r="FV302" s="151"/>
    </row>
    <row r="303" spans="1:178" ht="16" thickBot="1" x14ac:dyDescent="0.25">
      <c r="A303" s="27" t="s">
        <v>118</v>
      </c>
      <c r="B303" t="s">
        <v>141</v>
      </c>
      <c r="C303" s="1"/>
      <c r="D303">
        <v>2611</v>
      </c>
      <c r="E303" s="17">
        <v>2139</v>
      </c>
      <c r="F303" s="241">
        <v>2443</v>
      </c>
      <c r="G303" s="87">
        <v>2494</v>
      </c>
      <c r="H303" s="87">
        <v>3039</v>
      </c>
      <c r="I303" s="87">
        <v>2958</v>
      </c>
      <c r="J303" s="17"/>
      <c r="K303" s="17"/>
      <c r="L303" s="17"/>
      <c r="M303" s="17"/>
      <c r="N303" s="17"/>
      <c r="O303" s="17"/>
      <c r="P303" s="1"/>
      <c r="Q303" s="48">
        <v>272493.33</v>
      </c>
      <c r="R303" s="49">
        <v>161121.66</v>
      </c>
      <c r="S303" s="49">
        <v>175222.47999999998</v>
      </c>
      <c r="T303" s="50">
        <f t="shared" si="96"/>
        <v>608837.47</v>
      </c>
      <c r="U303" s="48">
        <v>238122.3</v>
      </c>
      <c r="V303" s="49">
        <v>122496.72</v>
      </c>
      <c r="W303" s="49">
        <v>179318</v>
      </c>
      <c r="X303" s="50">
        <f t="shared" si="97"/>
        <v>539937.02</v>
      </c>
      <c r="Y303" s="48">
        <v>308782.03999999998</v>
      </c>
      <c r="Z303" s="49">
        <v>175110.02</v>
      </c>
      <c r="AA303" s="49">
        <v>184867.91</v>
      </c>
      <c r="AB303" s="50">
        <f t="shared" si="98"/>
        <v>668759.97</v>
      </c>
      <c r="AC303" s="164">
        <v>273041.37</v>
      </c>
      <c r="AD303" s="165">
        <v>165597.25</v>
      </c>
      <c r="AE303" s="165">
        <v>172021.9</v>
      </c>
      <c r="AF303" s="151">
        <f t="shared" si="99"/>
        <v>610660.52</v>
      </c>
      <c r="AG303" s="191">
        <v>259400.59</v>
      </c>
      <c r="AH303" s="10">
        <v>211213.18</v>
      </c>
      <c r="AI303" s="10">
        <v>194225.69</v>
      </c>
      <c r="AJ303" s="151">
        <f t="shared" si="100"/>
        <v>664839.46</v>
      </c>
      <c r="AK303" s="99">
        <v>170622.52</v>
      </c>
      <c r="AL303" s="99">
        <v>185248.23</v>
      </c>
      <c r="AM303" s="99">
        <v>199223.3</v>
      </c>
      <c r="AN303" s="151">
        <f t="shared" si="101"/>
        <v>555094.05000000005</v>
      </c>
      <c r="AO303" s="191"/>
      <c r="AP303" s="10"/>
      <c r="AQ303" s="10"/>
      <c r="AR303" s="151"/>
      <c r="AS303" s="191"/>
      <c r="AT303" s="192"/>
      <c r="AU303" s="192"/>
      <c r="AV303" s="151"/>
      <c r="AW303" s="192"/>
      <c r="AX303" s="192"/>
      <c r="AY303" s="192"/>
      <c r="AZ303" s="151"/>
      <c r="BA303" s="10"/>
      <c r="BB303" s="10"/>
      <c r="BC303" s="10"/>
      <c r="BD303" s="151"/>
      <c r="BE303" s="191"/>
      <c r="BF303" s="10"/>
      <c r="BG303" s="10"/>
      <c r="BH303" s="151"/>
      <c r="BI303" s="191"/>
      <c r="BJ303" s="10"/>
      <c r="BK303" s="10"/>
      <c r="BL303" s="151"/>
      <c r="BM303" s="1"/>
      <c r="BN303" s="48">
        <v>44159.03</v>
      </c>
      <c r="BO303" s="49">
        <v>44550.35</v>
      </c>
      <c r="BP303" s="49">
        <v>88188.85</v>
      </c>
      <c r="BQ303" s="50">
        <f t="shared" si="102"/>
        <v>176898.23</v>
      </c>
      <c r="BR303" s="48">
        <v>39701.29</v>
      </c>
      <c r="BS303" s="49">
        <v>34918.15</v>
      </c>
      <c r="BT303" s="49">
        <v>84380.73</v>
      </c>
      <c r="BU303" s="50">
        <f t="shared" si="103"/>
        <v>159000.16999999998</v>
      </c>
      <c r="BV303" s="48">
        <v>45479.91</v>
      </c>
      <c r="BW303" s="49">
        <v>47262.8</v>
      </c>
      <c r="BX303" s="49">
        <v>92972.27</v>
      </c>
      <c r="BY303" s="50">
        <f t="shared" si="104"/>
        <v>185714.98</v>
      </c>
      <c r="BZ303" s="182">
        <v>64613.23</v>
      </c>
      <c r="CA303" s="99">
        <v>210417.18</v>
      </c>
      <c r="CB303" s="99">
        <v>105213.44</v>
      </c>
      <c r="CC303" s="98">
        <f t="shared" si="105"/>
        <v>380243.85</v>
      </c>
      <c r="CD303" s="182">
        <v>70263.960000000006</v>
      </c>
      <c r="CE303" s="99">
        <v>279580.05</v>
      </c>
      <c r="CF303" s="99">
        <v>118945.54000000001</v>
      </c>
      <c r="CG303" s="98">
        <f t="shared" si="106"/>
        <v>468789.55000000005</v>
      </c>
      <c r="CH303" s="191">
        <v>44003.87</v>
      </c>
      <c r="CI303" s="192">
        <v>254436.58</v>
      </c>
      <c r="CJ303" s="192">
        <v>124675.68</v>
      </c>
      <c r="CK303" s="98">
        <f t="shared" si="107"/>
        <v>423116.13</v>
      </c>
      <c r="CL303" s="111"/>
      <c r="CM303" s="111"/>
      <c r="CN303" s="111"/>
      <c r="CO303" s="112"/>
      <c r="CP303" s="191"/>
      <c r="CQ303" s="192"/>
      <c r="CR303" s="192"/>
      <c r="CS303" s="151"/>
      <c r="CT303" s="111"/>
      <c r="CU303" s="111"/>
      <c r="CV303" s="111"/>
      <c r="CW303" s="112"/>
      <c r="CX303" s="192"/>
      <c r="CY303" s="192"/>
      <c r="CZ303" s="192"/>
      <c r="DA303" s="151"/>
      <c r="DB303" s="10"/>
      <c r="DC303" s="10"/>
      <c r="DD303" s="10"/>
      <c r="DE303" s="151"/>
      <c r="DF303" s="192"/>
      <c r="DG303" s="192"/>
      <c r="DH303" s="192"/>
      <c r="DI303" s="151"/>
      <c r="DJ303" s="1"/>
      <c r="DK303" s="225">
        <v>40774.76</v>
      </c>
      <c r="DL303" s="225">
        <v>25239.48</v>
      </c>
      <c r="DM303" s="225">
        <v>36254.559999999998</v>
      </c>
      <c r="DN303" s="225">
        <v>39585.07</v>
      </c>
      <c r="DO303" s="225">
        <v>52197.56</v>
      </c>
      <c r="DP303" s="225">
        <v>83641.509999999995</v>
      </c>
      <c r="DQ303" s="225"/>
      <c r="DR303" s="225"/>
      <c r="DS303" s="225"/>
      <c r="DT303" s="225"/>
      <c r="DU303" s="225"/>
      <c r="DV303" s="225"/>
      <c r="DW303" s="1"/>
      <c r="EJ303" s="1"/>
      <c r="EK303" s="17">
        <v>119</v>
      </c>
      <c r="EL303" s="17">
        <v>60</v>
      </c>
      <c r="EM303" s="17">
        <v>92</v>
      </c>
      <c r="EN303" s="17">
        <v>103</v>
      </c>
      <c r="EO303" s="17">
        <v>95</v>
      </c>
      <c r="EP303" s="17">
        <v>164</v>
      </c>
      <c r="EQ303" s="17"/>
      <c r="ER303" s="17"/>
      <c r="ES303" s="17"/>
      <c r="EU303" s="17"/>
      <c r="EW303" s="1"/>
      <c r="EX303" s="225">
        <v>40759.97</v>
      </c>
      <c r="EY303" s="225">
        <v>25239.48</v>
      </c>
      <c r="EZ303" s="225">
        <v>36239.85</v>
      </c>
      <c r="FA303" s="225">
        <v>39585.07</v>
      </c>
      <c r="FB303" s="225">
        <v>52197.56</v>
      </c>
      <c r="FC303" s="225">
        <v>83628.84</v>
      </c>
      <c r="FD303" s="225"/>
      <c r="FE303" s="225"/>
      <c r="FF303" s="225"/>
      <c r="FG303" s="10"/>
      <c r="FH303" s="225"/>
      <c r="FI303" s="10"/>
      <c r="FJ303" s="1"/>
      <c r="FK303" s="225">
        <v>-6436.13</v>
      </c>
      <c r="FL303" s="225">
        <v>-3513.31</v>
      </c>
      <c r="FM303" s="225">
        <v>-4877.38</v>
      </c>
      <c r="FN303" s="225">
        <v>-2989.64</v>
      </c>
      <c r="FO303" s="225">
        <v>-8539.2000000000007</v>
      </c>
      <c r="FP303" s="225">
        <v>-3778.22</v>
      </c>
      <c r="FQ303" s="225"/>
      <c r="FR303" s="225"/>
      <c r="FS303" s="225"/>
      <c r="FT303" s="191"/>
      <c r="FU303" s="225"/>
      <c r="FV303" s="151"/>
    </row>
    <row r="304" spans="1:178" ht="16" thickBot="1" x14ac:dyDescent="0.25">
      <c r="A304" s="27" t="s">
        <v>119</v>
      </c>
      <c r="B304" t="s">
        <v>141</v>
      </c>
      <c r="C304" s="1"/>
      <c r="D304">
        <v>1210</v>
      </c>
      <c r="E304" s="17">
        <v>1133</v>
      </c>
      <c r="F304" s="241">
        <v>1380</v>
      </c>
      <c r="G304" s="87">
        <v>1240</v>
      </c>
      <c r="H304" s="87">
        <v>1417</v>
      </c>
      <c r="I304" s="87">
        <v>1355</v>
      </c>
      <c r="J304" s="17"/>
      <c r="K304" s="17"/>
      <c r="L304" s="17"/>
      <c r="M304" s="17"/>
      <c r="N304" s="17"/>
      <c r="O304" s="17"/>
      <c r="P304" s="1"/>
      <c r="Q304" s="48">
        <v>139999.79999999999</v>
      </c>
      <c r="R304" s="49">
        <v>72442.350000000006</v>
      </c>
      <c r="S304" s="49">
        <v>92302</v>
      </c>
      <c r="T304" s="50">
        <f t="shared" si="96"/>
        <v>304744.15000000002</v>
      </c>
      <c r="U304" s="48">
        <v>139442.08000000002</v>
      </c>
      <c r="V304" s="49">
        <v>83908.58</v>
      </c>
      <c r="W304" s="49">
        <v>88267.8</v>
      </c>
      <c r="X304" s="50">
        <f t="shared" si="97"/>
        <v>311618.46000000002</v>
      </c>
      <c r="Y304" s="48">
        <v>204047.13999999998</v>
      </c>
      <c r="Z304" s="49">
        <v>92459.23</v>
      </c>
      <c r="AA304" s="49">
        <v>126278.51000000001</v>
      </c>
      <c r="AB304" s="50">
        <f t="shared" si="98"/>
        <v>422784.88</v>
      </c>
      <c r="AC304" s="164">
        <v>121382.77</v>
      </c>
      <c r="AD304" s="165">
        <v>99805.96</v>
      </c>
      <c r="AE304" s="165">
        <v>91083.170000000013</v>
      </c>
      <c r="AF304" s="151">
        <f t="shared" si="99"/>
        <v>312271.90000000002</v>
      </c>
      <c r="AG304" s="191">
        <v>112770.23</v>
      </c>
      <c r="AH304" s="10">
        <v>107385.29</v>
      </c>
      <c r="AI304" s="10">
        <v>120954.59</v>
      </c>
      <c r="AJ304" s="151">
        <f t="shared" si="100"/>
        <v>341110.11</v>
      </c>
      <c r="AK304" s="99">
        <v>80177.41</v>
      </c>
      <c r="AL304" s="99">
        <v>75618.75</v>
      </c>
      <c r="AM304" s="99">
        <v>117422.32</v>
      </c>
      <c r="AN304" s="151">
        <f t="shared" si="101"/>
        <v>273218.48</v>
      </c>
      <c r="AO304" s="191"/>
      <c r="AP304" s="10"/>
      <c r="AQ304" s="10"/>
      <c r="AR304" s="151"/>
      <c r="AS304" s="191"/>
      <c r="AT304" s="192"/>
      <c r="AU304" s="192"/>
      <c r="AV304" s="151"/>
      <c r="AW304" s="192"/>
      <c r="AX304" s="192"/>
      <c r="AY304" s="192"/>
      <c r="AZ304" s="151"/>
      <c r="BA304" s="10"/>
      <c r="BB304" s="10"/>
      <c r="BC304" s="10"/>
      <c r="BD304" s="151"/>
      <c r="BE304" s="191"/>
      <c r="BF304" s="10"/>
      <c r="BG304" s="10"/>
      <c r="BH304" s="151"/>
      <c r="BI304" s="191"/>
      <c r="BJ304" s="10"/>
      <c r="BK304" s="10"/>
      <c r="BL304" s="151"/>
      <c r="BM304" s="1"/>
      <c r="BN304" s="48">
        <v>23443.01</v>
      </c>
      <c r="BO304" s="49">
        <v>20406.16</v>
      </c>
      <c r="BP304" s="49">
        <v>44595.47</v>
      </c>
      <c r="BQ304" s="50">
        <f t="shared" si="102"/>
        <v>88444.64</v>
      </c>
      <c r="BR304" s="48">
        <v>24068.9</v>
      </c>
      <c r="BS304" s="49">
        <v>24143.29</v>
      </c>
      <c r="BT304" s="49">
        <v>38455.54</v>
      </c>
      <c r="BU304" s="50">
        <f t="shared" si="103"/>
        <v>86667.73000000001</v>
      </c>
      <c r="BV304" s="48">
        <v>28505.24</v>
      </c>
      <c r="BW304" s="49">
        <v>27076.59</v>
      </c>
      <c r="BX304" s="49">
        <v>72424.45</v>
      </c>
      <c r="BY304" s="50">
        <f t="shared" si="104"/>
        <v>128006.28</v>
      </c>
      <c r="BZ304" s="182">
        <v>32594.59</v>
      </c>
      <c r="CA304" s="99">
        <v>127945.26</v>
      </c>
      <c r="CB304" s="99">
        <v>53577.020000000004</v>
      </c>
      <c r="CC304" s="98">
        <f t="shared" si="105"/>
        <v>214116.87</v>
      </c>
      <c r="CD304" s="182">
        <v>29222.13</v>
      </c>
      <c r="CE304" s="99">
        <v>146415.95000000001</v>
      </c>
      <c r="CF304" s="99">
        <v>64527.44</v>
      </c>
      <c r="CG304" s="98">
        <f t="shared" si="106"/>
        <v>240165.52000000002</v>
      </c>
      <c r="CH304" s="191">
        <v>24247.279999999999</v>
      </c>
      <c r="CI304" s="192">
        <v>123556.26</v>
      </c>
      <c r="CJ304" s="192">
        <v>66297.11</v>
      </c>
      <c r="CK304" s="98">
        <f t="shared" si="107"/>
        <v>214100.64999999997</v>
      </c>
      <c r="CL304" s="111"/>
      <c r="CM304" s="111"/>
      <c r="CN304" s="111"/>
      <c r="CO304" s="112"/>
      <c r="CP304" s="191"/>
      <c r="CQ304" s="192"/>
      <c r="CR304" s="192"/>
      <c r="CS304" s="151"/>
      <c r="CT304" s="111"/>
      <c r="CU304" s="111"/>
      <c r="CV304" s="111"/>
      <c r="CW304" s="112"/>
      <c r="CX304" s="192"/>
      <c r="CY304" s="192"/>
      <c r="CZ304" s="192"/>
      <c r="DA304" s="151"/>
      <c r="DB304" s="10"/>
      <c r="DC304" s="10"/>
      <c r="DD304" s="10"/>
      <c r="DE304" s="151"/>
      <c r="DF304" s="192"/>
      <c r="DG304" s="192"/>
      <c r="DH304" s="192"/>
      <c r="DI304" s="151"/>
      <c r="DJ304" s="1"/>
      <c r="DK304" s="225">
        <v>15579.33</v>
      </c>
      <c r="DL304" s="225">
        <v>9000.86</v>
      </c>
      <c r="DM304" s="225">
        <v>23597.8</v>
      </c>
      <c r="DN304" s="225">
        <v>27269.37</v>
      </c>
      <c r="DO304" s="225">
        <v>15235.14</v>
      </c>
      <c r="DP304" s="225">
        <v>40427.07</v>
      </c>
      <c r="DQ304" s="225"/>
      <c r="DR304" s="225"/>
      <c r="DS304" s="225"/>
      <c r="DT304" s="225"/>
      <c r="DU304" s="225"/>
      <c r="DV304" s="225"/>
      <c r="DW304" s="1"/>
      <c r="EJ304" s="1"/>
      <c r="EK304" s="17">
        <v>45</v>
      </c>
      <c r="EL304" s="17">
        <v>27</v>
      </c>
      <c r="EM304" s="17">
        <v>56</v>
      </c>
      <c r="EN304" s="17">
        <v>53</v>
      </c>
      <c r="EO304" s="17">
        <v>28</v>
      </c>
      <c r="EP304" s="17">
        <v>78</v>
      </c>
      <c r="EQ304" s="17"/>
      <c r="ER304" s="17"/>
      <c r="ES304" s="17"/>
      <c r="EU304" s="17"/>
      <c r="EW304" s="1"/>
      <c r="EX304" s="225">
        <v>15542.4</v>
      </c>
      <c r="EY304" s="225">
        <v>8964.65</v>
      </c>
      <c r="EZ304" s="225">
        <v>23597.75</v>
      </c>
      <c r="FA304" s="225">
        <v>27258.75</v>
      </c>
      <c r="FB304" s="225">
        <v>15235.14</v>
      </c>
      <c r="FC304" s="225">
        <v>40417.07</v>
      </c>
      <c r="FD304" s="225"/>
      <c r="FE304" s="225"/>
      <c r="FF304" s="225"/>
      <c r="FG304" s="10"/>
      <c r="FH304" s="225"/>
      <c r="FI304" s="10"/>
      <c r="FJ304" s="1"/>
      <c r="FK304" s="225">
        <v>-1938.72</v>
      </c>
      <c r="FL304" s="225">
        <v>-1707.09</v>
      </c>
      <c r="FM304" s="225">
        <v>-3831.29</v>
      </c>
      <c r="FN304" s="225">
        <v>-327</v>
      </c>
      <c r="FO304" s="225">
        <v>-1474.67</v>
      </c>
      <c r="FP304" s="225">
        <v>-1492.74</v>
      </c>
      <c r="FQ304" s="225"/>
      <c r="FR304" s="225"/>
      <c r="FS304" s="225"/>
      <c r="FT304" s="191"/>
      <c r="FU304" s="225"/>
      <c r="FV304" s="151"/>
    </row>
    <row r="305" spans="1:178" ht="16" thickBot="1" x14ac:dyDescent="0.25">
      <c r="A305" s="27" t="s">
        <v>120</v>
      </c>
      <c r="B305" t="s">
        <v>141</v>
      </c>
      <c r="C305" s="1"/>
      <c r="D305">
        <v>1161</v>
      </c>
      <c r="E305" s="17">
        <v>1142</v>
      </c>
      <c r="F305" s="241">
        <v>1287</v>
      </c>
      <c r="G305" s="87">
        <v>1293</v>
      </c>
      <c r="H305" s="87">
        <v>1352</v>
      </c>
      <c r="I305" s="87">
        <v>1307</v>
      </c>
      <c r="J305" s="17"/>
      <c r="K305" s="17"/>
      <c r="L305" s="17"/>
      <c r="M305" s="17"/>
      <c r="N305" s="17"/>
      <c r="O305" s="17"/>
      <c r="P305" s="1"/>
      <c r="Q305" s="48">
        <v>85301.01</v>
      </c>
      <c r="R305" s="49">
        <v>57712.49</v>
      </c>
      <c r="S305" s="49">
        <v>90964.76999999999</v>
      </c>
      <c r="T305" s="50">
        <f t="shared" si="96"/>
        <v>233978.27</v>
      </c>
      <c r="U305" s="48">
        <v>98938.25</v>
      </c>
      <c r="V305" s="49">
        <v>63052.480000000003</v>
      </c>
      <c r="W305" s="49">
        <v>94683.3</v>
      </c>
      <c r="X305" s="50">
        <f t="shared" si="97"/>
        <v>256674.03000000003</v>
      </c>
      <c r="Y305" s="48">
        <v>115902.71</v>
      </c>
      <c r="Z305" s="49">
        <v>99745.26999999999</v>
      </c>
      <c r="AA305" s="49">
        <v>99398.27</v>
      </c>
      <c r="AB305" s="50">
        <f t="shared" si="98"/>
        <v>315046.25</v>
      </c>
      <c r="AC305" s="164">
        <v>90863.02</v>
      </c>
      <c r="AD305" s="165">
        <v>79385.22</v>
      </c>
      <c r="AE305" s="165">
        <v>92350.86</v>
      </c>
      <c r="AF305" s="151">
        <f t="shared" si="99"/>
        <v>262599.09999999998</v>
      </c>
      <c r="AG305" s="191">
        <v>83082.509999999995</v>
      </c>
      <c r="AH305" s="10">
        <v>78323.100000000006</v>
      </c>
      <c r="AI305" s="10">
        <v>96505.600000000006</v>
      </c>
      <c r="AJ305" s="151">
        <f t="shared" si="100"/>
        <v>257911.21</v>
      </c>
      <c r="AK305" s="99">
        <v>58218.23</v>
      </c>
      <c r="AL305" s="99">
        <v>61510.14</v>
      </c>
      <c r="AM305" s="99">
        <v>95580.510000000009</v>
      </c>
      <c r="AN305" s="151">
        <f t="shared" si="101"/>
        <v>215308.88</v>
      </c>
      <c r="AO305" s="191"/>
      <c r="AP305" s="10"/>
      <c r="AQ305" s="10"/>
      <c r="AR305" s="151"/>
      <c r="AS305" s="191"/>
      <c r="AT305" s="192"/>
      <c r="AU305" s="192"/>
      <c r="AV305" s="151"/>
      <c r="AW305" s="192"/>
      <c r="AX305" s="192"/>
      <c r="AY305" s="192"/>
      <c r="AZ305" s="151"/>
      <c r="BA305" s="10"/>
      <c r="BB305" s="10"/>
      <c r="BC305" s="10"/>
      <c r="BD305" s="151"/>
      <c r="BE305" s="191"/>
      <c r="BF305" s="10"/>
      <c r="BG305" s="10"/>
      <c r="BH305" s="151"/>
      <c r="BI305" s="191"/>
      <c r="BJ305" s="10"/>
      <c r="BK305" s="10"/>
      <c r="BL305" s="151"/>
      <c r="BM305" s="1"/>
      <c r="BN305" s="48">
        <v>10533.09</v>
      </c>
      <c r="BO305" s="49">
        <v>14627.72</v>
      </c>
      <c r="BP305" s="49">
        <v>33343.589999999997</v>
      </c>
      <c r="BQ305" s="50">
        <f t="shared" si="102"/>
        <v>58504.399999999994</v>
      </c>
      <c r="BR305" s="48">
        <v>15818.07</v>
      </c>
      <c r="BS305" s="49">
        <v>15844.77</v>
      </c>
      <c r="BT305" s="49">
        <v>31850.11</v>
      </c>
      <c r="BU305" s="50">
        <f t="shared" si="103"/>
        <v>63512.95</v>
      </c>
      <c r="BV305" s="48">
        <v>17267.080000000002</v>
      </c>
      <c r="BW305" s="49">
        <v>20987.68</v>
      </c>
      <c r="BX305" s="49">
        <v>41152.04</v>
      </c>
      <c r="BY305" s="50">
        <f t="shared" si="104"/>
        <v>79406.8</v>
      </c>
      <c r="BZ305" s="182">
        <v>23380.16</v>
      </c>
      <c r="CA305" s="99">
        <v>112165.94</v>
      </c>
      <c r="CB305" s="99">
        <v>51563.82</v>
      </c>
      <c r="CC305" s="98">
        <f t="shared" si="105"/>
        <v>187109.92</v>
      </c>
      <c r="CD305" s="182">
        <v>20708.37</v>
      </c>
      <c r="CE305" s="99">
        <v>107717.13</v>
      </c>
      <c r="CF305" s="99">
        <v>57856</v>
      </c>
      <c r="CG305" s="98">
        <f t="shared" si="106"/>
        <v>186281.5</v>
      </c>
      <c r="CH305" s="191">
        <v>14040.84</v>
      </c>
      <c r="CI305" s="192">
        <v>93158.58</v>
      </c>
      <c r="CJ305" s="192">
        <v>52702.28</v>
      </c>
      <c r="CK305" s="98">
        <f t="shared" si="107"/>
        <v>159901.70000000001</v>
      </c>
      <c r="CL305" s="111"/>
      <c r="CM305" s="111"/>
      <c r="CN305" s="111"/>
      <c r="CO305" s="112"/>
      <c r="CP305" s="191"/>
      <c r="CQ305" s="192"/>
      <c r="CR305" s="192"/>
      <c r="CS305" s="151"/>
      <c r="CT305" s="111"/>
      <c r="CU305" s="111"/>
      <c r="CV305" s="111"/>
      <c r="CW305" s="112"/>
      <c r="CX305" s="192"/>
      <c r="CY305" s="192"/>
      <c r="CZ305" s="192"/>
      <c r="DA305" s="151"/>
      <c r="DB305" s="10"/>
      <c r="DC305" s="10"/>
      <c r="DD305" s="10"/>
      <c r="DE305" s="151"/>
      <c r="DF305" s="192"/>
      <c r="DG305" s="192"/>
      <c r="DH305" s="192"/>
      <c r="DI305" s="151"/>
      <c r="DJ305" s="1"/>
      <c r="DK305" s="225">
        <v>11508.75</v>
      </c>
      <c r="DL305" s="225">
        <v>8411.82</v>
      </c>
      <c r="DM305" s="225">
        <v>10740.48</v>
      </c>
      <c r="DN305" s="225">
        <v>18104.3</v>
      </c>
      <c r="DO305" s="225">
        <v>10434.48</v>
      </c>
      <c r="DP305" s="225">
        <v>21016.15</v>
      </c>
      <c r="DQ305" s="225"/>
      <c r="DR305" s="225"/>
      <c r="DS305" s="225"/>
      <c r="DT305" s="225"/>
      <c r="DU305" s="225"/>
      <c r="DV305" s="225"/>
      <c r="DW305" s="1"/>
      <c r="EJ305" s="1"/>
      <c r="EK305" s="17">
        <v>45</v>
      </c>
      <c r="EL305" s="17">
        <v>29</v>
      </c>
      <c r="EM305" s="17">
        <v>40</v>
      </c>
      <c r="EN305" s="17">
        <v>53</v>
      </c>
      <c r="EO305" s="17">
        <v>36</v>
      </c>
      <c r="EP305" s="17">
        <v>56</v>
      </c>
      <c r="EQ305" s="17"/>
      <c r="ER305" s="17"/>
      <c r="ES305" s="17"/>
      <c r="EU305" s="17"/>
      <c r="EW305" s="1"/>
      <c r="EX305" s="225">
        <v>11474.42</v>
      </c>
      <c r="EY305" s="225">
        <v>8399.4599999999991</v>
      </c>
      <c r="EZ305" s="225">
        <v>10730.98</v>
      </c>
      <c r="FA305" s="225">
        <v>18089.37</v>
      </c>
      <c r="FB305" s="225">
        <v>10434.48</v>
      </c>
      <c r="FC305" s="225">
        <v>21016.15</v>
      </c>
      <c r="FD305" s="225"/>
      <c r="FE305" s="225"/>
      <c r="FF305" s="225"/>
      <c r="FG305" s="10"/>
      <c r="FH305" s="225"/>
      <c r="FI305" s="10"/>
      <c r="FJ305" s="1"/>
      <c r="FK305" s="225">
        <v>-615.26</v>
      </c>
      <c r="FL305" s="225">
        <v>-886.51</v>
      </c>
      <c r="FM305" s="225">
        <v>-4889.62</v>
      </c>
      <c r="FN305" s="225">
        <v>-1493.05</v>
      </c>
      <c r="FO305" s="225">
        <v>-5333.06</v>
      </c>
      <c r="FP305" s="225">
        <v>-596.80999999999995</v>
      </c>
      <c r="FQ305" s="225"/>
      <c r="FR305" s="225"/>
      <c r="FS305" s="225"/>
      <c r="FT305" s="191"/>
      <c r="FU305" s="225"/>
      <c r="FV305" s="151"/>
    </row>
    <row r="306" spans="1:178" ht="16" thickBot="1" x14ac:dyDescent="0.25">
      <c r="A306" s="27" t="s">
        <v>121</v>
      </c>
      <c r="B306" t="s">
        <v>141</v>
      </c>
      <c r="C306" s="1"/>
      <c r="D306">
        <v>899</v>
      </c>
      <c r="E306" s="17">
        <v>950</v>
      </c>
      <c r="F306" s="241">
        <v>917</v>
      </c>
      <c r="G306" s="87">
        <v>980</v>
      </c>
      <c r="H306" s="87">
        <v>1056</v>
      </c>
      <c r="I306" s="87">
        <v>998</v>
      </c>
      <c r="J306" s="17"/>
      <c r="K306" s="17"/>
      <c r="L306" s="17"/>
      <c r="M306" s="17"/>
      <c r="N306" s="17"/>
      <c r="O306" s="17"/>
      <c r="P306" s="1"/>
      <c r="Q306" s="48">
        <v>103564.75</v>
      </c>
      <c r="R306" s="49">
        <v>55481.47</v>
      </c>
      <c r="S306" s="49">
        <v>61598.039999999994</v>
      </c>
      <c r="T306" s="50">
        <f t="shared" si="96"/>
        <v>220644.26</v>
      </c>
      <c r="U306" s="48">
        <v>114221.66</v>
      </c>
      <c r="V306" s="49">
        <v>80044.81</v>
      </c>
      <c r="W306" s="49">
        <v>70803.13</v>
      </c>
      <c r="X306" s="50">
        <f t="shared" si="97"/>
        <v>265069.59999999998</v>
      </c>
      <c r="Y306" s="48">
        <v>105707.48</v>
      </c>
      <c r="Z306" s="49">
        <v>82487.679999999993</v>
      </c>
      <c r="AA306" s="49">
        <v>77264.91</v>
      </c>
      <c r="AB306" s="50">
        <f t="shared" si="98"/>
        <v>265460.06999999995</v>
      </c>
      <c r="AC306" s="164">
        <v>121019.67</v>
      </c>
      <c r="AD306" s="165">
        <v>59819.87</v>
      </c>
      <c r="AE306" s="165">
        <v>79940.66</v>
      </c>
      <c r="AF306" s="151">
        <f t="shared" si="99"/>
        <v>260780.2</v>
      </c>
      <c r="AG306" s="191">
        <v>90349.22</v>
      </c>
      <c r="AH306" s="10">
        <v>83987.55</v>
      </c>
      <c r="AI306" s="10">
        <v>70134.14</v>
      </c>
      <c r="AJ306" s="151">
        <f t="shared" si="100"/>
        <v>244470.91000000003</v>
      </c>
      <c r="AK306" s="99">
        <v>62801.32</v>
      </c>
      <c r="AL306" s="99">
        <v>60367.75</v>
      </c>
      <c r="AM306" s="99">
        <v>62734.100000000006</v>
      </c>
      <c r="AN306" s="151">
        <f t="shared" si="101"/>
        <v>185903.17</v>
      </c>
      <c r="AO306" s="191"/>
      <c r="AP306" s="10"/>
      <c r="AQ306" s="10"/>
      <c r="AR306" s="151"/>
      <c r="AS306" s="191"/>
      <c r="AT306" s="192"/>
      <c r="AU306" s="192"/>
      <c r="AV306" s="151"/>
      <c r="AW306" s="192"/>
      <c r="AX306" s="192"/>
      <c r="AY306" s="192"/>
      <c r="AZ306" s="151"/>
      <c r="BA306" s="10"/>
      <c r="BB306" s="10"/>
      <c r="BC306" s="10"/>
      <c r="BD306" s="151"/>
      <c r="BE306" s="191"/>
      <c r="BF306" s="10"/>
      <c r="BG306" s="10"/>
      <c r="BH306" s="151"/>
      <c r="BI306" s="191"/>
      <c r="BJ306" s="10"/>
      <c r="BK306" s="10"/>
      <c r="BL306" s="151"/>
      <c r="BM306" s="1"/>
      <c r="BN306" s="48">
        <v>14888.85</v>
      </c>
      <c r="BO306" s="49">
        <v>19412.169999999998</v>
      </c>
      <c r="BP306" s="49">
        <v>31953.5</v>
      </c>
      <c r="BQ306" s="50">
        <f t="shared" si="102"/>
        <v>66254.51999999999</v>
      </c>
      <c r="BR306" s="48">
        <v>20699.240000000002</v>
      </c>
      <c r="BS306" s="49">
        <v>21604.55</v>
      </c>
      <c r="BT306" s="49">
        <v>37077.39</v>
      </c>
      <c r="BU306" s="50">
        <f t="shared" si="103"/>
        <v>79381.179999999993</v>
      </c>
      <c r="BV306" s="48">
        <v>20914.53</v>
      </c>
      <c r="BW306" s="49">
        <v>27690.18</v>
      </c>
      <c r="BX306" s="49">
        <v>43066.32</v>
      </c>
      <c r="BY306" s="50">
        <f t="shared" si="104"/>
        <v>91671.03</v>
      </c>
      <c r="BZ306" s="182">
        <v>28296.27</v>
      </c>
      <c r="CA306" s="99">
        <v>85632.05</v>
      </c>
      <c r="CB306" s="99">
        <v>48903.6</v>
      </c>
      <c r="CC306" s="98">
        <f t="shared" si="105"/>
        <v>162831.92000000001</v>
      </c>
      <c r="CD306" s="182">
        <v>26174.13</v>
      </c>
      <c r="CE306" s="99">
        <v>95763.08</v>
      </c>
      <c r="CF306" s="99">
        <v>41054.949999999997</v>
      </c>
      <c r="CG306" s="98">
        <f t="shared" si="106"/>
        <v>162992.16</v>
      </c>
      <c r="CH306" s="191">
        <v>16301.38</v>
      </c>
      <c r="CI306" s="192">
        <v>100711.27</v>
      </c>
      <c r="CJ306" s="192">
        <v>41422.01</v>
      </c>
      <c r="CK306" s="98">
        <f t="shared" si="107"/>
        <v>158434.66</v>
      </c>
      <c r="CL306" s="111"/>
      <c r="CM306" s="111"/>
      <c r="CN306" s="111"/>
      <c r="CO306" s="112"/>
      <c r="CP306" s="191"/>
      <c r="CQ306" s="192"/>
      <c r="CR306" s="192"/>
      <c r="CS306" s="151"/>
      <c r="CT306" s="111"/>
      <c r="CU306" s="111"/>
      <c r="CV306" s="111"/>
      <c r="CW306" s="112"/>
      <c r="CX306" s="192"/>
      <c r="CY306" s="192"/>
      <c r="CZ306" s="192"/>
      <c r="DA306" s="151"/>
      <c r="DB306" s="10"/>
      <c r="DC306" s="10"/>
      <c r="DD306" s="10"/>
      <c r="DE306" s="151"/>
      <c r="DF306" s="192"/>
      <c r="DG306" s="192"/>
      <c r="DH306" s="192"/>
      <c r="DI306" s="151"/>
      <c r="DJ306" s="1"/>
      <c r="DK306" s="225">
        <v>15935.03</v>
      </c>
      <c r="DL306" s="225">
        <v>10118.43</v>
      </c>
      <c r="DM306" s="225">
        <v>25782.31</v>
      </c>
      <c r="DN306" s="225">
        <v>17672.63</v>
      </c>
      <c r="DO306" s="225">
        <v>20250.48</v>
      </c>
      <c r="DP306" s="225">
        <v>44349.75</v>
      </c>
      <c r="DQ306" s="225"/>
      <c r="DR306" s="225"/>
      <c r="DS306" s="225"/>
      <c r="DT306" s="225"/>
      <c r="DU306" s="225"/>
      <c r="DV306" s="225"/>
      <c r="DW306" s="1"/>
      <c r="EJ306" s="1"/>
      <c r="EK306" s="17">
        <v>29</v>
      </c>
      <c r="EL306" s="17">
        <v>29</v>
      </c>
      <c r="EM306" s="17">
        <v>48</v>
      </c>
      <c r="EN306" s="17">
        <v>34</v>
      </c>
      <c r="EO306" s="17">
        <v>36</v>
      </c>
      <c r="EP306" s="17">
        <v>79</v>
      </c>
      <c r="EQ306" s="17"/>
      <c r="ER306" s="17"/>
      <c r="ES306" s="17"/>
      <c r="EU306" s="17"/>
      <c r="EW306" s="1"/>
      <c r="EX306" s="225">
        <v>15935.03</v>
      </c>
      <c r="EY306" s="225">
        <v>10090.44</v>
      </c>
      <c r="EZ306" s="225">
        <v>25762.78</v>
      </c>
      <c r="FA306" s="225">
        <v>17672.63</v>
      </c>
      <c r="FB306" s="225">
        <v>20250.48</v>
      </c>
      <c r="FC306" s="225">
        <v>44349.75</v>
      </c>
      <c r="FD306" s="225"/>
      <c r="FE306" s="225"/>
      <c r="FF306" s="225"/>
      <c r="FG306" s="10"/>
      <c r="FH306" s="225"/>
      <c r="FI306" s="10"/>
      <c r="FJ306" s="1"/>
      <c r="FK306" s="225">
        <v>-2187.25</v>
      </c>
      <c r="FL306" s="225">
        <v>-2171.19</v>
      </c>
      <c r="FM306" s="225">
        <v>-1969.04</v>
      </c>
      <c r="FN306" s="225">
        <v>-1072.1600000000001</v>
      </c>
      <c r="FO306" s="225">
        <v>-5143.24</v>
      </c>
      <c r="FP306" s="225">
        <v>-1394.84</v>
      </c>
      <c r="FQ306" s="225"/>
      <c r="FR306" s="225"/>
      <c r="FS306" s="225"/>
      <c r="FT306" s="191"/>
      <c r="FU306" s="225"/>
      <c r="FV306" s="151"/>
    </row>
    <row r="307" spans="1:178" ht="16" thickBot="1" x14ac:dyDescent="0.25">
      <c r="A307" s="27" t="s">
        <v>122</v>
      </c>
      <c r="B307" t="s">
        <v>141</v>
      </c>
      <c r="C307" s="1"/>
      <c r="D307">
        <v>548</v>
      </c>
      <c r="E307" s="17">
        <v>499</v>
      </c>
      <c r="F307" s="241">
        <v>635</v>
      </c>
      <c r="G307" s="87">
        <v>573</v>
      </c>
      <c r="H307" s="87">
        <v>668</v>
      </c>
      <c r="I307" s="87">
        <v>655</v>
      </c>
      <c r="J307" s="17"/>
      <c r="K307" s="17"/>
      <c r="L307" s="17"/>
      <c r="M307" s="17"/>
      <c r="N307" s="17"/>
      <c r="O307" s="17"/>
      <c r="P307" s="1"/>
      <c r="Q307" s="48">
        <v>49373.7</v>
      </c>
      <c r="R307" s="49">
        <v>23612.11</v>
      </c>
      <c r="S307" s="49">
        <v>42110.25</v>
      </c>
      <c r="T307" s="50">
        <f t="shared" si="96"/>
        <v>115096.06</v>
      </c>
      <c r="U307" s="48">
        <v>44940.65</v>
      </c>
      <c r="V307" s="49">
        <v>25777.969999999998</v>
      </c>
      <c r="W307" s="49">
        <v>31971.200000000001</v>
      </c>
      <c r="X307" s="50">
        <f t="shared" si="97"/>
        <v>102689.81999999999</v>
      </c>
      <c r="Y307" s="48">
        <v>83153.11</v>
      </c>
      <c r="Z307" s="49">
        <v>33827.300000000003</v>
      </c>
      <c r="AA307" s="49">
        <v>47294.39</v>
      </c>
      <c r="AB307" s="50">
        <f t="shared" si="98"/>
        <v>164274.79999999999</v>
      </c>
      <c r="AC307" s="164">
        <v>51102.55</v>
      </c>
      <c r="AD307" s="165">
        <v>46861.73</v>
      </c>
      <c r="AE307" s="165">
        <v>34487.03</v>
      </c>
      <c r="AF307" s="151">
        <f t="shared" si="99"/>
        <v>132451.31</v>
      </c>
      <c r="AG307" s="191">
        <v>54790.48</v>
      </c>
      <c r="AH307" s="10">
        <v>44125.03</v>
      </c>
      <c r="AI307" s="10">
        <v>50641.760000000002</v>
      </c>
      <c r="AJ307" s="151">
        <f t="shared" si="100"/>
        <v>149557.27000000002</v>
      </c>
      <c r="AK307" s="99">
        <v>38775.69</v>
      </c>
      <c r="AL307" s="99">
        <v>37800.199999999997</v>
      </c>
      <c r="AM307" s="99">
        <v>41548.839999999997</v>
      </c>
      <c r="AN307" s="151">
        <f t="shared" si="101"/>
        <v>118124.73</v>
      </c>
      <c r="AO307" s="191"/>
      <c r="AP307" s="10"/>
      <c r="AQ307" s="10"/>
      <c r="AR307" s="151"/>
      <c r="AS307" s="191"/>
      <c r="AT307" s="192"/>
      <c r="AU307" s="192"/>
      <c r="AV307" s="151"/>
      <c r="AW307" s="192"/>
      <c r="AX307" s="192"/>
      <c r="AY307" s="192"/>
      <c r="AZ307" s="151"/>
      <c r="BA307" s="10"/>
      <c r="BB307" s="10"/>
      <c r="BC307" s="10"/>
      <c r="BD307" s="151"/>
      <c r="BE307" s="191"/>
      <c r="BF307" s="10"/>
      <c r="BG307" s="10"/>
      <c r="BH307" s="151"/>
      <c r="BI307" s="191"/>
      <c r="BJ307" s="10"/>
      <c r="BK307" s="10"/>
      <c r="BL307" s="151"/>
      <c r="BM307" s="1"/>
      <c r="BN307" s="48">
        <v>7797.4</v>
      </c>
      <c r="BO307" s="49">
        <v>8159.63</v>
      </c>
      <c r="BP307" s="49">
        <v>13769.23</v>
      </c>
      <c r="BQ307" s="50">
        <f t="shared" si="102"/>
        <v>29726.26</v>
      </c>
      <c r="BR307" s="48">
        <v>9036.6200000000008</v>
      </c>
      <c r="BS307" s="49">
        <v>6346.13</v>
      </c>
      <c r="BT307" s="49">
        <v>14173.22</v>
      </c>
      <c r="BU307" s="50">
        <f t="shared" si="103"/>
        <v>29555.97</v>
      </c>
      <c r="BV307" s="48">
        <v>12164.96</v>
      </c>
      <c r="BW307" s="49">
        <v>9392.85</v>
      </c>
      <c r="BX307" s="49">
        <v>21103.29</v>
      </c>
      <c r="BY307" s="50">
        <f t="shared" si="104"/>
        <v>42661.1</v>
      </c>
      <c r="BZ307" s="182">
        <v>13740.32</v>
      </c>
      <c r="CA307" s="99">
        <v>53437.7</v>
      </c>
      <c r="CB307" s="99">
        <v>24360.32</v>
      </c>
      <c r="CC307" s="98">
        <f t="shared" si="105"/>
        <v>91538.34</v>
      </c>
      <c r="CD307" s="182">
        <v>12633.19</v>
      </c>
      <c r="CE307" s="99">
        <v>81285.929999999993</v>
      </c>
      <c r="CF307" s="99">
        <v>31143.35</v>
      </c>
      <c r="CG307" s="98">
        <f t="shared" si="106"/>
        <v>125062.47</v>
      </c>
      <c r="CH307" s="191">
        <v>10291.219999999999</v>
      </c>
      <c r="CI307" s="192">
        <v>66088.45</v>
      </c>
      <c r="CJ307" s="192">
        <v>23432.37</v>
      </c>
      <c r="CK307" s="98">
        <f t="shared" si="107"/>
        <v>99812.04</v>
      </c>
      <c r="CL307" s="111"/>
      <c r="CM307" s="111"/>
      <c r="CN307" s="111"/>
      <c r="CO307" s="112"/>
      <c r="CP307" s="191"/>
      <c r="CQ307" s="192"/>
      <c r="CR307" s="192"/>
      <c r="CS307" s="151"/>
      <c r="CT307" s="111"/>
      <c r="CU307" s="111"/>
      <c r="CV307" s="111"/>
      <c r="CW307" s="112"/>
      <c r="CX307" s="192"/>
      <c r="CY307" s="192"/>
      <c r="CZ307" s="192"/>
      <c r="DA307" s="151"/>
      <c r="DB307" s="10"/>
      <c r="DC307" s="10"/>
      <c r="DD307" s="10"/>
      <c r="DE307" s="151"/>
      <c r="DF307" s="192"/>
      <c r="DG307" s="192"/>
      <c r="DH307" s="192"/>
      <c r="DI307" s="151"/>
      <c r="DJ307" s="1"/>
      <c r="DK307" s="225">
        <v>7982.16</v>
      </c>
      <c r="DL307" s="225">
        <v>5399.44</v>
      </c>
      <c r="DM307" s="225">
        <v>8262.9500000000007</v>
      </c>
      <c r="DN307" s="225">
        <v>13982.72</v>
      </c>
      <c r="DO307" s="225">
        <v>11623.37</v>
      </c>
      <c r="DP307" s="225">
        <v>19058.580000000002</v>
      </c>
      <c r="DQ307" s="225"/>
      <c r="DR307" s="225"/>
      <c r="DS307" s="225"/>
      <c r="DT307" s="225"/>
      <c r="DU307" s="225"/>
      <c r="DV307" s="225"/>
      <c r="DW307" s="1"/>
      <c r="EJ307" s="1"/>
      <c r="EK307" s="17">
        <v>21</v>
      </c>
      <c r="EL307" s="17">
        <v>14</v>
      </c>
      <c r="EM307" s="17">
        <v>20</v>
      </c>
      <c r="EN307" s="17">
        <v>37</v>
      </c>
      <c r="EO307" s="17">
        <v>20</v>
      </c>
      <c r="EP307" s="17">
        <v>41</v>
      </c>
      <c r="EQ307" s="17"/>
      <c r="ER307" s="17"/>
      <c r="ES307" s="17"/>
      <c r="EU307" s="17"/>
      <c r="EW307" s="1"/>
      <c r="EX307" s="225">
        <v>7968.28</v>
      </c>
      <c r="EY307" s="225">
        <v>5399.44</v>
      </c>
      <c r="EZ307" s="225">
        <v>8262.9500000000007</v>
      </c>
      <c r="FA307" s="225">
        <v>13972.31</v>
      </c>
      <c r="FB307" s="225">
        <v>11623.37</v>
      </c>
      <c r="FC307" s="225">
        <v>19058.580000000002</v>
      </c>
      <c r="FD307" s="225"/>
      <c r="FE307" s="225"/>
      <c r="FF307" s="225"/>
      <c r="FG307" s="10"/>
      <c r="FH307" s="225"/>
      <c r="FI307" s="10"/>
      <c r="FJ307" s="1"/>
      <c r="FK307" s="225">
        <v>-1592.05</v>
      </c>
      <c r="FL307" s="225">
        <v>-971.22</v>
      </c>
      <c r="FM307" s="225">
        <v>-2239.19</v>
      </c>
      <c r="FN307" s="225">
        <v>-814.21</v>
      </c>
      <c r="FO307" s="225">
        <v>-359.77</v>
      </c>
      <c r="FP307" s="225">
        <v>-1482.93</v>
      </c>
      <c r="FQ307" s="225"/>
      <c r="FR307" s="225"/>
      <c r="FS307" s="225"/>
      <c r="FT307" s="191"/>
      <c r="FU307" s="225"/>
      <c r="FV307" s="151"/>
    </row>
    <row r="308" spans="1:178" ht="16" thickBot="1" x14ac:dyDescent="0.25">
      <c r="A308" s="27" t="s">
        <v>123</v>
      </c>
      <c r="B308" t="s">
        <v>141</v>
      </c>
      <c r="C308" s="1"/>
      <c r="D308">
        <v>0</v>
      </c>
      <c r="E308" s="17">
        <v>0</v>
      </c>
      <c r="F308" s="241">
        <v>0</v>
      </c>
      <c r="G308" s="89">
        <v>0</v>
      </c>
      <c r="H308" s="88"/>
      <c r="I308" s="88"/>
      <c r="J308" s="17"/>
      <c r="K308" s="17"/>
      <c r="L308" s="17"/>
      <c r="M308" s="17"/>
      <c r="N308" s="17"/>
      <c r="O308" s="17"/>
      <c r="P308" s="1"/>
      <c r="Q308" s="48">
        <v>0</v>
      </c>
      <c r="R308" s="49">
        <v>0</v>
      </c>
      <c r="S308" s="49">
        <v>0</v>
      </c>
      <c r="T308" s="50">
        <f t="shared" si="96"/>
        <v>0</v>
      </c>
      <c r="U308" s="48">
        <v>0</v>
      </c>
      <c r="V308" s="49">
        <v>0</v>
      </c>
      <c r="W308" s="49">
        <v>0</v>
      </c>
      <c r="X308" s="50">
        <f t="shared" si="97"/>
        <v>0</v>
      </c>
      <c r="Y308" s="48">
        <v>0</v>
      </c>
      <c r="Z308" s="49">
        <v>0</v>
      </c>
      <c r="AA308" s="49">
        <v>0</v>
      </c>
      <c r="AB308" s="50">
        <f t="shared" si="98"/>
        <v>0</v>
      </c>
      <c r="AC308" s="167"/>
      <c r="AD308" s="166"/>
      <c r="AE308" s="166">
        <v>0</v>
      </c>
      <c r="AF308" s="151">
        <f t="shared" si="99"/>
        <v>0</v>
      </c>
      <c r="AG308" s="191"/>
      <c r="AH308" s="10"/>
      <c r="AI308" s="10">
        <v>0</v>
      </c>
      <c r="AJ308" s="151">
        <f t="shared" si="100"/>
        <v>0</v>
      </c>
      <c r="AK308" s="100"/>
      <c r="AL308" s="100"/>
      <c r="AM308" s="100"/>
      <c r="AN308" s="151">
        <f t="shared" si="101"/>
        <v>0</v>
      </c>
      <c r="AO308" s="191"/>
      <c r="AP308" s="10"/>
      <c r="AQ308" s="10"/>
      <c r="AR308" s="151"/>
      <c r="AS308" s="191"/>
      <c r="AT308" s="192"/>
      <c r="AU308" s="192"/>
      <c r="AV308" s="151"/>
      <c r="AW308" s="192"/>
      <c r="AX308" s="192"/>
      <c r="AY308" s="192"/>
      <c r="AZ308" s="151"/>
      <c r="BA308" s="10"/>
      <c r="BB308" s="10"/>
      <c r="BC308" s="10"/>
      <c r="BD308" s="151"/>
      <c r="BE308" s="191"/>
      <c r="BF308" s="10"/>
      <c r="BG308" s="10"/>
      <c r="BH308" s="151"/>
      <c r="BI308" s="191"/>
      <c r="BJ308" s="10"/>
      <c r="BK308" s="10"/>
      <c r="BL308" s="151"/>
      <c r="BM308" s="1"/>
      <c r="BN308" s="48"/>
      <c r="BO308" s="49"/>
      <c r="BP308" s="49">
        <v>0</v>
      </c>
      <c r="BQ308" s="50">
        <f t="shared" si="102"/>
        <v>0</v>
      </c>
      <c r="BR308" s="48"/>
      <c r="BS308" s="49"/>
      <c r="BT308" s="49">
        <v>0</v>
      </c>
      <c r="BU308" s="50">
        <f t="shared" si="103"/>
        <v>0</v>
      </c>
      <c r="BV308" s="48"/>
      <c r="BW308" s="49"/>
      <c r="BX308" s="49">
        <v>0</v>
      </c>
      <c r="BY308" s="50">
        <f t="shared" si="104"/>
        <v>0</v>
      </c>
      <c r="BZ308" s="183"/>
      <c r="CA308" s="266"/>
      <c r="CB308" s="266"/>
      <c r="CC308" s="98">
        <f t="shared" si="105"/>
        <v>0</v>
      </c>
      <c r="CD308" s="183"/>
      <c r="CE308" s="266"/>
      <c r="CF308" s="266"/>
      <c r="CG308" s="98">
        <f t="shared" si="106"/>
        <v>0</v>
      </c>
      <c r="CH308" s="191"/>
      <c r="CI308" s="192"/>
      <c r="CJ308" s="192">
        <v>0</v>
      </c>
      <c r="CK308" s="98">
        <f t="shared" si="107"/>
        <v>0</v>
      </c>
      <c r="CL308" s="111"/>
      <c r="CM308" s="111"/>
      <c r="CN308" s="111"/>
      <c r="CO308" s="112"/>
      <c r="CP308" s="191"/>
      <c r="CQ308" s="192"/>
      <c r="CR308" s="192"/>
      <c r="CS308" s="151"/>
      <c r="CT308" s="111"/>
      <c r="CU308" s="111"/>
      <c r="CV308" s="111"/>
      <c r="CW308" s="112"/>
      <c r="CX308" s="192"/>
      <c r="CY308" s="192"/>
      <c r="CZ308" s="192"/>
      <c r="DA308" s="151"/>
      <c r="DB308" s="10"/>
      <c r="DC308" s="10"/>
      <c r="DD308" s="10"/>
      <c r="DE308" s="151"/>
      <c r="DF308" s="192"/>
      <c r="DG308" s="192"/>
      <c r="DH308" s="192"/>
      <c r="DI308" s="151"/>
      <c r="DJ308" s="1"/>
      <c r="DK308" s="225"/>
      <c r="DL308" s="225"/>
      <c r="DM308" s="225"/>
      <c r="DN308" s="225"/>
      <c r="DO308" s="225"/>
      <c r="DP308" s="225"/>
      <c r="DQ308" s="225"/>
      <c r="DR308" s="225"/>
      <c r="DS308" s="225"/>
      <c r="DT308" s="225"/>
      <c r="DU308" s="225"/>
      <c r="DV308" s="225"/>
      <c r="DW308" s="1"/>
      <c r="EJ308" s="1"/>
      <c r="EK308" s="17"/>
      <c r="EL308" s="17"/>
      <c r="EM308" s="17"/>
      <c r="EN308" s="17"/>
      <c r="EO308" s="17"/>
      <c r="EP308" s="17"/>
      <c r="EQ308" s="17"/>
      <c r="ER308" s="17"/>
      <c r="ES308" s="17"/>
      <c r="EU308" s="17"/>
      <c r="EW308" s="1"/>
      <c r="EX308" s="225"/>
      <c r="EY308" s="225"/>
      <c r="EZ308" s="225"/>
      <c r="FA308" s="225"/>
      <c r="FB308" s="225"/>
      <c r="FC308" s="225"/>
      <c r="FD308" s="225"/>
      <c r="FE308" s="225"/>
      <c r="FF308" s="225"/>
      <c r="FG308" s="10"/>
      <c r="FH308" s="225"/>
      <c r="FI308" s="10"/>
      <c r="FJ308" s="1"/>
      <c r="FK308" s="225"/>
      <c r="FL308" s="225"/>
      <c r="FM308" s="225"/>
      <c r="FN308" s="225"/>
      <c r="FO308" s="225"/>
      <c r="FP308" s="225"/>
      <c r="FQ308" s="225"/>
      <c r="FR308" s="225"/>
      <c r="FS308" s="225"/>
      <c r="FT308" s="191"/>
      <c r="FU308" s="225"/>
      <c r="FV308" s="151"/>
    </row>
    <row r="309" spans="1:178" ht="16" thickBot="1" x14ac:dyDescent="0.25">
      <c r="A309" s="27" t="s">
        <v>124</v>
      </c>
      <c r="B309" t="s">
        <v>141</v>
      </c>
      <c r="C309" s="1"/>
      <c r="D309">
        <v>0</v>
      </c>
      <c r="E309" s="17"/>
      <c r="F309" s="241">
        <v>0</v>
      </c>
      <c r="G309" s="89">
        <v>0</v>
      </c>
      <c r="H309" s="88"/>
      <c r="I309" s="88"/>
      <c r="J309" s="17"/>
      <c r="K309" s="17"/>
      <c r="L309" s="17"/>
      <c r="M309" s="17"/>
      <c r="N309" s="17"/>
      <c r="O309" s="17"/>
      <c r="P309" s="1"/>
      <c r="Q309" s="48">
        <v>0</v>
      </c>
      <c r="R309" s="49">
        <v>0</v>
      </c>
      <c r="S309" s="49">
        <v>0</v>
      </c>
      <c r="T309" s="50">
        <f t="shared" si="96"/>
        <v>0</v>
      </c>
      <c r="U309" s="48">
        <v>0</v>
      </c>
      <c r="V309" s="49">
        <v>0</v>
      </c>
      <c r="W309" s="49">
        <v>0</v>
      </c>
      <c r="X309" s="50">
        <f t="shared" si="97"/>
        <v>0</v>
      </c>
      <c r="Y309" s="48"/>
      <c r="Z309" s="49"/>
      <c r="AA309" s="49"/>
      <c r="AB309" s="50">
        <f t="shared" si="98"/>
        <v>0</v>
      </c>
      <c r="AC309" s="167"/>
      <c r="AD309" s="166"/>
      <c r="AE309" s="166">
        <v>0</v>
      </c>
      <c r="AF309" s="151">
        <f t="shared" si="99"/>
        <v>0</v>
      </c>
      <c r="AG309" s="191"/>
      <c r="AH309" s="10"/>
      <c r="AI309" s="10">
        <v>0</v>
      </c>
      <c r="AJ309" s="151">
        <f t="shared" si="100"/>
        <v>0</v>
      </c>
      <c r="AK309" s="100"/>
      <c r="AL309" s="100"/>
      <c r="AM309" s="100"/>
      <c r="AN309" s="151">
        <f t="shared" si="101"/>
        <v>0</v>
      </c>
      <c r="AO309" s="191"/>
      <c r="AP309" s="10"/>
      <c r="AQ309" s="10"/>
      <c r="AR309" s="151"/>
      <c r="AS309" s="191"/>
      <c r="AT309" s="192"/>
      <c r="AU309" s="192"/>
      <c r="AV309" s="151"/>
      <c r="AW309" s="192"/>
      <c r="AX309" s="192"/>
      <c r="AY309" s="192"/>
      <c r="AZ309" s="151"/>
      <c r="BA309" s="10"/>
      <c r="BB309" s="10"/>
      <c r="BC309" s="10"/>
      <c r="BD309" s="151"/>
      <c r="BE309" s="191"/>
      <c r="BF309" s="10"/>
      <c r="BG309" s="10"/>
      <c r="BH309" s="151"/>
      <c r="BI309" s="191"/>
      <c r="BJ309" s="10"/>
      <c r="BK309" s="10"/>
      <c r="BL309" s="151"/>
      <c r="BM309" s="1"/>
      <c r="BN309" s="48"/>
      <c r="BO309" s="49"/>
      <c r="BP309" s="49">
        <v>0</v>
      </c>
      <c r="BQ309" s="50">
        <f t="shared" si="102"/>
        <v>0</v>
      </c>
      <c r="BR309" s="48"/>
      <c r="BS309" s="49"/>
      <c r="BT309" s="49">
        <v>0</v>
      </c>
      <c r="BU309" s="50">
        <f t="shared" si="103"/>
        <v>0</v>
      </c>
      <c r="BV309" s="48"/>
      <c r="BW309" s="49"/>
      <c r="BX309" s="49">
        <v>0</v>
      </c>
      <c r="BY309" s="50">
        <f t="shared" si="104"/>
        <v>0</v>
      </c>
      <c r="BZ309" s="183"/>
      <c r="CA309" s="266"/>
      <c r="CB309" s="266"/>
      <c r="CC309" s="98">
        <f t="shared" si="105"/>
        <v>0</v>
      </c>
      <c r="CD309" s="183"/>
      <c r="CE309" s="266"/>
      <c r="CF309" s="266"/>
      <c r="CG309" s="98">
        <f t="shared" si="106"/>
        <v>0</v>
      </c>
      <c r="CH309" s="191"/>
      <c r="CI309" s="192"/>
      <c r="CJ309" s="192">
        <v>0</v>
      </c>
      <c r="CK309" s="98">
        <f t="shared" si="107"/>
        <v>0</v>
      </c>
      <c r="CL309" s="111"/>
      <c r="CM309" s="111"/>
      <c r="CN309" s="111"/>
      <c r="CO309" s="112"/>
      <c r="CP309" s="191"/>
      <c r="CQ309" s="192"/>
      <c r="CR309" s="192"/>
      <c r="CS309" s="151"/>
      <c r="CT309" s="111"/>
      <c r="CU309" s="111"/>
      <c r="CV309" s="111"/>
      <c r="CW309" s="112"/>
      <c r="CX309" s="192"/>
      <c r="CY309" s="192"/>
      <c r="CZ309" s="192"/>
      <c r="DA309" s="151"/>
      <c r="DB309" s="10"/>
      <c r="DC309" s="10"/>
      <c r="DD309" s="10"/>
      <c r="DE309" s="151"/>
      <c r="DF309" s="192"/>
      <c r="DG309" s="192"/>
      <c r="DH309" s="192"/>
      <c r="DI309" s="151"/>
      <c r="DJ309" s="1"/>
      <c r="DK309" s="226"/>
      <c r="DL309" s="226"/>
      <c r="DM309" s="226"/>
      <c r="DN309" s="226"/>
      <c r="DO309" s="226"/>
      <c r="DP309" s="226"/>
      <c r="DQ309" s="226"/>
      <c r="DR309" s="226"/>
      <c r="DS309" s="226"/>
      <c r="DT309" s="225"/>
      <c r="DU309" s="225"/>
      <c r="DV309" s="225"/>
      <c r="DW309" s="1"/>
      <c r="EJ309" s="1"/>
      <c r="EK309" s="19"/>
      <c r="EL309" s="19"/>
      <c r="EM309" s="19"/>
      <c r="EN309" s="19"/>
      <c r="EO309" s="19"/>
      <c r="EP309" s="19"/>
      <c r="EQ309" s="19"/>
      <c r="ER309" s="19"/>
      <c r="ES309" s="19"/>
      <c r="EU309" s="17"/>
      <c r="EW309" s="1"/>
      <c r="EX309" s="226"/>
      <c r="EY309" s="226"/>
      <c r="EZ309" s="226"/>
      <c r="FA309" s="226"/>
      <c r="FB309" s="226"/>
      <c r="FC309" s="226"/>
      <c r="FD309" s="226"/>
      <c r="FE309" s="226"/>
      <c r="FF309" s="226"/>
      <c r="FG309" s="10"/>
      <c r="FH309" s="225"/>
      <c r="FI309" s="10"/>
      <c r="FJ309" s="1"/>
      <c r="FK309" s="226"/>
      <c r="FL309" s="226"/>
      <c r="FM309" s="225"/>
      <c r="FN309" s="225"/>
      <c r="FO309" s="225"/>
      <c r="FP309" s="225"/>
      <c r="FQ309" s="225"/>
      <c r="FR309" s="225"/>
      <c r="FS309" s="225"/>
      <c r="FT309" s="191"/>
      <c r="FU309" s="225"/>
      <c r="FV309" s="151"/>
    </row>
    <row r="310" spans="1:178" ht="16" thickBot="1" x14ac:dyDescent="0.25">
      <c r="A310" s="27" t="s">
        <v>125</v>
      </c>
      <c r="B310" t="s">
        <v>141</v>
      </c>
      <c r="C310" s="1"/>
      <c r="D310">
        <v>1310</v>
      </c>
      <c r="E310" s="17">
        <v>1285</v>
      </c>
      <c r="F310" s="241">
        <v>1535</v>
      </c>
      <c r="G310" s="87">
        <v>1384</v>
      </c>
      <c r="H310" s="87">
        <v>1538</v>
      </c>
      <c r="I310" s="87">
        <v>1483</v>
      </c>
      <c r="J310" s="17"/>
      <c r="K310" s="17"/>
      <c r="L310" s="17"/>
      <c r="M310" s="17"/>
      <c r="N310" s="17"/>
      <c r="O310" s="17"/>
      <c r="P310" s="1"/>
      <c r="Q310" s="48">
        <v>135430.23000000001</v>
      </c>
      <c r="R310" s="49">
        <v>68162.41</v>
      </c>
      <c r="S310" s="49">
        <v>99982.78</v>
      </c>
      <c r="T310" s="50">
        <f t="shared" si="96"/>
        <v>303575.42000000004</v>
      </c>
      <c r="U310" s="48">
        <v>158165.72</v>
      </c>
      <c r="V310" s="49">
        <v>80995.429999999993</v>
      </c>
      <c r="W310" s="49">
        <v>94301.98</v>
      </c>
      <c r="X310" s="50">
        <f t="shared" si="97"/>
        <v>333463.13</v>
      </c>
      <c r="Y310" s="48">
        <v>208462.86</v>
      </c>
      <c r="Z310" s="49">
        <v>95433.51</v>
      </c>
      <c r="AA310" s="49">
        <v>135647.74</v>
      </c>
      <c r="AB310" s="50">
        <f t="shared" si="98"/>
        <v>439544.11</v>
      </c>
      <c r="AC310" s="164">
        <v>123059.41</v>
      </c>
      <c r="AD310" s="165">
        <v>95924.19</v>
      </c>
      <c r="AE310" s="165">
        <v>105319.31</v>
      </c>
      <c r="AF310" s="151">
        <f t="shared" si="99"/>
        <v>324302.91000000003</v>
      </c>
      <c r="AG310" s="191">
        <v>122050.74</v>
      </c>
      <c r="AH310" s="10">
        <v>95531.05</v>
      </c>
      <c r="AI310" s="10">
        <v>120930.54999999999</v>
      </c>
      <c r="AJ310" s="151">
        <f t="shared" si="100"/>
        <v>338512.33999999997</v>
      </c>
      <c r="AK310" s="99">
        <v>79960.899999999994</v>
      </c>
      <c r="AL310" s="99">
        <v>85618.34</v>
      </c>
      <c r="AM310" s="99">
        <v>119295.66</v>
      </c>
      <c r="AN310" s="151">
        <f t="shared" si="101"/>
        <v>284874.90000000002</v>
      </c>
      <c r="AO310" s="191"/>
      <c r="AP310" s="10"/>
      <c r="AQ310" s="10"/>
      <c r="AR310" s="151"/>
      <c r="AS310" s="191"/>
      <c r="AT310" s="192"/>
      <c r="AU310" s="192"/>
      <c r="AV310" s="151"/>
      <c r="AW310" s="192"/>
      <c r="AX310" s="192"/>
      <c r="AY310" s="192"/>
      <c r="AZ310" s="151"/>
      <c r="BA310" s="10"/>
      <c r="BB310" s="10"/>
      <c r="BC310" s="10"/>
      <c r="BD310" s="151"/>
      <c r="BE310" s="191"/>
      <c r="BF310" s="10"/>
      <c r="BG310" s="10"/>
      <c r="BH310" s="151"/>
      <c r="BI310" s="191"/>
      <c r="BJ310" s="10"/>
      <c r="BK310" s="10"/>
      <c r="BL310" s="151"/>
      <c r="BM310" s="1"/>
      <c r="BN310" s="48">
        <v>18880.099999999999</v>
      </c>
      <c r="BO310" s="49">
        <v>22527.98</v>
      </c>
      <c r="BP310" s="49">
        <v>47567.49</v>
      </c>
      <c r="BQ310" s="50">
        <f t="shared" si="102"/>
        <v>88975.57</v>
      </c>
      <c r="BR310" s="48">
        <v>20511.82</v>
      </c>
      <c r="BS310" s="49">
        <v>22734.38</v>
      </c>
      <c r="BT310" s="49">
        <v>42575.08</v>
      </c>
      <c r="BU310" s="50">
        <f t="shared" si="103"/>
        <v>85821.28</v>
      </c>
      <c r="BV310" s="48">
        <v>28802.9</v>
      </c>
      <c r="BW310" s="49">
        <v>27318.03</v>
      </c>
      <c r="BX310" s="49">
        <v>69010.649999999994</v>
      </c>
      <c r="BY310" s="50">
        <f t="shared" si="104"/>
        <v>125131.57999999999</v>
      </c>
      <c r="BZ310" s="182">
        <v>26875.99</v>
      </c>
      <c r="CA310" s="99">
        <v>144464.03</v>
      </c>
      <c r="CB310" s="99">
        <v>70685.97</v>
      </c>
      <c r="CC310" s="98">
        <f t="shared" si="105"/>
        <v>242025.99</v>
      </c>
      <c r="CD310" s="182">
        <v>22466.14</v>
      </c>
      <c r="CE310" s="99">
        <v>112507.59</v>
      </c>
      <c r="CF310" s="99">
        <v>75662.559999999998</v>
      </c>
      <c r="CG310" s="98">
        <f t="shared" si="106"/>
        <v>210636.28999999998</v>
      </c>
      <c r="CH310" s="191">
        <v>16778.28</v>
      </c>
      <c r="CI310" s="192">
        <v>104144.33</v>
      </c>
      <c r="CJ310" s="192">
        <v>76465.34</v>
      </c>
      <c r="CK310" s="98">
        <f t="shared" si="107"/>
        <v>197387.95</v>
      </c>
      <c r="CL310" s="111"/>
      <c r="CM310" s="111"/>
      <c r="CN310" s="111"/>
      <c r="CO310" s="112"/>
      <c r="CP310" s="191"/>
      <c r="CQ310" s="192"/>
      <c r="CR310" s="192"/>
      <c r="CS310" s="151"/>
      <c r="CT310" s="111"/>
      <c r="CU310" s="111"/>
      <c r="CV310" s="111"/>
      <c r="CW310" s="112"/>
      <c r="CX310" s="192"/>
      <c r="CY310" s="192"/>
      <c r="CZ310" s="192"/>
      <c r="DA310" s="151"/>
      <c r="DB310" s="10"/>
      <c r="DC310" s="10"/>
      <c r="DD310" s="10"/>
      <c r="DE310" s="151"/>
      <c r="DF310" s="192"/>
      <c r="DG310" s="192"/>
      <c r="DH310" s="192"/>
      <c r="DI310" s="151"/>
      <c r="DJ310" s="1"/>
      <c r="DK310" s="225">
        <v>11935.22</v>
      </c>
      <c r="DL310" s="225">
        <v>13292.05</v>
      </c>
      <c r="DM310" s="225">
        <v>17445.169999999998</v>
      </c>
      <c r="DN310" s="225">
        <v>19026.57</v>
      </c>
      <c r="DO310" s="225">
        <v>14518.42</v>
      </c>
      <c r="DP310" s="225">
        <v>27078.19</v>
      </c>
      <c r="DQ310" s="225"/>
      <c r="DR310" s="225"/>
      <c r="DS310" s="225"/>
      <c r="DT310" s="225"/>
      <c r="DU310" s="225"/>
      <c r="DV310" s="225"/>
      <c r="DW310" s="1"/>
      <c r="EJ310" s="1"/>
      <c r="EK310" s="17">
        <v>42</v>
      </c>
      <c r="EL310" s="17">
        <v>34</v>
      </c>
      <c r="EM310" s="17">
        <v>44</v>
      </c>
      <c r="EN310" s="17">
        <v>48</v>
      </c>
      <c r="EO310" s="17">
        <v>39</v>
      </c>
      <c r="EP310" s="17">
        <v>50</v>
      </c>
      <c r="EQ310" s="17"/>
      <c r="ER310" s="17"/>
      <c r="ES310" s="17"/>
      <c r="EU310" s="17"/>
      <c r="EW310" s="1"/>
      <c r="EX310" s="225">
        <v>11921.11</v>
      </c>
      <c r="EY310" s="225">
        <v>13292.05</v>
      </c>
      <c r="EZ310" s="225">
        <v>17445.169999999998</v>
      </c>
      <c r="FA310" s="225">
        <v>19017.72</v>
      </c>
      <c r="FB310" s="225">
        <v>14499.2</v>
      </c>
      <c r="FC310" s="225">
        <v>27078.19</v>
      </c>
      <c r="FD310" s="225"/>
      <c r="FE310" s="225"/>
      <c r="FF310" s="225"/>
      <c r="FG310" s="10"/>
      <c r="FH310" s="225"/>
      <c r="FI310" s="10"/>
      <c r="FJ310" s="1"/>
      <c r="FK310" s="225">
        <v>-2633.57</v>
      </c>
      <c r="FL310" s="225">
        <v>-1707.94</v>
      </c>
      <c r="FM310" s="225">
        <v>-3078.2</v>
      </c>
      <c r="FN310" s="225">
        <v>-2107.08</v>
      </c>
      <c r="FO310" s="225">
        <v>-3036.25</v>
      </c>
      <c r="FP310" s="225">
        <v>-3250.39</v>
      </c>
      <c r="FQ310" s="225"/>
      <c r="FR310" s="225"/>
      <c r="FS310" s="225"/>
      <c r="FT310" s="191"/>
      <c r="FU310" s="225"/>
      <c r="FV310" s="151"/>
    </row>
    <row r="311" spans="1:178" ht="16" thickBot="1" x14ac:dyDescent="0.25">
      <c r="A311" s="27" t="s">
        <v>126</v>
      </c>
      <c r="B311" t="s">
        <v>141</v>
      </c>
      <c r="C311" s="1"/>
      <c r="D311">
        <v>655</v>
      </c>
      <c r="E311" s="17">
        <v>568</v>
      </c>
      <c r="F311" s="241">
        <v>768</v>
      </c>
      <c r="G311" s="87">
        <v>698</v>
      </c>
      <c r="H311" s="87">
        <v>800</v>
      </c>
      <c r="I311" s="87">
        <v>814</v>
      </c>
      <c r="J311" s="17"/>
      <c r="K311" s="17"/>
      <c r="L311" s="17"/>
      <c r="M311" s="17"/>
      <c r="N311" s="17"/>
      <c r="O311" s="17"/>
      <c r="P311" s="1"/>
      <c r="Q311" s="48">
        <v>60313.56</v>
      </c>
      <c r="R311" s="49">
        <v>26415</v>
      </c>
      <c r="S311" s="49">
        <v>51799.08</v>
      </c>
      <c r="T311" s="50">
        <f t="shared" si="96"/>
        <v>138527.64000000001</v>
      </c>
      <c r="U311" s="48">
        <v>50044.89</v>
      </c>
      <c r="V311" s="49">
        <v>32817.47</v>
      </c>
      <c r="W311" s="49">
        <v>44364.41</v>
      </c>
      <c r="X311" s="50">
        <f t="shared" si="97"/>
        <v>127226.77</v>
      </c>
      <c r="Y311" s="48">
        <v>112221.79000000001</v>
      </c>
      <c r="Z311" s="49">
        <v>36872.800000000003</v>
      </c>
      <c r="AA311" s="49">
        <v>59931.58</v>
      </c>
      <c r="AB311" s="50">
        <f t="shared" si="98"/>
        <v>209026.17000000004</v>
      </c>
      <c r="AC311" s="164">
        <v>70349.59</v>
      </c>
      <c r="AD311" s="165">
        <v>55433.2</v>
      </c>
      <c r="AE311" s="165">
        <v>49511.61</v>
      </c>
      <c r="AF311" s="151">
        <f t="shared" si="99"/>
        <v>175294.4</v>
      </c>
      <c r="AG311" s="191">
        <v>60813.16</v>
      </c>
      <c r="AH311" s="10">
        <v>58167.78</v>
      </c>
      <c r="AI311" s="10">
        <v>65261.78</v>
      </c>
      <c r="AJ311" s="151">
        <f t="shared" si="100"/>
        <v>184242.72</v>
      </c>
      <c r="AK311" s="99">
        <v>60696.84</v>
      </c>
      <c r="AL311" s="99">
        <v>43139.040000000001</v>
      </c>
      <c r="AM311" s="99">
        <v>51698.16</v>
      </c>
      <c r="AN311" s="151">
        <f t="shared" si="101"/>
        <v>155534.04</v>
      </c>
      <c r="AO311" s="191"/>
      <c r="AP311" s="10"/>
      <c r="AQ311" s="10"/>
      <c r="AR311" s="151"/>
      <c r="AS311" s="191"/>
      <c r="AT311" s="192"/>
      <c r="AU311" s="192"/>
      <c r="AV311" s="151"/>
      <c r="AW311" s="192"/>
      <c r="AX311" s="192"/>
      <c r="AY311" s="192"/>
      <c r="AZ311" s="151"/>
      <c r="BA311" s="10"/>
      <c r="BB311" s="10"/>
      <c r="BC311" s="10"/>
      <c r="BD311" s="151"/>
      <c r="BE311" s="191"/>
      <c r="BF311" s="10"/>
      <c r="BG311" s="10"/>
      <c r="BH311" s="151"/>
      <c r="BI311" s="191"/>
      <c r="BJ311" s="10"/>
      <c r="BK311" s="10"/>
      <c r="BL311" s="151"/>
      <c r="BM311" s="1"/>
      <c r="BN311" s="48">
        <v>7792.56</v>
      </c>
      <c r="BO311" s="49">
        <v>6065.88</v>
      </c>
      <c r="BP311" s="49">
        <v>22673.440000000002</v>
      </c>
      <c r="BQ311" s="50">
        <f t="shared" si="102"/>
        <v>36531.880000000005</v>
      </c>
      <c r="BR311" s="48">
        <v>8315.73</v>
      </c>
      <c r="BS311" s="49">
        <v>8213.57</v>
      </c>
      <c r="BT311" s="49">
        <v>19076.460000000003</v>
      </c>
      <c r="BU311" s="50">
        <f t="shared" si="103"/>
        <v>35605.760000000002</v>
      </c>
      <c r="BV311" s="48">
        <v>16574.939999999999</v>
      </c>
      <c r="BW311" s="49">
        <v>10918.32</v>
      </c>
      <c r="BX311" s="49">
        <v>28855.72</v>
      </c>
      <c r="BY311" s="50">
        <f t="shared" si="104"/>
        <v>56348.979999999996</v>
      </c>
      <c r="BZ311" s="182">
        <v>14554.58</v>
      </c>
      <c r="CA311" s="99">
        <v>61365.62</v>
      </c>
      <c r="CB311" s="99">
        <v>31322.68</v>
      </c>
      <c r="CC311" s="98">
        <f t="shared" si="105"/>
        <v>107242.88</v>
      </c>
      <c r="CD311" s="182">
        <v>13058.92</v>
      </c>
      <c r="CE311" s="99">
        <v>55865.5</v>
      </c>
      <c r="CF311" s="99">
        <v>40467.229999999996</v>
      </c>
      <c r="CG311" s="98">
        <f t="shared" si="106"/>
        <v>109391.65</v>
      </c>
      <c r="CH311" s="191">
        <v>10407.200000000001</v>
      </c>
      <c r="CI311" s="192">
        <v>45020.76</v>
      </c>
      <c r="CJ311" s="192">
        <v>30939.519999999997</v>
      </c>
      <c r="CK311" s="98">
        <f t="shared" si="107"/>
        <v>86367.48000000001</v>
      </c>
      <c r="CL311" s="111"/>
      <c r="CM311" s="111"/>
      <c r="CN311" s="111"/>
      <c r="CO311" s="112"/>
      <c r="CP311" s="191"/>
      <c r="CQ311" s="192"/>
      <c r="CR311" s="192"/>
      <c r="CS311" s="151"/>
      <c r="CT311" s="111"/>
      <c r="CU311" s="111"/>
      <c r="CV311" s="111"/>
      <c r="CW311" s="112"/>
      <c r="CX311" s="192"/>
      <c r="CY311" s="192"/>
      <c r="CZ311" s="192"/>
      <c r="DA311" s="151"/>
      <c r="DB311" s="10"/>
      <c r="DC311" s="10"/>
      <c r="DD311" s="10"/>
      <c r="DE311" s="151"/>
      <c r="DF311" s="192"/>
      <c r="DG311" s="192"/>
      <c r="DH311" s="192"/>
      <c r="DI311" s="151"/>
      <c r="DJ311" s="1"/>
      <c r="DK311" s="225">
        <v>7006.51</v>
      </c>
      <c r="DL311" s="225">
        <v>9257.2900000000009</v>
      </c>
      <c r="DM311" s="225">
        <v>11774.62</v>
      </c>
      <c r="DN311" s="225">
        <v>19008.38</v>
      </c>
      <c r="DO311" s="225">
        <v>13506.09</v>
      </c>
      <c r="DP311" s="225">
        <v>29227.09</v>
      </c>
      <c r="DQ311" s="225"/>
      <c r="DR311" s="225"/>
      <c r="DS311" s="225"/>
      <c r="DT311" s="225"/>
      <c r="DU311" s="225"/>
      <c r="DV311" s="225"/>
      <c r="DW311" s="1"/>
      <c r="EJ311" s="1"/>
      <c r="EK311" s="17">
        <v>29</v>
      </c>
      <c r="EL311" s="17">
        <v>33</v>
      </c>
      <c r="EM311" s="17">
        <v>32</v>
      </c>
      <c r="EN311" s="17">
        <v>44</v>
      </c>
      <c r="EO311" s="17">
        <v>33</v>
      </c>
      <c r="EP311" s="17">
        <v>49</v>
      </c>
      <c r="EQ311" s="17"/>
      <c r="ER311" s="17"/>
      <c r="ES311" s="17"/>
      <c r="EU311" s="17"/>
      <c r="EW311" s="1"/>
      <c r="EX311" s="225">
        <v>7006.51</v>
      </c>
      <c r="EY311" s="225">
        <v>9242.4</v>
      </c>
      <c r="EZ311" s="225">
        <v>11774.62</v>
      </c>
      <c r="FA311" s="225">
        <v>19008.38</v>
      </c>
      <c r="FB311" s="225">
        <v>13506.09</v>
      </c>
      <c r="FC311" s="225">
        <v>29213.39</v>
      </c>
      <c r="FD311" s="225"/>
      <c r="FE311" s="225"/>
      <c r="FF311" s="225"/>
      <c r="FG311" s="10"/>
      <c r="FH311" s="225"/>
      <c r="FI311" s="10"/>
      <c r="FJ311" s="1"/>
      <c r="FK311" s="225">
        <v>-682.21</v>
      </c>
      <c r="FL311" s="225">
        <v>-1607.14</v>
      </c>
      <c r="FM311" s="225">
        <v>-1037.55</v>
      </c>
      <c r="FN311" s="225">
        <v>-747.85</v>
      </c>
      <c r="FO311" s="225">
        <v>-1323.07</v>
      </c>
      <c r="FP311" s="225">
        <v>-2232.86</v>
      </c>
      <c r="FQ311" s="225"/>
      <c r="FR311" s="225"/>
      <c r="FS311" s="225"/>
      <c r="FT311" s="191"/>
      <c r="FU311" s="225"/>
      <c r="FV311" s="151"/>
    </row>
    <row r="312" spans="1:178" ht="16" thickBot="1" x14ac:dyDescent="0.25">
      <c r="A312" s="27" t="s">
        <v>138</v>
      </c>
      <c r="B312" t="s">
        <v>141</v>
      </c>
      <c r="C312" s="1"/>
      <c r="D312">
        <v>0</v>
      </c>
      <c r="E312" s="17"/>
      <c r="F312" s="241">
        <v>0</v>
      </c>
      <c r="G312" s="89">
        <v>0</v>
      </c>
      <c r="H312" s="88"/>
      <c r="I312" s="88"/>
      <c r="J312" s="17"/>
      <c r="K312" s="17"/>
      <c r="L312" s="17"/>
      <c r="M312" s="17"/>
      <c r="N312" s="17"/>
      <c r="O312" s="17"/>
      <c r="P312" s="1"/>
      <c r="Q312" s="48">
        <v>0</v>
      </c>
      <c r="R312" s="49">
        <v>0</v>
      </c>
      <c r="S312" s="49">
        <v>0</v>
      </c>
      <c r="T312" s="50">
        <f t="shared" si="96"/>
        <v>0</v>
      </c>
      <c r="U312" s="48">
        <v>0</v>
      </c>
      <c r="V312" s="49">
        <v>0</v>
      </c>
      <c r="W312" s="49">
        <v>0</v>
      </c>
      <c r="X312" s="50">
        <f t="shared" si="97"/>
        <v>0</v>
      </c>
      <c r="Y312" s="48"/>
      <c r="Z312" s="49"/>
      <c r="AA312" s="49"/>
      <c r="AB312" s="50">
        <f t="shared" si="98"/>
        <v>0</v>
      </c>
      <c r="AC312" s="167"/>
      <c r="AD312" s="166"/>
      <c r="AE312" s="166">
        <v>0</v>
      </c>
      <c r="AF312" s="151">
        <f t="shared" si="99"/>
        <v>0</v>
      </c>
      <c r="AG312" s="191"/>
      <c r="AH312" s="10"/>
      <c r="AI312" s="10">
        <v>0</v>
      </c>
      <c r="AJ312" s="151">
        <f t="shared" si="100"/>
        <v>0</v>
      </c>
      <c r="AK312" s="100"/>
      <c r="AL312" s="100"/>
      <c r="AM312" s="100"/>
      <c r="AN312" s="151">
        <f t="shared" si="101"/>
        <v>0</v>
      </c>
      <c r="AO312" s="191"/>
      <c r="AP312" s="10"/>
      <c r="AQ312" s="10"/>
      <c r="AR312" s="151"/>
      <c r="AS312" s="191"/>
      <c r="AT312" s="192"/>
      <c r="AU312" s="192"/>
      <c r="AV312" s="151"/>
      <c r="AW312" s="192"/>
      <c r="AX312" s="192"/>
      <c r="AY312" s="192"/>
      <c r="AZ312" s="151"/>
      <c r="BA312" s="10"/>
      <c r="BB312" s="10"/>
      <c r="BC312" s="10"/>
      <c r="BD312" s="151"/>
      <c r="BE312" s="191"/>
      <c r="BF312" s="10"/>
      <c r="BG312" s="10"/>
      <c r="BH312" s="151"/>
      <c r="BI312" s="191"/>
      <c r="BJ312" s="10"/>
      <c r="BK312" s="10"/>
      <c r="BL312" s="151"/>
      <c r="BM312" s="1"/>
      <c r="BN312" s="48"/>
      <c r="BO312" s="49"/>
      <c r="BP312" s="49">
        <v>0</v>
      </c>
      <c r="BQ312" s="50">
        <f t="shared" si="102"/>
        <v>0</v>
      </c>
      <c r="BR312" s="48"/>
      <c r="BS312" s="49"/>
      <c r="BT312" s="49">
        <v>0</v>
      </c>
      <c r="BU312" s="50">
        <f t="shared" si="103"/>
        <v>0</v>
      </c>
      <c r="BV312" s="15"/>
      <c r="BX312">
        <v>0</v>
      </c>
      <c r="BY312" s="50">
        <f t="shared" si="104"/>
        <v>0</v>
      </c>
      <c r="BZ312" s="183"/>
      <c r="CA312" s="266"/>
      <c r="CB312" s="266"/>
      <c r="CC312" s="98">
        <f t="shared" si="105"/>
        <v>0</v>
      </c>
      <c r="CD312" s="183"/>
      <c r="CE312" s="266"/>
      <c r="CF312" s="266"/>
      <c r="CG312" s="98">
        <f t="shared" si="106"/>
        <v>0</v>
      </c>
      <c r="CH312" s="191"/>
      <c r="CI312" s="192"/>
      <c r="CJ312" s="192">
        <v>0</v>
      </c>
      <c r="CK312" s="98">
        <f t="shared" si="107"/>
        <v>0</v>
      </c>
      <c r="CL312" s="111"/>
      <c r="CM312" s="111"/>
      <c r="CN312" s="111"/>
      <c r="CO312" s="112"/>
      <c r="CP312" s="191"/>
      <c r="CQ312" s="192"/>
      <c r="CR312" s="192"/>
      <c r="CS312" s="151"/>
      <c r="CT312" s="111"/>
      <c r="CU312" s="111"/>
      <c r="CV312" s="111"/>
      <c r="CW312" s="112"/>
      <c r="DA312" s="151"/>
      <c r="DB312" s="10"/>
      <c r="DC312" s="10"/>
      <c r="DD312" s="10"/>
      <c r="DE312" s="151"/>
      <c r="DI312" s="151"/>
      <c r="DJ312" s="1"/>
      <c r="DK312" s="225"/>
      <c r="DL312" s="225"/>
      <c r="DM312" s="225"/>
      <c r="DN312" s="225"/>
      <c r="DO312" s="225"/>
      <c r="DP312" s="225"/>
      <c r="DQ312" s="225"/>
      <c r="DR312" s="225"/>
      <c r="DS312" s="225"/>
      <c r="DT312" s="225"/>
      <c r="DU312" s="225"/>
      <c r="DV312" s="225"/>
      <c r="DW312" s="1"/>
      <c r="EJ312" s="1"/>
      <c r="EK312" s="17"/>
      <c r="EL312" s="17"/>
      <c r="EM312" s="17"/>
      <c r="EN312" s="17"/>
      <c r="EO312" s="17"/>
      <c r="EP312" s="17"/>
      <c r="EQ312" s="17"/>
      <c r="ER312" s="17"/>
      <c r="ES312" s="17"/>
      <c r="EU312" s="17"/>
      <c r="EW312" s="1"/>
      <c r="EX312" s="225"/>
      <c r="EY312" s="225"/>
      <c r="EZ312" s="225"/>
      <c r="FA312" s="225"/>
      <c r="FB312" s="225"/>
      <c r="FC312" s="225"/>
      <c r="FD312" s="225"/>
      <c r="FE312" s="225"/>
      <c r="FF312" s="225"/>
      <c r="FG312" s="10"/>
      <c r="FH312" s="225"/>
      <c r="FI312" s="10"/>
      <c r="FJ312" s="1"/>
      <c r="FK312" s="225"/>
      <c r="FL312" s="225"/>
      <c r="FM312" s="225"/>
      <c r="FN312" s="225"/>
      <c r="FO312" s="225"/>
      <c r="FP312" s="225"/>
      <c r="FQ312" s="225"/>
      <c r="FR312" s="225"/>
      <c r="FS312" s="225"/>
      <c r="FT312" s="191"/>
      <c r="FU312" s="225"/>
      <c r="FV312" s="151"/>
    </row>
    <row r="313" spans="1:178" ht="16" thickBot="1" x14ac:dyDescent="0.25">
      <c r="A313" s="27" t="s">
        <v>127</v>
      </c>
      <c r="B313" t="s">
        <v>141</v>
      </c>
      <c r="C313" s="1"/>
      <c r="D313">
        <v>0</v>
      </c>
      <c r="E313" s="17"/>
      <c r="F313" s="241">
        <v>0</v>
      </c>
      <c r="G313" s="89">
        <v>0</v>
      </c>
      <c r="H313" s="88"/>
      <c r="I313" s="88"/>
      <c r="J313" s="17"/>
      <c r="K313" s="17"/>
      <c r="L313" s="17"/>
      <c r="M313" s="17"/>
      <c r="N313" s="17"/>
      <c r="O313" s="17"/>
      <c r="P313" s="1"/>
      <c r="Q313" s="48">
        <v>0</v>
      </c>
      <c r="R313" s="49">
        <v>0</v>
      </c>
      <c r="S313" s="49">
        <v>0</v>
      </c>
      <c r="T313" s="50">
        <f t="shared" si="96"/>
        <v>0</v>
      </c>
      <c r="U313" s="48">
        <v>0</v>
      </c>
      <c r="V313" s="49">
        <v>0</v>
      </c>
      <c r="W313" s="49">
        <v>0</v>
      </c>
      <c r="X313" s="50">
        <f t="shared" si="97"/>
        <v>0</v>
      </c>
      <c r="Y313" s="48"/>
      <c r="Z313" s="49"/>
      <c r="AA313" s="49"/>
      <c r="AB313" s="50">
        <f t="shared" si="98"/>
        <v>0</v>
      </c>
      <c r="AC313" s="167"/>
      <c r="AD313" s="166"/>
      <c r="AE313" s="166">
        <v>0</v>
      </c>
      <c r="AF313" s="151">
        <f t="shared" si="99"/>
        <v>0</v>
      </c>
      <c r="AG313" s="191"/>
      <c r="AH313" s="10"/>
      <c r="AI313" s="10">
        <v>0</v>
      </c>
      <c r="AJ313" s="151">
        <f t="shared" si="100"/>
        <v>0</v>
      </c>
      <c r="AK313" s="100"/>
      <c r="AL313" s="100"/>
      <c r="AM313" s="100"/>
      <c r="AN313" s="151">
        <f t="shared" si="101"/>
        <v>0</v>
      </c>
      <c r="AO313" s="191"/>
      <c r="AP313" s="10"/>
      <c r="AQ313" s="10"/>
      <c r="AR313" s="151"/>
      <c r="AS313" s="191"/>
      <c r="AT313" s="192"/>
      <c r="AU313" s="192"/>
      <c r="AV313" s="151"/>
      <c r="AW313" s="192"/>
      <c r="AX313" s="192"/>
      <c r="AY313" s="192"/>
      <c r="AZ313" s="151"/>
      <c r="BA313" s="10"/>
      <c r="BB313" s="10"/>
      <c r="BC313" s="10"/>
      <c r="BD313" s="151"/>
      <c r="BE313" s="191"/>
      <c r="BF313" s="10"/>
      <c r="BG313" s="10"/>
      <c r="BH313" s="151"/>
      <c r="BI313" s="191"/>
      <c r="BJ313" s="10"/>
      <c r="BK313" s="10"/>
      <c r="BL313" s="151"/>
      <c r="BM313" s="1"/>
      <c r="BN313" s="48"/>
      <c r="BO313" s="49"/>
      <c r="BP313" s="49">
        <v>0</v>
      </c>
      <c r="BQ313" s="50">
        <f t="shared" si="102"/>
        <v>0</v>
      </c>
      <c r="BR313" s="48"/>
      <c r="BS313" s="49"/>
      <c r="BT313" s="49">
        <v>0</v>
      </c>
      <c r="BU313" s="50">
        <f t="shared" si="103"/>
        <v>0</v>
      </c>
      <c r="BV313" s="48"/>
      <c r="BW313" s="49"/>
      <c r="BX313" s="49">
        <v>0</v>
      </c>
      <c r="BY313" s="50">
        <f t="shared" si="104"/>
        <v>0</v>
      </c>
      <c r="BZ313" s="15"/>
      <c r="CC313" s="98">
        <f t="shared" si="105"/>
        <v>0</v>
      </c>
      <c r="CD313" s="183"/>
      <c r="CE313" s="266"/>
      <c r="CF313" s="266"/>
      <c r="CG313" s="98">
        <f t="shared" si="106"/>
        <v>0</v>
      </c>
      <c r="CH313" s="191"/>
      <c r="CI313" s="192"/>
      <c r="CJ313" s="192">
        <v>0</v>
      </c>
      <c r="CK313" s="98">
        <f t="shared" si="107"/>
        <v>0</v>
      </c>
      <c r="CL313" s="111"/>
      <c r="CM313" s="111"/>
      <c r="CN313" s="111"/>
      <c r="CO313" s="112"/>
      <c r="CP313" s="191"/>
      <c r="CQ313" s="192"/>
      <c r="CR313" s="192"/>
      <c r="CS313" s="151"/>
      <c r="CT313" s="111"/>
      <c r="CU313" s="111"/>
      <c r="CV313" s="111"/>
      <c r="CW313" s="112"/>
      <c r="CX313" s="192"/>
      <c r="CY313" s="192"/>
      <c r="CZ313" s="192"/>
      <c r="DA313" s="151"/>
      <c r="DB313" s="10"/>
      <c r="DC313" s="10"/>
      <c r="DD313" s="10"/>
      <c r="DE313" s="151"/>
      <c r="DF313" s="192"/>
      <c r="DG313" s="192"/>
      <c r="DH313" s="192"/>
      <c r="DI313" s="151"/>
      <c r="DJ313" s="1"/>
      <c r="DK313" s="225"/>
      <c r="DL313" s="225"/>
      <c r="DM313" s="225"/>
      <c r="DN313" s="225"/>
      <c r="DO313" s="225"/>
      <c r="DP313" s="225"/>
      <c r="DQ313" s="225"/>
      <c r="DR313" s="225"/>
      <c r="DS313" s="225"/>
      <c r="DT313" s="225"/>
      <c r="DU313" s="225"/>
      <c r="DV313" s="225"/>
      <c r="DW313" s="1"/>
      <c r="EJ313" s="1"/>
      <c r="EK313" s="17"/>
      <c r="EL313" s="17"/>
      <c r="EM313" s="17"/>
      <c r="EN313" s="17"/>
      <c r="EO313" s="17"/>
      <c r="EP313" s="17"/>
      <c r="EQ313" s="17"/>
      <c r="ER313" s="17"/>
      <c r="ES313" s="17"/>
      <c r="EU313" s="17"/>
      <c r="EW313" s="1"/>
      <c r="EX313" s="225"/>
      <c r="EY313" s="225"/>
      <c r="EZ313" s="225"/>
      <c r="FA313" s="225"/>
      <c r="FB313" s="225"/>
      <c r="FC313" s="225"/>
      <c r="FD313" s="225"/>
      <c r="FE313" s="225"/>
      <c r="FF313" s="225"/>
      <c r="FG313" s="10"/>
      <c r="FH313" s="225"/>
      <c r="FI313" s="10"/>
      <c r="FJ313" s="1"/>
      <c r="FK313" s="225"/>
      <c r="FL313" s="225"/>
      <c r="FM313" s="225"/>
      <c r="FN313" s="225"/>
      <c r="FO313" s="225"/>
      <c r="FP313" s="225"/>
      <c r="FQ313" s="225"/>
      <c r="FR313" s="225"/>
      <c r="FS313" s="225"/>
      <c r="FT313" s="191"/>
      <c r="FU313" s="225"/>
      <c r="FV313" s="151"/>
    </row>
    <row r="314" spans="1:178" ht="16" thickBot="1" x14ac:dyDescent="0.25">
      <c r="A314" s="27" t="s">
        <v>128</v>
      </c>
      <c r="B314" t="s">
        <v>141</v>
      </c>
      <c r="C314" s="1"/>
      <c r="D314">
        <v>20</v>
      </c>
      <c r="E314" s="17"/>
      <c r="F314" s="241">
        <v>23</v>
      </c>
      <c r="G314" s="87">
        <v>22</v>
      </c>
      <c r="H314" s="87">
        <v>22</v>
      </c>
      <c r="I314" s="87">
        <v>18</v>
      </c>
      <c r="J314" s="17"/>
      <c r="K314" s="17"/>
      <c r="L314" s="17"/>
      <c r="M314" s="17"/>
      <c r="N314" s="17"/>
      <c r="O314" s="17"/>
      <c r="P314" s="1"/>
      <c r="Q314" s="48">
        <v>1579.37</v>
      </c>
      <c r="R314" s="49">
        <v>451.08</v>
      </c>
      <c r="S314" s="49">
        <v>777.28</v>
      </c>
      <c r="T314" s="50">
        <f t="shared" si="96"/>
        <v>2807.7299999999996</v>
      </c>
      <c r="U314" s="48">
        <v>816.81</v>
      </c>
      <c r="V314" s="49">
        <v>1377.17</v>
      </c>
      <c r="W314" s="49">
        <v>624.41999999999996</v>
      </c>
      <c r="X314" s="50">
        <f t="shared" si="97"/>
        <v>2818.4</v>
      </c>
      <c r="Y314" s="48">
        <v>1945.45</v>
      </c>
      <c r="Z314" s="49">
        <v>778.44</v>
      </c>
      <c r="AA314" s="49">
        <v>1158.8800000000001</v>
      </c>
      <c r="AB314" s="50">
        <f t="shared" si="98"/>
        <v>3882.7700000000004</v>
      </c>
      <c r="AC314" s="164">
        <v>996.05</v>
      </c>
      <c r="AD314" s="165">
        <v>940.51</v>
      </c>
      <c r="AE314" s="165">
        <v>68.790000000000006</v>
      </c>
      <c r="AF314" s="151">
        <f t="shared" si="99"/>
        <v>2005.35</v>
      </c>
      <c r="AG314" s="191">
        <v>713.08</v>
      </c>
      <c r="AH314" s="10">
        <v>765.72</v>
      </c>
      <c r="AI314" s="10">
        <v>482.94</v>
      </c>
      <c r="AJ314" s="151">
        <f t="shared" si="100"/>
        <v>1961.7400000000002</v>
      </c>
      <c r="AK314" s="100">
        <v>335.92</v>
      </c>
      <c r="AL314" s="100">
        <v>273.87</v>
      </c>
      <c r="AM314" s="100">
        <v>1041.43</v>
      </c>
      <c r="AN314" s="151">
        <f t="shared" si="101"/>
        <v>1651.22</v>
      </c>
      <c r="AO314" s="191"/>
      <c r="AP314" s="10"/>
      <c r="AQ314" s="10"/>
      <c r="AR314" s="151"/>
      <c r="AS314" s="191"/>
      <c r="AT314" s="192"/>
      <c r="AU314" s="192"/>
      <c r="AV314" s="151"/>
      <c r="AW314" s="192"/>
      <c r="AX314" s="192"/>
      <c r="AY314" s="192"/>
      <c r="AZ314" s="151"/>
      <c r="BA314" s="10"/>
      <c r="BB314" s="10"/>
      <c r="BC314" s="10"/>
      <c r="BD314" s="151"/>
      <c r="BE314" s="191"/>
      <c r="BF314" s="10"/>
      <c r="BG314" s="10"/>
      <c r="BH314" s="151"/>
      <c r="BI314" s="191"/>
      <c r="BJ314" s="10"/>
      <c r="BK314" s="10"/>
      <c r="BL314" s="151"/>
      <c r="BM314" s="1"/>
      <c r="BN314" s="48"/>
      <c r="BO314" s="49"/>
      <c r="BP314" s="49">
        <v>0</v>
      </c>
      <c r="BQ314" s="50">
        <f t="shared" si="102"/>
        <v>0</v>
      </c>
      <c r="BR314" s="48"/>
      <c r="BS314" s="49"/>
      <c r="BT314" s="49">
        <v>0</v>
      </c>
      <c r="BU314" s="50">
        <f t="shared" si="103"/>
        <v>0</v>
      </c>
      <c r="BV314" s="48"/>
      <c r="BW314" s="49"/>
      <c r="BX314" s="49">
        <v>0</v>
      </c>
      <c r="BY314" s="50">
        <f t="shared" si="104"/>
        <v>0</v>
      </c>
      <c r="BZ314" s="183">
        <v>93.16</v>
      </c>
      <c r="CA314" s="266">
        <v>265.89999999999998</v>
      </c>
      <c r="CB314" s="266">
        <v>0</v>
      </c>
      <c r="CC314" s="98">
        <f t="shared" si="105"/>
        <v>359.05999999999995</v>
      </c>
      <c r="CD314" s="183">
        <v>7.23</v>
      </c>
      <c r="CE314" s="266">
        <v>911.01</v>
      </c>
      <c r="CF314" s="266">
        <v>233.08</v>
      </c>
      <c r="CG314" s="98">
        <f t="shared" si="106"/>
        <v>1151.32</v>
      </c>
      <c r="CH314" s="191">
        <v>69.3</v>
      </c>
      <c r="CI314" s="192">
        <v>1056.6099999999999</v>
      </c>
      <c r="CJ314" s="192">
        <v>351.15000000000003</v>
      </c>
      <c r="CK314" s="98">
        <f t="shared" si="107"/>
        <v>1477.06</v>
      </c>
      <c r="CL314" s="111"/>
      <c r="CM314" s="111"/>
      <c r="CN314" s="111"/>
      <c r="CO314" s="112"/>
      <c r="CP314" s="191"/>
      <c r="CQ314" s="192"/>
      <c r="CR314" s="192"/>
      <c r="CS314" s="151"/>
      <c r="CT314" s="111"/>
      <c r="CU314" s="111"/>
      <c r="CV314" s="111"/>
      <c r="CW314" s="112"/>
      <c r="CX314" s="192"/>
      <c r="CY314" s="192"/>
      <c r="CZ314" s="192"/>
      <c r="DA314" s="151"/>
      <c r="DB314" s="10"/>
      <c r="DC314" s="10"/>
      <c r="DD314" s="10"/>
      <c r="DE314" s="151"/>
      <c r="DF314" s="192"/>
      <c r="DG314" s="192"/>
      <c r="DH314" s="192"/>
      <c r="DI314" s="151"/>
      <c r="DJ314" s="1"/>
      <c r="DK314" s="225"/>
      <c r="DL314" s="225"/>
      <c r="DM314" s="225"/>
      <c r="DN314" s="225"/>
      <c r="DO314" s="225"/>
      <c r="DP314" s="225">
        <v>148.43</v>
      </c>
      <c r="DQ314" s="225"/>
      <c r="DR314" s="225"/>
      <c r="DS314" s="225"/>
      <c r="DT314" s="225"/>
      <c r="DU314" s="225"/>
      <c r="DV314" s="225"/>
      <c r="DW314" s="1"/>
      <c r="EJ314" s="1"/>
      <c r="EK314" s="17"/>
      <c r="EL314" s="17"/>
      <c r="EM314" s="17"/>
      <c r="EN314" s="17"/>
      <c r="EO314" s="17"/>
      <c r="EP314" s="17">
        <v>1</v>
      </c>
      <c r="EQ314" s="17"/>
      <c r="ER314" s="17"/>
      <c r="ES314" s="17"/>
      <c r="EU314" s="17"/>
      <c r="EW314" s="1"/>
      <c r="EX314" s="225"/>
      <c r="EY314" s="225"/>
      <c r="EZ314" s="225"/>
      <c r="FA314" s="225"/>
      <c r="FB314" s="225"/>
      <c r="FC314" s="225">
        <v>148.43</v>
      </c>
      <c r="FD314" s="225"/>
      <c r="FE314" s="225"/>
      <c r="FF314" s="225"/>
      <c r="FG314" s="10"/>
      <c r="FH314" s="225"/>
      <c r="FI314" s="10"/>
      <c r="FJ314" s="1"/>
      <c r="FK314" s="225"/>
      <c r="FL314" s="225"/>
      <c r="FM314" s="225"/>
      <c r="FN314" s="225"/>
      <c r="FO314" s="225"/>
      <c r="FP314" s="225"/>
      <c r="FQ314" s="225"/>
      <c r="FR314" s="225"/>
      <c r="FS314" s="225"/>
      <c r="FT314" s="191"/>
      <c r="FU314" s="225"/>
      <c r="FV314" s="151"/>
    </row>
    <row r="315" spans="1:178" ht="16" thickBot="1" x14ac:dyDescent="0.25">
      <c r="A315" s="27" t="s">
        <v>129</v>
      </c>
      <c r="B315" t="s">
        <v>141</v>
      </c>
      <c r="C315" s="1"/>
      <c r="D315">
        <v>0</v>
      </c>
      <c r="E315" s="17"/>
      <c r="F315" s="241">
        <v>0</v>
      </c>
      <c r="G315" s="89">
        <v>0</v>
      </c>
      <c r="H315" s="88"/>
      <c r="I315" s="88"/>
      <c r="J315" s="17"/>
      <c r="K315" s="17"/>
      <c r="L315" s="17"/>
      <c r="M315" s="17"/>
      <c r="N315" s="17"/>
      <c r="O315" s="17"/>
      <c r="P315" s="1"/>
      <c r="Q315" s="48">
        <v>0</v>
      </c>
      <c r="R315" s="49">
        <v>0</v>
      </c>
      <c r="S315" s="49">
        <v>0</v>
      </c>
      <c r="T315" s="50">
        <f t="shared" si="96"/>
        <v>0</v>
      </c>
      <c r="U315" s="48">
        <v>0</v>
      </c>
      <c r="V315" s="49">
        <v>0</v>
      </c>
      <c r="W315" s="49">
        <v>0</v>
      </c>
      <c r="X315" s="50">
        <f t="shared" si="97"/>
        <v>0</v>
      </c>
      <c r="Y315" s="48"/>
      <c r="Z315" s="49"/>
      <c r="AA315" s="49"/>
      <c r="AB315" s="50">
        <f t="shared" si="98"/>
        <v>0</v>
      </c>
      <c r="AC315" s="167"/>
      <c r="AD315" s="166"/>
      <c r="AE315" s="166">
        <v>0</v>
      </c>
      <c r="AF315" s="151">
        <f t="shared" si="99"/>
        <v>0</v>
      </c>
      <c r="AG315" s="191"/>
      <c r="AH315" s="10"/>
      <c r="AI315" s="10">
        <v>0</v>
      </c>
      <c r="AJ315" s="151">
        <f t="shared" si="100"/>
        <v>0</v>
      </c>
      <c r="AK315" s="100"/>
      <c r="AL315" s="100"/>
      <c r="AM315" s="100"/>
      <c r="AN315" s="151">
        <f t="shared" si="101"/>
        <v>0</v>
      </c>
      <c r="AO315" s="191"/>
      <c r="AP315" s="10"/>
      <c r="AQ315" s="10"/>
      <c r="AR315" s="151"/>
      <c r="AS315" s="191"/>
      <c r="AT315" s="192"/>
      <c r="AU315" s="192"/>
      <c r="AV315" s="151"/>
      <c r="AW315" s="192"/>
      <c r="AX315" s="192"/>
      <c r="AY315" s="192"/>
      <c r="AZ315" s="151"/>
      <c r="BA315" s="10"/>
      <c r="BB315" s="10"/>
      <c r="BC315" s="10"/>
      <c r="BD315" s="151"/>
      <c r="BE315" s="191"/>
      <c r="BF315" s="10"/>
      <c r="BG315" s="10"/>
      <c r="BH315" s="151"/>
      <c r="BI315" s="191"/>
      <c r="BJ315" s="10"/>
      <c r="BK315" s="10"/>
      <c r="BL315" s="151"/>
      <c r="BM315" s="1"/>
      <c r="BN315" s="48"/>
      <c r="BO315" s="49"/>
      <c r="BP315" s="49">
        <v>0</v>
      </c>
      <c r="BQ315" s="50">
        <f t="shared" si="102"/>
        <v>0</v>
      </c>
      <c r="BR315" s="48"/>
      <c r="BS315" s="49"/>
      <c r="BT315" s="49">
        <v>0</v>
      </c>
      <c r="BU315" s="50">
        <f t="shared" si="103"/>
        <v>0</v>
      </c>
      <c r="BV315" s="48"/>
      <c r="BW315" s="49"/>
      <c r="BX315" s="49">
        <v>0</v>
      </c>
      <c r="BY315" s="50">
        <f t="shared" si="104"/>
        <v>0</v>
      </c>
      <c r="BZ315" s="183"/>
      <c r="CA315" s="266"/>
      <c r="CB315" s="266"/>
      <c r="CC315" s="98">
        <f t="shared" si="105"/>
        <v>0</v>
      </c>
      <c r="CD315" s="183"/>
      <c r="CE315" s="266"/>
      <c r="CF315" s="266"/>
      <c r="CG315" s="98">
        <f t="shared" si="106"/>
        <v>0</v>
      </c>
      <c r="CH315" s="191"/>
      <c r="CI315" s="192"/>
      <c r="CJ315" s="192">
        <v>0</v>
      </c>
      <c r="CK315" s="98">
        <f t="shared" si="107"/>
        <v>0</v>
      </c>
      <c r="CL315" s="111"/>
      <c r="CM315" s="111"/>
      <c r="CN315" s="111"/>
      <c r="CO315" s="112"/>
      <c r="CP315" s="191"/>
      <c r="CQ315" s="192"/>
      <c r="CR315" s="192"/>
      <c r="CS315" s="151"/>
      <c r="CT315" s="111"/>
      <c r="CU315" s="111"/>
      <c r="CV315" s="111"/>
      <c r="CW315" s="112"/>
      <c r="CX315" s="192"/>
      <c r="CY315" s="192"/>
      <c r="CZ315" s="192"/>
      <c r="DA315" s="151"/>
      <c r="DB315" s="10"/>
      <c r="DC315" s="10"/>
      <c r="DD315" s="10"/>
      <c r="DE315" s="151"/>
      <c r="DF315" s="192"/>
      <c r="DG315" s="192"/>
      <c r="DH315" s="192"/>
      <c r="DI315" s="151"/>
      <c r="DJ315" s="1"/>
      <c r="DK315" s="225"/>
      <c r="DL315" s="225"/>
      <c r="DM315" s="225"/>
      <c r="DN315" s="225"/>
      <c r="DO315" s="225"/>
      <c r="DP315" s="225"/>
      <c r="DQ315" s="225"/>
      <c r="DR315" s="225"/>
      <c r="DS315" s="225"/>
      <c r="DT315" s="225"/>
      <c r="DU315" s="225"/>
      <c r="DV315" s="225"/>
      <c r="DW315" s="1"/>
      <c r="EJ315" s="1"/>
      <c r="EK315" s="17"/>
      <c r="EL315" s="17"/>
      <c r="EM315" s="17"/>
      <c r="EN315" s="17"/>
      <c r="EO315" s="17"/>
      <c r="EP315" s="17"/>
      <c r="EQ315" s="17"/>
      <c r="ER315" s="17"/>
      <c r="ES315" s="17"/>
      <c r="EU315" s="17"/>
      <c r="EW315" s="1"/>
      <c r="EX315" s="225"/>
      <c r="EY315" s="225"/>
      <c r="EZ315" s="225"/>
      <c r="FA315" s="225"/>
      <c r="FB315" s="225"/>
      <c r="FC315" s="225"/>
      <c r="FD315" s="225"/>
      <c r="FE315" s="225"/>
      <c r="FF315" s="225"/>
      <c r="FG315" s="10"/>
      <c r="FH315" s="225"/>
      <c r="FI315" s="10"/>
      <c r="FJ315" s="1"/>
      <c r="FK315" s="225"/>
      <c r="FL315" s="225"/>
      <c r="FM315" s="225"/>
      <c r="FN315" s="225"/>
      <c r="FO315" s="225"/>
      <c r="FP315" s="225"/>
      <c r="FQ315" s="225"/>
      <c r="FR315" s="225"/>
      <c r="FS315" s="225"/>
      <c r="FT315" s="191"/>
      <c r="FU315" s="225"/>
      <c r="FV315" s="151"/>
    </row>
    <row r="316" spans="1:178" ht="16" thickBot="1" x14ac:dyDescent="0.25">
      <c r="A316" s="27" t="s">
        <v>130</v>
      </c>
      <c r="B316" t="s">
        <v>141</v>
      </c>
      <c r="C316" s="1"/>
      <c r="D316">
        <v>47</v>
      </c>
      <c r="E316" s="17">
        <v>37</v>
      </c>
      <c r="F316" s="241">
        <v>46</v>
      </c>
      <c r="G316" s="87">
        <v>44</v>
      </c>
      <c r="H316" s="87">
        <v>50</v>
      </c>
      <c r="I316" s="87">
        <v>42</v>
      </c>
      <c r="J316" s="17"/>
      <c r="K316" s="17"/>
      <c r="L316" s="17"/>
      <c r="M316" s="17"/>
      <c r="N316" s="17"/>
      <c r="O316" s="17"/>
      <c r="P316" s="1"/>
      <c r="Q316" s="48">
        <v>6182</v>
      </c>
      <c r="R316" s="49">
        <v>4539.08</v>
      </c>
      <c r="S316" s="49">
        <v>3557.33</v>
      </c>
      <c r="T316" s="50">
        <f t="shared" si="96"/>
        <v>14278.41</v>
      </c>
      <c r="U316" s="48">
        <v>2721.95</v>
      </c>
      <c r="V316" s="49">
        <v>6359.24</v>
      </c>
      <c r="W316" s="49">
        <v>4561.03</v>
      </c>
      <c r="X316" s="50">
        <f t="shared" si="97"/>
        <v>13642.219999999998</v>
      </c>
      <c r="Y316" s="48">
        <v>10065.08</v>
      </c>
      <c r="Z316" s="49">
        <v>2833.04</v>
      </c>
      <c r="AA316" s="49">
        <v>5866.17</v>
      </c>
      <c r="AB316" s="50">
        <f t="shared" si="98"/>
        <v>18764.29</v>
      </c>
      <c r="AC316" s="164">
        <v>4467.01</v>
      </c>
      <c r="AD316" s="165">
        <v>5128.32</v>
      </c>
      <c r="AE316" s="165">
        <v>4508.34</v>
      </c>
      <c r="AF316" s="151">
        <f t="shared" si="99"/>
        <v>14103.67</v>
      </c>
      <c r="AG316" s="191">
        <v>4817.54</v>
      </c>
      <c r="AH316" s="10">
        <v>3819.35</v>
      </c>
      <c r="AI316" s="10">
        <v>9149.5300000000007</v>
      </c>
      <c r="AJ316" s="151">
        <f t="shared" si="100"/>
        <v>17786.419999999998</v>
      </c>
      <c r="AK316" s="100">
        <v>2306.04</v>
      </c>
      <c r="AL316" s="100">
        <v>2234.0500000000002</v>
      </c>
      <c r="AM316" s="99">
        <v>9157.51</v>
      </c>
      <c r="AN316" s="151">
        <f t="shared" si="101"/>
        <v>13697.6</v>
      </c>
      <c r="AO316" s="191"/>
      <c r="AP316" s="10"/>
      <c r="AQ316" s="10"/>
      <c r="AR316" s="151"/>
      <c r="AS316" s="191"/>
      <c r="AT316" s="192"/>
      <c r="AU316" s="192"/>
      <c r="AV316" s="151"/>
      <c r="AW316" s="192"/>
      <c r="AX316" s="192"/>
      <c r="AY316" s="192"/>
      <c r="AZ316" s="151"/>
      <c r="BA316" s="10"/>
      <c r="BB316" s="10"/>
      <c r="BC316" s="10"/>
      <c r="BD316" s="151"/>
      <c r="BE316" s="191"/>
      <c r="BF316" s="10"/>
      <c r="BG316" s="10"/>
      <c r="BH316" s="151"/>
      <c r="BI316" s="191"/>
      <c r="BJ316" s="10"/>
      <c r="BK316" s="10"/>
      <c r="BL316" s="151"/>
      <c r="BM316" s="1"/>
      <c r="BN316" s="48">
        <v>1110.97</v>
      </c>
      <c r="BO316" s="49">
        <v>1050.4100000000001</v>
      </c>
      <c r="BP316" s="49">
        <v>1911.28</v>
      </c>
      <c r="BQ316" s="50">
        <f t="shared" si="102"/>
        <v>4072.66</v>
      </c>
      <c r="BR316" s="48">
        <v>198.56</v>
      </c>
      <c r="BS316" s="49">
        <v>1338.61</v>
      </c>
      <c r="BT316" s="49">
        <v>3165.42</v>
      </c>
      <c r="BU316" s="50">
        <f t="shared" si="103"/>
        <v>4702.59</v>
      </c>
      <c r="BV316" s="48">
        <v>1023.21</v>
      </c>
      <c r="BW316" s="49">
        <v>1004.26</v>
      </c>
      <c r="BX316" s="49">
        <v>4063.3</v>
      </c>
      <c r="BY316" s="50">
        <f t="shared" si="104"/>
        <v>6090.77</v>
      </c>
      <c r="BZ316" s="183">
        <v>1092.45</v>
      </c>
      <c r="CA316" s="266">
        <v>4213.4799999999996</v>
      </c>
      <c r="CB316" s="266">
        <v>646.51</v>
      </c>
      <c r="CC316" s="98">
        <f t="shared" si="105"/>
        <v>5952.44</v>
      </c>
      <c r="CD316" s="183">
        <v>1144.6400000000001</v>
      </c>
      <c r="CE316" s="99">
        <v>13346.69</v>
      </c>
      <c r="CF316" s="99">
        <v>3416.95</v>
      </c>
      <c r="CG316" s="98">
        <f t="shared" si="106"/>
        <v>17908.28</v>
      </c>
      <c r="CH316" s="191">
        <v>141.06</v>
      </c>
      <c r="CI316" s="192">
        <v>12962.74</v>
      </c>
      <c r="CJ316" s="192">
        <v>4606.2700000000004</v>
      </c>
      <c r="CK316" s="98">
        <f t="shared" si="107"/>
        <v>17710.07</v>
      </c>
      <c r="CL316" s="111"/>
      <c r="CM316" s="111"/>
      <c r="CN316" s="111"/>
      <c r="CO316" s="112"/>
      <c r="CP316" s="191"/>
      <c r="CQ316" s="192"/>
      <c r="CR316" s="192"/>
      <c r="CS316" s="151"/>
      <c r="CT316" s="111"/>
      <c r="CU316" s="111"/>
      <c r="CV316" s="111"/>
      <c r="CW316" s="112"/>
      <c r="CX316" s="192"/>
      <c r="CY316" s="192"/>
      <c r="CZ316" s="192"/>
      <c r="DA316" s="151"/>
      <c r="DB316" s="10"/>
      <c r="DC316" s="10"/>
      <c r="DD316" s="10"/>
      <c r="DE316" s="151"/>
      <c r="DF316" s="192"/>
      <c r="DG316" s="192"/>
      <c r="DH316" s="192"/>
      <c r="DI316" s="151"/>
      <c r="DJ316" s="1"/>
      <c r="DK316" s="225"/>
      <c r="DL316" s="225">
        <v>90.25</v>
      </c>
      <c r="DM316" s="225">
        <v>1246.7</v>
      </c>
      <c r="DN316" s="225">
        <v>2446.84</v>
      </c>
      <c r="DO316" s="225">
        <v>675.49</v>
      </c>
      <c r="DP316" s="225">
        <v>2006.31</v>
      </c>
      <c r="DQ316" s="225"/>
      <c r="DR316" s="225"/>
      <c r="DS316" s="225"/>
      <c r="DT316" s="225"/>
      <c r="DU316" s="225"/>
      <c r="DV316" s="225"/>
      <c r="DW316" s="1"/>
      <c r="EJ316" s="1"/>
      <c r="EK316" s="17"/>
      <c r="EL316" s="17">
        <v>1</v>
      </c>
      <c r="EM316" s="17">
        <v>2</v>
      </c>
      <c r="EN316" s="17">
        <v>4</v>
      </c>
      <c r="EO316" s="17">
        <v>1</v>
      </c>
      <c r="EP316" s="17">
        <v>2</v>
      </c>
      <c r="EQ316" s="17"/>
      <c r="ER316" s="17"/>
      <c r="ES316" s="17"/>
      <c r="EU316" s="17"/>
      <c r="EW316" s="1"/>
      <c r="EX316" s="225"/>
      <c r="EY316" s="225">
        <v>90.25</v>
      </c>
      <c r="EZ316" s="225">
        <v>1246.7</v>
      </c>
      <c r="FA316" s="225">
        <v>2446.84</v>
      </c>
      <c r="FB316" s="225">
        <v>675.49</v>
      </c>
      <c r="FC316" s="225">
        <v>2006.31</v>
      </c>
      <c r="FD316" s="225"/>
      <c r="FE316" s="225"/>
      <c r="FF316" s="225"/>
      <c r="FG316" s="10"/>
      <c r="FH316" s="225"/>
      <c r="FI316" s="10"/>
      <c r="FJ316" s="1"/>
      <c r="FK316" s="225"/>
      <c r="FL316" s="225"/>
      <c r="FM316" s="225"/>
      <c r="FN316" s="225"/>
      <c r="FO316" s="225"/>
      <c r="FP316" s="225"/>
      <c r="FQ316" s="225"/>
      <c r="FR316" s="225"/>
      <c r="FS316" s="225"/>
      <c r="FT316" s="191"/>
      <c r="FU316" s="225"/>
      <c r="FV316" s="151"/>
    </row>
    <row r="317" spans="1:178" ht="16" thickBot="1" x14ac:dyDescent="0.25">
      <c r="A317" s="27" t="s">
        <v>131</v>
      </c>
      <c r="B317" t="s">
        <v>141</v>
      </c>
      <c r="C317" s="1"/>
      <c r="D317">
        <v>427</v>
      </c>
      <c r="E317" s="17">
        <v>445</v>
      </c>
      <c r="F317" s="241">
        <v>511</v>
      </c>
      <c r="G317" s="87">
        <v>545</v>
      </c>
      <c r="H317" s="87">
        <v>568</v>
      </c>
      <c r="I317" s="87">
        <v>580</v>
      </c>
      <c r="J317" s="17"/>
      <c r="K317" s="17"/>
      <c r="L317" s="17"/>
      <c r="M317" s="17"/>
      <c r="N317" s="17"/>
      <c r="O317" s="17"/>
      <c r="P317" s="1"/>
      <c r="Q317" s="48">
        <v>40849.46</v>
      </c>
      <c r="R317" s="49">
        <v>16586.07</v>
      </c>
      <c r="S317" s="49">
        <v>27942.97</v>
      </c>
      <c r="T317" s="50">
        <f t="shared" si="96"/>
        <v>85378.5</v>
      </c>
      <c r="U317" s="48">
        <v>45142.5</v>
      </c>
      <c r="V317" s="49">
        <v>22889.88</v>
      </c>
      <c r="W317" s="49">
        <v>31406.37</v>
      </c>
      <c r="X317" s="50">
        <f t="shared" si="97"/>
        <v>99438.75</v>
      </c>
      <c r="Y317" s="48">
        <v>57975.41</v>
      </c>
      <c r="Z317" s="49">
        <v>34841.47</v>
      </c>
      <c r="AA317" s="49">
        <v>26157.48</v>
      </c>
      <c r="AB317" s="50">
        <f t="shared" si="98"/>
        <v>118974.36</v>
      </c>
      <c r="AC317" s="164">
        <v>55210.51</v>
      </c>
      <c r="AD317" s="165">
        <v>40331.18</v>
      </c>
      <c r="AE317" s="165">
        <v>41406.050000000003</v>
      </c>
      <c r="AF317" s="151">
        <f t="shared" si="99"/>
        <v>136947.74</v>
      </c>
      <c r="AG317" s="191">
        <v>38179.4</v>
      </c>
      <c r="AH317" s="10">
        <v>38746.69</v>
      </c>
      <c r="AI317" s="10">
        <v>46047.040000000001</v>
      </c>
      <c r="AJ317" s="151">
        <f t="shared" si="100"/>
        <v>122973.13</v>
      </c>
      <c r="AK317" s="99">
        <v>32970.629999999997</v>
      </c>
      <c r="AL317" s="99">
        <v>29630.55</v>
      </c>
      <c r="AM317" s="99">
        <v>64272.189999999995</v>
      </c>
      <c r="AN317" s="151">
        <f t="shared" si="101"/>
        <v>126873.37</v>
      </c>
      <c r="AO317" s="191"/>
      <c r="AP317" s="10"/>
      <c r="AQ317" s="10"/>
      <c r="AR317" s="151"/>
      <c r="AS317" s="191"/>
      <c r="AT317" s="192"/>
      <c r="AU317" s="192"/>
      <c r="AV317" s="151"/>
      <c r="AW317" s="192"/>
      <c r="AX317" s="192"/>
      <c r="AY317" s="192"/>
      <c r="AZ317" s="151"/>
      <c r="BA317" s="10"/>
      <c r="BB317" s="10"/>
      <c r="BC317" s="10"/>
      <c r="BD317" s="151"/>
      <c r="BE317" s="191"/>
      <c r="BF317" s="10"/>
      <c r="BG317" s="10"/>
      <c r="BH317" s="151"/>
      <c r="BI317" s="191"/>
      <c r="BJ317" s="10"/>
      <c r="BK317" s="10"/>
      <c r="BL317" s="151"/>
      <c r="BM317" s="1"/>
      <c r="BN317" s="48">
        <v>4229.5600000000004</v>
      </c>
      <c r="BO317" s="49">
        <v>4991.87</v>
      </c>
      <c r="BP317" s="49">
        <v>6562.8899999999994</v>
      </c>
      <c r="BQ317" s="50">
        <f t="shared" si="102"/>
        <v>15784.32</v>
      </c>
      <c r="BR317" s="48">
        <v>6876.93</v>
      </c>
      <c r="BS317" s="49">
        <v>2699.31</v>
      </c>
      <c r="BT317" s="49">
        <v>9373.84</v>
      </c>
      <c r="BU317" s="50">
        <f t="shared" si="103"/>
        <v>18950.080000000002</v>
      </c>
      <c r="BV317" s="48">
        <v>7022.39</v>
      </c>
      <c r="BW317" s="49">
        <v>6564.29</v>
      </c>
      <c r="BX317" s="49">
        <v>7767.32</v>
      </c>
      <c r="BY317" s="50">
        <f t="shared" si="104"/>
        <v>21354</v>
      </c>
      <c r="BZ317" s="182">
        <v>19598.810000000001</v>
      </c>
      <c r="CA317" s="266">
        <v>60903.92</v>
      </c>
      <c r="CB317" s="99">
        <v>26089.15</v>
      </c>
      <c r="CC317" s="98">
        <f t="shared" si="105"/>
        <v>106591.88</v>
      </c>
      <c r="CD317" s="182">
        <v>11968.44</v>
      </c>
      <c r="CE317" s="99">
        <v>53849.73</v>
      </c>
      <c r="CF317" s="99">
        <v>29615.9</v>
      </c>
      <c r="CG317" s="98">
        <f t="shared" si="106"/>
        <v>95434.07</v>
      </c>
      <c r="CH317" s="191">
        <v>7262.64</v>
      </c>
      <c r="CI317" s="192">
        <v>52279.13</v>
      </c>
      <c r="CJ317" s="192">
        <v>41187.879999999997</v>
      </c>
      <c r="CK317" s="98">
        <f t="shared" si="107"/>
        <v>100729.65</v>
      </c>
      <c r="CL317" s="111"/>
      <c r="CM317" s="111"/>
      <c r="CN317" s="111"/>
      <c r="CO317" s="112"/>
      <c r="CP317" s="191"/>
      <c r="CQ317" s="192"/>
      <c r="CR317" s="192"/>
      <c r="CS317" s="151"/>
      <c r="CT317" s="111"/>
      <c r="CU317" s="111"/>
      <c r="CV317" s="111"/>
      <c r="CW317" s="112"/>
      <c r="CX317" s="192"/>
      <c r="CY317" s="192"/>
      <c r="CZ317" s="192"/>
      <c r="DA317" s="151"/>
      <c r="DB317" s="10"/>
      <c r="DC317" s="10"/>
      <c r="DD317" s="10"/>
      <c r="DE317" s="151"/>
      <c r="DF317" s="192"/>
      <c r="DG317" s="192"/>
      <c r="DH317" s="192"/>
      <c r="DI317" s="151"/>
      <c r="DJ317" s="1"/>
      <c r="DK317" s="225">
        <v>4673.2</v>
      </c>
      <c r="DL317" s="225">
        <v>5172.8900000000003</v>
      </c>
      <c r="DM317" s="225">
        <v>7893.97</v>
      </c>
      <c r="DN317" s="225">
        <v>13052.52</v>
      </c>
      <c r="DO317" s="225">
        <v>12058.76</v>
      </c>
      <c r="DP317" s="225">
        <v>8740.64</v>
      </c>
      <c r="DQ317" s="225"/>
      <c r="DR317" s="225"/>
      <c r="DS317" s="225"/>
      <c r="DT317" s="225"/>
      <c r="DU317" s="225"/>
      <c r="DV317" s="225"/>
      <c r="DW317" s="1"/>
      <c r="EJ317" s="1"/>
      <c r="EK317" s="17">
        <v>15</v>
      </c>
      <c r="EL317" s="17">
        <v>21</v>
      </c>
      <c r="EM317" s="17">
        <v>20</v>
      </c>
      <c r="EN317" s="17">
        <v>33</v>
      </c>
      <c r="EO317" s="17">
        <v>27</v>
      </c>
      <c r="EP317" s="17">
        <v>20</v>
      </c>
      <c r="EQ317" s="17"/>
      <c r="ER317" s="17"/>
      <c r="ES317" s="17"/>
      <c r="EU317" s="17"/>
      <c r="EW317" s="1"/>
      <c r="EX317" s="225">
        <v>4673.2</v>
      </c>
      <c r="EY317" s="225">
        <v>5172.8900000000003</v>
      </c>
      <c r="EZ317" s="225">
        <v>7893.97</v>
      </c>
      <c r="FA317" s="225">
        <v>13052.52</v>
      </c>
      <c r="FB317" s="225">
        <v>12058.76</v>
      </c>
      <c r="FC317" s="225">
        <v>8740.64</v>
      </c>
      <c r="FD317" s="225"/>
      <c r="FE317" s="225"/>
      <c r="FF317" s="225"/>
      <c r="FG317" s="10"/>
      <c r="FH317" s="225"/>
      <c r="FI317" s="10"/>
      <c r="FJ317" s="1"/>
      <c r="FK317" s="225">
        <v>-1676.65</v>
      </c>
      <c r="FL317" s="225">
        <v>-1197.1400000000001</v>
      </c>
      <c r="FM317" s="225">
        <v>-1373.51</v>
      </c>
      <c r="FN317" s="225">
        <v>-713.94</v>
      </c>
      <c r="FO317" s="225">
        <v>-1689.29</v>
      </c>
      <c r="FP317" s="225">
        <v>-926.18</v>
      </c>
      <c r="FQ317" s="225"/>
      <c r="FR317" s="225"/>
      <c r="FS317" s="225"/>
      <c r="FT317" s="191"/>
      <c r="FU317" s="225"/>
      <c r="FV317" s="151"/>
    </row>
    <row r="318" spans="1:178" ht="16" thickBot="1" x14ac:dyDescent="0.25">
      <c r="A318" s="27" t="s">
        <v>132</v>
      </c>
      <c r="B318" t="s">
        <v>141</v>
      </c>
      <c r="C318" s="1"/>
      <c r="D318">
        <v>16</v>
      </c>
      <c r="E318" s="17"/>
      <c r="F318" s="241">
        <v>22</v>
      </c>
      <c r="G318" s="87">
        <v>18</v>
      </c>
      <c r="H318" s="87">
        <v>17</v>
      </c>
      <c r="I318" s="87">
        <v>20</v>
      </c>
      <c r="J318" s="17"/>
      <c r="K318" s="17"/>
      <c r="L318" s="17"/>
      <c r="M318" s="17"/>
      <c r="N318" s="17"/>
      <c r="O318" s="17"/>
      <c r="P318" s="1"/>
      <c r="Q318" s="48">
        <v>2168.7399999999998</v>
      </c>
      <c r="R318" s="49">
        <v>2800</v>
      </c>
      <c r="S318" s="49">
        <v>31.8</v>
      </c>
      <c r="T318" s="50">
        <f t="shared" si="96"/>
        <v>5000.54</v>
      </c>
      <c r="U318" s="48">
        <v>3537.76</v>
      </c>
      <c r="V318" s="49">
        <v>1290.69</v>
      </c>
      <c r="W318" s="49">
        <v>3417.86</v>
      </c>
      <c r="X318" s="50">
        <f t="shared" si="97"/>
        <v>8246.3100000000013</v>
      </c>
      <c r="Y318" s="48">
        <v>1164.25</v>
      </c>
      <c r="Z318" s="49">
        <v>1951.86</v>
      </c>
      <c r="AA318" s="49">
        <v>9382.65</v>
      </c>
      <c r="AB318" s="50">
        <f t="shared" si="98"/>
        <v>12498.759999999998</v>
      </c>
      <c r="AC318" s="164">
        <v>1460.49</v>
      </c>
      <c r="AD318" s="166">
        <v>964</v>
      </c>
      <c r="AE318" s="165">
        <v>5785.58</v>
      </c>
      <c r="AF318" s="151">
        <f t="shared" si="99"/>
        <v>8210.07</v>
      </c>
      <c r="AG318" s="191">
        <v>1577.66</v>
      </c>
      <c r="AH318" s="10">
        <v>321.87</v>
      </c>
      <c r="AI318" s="10">
        <v>5383.9900000000007</v>
      </c>
      <c r="AJ318" s="151">
        <f t="shared" si="100"/>
        <v>7283.52</v>
      </c>
      <c r="AK318" s="100">
        <v>723.75</v>
      </c>
      <c r="AL318" s="100">
        <v>1434.94</v>
      </c>
      <c r="AM318" s="100">
        <v>3556.34</v>
      </c>
      <c r="AN318" s="151">
        <f t="shared" si="101"/>
        <v>5715.0300000000007</v>
      </c>
      <c r="AO318" s="191"/>
      <c r="AP318" s="10"/>
      <c r="AQ318" s="10"/>
      <c r="AR318" s="151"/>
      <c r="AS318" s="191"/>
      <c r="AT318" s="192"/>
      <c r="AU318" s="192"/>
      <c r="AV318" s="151"/>
      <c r="AW318" s="192"/>
      <c r="AX318" s="192"/>
      <c r="AY318" s="192"/>
      <c r="AZ318" s="151"/>
      <c r="BA318" s="10"/>
      <c r="BB318" s="10"/>
      <c r="BC318" s="10"/>
      <c r="BD318" s="151"/>
      <c r="BE318" s="191"/>
      <c r="BF318" s="10"/>
      <c r="BG318" s="10"/>
      <c r="BH318" s="151"/>
      <c r="BI318" s="191"/>
      <c r="BJ318" s="10"/>
      <c r="BK318" s="10"/>
      <c r="BL318" s="151"/>
      <c r="BM318" s="1"/>
      <c r="BN318" s="48">
        <v>462.22</v>
      </c>
      <c r="BO318" s="49"/>
      <c r="BP318" s="49">
        <v>0</v>
      </c>
      <c r="BQ318" s="50">
        <f t="shared" si="102"/>
        <v>462.22</v>
      </c>
      <c r="BR318" s="48"/>
      <c r="BS318" s="49">
        <v>924.14</v>
      </c>
      <c r="BT318" s="49">
        <v>0</v>
      </c>
      <c r="BU318" s="50">
        <f t="shared" si="103"/>
        <v>924.14</v>
      </c>
      <c r="BV318" s="48"/>
      <c r="BW318" s="49"/>
      <c r="BX318" s="49">
        <v>3506.87</v>
      </c>
      <c r="BY318" s="50">
        <f t="shared" si="104"/>
        <v>3506.87</v>
      </c>
      <c r="BZ318" s="182">
        <v>110.52</v>
      </c>
      <c r="CA318" s="99">
        <v>1072.52</v>
      </c>
      <c r="CB318" s="99">
        <v>651.06999999999994</v>
      </c>
      <c r="CC318" s="98">
        <f t="shared" si="105"/>
        <v>1834.11</v>
      </c>
      <c r="CD318" s="182">
        <v>528.97</v>
      </c>
      <c r="CE318" s="266">
        <v>1142.51</v>
      </c>
      <c r="CF318" s="266">
        <v>1336.24</v>
      </c>
      <c r="CG318" s="98">
        <f t="shared" si="106"/>
        <v>3007.7200000000003</v>
      </c>
      <c r="CH318" s="191">
        <v>86.25</v>
      </c>
      <c r="CI318" s="192">
        <v>1580.47</v>
      </c>
      <c r="CJ318" s="192">
        <v>839.07</v>
      </c>
      <c r="CK318" s="98">
        <f t="shared" si="107"/>
        <v>2505.79</v>
      </c>
      <c r="CL318" s="111"/>
      <c r="CM318" s="111"/>
      <c r="CN318" s="111"/>
      <c r="CO318" s="112"/>
      <c r="CP318" s="191"/>
      <c r="CQ318" s="192"/>
      <c r="CR318" s="192"/>
      <c r="CS318" s="151"/>
      <c r="CT318" s="111"/>
      <c r="CU318" s="111"/>
      <c r="CV318" s="111"/>
      <c r="CW318" s="112"/>
      <c r="CX318" s="192"/>
      <c r="CY318" s="192"/>
      <c r="CZ318" s="192"/>
      <c r="DA318" s="151"/>
      <c r="DB318" s="10"/>
      <c r="DC318" s="10"/>
      <c r="DD318" s="10"/>
      <c r="DE318" s="151"/>
      <c r="DF318" s="192"/>
      <c r="DG318" s="192"/>
      <c r="DH318" s="192"/>
      <c r="DI318" s="151"/>
      <c r="DJ318" s="1"/>
      <c r="DK318" s="225"/>
      <c r="DL318" s="225"/>
      <c r="DM318" s="225"/>
      <c r="DN318" s="225">
        <v>659.74</v>
      </c>
      <c r="DO318" s="225"/>
      <c r="DP318" s="225"/>
      <c r="DQ318" s="225"/>
      <c r="DR318" s="225"/>
      <c r="DS318" s="225"/>
      <c r="DT318" s="225"/>
      <c r="DU318" s="225"/>
      <c r="DV318" s="225"/>
      <c r="DW318" s="1"/>
      <c r="EJ318" s="1"/>
      <c r="EK318" s="17"/>
      <c r="EL318" s="17"/>
      <c r="EM318" s="17"/>
      <c r="EN318" s="17">
        <v>2</v>
      </c>
      <c r="EO318" s="17"/>
      <c r="EP318" s="17"/>
      <c r="EQ318" s="17"/>
      <c r="ER318" s="17"/>
      <c r="ES318" s="17"/>
      <c r="EU318" s="17"/>
      <c r="EW318" s="1"/>
      <c r="EX318" s="225"/>
      <c r="EY318" s="225"/>
      <c r="EZ318" s="225"/>
      <c r="FA318" s="225">
        <v>659.74</v>
      </c>
      <c r="FB318" s="225"/>
      <c r="FC318" s="225"/>
      <c r="FD318" s="225"/>
      <c r="FE318" s="225"/>
      <c r="FF318" s="225"/>
      <c r="FG318" s="10"/>
      <c r="FH318" s="225"/>
      <c r="FI318" s="10"/>
      <c r="FJ318" s="1"/>
      <c r="FK318" s="225"/>
      <c r="FL318" s="225"/>
      <c r="FM318" s="225"/>
      <c r="FN318" s="225"/>
      <c r="FO318" s="225"/>
      <c r="FP318" s="225"/>
      <c r="FQ318" s="225"/>
      <c r="FR318" s="225"/>
      <c r="FS318" s="225"/>
      <c r="FT318" s="191"/>
      <c r="FU318" s="225"/>
      <c r="FV318" s="151"/>
    </row>
    <row r="319" spans="1:178" ht="16" thickBot="1" x14ac:dyDescent="0.25">
      <c r="A319" s="27" t="s">
        <v>133</v>
      </c>
      <c r="B319" t="s">
        <v>141</v>
      </c>
      <c r="C319" s="1"/>
      <c r="D319">
        <v>44</v>
      </c>
      <c r="E319" s="17"/>
      <c r="F319" s="241">
        <v>40</v>
      </c>
      <c r="G319" s="87">
        <v>40</v>
      </c>
      <c r="H319" s="87">
        <v>46</v>
      </c>
      <c r="I319" s="87">
        <v>44</v>
      </c>
      <c r="J319" s="17"/>
      <c r="K319" s="17"/>
      <c r="L319" s="17"/>
      <c r="M319" s="17"/>
      <c r="N319" s="17"/>
      <c r="O319" s="17"/>
      <c r="P319" s="1"/>
      <c r="Q319" s="48">
        <v>4348.1899999999996</v>
      </c>
      <c r="R319" s="49">
        <v>2135.48</v>
      </c>
      <c r="S319" s="49">
        <v>4701.54</v>
      </c>
      <c r="T319" s="50">
        <f t="shared" si="96"/>
        <v>11185.21</v>
      </c>
      <c r="U319" s="48">
        <v>5599.87</v>
      </c>
      <c r="V319" s="49">
        <v>3718.74</v>
      </c>
      <c r="W319" s="49">
        <v>2288</v>
      </c>
      <c r="X319" s="50">
        <f t="shared" si="97"/>
        <v>11606.61</v>
      </c>
      <c r="Y319" s="48">
        <v>5779.61</v>
      </c>
      <c r="Z319" s="49">
        <v>3759.75</v>
      </c>
      <c r="AA319" s="49">
        <v>4015.2</v>
      </c>
      <c r="AB319" s="50">
        <f t="shared" si="98"/>
        <v>13554.560000000001</v>
      </c>
      <c r="AC319" s="164">
        <v>5385.61</v>
      </c>
      <c r="AD319" s="165">
        <v>3394.09</v>
      </c>
      <c r="AE319" s="165">
        <v>1357.29</v>
      </c>
      <c r="AF319" s="151">
        <f t="shared" si="99"/>
        <v>10136.990000000002</v>
      </c>
      <c r="AG319" s="191">
        <v>5021.51</v>
      </c>
      <c r="AH319" s="10">
        <v>3324.18</v>
      </c>
      <c r="AI319" s="10">
        <v>2216.54</v>
      </c>
      <c r="AJ319" s="151">
        <f t="shared" si="100"/>
        <v>10562.23</v>
      </c>
      <c r="AK319" s="99">
        <v>3022.27</v>
      </c>
      <c r="AL319" s="99">
        <v>3731.23</v>
      </c>
      <c r="AM319" s="100">
        <v>949.48</v>
      </c>
      <c r="AN319" s="151">
        <f t="shared" si="101"/>
        <v>7702.98</v>
      </c>
      <c r="AO319" s="191"/>
      <c r="AP319" s="10"/>
      <c r="AQ319" s="10"/>
      <c r="AR319" s="151"/>
      <c r="AS319" s="191"/>
      <c r="AT319" s="192"/>
      <c r="AU319" s="192"/>
      <c r="AV319" s="151"/>
      <c r="AW319" s="192"/>
      <c r="AX319" s="192"/>
      <c r="AY319" s="192"/>
      <c r="AZ319" s="151"/>
      <c r="BA319" s="10"/>
      <c r="BB319" s="10"/>
      <c r="BC319" s="10"/>
      <c r="BD319" s="151"/>
      <c r="BE319" s="191"/>
      <c r="BF319" s="10"/>
      <c r="BG319" s="10"/>
      <c r="BH319" s="151"/>
      <c r="BI319" s="191"/>
      <c r="BJ319" s="10"/>
      <c r="BK319" s="10"/>
      <c r="BL319" s="151"/>
      <c r="BM319" s="1"/>
      <c r="BN319" s="48">
        <v>329.51</v>
      </c>
      <c r="BO319" s="49">
        <v>728.53</v>
      </c>
      <c r="BP319" s="49">
        <v>1327.51</v>
      </c>
      <c r="BQ319" s="50">
        <f t="shared" si="102"/>
        <v>2385.5500000000002</v>
      </c>
      <c r="BR319" s="48">
        <v>303.49</v>
      </c>
      <c r="BS319" s="49">
        <v>1287.0999999999999</v>
      </c>
      <c r="BT319" s="49">
        <v>959.89</v>
      </c>
      <c r="BU319" s="50">
        <f t="shared" si="103"/>
        <v>2550.48</v>
      </c>
      <c r="BV319" s="48">
        <v>2160.87</v>
      </c>
      <c r="BW319" s="49">
        <v>945.98</v>
      </c>
      <c r="BX319" s="49">
        <v>1962.02</v>
      </c>
      <c r="BY319" s="50">
        <f t="shared" si="104"/>
        <v>5068.87</v>
      </c>
      <c r="BZ319" s="182">
        <v>982.7</v>
      </c>
      <c r="CA319" s="266">
        <v>2759.87</v>
      </c>
      <c r="CB319" s="266">
        <v>1041.71</v>
      </c>
      <c r="CC319" s="98">
        <f t="shared" si="105"/>
        <v>4784.28</v>
      </c>
      <c r="CD319" s="182">
        <v>911.54</v>
      </c>
      <c r="CE319" s="266">
        <v>3198.32</v>
      </c>
      <c r="CF319" s="99">
        <v>1032.33</v>
      </c>
      <c r="CG319" s="98">
        <f t="shared" si="106"/>
        <v>5142.1900000000005</v>
      </c>
      <c r="CH319" s="191">
        <v>361.27</v>
      </c>
      <c r="CI319" s="192">
        <v>3928.57</v>
      </c>
      <c r="CJ319" s="192">
        <v>648.66999999999996</v>
      </c>
      <c r="CK319" s="98">
        <f t="shared" si="107"/>
        <v>4938.51</v>
      </c>
      <c r="CL319" s="111"/>
      <c r="CM319" s="111"/>
      <c r="CN319" s="111"/>
      <c r="CO319" s="112"/>
      <c r="CP319" s="191"/>
      <c r="CQ319" s="192"/>
      <c r="CR319" s="192"/>
      <c r="CS319" s="151"/>
      <c r="CT319" s="111"/>
      <c r="CU319" s="111"/>
      <c r="CV319" s="111"/>
      <c r="CW319" s="112"/>
      <c r="CX319" s="192"/>
      <c r="CY319" s="192"/>
      <c r="CZ319" s="192"/>
      <c r="DA319" s="151"/>
      <c r="DB319" s="10"/>
      <c r="DC319" s="10"/>
      <c r="DD319" s="10"/>
      <c r="DE319" s="151"/>
      <c r="DF319" s="192"/>
      <c r="DG319" s="192"/>
      <c r="DH319" s="192"/>
      <c r="DI319" s="151"/>
      <c r="DJ319" s="1"/>
      <c r="DK319" s="225">
        <v>1470.26</v>
      </c>
      <c r="DL319" s="225">
        <v>1600.72</v>
      </c>
      <c r="DM319" s="225">
        <v>2797.9</v>
      </c>
      <c r="DN319" s="225">
        <v>2737.37</v>
      </c>
      <c r="DO319" s="225">
        <v>2075.1999999999998</v>
      </c>
      <c r="DP319" s="225">
        <v>1817.1</v>
      </c>
      <c r="DQ319" s="225"/>
      <c r="DR319" s="225"/>
      <c r="DS319" s="225"/>
      <c r="DT319" s="225"/>
      <c r="DU319" s="225"/>
      <c r="DV319" s="225"/>
      <c r="DW319" s="1"/>
      <c r="EJ319" s="1"/>
      <c r="EK319" s="17">
        <v>4</v>
      </c>
      <c r="EL319" s="17">
        <v>4</v>
      </c>
      <c r="EM319" s="17">
        <v>7</v>
      </c>
      <c r="EN319" s="17">
        <v>5</v>
      </c>
      <c r="EO319" s="17">
        <v>2</v>
      </c>
      <c r="EP319" s="17">
        <v>4</v>
      </c>
      <c r="EQ319" s="17"/>
      <c r="ER319" s="17"/>
      <c r="ES319" s="17"/>
      <c r="EU319" s="17"/>
      <c r="EW319" s="1"/>
      <c r="EX319" s="225">
        <v>1470.26</v>
      </c>
      <c r="EY319" s="225">
        <v>1600.72</v>
      </c>
      <c r="EZ319" s="225">
        <v>2797.9</v>
      </c>
      <c r="FA319" s="225">
        <v>2737.37</v>
      </c>
      <c r="FB319" s="225">
        <v>2075.1999999999998</v>
      </c>
      <c r="FC319" s="225">
        <v>1817.1</v>
      </c>
      <c r="FD319" s="225"/>
      <c r="FE319" s="225"/>
      <c r="FF319" s="225"/>
      <c r="FG319" s="10"/>
      <c r="FH319" s="225"/>
      <c r="FI319" s="10"/>
      <c r="FJ319" s="1"/>
      <c r="FK319" s="225"/>
      <c r="FL319" s="225"/>
      <c r="FM319" s="225"/>
      <c r="FN319" s="225"/>
      <c r="FO319" s="225"/>
      <c r="FP319" s="225">
        <v>-31.43</v>
      </c>
      <c r="FQ319" s="225"/>
      <c r="FR319" s="225"/>
      <c r="FS319" s="225"/>
      <c r="FT319" s="191"/>
      <c r="FU319" s="225"/>
      <c r="FV319" s="151"/>
    </row>
    <row r="320" spans="1:178" ht="16" thickBot="1" x14ac:dyDescent="0.25">
      <c r="A320" s="28" t="s">
        <v>134</v>
      </c>
      <c r="B320" s="13" t="s">
        <v>141</v>
      </c>
      <c r="C320" s="29"/>
      <c r="D320" s="14">
        <v>651</v>
      </c>
      <c r="E320" s="18">
        <v>721</v>
      </c>
      <c r="F320" s="242">
        <v>746</v>
      </c>
      <c r="G320" s="90">
        <v>719</v>
      </c>
      <c r="H320" s="90">
        <v>674</v>
      </c>
      <c r="I320" s="90">
        <v>652</v>
      </c>
      <c r="J320" s="18"/>
      <c r="K320" s="18"/>
      <c r="L320" s="18"/>
      <c r="M320" s="18"/>
      <c r="N320" s="18"/>
      <c r="O320" s="18"/>
      <c r="P320" s="29"/>
      <c r="Q320" s="51">
        <v>47521.39</v>
      </c>
      <c r="R320" s="52">
        <v>6674.15</v>
      </c>
      <c r="S320" s="52">
        <v>69650.180000000008</v>
      </c>
      <c r="T320" s="50">
        <f t="shared" si="96"/>
        <v>123845.72</v>
      </c>
      <c r="U320" s="51">
        <v>66986.210000000006</v>
      </c>
      <c r="V320" s="52">
        <v>40429.75</v>
      </c>
      <c r="W320" s="52">
        <v>62011.85</v>
      </c>
      <c r="X320" s="50">
        <f t="shared" si="97"/>
        <v>169427.81</v>
      </c>
      <c r="Y320" s="48">
        <v>59836.72</v>
      </c>
      <c r="Z320" s="49">
        <v>58787.45</v>
      </c>
      <c r="AA320" s="49">
        <v>64981.89</v>
      </c>
      <c r="AB320" s="50">
        <f t="shared" si="98"/>
        <v>183606.06</v>
      </c>
      <c r="AC320" s="169">
        <v>69753.22</v>
      </c>
      <c r="AD320" s="170">
        <v>42237.71</v>
      </c>
      <c r="AE320" s="170">
        <v>59680.36</v>
      </c>
      <c r="AF320" s="151">
        <f t="shared" si="99"/>
        <v>171671.28999999998</v>
      </c>
      <c r="AG320" s="191">
        <v>51451.72</v>
      </c>
      <c r="AH320" s="192">
        <v>42043.63</v>
      </c>
      <c r="AI320" s="192">
        <v>58619.68</v>
      </c>
      <c r="AJ320" s="151">
        <f t="shared" si="100"/>
        <v>152115.03</v>
      </c>
      <c r="AK320" s="101">
        <v>35589.43</v>
      </c>
      <c r="AL320" s="101">
        <v>41269.279999999999</v>
      </c>
      <c r="AM320" s="101">
        <v>48739.63</v>
      </c>
      <c r="AN320" s="151">
        <f t="shared" si="101"/>
        <v>125598.34</v>
      </c>
      <c r="AO320" s="203"/>
      <c r="AP320" s="198"/>
      <c r="AQ320" s="198"/>
      <c r="AR320" s="151"/>
      <c r="AS320" s="203"/>
      <c r="AT320" s="198"/>
      <c r="AU320" s="198"/>
      <c r="AV320" s="152"/>
      <c r="AW320" s="198"/>
      <c r="AX320" s="198"/>
      <c r="AY320" s="198"/>
      <c r="AZ320" s="151"/>
      <c r="BA320" s="203"/>
      <c r="BB320" s="198"/>
      <c r="BC320" s="198"/>
      <c r="BD320" s="152"/>
      <c r="BE320" s="203"/>
      <c r="BF320" s="198"/>
      <c r="BG320" s="198"/>
      <c r="BH320" s="152"/>
      <c r="BI320" s="203"/>
      <c r="BJ320" s="198"/>
      <c r="BK320" s="198"/>
      <c r="BL320" s="152"/>
      <c r="BM320" s="29"/>
      <c r="BN320" s="51">
        <v>6496.98</v>
      </c>
      <c r="BO320" s="52">
        <v>273.08</v>
      </c>
      <c r="BP320" s="52">
        <v>26615.120000000003</v>
      </c>
      <c r="BQ320" s="53">
        <f t="shared" si="102"/>
        <v>33385.18</v>
      </c>
      <c r="BR320" s="51">
        <v>7772.33</v>
      </c>
      <c r="BS320" s="52">
        <v>9764.4599999999991</v>
      </c>
      <c r="BT320" s="52">
        <v>25081.09</v>
      </c>
      <c r="BU320" s="53">
        <f t="shared" si="103"/>
        <v>42617.880000000005</v>
      </c>
      <c r="BV320" s="51">
        <v>11537.5</v>
      </c>
      <c r="BW320" s="52">
        <v>8956.48</v>
      </c>
      <c r="BX320" s="52">
        <v>28375.47</v>
      </c>
      <c r="BY320" s="53">
        <f t="shared" si="104"/>
        <v>48869.45</v>
      </c>
      <c r="BZ320" s="184">
        <v>15201.69</v>
      </c>
      <c r="CA320" s="150">
        <v>75500.600000000006</v>
      </c>
      <c r="CB320" s="101">
        <v>33832.910000000003</v>
      </c>
      <c r="CC320" s="102">
        <f t="shared" si="105"/>
        <v>124535.20000000001</v>
      </c>
      <c r="CD320" s="184">
        <v>10867.95</v>
      </c>
      <c r="CE320" s="101">
        <v>63273.73</v>
      </c>
      <c r="CF320" s="101">
        <v>28634.54</v>
      </c>
      <c r="CG320" s="102">
        <f t="shared" si="106"/>
        <v>102776.22</v>
      </c>
      <c r="CH320" s="203">
        <v>9791.7800000000007</v>
      </c>
      <c r="CI320" s="198">
        <v>57684.77</v>
      </c>
      <c r="CJ320" s="198">
        <v>25123.11</v>
      </c>
      <c r="CK320" s="102">
        <f t="shared" si="107"/>
        <v>92599.66</v>
      </c>
      <c r="CL320" s="113"/>
      <c r="CM320" s="113"/>
      <c r="CN320" s="113"/>
      <c r="CO320" s="112"/>
      <c r="CP320" s="203"/>
      <c r="CQ320" s="198"/>
      <c r="CR320" s="198"/>
      <c r="CS320" s="152"/>
      <c r="CT320" s="113"/>
      <c r="CU320" s="113"/>
      <c r="CV320" s="113"/>
      <c r="CW320" s="114"/>
      <c r="CX320" s="203"/>
      <c r="CY320" s="198"/>
      <c r="CZ320" s="198"/>
      <c r="DA320" s="152"/>
      <c r="DB320" s="203"/>
      <c r="DC320" s="198"/>
      <c r="DD320" s="198"/>
      <c r="DE320" s="152"/>
      <c r="DF320" s="203"/>
      <c r="DG320" s="198"/>
      <c r="DH320" s="198"/>
      <c r="DI320" s="152"/>
      <c r="DJ320" s="29"/>
      <c r="DK320" s="227">
        <v>17814.52</v>
      </c>
      <c r="DL320" s="227">
        <v>10716.9</v>
      </c>
      <c r="DM320" s="227">
        <v>15688.75</v>
      </c>
      <c r="DN320" s="227">
        <v>29198.55</v>
      </c>
      <c r="DO320" s="227">
        <v>14093.18</v>
      </c>
      <c r="DP320" s="227">
        <v>22290.78</v>
      </c>
      <c r="DQ320" s="227"/>
      <c r="DR320" s="227"/>
      <c r="DS320" s="227"/>
      <c r="DT320" s="227"/>
      <c r="DU320" s="227"/>
      <c r="DV320" s="227"/>
      <c r="DW320" s="29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29"/>
      <c r="EK320" s="18">
        <v>52</v>
      </c>
      <c r="EL320" s="18">
        <v>27</v>
      </c>
      <c r="EM320" s="18">
        <v>38</v>
      </c>
      <c r="EN320" s="18">
        <v>70</v>
      </c>
      <c r="EO320" s="18">
        <v>27</v>
      </c>
      <c r="EP320" s="18">
        <v>52</v>
      </c>
      <c r="EQ320" s="18"/>
      <c r="ER320" s="18"/>
      <c r="ES320" s="18"/>
      <c r="ET320" s="13"/>
      <c r="EU320" s="18"/>
      <c r="EV320" s="13"/>
      <c r="EW320" s="29"/>
      <c r="EX320" s="227">
        <v>17814.52</v>
      </c>
      <c r="EY320" s="227">
        <v>10694.02</v>
      </c>
      <c r="EZ320" s="227">
        <v>15678.86</v>
      </c>
      <c r="FA320" s="227">
        <v>29183.68</v>
      </c>
      <c r="FB320" s="227">
        <v>14093.18</v>
      </c>
      <c r="FC320" s="227">
        <v>22280.54</v>
      </c>
      <c r="FD320" s="227"/>
      <c r="FE320" s="227"/>
      <c r="FF320" s="227"/>
      <c r="FG320" s="198"/>
      <c r="FH320" s="227"/>
      <c r="FI320" s="198"/>
      <c r="FJ320" s="29"/>
      <c r="FK320" s="227">
        <v>-1175.71</v>
      </c>
      <c r="FL320" s="227">
        <v>-1182.71</v>
      </c>
      <c r="FM320" s="227">
        <v>-2782.84</v>
      </c>
      <c r="FN320" s="227">
        <v>-1456.29</v>
      </c>
      <c r="FO320" s="227">
        <v>-3937.34</v>
      </c>
      <c r="FP320" s="227">
        <v>-2376.86</v>
      </c>
      <c r="FQ320" s="227"/>
      <c r="FR320" s="227"/>
      <c r="FS320" s="227"/>
      <c r="FT320" s="203"/>
      <c r="FU320" s="227"/>
      <c r="FV320" s="152"/>
    </row>
    <row r="321" spans="4:178" ht="16" thickBot="1" x14ac:dyDescent="0.25">
      <c r="D321">
        <f>SUM(D216:D320)</f>
        <v>25299</v>
      </c>
      <c r="E321">
        <f t="shared" ref="E321:M321" si="108">SUM(E216:E320)</f>
        <v>24577</v>
      </c>
      <c r="F321">
        <f t="shared" si="108"/>
        <v>27875</v>
      </c>
      <c r="G321">
        <f t="shared" si="108"/>
        <v>27603</v>
      </c>
      <c r="H321">
        <f t="shared" si="108"/>
        <v>30359</v>
      </c>
      <c r="I321">
        <f t="shared" si="108"/>
        <v>29728</v>
      </c>
      <c r="J321">
        <f t="shared" si="108"/>
        <v>0</v>
      </c>
      <c r="K321">
        <f t="shared" si="108"/>
        <v>0</v>
      </c>
      <c r="L321">
        <f t="shared" si="108"/>
        <v>0</v>
      </c>
      <c r="M321">
        <f t="shared" si="108"/>
        <v>0</v>
      </c>
      <c r="N321" s="153">
        <f t="shared" ref="N321:O321" si="109">SUM(N4:N320)</f>
        <v>0</v>
      </c>
      <c r="O321" s="153">
        <f t="shared" si="109"/>
        <v>0</v>
      </c>
      <c r="P321" t="s">
        <v>275</v>
      </c>
      <c r="Q321" s="160">
        <f>SUM(Q216:Q320)</f>
        <v>2443089.0600000005</v>
      </c>
      <c r="R321" s="160">
        <f t="shared" ref="R321:AF321" si="110">SUM(R216:R320)</f>
        <v>1255922.7300000002</v>
      </c>
      <c r="S321" s="160">
        <f t="shared" si="110"/>
        <v>2038588.91</v>
      </c>
      <c r="T321" s="160">
        <f t="shared" si="110"/>
        <v>5737600.6999999993</v>
      </c>
      <c r="U321" s="160">
        <f t="shared" si="110"/>
        <v>2648565.1600000011</v>
      </c>
      <c r="V321" s="160">
        <f t="shared" si="110"/>
        <v>1573865.7899999996</v>
      </c>
      <c r="W321" s="160">
        <f t="shared" si="110"/>
        <v>2057252.1300000004</v>
      </c>
      <c r="X321" s="210">
        <f t="shared" si="110"/>
        <v>6279683.0799999991</v>
      </c>
      <c r="Y321" s="160">
        <f t="shared" si="110"/>
        <v>3390098.4000000008</v>
      </c>
      <c r="Z321" s="196">
        <f t="shared" si="110"/>
        <v>1963753.86</v>
      </c>
      <c r="AA321" s="196">
        <f t="shared" si="110"/>
        <v>2414031.9599999995</v>
      </c>
      <c r="AB321" s="197">
        <f t="shared" si="110"/>
        <v>7767884.2199999988</v>
      </c>
      <c r="AC321" s="160">
        <f t="shared" si="110"/>
        <v>2808333.2299999995</v>
      </c>
      <c r="AD321" s="196">
        <f t="shared" si="110"/>
        <v>1875172.46</v>
      </c>
      <c r="AE321" s="196">
        <f t="shared" si="110"/>
        <v>2177440.44</v>
      </c>
      <c r="AF321" s="197">
        <f t="shared" si="110"/>
        <v>6860946.1299999999</v>
      </c>
      <c r="AG321" s="195">
        <f>SUM(AG216:AG320)</f>
        <v>2473492.1400000006</v>
      </c>
      <c r="AH321" s="193">
        <f t="shared" ref="AH321:AY321" si="111">SUM(AH216:AH320)</f>
        <v>2074724.7500000002</v>
      </c>
      <c r="AI321" s="193">
        <f t="shared" si="111"/>
        <v>2405258.1999999993</v>
      </c>
      <c r="AJ321" s="194">
        <f t="shared" si="111"/>
        <v>6953475.0900000008</v>
      </c>
      <c r="AK321" s="194">
        <f t="shared" si="111"/>
        <v>1716335.8999999994</v>
      </c>
      <c r="AL321" s="194">
        <f t="shared" si="111"/>
        <v>1699362.4400000002</v>
      </c>
      <c r="AM321" s="194">
        <f t="shared" si="111"/>
        <v>2373656.8300000005</v>
      </c>
      <c r="AN321" s="194">
        <f t="shared" si="111"/>
        <v>5789355.1700000009</v>
      </c>
      <c r="AO321" s="194">
        <f t="shared" si="111"/>
        <v>0</v>
      </c>
      <c r="AP321" s="194">
        <f t="shared" si="111"/>
        <v>0</v>
      </c>
      <c r="AQ321" s="194">
        <f t="shared" si="111"/>
        <v>0</v>
      </c>
      <c r="AR321" s="194">
        <f t="shared" si="111"/>
        <v>0</v>
      </c>
      <c r="AS321" s="10">
        <f t="shared" si="111"/>
        <v>0</v>
      </c>
      <c r="AT321" s="10">
        <f t="shared" si="111"/>
        <v>0</v>
      </c>
      <c r="AU321" s="10">
        <f t="shared" si="111"/>
        <v>0</v>
      </c>
      <c r="AV321" s="151">
        <f t="shared" ref="AV321" si="112">SUM(AS321:AU321)</f>
        <v>0</v>
      </c>
      <c r="AW321" s="209">
        <f t="shared" si="111"/>
        <v>0</v>
      </c>
      <c r="AX321" s="208">
        <f t="shared" si="111"/>
        <v>0</v>
      </c>
      <c r="AY321" s="172">
        <f t="shared" si="111"/>
        <v>0</v>
      </c>
      <c r="AZ321" s="178">
        <f t="shared" ref="AZ321" si="113">SUM(AW321:AY321)</f>
        <v>0</v>
      </c>
      <c r="BA321" s="111">
        <f>SUM(BA216:BA320)</f>
        <v>0</v>
      </c>
      <c r="BB321" s="111">
        <f t="shared" ref="BB321:BC321" si="114">SUM(BB216:BB320)</f>
        <v>0</v>
      </c>
      <c r="BC321" s="111">
        <f t="shared" si="114"/>
        <v>0</v>
      </c>
      <c r="BD321" s="151">
        <f t="shared" ref="BD321" si="115">SUM(BA321:BC321)</f>
        <v>0</v>
      </c>
      <c r="BE321" s="111">
        <f>SUM(BE216:BE320)</f>
        <v>0</v>
      </c>
      <c r="BF321" s="111">
        <f t="shared" ref="BF321:BG321" si="116">SUM(BF216:BF320)</f>
        <v>0</v>
      </c>
      <c r="BG321" s="111">
        <f t="shared" si="116"/>
        <v>0</v>
      </c>
      <c r="BH321" s="151">
        <f t="shared" ref="BH321" si="117">SUM(BE321:BG321)</f>
        <v>0</v>
      </c>
      <c r="BI321" s="10">
        <f>SUM(BI216:BI320)</f>
        <v>0</v>
      </c>
      <c r="BJ321" s="10">
        <f t="shared" ref="BJ321:BL321" si="118">SUM(BJ216:BJ320)</f>
        <v>0</v>
      </c>
      <c r="BK321" s="10">
        <f t="shared" si="118"/>
        <v>0</v>
      </c>
      <c r="BL321" s="10">
        <f t="shared" si="118"/>
        <v>0</v>
      </c>
      <c r="BN321" s="100">
        <f>SUM(BN216:BN320)</f>
        <v>376793.54</v>
      </c>
      <c r="BO321" s="100">
        <f t="shared" ref="BO321:DI321" si="119">SUM(BO216:BO320)</f>
        <v>345007.95999999996</v>
      </c>
      <c r="BP321" s="100">
        <f t="shared" si="119"/>
        <v>886377.36999999988</v>
      </c>
      <c r="BQ321" s="100">
        <f t="shared" si="119"/>
        <v>1608178.8699999999</v>
      </c>
      <c r="BR321" s="100">
        <f t="shared" si="119"/>
        <v>421240.88</v>
      </c>
      <c r="BS321" s="100">
        <f t="shared" si="119"/>
        <v>442388.47999999998</v>
      </c>
      <c r="BT321" s="100">
        <f t="shared" si="119"/>
        <v>876775.67999999993</v>
      </c>
      <c r="BU321" s="100">
        <f t="shared" si="119"/>
        <v>1740405.04</v>
      </c>
      <c r="BV321" s="100">
        <f t="shared" si="119"/>
        <v>542619.44999999995</v>
      </c>
      <c r="BW321" s="100">
        <f t="shared" si="119"/>
        <v>539614.37</v>
      </c>
      <c r="BX321" s="100">
        <f t="shared" si="119"/>
        <v>1167139.4800000002</v>
      </c>
      <c r="BY321" s="100">
        <f t="shared" si="119"/>
        <v>2249373.3000000007</v>
      </c>
      <c r="BZ321" s="100">
        <f t="shared" si="119"/>
        <v>682980.90999999992</v>
      </c>
      <c r="CA321" s="100">
        <f t="shared" si="119"/>
        <v>2367585.33</v>
      </c>
      <c r="CB321" s="100">
        <f t="shared" si="119"/>
        <v>1312039.0900000003</v>
      </c>
      <c r="CC321" s="100">
        <f t="shared" si="119"/>
        <v>4362605.330000001</v>
      </c>
      <c r="CD321" s="100">
        <f t="shared" si="119"/>
        <v>585474.63</v>
      </c>
      <c r="CE321" s="100">
        <f t="shared" si="119"/>
        <v>2529522.6099999994</v>
      </c>
      <c r="CF321" s="100">
        <f t="shared" si="119"/>
        <v>1419564.6600000004</v>
      </c>
      <c r="CG321" s="100">
        <f t="shared" si="119"/>
        <v>4534561.9000000013</v>
      </c>
      <c r="CH321" s="100">
        <f t="shared" si="119"/>
        <v>409848.19</v>
      </c>
      <c r="CI321" s="100">
        <f t="shared" si="119"/>
        <v>2365646.2899999996</v>
      </c>
      <c r="CJ321" s="100">
        <f t="shared" si="119"/>
        <v>1379160.4800000002</v>
      </c>
      <c r="CK321" s="100">
        <f t="shared" si="119"/>
        <v>4154654.96</v>
      </c>
      <c r="CL321" s="100">
        <f t="shared" si="119"/>
        <v>0</v>
      </c>
      <c r="CM321" s="100">
        <f t="shared" si="119"/>
        <v>0</v>
      </c>
      <c r="CN321" s="100">
        <f t="shared" si="119"/>
        <v>0</v>
      </c>
      <c r="CO321" s="100">
        <f t="shared" si="119"/>
        <v>0</v>
      </c>
      <c r="CP321" s="100">
        <f t="shared" si="119"/>
        <v>0</v>
      </c>
      <c r="CQ321" s="100">
        <f t="shared" si="119"/>
        <v>0</v>
      </c>
      <c r="CR321" s="100">
        <f t="shared" si="119"/>
        <v>0</v>
      </c>
      <c r="CS321" s="100">
        <f t="shared" si="119"/>
        <v>0</v>
      </c>
      <c r="CT321" s="100">
        <f t="shared" si="119"/>
        <v>0</v>
      </c>
      <c r="CU321" s="100">
        <f t="shared" si="119"/>
        <v>0</v>
      </c>
      <c r="CV321" s="100">
        <f t="shared" si="119"/>
        <v>0</v>
      </c>
      <c r="CW321" s="100">
        <f t="shared" si="119"/>
        <v>0</v>
      </c>
      <c r="CX321" s="100">
        <f>SUM(CX216:CX320)</f>
        <v>0</v>
      </c>
      <c r="CY321" s="100">
        <f>SUM(CY216:CY320)</f>
        <v>0</v>
      </c>
      <c r="CZ321" s="100">
        <f>SUM(CZ216:CZ320)</f>
        <v>0</v>
      </c>
      <c r="DA321" s="100">
        <f t="shared" si="119"/>
        <v>0</v>
      </c>
      <c r="DB321" s="100">
        <f t="shared" si="119"/>
        <v>0</v>
      </c>
      <c r="DC321" s="100">
        <f t="shared" si="119"/>
        <v>0</v>
      </c>
      <c r="DD321" s="100">
        <f t="shared" si="119"/>
        <v>0</v>
      </c>
      <c r="DE321" s="100">
        <f t="shared" si="119"/>
        <v>0</v>
      </c>
      <c r="DF321" s="100">
        <f>SUM(DF216:DF320)</f>
        <v>0</v>
      </c>
      <c r="DG321" s="100">
        <f>SUM(DG216:DG320)</f>
        <v>0</v>
      </c>
      <c r="DH321" s="100">
        <f>SUM(DH216:DH320)</f>
        <v>0</v>
      </c>
      <c r="DI321" s="100">
        <f t="shared" si="119"/>
        <v>0</v>
      </c>
      <c r="DK321" s="10">
        <f>SUM(DK216:DK320)</f>
        <v>315342.83</v>
      </c>
      <c r="DL321" s="10">
        <f t="shared" ref="DL321:DV321" si="120">SUM(DL216:DL320)</f>
        <v>256093.86000000002</v>
      </c>
      <c r="DM321" s="10">
        <f t="shared" si="120"/>
        <v>419899.61999999994</v>
      </c>
      <c r="DN321" s="10">
        <f t="shared" si="120"/>
        <v>507026.26</v>
      </c>
      <c r="DO321" s="10">
        <f t="shared" si="120"/>
        <v>467789.39000000007</v>
      </c>
      <c r="DP321" s="10">
        <f t="shared" si="120"/>
        <v>869418.03999999992</v>
      </c>
      <c r="DQ321" s="10">
        <f t="shared" si="120"/>
        <v>0</v>
      </c>
      <c r="DR321" s="10">
        <f t="shared" si="120"/>
        <v>0</v>
      </c>
      <c r="DS321" s="10">
        <f t="shared" si="120"/>
        <v>0</v>
      </c>
      <c r="DT321" s="10">
        <f t="shared" si="120"/>
        <v>0</v>
      </c>
      <c r="DU321" s="10">
        <f t="shared" si="120"/>
        <v>0</v>
      </c>
      <c r="DV321" s="10">
        <f t="shared" si="120"/>
        <v>0</v>
      </c>
      <c r="EK321">
        <f>SUM(EK216:EK320)</f>
        <v>951</v>
      </c>
      <c r="EL321">
        <f t="shared" ref="EL321:EV321" si="121">SUM(EL216:EL320)</f>
        <v>742</v>
      </c>
      <c r="EM321">
        <f t="shared" si="121"/>
        <v>1045</v>
      </c>
      <c r="EN321">
        <f t="shared" si="121"/>
        <v>1173</v>
      </c>
      <c r="EO321">
        <f t="shared" si="121"/>
        <v>887</v>
      </c>
      <c r="EP321">
        <f t="shared" si="121"/>
        <v>1598</v>
      </c>
      <c r="EQ321">
        <f t="shared" si="121"/>
        <v>0</v>
      </c>
      <c r="ER321">
        <f t="shared" si="121"/>
        <v>0</v>
      </c>
      <c r="ES321">
        <f t="shared" si="121"/>
        <v>0</v>
      </c>
      <c r="ET321">
        <f t="shared" si="121"/>
        <v>0</v>
      </c>
      <c r="EU321">
        <f t="shared" si="121"/>
        <v>0</v>
      </c>
      <c r="EV321">
        <f t="shared" si="121"/>
        <v>0</v>
      </c>
      <c r="EX321" s="10">
        <f t="shared" ref="EX321" si="122">SUM(EX216:EX320)</f>
        <v>315099.48000000004</v>
      </c>
      <c r="EY321" s="10">
        <f t="shared" ref="EY321" si="123">SUM(EY216:EY320)</f>
        <v>255831.94999999998</v>
      </c>
      <c r="EZ321" s="10">
        <f t="shared" ref="EZ321" si="124">SUM(EZ216:EZ320)</f>
        <v>419755.13999999996</v>
      </c>
      <c r="FA321" s="10">
        <f t="shared" ref="FA321" si="125">SUM(FA216:FA320)</f>
        <v>506812.16000000003</v>
      </c>
      <c r="FB321" s="10">
        <f t="shared" ref="FB321" si="126">SUM(FB216:FB320)</f>
        <v>467721.98000000004</v>
      </c>
      <c r="FC321" s="10">
        <f t="shared" ref="FC321" si="127">SUM(FC216:FC320)</f>
        <v>869263.15999999992</v>
      </c>
      <c r="FD321" s="10">
        <f t="shared" ref="FD321" si="128">SUM(FD216:FD320)</f>
        <v>0</v>
      </c>
      <c r="FE321" s="10">
        <f t="shared" ref="FE321" si="129">SUM(FE216:FE320)</f>
        <v>0</v>
      </c>
      <c r="FF321" s="10">
        <f t="shared" ref="FF321" si="130">SUM(FF216:FF320)</f>
        <v>0</v>
      </c>
      <c r="FG321" s="10">
        <f t="shared" ref="FG321" si="131">SUM(FG216:FG320)</f>
        <v>0</v>
      </c>
      <c r="FH321" s="10">
        <f t="shared" ref="FH321" si="132">SUM(FH216:FH320)</f>
        <v>0</v>
      </c>
      <c r="FI321" s="10">
        <f t="shared" ref="FI321" si="133">SUM(FI216:FI320)</f>
        <v>0</v>
      </c>
      <c r="FK321" s="10">
        <f t="shared" ref="FK321" si="134">SUM(FK216:FK320)</f>
        <v>-51703.740000000005</v>
      </c>
      <c r="FL321" s="10">
        <f t="shared" ref="FL321" si="135">SUM(FL216:FL320)</f>
        <v>-41704.400000000009</v>
      </c>
      <c r="FM321" s="10">
        <f t="shared" ref="FM321" si="136">SUM(FM216:FM320)</f>
        <v>-61918.99000000002</v>
      </c>
      <c r="FN321" s="10">
        <f t="shared" ref="FN321" si="137">SUM(FN216:FN320)</f>
        <v>-29535.089999999993</v>
      </c>
      <c r="FO321" s="10">
        <f t="shared" ref="FO321" si="138">SUM(FO216:FO320)</f>
        <v>-73711.959999999992</v>
      </c>
      <c r="FP321" s="10">
        <f t="shared" ref="FP321" si="139">SUM(FP216:FP320)</f>
        <v>-47768.69999999999</v>
      </c>
      <c r="FQ321" s="10">
        <f t="shared" ref="FQ321" si="140">SUM(FQ216:FQ320)</f>
        <v>0</v>
      </c>
      <c r="FR321" s="10">
        <f t="shared" ref="FR321" si="141">SUM(FR216:FR320)</f>
        <v>0</v>
      </c>
      <c r="FS321" s="10">
        <f t="shared" ref="FS321" si="142">SUM(FS216:FS320)</f>
        <v>0</v>
      </c>
      <c r="FT321" s="10">
        <f t="shared" ref="FT321" si="143">SUM(FT216:FT320)</f>
        <v>0</v>
      </c>
      <c r="FU321" s="10">
        <f t="shared" ref="FU321" si="144">SUM(FU216:FU320)</f>
        <v>0</v>
      </c>
      <c r="FV321" s="10">
        <f t="shared" ref="FV321" si="145">SUM(FV216:FV320)</f>
        <v>0</v>
      </c>
    </row>
    <row r="322" spans="4:178" ht="16" thickBot="1" x14ac:dyDescent="0.25">
      <c r="Q322" s="56"/>
      <c r="R322" s="56"/>
      <c r="S322" s="56"/>
      <c r="T322" s="56"/>
      <c r="U322" s="56"/>
      <c r="V322" s="56"/>
      <c r="W322" s="56"/>
      <c r="X322" s="56"/>
      <c r="Y322" s="239"/>
      <c r="Z322" s="56"/>
      <c r="AA322" s="56"/>
      <c r="AB322" s="56"/>
      <c r="BL322" s="125"/>
    </row>
    <row r="323" spans="4:178" ht="17" thickBot="1" x14ac:dyDescent="0.25">
      <c r="Q323" s="237"/>
      <c r="R323" s="237"/>
      <c r="S323" s="237"/>
      <c r="T323" s="237"/>
      <c r="U323" s="237"/>
      <c r="V323" s="237"/>
      <c r="W323" s="237"/>
      <c r="X323" s="237"/>
      <c r="Y323" s="238"/>
      <c r="Z323" s="237"/>
      <c r="AA323" s="237"/>
      <c r="AB323" s="237"/>
    </row>
    <row r="324" spans="4:178" ht="16" thickBot="1" x14ac:dyDescent="0.25">
      <c r="Y324" s="149"/>
    </row>
    <row r="325" spans="4:178" ht="16" thickBot="1" x14ac:dyDescent="0.25">
      <c r="Y325" s="149"/>
    </row>
    <row r="326" spans="4:178" x14ac:dyDescent="0.2">
      <c r="AR326"/>
      <c r="AV326"/>
      <c r="CX326" t="s">
        <v>274</v>
      </c>
    </row>
    <row r="327" spans="4:178" x14ac:dyDescent="0.2">
      <c r="AR327"/>
      <c r="AV327"/>
    </row>
    <row r="328" spans="4:178" x14ac:dyDescent="0.2">
      <c r="AR328"/>
      <c r="AV328"/>
    </row>
    <row r="329" spans="4:178" x14ac:dyDescent="0.2">
      <c r="AR329"/>
      <c r="AV329"/>
    </row>
    <row r="330" spans="4:178" x14ac:dyDescent="0.2">
      <c r="AR330"/>
      <c r="AV330"/>
    </row>
    <row r="331" spans="4:178" x14ac:dyDescent="0.2">
      <c r="AR331"/>
      <c r="AV331"/>
    </row>
    <row r="332" spans="4:178" x14ac:dyDescent="0.2">
      <c r="AR332"/>
      <c r="AV332"/>
    </row>
    <row r="333" spans="4:178" x14ac:dyDescent="0.2">
      <c r="AR333"/>
      <c r="AV333"/>
    </row>
    <row r="334" spans="4:178" x14ac:dyDescent="0.2">
      <c r="AR334"/>
      <c r="AV334"/>
    </row>
    <row r="335" spans="4:178" x14ac:dyDescent="0.2">
      <c r="AR335"/>
      <c r="AV335"/>
    </row>
    <row r="336" spans="4:178" x14ac:dyDescent="0.2">
      <c r="AR336"/>
      <c r="AV336"/>
    </row>
    <row r="337" spans="25:48" x14ac:dyDescent="0.2">
      <c r="AR337"/>
      <c r="AV337"/>
    </row>
    <row r="338" spans="25:48" x14ac:dyDescent="0.2">
      <c r="AR338"/>
      <c r="AV338"/>
    </row>
    <row r="339" spans="25:48" x14ac:dyDescent="0.2">
      <c r="AR339"/>
      <c r="AV339"/>
    </row>
    <row r="340" spans="25:48" x14ac:dyDescent="0.2">
      <c r="AR340"/>
      <c r="AV340"/>
    </row>
    <row r="341" spans="25:48" x14ac:dyDescent="0.2">
      <c r="AR341"/>
      <c r="AV341"/>
    </row>
    <row r="342" spans="25:48" x14ac:dyDescent="0.2">
      <c r="AR342"/>
      <c r="AV342"/>
    </row>
    <row r="343" spans="25:48" x14ac:dyDescent="0.2">
      <c r="AR343"/>
      <c r="AV343"/>
    </row>
    <row r="344" spans="25:48" x14ac:dyDescent="0.2">
      <c r="AR344"/>
      <c r="AV344"/>
    </row>
    <row r="345" spans="25:48" x14ac:dyDescent="0.2">
      <c r="AR345"/>
      <c r="AV345"/>
    </row>
    <row r="346" spans="25:48" x14ac:dyDescent="0.2">
      <c r="AR346"/>
      <c r="AV346"/>
    </row>
    <row r="347" spans="25:48" ht="16" thickBot="1" x14ac:dyDescent="0.25">
      <c r="Y347" s="149"/>
    </row>
    <row r="348" spans="25:48" ht="16" thickBot="1" x14ac:dyDescent="0.25">
      <c r="Y348" s="149"/>
    </row>
    <row r="349" spans="25:48" ht="16" thickBot="1" x14ac:dyDescent="0.25">
      <c r="Y349" s="149"/>
    </row>
    <row r="350" spans="25:48" ht="16" thickBot="1" x14ac:dyDescent="0.25">
      <c r="Y350" s="149"/>
    </row>
    <row r="351" spans="25:48" ht="16" thickBot="1" x14ac:dyDescent="0.25">
      <c r="Y351" s="85"/>
    </row>
    <row r="352" spans="25:48" ht="16" thickBot="1" x14ac:dyDescent="0.25">
      <c r="Y352" s="149"/>
    </row>
    <row r="353" spans="25:25" ht="16" thickBot="1" x14ac:dyDescent="0.25">
      <c r="Y353" s="85"/>
    </row>
    <row r="354" spans="25:25" ht="16" thickBot="1" x14ac:dyDescent="0.25">
      <c r="Y354" s="149"/>
    </row>
    <row r="355" spans="25:25" ht="16" thickBot="1" x14ac:dyDescent="0.25">
      <c r="Y355" s="149"/>
    </row>
    <row r="356" spans="25:25" ht="16" thickBot="1" x14ac:dyDescent="0.25">
      <c r="Y356" s="85"/>
    </row>
    <row r="357" spans="25:25" ht="16" thickBot="1" x14ac:dyDescent="0.25">
      <c r="Y357" s="149"/>
    </row>
    <row r="358" spans="25:25" ht="16" thickBot="1" x14ac:dyDescent="0.25">
      <c r="Y358" s="149"/>
    </row>
    <row r="359" spans="25:25" ht="16" thickBot="1" x14ac:dyDescent="0.25">
      <c r="Y359" s="85"/>
    </row>
    <row r="360" spans="25:25" ht="16" thickBot="1" x14ac:dyDescent="0.25">
      <c r="Y360" s="149"/>
    </row>
    <row r="361" spans="25:25" ht="16" thickBot="1" x14ac:dyDescent="0.25">
      <c r="Y361" s="149"/>
    </row>
    <row r="362" spans="25:25" ht="16" thickBot="1" x14ac:dyDescent="0.25">
      <c r="Y362" s="149"/>
    </row>
    <row r="363" spans="25:25" ht="16" thickBot="1" x14ac:dyDescent="0.25">
      <c r="Y363" s="149"/>
    </row>
    <row r="364" spans="25:25" ht="16" thickBot="1" x14ac:dyDescent="0.25">
      <c r="Y364" s="149"/>
    </row>
    <row r="365" spans="25:25" ht="16" thickBot="1" x14ac:dyDescent="0.25">
      <c r="Y365" s="149"/>
    </row>
    <row r="366" spans="25:25" ht="16" thickBot="1" x14ac:dyDescent="0.25">
      <c r="Y366" s="149"/>
    </row>
    <row r="367" spans="25:25" ht="16" thickBot="1" x14ac:dyDescent="0.25">
      <c r="Y367" s="149"/>
    </row>
    <row r="368" spans="25:25" ht="16" thickBot="1" x14ac:dyDescent="0.25">
      <c r="Y368" s="149"/>
    </row>
    <row r="369" spans="25:25" ht="16" thickBot="1" x14ac:dyDescent="0.25">
      <c r="Y369" s="149"/>
    </row>
    <row r="370" spans="25:25" ht="16" thickBot="1" x14ac:dyDescent="0.25">
      <c r="Y370" s="149"/>
    </row>
    <row r="371" spans="25:25" ht="16" thickBot="1" x14ac:dyDescent="0.25">
      <c r="Y371" s="149"/>
    </row>
    <row r="372" spans="25:25" ht="16" thickBot="1" x14ac:dyDescent="0.25">
      <c r="Y372" s="85"/>
    </row>
    <row r="373" spans="25:25" ht="16" thickBot="1" x14ac:dyDescent="0.25">
      <c r="Y373" s="149"/>
    </row>
    <row r="374" spans="25:25" ht="16" thickBot="1" x14ac:dyDescent="0.25">
      <c r="Y374" s="149"/>
    </row>
    <row r="375" spans="25:25" ht="16" thickBot="1" x14ac:dyDescent="0.25">
      <c r="Y375" s="149"/>
    </row>
    <row r="376" spans="25:25" ht="16" thickBot="1" x14ac:dyDescent="0.25">
      <c r="Y376" s="149"/>
    </row>
    <row r="377" spans="25:25" ht="16" thickBot="1" x14ac:dyDescent="0.25">
      <c r="Y377" s="149"/>
    </row>
    <row r="378" spans="25:25" ht="16" thickBot="1" x14ac:dyDescent="0.25">
      <c r="Y378" s="85"/>
    </row>
    <row r="379" spans="25:25" ht="16" thickBot="1" x14ac:dyDescent="0.25">
      <c r="Y379" s="85"/>
    </row>
    <row r="380" spans="25:25" ht="16" thickBot="1" x14ac:dyDescent="0.25">
      <c r="Y380" s="149"/>
    </row>
    <row r="381" spans="25:25" ht="16" thickBot="1" x14ac:dyDescent="0.25">
      <c r="Y381" s="149"/>
    </row>
    <row r="382" spans="25:25" ht="16" thickBot="1" x14ac:dyDescent="0.25">
      <c r="Y382" s="149"/>
    </row>
    <row r="383" spans="25:25" ht="16" thickBot="1" x14ac:dyDescent="0.25">
      <c r="Y383" s="85"/>
    </row>
    <row r="384" spans="25:25" ht="16" thickBot="1" x14ac:dyDescent="0.25">
      <c r="Y384" s="149"/>
    </row>
    <row r="385" spans="25:25" ht="16" thickBot="1" x14ac:dyDescent="0.25">
      <c r="Y385" s="85"/>
    </row>
    <row r="386" spans="25:25" ht="16" thickBot="1" x14ac:dyDescent="0.25">
      <c r="Y386" s="149"/>
    </row>
    <row r="387" spans="25:25" ht="16" thickBot="1" x14ac:dyDescent="0.25">
      <c r="Y387" s="85"/>
    </row>
    <row r="388" spans="25:25" ht="16" thickBot="1" x14ac:dyDescent="0.25">
      <c r="Y388" s="149"/>
    </row>
    <row r="389" spans="25:25" ht="16" thickBot="1" x14ac:dyDescent="0.25">
      <c r="Y389" s="149"/>
    </row>
    <row r="390" spans="25:25" ht="16" thickBot="1" x14ac:dyDescent="0.25">
      <c r="Y390" s="85"/>
    </row>
    <row r="391" spans="25:25" ht="16" thickBot="1" x14ac:dyDescent="0.25">
      <c r="Y391" s="85"/>
    </row>
    <row r="392" spans="25:25" ht="16" thickBot="1" x14ac:dyDescent="0.25">
      <c r="Y392" s="149"/>
    </row>
    <row r="393" spans="25:25" ht="16" thickBot="1" x14ac:dyDescent="0.25">
      <c r="Y393" s="149"/>
    </row>
    <row r="394" spans="25:25" ht="16" thickBot="1" x14ac:dyDescent="0.25">
      <c r="Y394" s="149"/>
    </row>
    <row r="395" spans="25:25" ht="16" thickBot="1" x14ac:dyDescent="0.25">
      <c r="Y395" s="149"/>
    </row>
    <row r="396" spans="25:25" ht="16" thickBot="1" x14ac:dyDescent="0.25">
      <c r="Y396" s="149"/>
    </row>
    <row r="397" spans="25:25" ht="16" thickBot="1" x14ac:dyDescent="0.25">
      <c r="Y397" s="85"/>
    </row>
    <row r="398" spans="25:25" ht="16" thickBot="1" x14ac:dyDescent="0.25">
      <c r="Y398" s="149"/>
    </row>
    <row r="399" spans="25:25" ht="16" thickBot="1" x14ac:dyDescent="0.25">
      <c r="Y399" s="149"/>
    </row>
    <row r="400" spans="25:25" ht="16" thickBot="1" x14ac:dyDescent="0.25">
      <c r="Y400" s="149"/>
    </row>
    <row r="401" spans="25:25" ht="16" thickBot="1" x14ac:dyDescent="0.25">
      <c r="Y401" s="149"/>
    </row>
    <row r="402" spans="25:25" ht="16" thickBot="1" x14ac:dyDescent="0.25">
      <c r="Y402" s="149"/>
    </row>
    <row r="403" spans="25:25" ht="16" thickBot="1" x14ac:dyDescent="0.25">
      <c r="Y403" s="149"/>
    </row>
    <row r="404" spans="25:25" ht="16" thickBot="1" x14ac:dyDescent="0.25">
      <c r="Y404" s="149"/>
    </row>
    <row r="405" spans="25:25" ht="16" thickBot="1" x14ac:dyDescent="0.25">
      <c r="Y405" s="149"/>
    </row>
    <row r="406" spans="25:25" ht="16" thickBot="1" x14ac:dyDescent="0.25">
      <c r="Y406" s="149"/>
    </row>
    <row r="407" spans="25:25" ht="16" thickBot="1" x14ac:dyDescent="0.25">
      <c r="Y407" s="149"/>
    </row>
    <row r="408" spans="25:25" ht="16" thickBot="1" x14ac:dyDescent="0.25">
      <c r="Y408" s="149"/>
    </row>
    <row r="409" spans="25:25" ht="16" thickBot="1" x14ac:dyDescent="0.25">
      <c r="Y409" s="149"/>
    </row>
    <row r="410" spans="25:25" ht="16" thickBot="1" x14ac:dyDescent="0.25">
      <c r="Y410" s="149"/>
    </row>
    <row r="411" spans="25:25" ht="16" thickBot="1" x14ac:dyDescent="0.25">
      <c r="Y411" s="149"/>
    </row>
    <row r="412" spans="25:25" ht="16" thickBot="1" x14ac:dyDescent="0.25">
      <c r="Y412" s="149"/>
    </row>
    <row r="413" spans="25:25" ht="16" thickBot="1" x14ac:dyDescent="0.25">
      <c r="Y413" s="85"/>
    </row>
    <row r="414" spans="25:25" ht="16" thickBot="1" x14ac:dyDescent="0.25">
      <c r="Y414" s="85"/>
    </row>
    <row r="415" spans="25:25" ht="16" thickBot="1" x14ac:dyDescent="0.25">
      <c r="Y415" s="149"/>
    </row>
    <row r="416" spans="25:25" ht="16" thickBot="1" x14ac:dyDescent="0.25">
      <c r="Y416" s="149"/>
    </row>
    <row r="417" spans="25:25" ht="16" thickBot="1" x14ac:dyDescent="0.25">
      <c r="Y417" s="85"/>
    </row>
    <row r="418" spans="25:25" ht="16" thickBot="1" x14ac:dyDescent="0.25">
      <c r="Y418" s="149"/>
    </row>
    <row r="419" spans="25:25" ht="16" thickBot="1" x14ac:dyDescent="0.25">
      <c r="Y419" s="85"/>
    </row>
    <row r="420" spans="25:25" ht="16" thickBot="1" x14ac:dyDescent="0.25">
      <c r="Y420" s="149"/>
    </row>
    <row r="421" spans="25:25" ht="16" thickBot="1" x14ac:dyDescent="0.25">
      <c r="Y421" s="149"/>
    </row>
    <row r="422" spans="25:25" ht="16" thickBot="1" x14ac:dyDescent="0.25">
      <c r="Y422" s="149"/>
    </row>
    <row r="423" spans="25:25" ht="16" thickBot="1" x14ac:dyDescent="0.25">
      <c r="Y423" s="149"/>
    </row>
    <row r="424" spans="25:25" ht="16" thickBot="1" x14ac:dyDescent="0.25">
      <c r="Y424" s="149"/>
    </row>
  </sheetData>
  <mergeCells count="33">
    <mergeCell ref="DK1:DV2"/>
    <mergeCell ref="DX1:EI2"/>
    <mergeCell ref="EK1:EV2"/>
    <mergeCell ref="EX1:FI2"/>
    <mergeCell ref="FK1:FV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A1:B2"/>
    <mergeCell ref="D1:O2"/>
    <mergeCell ref="BN1:CW1"/>
    <mergeCell ref="BA2:BD2"/>
    <mergeCell ref="BE2:BH2"/>
    <mergeCell ref="BI2:BL2"/>
    <mergeCell ref="BN2:BQ2"/>
    <mergeCell ref="Q1:AZ1"/>
    <mergeCell ref="BR2:BU2"/>
    <mergeCell ref="BV2:BY2"/>
    <mergeCell ref="CH2:CK2"/>
    <mergeCell ref="CL2:CO2"/>
    <mergeCell ref="Y2:AB2"/>
    <mergeCell ref="AC2:AF2"/>
    <mergeCell ref="AG2:AJ2"/>
    <mergeCell ref="AK2:AN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5"/>
  <sheetViews>
    <sheetView workbookViewId="0">
      <selection activeCell="E15" sqref="E15"/>
    </sheetView>
  </sheetViews>
  <sheetFormatPr baseColWidth="10" defaultColWidth="9.1640625" defaultRowHeight="15" x14ac:dyDescent="0.2"/>
  <cols>
    <col min="1" max="1" width="6.83203125" customWidth="1"/>
    <col min="2" max="2" width="16.33203125" customWidth="1"/>
    <col min="3" max="3" width="14.33203125" bestFit="1" customWidth="1"/>
    <col min="4" max="7" width="16.83203125" bestFit="1" customWidth="1"/>
    <col min="8" max="8" width="14.33203125" bestFit="1" customWidth="1"/>
    <col min="10" max="10" width="15.33203125" bestFit="1" customWidth="1"/>
    <col min="14" max="14" width="14.33203125" bestFit="1" customWidth="1"/>
    <col min="16" max="16" width="14.33203125" bestFit="1" customWidth="1"/>
    <col min="18" max="18" width="13.5" bestFit="1" customWidth="1"/>
    <col min="20" max="20" width="14.33203125" bestFit="1" customWidth="1"/>
  </cols>
  <sheetData>
    <row r="1" spans="2:10" ht="16" thickBot="1" x14ac:dyDescent="0.25">
      <c r="B1" s="331" t="s">
        <v>305</v>
      </c>
      <c r="C1" s="332"/>
      <c r="D1" s="332"/>
      <c r="E1" s="332"/>
      <c r="F1" s="332"/>
      <c r="G1" s="332"/>
      <c r="H1" s="332"/>
      <c r="I1" s="332"/>
      <c r="J1" s="333"/>
    </row>
    <row r="2" spans="2:10" ht="15" customHeight="1" x14ac:dyDescent="0.2">
      <c r="B2" s="64"/>
      <c r="C2" s="334" t="s">
        <v>137</v>
      </c>
      <c r="D2" s="335"/>
      <c r="E2" s="334" t="s">
        <v>136</v>
      </c>
      <c r="F2" s="336"/>
      <c r="G2" s="335" t="s">
        <v>135</v>
      </c>
      <c r="H2" s="335"/>
      <c r="I2" s="337" t="s">
        <v>260</v>
      </c>
      <c r="J2" s="338"/>
    </row>
    <row r="3" spans="2:10" x14ac:dyDescent="0.2">
      <c r="B3" s="81" t="s">
        <v>261</v>
      </c>
      <c r="C3" s="82" t="s">
        <v>262</v>
      </c>
      <c r="D3" s="79" t="s">
        <v>263</v>
      </c>
      <c r="E3" s="82" t="s">
        <v>262</v>
      </c>
      <c r="F3" s="78" t="s">
        <v>263</v>
      </c>
      <c r="G3" s="248" t="s">
        <v>262</v>
      </c>
      <c r="H3" s="79" t="s">
        <v>263</v>
      </c>
      <c r="I3" s="82" t="s">
        <v>262</v>
      </c>
      <c r="J3" s="78" t="s">
        <v>263</v>
      </c>
    </row>
    <row r="4" spans="2:10" x14ac:dyDescent="0.2">
      <c r="B4" s="66" t="s">
        <v>264</v>
      </c>
      <c r="C4" s="247">
        <v>14610</v>
      </c>
      <c r="D4" s="104">
        <v>1715548.24</v>
      </c>
      <c r="E4" s="35">
        <v>1035</v>
      </c>
      <c r="F4" s="63">
        <v>680180.68</v>
      </c>
      <c r="G4" s="45">
        <v>22</v>
      </c>
      <c r="H4" s="104">
        <v>28166.720000000001</v>
      </c>
      <c r="I4" s="67">
        <f>C4+E4+G4</f>
        <v>15667</v>
      </c>
      <c r="J4" s="63">
        <f>D4+F4+H4</f>
        <v>2423895.64</v>
      </c>
    </row>
    <row r="5" spans="2:10" x14ac:dyDescent="0.2">
      <c r="B5" s="66" t="s">
        <v>265</v>
      </c>
      <c r="C5" s="247">
        <v>7624</v>
      </c>
      <c r="D5" s="104">
        <v>1699877.24</v>
      </c>
      <c r="E5" s="35">
        <v>364</v>
      </c>
      <c r="F5" s="63">
        <v>285748.25</v>
      </c>
      <c r="G5" s="45">
        <v>3</v>
      </c>
      <c r="H5" s="104">
        <v>7099.82</v>
      </c>
      <c r="I5" s="67">
        <f t="shared" ref="I5:J7" si="0">C5+E5+G5</f>
        <v>7991</v>
      </c>
      <c r="J5" s="63">
        <f t="shared" si="0"/>
        <v>1992725.31</v>
      </c>
    </row>
    <row r="6" spans="2:10" x14ac:dyDescent="0.2">
      <c r="B6" s="66" t="s">
        <v>266</v>
      </c>
      <c r="C6" s="247">
        <v>6529</v>
      </c>
      <c r="D6" s="104">
        <v>2373929.69</v>
      </c>
      <c r="E6" s="35">
        <v>362</v>
      </c>
      <c r="F6" s="63">
        <v>1030842.68</v>
      </c>
      <c r="G6" s="45">
        <v>9</v>
      </c>
      <c r="H6" s="104">
        <v>1025065.04</v>
      </c>
      <c r="I6" s="67">
        <f t="shared" si="0"/>
        <v>6900</v>
      </c>
      <c r="J6" s="63">
        <f t="shared" si="0"/>
        <v>4429837.41</v>
      </c>
    </row>
    <row r="7" spans="2:10" ht="16" thickBot="1" x14ac:dyDescent="0.25">
      <c r="B7" s="68" t="s">
        <v>259</v>
      </c>
      <c r="C7" s="69">
        <f t="shared" ref="C7:J7" si="1">SUM(C4:C6)</f>
        <v>28763</v>
      </c>
      <c r="D7" s="107">
        <f t="shared" si="1"/>
        <v>5789355.1699999999</v>
      </c>
      <c r="E7" s="70">
        <f t="shared" si="1"/>
        <v>1761</v>
      </c>
      <c r="F7" s="106">
        <f t="shared" si="1"/>
        <v>1996771.61</v>
      </c>
      <c r="G7" s="249">
        <f t="shared" si="1"/>
        <v>34</v>
      </c>
      <c r="H7" s="107">
        <f t="shared" si="1"/>
        <v>1060331.58</v>
      </c>
      <c r="I7" s="108">
        <f t="shared" si="0"/>
        <v>30558</v>
      </c>
      <c r="J7" s="109">
        <f t="shared" si="1"/>
        <v>8846458.3599999994</v>
      </c>
    </row>
    <row r="8" spans="2:10" ht="16" thickBot="1" x14ac:dyDescent="0.25"/>
    <row r="9" spans="2:10" x14ac:dyDescent="0.2">
      <c r="B9" s="71"/>
      <c r="C9" s="329" t="s">
        <v>267</v>
      </c>
      <c r="D9" s="330"/>
      <c r="E9" s="246"/>
    </row>
    <row r="10" spans="2:10" ht="16" x14ac:dyDescent="0.2">
      <c r="B10" s="65" t="s">
        <v>261</v>
      </c>
      <c r="C10" s="72" t="s">
        <v>262</v>
      </c>
      <c r="D10" s="80" t="s">
        <v>263</v>
      </c>
    </row>
    <row r="11" spans="2:10" x14ac:dyDescent="0.2">
      <c r="B11" s="73" t="s">
        <v>264</v>
      </c>
      <c r="C11" s="74">
        <v>5112</v>
      </c>
      <c r="D11" s="63">
        <v>409848.19</v>
      </c>
    </row>
    <row r="12" spans="2:10" x14ac:dyDescent="0.2">
      <c r="B12" s="73" t="s">
        <v>265</v>
      </c>
      <c r="C12" s="74">
        <v>5187</v>
      </c>
      <c r="D12" s="63">
        <v>2365646.29</v>
      </c>
      <c r="G12" s="75"/>
    </row>
    <row r="13" spans="2:10" x14ac:dyDescent="0.2">
      <c r="B13" s="73" t="s">
        <v>266</v>
      </c>
      <c r="C13" s="74">
        <v>3681</v>
      </c>
      <c r="D13" s="105">
        <v>1379160.48</v>
      </c>
    </row>
    <row r="14" spans="2:10" ht="16" thickBot="1" x14ac:dyDescent="0.25">
      <c r="B14" s="76" t="s">
        <v>259</v>
      </c>
      <c r="C14" s="77">
        <f>C11+C12+C13</f>
        <v>13980</v>
      </c>
      <c r="D14" s="106">
        <f>SUM(D11:D13)</f>
        <v>4154654.96</v>
      </c>
    </row>
    <row r="15" spans="2:10" x14ac:dyDescent="0.2">
      <c r="B15" t="s">
        <v>268</v>
      </c>
    </row>
  </sheetData>
  <mergeCells count="6"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7EE7-07E5-46EC-86EB-C6FC8C86943B}">
  <dimension ref="A1:I16"/>
  <sheetViews>
    <sheetView workbookViewId="0">
      <selection activeCell="M16" sqref="M16"/>
    </sheetView>
  </sheetViews>
  <sheetFormatPr baseColWidth="10" defaultColWidth="8.83203125" defaultRowHeight="15" x14ac:dyDescent="0.2"/>
  <cols>
    <col min="2" max="2" width="17.83203125" bestFit="1" customWidth="1"/>
    <col min="3" max="4" width="10.33203125" bestFit="1" customWidth="1"/>
    <col min="5" max="5" width="2.6640625" customWidth="1"/>
    <col min="8" max="8" width="11" bestFit="1" customWidth="1"/>
  </cols>
  <sheetData>
    <row r="1" spans="1:9" ht="16" thickBot="1" x14ac:dyDescent="0.25">
      <c r="A1" s="359">
        <v>45809</v>
      </c>
      <c r="B1" s="294"/>
      <c r="C1" s="294"/>
      <c r="D1" s="294"/>
      <c r="E1" s="294"/>
      <c r="F1" s="294"/>
      <c r="G1" s="294"/>
      <c r="H1" s="294"/>
      <c r="I1" s="294"/>
    </row>
    <row r="2" spans="1:9" ht="56" x14ac:dyDescent="0.2">
      <c r="A2" s="366">
        <v>45832</v>
      </c>
      <c r="B2" s="367"/>
      <c r="C2" s="370" t="s">
        <v>285</v>
      </c>
      <c r="D2" s="372" t="s">
        <v>286</v>
      </c>
      <c r="F2" s="374">
        <v>45832</v>
      </c>
      <c r="G2" s="375"/>
      <c r="H2" s="267" t="s">
        <v>287</v>
      </c>
      <c r="I2" s="268" t="s">
        <v>288</v>
      </c>
    </row>
    <row r="3" spans="1:9" ht="16" thickBot="1" x14ac:dyDescent="0.25">
      <c r="A3" s="368"/>
      <c r="B3" s="369"/>
      <c r="C3" s="371"/>
      <c r="D3" s="373"/>
      <c r="F3" s="357" t="s">
        <v>289</v>
      </c>
      <c r="G3" s="358"/>
      <c r="H3" s="269">
        <v>67762.22</v>
      </c>
      <c r="I3" s="270">
        <v>770</v>
      </c>
    </row>
    <row r="4" spans="1:9" x14ac:dyDescent="0.2">
      <c r="A4" s="271" t="s">
        <v>290</v>
      </c>
      <c r="B4" s="272" t="s">
        <v>291</v>
      </c>
      <c r="C4" s="273">
        <v>452</v>
      </c>
      <c r="D4" s="274">
        <v>28299</v>
      </c>
      <c r="F4" s="357" t="s">
        <v>292</v>
      </c>
      <c r="G4" s="358"/>
      <c r="H4" s="269">
        <v>25668</v>
      </c>
      <c r="I4" s="270">
        <v>329</v>
      </c>
    </row>
    <row r="5" spans="1:9" ht="16" thickBot="1" x14ac:dyDescent="0.25">
      <c r="A5" s="275"/>
      <c r="B5" s="276" t="s">
        <v>293</v>
      </c>
      <c r="C5" s="277">
        <v>636.69000000000005</v>
      </c>
      <c r="D5" s="278">
        <v>34.950000000000003</v>
      </c>
      <c r="F5" s="357" t="s">
        <v>294</v>
      </c>
      <c r="G5" s="358"/>
      <c r="H5" s="269">
        <v>553996.86</v>
      </c>
      <c r="I5" s="270">
        <v>959</v>
      </c>
    </row>
    <row r="6" spans="1:9" x14ac:dyDescent="0.2">
      <c r="A6" s="271" t="s">
        <v>295</v>
      </c>
      <c r="B6" s="272" t="s">
        <v>291</v>
      </c>
      <c r="C6" s="273">
        <v>8</v>
      </c>
      <c r="D6" s="274">
        <v>2301</v>
      </c>
      <c r="F6" s="357" t="s">
        <v>296</v>
      </c>
      <c r="G6" s="358"/>
      <c r="H6" s="279">
        <v>158512.76999999999</v>
      </c>
      <c r="I6" s="270">
        <v>520</v>
      </c>
    </row>
    <row r="7" spans="1:9" ht="16" thickBot="1" x14ac:dyDescent="0.25">
      <c r="A7" s="275"/>
      <c r="B7" s="276" t="s">
        <v>293</v>
      </c>
      <c r="C7" s="277">
        <v>438.38</v>
      </c>
      <c r="D7" s="278">
        <v>10.31</v>
      </c>
      <c r="F7" s="357" t="s">
        <v>297</v>
      </c>
      <c r="G7" s="358"/>
      <c r="H7" s="269">
        <v>20415.849999999999</v>
      </c>
      <c r="I7" s="270">
        <v>93</v>
      </c>
    </row>
    <row r="8" spans="1:9" x14ac:dyDescent="0.2">
      <c r="A8" s="271" t="s">
        <v>298</v>
      </c>
      <c r="B8" s="272" t="s">
        <v>291</v>
      </c>
      <c r="C8" s="273">
        <v>345</v>
      </c>
      <c r="D8" s="274">
        <v>29029</v>
      </c>
      <c r="F8" s="357" t="s">
        <v>299</v>
      </c>
      <c r="G8" s="358"/>
      <c r="H8" s="269">
        <v>33281.54</v>
      </c>
      <c r="I8" s="270">
        <v>99</v>
      </c>
    </row>
    <row r="9" spans="1:9" ht="16" thickBot="1" x14ac:dyDescent="0.25">
      <c r="A9" s="275"/>
      <c r="B9" s="276" t="s">
        <v>293</v>
      </c>
      <c r="C9" s="277">
        <v>735.84</v>
      </c>
      <c r="D9" s="278">
        <v>40.24</v>
      </c>
      <c r="F9" s="357" t="s">
        <v>300</v>
      </c>
      <c r="G9" s="358"/>
      <c r="H9" s="269">
        <v>69445</v>
      </c>
      <c r="I9" s="270">
        <v>116</v>
      </c>
    </row>
    <row r="10" spans="1:9" x14ac:dyDescent="0.2">
      <c r="A10" s="271" t="s">
        <v>301</v>
      </c>
      <c r="B10" s="272" t="s">
        <v>291</v>
      </c>
      <c r="C10" s="273">
        <v>11</v>
      </c>
      <c r="D10" s="274">
        <v>1094</v>
      </c>
      <c r="F10" s="357" t="s">
        <v>302</v>
      </c>
      <c r="G10" s="358"/>
      <c r="H10" s="269">
        <v>1974114.8</v>
      </c>
      <c r="I10" s="270">
        <v>60607</v>
      </c>
    </row>
    <row r="11" spans="1:9" ht="16" thickBot="1" x14ac:dyDescent="0.25">
      <c r="A11" s="280"/>
      <c r="B11" s="281" t="s">
        <v>293</v>
      </c>
      <c r="C11" s="282">
        <v>640.54999999999995</v>
      </c>
      <c r="D11" s="283">
        <v>31.11</v>
      </c>
      <c r="F11" s="357" t="s">
        <v>303</v>
      </c>
      <c r="G11" s="358"/>
      <c r="H11" s="284">
        <v>13805.84</v>
      </c>
      <c r="I11" s="285">
        <v>24</v>
      </c>
    </row>
    <row r="12" spans="1:9" ht="16" thickBot="1" x14ac:dyDescent="0.25">
      <c r="A12" s="360" t="s">
        <v>259</v>
      </c>
      <c r="B12" s="272" t="s">
        <v>291</v>
      </c>
      <c r="C12" s="286">
        <f>SUM(C4,C6,C8,C10)</f>
        <v>816</v>
      </c>
      <c r="D12" s="286">
        <f>SUM(D4,D6,D8,D10)</f>
        <v>60723</v>
      </c>
      <c r="E12" s="10"/>
      <c r="F12" s="362"/>
      <c r="G12" s="363"/>
      <c r="H12" s="287"/>
      <c r="I12" s="288"/>
    </row>
    <row r="13" spans="1:9" ht="17" thickTop="1" thickBot="1" x14ac:dyDescent="0.25">
      <c r="A13" s="361"/>
      <c r="B13" s="281" t="s">
        <v>293</v>
      </c>
      <c r="C13" s="289">
        <v>676.72</v>
      </c>
      <c r="D13" s="289">
        <v>36.47</v>
      </c>
      <c r="F13" s="364" t="s">
        <v>259</v>
      </c>
      <c r="G13" s="365"/>
      <c r="H13" s="290">
        <f>SUM(H3:H12)</f>
        <v>2917002.88</v>
      </c>
      <c r="I13" s="291">
        <f>SUM(I3:I12)</f>
        <v>63517</v>
      </c>
    </row>
    <row r="14" spans="1:9" ht="25.5" customHeight="1" x14ac:dyDescent="0.2">
      <c r="A14" s="339"/>
      <c r="B14" s="340"/>
      <c r="C14" s="340"/>
      <c r="D14" s="340"/>
      <c r="E14" s="341"/>
      <c r="F14" s="348" t="s">
        <v>304</v>
      </c>
      <c r="G14" s="349"/>
      <c r="H14" s="349"/>
      <c r="I14" s="350"/>
    </row>
    <row r="15" spans="1:9" ht="22" customHeight="1" x14ac:dyDescent="0.2">
      <c r="A15" s="342"/>
      <c r="B15" s="343"/>
      <c r="C15" s="343"/>
      <c r="D15" s="343"/>
      <c r="E15" s="344"/>
      <c r="F15" s="351"/>
      <c r="G15" s="352"/>
      <c r="H15" s="352"/>
      <c r="I15" s="353"/>
    </row>
    <row r="16" spans="1:9" ht="16" thickBot="1" x14ac:dyDescent="0.25">
      <c r="A16" s="345"/>
      <c r="B16" s="346"/>
      <c r="C16" s="346"/>
      <c r="D16" s="346"/>
      <c r="E16" s="347"/>
      <c r="F16" s="354"/>
      <c r="G16" s="355"/>
      <c r="H16" s="355"/>
      <c r="I16" s="356"/>
    </row>
  </sheetData>
  <mergeCells count="19">
    <mergeCell ref="A1:I1"/>
    <mergeCell ref="F11:G11"/>
    <mergeCell ref="A12:A13"/>
    <mergeCell ref="F12:G12"/>
    <mergeCell ref="F13:G13"/>
    <mergeCell ref="A2:B3"/>
    <mergeCell ref="C2:C3"/>
    <mergeCell ref="D2:D3"/>
    <mergeCell ref="F2:G2"/>
    <mergeCell ref="F3:G3"/>
    <mergeCell ref="F4:G4"/>
    <mergeCell ref="A14:E16"/>
    <mergeCell ref="F14:I16"/>
    <mergeCell ref="F5:G5"/>
    <mergeCell ref="F6:G6"/>
    <mergeCell ref="F7:G7"/>
    <mergeCell ref="F8:G8"/>
    <mergeCell ref="F9:G9"/>
    <mergeCell ref="F10:G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52" ma:contentTypeDescription="" ma:contentTypeScope="" ma:versionID="ee4fb167d08b8a607e96316816fb63a9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Report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2025-07-25T07:00:00+00:00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6E637A76-E668-4745-8224-00C0F29F6E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D04890-6252-4A92-90D0-5896ABFCDA2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D5F43C0-9093-4540-9523-D018ACFF7A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E188896-210D-481A-BF8A-87C6C4D8C483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2025</vt:lpstr>
      <vt:lpstr>2. Disconnections 2025</vt:lpstr>
      <vt:lpstr>3. Fees 2025</vt:lpstr>
      <vt:lpstr>4. Payment Arrangements 2025</vt:lpstr>
      <vt:lpstr>5. Medical Certificates 2025</vt:lpstr>
      <vt:lpstr>6. Deposits 2025</vt:lpstr>
      <vt:lpstr>7. Bill Assistance 2025</vt:lpstr>
      <vt:lpstr>8. Past Due Balances 2025</vt:lpstr>
      <vt:lpstr>Section K No. 2 a, b, c</vt:lpstr>
      <vt:lpstr>Section K No.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2025-09-20T00:13:37Z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