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4 Data/PAC/"/>
    </mc:Choice>
  </mc:AlternateContent>
  <xr:revisionPtr revIDLastSave="0" documentId="13_ncr:1_{808A6558-AA97-E048-A176-AE0E415C9B77}" xr6:coauthVersionLast="47" xr6:coauthVersionMax="47" xr10:uidLastSave="{00000000-0000-0000-0000-000000000000}"/>
  <bookViews>
    <workbookView xWindow="28800" yWindow="480" windowWidth="38400" windowHeight="21120" tabRatio="796" activeTab="9" xr2:uid="{00000000-000D-0000-FFFF-FFFF00000000}"/>
  </bookViews>
  <sheets>
    <sheet name="1. General 2024_Q1" sheetId="2" r:id="rId1"/>
    <sheet name="2. Disconnections 2024_Q1" sheetId="3" r:id="rId2"/>
    <sheet name="3. Fees 2024_Q1" sheetId="4" r:id="rId3"/>
    <sheet name="4. Payment Arrangements 2024_Q1" sheetId="5" r:id="rId4"/>
    <sheet name="5. Medical Certificates 2024_Q1" sheetId="6" r:id="rId5"/>
    <sheet name="6. Deposits 2024_Q1" sheetId="7" r:id="rId6"/>
    <sheet name="DEP_WKSHT" sheetId="35" state="hidden" r:id="rId7"/>
    <sheet name="7. Bill Assistance 2024_Q1" sheetId="8" r:id="rId8"/>
    <sheet name="BA_WRKSHT" sheetId="36" state="hidden" r:id="rId9"/>
    <sheet name="8.ARREARS NEW 2024_Q1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2024_Q1'!$J$4:$J$141</definedName>
    <definedName name="_xlnm._FilterDatabase" localSheetId="1" hidden="1">'2. Disconnections 2024_Q1'!$A$2:$AF$599</definedName>
    <definedName name="_xlnm._FilterDatabase" localSheetId="2" hidden="1">'3. Fees 2024_Q1'!$A$2:$Z$68</definedName>
    <definedName name="_xlnm._FilterDatabase" localSheetId="5" hidden="1">'6. Deposits 2024_Q1'!$A$1:$B$61</definedName>
    <definedName name="_xlnm._FilterDatabase" localSheetId="7" hidden="1">'7. Bill Assistance 2024_Q1'!$A$2:$M$2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63" r:id="rId18"/>
    <pivotCache cacheId="64" r:id="rId19"/>
    <pivotCache cacheId="65" r:id="rId20"/>
    <pivotCache cacheId="66" r:id="rId21"/>
    <pivotCache cacheId="67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D42" i="38" l="1"/>
  <c r="CB42" i="38"/>
  <c r="BZ42" i="38"/>
  <c r="BX42" i="38"/>
  <c r="BV42" i="38"/>
  <c r="BT42" i="38"/>
  <c r="BR42" i="38"/>
  <c r="BO42" i="38"/>
  <c r="BL42" i="38"/>
  <c r="AU78" i="38"/>
  <c r="AV78" i="38"/>
  <c r="AT78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T60" i="38"/>
  <c r="D78" i="38"/>
  <c r="E78" i="38"/>
  <c r="F78" i="38"/>
  <c r="G78" i="38"/>
  <c r="H78" i="38"/>
  <c r="I78" i="38"/>
  <c r="J78" i="38"/>
  <c r="K78" i="38"/>
  <c r="L78" i="38"/>
  <c r="M78" i="38"/>
  <c r="N78" i="38"/>
  <c r="O78" i="38"/>
  <c r="P78" i="38"/>
  <c r="Q78" i="38"/>
  <c r="C78" i="38"/>
  <c r="AR78" i="38"/>
  <c r="Q35" i="8"/>
  <c r="S35" i="8"/>
  <c r="O35" i="8"/>
  <c r="I17" i="3"/>
  <c r="L17" i="3"/>
  <c r="F17" i="3"/>
  <c r="AR6" i="38"/>
  <c r="AS6" i="38"/>
  <c r="AR7" i="38"/>
  <c r="AS7" i="38"/>
  <c r="AR8" i="38"/>
  <c r="AS8" i="38"/>
  <c r="AR9" i="38"/>
  <c r="AS9" i="38"/>
  <c r="AR10" i="38"/>
  <c r="AS10" i="38"/>
  <c r="AR11" i="38"/>
  <c r="AS11" i="38"/>
  <c r="AR12" i="38"/>
  <c r="AS12" i="38"/>
  <c r="AR13" i="38"/>
  <c r="AS13" i="38"/>
  <c r="AR14" i="38"/>
  <c r="AS14" i="38"/>
  <c r="AR15" i="38"/>
  <c r="AS15" i="38"/>
  <c r="AR16" i="38"/>
  <c r="AS16" i="38"/>
  <c r="AR17" i="38"/>
  <c r="AS17" i="38"/>
  <c r="AR18" i="38"/>
  <c r="AS18" i="38"/>
  <c r="AR19" i="38"/>
  <c r="AS19" i="38"/>
  <c r="AR20" i="38"/>
  <c r="AS20" i="38"/>
  <c r="AR21" i="38"/>
  <c r="AS21" i="38"/>
  <c r="AR22" i="38"/>
  <c r="AS22" i="38"/>
  <c r="AR23" i="38"/>
  <c r="AS23" i="38"/>
  <c r="AR24" i="38"/>
  <c r="AS24" i="38"/>
  <c r="AR25" i="38"/>
  <c r="AS25" i="38"/>
  <c r="AR26" i="38"/>
  <c r="AS26" i="38"/>
  <c r="AR27" i="38"/>
  <c r="AS27" i="38"/>
  <c r="AR28" i="38"/>
  <c r="AS28" i="38"/>
  <c r="AR29" i="38"/>
  <c r="AS29" i="38"/>
  <c r="AR30" i="38"/>
  <c r="AS30" i="38"/>
  <c r="AR31" i="38"/>
  <c r="AS31" i="38"/>
  <c r="AR32" i="38"/>
  <c r="AS32" i="38"/>
  <c r="AR33" i="38"/>
  <c r="AS33" i="38"/>
  <c r="AR34" i="38"/>
  <c r="AS34" i="38"/>
  <c r="AR35" i="38"/>
  <c r="AS35" i="38"/>
  <c r="AR36" i="38"/>
  <c r="AS36" i="38"/>
  <c r="AR37" i="38"/>
  <c r="AS37" i="38"/>
  <c r="AR38" i="38"/>
  <c r="AS38" i="38"/>
  <c r="AR39" i="38"/>
  <c r="AS39" i="38"/>
  <c r="AR40" i="38"/>
  <c r="AS40" i="38"/>
  <c r="AR41" i="38"/>
  <c r="AS41" i="38"/>
  <c r="AR42" i="38"/>
  <c r="AS42" i="38"/>
  <c r="AR43" i="38"/>
  <c r="AS43" i="38"/>
  <c r="AR44" i="38"/>
  <c r="AS44" i="38"/>
  <c r="AR45" i="38"/>
  <c r="AS45" i="38"/>
  <c r="AR46" i="38"/>
  <c r="AS46" i="38"/>
  <c r="AR47" i="38"/>
  <c r="AS47" i="38"/>
  <c r="AR48" i="38"/>
  <c r="AS48" i="38"/>
  <c r="AR49" i="38"/>
  <c r="AS49" i="38"/>
  <c r="AR50" i="38"/>
  <c r="AS50" i="38"/>
  <c r="AR51" i="38"/>
  <c r="AS51" i="38"/>
  <c r="AR52" i="38"/>
  <c r="AS52" i="38"/>
  <c r="AR53" i="38"/>
  <c r="AS53" i="38"/>
  <c r="AR54" i="38"/>
  <c r="AS54" i="38"/>
  <c r="AR55" i="38"/>
  <c r="AS55" i="38"/>
  <c r="AR56" i="38"/>
  <c r="AS56" i="38"/>
  <c r="AR57" i="38"/>
  <c r="AS57" i="38"/>
  <c r="AR58" i="38"/>
  <c r="AS58" i="38"/>
  <c r="AR59" i="38"/>
  <c r="AS59" i="38"/>
  <c r="AR60" i="38"/>
  <c r="AS60" i="38"/>
  <c r="AR61" i="38"/>
  <c r="AS61" i="38"/>
  <c r="AR62" i="38"/>
  <c r="AS62" i="38"/>
  <c r="AR63" i="38"/>
  <c r="AS63" i="38"/>
  <c r="AR64" i="38"/>
  <c r="AS64" i="38"/>
  <c r="AR65" i="38"/>
  <c r="AS65" i="38"/>
  <c r="AR66" i="38"/>
  <c r="AS66" i="38"/>
  <c r="AR67" i="38"/>
  <c r="AS67" i="38"/>
  <c r="AR68" i="38"/>
  <c r="AS68" i="38"/>
  <c r="AR69" i="38"/>
  <c r="AS69" i="38"/>
  <c r="AR70" i="38"/>
  <c r="AS70" i="38"/>
  <c r="AR71" i="38"/>
  <c r="AS71" i="38"/>
  <c r="AR72" i="38"/>
  <c r="AS72" i="38"/>
  <c r="AR73" i="38"/>
  <c r="AS73" i="38"/>
  <c r="AR74" i="38"/>
  <c r="AS74" i="38"/>
  <c r="AR75" i="38"/>
  <c r="AS75" i="38"/>
  <c r="AR76" i="38"/>
  <c r="AS76" i="38"/>
  <c r="AR77" i="38"/>
  <c r="AS77" i="38"/>
  <c r="AS5" i="38"/>
  <c r="AR5" i="38"/>
  <c r="O9" i="2"/>
  <c r="AV5" i="38"/>
  <c r="AT77" i="38"/>
  <c r="AU77" i="38"/>
  <c r="AV77" i="38"/>
  <c r="AV76" i="38"/>
  <c r="AT70" i="38" l="1"/>
  <c r="AU70" i="38"/>
  <c r="AV70" i="38"/>
  <c r="AT71" i="38"/>
  <c r="AU71" i="38"/>
  <c r="AV71" i="38"/>
  <c r="AT72" i="38"/>
  <c r="AU72" i="38"/>
  <c r="AV72" i="38"/>
  <c r="AT73" i="38"/>
  <c r="AU73" i="38"/>
  <c r="AV73" i="38"/>
  <c r="AT74" i="38"/>
  <c r="AU74" i="38"/>
  <c r="AV74" i="38"/>
  <c r="AT75" i="38"/>
  <c r="AU75" i="38"/>
  <c r="AV75" i="38"/>
  <c r="AT76" i="38"/>
  <c r="AU76" i="38"/>
  <c r="AT6" i="38"/>
  <c r="AU6" i="38"/>
  <c r="AV6" i="38"/>
  <c r="AT7" i="38"/>
  <c r="AU7" i="38"/>
  <c r="AV7" i="38"/>
  <c r="AT8" i="38"/>
  <c r="AU8" i="38"/>
  <c r="AV8" i="38"/>
  <c r="AT9" i="38"/>
  <c r="AU9" i="38"/>
  <c r="AV9" i="38"/>
  <c r="AT10" i="38"/>
  <c r="AU10" i="38"/>
  <c r="AV10" i="38"/>
  <c r="AT11" i="38"/>
  <c r="AU11" i="38"/>
  <c r="AV11" i="38"/>
  <c r="AT12" i="38"/>
  <c r="AU12" i="38"/>
  <c r="AV12" i="38"/>
  <c r="AT13" i="38"/>
  <c r="AU13" i="38"/>
  <c r="AV13" i="38"/>
  <c r="AT14" i="38"/>
  <c r="AU14" i="38"/>
  <c r="AV14" i="38"/>
  <c r="AT15" i="38"/>
  <c r="AU15" i="38"/>
  <c r="AV15" i="38"/>
  <c r="AT16" i="38"/>
  <c r="AU16" i="38"/>
  <c r="AV16" i="38"/>
  <c r="AT17" i="38"/>
  <c r="AU17" i="38"/>
  <c r="AV17" i="38"/>
  <c r="AT18" i="38"/>
  <c r="AU18" i="38"/>
  <c r="AV18" i="38"/>
  <c r="AT19" i="38"/>
  <c r="AU19" i="38"/>
  <c r="AV19" i="38"/>
  <c r="AT20" i="38"/>
  <c r="AU20" i="38"/>
  <c r="AV20" i="38"/>
  <c r="AT21" i="38"/>
  <c r="AU21" i="38"/>
  <c r="AV21" i="38"/>
  <c r="AT22" i="38"/>
  <c r="AU22" i="38"/>
  <c r="AV22" i="38"/>
  <c r="AT23" i="38"/>
  <c r="AU23" i="38"/>
  <c r="AV23" i="38"/>
  <c r="AT24" i="38"/>
  <c r="AU24" i="38"/>
  <c r="AV24" i="38"/>
  <c r="AT25" i="38"/>
  <c r="AU25" i="38"/>
  <c r="AV25" i="38"/>
  <c r="AT26" i="38"/>
  <c r="AU26" i="38"/>
  <c r="AV26" i="38"/>
  <c r="AT27" i="38"/>
  <c r="AU27" i="38"/>
  <c r="AV27" i="38"/>
  <c r="AT28" i="38"/>
  <c r="AU28" i="38"/>
  <c r="AV28" i="38"/>
  <c r="AT29" i="38"/>
  <c r="AU29" i="38"/>
  <c r="AV29" i="38"/>
  <c r="AT30" i="38"/>
  <c r="AU30" i="38"/>
  <c r="AV30" i="38"/>
  <c r="AT31" i="38"/>
  <c r="AU31" i="38"/>
  <c r="AV31" i="38"/>
  <c r="AT32" i="38"/>
  <c r="AU32" i="38"/>
  <c r="AV32" i="38"/>
  <c r="AT33" i="38"/>
  <c r="AU33" i="38"/>
  <c r="AV33" i="38"/>
  <c r="AT34" i="38"/>
  <c r="AU34" i="38"/>
  <c r="AV34" i="38"/>
  <c r="AT35" i="38"/>
  <c r="AU35" i="38"/>
  <c r="AV35" i="38"/>
  <c r="AT36" i="38"/>
  <c r="AU36" i="38"/>
  <c r="AV36" i="38"/>
  <c r="AT37" i="38"/>
  <c r="AU37" i="38"/>
  <c r="AV37" i="38"/>
  <c r="AT38" i="38"/>
  <c r="AU38" i="38"/>
  <c r="AV38" i="38"/>
  <c r="AT39" i="38"/>
  <c r="AU39" i="38"/>
  <c r="AV39" i="38"/>
  <c r="AT40" i="38"/>
  <c r="AU40" i="38"/>
  <c r="AV40" i="38"/>
  <c r="AT41" i="38"/>
  <c r="AU41" i="38"/>
  <c r="AV41" i="38"/>
  <c r="AT42" i="38"/>
  <c r="AU42" i="38"/>
  <c r="AV42" i="38"/>
  <c r="AT43" i="38"/>
  <c r="AU43" i="38"/>
  <c r="AV43" i="38"/>
  <c r="AT44" i="38"/>
  <c r="AU44" i="38"/>
  <c r="AV44" i="38"/>
  <c r="AT45" i="38"/>
  <c r="AU45" i="38"/>
  <c r="AV45" i="38"/>
  <c r="AT46" i="38"/>
  <c r="AU46" i="38"/>
  <c r="AV46" i="38"/>
  <c r="AT47" i="38"/>
  <c r="AU47" i="38"/>
  <c r="AV47" i="38"/>
  <c r="AT48" i="38"/>
  <c r="AU48" i="38"/>
  <c r="AV48" i="38"/>
  <c r="AT49" i="38"/>
  <c r="AU49" i="38"/>
  <c r="AV49" i="38"/>
  <c r="AT50" i="38"/>
  <c r="AU50" i="38"/>
  <c r="AV50" i="38"/>
  <c r="AT51" i="38"/>
  <c r="AU51" i="38"/>
  <c r="AV51" i="38"/>
  <c r="AT52" i="38"/>
  <c r="AU52" i="38"/>
  <c r="AV52" i="38"/>
  <c r="AT53" i="38"/>
  <c r="AU53" i="38"/>
  <c r="AV53" i="38"/>
  <c r="AT54" i="38"/>
  <c r="AU54" i="38"/>
  <c r="AV54" i="38"/>
  <c r="AT55" i="38"/>
  <c r="AU55" i="38"/>
  <c r="AV55" i="38"/>
  <c r="AT56" i="38"/>
  <c r="AU56" i="38"/>
  <c r="AV56" i="38"/>
  <c r="AT57" i="38"/>
  <c r="AU57" i="38"/>
  <c r="AV57" i="38"/>
  <c r="AT58" i="38"/>
  <c r="AU58" i="38"/>
  <c r="AV58" i="38"/>
  <c r="AT59" i="38"/>
  <c r="AU59" i="38"/>
  <c r="AV59" i="38"/>
  <c r="AT60" i="38"/>
  <c r="AU60" i="38"/>
  <c r="AV60" i="38"/>
  <c r="AT61" i="38"/>
  <c r="AU61" i="38"/>
  <c r="AV61" i="38"/>
  <c r="AT62" i="38"/>
  <c r="AU62" i="38"/>
  <c r="AV62" i="38"/>
  <c r="AT63" i="38"/>
  <c r="AU63" i="38"/>
  <c r="AV63" i="38"/>
  <c r="AT64" i="38"/>
  <c r="AU64" i="38"/>
  <c r="AV64" i="38"/>
  <c r="AT65" i="38"/>
  <c r="AU65" i="38"/>
  <c r="AV65" i="38"/>
  <c r="AT66" i="38"/>
  <c r="AU66" i="38"/>
  <c r="AV66" i="38"/>
  <c r="AT67" i="38"/>
  <c r="AU67" i="38"/>
  <c r="AV67" i="38"/>
  <c r="AT68" i="38"/>
  <c r="AU68" i="38"/>
  <c r="AV68" i="38"/>
  <c r="AT69" i="38"/>
  <c r="AU69" i="38"/>
  <c r="AV69" i="38"/>
  <c r="AU5" i="38"/>
  <c r="AT5" i="38"/>
  <c r="X8" i="2" l="1"/>
  <c r="X7" i="2"/>
  <c r="X6" i="2"/>
  <c r="X5" i="2"/>
  <c r="P9" i="2" l="1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  </r>
      </text>
    </comment>
    <comment ref="X1" authorId="1" shapeId="0" xr:uid="{A553E4D8-0846-4DF7-936B-80767AA3367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WATERMCOLLECTIONS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WA_TERM_COVID_DAY_1_A</t>
        </r>
      </text>
    </comment>
    <comment ref="H1" authorId="1" shapeId="0" xr:uid="{5C2FC0E8-9CCF-48C1-A9B5-4BC1FB5DA7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  </r>
      </text>
    </comment>
    <comment ref="L1" authorId="2" shapeId="0" xr:uid="{ABCD4D32-22CD-4BEF-8375-3AECD1BBEF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  </r>
      </text>
    </comment>
    <comment ref="P1" authorId="3" shapeId="0" xr:uid="{D6F4FB4F-9D1E-4047-909F-380B59235A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  </r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  </r>
      </text>
    </comment>
    <comment ref="P1" authorId="3" shapeId="0" xr:uid="{BED26B28-B838-4B2E-B6BF-6AD5A97F88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tc={947527C6-D04E-4C71-A03A-FED261EE1EF9}</author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1" authorId="0" shapeId="0" xr:uid="{947527C6-D04E-4C71-A03A-FED261EE1E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</t>
        </r>
      </text>
    </comment>
    <comment ref="AW1" authorId="1" shapeId="0" xr:uid="{70C2B88C-F2AE-4E6B-9F86-2C87149FCA7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WA_TERM_WOF</t>
        </r>
      </text>
    </comment>
    <comment ref="BJ1" authorId="2" shapeId="0" xr:uid="{58686200-3B6D-4071-B60A-3FB2EEC1164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  </r>
      </text>
    </comment>
    <comment ref="BS1" authorId="3" shapeId="0" xr:uid="{93E06C06-51A0-474A-BF23-F708C6B183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  </r>
      </text>
    </comment>
    <comment ref="BY1" authorId="4" shapeId="0" xr:uid="{ACF410E0-7564-4295-857B-D4CAB0CE5D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  </r>
      </text>
    </comment>
  </commentList>
</comments>
</file>

<file path=xl/sharedStrings.xml><?xml version="1.0" encoding="utf-8"?>
<sst xmlns="http://schemas.openxmlformats.org/spreadsheetml/2006/main" count="8523" uniqueCount="288">
  <si>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</si>
  <si>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</si>
  <si>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</si>
  <si>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</si>
  <si>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</si>
  <si>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</si>
  <si>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</si>
  <si>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</si>
  <si>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</si>
  <si>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</si>
  <si>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</si>
  <si>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</si>
  <si>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</si>
  <si>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</si>
  <si>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</si>
  <si>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</si>
  <si>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</si>
  <si>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</si>
  <si>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</si>
  <si>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</si>
  <si>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</si>
  <si>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</si>
  <si>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</si>
  <si>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</si>
  <si>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</si>
  <si>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</si>
  <si>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</si>
  <si>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</si>
  <si>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</si>
  <si>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</si>
  <si>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</si>
  <si>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</si>
  <si>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</si>
  <si>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</si>
  <si>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</si>
  <si>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</si>
  <si>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</si>
  <si>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</si>
  <si>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</si>
  <si>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</si>
  <si>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</si>
  <si>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</si>
  <si>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</si>
  <si>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</si>
  <si>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</si>
  <si>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</si>
  <si>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</si>
  <si>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</si>
  <si>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</si>
  <si>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</si>
  <si>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</si>
  <si>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</si>
  <si>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</si>
  <si>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</si>
  <si>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</si>
  <si>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</si>
  <si>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</si>
  <si>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</si>
  <si>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</si>
  <si>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</si>
  <si>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</si>
  <si>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</si>
  <si>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</si>
  <si>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</si>
  <si>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</si>
  <si>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</si>
  <si>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</si>
  <si>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</si>
  <si>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</si>
  <si>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</si>
  <si>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</si>
  <si>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</si>
  <si>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</si>
  <si>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</si>
  <si>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</si>
  <si>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</si>
  <si>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</si>
  <si>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</si>
  <si>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</si>
  <si>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</si>
  <si>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</si>
  <si>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</si>
  <si>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</si>
  <si>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</si>
  <si>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</si>
  <si>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</si>
  <si>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</si>
  <si>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</si>
  <si>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</si>
  <si>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</si>
  <si>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</si>
  <si>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</si>
  <si>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</si>
  <si>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</si>
  <si>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</si>
  <si>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</si>
  <si>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</si>
  <si>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</si>
  <si>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</si>
  <si>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</si>
  <si>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</si>
  <si>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</si>
  <si>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</si>
  <si>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</si>
  <si>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</si>
  <si>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</si>
  <si>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</si>
  <si>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</si>
  <si>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</si>
  <si>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</si>
  <si>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</si>
  <si>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</si>
  <si>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</si>
  <si>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</si>
  <si>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</si>
  <si>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</si>
  <si>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</si>
  <si>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</si>
  <si>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</si>
  <si>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</si>
  <si>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</si>
  <si>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</si>
  <si>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</si>
  <si>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</si>
  <si>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</si>
  <si>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</si>
  <si>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</si>
  <si>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</si>
  <si>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</si>
  <si>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</si>
  <si>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</si>
  <si>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</si>
  <si>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</si>
  <si>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</si>
  <si>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</si>
  <si>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</si>
  <si>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</si>
  <si>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</si>
  <si>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</si>
  <si>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</si>
  <si>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</si>
  <si>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</si>
  <si>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</si>
  <si>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</si>
  <si>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</si>
  <si>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</si>
  <si>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</si>
  <si>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</si>
  <si>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</si>
  <si>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</si>
  <si>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</si>
  <si>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</si>
  <si>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</si>
  <si>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</si>
  <si>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</si>
  <si>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</si>
  <si>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</si>
  <si>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</si>
  <si>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</si>
  <si>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</si>
  <si>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</si>
  <si>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</si>
  <si>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</si>
  <si>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</si>
  <si>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</si>
  <si>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</si>
  <si>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</si>
  <si>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</si>
  <si>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</si>
  <si>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</si>
  <si>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</si>
  <si>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</si>
  <si>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</si>
  <si>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</si>
  <si>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</si>
  <si>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</si>
  <si>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</si>
  <si>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</si>
  <si>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</si>
  <si>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</si>
  <si>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</si>
  <si>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</si>
  <si>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</si>
  <si>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</si>
  <si>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</si>
  <si>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</si>
  <si>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</si>
  <si>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</si>
  <si>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</si>
  <si>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</si>
  <si>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</si>
  <si>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</si>
  <si>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</si>
  <si>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</si>
  <si>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</si>
  <si>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</si>
  <si>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ZIP</t>
  </si>
  <si>
    <t>Sum of SumOfDays 31 60</t>
  </si>
  <si>
    <t>Sum of SumOfDays 61 90</t>
  </si>
  <si>
    <t>Sum of SumOfDays 91+</t>
  </si>
  <si>
    <t>Sum of SumOfArrears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</si>
  <si>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</si>
  <si>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</si>
  <si>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</si>
  <si>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</si>
  <si>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</si>
  <si>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</si>
  <si>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</si>
  <si>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</si>
  <si>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</si>
  <si>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</si>
  <si>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</si>
  <si>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</si>
  <si>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</si>
  <si>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</si>
  <si>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</si>
  <si>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</si>
  <si>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</si>
  <si>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</si>
  <si>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</si>
  <si>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</si>
  <si>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</si>
  <si>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98944COM</t>
  </si>
  <si>
    <t>DAYS 31 60</t>
  </si>
  <si>
    <t>DAYS 61 90</t>
  </si>
  <si>
    <t>DAYS 91+</t>
  </si>
  <si>
    <t>ARREARS</t>
  </si>
  <si>
    <t>BAD DEBT</t>
  </si>
  <si>
    <t xml:space="preserve"> 98901  </t>
  </si>
  <si>
    <t xml:space="preserve"> 98902  </t>
  </si>
  <si>
    <t xml:space="preserve"> 98903  </t>
  </si>
  <si>
    <t xml:space="preserve"> 98908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</si>
  <si>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</si>
  <si>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</si>
  <si>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</si>
  <si>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</si>
  <si>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</si>
  <si>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</si>
  <si>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</si>
  <si>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</si>
  <si>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</si>
  <si>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</si>
  <si>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</si>
  <si>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</si>
  <si>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</si>
  <si>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</si>
  <si>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</si>
  <si>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</si>
  <si>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</si>
  <si>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</si>
  <si>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</si>
  <si>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</si>
  <si>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</si>
  <si>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</si>
  <si>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</si>
  <si>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</si>
  <si>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</si>
  <si>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</si>
  <si>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</si>
  <si>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99350  </t>
  </si>
  <si>
    <t>FFN</t>
  </si>
  <si>
    <t>PDN</t>
  </si>
  <si>
    <t>Category</t>
  </si>
  <si>
    <t>FNL</t>
  </si>
  <si>
    <t xml:space="preserve"> </t>
  </si>
  <si>
    <t>General 2023</t>
  </si>
  <si>
    <t xml:space="preserve"> 98904  </t>
  </si>
  <si>
    <t xml:space="preserve"> 98907  </t>
  </si>
  <si>
    <t xml:space="preserve"> 98920  </t>
  </si>
  <si>
    <t xml:space="preserve"> 99301  </t>
  </si>
  <si>
    <t xml:space="preserve"> 98603  </t>
  </si>
  <si>
    <t>Concat Agreement Number</t>
  </si>
  <si>
    <t xml:space="preserve">  WA    </t>
  </si>
  <si>
    <t>98936COM</t>
  </si>
  <si>
    <t>REV</t>
  </si>
  <si>
    <t>98930COM</t>
  </si>
  <si>
    <t>SumOfPaid Amount</t>
  </si>
  <si>
    <t>General 2024</t>
  </si>
  <si>
    <t>Totals Q1</t>
  </si>
  <si>
    <t>Asked JH question</t>
  </si>
  <si>
    <t>98947COM</t>
  </si>
  <si>
    <t>99328COM</t>
  </si>
  <si>
    <t>98933COM</t>
  </si>
  <si>
    <t>98935COM</t>
  </si>
  <si>
    <t>98923COM</t>
  </si>
  <si>
    <t>98953COM</t>
  </si>
  <si>
    <t>99323COM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</si>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</sst>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&quot;$&quot;#,##0.00"/>
    <numFmt numFmtId="168" formatCode="yyyy\-mm"/>
    <numFmt numFmtId="169" formatCode="[h]:mm:ss;@"/>
    <numFmt numFmtId="170" formatCode="0.000"/>
    <numFmt numFmtId="171" formatCode="#,##0.00;\-#,##0.00;0.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  <font>
      <b/>
      <sz val="10"/>
      <color theme="1"/>
      <name val="Arial"/>
      <family val="2"/>
    </font>
    <font>
      <sz val="9"/>
      <color rgb="FF3A3A3A"/>
      <name val="Arial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  <border>
      <left style="thick">
        <color rgb="FF008000"/>
      </left>
      <right/>
      <top/>
      <bottom/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24" fillId="0" borderId="0"/>
  </cellStyleXfs>
  <cellXfs count="18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4" borderId="6" xfId="6" applyFont="1" applyFill="1" applyBorder="1" applyAlignment="1">
      <alignment horizontal="center"/>
    </xf>
    <xf numFmtId="0" fontId="8" fillId="0" borderId="5" xfId="6" applyFont="1" applyBorder="1" applyAlignment="1">
      <alignment wrapText="1"/>
    </xf>
    <xf numFmtId="0" fontId="8" fillId="0" borderId="5" xfId="6" applyFont="1" applyBorder="1" applyAlignment="1">
      <alignment horizontal="right" wrapText="1"/>
    </xf>
    <xf numFmtId="0" fontId="0" fillId="0" borderId="0" xfId="0" pivotButton="1"/>
    <xf numFmtId="0" fontId="8" fillId="4" borderId="6" xfId="7" applyFont="1" applyFill="1" applyBorder="1" applyAlignment="1">
      <alignment horizontal="center"/>
    </xf>
    <xf numFmtId="0" fontId="8" fillId="0" borderId="5" xfId="7" applyFont="1" applyBorder="1" applyAlignment="1">
      <alignment wrapText="1"/>
    </xf>
    <xf numFmtId="0" fontId="8" fillId="0" borderId="5" xfId="7" applyFont="1" applyBorder="1" applyAlignment="1">
      <alignment horizontal="right" wrapText="1"/>
    </xf>
    <xf numFmtId="0" fontId="8" fillId="4" borderId="6" xfId="8" applyFont="1" applyFill="1" applyBorder="1" applyAlignment="1">
      <alignment horizontal="center"/>
    </xf>
    <xf numFmtId="165" fontId="8" fillId="0" borderId="5" xfId="8" applyNumberFormat="1" applyFont="1" applyBorder="1" applyAlignment="1">
      <alignment horizontal="right" wrapText="1"/>
    </xf>
    <xf numFmtId="0" fontId="8" fillId="0" borderId="5" xfId="8" applyFont="1" applyBorder="1" applyAlignment="1">
      <alignment wrapText="1"/>
    </xf>
    <xf numFmtId="0" fontId="8" fillId="0" borderId="5" xfId="8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0" fillId="6" borderId="1" xfId="0" applyNumberFormat="1" applyFont="1" applyFill="1" applyBorder="1" applyAlignment="1">
      <alignment horizontal="left"/>
    </xf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1" fillId="7" borderId="1" xfId="0" applyNumberFormat="1" applyFont="1" applyFill="1" applyBorder="1" applyAlignment="1">
      <alignment horizontal="left"/>
    </xf>
    <xf numFmtId="0" fontId="11" fillId="7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17" fontId="2" fillId="0" borderId="2" xfId="0" applyNumberFormat="1" applyFont="1" applyBorder="1"/>
    <xf numFmtId="17" fontId="2" fillId="0" borderId="4" xfId="0" applyNumberFormat="1" applyFont="1" applyBorder="1"/>
    <xf numFmtId="17" fontId="2" fillId="0" borderId="20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6" fillId="7" borderId="18" xfId="0" applyNumberFormat="1" applyFont="1" applyFill="1" applyBorder="1" applyAlignment="1">
      <alignment horizontal="left"/>
    </xf>
    <xf numFmtId="0" fontId="16" fillId="7" borderId="18" xfId="0" applyFont="1" applyFill="1" applyBorder="1" applyAlignment="1">
      <alignment horizontal="right"/>
    </xf>
    <xf numFmtId="0" fontId="17" fillId="4" borderId="6" xfId="9" applyFont="1" applyFill="1" applyBorder="1" applyAlignment="1">
      <alignment horizontal="center"/>
    </xf>
    <xf numFmtId="49" fontId="16" fillId="6" borderId="18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7" fillId="4" borderId="28" xfId="9" applyFont="1" applyFill="1" applyBorder="1" applyAlignment="1">
      <alignment horizontal="center"/>
    </xf>
    <xf numFmtId="166" fontId="3" fillId="0" borderId="0" xfId="1" applyNumberFormat="1" applyFont="1" applyFill="1" applyBorder="1"/>
    <xf numFmtId="49" fontId="19" fillId="6" borderId="18" xfId="0" applyNumberFormat="1" applyFont="1" applyFill="1" applyBorder="1" applyAlignment="1">
      <alignment horizontal="left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14" fontId="0" fillId="0" borderId="0" xfId="0" applyNumberFormat="1"/>
    <xf numFmtId="49" fontId="11" fillId="6" borderId="18" xfId="0" applyNumberFormat="1" applyFont="1" applyFill="1" applyBorder="1" applyAlignment="1">
      <alignment horizontal="left"/>
    </xf>
    <xf numFmtId="0" fontId="5" fillId="0" borderId="5" xfId="10" applyFont="1" applyBorder="1" applyAlignment="1">
      <alignment horizontal="right" wrapText="1"/>
    </xf>
    <xf numFmtId="0" fontId="5" fillId="0" borderId="5" xfId="10" applyFont="1" applyBorder="1" applyAlignment="1">
      <alignment wrapText="1"/>
    </xf>
    <xf numFmtId="0" fontId="5" fillId="4" borderId="6" xfId="9" applyFont="1" applyFill="1" applyBorder="1" applyAlignment="1">
      <alignment horizontal="center"/>
    </xf>
    <xf numFmtId="167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41" fontId="0" fillId="0" borderId="1" xfId="0" applyNumberFormat="1" applyBorder="1" applyAlignment="1">
      <alignment horizontal="center"/>
    </xf>
    <xf numFmtId="41" fontId="0" fillId="0" borderId="0" xfId="0" applyNumberFormat="1" applyAlignment="1">
      <alignment horizontal="center"/>
    </xf>
    <xf numFmtId="41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5" fillId="0" borderId="32" xfId="2" applyFont="1" applyBorder="1" applyAlignment="1">
      <alignment horizontal="right" wrapText="1"/>
    </xf>
    <xf numFmtId="0" fontId="20" fillId="0" borderId="0" xfId="0" applyFont="1"/>
    <xf numFmtId="0" fontId="20" fillId="0" borderId="19" xfId="0" applyFont="1" applyBorder="1"/>
    <xf numFmtId="0" fontId="5" fillId="0" borderId="5" xfId="11" applyFont="1" applyBorder="1" applyAlignment="1">
      <alignment wrapText="1"/>
    </xf>
    <xf numFmtId="0" fontId="5" fillId="0" borderId="5" xfId="11" applyFont="1" applyBorder="1" applyAlignment="1">
      <alignment horizontal="right" wrapText="1"/>
    </xf>
    <xf numFmtId="169" fontId="21" fillId="0" borderId="33" xfId="0" applyNumberFormat="1" applyFont="1" applyBorder="1" applyAlignment="1">
      <alignment horizontal="left" vertical="center" indent="1"/>
    </xf>
    <xf numFmtId="164" fontId="0" fillId="0" borderId="1" xfId="0" applyNumberFormat="1" applyBorder="1"/>
    <xf numFmtId="0" fontId="20" fillId="0" borderId="1" xfId="0" applyFont="1" applyBorder="1"/>
    <xf numFmtId="170" fontId="0" fillId="0" borderId="1" xfId="0" applyNumberFormat="1" applyBorder="1"/>
    <xf numFmtId="0" fontId="5" fillId="0" borderId="5" xfId="12" applyFont="1" applyBorder="1" applyAlignment="1">
      <alignment wrapText="1"/>
    </xf>
    <xf numFmtId="0" fontId="5" fillId="0" borderId="5" xfId="12" applyFont="1" applyBorder="1" applyAlignment="1">
      <alignment horizontal="right" wrapText="1"/>
    </xf>
    <xf numFmtId="49" fontId="22" fillId="6" borderId="18" xfId="0" applyNumberFormat="1" applyFont="1" applyFill="1" applyBorder="1" applyAlignment="1">
      <alignment horizontal="left"/>
    </xf>
    <xf numFmtId="49" fontId="22" fillId="7" borderId="18" xfId="0" applyNumberFormat="1" applyFont="1" applyFill="1" applyBorder="1" applyAlignment="1">
      <alignment horizontal="left"/>
    </xf>
    <xf numFmtId="0" fontId="22" fillId="7" borderId="18" xfId="0" applyFont="1" applyFill="1" applyBorder="1" applyAlignment="1">
      <alignment horizontal="right"/>
    </xf>
    <xf numFmtId="0" fontId="2" fillId="10" borderId="0" xfId="0" applyFont="1" applyFill="1"/>
    <xf numFmtId="0" fontId="2" fillId="10" borderId="4" xfId="0" applyFont="1" applyFill="1" applyBorder="1"/>
    <xf numFmtId="0" fontId="2" fillId="10" borderId="0" xfId="0" applyFont="1" applyFill="1" applyAlignment="1">
      <alignment horizontal="center"/>
    </xf>
    <xf numFmtId="0" fontId="0" fillId="0" borderId="0" xfId="1" applyNumberFormat="1" applyFont="1" applyFill="1" applyBorder="1"/>
    <xf numFmtId="171" fontId="22" fillId="7" borderId="18" xfId="0" applyNumberFormat="1" applyFont="1" applyFill="1" applyBorder="1" applyAlignment="1">
      <alignment horizontal="right"/>
    </xf>
    <xf numFmtId="0" fontId="23" fillId="4" borderId="6" xfId="13" applyFont="1" applyFill="1" applyBorder="1" applyAlignment="1">
      <alignment horizontal="center"/>
    </xf>
    <xf numFmtId="0" fontId="23" fillId="0" borderId="5" xfId="13" applyFont="1" applyBorder="1" applyAlignment="1">
      <alignment wrapText="1"/>
    </xf>
    <xf numFmtId="0" fontId="23" fillId="0" borderId="5" xfId="13" applyFont="1" applyBorder="1" applyAlignment="1">
      <alignment horizontal="right" wrapText="1"/>
    </xf>
    <xf numFmtId="0" fontId="25" fillId="0" borderId="1" xfId="0" applyFont="1" applyBorder="1"/>
    <xf numFmtId="17" fontId="2" fillId="10" borderId="1" xfId="0" applyNumberFormat="1" applyFont="1" applyFill="1" applyBorder="1"/>
    <xf numFmtId="0" fontId="0" fillId="0" borderId="2" xfId="0" applyBorder="1"/>
    <xf numFmtId="170" fontId="0" fillId="0" borderId="0" xfId="0" applyNumberFormat="1"/>
    <xf numFmtId="2" fontId="0" fillId="0" borderId="2" xfId="0" applyNumberFormat="1" applyBorder="1"/>
    <xf numFmtId="169" fontId="21" fillId="0" borderId="1" xfId="0" applyNumberFormat="1" applyFont="1" applyBorder="1" applyAlignment="1">
      <alignment horizontal="left" vertical="center" inden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9" borderId="15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31" xfId="0" applyFont="1" applyFill="1" applyBorder="1" applyAlignment="1">
      <alignment horizontal="center"/>
    </xf>
    <xf numFmtId="0" fontId="2" fillId="10" borderId="30" xfId="0" applyFont="1" applyFill="1" applyBorder="1" applyAlignment="1">
      <alignment horizontal="center"/>
    </xf>
    <xf numFmtId="165" fontId="10" fillId="11" borderId="10" xfId="0" applyNumberFormat="1" applyFont="1" applyFill="1" applyBorder="1" applyAlignment="1">
      <alignment horizontal="center"/>
    </xf>
    <xf numFmtId="165" fontId="10" fillId="11" borderId="0" xfId="0" applyNumberFormat="1" applyFont="1" applyFill="1" applyAlignment="1">
      <alignment horizontal="center"/>
    </xf>
    <xf numFmtId="165" fontId="10" fillId="11" borderId="26" xfId="0" applyNumberFormat="1" applyFont="1" applyFill="1" applyBorder="1" applyAlignment="1">
      <alignment horizontal="center"/>
    </xf>
    <xf numFmtId="165" fontId="10" fillId="11" borderId="23" xfId="0" applyNumberFormat="1" applyFont="1" applyFill="1" applyBorder="1" applyAlignment="1">
      <alignment horizontal="center"/>
    </xf>
    <xf numFmtId="165" fontId="10" fillId="11" borderId="24" xfId="0" applyNumberFormat="1" applyFont="1" applyFill="1" applyBorder="1" applyAlignment="1">
      <alignment horizontal="center"/>
    </xf>
    <xf numFmtId="165" fontId="10" fillId="11" borderId="25" xfId="0" applyNumberFormat="1" applyFont="1" applyFill="1" applyBorder="1" applyAlignment="1">
      <alignment horizontal="center"/>
    </xf>
    <xf numFmtId="165" fontId="10" fillId="11" borderId="27" xfId="0" applyNumberFormat="1" applyFont="1" applyFill="1" applyBorder="1" applyAlignment="1">
      <alignment horizontal="center"/>
    </xf>
    <xf numFmtId="0" fontId="2" fillId="10" borderId="0" xfId="0" applyFont="1" applyFill="1" applyAlignment="1">
      <alignment horizontal="right"/>
    </xf>
    <xf numFmtId="0" fontId="2" fillId="10" borderId="29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2" fillId="9" borderId="15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 wrapText="1"/>
    </xf>
    <xf numFmtId="0" fontId="2" fillId="9" borderId="16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wrapText="1"/>
    </xf>
    <xf numFmtId="0" fontId="2" fillId="12" borderId="0" xfId="0" applyFont="1" applyFill="1"/>
    <xf numFmtId="166" fontId="2" fillId="12" borderId="0" xfId="1" applyNumberFormat="1" applyFont="1" applyFill="1"/>
    <xf numFmtId="0" fontId="2" fillId="12" borderId="0" xfId="1" applyNumberFormat="1" applyFont="1" applyFill="1"/>
    <xf numFmtId="49" fontId="10" fillId="13" borderId="18" xfId="0" applyNumberFormat="1" applyFont="1" applyFill="1" applyBorder="1" applyAlignment="1">
      <alignment horizontal="left"/>
    </xf>
    <xf numFmtId="166" fontId="10" fillId="13" borderId="18" xfId="1" applyNumberFormat="1" applyFont="1" applyFill="1" applyBorder="1" applyAlignment="1">
      <alignment horizontal="right"/>
    </xf>
    <xf numFmtId="0" fontId="10" fillId="13" borderId="18" xfId="1" applyNumberFormat="1" applyFont="1" applyFill="1" applyBorder="1" applyAlignment="1">
      <alignment horizontal="right"/>
    </xf>
    <xf numFmtId="0" fontId="2" fillId="12" borderId="0" xfId="1" applyNumberFormat="1" applyFont="1" applyFill="1" applyBorder="1"/>
    <xf numFmtId="166" fontId="2" fillId="12" borderId="0" xfId="1" applyNumberFormat="1" applyFont="1" applyFill="1" applyBorder="1"/>
    <xf numFmtId="0" fontId="26" fillId="12" borderId="5" xfId="13" applyFont="1" applyFill="1" applyBorder="1" applyAlignment="1">
      <alignment wrapText="1"/>
    </xf>
    <xf numFmtId="166" fontId="26" fillId="12" borderId="5" xfId="1" applyNumberFormat="1" applyFont="1" applyFill="1" applyBorder="1" applyAlignment="1">
      <alignment horizontal="right" wrapText="1"/>
    </xf>
  </cellXfs>
  <cellStyles count="14">
    <cellStyle name="Currency" xfId="1" builtinId="4"/>
    <cellStyle name="Normal" xfId="0" builtinId="0"/>
    <cellStyle name="Normal_8.ARREARS NEW 2022_Q3" xfId="10" xr:uid="{8A4A5DD5-AFE2-46FB-869E-5C94A7C6D100}"/>
    <cellStyle name="Normal_8.ARREARS NEW 2023_Q2_1" xfId="11" xr:uid="{512F0635-2DAE-4BED-8F7E-0F7405B7A495}"/>
    <cellStyle name="Normal_8.ARREARS NEW 2023_Q3" xfId="12" xr:uid="{672D516F-33FB-46AC-A43D-C673C5673F71}"/>
    <cellStyle name="Normal_8.ARREARS NEW 2024_Q1" xfId="13" xr:uid="{2626B504-E47A-4CB0-8C5C-0A1D84BB7124}"/>
    <cellStyle name="Normal_8.ARREARS NEW_Q4" xfId="9" xr:uid="{D52A84F4-4ED9-45D8-917A-CCDF82B79A49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66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6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6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6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6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X1" dT="2023-04-26T18:19:32.28" personId="{7FEE7FE4-C577-483D-BBE2-18B321D48DF8}" id="{A553E4D8-0846-4DF7-936B-80767AA3367B}">
    <text>WATERMCOLLECTIONS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3-07-26T16:17:00.03" personId="{7FEE7FE4-C577-483D-BBE2-18B321D48DF8}" id="{947527C6-D04E-4C71-A03A-FED261EE1EF9}">
    <text>WA_RES_ARREARS_UNIQUE1</text>
  </threadedComment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Y144"/>
  <sheetViews>
    <sheetView zoomScale="106" zoomScaleNormal="106" workbookViewId="0">
      <selection activeCell="K25" sqref="K25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6" width="6" customWidth="1"/>
    <col min="7" max="7" width="11.5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83203125" bestFit="1" customWidth="1"/>
  </cols>
  <sheetData>
    <row r="1" spans="1:25" x14ac:dyDescent="0.2">
      <c r="A1" s="5" t="s">
        <v>217</v>
      </c>
      <c r="J1" s="5"/>
    </row>
    <row r="2" spans="1:25" x14ac:dyDescent="0.2">
      <c r="A2" s="5" t="s">
        <v>145</v>
      </c>
      <c r="B2" s="5"/>
      <c r="C2" s="5"/>
      <c r="D2" s="5"/>
      <c r="G2" s="81"/>
      <c r="J2" s="5"/>
    </row>
    <row r="3" spans="1:25" x14ac:dyDescent="0.2">
      <c r="A3" s="125" t="s">
        <v>277</v>
      </c>
      <c r="B3" s="125"/>
      <c r="C3" s="125"/>
      <c r="D3" s="125"/>
      <c r="G3" s="81"/>
      <c r="J3" s="52"/>
    </row>
    <row r="4" spans="1:25" ht="32" x14ac:dyDescent="0.2">
      <c r="A4" s="123">
        <v>45292</v>
      </c>
      <c r="B4" s="124"/>
      <c r="C4" s="124"/>
      <c r="D4" s="123">
        <v>45323</v>
      </c>
      <c r="E4" s="124"/>
      <c r="F4" s="124"/>
      <c r="G4" s="123">
        <v>45352</v>
      </c>
      <c r="H4" s="124"/>
      <c r="I4" s="124"/>
      <c r="J4" s="53"/>
      <c r="K4" s="94" t="s">
        <v>125</v>
      </c>
      <c r="L4" s="94" t="s">
        <v>134</v>
      </c>
      <c r="M4" s="94" t="s">
        <v>135</v>
      </c>
      <c r="N4" s="94" t="s">
        <v>136</v>
      </c>
      <c r="O4" s="91">
        <v>45292</v>
      </c>
      <c r="P4" s="91">
        <v>45324</v>
      </c>
      <c r="Q4" s="91">
        <v>45354</v>
      </c>
      <c r="R4" s="94" t="s">
        <v>134</v>
      </c>
      <c r="S4" s="94" t="s">
        <v>135</v>
      </c>
      <c r="T4" s="94" t="s">
        <v>136</v>
      </c>
      <c r="U4" s="94" t="s">
        <v>137</v>
      </c>
      <c r="V4" s="94" t="s">
        <v>138</v>
      </c>
      <c r="W4" s="94" t="s">
        <v>139</v>
      </c>
      <c r="X4" s="94" t="s">
        <v>278</v>
      </c>
    </row>
    <row r="5" spans="1:25" x14ac:dyDescent="0.2">
      <c r="A5" s="49" t="s">
        <v>216</v>
      </c>
      <c r="B5" s="49" t="s">
        <v>215</v>
      </c>
      <c r="C5" s="49" t="s">
        <v>214</v>
      </c>
      <c r="D5" s="49" t="s">
        <v>216</v>
      </c>
      <c r="E5" s="49" t="s">
        <v>215</v>
      </c>
      <c r="F5" s="49" t="s">
        <v>214</v>
      </c>
      <c r="G5" s="49" t="s">
        <v>216</v>
      </c>
      <c r="H5" s="49" t="s">
        <v>215</v>
      </c>
      <c r="I5" s="49" t="s">
        <v>214</v>
      </c>
      <c r="K5" s="56" t="s">
        <v>126</v>
      </c>
      <c r="L5" s="57">
        <v>149454803</v>
      </c>
      <c r="M5" s="57">
        <v>144341255</v>
      </c>
      <c r="N5" s="57">
        <v>106642496</v>
      </c>
      <c r="O5" s="88">
        <v>210372218</v>
      </c>
      <c r="P5" s="88">
        <v>185759262</v>
      </c>
      <c r="Q5" s="88">
        <v>145770248</v>
      </c>
      <c r="R5" s="57"/>
      <c r="S5" s="57"/>
      <c r="T5" s="57"/>
      <c r="U5" s="57"/>
      <c r="V5" s="57"/>
      <c r="W5" s="57"/>
      <c r="X5" s="58">
        <f>SUM(O5:Q5)</f>
        <v>541901728</v>
      </c>
    </row>
    <row r="6" spans="1:25" x14ac:dyDescent="0.2">
      <c r="A6" s="54" t="s">
        <v>35</v>
      </c>
      <c r="B6" s="54" t="s">
        <v>34</v>
      </c>
      <c r="C6" s="55">
        <v>2148</v>
      </c>
      <c r="D6" s="54" t="s">
        <v>35</v>
      </c>
      <c r="E6" s="54" t="s">
        <v>34</v>
      </c>
      <c r="F6" s="55">
        <v>2155</v>
      </c>
      <c r="G6" s="54" t="s">
        <v>35</v>
      </c>
      <c r="H6" s="54" t="s">
        <v>34</v>
      </c>
      <c r="I6" s="55">
        <v>2149</v>
      </c>
      <c r="K6" s="56" t="s">
        <v>127</v>
      </c>
      <c r="L6" s="57">
        <v>140404042</v>
      </c>
      <c r="M6" s="57">
        <v>148198213</v>
      </c>
      <c r="N6" s="57">
        <v>131511808</v>
      </c>
      <c r="O6" s="88">
        <v>136370618</v>
      </c>
      <c r="P6" s="88">
        <v>125657389</v>
      </c>
      <c r="Q6" s="88">
        <v>120323998</v>
      </c>
      <c r="R6" s="57"/>
      <c r="S6" s="57"/>
      <c r="T6" s="57"/>
      <c r="U6" s="57"/>
      <c r="V6" s="57"/>
      <c r="W6" s="57"/>
      <c r="X6" s="58">
        <f>SUM(O6:Q6)</f>
        <v>382352005</v>
      </c>
    </row>
    <row r="7" spans="1:25" x14ac:dyDescent="0.2">
      <c r="A7" s="54" t="s">
        <v>36</v>
      </c>
      <c r="B7" s="54" t="s">
        <v>34</v>
      </c>
      <c r="C7" s="55">
        <v>2583</v>
      </c>
      <c r="D7" s="54" t="s">
        <v>36</v>
      </c>
      <c r="E7" s="54" t="s">
        <v>34</v>
      </c>
      <c r="F7" s="55">
        <v>2579</v>
      </c>
      <c r="G7" s="54" t="s">
        <v>36</v>
      </c>
      <c r="H7" s="54" t="s">
        <v>34</v>
      </c>
      <c r="I7" s="55">
        <v>2586</v>
      </c>
      <c r="K7" s="56" t="s">
        <v>140</v>
      </c>
      <c r="L7" s="57">
        <v>72533895</v>
      </c>
      <c r="M7" s="57">
        <v>71622459</v>
      </c>
      <c r="N7" s="57">
        <v>72818621</v>
      </c>
      <c r="O7" s="88">
        <v>97571126</v>
      </c>
      <c r="P7" s="88">
        <v>24268044</v>
      </c>
      <c r="Q7" s="88">
        <v>61864249</v>
      </c>
      <c r="R7" s="57"/>
      <c r="S7" s="57"/>
      <c r="T7" s="57"/>
      <c r="U7" s="57"/>
      <c r="V7" s="57"/>
      <c r="W7" s="57"/>
      <c r="X7" s="58">
        <f>SUM(O7:Q7)</f>
        <v>183703419</v>
      </c>
    </row>
    <row r="8" spans="1:25" x14ac:dyDescent="0.2">
      <c r="A8" s="54" t="s">
        <v>37</v>
      </c>
      <c r="B8" s="54" t="s">
        <v>34</v>
      </c>
      <c r="C8" s="55">
        <v>1671</v>
      </c>
      <c r="D8" s="54" t="s">
        <v>37</v>
      </c>
      <c r="E8" s="54" t="s">
        <v>34</v>
      </c>
      <c r="F8" s="55">
        <v>1668</v>
      </c>
      <c r="G8" s="54" t="s">
        <v>37</v>
      </c>
      <c r="H8" s="54" t="s">
        <v>34</v>
      </c>
      <c r="I8" s="55">
        <v>1660</v>
      </c>
      <c r="K8" s="56" t="s">
        <v>141</v>
      </c>
      <c r="L8" s="57">
        <v>36860793</v>
      </c>
      <c r="M8" s="57">
        <v>39164393</v>
      </c>
      <c r="N8" s="57">
        <v>25760901</v>
      </c>
      <c r="O8" s="89">
        <v>503639</v>
      </c>
      <c r="P8" s="89">
        <v>634240</v>
      </c>
      <c r="Q8" s="89">
        <v>1931983</v>
      </c>
      <c r="R8" s="57"/>
      <c r="S8" s="57"/>
      <c r="T8" s="57"/>
      <c r="U8" s="57"/>
      <c r="V8" s="57"/>
      <c r="W8" s="57"/>
      <c r="X8" s="58">
        <f>SUM(O8:Q8)</f>
        <v>3069862</v>
      </c>
    </row>
    <row r="9" spans="1:25" x14ac:dyDescent="0.2">
      <c r="A9" s="54" t="s">
        <v>38</v>
      </c>
      <c r="B9" s="54" t="s">
        <v>34</v>
      </c>
      <c r="C9" s="55">
        <v>2</v>
      </c>
      <c r="D9" s="54" t="s">
        <v>38</v>
      </c>
      <c r="E9" s="54" t="s">
        <v>34</v>
      </c>
      <c r="F9" s="55">
        <v>2</v>
      </c>
      <c r="G9" s="54" t="s">
        <v>38</v>
      </c>
      <c r="H9" s="54" t="s">
        <v>34</v>
      </c>
      <c r="I9" s="55">
        <v>2</v>
      </c>
      <c r="K9" s="59" t="s">
        <v>142</v>
      </c>
      <c r="L9" s="58">
        <f>SUM(L5:L8)</f>
        <v>399253533</v>
      </c>
      <c r="M9" s="58">
        <f>SUM(M5:M8)</f>
        <v>403326320</v>
      </c>
      <c r="N9" s="58">
        <f>SUM(N5:N8)</f>
        <v>336733826</v>
      </c>
      <c r="O9" s="90">
        <f>SUM(O5:O8)</f>
        <v>444817601</v>
      </c>
      <c r="P9" s="90">
        <f t="shared" ref="P9:U9" si="0">SUM(P5:P8)</f>
        <v>336318935</v>
      </c>
      <c r="Q9" s="90">
        <f t="shared" si="0"/>
        <v>329890478</v>
      </c>
      <c r="R9" s="58">
        <f t="shared" si="0"/>
        <v>0</v>
      </c>
      <c r="S9" s="58">
        <f t="shared" si="0"/>
        <v>0</v>
      </c>
      <c r="T9" s="58">
        <f t="shared" si="0"/>
        <v>0</v>
      </c>
      <c r="U9" s="58">
        <f t="shared" si="0"/>
        <v>0</v>
      </c>
      <c r="V9" s="58">
        <f>SUM(V5:V8)</f>
        <v>0</v>
      </c>
      <c r="W9" s="58">
        <f>SUM(W5:W8)</f>
        <v>0</v>
      </c>
      <c r="X9" s="58">
        <f>SUM(X5:X8)</f>
        <v>1111027014</v>
      </c>
      <c r="Y9" s="26"/>
    </row>
    <row r="10" spans="1:25" x14ac:dyDescent="0.2">
      <c r="A10" s="54" t="s">
        <v>39</v>
      </c>
      <c r="B10" s="54" t="s">
        <v>34</v>
      </c>
      <c r="C10" s="55">
        <v>2</v>
      </c>
      <c r="D10" s="54" t="s">
        <v>39</v>
      </c>
      <c r="E10" s="54" t="s">
        <v>34</v>
      </c>
      <c r="F10" s="55">
        <v>2</v>
      </c>
      <c r="G10" s="54" t="s">
        <v>39</v>
      </c>
      <c r="H10" s="54" t="s">
        <v>34</v>
      </c>
      <c r="I10" s="55">
        <v>2</v>
      </c>
      <c r="U10" s="27"/>
      <c r="V10" s="27"/>
      <c r="W10" s="27"/>
      <c r="X10" s="27"/>
      <c r="Y10" s="27"/>
    </row>
    <row r="11" spans="1:25" x14ac:dyDescent="0.2">
      <c r="A11" s="54" t="s">
        <v>40</v>
      </c>
      <c r="B11" s="54" t="s">
        <v>34</v>
      </c>
      <c r="C11" s="55">
        <v>1607</v>
      </c>
      <c r="D11" s="54" t="s">
        <v>40</v>
      </c>
      <c r="E11" s="54" t="s">
        <v>34</v>
      </c>
      <c r="F11" s="55">
        <v>1601</v>
      </c>
      <c r="G11" s="54" t="s">
        <v>40</v>
      </c>
      <c r="H11" s="54" t="s">
        <v>34</v>
      </c>
      <c r="I11" s="55">
        <v>1615</v>
      </c>
      <c r="U11" s="27"/>
      <c r="V11" s="27"/>
      <c r="W11" s="27"/>
      <c r="X11" s="27"/>
      <c r="Y11" s="27"/>
    </row>
    <row r="12" spans="1:25" x14ac:dyDescent="0.2">
      <c r="A12" s="54" t="s">
        <v>41</v>
      </c>
      <c r="B12" s="54" t="s">
        <v>34</v>
      </c>
      <c r="C12" s="55">
        <v>4</v>
      </c>
      <c r="D12" s="54" t="s">
        <v>41</v>
      </c>
      <c r="E12" s="54" t="s">
        <v>34</v>
      </c>
      <c r="F12" s="55">
        <v>4</v>
      </c>
      <c r="G12" s="54" t="s">
        <v>41</v>
      </c>
      <c r="H12" s="54" t="s">
        <v>34</v>
      </c>
      <c r="I12" s="55">
        <v>4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4" t="s">
        <v>42</v>
      </c>
      <c r="B13" s="54" t="s">
        <v>34</v>
      </c>
      <c r="C13" s="55">
        <v>27</v>
      </c>
      <c r="D13" s="54" t="s">
        <v>42</v>
      </c>
      <c r="E13" s="54" t="s">
        <v>34</v>
      </c>
      <c r="F13" s="55">
        <v>26</v>
      </c>
      <c r="G13" s="54" t="s">
        <v>42</v>
      </c>
      <c r="H13" s="54" t="s">
        <v>34</v>
      </c>
      <c r="I13" s="55">
        <v>26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4" t="s">
        <v>43</v>
      </c>
      <c r="B14" s="54" t="s">
        <v>34</v>
      </c>
      <c r="C14" s="55">
        <v>105</v>
      </c>
      <c r="D14" s="54" t="s">
        <v>43</v>
      </c>
      <c r="E14" s="54" t="s">
        <v>34</v>
      </c>
      <c r="F14" s="55">
        <v>106</v>
      </c>
      <c r="G14" s="54" t="s">
        <v>43</v>
      </c>
      <c r="H14" s="54" t="s">
        <v>34</v>
      </c>
      <c r="I14" s="55">
        <v>106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4" t="s">
        <v>44</v>
      </c>
      <c r="B15" s="54" t="s">
        <v>34</v>
      </c>
      <c r="C15" s="55">
        <v>663</v>
      </c>
      <c r="D15" s="54" t="s">
        <v>44</v>
      </c>
      <c r="E15" s="54" t="s">
        <v>34</v>
      </c>
      <c r="F15" s="55">
        <v>660</v>
      </c>
      <c r="G15" s="54" t="s">
        <v>44</v>
      </c>
      <c r="H15" s="54" t="s">
        <v>34</v>
      </c>
      <c r="I15" s="55">
        <v>664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4" t="s">
        <v>45</v>
      </c>
      <c r="B16" s="54" t="s">
        <v>34</v>
      </c>
      <c r="C16" s="55">
        <v>233</v>
      </c>
      <c r="D16" s="54" t="s">
        <v>45</v>
      </c>
      <c r="E16" s="54" t="s">
        <v>34</v>
      </c>
      <c r="F16" s="55">
        <v>230</v>
      </c>
      <c r="G16" s="54" t="s">
        <v>45</v>
      </c>
      <c r="H16" s="54" t="s">
        <v>34</v>
      </c>
      <c r="I16" s="55">
        <v>230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4" t="s">
        <v>46</v>
      </c>
      <c r="B17" s="54" t="s">
        <v>34</v>
      </c>
      <c r="C17" s="55">
        <v>71</v>
      </c>
      <c r="D17" s="54" t="s">
        <v>46</v>
      </c>
      <c r="E17" s="54" t="s">
        <v>34</v>
      </c>
      <c r="F17" s="55">
        <v>72</v>
      </c>
      <c r="G17" s="54" t="s">
        <v>46</v>
      </c>
      <c r="H17" s="54" t="s">
        <v>34</v>
      </c>
      <c r="I17" s="55">
        <v>72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4" t="s">
        <v>47</v>
      </c>
      <c r="B18" s="54" t="s">
        <v>34</v>
      </c>
      <c r="C18" s="55">
        <v>139</v>
      </c>
      <c r="D18" s="54" t="s">
        <v>47</v>
      </c>
      <c r="E18" s="54" t="s">
        <v>34</v>
      </c>
      <c r="F18" s="55">
        <v>142</v>
      </c>
      <c r="G18" s="54" t="s">
        <v>47</v>
      </c>
      <c r="H18" s="54" t="s">
        <v>34</v>
      </c>
      <c r="I18" s="55">
        <v>140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4" t="s">
        <v>48</v>
      </c>
      <c r="B19" s="54" t="s">
        <v>34</v>
      </c>
      <c r="C19" s="55">
        <v>344</v>
      </c>
      <c r="D19" s="54" t="s">
        <v>48</v>
      </c>
      <c r="E19" s="54" t="s">
        <v>34</v>
      </c>
      <c r="F19" s="55">
        <v>345</v>
      </c>
      <c r="G19" s="54" t="s">
        <v>48</v>
      </c>
      <c r="H19" s="54" t="s">
        <v>34</v>
      </c>
      <c r="I19" s="55">
        <v>345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4" t="s">
        <v>49</v>
      </c>
      <c r="B20" s="54" t="s">
        <v>34</v>
      </c>
      <c r="C20" s="55">
        <v>400</v>
      </c>
      <c r="D20" s="54" t="s">
        <v>49</v>
      </c>
      <c r="E20" s="54" t="s">
        <v>34</v>
      </c>
      <c r="F20" s="55">
        <v>399</v>
      </c>
      <c r="G20" s="54" t="s">
        <v>49</v>
      </c>
      <c r="H20" s="54" t="s">
        <v>34</v>
      </c>
      <c r="I20" s="55">
        <v>403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4" t="s">
        <v>50</v>
      </c>
      <c r="B21" s="54" t="s">
        <v>34</v>
      </c>
      <c r="C21" s="55">
        <v>158</v>
      </c>
      <c r="D21" s="54" t="s">
        <v>50</v>
      </c>
      <c r="E21" s="54" t="s">
        <v>34</v>
      </c>
      <c r="F21" s="55">
        <v>159</v>
      </c>
      <c r="G21" s="54" t="s">
        <v>50</v>
      </c>
      <c r="H21" s="54" t="s">
        <v>34</v>
      </c>
      <c r="I21" s="55">
        <v>158</v>
      </c>
    </row>
    <row r="22" spans="1:23" x14ac:dyDescent="0.2">
      <c r="A22" s="54" t="s">
        <v>51</v>
      </c>
      <c r="B22" s="54" t="s">
        <v>34</v>
      </c>
      <c r="C22" s="55">
        <v>17</v>
      </c>
      <c r="D22" s="54" t="s">
        <v>51</v>
      </c>
      <c r="E22" s="54" t="s">
        <v>34</v>
      </c>
      <c r="F22" s="55">
        <v>17</v>
      </c>
      <c r="G22" s="54" t="s">
        <v>51</v>
      </c>
      <c r="H22" s="54" t="s">
        <v>34</v>
      </c>
      <c r="I22" s="55">
        <v>17</v>
      </c>
    </row>
    <row r="23" spans="1:23" x14ac:dyDescent="0.2">
      <c r="A23" s="54" t="s">
        <v>52</v>
      </c>
      <c r="B23" s="54" t="s">
        <v>34</v>
      </c>
      <c r="C23" s="55">
        <v>919</v>
      </c>
      <c r="D23" s="54" t="s">
        <v>52</v>
      </c>
      <c r="E23" s="54" t="s">
        <v>34</v>
      </c>
      <c r="F23" s="55">
        <v>917</v>
      </c>
      <c r="G23" s="54" t="s">
        <v>52</v>
      </c>
      <c r="H23" s="54" t="s">
        <v>34</v>
      </c>
      <c r="I23" s="55">
        <v>946</v>
      </c>
    </row>
    <row r="24" spans="1:23" x14ac:dyDescent="0.2">
      <c r="A24" s="54" t="s">
        <v>53</v>
      </c>
      <c r="B24" s="54" t="s">
        <v>34</v>
      </c>
      <c r="C24" s="55">
        <v>1312</v>
      </c>
      <c r="D24" s="54" t="s">
        <v>53</v>
      </c>
      <c r="E24" s="54" t="s">
        <v>34</v>
      </c>
      <c r="F24" s="55">
        <v>1315</v>
      </c>
      <c r="G24" s="54" t="s">
        <v>53</v>
      </c>
      <c r="H24" s="54" t="s">
        <v>34</v>
      </c>
      <c r="I24" s="55">
        <v>1309</v>
      </c>
    </row>
    <row r="25" spans="1:23" x14ac:dyDescent="0.2">
      <c r="A25" s="54" t="s">
        <v>54</v>
      </c>
      <c r="B25" s="54" t="s">
        <v>34</v>
      </c>
      <c r="C25" s="55">
        <v>216</v>
      </c>
      <c r="D25" s="54" t="s">
        <v>54</v>
      </c>
      <c r="E25" s="54" t="s">
        <v>34</v>
      </c>
      <c r="F25" s="55">
        <v>216</v>
      </c>
      <c r="G25" s="54" t="s">
        <v>54</v>
      </c>
      <c r="H25" s="54" t="s">
        <v>34</v>
      </c>
      <c r="I25" s="55">
        <v>214</v>
      </c>
    </row>
    <row r="26" spans="1:23" x14ac:dyDescent="0.2">
      <c r="A26" s="54" t="s">
        <v>55</v>
      </c>
      <c r="B26" s="54" t="s">
        <v>34</v>
      </c>
      <c r="C26" s="55">
        <v>695</v>
      </c>
      <c r="D26" s="54" t="s">
        <v>55</v>
      </c>
      <c r="E26" s="54" t="s">
        <v>34</v>
      </c>
      <c r="F26" s="55">
        <v>695</v>
      </c>
      <c r="G26" s="54" t="s">
        <v>55</v>
      </c>
      <c r="H26" s="54" t="s">
        <v>34</v>
      </c>
      <c r="I26" s="55">
        <v>696</v>
      </c>
    </row>
    <row r="27" spans="1:23" x14ac:dyDescent="0.2">
      <c r="A27" s="54" t="s">
        <v>56</v>
      </c>
      <c r="B27" s="54" t="s">
        <v>34</v>
      </c>
      <c r="C27" s="55">
        <v>734</v>
      </c>
      <c r="D27" s="54" t="s">
        <v>56</v>
      </c>
      <c r="E27" s="54" t="s">
        <v>34</v>
      </c>
      <c r="F27" s="55">
        <v>750</v>
      </c>
      <c r="G27" s="54" t="s">
        <v>56</v>
      </c>
      <c r="H27" s="54" t="s">
        <v>34</v>
      </c>
      <c r="I27" s="55">
        <v>736</v>
      </c>
    </row>
    <row r="28" spans="1:23" x14ac:dyDescent="0.2">
      <c r="A28" s="54" t="s">
        <v>57</v>
      </c>
      <c r="B28" s="54" t="s">
        <v>34</v>
      </c>
      <c r="C28" s="55">
        <v>63</v>
      </c>
      <c r="D28" s="54" t="s">
        <v>57</v>
      </c>
      <c r="E28" s="54" t="s">
        <v>34</v>
      </c>
      <c r="F28" s="55">
        <v>64</v>
      </c>
      <c r="G28" s="54" t="s">
        <v>57</v>
      </c>
      <c r="H28" s="54" t="s">
        <v>34</v>
      </c>
      <c r="I28" s="55">
        <v>63</v>
      </c>
    </row>
    <row r="29" spans="1:23" x14ac:dyDescent="0.2">
      <c r="A29" s="54" t="s">
        <v>58</v>
      </c>
      <c r="B29" s="54" t="s">
        <v>34</v>
      </c>
      <c r="C29" s="55">
        <v>542</v>
      </c>
      <c r="D29" s="54" t="s">
        <v>58</v>
      </c>
      <c r="E29" s="54" t="s">
        <v>34</v>
      </c>
      <c r="F29" s="55">
        <v>544</v>
      </c>
      <c r="G29" s="54" t="s">
        <v>58</v>
      </c>
      <c r="H29" s="54" t="s">
        <v>34</v>
      </c>
      <c r="I29" s="55">
        <v>546</v>
      </c>
    </row>
    <row r="30" spans="1:23" x14ac:dyDescent="0.2">
      <c r="A30" s="54" t="s">
        <v>59</v>
      </c>
      <c r="B30" s="54" t="s">
        <v>34</v>
      </c>
      <c r="C30" s="55">
        <v>4</v>
      </c>
      <c r="D30" s="54" t="s">
        <v>59</v>
      </c>
      <c r="E30" s="54" t="s">
        <v>34</v>
      </c>
      <c r="F30" s="55">
        <v>4</v>
      </c>
      <c r="G30" s="54" t="s">
        <v>59</v>
      </c>
      <c r="H30" s="54" t="s">
        <v>34</v>
      </c>
      <c r="I30" s="55">
        <v>4</v>
      </c>
    </row>
    <row r="31" spans="1:23" x14ac:dyDescent="0.2">
      <c r="A31" s="54" t="s">
        <v>60</v>
      </c>
      <c r="B31" s="54" t="s">
        <v>34</v>
      </c>
      <c r="C31" s="55">
        <v>110</v>
      </c>
      <c r="D31" s="54" t="s">
        <v>60</v>
      </c>
      <c r="E31" s="54" t="s">
        <v>34</v>
      </c>
      <c r="F31" s="55">
        <v>111</v>
      </c>
      <c r="G31" s="54" t="s">
        <v>60</v>
      </c>
      <c r="H31" s="54" t="s">
        <v>34</v>
      </c>
      <c r="I31" s="55">
        <v>108</v>
      </c>
    </row>
    <row r="32" spans="1:23" x14ac:dyDescent="0.2">
      <c r="A32" s="54" t="s">
        <v>61</v>
      </c>
      <c r="B32" s="54" t="s">
        <v>34</v>
      </c>
      <c r="C32" s="55">
        <v>181</v>
      </c>
      <c r="D32" s="54" t="s">
        <v>61</v>
      </c>
      <c r="E32" s="54" t="s">
        <v>34</v>
      </c>
      <c r="F32" s="55">
        <v>181</v>
      </c>
      <c r="G32" s="54" t="s">
        <v>61</v>
      </c>
      <c r="H32" s="54" t="s">
        <v>34</v>
      </c>
      <c r="I32" s="55">
        <v>182</v>
      </c>
    </row>
    <row r="33" spans="1:9" x14ac:dyDescent="0.2">
      <c r="A33" s="54" t="s">
        <v>62</v>
      </c>
      <c r="B33" s="54" t="s">
        <v>34</v>
      </c>
      <c r="C33" s="55">
        <v>391</v>
      </c>
      <c r="D33" s="54" t="s">
        <v>62</v>
      </c>
      <c r="E33" s="54" t="s">
        <v>34</v>
      </c>
      <c r="F33" s="55">
        <v>391</v>
      </c>
      <c r="G33" s="54" t="s">
        <v>62</v>
      </c>
      <c r="H33" s="54" t="s">
        <v>34</v>
      </c>
      <c r="I33" s="55">
        <v>391</v>
      </c>
    </row>
    <row r="34" spans="1:9" x14ac:dyDescent="0.2">
      <c r="A34" s="54" t="s">
        <v>63</v>
      </c>
      <c r="B34" s="54" t="s">
        <v>34</v>
      </c>
      <c r="C34" s="55">
        <v>37</v>
      </c>
      <c r="D34" s="54" t="s">
        <v>63</v>
      </c>
      <c r="E34" s="54" t="s">
        <v>34</v>
      </c>
      <c r="F34" s="55">
        <v>37</v>
      </c>
      <c r="G34" s="54" t="s">
        <v>63</v>
      </c>
      <c r="H34" s="54" t="s">
        <v>34</v>
      </c>
      <c r="I34" s="55">
        <v>37</v>
      </c>
    </row>
    <row r="35" spans="1:9" x14ac:dyDescent="0.2">
      <c r="A35" s="54" t="s">
        <v>64</v>
      </c>
      <c r="B35" s="54" t="s">
        <v>34</v>
      </c>
      <c r="C35" s="55">
        <v>275</v>
      </c>
      <c r="D35" s="54" t="s">
        <v>64</v>
      </c>
      <c r="E35" s="54" t="s">
        <v>34</v>
      </c>
      <c r="F35" s="55">
        <v>274</v>
      </c>
      <c r="G35" s="54" t="s">
        <v>64</v>
      </c>
      <c r="H35" s="54" t="s">
        <v>34</v>
      </c>
      <c r="I35" s="55">
        <v>276</v>
      </c>
    </row>
    <row r="36" spans="1:9" x14ac:dyDescent="0.2">
      <c r="A36" s="54" t="s">
        <v>65</v>
      </c>
      <c r="B36" s="54" t="s">
        <v>34</v>
      </c>
      <c r="C36" s="55">
        <v>48</v>
      </c>
      <c r="D36" s="54" t="s">
        <v>65</v>
      </c>
      <c r="E36" s="54" t="s">
        <v>34</v>
      </c>
      <c r="F36" s="55">
        <v>48</v>
      </c>
      <c r="G36" s="54" t="s">
        <v>65</v>
      </c>
      <c r="H36" s="54" t="s">
        <v>34</v>
      </c>
      <c r="I36" s="55">
        <v>48</v>
      </c>
    </row>
    <row r="37" spans="1:9" x14ac:dyDescent="0.2">
      <c r="A37" s="54" t="s">
        <v>66</v>
      </c>
      <c r="B37" s="54" t="s">
        <v>34</v>
      </c>
      <c r="C37" s="55">
        <v>1</v>
      </c>
      <c r="D37" s="54" t="s">
        <v>66</v>
      </c>
      <c r="E37" s="54" t="s">
        <v>34</v>
      </c>
      <c r="F37" s="55">
        <v>1</v>
      </c>
      <c r="G37" s="54" t="s">
        <v>66</v>
      </c>
      <c r="H37" s="54" t="s">
        <v>34</v>
      </c>
      <c r="I37" s="55">
        <v>1</v>
      </c>
    </row>
    <row r="38" spans="1:9" x14ac:dyDescent="0.2">
      <c r="A38" s="54" t="s">
        <v>67</v>
      </c>
      <c r="B38" s="54" t="s">
        <v>34</v>
      </c>
      <c r="C38" s="55">
        <v>131</v>
      </c>
      <c r="D38" s="54" t="s">
        <v>67</v>
      </c>
      <c r="E38" s="54" t="s">
        <v>34</v>
      </c>
      <c r="F38" s="55">
        <v>133</v>
      </c>
      <c r="G38" s="54" t="s">
        <v>67</v>
      </c>
      <c r="H38" s="54" t="s">
        <v>34</v>
      </c>
      <c r="I38" s="55">
        <v>132</v>
      </c>
    </row>
    <row r="39" spans="1:9" x14ac:dyDescent="0.2">
      <c r="A39" s="54" t="s">
        <v>68</v>
      </c>
      <c r="B39" s="54" t="s">
        <v>34</v>
      </c>
      <c r="C39" s="55">
        <v>141</v>
      </c>
      <c r="D39" s="54" t="s">
        <v>68</v>
      </c>
      <c r="E39" s="54" t="s">
        <v>34</v>
      </c>
      <c r="F39" s="55">
        <v>141</v>
      </c>
      <c r="G39" s="54" t="s">
        <v>68</v>
      </c>
      <c r="H39" s="54" t="s">
        <v>34</v>
      </c>
      <c r="I39" s="55">
        <v>142</v>
      </c>
    </row>
    <row r="40" spans="1:9" x14ac:dyDescent="0.2">
      <c r="A40" s="54" t="s">
        <v>69</v>
      </c>
      <c r="B40" s="54" t="s">
        <v>34</v>
      </c>
      <c r="C40" s="55">
        <v>2651</v>
      </c>
      <c r="D40" s="54" t="s">
        <v>69</v>
      </c>
      <c r="E40" s="54" t="s">
        <v>34</v>
      </c>
      <c r="F40" s="55">
        <v>2641</v>
      </c>
      <c r="G40" s="54" t="s">
        <v>69</v>
      </c>
      <c r="H40" s="54" t="s">
        <v>34</v>
      </c>
      <c r="I40" s="55">
        <v>2652</v>
      </c>
    </row>
    <row r="41" spans="1:9" x14ac:dyDescent="0.2">
      <c r="A41" s="54" t="s">
        <v>70</v>
      </c>
      <c r="B41" s="54" t="s">
        <v>34</v>
      </c>
      <c r="C41" s="55">
        <v>73</v>
      </c>
      <c r="D41" s="54" t="s">
        <v>70</v>
      </c>
      <c r="E41" s="54" t="s">
        <v>34</v>
      </c>
      <c r="F41" s="55">
        <v>73</v>
      </c>
      <c r="G41" s="54" t="s">
        <v>70</v>
      </c>
      <c r="H41" s="54" t="s">
        <v>34</v>
      </c>
      <c r="I41" s="55">
        <v>73</v>
      </c>
    </row>
    <row r="42" spans="1:9" x14ac:dyDescent="0.2">
      <c r="A42" s="54"/>
      <c r="B42" s="54" t="s">
        <v>34</v>
      </c>
      <c r="C42" s="55">
        <v>4</v>
      </c>
      <c r="D42" s="54"/>
      <c r="E42" s="54" t="s">
        <v>34</v>
      </c>
      <c r="F42" s="55">
        <v>4</v>
      </c>
      <c r="G42" s="54"/>
      <c r="H42" s="54" t="s">
        <v>34</v>
      </c>
      <c r="I42" s="55">
        <v>4</v>
      </c>
    </row>
    <row r="43" spans="1:9" x14ac:dyDescent="0.2">
      <c r="A43" s="54" t="s">
        <v>35</v>
      </c>
      <c r="B43" s="54" t="s">
        <v>71</v>
      </c>
      <c r="C43" s="55">
        <v>48</v>
      </c>
      <c r="D43" s="54" t="s">
        <v>35</v>
      </c>
      <c r="E43" s="54" t="s">
        <v>71</v>
      </c>
      <c r="F43" s="55">
        <v>48</v>
      </c>
      <c r="G43" s="54" t="s">
        <v>35</v>
      </c>
      <c r="H43" s="54" t="s">
        <v>71</v>
      </c>
      <c r="I43" s="55">
        <v>48</v>
      </c>
    </row>
    <row r="44" spans="1:9" x14ac:dyDescent="0.2">
      <c r="A44" s="54" t="s">
        <v>36</v>
      </c>
      <c r="B44" s="54" t="s">
        <v>71</v>
      </c>
      <c r="C44" s="55">
        <v>85</v>
      </c>
      <c r="D44" s="54" t="s">
        <v>36</v>
      </c>
      <c r="E44" s="54" t="s">
        <v>71</v>
      </c>
      <c r="F44" s="55">
        <v>85</v>
      </c>
      <c r="G44" s="54" t="s">
        <v>36</v>
      </c>
      <c r="H44" s="54" t="s">
        <v>71</v>
      </c>
      <c r="I44" s="55">
        <v>85</v>
      </c>
    </row>
    <row r="45" spans="1:9" x14ac:dyDescent="0.2">
      <c r="A45" s="54" t="s">
        <v>37</v>
      </c>
      <c r="B45" s="54" t="s">
        <v>71</v>
      </c>
      <c r="C45" s="55">
        <v>64</v>
      </c>
      <c r="D45" s="54" t="s">
        <v>37</v>
      </c>
      <c r="E45" s="54" t="s">
        <v>71</v>
      </c>
      <c r="F45" s="55">
        <v>64</v>
      </c>
      <c r="G45" s="54" t="s">
        <v>37</v>
      </c>
      <c r="H45" s="54" t="s">
        <v>71</v>
      </c>
      <c r="I45" s="55">
        <v>64</v>
      </c>
    </row>
    <row r="46" spans="1:9" x14ac:dyDescent="0.2">
      <c r="A46" s="54" t="s">
        <v>40</v>
      </c>
      <c r="B46" s="54" t="s">
        <v>71</v>
      </c>
      <c r="C46" s="55">
        <v>17</v>
      </c>
      <c r="D46" s="54" t="s">
        <v>40</v>
      </c>
      <c r="E46" s="54" t="s">
        <v>71</v>
      </c>
      <c r="F46" s="55">
        <v>17</v>
      </c>
      <c r="G46" s="54" t="s">
        <v>40</v>
      </c>
      <c r="H46" s="54" t="s">
        <v>71</v>
      </c>
      <c r="I46" s="55">
        <v>17</v>
      </c>
    </row>
    <row r="47" spans="1:9" x14ac:dyDescent="0.2">
      <c r="A47" s="54" t="s">
        <v>42</v>
      </c>
      <c r="B47" s="54" t="s">
        <v>71</v>
      </c>
      <c r="C47" s="55">
        <v>1</v>
      </c>
      <c r="D47" s="54" t="s">
        <v>42</v>
      </c>
      <c r="E47" s="54" t="s">
        <v>71</v>
      </c>
      <c r="F47" s="55">
        <v>1</v>
      </c>
      <c r="G47" s="54" t="s">
        <v>42</v>
      </c>
      <c r="H47" s="54" t="s">
        <v>71</v>
      </c>
      <c r="I47" s="55">
        <v>1</v>
      </c>
    </row>
    <row r="48" spans="1:9" x14ac:dyDescent="0.2">
      <c r="A48" s="54" t="s">
        <v>43</v>
      </c>
      <c r="B48" s="54" t="s">
        <v>71</v>
      </c>
      <c r="C48" s="55">
        <v>4</v>
      </c>
      <c r="D48" s="54" t="s">
        <v>43</v>
      </c>
      <c r="E48" s="54" t="s">
        <v>71</v>
      </c>
      <c r="F48" s="55">
        <v>4</v>
      </c>
      <c r="G48" s="54" t="s">
        <v>43</v>
      </c>
      <c r="H48" s="54" t="s">
        <v>71</v>
      </c>
      <c r="I48" s="55">
        <v>4</v>
      </c>
    </row>
    <row r="49" spans="1:9" x14ac:dyDescent="0.2">
      <c r="A49" s="54" t="s">
        <v>44</v>
      </c>
      <c r="B49" s="54" t="s">
        <v>71</v>
      </c>
      <c r="C49" s="55">
        <v>26</v>
      </c>
      <c r="D49" s="54" t="s">
        <v>44</v>
      </c>
      <c r="E49" s="54" t="s">
        <v>71</v>
      </c>
      <c r="F49" s="55">
        <v>26</v>
      </c>
      <c r="G49" s="54" t="s">
        <v>44</v>
      </c>
      <c r="H49" s="54" t="s">
        <v>71</v>
      </c>
      <c r="I49" s="55">
        <v>26</v>
      </c>
    </row>
    <row r="50" spans="1:9" x14ac:dyDescent="0.2">
      <c r="A50" s="54" t="s">
        <v>45</v>
      </c>
      <c r="B50" s="54" t="s">
        <v>71</v>
      </c>
      <c r="C50" s="55">
        <v>12</v>
      </c>
      <c r="D50" s="54" t="s">
        <v>45</v>
      </c>
      <c r="E50" s="54" t="s">
        <v>71</v>
      </c>
      <c r="F50" s="55">
        <v>12</v>
      </c>
      <c r="G50" s="54" t="s">
        <v>45</v>
      </c>
      <c r="H50" s="54" t="s">
        <v>71</v>
      </c>
      <c r="I50" s="55">
        <v>12</v>
      </c>
    </row>
    <row r="51" spans="1:9" x14ac:dyDescent="0.2">
      <c r="A51" s="54" t="s">
        <v>46</v>
      </c>
      <c r="B51" s="54" t="s">
        <v>71</v>
      </c>
      <c r="C51" s="55">
        <v>1</v>
      </c>
      <c r="D51" s="54" t="s">
        <v>46</v>
      </c>
      <c r="E51" s="54" t="s">
        <v>71</v>
      </c>
      <c r="F51" s="55">
        <v>1</v>
      </c>
      <c r="G51" s="54" t="s">
        <v>46</v>
      </c>
      <c r="H51" s="54" t="s">
        <v>71</v>
      </c>
      <c r="I51" s="55">
        <v>1</v>
      </c>
    </row>
    <row r="52" spans="1:9" x14ac:dyDescent="0.2">
      <c r="A52" s="54" t="s">
        <v>47</v>
      </c>
      <c r="B52" s="54" t="s">
        <v>71</v>
      </c>
      <c r="C52" s="55">
        <v>3</v>
      </c>
      <c r="D52" s="54" t="s">
        <v>47</v>
      </c>
      <c r="E52" s="54" t="s">
        <v>71</v>
      </c>
      <c r="F52" s="55">
        <v>3</v>
      </c>
      <c r="G52" s="54" t="s">
        <v>47</v>
      </c>
      <c r="H52" s="54" t="s">
        <v>71</v>
      </c>
      <c r="I52" s="55">
        <v>4</v>
      </c>
    </row>
    <row r="53" spans="1:9" x14ac:dyDescent="0.2">
      <c r="A53" s="54" t="s">
        <v>48</v>
      </c>
      <c r="B53" s="54" t="s">
        <v>71</v>
      </c>
      <c r="C53" s="55">
        <v>18</v>
      </c>
      <c r="D53" s="54" t="s">
        <v>48</v>
      </c>
      <c r="E53" s="54" t="s">
        <v>71</v>
      </c>
      <c r="F53" s="55">
        <v>18</v>
      </c>
      <c r="G53" s="54" t="s">
        <v>48</v>
      </c>
      <c r="H53" s="54" t="s">
        <v>71</v>
      </c>
      <c r="I53" s="55">
        <v>18</v>
      </c>
    </row>
    <row r="54" spans="1:9" x14ac:dyDescent="0.2">
      <c r="A54" s="54" t="s">
        <v>49</v>
      </c>
      <c r="B54" s="54" t="s">
        <v>71</v>
      </c>
      <c r="C54" s="55">
        <v>11</v>
      </c>
      <c r="D54" s="54" t="s">
        <v>49</v>
      </c>
      <c r="E54" s="54" t="s">
        <v>71</v>
      </c>
      <c r="F54" s="55">
        <v>11</v>
      </c>
      <c r="G54" s="54" t="s">
        <v>49</v>
      </c>
      <c r="H54" s="54" t="s">
        <v>71</v>
      </c>
      <c r="I54" s="55">
        <v>11</v>
      </c>
    </row>
    <row r="55" spans="1:9" x14ac:dyDescent="0.2">
      <c r="A55" s="54" t="s">
        <v>50</v>
      </c>
      <c r="B55" s="54" t="s">
        <v>71</v>
      </c>
      <c r="C55" s="55">
        <v>3</v>
      </c>
      <c r="D55" s="54" t="s">
        <v>50</v>
      </c>
      <c r="E55" s="54" t="s">
        <v>71</v>
      </c>
      <c r="F55" s="55">
        <v>3</v>
      </c>
      <c r="G55" s="54" t="s">
        <v>50</v>
      </c>
      <c r="H55" s="54" t="s">
        <v>71</v>
      </c>
      <c r="I55" s="55">
        <v>3</v>
      </c>
    </row>
    <row r="56" spans="1:9" x14ac:dyDescent="0.2">
      <c r="A56" s="54" t="s">
        <v>51</v>
      </c>
      <c r="B56" s="54" t="s">
        <v>71</v>
      </c>
      <c r="C56" s="55">
        <v>1</v>
      </c>
      <c r="D56" s="54" t="s">
        <v>51</v>
      </c>
      <c r="E56" s="54" t="s">
        <v>71</v>
      </c>
      <c r="F56" s="55">
        <v>1</v>
      </c>
      <c r="G56" s="54" t="s">
        <v>51</v>
      </c>
      <c r="H56" s="54" t="s">
        <v>71</v>
      </c>
      <c r="I56" s="55">
        <v>1</v>
      </c>
    </row>
    <row r="57" spans="1:9" x14ac:dyDescent="0.2">
      <c r="A57" s="54" t="s">
        <v>52</v>
      </c>
      <c r="B57" s="54" t="s">
        <v>71</v>
      </c>
      <c r="C57" s="55">
        <v>28</v>
      </c>
      <c r="D57" s="54" t="s">
        <v>52</v>
      </c>
      <c r="E57" s="54" t="s">
        <v>71</v>
      </c>
      <c r="F57" s="55">
        <v>28</v>
      </c>
      <c r="G57" s="54" t="s">
        <v>52</v>
      </c>
      <c r="H57" s="54" t="s">
        <v>71</v>
      </c>
      <c r="I57" s="55">
        <v>29</v>
      </c>
    </row>
    <row r="58" spans="1:9" x14ac:dyDescent="0.2">
      <c r="A58" s="54" t="s">
        <v>53</v>
      </c>
      <c r="B58" s="54" t="s">
        <v>71</v>
      </c>
      <c r="C58" s="55">
        <v>53</v>
      </c>
      <c r="D58" s="54" t="s">
        <v>53</v>
      </c>
      <c r="E58" s="54" t="s">
        <v>71</v>
      </c>
      <c r="F58" s="55">
        <v>54</v>
      </c>
      <c r="G58" s="54" t="s">
        <v>53</v>
      </c>
      <c r="H58" s="54" t="s">
        <v>71</v>
      </c>
      <c r="I58" s="55">
        <v>54</v>
      </c>
    </row>
    <row r="59" spans="1:9" x14ac:dyDescent="0.2">
      <c r="A59" s="54" t="s">
        <v>54</v>
      </c>
      <c r="B59" s="54" t="s">
        <v>71</v>
      </c>
      <c r="C59" s="55">
        <v>1</v>
      </c>
      <c r="D59" s="54" t="s">
        <v>54</v>
      </c>
      <c r="E59" s="54" t="s">
        <v>71</v>
      </c>
      <c r="F59" s="55">
        <v>1</v>
      </c>
      <c r="G59" s="54" t="s">
        <v>54</v>
      </c>
      <c r="H59" s="54" t="s">
        <v>71</v>
      </c>
      <c r="I59" s="55">
        <v>1</v>
      </c>
    </row>
    <row r="60" spans="1:9" x14ac:dyDescent="0.2">
      <c r="A60" s="54" t="s">
        <v>55</v>
      </c>
      <c r="B60" s="54" t="s">
        <v>71</v>
      </c>
      <c r="C60" s="55">
        <v>26</v>
      </c>
      <c r="D60" s="54" t="s">
        <v>55</v>
      </c>
      <c r="E60" s="54" t="s">
        <v>71</v>
      </c>
      <c r="F60" s="55">
        <v>26</v>
      </c>
      <c r="G60" s="54" t="s">
        <v>55</v>
      </c>
      <c r="H60" s="54" t="s">
        <v>71</v>
      </c>
      <c r="I60" s="55">
        <v>26</v>
      </c>
    </row>
    <row r="61" spans="1:9" x14ac:dyDescent="0.2">
      <c r="A61" s="54" t="s">
        <v>56</v>
      </c>
      <c r="B61" s="54" t="s">
        <v>71</v>
      </c>
      <c r="C61" s="55">
        <v>26</v>
      </c>
      <c r="D61" s="54" t="s">
        <v>56</v>
      </c>
      <c r="E61" s="54" t="s">
        <v>71</v>
      </c>
      <c r="F61" s="55">
        <v>26</v>
      </c>
      <c r="G61" s="54" t="s">
        <v>56</v>
      </c>
      <c r="H61" s="54" t="s">
        <v>71</v>
      </c>
      <c r="I61" s="55">
        <v>25</v>
      </c>
    </row>
    <row r="62" spans="1:9" x14ac:dyDescent="0.2">
      <c r="A62" s="54" t="s">
        <v>57</v>
      </c>
      <c r="B62" s="54" t="s">
        <v>71</v>
      </c>
      <c r="C62" s="55">
        <v>6</v>
      </c>
      <c r="D62" s="54" t="s">
        <v>57</v>
      </c>
      <c r="E62" s="54" t="s">
        <v>71</v>
      </c>
      <c r="F62" s="55">
        <v>6</v>
      </c>
      <c r="G62" s="54" t="s">
        <v>57</v>
      </c>
      <c r="H62" s="54" t="s">
        <v>71</v>
      </c>
      <c r="I62" s="55">
        <v>6</v>
      </c>
    </row>
    <row r="63" spans="1:9" x14ac:dyDescent="0.2">
      <c r="A63" s="54" t="s">
        <v>58</v>
      </c>
      <c r="B63" s="54" t="s">
        <v>71</v>
      </c>
      <c r="C63" s="55">
        <v>13</v>
      </c>
      <c r="D63" s="54" t="s">
        <v>58</v>
      </c>
      <c r="E63" s="54" t="s">
        <v>71</v>
      </c>
      <c r="F63" s="55">
        <v>13</v>
      </c>
      <c r="G63" s="54" t="s">
        <v>58</v>
      </c>
      <c r="H63" s="54" t="s">
        <v>71</v>
      </c>
      <c r="I63" s="55">
        <v>13</v>
      </c>
    </row>
    <row r="64" spans="1:9" x14ac:dyDescent="0.2">
      <c r="A64" s="54" t="s">
        <v>60</v>
      </c>
      <c r="B64" s="54" t="s">
        <v>71</v>
      </c>
      <c r="C64" s="55">
        <v>6</v>
      </c>
      <c r="D64" s="54" t="s">
        <v>60</v>
      </c>
      <c r="E64" s="54" t="s">
        <v>71</v>
      </c>
      <c r="F64" s="55">
        <v>6</v>
      </c>
      <c r="G64" s="54" t="s">
        <v>60</v>
      </c>
      <c r="H64" s="54" t="s">
        <v>71</v>
      </c>
      <c r="I64" s="55">
        <v>6</v>
      </c>
    </row>
    <row r="65" spans="1:9" x14ac:dyDescent="0.2">
      <c r="A65" s="54" t="s">
        <v>62</v>
      </c>
      <c r="B65" s="54" t="s">
        <v>71</v>
      </c>
      <c r="C65" s="55">
        <v>9</v>
      </c>
      <c r="D65" s="54" t="s">
        <v>62</v>
      </c>
      <c r="E65" s="54" t="s">
        <v>71</v>
      </c>
      <c r="F65" s="55">
        <v>9</v>
      </c>
      <c r="G65" s="54" t="s">
        <v>62</v>
      </c>
      <c r="H65" s="54" t="s">
        <v>71</v>
      </c>
      <c r="I65" s="55">
        <v>9</v>
      </c>
    </row>
    <row r="66" spans="1:9" x14ac:dyDescent="0.2">
      <c r="A66" s="54" t="s">
        <v>67</v>
      </c>
      <c r="B66" s="54" t="s">
        <v>71</v>
      </c>
      <c r="C66" s="55">
        <v>2</v>
      </c>
      <c r="D66" s="54" t="s">
        <v>67</v>
      </c>
      <c r="E66" s="54" t="s">
        <v>71</v>
      </c>
      <c r="F66" s="55">
        <v>2</v>
      </c>
      <c r="G66" s="54" t="s">
        <v>67</v>
      </c>
      <c r="H66" s="54" t="s">
        <v>71</v>
      </c>
      <c r="I66" s="55">
        <v>2</v>
      </c>
    </row>
    <row r="67" spans="1:9" x14ac:dyDescent="0.2">
      <c r="A67" s="54" t="s">
        <v>68</v>
      </c>
      <c r="B67" s="54" t="s">
        <v>71</v>
      </c>
      <c r="C67" s="55">
        <v>1</v>
      </c>
      <c r="D67" s="54" t="s">
        <v>68</v>
      </c>
      <c r="E67" s="54" t="s">
        <v>71</v>
      </c>
      <c r="F67" s="55">
        <v>1</v>
      </c>
      <c r="G67" s="54" t="s">
        <v>68</v>
      </c>
      <c r="H67" s="54" t="s">
        <v>71</v>
      </c>
      <c r="I67" s="55">
        <v>1</v>
      </c>
    </row>
    <row r="68" spans="1:9" x14ac:dyDescent="0.2">
      <c r="A68" s="54" t="s">
        <v>69</v>
      </c>
      <c r="B68" s="54" t="s">
        <v>71</v>
      </c>
      <c r="C68" s="55">
        <v>23</v>
      </c>
      <c r="D68" s="54" t="s">
        <v>69</v>
      </c>
      <c r="E68" s="54" t="s">
        <v>71</v>
      </c>
      <c r="F68" s="55">
        <v>22</v>
      </c>
      <c r="G68" s="54" t="s">
        <v>69</v>
      </c>
      <c r="H68" s="54" t="s">
        <v>71</v>
      </c>
      <c r="I68" s="55">
        <v>22</v>
      </c>
    </row>
    <row r="69" spans="1:9" x14ac:dyDescent="0.2">
      <c r="A69" s="54" t="s">
        <v>70</v>
      </c>
      <c r="B69" s="54" t="s">
        <v>71</v>
      </c>
      <c r="C69" s="55">
        <v>5</v>
      </c>
      <c r="D69" s="54" t="s">
        <v>70</v>
      </c>
      <c r="E69" s="54" t="s">
        <v>71</v>
      </c>
      <c r="F69" s="55">
        <v>5</v>
      </c>
      <c r="G69" s="54" t="s">
        <v>70</v>
      </c>
      <c r="H69" s="54" t="s">
        <v>71</v>
      </c>
      <c r="I69" s="55">
        <v>5</v>
      </c>
    </row>
    <row r="70" spans="1:9" x14ac:dyDescent="0.2">
      <c r="A70" s="54" t="s">
        <v>35</v>
      </c>
      <c r="B70" s="54" t="s">
        <v>72</v>
      </c>
      <c r="C70" s="55">
        <v>247</v>
      </c>
      <c r="D70" s="54" t="s">
        <v>35</v>
      </c>
      <c r="E70" s="54" t="s">
        <v>72</v>
      </c>
      <c r="F70" s="55">
        <v>246</v>
      </c>
      <c r="G70" s="54" t="s">
        <v>35</v>
      </c>
      <c r="H70" s="54" t="s">
        <v>72</v>
      </c>
      <c r="I70" s="55">
        <v>247</v>
      </c>
    </row>
    <row r="71" spans="1:9" x14ac:dyDescent="0.2">
      <c r="A71" s="54" t="s">
        <v>36</v>
      </c>
      <c r="B71" s="54" t="s">
        <v>72</v>
      </c>
      <c r="C71" s="55">
        <v>55</v>
      </c>
      <c r="D71" s="54" t="s">
        <v>36</v>
      </c>
      <c r="E71" s="54" t="s">
        <v>72</v>
      </c>
      <c r="F71" s="55">
        <v>55</v>
      </c>
      <c r="G71" s="54" t="s">
        <v>36</v>
      </c>
      <c r="H71" s="54" t="s">
        <v>72</v>
      </c>
      <c r="I71" s="55">
        <v>55</v>
      </c>
    </row>
    <row r="72" spans="1:9" x14ac:dyDescent="0.2">
      <c r="A72" s="54" t="s">
        <v>37</v>
      </c>
      <c r="B72" s="54" t="s">
        <v>72</v>
      </c>
      <c r="C72" s="55">
        <v>209</v>
      </c>
      <c r="D72" s="54" t="s">
        <v>37</v>
      </c>
      <c r="E72" s="54" t="s">
        <v>72</v>
      </c>
      <c r="F72" s="55">
        <v>208</v>
      </c>
      <c r="G72" s="54" t="s">
        <v>37</v>
      </c>
      <c r="H72" s="54" t="s">
        <v>72</v>
      </c>
      <c r="I72" s="55">
        <v>208</v>
      </c>
    </row>
    <row r="73" spans="1:9" x14ac:dyDescent="0.2">
      <c r="A73" s="54" t="s">
        <v>38</v>
      </c>
      <c r="B73" s="54" t="s">
        <v>72</v>
      </c>
      <c r="C73" s="55">
        <v>1</v>
      </c>
      <c r="D73" s="54" t="s">
        <v>38</v>
      </c>
      <c r="E73" s="54" t="s">
        <v>72</v>
      </c>
      <c r="F73" s="55">
        <v>1</v>
      </c>
      <c r="G73" s="54" t="s">
        <v>38</v>
      </c>
      <c r="H73" s="54" t="s">
        <v>72</v>
      </c>
      <c r="I73" s="55">
        <v>1</v>
      </c>
    </row>
    <row r="74" spans="1:9" x14ac:dyDescent="0.2">
      <c r="A74" s="54" t="s">
        <v>39</v>
      </c>
      <c r="B74" s="54" t="s">
        <v>72</v>
      </c>
      <c r="C74" s="55">
        <v>4</v>
      </c>
      <c r="D74" s="54" t="s">
        <v>39</v>
      </c>
      <c r="E74" s="54" t="s">
        <v>72</v>
      </c>
      <c r="F74" s="55">
        <v>4</v>
      </c>
      <c r="G74" s="54" t="s">
        <v>39</v>
      </c>
      <c r="H74" s="54" t="s">
        <v>72</v>
      </c>
      <c r="I74" s="55">
        <v>4</v>
      </c>
    </row>
    <row r="75" spans="1:9" x14ac:dyDescent="0.2">
      <c r="A75" s="54" t="s">
        <v>40</v>
      </c>
      <c r="B75" s="54" t="s">
        <v>72</v>
      </c>
      <c r="C75" s="55">
        <v>230</v>
      </c>
      <c r="D75" s="54" t="s">
        <v>40</v>
      </c>
      <c r="E75" s="54" t="s">
        <v>72</v>
      </c>
      <c r="F75" s="55">
        <v>231</v>
      </c>
      <c r="G75" s="54" t="s">
        <v>40</v>
      </c>
      <c r="H75" s="54" t="s">
        <v>72</v>
      </c>
      <c r="I75" s="55">
        <v>231</v>
      </c>
    </row>
    <row r="76" spans="1:9" x14ac:dyDescent="0.2">
      <c r="A76" s="54" t="s">
        <v>73</v>
      </c>
      <c r="B76" s="54" t="s">
        <v>72</v>
      </c>
      <c r="C76" s="55">
        <v>2</v>
      </c>
      <c r="D76" s="54" t="s">
        <v>73</v>
      </c>
      <c r="E76" s="54" t="s">
        <v>72</v>
      </c>
      <c r="F76" s="55">
        <v>2</v>
      </c>
      <c r="G76" s="54" t="s">
        <v>73</v>
      </c>
      <c r="H76" s="54" t="s">
        <v>72</v>
      </c>
      <c r="I76" s="55">
        <v>2</v>
      </c>
    </row>
    <row r="77" spans="1:9" x14ac:dyDescent="0.2">
      <c r="A77" s="54" t="s">
        <v>41</v>
      </c>
      <c r="B77" s="54" t="s">
        <v>72</v>
      </c>
      <c r="C77" s="55">
        <v>6</v>
      </c>
      <c r="D77" s="54" t="s">
        <v>41</v>
      </c>
      <c r="E77" s="54" t="s">
        <v>72</v>
      </c>
      <c r="F77" s="55">
        <v>6</v>
      </c>
      <c r="G77" s="54" t="s">
        <v>41</v>
      </c>
      <c r="H77" s="54" t="s">
        <v>72</v>
      </c>
      <c r="I77" s="55">
        <v>6</v>
      </c>
    </row>
    <row r="78" spans="1:9" x14ac:dyDescent="0.2">
      <c r="A78" s="54" t="s">
        <v>42</v>
      </c>
      <c r="B78" s="54" t="s">
        <v>72</v>
      </c>
      <c r="C78" s="55">
        <v>13</v>
      </c>
      <c r="D78" s="54" t="s">
        <v>42</v>
      </c>
      <c r="E78" s="54" t="s">
        <v>72</v>
      </c>
      <c r="F78" s="55">
        <v>15</v>
      </c>
      <c r="G78" s="54" t="s">
        <v>42</v>
      </c>
      <c r="H78" s="54" t="s">
        <v>72</v>
      </c>
      <c r="I78" s="55">
        <v>13</v>
      </c>
    </row>
    <row r="79" spans="1:9" x14ac:dyDescent="0.2">
      <c r="A79" s="54" t="s">
        <v>43</v>
      </c>
      <c r="B79" s="54" t="s">
        <v>72</v>
      </c>
      <c r="C79" s="55">
        <v>46</v>
      </c>
      <c r="D79" s="54" t="s">
        <v>43</v>
      </c>
      <c r="E79" s="54" t="s">
        <v>72</v>
      </c>
      <c r="F79" s="55">
        <v>46</v>
      </c>
      <c r="G79" s="54" t="s">
        <v>43</v>
      </c>
      <c r="H79" s="54" t="s">
        <v>72</v>
      </c>
      <c r="I79" s="55">
        <v>46</v>
      </c>
    </row>
    <row r="80" spans="1:9" x14ac:dyDescent="0.2">
      <c r="A80" s="54" t="s">
        <v>44</v>
      </c>
      <c r="B80" s="54" t="s">
        <v>72</v>
      </c>
      <c r="C80" s="55">
        <v>270</v>
      </c>
      <c r="D80" s="54" t="s">
        <v>44</v>
      </c>
      <c r="E80" s="54" t="s">
        <v>72</v>
      </c>
      <c r="F80" s="55">
        <v>269</v>
      </c>
      <c r="G80" s="54" t="s">
        <v>44</v>
      </c>
      <c r="H80" s="54" t="s">
        <v>72</v>
      </c>
      <c r="I80" s="55">
        <v>267</v>
      </c>
    </row>
    <row r="81" spans="1:9" x14ac:dyDescent="0.2">
      <c r="A81" s="54" t="s">
        <v>45</v>
      </c>
      <c r="B81" s="54" t="s">
        <v>72</v>
      </c>
      <c r="C81" s="55">
        <v>145</v>
      </c>
      <c r="D81" s="54" t="s">
        <v>45</v>
      </c>
      <c r="E81" s="54" t="s">
        <v>72</v>
      </c>
      <c r="F81" s="55">
        <v>145</v>
      </c>
      <c r="G81" s="54" t="s">
        <v>45</v>
      </c>
      <c r="H81" s="54" t="s">
        <v>72</v>
      </c>
      <c r="I81" s="55">
        <v>145</v>
      </c>
    </row>
    <row r="82" spans="1:9" x14ac:dyDescent="0.2">
      <c r="A82" s="54" t="s">
        <v>46</v>
      </c>
      <c r="B82" s="54" t="s">
        <v>72</v>
      </c>
      <c r="C82" s="55">
        <v>41</v>
      </c>
      <c r="D82" s="54" t="s">
        <v>46</v>
      </c>
      <c r="E82" s="54" t="s">
        <v>72</v>
      </c>
      <c r="F82" s="55">
        <v>41</v>
      </c>
      <c r="G82" s="54" t="s">
        <v>46</v>
      </c>
      <c r="H82" s="54" t="s">
        <v>72</v>
      </c>
      <c r="I82" s="55">
        <v>41</v>
      </c>
    </row>
    <row r="83" spans="1:9" x14ac:dyDescent="0.2">
      <c r="A83" s="54" t="s">
        <v>47</v>
      </c>
      <c r="B83" s="54" t="s">
        <v>72</v>
      </c>
      <c r="C83" s="55">
        <v>127</v>
      </c>
      <c r="D83" s="54" t="s">
        <v>47</v>
      </c>
      <c r="E83" s="54" t="s">
        <v>72</v>
      </c>
      <c r="F83" s="55">
        <v>128</v>
      </c>
      <c r="G83" s="54" t="s">
        <v>47</v>
      </c>
      <c r="H83" s="54" t="s">
        <v>72</v>
      </c>
      <c r="I83" s="55">
        <v>127</v>
      </c>
    </row>
    <row r="84" spans="1:9" x14ac:dyDescent="0.2">
      <c r="A84" s="54" t="s">
        <v>48</v>
      </c>
      <c r="B84" s="54" t="s">
        <v>72</v>
      </c>
      <c r="C84" s="55">
        <v>308</v>
      </c>
      <c r="D84" s="54" t="s">
        <v>48</v>
      </c>
      <c r="E84" s="54" t="s">
        <v>72</v>
      </c>
      <c r="F84" s="55">
        <v>309</v>
      </c>
      <c r="G84" s="54" t="s">
        <v>48</v>
      </c>
      <c r="H84" s="54" t="s">
        <v>72</v>
      </c>
      <c r="I84" s="55">
        <v>309</v>
      </c>
    </row>
    <row r="85" spans="1:9" x14ac:dyDescent="0.2">
      <c r="A85" s="54" t="s">
        <v>49</v>
      </c>
      <c r="B85" s="54" t="s">
        <v>72</v>
      </c>
      <c r="C85" s="55">
        <v>200</v>
      </c>
      <c r="D85" s="54" t="s">
        <v>49</v>
      </c>
      <c r="E85" s="54" t="s">
        <v>72</v>
      </c>
      <c r="F85" s="55">
        <v>198</v>
      </c>
      <c r="G85" s="54" t="s">
        <v>49</v>
      </c>
      <c r="H85" s="54" t="s">
        <v>72</v>
      </c>
      <c r="I85" s="55">
        <v>199</v>
      </c>
    </row>
    <row r="86" spans="1:9" x14ac:dyDescent="0.2">
      <c r="A86" s="54" t="s">
        <v>50</v>
      </c>
      <c r="B86" s="54" t="s">
        <v>72</v>
      </c>
      <c r="C86" s="55">
        <v>137</v>
      </c>
      <c r="D86" s="54" t="s">
        <v>50</v>
      </c>
      <c r="E86" s="54" t="s">
        <v>72</v>
      </c>
      <c r="F86" s="55">
        <v>137</v>
      </c>
      <c r="G86" s="54" t="s">
        <v>50</v>
      </c>
      <c r="H86" s="54" t="s">
        <v>72</v>
      </c>
      <c r="I86" s="55">
        <v>136</v>
      </c>
    </row>
    <row r="87" spans="1:9" x14ac:dyDescent="0.2">
      <c r="A87" s="54" t="s">
        <v>51</v>
      </c>
      <c r="B87" s="54" t="s">
        <v>72</v>
      </c>
      <c r="C87" s="55">
        <v>4</v>
      </c>
      <c r="D87" s="54" t="s">
        <v>51</v>
      </c>
      <c r="E87" s="54" t="s">
        <v>72</v>
      </c>
      <c r="F87" s="55">
        <v>4</v>
      </c>
      <c r="G87" s="54" t="s">
        <v>51</v>
      </c>
      <c r="H87" s="54" t="s">
        <v>72</v>
      </c>
      <c r="I87" s="55">
        <v>4</v>
      </c>
    </row>
    <row r="88" spans="1:9" x14ac:dyDescent="0.2">
      <c r="A88" s="54" t="s">
        <v>52</v>
      </c>
      <c r="B88" s="54" t="s">
        <v>72</v>
      </c>
      <c r="C88" s="55">
        <v>318</v>
      </c>
      <c r="D88" s="54" t="s">
        <v>52</v>
      </c>
      <c r="E88" s="54" t="s">
        <v>72</v>
      </c>
      <c r="F88" s="55">
        <v>316</v>
      </c>
      <c r="G88" s="54" t="s">
        <v>52</v>
      </c>
      <c r="H88" s="54" t="s">
        <v>72</v>
      </c>
      <c r="I88" s="55">
        <v>320</v>
      </c>
    </row>
    <row r="89" spans="1:9" x14ac:dyDescent="0.2">
      <c r="A89" s="54" t="s">
        <v>53</v>
      </c>
      <c r="B89" s="54" t="s">
        <v>72</v>
      </c>
      <c r="C89" s="55">
        <v>419</v>
      </c>
      <c r="D89" s="54" t="s">
        <v>53</v>
      </c>
      <c r="E89" s="54" t="s">
        <v>72</v>
      </c>
      <c r="F89" s="55">
        <v>419</v>
      </c>
      <c r="G89" s="54" t="s">
        <v>53</v>
      </c>
      <c r="H89" s="54" t="s">
        <v>72</v>
      </c>
      <c r="I89" s="55">
        <v>417</v>
      </c>
    </row>
    <row r="90" spans="1:9" x14ac:dyDescent="0.2">
      <c r="A90" s="54" t="s">
        <v>54</v>
      </c>
      <c r="B90" s="54" t="s">
        <v>72</v>
      </c>
      <c r="C90" s="55">
        <v>52</v>
      </c>
      <c r="D90" s="54" t="s">
        <v>54</v>
      </c>
      <c r="E90" s="54" t="s">
        <v>72</v>
      </c>
      <c r="F90" s="55">
        <v>52</v>
      </c>
      <c r="G90" s="54" t="s">
        <v>54</v>
      </c>
      <c r="H90" s="54" t="s">
        <v>72</v>
      </c>
      <c r="I90" s="55">
        <v>53</v>
      </c>
    </row>
    <row r="91" spans="1:9" x14ac:dyDescent="0.2">
      <c r="A91" s="54" t="s">
        <v>55</v>
      </c>
      <c r="B91" s="54" t="s">
        <v>72</v>
      </c>
      <c r="C91" s="55">
        <v>150</v>
      </c>
      <c r="D91" s="54" t="s">
        <v>55</v>
      </c>
      <c r="E91" s="54" t="s">
        <v>72</v>
      </c>
      <c r="F91" s="55">
        <v>149</v>
      </c>
      <c r="G91" s="54" t="s">
        <v>55</v>
      </c>
      <c r="H91" s="54" t="s">
        <v>72</v>
      </c>
      <c r="I91" s="55">
        <v>149</v>
      </c>
    </row>
    <row r="92" spans="1:9" x14ac:dyDescent="0.2">
      <c r="A92" s="54" t="s">
        <v>56</v>
      </c>
      <c r="B92" s="54" t="s">
        <v>72</v>
      </c>
      <c r="C92" s="55">
        <v>821</v>
      </c>
      <c r="D92" s="54" t="s">
        <v>56</v>
      </c>
      <c r="E92" s="54" t="s">
        <v>72</v>
      </c>
      <c r="F92" s="55">
        <v>852</v>
      </c>
      <c r="G92" s="54" t="s">
        <v>56</v>
      </c>
      <c r="H92" s="54" t="s">
        <v>72</v>
      </c>
      <c r="I92" s="55">
        <v>812</v>
      </c>
    </row>
    <row r="93" spans="1:9" x14ac:dyDescent="0.2">
      <c r="A93" s="54" t="s">
        <v>57</v>
      </c>
      <c r="B93" s="54" t="s">
        <v>72</v>
      </c>
      <c r="C93" s="55">
        <v>13</v>
      </c>
      <c r="D93" s="54" t="s">
        <v>57</v>
      </c>
      <c r="E93" s="54" t="s">
        <v>72</v>
      </c>
      <c r="F93" s="55">
        <v>13</v>
      </c>
      <c r="G93" s="54" t="s">
        <v>57</v>
      </c>
      <c r="H93" s="54" t="s">
        <v>72</v>
      </c>
      <c r="I93" s="55">
        <v>13</v>
      </c>
    </row>
    <row r="94" spans="1:9" x14ac:dyDescent="0.2">
      <c r="A94" s="54" t="s">
        <v>58</v>
      </c>
      <c r="B94" s="54" t="s">
        <v>72</v>
      </c>
      <c r="C94" s="55">
        <v>462</v>
      </c>
      <c r="D94" s="54" t="s">
        <v>58</v>
      </c>
      <c r="E94" s="54" t="s">
        <v>72</v>
      </c>
      <c r="F94" s="55">
        <v>477</v>
      </c>
      <c r="G94" s="54" t="s">
        <v>58</v>
      </c>
      <c r="H94" s="54" t="s">
        <v>72</v>
      </c>
      <c r="I94" s="55">
        <v>466</v>
      </c>
    </row>
    <row r="95" spans="1:9" x14ac:dyDescent="0.2">
      <c r="A95" s="54" t="s">
        <v>59</v>
      </c>
      <c r="B95" s="54" t="s">
        <v>72</v>
      </c>
      <c r="C95" s="55">
        <v>1</v>
      </c>
      <c r="D95" s="54" t="s">
        <v>59</v>
      </c>
      <c r="E95" s="54" t="s">
        <v>72</v>
      </c>
      <c r="F95" s="55">
        <v>1</v>
      </c>
      <c r="G95" s="54" t="s">
        <v>59</v>
      </c>
      <c r="H95" s="54" t="s">
        <v>72</v>
      </c>
      <c r="I95" s="55">
        <v>1</v>
      </c>
    </row>
    <row r="96" spans="1:9" x14ac:dyDescent="0.2">
      <c r="A96" s="54" t="s">
        <v>60</v>
      </c>
      <c r="B96" s="54" t="s">
        <v>72</v>
      </c>
      <c r="C96" s="55">
        <v>44</v>
      </c>
      <c r="D96" s="54" t="s">
        <v>60</v>
      </c>
      <c r="E96" s="54" t="s">
        <v>72</v>
      </c>
      <c r="F96" s="55">
        <v>44</v>
      </c>
      <c r="G96" s="54" t="s">
        <v>60</v>
      </c>
      <c r="H96" s="54" t="s">
        <v>72</v>
      </c>
      <c r="I96" s="55">
        <v>44</v>
      </c>
    </row>
    <row r="97" spans="1:9" x14ac:dyDescent="0.2">
      <c r="A97" s="54" t="s">
        <v>61</v>
      </c>
      <c r="B97" s="54" t="s">
        <v>72</v>
      </c>
      <c r="C97" s="55">
        <v>33</v>
      </c>
      <c r="D97" s="54" t="s">
        <v>61</v>
      </c>
      <c r="E97" s="54" t="s">
        <v>72</v>
      </c>
      <c r="F97" s="55">
        <v>33</v>
      </c>
      <c r="G97" s="54" t="s">
        <v>61</v>
      </c>
      <c r="H97" s="54" t="s">
        <v>72</v>
      </c>
      <c r="I97" s="55">
        <v>33</v>
      </c>
    </row>
    <row r="98" spans="1:9" x14ac:dyDescent="0.2">
      <c r="A98" s="54" t="s">
        <v>62</v>
      </c>
      <c r="B98" s="54" t="s">
        <v>72</v>
      </c>
      <c r="C98" s="55">
        <v>41</v>
      </c>
      <c r="D98" s="54" t="s">
        <v>62</v>
      </c>
      <c r="E98" s="54" t="s">
        <v>72</v>
      </c>
      <c r="F98" s="55">
        <v>41</v>
      </c>
      <c r="G98" s="54" t="s">
        <v>62</v>
      </c>
      <c r="H98" s="54" t="s">
        <v>72</v>
      </c>
      <c r="I98" s="55">
        <v>41</v>
      </c>
    </row>
    <row r="99" spans="1:9" x14ac:dyDescent="0.2">
      <c r="A99" s="54" t="s">
        <v>63</v>
      </c>
      <c r="B99" s="54" t="s">
        <v>72</v>
      </c>
      <c r="C99" s="55">
        <v>5</v>
      </c>
      <c r="D99" s="54" t="s">
        <v>63</v>
      </c>
      <c r="E99" s="54" t="s">
        <v>72</v>
      </c>
      <c r="F99" s="55">
        <v>5</v>
      </c>
      <c r="G99" s="54" t="s">
        <v>63</v>
      </c>
      <c r="H99" s="54" t="s">
        <v>72</v>
      </c>
      <c r="I99" s="55">
        <v>5</v>
      </c>
    </row>
    <row r="100" spans="1:9" x14ac:dyDescent="0.2">
      <c r="A100" s="54" t="s">
        <v>74</v>
      </c>
      <c r="B100" s="54" t="s">
        <v>72</v>
      </c>
      <c r="C100" s="55">
        <v>1</v>
      </c>
      <c r="D100" s="54" t="s">
        <v>74</v>
      </c>
      <c r="E100" s="54" t="s">
        <v>72</v>
      </c>
      <c r="F100" s="55">
        <v>1</v>
      </c>
      <c r="G100" s="54" t="s">
        <v>74</v>
      </c>
      <c r="H100" s="54" t="s">
        <v>72</v>
      </c>
      <c r="I100" s="55">
        <v>1</v>
      </c>
    </row>
    <row r="101" spans="1:9" x14ac:dyDescent="0.2">
      <c r="A101" s="54" t="s">
        <v>64</v>
      </c>
      <c r="B101" s="54" t="s">
        <v>72</v>
      </c>
      <c r="C101" s="55">
        <v>35</v>
      </c>
      <c r="D101" s="54" t="s">
        <v>64</v>
      </c>
      <c r="E101" s="54" t="s">
        <v>72</v>
      </c>
      <c r="F101" s="55">
        <v>35</v>
      </c>
      <c r="G101" s="54" t="s">
        <v>64</v>
      </c>
      <c r="H101" s="54" t="s">
        <v>72</v>
      </c>
      <c r="I101" s="55">
        <v>35</v>
      </c>
    </row>
    <row r="102" spans="1:9" x14ac:dyDescent="0.2">
      <c r="A102" s="54" t="s">
        <v>65</v>
      </c>
      <c r="B102" s="54" t="s">
        <v>72</v>
      </c>
      <c r="C102" s="55">
        <v>8</v>
      </c>
      <c r="D102" s="54" t="s">
        <v>65</v>
      </c>
      <c r="E102" s="54" t="s">
        <v>72</v>
      </c>
      <c r="F102" s="55">
        <v>8</v>
      </c>
      <c r="G102" s="54" t="s">
        <v>65</v>
      </c>
      <c r="H102" s="54" t="s">
        <v>72</v>
      </c>
      <c r="I102" s="55">
        <v>8</v>
      </c>
    </row>
    <row r="103" spans="1:9" x14ac:dyDescent="0.2">
      <c r="A103" s="54" t="s">
        <v>66</v>
      </c>
      <c r="B103" s="54" t="s">
        <v>72</v>
      </c>
      <c r="C103" s="55">
        <v>5</v>
      </c>
      <c r="D103" s="54" t="s">
        <v>66</v>
      </c>
      <c r="E103" s="54" t="s">
        <v>72</v>
      </c>
      <c r="F103" s="55">
        <v>5</v>
      </c>
      <c r="G103" s="54" t="s">
        <v>66</v>
      </c>
      <c r="H103" s="54" t="s">
        <v>72</v>
      </c>
      <c r="I103" s="55">
        <v>5</v>
      </c>
    </row>
    <row r="104" spans="1:9" x14ac:dyDescent="0.2">
      <c r="A104" s="54" t="s">
        <v>67</v>
      </c>
      <c r="B104" s="54" t="s">
        <v>72</v>
      </c>
      <c r="C104" s="55">
        <v>215</v>
      </c>
      <c r="D104" s="54" t="s">
        <v>67</v>
      </c>
      <c r="E104" s="54" t="s">
        <v>72</v>
      </c>
      <c r="F104" s="55">
        <v>215</v>
      </c>
      <c r="G104" s="54" t="s">
        <v>67</v>
      </c>
      <c r="H104" s="54" t="s">
        <v>72</v>
      </c>
      <c r="I104" s="55">
        <v>216</v>
      </c>
    </row>
    <row r="105" spans="1:9" x14ac:dyDescent="0.2">
      <c r="A105" s="54" t="s">
        <v>68</v>
      </c>
      <c r="B105" s="54" t="s">
        <v>72</v>
      </c>
      <c r="C105" s="55">
        <v>11</v>
      </c>
      <c r="D105" s="54" t="s">
        <v>68</v>
      </c>
      <c r="E105" s="54" t="s">
        <v>72</v>
      </c>
      <c r="F105" s="55">
        <v>11</v>
      </c>
      <c r="G105" s="54" t="s">
        <v>68</v>
      </c>
      <c r="H105" s="54" t="s">
        <v>72</v>
      </c>
      <c r="I105" s="55">
        <v>11</v>
      </c>
    </row>
    <row r="106" spans="1:9" x14ac:dyDescent="0.2">
      <c r="A106" s="54" t="s">
        <v>69</v>
      </c>
      <c r="B106" s="54" t="s">
        <v>72</v>
      </c>
      <c r="C106" s="55">
        <v>417</v>
      </c>
      <c r="D106" s="54" t="s">
        <v>69</v>
      </c>
      <c r="E106" s="54" t="s">
        <v>72</v>
      </c>
      <c r="F106" s="55">
        <v>418</v>
      </c>
      <c r="G106" s="54" t="s">
        <v>69</v>
      </c>
      <c r="H106" s="54" t="s">
        <v>72</v>
      </c>
      <c r="I106" s="55">
        <v>416</v>
      </c>
    </row>
    <row r="107" spans="1:9" x14ac:dyDescent="0.2">
      <c r="A107" s="54" t="s">
        <v>70</v>
      </c>
      <c r="B107" s="54" t="s">
        <v>72</v>
      </c>
      <c r="C107" s="55">
        <v>10</v>
      </c>
      <c r="D107" s="54" t="s">
        <v>70</v>
      </c>
      <c r="E107" s="54" t="s">
        <v>72</v>
      </c>
      <c r="F107" s="55">
        <v>10</v>
      </c>
      <c r="G107" s="54" t="s">
        <v>70</v>
      </c>
      <c r="H107" s="54" t="s">
        <v>72</v>
      </c>
      <c r="I107" s="55">
        <v>10</v>
      </c>
    </row>
    <row r="108" spans="1:9" x14ac:dyDescent="0.2">
      <c r="A108" s="54" t="s">
        <v>76</v>
      </c>
      <c r="B108" s="54" t="s">
        <v>75</v>
      </c>
      <c r="C108" s="55">
        <v>9</v>
      </c>
      <c r="D108" s="54" t="s">
        <v>76</v>
      </c>
      <c r="E108" s="54" t="s">
        <v>75</v>
      </c>
      <c r="F108" s="55">
        <v>9</v>
      </c>
      <c r="G108" s="54" t="s">
        <v>76</v>
      </c>
      <c r="H108" s="54" t="s">
        <v>75</v>
      </c>
      <c r="I108" s="55">
        <v>10</v>
      </c>
    </row>
    <row r="109" spans="1:9" x14ac:dyDescent="0.2">
      <c r="A109" s="54" t="s">
        <v>35</v>
      </c>
      <c r="B109" s="54" t="s">
        <v>75</v>
      </c>
      <c r="C109" s="55">
        <v>13746</v>
      </c>
      <c r="D109" s="54" t="s">
        <v>35</v>
      </c>
      <c r="E109" s="54" t="s">
        <v>75</v>
      </c>
      <c r="F109" s="55">
        <v>13808</v>
      </c>
      <c r="G109" s="54" t="s">
        <v>35</v>
      </c>
      <c r="H109" s="54" t="s">
        <v>75</v>
      </c>
      <c r="I109" s="55">
        <v>13859</v>
      </c>
    </row>
    <row r="110" spans="1:9" x14ac:dyDescent="0.2">
      <c r="A110" s="54" t="s">
        <v>36</v>
      </c>
      <c r="B110" s="54" t="s">
        <v>75</v>
      </c>
      <c r="C110" s="55">
        <v>20262</v>
      </c>
      <c r="D110" s="54" t="s">
        <v>36</v>
      </c>
      <c r="E110" s="54" t="s">
        <v>75</v>
      </c>
      <c r="F110" s="55">
        <v>20343</v>
      </c>
      <c r="G110" s="54" t="s">
        <v>36</v>
      </c>
      <c r="H110" s="54" t="s">
        <v>75</v>
      </c>
      <c r="I110" s="55">
        <v>20517</v>
      </c>
    </row>
    <row r="111" spans="1:9" x14ac:dyDescent="0.2">
      <c r="A111" s="54" t="s">
        <v>37</v>
      </c>
      <c r="B111" s="54" t="s">
        <v>75</v>
      </c>
      <c r="C111" s="55">
        <v>7550</v>
      </c>
      <c r="D111" s="54" t="s">
        <v>37</v>
      </c>
      <c r="E111" s="54" t="s">
        <v>75</v>
      </c>
      <c r="F111" s="55">
        <v>7594</v>
      </c>
      <c r="G111" s="54" t="s">
        <v>37</v>
      </c>
      <c r="H111" s="54" t="s">
        <v>75</v>
      </c>
      <c r="I111" s="55">
        <v>7640</v>
      </c>
    </row>
    <row r="112" spans="1:9" x14ac:dyDescent="0.2">
      <c r="A112" s="54" t="s">
        <v>38</v>
      </c>
      <c r="B112" s="54" t="s">
        <v>75</v>
      </c>
      <c r="C112" s="55">
        <v>2</v>
      </c>
      <c r="D112" s="54" t="s">
        <v>38</v>
      </c>
      <c r="E112" s="54" t="s">
        <v>75</v>
      </c>
      <c r="F112" s="55">
        <v>2</v>
      </c>
      <c r="G112" s="54" t="s">
        <v>38</v>
      </c>
      <c r="H112" s="54" t="s">
        <v>75</v>
      </c>
      <c r="I112" s="55">
        <v>2</v>
      </c>
    </row>
    <row r="113" spans="1:9" x14ac:dyDescent="0.2">
      <c r="A113" s="54" t="s">
        <v>40</v>
      </c>
      <c r="B113" s="54" t="s">
        <v>75</v>
      </c>
      <c r="C113" s="55">
        <v>19266</v>
      </c>
      <c r="D113" s="54" t="s">
        <v>40</v>
      </c>
      <c r="E113" s="54" t="s">
        <v>75</v>
      </c>
      <c r="F113" s="55">
        <v>19352</v>
      </c>
      <c r="G113" s="54" t="s">
        <v>40</v>
      </c>
      <c r="H113" s="54" t="s">
        <v>75</v>
      </c>
      <c r="I113" s="55">
        <v>19533</v>
      </c>
    </row>
    <row r="114" spans="1:9" x14ac:dyDescent="0.2">
      <c r="A114" s="54" t="s">
        <v>41</v>
      </c>
      <c r="B114" s="54" t="s">
        <v>75</v>
      </c>
      <c r="C114" s="55">
        <v>3</v>
      </c>
      <c r="D114" s="54" t="s">
        <v>41</v>
      </c>
      <c r="E114" s="54" t="s">
        <v>75</v>
      </c>
      <c r="F114" s="55">
        <v>3</v>
      </c>
      <c r="G114" s="54" t="s">
        <v>41</v>
      </c>
      <c r="H114" s="54" t="s">
        <v>75</v>
      </c>
      <c r="I114" s="55">
        <v>3</v>
      </c>
    </row>
    <row r="115" spans="1:9" x14ac:dyDescent="0.2">
      <c r="A115" s="54" t="s">
        <v>42</v>
      </c>
      <c r="B115" s="54" t="s">
        <v>75</v>
      </c>
      <c r="C115" s="55">
        <v>241</v>
      </c>
      <c r="D115" s="54" t="s">
        <v>42</v>
      </c>
      <c r="E115" s="54" t="s">
        <v>75</v>
      </c>
      <c r="F115" s="55">
        <v>242</v>
      </c>
      <c r="G115" s="54" t="s">
        <v>42</v>
      </c>
      <c r="H115" s="54" t="s">
        <v>75</v>
      </c>
      <c r="I115" s="55">
        <v>241</v>
      </c>
    </row>
    <row r="116" spans="1:9" x14ac:dyDescent="0.2">
      <c r="A116" s="54" t="s">
        <v>43</v>
      </c>
      <c r="B116" s="54" t="s">
        <v>75</v>
      </c>
      <c r="C116" s="55">
        <v>531</v>
      </c>
      <c r="D116" s="54" t="s">
        <v>43</v>
      </c>
      <c r="E116" s="54" t="s">
        <v>75</v>
      </c>
      <c r="F116" s="55">
        <v>531</v>
      </c>
      <c r="G116" s="54" t="s">
        <v>43</v>
      </c>
      <c r="H116" s="54" t="s">
        <v>75</v>
      </c>
      <c r="I116" s="55">
        <v>524</v>
      </c>
    </row>
    <row r="117" spans="1:9" x14ac:dyDescent="0.2">
      <c r="A117" s="54" t="s">
        <v>44</v>
      </c>
      <c r="B117" s="54" t="s">
        <v>75</v>
      </c>
      <c r="C117" s="55">
        <v>4693</v>
      </c>
      <c r="D117" s="54" t="s">
        <v>44</v>
      </c>
      <c r="E117" s="54" t="s">
        <v>75</v>
      </c>
      <c r="F117" s="55">
        <v>4731</v>
      </c>
      <c r="G117" s="54" t="s">
        <v>44</v>
      </c>
      <c r="H117" s="54" t="s">
        <v>75</v>
      </c>
      <c r="I117" s="55">
        <v>4736</v>
      </c>
    </row>
    <row r="118" spans="1:9" x14ac:dyDescent="0.2">
      <c r="A118" s="54" t="s">
        <v>45</v>
      </c>
      <c r="B118" s="54" t="s">
        <v>75</v>
      </c>
      <c r="C118" s="55">
        <v>1688</v>
      </c>
      <c r="D118" s="54" t="s">
        <v>45</v>
      </c>
      <c r="E118" s="54" t="s">
        <v>75</v>
      </c>
      <c r="F118" s="55">
        <v>1685</v>
      </c>
      <c r="G118" s="54" t="s">
        <v>45</v>
      </c>
      <c r="H118" s="54" t="s">
        <v>75</v>
      </c>
      <c r="I118" s="55">
        <v>1697</v>
      </c>
    </row>
    <row r="119" spans="1:9" x14ac:dyDescent="0.2">
      <c r="A119" s="54" t="s">
        <v>46</v>
      </c>
      <c r="B119" s="54" t="s">
        <v>75</v>
      </c>
      <c r="C119" s="55">
        <v>286</v>
      </c>
      <c r="D119" s="54" t="s">
        <v>46</v>
      </c>
      <c r="E119" s="54" t="s">
        <v>75</v>
      </c>
      <c r="F119" s="55">
        <v>287</v>
      </c>
      <c r="G119" s="54" t="s">
        <v>46</v>
      </c>
      <c r="H119" s="54" t="s">
        <v>75</v>
      </c>
      <c r="I119" s="55">
        <v>289</v>
      </c>
    </row>
    <row r="120" spans="1:9" x14ac:dyDescent="0.2">
      <c r="A120" s="54" t="s">
        <v>47</v>
      </c>
      <c r="B120" s="54" t="s">
        <v>75</v>
      </c>
      <c r="C120" s="55">
        <v>917</v>
      </c>
      <c r="D120" s="54" t="s">
        <v>47</v>
      </c>
      <c r="E120" s="54" t="s">
        <v>75</v>
      </c>
      <c r="F120" s="55">
        <v>919</v>
      </c>
      <c r="G120" s="54" t="s">
        <v>47</v>
      </c>
      <c r="H120" s="54" t="s">
        <v>75</v>
      </c>
      <c r="I120" s="55">
        <v>917</v>
      </c>
    </row>
    <row r="121" spans="1:9" x14ac:dyDescent="0.2">
      <c r="A121" s="54" t="s">
        <v>48</v>
      </c>
      <c r="B121" s="54" t="s">
        <v>75</v>
      </c>
      <c r="C121" s="55">
        <v>2655</v>
      </c>
      <c r="D121" s="54" t="s">
        <v>48</v>
      </c>
      <c r="E121" s="54" t="s">
        <v>75</v>
      </c>
      <c r="F121" s="55">
        <v>2651</v>
      </c>
      <c r="G121" s="54" t="s">
        <v>48</v>
      </c>
      <c r="H121" s="54" t="s">
        <v>75</v>
      </c>
      <c r="I121" s="55">
        <v>2658</v>
      </c>
    </row>
    <row r="122" spans="1:9" x14ac:dyDescent="0.2">
      <c r="A122" s="54" t="s">
        <v>49</v>
      </c>
      <c r="B122" s="54" t="s">
        <v>75</v>
      </c>
      <c r="C122" s="55">
        <v>2320</v>
      </c>
      <c r="D122" s="54" t="s">
        <v>49</v>
      </c>
      <c r="E122" s="54" t="s">
        <v>75</v>
      </c>
      <c r="F122" s="55">
        <v>2309</v>
      </c>
      <c r="G122" s="54" t="s">
        <v>49</v>
      </c>
      <c r="H122" s="54" t="s">
        <v>75</v>
      </c>
      <c r="I122" s="55">
        <v>2331</v>
      </c>
    </row>
    <row r="123" spans="1:9" x14ac:dyDescent="0.2">
      <c r="A123" s="54" t="s">
        <v>50</v>
      </c>
      <c r="B123" s="54" t="s">
        <v>75</v>
      </c>
      <c r="C123" s="55">
        <v>578</v>
      </c>
      <c r="D123" s="54" t="s">
        <v>50</v>
      </c>
      <c r="E123" s="54" t="s">
        <v>75</v>
      </c>
      <c r="F123" s="55">
        <v>587</v>
      </c>
      <c r="G123" s="54" t="s">
        <v>50</v>
      </c>
      <c r="H123" s="54" t="s">
        <v>75</v>
      </c>
      <c r="I123" s="55">
        <v>578</v>
      </c>
    </row>
    <row r="124" spans="1:9" x14ac:dyDescent="0.2">
      <c r="A124" s="54" t="s">
        <v>51</v>
      </c>
      <c r="B124" s="54" t="s">
        <v>75</v>
      </c>
      <c r="C124" s="55">
        <v>95</v>
      </c>
      <c r="D124" s="54" t="s">
        <v>51</v>
      </c>
      <c r="E124" s="54" t="s">
        <v>75</v>
      </c>
      <c r="F124" s="55">
        <v>95</v>
      </c>
      <c r="G124" s="54" t="s">
        <v>51</v>
      </c>
      <c r="H124" s="54" t="s">
        <v>75</v>
      </c>
      <c r="I124" s="55">
        <v>98</v>
      </c>
    </row>
    <row r="125" spans="1:9" x14ac:dyDescent="0.2">
      <c r="A125" s="54" t="s">
        <v>52</v>
      </c>
      <c r="B125" s="54" t="s">
        <v>75</v>
      </c>
      <c r="C125" s="55">
        <v>8388</v>
      </c>
      <c r="D125" s="54" t="s">
        <v>52</v>
      </c>
      <c r="E125" s="54" t="s">
        <v>75</v>
      </c>
      <c r="F125" s="55">
        <v>8404</v>
      </c>
      <c r="G125" s="54" t="s">
        <v>52</v>
      </c>
      <c r="H125" s="54" t="s">
        <v>75</v>
      </c>
      <c r="I125" s="55">
        <v>8410</v>
      </c>
    </row>
    <row r="126" spans="1:9" x14ac:dyDescent="0.2">
      <c r="A126" s="54" t="s">
        <v>53</v>
      </c>
      <c r="B126" s="54" t="s">
        <v>75</v>
      </c>
      <c r="C126" s="55">
        <v>7316</v>
      </c>
      <c r="D126" s="54" t="s">
        <v>53</v>
      </c>
      <c r="E126" s="54" t="s">
        <v>75</v>
      </c>
      <c r="F126" s="55">
        <v>7317</v>
      </c>
      <c r="G126" s="54" t="s">
        <v>53</v>
      </c>
      <c r="H126" s="54" t="s">
        <v>75</v>
      </c>
      <c r="I126" s="55">
        <v>7322</v>
      </c>
    </row>
    <row r="127" spans="1:9" x14ac:dyDescent="0.2">
      <c r="A127" s="54" t="s">
        <v>54</v>
      </c>
      <c r="B127" s="54" t="s">
        <v>75</v>
      </c>
      <c r="C127" s="55">
        <v>1302</v>
      </c>
      <c r="D127" s="54" t="s">
        <v>54</v>
      </c>
      <c r="E127" s="54" t="s">
        <v>75</v>
      </c>
      <c r="F127" s="55">
        <v>1305</v>
      </c>
      <c r="G127" s="54" t="s">
        <v>54</v>
      </c>
      <c r="H127" s="54" t="s">
        <v>75</v>
      </c>
      <c r="I127" s="55">
        <v>1309</v>
      </c>
    </row>
    <row r="128" spans="1:9" x14ac:dyDescent="0.2">
      <c r="A128" s="54" t="s">
        <v>55</v>
      </c>
      <c r="B128" s="54" t="s">
        <v>75</v>
      </c>
      <c r="C128" s="55">
        <v>3448</v>
      </c>
      <c r="D128" s="54" t="s">
        <v>55</v>
      </c>
      <c r="E128" s="54" t="s">
        <v>75</v>
      </c>
      <c r="F128" s="55">
        <v>3455</v>
      </c>
      <c r="G128" s="54" t="s">
        <v>55</v>
      </c>
      <c r="H128" s="54" t="s">
        <v>75</v>
      </c>
      <c r="I128" s="55">
        <v>3464</v>
      </c>
    </row>
    <row r="129" spans="1:9" x14ac:dyDescent="0.2">
      <c r="A129" s="54" t="s">
        <v>77</v>
      </c>
      <c r="B129" s="54" t="s">
        <v>75</v>
      </c>
      <c r="C129" s="55">
        <v>1</v>
      </c>
      <c r="D129" s="54" t="s">
        <v>77</v>
      </c>
      <c r="E129" s="54" t="s">
        <v>75</v>
      </c>
      <c r="F129" s="55">
        <v>1</v>
      </c>
      <c r="G129" s="54" t="s">
        <v>77</v>
      </c>
      <c r="H129" s="54" t="s">
        <v>75</v>
      </c>
      <c r="I129" s="55">
        <v>1</v>
      </c>
    </row>
    <row r="130" spans="1:9" x14ac:dyDescent="0.2">
      <c r="A130" s="54" t="s">
        <v>56</v>
      </c>
      <c r="B130" s="54" t="s">
        <v>75</v>
      </c>
      <c r="C130" s="55">
        <v>3571</v>
      </c>
      <c r="D130" s="54" t="s">
        <v>56</v>
      </c>
      <c r="E130" s="54" t="s">
        <v>75</v>
      </c>
      <c r="F130" s="55">
        <v>3587</v>
      </c>
      <c r="G130" s="54" t="s">
        <v>56</v>
      </c>
      <c r="H130" s="54" t="s">
        <v>75</v>
      </c>
      <c r="I130" s="55">
        <v>3585</v>
      </c>
    </row>
    <row r="131" spans="1:9" x14ac:dyDescent="0.2">
      <c r="A131" s="54" t="s">
        <v>57</v>
      </c>
      <c r="B131" s="54" t="s">
        <v>75</v>
      </c>
      <c r="C131" s="55">
        <v>186</v>
      </c>
      <c r="D131" s="54" t="s">
        <v>57</v>
      </c>
      <c r="E131" s="54" t="s">
        <v>75</v>
      </c>
      <c r="F131" s="55">
        <v>187</v>
      </c>
      <c r="G131" s="54" t="s">
        <v>57</v>
      </c>
      <c r="H131" s="54" t="s">
        <v>75</v>
      </c>
      <c r="I131" s="55">
        <v>185</v>
      </c>
    </row>
    <row r="132" spans="1:9" x14ac:dyDescent="0.2">
      <c r="A132" s="54" t="s">
        <v>58</v>
      </c>
      <c r="B132" s="54" t="s">
        <v>75</v>
      </c>
      <c r="C132" s="55">
        <v>2623</v>
      </c>
      <c r="D132" s="54" t="s">
        <v>58</v>
      </c>
      <c r="E132" s="54" t="s">
        <v>75</v>
      </c>
      <c r="F132" s="55">
        <v>2637</v>
      </c>
      <c r="G132" s="54" t="s">
        <v>58</v>
      </c>
      <c r="H132" s="54" t="s">
        <v>75</v>
      </c>
      <c r="I132" s="55">
        <v>2636</v>
      </c>
    </row>
    <row r="133" spans="1:9" x14ac:dyDescent="0.2">
      <c r="A133" s="54" t="s">
        <v>59</v>
      </c>
      <c r="B133" s="54" t="s">
        <v>75</v>
      </c>
      <c r="C133" s="55">
        <v>3</v>
      </c>
      <c r="D133" s="54" t="s">
        <v>59</v>
      </c>
      <c r="E133" s="54" t="s">
        <v>75</v>
      </c>
      <c r="F133" s="55">
        <v>2</v>
      </c>
      <c r="G133" s="54" t="s">
        <v>59</v>
      </c>
      <c r="H133" s="54" t="s">
        <v>75</v>
      </c>
      <c r="I133" s="55">
        <v>2</v>
      </c>
    </row>
    <row r="134" spans="1:9" x14ac:dyDescent="0.2">
      <c r="A134" s="54" t="s">
        <v>60</v>
      </c>
      <c r="B134" s="54" t="s">
        <v>75</v>
      </c>
      <c r="C134" s="55">
        <v>876</v>
      </c>
      <c r="D134" s="54" t="s">
        <v>60</v>
      </c>
      <c r="E134" s="54" t="s">
        <v>75</v>
      </c>
      <c r="F134" s="55">
        <v>880</v>
      </c>
      <c r="G134" s="54" t="s">
        <v>60</v>
      </c>
      <c r="H134" s="54" t="s">
        <v>75</v>
      </c>
      <c r="I134" s="55">
        <v>875</v>
      </c>
    </row>
    <row r="135" spans="1:9" x14ac:dyDescent="0.2">
      <c r="A135" s="54" t="s">
        <v>61</v>
      </c>
      <c r="B135" s="54" t="s">
        <v>75</v>
      </c>
      <c r="C135" s="55">
        <v>3779</v>
      </c>
      <c r="D135" s="54" t="s">
        <v>61</v>
      </c>
      <c r="E135" s="54" t="s">
        <v>75</v>
      </c>
      <c r="F135" s="55">
        <v>3778</v>
      </c>
      <c r="G135" s="54" t="s">
        <v>61</v>
      </c>
      <c r="H135" s="54" t="s">
        <v>75</v>
      </c>
      <c r="I135" s="55">
        <v>3812</v>
      </c>
    </row>
    <row r="136" spans="1:9" x14ac:dyDescent="0.2">
      <c r="A136" s="54" t="s">
        <v>62</v>
      </c>
      <c r="B136" s="54" t="s">
        <v>75</v>
      </c>
      <c r="C136" s="55">
        <v>1696</v>
      </c>
      <c r="D136" s="54" t="s">
        <v>62</v>
      </c>
      <c r="E136" s="54" t="s">
        <v>75</v>
      </c>
      <c r="F136" s="55">
        <v>1704</v>
      </c>
      <c r="G136" s="54" t="s">
        <v>62</v>
      </c>
      <c r="H136" s="54" t="s">
        <v>75</v>
      </c>
      <c r="I136" s="55">
        <v>1704</v>
      </c>
    </row>
    <row r="137" spans="1:9" x14ac:dyDescent="0.2">
      <c r="A137" s="54" t="s">
        <v>63</v>
      </c>
      <c r="B137" s="54" t="s">
        <v>75</v>
      </c>
      <c r="C137" s="55">
        <v>118</v>
      </c>
      <c r="D137" s="54" t="s">
        <v>63</v>
      </c>
      <c r="E137" s="54" t="s">
        <v>75</v>
      </c>
      <c r="F137" s="55">
        <v>116</v>
      </c>
      <c r="G137" s="54" t="s">
        <v>63</v>
      </c>
      <c r="H137" s="54" t="s">
        <v>75</v>
      </c>
      <c r="I137" s="55">
        <v>116</v>
      </c>
    </row>
    <row r="138" spans="1:9" x14ac:dyDescent="0.2">
      <c r="A138" s="54" t="s">
        <v>64</v>
      </c>
      <c r="B138" s="54" t="s">
        <v>75</v>
      </c>
      <c r="C138" s="55">
        <v>910</v>
      </c>
      <c r="D138" s="54" t="s">
        <v>64</v>
      </c>
      <c r="E138" s="54" t="s">
        <v>75</v>
      </c>
      <c r="F138" s="55">
        <v>903</v>
      </c>
      <c r="G138" s="54" t="s">
        <v>64</v>
      </c>
      <c r="H138" s="54" t="s">
        <v>75</v>
      </c>
      <c r="I138" s="55">
        <v>905</v>
      </c>
    </row>
    <row r="139" spans="1:9" x14ac:dyDescent="0.2">
      <c r="A139" s="54" t="s">
        <v>65</v>
      </c>
      <c r="B139" s="54" t="s">
        <v>75</v>
      </c>
      <c r="C139" s="55">
        <v>201</v>
      </c>
      <c r="D139" s="54" t="s">
        <v>65</v>
      </c>
      <c r="E139" s="54" t="s">
        <v>75</v>
      </c>
      <c r="F139" s="55">
        <v>198</v>
      </c>
      <c r="G139" s="54" t="s">
        <v>65</v>
      </c>
      <c r="H139" s="54" t="s">
        <v>75</v>
      </c>
      <c r="I139" s="55">
        <v>203</v>
      </c>
    </row>
    <row r="140" spans="1:9" x14ac:dyDescent="0.2">
      <c r="A140" s="54" t="s">
        <v>66</v>
      </c>
      <c r="B140" s="54" t="s">
        <v>75</v>
      </c>
      <c r="C140" s="55">
        <v>46</v>
      </c>
      <c r="D140" s="54" t="s">
        <v>66</v>
      </c>
      <c r="E140" s="54" t="s">
        <v>75</v>
      </c>
      <c r="F140" s="55">
        <v>46</v>
      </c>
      <c r="G140" s="54" t="s">
        <v>66</v>
      </c>
      <c r="H140" s="54" t="s">
        <v>75</v>
      </c>
      <c r="I140" s="55">
        <v>45</v>
      </c>
    </row>
    <row r="141" spans="1:9" x14ac:dyDescent="0.2">
      <c r="A141" s="54" t="s">
        <v>67</v>
      </c>
      <c r="B141" s="54" t="s">
        <v>75</v>
      </c>
      <c r="C141" s="55">
        <v>404</v>
      </c>
      <c r="D141" s="54" t="s">
        <v>67</v>
      </c>
      <c r="E141" s="54" t="s">
        <v>75</v>
      </c>
      <c r="F141" s="55">
        <v>406</v>
      </c>
      <c r="G141" s="54" t="s">
        <v>67</v>
      </c>
      <c r="H141" s="54" t="s">
        <v>75</v>
      </c>
      <c r="I141" s="55">
        <v>404</v>
      </c>
    </row>
    <row r="142" spans="1:9" x14ac:dyDescent="0.2">
      <c r="A142" s="2" t="s">
        <v>68</v>
      </c>
      <c r="B142" s="2" t="s">
        <v>75</v>
      </c>
      <c r="C142" s="2">
        <v>681</v>
      </c>
      <c r="D142" s="2" t="s">
        <v>68</v>
      </c>
      <c r="E142" s="2" t="s">
        <v>75</v>
      </c>
      <c r="F142" s="2">
        <v>681</v>
      </c>
      <c r="G142" s="54" t="s">
        <v>68</v>
      </c>
      <c r="H142" s="54" t="s">
        <v>75</v>
      </c>
      <c r="I142" s="55">
        <v>682</v>
      </c>
    </row>
    <row r="143" spans="1:9" x14ac:dyDescent="0.2">
      <c r="A143" s="2" t="s">
        <v>69</v>
      </c>
      <c r="B143" s="2" t="s">
        <v>75</v>
      </c>
      <c r="C143" s="2">
        <v>18995</v>
      </c>
      <c r="D143" s="2" t="s">
        <v>69</v>
      </c>
      <c r="E143" s="2" t="s">
        <v>75</v>
      </c>
      <c r="F143" s="2">
        <v>19043</v>
      </c>
      <c r="G143" s="2" t="s">
        <v>69</v>
      </c>
      <c r="H143" s="2" t="s">
        <v>75</v>
      </c>
      <c r="I143" s="2">
        <v>19059</v>
      </c>
    </row>
    <row r="144" spans="1:9" x14ac:dyDescent="0.2">
      <c r="A144" t="s">
        <v>70</v>
      </c>
      <c r="B144" t="s">
        <v>75</v>
      </c>
      <c r="C144">
        <v>72</v>
      </c>
      <c r="D144" s="2" t="s">
        <v>70</v>
      </c>
      <c r="E144" s="2" t="s">
        <v>75</v>
      </c>
      <c r="F144" s="2">
        <v>74</v>
      </c>
      <c r="G144" s="2" t="s">
        <v>70</v>
      </c>
      <c r="H144" s="2" t="s">
        <v>75</v>
      </c>
      <c r="I144" s="2">
        <v>72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</sheetPr>
  <dimension ref="A1:AF599"/>
  <sheetViews>
    <sheetView topLeftCell="D1" zoomScale="139" workbookViewId="0">
      <selection activeCell="Y4" sqref="Y4:AA4"/>
    </sheetView>
  </sheetViews>
  <sheetFormatPr baseColWidth="10" defaultColWidth="8.83203125" defaultRowHeight="15" x14ac:dyDescent="0.2"/>
  <cols>
    <col min="2" max="2" width="15.33203125" customWidth="1"/>
    <col min="3" max="3" width="2.83203125" style="1" customWidth="1"/>
    <col min="4" max="6" width="6.6640625" customWidth="1"/>
    <col min="7" max="11" width="9.1640625" customWidth="1"/>
    <col min="12" max="12" width="8.5" customWidth="1"/>
    <col min="13" max="13" width="2.83203125" style="1" customWidth="1"/>
    <col min="14" max="15" width="7.5" customWidth="1"/>
    <col min="16" max="16" width="9.1640625" bestFit="1" customWidth="1"/>
    <col min="17" max="18" width="9.1640625" customWidth="1"/>
    <col min="19" max="19" width="11" customWidth="1"/>
    <col min="20" max="21" width="9.1640625" customWidth="1"/>
    <col min="22" max="22" width="10" bestFit="1" customWidth="1"/>
    <col min="23" max="23" width="2.6640625" style="1" customWidth="1"/>
    <col min="24" max="24" width="8.83203125" style="1" bestFit="1" customWidth="1"/>
    <col min="25" max="25" width="6.6640625" bestFit="1" customWidth="1"/>
    <col min="26" max="26" width="7.5" bestFit="1" customWidth="1"/>
    <col min="27" max="27" width="7" bestFit="1" customWidth="1"/>
    <col min="28" max="28" width="5.33203125" style="1" customWidth="1"/>
    <col min="29" max="29" width="8.83203125" style="1" bestFit="1" customWidth="1"/>
    <col min="30" max="30" width="6.6640625" bestFit="1" customWidth="1"/>
    <col min="31" max="31" width="7.33203125" bestFit="1" customWidth="1"/>
    <col min="32" max="32" width="7" bestFit="1" customWidth="1"/>
  </cols>
  <sheetData>
    <row r="1" spans="1:32" s="5" customFormat="1" ht="64.25" customHeight="1" x14ac:dyDescent="0.2">
      <c r="A1" s="129" t="s">
        <v>277</v>
      </c>
      <c r="B1" s="129"/>
      <c r="C1" s="23"/>
      <c r="D1" s="128" t="s">
        <v>15</v>
      </c>
      <c r="E1" s="128"/>
      <c r="F1" s="128"/>
      <c r="G1" s="128"/>
      <c r="H1" s="128"/>
      <c r="I1" s="128"/>
      <c r="J1" s="128"/>
      <c r="K1" s="128"/>
      <c r="L1" s="128"/>
      <c r="M1" s="23"/>
      <c r="N1" s="128" t="s">
        <v>115</v>
      </c>
      <c r="O1" s="128"/>
      <c r="P1" s="128"/>
      <c r="Q1" s="128"/>
      <c r="R1" s="128"/>
      <c r="S1" s="128"/>
      <c r="T1" s="128"/>
      <c r="U1" s="128"/>
      <c r="V1" s="128"/>
      <c r="W1" s="23"/>
      <c r="X1" s="126" t="s">
        <v>16</v>
      </c>
      <c r="Y1" s="126"/>
      <c r="Z1" s="126"/>
      <c r="AA1" s="127"/>
      <c r="AB1" s="23"/>
      <c r="AC1" s="126" t="s">
        <v>17</v>
      </c>
      <c r="AD1" s="126"/>
      <c r="AE1" s="126"/>
      <c r="AF1" s="127"/>
    </row>
    <row r="2" spans="1:32" s="5" customFormat="1" x14ac:dyDescent="0.2">
      <c r="A2" s="24"/>
      <c r="B2" s="24"/>
      <c r="C2" s="23"/>
      <c r="D2" s="22" t="s">
        <v>0</v>
      </c>
      <c r="E2" s="22" t="s">
        <v>1</v>
      </c>
      <c r="F2" s="22">
        <v>45292</v>
      </c>
      <c r="G2" s="22" t="s">
        <v>0</v>
      </c>
      <c r="H2" s="22" t="s">
        <v>1</v>
      </c>
      <c r="I2" s="22">
        <v>45323</v>
      </c>
      <c r="J2" s="22" t="s">
        <v>0</v>
      </c>
      <c r="K2" s="22" t="s">
        <v>1</v>
      </c>
      <c r="L2" s="22">
        <v>45352</v>
      </c>
      <c r="M2" s="23"/>
      <c r="N2" s="22" t="s">
        <v>196</v>
      </c>
      <c r="O2" s="22" t="s">
        <v>274</v>
      </c>
      <c r="P2" s="22">
        <v>45292</v>
      </c>
      <c r="Q2" s="22" t="s">
        <v>196</v>
      </c>
      <c r="R2" s="22" t="s">
        <v>274</v>
      </c>
      <c r="S2" s="22">
        <v>45323</v>
      </c>
      <c r="T2" s="22" t="s">
        <v>196</v>
      </c>
      <c r="U2" s="22" t="s">
        <v>274</v>
      </c>
      <c r="V2" s="22">
        <v>45352</v>
      </c>
      <c r="W2" s="23"/>
      <c r="X2" s="22" t="s">
        <v>262</v>
      </c>
      <c r="Y2" s="118">
        <v>45292</v>
      </c>
      <c r="Z2" s="118">
        <v>45323</v>
      </c>
      <c r="AA2" s="118">
        <v>45352</v>
      </c>
      <c r="AB2" s="23"/>
      <c r="AC2" s="22" t="s">
        <v>262</v>
      </c>
      <c r="AD2" s="118">
        <v>45292</v>
      </c>
      <c r="AE2" s="118">
        <v>45323</v>
      </c>
      <c r="AF2" s="118">
        <v>45352</v>
      </c>
    </row>
    <row r="3" spans="1:32" x14ac:dyDescent="0.2">
      <c r="A3" s="96"/>
      <c r="D3" s="2" t="s">
        <v>35</v>
      </c>
      <c r="E3" s="2" t="s">
        <v>75</v>
      </c>
      <c r="F3" s="2">
        <v>3</v>
      </c>
      <c r="G3" s="2" t="s">
        <v>35</v>
      </c>
      <c r="H3" s="2" t="s">
        <v>75</v>
      </c>
      <c r="I3" s="119">
        <v>1</v>
      </c>
      <c r="J3" s="2" t="s">
        <v>35</v>
      </c>
      <c r="K3" s="2" t="s">
        <v>75</v>
      </c>
      <c r="L3" s="2">
        <v>7</v>
      </c>
      <c r="N3" s="2" t="s">
        <v>75</v>
      </c>
      <c r="O3" s="2" t="s">
        <v>37</v>
      </c>
      <c r="P3" s="121">
        <v>1.3854166666666667</v>
      </c>
      <c r="Q3" s="117" t="s">
        <v>75</v>
      </c>
      <c r="R3" s="2" t="s">
        <v>40</v>
      </c>
      <c r="S3" s="121">
        <v>0.24791666666666667</v>
      </c>
      <c r="T3" s="2" t="s">
        <v>75</v>
      </c>
      <c r="U3" s="2" t="s">
        <v>35</v>
      </c>
      <c r="V3" s="103">
        <v>0.86493055555555554</v>
      </c>
      <c r="X3" s="2" t="s">
        <v>260</v>
      </c>
      <c r="Y3" s="2">
        <v>7051</v>
      </c>
      <c r="Z3" s="2">
        <v>7345</v>
      </c>
      <c r="AA3" s="2">
        <v>7751</v>
      </c>
      <c r="AC3"/>
    </row>
    <row r="4" spans="1:32" x14ac:dyDescent="0.2">
      <c r="A4" s="97"/>
      <c r="D4" s="2" t="s">
        <v>36</v>
      </c>
      <c r="E4" s="2" t="s">
        <v>75</v>
      </c>
      <c r="F4" s="2">
        <v>3</v>
      </c>
      <c r="G4" s="2" t="s">
        <v>40</v>
      </c>
      <c r="H4" s="2" t="s">
        <v>75</v>
      </c>
      <c r="I4" s="119">
        <v>2</v>
      </c>
      <c r="J4" s="2" t="s">
        <v>36</v>
      </c>
      <c r="K4" s="2" t="s">
        <v>75</v>
      </c>
      <c r="L4" s="2">
        <v>32</v>
      </c>
      <c r="N4" s="101" t="s">
        <v>75</v>
      </c>
      <c r="O4" s="101" t="s">
        <v>62</v>
      </c>
      <c r="P4" s="121">
        <v>2.1284722222222223</v>
      </c>
      <c r="Q4" s="117" t="s">
        <v>75</v>
      </c>
      <c r="R4" s="2" t="s">
        <v>60</v>
      </c>
      <c r="S4" s="121">
        <v>0.51909722222222221</v>
      </c>
      <c r="T4" s="2" t="s">
        <v>75</v>
      </c>
      <c r="U4" s="2" t="s">
        <v>36</v>
      </c>
      <c r="V4" s="103">
        <v>0.59502314814814816</v>
      </c>
      <c r="X4" s="2" t="s">
        <v>263</v>
      </c>
      <c r="Y4" s="2">
        <v>11288</v>
      </c>
      <c r="Z4" s="2">
        <v>11763</v>
      </c>
      <c r="AA4" s="2">
        <v>11866</v>
      </c>
      <c r="AC4"/>
    </row>
    <row r="5" spans="1:32" x14ac:dyDescent="0.2">
      <c r="A5" s="96"/>
      <c r="D5" s="2" t="s">
        <v>37</v>
      </c>
      <c r="E5" s="2" t="s">
        <v>34</v>
      </c>
      <c r="F5" s="2">
        <v>1</v>
      </c>
      <c r="G5" s="2" t="s">
        <v>45</v>
      </c>
      <c r="H5" s="2" t="s">
        <v>75</v>
      </c>
      <c r="I5" s="119">
        <v>2</v>
      </c>
      <c r="J5" s="2" t="s">
        <v>37</v>
      </c>
      <c r="K5" s="2" t="s">
        <v>75</v>
      </c>
      <c r="L5" s="2">
        <v>14</v>
      </c>
      <c r="N5" s="101" t="s">
        <v>75</v>
      </c>
      <c r="O5" s="101" t="s">
        <v>69</v>
      </c>
      <c r="P5" s="121">
        <v>0.73414351851851867</v>
      </c>
      <c r="Q5" s="117" t="s">
        <v>75</v>
      </c>
      <c r="R5" s="2" t="s">
        <v>61</v>
      </c>
      <c r="S5" s="121">
        <v>1.4166666666666667</v>
      </c>
      <c r="T5" s="2" t="s">
        <v>75</v>
      </c>
      <c r="U5" s="2" t="s">
        <v>37</v>
      </c>
      <c r="V5" s="103">
        <v>0.50677083333333328</v>
      </c>
      <c r="X5" s="2" t="s">
        <v>261</v>
      </c>
      <c r="Y5" s="2">
        <v>13846</v>
      </c>
      <c r="Z5" s="2">
        <v>14638</v>
      </c>
      <c r="AA5" s="2">
        <v>14591</v>
      </c>
      <c r="AC5"/>
    </row>
    <row r="6" spans="1:32" x14ac:dyDescent="0.2">
      <c r="A6" s="97"/>
      <c r="D6" s="2" t="s">
        <v>37</v>
      </c>
      <c r="E6" s="2" t="s">
        <v>75</v>
      </c>
      <c r="F6" s="2">
        <v>10</v>
      </c>
      <c r="G6" s="2" t="s">
        <v>56</v>
      </c>
      <c r="H6" s="2" t="s">
        <v>34</v>
      </c>
      <c r="I6" s="119">
        <v>1</v>
      </c>
      <c r="J6" s="2" t="s">
        <v>40</v>
      </c>
      <c r="K6" s="2" t="s">
        <v>34</v>
      </c>
      <c r="L6" s="2">
        <v>1</v>
      </c>
      <c r="N6" s="7"/>
      <c r="O6" s="7"/>
      <c r="P6" s="120"/>
      <c r="Q6" s="117" t="s">
        <v>75</v>
      </c>
      <c r="R6" s="2" t="s">
        <v>62</v>
      </c>
      <c r="S6" s="121">
        <v>0.62222222222222223</v>
      </c>
      <c r="T6" s="101" t="s">
        <v>75</v>
      </c>
      <c r="U6" s="101" t="s">
        <v>40</v>
      </c>
      <c r="V6" s="122">
        <v>2.052083333333333</v>
      </c>
    </row>
    <row r="7" spans="1:32" x14ac:dyDescent="0.2">
      <c r="A7" s="96"/>
      <c r="D7" s="2" t="s">
        <v>55</v>
      </c>
      <c r="E7" s="2" t="s">
        <v>75</v>
      </c>
      <c r="F7" s="2">
        <v>2</v>
      </c>
      <c r="G7" s="2" t="s">
        <v>56</v>
      </c>
      <c r="H7" s="2" t="s">
        <v>72</v>
      </c>
      <c r="I7" s="119">
        <v>1</v>
      </c>
      <c r="J7" s="2" t="s">
        <v>40</v>
      </c>
      <c r="K7" s="2" t="s">
        <v>75</v>
      </c>
      <c r="L7" s="2">
        <v>4</v>
      </c>
      <c r="N7" s="7"/>
      <c r="O7" s="7"/>
      <c r="P7" s="120"/>
      <c r="Q7" s="102" t="s">
        <v>75</v>
      </c>
      <c r="R7" s="2" t="s">
        <v>67</v>
      </c>
      <c r="S7" s="121">
        <v>0.86388888888888893</v>
      </c>
      <c r="T7" s="2" t="s">
        <v>75</v>
      </c>
      <c r="U7" s="2" t="s">
        <v>42</v>
      </c>
      <c r="V7" s="122">
        <v>9.930555555555555E-2</v>
      </c>
    </row>
    <row r="8" spans="1:32" x14ac:dyDescent="0.2">
      <c r="A8" s="97"/>
      <c r="D8" s="2" t="s">
        <v>62</v>
      </c>
      <c r="E8" s="2" t="s">
        <v>75</v>
      </c>
      <c r="F8" s="2">
        <v>2</v>
      </c>
      <c r="G8" s="2" t="s">
        <v>56</v>
      </c>
      <c r="H8" s="2" t="s">
        <v>75</v>
      </c>
      <c r="I8" s="119">
        <v>4</v>
      </c>
      <c r="J8" s="2" t="s">
        <v>42</v>
      </c>
      <c r="K8" s="2" t="s">
        <v>75</v>
      </c>
      <c r="L8" s="2">
        <v>2</v>
      </c>
      <c r="N8" s="7"/>
      <c r="O8" s="7"/>
      <c r="P8" s="120"/>
      <c r="Q8" s="102" t="s">
        <v>75</v>
      </c>
      <c r="R8" s="2" t="s">
        <v>69</v>
      </c>
      <c r="S8" s="121">
        <v>1.0440972222222222</v>
      </c>
      <c r="T8" s="2" t="s">
        <v>75</v>
      </c>
      <c r="U8" s="2" t="s">
        <v>53</v>
      </c>
      <c r="V8" s="122">
        <v>1.1159722222222221</v>
      </c>
    </row>
    <row r="9" spans="1:32" x14ac:dyDescent="0.2">
      <c r="A9" s="97"/>
      <c r="D9" s="2" t="s">
        <v>69</v>
      </c>
      <c r="E9" s="2" t="s">
        <v>75</v>
      </c>
      <c r="F9" s="2">
        <v>17</v>
      </c>
      <c r="G9" s="2" t="s">
        <v>60</v>
      </c>
      <c r="H9" s="2" t="s">
        <v>75</v>
      </c>
      <c r="I9" s="119">
        <v>3</v>
      </c>
      <c r="J9" s="2" t="s">
        <v>44</v>
      </c>
      <c r="K9" s="2" t="s">
        <v>75</v>
      </c>
      <c r="L9" s="2">
        <v>1</v>
      </c>
      <c r="N9" s="7"/>
      <c r="O9" s="7"/>
      <c r="P9" s="120"/>
      <c r="Q9" s="96"/>
      <c r="T9" s="2" t="s">
        <v>75</v>
      </c>
      <c r="U9" s="2" t="s">
        <v>55</v>
      </c>
      <c r="V9" s="122">
        <v>0.35972222222222222</v>
      </c>
    </row>
    <row r="10" spans="1:32" x14ac:dyDescent="0.2">
      <c r="A10" s="97"/>
      <c r="G10" s="2" t="s">
        <v>61</v>
      </c>
      <c r="H10" s="2" t="s">
        <v>75</v>
      </c>
      <c r="I10" s="119">
        <v>2</v>
      </c>
      <c r="J10" s="2" t="s">
        <v>52</v>
      </c>
      <c r="K10" s="2" t="s">
        <v>75</v>
      </c>
      <c r="L10" s="2">
        <v>1</v>
      </c>
      <c r="N10" s="7"/>
      <c r="O10" s="7"/>
      <c r="P10" s="120"/>
      <c r="Q10" s="96"/>
      <c r="T10" s="2" t="s">
        <v>75</v>
      </c>
      <c r="U10" s="2" t="s">
        <v>56</v>
      </c>
      <c r="V10" s="122">
        <v>0.13333333333333333</v>
      </c>
    </row>
    <row r="11" spans="1:32" x14ac:dyDescent="0.2">
      <c r="A11" s="97"/>
      <c r="G11" s="2" t="s">
        <v>62</v>
      </c>
      <c r="H11" s="2" t="s">
        <v>75</v>
      </c>
      <c r="I11" s="119">
        <v>4</v>
      </c>
      <c r="J11" s="2" t="s">
        <v>53</v>
      </c>
      <c r="K11" s="2" t="s">
        <v>75</v>
      </c>
      <c r="L11" s="2">
        <v>3</v>
      </c>
      <c r="N11" s="7"/>
      <c r="O11" s="7"/>
      <c r="P11" s="7"/>
      <c r="Q11" s="96"/>
      <c r="T11" s="2" t="s">
        <v>75</v>
      </c>
      <c r="U11" s="2" t="s">
        <v>61</v>
      </c>
      <c r="V11" s="122">
        <v>1.1138888888888889</v>
      </c>
    </row>
    <row r="12" spans="1:32" x14ac:dyDescent="0.2">
      <c r="A12" s="97"/>
      <c r="G12" s="2" t="s">
        <v>67</v>
      </c>
      <c r="H12" s="2" t="s">
        <v>75</v>
      </c>
      <c r="I12" s="119">
        <v>2</v>
      </c>
      <c r="J12" s="2" t="s">
        <v>55</v>
      </c>
      <c r="K12" s="2" t="s">
        <v>75</v>
      </c>
      <c r="L12" s="2">
        <v>3</v>
      </c>
      <c r="N12" s="7"/>
      <c r="O12" s="7"/>
      <c r="P12" s="7"/>
      <c r="Q12" s="7"/>
      <c r="R12" s="7"/>
      <c r="T12" s="2" t="s">
        <v>75</v>
      </c>
      <c r="U12" s="2" t="s">
        <v>69</v>
      </c>
      <c r="V12" s="122">
        <v>0.74583333333333335</v>
      </c>
    </row>
    <row r="13" spans="1:32" x14ac:dyDescent="0.2">
      <c r="A13" s="96"/>
      <c r="G13" s="2" t="s">
        <v>69</v>
      </c>
      <c r="H13" s="2" t="s">
        <v>75</v>
      </c>
      <c r="I13" s="119">
        <v>5</v>
      </c>
      <c r="J13" s="2" t="s">
        <v>56</v>
      </c>
      <c r="K13" s="2" t="s">
        <v>75</v>
      </c>
      <c r="L13" s="2">
        <v>1</v>
      </c>
      <c r="N13" s="7"/>
      <c r="O13" s="7"/>
      <c r="P13" s="7"/>
      <c r="Q13" s="7"/>
      <c r="R13" s="7"/>
      <c r="V13" s="100"/>
    </row>
    <row r="14" spans="1:32" x14ac:dyDescent="0.2">
      <c r="A14" s="97"/>
      <c r="G14" s="2" t="s">
        <v>70</v>
      </c>
      <c r="H14" s="2" t="s">
        <v>75</v>
      </c>
      <c r="I14" s="119">
        <v>1</v>
      </c>
      <c r="J14" s="2" t="s">
        <v>61</v>
      </c>
      <c r="K14" s="2" t="s">
        <v>75</v>
      </c>
      <c r="L14" s="2">
        <v>5</v>
      </c>
      <c r="N14" s="7"/>
      <c r="O14" s="7"/>
      <c r="P14" s="7"/>
      <c r="Q14" s="7"/>
      <c r="R14" s="7"/>
      <c r="V14" s="100"/>
    </row>
    <row r="15" spans="1:32" x14ac:dyDescent="0.2">
      <c r="A15" s="96"/>
      <c r="J15" s="2" t="s">
        <v>62</v>
      </c>
      <c r="K15" s="2" t="s">
        <v>75</v>
      </c>
      <c r="L15" s="2">
        <v>3</v>
      </c>
      <c r="N15" s="7"/>
      <c r="O15" s="7"/>
      <c r="P15" s="7"/>
      <c r="Q15" s="7"/>
      <c r="R15" s="7"/>
      <c r="V15" s="100"/>
    </row>
    <row r="16" spans="1:32" x14ac:dyDescent="0.2">
      <c r="A16" s="97"/>
      <c r="J16" s="2" t="s">
        <v>69</v>
      </c>
      <c r="K16" s="2" t="s">
        <v>75</v>
      </c>
      <c r="L16" s="2">
        <v>4</v>
      </c>
      <c r="N16" s="7"/>
      <c r="O16" s="7"/>
      <c r="P16" s="7"/>
      <c r="Q16" s="7"/>
      <c r="R16" s="7"/>
      <c r="V16" s="100"/>
    </row>
    <row r="17" spans="1:22" x14ac:dyDescent="0.2">
      <c r="A17" s="96"/>
      <c r="D17" s="178" t="s">
        <v>287</v>
      </c>
      <c r="E17" s="178"/>
      <c r="F17" s="178">
        <f>SUM(F3:F9)</f>
        <v>38</v>
      </c>
      <c r="G17" s="178"/>
      <c r="H17" s="178"/>
      <c r="I17" s="178">
        <f t="shared" ref="G17:L17" si="0">SUM(I3:I9)</f>
        <v>14</v>
      </c>
      <c r="J17" s="178"/>
      <c r="K17" s="178"/>
      <c r="L17" s="178">
        <f t="shared" si="0"/>
        <v>61</v>
      </c>
      <c r="N17" s="7"/>
      <c r="O17" s="7"/>
      <c r="P17" s="7"/>
      <c r="Q17" s="7"/>
      <c r="R17" s="7"/>
      <c r="V17" s="100"/>
    </row>
    <row r="18" spans="1:22" x14ac:dyDescent="0.2">
      <c r="A18" s="96"/>
      <c r="N18" s="7"/>
      <c r="O18" s="7"/>
      <c r="P18" s="7"/>
      <c r="Q18" s="7"/>
      <c r="R18" s="7"/>
    </row>
    <row r="19" spans="1:22" x14ac:dyDescent="0.2">
      <c r="A19" s="97"/>
      <c r="N19" s="7"/>
      <c r="O19" s="7"/>
      <c r="P19" s="7"/>
      <c r="Q19" s="7"/>
      <c r="R19" s="7"/>
    </row>
    <row r="20" spans="1:22" x14ac:dyDescent="0.2">
      <c r="A20" s="97"/>
      <c r="N20" s="7"/>
      <c r="O20" s="7"/>
      <c r="P20" s="7"/>
      <c r="Q20" s="7"/>
      <c r="R20" s="7"/>
    </row>
    <row r="21" spans="1:22" x14ac:dyDescent="0.2">
      <c r="A21" s="97"/>
      <c r="N21" s="7"/>
      <c r="O21" s="7"/>
      <c r="P21" s="7"/>
      <c r="Q21" s="7"/>
      <c r="R21" s="7"/>
    </row>
    <row r="22" spans="1:22" x14ac:dyDescent="0.2">
      <c r="A22" s="96"/>
      <c r="N22" s="7"/>
      <c r="O22" s="7"/>
      <c r="P22" s="7"/>
      <c r="Q22" s="7"/>
      <c r="R22" s="7"/>
    </row>
    <row r="23" spans="1:22" x14ac:dyDescent="0.2">
      <c r="A23" s="96"/>
      <c r="N23" s="7"/>
      <c r="O23" s="7"/>
      <c r="P23" s="7"/>
      <c r="Q23" s="7"/>
      <c r="R23" s="7"/>
    </row>
    <row r="24" spans="1:22" x14ac:dyDescent="0.2">
      <c r="A24" s="97"/>
      <c r="N24" s="7"/>
      <c r="O24" s="7"/>
      <c r="P24" s="7"/>
      <c r="Q24" s="7"/>
      <c r="R24" s="7"/>
    </row>
    <row r="25" spans="1:22" x14ac:dyDescent="0.2">
      <c r="A25" s="97"/>
      <c r="N25" s="7"/>
      <c r="O25" s="7"/>
      <c r="P25" s="7"/>
      <c r="Q25" s="7"/>
      <c r="R25" s="7"/>
    </row>
    <row r="26" spans="1:22" x14ac:dyDescent="0.2">
      <c r="A26" s="97"/>
      <c r="N26" s="7"/>
      <c r="O26" s="7"/>
      <c r="P26" s="7"/>
      <c r="Q26" s="7"/>
      <c r="R26" s="7"/>
    </row>
    <row r="27" spans="1:22" x14ac:dyDescent="0.2">
      <c r="A27" s="97"/>
      <c r="N27" s="7"/>
      <c r="O27" s="7"/>
      <c r="P27" s="7"/>
      <c r="Q27" s="7"/>
      <c r="R27" s="7"/>
    </row>
    <row r="28" spans="1:22" x14ac:dyDescent="0.2">
      <c r="A28" s="97"/>
      <c r="N28" s="7"/>
      <c r="O28" s="7"/>
      <c r="P28" s="7"/>
      <c r="Q28" s="7"/>
      <c r="R28" s="7"/>
    </row>
    <row r="29" spans="1:22" x14ac:dyDescent="0.2">
      <c r="A29" s="97"/>
      <c r="N29" s="7"/>
      <c r="O29" s="7"/>
      <c r="P29" s="7"/>
      <c r="Q29" s="7"/>
      <c r="R29" s="7"/>
    </row>
    <row r="30" spans="1:22" x14ac:dyDescent="0.2">
      <c r="A30" s="97"/>
      <c r="N30" s="7"/>
      <c r="O30" s="7"/>
      <c r="P30" s="7"/>
      <c r="Q30" s="7"/>
      <c r="R30" s="7"/>
    </row>
    <row r="31" spans="1:22" x14ac:dyDescent="0.2">
      <c r="A31" s="97"/>
      <c r="N31" s="7"/>
      <c r="O31" s="7"/>
      <c r="P31" s="7"/>
      <c r="Q31" s="7"/>
      <c r="R31" s="7"/>
    </row>
    <row r="32" spans="1:22" x14ac:dyDescent="0.2">
      <c r="A32" s="97"/>
      <c r="N32" s="7"/>
      <c r="O32" s="7"/>
      <c r="P32" s="7"/>
      <c r="Q32" s="7"/>
      <c r="R32" s="7"/>
    </row>
    <row r="33" spans="1:18" x14ac:dyDescent="0.2">
      <c r="A33" s="97"/>
      <c r="N33" s="7"/>
      <c r="O33" s="7"/>
      <c r="P33" s="7"/>
      <c r="Q33" s="7"/>
      <c r="R33" s="7"/>
    </row>
    <row r="34" spans="1:18" x14ac:dyDescent="0.2">
      <c r="A34" s="97"/>
      <c r="N34" s="7"/>
      <c r="O34" s="7"/>
      <c r="P34" s="7"/>
      <c r="Q34" s="7"/>
      <c r="R34" s="7"/>
    </row>
    <row r="35" spans="1:18" x14ac:dyDescent="0.2">
      <c r="A35" s="97"/>
      <c r="N35" s="7"/>
      <c r="O35" s="7"/>
      <c r="P35" s="7"/>
      <c r="Q35" s="7"/>
      <c r="R35" s="7"/>
    </row>
    <row r="36" spans="1:18" x14ac:dyDescent="0.2">
      <c r="A36" s="96"/>
      <c r="N36" s="7"/>
      <c r="O36" s="7"/>
      <c r="P36" s="7"/>
      <c r="Q36" s="7"/>
      <c r="R36" s="7"/>
    </row>
    <row r="37" spans="1:18" x14ac:dyDescent="0.2">
      <c r="A37" s="97"/>
      <c r="N37" s="7"/>
      <c r="O37" s="7"/>
      <c r="P37" s="7"/>
      <c r="Q37" s="7"/>
      <c r="R37" s="7"/>
    </row>
    <row r="38" spans="1:18" x14ac:dyDescent="0.2">
      <c r="A38" s="97"/>
      <c r="N38" s="7"/>
      <c r="O38" s="7"/>
      <c r="P38" s="7"/>
      <c r="Q38" s="7"/>
      <c r="R38" s="7"/>
    </row>
    <row r="39" spans="1:18" x14ac:dyDescent="0.2">
      <c r="N39" s="7"/>
      <c r="O39" s="7"/>
      <c r="P39" s="7"/>
      <c r="Q39" s="7"/>
      <c r="R39" s="7"/>
    </row>
    <row r="40" spans="1:18" x14ac:dyDescent="0.2">
      <c r="N40" s="7"/>
      <c r="O40" s="7"/>
      <c r="P40" s="7"/>
      <c r="Q40" s="7"/>
      <c r="R40" s="7"/>
    </row>
    <row r="41" spans="1:18" x14ac:dyDescent="0.2">
      <c r="N41" s="7"/>
      <c r="O41" s="7"/>
      <c r="P41" s="7"/>
      <c r="Q41" s="7"/>
      <c r="R41" s="7"/>
    </row>
    <row r="42" spans="1:18" x14ac:dyDescent="0.2">
      <c r="N42" s="7"/>
      <c r="O42" s="7"/>
      <c r="P42" s="7"/>
      <c r="Q42" s="7"/>
      <c r="R42" s="7"/>
    </row>
    <row r="43" spans="1:18" x14ac:dyDescent="0.2">
      <c r="N43" s="7"/>
      <c r="O43" s="7"/>
      <c r="P43" s="7"/>
      <c r="Q43" s="7"/>
      <c r="R43" s="7"/>
    </row>
    <row r="44" spans="1:18" x14ac:dyDescent="0.2">
      <c r="N44" s="7"/>
      <c r="O44" s="7"/>
      <c r="P44" s="7"/>
      <c r="Q44" s="7"/>
      <c r="R44" s="7"/>
    </row>
    <row r="45" spans="1:18" x14ac:dyDescent="0.2">
      <c r="N45" s="7"/>
      <c r="O45" s="7"/>
      <c r="P45" s="7"/>
      <c r="Q45" s="7"/>
      <c r="R45" s="7"/>
    </row>
    <row r="46" spans="1:18" x14ac:dyDescent="0.2">
      <c r="N46" s="7"/>
      <c r="O46" s="7"/>
      <c r="P46" s="7"/>
      <c r="Q46" s="7"/>
      <c r="R46" s="7"/>
    </row>
    <row r="47" spans="1:18" x14ac:dyDescent="0.2">
      <c r="N47" s="7"/>
      <c r="O47" s="7"/>
      <c r="P47" s="7"/>
      <c r="Q47" s="7"/>
      <c r="R47" s="7"/>
    </row>
    <row r="48" spans="1:18" x14ac:dyDescent="0.2">
      <c r="N48" s="7"/>
      <c r="O48" s="7"/>
      <c r="P48" s="7"/>
      <c r="Q48" s="7"/>
      <c r="R48" s="7"/>
    </row>
    <row r="49" spans="14:18" x14ac:dyDescent="0.2">
      <c r="N49" s="7"/>
      <c r="O49" s="7"/>
      <c r="P49" s="7"/>
      <c r="Q49" s="7"/>
      <c r="R49" s="7"/>
    </row>
    <row r="50" spans="14:18" x14ac:dyDescent="0.2">
      <c r="N50" s="7"/>
      <c r="O50" s="7"/>
      <c r="P50" s="7"/>
      <c r="Q50" s="7"/>
      <c r="R50" s="7"/>
    </row>
    <row r="51" spans="14:18" x14ac:dyDescent="0.2">
      <c r="N51" s="7"/>
      <c r="O51" s="7"/>
      <c r="P51" s="7"/>
      <c r="Q51" s="7"/>
      <c r="R51" s="7"/>
    </row>
    <row r="52" spans="14:18" x14ac:dyDescent="0.2">
      <c r="N52" s="7"/>
      <c r="O52" s="7"/>
      <c r="P52" s="7"/>
      <c r="Q52" s="7"/>
      <c r="R52" s="7"/>
    </row>
    <row r="53" spans="14:18" x14ac:dyDescent="0.2">
      <c r="N53" s="7"/>
      <c r="O53" s="7"/>
      <c r="P53" s="7"/>
      <c r="Q53" s="7"/>
      <c r="R53" s="7"/>
    </row>
    <row r="54" spans="14:18" x14ac:dyDescent="0.2">
      <c r="N54" s="7"/>
      <c r="O54" s="7"/>
      <c r="P54" s="7"/>
      <c r="Q54" s="7"/>
      <c r="R54" s="7"/>
    </row>
    <row r="55" spans="14:18" x14ac:dyDescent="0.2">
      <c r="N55" s="7"/>
      <c r="O55" s="7"/>
      <c r="P55" s="7"/>
      <c r="Q55" s="7"/>
      <c r="R55" s="7"/>
    </row>
    <row r="56" spans="14:18" x14ac:dyDescent="0.2">
      <c r="N56" s="7"/>
      <c r="O56" s="7"/>
      <c r="P56" s="7"/>
      <c r="Q56" s="7"/>
      <c r="R56" s="7"/>
    </row>
    <row r="57" spans="14:18" x14ac:dyDescent="0.2">
      <c r="N57" s="7"/>
      <c r="O57" s="7"/>
      <c r="P57" s="7"/>
      <c r="Q57" s="7"/>
      <c r="R57" s="7"/>
    </row>
    <row r="58" spans="14:18" x14ac:dyDescent="0.2">
      <c r="N58" s="7"/>
      <c r="O58" s="7"/>
      <c r="P58" s="7"/>
      <c r="Q58" s="7"/>
      <c r="R58" s="7"/>
    </row>
    <row r="59" spans="14:18" x14ac:dyDescent="0.2">
      <c r="N59" s="7"/>
      <c r="O59" s="7"/>
      <c r="P59" s="7"/>
      <c r="Q59" s="7"/>
      <c r="R59" s="7"/>
    </row>
    <row r="60" spans="14:18" x14ac:dyDescent="0.2">
      <c r="N60" s="7"/>
      <c r="O60" s="7"/>
      <c r="P60" s="7"/>
      <c r="Q60" s="7"/>
      <c r="R60" s="7"/>
    </row>
    <row r="61" spans="14:18" x14ac:dyDescent="0.2">
      <c r="N61" s="7"/>
      <c r="O61" s="7"/>
      <c r="P61" s="7"/>
      <c r="Q61" s="7"/>
      <c r="R61" s="7"/>
    </row>
    <row r="62" spans="14:18" x14ac:dyDescent="0.2">
      <c r="N62" s="7"/>
      <c r="O62" s="7"/>
      <c r="P62" s="7"/>
      <c r="Q62" s="7"/>
      <c r="R62" s="7"/>
    </row>
    <row r="63" spans="14:18" x14ac:dyDescent="0.2">
      <c r="N63" s="7"/>
      <c r="O63" s="7"/>
      <c r="P63" s="7"/>
      <c r="Q63" s="7"/>
      <c r="R63" s="7"/>
    </row>
    <row r="64" spans="14:18" x14ac:dyDescent="0.2">
      <c r="N64" s="7"/>
      <c r="O64" s="7"/>
      <c r="P64" s="7"/>
      <c r="Q64" s="7"/>
      <c r="R64" s="7"/>
    </row>
    <row r="65" spans="14:18" x14ac:dyDescent="0.2">
      <c r="N65" s="7"/>
      <c r="O65" s="7"/>
      <c r="P65" s="7"/>
      <c r="Q65" s="7"/>
      <c r="R65" s="7"/>
    </row>
    <row r="66" spans="14:18" x14ac:dyDescent="0.2">
      <c r="N66" s="7"/>
      <c r="O66" s="7"/>
      <c r="P66" s="7"/>
      <c r="Q66" s="7"/>
      <c r="R66" s="7"/>
    </row>
    <row r="67" spans="14:18" x14ac:dyDescent="0.2">
      <c r="N67" s="7"/>
      <c r="O67" s="7"/>
      <c r="P67" s="7"/>
      <c r="Q67" s="7"/>
      <c r="R67" s="7"/>
    </row>
    <row r="68" spans="14:18" x14ac:dyDescent="0.2">
      <c r="N68" s="7"/>
      <c r="O68" s="7"/>
      <c r="P68" s="7"/>
      <c r="Q68" s="7"/>
      <c r="R68" s="7"/>
    </row>
    <row r="168" spans="25:25" x14ac:dyDescent="0.2">
      <c r="Y168" t="s">
        <v>81</v>
      </c>
    </row>
    <row r="169" spans="25:25" x14ac:dyDescent="0.2">
      <c r="Y169" t="s">
        <v>81</v>
      </c>
    </row>
    <row r="170" spans="25:25" x14ac:dyDescent="0.2">
      <c r="Y170" t="s">
        <v>81</v>
      </c>
    </row>
    <row r="171" spans="25:25" x14ac:dyDescent="0.2">
      <c r="Y171" t="s">
        <v>81</v>
      </c>
    </row>
    <row r="172" spans="25:25" x14ac:dyDescent="0.2">
      <c r="Y172" t="s">
        <v>81</v>
      </c>
    </row>
    <row r="173" spans="25:25" x14ac:dyDescent="0.2">
      <c r="Y173" t="s">
        <v>81</v>
      </c>
    </row>
    <row r="174" spans="25:25" x14ac:dyDescent="0.2">
      <c r="Y174" t="s">
        <v>81</v>
      </c>
    </row>
    <row r="175" spans="25:25" x14ac:dyDescent="0.2">
      <c r="Y175" t="s">
        <v>81</v>
      </c>
    </row>
    <row r="176" spans="25:25" x14ac:dyDescent="0.2">
      <c r="Y176" t="s">
        <v>81</v>
      </c>
    </row>
    <row r="177" spans="25:25" x14ac:dyDescent="0.2">
      <c r="Y177" t="s">
        <v>81</v>
      </c>
    </row>
    <row r="178" spans="25:25" x14ac:dyDescent="0.2">
      <c r="Y178" t="s">
        <v>81</v>
      </c>
    </row>
    <row r="179" spans="25:25" x14ac:dyDescent="0.2">
      <c r="Y179" t="s">
        <v>81</v>
      </c>
    </row>
    <row r="180" spans="25:25" x14ac:dyDescent="0.2">
      <c r="Y180" t="s">
        <v>81</v>
      </c>
    </row>
    <row r="181" spans="25:25" x14ac:dyDescent="0.2">
      <c r="Y181" t="s">
        <v>81</v>
      </c>
    </row>
    <row r="182" spans="25:25" x14ac:dyDescent="0.2">
      <c r="Y182" t="s">
        <v>81</v>
      </c>
    </row>
    <row r="183" spans="25:25" x14ac:dyDescent="0.2">
      <c r="Y183" t="s">
        <v>81</v>
      </c>
    </row>
    <row r="184" spans="25:25" x14ac:dyDescent="0.2">
      <c r="Y184" t="s">
        <v>81</v>
      </c>
    </row>
    <row r="185" spans="25:25" x14ac:dyDescent="0.2">
      <c r="Y185" t="s">
        <v>81</v>
      </c>
    </row>
    <row r="186" spans="25:25" x14ac:dyDescent="0.2">
      <c r="Y186" t="s">
        <v>81</v>
      </c>
    </row>
    <row r="187" spans="25:25" x14ac:dyDescent="0.2">
      <c r="Y187" t="s">
        <v>81</v>
      </c>
    </row>
    <row r="188" spans="25:25" x14ac:dyDescent="0.2">
      <c r="Y188" t="s">
        <v>81</v>
      </c>
    </row>
    <row r="189" spans="25:25" x14ac:dyDescent="0.2">
      <c r="Y189" t="s">
        <v>81</v>
      </c>
    </row>
    <row r="190" spans="25:25" x14ac:dyDescent="0.2">
      <c r="Y190" t="s">
        <v>81</v>
      </c>
    </row>
    <row r="191" spans="25:25" x14ac:dyDescent="0.2">
      <c r="Y191" t="s">
        <v>81</v>
      </c>
    </row>
    <row r="192" spans="25:25" x14ac:dyDescent="0.2">
      <c r="Y192" t="s">
        <v>81</v>
      </c>
    </row>
    <row r="193" spans="25:25" x14ac:dyDescent="0.2">
      <c r="Y193" t="s">
        <v>81</v>
      </c>
    </row>
    <row r="194" spans="25:25" x14ac:dyDescent="0.2">
      <c r="Y194" t="s">
        <v>81</v>
      </c>
    </row>
    <row r="195" spans="25:25" x14ac:dyDescent="0.2">
      <c r="Y195" t="s">
        <v>81</v>
      </c>
    </row>
    <row r="196" spans="25:25" x14ac:dyDescent="0.2">
      <c r="Y196" t="s">
        <v>81</v>
      </c>
    </row>
    <row r="197" spans="25:25" x14ac:dyDescent="0.2">
      <c r="Y197" t="s">
        <v>81</v>
      </c>
    </row>
    <row r="198" spans="25:25" x14ac:dyDescent="0.2">
      <c r="Y198" t="s">
        <v>81</v>
      </c>
    </row>
    <row r="199" spans="25:25" x14ac:dyDescent="0.2">
      <c r="Y199" t="s">
        <v>81</v>
      </c>
    </row>
    <row r="200" spans="25:25" x14ac:dyDescent="0.2">
      <c r="Y200" t="s">
        <v>81</v>
      </c>
    </row>
    <row r="201" spans="25:25" x14ac:dyDescent="0.2">
      <c r="Y201" t="s">
        <v>81</v>
      </c>
    </row>
    <row r="202" spans="25:25" x14ac:dyDescent="0.2">
      <c r="Y202" t="s">
        <v>81</v>
      </c>
    </row>
    <row r="203" spans="25:25" x14ac:dyDescent="0.2">
      <c r="Y203" t="s">
        <v>81</v>
      </c>
    </row>
    <row r="204" spans="25:25" x14ac:dyDescent="0.2">
      <c r="Y204" t="s">
        <v>81</v>
      </c>
    </row>
    <row r="205" spans="25:25" x14ac:dyDescent="0.2">
      <c r="Y205" t="s">
        <v>81</v>
      </c>
    </row>
    <row r="206" spans="25:25" x14ac:dyDescent="0.2">
      <c r="Y206" t="s">
        <v>81</v>
      </c>
    </row>
    <row r="207" spans="25:25" x14ac:dyDescent="0.2">
      <c r="Y207" t="s">
        <v>81</v>
      </c>
    </row>
    <row r="208" spans="25:25" x14ac:dyDescent="0.2">
      <c r="Y208" t="s">
        <v>81</v>
      </c>
    </row>
    <row r="209" spans="25:25" x14ac:dyDescent="0.2">
      <c r="Y209" t="s">
        <v>81</v>
      </c>
    </row>
    <row r="210" spans="25:25" x14ac:dyDescent="0.2">
      <c r="Y210" t="s">
        <v>81</v>
      </c>
    </row>
    <row r="211" spans="25:25" x14ac:dyDescent="0.2">
      <c r="Y211" t="s">
        <v>81</v>
      </c>
    </row>
    <row r="212" spans="25:25" x14ac:dyDescent="0.2">
      <c r="Y212" t="s">
        <v>81</v>
      </c>
    </row>
    <row r="213" spans="25:25" x14ac:dyDescent="0.2">
      <c r="Y213" t="s">
        <v>81</v>
      </c>
    </row>
    <row r="214" spans="25:25" x14ac:dyDescent="0.2">
      <c r="Y214" t="s">
        <v>81</v>
      </c>
    </row>
    <row r="215" spans="25:25" x14ac:dyDescent="0.2">
      <c r="Y215" t="s">
        <v>81</v>
      </c>
    </row>
    <row r="216" spans="25:25" x14ac:dyDescent="0.2">
      <c r="Y216" t="s">
        <v>81</v>
      </c>
    </row>
    <row r="217" spans="25:25" x14ac:dyDescent="0.2">
      <c r="Y217" t="s">
        <v>81</v>
      </c>
    </row>
    <row r="218" spans="25:25" x14ac:dyDescent="0.2">
      <c r="Y218" t="s">
        <v>81</v>
      </c>
    </row>
    <row r="219" spans="25:25" x14ac:dyDescent="0.2">
      <c r="Y219" t="s">
        <v>81</v>
      </c>
    </row>
    <row r="220" spans="25:25" x14ac:dyDescent="0.2">
      <c r="Y220" t="s">
        <v>81</v>
      </c>
    </row>
    <row r="221" spans="25:25" x14ac:dyDescent="0.2">
      <c r="Y221" t="s">
        <v>81</v>
      </c>
    </row>
    <row r="222" spans="25:25" x14ac:dyDescent="0.2">
      <c r="Y222" t="s">
        <v>81</v>
      </c>
    </row>
    <row r="223" spans="25:25" x14ac:dyDescent="0.2">
      <c r="Y223" t="s">
        <v>81</v>
      </c>
    </row>
    <row r="224" spans="25:25" x14ac:dyDescent="0.2">
      <c r="Y224" t="s">
        <v>81</v>
      </c>
    </row>
    <row r="225" spans="25:25" x14ac:dyDescent="0.2">
      <c r="Y225" t="s">
        <v>81</v>
      </c>
    </row>
    <row r="226" spans="25:25" x14ac:dyDescent="0.2">
      <c r="Y226" t="s">
        <v>81</v>
      </c>
    </row>
    <row r="227" spans="25:25" x14ac:dyDescent="0.2">
      <c r="Y227" t="s">
        <v>81</v>
      </c>
    </row>
    <row r="228" spans="25:25" x14ac:dyDescent="0.2">
      <c r="Y228" t="s">
        <v>81</v>
      </c>
    </row>
    <row r="229" spans="25:25" x14ac:dyDescent="0.2">
      <c r="Y229" t="s">
        <v>81</v>
      </c>
    </row>
    <row r="230" spans="25:25" x14ac:dyDescent="0.2">
      <c r="Y230" t="s">
        <v>81</v>
      </c>
    </row>
    <row r="231" spans="25:25" x14ac:dyDescent="0.2">
      <c r="Y231" t="s">
        <v>81</v>
      </c>
    </row>
    <row r="232" spans="25:25" x14ac:dyDescent="0.2">
      <c r="Y232" t="s">
        <v>81</v>
      </c>
    </row>
    <row r="233" spans="25:25" x14ac:dyDescent="0.2">
      <c r="Y233" t="s">
        <v>81</v>
      </c>
    </row>
    <row r="234" spans="25:25" x14ac:dyDescent="0.2">
      <c r="Y234" t="s">
        <v>81</v>
      </c>
    </row>
    <row r="235" spans="25:25" x14ac:dyDescent="0.2">
      <c r="Y235" t="s">
        <v>81</v>
      </c>
    </row>
    <row r="236" spans="25:25" x14ac:dyDescent="0.2">
      <c r="Y236" t="s">
        <v>81</v>
      </c>
    </row>
    <row r="237" spans="25:25" x14ac:dyDescent="0.2">
      <c r="Y237" t="s">
        <v>81</v>
      </c>
    </row>
    <row r="238" spans="25:25" x14ac:dyDescent="0.2">
      <c r="Y238" t="s">
        <v>81</v>
      </c>
    </row>
    <row r="239" spans="25:25" x14ac:dyDescent="0.2">
      <c r="Y239" t="s">
        <v>81</v>
      </c>
    </row>
    <row r="240" spans="25:25" x14ac:dyDescent="0.2">
      <c r="Y240" t="s">
        <v>81</v>
      </c>
    </row>
    <row r="241" spans="25:25" x14ac:dyDescent="0.2">
      <c r="Y241" t="s">
        <v>81</v>
      </c>
    </row>
    <row r="242" spans="25:25" x14ac:dyDescent="0.2">
      <c r="Y242" t="s">
        <v>81</v>
      </c>
    </row>
    <row r="243" spans="25:25" x14ac:dyDescent="0.2">
      <c r="Y243" t="s">
        <v>81</v>
      </c>
    </row>
    <row r="244" spans="25:25" x14ac:dyDescent="0.2">
      <c r="Y244" t="s">
        <v>81</v>
      </c>
    </row>
    <row r="245" spans="25:25" x14ac:dyDescent="0.2">
      <c r="Y245" t="s">
        <v>81</v>
      </c>
    </row>
    <row r="246" spans="25:25" x14ac:dyDescent="0.2">
      <c r="Y246" t="s">
        <v>81</v>
      </c>
    </row>
    <row r="247" spans="25:25" x14ac:dyDescent="0.2">
      <c r="Y247" t="s">
        <v>81</v>
      </c>
    </row>
    <row r="248" spans="25:25" x14ac:dyDescent="0.2">
      <c r="Y248" t="s">
        <v>81</v>
      </c>
    </row>
    <row r="249" spans="25:25" x14ac:dyDescent="0.2">
      <c r="Y249" t="s">
        <v>81</v>
      </c>
    </row>
    <row r="250" spans="25:25" x14ac:dyDescent="0.2">
      <c r="Y250" t="s">
        <v>81</v>
      </c>
    </row>
    <row r="251" spans="25:25" x14ac:dyDescent="0.2">
      <c r="Y251" t="s">
        <v>81</v>
      </c>
    </row>
    <row r="252" spans="25:25" x14ac:dyDescent="0.2">
      <c r="Y252" t="s">
        <v>81</v>
      </c>
    </row>
    <row r="253" spans="25:25" x14ac:dyDescent="0.2">
      <c r="Y253" t="s">
        <v>81</v>
      </c>
    </row>
    <row r="254" spans="25:25" x14ac:dyDescent="0.2">
      <c r="Y254" t="s">
        <v>81</v>
      </c>
    </row>
    <row r="255" spans="25:25" x14ac:dyDescent="0.2">
      <c r="Y255" t="s">
        <v>81</v>
      </c>
    </row>
    <row r="256" spans="25:25" x14ac:dyDescent="0.2">
      <c r="Y256" t="s">
        <v>81</v>
      </c>
    </row>
    <row r="257" spans="25:25" x14ac:dyDescent="0.2">
      <c r="Y257" t="s">
        <v>81</v>
      </c>
    </row>
    <row r="258" spans="25:25" x14ac:dyDescent="0.2">
      <c r="Y258" t="s">
        <v>81</v>
      </c>
    </row>
    <row r="259" spans="25:25" x14ac:dyDescent="0.2">
      <c r="Y259" t="s">
        <v>81</v>
      </c>
    </row>
    <row r="260" spans="25:25" x14ac:dyDescent="0.2">
      <c r="Y260" t="s">
        <v>81</v>
      </c>
    </row>
    <row r="261" spans="25:25" x14ac:dyDescent="0.2">
      <c r="Y261" t="s">
        <v>81</v>
      </c>
    </row>
    <row r="262" spans="25:25" x14ac:dyDescent="0.2">
      <c r="Y262" t="s">
        <v>81</v>
      </c>
    </row>
    <row r="263" spans="25:25" x14ac:dyDescent="0.2">
      <c r="Y263" t="s">
        <v>81</v>
      </c>
    </row>
    <row r="264" spans="25:25" x14ac:dyDescent="0.2">
      <c r="Y264" t="s">
        <v>81</v>
      </c>
    </row>
    <row r="265" spans="25:25" x14ac:dyDescent="0.2">
      <c r="Y265" t="s">
        <v>81</v>
      </c>
    </row>
    <row r="266" spans="25:25" x14ac:dyDescent="0.2">
      <c r="Y266" t="s">
        <v>81</v>
      </c>
    </row>
    <row r="267" spans="25:25" x14ac:dyDescent="0.2">
      <c r="Y267" t="s">
        <v>81</v>
      </c>
    </row>
    <row r="268" spans="25:25" x14ac:dyDescent="0.2">
      <c r="Y268" t="s">
        <v>81</v>
      </c>
    </row>
    <row r="269" spans="25:25" x14ac:dyDescent="0.2">
      <c r="Y269" t="s">
        <v>81</v>
      </c>
    </row>
    <row r="270" spans="25:25" x14ac:dyDescent="0.2">
      <c r="Y270" t="s">
        <v>81</v>
      </c>
    </row>
    <row r="271" spans="25:25" x14ac:dyDescent="0.2">
      <c r="Y271" t="s">
        <v>81</v>
      </c>
    </row>
    <row r="272" spans="25:25" x14ac:dyDescent="0.2">
      <c r="Y272" t="s">
        <v>81</v>
      </c>
    </row>
    <row r="273" spans="25:25" x14ac:dyDescent="0.2">
      <c r="Y273" t="s">
        <v>81</v>
      </c>
    </row>
    <row r="274" spans="25:25" x14ac:dyDescent="0.2">
      <c r="Y274" t="s">
        <v>81</v>
      </c>
    </row>
    <row r="275" spans="25:25" x14ac:dyDescent="0.2">
      <c r="Y275" t="s">
        <v>81</v>
      </c>
    </row>
    <row r="276" spans="25:25" x14ac:dyDescent="0.2">
      <c r="Y276" t="s">
        <v>81</v>
      </c>
    </row>
    <row r="277" spans="25:25" x14ac:dyDescent="0.2">
      <c r="Y277" t="s">
        <v>81</v>
      </c>
    </row>
    <row r="278" spans="25:25" x14ac:dyDescent="0.2">
      <c r="Y278" t="s">
        <v>81</v>
      </c>
    </row>
    <row r="279" spans="25:25" x14ac:dyDescent="0.2">
      <c r="Y279" t="s">
        <v>81</v>
      </c>
    </row>
    <row r="280" spans="25:25" x14ac:dyDescent="0.2">
      <c r="Y280" t="s">
        <v>81</v>
      </c>
    </row>
    <row r="281" spans="25:25" x14ac:dyDescent="0.2">
      <c r="Y281" t="s">
        <v>81</v>
      </c>
    </row>
    <row r="282" spans="25:25" x14ac:dyDescent="0.2">
      <c r="Y282" t="s">
        <v>81</v>
      </c>
    </row>
    <row r="283" spans="25:25" x14ac:dyDescent="0.2">
      <c r="Y283" t="s">
        <v>81</v>
      </c>
    </row>
    <row r="284" spans="25:25" x14ac:dyDescent="0.2">
      <c r="Y284" t="s">
        <v>81</v>
      </c>
    </row>
    <row r="285" spans="25:25" x14ac:dyDescent="0.2">
      <c r="Y285" t="s">
        <v>81</v>
      </c>
    </row>
    <row r="286" spans="25:25" x14ac:dyDescent="0.2">
      <c r="Y286" t="s">
        <v>81</v>
      </c>
    </row>
    <row r="287" spans="25:25" x14ac:dyDescent="0.2">
      <c r="Y287" t="s">
        <v>81</v>
      </c>
    </row>
    <row r="288" spans="25:25" x14ac:dyDescent="0.2">
      <c r="Y288" t="s">
        <v>81</v>
      </c>
    </row>
    <row r="289" spans="25:25" x14ac:dyDescent="0.2">
      <c r="Y289" t="s">
        <v>81</v>
      </c>
    </row>
    <row r="290" spans="25:25" x14ac:dyDescent="0.2">
      <c r="Y290" t="s">
        <v>81</v>
      </c>
    </row>
    <row r="291" spans="25:25" x14ac:dyDescent="0.2">
      <c r="Y291" t="s">
        <v>81</v>
      </c>
    </row>
    <row r="292" spans="25:25" x14ac:dyDescent="0.2">
      <c r="Y292" t="s">
        <v>81</v>
      </c>
    </row>
    <row r="293" spans="25:25" x14ac:dyDescent="0.2">
      <c r="Y293" t="s">
        <v>81</v>
      </c>
    </row>
    <row r="294" spans="25:25" x14ac:dyDescent="0.2">
      <c r="Y294" t="s">
        <v>81</v>
      </c>
    </row>
    <row r="295" spans="25:25" x14ac:dyDescent="0.2">
      <c r="Y295" t="s">
        <v>81</v>
      </c>
    </row>
    <row r="296" spans="25:25" x14ac:dyDescent="0.2">
      <c r="Y296" t="s">
        <v>81</v>
      </c>
    </row>
    <row r="297" spans="25:25" x14ac:dyDescent="0.2">
      <c r="Y297" t="s">
        <v>81</v>
      </c>
    </row>
    <row r="298" spans="25:25" x14ac:dyDescent="0.2">
      <c r="Y298" t="s">
        <v>81</v>
      </c>
    </row>
    <row r="299" spans="25:25" x14ac:dyDescent="0.2">
      <c r="Y299" t="s">
        <v>81</v>
      </c>
    </row>
    <row r="300" spans="25:25" x14ac:dyDescent="0.2">
      <c r="Y300" t="s">
        <v>81</v>
      </c>
    </row>
    <row r="301" spans="25:25" x14ac:dyDescent="0.2">
      <c r="Y301" t="s">
        <v>81</v>
      </c>
    </row>
    <row r="302" spans="25:25" x14ac:dyDescent="0.2">
      <c r="Y302" t="s">
        <v>81</v>
      </c>
    </row>
    <row r="303" spans="25:25" x14ac:dyDescent="0.2">
      <c r="Y303" t="s">
        <v>81</v>
      </c>
    </row>
    <row r="304" spans="25:25" x14ac:dyDescent="0.2">
      <c r="Y304" t="s">
        <v>81</v>
      </c>
    </row>
    <row r="305" spans="25:25" x14ac:dyDescent="0.2">
      <c r="Y305" t="s">
        <v>81</v>
      </c>
    </row>
    <row r="306" spans="25:25" x14ac:dyDescent="0.2">
      <c r="Y306" t="s">
        <v>81</v>
      </c>
    </row>
    <row r="307" spans="25:25" x14ac:dyDescent="0.2">
      <c r="Y307" t="s">
        <v>81</v>
      </c>
    </row>
    <row r="308" spans="25:25" x14ac:dyDescent="0.2">
      <c r="Y308" t="s">
        <v>81</v>
      </c>
    </row>
    <row r="309" spans="25:25" x14ac:dyDescent="0.2">
      <c r="Y309" t="s">
        <v>81</v>
      </c>
    </row>
    <row r="310" spans="25:25" x14ac:dyDescent="0.2">
      <c r="Y310" t="s">
        <v>81</v>
      </c>
    </row>
    <row r="311" spans="25:25" x14ac:dyDescent="0.2">
      <c r="Y311" t="s">
        <v>81</v>
      </c>
    </row>
    <row r="312" spans="25:25" x14ac:dyDescent="0.2">
      <c r="Y312" t="s">
        <v>81</v>
      </c>
    </row>
    <row r="313" spans="25:25" x14ac:dyDescent="0.2">
      <c r="Y313" t="s">
        <v>81</v>
      </c>
    </row>
    <row r="314" spans="25:25" x14ac:dyDescent="0.2">
      <c r="Y314" t="s">
        <v>81</v>
      </c>
    </row>
    <row r="315" spans="25:25" x14ac:dyDescent="0.2">
      <c r="Y315" t="s">
        <v>81</v>
      </c>
    </row>
    <row r="316" spans="25:25" x14ac:dyDescent="0.2">
      <c r="Y316" t="s">
        <v>81</v>
      </c>
    </row>
    <row r="317" spans="25:25" x14ac:dyDescent="0.2">
      <c r="Y317" t="s">
        <v>81</v>
      </c>
    </row>
    <row r="318" spans="25:25" x14ac:dyDescent="0.2">
      <c r="Y318" t="s">
        <v>81</v>
      </c>
    </row>
    <row r="319" spans="25:25" x14ac:dyDescent="0.2">
      <c r="Y319" t="s">
        <v>81</v>
      </c>
    </row>
    <row r="320" spans="25:25" x14ac:dyDescent="0.2">
      <c r="Y320" t="s">
        <v>81</v>
      </c>
    </row>
    <row r="321" spans="25:25" x14ac:dyDescent="0.2">
      <c r="Y321" t="s">
        <v>81</v>
      </c>
    </row>
    <row r="322" spans="25:25" x14ac:dyDescent="0.2">
      <c r="Y322" t="s">
        <v>81</v>
      </c>
    </row>
    <row r="323" spans="25:25" x14ac:dyDescent="0.2">
      <c r="Y323" t="s">
        <v>81</v>
      </c>
    </row>
    <row r="324" spans="25:25" x14ac:dyDescent="0.2">
      <c r="Y324" t="s">
        <v>81</v>
      </c>
    </row>
    <row r="325" spans="25:25" x14ac:dyDescent="0.2">
      <c r="Y325" t="s">
        <v>81</v>
      </c>
    </row>
    <row r="326" spans="25:25" x14ac:dyDescent="0.2">
      <c r="Y326" t="s">
        <v>81</v>
      </c>
    </row>
    <row r="327" spans="25:25" x14ac:dyDescent="0.2">
      <c r="Y327" t="s">
        <v>81</v>
      </c>
    </row>
    <row r="328" spans="25:25" x14ac:dyDescent="0.2">
      <c r="Y328" t="s">
        <v>81</v>
      </c>
    </row>
    <row r="329" spans="25:25" x14ac:dyDescent="0.2">
      <c r="Y329" t="s">
        <v>81</v>
      </c>
    </row>
    <row r="330" spans="25:25" x14ac:dyDescent="0.2">
      <c r="Y330" t="s">
        <v>81</v>
      </c>
    </row>
    <row r="331" spans="25:25" x14ac:dyDescent="0.2">
      <c r="Y331" t="s">
        <v>81</v>
      </c>
    </row>
    <row r="332" spans="25:25" x14ac:dyDescent="0.2">
      <c r="Y332" t="s">
        <v>81</v>
      </c>
    </row>
    <row r="333" spans="25:25" x14ac:dyDescent="0.2">
      <c r="Y333" t="s">
        <v>81</v>
      </c>
    </row>
    <row r="334" spans="25:25" x14ac:dyDescent="0.2">
      <c r="Y334" t="s">
        <v>81</v>
      </c>
    </row>
    <row r="335" spans="25:25" x14ac:dyDescent="0.2">
      <c r="Y335" t="s">
        <v>81</v>
      </c>
    </row>
    <row r="336" spans="25:25" x14ac:dyDescent="0.2">
      <c r="Y336" t="s">
        <v>81</v>
      </c>
    </row>
    <row r="337" spans="25:25" x14ac:dyDescent="0.2">
      <c r="Y337" t="s">
        <v>81</v>
      </c>
    </row>
    <row r="338" spans="25:25" x14ac:dyDescent="0.2">
      <c r="Y338" t="s">
        <v>81</v>
      </c>
    </row>
    <row r="339" spans="25:25" x14ac:dyDescent="0.2">
      <c r="Y339" t="s">
        <v>81</v>
      </c>
    </row>
    <row r="340" spans="25:25" x14ac:dyDescent="0.2">
      <c r="Y340" t="s">
        <v>81</v>
      </c>
    </row>
    <row r="341" spans="25:25" x14ac:dyDescent="0.2">
      <c r="Y341" t="s">
        <v>81</v>
      </c>
    </row>
    <row r="342" spans="25:25" x14ac:dyDescent="0.2">
      <c r="Y342" t="s">
        <v>81</v>
      </c>
    </row>
    <row r="343" spans="25:25" x14ac:dyDescent="0.2">
      <c r="Y343" t="s">
        <v>81</v>
      </c>
    </row>
    <row r="344" spans="25:25" x14ac:dyDescent="0.2">
      <c r="Y344" t="s">
        <v>81</v>
      </c>
    </row>
    <row r="345" spans="25:25" x14ac:dyDescent="0.2">
      <c r="Y345" t="s">
        <v>81</v>
      </c>
    </row>
    <row r="346" spans="25:25" x14ac:dyDescent="0.2">
      <c r="Y346" t="s">
        <v>81</v>
      </c>
    </row>
    <row r="347" spans="25:25" x14ac:dyDescent="0.2">
      <c r="Y347" t="s">
        <v>81</v>
      </c>
    </row>
    <row r="348" spans="25:25" x14ac:dyDescent="0.2">
      <c r="Y348" t="s">
        <v>81</v>
      </c>
    </row>
    <row r="349" spans="25:25" x14ac:dyDescent="0.2">
      <c r="Y349" t="s">
        <v>81</v>
      </c>
    </row>
    <row r="350" spans="25:25" x14ac:dyDescent="0.2">
      <c r="Y350" t="s">
        <v>81</v>
      </c>
    </row>
    <row r="351" spans="25:25" x14ac:dyDescent="0.2">
      <c r="Y351" t="s">
        <v>81</v>
      </c>
    </row>
    <row r="352" spans="25:25" x14ac:dyDescent="0.2">
      <c r="Y352" t="s">
        <v>81</v>
      </c>
    </row>
    <row r="353" spans="25:25" x14ac:dyDescent="0.2">
      <c r="Y353" t="s">
        <v>81</v>
      </c>
    </row>
    <row r="354" spans="25:25" x14ac:dyDescent="0.2">
      <c r="Y354" t="s">
        <v>81</v>
      </c>
    </row>
    <row r="355" spans="25:25" x14ac:dyDescent="0.2">
      <c r="Y355" t="s">
        <v>81</v>
      </c>
    </row>
    <row r="356" spans="25:25" x14ac:dyDescent="0.2">
      <c r="Y356" t="s">
        <v>81</v>
      </c>
    </row>
    <row r="357" spans="25:25" x14ac:dyDescent="0.2">
      <c r="Y357" t="s">
        <v>81</v>
      </c>
    </row>
    <row r="358" spans="25:25" x14ac:dyDescent="0.2">
      <c r="Y358" t="s">
        <v>81</v>
      </c>
    </row>
    <row r="359" spans="25:25" x14ac:dyDescent="0.2">
      <c r="Y359" t="s">
        <v>81</v>
      </c>
    </row>
    <row r="360" spans="25:25" x14ac:dyDescent="0.2">
      <c r="Y360" t="s">
        <v>81</v>
      </c>
    </row>
    <row r="361" spans="25:25" x14ac:dyDescent="0.2">
      <c r="Y361" t="s">
        <v>81</v>
      </c>
    </row>
    <row r="362" spans="25:25" x14ac:dyDescent="0.2">
      <c r="Y362" t="s">
        <v>81</v>
      </c>
    </row>
    <row r="363" spans="25:25" x14ac:dyDescent="0.2">
      <c r="Y363" t="s">
        <v>81</v>
      </c>
    </row>
    <row r="364" spans="25:25" x14ac:dyDescent="0.2">
      <c r="Y364" t="s">
        <v>81</v>
      </c>
    </row>
    <row r="365" spans="25:25" x14ac:dyDescent="0.2">
      <c r="Y365" t="s">
        <v>81</v>
      </c>
    </row>
    <row r="366" spans="25:25" x14ac:dyDescent="0.2">
      <c r="Y366" t="s">
        <v>81</v>
      </c>
    </row>
    <row r="367" spans="25:25" x14ac:dyDescent="0.2">
      <c r="Y367" t="s">
        <v>81</v>
      </c>
    </row>
    <row r="368" spans="25:25" x14ac:dyDescent="0.2">
      <c r="Y368" t="s">
        <v>81</v>
      </c>
    </row>
    <row r="369" spans="25:25" x14ac:dyDescent="0.2">
      <c r="Y369" t="s">
        <v>81</v>
      </c>
    </row>
    <row r="370" spans="25:25" x14ac:dyDescent="0.2">
      <c r="Y370" t="s">
        <v>81</v>
      </c>
    </row>
    <row r="371" spans="25:25" x14ac:dyDescent="0.2">
      <c r="Y371" t="s">
        <v>81</v>
      </c>
    </row>
    <row r="372" spans="25:25" x14ac:dyDescent="0.2">
      <c r="Y372" t="s">
        <v>81</v>
      </c>
    </row>
    <row r="373" spans="25:25" x14ac:dyDescent="0.2">
      <c r="Y373" t="s">
        <v>81</v>
      </c>
    </row>
    <row r="374" spans="25:25" x14ac:dyDescent="0.2">
      <c r="Y374" t="s">
        <v>81</v>
      </c>
    </row>
    <row r="375" spans="25:25" x14ac:dyDescent="0.2">
      <c r="Y375" t="s">
        <v>81</v>
      </c>
    </row>
    <row r="376" spans="25:25" x14ac:dyDescent="0.2">
      <c r="Y376" t="s">
        <v>81</v>
      </c>
    </row>
    <row r="377" spans="25:25" x14ac:dyDescent="0.2">
      <c r="Y377" t="s">
        <v>81</v>
      </c>
    </row>
    <row r="378" spans="25:25" x14ac:dyDescent="0.2">
      <c r="Y378" t="s">
        <v>81</v>
      </c>
    </row>
    <row r="379" spans="25:25" x14ac:dyDescent="0.2">
      <c r="Y379" t="s">
        <v>81</v>
      </c>
    </row>
    <row r="380" spans="25:25" x14ac:dyDescent="0.2">
      <c r="Y380" t="s">
        <v>81</v>
      </c>
    </row>
    <row r="381" spans="25:25" x14ac:dyDescent="0.2">
      <c r="Y381" t="s">
        <v>81</v>
      </c>
    </row>
    <row r="382" spans="25:25" x14ac:dyDescent="0.2">
      <c r="Y382" t="s">
        <v>81</v>
      </c>
    </row>
    <row r="383" spans="25:25" x14ac:dyDescent="0.2">
      <c r="Y383" t="s">
        <v>81</v>
      </c>
    </row>
    <row r="384" spans="25:25" x14ac:dyDescent="0.2">
      <c r="Y384" t="s">
        <v>81</v>
      </c>
    </row>
    <row r="385" spans="25:25" x14ac:dyDescent="0.2">
      <c r="Y385" t="s">
        <v>81</v>
      </c>
    </row>
    <row r="386" spans="25:25" x14ac:dyDescent="0.2">
      <c r="Y386" t="s">
        <v>81</v>
      </c>
    </row>
    <row r="387" spans="25:25" x14ac:dyDescent="0.2">
      <c r="Y387" t="s">
        <v>81</v>
      </c>
    </row>
    <row r="388" spans="25:25" x14ac:dyDescent="0.2">
      <c r="Y388" t="s">
        <v>81</v>
      </c>
    </row>
    <row r="389" spans="25:25" x14ac:dyDescent="0.2">
      <c r="Y389" t="s">
        <v>81</v>
      </c>
    </row>
    <row r="390" spans="25:25" x14ac:dyDescent="0.2">
      <c r="Y390" t="s">
        <v>81</v>
      </c>
    </row>
    <row r="391" spans="25:25" x14ac:dyDescent="0.2">
      <c r="Y391" t="s">
        <v>81</v>
      </c>
    </row>
    <row r="392" spans="25:25" x14ac:dyDescent="0.2">
      <c r="Y392" t="s">
        <v>81</v>
      </c>
    </row>
    <row r="393" spans="25:25" x14ac:dyDescent="0.2">
      <c r="Y393" t="s">
        <v>81</v>
      </c>
    </row>
    <row r="394" spans="25:25" x14ac:dyDescent="0.2">
      <c r="Y394" t="s">
        <v>81</v>
      </c>
    </row>
    <row r="395" spans="25:25" x14ac:dyDescent="0.2">
      <c r="Y395" t="s">
        <v>81</v>
      </c>
    </row>
    <row r="396" spans="25:25" x14ac:dyDescent="0.2">
      <c r="Y396" t="s">
        <v>81</v>
      </c>
    </row>
    <row r="397" spans="25:25" x14ac:dyDescent="0.2">
      <c r="Y397" t="s">
        <v>81</v>
      </c>
    </row>
    <row r="398" spans="25:25" x14ac:dyDescent="0.2">
      <c r="Y398" t="s">
        <v>81</v>
      </c>
    </row>
    <row r="399" spans="25:25" x14ac:dyDescent="0.2">
      <c r="Y399" t="s">
        <v>81</v>
      </c>
    </row>
    <row r="400" spans="25:25" x14ac:dyDescent="0.2">
      <c r="Y400" t="s">
        <v>81</v>
      </c>
    </row>
    <row r="401" spans="25:25" x14ac:dyDescent="0.2">
      <c r="Y401" t="s">
        <v>81</v>
      </c>
    </row>
    <row r="402" spans="25:25" x14ac:dyDescent="0.2">
      <c r="Y402" t="s">
        <v>81</v>
      </c>
    </row>
    <row r="403" spans="25:25" x14ac:dyDescent="0.2">
      <c r="Y403" t="s">
        <v>81</v>
      </c>
    </row>
    <row r="404" spans="25:25" x14ac:dyDescent="0.2">
      <c r="Y404" t="s">
        <v>81</v>
      </c>
    </row>
    <row r="405" spans="25:25" x14ac:dyDescent="0.2">
      <c r="Y405" t="s">
        <v>81</v>
      </c>
    </row>
    <row r="406" spans="25:25" x14ac:dyDescent="0.2">
      <c r="Y406" t="s">
        <v>81</v>
      </c>
    </row>
    <row r="407" spans="25:25" x14ac:dyDescent="0.2">
      <c r="Y407" t="s">
        <v>81</v>
      </c>
    </row>
    <row r="408" spans="25:25" x14ac:dyDescent="0.2">
      <c r="Y408" t="s">
        <v>81</v>
      </c>
    </row>
    <row r="409" spans="25:25" x14ac:dyDescent="0.2">
      <c r="Y409" t="s">
        <v>81</v>
      </c>
    </row>
    <row r="410" spans="25:25" x14ac:dyDescent="0.2">
      <c r="Y410" t="s">
        <v>81</v>
      </c>
    </row>
    <row r="411" spans="25:25" x14ac:dyDescent="0.2">
      <c r="Y411" t="s">
        <v>81</v>
      </c>
    </row>
    <row r="412" spans="25:25" x14ac:dyDescent="0.2">
      <c r="Y412" t="s">
        <v>81</v>
      </c>
    </row>
    <row r="413" spans="25:25" x14ac:dyDescent="0.2">
      <c r="Y413" t="s">
        <v>81</v>
      </c>
    </row>
    <row r="414" spans="25:25" x14ac:dyDescent="0.2">
      <c r="Y414" t="s">
        <v>81</v>
      </c>
    </row>
    <row r="415" spans="25:25" x14ac:dyDescent="0.2">
      <c r="Y415" t="s">
        <v>81</v>
      </c>
    </row>
    <row r="416" spans="25:25" x14ac:dyDescent="0.2">
      <c r="Y416" t="s">
        <v>81</v>
      </c>
    </row>
    <row r="417" spans="25:25" x14ac:dyDescent="0.2">
      <c r="Y417" t="s">
        <v>81</v>
      </c>
    </row>
    <row r="418" spans="25:25" x14ac:dyDescent="0.2">
      <c r="Y418" t="s">
        <v>81</v>
      </c>
    </row>
    <row r="419" spans="25:25" x14ac:dyDescent="0.2">
      <c r="Y419" t="s">
        <v>81</v>
      </c>
    </row>
    <row r="420" spans="25:25" x14ac:dyDescent="0.2">
      <c r="Y420" t="s">
        <v>81</v>
      </c>
    </row>
    <row r="421" spans="25:25" x14ac:dyDescent="0.2">
      <c r="Y421" t="s">
        <v>81</v>
      </c>
    </row>
    <row r="422" spans="25:25" x14ac:dyDescent="0.2">
      <c r="Y422" t="s">
        <v>81</v>
      </c>
    </row>
    <row r="423" spans="25:25" x14ac:dyDescent="0.2">
      <c r="Y423" t="s">
        <v>81</v>
      </c>
    </row>
    <row r="424" spans="25:25" x14ac:dyDescent="0.2">
      <c r="Y424" t="s">
        <v>81</v>
      </c>
    </row>
    <row r="425" spans="25:25" x14ac:dyDescent="0.2">
      <c r="Y425" t="s">
        <v>81</v>
      </c>
    </row>
    <row r="426" spans="25:25" x14ac:dyDescent="0.2">
      <c r="Y426" t="s">
        <v>81</v>
      </c>
    </row>
    <row r="427" spans="25:25" x14ac:dyDescent="0.2">
      <c r="Y427" t="s">
        <v>81</v>
      </c>
    </row>
    <row r="428" spans="25:25" x14ac:dyDescent="0.2">
      <c r="Y428" t="s">
        <v>81</v>
      </c>
    </row>
    <row r="429" spans="25:25" x14ac:dyDescent="0.2">
      <c r="Y429" t="s">
        <v>81</v>
      </c>
    </row>
    <row r="430" spans="25:25" x14ac:dyDescent="0.2">
      <c r="Y430" t="s">
        <v>81</v>
      </c>
    </row>
    <row r="431" spans="25:25" x14ac:dyDescent="0.2">
      <c r="Y431" t="s">
        <v>81</v>
      </c>
    </row>
    <row r="432" spans="25:25" x14ac:dyDescent="0.2">
      <c r="Y432" t="s">
        <v>81</v>
      </c>
    </row>
    <row r="433" spans="25:25" x14ac:dyDescent="0.2">
      <c r="Y433" t="s">
        <v>81</v>
      </c>
    </row>
    <row r="434" spans="25:25" x14ac:dyDescent="0.2">
      <c r="Y434" t="s">
        <v>81</v>
      </c>
    </row>
    <row r="435" spans="25:25" x14ac:dyDescent="0.2">
      <c r="Y435" t="s">
        <v>81</v>
      </c>
    </row>
    <row r="436" spans="25:25" x14ac:dyDescent="0.2">
      <c r="Y436" t="s">
        <v>81</v>
      </c>
    </row>
    <row r="437" spans="25:25" x14ac:dyDescent="0.2">
      <c r="Y437" t="s">
        <v>81</v>
      </c>
    </row>
    <row r="438" spans="25:25" x14ac:dyDescent="0.2">
      <c r="Y438" t="s">
        <v>81</v>
      </c>
    </row>
    <row r="439" spans="25:25" x14ac:dyDescent="0.2">
      <c r="Y439" t="s">
        <v>81</v>
      </c>
    </row>
    <row r="440" spans="25:25" x14ac:dyDescent="0.2">
      <c r="Y440" t="s">
        <v>81</v>
      </c>
    </row>
    <row r="441" spans="25:25" x14ac:dyDescent="0.2">
      <c r="Y441" t="s">
        <v>81</v>
      </c>
    </row>
    <row r="442" spans="25:25" x14ac:dyDescent="0.2">
      <c r="Y442" t="s">
        <v>81</v>
      </c>
    </row>
    <row r="443" spans="25:25" x14ac:dyDescent="0.2">
      <c r="Y443" t="s">
        <v>81</v>
      </c>
    </row>
    <row r="444" spans="25:25" x14ac:dyDescent="0.2">
      <c r="Y444" t="s">
        <v>81</v>
      </c>
    </row>
    <row r="445" spans="25:25" x14ac:dyDescent="0.2">
      <c r="Y445" t="s">
        <v>81</v>
      </c>
    </row>
    <row r="446" spans="25:25" x14ac:dyDescent="0.2">
      <c r="Y446" t="s">
        <v>81</v>
      </c>
    </row>
    <row r="447" spans="25:25" x14ac:dyDescent="0.2">
      <c r="Y447" t="s">
        <v>81</v>
      </c>
    </row>
    <row r="448" spans="25:25" x14ac:dyDescent="0.2">
      <c r="Y448" t="s">
        <v>81</v>
      </c>
    </row>
    <row r="449" spans="25:25" x14ac:dyDescent="0.2">
      <c r="Y449" t="s">
        <v>81</v>
      </c>
    </row>
    <row r="450" spans="25:25" x14ac:dyDescent="0.2">
      <c r="Y450" t="s">
        <v>81</v>
      </c>
    </row>
    <row r="451" spans="25:25" x14ac:dyDescent="0.2">
      <c r="Y451" t="s">
        <v>81</v>
      </c>
    </row>
    <row r="452" spans="25:25" x14ac:dyDescent="0.2">
      <c r="Y452" t="s">
        <v>81</v>
      </c>
    </row>
    <row r="453" spans="25:25" x14ac:dyDescent="0.2">
      <c r="Y453" t="s">
        <v>81</v>
      </c>
    </row>
    <row r="454" spans="25:25" x14ac:dyDescent="0.2">
      <c r="Y454" t="s">
        <v>81</v>
      </c>
    </row>
    <row r="455" spans="25:25" x14ac:dyDescent="0.2">
      <c r="Y455" t="s">
        <v>81</v>
      </c>
    </row>
    <row r="456" spans="25:25" x14ac:dyDescent="0.2">
      <c r="Y456" t="s">
        <v>81</v>
      </c>
    </row>
    <row r="457" spans="25:25" x14ac:dyDescent="0.2">
      <c r="Y457" t="s">
        <v>81</v>
      </c>
    </row>
    <row r="458" spans="25:25" x14ac:dyDescent="0.2">
      <c r="Y458" t="s">
        <v>81</v>
      </c>
    </row>
    <row r="459" spans="25:25" x14ac:dyDescent="0.2">
      <c r="Y459" t="s">
        <v>81</v>
      </c>
    </row>
    <row r="460" spans="25:25" x14ac:dyDescent="0.2">
      <c r="Y460" t="s">
        <v>81</v>
      </c>
    </row>
    <row r="461" spans="25:25" x14ac:dyDescent="0.2">
      <c r="Y461" t="s">
        <v>81</v>
      </c>
    </row>
    <row r="462" spans="25:25" x14ac:dyDescent="0.2">
      <c r="Y462" t="s">
        <v>81</v>
      </c>
    </row>
    <row r="463" spans="25:25" x14ac:dyDescent="0.2">
      <c r="Y463" t="s">
        <v>81</v>
      </c>
    </row>
    <row r="464" spans="25:25" x14ac:dyDescent="0.2">
      <c r="Y464" t="s">
        <v>81</v>
      </c>
    </row>
    <row r="465" spans="25:25" x14ac:dyDescent="0.2">
      <c r="Y465" t="s">
        <v>81</v>
      </c>
    </row>
    <row r="466" spans="25:25" x14ac:dyDescent="0.2">
      <c r="Y466" t="s">
        <v>81</v>
      </c>
    </row>
    <row r="467" spans="25:25" x14ac:dyDescent="0.2">
      <c r="Y467" t="s">
        <v>81</v>
      </c>
    </row>
    <row r="468" spans="25:25" x14ac:dyDescent="0.2">
      <c r="Y468" t="s">
        <v>81</v>
      </c>
    </row>
    <row r="469" spans="25:25" x14ac:dyDescent="0.2">
      <c r="Y469" t="s">
        <v>81</v>
      </c>
    </row>
    <row r="470" spans="25:25" x14ac:dyDescent="0.2">
      <c r="Y470" t="s">
        <v>81</v>
      </c>
    </row>
    <row r="471" spans="25:25" x14ac:dyDescent="0.2">
      <c r="Y471" t="s">
        <v>81</v>
      </c>
    </row>
    <row r="472" spans="25:25" x14ac:dyDescent="0.2">
      <c r="Y472" t="s">
        <v>81</v>
      </c>
    </row>
    <row r="473" spans="25:25" x14ac:dyDescent="0.2">
      <c r="Y473" t="s">
        <v>81</v>
      </c>
    </row>
    <row r="474" spans="25:25" x14ac:dyDescent="0.2">
      <c r="Y474" t="s">
        <v>81</v>
      </c>
    </row>
    <row r="475" spans="25:25" x14ac:dyDescent="0.2">
      <c r="Y475" t="s">
        <v>81</v>
      </c>
    </row>
    <row r="476" spans="25:25" x14ac:dyDescent="0.2">
      <c r="Y476" t="s">
        <v>81</v>
      </c>
    </row>
    <row r="477" spans="25:25" x14ac:dyDescent="0.2">
      <c r="Y477" t="s">
        <v>81</v>
      </c>
    </row>
    <row r="478" spans="25:25" x14ac:dyDescent="0.2">
      <c r="Y478" t="s">
        <v>81</v>
      </c>
    </row>
    <row r="479" spans="25:25" x14ac:dyDescent="0.2">
      <c r="Y479" t="s">
        <v>81</v>
      </c>
    </row>
    <row r="480" spans="25:25" x14ac:dyDescent="0.2">
      <c r="Y480" t="s">
        <v>81</v>
      </c>
    </row>
    <row r="481" spans="25:25" x14ac:dyDescent="0.2">
      <c r="Y481" t="s">
        <v>81</v>
      </c>
    </row>
    <row r="482" spans="25:25" x14ac:dyDescent="0.2">
      <c r="Y482" t="s">
        <v>81</v>
      </c>
    </row>
    <row r="483" spans="25:25" x14ac:dyDescent="0.2">
      <c r="Y483" t="s">
        <v>81</v>
      </c>
    </row>
    <row r="484" spans="25:25" x14ac:dyDescent="0.2">
      <c r="Y484" t="s">
        <v>81</v>
      </c>
    </row>
    <row r="485" spans="25:25" x14ac:dyDescent="0.2">
      <c r="Y485" t="s">
        <v>81</v>
      </c>
    </row>
    <row r="486" spans="25:25" x14ac:dyDescent="0.2">
      <c r="Y486" t="s">
        <v>81</v>
      </c>
    </row>
    <row r="487" spans="25:25" x14ac:dyDescent="0.2">
      <c r="Y487" t="s">
        <v>81</v>
      </c>
    </row>
    <row r="488" spans="25:25" x14ac:dyDescent="0.2">
      <c r="Y488" t="s">
        <v>81</v>
      </c>
    </row>
    <row r="489" spans="25:25" x14ac:dyDescent="0.2">
      <c r="Y489" t="s">
        <v>81</v>
      </c>
    </row>
    <row r="490" spans="25:25" x14ac:dyDescent="0.2">
      <c r="Y490" t="s">
        <v>81</v>
      </c>
    </row>
    <row r="491" spans="25:25" x14ac:dyDescent="0.2">
      <c r="Y491" t="s">
        <v>81</v>
      </c>
    </row>
    <row r="492" spans="25:25" x14ac:dyDescent="0.2">
      <c r="Y492" t="s">
        <v>81</v>
      </c>
    </row>
    <row r="493" spans="25:25" x14ac:dyDescent="0.2">
      <c r="Y493" t="s">
        <v>81</v>
      </c>
    </row>
    <row r="494" spans="25:25" x14ac:dyDescent="0.2">
      <c r="Y494" t="s">
        <v>81</v>
      </c>
    </row>
    <row r="495" spans="25:25" x14ac:dyDescent="0.2">
      <c r="Y495" t="s">
        <v>81</v>
      </c>
    </row>
    <row r="496" spans="25:25" x14ac:dyDescent="0.2">
      <c r="Y496" t="s">
        <v>81</v>
      </c>
    </row>
    <row r="497" spans="25:25" x14ac:dyDescent="0.2">
      <c r="Y497" t="s">
        <v>81</v>
      </c>
    </row>
    <row r="498" spans="25:25" x14ac:dyDescent="0.2">
      <c r="Y498" t="s">
        <v>81</v>
      </c>
    </row>
    <row r="499" spans="25:25" x14ac:dyDescent="0.2">
      <c r="Y499" t="s">
        <v>81</v>
      </c>
    </row>
    <row r="500" spans="25:25" x14ac:dyDescent="0.2">
      <c r="Y500" t="s">
        <v>81</v>
      </c>
    </row>
    <row r="501" spans="25:25" x14ac:dyDescent="0.2">
      <c r="Y501" t="s">
        <v>81</v>
      </c>
    </row>
    <row r="502" spans="25:25" x14ac:dyDescent="0.2">
      <c r="Y502" t="s">
        <v>81</v>
      </c>
    </row>
    <row r="503" spans="25:25" x14ac:dyDescent="0.2">
      <c r="Y503" t="s">
        <v>81</v>
      </c>
    </row>
    <row r="504" spans="25:25" x14ac:dyDescent="0.2">
      <c r="Y504" t="s">
        <v>81</v>
      </c>
    </row>
    <row r="505" spans="25:25" x14ac:dyDescent="0.2">
      <c r="Y505" t="s">
        <v>81</v>
      </c>
    </row>
    <row r="506" spans="25:25" x14ac:dyDescent="0.2">
      <c r="Y506" t="s">
        <v>81</v>
      </c>
    </row>
    <row r="507" spans="25:25" x14ac:dyDescent="0.2">
      <c r="Y507" t="s">
        <v>81</v>
      </c>
    </row>
    <row r="508" spans="25:25" x14ac:dyDescent="0.2">
      <c r="Y508" t="s">
        <v>81</v>
      </c>
    </row>
    <row r="509" spans="25:25" x14ac:dyDescent="0.2">
      <c r="Y509" t="s">
        <v>81</v>
      </c>
    </row>
    <row r="510" spans="25:25" x14ac:dyDescent="0.2">
      <c r="Y510" t="s">
        <v>81</v>
      </c>
    </row>
    <row r="511" spans="25:25" x14ac:dyDescent="0.2">
      <c r="Y511" t="s">
        <v>81</v>
      </c>
    </row>
    <row r="512" spans="25:25" x14ac:dyDescent="0.2">
      <c r="Y512" t="s">
        <v>81</v>
      </c>
    </row>
    <row r="513" spans="25:25" x14ac:dyDescent="0.2">
      <c r="Y513" t="s">
        <v>81</v>
      </c>
    </row>
    <row r="514" spans="25:25" x14ac:dyDescent="0.2">
      <c r="Y514" t="s">
        <v>81</v>
      </c>
    </row>
    <row r="515" spans="25:25" x14ac:dyDescent="0.2">
      <c r="Y515" t="s">
        <v>81</v>
      </c>
    </row>
    <row r="516" spans="25:25" x14ac:dyDescent="0.2">
      <c r="Y516" t="s">
        <v>81</v>
      </c>
    </row>
    <row r="517" spans="25:25" x14ac:dyDescent="0.2">
      <c r="Y517" t="s">
        <v>81</v>
      </c>
    </row>
    <row r="518" spans="25:25" x14ac:dyDescent="0.2">
      <c r="Y518" t="s">
        <v>81</v>
      </c>
    </row>
    <row r="519" spans="25:25" x14ac:dyDescent="0.2">
      <c r="Y519" t="s">
        <v>81</v>
      </c>
    </row>
    <row r="520" spans="25:25" x14ac:dyDescent="0.2">
      <c r="Y520" t="s">
        <v>81</v>
      </c>
    </row>
    <row r="521" spans="25:25" x14ac:dyDescent="0.2">
      <c r="Y521" t="s">
        <v>81</v>
      </c>
    </row>
    <row r="522" spans="25:25" x14ac:dyDescent="0.2">
      <c r="Y522" t="s">
        <v>81</v>
      </c>
    </row>
    <row r="523" spans="25:25" x14ac:dyDescent="0.2">
      <c r="Y523" t="s">
        <v>81</v>
      </c>
    </row>
    <row r="524" spans="25:25" x14ac:dyDescent="0.2">
      <c r="Y524" t="s">
        <v>81</v>
      </c>
    </row>
    <row r="525" spans="25:25" x14ac:dyDescent="0.2">
      <c r="Y525" t="s">
        <v>81</v>
      </c>
    </row>
    <row r="526" spans="25:25" x14ac:dyDescent="0.2">
      <c r="Y526" t="s">
        <v>81</v>
      </c>
    </row>
    <row r="527" spans="25:25" x14ac:dyDescent="0.2">
      <c r="Y527" t="s">
        <v>81</v>
      </c>
    </row>
    <row r="528" spans="25:25" x14ac:dyDescent="0.2">
      <c r="Y528" t="s">
        <v>81</v>
      </c>
    </row>
    <row r="529" spans="25:25" x14ac:dyDescent="0.2">
      <c r="Y529" t="s">
        <v>81</v>
      </c>
    </row>
    <row r="530" spans="25:25" x14ac:dyDescent="0.2">
      <c r="Y530" t="s">
        <v>81</v>
      </c>
    </row>
    <row r="531" spans="25:25" x14ac:dyDescent="0.2">
      <c r="Y531" t="s">
        <v>81</v>
      </c>
    </row>
    <row r="532" spans="25:25" x14ac:dyDescent="0.2">
      <c r="Y532" t="s">
        <v>81</v>
      </c>
    </row>
    <row r="533" spans="25:25" x14ac:dyDescent="0.2">
      <c r="Y533" t="s">
        <v>81</v>
      </c>
    </row>
    <row r="534" spans="25:25" x14ac:dyDescent="0.2">
      <c r="Y534" t="s">
        <v>81</v>
      </c>
    </row>
    <row r="535" spans="25:25" x14ac:dyDescent="0.2">
      <c r="Y535" t="s">
        <v>81</v>
      </c>
    </row>
    <row r="536" spans="25:25" x14ac:dyDescent="0.2">
      <c r="Y536" t="s">
        <v>81</v>
      </c>
    </row>
    <row r="537" spans="25:25" x14ac:dyDescent="0.2">
      <c r="Y537" t="s">
        <v>81</v>
      </c>
    </row>
    <row r="538" spans="25:25" x14ac:dyDescent="0.2">
      <c r="Y538" t="s">
        <v>81</v>
      </c>
    </row>
    <row r="539" spans="25:25" x14ac:dyDescent="0.2">
      <c r="Y539" t="s">
        <v>81</v>
      </c>
    </row>
    <row r="540" spans="25:25" x14ac:dyDescent="0.2">
      <c r="Y540" t="s">
        <v>81</v>
      </c>
    </row>
    <row r="541" spans="25:25" x14ac:dyDescent="0.2">
      <c r="Y541" t="s">
        <v>81</v>
      </c>
    </row>
    <row r="542" spans="25:25" x14ac:dyDescent="0.2">
      <c r="Y542" t="s">
        <v>81</v>
      </c>
    </row>
    <row r="543" spans="25:25" x14ac:dyDescent="0.2">
      <c r="Y543" t="s">
        <v>81</v>
      </c>
    </row>
    <row r="544" spans="25:25" x14ac:dyDescent="0.2">
      <c r="Y544" t="s">
        <v>81</v>
      </c>
    </row>
    <row r="545" spans="25:25" x14ac:dyDescent="0.2">
      <c r="Y545" t="s">
        <v>81</v>
      </c>
    </row>
    <row r="546" spans="25:25" x14ac:dyDescent="0.2">
      <c r="Y546" t="s">
        <v>81</v>
      </c>
    </row>
    <row r="547" spans="25:25" x14ac:dyDescent="0.2">
      <c r="Y547" t="s">
        <v>81</v>
      </c>
    </row>
    <row r="548" spans="25:25" x14ac:dyDescent="0.2">
      <c r="Y548" t="s">
        <v>81</v>
      </c>
    </row>
    <row r="549" spans="25:25" x14ac:dyDescent="0.2">
      <c r="Y549" t="s">
        <v>81</v>
      </c>
    </row>
    <row r="550" spans="25:25" x14ac:dyDescent="0.2">
      <c r="Y550" t="s">
        <v>81</v>
      </c>
    </row>
    <row r="551" spans="25:25" x14ac:dyDescent="0.2">
      <c r="Y551" t="s">
        <v>81</v>
      </c>
    </row>
    <row r="552" spans="25:25" x14ac:dyDescent="0.2">
      <c r="Y552" t="s">
        <v>81</v>
      </c>
    </row>
    <row r="553" spans="25:25" x14ac:dyDescent="0.2">
      <c r="Y553" t="s">
        <v>81</v>
      </c>
    </row>
    <row r="554" spans="25:25" x14ac:dyDescent="0.2">
      <c r="Y554" t="s">
        <v>81</v>
      </c>
    </row>
    <row r="555" spans="25:25" x14ac:dyDescent="0.2">
      <c r="Y555" t="s">
        <v>81</v>
      </c>
    </row>
    <row r="556" spans="25:25" x14ac:dyDescent="0.2">
      <c r="Y556" t="s">
        <v>81</v>
      </c>
    </row>
    <row r="557" spans="25:25" x14ac:dyDescent="0.2">
      <c r="Y557" t="s">
        <v>81</v>
      </c>
    </row>
    <row r="558" spans="25:25" x14ac:dyDescent="0.2">
      <c r="Y558" t="s">
        <v>81</v>
      </c>
    </row>
    <row r="559" spans="25:25" x14ac:dyDescent="0.2">
      <c r="Y559" t="s">
        <v>81</v>
      </c>
    </row>
    <row r="560" spans="25:25" x14ac:dyDescent="0.2">
      <c r="Y560" t="s">
        <v>81</v>
      </c>
    </row>
    <row r="561" spans="25:25" x14ac:dyDescent="0.2">
      <c r="Y561" t="s">
        <v>81</v>
      </c>
    </row>
    <row r="562" spans="25:25" x14ac:dyDescent="0.2">
      <c r="Y562" t="s">
        <v>81</v>
      </c>
    </row>
    <row r="563" spans="25:25" x14ac:dyDescent="0.2">
      <c r="Y563" t="s">
        <v>81</v>
      </c>
    </row>
    <row r="564" spans="25:25" x14ac:dyDescent="0.2">
      <c r="Y564" t="s">
        <v>81</v>
      </c>
    </row>
    <row r="565" spans="25:25" x14ac:dyDescent="0.2">
      <c r="Y565" t="s">
        <v>81</v>
      </c>
    </row>
    <row r="566" spans="25:25" x14ac:dyDescent="0.2">
      <c r="Y566" t="s">
        <v>81</v>
      </c>
    </row>
    <row r="567" spans="25:25" x14ac:dyDescent="0.2">
      <c r="Y567" t="s">
        <v>81</v>
      </c>
    </row>
    <row r="568" spans="25:25" x14ac:dyDescent="0.2">
      <c r="Y568" t="s">
        <v>81</v>
      </c>
    </row>
    <row r="569" spans="25:25" x14ac:dyDescent="0.2">
      <c r="Y569" t="s">
        <v>81</v>
      </c>
    </row>
    <row r="570" spans="25:25" x14ac:dyDescent="0.2">
      <c r="Y570" t="s">
        <v>81</v>
      </c>
    </row>
    <row r="571" spans="25:25" x14ac:dyDescent="0.2">
      <c r="Y571" t="s">
        <v>81</v>
      </c>
    </row>
    <row r="572" spans="25:25" x14ac:dyDescent="0.2">
      <c r="Y572" t="s">
        <v>81</v>
      </c>
    </row>
    <row r="573" spans="25:25" x14ac:dyDescent="0.2">
      <c r="Y573" t="s">
        <v>81</v>
      </c>
    </row>
    <row r="574" spans="25:25" x14ac:dyDescent="0.2">
      <c r="Y574" t="s">
        <v>81</v>
      </c>
    </row>
    <row r="575" spans="25:25" x14ac:dyDescent="0.2">
      <c r="Y575" t="s">
        <v>81</v>
      </c>
    </row>
    <row r="576" spans="25:25" x14ac:dyDescent="0.2">
      <c r="Y576" t="s">
        <v>81</v>
      </c>
    </row>
    <row r="577" spans="25:25" x14ac:dyDescent="0.2">
      <c r="Y577" t="s">
        <v>81</v>
      </c>
    </row>
    <row r="578" spans="25:25" x14ac:dyDescent="0.2">
      <c r="Y578" t="s">
        <v>81</v>
      </c>
    </row>
    <row r="579" spans="25:25" x14ac:dyDescent="0.2">
      <c r="Y579" t="s">
        <v>81</v>
      </c>
    </row>
    <row r="580" spans="25:25" x14ac:dyDescent="0.2">
      <c r="Y580" t="s">
        <v>81</v>
      </c>
    </row>
    <row r="581" spans="25:25" x14ac:dyDescent="0.2">
      <c r="Y581" t="s">
        <v>81</v>
      </c>
    </row>
    <row r="582" spans="25:25" x14ac:dyDescent="0.2">
      <c r="Y582" t="s">
        <v>81</v>
      </c>
    </row>
    <row r="583" spans="25:25" x14ac:dyDescent="0.2">
      <c r="Y583" t="s">
        <v>81</v>
      </c>
    </row>
    <row r="584" spans="25:25" x14ac:dyDescent="0.2">
      <c r="Y584" t="s">
        <v>81</v>
      </c>
    </row>
    <row r="585" spans="25:25" x14ac:dyDescent="0.2">
      <c r="Y585" t="s">
        <v>81</v>
      </c>
    </row>
    <row r="586" spans="25:25" x14ac:dyDescent="0.2">
      <c r="Y586" t="s">
        <v>81</v>
      </c>
    </row>
    <row r="587" spans="25:25" x14ac:dyDescent="0.2">
      <c r="Y587" t="s">
        <v>81</v>
      </c>
    </row>
    <row r="588" spans="25:25" x14ac:dyDescent="0.2">
      <c r="Y588" t="s">
        <v>81</v>
      </c>
    </row>
    <row r="589" spans="25:25" x14ac:dyDescent="0.2">
      <c r="Y589" t="s">
        <v>81</v>
      </c>
    </row>
    <row r="590" spans="25:25" x14ac:dyDescent="0.2">
      <c r="Y590" t="s">
        <v>81</v>
      </c>
    </row>
    <row r="591" spans="25:25" x14ac:dyDescent="0.2">
      <c r="Y591" t="s">
        <v>81</v>
      </c>
    </row>
    <row r="592" spans="25:25" x14ac:dyDescent="0.2">
      <c r="Y592" t="s">
        <v>81</v>
      </c>
    </row>
    <row r="593" spans="25:25" x14ac:dyDescent="0.2">
      <c r="Y593" t="s">
        <v>81</v>
      </c>
    </row>
    <row r="594" spans="25:25" x14ac:dyDescent="0.2">
      <c r="Y594" t="s">
        <v>81</v>
      </c>
    </row>
    <row r="595" spans="25:25" x14ac:dyDescent="0.2">
      <c r="Y595" t="s">
        <v>81</v>
      </c>
    </row>
    <row r="596" spans="25:25" x14ac:dyDescent="0.2">
      <c r="Y596" t="s">
        <v>81</v>
      </c>
    </row>
    <row r="597" spans="25:25" x14ac:dyDescent="0.2">
      <c r="Y597" t="s">
        <v>81</v>
      </c>
    </row>
    <row r="598" spans="25:25" x14ac:dyDescent="0.2">
      <c r="Y598" t="s">
        <v>81</v>
      </c>
    </row>
    <row r="599" spans="25:25" x14ac:dyDescent="0.2">
      <c r="Y599" t="s">
        <v>81</v>
      </c>
    </row>
  </sheetData>
  <sortState xmlns:xlrd2="http://schemas.microsoft.com/office/spreadsheetml/2017/richdata2" ref="A3:AD650">
    <sortCondition ref="B3:B650"/>
    <sortCondition ref="A3:A650"/>
  </sortState>
  <mergeCells count="5">
    <mergeCell ref="AC1:AF1"/>
    <mergeCell ref="D1:L1"/>
    <mergeCell ref="N1:V1"/>
    <mergeCell ref="A1:B1"/>
    <mergeCell ref="X1:AA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FF00"/>
  </sheetPr>
  <dimension ref="A1:Z4"/>
  <sheetViews>
    <sheetView zoomScale="85" zoomScaleNormal="85" workbookViewId="0">
      <selection activeCell="A1048576" sqref="A1048576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72.75" customHeight="1" x14ac:dyDescent="0.2">
      <c r="A1" s="131" t="s">
        <v>277</v>
      </c>
      <c r="B1" s="131"/>
      <c r="D1" s="130" t="s">
        <v>18</v>
      </c>
      <c r="E1" s="130"/>
      <c r="F1" s="130"/>
      <c r="H1" s="130" t="s">
        <v>143</v>
      </c>
      <c r="I1" s="130"/>
      <c r="J1" s="130"/>
      <c r="L1" s="130" t="s">
        <v>19</v>
      </c>
      <c r="M1" s="130"/>
      <c r="N1" s="130"/>
      <c r="P1" s="130" t="s">
        <v>20</v>
      </c>
      <c r="Q1" s="130"/>
      <c r="R1" s="130"/>
      <c r="T1" s="130" t="s">
        <v>21</v>
      </c>
      <c r="U1" s="130"/>
      <c r="V1" s="130"/>
      <c r="X1" s="130" t="s">
        <v>22</v>
      </c>
      <c r="Y1" s="130"/>
      <c r="Z1" s="130"/>
    </row>
    <row r="2" spans="1:26" x14ac:dyDescent="0.2">
      <c r="A2" s="2" t="s">
        <v>0</v>
      </c>
      <c r="B2" s="2" t="s">
        <v>1</v>
      </c>
      <c r="D2" s="22">
        <v>45292</v>
      </c>
      <c r="E2" s="22">
        <v>45323</v>
      </c>
      <c r="F2" s="22">
        <v>45352</v>
      </c>
      <c r="H2" s="22">
        <v>45292</v>
      </c>
      <c r="I2" s="22">
        <v>45323</v>
      </c>
      <c r="J2" s="22">
        <v>45352</v>
      </c>
      <c r="L2" s="22">
        <v>45292</v>
      </c>
      <c r="M2" s="22">
        <v>45323</v>
      </c>
      <c r="N2" s="22">
        <v>45352</v>
      </c>
      <c r="P2" s="22">
        <v>45292</v>
      </c>
      <c r="Q2" s="22">
        <v>45323</v>
      </c>
      <c r="R2" s="22">
        <v>45352</v>
      </c>
      <c r="T2" s="22">
        <v>45292</v>
      </c>
      <c r="U2" s="22">
        <v>45323</v>
      </c>
      <c r="V2" s="22">
        <v>45352</v>
      </c>
      <c r="X2" s="22">
        <v>45292</v>
      </c>
      <c r="Y2" s="22">
        <v>45323</v>
      </c>
      <c r="Z2" s="22">
        <v>45352</v>
      </c>
    </row>
    <row r="3" spans="1:26" x14ac:dyDescent="0.2">
      <c r="A3" t="s">
        <v>218</v>
      </c>
    </row>
    <row r="4" spans="1:26" x14ac:dyDescent="0.2">
      <c r="A4" s="5" t="s">
        <v>279</v>
      </c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FFFF00"/>
  </sheetPr>
  <dimension ref="A1:R7"/>
  <sheetViews>
    <sheetView zoomScale="142"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6640625" bestFit="1" customWidth="1"/>
    <col min="5" max="5" width="7.5" bestFit="1" customWidth="1"/>
    <col min="6" max="6" width="7" bestFit="1" customWidth="1"/>
    <col min="7" max="7" width="2.83203125" style="1" customWidth="1"/>
    <col min="8" max="10" width="7.6640625" customWidth="1"/>
    <col min="11" max="11" width="2.83203125" style="1" customWidth="1"/>
    <col min="12" max="12" width="6.83203125" bestFit="1" customWidth="1"/>
    <col min="13" max="13" width="7.5" bestFit="1" customWidth="1"/>
    <col min="14" max="14" width="7.33203125" bestFit="1" customWidth="1"/>
    <col min="15" max="15" width="2.83203125" style="1" customWidth="1"/>
    <col min="16" max="16" width="6.83203125" bestFit="1" customWidth="1"/>
    <col min="17" max="17" width="7.5" bestFit="1" customWidth="1"/>
    <col min="18" max="18" width="7.33203125" bestFit="1" customWidth="1"/>
    <col min="19" max="19" width="9.1640625" customWidth="1"/>
  </cols>
  <sheetData>
    <row r="1" spans="1:18" s="5" customFormat="1" ht="134.25" customHeight="1" x14ac:dyDescent="0.2">
      <c r="A1" s="129" t="s">
        <v>277</v>
      </c>
      <c r="B1" s="129"/>
      <c r="C1" s="23"/>
      <c r="D1" s="132" t="s">
        <v>23</v>
      </c>
      <c r="E1" s="132"/>
      <c r="F1" s="132"/>
      <c r="G1" s="23"/>
      <c r="H1" s="132" t="s">
        <v>24</v>
      </c>
      <c r="I1" s="132"/>
      <c r="J1" s="132"/>
      <c r="K1" s="23"/>
      <c r="L1" s="132" t="s">
        <v>25</v>
      </c>
      <c r="M1" s="132"/>
      <c r="N1" s="132"/>
      <c r="O1" s="23"/>
      <c r="P1" s="132" t="s">
        <v>26</v>
      </c>
      <c r="Q1" s="132"/>
      <c r="R1" s="132"/>
    </row>
    <row r="2" spans="1:18" x14ac:dyDescent="0.2">
      <c r="A2" s="2" t="s">
        <v>0</v>
      </c>
      <c r="B2" s="2" t="s">
        <v>1</v>
      </c>
      <c r="D2" s="22">
        <v>45292</v>
      </c>
      <c r="E2" s="22">
        <v>45323</v>
      </c>
      <c r="F2" s="22">
        <v>45352</v>
      </c>
      <c r="H2" s="22">
        <v>45292</v>
      </c>
      <c r="I2" s="22">
        <v>45323</v>
      </c>
      <c r="J2" s="22">
        <v>45352</v>
      </c>
      <c r="L2" s="22">
        <v>45292</v>
      </c>
      <c r="M2" s="22">
        <v>45323</v>
      </c>
      <c r="N2" s="22">
        <v>45352</v>
      </c>
      <c r="P2" s="22">
        <v>45292</v>
      </c>
      <c r="Q2" s="22">
        <v>45323</v>
      </c>
      <c r="R2" s="22">
        <v>45352</v>
      </c>
    </row>
    <row r="3" spans="1:18" ht="16" x14ac:dyDescent="0.2">
      <c r="A3" t="s">
        <v>83</v>
      </c>
      <c r="B3" s="8" t="s">
        <v>34</v>
      </c>
      <c r="D3" s="9">
        <v>142</v>
      </c>
      <c r="E3" s="9">
        <v>170</v>
      </c>
      <c r="F3" s="9">
        <v>172</v>
      </c>
      <c r="H3" s="9">
        <v>19</v>
      </c>
      <c r="I3" s="9">
        <v>20</v>
      </c>
      <c r="J3" s="9">
        <v>33</v>
      </c>
      <c r="L3" s="95">
        <v>62</v>
      </c>
      <c r="M3" s="95">
        <v>54</v>
      </c>
      <c r="N3" s="95">
        <v>62</v>
      </c>
      <c r="P3">
        <v>0</v>
      </c>
      <c r="Q3">
        <v>0</v>
      </c>
      <c r="R3">
        <v>1</v>
      </c>
    </row>
    <row r="4" spans="1:18" ht="16" x14ac:dyDescent="0.2">
      <c r="A4" t="s">
        <v>83</v>
      </c>
      <c r="B4" s="8" t="s">
        <v>75</v>
      </c>
      <c r="D4" s="9">
        <v>4276</v>
      </c>
      <c r="E4" s="9">
        <v>4296</v>
      </c>
      <c r="F4" s="9">
        <v>4442</v>
      </c>
      <c r="H4" s="9">
        <v>250</v>
      </c>
      <c r="I4" s="9">
        <v>209</v>
      </c>
      <c r="J4" s="9">
        <v>169</v>
      </c>
      <c r="L4" s="95">
        <v>991</v>
      </c>
      <c r="M4" s="95">
        <v>1144</v>
      </c>
      <c r="N4" s="95">
        <v>1187</v>
      </c>
      <c r="P4">
        <v>27</v>
      </c>
      <c r="Q4">
        <v>28</v>
      </c>
      <c r="R4">
        <v>33</v>
      </c>
    </row>
    <row r="7" spans="1:18" x14ac:dyDescent="0.2">
      <c r="E7" t="s">
        <v>264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FFFF00"/>
  </sheetPr>
  <dimension ref="A1:AA3"/>
  <sheetViews>
    <sheetView topLeftCell="D1" zoomScale="90" zoomScaleNormal="90" workbookViewId="0">
      <selection activeCell="I6" sqref="I6"/>
    </sheetView>
  </sheetViews>
  <sheetFormatPr baseColWidth="10" defaultColWidth="8.83203125" defaultRowHeight="15" x14ac:dyDescent="0.2"/>
  <cols>
    <col min="1" max="1" width="12.83203125" customWidth="1"/>
    <col min="2" max="2" width="14.5" bestFit="1" customWidth="1"/>
    <col min="3" max="3" width="2.83203125" style="1" customWidth="1"/>
    <col min="4" max="4" width="6.83203125" bestFit="1" customWidth="1"/>
    <col min="5" max="5" width="7.5" bestFit="1" customWidth="1"/>
    <col min="6" max="6" width="10.83203125" customWidth="1"/>
    <col min="7" max="7" width="2.83203125" style="1" customWidth="1"/>
    <col min="8" max="8" width="7.1640625" bestFit="1" customWidth="1"/>
    <col min="9" max="9" width="7.5" bestFit="1" customWidth="1"/>
    <col min="10" max="10" width="6.83203125" bestFit="1" customWidth="1"/>
    <col min="11" max="11" width="4" style="1" customWidth="1"/>
    <col min="12" max="12" width="6.83203125" bestFit="1" customWidth="1"/>
    <col min="13" max="14" width="7.5" bestFit="1" customWidth="1"/>
    <col min="15" max="15" width="2.83203125" style="1" customWidth="1"/>
    <col min="16" max="16" width="6.5" hidden="1" customWidth="1"/>
    <col min="17" max="21" width="8" hidden="1" customWidth="1"/>
    <col min="22" max="24" width="15.33203125" hidden="1" customWidth="1"/>
    <col min="25" max="25" width="6.83203125" bestFit="1" customWidth="1"/>
    <col min="26" max="27" width="7.5" bestFit="1" customWidth="1"/>
  </cols>
  <sheetData>
    <row r="1" spans="1:27" ht="119.25" customHeight="1" x14ac:dyDescent="0.2">
      <c r="A1" s="93" t="s">
        <v>265</v>
      </c>
      <c r="B1" s="3"/>
      <c r="D1" s="132" t="s">
        <v>33</v>
      </c>
      <c r="E1" s="132"/>
      <c r="F1" s="132"/>
      <c r="H1" s="132" t="s">
        <v>219</v>
      </c>
      <c r="I1" s="132"/>
      <c r="J1" s="132"/>
      <c r="L1" s="132" t="s">
        <v>220</v>
      </c>
      <c r="M1" s="132"/>
      <c r="N1" s="132"/>
      <c r="P1" s="132" t="s">
        <v>32</v>
      </c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</row>
    <row r="2" spans="1:27" x14ac:dyDescent="0.2">
      <c r="A2" s="2" t="s">
        <v>0</v>
      </c>
      <c r="B2" s="2" t="s">
        <v>1</v>
      </c>
      <c r="D2" s="22">
        <v>45292</v>
      </c>
      <c r="E2" s="22">
        <v>45323</v>
      </c>
      <c r="F2" s="22">
        <v>45352</v>
      </c>
      <c r="H2" s="22">
        <v>45292</v>
      </c>
      <c r="I2" s="22">
        <v>45323</v>
      </c>
      <c r="J2" s="22">
        <v>45352</v>
      </c>
      <c r="L2" s="22">
        <v>45292</v>
      </c>
      <c r="M2" s="22">
        <v>45323</v>
      </c>
      <c r="N2" s="22">
        <v>45352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22">
        <v>45292</v>
      </c>
      <c r="Z2" s="22">
        <v>45323</v>
      </c>
      <c r="AA2" s="22">
        <v>45352</v>
      </c>
    </row>
    <row r="3" spans="1:27" ht="16" x14ac:dyDescent="0.2">
      <c r="A3" s="10" t="s">
        <v>83</v>
      </c>
      <c r="B3" s="10" t="s">
        <v>75</v>
      </c>
      <c r="D3">
        <v>19</v>
      </c>
      <c r="E3">
        <v>16</v>
      </c>
      <c r="F3">
        <v>14</v>
      </c>
      <c r="H3">
        <v>0</v>
      </c>
      <c r="I3">
        <v>0</v>
      </c>
      <c r="J3">
        <v>0</v>
      </c>
      <c r="L3">
        <v>4</v>
      </c>
      <c r="M3">
        <v>5</v>
      </c>
      <c r="N3">
        <v>11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FFFF00"/>
  </sheetPr>
  <dimension ref="A1:AZ62"/>
  <sheetViews>
    <sheetView zoomScaleNormal="100" workbookViewId="0">
      <selection activeCell="AX3" sqref="AX3:AZ16"/>
    </sheetView>
  </sheetViews>
  <sheetFormatPr baseColWidth="10" defaultColWidth="8.83203125" defaultRowHeight="15" x14ac:dyDescent="0.2"/>
  <cols>
    <col min="1" max="1" width="5.83203125" customWidth="1"/>
    <col min="2" max="2" width="7.83203125" customWidth="1"/>
    <col min="3" max="3" width="2.83203125" style="1" customWidth="1"/>
    <col min="4" max="12" width="5.5" customWidth="1"/>
    <col min="13" max="13" width="2.83203125" style="1" customWidth="1"/>
    <col min="14" max="20" width="8.5" hidden="1" customWidth="1"/>
    <col min="21" max="21" width="6.6640625" hidden="1" customWidth="1"/>
    <col min="22" max="22" width="9" hidden="1" customWidth="1"/>
    <col min="23" max="23" width="7.1640625" hidden="1" customWidth="1"/>
    <col min="24" max="24" width="6" bestFit="1" customWidth="1"/>
    <col min="25" max="25" width="6.5" bestFit="1" customWidth="1"/>
    <col min="26" max="26" width="4.5" bestFit="1" customWidth="1"/>
    <col min="27" max="27" width="6" bestFit="1" customWidth="1"/>
    <col min="28" max="28" width="6.5" bestFit="1" customWidth="1"/>
    <col min="29" max="29" width="4.5" bestFit="1" customWidth="1"/>
    <col min="30" max="30" width="6" bestFit="1" customWidth="1"/>
    <col min="31" max="31" width="6.5" bestFit="1" customWidth="1"/>
    <col min="32" max="32" width="4.5" bestFit="1" customWidth="1"/>
    <col min="33" max="33" width="2.83203125" style="1" customWidth="1"/>
    <col min="34" max="34" width="18.6640625" hidden="1" customWidth="1"/>
    <col min="35" max="39" width="10.5" hidden="1" customWidth="1"/>
    <col min="40" max="42" width="14.6640625" customWidth="1"/>
    <col min="43" max="43" width="2.83203125" style="1" customWidth="1"/>
    <col min="44" max="52" width="5.5" customWidth="1"/>
  </cols>
  <sheetData>
    <row r="1" spans="1:52" ht="51" customHeight="1" x14ac:dyDescent="0.2">
      <c r="A1" s="131" t="s">
        <v>277</v>
      </c>
      <c r="B1" s="131"/>
      <c r="D1" s="136" t="s">
        <v>27</v>
      </c>
      <c r="E1" s="126"/>
      <c r="F1" s="126"/>
      <c r="G1" s="126"/>
      <c r="H1" s="126"/>
      <c r="I1" s="126"/>
      <c r="J1" s="126"/>
      <c r="K1" s="126"/>
      <c r="L1" s="126"/>
      <c r="N1" s="128" t="s">
        <v>28</v>
      </c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H1" s="135" t="s">
        <v>29</v>
      </c>
      <c r="AI1" s="135"/>
      <c r="AJ1" s="135"/>
      <c r="AK1" s="135"/>
      <c r="AL1" s="135"/>
      <c r="AM1" s="135"/>
      <c r="AN1" s="135"/>
      <c r="AO1" s="135"/>
      <c r="AP1" s="135"/>
      <c r="AR1" s="133" t="s">
        <v>30</v>
      </c>
      <c r="AS1" s="134"/>
      <c r="AT1" s="134"/>
      <c r="AU1" s="134"/>
      <c r="AV1" s="134"/>
      <c r="AW1" s="134"/>
      <c r="AX1" s="134"/>
      <c r="AY1" s="134"/>
      <c r="AZ1" s="134"/>
    </row>
    <row r="2" spans="1:52" x14ac:dyDescent="0.2">
      <c r="A2" s="2"/>
      <c r="B2" s="2"/>
      <c r="D2" s="137">
        <v>45292</v>
      </c>
      <c r="E2" s="138"/>
      <c r="F2" s="139"/>
      <c r="G2" s="137">
        <v>45323</v>
      </c>
      <c r="H2" s="138"/>
      <c r="I2" s="139"/>
      <c r="J2" s="137">
        <v>45352</v>
      </c>
      <c r="K2" s="138"/>
      <c r="L2" s="139"/>
      <c r="N2" s="2" t="s">
        <v>0</v>
      </c>
      <c r="O2" s="2" t="s">
        <v>1</v>
      </c>
      <c r="P2" s="61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37">
        <v>45292</v>
      </c>
      <c r="Y2" s="138"/>
      <c r="Z2" s="139"/>
      <c r="AA2" s="137">
        <v>45323</v>
      </c>
      <c r="AB2" s="138"/>
      <c r="AC2" s="139"/>
      <c r="AD2" s="137">
        <v>45352</v>
      </c>
      <c r="AE2" s="138"/>
      <c r="AF2" s="139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2">
        <v>45292</v>
      </c>
      <c r="AO2" s="92">
        <v>45323</v>
      </c>
      <c r="AP2" s="92">
        <v>45352</v>
      </c>
      <c r="AR2" s="137">
        <v>45292</v>
      </c>
      <c r="AS2" s="138"/>
      <c r="AT2" s="139"/>
      <c r="AU2" s="137">
        <v>45323</v>
      </c>
      <c r="AV2" s="138"/>
      <c r="AW2" s="139"/>
      <c r="AX2" s="137">
        <v>45352</v>
      </c>
      <c r="AY2" s="138"/>
      <c r="AZ2" s="139"/>
    </row>
    <row r="3" spans="1:52" x14ac:dyDescent="0.2">
      <c r="A3" s="20"/>
      <c r="B3" s="20"/>
      <c r="D3" s="78" t="s">
        <v>196</v>
      </c>
      <c r="E3" s="78" t="s">
        <v>133</v>
      </c>
      <c r="F3" s="82" t="s">
        <v>271</v>
      </c>
      <c r="G3" s="106" t="s">
        <v>196</v>
      </c>
      <c r="H3" s="106" t="s">
        <v>133</v>
      </c>
      <c r="I3" s="106" t="s">
        <v>271</v>
      </c>
      <c r="J3" s="106" t="s">
        <v>196</v>
      </c>
      <c r="K3" s="106" t="s">
        <v>133</v>
      </c>
      <c r="L3" s="106" t="s">
        <v>271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106" t="s">
        <v>196</v>
      </c>
      <c r="Y3" s="106" t="s">
        <v>133</v>
      </c>
      <c r="Z3" s="106" t="s">
        <v>271</v>
      </c>
      <c r="AA3" s="106" t="s">
        <v>196</v>
      </c>
      <c r="AB3" s="106" t="s">
        <v>133</v>
      </c>
      <c r="AC3" s="106" t="s">
        <v>271</v>
      </c>
      <c r="AD3" s="106" t="s">
        <v>196</v>
      </c>
      <c r="AE3" s="106" t="s">
        <v>133</v>
      </c>
      <c r="AF3" s="106" t="s">
        <v>271</v>
      </c>
      <c r="AR3" s="106" t="s">
        <v>196</v>
      </c>
      <c r="AS3" s="106" t="s">
        <v>133</v>
      </c>
      <c r="AT3" s="106" t="s">
        <v>271</v>
      </c>
      <c r="AU3" s="106" t="s">
        <v>196</v>
      </c>
      <c r="AV3" s="106" t="s">
        <v>133</v>
      </c>
      <c r="AW3" s="106" t="s">
        <v>271</v>
      </c>
      <c r="AX3" s="106" t="s">
        <v>196</v>
      </c>
      <c r="AY3" s="106" t="s">
        <v>133</v>
      </c>
      <c r="AZ3" s="106" t="s">
        <v>271</v>
      </c>
    </row>
    <row r="4" spans="1:52" x14ac:dyDescent="0.2">
      <c r="A4" s="20"/>
      <c r="B4" s="20"/>
      <c r="D4" s="50" t="s">
        <v>35</v>
      </c>
      <c r="E4" s="50" t="s">
        <v>34</v>
      </c>
      <c r="F4" s="51">
        <v>64</v>
      </c>
      <c r="G4" s="107" t="s">
        <v>35</v>
      </c>
      <c r="H4" s="107" t="s">
        <v>34</v>
      </c>
      <c r="I4" s="108">
        <v>62</v>
      </c>
      <c r="J4" s="107" t="s">
        <v>35</v>
      </c>
      <c r="K4" s="107" t="s">
        <v>34</v>
      </c>
      <c r="L4" s="108">
        <v>61</v>
      </c>
      <c r="N4" t="s">
        <v>35</v>
      </c>
      <c r="O4" t="s">
        <v>75</v>
      </c>
      <c r="P4">
        <v>71</v>
      </c>
      <c r="Q4">
        <v>53</v>
      </c>
      <c r="R4">
        <v>58</v>
      </c>
      <c r="S4" s="60" t="s">
        <v>35</v>
      </c>
      <c r="T4" t="s">
        <v>75</v>
      </c>
      <c r="U4">
        <v>19</v>
      </c>
      <c r="V4">
        <v>17</v>
      </c>
      <c r="W4">
        <v>19</v>
      </c>
      <c r="X4" s="107" t="s">
        <v>35</v>
      </c>
      <c r="Y4" s="107" t="s">
        <v>34</v>
      </c>
      <c r="Z4" s="108">
        <v>7</v>
      </c>
      <c r="AA4" s="107" t="s">
        <v>35</v>
      </c>
      <c r="AB4" s="107" t="s">
        <v>34</v>
      </c>
      <c r="AC4" s="108">
        <v>2</v>
      </c>
      <c r="AD4" s="107" t="s">
        <v>35</v>
      </c>
      <c r="AE4" s="107" t="s">
        <v>34</v>
      </c>
      <c r="AF4" s="108">
        <v>9</v>
      </c>
      <c r="AR4" s="107" t="s">
        <v>35</v>
      </c>
      <c r="AS4" s="107" t="s">
        <v>34</v>
      </c>
      <c r="AT4" s="108">
        <v>8</v>
      </c>
      <c r="AU4" s="107" t="s">
        <v>35</v>
      </c>
      <c r="AV4" s="107" t="s">
        <v>34</v>
      </c>
      <c r="AW4" s="108">
        <v>3</v>
      </c>
      <c r="AX4" s="107" t="s">
        <v>35</v>
      </c>
      <c r="AY4" s="107" t="s">
        <v>34</v>
      </c>
      <c r="AZ4" s="108">
        <v>3</v>
      </c>
    </row>
    <row r="5" spans="1:52" x14ac:dyDescent="0.2">
      <c r="A5" s="20"/>
      <c r="B5" s="20"/>
      <c r="D5" s="50" t="s">
        <v>35</v>
      </c>
      <c r="E5" s="50" t="s">
        <v>75</v>
      </c>
      <c r="F5" s="51">
        <v>4</v>
      </c>
      <c r="G5" s="107" t="s">
        <v>35</v>
      </c>
      <c r="H5" s="107" t="s">
        <v>75</v>
      </c>
      <c r="I5" s="108">
        <v>4</v>
      </c>
      <c r="J5" s="107" t="s">
        <v>35</v>
      </c>
      <c r="K5" s="107" t="s">
        <v>75</v>
      </c>
      <c r="L5" s="108">
        <v>4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107" t="s">
        <v>36</v>
      </c>
      <c r="Y5" s="107" t="s">
        <v>34</v>
      </c>
      <c r="Z5" s="108">
        <v>14</v>
      </c>
      <c r="AA5" s="107" t="s">
        <v>36</v>
      </c>
      <c r="AB5" s="107" t="s">
        <v>34</v>
      </c>
      <c r="AC5" s="108">
        <v>11</v>
      </c>
      <c r="AD5" s="107" t="s">
        <v>36</v>
      </c>
      <c r="AE5" s="107" t="s">
        <v>34</v>
      </c>
      <c r="AF5" s="108">
        <v>10</v>
      </c>
      <c r="AR5" s="107" t="s">
        <v>36</v>
      </c>
      <c r="AS5" s="107" t="s">
        <v>34</v>
      </c>
      <c r="AT5" s="108">
        <v>4</v>
      </c>
      <c r="AU5" s="107" t="s">
        <v>36</v>
      </c>
      <c r="AV5" s="107" t="s">
        <v>34</v>
      </c>
      <c r="AW5" s="108">
        <v>2</v>
      </c>
      <c r="AX5" s="107" t="s">
        <v>36</v>
      </c>
      <c r="AY5" s="107" t="s">
        <v>34</v>
      </c>
      <c r="AZ5" s="108">
        <v>1</v>
      </c>
    </row>
    <row r="6" spans="1:52" x14ac:dyDescent="0.2">
      <c r="A6" s="20"/>
      <c r="B6" s="20"/>
      <c r="D6" s="50" t="s">
        <v>36</v>
      </c>
      <c r="E6" s="50" t="s">
        <v>34</v>
      </c>
      <c r="F6" s="51">
        <v>90</v>
      </c>
      <c r="G6" s="107" t="s">
        <v>36</v>
      </c>
      <c r="H6" s="107" t="s">
        <v>34</v>
      </c>
      <c r="I6" s="108">
        <v>101</v>
      </c>
      <c r="J6" s="107" t="s">
        <v>36</v>
      </c>
      <c r="K6" s="107" t="s">
        <v>34</v>
      </c>
      <c r="L6" s="108">
        <v>110</v>
      </c>
      <c r="N6" t="s">
        <v>36</v>
      </c>
      <c r="O6" t="s">
        <v>75</v>
      </c>
      <c r="P6">
        <v>103</v>
      </c>
      <c r="Q6">
        <v>75</v>
      </c>
      <c r="R6">
        <v>32</v>
      </c>
      <c r="S6" s="60" t="s">
        <v>36</v>
      </c>
      <c r="T6" t="s">
        <v>75</v>
      </c>
      <c r="U6">
        <v>48</v>
      </c>
      <c r="V6">
        <v>22</v>
      </c>
      <c r="W6">
        <v>19</v>
      </c>
      <c r="X6" s="107" t="s">
        <v>37</v>
      </c>
      <c r="Y6" s="107" t="s">
        <v>34</v>
      </c>
      <c r="Z6" s="108">
        <v>8</v>
      </c>
      <c r="AA6" s="107" t="s">
        <v>37</v>
      </c>
      <c r="AB6" s="107" t="s">
        <v>34</v>
      </c>
      <c r="AC6" s="108">
        <v>5</v>
      </c>
      <c r="AD6" s="107" t="s">
        <v>37</v>
      </c>
      <c r="AE6" s="107" t="s">
        <v>34</v>
      </c>
      <c r="AF6" s="108">
        <v>2</v>
      </c>
      <c r="AR6" s="107" t="s">
        <v>36</v>
      </c>
      <c r="AS6" s="107" t="s">
        <v>75</v>
      </c>
      <c r="AT6" s="108">
        <v>1</v>
      </c>
      <c r="AU6" s="107" t="s">
        <v>37</v>
      </c>
      <c r="AV6" s="107" t="s">
        <v>34</v>
      </c>
      <c r="AW6" s="108">
        <v>2</v>
      </c>
      <c r="AX6" s="107" t="s">
        <v>37</v>
      </c>
      <c r="AY6" s="107" t="s">
        <v>34</v>
      </c>
      <c r="AZ6" s="108">
        <v>3</v>
      </c>
    </row>
    <row r="7" spans="1:52" x14ac:dyDescent="0.2">
      <c r="A7" s="20"/>
      <c r="B7" s="20"/>
      <c r="D7" s="50" t="s">
        <v>36</v>
      </c>
      <c r="E7" s="50" t="s">
        <v>75</v>
      </c>
      <c r="F7" s="51">
        <v>1</v>
      </c>
      <c r="G7" s="107" t="s">
        <v>37</v>
      </c>
      <c r="H7" s="107" t="s">
        <v>34</v>
      </c>
      <c r="I7" s="108">
        <v>48</v>
      </c>
      <c r="J7" s="107" t="s">
        <v>37</v>
      </c>
      <c r="K7" s="107" t="s">
        <v>34</v>
      </c>
      <c r="L7" s="108">
        <v>50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107" t="s">
        <v>40</v>
      </c>
      <c r="Y7" s="107" t="s">
        <v>34</v>
      </c>
      <c r="Z7" s="108">
        <v>6</v>
      </c>
      <c r="AA7" s="107" t="s">
        <v>40</v>
      </c>
      <c r="AB7" s="107" t="s">
        <v>34</v>
      </c>
      <c r="AC7" s="108">
        <v>5</v>
      </c>
      <c r="AD7" s="107" t="s">
        <v>40</v>
      </c>
      <c r="AE7" s="107" t="s">
        <v>34</v>
      </c>
      <c r="AF7" s="108">
        <v>6</v>
      </c>
      <c r="AR7" s="107" t="s">
        <v>37</v>
      </c>
      <c r="AS7" s="107" t="s">
        <v>34</v>
      </c>
      <c r="AT7" s="108">
        <v>4</v>
      </c>
      <c r="AU7" s="107" t="s">
        <v>37</v>
      </c>
      <c r="AV7" s="107" t="s">
        <v>75</v>
      </c>
      <c r="AW7" s="108">
        <v>1</v>
      </c>
      <c r="AX7" s="107" t="s">
        <v>37</v>
      </c>
      <c r="AY7" s="107" t="s">
        <v>75</v>
      </c>
      <c r="AZ7" s="108">
        <v>1</v>
      </c>
    </row>
    <row r="8" spans="1:52" x14ac:dyDescent="0.2">
      <c r="A8" s="20"/>
      <c r="B8" s="20"/>
      <c r="D8" s="50" t="s">
        <v>37</v>
      </c>
      <c r="E8" s="50" t="s">
        <v>34</v>
      </c>
      <c r="F8" s="51">
        <v>42</v>
      </c>
      <c r="G8" s="107" t="s">
        <v>37</v>
      </c>
      <c r="H8" s="107" t="s">
        <v>75</v>
      </c>
      <c r="I8" s="108">
        <v>4</v>
      </c>
      <c r="J8" s="107" t="s">
        <v>37</v>
      </c>
      <c r="K8" s="107" t="s">
        <v>75</v>
      </c>
      <c r="L8" s="108">
        <v>3</v>
      </c>
      <c r="N8" t="s">
        <v>37</v>
      </c>
      <c r="O8" t="s">
        <v>75</v>
      </c>
      <c r="P8">
        <v>17</v>
      </c>
      <c r="Q8">
        <v>16</v>
      </c>
      <c r="R8">
        <v>22</v>
      </c>
      <c r="S8" s="60" t="s">
        <v>37</v>
      </c>
      <c r="T8" t="s">
        <v>75</v>
      </c>
      <c r="U8">
        <v>5</v>
      </c>
      <c r="V8">
        <v>1</v>
      </c>
      <c r="W8">
        <v>6</v>
      </c>
      <c r="X8" s="107" t="s">
        <v>44</v>
      </c>
      <c r="Y8" s="107" t="s">
        <v>34</v>
      </c>
      <c r="Z8" s="108">
        <v>2</v>
      </c>
      <c r="AA8" s="107" t="s">
        <v>43</v>
      </c>
      <c r="AB8" s="107" t="s">
        <v>34</v>
      </c>
      <c r="AC8" s="108">
        <v>1</v>
      </c>
      <c r="AD8" s="107" t="s">
        <v>42</v>
      </c>
      <c r="AE8" s="107" t="s">
        <v>34</v>
      </c>
      <c r="AF8" s="108">
        <v>1</v>
      </c>
      <c r="AR8" s="107" t="s">
        <v>40</v>
      </c>
      <c r="AS8" s="107" t="s">
        <v>34</v>
      </c>
      <c r="AT8" s="108">
        <v>3</v>
      </c>
      <c r="AU8" s="107" t="s">
        <v>40</v>
      </c>
      <c r="AV8" s="107" t="s">
        <v>34</v>
      </c>
      <c r="AW8" s="108">
        <v>2</v>
      </c>
      <c r="AX8" s="107" t="s">
        <v>40</v>
      </c>
      <c r="AY8" s="107" t="s">
        <v>34</v>
      </c>
      <c r="AZ8" s="108">
        <v>3</v>
      </c>
    </row>
    <row r="9" spans="1:52" x14ac:dyDescent="0.2">
      <c r="A9" s="32"/>
      <c r="B9" s="20"/>
      <c r="D9" s="50" t="s">
        <v>37</v>
      </c>
      <c r="E9" s="50" t="s">
        <v>75</v>
      </c>
      <c r="F9" s="51">
        <v>4</v>
      </c>
      <c r="G9" s="107" t="s">
        <v>40</v>
      </c>
      <c r="H9" s="107" t="s">
        <v>34</v>
      </c>
      <c r="I9" s="108">
        <v>37</v>
      </c>
      <c r="J9" s="107" t="s">
        <v>40</v>
      </c>
      <c r="K9" s="107" t="s">
        <v>34</v>
      </c>
      <c r="L9" s="108">
        <v>40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107" t="s">
        <v>45</v>
      </c>
      <c r="Y9" s="107" t="s">
        <v>34</v>
      </c>
      <c r="Z9" s="108">
        <v>2</v>
      </c>
      <c r="AA9" s="107" t="s">
        <v>44</v>
      </c>
      <c r="AB9" s="107" t="s">
        <v>34</v>
      </c>
      <c r="AC9" s="108">
        <v>1</v>
      </c>
      <c r="AD9" s="107" t="s">
        <v>43</v>
      </c>
      <c r="AE9" s="107" t="s">
        <v>34</v>
      </c>
      <c r="AF9" s="108">
        <v>2</v>
      </c>
      <c r="AR9" s="107" t="s">
        <v>40</v>
      </c>
      <c r="AS9" s="107" t="s">
        <v>75</v>
      </c>
      <c r="AT9" s="108">
        <v>2</v>
      </c>
      <c r="AU9" s="107" t="s">
        <v>44</v>
      </c>
      <c r="AV9" s="107" t="s">
        <v>34</v>
      </c>
      <c r="AW9" s="108">
        <v>1</v>
      </c>
      <c r="AX9" s="107" t="s">
        <v>46</v>
      </c>
      <c r="AY9" s="107" t="s">
        <v>75</v>
      </c>
      <c r="AZ9" s="108">
        <v>1</v>
      </c>
    </row>
    <row r="10" spans="1:52" x14ac:dyDescent="0.2">
      <c r="A10" s="20"/>
      <c r="B10" s="20"/>
      <c r="D10" s="50" t="s">
        <v>40</v>
      </c>
      <c r="E10" s="50" t="s">
        <v>34</v>
      </c>
      <c r="F10" s="51">
        <v>34</v>
      </c>
      <c r="G10" s="107" t="s">
        <v>40</v>
      </c>
      <c r="H10" s="107" t="s">
        <v>75</v>
      </c>
      <c r="I10" s="108">
        <v>10</v>
      </c>
      <c r="J10" s="107" t="s">
        <v>40</v>
      </c>
      <c r="K10" s="107" t="s">
        <v>75</v>
      </c>
      <c r="L10" s="108">
        <v>10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0" t="s">
        <v>40</v>
      </c>
      <c r="T10" t="s">
        <v>75</v>
      </c>
      <c r="U10">
        <v>31</v>
      </c>
      <c r="V10">
        <v>18</v>
      </c>
      <c r="W10">
        <v>14</v>
      </c>
      <c r="X10" s="107" t="s">
        <v>53</v>
      </c>
      <c r="Y10" s="107" t="s">
        <v>34</v>
      </c>
      <c r="Z10" s="108">
        <v>3</v>
      </c>
      <c r="AA10" s="107" t="s">
        <v>50</v>
      </c>
      <c r="AB10" s="107" t="s">
        <v>34</v>
      </c>
      <c r="AC10" s="108">
        <v>1</v>
      </c>
      <c r="AD10" s="107" t="s">
        <v>44</v>
      </c>
      <c r="AE10" s="107" t="s">
        <v>34</v>
      </c>
      <c r="AF10" s="108">
        <v>2</v>
      </c>
      <c r="AR10" s="107" t="s">
        <v>45</v>
      </c>
      <c r="AS10" s="107" t="s">
        <v>34</v>
      </c>
      <c r="AT10" s="108">
        <v>1</v>
      </c>
      <c r="AU10" s="107" t="s">
        <v>52</v>
      </c>
      <c r="AV10" s="107" t="s">
        <v>34</v>
      </c>
      <c r="AW10" s="108">
        <v>1</v>
      </c>
      <c r="AX10" s="107" t="s">
        <v>54</v>
      </c>
      <c r="AY10" s="107" t="s">
        <v>34</v>
      </c>
      <c r="AZ10" s="108">
        <v>2</v>
      </c>
    </row>
    <row r="11" spans="1:52" x14ac:dyDescent="0.2">
      <c r="A11" s="20"/>
      <c r="B11" s="20"/>
      <c r="D11" s="50" t="s">
        <v>40</v>
      </c>
      <c r="E11" s="50" t="s">
        <v>75</v>
      </c>
      <c r="F11" s="51">
        <v>12</v>
      </c>
      <c r="G11" s="107" t="s">
        <v>42</v>
      </c>
      <c r="H11" s="107" t="s">
        <v>75</v>
      </c>
      <c r="I11" s="108">
        <v>1</v>
      </c>
      <c r="J11" s="107" t="s">
        <v>42</v>
      </c>
      <c r="K11" s="107" t="s">
        <v>75</v>
      </c>
      <c r="L11" s="108">
        <v>1</v>
      </c>
      <c r="N11" t="s">
        <v>42</v>
      </c>
      <c r="O11" t="s">
        <v>75</v>
      </c>
      <c r="P11">
        <v>2</v>
      </c>
      <c r="Q11">
        <v>1</v>
      </c>
      <c r="S11" s="60" t="s">
        <v>42</v>
      </c>
      <c r="T11" t="s">
        <v>75</v>
      </c>
      <c r="U11">
        <v>2</v>
      </c>
      <c r="X11" s="107" t="s">
        <v>54</v>
      </c>
      <c r="Y11" s="107" t="s">
        <v>34</v>
      </c>
      <c r="Z11" s="108">
        <v>1</v>
      </c>
      <c r="AA11" s="107" t="s">
        <v>53</v>
      </c>
      <c r="AB11" s="107" t="s">
        <v>34</v>
      </c>
      <c r="AC11" s="108">
        <v>8</v>
      </c>
      <c r="AD11" s="107" t="s">
        <v>49</v>
      </c>
      <c r="AE11" s="107" t="s">
        <v>34</v>
      </c>
      <c r="AF11" s="108">
        <v>1</v>
      </c>
      <c r="AR11" s="107" t="s">
        <v>48</v>
      </c>
      <c r="AS11" s="107" t="s">
        <v>34</v>
      </c>
      <c r="AT11" s="108">
        <v>4</v>
      </c>
      <c r="AU11" s="107" t="s">
        <v>53</v>
      </c>
      <c r="AV11" s="107" t="s">
        <v>34</v>
      </c>
      <c r="AW11" s="108">
        <v>2</v>
      </c>
      <c r="AX11" s="107" t="s">
        <v>55</v>
      </c>
      <c r="AY11" s="107" t="s">
        <v>34</v>
      </c>
      <c r="AZ11" s="108">
        <v>3</v>
      </c>
    </row>
    <row r="12" spans="1:52" x14ac:dyDescent="0.2">
      <c r="A12" s="20"/>
      <c r="B12" s="20"/>
      <c r="D12" s="50" t="s">
        <v>42</v>
      </c>
      <c r="E12" s="50" t="s">
        <v>75</v>
      </c>
      <c r="F12" s="51">
        <v>1</v>
      </c>
      <c r="G12" s="107" t="s">
        <v>43</v>
      </c>
      <c r="H12" s="107" t="s">
        <v>34</v>
      </c>
      <c r="I12" s="108">
        <v>1</v>
      </c>
      <c r="J12" s="107" t="s">
        <v>43</v>
      </c>
      <c r="K12" s="107" t="s">
        <v>34</v>
      </c>
      <c r="L12" s="108">
        <v>2</v>
      </c>
      <c r="N12" t="s">
        <v>43</v>
      </c>
      <c r="O12" t="s">
        <v>75</v>
      </c>
      <c r="P12">
        <v>3</v>
      </c>
      <c r="Q12">
        <v>1</v>
      </c>
      <c r="S12" s="60" t="s">
        <v>43</v>
      </c>
      <c r="T12" t="s">
        <v>75</v>
      </c>
      <c r="U12">
        <v>1</v>
      </c>
      <c r="X12" s="107" t="s">
        <v>55</v>
      </c>
      <c r="Y12" s="107" t="s">
        <v>34</v>
      </c>
      <c r="Z12" s="108">
        <v>4</v>
      </c>
      <c r="AA12" s="107" t="s">
        <v>55</v>
      </c>
      <c r="AB12" s="107" t="s">
        <v>34</v>
      </c>
      <c r="AC12" s="108">
        <v>2</v>
      </c>
      <c r="AD12" s="107" t="s">
        <v>52</v>
      </c>
      <c r="AE12" s="107" t="s">
        <v>34</v>
      </c>
      <c r="AF12" s="108">
        <v>2</v>
      </c>
      <c r="AR12" s="107" t="s">
        <v>49</v>
      </c>
      <c r="AS12" s="107" t="s">
        <v>34</v>
      </c>
      <c r="AT12" s="108">
        <v>2</v>
      </c>
      <c r="AU12" s="107" t="s">
        <v>55</v>
      </c>
      <c r="AV12" s="107" t="s">
        <v>34</v>
      </c>
      <c r="AW12" s="108">
        <v>2</v>
      </c>
      <c r="AX12" s="107" t="s">
        <v>55</v>
      </c>
      <c r="AY12" s="107" t="s">
        <v>75</v>
      </c>
      <c r="AZ12" s="108">
        <v>1</v>
      </c>
    </row>
    <row r="13" spans="1:52" x14ac:dyDescent="0.2">
      <c r="A13" s="20"/>
      <c r="B13" s="20"/>
      <c r="D13" s="50" t="s">
        <v>43</v>
      </c>
      <c r="E13" s="50" t="s">
        <v>34</v>
      </c>
      <c r="F13" s="51">
        <v>1</v>
      </c>
      <c r="G13" s="107" t="s">
        <v>44</v>
      </c>
      <c r="H13" s="107" t="s">
        <v>34</v>
      </c>
      <c r="I13" s="108">
        <v>16</v>
      </c>
      <c r="J13" s="107" t="s">
        <v>44</v>
      </c>
      <c r="K13" s="107" t="s">
        <v>34</v>
      </c>
      <c r="L13" s="108">
        <v>16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107" t="s">
        <v>56</v>
      </c>
      <c r="Y13" s="107" t="s">
        <v>34</v>
      </c>
      <c r="Z13" s="108">
        <v>1</v>
      </c>
      <c r="AA13" s="107" t="s">
        <v>56</v>
      </c>
      <c r="AB13" s="107" t="s">
        <v>34</v>
      </c>
      <c r="AC13" s="108">
        <v>2</v>
      </c>
      <c r="AD13" s="107" t="s">
        <v>53</v>
      </c>
      <c r="AE13" s="107" t="s">
        <v>34</v>
      </c>
      <c r="AF13" s="108">
        <v>4</v>
      </c>
      <c r="AR13" s="107" t="s">
        <v>52</v>
      </c>
      <c r="AS13" s="107" t="s">
        <v>75</v>
      </c>
      <c r="AT13" s="108">
        <v>1</v>
      </c>
      <c r="AU13" s="107" t="s">
        <v>56</v>
      </c>
      <c r="AV13" s="107" t="s">
        <v>34</v>
      </c>
      <c r="AW13" s="108">
        <v>13</v>
      </c>
      <c r="AX13" s="107" t="s">
        <v>56</v>
      </c>
      <c r="AY13" s="107" t="s">
        <v>34</v>
      </c>
      <c r="AZ13" s="108">
        <v>2</v>
      </c>
    </row>
    <row r="14" spans="1:52" x14ac:dyDescent="0.2">
      <c r="A14" s="20"/>
      <c r="B14" s="20"/>
      <c r="D14" s="50" t="s">
        <v>44</v>
      </c>
      <c r="E14" s="50" t="s">
        <v>34</v>
      </c>
      <c r="F14" s="51">
        <v>14</v>
      </c>
      <c r="G14" s="107" t="s">
        <v>44</v>
      </c>
      <c r="H14" s="107" t="s">
        <v>75</v>
      </c>
      <c r="I14" s="108">
        <v>1</v>
      </c>
      <c r="J14" s="107" t="s">
        <v>44</v>
      </c>
      <c r="K14" s="107" t="s">
        <v>75</v>
      </c>
      <c r="L14" s="108">
        <v>1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0" t="s">
        <v>44</v>
      </c>
      <c r="T14" t="s">
        <v>75</v>
      </c>
      <c r="U14">
        <v>3</v>
      </c>
      <c r="V14">
        <v>2</v>
      </c>
      <c r="W14">
        <v>1</v>
      </c>
      <c r="X14" s="107" t="s">
        <v>58</v>
      </c>
      <c r="Y14" s="107" t="s">
        <v>34</v>
      </c>
      <c r="Z14" s="108">
        <v>4</v>
      </c>
      <c r="AA14" s="107" t="s">
        <v>58</v>
      </c>
      <c r="AB14" s="107" t="s">
        <v>34</v>
      </c>
      <c r="AC14" s="108">
        <v>1</v>
      </c>
      <c r="AD14" s="107" t="s">
        <v>55</v>
      </c>
      <c r="AE14" s="107" t="s">
        <v>34</v>
      </c>
      <c r="AF14" s="108">
        <v>4</v>
      </c>
      <c r="AR14" s="107" t="s">
        <v>53</v>
      </c>
      <c r="AS14" s="107" t="s">
        <v>34</v>
      </c>
      <c r="AT14" s="108">
        <v>1</v>
      </c>
      <c r="AU14" s="107" t="s">
        <v>58</v>
      </c>
      <c r="AV14" s="107" t="s">
        <v>34</v>
      </c>
      <c r="AW14" s="108">
        <v>1</v>
      </c>
      <c r="AX14" s="107" t="s">
        <v>58</v>
      </c>
      <c r="AY14" s="107" t="s">
        <v>34</v>
      </c>
      <c r="AZ14" s="108">
        <v>5</v>
      </c>
    </row>
    <row r="15" spans="1:52" x14ac:dyDescent="0.2">
      <c r="A15" s="20"/>
      <c r="B15" s="20"/>
      <c r="D15" s="50" t="s">
        <v>44</v>
      </c>
      <c r="E15" s="50" t="s">
        <v>75</v>
      </c>
      <c r="F15" s="51">
        <v>1</v>
      </c>
      <c r="G15" s="107" t="s">
        <v>45</v>
      </c>
      <c r="H15" s="107" t="s">
        <v>34</v>
      </c>
      <c r="I15" s="108">
        <v>4</v>
      </c>
      <c r="J15" s="107" t="s">
        <v>45</v>
      </c>
      <c r="K15" s="107" t="s">
        <v>34</v>
      </c>
      <c r="L15" s="108">
        <v>4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0" t="s">
        <v>45</v>
      </c>
      <c r="T15" t="s">
        <v>75</v>
      </c>
      <c r="V15">
        <v>3</v>
      </c>
      <c r="X15" s="107" t="s">
        <v>61</v>
      </c>
      <c r="Y15" s="107" t="s">
        <v>34</v>
      </c>
      <c r="Z15" s="108">
        <v>1</v>
      </c>
      <c r="AA15" s="107" t="s">
        <v>62</v>
      </c>
      <c r="AB15" s="107" t="s">
        <v>34</v>
      </c>
      <c r="AC15" s="108">
        <v>1</v>
      </c>
      <c r="AD15" s="107" t="s">
        <v>56</v>
      </c>
      <c r="AE15" s="107" t="s">
        <v>34</v>
      </c>
      <c r="AF15" s="108">
        <v>5</v>
      </c>
      <c r="AR15" s="107" t="s">
        <v>55</v>
      </c>
      <c r="AS15" s="107" t="s">
        <v>34</v>
      </c>
      <c r="AT15" s="108">
        <v>1</v>
      </c>
      <c r="AU15" s="107" t="s">
        <v>64</v>
      </c>
      <c r="AV15" s="107" t="s">
        <v>34</v>
      </c>
      <c r="AW15" s="108">
        <v>1</v>
      </c>
      <c r="AX15" s="107" t="s">
        <v>67</v>
      </c>
      <c r="AY15" s="107" t="s">
        <v>34</v>
      </c>
      <c r="AZ15" s="108">
        <v>1</v>
      </c>
    </row>
    <row r="16" spans="1:52" x14ac:dyDescent="0.2">
      <c r="A16" s="20"/>
      <c r="B16" s="20"/>
      <c r="D16" s="50" t="s">
        <v>45</v>
      </c>
      <c r="E16" s="50" t="s">
        <v>34</v>
      </c>
      <c r="F16" s="51">
        <v>2</v>
      </c>
      <c r="G16" s="107" t="s">
        <v>46</v>
      </c>
      <c r="H16" s="107" t="s">
        <v>34</v>
      </c>
      <c r="I16" s="108">
        <v>2</v>
      </c>
      <c r="J16" s="107" t="s">
        <v>46</v>
      </c>
      <c r="K16" s="107" t="s">
        <v>34</v>
      </c>
      <c r="L16" s="108">
        <v>2</v>
      </c>
      <c r="N16" t="s">
        <v>46</v>
      </c>
      <c r="O16" t="s">
        <v>75</v>
      </c>
      <c r="Q16">
        <v>1</v>
      </c>
      <c r="S16" s="60" t="s">
        <v>46</v>
      </c>
      <c r="T16" t="s">
        <v>75</v>
      </c>
      <c r="X16" s="107" t="s">
        <v>62</v>
      </c>
      <c r="Y16" s="107" t="s">
        <v>34</v>
      </c>
      <c r="Z16" s="108">
        <v>1</v>
      </c>
      <c r="AA16" s="107" t="s">
        <v>63</v>
      </c>
      <c r="AB16" s="107" t="s">
        <v>34</v>
      </c>
      <c r="AC16" s="108">
        <v>1</v>
      </c>
      <c r="AD16" s="107" t="s">
        <v>58</v>
      </c>
      <c r="AE16" s="107" t="s">
        <v>34</v>
      </c>
      <c r="AF16" s="108">
        <v>5</v>
      </c>
      <c r="AR16" s="107" t="s">
        <v>64</v>
      </c>
      <c r="AS16" s="107" t="s">
        <v>34</v>
      </c>
      <c r="AT16" s="108">
        <v>1</v>
      </c>
      <c r="AU16" s="107" t="s">
        <v>67</v>
      </c>
      <c r="AV16" s="107" t="s">
        <v>34</v>
      </c>
      <c r="AW16" s="108">
        <v>1</v>
      </c>
      <c r="AX16" s="107" t="s">
        <v>69</v>
      </c>
      <c r="AY16" s="107" t="s">
        <v>34</v>
      </c>
      <c r="AZ16" s="108">
        <v>9</v>
      </c>
    </row>
    <row r="17" spans="1:52" x14ac:dyDescent="0.2">
      <c r="A17" s="20"/>
      <c r="B17" s="20"/>
      <c r="D17" s="50" t="s">
        <v>46</v>
      </c>
      <c r="E17" s="50" t="s">
        <v>34</v>
      </c>
      <c r="F17" s="51">
        <v>2</v>
      </c>
      <c r="G17" s="107" t="s">
        <v>46</v>
      </c>
      <c r="H17" s="107" t="s">
        <v>75</v>
      </c>
      <c r="I17" s="108">
        <v>1</v>
      </c>
      <c r="J17" s="107" t="s">
        <v>46</v>
      </c>
      <c r="K17" s="107" t="s">
        <v>75</v>
      </c>
      <c r="L17" s="108">
        <v>1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107" t="s">
        <v>69</v>
      </c>
      <c r="Y17" s="107" t="s">
        <v>34</v>
      </c>
      <c r="Z17" s="108">
        <v>7</v>
      </c>
      <c r="AA17" s="107" t="s">
        <v>67</v>
      </c>
      <c r="AB17" s="107" t="s">
        <v>34</v>
      </c>
      <c r="AC17" s="108">
        <v>1</v>
      </c>
      <c r="AD17" s="107" t="s">
        <v>64</v>
      </c>
      <c r="AE17" s="107" t="s">
        <v>34</v>
      </c>
      <c r="AF17" s="108">
        <v>1</v>
      </c>
      <c r="AR17" s="107" t="s">
        <v>69</v>
      </c>
      <c r="AS17" s="107" t="s">
        <v>34</v>
      </c>
      <c r="AT17" s="108">
        <v>8</v>
      </c>
      <c r="AU17" s="107" t="s">
        <v>69</v>
      </c>
      <c r="AV17" s="107" t="s">
        <v>34</v>
      </c>
      <c r="AW17" s="108">
        <v>5</v>
      </c>
      <c r="AX17" s="50"/>
      <c r="AY17" s="50"/>
      <c r="AZ17" s="51"/>
    </row>
    <row r="18" spans="1:52" x14ac:dyDescent="0.2">
      <c r="A18" s="20"/>
      <c r="B18" s="20"/>
      <c r="D18" s="50" t="s">
        <v>46</v>
      </c>
      <c r="E18" s="50" t="s">
        <v>75</v>
      </c>
      <c r="F18" s="51">
        <v>1</v>
      </c>
      <c r="G18" s="107" t="s">
        <v>47</v>
      </c>
      <c r="H18" s="107" t="s">
        <v>34</v>
      </c>
      <c r="I18" s="108">
        <v>10</v>
      </c>
      <c r="J18" s="107" t="s">
        <v>47</v>
      </c>
      <c r="K18" s="107" t="s">
        <v>34</v>
      </c>
      <c r="L18" s="108">
        <v>10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0" t="s">
        <v>47</v>
      </c>
      <c r="T18" t="s">
        <v>75</v>
      </c>
      <c r="U18">
        <v>2</v>
      </c>
      <c r="V18">
        <v>1</v>
      </c>
      <c r="X18" s="50"/>
      <c r="Y18" s="50"/>
      <c r="Z18" s="51"/>
      <c r="AA18" s="107" t="s">
        <v>69</v>
      </c>
      <c r="AB18" s="107" t="s">
        <v>34</v>
      </c>
      <c r="AC18" s="108">
        <v>7</v>
      </c>
      <c r="AD18" s="107" t="s">
        <v>67</v>
      </c>
      <c r="AE18" s="107" t="s">
        <v>34</v>
      </c>
      <c r="AF18" s="108">
        <v>1</v>
      </c>
      <c r="AR18" s="50"/>
      <c r="AS18" s="50"/>
      <c r="AT18" s="51"/>
      <c r="AU18" s="50"/>
      <c r="AV18" s="50"/>
      <c r="AW18" s="51"/>
      <c r="AX18" s="50"/>
      <c r="AY18" s="50"/>
      <c r="AZ18" s="51"/>
    </row>
    <row r="19" spans="1:52" x14ac:dyDescent="0.2">
      <c r="A19" s="20"/>
      <c r="B19" s="20"/>
      <c r="D19" s="50" t="s">
        <v>47</v>
      </c>
      <c r="E19" s="50" t="s">
        <v>34</v>
      </c>
      <c r="F19" s="51">
        <v>10</v>
      </c>
      <c r="G19" s="107" t="s">
        <v>48</v>
      </c>
      <c r="H19" s="107" t="s">
        <v>34</v>
      </c>
      <c r="I19" s="108">
        <v>8</v>
      </c>
      <c r="J19" s="107" t="s">
        <v>48</v>
      </c>
      <c r="K19" s="107" t="s">
        <v>34</v>
      </c>
      <c r="L19" s="108">
        <v>8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0" t="s">
        <v>48</v>
      </c>
      <c r="T19" t="s">
        <v>75</v>
      </c>
      <c r="X19" s="50"/>
      <c r="Y19" s="50"/>
      <c r="Z19" s="51"/>
      <c r="AA19" s="50"/>
      <c r="AB19" s="50"/>
      <c r="AC19" s="51"/>
      <c r="AD19" s="107" t="s">
        <v>68</v>
      </c>
      <c r="AE19" s="107" t="s">
        <v>34</v>
      </c>
      <c r="AF19" s="108">
        <v>1</v>
      </c>
      <c r="AR19" s="50"/>
      <c r="AS19" s="50"/>
      <c r="AT19" s="51"/>
      <c r="AU19" s="50"/>
      <c r="AV19" s="50"/>
      <c r="AW19" s="51"/>
      <c r="AX19" s="50"/>
      <c r="AY19" s="50"/>
      <c r="AZ19" s="51"/>
    </row>
    <row r="20" spans="1:52" x14ac:dyDescent="0.2">
      <c r="A20" s="20"/>
      <c r="B20" s="20"/>
      <c r="D20" s="50" t="s">
        <v>48</v>
      </c>
      <c r="E20" s="50" t="s">
        <v>34</v>
      </c>
      <c r="F20" s="51">
        <v>12</v>
      </c>
      <c r="G20" s="107" t="s">
        <v>49</v>
      </c>
      <c r="H20" s="107" t="s">
        <v>34</v>
      </c>
      <c r="I20" s="108">
        <v>9</v>
      </c>
      <c r="J20" s="107" t="s">
        <v>49</v>
      </c>
      <c r="K20" s="107" t="s">
        <v>34</v>
      </c>
      <c r="L20" s="108">
        <v>9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50"/>
      <c r="Y20" s="50"/>
      <c r="Z20" s="51"/>
      <c r="AA20" s="50"/>
      <c r="AB20" s="50"/>
      <c r="AC20" s="51"/>
      <c r="AD20" s="107" t="s">
        <v>69</v>
      </c>
      <c r="AE20" s="107" t="s">
        <v>34</v>
      </c>
      <c r="AF20" s="108">
        <v>11</v>
      </c>
      <c r="AR20" s="50"/>
      <c r="AS20" s="50"/>
      <c r="AT20" s="51"/>
      <c r="AU20" s="50"/>
      <c r="AV20" s="50"/>
      <c r="AW20" s="51"/>
      <c r="AX20" s="50"/>
      <c r="AY20" s="50"/>
      <c r="AZ20" s="51"/>
    </row>
    <row r="21" spans="1:52" x14ac:dyDescent="0.2">
      <c r="A21" s="20"/>
      <c r="B21" s="20"/>
      <c r="D21" s="50" t="s">
        <v>49</v>
      </c>
      <c r="E21" s="50" t="s">
        <v>34</v>
      </c>
      <c r="F21" s="51">
        <v>11</v>
      </c>
      <c r="G21" s="107" t="s">
        <v>50</v>
      </c>
      <c r="H21" s="107" t="s">
        <v>34</v>
      </c>
      <c r="I21" s="108">
        <v>1</v>
      </c>
      <c r="J21" s="107" t="s">
        <v>50</v>
      </c>
      <c r="K21" s="107" t="s">
        <v>34</v>
      </c>
      <c r="L21" s="108">
        <v>2</v>
      </c>
      <c r="N21" t="s">
        <v>50</v>
      </c>
      <c r="O21" t="s">
        <v>34</v>
      </c>
      <c r="P21">
        <v>1</v>
      </c>
      <c r="S21" s="60" t="s">
        <v>49</v>
      </c>
      <c r="T21" t="s">
        <v>75</v>
      </c>
      <c r="V21">
        <v>2</v>
      </c>
      <c r="X21" s="50"/>
      <c r="Y21" s="50"/>
      <c r="Z21" s="51"/>
      <c r="AA21" s="50"/>
      <c r="AB21" s="50"/>
      <c r="AC21" s="51"/>
      <c r="AD21" s="79"/>
      <c r="AE21" s="79"/>
      <c r="AF21" s="80"/>
      <c r="AR21" s="50"/>
      <c r="AS21" s="50"/>
      <c r="AT21" s="51"/>
      <c r="AU21" s="50"/>
      <c r="AV21" s="50"/>
      <c r="AW21" s="51"/>
      <c r="AX21" s="50"/>
      <c r="AY21" s="50"/>
      <c r="AZ21" s="51"/>
    </row>
    <row r="22" spans="1:52" x14ac:dyDescent="0.2">
      <c r="A22" s="20"/>
      <c r="B22" s="20"/>
      <c r="D22" s="50" t="s">
        <v>50</v>
      </c>
      <c r="E22" s="50" t="s">
        <v>34</v>
      </c>
      <c r="F22" s="51">
        <v>1</v>
      </c>
      <c r="G22" s="107" t="s">
        <v>52</v>
      </c>
      <c r="H22" s="107" t="s">
        <v>34</v>
      </c>
      <c r="I22" s="108">
        <v>14</v>
      </c>
      <c r="J22" s="107" t="s">
        <v>52</v>
      </c>
      <c r="K22" s="107" t="s">
        <v>34</v>
      </c>
      <c r="L22" s="108">
        <v>13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50"/>
      <c r="Y22" s="50"/>
      <c r="Z22" s="51"/>
      <c r="AA22" s="50"/>
      <c r="AB22" s="50"/>
      <c r="AC22" s="51"/>
      <c r="AD22" s="79"/>
      <c r="AE22" s="79"/>
      <c r="AF22" s="80"/>
      <c r="AR22" s="50"/>
      <c r="AS22" s="50"/>
      <c r="AT22" s="51"/>
      <c r="AU22" s="50"/>
      <c r="AV22" s="50"/>
      <c r="AW22" s="51"/>
      <c r="AX22" s="50"/>
      <c r="AY22" s="50"/>
      <c r="AZ22" s="51"/>
    </row>
    <row r="23" spans="1:52" x14ac:dyDescent="0.2">
      <c r="A23" s="20"/>
      <c r="B23" s="20"/>
      <c r="D23" s="50" t="s">
        <v>52</v>
      </c>
      <c r="E23" s="50" t="s">
        <v>34</v>
      </c>
      <c r="F23" s="51">
        <v>14</v>
      </c>
      <c r="G23" s="107" t="s">
        <v>53</v>
      </c>
      <c r="H23" s="107" t="s">
        <v>34</v>
      </c>
      <c r="I23" s="108">
        <v>39</v>
      </c>
      <c r="J23" s="107" t="s">
        <v>53</v>
      </c>
      <c r="K23" s="107" t="s">
        <v>34</v>
      </c>
      <c r="L23" s="108">
        <v>45</v>
      </c>
      <c r="N23" t="s">
        <v>51</v>
      </c>
      <c r="O23" t="s">
        <v>75</v>
      </c>
      <c r="P23">
        <v>1</v>
      </c>
      <c r="S23" s="60" t="s">
        <v>50</v>
      </c>
      <c r="T23" t="s">
        <v>75</v>
      </c>
      <c r="X23" s="50"/>
      <c r="Y23" s="50"/>
      <c r="Z23" s="51"/>
      <c r="AA23" s="50"/>
      <c r="AB23" s="50"/>
      <c r="AC23" s="51"/>
      <c r="AD23" s="79"/>
      <c r="AE23" s="79"/>
      <c r="AF23" s="80"/>
      <c r="AR23" s="50"/>
      <c r="AS23" s="50"/>
      <c r="AT23" s="51"/>
      <c r="AU23" s="50"/>
      <c r="AV23" s="50"/>
      <c r="AW23" s="51"/>
      <c r="AX23" s="50"/>
      <c r="AY23" s="50"/>
      <c r="AZ23" s="51"/>
    </row>
    <row r="24" spans="1:52" x14ac:dyDescent="0.2">
      <c r="A24" s="20"/>
      <c r="B24" s="20"/>
      <c r="D24" s="50" t="s">
        <v>52</v>
      </c>
      <c r="E24" s="50" t="s">
        <v>75</v>
      </c>
      <c r="F24" s="51">
        <v>1</v>
      </c>
      <c r="G24" s="107" t="s">
        <v>53</v>
      </c>
      <c r="H24" s="107" t="s">
        <v>75</v>
      </c>
      <c r="I24" s="108">
        <v>4</v>
      </c>
      <c r="J24" s="107" t="s">
        <v>53</v>
      </c>
      <c r="K24" s="107" t="s">
        <v>75</v>
      </c>
      <c r="L24" s="108">
        <v>4</v>
      </c>
      <c r="N24" t="s">
        <v>52</v>
      </c>
      <c r="O24" t="s">
        <v>34</v>
      </c>
      <c r="P24">
        <v>2</v>
      </c>
      <c r="Q24">
        <v>2</v>
      </c>
      <c r="S24" s="60" t="s">
        <v>51</v>
      </c>
      <c r="T24" t="s">
        <v>75</v>
      </c>
      <c r="X24" s="50"/>
      <c r="Y24" s="50"/>
      <c r="Z24" s="51"/>
      <c r="AA24" s="50"/>
      <c r="AB24" s="50"/>
      <c r="AC24" s="51"/>
      <c r="AD24" s="79"/>
      <c r="AE24" s="79"/>
      <c r="AF24" s="80"/>
      <c r="AR24" s="50"/>
      <c r="AS24" s="50"/>
      <c r="AT24" s="51"/>
      <c r="AU24" s="50"/>
      <c r="AV24" s="50"/>
      <c r="AW24" s="51"/>
      <c r="AX24" s="50"/>
      <c r="AY24" s="50"/>
      <c r="AZ24" s="51"/>
    </row>
    <row r="25" spans="1:52" x14ac:dyDescent="0.2">
      <c r="A25" s="20"/>
      <c r="B25" s="20"/>
      <c r="D25" s="50" t="s">
        <v>53</v>
      </c>
      <c r="E25" s="50" t="s">
        <v>34</v>
      </c>
      <c r="F25" s="51">
        <v>37</v>
      </c>
      <c r="G25" s="107" t="s">
        <v>54</v>
      </c>
      <c r="H25" s="107" t="s">
        <v>34</v>
      </c>
      <c r="I25" s="108">
        <v>7</v>
      </c>
      <c r="J25" s="107" t="s">
        <v>54</v>
      </c>
      <c r="K25" s="107" t="s">
        <v>34</v>
      </c>
      <c r="L25" s="108">
        <v>7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50"/>
      <c r="Y25" s="50"/>
      <c r="Z25" s="51"/>
      <c r="AA25" s="50"/>
      <c r="AB25" s="50"/>
      <c r="AC25" s="51"/>
      <c r="AD25" s="79"/>
      <c r="AE25" s="79"/>
      <c r="AF25" s="80"/>
      <c r="AR25" s="50"/>
      <c r="AS25" s="50"/>
      <c r="AT25" s="51"/>
      <c r="AU25" s="50"/>
      <c r="AV25" s="50"/>
      <c r="AW25" s="51"/>
      <c r="AX25" s="50"/>
      <c r="AY25" s="50"/>
      <c r="AZ25" s="51"/>
    </row>
    <row r="26" spans="1:52" x14ac:dyDescent="0.2">
      <c r="A26" s="20"/>
      <c r="B26" s="20"/>
      <c r="D26" s="50" t="s">
        <v>53</v>
      </c>
      <c r="E26" s="50" t="s">
        <v>75</v>
      </c>
      <c r="F26" s="51">
        <v>4</v>
      </c>
      <c r="G26" s="107" t="s">
        <v>54</v>
      </c>
      <c r="H26" s="107" t="s">
        <v>75</v>
      </c>
      <c r="I26" s="108">
        <v>1</v>
      </c>
      <c r="J26" s="107" t="s">
        <v>54</v>
      </c>
      <c r="K26" s="107" t="s">
        <v>75</v>
      </c>
      <c r="L26" s="108">
        <v>1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0" t="s">
        <v>52</v>
      </c>
      <c r="T26" t="s">
        <v>75</v>
      </c>
      <c r="U26">
        <v>7</v>
      </c>
      <c r="V26">
        <v>8</v>
      </c>
      <c r="W26">
        <v>6</v>
      </c>
      <c r="X26" s="50"/>
      <c r="Y26" s="50"/>
      <c r="Z26" s="51"/>
      <c r="AA26" s="50"/>
      <c r="AB26" s="50"/>
      <c r="AC26" s="51"/>
      <c r="AD26" s="79"/>
      <c r="AE26" s="79"/>
      <c r="AF26" s="80"/>
      <c r="AR26" s="50"/>
      <c r="AS26" s="50"/>
      <c r="AT26" s="51"/>
      <c r="AU26" s="50"/>
      <c r="AV26" s="50"/>
      <c r="AW26" s="51"/>
      <c r="AX26" s="50"/>
      <c r="AY26" s="50"/>
      <c r="AZ26" s="51"/>
    </row>
    <row r="27" spans="1:52" x14ac:dyDescent="0.2">
      <c r="A27" s="20"/>
      <c r="B27" s="20"/>
      <c r="D27" s="50" t="s">
        <v>54</v>
      </c>
      <c r="E27" s="50" t="s">
        <v>34</v>
      </c>
      <c r="F27" s="51">
        <v>6</v>
      </c>
      <c r="G27" s="107" t="s">
        <v>55</v>
      </c>
      <c r="H27" s="107" t="s">
        <v>34</v>
      </c>
      <c r="I27" s="108">
        <v>21</v>
      </c>
      <c r="J27" s="107" t="s">
        <v>55</v>
      </c>
      <c r="K27" s="107" t="s">
        <v>34</v>
      </c>
      <c r="L27" s="108">
        <v>21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50"/>
      <c r="Y27" s="50"/>
      <c r="Z27" s="51"/>
      <c r="AA27" s="50"/>
      <c r="AB27" s="50"/>
      <c r="AC27" s="51"/>
      <c r="AD27" s="79"/>
      <c r="AE27" s="79"/>
      <c r="AF27" s="80"/>
      <c r="AR27" s="50"/>
      <c r="AS27" s="50"/>
      <c r="AT27" s="51"/>
      <c r="AU27" s="50"/>
      <c r="AV27" s="50"/>
      <c r="AW27" s="51"/>
      <c r="AX27" s="50"/>
      <c r="AY27" s="50"/>
      <c r="AZ27" s="51"/>
    </row>
    <row r="28" spans="1:52" x14ac:dyDescent="0.2">
      <c r="A28" s="20"/>
      <c r="B28" s="20"/>
      <c r="D28" s="50" t="s">
        <v>54</v>
      </c>
      <c r="E28" s="50" t="s">
        <v>75</v>
      </c>
      <c r="F28" s="51">
        <v>1</v>
      </c>
      <c r="G28" s="107" t="s">
        <v>55</v>
      </c>
      <c r="H28" s="107" t="s">
        <v>75</v>
      </c>
      <c r="I28" s="108">
        <v>3</v>
      </c>
      <c r="J28" s="107" t="s">
        <v>55</v>
      </c>
      <c r="K28" s="107" t="s">
        <v>75</v>
      </c>
      <c r="L28" s="108">
        <v>3</v>
      </c>
      <c r="N28" t="s">
        <v>54</v>
      </c>
      <c r="O28" t="s">
        <v>75</v>
      </c>
      <c r="P28">
        <v>3</v>
      </c>
      <c r="Q28">
        <v>5</v>
      </c>
      <c r="S28" s="60" t="s">
        <v>53</v>
      </c>
      <c r="T28" t="s">
        <v>75</v>
      </c>
      <c r="U28">
        <v>13</v>
      </c>
      <c r="V28">
        <v>7</v>
      </c>
      <c r="W28">
        <v>2</v>
      </c>
      <c r="X28" s="50"/>
      <c r="Y28" s="50"/>
      <c r="Z28" s="51"/>
      <c r="AA28" s="50"/>
      <c r="AB28" s="50"/>
      <c r="AC28" s="51"/>
      <c r="AR28" s="50"/>
      <c r="AS28" s="50"/>
      <c r="AT28" s="51"/>
      <c r="AU28" s="50"/>
      <c r="AV28" s="50"/>
      <c r="AW28" s="51"/>
    </row>
    <row r="29" spans="1:52" x14ac:dyDescent="0.2">
      <c r="A29" s="20"/>
      <c r="B29" s="20"/>
      <c r="D29" s="50" t="s">
        <v>55</v>
      </c>
      <c r="E29" s="50" t="s">
        <v>34</v>
      </c>
      <c r="F29" s="51">
        <v>18</v>
      </c>
      <c r="G29" s="107" t="s">
        <v>56</v>
      </c>
      <c r="H29" s="107" t="s">
        <v>34</v>
      </c>
      <c r="I29" s="108">
        <v>43</v>
      </c>
      <c r="J29" s="107" t="s">
        <v>56</v>
      </c>
      <c r="K29" s="107" t="s">
        <v>34</v>
      </c>
      <c r="L29" s="108">
        <v>32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0" t="s">
        <v>54</v>
      </c>
      <c r="T29" t="s">
        <v>75</v>
      </c>
      <c r="U29">
        <v>4</v>
      </c>
      <c r="V29">
        <v>2</v>
      </c>
      <c r="X29" s="50"/>
      <c r="Y29" s="50"/>
      <c r="Z29" s="51"/>
      <c r="AR29" s="50"/>
      <c r="AS29" s="50"/>
      <c r="AT29" s="51"/>
      <c r="AU29" s="50"/>
      <c r="AV29" s="50"/>
      <c r="AW29" s="51"/>
    </row>
    <row r="30" spans="1:52" x14ac:dyDescent="0.2">
      <c r="A30" s="20"/>
      <c r="B30" s="20"/>
      <c r="D30" s="50" t="s">
        <v>55</v>
      </c>
      <c r="E30" s="50" t="s">
        <v>75</v>
      </c>
      <c r="F30" s="51">
        <v>3</v>
      </c>
      <c r="G30" s="107" t="s">
        <v>56</v>
      </c>
      <c r="H30" s="107" t="s">
        <v>75</v>
      </c>
      <c r="I30" s="108">
        <v>2</v>
      </c>
      <c r="J30" s="107" t="s">
        <v>56</v>
      </c>
      <c r="K30" s="107" t="s">
        <v>75</v>
      </c>
      <c r="L30" s="108">
        <v>2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50"/>
      <c r="Y30" s="50"/>
      <c r="Z30" s="51"/>
      <c r="AR30" s="50"/>
      <c r="AS30" s="50"/>
      <c r="AT30" s="51"/>
      <c r="AU30" s="50"/>
      <c r="AV30" s="50"/>
      <c r="AW30" s="51"/>
    </row>
    <row r="31" spans="1:52" x14ac:dyDescent="0.2">
      <c r="A31" s="20"/>
      <c r="B31" s="20"/>
      <c r="D31" s="50" t="s">
        <v>56</v>
      </c>
      <c r="E31" s="50" t="s">
        <v>34</v>
      </c>
      <c r="F31" s="51">
        <v>42</v>
      </c>
      <c r="G31" s="107" t="s">
        <v>57</v>
      </c>
      <c r="H31" s="107" t="s">
        <v>34</v>
      </c>
      <c r="I31" s="108">
        <v>1</v>
      </c>
      <c r="J31" s="107" t="s">
        <v>57</v>
      </c>
      <c r="K31" s="107" t="s">
        <v>34</v>
      </c>
      <c r="L31" s="108">
        <v>1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0" t="s">
        <v>55</v>
      </c>
      <c r="T31" t="s">
        <v>75</v>
      </c>
      <c r="U31">
        <v>4</v>
      </c>
      <c r="V31">
        <v>3</v>
      </c>
      <c r="W31">
        <v>1</v>
      </c>
      <c r="X31" s="79"/>
      <c r="Y31" s="79"/>
      <c r="Z31" s="80"/>
      <c r="AR31" s="50"/>
      <c r="AS31" s="50"/>
      <c r="AT31" s="51"/>
      <c r="AU31" s="70"/>
      <c r="AV31" s="70"/>
      <c r="AW31" s="71"/>
    </row>
    <row r="32" spans="1:52" x14ac:dyDescent="0.2">
      <c r="A32" s="20"/>
      <c r="B32" s="20"/>
      <c r="D32" s="50" t="s">
        <v>56</v>
      </c>
      <c r="E32" s="50" t="s">
        <v>75</v>
      </c>
      <c r="F32" s="51">
        <v>2</v>
      </c>
      <c r="G32" s="107" t="s">
        <v>58</v>
      </c>
      <c r="H32" s="107" t="s">
        <v>34</v>
      </c>
      <c r="I32" s="108">
        <v>18</v>
      </c>
      <c r="J32" s="107" t="s">
        <v>58</v>
      </c>
      <c r="K32" s="107" t="s">
        <v>34</v>
      </c>
      <c r="L32" s="108">
        <v>18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AR32" s="50"/>
      <c r="AS32" s="50"/>
      <c r="AT32" s="51"/>
      <c r="AU32" s="70"/>
      <c r="AV32" s="70"/>
      <c r="AW32" s="71"/>
    </row>
    <row r="33" spans="1:49" x14ac:dyDescent="0.2">
      <c r="A33" s="20"/>
      <c r="B33" s="20"/>
      <c r="D33" s="50" t="s">
        <v>57</v>
      </c>
      <c r="E33" s="50" t="s">
        <v>34</v>
      </c>
      <c r="F33" s="51">
        <v>1</v>
      </c>
      <c r="G33" s="107" t="s">
        <v>58</v>
      </c>
      <c r="H33" s="107" t="s">
        <v>75</v>
      </c>
      <c r="I33" s="108">
        <v>2</v>
      </c>
      <c r="J33" s="107" t="s">
        <v>58</v>
      </c>
      <c r="K33" s="107" t="s">
        <v>75</v>
      </c>
      <c r="L33" s="108">
        <v>2</v>
      </c>
      <c r="N33" t="s">
        <v>58</v>
      </c>
      <c r="O33" t="s">
        <v>34</v>
      </c>
      <c r="R33">
        <v>1</v>
      </c>
      <c r="S33" s="60" t="s">
        <v>56</v>
      </c>
      <c r="T33" t="s">
        <v>75</v>
      </c>
      <c r="U33">
        <v>9</v>
      </c>
      <c r="V33">
        <v>2</v>
      </c>
      <c r="AR33" s="50"/>
      <c r="AS33" s="50"/>
      <c r="AT33" s="51"/>
      <c r="AU33" s="70"/>
      <c r="AV33" s="70"/>
      <c r="AW33" s="71"/>
    </row>
    <row r="34" spans="1:49" x14ac:dyDescent="0.2">
      <c r="A34" s="32"/>
      <c r="B34" s="20"/>
      <c r="D34" s="50" t="s">
        <v>58</v>
      </c>
      <c r="E34" s="50" t="s">
        <v>34</v>
      </c>
      <c r="F34" s="51">
        <v>14</v>
      </c>
      <c r="G34" s="107" t="s">
        <v>60</v>
      </c>
      <c r="H34" s="107" t="s">
        <v>34</v>
      </c>
      <c r="I34" s="108">
        <v>3</v>
      </c>
      <c r="J34" s="107" t="s">
        <v>60</v>
      </c>
      <c r="K34" s="107" t="s">
        <v>34</v>
      </c>
      <c r="L34" s="108">
        <v>3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0" t="s">
        <v>57</v>
      </c>
      <c r="T34" t="s">
        <v>75</v>
      </c>
      <c r="V34">
        <v>2</v>
      </c>
      <c r="AR34" s="50"/>
      <c r="AS34" s="50"/>
      <c r="AT34" s="51"/>
      <c r="AU34" s="70"/>
      <c r="AV34" s="70"/>
      <c r="AW34" s="71"/>
    </row>
    <row r="35" spans="1:49" x14ac:dyDescent="0.2">
      <c r="A35" s="20"/>
      <c r="B35" s="20"/>
      <c r="D35" s="50" t="s">
        <v>58</v>
      </c>
      <c r="E35" s="50" t="s">
        <v>75</v>
      </c>
      <c r="F35" s="51">
        <v>2</v>
      </c>
      <c r="G35" s="107" t="s">
        <v>61</v>
      </c>
      <c r="H35" s="107" t="s">
        <v>34</v>
      </c>
      <c r="I35" s="108">
        <v>3</v>
      </c>
      <c r="J35" s="107" t="s">
        <v>61</v>
      </c>
      <c r="K35" s="107" t="s">
        <v>34</v>
      </c>
      <c r="L35" s="108">
        <v>3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R35" s="50"/>
      <c r="AS35" s="50"/>
      <c r="AT35" s="51"/>
      <c r="AU35" s="70"/>
      <c r="AV35" s="70"/>
      <c r="AW35" s="71"/>
    </row>
    <row r="36" spans="1:49" x14ac:dyDescent="0.2">
      <c r="A36" s="20"/>
      <c r="B36" s="20"/>
      <c r="D36" s="50" t="s">
        <v>60</v>
      </c>
      <c r="E36" s="50" t="s">
        <v>34</v>
      </c>
      <c r="F36" s="51">
        <v>3</v>
      </c>
      <c r="G36" s="107" t="s">
        <v>62</v>
      </c>
      <c r="H36" s="107" t="s">
        <v>34</v>
      </c>
      <c r="I36" s="108">
        <v>9</v>
      </c>
      <c r="J36" s="107" t="s">
        <v>62</v>
      </c>
      <c r="K36" s="107" t="s">
        <v>34</v>
      </c>
      <c r="L36" s="108">
        <v>10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0" t="s">
        <v>58</v>
      </c>
      <c r="T36" t="s">
        <v>75</v>
      </c>
      <c r="U36">
        <v>5</v>
      </c>
      <c r="V36">
        <v>3</v>
      </c>
      <c r="AR36" s="50"/>
      <c r="AS36" s="50"/>
      <c r="AT36" s="51"/>
      <c r="AU36" s="70"/>
      <c r="AV36" s="70"/>
      <c r="AW36" s="71"/>
    </row>
    <row r="37" spans="1:49" x14ac:dyDescent="0.2">
      <c r="A37" s="20"/>
      <c r="B37" s="20"/>
      <c r="D37" s="50" t="s">
        <v>61</v>
      </c>
      <c r="E37" s="50" t="s">
        <v>34</v>
      </c>
      <c r="F37" s="51">
        <v>2</v>
      </c>
      <c r="G37" s="107" t="s">
        <v>64</v>
      </c>
      <c r="H37" s="107" t="s">
        <v>34</v>
      </c>
      <c r="I37" s="108">
        <v>2</v>
      </c>
      <c r="J37" s="107" t="s">
        <v>63</v>
      </c>
      <c r="K37" s="107" t="s">
        <v>34</v>
      </c>
      <c r="L37" s="108">
        <v>1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  <c r="AR37" s="50"/>
      <c r="AS37" s="50"/>
      <c r="AT37" s="51"/>
    </row>
    <row r="38" spans="1:49" x14ac:dyDescent="0.2">
      <c r="A38" s="20"/>
      <c r="B38" s="20"/>
      <c r="D38" s="50" t="s">
        <v>62</v>
      </c>
      <c r="E38" s="50" t="s">
        <v>34</v>
      </c>
      <c r="F38" s="51">
        <v>8</v>
      </c>
      <c r="G38" s="107" t="s">
        <v>67</v>
      </c>
      <c r="H38" s="107" t="s">
        <v>34</v>
      </c>
      <c r="I38" s="108">
        <v>8</v>
      </c>
      <c r="J38" s="107" t="s">
        <v>64</v>
      </c>
      <c r="K38" s="107" t="s">
        <v>34</v>
      </c>
      <c r="L38" s="108">
        <v>1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0" t="s">
        <v>60</v>
      </c>
      <c r="T38" t="s">
        <v>75</v>
      </c>
      <c r="U38">
        <v>2</v>
      </c>
      <c r="AR38" s="50"/>
      <c r="AS38" s="50"/>
      <c r="AT38" s="51"/>
    </row>
    <row r="39" spans="1:49" x14ac:dyDescent="0.2">
      <c r="A39" s="20"/>
      <c r="B39" s="20"/>
      <c r="D39" s="50" t="s">
        <v>64</v>
      </c>
      <c r="E39" s="50" t="s">
        <v>34</v>
      </c>
      <c r="F39" s="51">
        <v>3</v>
      </c>
      <c r="G39" s="107" t="s">
        <v>68</v>
      </c>
      <c r="H39" s="107" t="s">
        <v>34</v>
      </c>
      <c r="I39" s="108">
        <v>1</v>
      </c>
      <c r="J39" s="107" t="s">
        <v>67</v>
      </c>
      <c r="K39" s="107" t="s">
        <v>34</v>
      </c>
      <c r="L39" s="108">
        <v>8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0" t="s">
        <v>61</v>
      </c>
      <c r="T39" t="s">
        <v>75</v>
      </c>
      <c r="U39">
        <v>8</v>
      </c>
      <c r="W39">
        <v>7</v>
      </c>
      <c r="AR39" s="50"/>
      <c r="AS39" s="50"/>
      <c r="AT39" s="51"/>
    </row>
    <row r="40" spans="1:49" x14ac:dyDescent="0.2">
      <c r="A40" s="20"/>
      <c r="B40" s="20"/>
      <c r="D40" s="50" t="s">
        <v>67</v>
      </c>
      <c r="E40" s="50" t="s">
        <v>34</v>
      </c>
      <c r="F40" s="51">
        <v>8</v>
      </c>
      <c r="G40" s="107" t="s">
        <v>69</v>
      </c>
      <c r="H40" s="107" t="s">
        <v>34</v>
      </c>
      <c r="I40" s="108">
        <v>80</v>
      </c>
      <c r="J40" s="107" t="s">
        <v>68</v>
      </c>
      <c r="K40" s="107" t="s">
        <v>34</v>
      </c>
      <c r="L40" s="108">
        <v>1</v>
      </c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  <c r="AR40" s="50"/>
      <c r="AS40" s="50"/>
      <c r="AT40" s="51"/>
    </row>
    <row r="41" spans="1:49" x14ac:dyDescent="0.2">
      <c r="A41" s="20"/>
      <c r="B41" s="20"/>
      <c r="D41" s="50" t="s">
        <v>68</v>
      </c>
      <c r="E41" s="50" t="s">
        <v>34</v>
      </c>
      <c r="F41" s="51">
        <v>1</v>
      </c>
      <c r="G41" s="107" t="s">
        <v>69</v>
      </c>
      <c r="H41" s="107" t="s">
        <v>75</v>
      </c>
      <c r="I41" s="108">
        <v>2</v>
      </c>
      <c r="J41" s="107" t="s">
        <v>69</v>
      </c>
      <c r="K41" s="107" t="s">
        <v>34</v>
      </c>
      <c r="L41" s="108">
        <v>82</v>
      </c>
      <c r="N41" t="s">
        <v>67</v>
      </c>
      <c r="O41" t="s">
        <v>75</v>
      </c>
      <c r="P41">
        <v>1</v>
      </c>
      <c r="Q41">
        <v>2</v>
      </c>
      <c r="S41" s="60" t="s">
        <v>62</v>
      </c>
      <c r="T41" t="s">
        <v>75</v>
      </c>
      <c r="U41">
        <v>1</v>
      </c>
      <c r="V41">
        <v>7</v>
      </c>
      <c r="AR41" s="50"/>
      <c r="AS41" s="50"/>
      <c r="AT41" s="51"/>
    </row>
    <row r="42" spans="1:49" x14ac:dyDescent="0.2">
      <c r="A42" s="20"/>
      <c r="B42" s="20"/>
      <c r="D42" s="50" t="s">
        <v>69</v>
      </c>
      <c r="E42" s="50" t="s">
        <v>34</v>
      </c>
      <c r="F42" s="51">
        <v>81</v>
      </c>
      <c r="G42" s="50"/>
      <c r="H42" s="50"/>
      <c r="I42" s="51"/>
      <c r="J42" s="107" t="s">
        <v>69</v>
      </c>
      <c r="K42" s="107" t="s">
        <v>75</v>
      </c>
      <c r="L42" s="108">
        <v>2</v>
      </c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49" x14ac:dyDescent="0.2">
      <c r="A43" s="20"/>
      <c r="B43" s="20"/>
      <c r="D43" s="50" t="s">
        <v>69</v>
      </c>
      <c r="E43" s="50" t="s">
        <v>75</v>
      </c>
      <c r="F43" s="51">
        <v>2</v>
      </c>
      <c r="G43" s="50"/>
      <c r="H43" s="50"/>
      <c r="I43" s="51"/>
      <c r="J43" s="50"/>
      <c r="K43" s="50"/>
      <c r="L43" s="51"/>
      <c r="N43" t="s">
        <v>69</v>
      </c>
      <c r="O43" t="s">
        <v>34</v>
      </c>
      <c r="P43">
        <v>4</v>
      </c>
      <c r="Q43">
        <v>2</v>
      </c>
      <c r="R43">
        <v>1</v>
      </c>
      <c r="S43" s="60" t="s">
        <v>64</v>
      </c>
      <c r="T43" t="s">
        <v>75</v>
      </c>
      <c r="V43">
        <v>2</v>
      </c>
    </row>
    <row r="44" spans="1:49" x14ac:dyDescent="0.2">
      <c r="A44" s="20"/>
      <c r="B44" s="20"/>
      <c r="D44" s="50"/>
      <c r="E44" s="50"/>
      <c r="F44" s="51"/>
      <c r="G44" s="50"/>
      <c r="H44" s="50"/>
      <c r="I44" s="51"/>
      <c r="J44" s="50"/>
      <c r="K44" s="50"/>
      <c r="L44" s="51"/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49" x14ac:dyDescent="0.2">
      <c r="A45" s="20"/>
      <c r="B45" s="20"/>
      <c r="D45" s="50"/>
      <c r="E45" s="50"/>
      <c r="F45" s="51"/>
      <c r="G45" s="50"/>
      <c r="H45" s="50"/>
      <c r="I45" s="51"/>
      <c r="J45" s="50"/>
      <c r="K45" s="50"/>
      <c r="L45" s="51"/>
      <c r="N45" t="s">
        <v>70</v>
      </c>
      <c r="O45" t="s">
        <v>75</v>
      </c>
      <c r="P45">
        <v>1</v>
      </c>
      <c r="S45" s="60" t="s">
        <v>67</v>
      </c>
      <c r="T45" t="s">
        <v>75</v>
      </c>
    </row>
    <row r="46" spans="1:49" x14ac:dyDescent="0.2">
      <c r="A46" s="20"/>
      <c r="B46" s="20"/>
      <c r="D46" s="50"/>
      <c r="E46" s="50"/>
      <c r="F46" s="51"/>
      <c r="G46" s="50"/>
      <c r="H46" s="50"/>
      <c r="I46" s="51"/>
      <c r="J46" s="50"/>
      <c r="K46" s="50"/>
      <c r="L46" s="51"/>
      <c r="S46" s="60" t="s">
        <v>68</v>
      </c>
      <c r="T46" t="s">
        <v>75</v>
      </c>
      <c r="U46">
        <v>3</v>
      </c>
    </row>
    <row r="47" spans="1:49" x14ac:dyDescent="0.2">
      <c r="A47" s="20"/>
      <c r="B47" s="20"/>
      <c r="D47" s="50"/>
      <c r="E47" s="50"/>
      <c r="F47" s="51"/>
      <c r="G47" s="50"/>
      <c r="H47" s="50"/>
      <c r="I47" s="51"/>
      <c r="J47" s="50"/>
      <c r="K47" s="50"/>
      <c r="L47" s="51"/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49" x14ac:dyDescent="0.2">
      <c r="A48" s="20"/>
      <c r="B48" s="20"/>
      <c r="D48" s="50"/>
      <c r="E48" s="50"/>
      <c r="F48" s="51"/>
      <c r="G48" s="50"/>
      <c r="H48" s="50"/>
      <c r="I48" s="51"/>
      <c r="J48" s="50"/>
      <c r="K48" s="50"/>
      <c r="L48" s="51"/>
      <c r="S48" s="60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s="50"/>
      <c r="E49" s="50"/>
      <c r="F49" s="51"/>
      <c r="G49" s="50"/>
      <c r="H49" s="50"/>
      <c r="I49" s="51"/>
      <c r="J49" s="50"/>
      <c r="K49" s="50"/>
      <c r="L49" s="51"/>
      <c r="S49" s="60" t="s">
        <v>70</v>
      </c>
      <c r="T49" t="s">
        <v>75</v>
      </c>
    </row>
    <row r="50" spans="1:20" x14ac:dyDescent="0.2">
      <c r="A50" s="20"/>
      <c r="B50" s="20"/>
      <c r="D50" s="50"/>
      <c r="E50" s="50"/>
      <c r="F50" s="51"/>
      <c r="G50" s="50"/>
      <c r="H50" s="50"/>
      <c r="I50" s="51"/>
      <c r="J50" s="50"/>
      <c r="K50" s="50"/>
      <c r="L50" s="51"/>
    </row>
    <row r="51" spans="1:20" x14ac:dyDescent="0.2">
      <c r="A51" s="20"/>
      <c r="B51" s="20"/>
      <c r="D51" s="50"/>
      <c r="E51" s="50"/>
      <c r="F51" s="51"/>
      <c r="G51" s="50"/>
      <c r="H51" s="50"/>
      <c r="I51" s="51"/>
      <c r="J51" s="50"/>
      <c r="K51" s="50"/>
      <c r="L51" s="51"/>
    </row>
    <row r="52" spans="1:20" x14ac:dyDescent="0.2">
      <c r="A52" s="20"/>
      <c r="B52" s="20"/>
      <c r="G52" s="50"/>
      <c r="H52" s="50"/>
      <c r="I52" s="51"/>
      <c r="J52" s="50"/>
      <c r="K52" s="50"/>
      <c r="L52" s="51"/>
    </row>
    <row r="53" spans="1:20" x14ac:dyDescent="0.2">
      <c r="A53" s="20"/>
      <c r="B53" s="20"/>
    </row>
    <row r="54" spans="1:20" x14ac:dyDescent="0.2">
      <c r="A54" s="20"/>
      <c r="B54" s="20"/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33203125" bestFit="1" customWidth="1"/>
    <col min="30" max="30" width="16.33203125" customWidth="1"/>
    <col min="31" max="31" width="11" bestFit="1" customWidth="1"/>
    <col min="32" max="34" width="8.83203125" bestFit="1" customWidth="1"/>
    <col min="35" max="35" width="11.33203125" bestFit="1" customWidth="1"/>
  </cols>
  <sheetData>
    <row r="1" spans="1:35" x14ac:dyDescent="0.2">
      <c r="A1" s="31" t="s">
        <v>0</v>
      </c>
      <c r="B1" s="31" t="s">
        <v>133</v>
      </c>
      <c r="C1" s="31" t="s">
        <v>146</v>
      </c>
      <c r="D1" s="31" t="s">
        <v>147</v>
      </c>
      <c r="G1" s="31" t="s">
        <v>0</v>
      </c>
      <c r="H1" s="31" t="s">
        <v>133</v>
      </c>
      <c r="I1" s="31" t="s">
        <v>146</v>
      </c>
      <c r="J1" s="31" t="s">
        <v>150</v>
      </c>
      <c r="K1" s="31" t="s">
        <v>151</v>
      </c>
      <c r="Q1" s="34" t="s">
        <v>157</v>
      </c>
      <c r="S1" s="34" t="s">
        <v>150</v>
      </c>
      <c r="X1" s="31" t="s">
        <v>0</v>
      </c>
      <c r="Y1" s="31" t="s">
        <v>133</v>
      </c>
      <c r="Z1" s="31" t="s">
        <v>146</v>
      </c>
      <c r="AA1" s="31" t="s">
        <v>158</v>
      </c>
      <c r="AB1" s="31" t="s">
        <v>150</v>
      </c>
      <c r="AD1" s="34" t="s">
        <v>157</v>
      </c>
      <c r="AF1" s="34" t="s">
        <v>150</v>
      </c>
    </row>
    <row r="2" spans="1:35" ht="16" x14ac:dyDescent="0.2">
      <c r="A2" s="32" t="s">
        <v>35</v>
      </c>
      <c r="B2" s="32" t="s">
        <v>148</v>
      </c>
      <c r="C2" s="33">
        <v>78</v>
      </c>
      <c r="D2" s="33">
        <v>1</v>
      </c>
      <c r="E2" t="e">
        <f>VLOOKUP(A2,'6. Deposits 2024_Q1'!$A$3:$A$34,1,FALSE)</f>
        <v>#N/A</v>
      </c>
      <c r="G2" s="32" t="s">
        <v>35</v>
      </c>
      <c r="H2" s="32" t="s">
        <v>148</v>
      </c>
      <c r="I2" s="33">
        <v>4</v>
      </c>
      <c r="J2" s="32" t="s">
        <v>152</v>
      </c>
      <c r="K2" s="33">
        <v>0</v>
      </c>
      <c r="Q2" s="34" t="s">
        <v>133</v>
      </c>
      <c r="R2" s="34" t="s">
        <v>0</v>
      </c>
      <c r="S2" t="s">
        <v>152</v>
      </c>
      <c r="T2" t="s">
        <v>153</v>
      </c>
      <c r="U2" t="s">
        <v>154</v>
      </c>
      <c r="V2" t="s">
        <v>155</v>
      </c>
      <c r="X2" s="32" t="s">
        <v>35</v>
      </c>
      <c r="Y2" s="32" t="s">
        <v>148</v>
      </c>
      <c r="Z2" s="33">
        <v>30</v>
      </c>
      <c r="AA2" s="33">
        <v>0</v>
      </c>
      <c r="AB2" s="33">
        <v>10</v>
      </c>
      <c r="AD2" s="34" t="s">
        <v>133</v>
      </c>
      <c r="AE2" s="34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2" t="s">
        <v>36</v>
      </c>
      <c r="B3" s="32" t="s">
        <v>148</v>
      </c>
      <c r="C3" s="33">
        <v>97</v>
      </c>
      <c r="D3" s="33">
        <v>1</v>
      </c>
      <c r="E3" t="e">
        <f>VLOOKUP(A3,'6. Deposits 2024_Q1'!$A$3:$A$34,1,FALSE)</f>
        <v>#N/A</v>
      </c>
      <c r="G3" s="32" t="s">
        <v>35</v>
      </c>
      <c r="H3" s="32" t="s">
        <v>148</v>
      </c>
      <c r="I3" s="33">
        <v>9</v>
      </c>
      <c r="J3" s="32" t="s">
        <v>153</v>
      </c>
      <c r="K3" s="33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2" t="s">
        <v>35</v>
      </c>
      <c r="Y3" s="32" t="s">
        <v>148</v>
      </c>
      <c r="Z3" s="33">
        <v>16</v>
      </c>
      <c r="AA3" s="33">
        <v>0</v>
      </c>
      <c r="AB3" s="33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2" t="s">
        <v>37</v>
      </c>
      <c r="B4" s="32" t="s">
        <v>148</v>
      </c>
      <c r="C4" s="33">
        <v>47</v>
      </c>
      <c r="D4" s="33">
        <v>1</v>
      </c>
      <c r="E4" t="e">
        <f>VLOOKUP(A4,'6. Deposits 2024_Q1'!$A$3:$A$34,1,FALSE)</f>
        <v>#N/A</v>
      </c>
      <c r="G4" s="32" t="s">
        <v>35</v>
      </c>
      <c r="H4" s="32" t="s">
        <v>148</v>
      </c>
      <c r="I4" s="33">
        <v>2</v>
      </c>
      <c r="J4" s="32" t="s">
        <v>154</v>
      </c>
      <c r="K4" s="33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2" t="s">
        <v>35</v>
      </c>
      <c r="Y4" s="32" t="s">
        <v>148</v>
      </c>
      <c r="Z4" s="33">
        <v>20</v>
      </c>
      <c r="AA4" s="33">
        <v>0</v>
      </c>
      <c r="AB4" s="33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2" t="s">
        <v>40</v>
      </c>
      <c r="B5" s="32" t="s">
        <v>148</v>
      </c>
      <c r="C5" s="33">
        <v>35</v>
      </c>
      <c r="D5" s="33">
        <v>1</v>
      </c>
      <c r="E5" t="e">
        <f>VLOOKUP(A5,'6. Deposits 2024_Q1'!$A$3:$A$34,1,FALSE)</f>
        <v>#N/A</v>
      </c>
      <c r="G5" s="32" t="s">
        <v>35</v>
      </c>
      <c r="H5" s="32" t="s">
        <v>148</v>
      </c>
      <c r="I5" s="33">
        <v>6</v>
      </c>
      <c r="J5" s="32" t="s">
        <v>155</v>
      </c>
      <c r="K5" s="33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2" t="s">
        <v>35</v>
      </c>
      <c r="Y5" s="32" t="s">
        <v>149</v>
      </c>
      <c r="Z5" s="33">
        <v>344</v>
      </c>
      <c r="AA5" s="33">
        <v>0</v>
      </c>
      <c r="AB5" s="33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2" t="s">
        <v>41</v>
      </c>
      <c r="B6" s="32" t="s">
        <v>148</v>
      </c>
      <c r="C6" s="33">
        <v>2</v>
      </c>
      <c r="D6" s="33">
        <v>1</v>
      </c>
      <c r="E6" t="e">
        <f>VLOOKUP(A6,'6. Deposits 2024_Q1'!$A$3:$A$34,1,FALSE)</f>
        <v>#N/A</v>
      </c>
      <c r="G6" s="32" t="s">
        <v>35</v>
      </c>
      <c r="H6" s="32" t="s">
        <v>149</v>
      </c>
      <c r="I6" s="33">
        <v>99</v>
      </c>
      <c r="J6" s="32" t="s">
        <v>152</v>
      </c>
      <c r="K6" s="33">
        <v>0</v>
      </c>
      <c r="Q6" t="s">
        <v>148</v>
      </c>
      <c r="R6" t="s">
        <v>40</v>
      </c>
      <c r="T6">
        <v>5</v>
      </c>
      <c r="X6" s="32" t="s">
        <v>35</v>
      </c>
      <c r="Y6" s="32" t="s">
        <v>149</v>
      </c>
      <c r="Z6" s="33">
        <v>358</v>
      </c>
      <c r="AA6" s="33">
        <v>0</v>
      </c>
      <c r="AB6" s="33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2" t="s">
        <v>42</v>
      </c>
      <c r="B7" s="32" t="s">
        <v>148</v>
      </c>
      <c r="C7" s="33">
        <v>2</v>
      </c>
      <c r="D7" s="33">
        <v>1</v>
      </c>
      <c r="E7" t="e">
        <f>VLOOKUP(A7,'6. Deposits 2024_Q1'!$A$3:$A$34,1,FALSE)</f>
        <v>#N/A</v>
      </c>
      <c r="G7" s="32" t="s">
        <v>35</v>
      </c>
      <c r="H7" s="32" t="s">
        <v>149</v>
      </c>
      <c r="I7" s="33">
        <v>70</v>
      </c>
      <c r="J7" s="32" t="s">
        <v>153</v>
      </c>
      <c r="K7" s="33">
        <v>0</v>
      </c>
      <c r="Q7" t="s">
        <v>148</v>
      </c>
      <c r="R7" t="s">
        <v>44</v>
      </c>
      <c r="S7">
        <v>3</v>
      </c>
      <c r="X7" s="32" t="s">
        <v>35</v>
      </c>
      <c r="Y7" s="32" t="s">
        <v>149</v>
      </c>
      <c r="Z7" s="33">
        <v>398</v>
      </c>
      <c r="AA7" s="33">
        <v>0</v>
      </c>
      <c r="AB7" s="33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2" t="s">
        <v>44</v>
      </c>
      <c r="B8" s="32" t="s">
        <v>148</v>
      </c>
      <c r="C8" s="33">
        <v>24</v>
      </c>
      <c r="D8" s="33">
        <v>1</v>
      </c>
      <c r="E8" t="e">
        <f>VLOOKUP(A8,'6. Deposits 2024_Q1'!$A$3:$A$34,1,FALSE)</f>
        <v>#N/A</v>
      </c>
      <c r="G8" s="32" t="s">
        <v>35</v>
      </c>
      <c r="H8" s="32" t="s">
        <v>149</v>
      </c>
      <c r="I8" s="33">
        <v>26</v>
      </c>
      <c r="J8" s="32" t="s">
        <v>154</v>
      </c>
      <c r="K8" s="33">
        <v>0</v>
      </c>
      <c r="Q8" t="s">
        <v>148</v>
      </c>
      <c r="R8" t="s">
        <v>49</v>
      </c>
      <c r="T8">
        <v>3</v>
      </c>
      <c r="U8">
        <v>2</v>
      </c>
      <c r="X8" s="32" t="s">
        <v>36</v>
      </c>
      <c r="Y8" s="32" t="s">
        <v>148</v>
      </c>
      <c r="Z8" s="33">
        <v>24</v>
      </c>
      <c r="AA8" s="33">
        <v>0</v>
      </c>
      <c r="AB8" s="33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2" t="s">
        <v>45</v>
      </c>
      <c r="B9" s="32" t="s">
        <v>148</v>
      </c>
      <c r="C9" s="33">
        <v>7</v>
      </c>
      <c r="D9" s="33">
        <v>1</v>
      </c>
      <c r="E9" t="e">
        <f>VLOOKUP(A9,'6. Deposits 2024_Q1'!$A$3:$A$34,1,FALSE)</f>
        <v>#N/A</v>
      </c>
      <c r="G9" s="32" t="s">
        <v>35</v>
      </c>
      <c r="H9" s="32" t="s">
        <v>149</v>
      </c>
      <c r="I9" s="33">
        <v>109</v>
      </c>
      <c r="J9" s="32" t="s">
        <v>155</v>
      </c>
      <c r="K9" s="33">
        <v>0</v>
      </c>
      <c r="Q9" t="s">
        <v>148</v>
      </c>
      <c r="R9" t="s">
        <v>52</v>
      </c>
      <c r="S9">
        <v>2</v>
      </c>
      <c r="V9">
        <v>1</v>
      </c>
      <c r="X9" s="32" t="s">
        <v>36</v>
      </c>
      <c r="Y9" s="32" t="s">
        <v>148</v>
      </c>
      <c r="Z9" s="33">
        <v>22</v>
      </c>
      <c r="AA9" s="33">
        <v>0</v>
      </c>
      <c r="AB9" s="33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2" t="s">
        <v>46</v>
      </c>
      <c r="B10" s="32" t="s">
        <v>148</v>
      </c>
      <c r="C10" s="33">
        <v>3</v>
      </c>
      <c r="D10" s="33">
        <v>1</v>
      </c>
      <c r="E10" t="e">
        <f>VLOOKUP(A10,'6. Deposits 2024_Q1'!$A$3:$A$34,1,FALSE)</f>
        <v>#N/A</v>
      </c>
      <c r="G10" s="32" t="s">
        <v>36</v>
      </c>
      <c r="H10" s="32" t="s">
        <v>148</v>
      </c>
      <c r="I10" s="33">
        <v>8</v>
      </c>
      <c r="J10" s="32" t="s">
        <v>152</v>
      </c>
      <c r="K10" s="33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2" t="s">
        <v>36</v>
      </c>
      <c r="Y10" s="32" t="s">
        <v>148</v>
      </c>
      <c r="Z10" s="33">
        <v>32</v>
      </c>
      <c r="AA10" s="33">
        <v>0</v>
      </c>
      <c r="AB10" s="33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2" t="s">
        <v>47</v>
      </c>
      <c r="B11" s="32" t="s">
        <v>148</v>
      </c>
      <c r="C11" s="33">
        <v>4</v>
      </c>
      <c r="D11" s="33">
        <v>1</v>
      </c>
      <c r="E11" t="e">
        <f>VLOOKUP(A11,'6. Deposits 2024_Q1'!$A$3:$A$34,1,FALSE)</f>
        <v>#N/A</v>
      </c>
      <c r="G11" s="32" t="s">
        <v>36</v>
      </c>
      <c r="H11" s="32" t="s">
        <v>148</v>
      </c>
      <c r="I11" s="33">
        <v>2</v>
      </c>
      <c r="J11" s="32" t="s">
        <v>153</v>
      </c>
      <c r="K11" s="33">
        <v>0</v>
      </c>
      <c r="Q11" t="s">
        <v>148</v>
      </c>
      <c r="R11" t="s">
        <v>55</v>
      </c>
      <c r="S11">
        <v>2</v>
      </c>
      <c r="X11" s="32" t="s">
        <v>36</v>
      </c>
      <c r="Y11" s="32" t="s">
        <v>149</v>
      </c>
      <c r="Z11" s="33">
        <v>502</v>
      </c>
      <c r="AA11" s="33">
        <v>0</v>
      </c>
      <c r="AB11" s="33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2" t="s">
        <v>48</v>
      </c>
      <c r="B12" s="32" t="s">
        <v>148</v>
      </c>
      <c r="C12" s="33">
        <v>21</v>
      </c>
      <c r="D12" s="33">
        <v>1</v>
      </c>
      <c r="E12" t="e">
        <f>VLOOKUP(A12,'6. Deposits 2024_Q1'!$A$3:$A$34,1,FALSE)</f>
        <v>#N/A</v>
      </c>
      <c r="G12" s="32" t="s">
        <v>36</v>
      </c>
      <c r="H12" s="32" t="s">
        <v>148</v>
      </c>
      <c r="I12" s="33">
        <v>2</v>
      </c>
      <c r="J12" s="32" t="s">
        <v>154</v>
      </c>
      <c r="K12" s="33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2" t="s">
        <v>36</v>
      </c>
      <c r="Y12" s="32" t="s">
        <v>149</v>
      </c>
      <c r="Z12" s="33">
        <v>510</v>
      </c>
      <c r="AA12" s="33">
        <v>0</v>
      </c>
      <c r="AB12" s="33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2" t="s">
        <v>49</v>
      </c>
      <c r="B13" s="32" t="s">
        <v>148</v>
      </c>
      <c r="C13" s="33">
        <v>10</v>
      </c>
      <c r="D13" s="33">
        <v>1</v>
      </c>
      <c r="E13" t="e">
        <f>VLOOKUP(A13,'6. Deposits 2024_Q1'!$A$3:$A$34,1,FALSE)</f>
        <v>#N/A</v>
      </c>
      <c r="G13" s="32" t="s">
        <v>36</v>
      </c>
      <c r="H13" s="32" t="s">
        <v>148</v>
      </c>
      <c r="I13" s="33">
        <v>5</v>
      </c>
      <c r="J13" s="32" t="s">
        <v>155</v>
      </c>
      <c r="K13" s="33">
        <v>0</v>
      </c>
      <c r="Q13" t="s">
        <v>148</v>
      </c>
      <c r="R13" t="s">
        <v>61</v>
      </c>
      <c r="T13">
        <v>2</v>
      </c>
      <c r="X13" s="32" t="s">
        <v>36</v>
      </c>
      <c r="Y13" s="32" t="s">
        <v>149</v>
      </c>
      <c r="Z13" s="33">
        <v>784</v>
      </c>
      <c r="AA13" s="33">
        <v>0</v>
      </c>
      <c r="AB13" s="33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2" t="s">
        <v>50</v>
      </c>
      <c r="B14" s="32" t="s">
        <v>148</v>
      </c>
      <c r="C14" s="33">
        <v>1</v>
      </c>
      <c r="D14" s="33">
        <v>1</v>
      </c>
      <c r="E14" t="e">
        <f>VLOOKUP(A14,'6. Deposits 2024_Q1'!$A$3:$A$34,1,FALSE)</f>
        <v>#N/A</v>
      </c>
      <c r="G14" s="32" t="s">
        <v>36</v>
      </c>
      <c r="H14" s="32" t="s">
        <v>149</v>
      </c>
      <c r="I14" s="33">
        <v>163</v>
      </c>
      <c r="J14" s="32" t="s">
        <v>152</v>
      </c>
      <c r="K14" s="33">
        <v>0</v>
      </c>
      <c r="Q14" t="s">
        <v>148</v>
      </c>
      <c r="R14" t="s">
        <v>62</v>
      </c>
      <c r="V14">
        <v>1</v>
      </c>
      <c r="X14" s="32" t="s">
        <v>37</v>
      </c>
      <c r="Y14" s="32" t="s">
        <v>148</v>
      </c>
      <c r="Z14" s="33">
        <v>12</v>
      </c>
      <c r="AA14" s="33">
        <v>0</v>
      </c>
      <c r="AB14" s="33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2" t="s">
        <v>52</v>
      </c>
      <c r="B15" s="32" t="s">
        <v>148</v>
      </c>
      <c r="C15" s="33">
        <v>18</v>
      </c>
      <c r="D15" s="33">
        <v>1</v>
      </c>
      <c r="E15" t="e">
        <f>VLOOKUP(A15,'6. Deposits 2024_Q1'!$A$3:$A$34,1,FALSE)</f>
        <v>#N/A</v>
      </c>
      <c r="G15" s="32" t="s">
        <v>36</v>
      </c>
      <c r="H15" s="32" t="s">
        <v>149</v>
      </c>
      <c r="I15" s="33">
        <v>98</v>
      </c>
      <c r="J15" s="32" t="s">
        <v>153</v>
      </c>
      <c r="K15" s="33">
        <v>0</v>
      </c>
      <c r="Q15" t="s">
        <v>148</v>
      </c>
      <c r="R15" t="s">
        <v>64</v>
      </c>
      <c r="S15">
        <v>2</v>
      </c>
      <c r="T15">
        <v>2</v>
      </c>
      <c r="X15" s="32" t="s">
        <v>37</v>
      </c>
      <c r="Y15" s="32" t="s">
        <v>148</v>
      </c>
      <c r="Z15" s="33">
        <v>6</v>
      </c>
      <c r="AA15" s="33">
        <v>0</v>
      </c>
      <c r="AB15" s="33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2" t="s">
        <v>53</v>
      </c>
      <c r="B16" s="32" t="s">
        <v>148</v>
      </c>
      <c r="C16" s="33">
        <v>61</v>
      </c>
      <c r="D16" s="33">
        <v>1</v>
      </c>
      <c r="E16" t="e">
        <f>VLOOKUP(A16,'6. Deposits 2024_Q1'!$A$3:$A$34,1,FALSE)</f>
        <v>#N/A</v>
      </c>
      <c r="G16" s="32" t="s">
        <v>36</v>
      </c>
      <c r="H16" s="32" t="s">
        <v>149</v>
      </c>
      <c r="I16" s="33">
        <v>53</v>
      </c>
      <c r="J16" s="32" t="s">
        <v>154</v>
      </c>
      <c r="K16" s="33">
        <v>0</v>
      </c>
      <c r="Q16" t="s">
        <v>148</v>
      </c>
      <c r="R16" t="s">
        <v>67</v>
      </c>
      <c r="T16">
        <v>2</v>
      </c>
      <c r="X16" s="32" t="s">
        <v>37</v>
      </c>
      <c r="Y16" s="32" t="s">
        <v>148</v>
      </c>
      <c r="Z16" s="33">
        <v>8</v>
      </c>
      <c r="AA16" s="33">
        <v>0</v>
      </c>
      <c r="AB16" s="33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2" t="s">
        <v>54</v>
      </c>
      <c r="B17" s="32" t="s">
        <v>148</v>
      </c>
      <c r="C17" s="33">
        <v>1</v>
      </c>
      <c r="D17" s="33">
        <v>1</v>
      </c>
      <c r="E17" t="e">
        <f>VLOOKUP(A17,'6. Deposits 2024_Q1'!$A$3:$A$34,1,FALSE)</f>
        <v>#N/A</v>
      </c>
      <c r="G17" s="32" t="s">
        <v>36</v>
      </c>
      <c r="H17" s="32" t="s">
        <v>149</v>
      </c>
      <c r="I17" s="33">
        <v>127</v>
      </c>
      <c r="J17" s="32" t="s">
        <v>155</v>
      </c>
      <c r="K17" s="33">
        <v>0</v>
      </c>
      <c r="Q17" t="s">
        <v>148</v>
      </c>
      <c r="R17" t="s">
        <v>68</v>
      </c>
      <c r="S17">
        <v>2</v>
      </c>
      <c r="V17">
        <v>1</v>
      </c>
      <c r="X17" s="32" t="s">
        <v>37</v>
      </c>
      <c r="Y17" s="32" t="s">
        <v>149</v>
      </c>
      <c r="Z17" s="33">
        <v>130</v>
      </c>
      <c r="AA17" s="33">
        <v>0</v>
      </c>
      <c r="AB17" s="33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2" t="s">
        <v>55</v>
      </c>
      <c r="B18" s="32" t="s">
        <v>148</v>
      </c>
      <c r="C18" s="33">
        <v>29</v>
      </c>
      <c r="D18" s="33">
        <v>1</v>
      </c>
      <c r="E18" t="e">
        <f>VLOOKUP(A18,'6. Deposits 2024_Q1'!$A$3:$A$34,1,FALSE)</f>
        <v>#N/A</v>
      </c>
      <c r="G18" s="32" t="s">
        <v>37</v>
      </c>
      <c r="H18" s="32" t="s">
        <v>148</v>
      </c>
      <c r="I18" s="33">
        <v>2</v>
      </c>
      <c r="J18" s="32" t="s">
        <v>152</v>
      </c>
      <c r="K18" s="33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2" t="s">
        <v>37</v>
      </c>
      <c r="Y18" s="32" t="s">
        <v>149</v>
      </c>
      <c r="Z18" s="33">
        <v>84</v>
      </c>
      <c r="AA18" s="33">
        <v>0</v>
      </c>
      <c r="AB18" s="33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2" t="s">
        <v>56</v>
      </c>
      <c r="B19" s="32" t="s">
        <v>148</v>
      </c>
      <c r="C19" s="33">
        <v>36</v>
      </c>
      <c r="D19" s="33">
        <v>1</v>
      </c>
      <c r="E19" t="e">
        <f>VLOOKUP(A19,'6. Deposits 2024_Q1'!$A$3:$A$34,1,FALSE)</f>
        <v>#N/A</v>
      </c>
      <c r="G19" s="32" t="s">
        <v>37</v>
      </c>
      <c r="H19" s="32" t="s">
        <v>148</v>
      </c>
      <c r="I19" s="33">
        <v>2</v>
      </c>
      <c r="J19" s="32" t="s">
        <v>153</v>
      </c>
      <c r="K19" s="33">
        <v>0</v>
      </c>
      <c r="Q19" t="s">
        <v>148</v>
      </c>
      <c r="R19" t="s">
        <v>70</v>
      </c>
      <c r="S19">
        <v>1</v>
      </c>
      <c r="X19" s="32" t="s">
        <v>37</v>
      </c>
      <c r="Y19" s="32" t="s">
        <v>149</v>
      </c>
      <c r="Z19" s="33">
        <v>130</v>
      </c>
      <c r="AA19" s="33">
        <v>0</v>
      </c>
      <c r="AB19" s="33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2" t="s">
        <v>57</v>
      </c>
      <c r="B20" s="32" t="s">
        <v>148</v>
      </c>
      <c r="C20" s="33">
        <v>1</v>
      </c>
      <c r="D20" s="33">
        <v>1</v>
      </c>
      <c r="E20" t="e">
        <f>VLOOKUP(A20,'6. Deposits 2024_Q1'!$A$3:$A$34,1,FALSE)</f>
        <v>#N/A</v>
      </c>
      <c r="G20" s="32" t="s">
        <v>37</v>
      </c>
      <c r="H20" s="32" t="s">
        <v>148</v>
      </c>
      <c r="I20" s="33">
        <v>4</v>
      </c>
      <c r="J20" s="32" t="s">
        <v>155</v>
      </c>
      <c r="K20" s="33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2" t="s">
        <v>40</v>
      </c>
      <c r="Y20" s="32" t="s">
        <v>148</v>
      </c>
      <c r="Z20" s="33">
        <v>8</v>
      </c>
      <c r="AA20" s="33">
        <v>0</v>
      </c>
      <c r="AB20" s="33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2" t="s">
        <v>58</v>
      </c>
      <c r="B21" s="32" t="s">
        <v>148</v>
      </c>
      <c r="C21" s="33">
        <v>10</v>
      </c>
      <c r="D21" s="33">
        <v>1</v>
      </c>
      <c r="E21" t="e">
        <f>VLOOKUP(A21,'6. Deposits 2024_Q1'!$A$3:$A$34,1,FALSE)</f>
        <v>#N/A</v>
      </c>
      <c r="G21" s="32" t="s">
        <v>37</v>
      </c>
      <c r="H21" s="32" t="s">
        <v>149</v>
      </c>
      <c r="I21" s="33">
        <v>27</v>
      </c>
      <c r="J21" s="32" t="s">
        <v>152</v>
      </c>
      <c r="K21" s="33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2" t="s">
        <v>40</v>
      </c>
      <c r="Y21" s="32" t="s">
        <v>148</v>
      </c>
      <c r="Z21" s="33">
        <v>18</v>
      </c>
      <c r="AA21" s="33">
        <v>0</v>
      </c>
      <c r="AB21" s="33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2" t="s">
        <v>60</v>
      </c>
      <c r="B22" s="32" t="s">
        <v>148</v>
      </c>
      <c r="C22" s="33">
        <v>1</v>
      </c>
      <c r="D22" s="33">
        <v>1</v>
      </c>
      <c r="E22" t="e">
        <f>VLOOKUP(A22,'6. Deposits 2024_Q1'!$A$3:$A$34,1,FALSE)</f>
        <v>#N/A</v>
      </c>
      <c r="G22" s="32" t="s">
        <v>37</v>
      </c>
      <c r="H22" s="32" t="s">
        <v>149</v>
      </c>
      <c r="I22" s="33">
        <v>5</v>
      </c>
      <c r="J22" s="32" t="s">
        <v>153</v>
      </c>
      <c r="K22" s="33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2" t="s">
        <v>40</v>
      </c>
      <c r="Y22" s="32" t="s">
        <v>148</v>
      </c>
      <c r="Z22" s="33">
        <v>12</v>
      </c>
      <c r="AA22" s="33">
        <v>0</v>
      </c>
      <c r="AB22" s="33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2" t="s">
        <v>61</v>
      </c>
      <c r="B23" s="32" t="s">
        <v>148</v>
      </c>
      <c r="C23" s="33">
        <v>4</v>
      </c>
      <c r="D23" s="33">
        <v>1</v>
      </c>
      <c r="E23" t="e">
        <f>VLOOKUP(A23,'6. Deposits 2024_Q1'!$A$3:$A$34,1,FALSE)</f>
        <v>#N/A</v>
      </c>
      <c r="G23" s="32" t="s">
        <v>37</v>
      </c>
      <c r="H23" s="32" t="s">
        <v>149</v>
      </c>
      <c r="I23" s="33">
        <v>12</v>
      </c>
      <c r="J23" s="32" t="s">
        <v>154</v>
      </c>
      <c r="K23" s="33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2" t="s">
        <v>40</v>
      </c>
      <c r="Y23" s="32" t="s">
        <v>149</v>
      </c>
      <c r="Z23" s="33">
        <v>320</v>
      </c>
      <c r="AA23" s="33">
        <v>0</v>
      </c>
      <c r="AB23" s="33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2" t="s">
        <v>62</v>
      </c>
      <c r="B24" s="32" t="s">
        <v>148</v>
      </c>
      <c r="C24" s="33">
        <v>5</v>
      </c>
      <c r="D24" s="33">
        <v>1</v>
      </c>
      <c r="E24" t="e">
        <f>VLOOKUP(A24,'6. Deposits 2024_Q1'!$A$3:$A$34,1,FALSE)</f>
        <v>#N/A</v>
      </c>
      <c r="G24" s="32" t="s">
        <v>37</v>
      </c>
      <c r="H24" s="32" t="s">
        <v>149</v>
      </c>
      <c r="I24" s="33">
        <v>26</v>
      </c>
      <c r="J24" s="32" t="s">
        <v>155</v>
      </c>
      <c r="K24" s="33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2" t="s">
        <v>40</v>
      </c>
      <c r="Y24" s="32" t="s">
        <v>149</v>
      </c>
      <c r="Z24" s="33">
        <v>450</v>
      </c>
      <c r="AA24" s="33">
        <v>0</v>
      </c>
      <c r="AB24" s="33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2" t="s">
        <v>63</v>
      </c>
      <c r="B25" s="32" t="s">
        <v>148</v>
      </c>
      <c r="C25" s="33">
        <v>1</v>
      </c>
      <c r="D25" s="33">
        <v>1</v>
      </c>
      <c r="E25" t="e">
        <f>VLOOKUP(A25,'6. Deposits 2024_Q1'!$A$3:$A$34,1,FALSE)</f>
        <v>#N/A</v>
      </c>
      <c r="G25" s="32" t="s">
        <v>40</v>
      </c>
      <c r="H25" s="32" t="s">
        <v>148</v>
      </c>
      <c r="I25" s="33">
        <v>5</v>
      </c>
      <c r="J25" s="32" t="s">
        <v>153</v>
      </c>
      <c r="K25" s="33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2" t="s">
        <v>40</v>
      </c>
      <c r="Y25" s="32" t="s">
        <v>149</v>
      </c>
      <c r="Z25" s="33">
        <v>350</v>
      </c>
      <c r="AA25" s="33">
        <v>0</v>
      </c>
      <c r="AB25" s="33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2" t="s">
        <v>64</v>
      </c>
      <c r="B26" s="32" t="s">
        <v>148</v>
      </c>
      <c r="C26" s="33">
        <v>3</v>
      </c>
      <c r="D26" s="33">
        <v>1</v>
      </c>
      <c r="E26" t="e">
        <f>VLOOKUP(A26,'6. Deposits 2024_Q1'!$A$3:$A$34,1,FALSE)</f>
        <v>#N/A</v>
      </c>
      <c r="G26" s="32" t="s">
        <v>40</v>
      </c>
      <c r="H26" s="32" t="s">
        <v>149</v>
      </c>
      <c r="I26" s="33">
        <v>136</v>
      </c>
      <c r="J26" s="32" t="s">
        <v>152</v>
      </c>
      <c r="K26" s="33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2" t="s">
        <v>41</v>
      </c>
      <c r="Y26" s="32" t="s">
        <v>148</v>
      </c>
      <c r="Z26" s="33">
        <v>2</v>
      </c>
      <c r="AA26" s="33">
        <v>0</v>
      </c>
      <c r="AB26" s="33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2" t="s">
        <v>67</v>
      </c>
      <c r="B27" s="32" t="s">
        <v>148</v>
      </c>
      <c r="C27" s="33">
        <v>3</v>
      </c>
      <c r="D27" s="33">
        <v>1</v>
      </c>
      <c r="E27" t="e">
        <f>VLOOKUP(A27,'6. Deposits 2024_Q1'!$A$3:$A$34,1,FALSE)</f>
        <v>#N/A</v>
      </c>
      <c r="G27" s="32" t="s">
        <v>40</v>
      </c>
      <c r="H27" s="32" t="s">
        <v>149</v>
      </c>
      <c r="I27" s="33">
        <v>107</v>
      </c>
      <c r="J27" s="32" t="s">
        <v>153</v>
      </c>
      <c r="K27" s="33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2" t="s">
        <v>42</v>
      </c>
      <c r="Y27" s="32" t="s">
        <v>149</v>
      </c>
      <c r="Z27" s="33">
        <v>6</v>
      </c>
      <c r="AA27" s="33">
        <v>0</v>
      </c>
      <c r="AB27" s="33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2" t="s">
        <v>68</v>
      </c>
      <c r="B28" s="32" t="s">
        <v>148</v>
      </c>
      <c r="C28" s="33">
        <v>6</v>
      </c>
      <c r="D28" s="33">
        <v>1</v>
      </c>
      <c r="E28" t="e">
        <f>VLOOKUP(A28,'6. Deposits 2024_Q1'!$A$3:$A$34,1,FALSE)</f>
        <v>#N/A</v>
      </c>
      <c r="G28" s="32" t="s">
        <v>40</v>
      </c>
      <c r="H28" s="32" t="s">
        <v>149</v>
      </c>
      <c r="I28" s="33">
        <v>32</v>
      </c>
      <c r="J28" s="32" t="s">
        <v>154</v>
      </c>
      <c r="K28" s="33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2" t="s">
        <v>42</v>
      </c>
      <c r="Y28" s="32" t="s">
        <v>149</v>
      </c>
      <c r="Z28" s="33">
        <v>18</v>
      </c>
      <c r="AA28" s="33">
        <v>0</v>
      </c>
      <c r="AB28" s="33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2" t="s">
        <v>69</v>
      </c>
      <c r="B29" s="32" t="s">
        <v>148</v>
      </c>
      <c r="C29" s="33">
        <v>62</v>
      </c>
      <c r="D29" s="33">
        <v>1</v>
      </c>
      <c r="E29" t="e">
        <f>VLOOKUP(A29,'6. Deposits 2024_Q1'!$A$3:$A$34,1,FALSE)</f>
        <v>#N/A</v>
      </c>
      <c r="G29" s="32" t="s">
        <v>40</v>
      </c>
      <c r="H29" s="32" t="s">
        <v>149</v>
      </c>
      <c r="I29" s="33">
        <v>123</v>
      </c>
      <c r="J29" s="32" t="s">
        <v>155</v>
      </c>
      <c r="K29" s="33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2" t="s">
        <v>42</v>
      </c>
      <c r="Y29" s="32" t="s">
        <v>149</v>
      </c>
      <c r="Z29" s="33">
        <v>14</v>
      </c>
      <c r="AA29" s="33">
        <v>0</v>
      </c>
      <c r="AB29" s="33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2" t="s">
        <v>70</v>
      </c>
      <c r="B30" s="32" t="s">
        <v>148</v>
      </c>
      <c r="C30" s="33">
        <v>1</v>
      </c>
      <c r="D30" s="33">
        <v>1</v>
      </c>
      <c r="E30" t="e">
        <f>VLOOKUP(A30,'6. Deposits 2024_Q1'!$A$3:$A$34,1,FALSE)</f>
        <v>#N/A</v>
      </c>
      <c r="G30" s="32" t="s">
        <v>42</v>
      </c>
      <c r="H30" s="32" t="s">
        <v>149</v>
      </c>
      <c r="I30" s="33">
        <v>7</v>
      </c>
      <c r="J30" s="32" t="s">
        <v>152</v>
      </c>
      <c r="K30" s="33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2" t="s">
        <v>43</v>
      </c>
      <c r="Y30" s="32" t="s">
        <v>149</v>
      </c>
      <c r="Z30" s="33">
        <v>4</v>
      </c>
      <c r="AA30" s="33">
        <v>0</v>
      </c>
      <c r="AB30" s="33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2" t="s">
        <v>35</v>
      </c>
      <c r="B31" s="32" t="s">
        <v>149</v>
      </c>
      <c r="C31" s="33">
        <v>1427</v>
      </c>
      <c r="D31" s="33">
        <v>1</v>
      </c>
      <c r="E31" t="e">
        <f>VLOOKUP(A31,'6. Deposits 2024_Q1'!$A$35:$A$61,1,FALSE)</f>
        <v>#N/A</v>
      </c>
      <c r="G31" s="32" t="s">
        <v>42</v>
      </c>
      <c r="H31" s="32" t="s">
        <v>149</v>
      </c>
      <c r="I31" s="33">
        <v>4</v>
      </c>
      <c r="J31" s="32" t="s">
        <v>153</v>
      </c>
      <c r="K31" s="33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2" t="s">
        <v>43</v>
      </c>
      <c r="Y31" s="32" t="s">
        <v>149</v>
      </c>
      <c r="Z31" s="33">
        <v>4</v>
      </c>
      <c r="AA31" s="33">
        <v>0</v>
      </c>
      <c r="AB31" s="33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2" t="s">
        <v>36</v>
      </c>
      <c r="B32" s="32" t="s">
        <v>149</v>
      </c>
      <c r="C32" s="33">
        <v>1838</v>
      </c>
      <c r="D32" s="33">
        <v>1</v>
      </c>
      <c r="E32" t="e">
        <f>VLOOKUP(A32,'6. Deposits 2024_Q1'!$A$35:$A$61,1,FALSE)</f>
        <v>#N/A</v>
      </c>
      <c r="G32" s="32" t="s">
        <v>42</v>
      </c>
      <c r="H32" s="32" t="s">
        <v>149</v>
      </c>
      <c r="I32" s="33">
        <v>4</v>
      </c>
      <c r="J32" s="32" t="s">
        <v>155</v>
      </c>
      <c r="K32" s="33">
        <v>0</v>
      </c>
      <c r="Q32" t="s">
        <v>149</v>
      </c>
      <c r="R32" t="s">
        <v>50</v>
      </c>
      <c r="S32">
        <v>1</v>
      </c>
      <c r="U32">
        <v>4</v>
      </c>
      <c r="X32" s="32" t="s">
        <v>43</v>
      </c>
      <c r="Y32" s="32" t="s">
        <v>149</v>
      </c>
      <c r="Z32" s="33">
        <v>16</v>
      </c>
      <c r="AA32" s="33">
        <v>0</v>
      </c>
      <c r="AB32" s="33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2" t="s">
        <v>37</v>
      </c>
      <c r="B33" s="32" t="s">
        <v>149</v>
      </c>
      <c r="C33" s="33">
        <v>403</v>
      </c>
      <c r="D33" s="33">
        <v>1</v>
      </c>
      <c r="E33" t="e">
        <f>VLOOKUP(A33,'6. Deposits 2024_Q1'!$A$35:$A$61,1,FALSE)</f>
        <v>#N/A</v>
      </c>
      <c r="G33" s="32" t="s">
        <v>43</v>
      </c>
      <c r="H33" s="32" t="s">
        <v>149</v>
      </c>
      <c r="I33" s="33">
        <v>3</v>
      </c>
      <c r="J33" s="32" t="s">
        <v>152</v>
      </c>
      <c r="K33" s="33">
        <v>0</v>
      </c>
      <c r="Q33" t="s">
        <v>149</v>
      </c>
      <c r="R33" t="s">
        <v>51</v>
      </c>
      <c r="U33">
        <v>1</v>
      </c>
      <c r="X33" s="32" t="s">
        <v>44</v>
      </c>
      <c r="Y33" s="32" t="s">
        <v>148</v>
      </c>
      <c r="Z33" s="33">
        <v>8</v>
      </c>
      <c r="AA33" s="33">
        <v>0</v>
      </c>
      <c r="AB33" s="33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2" t="s">
        <v>40</v>
      </c>
      <c r="B34" s="32" t="s">
        <v>149</v>
      </c>
      <c r="C34" s="33">
        <v>1026</v>
      </c>
      <c r="D34" s="33">
        <v>1</v>
      </c>
      <c r="E34" t="e">
        <f>VLOOKUP(A34,'6. Deposits 2024_Q1'!$A$35:$A$61,1,FALSE)</f>
        <v>#N/A</v>
      </c>
      <c r="G34" s="32" t="s">
        <v>43</v>
      </c>
      <c r="H34" s="32" t="s">
        <v>149</v>
      </c>
      <c r="I34" s="33">
        <v>2</v>
      </c>
      <c r="J34" s="32" t="s">
        <v>153</v>
      </c>
      <c r="K34" s="33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2" t="s">
        <v>44</v>
      </c>
      <c r="Y34" s="32" t="s">
        <v>148</v>
      </c>
      <c r="Z34" s="33">
        <v>8</v>
      </c>
      <c r="AA34" s="33">
        <v>0</v>
      </c>
      <c r="AB34" s="33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2" t="s">
        <v>42</v>
      </c>
      <c r="B35" s="32" t="s">
        <v>149</v>
      </c>
      <c r="C35" s="33">
        <v>31</v>
      </c>
      <c r="D35" s="33">
        <v>1</v>
      </c>
      <c r="E35" t="e">
        <f>VLOOKUP(A35,'6. Deposits 2024_Q1'!$A$35:$A$61,1,FALSE)</f>
        <v>#N/A</v>
      </c>
      <c r="G35" s="32" t="s">
        <v>43</v>
      </c>
      <c r="H35" s="32" t="s">
        <v>149</v>
      </c>
      <c r="I35" s="33">
        <v>1</v>
      </c>
      <c r="J35" s="32" t="s">
        <v>154</v>
      </c>
      <c r="K35" s="33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2" t="s">
        <v>44</v>
      </c>
      <c r="Y35" s="32" t="s">
        <v>148</v>
      </c>
      <c r="Z35" s="33">
        <v>4</v>
      </c>
      <c r="AA35" s="33">
        <v>0</v>
      </c>
      <c r="AB35" s="33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2" t="s">
        <v>43</v>
      </c>
      <c r="B36" s="32" t="s">
        <v>149</v>
      </c>
      <c r="C36" s="33">
        <v>30</v>
      </c>
      <c r="D36" s="33">
        <v>1</v>
      </c>
      <c r="E36" t="e">
        <f>VLOOKUP(A36,'6. Deposits 2024_Q1'!$A$35:$A$61,1,FALSE)</f>
        <v>#N/A</v>
      </c>
      <c r="G36" s="32" t="s">
        <v>43</v>
      </c>
      <c r="H36" s="32" t="s">
        <v>149</v>
      </c>
      <c r="I36" s="33">
        <v>2</v>
      </c>
      <c r="J36" s="32" t="s">
        <v>155</v>
      </c>
      <c r="K36" s="33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2" t="s">
        <v>44</v>
      </c>
      <c r="Y36" s="32" t="s">
        <v>149</v>
      </c>
      <c r="Z36" s="33">
        <v>90</v>
      </c>
      <c r="AA36" s="33">
        <v>0</v>
      </c>
      <c r="AB36" s="33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2" t="s">
        <v>44</v>
      </c>
      <c r="B37" s="32" t="s">
        <v>149</v>
      </c>
      <c r="C37" s="33">
        <v>336</v>
      </c>
      <c r="D37" s="33">
        <v>1</v>
      </c>
      <c r="E37" t="e">
        <f>VLOOKUP(A37,'6. Deposits 2024_Q1'!$A$35:$A$61,1,FALSE)</f>
        <v>#N/A</v>
      </c>
      <c r="G37" s="32" t="s">
        <v>44</v>
      </c>
      <c r="H37" s="32" t="s">
        <v>148</v>
      </c>
      <c r="I37" s="33">
        <v>3</v>
      </c>
      <c r="J37" s="32" t="s">
        <v>152</v>
      </c>
      <c r="K37" s="33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2" t="s">
        <v>44</v>
      </c>
      <c r="Y37" s="32" t="s">
        <v>149</v>
      </c>
      <c r="Z37" s="33">
        <v>74</v>
      </c>
      <c r="AA37" s="33">
        <v>0</v>
      </c>
      <c r="AB37" s="33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2" t="s">
        <v>45</v>
      </c>
      <c r="B38" s="32" t="s">
        <v>149</v>
      </c>
      <c r="C38" s="33">
        <v>165</v>
      </c>
      <c r="D38" s="33">
        <v>1</v>
      </c>
      <c r="E38" t="e">
        <f>VLOOKUP(A38,'6. Deposits 2024_Q1'!$A$35:$A$61,1,FALSE)</f>
        <v>#N/A</v>
      </c>
      <c r="G38" s="32" t="s">
        <v>44</v>
      </c>
      <c r="H38" s="32" t="s">
        <v>149</v>
      </c>
      <c r="I38" s="33">
        <v>29</v>
      </c>
      <c r="J38" s="32" t="s">
        <v>152</v>
      </c>
      <c r="K38" s="33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2" t="s">
        <v>44</v>
      </c>
      <c r="Y38" s="32" t="s">
        <v>149</v>
      </c>
      <c r="Z38" s="33">
        <v>120</v>
      </c>
      <c r="AA38" s="33">
        <v>0</v>
      </c>
      <c r="AB38" s="33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2" t="s">
        <v>46</v>
      </c>
      <c r="B39" s="32" t="s">
        <v>149</v>
      </c>
      <c r="C39" s="33">
        <v>24</v>
      </c>
      <c r="D39" s="33">
        <v>1</v>
      </c>
      <c r="E39" t="e">
        <f>VLOOKUP(A39,'6. Deposits 2024_Q1'!$A$35:$A$61,1,FALSE)</f>
        <v>#N/A</v>
      </c>
      <c r="G39" s="32" t="s">
        <v>44</v>
      </c>
      <c r="H39" s="32" t="s">
        <v>149</v>
      </c>
      <c r="I39" s="33">
        <v>10</v>
      </c>
      <c r="J39" s="32" t="s">
        <v>153</v>
      </c>
      <c r="K39" s="33">
        <v>0</v>
      </c>
      <c r="Q39" t="s">
        <v>149</v>
      </c>
      <c r="R39" t="s">
        <v>57</v>
      </c>
      <c r="S39">
        <v>1</v>
      </c>
      <c r="U39">
        <v>1</v>
      </c>
      <c r="X39" s="32" t="s">
        <v>45</v>
      </c>
      <c r="Y39" s="32" t="s">
        <v>148</v>
      </c>
      <c r="Z39" s="33">
        <v>2</v>
      </c>
      <c r="AA39" s="33">
        <v>0</v>
      </c>
      <c r="AB39" s="33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2" t="s">
        <v>47</v>
      </c>
      <c r="B40" s="32" t="s">
        <v>149</v>
      </c>
      <c r="C40" s="33">
        <v>85</v>
      </c>
      <c r="D40" s="33">
        <v>1</v>
      </c>
      <c r="E40" t="e">
        <f>VLOOKUP(A40,'6. Deposits 2024_Q1'!$A$35:$A$61,1,FALSE)</f>
        <v>#N/A</v>
      </c>
      <c r="G40" s="32" t="s">
        <v>44</v>
      </c>
      <c r="H40" s="32" t="s">
        <v>149</v>
      </c>
      <c r="I40" s="33">
        <v>18</v>
      </c>
      <c r="J40" s="32" t="s">
        <v>154</v>
      </c>
      <c r="K40" s="33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2" t="s">
        <v>45</v>
      </c>
      <c r="Y40" s="32" t="s">
        <v>149</v>
      </c>
      <c r="Z40" s="33">
        <v>30</v>
      </c>
      <c r="AA40" s="33">
        <v>0</v>
      </c>
      <c r="AB40" s="33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2" t="s">
        <v>48</v>
      </c>
      <c r="B41" s="32" t="s">
        <v>149</v>
      </c>
      <c r="C41" s="33">
        <v>130</v>
      </c>
      <c r="D41" s="33">
        <v>1</v>
      </c>
      <c r="E41" t="e">
        <f>VLOOKUP(A41,'6. Deposits 2024_Q1'!$A$35:$A$61,1,FALSE)</f>
        <v>#N/A</v>
      </c>
      <c r="G41" s="32" t="s">
        <v>44</v>
      </c>
      <c r="H41" s="32" t="s">
        <v>149</v>
      </c>
      <c r="I41" s="33">
        <v>15</v>
      </c>
      <c r="J41" s="32" t="s">
        <v>155</v>
      </c>
      <c r="K41" s="33">
        <v>0</v>
      </c>
      <c r="Q41" t="s">
        <v>149</v>
      </c>
      <c r="R41" t="s">
        <v>60</v>
      </c>
      <c r="U41">
        <v>2</v>
      </c>
      <c r="V41">
        <v>2</v>
      </c>
      <c r="X41" s="32" t="s">
        <v>45</v>
      </c>
      <c r="Y41" s="32" t="s">
        <v>149</v>
      </c>
      <c r="Z41" s="33">
        <v>72</v>
      </c>
      <c r="AA41" s="33">
        <v>0</v>
      </c>
      <c r="AB41" s="33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2" t="s">
        <v>49</v>
      </c>
      <c r="B42" s="32" t="s">
        <v>149</v>
      </c>
      <c r="C42" s="33">
        <v>85</v>
      </c>
      <c r="D42" s="33">
        <v>1</v>
      </c>
      <c r="E42" t="e">
        <f>VLOOKUP(A42,'6. Deposits 2024_Q1'!$A$35:$A$61,1,FALSE)</f>
        <v>#N/A</v>
      </c>
      <c r="G42" s="32" t="s">
        <v>45</v>
      </c>
      <c r="H42" s="32" t="s">
        <v>149</v>
      </c>
      <c r="I42" s="33">
        <v>7</v>
      </c>
      <c r="J42" s="32" t="s">
        <v>152</v>
      </c>
      <c r="K42" s="33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2" t="s">
        <v>45</v>
      </c>
      <c r="Y42" s="32" t="s">
        <v>149</v>
      </c>
      <c r="Z42" s="33">
        <v>62</v>
      </c>
      <c r="AA42" s="33">
        <v>0</v>
      </c>
      <c r="AB42" s="33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2" t="s">
        <v>50</v>
      </c>
      <c r="B43" s="32" t="s">
        <v>149</v>
      </c>
      <c r="C43" s="33">
        <v>51</v>
      </c>
      <c r="D43" s="33">
        <v>1</v>
      </c>
      <c r="E43" t="e">
        <f>VLOOKUP(A43,'6. Deposits 2024_Q1'!$A$35:$A$61,1,FALSE)</f>
        <v>#N/A</v>
      </c>
      <c r="G43" s="32" t="s">
        <v>45</v>
      </c>
      <c r="H43" s="32" t="s">
        <v>149</v>
      </c>
      <c r="I43" s="33">
        <v>17</v>
      </c>
      <c r="J43" s="32" t="s">
        <v>153</v>
      </c>
      <c r="K43" s="33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2" t="s">
        <v>46</v>
      </c>
      <c r="Y43" s="32" t="s">
        <v>148</v>
      </c>
      <c r="Z43" s="33">
        <v>2</v>
      </c>
      <c r="AA43" s="33">
        <v>0</v>
      </c>
      <c r="AB43" s="33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2" t="s">
        <v>51</v>
      </c>
      <c r="B44" s="32" t="s">
        <v>149</v>
      </c>
      <c r="C44" s="33">
        <v>8</v>
      </c>
      <c r="D44" s="33">
        <v>1</v>
      </c>
      <c r="E44" t="e">
        <f>VLOOKUP(A44,'6. Deposits 2024_Q1'!$A$35:$A$61,1,FALSE)</f>
        <v>#N/A</v>
      </c>
      <c r="G44" s="32" t="s">
        <v>45</v>
      </c>
      <c r="H44" s="32" t="s">
        <v>149</v>
      </c>
      <c r="I44" s="33">
        <v>8</v>
      </c>
      <c r="J44" s="32" t="s">
        <v>154</v>
      </c>
      <c r="K44" s="33">
        <v>0</v>
      </c>
      <c r="Q44" t="s">
        <v>149</v>
      </c>
      <c r="R44" t="s">
        <v>63</v>
      </c>
      <c r="U44">
        <v>1</v>
      </c>
      <c r="X44" s="32" t="s">
        <v>46</v>
      </c>
      <c r="Y44" s="32" t="s">
        <v>148</v>
      </c>
      <c r="Z44" s="33">
        <v>4</v>
      </c>
      <c r="AA44" s="33">
        <v>0</v>
      </c>
      <c r="AB44" s="33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2" t="s">
        <v>52</v>
      </c>
      <c r="B45" s="32" t="s">
        <v>149</v>
      </c>
      <c r="C45" s="33">
        <v>446</v>
      </c>
      <c r="D45" s="33">
        <v>1</v>
      </c>
      <c r="E45" t="e">
        <f>VLOOKUP(A45,'6. Deposits 2024_Q1'!$A$35:$A$61,1,FALSE)</f>
        <v>#N/A</v>
      </c>
      <c r="G45" s="32" t="s">
        <v>45</v>
      </c>
      <c r="H45" s="32" t="s">
        <v>149</v>
      </c>
      <c r="I45" s="33">
        <v>7</v>
      </c>
      <c r="J45" s="32" t="s">
        <v>155</v>
      </c>
      <c r="K45" s="33">
        <v>0</v>
      </c>
      <c r="Q45" t="s">
        <v>149</v>
      </c>
      <c r="R45" t="s">
        <v>64</v>
      </c>
      <c r="S45">
        <v>4</v>
      </c>
      <c r="V45">
        <v>6</v>
      </c>
      <c r="X45" s="32" t="s">
        <v>46</v>
      </c>
      <c r="Y45" s="32" t="s">
        <v>148</v>
      </c>
      <c r="Z45" s="33">
        <v>2</v>
      </c>
      <c r="AA45" s="33">
        <v>0</v>
      </c>
      <c r="AB45" s="33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2" t="s">
        <v>53</v>
      </c>
      <c r="B46" s="32" t="s">
        <v>149</v>
      </c>
      <c r="C46" s="33">
        <v>535</v>
      </c>
      <c r="D46" s="33">
        <v>1</v>
      </c>
      <c r="E46" t="e">
        <f>VLOOKUP(A46,'6. Deposits 2024_Q1'!$A$35:$A$61,1,FALSE)</f>
        <v>#N/A</v>
      </c>
      <c r="G46" s="32" t="s">
        <v>46</v>
      </c>
      <c r="H46" s="32" t="s">
        <v>149</v>
      </c>
      <c r="I46" s="33">
        <v>3</v>
      </c>
      <c r="J46" s="32" t="s">
        <v>152</v>
      </c>
      <c r="K46" s="33">
        <v>0</v>
      </c>
      <c r="Q46" t="s">
        <v>149</v>
      </c>
      <c r="R46" t="s">
        <v>65</v>
      </c>
      <c r="S46">
        <v>2</v>
      </c>
      <c r="V46">
        <v>1</v>
      </c>
      <c r="X46" s="32" t="s">
        <v>46</v>
      </c>
      <c r="Y46" s="32" t="s">
        <v>149</v>
      </c>
      <c r="Z46" s="33">
        <v>4</v>
      </c>
      <c r="AA46" s="33">
        <v>0</v>
      </c>
      <c r="AB46" s="33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2" t="s">
        <v>54</v>
      </c>
      <c r="B47" s="32" t="s">
        <v>149</v>
      </c>
      <c r="C47" s="33">
        <v>69</v>
      </c>
      <c r="D47" s="33">
        <v>1</v>
      </c>
      <c r="E47" t="e">
        <f>VLOOKUP(A47,'6. Deposits 2024_Q1'!$A$35:$A$61,1,FALSE)</f>
        <v>#N/A</v>
      </c>
      <c r="G47" s="32" t="s">
        <v>46</v>
      </c>
      <c r="H47" s="32" t="s">
        <v>149</v>
      </c>
      <c r="I47" s="33">
        <v>3</v>
      </c>
      <c r="J47" s="32" t="s">
        <v>153</v>
      </c>
      <c r="K47" s="33">
        <v>0</v>
      </c>
      <c r="Q47" t="s">
        <v>149</v>
      </c>
      <c r="R47" t="s">
        <v>67</v>
      </c>
      <c r="T47">
        <v>2</v>
      </c>
      <c r="X47" s="32" t="s">
        <v>46</v>
      </c>
      <c r="Y47" s="32" t="s">
        <v>149</v>
      </c>
      <c r="Z47" s="33">
        <v>4</v>
      </c>
      <c r="AA47" s="33">
        <v>0</v>
      </c>
      <c r="AB47" s="33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2" t="s">
        <v>55</v>
      </c>
      <c r="B48" s="32" t="s">
        <v>149</v>
      </c>
      <c r="C48" s="33">
        <v>308</v>
      </c>
      <c r="D48" s="33">
        <v>1</v>
      </c>
      <c r="E48" t="e">
        <f>VLOOKUP(A48,'6. Deposits 2024_Q1'!$A$35:$A$61,1,FALSE)</f>
        <v>#N/A</v>
      </c>
      <c r="G48" s="32" t="s">
        <v>46</v>
      </c>
      <c r="H48" s="32" t="s">
        <v>149</v>
      </c>
      <c r="I48" s="33">
        <v>3</v>
      </c>
      <c r="J48" s="32" t="s">
        <v>154</v>
      </c>
      <c r="K48" s="33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2" t="s">
        <v>46</v>
      </c>
      <c r="Y48" s="32" t="s">
        <v>149</v>
      </c>
      <c r="Z48" s="33">
        <v>14</v>
      </c>
      <c r="AA48" s="33">
        <v>0</v>
      </c>
      <c r="AB48" s="33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2" t="s">
        <v>56</v>
      </c>
      <c r="B49" s="32" t="s">
        <v>149</v>
      </c>
      <c r="C49" s="33">
        <v>351</v>
      </c>
      <c r="D49" s="33">
        <v>1</v>
      </c>
      <c r="E49" t="e">
        <f>VLOOKUP(A49,'6. Deposits 2024_Q1'!$A$35:$A$61,1,FALSE)</f>
        <v>#N/A</v>
      </c>
      <c r="G49" s="32" t="s">
        <v>46</v>
      </c>
      <c r="H49" s="32" t="s">
        <v>149</v>
      </c>
      <c r="I49" s="33">
        <v>1</v>
      </c>
      <c r="J49" s="32" t="s">
        <v>155</v>
      </c>
      <c r="K49" s="33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2" t="s">
        <v>47</v>
      </c>
      <c r="Y49" s="32" t="s">
        <v>148</v>
      </c>
      <c r="Z49" s="33">
        <v>4</v>
      </c>
      <c r="AA49" s="33">
        <v>0</v>
      </c>
      <c r="AB49" s="33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2" t="s">
        <v>57</v>
      </c>
      <c r="B50" s="32" t="s">
        <v>149</v>
      </c>
      <c r="C50" s="33">
        <v>33</v>
      </c>
      <c r="D50" s="33">
        <v>1</v>
      </c>
      <c r="E50" t="e">
        <f>VLOOKUP(A50,'6. Deposits 2024_Q1'!$A$35:$A$61,1,FALSE)</f>
        <v>#N/A</v>
      </c>
      <c r="G50" s="32" t="s">
        <v>47</v>
      </c>
      <c r="H50" s="32" t="s">
        <v>149</v>
      </c>
      <c r="I50" s="33">
        <v>5</v>
      </c>
      <c r="J50" s="32" t="s">
        <v>152</v>
      </c>
      <c r="K50" s="33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2" t="s">
        <v>47</v>
      </c>
      <c r="Y50" s="32" t="s">
        <v>149</v>
      </c>
      <c r="Z50" s="33">
        <v>30</v>
      </c>
      <c r="AA50" s="33">
        <v>0</v>
      </c>
      <c r="AB50" s="33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2" t="s">
        <v>58</v>
      </c>
      <c r="B51" s="32" t="s">
        <v>149</v>
      </c>
      <c r="C51" s="33">
        <v>127</v>
      </c>
      <c r="D51" s="33">
        <v>1</v>
      </c>
      <c r="E51" t="e">
        <f>VLOOKUP(A51,'6. Deposits 2024_Q1'!$A$35:$A$61,1,FALSE)</f>
        <v>#N/A</v>
      </c>
      <c r="G51" s="32" t="s">
        <v>47</v>
      </c>
      <c r="H51" s="32" t="s">
        <v>149</v>
      </c>
      <c r="I51" s="33">
        <v>6</v>
      </c>
      <c r="J51" s="32" t="s">
        <v>153</v>
      </c>
      <c r="K51" s="33">
        <v>0</v>
      </c>
      <c r="X51" s="32" t="s">
        <v>47</v>
      </c>
      <c r="Y51" s="32" t="s">
        <v>149</v>
      </c>
      <c r="Z51" s="33">
        <v>16</v>
      </c>
      <c r="AA51" s="33">
        <v>0</v>
      </c>
      <c r="AB51" s="33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2" t="s">
        <v>60</v>
      </c>
      <c r="B52" s="32" t="s">
        <v>149</v>
      </c>
      <c r="C52" s="33">
        <v>26</v>
      </c>
      <c r="D52" s="33">
        <v>1</v>
      </c>
      <c r="E52" t="e">
        <f>VLOOKUP(A52,'6. Deposits 2024_Q1'!$A$35:$A$61,1,FALSE)</f>
        <v>#N/A</v>
      </c>
      <c r="G52" s="32" t="s">
        <v>47</v>
      </c>
      <c r="H52" s="32" t="s">
        <v>149</v>
      </c>
      <c r="I52" s="33">
        <v>2</v>
      </c>
      <c r="J52" s="32" t="s">
        <v>154</v>
      </c>
      <c r="K52" s="33">
        <v>0</v>
      </c>
      <c r="X52" s="32" t="s">
        <v>47</v>
      </c>
      <c r="Y52" s="32" t="s">
        <v>149</v>
      </c>
      <c r="Z52" s="33">
        <v>36</v>
      </c>
      <c r="AA52" s="33">
        <v>0</v>
      </c>
      <c r="AB52" s="33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2" t="s">
        <v>61</v>
      </c>
      <c r="B53" s="32" t="s">
        <v>149</v>
      </c>
      <c r="C53" s="33">
        <v>336</v>
      </c>
      <c r="D53" s="33">
        <v>1</v>
      </c>
      <c r="E53" t="e">
        <f>VLOOKUP(A53,'6. Deposits 2024_Q1'!$A$35:$A$61,1,FALSE)</f>
        <v>#N/A</v>
      </c>
      <c r="G53" s="32" t="s">
        <v>47</v>
      </c>
      <c r="H53" s="32" t="s">
        <v>149</v>
      </c>
      <c r="I53" s="33">
        <v>4</v>
      </c>
      <c r="J53" s="32" t="s">
        <v>155</v>
      </c>
      <c r="K53" s="33">
        <v>0</v>
      </c>
      <c r="X53" s="32" t="s">
        <v>48</v>
      </c>
      <c r="Y53" s="32" t="s">
        <v>148</v>
      </c>
      <c r="Z53" s="33">
        <v>4</v>
      </c>
      <c r="AA53" s="33">
        <v>0</v>
      </c>
      <c r="AB53" s="33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2" t="s">
        <v>62</v>
      </c>
      <c r="B54" s="32" t="s">
        <v>149</v>
      </c>
      <c r="C54" s="33">
        <v>97</v>
      </c>
      <c r="D54" s="33">
        <v>1</v>
      </c>
      <c r="E54" t="e">
        <f>VLOOKUP(A54,'6. Deposits 2024_Q1'!$A$35:$A$61,1,FALSE)</f>
        <v>#N/A</v>
      </c>
      <c r="G54" s="32" t="s">
        <v>48</v>
      </c>
      <c r="H54" s="32" t="s">
        <v>149</v>
      </c>
      <c r="I54" s="33">
        <v>6</v>
      </c>
      <c r="J54" s="32" t="s">
        <v>152</v>
      </c>
      <c r="K54" s="33">
        <v>0</v>
      </c>
      <c r="X54" s="32" t="s">
        <v>48</v>
      </c>
      <c r="Y54" s="32" t="s">
        <v>148</v>
      </c>
      <c r="Z54" s="33">
        <v>2</v>
      </c>
      <c r="AA54" s="33">
        <v>0</v>
      </c>
      <c r="AB54" s="33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2" t="s">
        <v>63</v>
      </c>
      <c r="B55" s="32" t="s">
        <v>149</v>
      </c>
      <c r="C55" s="33">
        <v>2</v>
      </c>
      <c r="D55" s="33">
        <v>1</v>
      </c>
      <c r="E55" t="e">
        <f>VLOOKUP(A55,'6. Deposits 2024_Q1'!$A$35:$A$61,1,FALSE)</f>
        <v>#N/A</v>
      </c>
      <c r="G55" s="32" t="s">
        <v>48</v>
      </c>
      <c r="H55" s="32" t="s">
        <v>149</v>
      </c>
      <c r="I55" s="33">
        <v>10</v>
      </c>
      <c r="J55" s="32" t="s">
        <v>153</v>
      </c>
      <c r="K55" s="33">
        <v>0</v>
      </c>
      <c r="X55" s="32" t="s">
        <v>48</v>
      </c>
      <c r="Y55" s="32" t="s">
        <v>148</v>
      </c>
      <c r="Z55" s="33">
        <v>24</v>
      </c>
      <c r="AA55" s="33">
        <v>0</v>
      </c>
      <c r="AB55" s="33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2" t="s">
        <v>64</v>
      </c>
      <c r="B56" s="32" t="s">
        <v>149</v>
      </c>
      <c r="C56" s="33">
        <v>45</v>
      </c>
      <c r="D56" s="33">
        <v>1</v>
      </c>
      <c r="E56" t="e">
        <f>VLOOKUP(A56,'6. Deposits 2024_Q1'!$A$35:$A$61,1,FALSE)</f>
        <v>#N/A</v>
      </c>
      <c r="G56" s="32" t="s">
        <v>48</v>
      </c>
      <c r="H56" s="32" t="s">
        <v>149</v>
      </c>
      <c r="I56" s="33">
        <v>6</v>
      </c>
      <c r="J56" s="32" t="s">
        <v>154</v>
      </c>
      <c r="K56" s="33">
        <v>0</v>
      </c>
      <c r="X56" s="32" t="s">
        <v>48</v>
      </c>
      <c r="Y56" s="32" t="s">
        <v>149</v>
      </c>
      <c r="Z56" s="33">
        <v>38</v>
      </c>
      <c r="AA56" s="33">
        <v>0</v>
      </c>
      <c r="AB56" s="33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2" t="s">
        <v>65</v>
      </c>
      <c r="B57" s="32" t="s">
        <v>149</v>
      </c>
      <c r="C57" s="33">
        <v>12</v>
      </c>
      <c r="D57" s="33">
        <v>1</v>
      </c>
      <c r="E57" t="e">
        <f>VLOOKUP(A57,'6. Deposits 2024_Q1'!$A$35:$A$61,1,FALSE)</f>
        <v>#N/A</v>
      </c>
      <c r="G57" s="32" t="s">
        <v>48</v>
      </c>
      <c r="H57" s="32" t="s">
        <v>149</v>
      </c>
      <c r="I57" s="33">
        <v>5</v>
      </c>
      <c r="J57" s="32" t="s">
        <v>155</v>
      </c>
      <c r="K57" s="33">
        <v>0</v>
      </c>
      <c r="X57" s="32" t="s">
        <v>48</v>
      </c>
      <c r="Y57" s="32" t="s">
        <v>149</v>
      </c>
      <c r="Z57" s="33">
        <v>26</v>
      </c>
      <c r="AA57" s="33">
        <v>0</v>
      </c>
      <c r="AB57" s="33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2" t="s">
        <v>66</v>
      </c>
      <c r="B58" s="32" t="s">
        <v>149</v>
      </c>
      <c r="C58" s="33">
        <v>3</v>
      </c>
      <c r="D58" s="33">
        <v>1</v>
      </c>
      <c r="E58" t="e">
        <f>VLOOKUP(A58,'6. Deposits 2024_Q1'!$A$35:$A$61,1,FALSE)</f>
        <v>#N/A</v>
      </c>
      <c r="G58" s="32" t="s">
        <v>49</v>
      </c>
      <c r="H58" s="32" t="s">
        <v>148</v>
      </c>
      <c r="I58" s="33">
        <v>3</v>
      </c>
      <c r="J58" s="32" t="s">
        <v>153</v>
      </c>
      <c r="K58" s="33">
        <v>0</v>
      </c>
      <c r="X58" s="32" t="s">
        <v>48</v>
      </c>
      <c r="Y58" s="32" t="s">
        <v>149</v>
      </c>
      <c r="Z58" s="33">
        <v>80</v>
      </c>
      <c r="AA58" s="33">
        <v>0</v>
      </c>
      <c r="AB58" s="33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2" t="s">
        <v>67</v>
      </c>
      <c r="B59" s="32" t="s">
        <v>149</v>
      </c>
      <c r="C59" s="33">
        <v>11</v>
      </c>
      <c r="D59" s="33">
        <v>1</v>
      </c>
      <c r="E59" t="e">
        <f>VLOOKUP(A59,'6. Deposits 2024_Q1'!$A$35:$A$61,1,FALSE)</f>
        <v>#N/A</v>
      </c>
      <c r="G59" s="32" t="s">
        <v>49</v>
      </c>
      <c r="H59" s="32" t="s">
        <v>148</v>
      </c>
      <c r="I59" s="33">
        <v>2</v>
      </c>
      <c r="J59" s="32" t="s">
        <v>154</v>
      </c>
      <c r="K59" s="33">
        <v>0</v>
      </c>
      <c r="X59" s="32" t="s">
        <v>49</v>
      </c>
      <c r="Y59" s="32" t="s">
        <v>148</v>
      </c>
      <c r="Z59" s="33">
        <v>6</v>
      </c>
      <c r="AA59" s="33">
        <v>0</v>
      </c>
      <c r="AB59" s="33">
        <v>11</v>
      </c>
    </row>
    <row r="60" spans="1:35" ht="16" x14ac:dyDescent="0.2">
      <c r="A60" s="32" t="s">
        <v>68</v>
      </c>
      <c r="B60" s="32" t="s">
        <v>149</v>
      </c>
      <c r="C60" s="33">
        <v>31</v>
      </c>
      <c r="D60" s="33">
        <v>1</v>
      </c>
      <c r="E60" t="e">
        <f>VLOOKUP(A60,'6. Deposits 2024_Q1'!$A$35:$A$61,1,FALSE)</f>
        <v>#N/A</v>
      </c>
      <c r="G60" s="32" t="s">
        <v>49</v>
      </c>
      <c r="H60" s="32" t="s">
        <v>149</v>
      </c>
      <c r="I60" s="33">
        <v>9</v>
      </c>
      <c r="J60" s="32" t="s">
        <v>152</v>
      </c>
      <c r="K60" s="33">
        <v>0</v>
      </c>
      <c r="X60" s="32" t="s">
        <v>49</v>
      </c>
      <c r="Y60" s="32" t="s">
        <v>148</v>
      </c>
      <c r="Z60" s="33">
        <v>2</v>
      </c>
      <c r="AA60" s="33">
        <v>0</v>
      </c>
      <c r="AB60" s="33">
        <v>12</v>
      </c>
    </row>
    <row r="61" spans="1:35" ht="16" x14ac:dyDescent="0.2">
      <c r="A61" s="32" t="s">
        <v>69</v>
      </c>
      <c r="B61" s="32" t="s">
        <v>149</v>
      </c>
      <c r="C61" s="33">
        <v>1179</v>
      </c>
      <c r="D61" s="33">
        <v>1</v>
      </c>
      <c r="E61" t="e">
        <f>VLOOKUP(A61,'6. Deposits 2024_Q1'!$A$35:$A$61,1,FALSE)</f>
        <v>#N/A</v>
      </c>
      <c r="G61" s="32" t="s">
        <v>49</v>
      </c>
      <c r="H61" s="32" t="s">
        <v>149</v>
      </c>
      <c r="I61" s="33">
        <v>2</v>
      </c>
      <c r="J61" s="32" t="s">
        <v>153</v>
      </c>
      <c r="K61" s="33">
        <v>0</v>
      </c>
      <c r="X61" s="32" t="s">
        <v>49</v>
      </c>
      <c r="Y61" s="32" t="s">
        <v>149</v>
      </c>
      <c r="Z61" s="33">
        <v>20</v>
      </c>
      <c r="AA61" s="33">
        <v>0</v>
      </c>
      <c r="AB61" s="33">
        <v>10</v>
      </c>
    </row>
    <row r="62" spans="1:35" ht="16" x14ac:dyDescent="0.2">
      <c r="A62" s="32" t="s">
        <v>70</v>
      </c>
      <c r="B62" s="32" t="s">
        <v>149</v>
      </c>
      <c r="C62" s="33">
        <v>3</v>
      </c>
      <c r="D62" s="33">
        <v>1</v>
      </c>
      <c r="E62" t="e">
        <f>VLOOKUP(A62,'6. Deposits 2024_Q1'!$A$35:$A$61,1,FALSE)</f>
        <v>#N/A</v>
      </c>
      <c r="G62" s="32" t="s">
        <v>49</v>
      </c>
      <c r="H62" s="32" t="s">
        <v>149</v>
      </c>
      <c r="I62" s="33">
        <v>3</v>
      </c>
      <c r="J62" s="32" t="s">
        <v>154</v>
      </c>
      <c r="K62" s="33">
        <v>0</v>
      </c>
      <c r="X62" s="32" t="s">
        <v>49</v>
      </c>
      <c r="Y62" s="32" t="s">
        <v>149</v>
      </c>
      <c r="Z62" s="33">
        <v>30</v>
      </c>
      <c r="AA62" s="33">
        <v>0</v>
      </c>
      <c r="AB62" s="33">
        <v>11</v>
      </c>
    </row>
    <row r="63" spans="1:35" ht="16" x14ac:dyDescent="0.2">
      <c r="G63" s="32" t="s">
        <v>49</v>
      </c>
      <c r="H63" s="32" t="s">
        <v>149</v>
      </c>
      <c r="I63" s="33">
        <v>7</v>
      </c>
      <c r="J63" s="32" t="s">
        <v>155</v>
      </c>
      <c r="K63" s="33">
        <v>0</v>
      </c>
      <c r="X63" s="32" t="s">
        <v>49</v>
      </c>
      <c r="Y63" s="32" t="s">
        <v>149</v>
      </c>
      <c r="Z63" s="33">
        <v>38</v>
      </c>
      <c r="AA63" s="33">
        <v>0</v>
      </c>
      <c r="AB63" s="33">
        <v>12</v>
      </c>
    </row>
    <row r="64" spans="1:35" ht="16" x14ac:dyDescent="0.2">
      <c r="G64" s="32" t="s">
        <v>50</v>
      </c>
      <c r="H64" s="32" t="s">
        <v>149</v>
      </c>
      <c r="I64" s="33">
        <v>1</v>
      </c>
      <c r="J64" s="32" t="s">
        <v>152</v>
      </c>
      <c r="K64" s="33">
        <v>0</v>
      </c>
      <c r="X64" s="32" t="s">
        <v>50</v>
      </c>
      <c r="Y64" s="32" t="s">
        <v>149</v>
      </c>
      <c r="Z64" s="33">
        <v>24</v>
      </c>
      <c r="AA64" s="33">
        <v>0</v>
      </c>
      <c r="AB64" s="33">
        <v>10</v>
      </c>
    </row>
    <row r="65" spans="7:28" ht="16" x14ac:dyDescent="0.2">
      <c r="G65" s="32" t="s">
        <v>50</v>
      </c>
      <c r="H65" s="32" t="s">
        <v>149</v>
      </c>
      <c r="I65" s="33">
        <v>4</v>
      </c>
      <c r="J65" s="32" t="s">
        <v>154</v>
      </c>
      <c r="K65" s="33">
        <v>0</v>
      </c>
      <c r="X65" s="32" t="s">
        <v>50</v>
      </c>
      <c r="Y65" s="32" t="s">
        <v>149</v>
      </c>
      <c r="Z65" s="33">
        <v>14</v>
      </c>
      <c r="AA65" s="33">
        <v>0</v>
      </c>
      <c r="AB65" s="33">
        <v>11</v>
      </c>
    </row>
    <row r="66" spans="7:28" ht="16" x14ac:dyDescent="0.2">
      <c r="G66" s="32" t="s">
        <v>51</v>
      </c>
      <c r="H66" s="32" t="s">
        <v>149</v>
      </c>
      <c r="I66" s="33">
        <v>1</v>
      </c>
      <c r="J66" s="32" t="s">
        <v>154</v>
      </c>
      <c r="K66" s="33">
        <v>0</v>
      </c>
      <c r="X66" s="32" t="s">
        <v>50</v>
      </c>
      <c r="Y66" s="32" t="s">
        <v>149</v>
      </c>
      <c r="Z66" s="33">
        <v>40</v>
      </c>
      <c r="AA66" s="33">
        <v>0</v>
      </c>
      <c r="AB66" s="33">
        <v>12</v>
      </c>
    </row>
    <row r="67" spans="7:28" ht="16" x14ac:dyDescent="0.2">
      <c r="G67" s="32" t="s">
        <v>52</v>
      </c>
      <c r="H67" s="32" t="s">
        <v>148</v>
      </c>
      <c r="I67" s="33">
        <v>2</v>
      </c>
      <c r="J67" s="32" t="s">
        <v>152</v>
      </c>
      <c r="K67" s="33">
        <v>0</v>
      </c>
      <c r="X67" s="32" t="s">
        <v>51</v>
      </c>
      <c r="Y67" s="32" t="s">
        <v>149</v>
      </c>
      <c r="Z67" s="33">
        <v>4</v>
      </c>
      <c r="AA67" s="33">
        <v>0</v>
      </c>
      <c r="AB67" s="33">
        <v>10</v>
      </c>
    </row>
    <row r="68" spans="7:28" ht="16" x14ac:dyDescent="0.2">
      <c r="G68" s="32" t="s">
        <v>52</v>
      </c>
      <c r="H68" s="32" t="s">
        <v>148</v>
      </c>
      <c r="I68" s="33">
        <v>1</v>
      </c>
      <c r="J68" s="32" t="s">
        <v>155</v>
      </c>
      <c r="K68" s="33">
        <v>0</v>
      </c>
      <c r="X68" s="32" t="s">
        <v>51</v>
      </c>
      <c r="Y68" s="32" t="s">
        <v>149</v>
      </c>
      <c r="Z68" s="33">
        <v>4</v>
      </c>
      <c r="AA68" s="33">
        <v>0</v>
      </c>
      <c r="AB68" s="33">
        <v>11</v>
      </c>
    </row>
    <row r="69" spans="7:28" ht="16" x14ac:dyDescent="0.2">
      <c r="G69" s="32" t="s">
        <v>52</v>
      </c>
      <c r="H69" s="32" t="s">
        <v>149</v>
      </c>
      <c r="I69" s="33">
        <v>42</v>
      </c>
      <c r="J69" s="32" t="s">
        <v>152</v>
      </c>
      <c r="K69" s="33">
        <v>0</v>
      </c>
      <c r="X69" s="32" t="s">
        <v>51</v>
      </c>
      <c r="Y69" s="32" t="s">
        <v>149</v>
      </c>
      <c r="Z69" s="33">
        <v>2</v>
      </c>
      <c r="AA69" s="33">
        <v>0</v>
      </c>
      <c r="AB69" s="33">
        <v>12</v>
      </c>
    </row>
    <row r="70" spans="7:28" ht="16" x14ac:dyDescent="0.2">
      <c r="G70" s="32" t="s">
        <v>52</v>
      </c>
      <c r="H70" s="32" t="s">
        <v>149</v>
      </c>
      <c r="I70" s="33">
        <v>27</v>
      </c>
      <c r="J70" s="32" t="s">
        <v>153</v>
      </c>
      <c r="K70" s="33">
        <v>0</v>
      </c>
      <c r="X70" s="32" t="s">
        <v>52</v>
      </c>
      <c r="Y70" s="32" t="s">
        <v>148</v>
      </c>
      <c r="Z70" s="33">
        <v>8</v>
      </c>
      <c r="AA70" s="33">
        <v>0</v>
      </c>
      <c r="AB70" s="33">
        <v>10</v>
      </c>
    </row>
    <row r="71" spans="7:28" ht="16" x14ac:dyDescent="0.2">
      <c r="G71" s="32" t="s">
        <v>52</v>
      </c>
      <c r="H71" s="32" t="s">
        <v>149</v>
      </c>
      <c r="I71" s="33">
        <v>12</v>
      </c>
      <c r="J71" s="32" t="s">
        <v>154</v>
      </c>
      <c r="K71" s="33">
        <v>0</v>
      </c>
      <c r="X71" s="32" t="s">
        <v>52</v>
      </c>
      <c r="Y71" s="32" t="s">
        <v>148</v>
      </c>
      <c r="Z71" s="33">
        <v>14</v>
      </c>
      <c r="AA71" s="33">
        <v>0</v>
      </c>
      <c r="AB71" s="33">
        <v>11</v>
      </c>
    </row>
    <row r="72" spans="7:28" ht="16" x14ac:dyDescent="0.2">
      <c r="G72" s="32" t="s">
        <v>52</v>
      </c>
      <c r="H72" s="32" t="s">
        <v>149</v>
      </c>
      <c r="I72" s="33">
        <v>36</v>
      </c>
      <c r="J72" s="32" t="s">
        <v>155</v>
      </c>
      <c r="K72" s="33">
        <v>0</v>
      </c>
      <c r="X72" s="32" t="s">
        <v>52</v>
      </c>
      <c r="Y72" s="32" t="s">
        <v>148</v>
      </c>
      <c r="Z72" s="33">
        <v>4</v>
      </c>
      <c r="AA72" s="33">
        <v>0</v>
      </c>
      <c r="AB72" s="33">
        <v>12</v>
      </c>
    </row>
    <row r="73" spans="7:28" ht="16" x14ac:dyDescent="0.2">
      <c r="G73" s="32" t="s">
        <v>53</v>
      </c>
      <c r="H73" s="32" t="s">
        <v>148</v>
      </c>
      <c r="I73" s="33">
        <v>17</v>
      </c>
      <c r="J73" s="32" t="s">
        <v>152</v>
      </c>
      <c r="K73" s="33">
        <v>0</v>
      </c>
      <c r="X73" s="32" t="s">
        <v>52</v>
      </c>
      <c r="Y73" s="32" t="s">
        <v>149</v>
      </c>
      <c r="Z73" s="33">
        <v>114</v>
      </c>
      <c r="AA73" s="33">
        <v>0</v>
      </c>
      <c r="AB73" s="33">
        <v>10</v>
      </c>
    </row>
    <row r="74" spans="7:28" ht="16" x14ac:dyDescent="0.2">
      <c r="G74" s="32" t="s">
        <v>53</v>
      </c>
      <c r="H74" s="32" t="s">
        <v>148</v>
      </c>
      <c r="I74" s="33">
        <v>6</v>
      </c>
      <c r="J74" s="32" t="s">
        <v>154</v>
      </c>
      <c r="K74" s="33">
        <v>0</v>
      </c>
      <c r="X74" s="32" t="s">
        <v>52</v>
      </c>
      <c r="Y74" s="32" t="s">
        <v>149</v>
      </c>
      <c r="Z74" s="33">
        <v>190</v>
      </c>
      <c r="AA74" s="33">
        <v>0</v>
      </c>
      <c r="AB74" s="33">
        <v>11</v>
      </c>
    </row>
    <row r="75" spans="7:28" ht="16" x14ac:dyDescent="0.2">
      <c r="G75" s="32" t="s">
        <v>53</v>
      </c>
      <c r="H75" s="32" t="s">
        <v>148</v>
      </c>
      <c r="I75" s="33">
        <v>2</v>
      </c>
      <c r="J75" s="32" t="s">
        <v>155</v>
      </c>
      <c r="K75" s="33">
        <v>0</v>
      </c>
      <c r="X75" s="32" t="s">
        <v>52</v>
      </c>
      <c r="Y75" s="32" t="s">
        <v>149</v>
      </c>
      <c r="Z75" s="33">
        <v>106</v>
      </c>
      <c r="AA75" s="33">
        <v>0</v>
      </c>
      <c r="AB75" s="33">
        <v>12</v>
      </c>
    </row>
    <row r="76" spans="7:28" ht="16" x14ac:dyDescent="0.2">
      <c r="G76" s="32" t="s">
        <v>53</v>
      </c>
      <c r="H76" s="32" t="s">
        <v>149</v>
      </c>
      <c r="I76" s="33">
        <v>23</v>
      </c>
      <c r="J76" s="32" t="s">
        <v>152</v>
      </c>
      <c r="K76" s="33">
        <v>0</v>
      </c>
      <c r="X76" s="32" t="s">
        <v>53</v>
      </c>
      <c r="Y76" s="32" t="s">
        <v>148</v>
      </c>
      <c r="Z76" s="33">
        <v>12</v>
      </c>
      <c r="AA76" s="33">
        <v>0</v>
      </c>
      <c r="AB76" s="33">
        <v>10</v>
      </c>
    </row>
    <row r="77" spans="7:28" ht="16" x14ac:dyDescent="0.2">
      <c r="G77" s="32" t="s">
        <v>53</v>
      </c>
      <c r="H77" s="32" t="s">
        <v>149</v>
      </c>
      <c r="I77" s="33">
        <v>30</v>
      </c>
      <c r="J77" s="32" t="s">
        <v>153</v>
      </c>
      <c r="K77" s="33">
        <v>0</v>
      </c>
      <c r="X77" s="32" t="s">
        <v>53</v>
      </c>
      <c r="Y77" s="32" t="s">
        <v>148</v>
      </c>
      <c r="Z77" s="33">
        <v>26</v>
      </c>
      <c r="AA77" s="33">
        <v>0</v>
      </c>
      <c r="AB77" s="33">
        <v>11</v>
      </c>
    </row>
    <row r="78" spans="7:28" ht="16" x14ac:dyDescent="0.2">
      <c r="G78" s="32" t="s">
        <v>53</v>
      </c>
      <c r="H78" s="32" t="s">
        <v>149</v>
      </c>
      <c r="I78" s="33">
        <v>15</v>
      </c>
      <c r="J78" s="32" t="s">
        <v>154</v>
      </c>
      <c r="K78" s="33">
        <v>0</v>
      </c>
      <c r="X78" s="32" t="s">
        <v>53</v>
      </c>
      <c r="Y78" s="32" t="s">
        <v>148</v>
      </c>
      <c r="Z78" s="33">
        <v>18</v>
      </c>
      <c r="AA78" s="33">
        <v>0</v>
      </c>
      <c r="AB78" s="33">
        <v>12</v>
      </c>
    </row>
    <row r="79" spans="7:28" ht="16" x14ac:dyDescent="0.2">
      <c r="G79" s="32" t="s">
        <v>53</v>
      </c>
      <c r="H79" s="32" t="s">
        <v>149</v>
      </c>
      <c r="I79" s="33">
        <v>31</v>
      </c>
      <c r="J79" s="32" t="s">
        <v>155</v>
      </c>
      <c r="K79" s="33">
        <v>0</v>
      </c>
      <c r="X79" s="32" t="s">
        <v>53</v>
      </c>
      <c r="Y79" s="32" t="s">
        <v>149</v>
      </c>
      <c r="Z79" s="33">
        <v>100</v>
      </c>
      <c r="AA79" s="33">
        <v>0</v>
      </c>
      <c r="AB79" s="33">
        <v>10</v>
      </c>
    </row>
    <row r="80" spans="7:28" ht="16" x14ac:dyDescent="0.2">
      <c r="G80" s="32" t="s">
        <v>54</v>
      </c>
      <c r="H80" s="32" t="s">
        <v>149</v>
      </c>
      <c r="I80" s="33">
        <v>4</v>
      </c>
      <c r="J80" s="32" t="s">
        <v>152</v>
      </c>
      <c r="K80" s="33">
        <v>0</v>
      </c>
      <c r="X80" s="32" t="s">
        <v>53</v>
      </c>
      <c r="Y80" s="32" t="s">
        <v>149</v>
      </c>
      <c r="Z80" s="33">
        <v>182</v>
      </c>
      <c r="AA80" s="33">
        <v>0</v>
      </c>
      <c r="AB80" s="33">
        <v>11</v>
      </c>
    </row>
    <row r="81" spans="7:28" ht="16" x14ac:dyDescent="0.2">
      <c r="G81" s="32" t="s">
        <v>54</v>
      </c>
      <c r="H81" s="32" t="s">
        <v>149</v>
      </c>
      <c r="I81" s="33">
        <v>2</v>
      </c>
      <c r="J81" s="32" t="s">
        <v>153</v>
      </c>
      <c r="K81" s="33">
        <v>0</v>
      </c>
      <c r="X81" s="32" t="s">
        <v>53</v>
      </c>
      <c r="Y81" s="32" t="s">
        <v>149</v>
      </c>
      <c r="Z81" s="33">
        <v>230</v>
      </c>
      <c r="AA81" s="33">
        <v>0</v>
      </c>
      <c r="AB81" s="33">
        <v>12</v>
      </c>
    </row>
    <row r="82" spans="7:28" ht="16" x14ac:dyDescent="0.2">
      <c r="G82" s="32" t="s">
        <v>54</v>
      </c>
      <c r="H82" s="32" t="s">
        <v>149</v>
      </c>
      <c r="I82" s="33">
        <v>3</v>
      </c>
      <c r="J82" s="32" t="s">
        <v>154</v>
      </c>
      <c r="K82" s="33">
        <v>0</v>
      </c>
      <c r="X82" s="32" t="s">
        <v>54</v>
      </c>
      <c r="Y82" s="32" t="s">
        <v>149</v>
      </c>
      <c r="Z82" s="33">
        <v>22</v>
      </c>
      <c r="AA82" s="33">
        <v>0</v>
      </c>
      <c r="AB82" s="33">
        <v>10</v>
      </c>
    </row>
    <row r="83" spans="7:28" ht="16" x14ac:dyDescent="0.2">
      <c r="G83" s="32" t="s">
        <v>54</v>
      </c>
      <c r="H83" s="32" t="s">
        <v>149</v>
      </c>
      <c r="I83" s="33">
        <v>1</v>
      </c>
      <c r="J83" s="32" t="s">
        <v>155</v>
      </c>
      <c r="K83" s="33">
        <v>0</v>
      </c>
      <c r="X83" s="32" t="s">
        <v>54</v>
      </c>
      <c r="Y83" s="32" t="s">
        <v>149</v>
      </c>
      <c r="Z83" s="33">
        <v>26</v>
      </c>
      <c r="AA83" s="33">
        <v>0</v>
      </c>
      <c r="AB83" s="33">
        <v>11</v>
      </c>
    </row>
    <row r="84" spans="7:28" ht="16" x14ac:dyDescent="0.2">
      <c r="G84" s="32" t="s">
        <v>55</v>
      </c>
      <c r="H84" s="32" t="s">
        <v>148</v>
      </c>
      <c r="I84" s="33">
        <v>2</v>
      </c>
      <c r="J84" s="32" t="s">
        <v>152</v>
      </c>
      <c r="K84" s="33">
        <v>0</v>
      </c>
      <c r="X84" s="32" t="s">
        <v>54</v>
      </c>
      <c r="Y84" s="32" t="s">
        <v>149</v>
      </c>
      <c r="Z84" s="33">
        <v>28</v>
      </c>
      <c r="AA84" s="33">
        <v>0</v>
      </c>
      <c r="AB84" s="33">
        <v>12</v>
      </c>
    </row>
    <row r="85" spans="7:28" ht="16" x14ac:dyDescent="0.2">
      <c r="G85" s="32" t="s">
        <v>55</v>
      </c>
      <c r="H85" s="32" t="s">
        <v>149</v>
      </c>
      <c r="I85" s="33">
        <v>24</v>
      </c>
      <c r="J85" s="32" t="s">
        <v>152</v>
      </c>
      <c r="K85" s="33">
        <v>0</v>
      </c>
      <c r="X85" s="32" t="s">
        <v>55</v>
      </c>
      <c r="Y85" s="32" t="s">
        <v>148</v>
      </c>
      <c r="Z85" s="33">
        <v>6</v>
      </c>
      <c r="AA85" s="33">
        <v>0</v>
      </c>
      <c r="AB85" s="33">
        <v>10</v>
      </c>
    </row>
    <row r="86" spans="7:28" ht="16" x14ac:dyDescent="0.2">
      <c r="G86" s="32" t="s">
        <v>55</v>
      </c>
      <c r="H86" s="32" t="s">
        <v>149</v>
      </c>
      <c r="I86" s="33">
        <v>4</v>
      </c>
      <c r="J86" s="32" t="s">
        <v>153</v>
      </c>
      <c r="K86" s="33">
        <v>0</v>
      </c>
      <c r="X86" s="32" t="s">
        <v>55</v>
      </c>
      <c r="Y86" s="32" t="s">
        <v>148</v>
      </c>
      <c r="Z86" s="33">
        <v>2</v>
      </c>
      <c r="AA86" s="33">
        <v>0</v>
      </c>
      <c r="AB86" s="33">
        <v>11</v>
      </c>
    </row>
    <row r="87" spans="7:28" ht="16" x14ac:dyDescent="0.2">
      <c r="G87" s="32" t="s">
        <v>55</v>
      </c>
      <c r="H87" s="32" t="s">
        <v>149</v>
      </c>
      <c r="I87" s="33">
        <v>4</v>
      </c>
      <c r="J87" s="32" t="s">
        <v>154</v>
      </c>
      <c r="K87" s="33">
        <v>0</v>
      </c>
      <c r="X87" s="32" t="s">
        <v>55</v>
      </c>
      <c r="Y87" s="32" t="s">
        <v>148</v>
      </c>
      <c r="Z87" s="33">
        <v>10</v>
      </c>
      <c r="AA87" s="33">
        <v>0</v>
      </c>
      <c r="AB87" s="33">
        <v>12</v>
      </c>
    </row>
    <row r="88" spans="7:28" ht="16" x14ac:dyDescent="0.2">
      <c r="G88" s="32" t="s">
        <v>55</v>
      </c>
      <c r="H88" s="32" t="s">
        <v>149</v>
      </c>
      <c r="I88" s="33">
        <v>10</v>
      </c>
      <c r="J88" s="32" t="s">
        <v>155</v>
      </c>
      <c r="K88" s="33">
        <v>0</v>
      </c>
      <c r="X88" s="32" t="s">
        <v>55</v>
      </c>
      <c r="Y88" s="32" t="s">
        <v>149</v>
      </c>
      <c r="Z88" s="33">
        <v>60</v>
      </c>
      <c r="AA88" s="33">
        <v>0</v>
      </c>
      <c r="AB88" s="33">
        <v>10</v>
      </c>
    </row>
    <row r="89" spans="7:28" ht="16" x14ac:dyDescent="0.2">
      <c r="G89" s="32" t="s">
        <v>56</v>
      </c>
      <c r="H89" s="32" t="s">
        <v>148</v>
      </c>
      <c r="I89" s="33">
        <v>2</v>
      </c>
      <c r="J89" s="32" t="s">
        <v>152</v>
      </c>
      <c r="K89" s="33">
        <v>0</v>
      </c>
      <c r="X89" s="32" t="s">
        <v>55</v>
      </c>
      <c r="Y89" s="32" t="s">
        <v>149</v>
      </c>
      <c r="Z89" s="33">
        <v>84</v>
      </c>
      <c r="AA89" s="33">
        <v>0</v>
      </c>
      <c r="AB89" s="33">
        <v>11</v>
      </c>
    </row>
    <row r="90" spans="7:28" ht="16" x14ac:dyDescent="0.2">
      <c r="G90" s="32" t="s">
        <v>56</v>
      </c>
      <c r="H90" s="32" t="s">
        <v>148</v>
      </c>
      <c r="I90" s="33">
        <v>2</v>
      </c>
      <c r="J90" s="32" t="s">
        <v>153</v>
      </c>
      <c r="K90" s="33">
        <v>0</v>
      </c>
      <c r="X90" s="32" t="s">
        <v>55</v>
      </c>
      <c r="Y90" s="32" t="s">
        <v>149</v>
      </c>
      <c r="Z90" s="33">
        <v>162</v>
      </c>
      <c r="AA90" s="33">
        <v>0</v>
      </c>
      <c r="AB90" s="33">
        <v>12</v>
      </c>
    </row>
    <row r="91" spans="7:28" ht="16" x14ac:dyDescent="0.2">
      <c r="G91" s="32" t="s">
        <v>56</v>
      </c>
      <c r="H91" s="32" t="s">
        <v>148</v>
      </c>
      <c r="I91" s="33">
        <v>2</v>
      </c>
      <c r="J91" s="32" t="s">
        <v>154</v>
      </c>
      <c r="K91" s="33">
        <v>0</v>
      </c>
      <c r="X91" s="32" t="s">
        <v>56</v>
      </c>
      <c r="Y91" s="32" t="s">
        <v>148</v>
      </c>
      <c r="Z91" s="33">
        <v>2</v>
      </c>
      <c r="AA91" s="33">
        <v>0</v>
      </c>
      <c r="AB91" s="33">
        <v>10</v>
      </c>
    </row>
    <row r="92" spans="7:28" ht="16" x14ac:dyDescent="0.2">
      <c r="G92" s="32" t="s">
        <v>56</v>
      </c>
      <c r="H92" s="32" t="s">
        <v>149</v>
      </c>
      <c r="I92" s="33">
        <v>16</v>
      </c>
      <c r="J92" s="32" t="s">
        <v>152</v>
      </c>
      <c r="K92" s="33">
        <v>0</v>
      </c>
      <c r="X92" s="32" t="s">
        <v>56</v>
      </c>
      <c r="Y92" s="32" t="s">
        <v>148</v>
      </c>
      <c r="Z92" s="33">
        <v>4</v>
      </c>
      <c r="AA92" s="33">
        <v>0</v>
      </c>
      <c r="AB92" s="33">
        <v>11</v>
      </c>
    </row>
    <row r="93" spans="7:28" ht="16" x14ac:dyDescent="0.2">
      <c r="G93" s="32" t="s">
        <v>56</v>
      </c>
      <c r="H93" s="32" t="s">
        <v>149</v>
      </c>
      <c r="I93" s="33">
        <v>12</v>
      </c>
      <c r="J93" s="32" t="s">
        <v>153</v>
      </c>
      <c r="K93" s="33">
        <v>0</v>
      </c>
      <c r="X93" s="32" t="s">
        <v>56</v>
      </c>
      <c r="Y93" s="32" t="s">
        <v>148</v>
      </c>
      <c r="Z93" s="33">
        <v>16</v>
      </c>
      <c r="AA93" s="33">
        <v>0</v>
      </c>
      <c r="AB93" s="33">
        <v>12</v>
      </c>
    </row>
    <row r="94" spans="7:28" ht="16" x14ac:dyDescent="0.2">
      <c r="G94" s="32" t="s">
        <v>56</v>
      </c>
      <c r="H94" s="32" t="s">
        <v>149</v>
      </c>
      <c r="I94" s="33">
        <v>8</v>
      </c>
      <c r="J94" s="32" t="s">
        <v>154</v>
      </c>
      <c r="K94" s="33">
        <v>0</v>
      </c>
      <c r="X94" s="32" t="s">
        <v>56</v>
      </c>
      <c r="Y94" s="32" t="s">
        <v>149</v>
      </c>
      <c r="Z94" s="33">
        <v>86</v>
      </c>
      <c r="AA94" s="33">
        <v>0</v>
      </c>
      <c r="AB94" s="33">
        <v>10</v>
      </c>
    </row>
    <row r="95" spans="7:28" ht="16" x14ac:dyDescent="0.2">
      <c r="G95" s="32" t="s">
        <v>56</v>
      </c>
      <c r="H95" s="32" t="s">
        <v>149</v>
      </c>
      <c r="I95" s="33">
        <v>10</v>
      </c>
      <c r="J95" s="32" t="s">
        <v>155</v>
      </c>
      <c r="K95" s="33">
        <v>0</v>
      </c>
      <c r="X95" s="32" t="s">
        <v>56</v>
      </c>
      <c r="Y95" s="32" t="s">
        <v>149</v>
      </c>
      <c r="Z95" s="33">
        <v>82</v>
      </c>
      <c r="AA95" s="33">
        <v>0</v>
      </c>
      <c r="AB95" s="33">
        <v>11</v>
      </c>
    </row>
    <row r="96" spans="7:28" ht="16" x14ac:dyDescent="0.2">
      <c r="G96" s="32" t="s">
        <v>57</v>
      </c>
      <c r="H96" s="32" t="s">
        <v>149</v>
      </c>
      <c r="I96" s="33">
        <v>1</v>
      </c>
      <c r="J96" s="32" t="s">
        <v>152</v>
      </c>
      <c r="K96" s="33">
        <v>0</v>
      </c>
      <c r="X96" s="32" t="s">
        <v>56</v>
      </c>
      <c r="Y96" s="32" t="s">
        <v>149</v>
      </c>
      <c r="Z96" s="33">
        <v>154</v>
      </c>
      <c r="AA96" s="33">
        <v>0</v>
      </c>
      <c r="AB96" s="33">
        <v>12</v>
      </c>
    </row>
    <row r="97" spans="7:28" ht="16" x14ac:dyDescent="0.2">
      <c r="G97" s="32" t="s">
        <v>57</v>
      </c>
      <c r="H97" s="32" t="s">
        <v>149</v>
      </c>
      <c r="I97" s="33">
        <v>1</v>
      </c>
      <c r="J97" s="32" t="s">
        <v>154</v>
      </c>
      <c r="K97" s="33">
        <v>0</v>
      </c>
      <c r="X97" s="32" t="s">
        <v>57</v>
      </c>
      <c r="Y97" s="32" t="s">
        <v>148</v>
      </c>
      <c r="Z97" s="33">
        <v>4</v>
      </c>
      <c r="AA97" s="33">
        <v>0</v>
      </c>
      <c r="AB97" s="33">
        <v>12</v>
      </c>
    </row>
    <row r="98" spans="7:28" ht="16" x14ac:dyDescent="0.2">
      <c r="G98" s="32" t="s">
        <v>58</v>
      </c>
      <c r="H98" s="32" t="s">
        <v>149</v>
      </c>
      <c r="I98" s="33">
        <v>7</v>
      </c>
      <c r="J98" s="32" t="s">
        <v>152</v>
      </c>
      <c r="K98" s="33">
        <v>0</v>
      </c>
      <c r="X98" s="32" t="s">
        <v>57</v>
      </c>
      <c r="Y98" s="32" t="s">
        <v>149</v>
      </c>
      <c r="Z98" s="33">
        <v>6</v>
      </c>
      <c r="AA98" s="33">
        <v>0</v>
      </c>
      <c r="AB98" s="33">
        <v>10</v>
      </c>
    </row>
    <row r="99" spans="7:28" ht="16" x14ac:dyDescent="0.2">
      <c r="G99" s="32" t="s">
        <v>58</v>
      </c>
      <c r="H99" s="32" t="s">
        <v>149</v>
      </c>
      <c r="I99" s="33">
        <v>9</v>
      </c>
      <c r="J99" s="32" t="s">
        <v>153</v>
      </c>
      <c r="K99" s="33">
        <v>0</v>
      </c>
      <c r="X99" s="32" t="s">
        <v>57</v>
      </c>
      <c r="Y99" s="32" t="s">
        <v>149</v>
      </c>
      <c r="Z99" s="33">
        <v>2</v>
      </c>
      <c r="AA99" s="33">
        <v>0</v>
      </c>
      <c r="AB99" s="33">
        <v>11</v>
      </c>
    </row>
    <row r="100" spans="7:28" ht="16" x14ac:dyDescent="0.2">
      <c r="G100" s="32" t="s">
        <v>58</v>
      </c>
      <c r="H100" s="32" t="s">
        <v>149</v>
      </c>
      <c r="I100" s="33">
        <v>10</v>
      </c>
      <c r="J100" s="32" t="s">
        <v>155</v>
      </c>
      <c r="K100" s="33">
        <v>0</v>
      </c>
      <c r="X100" s="32" t="s">
        <v>57</v>
      </c>
      <c r="Y100" s="32" t="s">
        <v>149</v>
      </c>
      <c r="Z100" s="33">
        <v>22</v>
      </c>
      <c r="AA100" s="33">
        <v>0</v>
      </c>
      <c r="AB100" s="33">
        <v>12</v>
      </c>
    </row>
    <row r="101" spans="7:28" ht="16" x14ac:dyDescent="0.2">
      <c r="G101" s="32" t="s">
        <v>60</v>
      </c>
      <c r="H101" s="32" t="s">
        <v>149</v>
      </c>
      <c r="I101" s="33">
        <v>2</v>
      </c>
      <c r="J101" s="32" t="s">
        <v>154</v>
      </c>
      <c r="K101" s="33">
        <v>0</v>
      </c>
      <c r="X101" s="32" t="s">
        <v>58</v>
      </c>
      <c r="Y101" s="32" t="s">
        <v>148</v>
      </c>
      <c r="Z101" s="33">
        <v>2</v>
      </c>
      <c r="AA101" s="33">
        <v>0</v>
      </c>
      <c r="AB101" s="33">
        <v>10</v>
      </c>
    </row>
    <row r="102" spans="7:28" ht="16" x14ac:dyDescent="0.2">
      <c r="G102" s="32" t="s">
        <v>60</v>
      </c>
      <c r="H102" s="32" t="s">
        <v>149</v>
      </c>
      <c r="I102" s="33">
        <v>2</v>
      </c>
      <c r="J102" s="32" t="s">
        <v>155</v>
      </c>
      <c r="K102" s="33">
        <v>0</v>
      </c>
      <c r="X102" s="32" t="s">
        <v>58</v>
      </c>
      <c r="Y102" s="32" t="s">
        <v>148</v>
      </c>
      <c r="Z102" s="33">
        <v>2</v>
      </c>
      <c r="AA102" s="33">
        <v>0</v>
      </c>
      <c r="AB102" s="33">
        <v>11</v>
      </c>
    </row>
    <row r="103" spans="7:28" ht="16" x14ac:dyDescent="0.2">
      <c r="G103" s="32" t="s">
        <v>61</v>
      </c>
      <c r="H103" s="32" t="s">
        <v>148</v>
      </c>
      <c r="I103" s="33">
        <v>2</v>
      </c>
      <c r="J103" s="32" t="s">
        <v>153</v>
      </c>
      <c r="K103" s="33">
        <v>0</v>
      </c>
      <c r="X103" s="32" t="s">
        <v>58</v>
      </c>
      <c r="Y103" s="32" t="s">
        <v>148</v>
      </c>
      <c r="Z103" s="33">
        <v>4</v>
      </c>
      <c r="AA103" s="33">
        <v>0</v>
      </c>
      <c r="AB103" s="33">
        <v>12</v>
      </c>
    </row>
    <row r="104" spans="7:28" ht="16" x14ac:dyDescent="0.2">
      <c r="G104" s="32" t="s">
        <v>61</v>
      </c>
      <c r="H104" s="32" t="s">
        <v>149</v>
      </c>
      <c r="I104" s="33">
        <v>29</v>
      </c>
      <c r="J104" s="32" t="s">
        <v>152</v>
      </c>
      <c r="K104" s="33">
        <v>0</v>
      </c>
      <c r="X104" s="32" t="s">
        <v>58</v>
      </c>
      <c r="Y104" s="32" t="s">
        <v>149</v>
      </c>
      <c r="Z104" s="33">
        <v>62</v>
      </c>
      <c r="AA104" s="33">
        <v>0</v>
      </c>
      <c r="AB104" s="33">
        <v>10</v>
      </c>
    </row>
    <row r="105" spans="7:28" ht="16" x14ac:dyDescent="0.2">
      <c r="G105" s="32" t="s">
        <v>61</v>
      </c>
      <c r="H105" s="32" t="s">
        <v>149</v>
      </c>
      <c r="I105" s="33">
        <v>17</v>
      </c>
      <c r="J105" s="32" t="s">
        <v>153</v>
      </c>
      <c r="K105" s="33">
        <v>0</v>
      </c>
      <c r="X105" s="32" t="s">
        <v>58</v>
      </c>
      <c r="Y105" s="32" t="s">
        <v>149</v>
      </c>
      <c r="Z105" s="33">
        <v>58</v>
      </c>
      <c r="AA105" s="33">
        <v>0</v>
      </c>
      <c r="AB105" s="33">
        <v>11</v>
      </c>
    </row>
    <row r="106" spans="7:28" ht="16" x14ac:dyDescent="0.2">
      <c r="G106" s="32" t="s">
        <v>61</v>
      </c>
      <c r="H106" s="32" t="s">
        <v>149</v>
      </c>
      <c r="I106" s="33">
        <v>4</v>
      </c>
      <c r="J106" s="32" t="s">
        <v>154</v>
      </c>
      <c r="K106" s="33">
        <v>0</v>
      </c>
      <c r="X106" s="32" t="s">
        <v>58</v>
      </c>
      <c r="Y106" s="32" t="s">
        <v>149</v>
      </c>
      <c r="Z106" s="33">
        <v>62</v>
      </c>
      <c r="AA106" s="33">
        <v>0</v>
      </c>
      <c r="AB106" s="33">
        <v>12</v>
      </c>
    </row>
    <row r="107" spans="7:28" ht="16" x14ac:dyDescent="0.2">
      <c r="G107" s="32" t="s">
        <v>61</v>
      </c>
      <c r="H107" s="32" t="s">
        <v>149</v>
      </c>
      <c r="I107" s="33">
        <v>67</v>
      </c>
      <c r="J107" s="32" t="s">
        <v>155</v>
      </c>
      <c r="K107" s="33">
        <v>0</v>
      </c>
      <c r="X107" s="32" t="s">
        <v>60</v>
      </c>
      <c r="Y107" s="32" t="s">
        <v>148</v>
      </c>
      <c r="Z107" s="33">
        <v>2</v>
      </c>
      <c r="AA107" s="33">
        <v>0</v>
      </c>
      <c r="AB107" s="33">
        <v>12</v>
      </c>
    </row>
    <row r="108" spans="7:28" ht="16" x14ac:dyDescent="0.2">
      <c r="G108" s="32" t="s">
        <v>62</v>
      </c>
      <c r="H108" s="32" t="s">
        <v>148</v>
      </c>
      <c r="I108" s="33">
        <v>1</v>
      </c>
      <c r="J108" s="32" t="s">
        <v>155</v>
      </c>
      <c r="K108" s="33">
        <v>0</v>
      </c>
      <c r="X108" s="32" t="s">
        <v>60</v>
      </c>
      <c r="Y108" s="32" t="s">
        <v>149</v>
      </c>
      <c r="Z108" s="33">
        <v>6</v>
      </c>
      <c r="AA108" s="33">
        <v>0</v>
      </c>
      <c r="AB108" s="33">
        <v>10</v>
      </c>
    </row>
    <row r="109" spans="7:28" ht="16" x14ac:dyDescent="0.2">
      <c r="G109" s="32" t="s">
        <v>62</v>
      </c>
      <c r="H109" s="32" t="s">
        <v>149</v>
      </c>
      <c r="I109" s="33">
        <v>11</v>
      </c>
      <c r="J109" s="32" t="s">
        <v>152</v>
      </c>
      <c r="K109" s="33">
        <v>0</v>
      </c>
      <c r="X109" s="32" t="s">
        <v>60</v>
      </c>
      <c r="Y109" s="32" t="s">
        <v>149</v>
      </c>
      <c r="Z109" s="33">
        <v>18</v>
      </c>
      <c r="AA109" s="33">
        <v>0</v>
      </c>
      <c r="AB109" s="33">
        <v>11</v>
      </c>
    </row>
    <row r="110" spans="7:28" ht="16" x14ac:dyDescent="0.2">
      <c r="G110" s="32" t="s">
        <v>62</v>
      </c>
      <c r="H110" s="32" t="s">
        <v>149</v>
      </c>
      <c r="I110" s="33">
        <v>6</v>
      </c>
      <c r="J110" s="32" t="s">
        <v>153</v>
      </c>
      <c r="K110" s="33">
        <v>0</v>
      </c>
      <c r="X110" s="32" t="s">
        <v>60</v>
      </c>
      <c r="Y110" s="32" t="s">
        <v>149</v>
      </c>
      <c r="Z110" s="33">
        <v>6</v>
      </c>
      <c r="AA110" s="33">
        <v>0</v>
      </c>
      <c r="AB110" s="33">
        <v>12</v>
      </c>
    </row>
    <row r="111" spans="7:28" ht="16" x14ac:dyDescent="0.2">
      <c r="G111" s="32" t="s">
        <v>62</v>
      </c>
      <c r="H111" s="32" t="s">
        <v>149</v>
      </c>
      <c r="I111" s="33">
        <v>7</v>
      </c>
      <c r="J111" s="32" t="s">
        <v>154</v>
      </c>
      <c r="K111" s="33">
        <v>0</v>
      </c>
      <c r="X111" s="32" t="s">
        <v>61</v>
      </c>
      <c r="Y111" s="32" t="s">
        <v>148</v>
      </c>
      <c r="Z111" s="33">
        <v>4</v>
      </c>
      <c r="AA111" s="33">
        <v>0</v>
      </c>
      <c r="AB111" s="33">
        <v>11</v>
      </c>
    </row>
    <row r="112" spans="7:28" ht="16" x14ac:dyDescent="0.2">
      <c r="G112" s="32" t="s">
        <v>62</v>
      </c>
      <c r="H112" s="32" t="s">
        <v>149</v>
      </c>
      <c r="I112" s="33">
        <v>8</v>
      </c>
      <c r="J112" s="32" t="s">
        <v>155</v>
      </c>
      <c r="K112" s="33">
        <v>0</v>
      </c>
      <c r="X112" s="32" t="s">
        <v>61</v>
      </c>
      <c r="Y112" s="32" t="s">
        <v>148</v>
      </c>
      <c r="Z112" s="33">
        <v>2</v>
      </c>
      <c r="AA112" s="33">
        <v>0</v>
      </c>
      <c r="AB112" s="33">
        <v>12</v>
      </c>
    </row>
    <row r="113" spans="7:28" ht="16" x14ac:dyDescent="0.2">
      <c r="G113" s="32" t="s">
        <v>63</v>
      </c>
      <c r="H113" s="32" t="s">
        <v>149</v>
      </c>
      <c r="I113" s="33">
        <v>1</v>
      </c>
      <c r="J113" s="32" t="s">
        <v>154</v>
      </c>
      <c r="K113" s="33">
        <v>0</v>
      </c>
      <c r="X113" s="32" t="s">
        <v>61</v>
      </c>
      <c r="Y113" s="32" t="s">
        <v>149</v>
      </c>
      <c r="Z113" s="33">
        <v>64</v>
      </c>
      <c r="AA113" s="33">
        <v>0</v>
      </c>
      <c r="AB113" s="33">
        <v>10</v>
      </c>
    </row>
    <row r="114" spans="7:28" ht="16" x14ac:dyDescent="0.2">
      <c r="G114" s="32" t="s">
        <v>64</v>
      </c>
      <c r="H114" s="32" t="s">
        <v>148</v>
      </c>
      <c r="I114" s="33">
        <v>2</v>
      </c>
      <c r="J114" s="32" t="s">
        <v>152</v>
      </c>
      <c r="K114" s="33">
        <v>0</v>
      </c>
      <c r="X114" s="32" t="s">
        <v>61</v>
      </c>
      <c r="Y114" s="32" t="s">
        <v>149</v>
      </c>
      <c r="Z114" s="33">
        <v>102</v>
      </c>
      <c r="AA114" s="33">
        <v>0</v>
      </c>
      <c r="AB114" s="33">
        <v>11</v>
      </c>
    </row>
    <row r="115" spans="7:28" ht="16" x14ac:dyDescent="0.2">
      <c r="G115" s="32" t="s">
        <v>64</v>
      </c>
      <c r="H115" s="32" t="s">
        <v>148</v>
      </c>
      <c r="I115" s="33">
        <v>2</v>
      </c>
      <c r="J115" s="32" t="s">
        <v>153</v>
      </c>
      <c r="K115" s="33">
        <v>0</v>
      </c>
      <c r="X115" s="32" t="s">
        <v>61</v>
      </c>
      <c r="Y115" s="32" t="s">
        <v>149</v>
      </c>
      <c r="Z115" s="33">
        <v>64</v>
      </c>
      <c r="AA115" s="33">
        <v>0</v>
      </c>
      <c r="AB115" s="33">
        <v>12</v>
      </c>
    </row>
    <row r="116" spans="7:28" ht="16" x14ac:dyDescent="0.2">
      <c r="G116" s="32" t="s">
        <v>64</v>
      </c>
      <c r="H116" s="32" t="s">
        <v>149</v>
      </c>
      <c r="I116" s="33">
        <v>4</v>
      </c>
      <c r="J116" s="32" t="s">
        <v>152</v>
      </c>
      <c r="K116" s="33">
        <v>0</v>
      </c>
      <c r="X116" s="32" t="s">
        <v>62</v>
      </c>
      <c r="Y116" s="32" t="s">
        <v>148</v>
      </c>
      <c r="Z116" s="33">
        <v>2</v>
      </c>
      <c r="AA116" s="33">
        <v>0</v>
      </c>
      <c r="AB116" s="33">
        <v>10</v>
      </c>
    </row>
    <row r="117" spans="7:28" ht="16" x14ac:dyDescent="0.2">
      <c r="G117" s="32" t="s">
        <v>64</v>
      </c>
      <c r="H117" s="32" t="s">
        <v>149</v>
      </c>
      <c r="I117" s="33">
        <v>6</v>
      </c>
      <c r="J117" s="32" t="s">
        <v>155</v>
      </c>
      <c r="K117" s="33">
        <v>0</v>
      </c>
      <c r="X117" s="32" t="s">
        <v>62</v>
      </c>
      <c r="Y117" s="32" t="s">
        <v>148</v>
      </c>
      <c r="Z117" s="33">
        <v>2</v>
      </c>
      <c r="AA117" s="33">
        <v>0</v>
      </c>
      <c r="AB117" s="33">
        <v>12</v>
      </c>
    </row>
    <row r="118" spans="7:28" ht="16" x14ac:dyDescent="0.2">
      <c r="G118" s="32" t="s">
        <v>65</v>
      </c>
      <c r="H118" s="32" t="s">
        <v>149</v>
      </c>
      <c r="I118" s="33">
        <v>2</v>
      </c>
      <c r="J118" s="32" t="s">
        <v>152</v>
      </c>
      <c r="K118" s="33">
        <v>0</v>
      </c>
      <c r="X118" s="32" t="s">
        <v>62</v>
      </c>
      <c r="Y118" s="32" t="s">
        <v>149</v>
      </c>
      <c r="Z118" s="33">
        <v>20</v>
      </c>
      <c r="AA118" s="33">
        <v>0</v>
      </c>
      <c r="AB118" s="33">
        <v>10</v>
      </c>
    </row>
    <row r="119" spans="7:28" ht="16" x14ac:dyDescent="0.2">
      <c r="G119" s="32" t="s">
        <v>65</v>
      </c>
      <c r="H119" s="32" t="s">
        <v>149</v>
      </c>
      <c r="I119" s="33">
        <v>1</v>
      </c>
      <c r="J119" s="32" t="s">
        <v>155</v>
      </c>
      <c r="K119" s="33">
        <v>0</v>
      </c>
      <c r="X119" s="32" t="s">
        <v>62</v>
      </c>
      <c r="Y119" s="32" t="s">
        <v>149</v>
      </c>
      <c r="Z119" s="33">
        <v>36</v>
      </c>
      <c r="AA119" s="33">
        <v>0</v>
      </c>
      <c r="AB119" s="33">
        <v>11</v>
      </c>
    </row>
    <row r="120" spans="7:28" ht="16" x14ac:dyDescent="0.2">
      <c r="G120" s="32" t="s">
        <v>67</v>
      </c>
      <c r="H120" s="32" t="s">
        <v>148</v>
      </c>
      <c r="I120" s="33">
        <v>2</v>
      </c>
      <c r="J120" s="32" t="s">
        <v>153</v>
      </c>
      <c r="K120" s="33">
        <v>0</v>
      </c>
      <c r="X120" s="32" t="s">
        <v>62</v>
      </c>
      <c r="Y120" s="32" t="s">
        <v>149</v>
      </c>
      <c r="Z120" s="33">
        <v>34</v>
      </c>
      <c r="AA120" s="33">
        <v>0</v>
      </c>
      <c r="AB120" s="33">
        <v>12</v>
      </c>
    </row>
    <row r="121" spans="7:28" ht="16" x14ac:dyDescent="0.2">
      <c r="G121" s="32" t="s">
        <v>67</v>
      </c>
      <c r="H121" s="32" t="s">
        <v>149</v>
      </c>
      <c r="I121" s="33">
        <v>2</v>
      </c>
      <c r="J121" s="32" t="s">
        <v>153</v>
      </c>
      <c r="K121" s="33">
        <v>0</v>
      </c>
      <c r="X121" s="32" t="s">
        <v>63</v>
      </c>
      <c r="Y121" s="32" t="s">
        <v>149</v>
      </c>
      <c r="Z121" s="33">
        <v>2</v>
      </c>
      <c r="AA121" s="33">
        <v>0</v>
      </c>
      <c r="AB121" s="33">
        <v>10</v>
      </c>
    </row>
    <row r="122" spans="7:28" ht="16" x14ac:dyDescent="0.2">
      <c r="G122" s="32" t="s">
        <v>68</v>
      </c>
      <c r="H122" s="32" t="s">
        <v>148</v>
      </c>
      <c r="I122" s="33">
        <v>2</v>
      </c>
      <c r="J122" s="32" t="s">
        <v>152</v>
      </c>
      <c r="K122" s="33">
        <v>0</v>
      </c>
      <c r="X122" s="32" t="s">
        <v>63</v>
      </c>
      <c r="Y122" s="32" t="s">
        <v>149</v>
      </c>
      <c r="Z122" s="33">
        <v>2</v>
      </c>
      <c r="AA122" s="33">
        <v>0</v>
      </c>
      <c r="AB122" s="33">
        <v>12</v>
      </c>
    </row>
    <row r="123" spans="7:28" ht="16" x14ac:dyDescent="0.2">
      <c r="G123" s="32" t="s">
        <v>68</v>
      </c>
      <c r="H123" s="32" t="s">
        <v>148</v>
      </c>
      <c r="I123" s="33">
        <v>1</v>
      </c>
      <c r="J123" s="32" t="s">
        <v>155</v>
      </c>
      <c r="K123" s="33">
        <v>0</v>
      </c>
      <c r="X123" s="32" t="s">
        <v>64</v>
      </c>
      <c r="Y123" s="32" t="s">
        <v>148</v>
      </c>
      <c r="Z123" s="33">
        <v>4</v>
      </c>
      <c r="AA123" s="33">
        <v>0</v>
      </c>
      <c r="AB123" s="33">
        <v>11</v>
      </c>
    </row>
    <row r="124" spans="7:28" ht="16" x14ac:dyDescent="0.2">
      <c r="G124" s="32" t="s">
        <v>68</v>
      </c>
      <c r="H124" s="32" t="s">
        <v>149</v>
      </c>
      <c r="I124" s="33">
        <v>3</v>
      </c>
      <c r="J124" s="32" t="s">
        <v>152</v>
      </c>
      <c r="K124" s="33">
        <v>0</v>
      </c>
      <c r="X124" s="32" t="s">
        <v>64</v>
      </c>
      <c r="Y124" s="32" t="s">
        <v>149</v>
      </c>
      <c r="Z124" s="33">
        <v>6</v>
      </c>
      <c r="AA124" s="33">
        <v>0</v>
      </c>
      <c r="AB124" s="33">
        <v>10</v>
      </c>
    </row>
    <row r="125" spans="7:28" ht="16" x14ac:dyDescent="0.2">
      <c r="G125" s="32" t="s">
        <v>68</v>
      </c>
      <c r="H125" s="32" t="s">
        <v>149</v>
      </c>
      <c r="I125" s="33">
        <v>2</v>
      </c>
      <c r="J125" s="32" t="s">
        <v>154</v>
      </c>
      <c r="K125" s="33">
        <v>0</v>
      </c>
      <c r="X125" s="32" t="s">
        <v>64</v>
      </c>
      <c r="Y125" s="32" t="s">
        <v>149</v>
      </c>
      <c r="Z125" s="33">
        <v>10</v>
      </c>
      <c r="AA125" s="33">
        <v>0</v>
      </c>
      <c r="AB125" s="33">
        <v>11</v>
      </c>
    </row>
    <row r="126" spans="7:28" ht="16" x14ac:dyDescent="0.2">
      <c r="G126" s="32" t="s">
        <v>68</v>
      </c>
      <c r="H126" s="32" t="s">
        <v>149</v>
      </c>
      <c r="I126" s="33">
        <v>1</v>
      </c>
      <c r="J126" s="32" t="s">
        <v>155</v>
      </c>
      <c r="K126" s="33">
        <v>0</v>
      </c>
      <c r="X126" s="32" t="s">
        <v>64</v>
      </c>
      <c r="Y126" s="32" t="s">
        <v>149</v>
      </c>
      <c r="Z126" s="33">
        <v>6</v>
      </c>
      <c r="AA126" s="33">
        <v>0</v>
      </c>
      <c r="AB126" s="33">
        <v>12</v>
      </c>
    </row>
    <row r="127" spans="7:28" ht="16" x14ac:dyDescent="0.2">
      <c r="G127" s="32" t="s">
        <v>69</v>
      </c>
      <c r="H127" s="32" t="s">
        <v>148</v>
      </c>
      <c r="I127" s="33">
        <v>4</v>
      </c>
      <c r="J127" s="32" t="s">
        <v>152</v>
      </c>
      <c r="K127" s="33">
        <v>0</v>
      </c>
      <c r="X127" s="32" t="s">
        <v>65</v>
      </c>
      <c r="Y127" s="32" t="s">
        <v>149</v>
      </c>
      <c r="Z127" s="33">
        <v>4</v>
      </c>
      <c r="AA127" s="33">
        <v>0</v>
      </c>
      <c r="AB127" s="33">
        <v>11</v>
      </c>
    </row>
    <row r="128" spans="7:28" ht="16" x14ac:dyDescent="0.2">
      <c r="G128" s="32" t="s">
        <v>69</v>
      </c>
      <c r="H128" s="32" t="s">
        <v>148</v>
      </c>
      <c r="I128" s="33">
        <v>8</v>
      </c>
      <c r="J128" s="32" t="s">
        <v>153</v>
      </c>
      <c r="K128" s="33">
        <v>0</v>
      </c>
      <c r="X128" s="32" t="s">
        <v>65</v>
      </c>
      <c r="Y128" s="32" t="s">
        <v>149</v>
      </c>
      <c r="Z128" s="33">
        <v>2</v>
      </c>
      <c r="AA128" s="33">
        <v>0</v>
      </c>
      <c r="AB128" s="33">
        <v>12</v>
      </c>
    </row>
    <row r="129" spans="7:28" ht="16" x14ac:dyDescent="0.2">
      <c r="G129" s="32" t="s">
        <v>69</v>
      </c>
      <c r="H129" s="32" t="s">
        <v>148</v>
      </c>
      <c r="I129" s="33">
        <v>3</v>
      </c>
      <c r="J129" s="32" t="s">
        <v>154</v>
      </c>
      <c r="K129" s="33">
        <v>0</v>
      </c>
      <c r="X129" s="32" t="s">
        <v>67</v>
      </c>
      <c r="Y129" s="32" t="s">
        <v>148</v>
      </c>
      <c r="Z129" s="33">
        <v>4</v>
      </c>
      <c r="AA129" s="33">
        <v>0</v>
      </c>
      <c r="AB129" s="33">
        <v>11</v>
      </c>
    </row>
    <row r="130" spans="7:28" ht="16" x14ac:dyDescent="0.2">
      <c r="G130" s="32" t="s">
        <v>69</v>
      </c>
      <c r="H130" s="32" t="s">
        <v>148</v>
      </c>
      <c r="I130" s="33">
        <v>8</v>
      </c>
      <c r="J130" s="32" t="s">
        <v>155</v>
      </c>
      <c r="K130" s="33">
        <v>0</v>
      </c>
      <c r="X130" s="32" t="s">
        <v>67</v>
      </c>
      <c r="Y130" s="32" t="s">
        <v>148</v>
      </c>
      <c r="Z130" s="33">
        <v>2</v>
      </c>
      <c r="AA130" s="33">
        <v>0</v>
      </c>
      <c r="AB130" s="33">
        <v>12</v>
      </c>
    </row>
    <row r="131" spans="7:28" ht="16" x14ac:dyDescent="0.2">
      <c r="G131" s="32" t="s">
        <v>69</v>
      </c>
      <c r="H131" s="32" t="s">
        <v>149</v>
      </c>
      <c r="I131" s="33">
        <v>85</v>
      </c>
      <c r="J131" s="32" t="s">
        <v>152</v>
      </c>
      <c r="K131" s="33">
        <v>0</v>
      </c>
      <c r="X131" s="32" t="s">
        <v>67</v>
      </c>
      <c r="Y131" s="32" t="s">
        <v>149</v>
      </c>
      <c r="Z131" s="33">
        <v>2</v>
      </c>
      <c r="AA131" s="33">
        <v>0</v>
      </c>
      <c r="AB131" s="33">
        <v>10</v>
      </c>
    </row>
    <row r="132" spans="7:28" ht="16" x14ac:dyDescent="0.2">
      <c r="G132" s="32" t="s">
        <v>69</v>
      </c>
      <c r="H132" s="32" t="s">
        <v>149</v>
      </c>
      <c r="I132" s="33">
        <v>56</v>
      </c>
      <c r="J132" s="32" t="s">
        <v>153</v>
      </c>
      <c r="K132" s="33">
        <v>0</v>
      </c>
      <c r="X132" s="32" t="s">
        <v>67</v>
      </c>
      <c r="Y132" s="32" t="s">
        <v>149</v>
      </c>
      <c r="Z132" s="33">
        <v>2</v>
      </c>
      <c r="AA132" s="33">
        <v>0</v>
      </c>
      <c r="AB132" s="33">
        <v>11</v>
      </c>
    </row>
    <row r="133" spans="7:28" ht="16" x14ac:dyDescent="0.2">
      <c r="G133" s="32" t="s">
        <v>69</v>
      </c>
      <c r="H133" s="32" t="s">
        <v>149</v>
      </c>
      <c r="I133" s="33">
        <v>23</v>
      </c>
      <c r="J133" s="32" t="s">
        <v>154</v>
      </c>
      <c r="K133" s="33">
        <v>0</v>
      </c>
      <c r="X133" s="32" t="s">
        <v>67</v>
      </c>
      <c r="Y133" s="32" t="s">
        <v>149</v>
      </c>
      <c r="Z133" s="33">
        <v>6</v>
      </c>
      <c r="AA133" s="33">
        <v>0</v>
      </c>
      <c r="AB133" s="33">
        <v>12</v>
      </c>
    </row>
    <row r="134" spans="7:28" ht="16" x14ac:dyDescent="0.2">
      <c r="G134" s="32" t="s">
        <v>69</v>
      </c>
      <c r="H134" s="32" t="s">
        <v>149</v>
      </c>
      <c r="I134" s="33">
        <v>112</v>
      </c>
      <c r="J134" s="32" t="s">
        <v>155</v>
      </c>
      <c r="K134" s="33">
        <v>0</v>
      </c>
      <c r="X134" s="32" t="s">
        <v>68</v>
      </c>
      <c r="Y134" s="32" t="s">
        <v>148</v>
      </c>
      <c r="Z134" s="33">
        <v>6</v>
      </c>
      <c r="AA134" s="33">
        <v>0</v>
      </c>
      <c r="AB134" s="33">
        <v>12</v>
      </c>
    </row>
    <row r="135" spans="7:28" ht="16" x14ac:dyDescent="0.2">
      <c r="G135" s="32" t="s">
        <v>70</v>
      </c>
      <c r="H135" s="32" t="s">
        <v>148</v>
      </c>
      <c r="I135" s="33">
        <v>1</v>
      </c>
      <c r="J135" s="32" t="s">
        <v>152</v>
      </c>
      <c r="K135" s="33">
        <v>0</v>
      </c>
      <c r="X135" s="32" t="s">
        <v>68</v>
      </c>
      <c r="Y135" s="32" t="s">
        <v>149</v>
      </c>
      <c r="Z135" s="33">
        <v>6</v>
      </c>
      <c r="AA135" s="33">
        <v>0</v>
      </c>
      <c r="AB135" s="33">
        <v>10</v>
      </c>
    </row>
    <row r="136" spans="7:28" ht="16" x14ac:dyDescent="0.2">
      <c r="X136" s="32" t="s">
        <v>68</v>
      </c>
      <c r="Y136" s="32" t="s">
        <v>149</v>
      </c>
      <c r="Z136" s="33">
        <v>24</v>
      </c>
      <c r="AA136" s="33">
        <v>0</v>
      </c>
      <c r="AB136" s="33">
        <v>12</v>
      </c>
    </row>
    <row r="137" spans="7:28" ht="16" x14ac:dyDescent="0.2">
      <c r="X137" s="32" t="s">
        <v>69</v>
      </c>
      <c r="Y137" s="32" t="s">
        <v>148</v>
      </c>
      <c r="Z137" s="33">
        <v>18</v>
      </c>
      <c r="AA137" s="33">
        <v>0</v>
      </c>
      <c r="AB137" s="33">
        <v>10</v>
      </c>
    </row>
    <row r="138" spans="7:28" ht="16" x14ac:dyDescent="0.2">
      <c r="X138" s="32" t="s">
        <v>69</v>
      </c>
      <c r="Y138" s="32" t="s">
        <v>148</v>
      </c>
      <c r="Z138" s="33">
        <v>20</v>
      </c>
      <c r="AA138" s="33">
        <v>0</v>
      </c>
      <c r="AB138" s="33">
        <v>11</v>
      </c>
    </row>
    <row r="139" spans="7:28" ht="16" x14ac:dyDescent="0.2">
      <c r="X139" s="32" t="s">
        <v>69</v>
      </c>
      <c r="Y139" s="32" t="s">
        <v>148</v>
      </c>
      <c r="Z139" s="33">
        <v>16</v>
      </c>
      <c r="AA139" s="33">
        <v>0</v>
      </c>
      <c r="AB139" s="33">
        <v>12</v>
      </c>
    </row>
    <row r="140" spans="7:28" ht="16" x14ac:dyDescent="0.2">
      <c r="X140" s="32" t="s">
        <v>69</v>
      </c>
      <c r="Y140" s="32" t="s">
        <v>149</v>
      </c>
      <c r="Z140" s="33">
        <v>394</v>
      </c>
      <c r="AA140" s="33">
        <v>0</v>
      </c>
      <c r="AB140" s="33">
        <v>10</v>
      </c>
    </row>
    <row r="141" spans="7:28" ht="16" x14ac:dyDescent="0.2">
      <c r="X141" s="32" t="s">
        <v>69</v>
      </c>
      <c r="Y141" s="32" t="s">
        <v>149</v>
      </c>
      <c r="Z141" s="33">
        <v>308</v>
      </c>
      <c r="AA141" s="33">
        <v>0</v>
      </c>
      <c r="AB141" s="33">
        <v>11</v>
      </c>
    </row>
    <row r="142" spans="7:28" ht="16" x14ac:dyDescent="0.2">
      <c r="X142" s="32" t="s">
        <v>69</v>
      </c>
      <c r="Y142" s="32" t="s">
        <v>149</v>
      </c>
      <c r="Z142" s="33">
        <v>342</v>
      </c>
      <c r="AA142" s="33">
        <v>0</v>
      </c>
      <c r="AB142" s="33">
        <v>12</v>
      </c>
    </row>
    <row r="143" spans="7:28" ht="16" x14ac:dyDescent="0.2">
      <c r="X143" s="32" t="s">
        <v>70</v>
      </c>
      <c r="Y143" s="32" t="s">
        <v>149</v>
      </c>
      <c r="Z143" s="33">
        <v>4</v>
      </c>
      <c r="AA143" s="33">
        <v>0</v>
      </c>
      <c r="AB143" s="33">
        <v>10</v>
      </c>
    </row>
    <row r="144" spans="7:28" ht="16" x14ac:dyDescent="0.2">
      <c r="X144" s="32" t="s">
        <v>70</v>
      </c>
      <c r="Y144" s="32" t="s">
        <v>149</v>
      </c>
      <c r="Z144" s="33">
        <v>2</v>
      </c>
      <c r="AA144" s="33">
        <v>0</v>
      </c>
      <c r="AB144" s="33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FFFF00"/>
  </sheetPr>
  <dimension ref="A1:S35"/>
  <sheetViews>
    <sheetView topLeftCell="N7" zoomScale="138" workbookViewId="0">
      <selection activeCell="R35" sqref="R35"/>
    </sheetView>
  </sheetViews>
  <sheetFormatPr baseColWidth="10" defaultColWidth="8.83203125" defaultRowHeight="15" x14ac:dyDescent="0.2"/>
  <cols>
    <col min="1" max="3" width="18.5" hidden="1" customWidth="1"/>
    <col min="4" max="4" width="7.6640625" hidden="1" customWidth="1"/>
    <col min="5" max="13" width="9.1640625" hidden="1" customWidth="1"/>
    <col min="14" max="19" width="9.33203125" customWidth="1"/>
  </cols>
  <sheetData>
    <row r="1" spans="1:19" s="5" customFormat="1" ht="30" customHeight="1" thickBot="1" x14ac:dyDescent="0.25">
      <c r="A1" s="140" t="s">
        <v>14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</row>
    <row r="2" spans="1:19" s="5" customFormat="1" x14ac:dyDescent="0.2">
      <c r="A2" s="22">
        <v>44197</v>
      </c>
      <c r="B2" s="22">
        <v>44228</v>
      </c>
      <c r="C2" s="63">
        <v>44256</v>
      </c>
      <c r="D2" s="65" t="s">
        <v>221</v>
      </c>
      <c r="E2" s="66">
        <v>44287</v>
      </c>
      <c r="F2" s="66">
        <v>44317</v>
      </c>
      <c r="G2" s="67">
        <v>44348</v>
      </c>
      <c r="H2" s="64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45292</v>
      </c>
      <c r="P2" s="24" t="s">
        <v>0</v>
      </c>
      <c r="Q2" s="22">
        <v>45323</v>
      </c>
      <c r="R2" s="24" t="s">
        <v>0</v>
      </c>
      <c r="S2" s="22">
        <v>45352</v>
      </c>
    </row>
    <row r="3" spans="1:19" x14ac:dyDescent="0.2">
      <c r="N3" s="2" t="s">
        <v>35</v>
      </c>
      <c r="O3" s="2">
        <v>1263</v>
      </c>
      <c r="P3" s="2" t="s">
        <v>35</v>
      </c>
      <c r="Q3" s="2">
        <v>1258</v>
      </c>
      <c r="R3" s="2" t="s">
        <v>35</v>
      </c>
      <c r="S3" s="2">
        <v>1225</v>
      </c>
    </row>
    <row r="4" spans="1:19" x14ac:dyDescent="0.2">
      <c r="N4" s="2" t="s">
        <v>36</v>
      </c>
      <c r="O4" s="2">
        <v>1762</v>
      </c>
      <c r="P4" s="2" t="s">
        <v>36</v>
      </c>
      <c r="Q4" s="2">
        <v>1747</v>
      </c>
      <c r="R4" s="2" t="s">
        <v>36</v>
      </c>
      <c r="S4" s="2">
        <v>1680</v>
      </c>
    </row>
    <row r="5" spans="1:19" x14ac:dyDescent="0.2">
      <c r="N5" s="2" t="s">
        <v>37</v>
      </c>
      <c r="O5" s="2">
        <v>570</v>
      </c>
      <c r="P5" s="2" t="s">
        <v>37</v>
      </c>
      <c r="Q5" s="2">
        <v>567</v>
      </c>
      <c r="R5" s="2" t="s">
        <v>37</v>
      </c>
      <c r="S5" s="2">
        <v>547</v>
      </c>
    </row>
    <row r="6" spans="1:19" x14ac:dyDescent="0.2">
      <c r="N6" s="2" t="s">
        <v>40</v>
      </c>
      <c r="O6" s="2">
        <v>607</v>
      </c>
      <c r="P6" s="2" t="s">
        <v>40</v>
      </c>
      <c r="Q6" s="2">
        <v>604</v>
      </c>
      <c r="R6" s="2" t="s">
        <v>40</v>
      </c>
      <c r="S6" s="2">
        <v>559</v>
      </c>
    </row>
    <row r="7" spans="1:19" x14ac:dyDescent="0.2">
      <c r="N7" s="2" t="s">
        <v>42</v>
      </c>
      <c r="O7" s="2">
        <v>60</v>
      </c>
      <c r="P7" s="2" t="s">
        <v>42</v>
      </c>
      <c r="Q7" s="2">
        <v>59</v>
      </c>
      <c r="R7" s="2" t="s">
        <v>42</v>
      </c>
      <c r="S7" s="2">
        <v>59</v>
      </c>
    </row>
    <row r="8" spans="1:19" x14ac:dyDescent="0.2">
      <c r="N8" s="2" t="s">
        <v>43</v>
      </c>
      <c r="O8" s="2">
        <v>35</v>
      </c>
      <c r="P8" s="2" t="s">
        <v>43</v>
      </c>
      <c r="Q8" s="2">
        <v>35</v>
      </c>
      <c r="R8" s="2" t="s">
        <v>43</v>
      </c>
      <c r="S8" s="2">
        <v>36</v>
      </c>
    </row>
    <row r="9" spans="1:19" x14ac:dyDescent="0.2">
      <c r="N9" s="2" t="s">
        <v>44</v>
      </c>
      <c r="O9" s="2">
        <v>453</v>
      </c>
      <c r="P9" s="2" t="s">
        <v>44</v>
      </c>
      <c r="Q9" s="2">
        <v>453</v>
      </c>
      <c r="R9" s="2" t="s">
        <v>44</v>
      </c>
      <c r="S9" s="2">
        <v>463</v>
      </c>
    </row>
    <row r="10" spans="1:19" x14ac:dyDescent="0.2">
      <c r="N10" s="2" t="s">
        <v>45</v>
      </c>
      <c r="O10" s="2">
        <v>228</v>
      </c>
      <c r="P10" s="2" t="s">
        <v>45</v>
      </c>
      <c r="Q10" s="2">
        <v>226</v>
      </c>
      <c r="R10" s="2" t="s">
        <v>45</v>
      </c>
      <c r="S10" s="2">
        <v>230</v>
      </c>
    </row>
    <row r="11" spans="1:19" x14ac:dyDescent="0.2">
      <c r="N11" s="2" t="s">
        <v>46</v>
      </c>
      <c r="O11" s="2">
        <v>20</v>
      </c>
      <c r="P11" s="2" t="s">
        <v>46</v>
      </c>
      <c r="Q11" s="2">
        <v>20</v>
      </c>
      <c r="R11" s="2" t="s">
        <v>46</v>
      </c>
      <c r="S11" s="2">
        <v>22</v>
      </c>
    </row>
    <row r="12" spans="1:19" x14ac:dyDescent="0.2">
      <c r="N12" s="2" t="s">
        <v>47</v>
      </c>
      <c r="O12" s="2">
        <v>135</v>
      </c>
      <c r="P12" s="2" t="s">
        <v>47</v>
      </c>
      <c r="Q12" s="2">
        <v>133</v>
      </c>
      <c r="R12" s="2" t="s">
        <v>47</v>
      </c>
      <c r="S12" s="2">
        <v>141</v>
      </c>
    </row>
    <row r="13" spans="1:19" x14ac:dyDescent="0.2">
      <c r="N13" s="2" t="s">
        <v>48</v>
      </c>
      <c r="O13" s="2">
        <v>109</v>
      </c>
      <c r="P13" s="2" t="s">
        <v>48</v>
      </c>
      <c r="Q13" s="2">
        <v>106</v>
      </c>
      <c r="R13" s="2" t="s">
        <v>48</v>
      </c>
      <c r="S13" s="2">
        <v>96</v>
      </c>
    </row>
    <row r="14" spans="1:19" x14ac:dyDescent="0.2">
      <c r="N14" s="2" t="s">
        <v>49</v>
      </c>
      <c r="O14" s="2">
        <v>46</v>
      </c>
      <c r="P14" s="2" t="s">
        <v>49</v>
      </c>
      <c r="Q14" s="2">
        <v>46</v>
      </c>
      <c r="R14" s="2" t="s">
        <v>49</v>
      </c>
      <c r="S14" s="2">
        <v>51</v>
      </c>
    </row>
    <row r="15" spans="1:19" x14ac:dyDescent="0.2">
      <c r="N15" s="2" t="s">
        <v>50</v>
      </c>
      <c r="O15" s="2">
        <v>51</v>
      </c>
      <c r="P15" s="2" t="s">
        <v>50</v>
      </c>
      <c r="Q15" s="2">
        <v>51</v>
      </c>
      <c r="R15" s="2" t="s">
        <v>50</v>
      </c>
      <c r="S15" s="2">
        <v>53</v>
      </c>
    </row>
    <row r="16" spans="1:19" x14ac:dyDescent="0.2">
      <c r="N16" s="2" t="s">
        <v>51</v>
      </c>
      <c r="O16" s="2">
        <v>15</v>
      </c>
      <c r="P16" s="2" t="s">
        <v>51</v>
      </c>
      <c r="Q16" s="2">
        <v>15</v>
      </c>
      <c r="R16" s="2" t="s">
        <v>51</v>
      </c>
      <c r="S16" s="2">
        <v>12</v>
      </c>
    </row>
    <row r="17" spans="14:19" x14ac:dyDescent="0.2">
      <c r="N17" s="2" t="s">
        <v>52</v>
      </c>
      <c r="O17" s="2">
        <v>230</v>
      </c>
      <c r="P17" s="2" t="s">
        <v>52</v>
      </c>
      <c r="Q17" s="2">
        <v>230</v>
      </c>
      <c r="R17" s="2" t="s">
        <v>52</v>
      </c>
      <c r="S17" s="2">
        <v>212</v>
      </c>
    </row>
    <row r="18" spans="14:19" x14ac:dyDescent="0.2">
      <c r="N18" s="2" t="s">
        <v>53</v>
      </c>
      <c r="O18" s="2">
        <v>835</v>
      </c>
      <c r="P18" s="2" t="s">
        <v>53</v>
      </c>
      <c r="Q18" s="2">
        <v>838</v>
      </c>
      <c r="R18" s="2" t="s">
        <v>53</v>
      </c>
      <c r="S18" s="2">
        <v>862</v>
      </c>
    </row>
    <row r="19" spans="14:19" x14ac:dyDescent="0.2">
      <c r="N19" s="2" t="s">
        <v>54</v>
      </c>
      <c r="O19" s="2">
        <v>124</v>
      </c>
      <c r="P19" s="2" t="s">
        <v>54</v>
      </c>
      <c r="Q19" s="2">
        <v>122</v>
      </c>
      <c r="R19" s="2" t="s">
        <v>54</v>
      </c>
      <c r="S19" s="2">
        <v>106</v>
      </c>
    </row>
    <row r="20" spans="14:19" x14ac:dyDescent="0.2">
      <c r="N20" s="2" t="s">
        <v>55</v>
      </c>
      <c r="O20" s="2">
        <v>474</v>
      </c>
      <c r="P20" s="2" t="s">
        <v>55</v>
      </c>
      <c r="Q20" s="2">
        <v>469</v>
      </c>
      <c r="R20" s="2" t="s">
        <v>55</v>
      </c>
      <c r="S20" s="2">
        <v>475</v>
      </c>
    </row>
    <row r="21" spans="14:19" x14ac:dyDescent="0.2">
      <c r="N21" s="2" t="s">
        <v>56</v>
      </c>
      <c r="O21" s="2">
        <v>353</v>
      </c>
      <c r="P21" s="2" t="s">
        <v>56</v>
      </c>
      <c r="Q21" s="2">
        <v>352</v>
      </c>
      <c r="R21" s="2" t="s">
        <v>56</v>
      </c>
      <c r="S21" s="2">
        <v>348</v>
      </c>
    </row>
    <row r="22" spans="14:19" x14ac:dyDescent="0.2">
      <c r="N22" s="2" t="s">
        <v>57</v>
      </c>
      <c r="O22" s="2">
        <v>10</v>
      </c>
      <c r="P22" s="2" t="s">
        <v>57</v>
      </c>
      <c r="Q22" s="2">
        <v>10</v>
      </c>
      <c r="R22" s="2" t="s">
        <v>57</v>
      </c>
      <c r="S22" s="2">
        <v>8</v>
      </c>
    </row>
    <row r="23" spans="14:19" x14ac:dyDescent="0.2">
      <c r="N23" s="2" t="s">
        <v>58</v>
      </c>
      <c r="O23" s="2">
        <v>114</v>
      </c>
      <c r="P23" s="2" t="s">
        <v>58</v>
      </c>
      <c r="Q23" s="2">
        <v>111</v>
      </c>
      <c r="R23" s="2" t="s">
        <v>58</v>
      </c>
      <c r="S23" s="2">
        <v>115</v>
      </c>
    </row>
    <row r="24" spans="14:19" x14ac:dyDescent="0.2">
      <c r="N24" s="2" t="s">
        <v>60</v>
      </c>
      <c r="O24" s="2">
        <v>16</v>
      </c>
      <c r="P24" s="2" t="s">
        <v>60</v>
      </c>
      <c r="Q24" s="2">
        <v>15</v>
      </c>
      <c r="R24" s="2" t="s">
        <v>60</v>
      </c>
      <c r="S24" s="2">
        <v>16</v>
      </c>
    </row>
    <row r="25" spans="14:19" x14ac:dyDescent="0.2">
      <c r="N25" s="2" t="s">
        <v>61</v>
      </c>
      <c r="O25" s="2">
        <v>153</v>
      </c>
      <c r="P25" s="2" t="s">
        <v>61</v>
      </c>
      <c r="Q25" s="2">
        <v>151</v>
      </c>
      <c r="R25" s="2" t="s">
        <v>61</v>
      </c>
      <c r="S25" s="2">
        <v>142</v>
      </c>
    </row>
    <row r="26" spans="14:19" x14ac:dyDescent="0.2">
      <c r="N26" s="2" t="s">
        <v>62</v>
      </c>
      <c r="O26" s="2">
        <v>106</v>
      </c>
      <c r="P26" s="2" t="s">
        <v>62</v>
      </c>
      <c r="Q26" s="2">
        <v>108</v>
      </c>
      <c r="R26" s="2" t="s">
        <v>62</v>
      </c>
      <c r="S26" s="2">
        <v>111</v>
      </c>
    </row>
    <row r="27" spans="14:19" x14ac:dyDescent="0.2">
      <c r="N27" s="2" t="s">
        <v>63</v>
      </c>
      <c r="O27" s="2">
        <v>4</v>
      </c>
      <c r="P27" s="2" t="s">
        <v>63</v>
      </c>
      <c r="Q27" s="2">
        <v>3</v>
      </c>
      <c r="R27" s="2" t="s">
        <v>63</v>
      </c>
      <c r="S27" s="2">
        <v>2</v>
      </c>
    </row>
    <row r="28" spans="14:19" x14ac:dyDescent="0.2">
      <c r="N28" s="2" t="s">
        <v>64</v>
      </c>
      <c r="O28" s="2">
        <v>36</v>
      </c>
      <c r="P28" s="2" t="s">
        <v>64</v>
      </c>
      <c r="Q28" s="2">
        <v>36</v>
      </c>
      <c r="R28" s="2" t="s">
        <v>64</v>
      </c>
      <c r="S28" s="2">
        <v>39</v>
      </c>
    </row>
    <row r="29" spans="14:19" x14ac:dyDescent="0.2">
      <c r="N29" s="2" t="s">
        <v>65</v>
      </c>
      <c r="O29" s="2">
        <v>10</v>
      </c>
      <c r="P29" s="2" t="s">
        <v>65</v>
      </c>
      <c r="Q29" s="2">
        <v>10</v>
      </c>
      <c r="R29" s="2" t="s">
        <v>65</v>
      </c>
      <c r="S29" s="2">
        <v>11</v>
      </c>
    </row>
    <row r="30" spans="14:19" x14ac:dyDescent="0.2">
      <c r="N30" s="2" t="s">
        <v>66</v>
      </c>
      <c r="O30" s="2">
        <v>2</v>
      </c>
      <c r="P30" s="2" t="s">
        <v>66</v>
      </c>
      <c r="Q30" s="2">
        <v>2</v>
      </c>
      <c r="R30" s="2" t="s">
        <v>66</v>
      </c>
      <c r="S30" s="2">
        <v>2</v>
      </c>
    </row>
    <row r="31" spans="14:19" x14ac:dyDescent="0.2">
      <c r="N31" s="2" t="s">
        <v>67</v>
      </c>
      <c r="O31" s="2">
        <v>7</v>
      </c>
      <c r="P31" s="2" t="s">
        <v>67</v>
      </c>
      <c r="Q31" s="2">
        <v>7</v>
      </c>
      <c r="R31" s="2" t="s">
        <v>67</v>
      </c>
      <c r="S31" s="2">
        <v>7</v>
      </c>
    </row>
    <row r="32" spans="14:19" x14ac:dyDescent="0.2">
      <c r="N32" s="2" t="s">
        <v>68</v>
      </c>
      <c r="O32" s="2">
        <v>21</v>
      </c>
      <c r="P32" s="2" t="s">
        <v>68</v>
      </c>
      <c r="Q32" s="2">
        <v>21</v>
      </c>
      <c r="R32" s="2" t="s">
        <v>68</v>
      </c>
      <c r="S32" s="2">
        <v>24</v>
      </c>
    </row>
    <row r="33" spans="14:19" x14ac:dyDescent="0.2">
      <c r="N33" s="2" t="s">
        <v>69</v>
      </c>
      <c r="O33" s="2">
        <v>849</v>
      </c>
      <c r="P33" s="2" t="s">
        <v>69</v>
      </c>
      <c r="Q33" s="2">
        <v>846</v>
      </c>
      <c r="R33" s="2" t="s">
        <v>69</v>
      </c>
      <c r="S33" s="2">
        <v>856</v>
      </c>
    </row>
    <row r="34" spans="14:19" x14ac:dyDescent="0.2">
      <c r="N34" s="2" t="s">
        <v>70</v>
      </c>
      <c r="O34" s="2">
        <v>3</v>
      </c>
      <c r="P34" s="2" t="s">
        <v>70</v>
      </c>
      <c r="Q34" s="2">
        <v>4</v>
      </c>
      <c r="R34" s="2" t="s">
        <v>70</v>
      </c>
      <c r="S34" s="2">
        <v>3</v>
      </c>
    </row>
    <row r="35" spans="14:19" x14ac:dyDescent="0.2">
      <c r="N35" s="178" t="s">
        <v>287</v>
      </c>
      <c r="O35" s="178">
        <f>SUM(O3:O34)</f>
        <v>8701</v>
      </c>
      <c r="P35" s="178"/>
      <c r="Q35" s="178">
        <f t="shared" ref="P35:S35" si="0">SUM(Q3:Q34)</f>
        <v>8655</v>
      </c>
      <c r="R35" s="178"/>
      <c r="S35" s="178">
        <f t="shared" si="0"/>
        <v>8513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5" t="s">
        <v>78</v>
      </c>
      <c r="B1" s="35" t="s">
        <v>159</v>
      </c>
      <c r="C1" s="35" t="s">
        <v>160</v>
      </c>
      <c r="D1" s="35" t="s">
        <v>161</v>
      </c>
      <c r="E1" s="35" t="s">
        <v>162</v>
      </c>
      <c r="F1" s="35" t="s">
        <v>163</v>
      </c>
      <c r="G1" s="35" t="s">
        <v>164</v>
      </c>
      <c r="H1" s="35" t="s">
        <v>165</v>
      </c>
      <c r="I1" s="35" t="s">
        <v>166</v>
      </c>
      <c r="J1" s="35" t="s">
        <v>167</v>
      </c>
      <c r="K1" s="35" t="s">
        <v>181</v>
      </c>
      <c r="L1" s="35" t="s">
        <v>182</v>
      </c>
      <c r="M1" s="35" t="s">
        <v>183</v>
      </c>
      <c r="N1" s="35" t="s">
        <v>168</v>
      </c>
      <c r="O1" s="35" t="s">
        <v>169</v>
      </c>
      <c r="P1" s="35" t="s">
        <v>170</v>
      </c>
      <c r="Q1" s="35" t="s">
        <v>171</v>
      </c>
      <c r="R1" s="35" t="s">
        <v>172</v>
      </c>
      <c r="S1" s="35" t="s">
        <v>173</v>
      </c>
      <c r="T1" s="35" t="s">
        <v>174</v>
      </c>
      <c r="U1" s="35" t="s">
        <v>175</v>
      </c>
      <c r="V1" s="35" t="s">
        <v>176</v>
      </c>
      <c r="W1" s="35" t="s">
        <v>177</v>
      </c>
      <c r="X1" s="35" t="s">
        <v>178</v>
      </c>
      <c r="Y1" s="35" t="s">
        <v>179</v>
      </c>
    </row>
    <row r="2" spans="1:25" ht="16" x14ac:dyDescent="0.2">
      <c r="A2" s="36" t="s">
        <v>87</v>
      </c>
      <c r="B2" s="37">
        <v>37</v>
      </c>
      <c r="C2" s="37">
        <v>35</v>
      </c>
      <c r="D2" s="37">
        <v>33</v>
      </c>
      <c r="E2" s="37">
        <v>31</v>
      </c>
      <c r="F2" s="37">
        <v>31</v>
      </c>
      <c r="G2" s="37">
        <v>31</v>
      </c>
      <c r="H2" s="37">
        <v>30</v>
      </c>
      <c r="I2" s="37">
        <v>27</v>
      </c>
      <c r="J2" s="37">
        <v>27</v>
      </c>
      <c r="K2" s="37">
        <v>27</v>
      </c>
      <c r="L2" s="37">
        <v>24</v>
      </c>
      <c r="M2" s="37">
        <v>24</v>
      </c>
      <c r="N2" s="37">
        <v>23</v>
      </c>
      <c r="O2" s="37">
        <v>28</v>
      </c>
      <c r="P2" s="37">
        <v>28</v>
      </c>
      <c r="Q2" s="37">
        <v>30</v>
      </c>
      <c r="R2" s="37">
        <v>32</v>
      </c>
      <c r="S2" s="37">
        <v>33</v>
      </c>
      <c r="T2" s="37">
        <v>33</v>
      </c>
      <c r="U2" s="37">
        <v>35</v>
      </c>
      <c r="V2" s="37">
        <v>36</v>
      </c>
      <c r="W2" s="37">
        <v>37</v>
      </c>
      <c r="X2" s="37">
        <v>38</v>
      </c>
      <c r="Y2" s="37">
        <v>39</v>
      </c>
    </row>
    <row r="3" spans="1:25" ht="16" x14ac:dyDescent="0.2">
      <c r="A3" s="36" t="s">
        <v>88</v>
      </c>
      <c r="B3" s="37">
        <v>54</v>
      </c>
      <c r="C3" s="37">
        <v>51</v>
      </c>
      <c r="D3" s="37">
        <v>48</v>
      </c>
      <c r="E3" s="37">
        <v>46</v>
      </c>
      <c r="F3" s="37">
        <v>43</v>
      </c>
      <c r="G3" s="37">
        <v>41</v>
      </c>
      <c r="H3" s="37">
        <v>38</v>
      </c>
      <c r="I3" s="37">
        <v>34</v>
      </c>
      <c r="J3" s="37">
        <v>33</v>
      </c>
      <c r="K3" s="37">
        <v>29</v>
      </c>
      <c r="L3" s="37">
        <v>27</v>
      </c>
      <c r="M3" s="37">
        <v>24</v>
      </c>
      <c r="N3" s="37">
        <v>24</v>
      </c>
      <c r="O3" s="37">
        <v>31</v>
      </c>
      <c r="P3" s="37">
        <v>34</v>
      </c>
      <c r="Q3" s="37">
        <v>38</v>
      </c>
      <c r="R3" s="37">
        <v>39</v>
      </c>
      <c r="S3" s="37">
        <v>43</v>
      </c>
      <c r="T3" s="37">
        <v>45</v>
      </c>
      <c r="U3" s="37">
        <v>47</v>
      </c>
      <c r="V3" s="37">
        <v>48</v>
      </c>
      <c r="W3" s="37">
        <v>50</v>
      </c>
      <c r="X3" s="37">
        <v>51</v>
      </c>
      <c r="Y3" s="37">
        <v>53</v>
      </c>
    </row>
    <row r="4" spans="1:25" ht="16" x14ac:dyDescent="0.2">
      <c r="A4" s="36" t="s">
        <v>89</v>
      </c>
      <c r="B4" s="37">
        <v>26</v>
      </c>
      <c r="C4" s="37">
        <v>26</v>
      </c>
      <c r="D4" s="37">
        <v>24</v>
      </c>
      <c r="E4" s="37">
        <v>24</v>
      </c>
      <c r="F4" s="37">
        <v>23</v>
      </c>
      <c r="G4" s="37">
        <v>21</v>
      </c>
      <c r="H4" s="37">
        <v>22</v>
      </c>
      <c r="I4" s="37">
        <v>23</v>
      </c>
      <c r="J4" s="37">
        <v>23</v>
      </c>
      <c r="K4" s="37">
        <v>22</v>
      </c>
      <c r="L4" s="37">
        <v>22</v>
      </c>
      <c r="M4" s="37">
        <v>21</v>
      </c>
      <c r="N4" s="37">
        <v>22</v>
      </c>
      <c r="O4" s="37">
        <v>23</v>
      </c>
      <c r="P4" s="37">
        <v>24</v>
      </c>
      <c r="Q4" s="37">
        <v>26</v>
      </c>
      <c r="R4" s="37">
        <v>26</v>
      </c>
      <c r="S4" s="37">
        <v>27</v>
      </c>
      <c r="T4" s="37">
        <v>26</v>
      </c>
      <c r="U4" s="37">
        <v>26</v>
      </c>
      <c r="V4" s="37">
        <v>25</v>
      </c>
      <c r="W4" s="37">
        <v>26</v>
      </c>
      <c r="X4" s="37">
        <v>26</v>
      </c>
      <c r="Y4" s="37">
        <v>26</v>
      </c>
    </row>
    <row r="5" spans="1:25" ht="16" x14ac:dyDescent="0.2">
      <c r="A5" s="36" t="s">
        <v>90</v>
      </c>
      <c r="B5" s="37">
        <v>29</v>
      </c>
      <c r="C5" s="37">
        <v>29</v>
      </c>
      <c r="D5" s="37">
        <v>27</v>
      </c>
      <c r="E5" s="37">
        <v>27</v>
      </c>
      <c r="F5" s="37">
        <v>27</v>
      </c>
      <c r="G5" s="37">
        <v>26</v>
      </c>
      <c r="H5" s="37">
        <v>26</v>
      </c>
      <c r="I5" s="37">
        <v>25</v>
      </c>
      <c r="J5" s="37">
        <v>26</v>
      </c>
      <c r="K5" s="37">
        <v>26</v>
      </c>
      <c r="L5" s="37">
        <v>26</v>
      </c>
      <c r="M5" s="37">
        <v>23</v>
      </c>
      <c r="N5" s="37">
        <v>23</v>
      </c>
      <c r="O5" s="37">
        <v>26</v>
      </c>
      <c r="P5" s="37">
        <v>26</v>
      </c>
      <c r="Q5" s="37">
        <v>26</v>
      </c>
      <c r="R5" s="37">
        <v>25</v>
      </c>
      <c r="S5" s="37">
        <v>25</v>
      </c>
      <c r="T5" s="37">
        <v>25</v>
      </c>
      <c r="U5" s="37">
        <v>26</v>
      </c>
      <c r="V5" s="37">
        <v>27</v>
      </c>
      <c r="W5" s="37">
        <v>27</v>
      </c>
      <c r="X5" s="37">
        <v>26</v>
      </c>
      <c r="Y5" s="37">
        <v>28</v>
      </c>
    </row>
    <row r="6" spans="1:25" ht="16" x14ac:dyDescent="0.2">
      <c r="A6" s="36" t="s">
        <v>118</v>
      </c>
      <c r="B6" s="37">
        <v>10</v>
      </c>
      <c r="C6" s="37">
        <v>10</v>
      </c>
      <c r="D6" s="37">
        <v>9</v>
      </c>
      <c r="E6" s="37">
        <v>9</v>
      </c>
      <c r="F6" s="37">
        <v>9</v>
      </c>
      <c r="G6" s="37">
        <v>10</v>
      </c>
      <c r="H6" s="37">
        <v>9</v>
      </c>
      <c r="I6" s="37">
        <v>9</v>
      </c>
      <c r="J6" s="37">
        <v>7</v>
      </c>
      <c r="K6" s="37">
        <v>7</v>
      </c>
      <c r="L6" s="37">
        <v>7</v>
      </c>
      <c r="M6" s="37">
        <v>7</v>
      </c>
      <c r="N6" s="37">
        <v>12</v>
      </c>
      <c r="O6" s="37">
        <v>13</v>
      </c>
      <c r="P6" s="37">
        <v>12</v>
      </c>
      <c r="Q6" s="37">
        <v>12</v>
      </c>
      <c r="R6" s="37">
        <v>12</v>
      </c>
      <c r="S6" s="37">
        <v>11</v>
      </c>
      <c r="T6" s="37">
        <v>11</v>
      </c>
      <c r="U6" s="37">
        <v>10</v>
      </c>
      <c r="V6" s="37">
        <v>10</v>
      </c>
      <c r="W6" s="37">
        <v>10</v>
      </c>
      <c r="X6" s="37">
        <v>10</v>
      </c>
      <c r="Y6" s="37">
        <v>10</v>
      </c>
    </row>
    <row r="7" spans="1:25" ht="16" x14ac:dyDescent="0.2">
      <c r="A7" s="36" t="s">
        <v>111</v>
      </c>
      <c r="B7" s="37">
        <v>3</v>
      </c>
      <c r="C7" s="37">
        <v>4</v>
      </c>
      <c r="D7" s="37">
        <v>3</v>
      </c>
      <c r="E7" s="37">
        <v>4</v>
      </c>
      <c r="F7" s="37">
        <v>3</v>
      </c>
      <c r="G7" s="37">
        <v>3</v>
      </c>
      <c r="H7" s="37">
        <v>4</v>
      </c>
      <c r="I7" s="37">
        <v>3</v>
      </c>
      <c r="J7" s="37">
        <v>4</v>
      </c>
      <c r="K7" s="37">
        <v>3</v>
      </c>
      <c r="L7" s="37">
        <v>4</v>
      </c>
      <c r="M7" s="37">
        <v>4</v>
      </c>
      <c r="N7" s="37">
        <v>4</v>
      </c>
      <c r="O7" s="37">
        <v>4</v>
      </c>
      <c r="P7" s="37">
        <v>5</v>
      </c>
      <c r="Q7" s="37">
        <v>4</v>
      </c>
      <c r="R7" s="37">
        <v>4</v>
      </c>
      <c r="S7" s="37">
        <v>5</v>
      </c>
      <c r="T7" s="37">
        <v>4</v>
      </c>
      <c r="U7" s="37">
        <v>4</v>
      </c>
      <c r="V7" s="37">
        <v>5</v>
      </c>
      <c r="W7" s="37">
        <v>5</v>
      </c>
      <c r="X7" s="37">
        <v>4</v>
      </c>
      <c r="Y7" s="37">
        <v>4</v>
      </c>
    </row>
    <row r="8" spans="1:25" ht="16" x14ac:dyDescent="0.2">
      <c r="A8" s="36" t="s">
        <v>96</v>
      </c>
      <c r="B8" s="37">
        <v>33</v>
      </c>
      <c r="C8" s="37">
        <v>32</v>
      </c>
      <c r="D8" s="37">
        <v>32</v>
      </c>
      <c r="E8" s="37">
        <v>32</v>
      </c>
      <c r="F8" s="37">
        <v>30</v>
      </c>
      <c r="G8" s="37">
        <v>29</v>
      </c>
      <c r="H8" s="37">
        <v>28</v>
      </c>
      <c r="I8" s="37">
        <v>28</v>
      </c>
      <c r="J8" s="37">
        <v>28</v>
      </c>
      <c r="K8" s="37">
        <v>24</v>
      </c>
      <c r="L8" s="37">
        <v>21</v>
      </c>
      <c r="M8" s="37">
        <v>20</v>
      </c>
      <c r="N8" s="37">
        <v>21</v>
      </c>
      <c r="O8" s="37">
        <v>22</v>
      </c>
      <c r="P8" s="37">
        <v>25</v>
      </c>
      <c r="Q8" s="37">
        <v>25</v>
      </c>
      <c r="R8" s="37">
        <v>26</v>
      </c>
      <c r="S8" s="37">
        <v>27</v>
      </c>
      <c r="T8" s="37">
        <v>28</v>
      </c>
      <c r="U8" s="37">
        <v>28</v>
      </c>
      <c r="V8" s="37">
        <v>32</v>
      </c>
      <c r="W8" s="37">
        <v>31</v>
      </c>
      <c r="X8" s="37">
        <v>32</v>
      </c>
      <c r="Y8" s="37">
        <v>32</v>
      </c>
    </row>
    <row r="9" spans="1:25" ht="16" x14ac:dyDescent="0.2">
      <c r="A9" s="36" t="s">
        <v>94</v>
      </c>
      <c r="B9" s="37">
        <v>21</v>
      </c>
      <c r="C9" s="37">
        <v>20</v>
      </c>
      <c r="D9" s="37">
        <v>21</v>
      </c>
      <c r="E9" s="37">
        <v>22</v>
      </c>
      <c r="F9" s="37">
        <v>21</v>
      </c>
      <c r="G9" s="37">
        <v>18</v>
      </c>
      <c r="H9" s="37">
        <v>18</v>
      </c>
      <c r="I9" s="37">
        <v>18</v>
      </c>
      <c r="J9" s="37">
        <v>17</v>
      </c>
      <c r="K9" s="37">
        <v>16</v>
      </c>
      <c r="L9" s="37">
        <v>15</v>
      </c>
      <c r="M9" s="37">
        <v>14</v>
      </c>
      <c r="N9" s="37">
        <v>16</v>
      </c>
      <c r="O9" s="37">
        <v>17</v>
      </c>
      <c r="P9" s="37">
        <v>17</v>
      </c>
      <c r="Q9" s="37">
        <v>17</v>
      </c>
      <c r="R9" s="37">
        <v>17</v>
      </c>
      <c r="S9" s="37">
        <v>19</v>
      </c>
      <c r="T9" s="37">
        <v>19</v>
      </c>
      <c r="U9" s="37">
        <v>20</v>
      </c>
      <c r="V9" s="37">
        <v>19</v>
      </c>
      <c r="W9" s="37">
        <v>20</v>
      </c>
      <c r="X9" s="37">
        <v>21</v>
      </c>
      <c r="Y9" s="37">
        <v>21</v>
      </c>
    </row>
    <row r="10" spans="1:25" ht="16" x14ac:dyDescent="0.2">
      <c r="A10" s="36" t="s">
        <v>95</v>
      </c>
      <c r="B10" s="37">
        <v>4</v>
      </c>
      <c r="C10" s="37">
        <v>4</v>
      </c>
      <c r="D10" s="37">
        <v>4</v>
      </c>
      <c r="E10" s="37">
        <v>4</v>
      </c>
      <c r="F10" s="37">
        <v>4</v>
      </c>
      <c r="G10" s="37">
        <v>4</v>
      </c>
      <c r="H10" s="37">
        <v>4</v>
      </c>
      <c r="I10" s="37">
        <v>3</v>
      </c>
      <c r="J10" s="37">
        <v>2</v>
      </c>
      <c r="K10" s="37">
        <v>2</v>
      </c>
      <c r="L10" s="37">
        <v>2</v>
      </c>
      <c r="M10" s="37">
        <v>3</v>
      </c>
      <c r="N10" s="37">
        <v>2</v>
      </c>
      <c r="O10" s="37">
        <v>3</v>
      </c>
      <c r="P10" s="37">
        <v>3</v>
      </c>
      <c r="Q10" s="37">
        <v>3</v>
      </c>
      <c r="R10" s="37">
        <v>2</v>
      </c>
      <c r="S10" s="37">
        <v>3</v>
      </c>
      <c r="T10" s="37">
        <v>1</v>
      </c>
      <c r="U10" s="37">
        <v>1</v>
      </c>
      <c r="V10" s="37">
        <v>1</v>
      </c>
      <c r="W10" s="37">
        <v>2</v>
      </c>
      <c r="X10" s="37">
        <v>3</v>
      </c>
      <c r="Y10" s="37">
        <v>3</v>
      </c>
    </row>
    <row r="11" spans="1:25" ht="16" x14ac:dyDescent="0.2">
      <c r="A11" s="36" t="s">
        <v>97</v>
      </c>
      <c r="B11" s="37">
        <v>12</v>
      </c>
      <c r="C11" s="37">
        <v>12</v>
      </c>
      <c r="D11" s="37">
        <v>12</v>
      </c>
      <c r="E11" s="37">
        <v>12</v>
      </c>
      <c r="F11" s="37">
        <v>12</v>
      </c>
      <c r="G11" s="37">
        <v>11</v>
      </c>
      <c r="H11" s="37">
        <v>10</v>
      </c>
      <c r="I11" s="37">
        <v>10</v>
      </c>
      <c r="J11" s="37">
        <v>10</v>
      </c>
      <c r="K11" s="37">
        <v>10</v>
      </c>
      <c r="L11" s="37">
        <v>10</v>
      </c>
      <c r="M11" s="37">
        <v>8</v>
      </c>
      <c r="N11" s="37">
        <v>9</v>
      </c>
      <c r="O11" s="37">
        <v>10</v>
      </c>
      <c r="P11" s="37">
        <v>10</v>
      </c>
      <c r="Q11" s="37">
        <v>9</v>
      </c>
      <c r="R11" s="37">
        <v>10</v>
      </c>
      <c r="S11" s="37">
        <v>11</v>
      </c>
      <c r="T11" s="37">
        <v>11</v>
      </c>
      <c r="U11" s="37">
        <v>10</v>
      </c>
      <c r="V11" s="37">
        <v>10</v>
      </c>
      <c r="W11" s="37">
        <v>12</v>
      </c>
      <c r="X11" s="37">
        <v>12</v>
      </c>
      <c r="Y11" s="37">
        <v>12</v>
      </c>
    </row>
    <row r="12" spans="1:25" ht="16" x14ac:dyDescent="0.2">
      <c r="A12" s="36" t="s">
        <v>98</v>
      </c>
      <c r="B12" s="37">
        <v>8</v>
      </c>
      <c r="C12" s="37">
        <v>8</v>
      </c>
      <c r="D12" s="37">
        <v>7</v>
      </c>
      <c r="E12" s="37">
        <v>8</v>
      </c>
      <c r="F12" s="37">
        <v>7</v>
      </c>
      <c r="G12" s="37">
        <v>8</v>
      </c>
      <c r="H12" s="37">
        <v>8</v>
      </c>
      <c r="I12" s="37">
        <v>8</v>
      </c>
      <c r="J12" s="37">
        <v>8</v>
      </c>
      <c r="K12" s="37">
        <v>10</v>
      </c>
      <c r="L12" s="37">
        <v>10</v>
      </c>
      <c r="M12" s="37">
        <v>9</v>
      </c>
      <c r="N12" s="37">
        <v>7</v>
      </c>
      <c r="O12" s="37">
        <v>7</v>
      </c>
      <c r="P12" s="37">
        <v>7</v>
      </c>
      <c r="Q12" s="37">
        <v>7</v>
      </c>
      <c r="R12" s="37">
        <v>6</v>
      </c>
      <c r="S12" s="37">
        <v>6</v>
      </c>
      <c r="T12" s="37">
        <v>6</v>
      </c>
      <c r="U12" s="37">
        <v>5</v>
      </c>
      <c r="V12" s="37">
        <v>5</v>
      </c>
      <c r="W12" s="37">
        <v>7</v>
      </c>
      <c r="X12" s="37">
        <v>6</v>
      </c>
      <c r="Y12" s="37">
        <v>8</v>
      </c>
    </row>
    <row r="13" spans="1:25" ht="16" x14ac:dyDescent="0.2">
      <c r="A13" s="36" t="s">
        <v>107</v>
      </c>
      <c r="B13" s="37">
        <v>9</v>
      </c>
      <c r="C13" s="37">
        <v>10</v>
      </c>
      <c r="D13" s="37">
        <v>9</v>
      </c>
      <c r="E13" s="37">
        <v>9</v>
      </c>
      <c r="F13" s="37">
        <v>8</v>
      </c>
      <c r="G13" s="37">
        <v>10</v>
      </c>
      <c r="H13" s="37">
        <v>10</v>
      </c>
      <c r="I13" s="37">
        <v>9</v>
      </c>
      <c r="J13" s="37">
        <v>10</v>
      </c>
      <c r="K13" s="37">
        <v>9</v>
      </c>
      <c r="L13" s="37">
        <v>9</v>
      </c>
      <c r="M13" s="37">
        <v>9</v>
      </c>
      <c r="N13" s="37">
        <v>7</v>
      </c>
      <c r="O13" s="37">
        <v>7</v>
      </c>
      <c r="P13" s="37">
        <v>7</v>
      </c>
      <c r="Q13" s="37">
        <v>7</v>
      </c>
      <c r="R13" s="37">
        <v>8</v>
      </c>
      <c r="S13" s="37">
        <v>8</v>
      </c>
      <c r="T13" s="37">
        <v>7</v>
      </c>
      <c r="U13" s="37">
        <v>7</v>
      </c>
      <c r="V13" s="37">
        <v>7</v>
      </c>
      <c r="W13" s="37">
        <v>9</v>
      </c>
      <c r="X13" s="37">
        <v>8</v>
      </c>
      <c r="Y13" s="37">
        <v>9</v>
      </c>
    </row>
    <row r="14" spans="1:25" ht="16" x14ac:dyDescent="0.2">
      <c r="A14" s="36" t="s">
        <v>105</v>
      </c>
      <c r="B14" s="37">
        <v>8</v>
      </c>
      <c r="C14" s="37">
        <v>8</v>
      </c>
      <c r="D14" s="37">
        <v>9</v>
      </c>
      <c r="E14" s="37">
        <v>8</v>
      </c>
      <c r="F14" s="37">
        <v>8</v>
      </c>
      <c r="G14" s="37">
        <v>7</v>
      </c>
      <c r="H14" s="37">
        <v>7</v>
      </c>
      <c r="I14" s="37">
        <v>7</v>
      </c>
      <c r="J14" s="37">
        <v>6</v>
      </c>
      <c r="K14" s="37">
        <v>6</v>
      </c>
      <c r="L14" s="37">
        <v>7</v>
      </c>
      <c r="M14" s="37">
        <v>7</v>
      </c>
      <c r="N14" s="37">
        <v>8</v>
      </c>
      <c r="O14" s="37">
        <v>8</v>
      </c>
      <c r="P14" s="37">
        <v>8</v>
      </c>
      <c r="Q14" s="37">
        <v>8</v>
      </c>
      <c r="R14" s="37">
        <v>7</v>
      </c>
      <c r="S14" s="37">
        <v>8</v>
      </c>
      <c r="T14" s="37">
        <v>8</v>
      </c>
      <c r="U14" s="37">
        <v>7</v>
      </c>
      <c r="V14" s="37">
        <v>7</v>
      </c>
      <c r="W14" s="37">
        <v>9</v>
      </c>
      <c r="X14" s="37">
        <v>9</v>
      </c>
      <c r="Y14" s="37">
        <v>9</v>
      </c>
    </row>
    <row r="15" spans="1:25" ht="16" x14ac:dyDescent="0.2">
      <c r="A15" s="36" t="s">
        <v>119</v>
      </c>
      <c r="B15" s="37">
        <v>5</v>
      </c>
      <c r="C15" s="37">
        <v>6</v>
      </c>
      <c r="D15" s="37">
        <v>6</v>
      </c>
      <c r="E15" s="37">
        <v>5</v>
      </c>
      <c r="F15" s="37">
        <v>5</v>
      </c>
      <c r="G15" s="37">
        <v>6</v>
      </c>
      <c r="H15" s="37">
        <v>6</v>
      </c>
      <c r="I15" s="37">
        <v>5</v>
      </c>
      <c r="J15" s="37">
        <v>5</v>
      </c>
      <c r="K15" s="37">
        <v>5</v>
      </c>
      <c r="L15" s="37">
        <v>5</v>
      </c>
      <c r="M15" s="37">
        <v>5</v>
      </c>
      <c r="N15" s="37">
        <v>5</v>
      </c>
      <c r="O15" s="37">
        <v>5</v>
      </c>
      <c r="P15" s="37">
        <v>4</v>
      </c>
      <c r="Q15" s="37">
        <v>4</v>
      </c>
      <c r="R15" s="37">
        <v>4</v>
      </c>
      <c r="S15" s="37">
        <v>6</v>
      </c>
      <c r="T15" s="37">
        <v>4</v>
      </c>
      <c r="U15" s="37">
        <v>5</v>
      </c>
      <c r="V15" s="37">
        <v>6</v>
      </c>
      <c r="W15" s="37">
        <v>7</v>
      </c>
      <c r="X15" s="37">
        <v>7</v>
      </c>
      <c r="Y15" s="37">
        <v>7</v>
      </c>
    </row>
    <row r="16" spans="1:25" ht="16" x14ac:dyDescent="0.2">
      <c r="A16" s="36" t="s">
        <v>99</v>
      </c>
      <c r="B16" s="37">
        <v>21</v>
      </c>
      <c r="C16" s="37">
        <v>21</v>
      </c>
      <c r="D16" s="37">
        <v>20</v>
      </c>
      <c r="E16" s="37">
        <v>20</v>
      </c>
      <c r="F16" s="37">
        <v>19</v>
      </c>
      <c r="G16" s="37">
        <v>18</v>
      </c>
      <c r="H16" s="37">
        <v>17</v>
      </c>
      <c r="I16" s="37">
        <v>17</v>
      </c>
      <c r="J16" s="37">
        <v>16</v>
      </c>
      <c r="K16" s="37">
        <v>16</v>
      </c>
      <c r="L16" s="37">
        <v>15</v>
      </c>
      <c r="M16" s="37">
        <v>15</v>
      </c>
      <c r="N16" s="37">
        <v>20</v>
      </c>
      <c r="O16" s="37">
        <v>21</v>
      </c>
      <c r="P16" s="37">
        <v>21</v>
      </c>
      <c r="Q16" s="37">
        <v>21</v>
      </c>
      <c r="R16" s="37">
        <v>22</v>
      </c>
      <c r="S16" s="37">
        <v>22</v>
      </c>
      <c r="T16" s="37">
        <v>22</v>
      </c>
      <c r="U16" s="37">
        <v>21</v>
      </c>
      <c r="V16" s="37">
        <v>21</v>
      </c>
      <c r="W16" s="37">
        <v>21</v>
      </c>
      <c r="X16" s="37">
        <v>20</v>
      </c>
      <c r="Y16" s="37">
        <v>21</v>
      </c>
    </row>
    <row r="17" spans="1:25" ht="16" x14ac:dyDescent="0.2">
      <c r="A17" s="36" t="s">
        <v>91</v>
      </c>
      <c r="B17" s="37">
        <v>35</v>
      </c>
      <c r="C17" s="37">
        <v>35</v>
      </c>
      <c r="D17" s="37">
        <v>33</v>
      </c>
      <c r="E17" s="37">
        <v>33</v>
      </c>
      <c r="F17" s="37">
        <v>32</v>
      </c>
      <c r="G17" s="37">
        <v>30</v>
      </c>
      <c r="H17" s="37">
        <v>26</v>
      </c>
      <c r="I17" s="37">
        <v>26</v>
      </c>
      <c r="J17" s="37">
        <v>25</v>
      </c>
      <c r="K17" s="37">
        <v>24</v>
      </c>
      <c r="L17" s="37">
        <v>23</v>
      </c>
      <c r="M17" s="37">
        <v>21</v>
      </c>
      <c r="N17" s="37">
        <v>24</v>
      </c>
      <c r="O17" s="37">
        <v>25</v>
      </c>
      <c r="P17" s="37">
        <v>25</v>
      </c>
      <c r="Q17" s="37">
        <v>26</v>
      </c>
      <c r="R17" s="37">
        <v>29</v>
      </c>
      <c r="S17" s="37">
        <v>30</v>
      </c>
      <c r="T17" s="37">
        <v>30</v>
      </c>
      <c r="U17" s="37">
        <v>32</v>
      </c>
      <c r="V17" s="37">
        <v>32</v>
      </c>
      <c r="W17" s="37">
        <v>33</v>
      </c>
      <c r="X17" s="37">
        <v>33</v>
      </c>
      <c r="Y17" s="37">
        <v>34</v>
      </c>
    </row>
    <row r="18" spans="1:25" ht="16" x14ac:dyDescent="0.2">
      <c r="A18" s="36" t="s">
        <v>100</v>
      </c>
      <c r="B18" s="37">
        <v>11</v>
      </c>
      <c r="C18" s="37">
        <v>10</v>
      </c>
      <c r="D18" s="37">
        <v>10</v>
      </c>
      <c r="E18" s="37">
        <v>10</v>
      </c>
      <c r="F18" s="37">
        <v>9</v>
      </c>
      <c r="G18" s="37">
        <v>10</v>
      </c>
      <c r="H18" s="37">
        <v>10</v>
      </c>
      <c r="I18" s="37">
        <v>10</v>
      </c>
      <c r="J18" s="37">
        <v>10</v>
      </c>
      <c r="K18" s="37">
        <v>9</v>
      </c>
      <c r="L18" s="37">
        <v>9</v>
      </c>
      <c r="M18" s="37">
        <v>9</v>
      </c>
      <c r="N18" s="37">
        <v>8</v>
      </c>
      <c r="O18" s="37">
        <v>9</v>
      </c>
      <c r="P18" s="37">
        <v>9</v>
      </c>
      <c r="Q18" s="37">
        <v>9</v>
      </c>
      <c r="R18" s="37">
        <v>8</v>
      </c>
      <c r="S18" s="37">
        <v>8</v>
      </c>
      <c r="T18" s="37">
        <v>8</v>
      </c>
      <c r="U18" s="37">
        <v>7</v>
      </c>
      <c r="V18" s="37">
        <v>8</v>
      </c>
      <c r="W18" s="37">
        <v>10</v>
      </c>
      <c r="X18" s="37">
        <v>11</v>
      </c>
      <c r="Y18" s="37">
        <v>11</v>
      </c>
    </row>
    <row r="19" spans="1:25" ht="16" x14ac:dyDescent="0.2">
      <c r="A19" s="36" t="s">
        <v>101</v>
      </c>
      <c r="B19" s="37">
        <v>28</v>
      </c>
      <c r="C19" s="37">
        <v>29</v>
      </c>
      <c r="D19" s="37">
        <v>28</v>
      </c>
      <c r="E19" s="37">
        <v>28</v>
      </c>
      <c r="F19" s="37">
        <v>29</v>
      </c>
      <c r="G19" s="37">
        <v>29</v>
      </c>
      <c r="H19" s="37">
        <v>29</v>
      </c>
      <c r="I19" s="37">
        <v>27</v>
      </c>
      <c r="J19" s="37">
        <v>26</v>
      </c>
      <c r="K19" s="37">
        <v>24</v>
      </c>
      <c r="L19" s="37">
        <v>22</v>
      </c>
      <c r="M19" s="37">
        <v>20</v>
      </c>
      <c r="N19" s="37">
        <v>22</v>
      </c>
      <c r="O19" s="37">
        <v>27</v>
      </c>
      <c r="P19" s="37">
        <v>27</v>
      </c>
      <c r="Q19" s="37">
        <v>28</v>
      </c>
      <c r="R19" s="37">
        <v>29</v>
      </c>
      <c r="S19" s="37">
        <v>29</v>
      </c>
      <c r="T19" s="37">
        <v>28</v>
      </c>
      <c r="U19" s="37">
        <v>29</v>
      </c>
      <c r="V19" s="37">
        <v>29</v>
      </c>
      <c r="W19" s="37">
        <v>29</v>
      </c>
      <c r="X19" s="37">
        <v>28</v>
      </c>
      <c r="Y19" s="37">
        <v>27</v>
      </c>
    </row>
    <row r="20" spans="1:25" ht="16" x14ac:dyDescent="0.2">
      <c r="A20" s="36" t="s">
        <v>106</v>
      </c>
      <c r="B20" s="37">
        <v>23</v>
      </c>
      <c r="C20" s="37">
        <v>23</v>
      </c>
      <c r="D20" s="37">
        <v>24</v>
      </c>
      <c r="E20" s="37">
        <v>24</v>
      </c>
      <c r="F20" s="37">
        <v>25</v>
      </c>
      <c r="G20" s="37">
        <v>25</v>
      </c>
      <c r="H20" s="37">
        <v>24</v>
      </c>
      <c r="I20" s="37">
        <v>23</v>
      </c>
      <c r="J20" s="37">
        <v>21</v>
      </c>
      <c r="K20" s="37">
        <v>21</v>
      </c>
      <c r="L20" s="37">
        <v>19</v>
      </c>
      <c r="M20" s="37">
        <v>18</v>
      </c>
      <c r="N20" s="37">
        <v>20</v>
      </c>
      <c r="O20" s="37">
        <v>20</v>
      </c>
      <c r="P20" s="37">
        <v>20</v>
      </c>
      <c r="Q20" s="37">
        <v>20</v>
      </c>
      <c r="R20" s="37">
        <v>20</v>
      </c>
      <c r="S20" s="37">
        <v>20</v>
      </c>
      <c r="T20" s="37">
        <v>20</v>
      </c>
      <c r="U20" s="37">
        <v>21</v>
      </c>
      <c r="V20" s="37">
        <v>21</v>
      </c>
      <c r="W20" s="37">
        <v>21</v>
      </c>
      <c r="X20" s="37">
        <v>21</v>
      </c>
      <c r="Y20" s="37">
        <v>22</v>
      </c>
    </row>
    <row r="21" spans="1:25" ht="16" x14ac:dyDescent="0.2">
      <c r="A21" s="36" t="s">
        <v>110</v>
      </c>
      <c r="B21" s="37">
        <v>2</v>
      </c>
      <c r="C21" s="37">
        <v>2</v>
      </c>
      <c r="D21" s="37">
        <v>2</v>
      </c>
      <c r="E21" s="37">
        <v>2</v>
      </c>
      <c r="F21" s="37">
        <v>1</v>
      </c>
      <c r="G21" s="37">
        <v>2</v>
      </c>
      <c r="H21" s="37">
        <v>2</v>
      </c>
      <c r="I21" s="37">
        <v>1</v>
      </c>
      <c r="J21" s="37">
        <v>2</v>
      </c>
      <c r="K21" s="37">
        <v>0</v>
      </c>
      <c r="L21" s="37">
        <v>0</v>
      </c>
      <c r="M21" s="37">
        <v>0</v>
      </c>
      <c r="N21" s="37">
        <v>4</v>
      </c>
      <c r="O21" s="37">
        <v>4</v>
      </c>
      <c r="P21" s="37">
        <v>4</v>
      </c>
      <c r="Q21" s="37">
        <v>4</v>
      </c>
      <c r="R21" s="37">
        <v>3</v>
      </c>
      <c r="S21" s="37">
        <v>4</v>
      </c>
      <c r="T21" s="37">
        <v>3</v>
      </c>
      <c r="U21" s="37">
        <v>2</v>
      </c>
      <c r="V21" s="37">
        <v>3</v>
      </c>
      <c r="W21" s="37">
        <v>1</v>
      </c>
      <c r="X21" s="37">
        <v>2</v>
      </c>
      <c r="Y21" s="37">
        <v>2</v>
      </c>
    </row>
    <row r="22" spans="1:25" ht="16" x14ac:dyDescent="0.2">
      <c r="A22" s="36" t="s">
        <v>92</v>
      </c>
      <c r="B22" s="37">
        <v>12</v>
      </c>
      <c r="C22" s="37">
        <v>12</v>
      </c>
      <c r="D22" s="37">
        <v>12</v>
      </c>
      <c r="E22" s="37">
        <v>11</v>
      </c>
      <c r="F22" s="37">
        <v>11</v>
      </c>
      <c r="G22" s="37">
        <v>10</v>
      </c>
      <c r="H22" s="37">
        <v>10</v>
      </c>
      <c r="I22" s="37">
        <v>9</v>
      </c>
      <c r="J22" s="37">
        <v>8</v>
      </c>
      <c r="K22" s="37">
        <v>9</v>
      </c>
      <c r="L22" s="37">
        <v>9</v>
      </c>
      <c r="M22" s="37">
        <v>9</v>
      </c>
      <c r="N22" s="37">
        <v>15</v>
      </c>
      <c r="O22" s="37">
        <v>15</v>
      </c>
      <c r="P22" s="37">
        <v>15</v>
      </c>
      <c r="Q22" s="37">
        <v>14</v>
      </c>
      <c r="R22" s="37">
        <v>14</v>
      </c>
      <c r="S22" s="37">
        <v>14</v>
      </c>
      <c r="T22" s="37">
        <v>13</v>
      </c>
      <c r="U22" s="37">
        <v>11</v>
      </c>
      <c r="V22" s="37">
        <v>11</v>
      </c>
      <c r="W22" s="37">
        <v>11</v>
      </c>
      <c r="X22" s="37">
        <v>11</v>
      </c>
      <c r="Y22" s="37">
        <v>11</v>
      </c>
    </row>
    <row r="23" spans="1:25" ht="16" x14ac:dyDescent="0.2">
      <c r="A23" s="36" t="s">
        <v>114</v>
      </c>
      <c r="B23" s="37">
        <v>2</v>
      </c>
      <c r="C23" s="37">
        <v>2</v>
      </c>
      <c r="D23" s="37">
        <v>2</v>
      </c>
      <c r="E23" s="37">
        <v>1</v>
      </c>
      <c r="F23" s="37">
        <v>1</v>
      </c>
      <c r="G23" s="37">
        <v>2</v>
      </c>
      <c r="H23" s="37">
        <v>2</v>
      </c>
      <c r="I23" s="37">
        <v>2</v>
      </c>
      <c r="J23" s="37">
        <v>2</v>
      </c>
      <c r="K23" s="37">
        <v>2</v>
      </c>
      <c r="L23" s="37">
        <v>2</v>
      </c>
      <c r="M23" s="37">
        <v>2</v>
      </c>
      <c r="N23" s="37">
        <v>3</v>
      </c>
      <c r="O23" s="37">
        <v>3</v>
      </c>
      <c r="P23" s="37">
        <v>3</v>
      </c>
      <c r="Q23" s="37">
        <v>3</v>
      </c>
      <c r="R23" s="37">
        <v>3</v>
      </c>
      <c r="S23" s="37">
        <v>3</v>
      </c>
      <c r="T23" s="37">
        <v>2</v>
      </c>
      <c r="U23" s="37">
        <v>2</v>
      </c>
      <c r="V23" s="37">
        <v>2</v>
      </c>
      <c r="W23" s="37">
        <v>2</v>
      </c>
      <c r="X23" s="37">
        <v>2</v>
      </c>
      <c r="Y23" s="37">
        <v>1</v>
      </c>
    </row>
    <row r="24" spans="1:25" ht="16" x14ac:dyDescent="0.2">
      <c r="A24" s="36" t="s">
        <v>108</v>
      </c>
      <c r="B24" s="37">
        <v>24</v>
      </c>
      <c r="C24" s="37">
        <v>24</v>
      </c>
      <c r="D24" s="37">
        <v>24</v>
      </c>
      <c r="E24" s="37">
        <v>24</v>
      </c>
      <c r="F24" s="37">
        <v>24</v>
      </c>
      <c r="G24" s="37">
        <v>24</v>
      </c>
      <c r="H24" s="37">
        <v>24</v>
      </c>
      <c r="I24" s="37">
        <v>23</v>
      </c>
      <c r="J24" s="37">
        <v>23</v>
      </c>
      <c r="K24" s="37">
        <v>22</v>
      </c>
      <c r="L24" s="37">
        <v>20</v>
      </c>
      <c r="M24" s="37">
        <v>19</v>
      </c>
      <c r="N24" s="37">
        <v>19</v>
      </c>
      <c r="O24" s="37">
        <v>21</v>
      </c>
      <c r="P24" s="37">
        <v>22</v>
      </c>
      <c r="Q24" s="37">
        <v>24</v>
      </c>
      <c r="R24" s="37">
        <v>24</v>
      </c>
      <c r="S24" s="37">
        <v>24</v>
      </c>
      <c r="T24" s="37">
        <v>24</v>
      </c>
      <c r="U24" s="37">
        <v>24</v>
      </c>
      <c r="V24" s="37">
        <v>25</v>
      </c>
      <c r="W24" s="37">
        <v>26</v>
      </c>
      <c r="X24" s="37">
        <v>25</v>
      </c>
      <c r="Y24" s="37">
        <v>25</v>
      </c>
    </row>
    <row r="25" spans="1:25" ht="16" x14ac:dyDescent="0.2">
      <c r="A25" s="36" t="s">
        <v>102</v>
      </c>
      <c r="B25" s="37">
        <v>20</v>
      </c>
      <c r="C25" s="37">
        <v>20</v>
      </c>
      <c r="D25" s="37">
        <v>21</v>
      </c>
      <c r="E25" s="37">
        <v>20</v>
      </c>
      <c r="F25" s="37">
        <v>20</v>
      </c>
      <c r="G25" s="37">
        <v>20</v>
      </c>
      <c r="H25" s="37">
        <v>20</v>
      </c>
      <c r="I25" s="37">
        <v>20</v>
      </c>
      <c r="J25" s="37">
        <v>21</v>
      </c>
      <c r="K25" s="37">
        <v>20</v>
      </c>
      <c r="L25" s="37">
        <v>19</v>
      </c>
      <c r="M25" s="37">
        <v>18</v>
      </c>
      <c r="N25" s="37">
        <v>18</v>
      </c>
      <c r="O25" s="37">
        <v>19</v>
      </c>
      <c r="P25" s="37">
        <v>19</v>
      </c>
      <c r="Q25" s="37">
        <v>19</v>
      </c>
      <c r="R25" s="37">
        <v>20</v>
      </c>
      <c r="S25" s="37">
        <v>19</v>
      </c>
      <c r="T25" s="37">
        <v>20</v>
      </c>
      <c r="U25" s="37">
        <v>19</v>
      </c>
      <c r="V25" s="37">
        <v>19</v>
      </c>
      <c r="W25" s="37">
        <v>20</v>
      </c>
      <c r="X25" s="37">
        <v>20</v>
      </c>
      <c r="Y25" s="37">
        <v>20</v>
      </c>
    </row>
    <row r="26" spans="1:25" ht="16" x14ac:dyDescent="0.2">
      <c r="A26" s="36" t="s">
        <v>180</v>
      </c>
      <c r="B26" s="37">
        <v>1</v>
      </c>
      <c r="C26" s="37">
        <v>1</v>
      </c>
      <c r="D26" s="37">
        <v>2</v>
      </c>
      <c r="E26" s="37">
        <v>2</v>
      </c>
      <c r="F26" s="37">
        <v>2</v>
      </c>
      <c r="G26" s="37">
        <v>2</v>
      </c>
      <c r="H26" s="37">
        <v>2</v>
      </c>
      <c r="I26" s="37">
        <v>2</v>
      </c>
      <c r="J26" s="37">
        <v>2</v>
      </c>
      <c r="K26" s="37">
        <v>2</v>
      </c>
      <c r="L26" s="37">
        <v>2</v>
      </c>
      <c r="M26" s="37">
        <v>2</v>
      </c>
      <c r="N26" s="37">
        <v>2</v>
      </c>
      <c r="O26" s="37">
        <v>2</v>
      </c>
      <c r="P26" s="37">
        <v>3</v>
      </c>
      <c r="Q26" s="37">
        <v>2</v>
      </c>
      <c r="R26" s="37">
        <v>2</v>
      </c>
      <c r="S26" s="37">
        <v>2</v>
      </c>
      <c r="T26" s="37">
        <v>2</v>
      </c>
      <c r="U26" s="37">
        <v>2</v>
      </c>
      <c r="V26" s="37">
        <v>2</v>
      </c>
      <c r="W26" s="37">
        <v>2</v>
      </c>
      <c r="X26" s="37">
        <v>2</v>
      </c>
      <c r="Y26" s="37">
        <v>1</v>
      </c>
    </row>
    <row r="27" spans="1:25" ht="16" x14ac:dyDescent="0.2">
      <c r="A27" s="36" t="s">
        <v>109</v>
      </c>
      <c r="B27" s="37">
        <v>5</v>
      </c>
      <c r="C27" s="37">
        <v>5</v>
      </c>
      <c r="D27" s="37">
        <v>5</v>
      </c>
      <c r="E27" s="37">
        <v>6</v>
      </c>
      <c r="F27" s="37">
        <v>5</v>
      </c>
      <c r="G27" s="37">
        <v>6</v>
      </c>
      <c r="H27" s="37">
        <v>6</v>
      </c>
      <c r="I27" s="37">
        <v>6</v>
      </c>
      <c r="J27" s="37">
        <v>7</v>
      </c>
      <c r="K27" s="37">
        <v>6</v>
      </c>
      <c r="L27" s="37">
        <v>7</v>
      </c>
      <c r="M27" s="37">
        <v>7</v>
      </c>
      <c r="N27" s="37">
        <v>9</v>
      </c>
      <c r="O27" s="37">
        <v>8</v>
      </c>
      <c r="P27" s="37">
        <v>9</v>
      </c>
      <c r="Q27" s="37">
        <v>8</v>
      </c>
      <c r="R27" s="37">
        <v>7</v>
      </c>
      <c r="S27" s="37">
        <v>6</v>
      </c>
      <c r="T27" s="37">
        <v>5</v>
      </c>
      <c r="U27" s="37">
        <v>5</v>
      </c>
      <c r="V27" s="37">
        <v>6</v>
      </c>
      <c r="W27" s="37">
        <v>5</v>
      </c>
      <c r="X27" s="37">
        <v>4</v>
      </c>
      <c r="Y27" s="37">
        <v>5</v>
      </c>
    </row>
    <row r="28" spans="1:25" ht="16" x14ac:dyDescent="0.2">
      <c r="A28" s="36" t="s">
        <v>113</v>
      </c>
      <c r="B28" s="37">
        <v>2</v>
      </c>
      <c r="C28" s="37">
        <v>3</v>
      </c>
      <c r="D28" s="37">
        <v>2</v>
      </c>
      <c r="E28" s="37">
        <v>3</v>
      </c>
      <c r="F28" s="37">
        <v>3</v>
      </c>
      <c r="G28" s="37">
        <v>2</v>
      </c>
      <c r="H28" s="37">
        <v>2</v>
      </c>
      <c r="I28" s="37">
        <v>3</v>
      </c>
      <c r="J28" s="37">
        <v>1</v>
      </c>
      <c r="K28" s="37">
        <v>1</v>
      </c>
      <c r="L28" s="37">
        <v>1</v>
      </c>
      <c r="M28" s="37">
        <v>1</v>
      </c>
      <c r="N28" s="37">
        <v>3</v>
      </c>
      <c r="O28" s="37">
        <v>3</v>
      </c>
      <c r="P28" s="37">
        <v>3</v>
      </c>
      <c r="Q28" s="37">
        <v>3</v>
      </c>
      <c r="R28" s="37">
        <v>3</v>
      </c>
      <c r="S28" s="37">
        <v>2</v>
      </c>
      <c r="T28" s="37">
        <v>2</v>
      </c>
      <c r="U28" s="37">
        <v>2</v>
      </c>
      <c r="V28" s="37">
        <v>2</v>
      </c>
      <c r="W28" s="37">
        <v>2</v>
      </c>
      <c r="X28" s="37">
        <v>2</v>
      </c>
      <c r="Y28" s="37">
        <v>3</v>
      </c>
    </row>
    <row r="29" spans="1:25" ht="16" x14ac:dyDescent="0.2">
      <c r="A29" s="36" t="s">
        <v>122</v>
      </c>
      <c r="B29" s="37">
        <v>1</v>
      </c>
      <c r="C29" s="37">
        <v>2</v>
      </c>
      <c r="D29" s="37">
        <v>1</v>
      </c>
      <c r="E29" s="37">
        <v>1</v>
      </c>
      <c r="F29" s="37">
        <v>1</v>
      </c>
      <c r="G29" s="37">
        <v>2</v>
      </c>
      <c r="H29" s="37">
        <v>1</v>
      </c>
      <c r="I29" s="37">
        <v>2</v>
      </c>
      <c r="J29" s="37">
        <v>1</v>
      </c>
      <c r="K29" s="37">
        <v>1</v>
      </c>
      <c r="L29" s="37">
        <v>1</v>
      </c>
      <c r="M29" s="37">
        <v>2</v>
      </c>
      <c r="N29" s="37">
        <v>2</v>
      </c>
      <c r="O29" s="37">
        <v>1</v>
      </c>
      <c r="P29" s="37">
        <v>1</v>
      </c>
      <c r="Q29" s="37">
        <v>2</v>
      </c>
      <c r="R29" s="37">
        <v>1</v>
      </c>
      <c r="S29" s="37">
        <v>1</v>
      </c>
      <c r="T29" s="37">
        <v>1</v>
      </c>
      <c r="U29" s="37">
        <v>1</v>
      </c>
      <c r="V29" s="37">
        <v>1</v>
      </c>
      <c r="W29" s="37">
        <v>2</v>
      </c>
      <c r="X29" s="37">
        <v>1</v>
      </c>
      <c r="Y29" s="37">
        <v>1</v>
      </c>
    </row>
    <row r="30" spans="1:25" ht="16" x14ac:dyDescent="0.2">
      <c r="A30" s="36" t="s">
        <v>123</v>
      </c>
      <c r="B30" s="37">
        <v>1</v>
      </c>
      <c r="C30" s="37">
        <v>1</v>
      </c>
      <c r="D30" s="37">
        <v>1</v>
      </c>
      <c r="E30" s="37">
        <v>2</v>
      </c>
      <c r="F30" s="37">
        <v>1</v>
      </c>
      <c r="G30" s="37">
        <v>1</v>
      </c>
      <c r="H30" s="37">
        <v>2</v>
      </c>
      <c r="I30" s="37">
        <v>2</v>
      </c>
      <c r="J30" s="37">
        <v>1</v>
      </c>
      <c r="K30" s="37">
        <v>1</v>
      </c>
      <c r="L30" s="37">
        <v>1</v>
      </c>
      <c r="M30" s="37">
        <v>2</v>
      </c>
      <c r="N30" s="37">
        <v>2</v>
      </c>
      <c r="O30" s="37">
        <v>3</v>
      </c>
      <c r="P30" s="37">
        <v>3</v>
      </c>
      <c r="Q30" s="37">
        <v>2</v>
      </c>
      <c r="R30" s="37">
        <v>2</v>
      </c>
      <c r="S30" s="37">
        <v>2</v>
      </c>
      <c r="T30" s="37">
        <v>2</v>
      </c>
      <c r="U30" s="37">
        <v>3</v>
      </c>
      <c r="V30" s="37">
        <v>2</v>
      </c>
      <c r="W30" s="37">
        <v>1</v>
      </c>
      <c r="X30" s="37">
        <v>1</v>
      </c>
      <c r="Y30" s="37">
        <v>2</v>
      </c>
    </row>
    <row r="31" spans="1:25" ht="16" x14ac:dyDescent="0.2">
      <c r="A31" s="36" t="s">
        <v>103</v>
      </c>
      <c r="B31" s="37">
        <v>8</v>
      </c>
      <c r="C31" s="37">
        <v>8</v>
      </c>
      <c r="D31" s="37">
        <v>7</v>
      </c>
      <c r="E31" s="37">
        <v>8</v>
      </c>
      <c r="F31" s="37">
        <v>8</v>
      </c>
      <c r="G31" s="37">
        <v>8</v>
      </c>
      <c r="H31" s="37">
        <v>6</v>
      </c>
      <c r="I31" s="37">
        <v>5</v>
      </c>
      <c r="J31" s="37">
        <v>6</v>
      </c>
      <c r="K31" s="37">
        <v>5</v>
      </c>
      <c r="L31" s="37">
        <v>5</v>
      </c>
      <c r="M31" s="37">
        <v>4</v>
      </c>
      <c r="N31" s="37">
        <v>8</v>
      </c>
      <c r="O31" s="37">
        <v>8</v>
      </c>
      <c r="P31" s="37">
        <v>7</v>
      </c>
      <c r="Q31" s="37">
        <v>9</v>
      </c>
      <c r="R31" s="37">
        <v>9</v>
      </c>
      <c r="S31" s="37">
        <v>9</v>
      </c>
      <c r="T31" s="37">
        <v>9</v>
      </c>
      <c r="U31" s="37">
        <v>8</v>
      </c>
      <c r="V31" s="37">
        <v>9</v>
      </c>
      <c r="W31" s="37">
        <v>7</v>
      </c>
      <c r="X31" s="37">
        <v>8</v>
      </c>
      <c r="Y31" s="37">
        <v>8</v>
      </c>
    </row>
    <row r="32" spans="1:25" ht="16" x14ac:dyDescent="0.2">
      <c r="A32" s="36" t="s">
        <v>93</v>
      </c>
      <c r="B32" s="37">
        <v>39</v>
      </c>
      <c r="C32" s="37">
        <v>41</v>
      </c>
      <c r="D32" s="37">
        <v>40</v>
      </c>
      <c r="E32" s="37">
        <v>39</v>
      </c>
      <c r="F32" s="37">
        <v>38</v>
      </c>
      <c r="G32" s="37">
        <v>35</v>
      </c>
      <c r="H32" s="37">
        <v>34</v>
      </c>
      <c r="I32" s="37">
        <v>32</v>
      </c>
      <c r="J32" s="37">
        <v>28</v>
      </c>
      <c r="K32" s="37">
        <v>27</v>
      </c>
      <c r="L32" s="37">
        <v>25</v>
      </c>
      <c r="M32" s="37">
        <v>23</v>
      </c>
      <c r="N32" s="37">
        <v>24</v>
      </c>
      <c r="O32" s="37">
        <v>28</v>
      </c>
      <c r="P32" s="37">
        <v>30</v>
      </c>
      <c r="Q32" s="37">
        <v>33</v>
      </c>
      <c r="R32" s="37">
        <v>35</v>
      </c>
      <c r="S32" s="37">
        <v>34</v>
      </c>
      <c r="T32" s="37">
        <v>34</v>
      </c>
      <c r="U32" s="37">
        <v>36</v>
      </c>
      <c r="V32" s="37">
        <v>38</v>
      </c>
      <c r="W32" s="37">
        <v>40</v>
      </c>
      <c r="X32" s="37">
        <v>41</v>
      </c>
      <c r="Y32" s="37">
        <v>41</v>
      </c>
    </row>
    <row r="33" spans="1:25" ht="16" x14ac:dyDescent="0.2">
      <c r="A33" s="36" t="s">
        <v>124</v>
      </c>
      <c r="B33" s="37">
        <v>3</v>
      </c>
      <c r="C33" s="37">
        <v>2</v>
      </c>
      <c r="D33" s="37">
        <v>2</v>
      </c>
      <c r="E33" s="37">
        <v>2</v>
      </c>
      <c r="F33" s="37">
        <v>2</v>
      </c>
      <c r="G33" s="37">
        <v>2</v>
      </c>
      <c r="H33" s="37">
        <v>2</v>
      </c>
      <c r="I33" s="37">
        <v>1</v>
      </c>
      <c r="J33" s="37">
        <v>2</v>
      </c>
      <c r="K33" s="37">
        <v>1</v>
      </c>
      <c r="L33" s="37">
        <v>1</v>
      </c>
      <c r="M33" s="37">
        <v>1</v>
      </c>
      <c r="N33" s="37">
        <v>2</v>
      </c>
      <c r="O33" s="37">
        <v>2</v>
      </c>
      <c r="P33" s="37">
        <v>2</v>
      </c>
      <c r="Q33" s="37">
        <v>3</v>
      </c>
      <c r="R33" s="37">
        <v>2</v>
      </c>
      <c r="S33" s="37">
        <v>2</v>
      </c>
      <c r="T33" s="37">
        <v>2</v>
      </c>
      <c r="U33" s="37">
        <v>2</v>
      </c>
      <c r="V33" s="37">
        <v>2</v>
      </c>
      <c r="W33" s="37">
        <v>2</v>
      </c>
      <c r="X33" s="37">
        <v>2</v>
      </c>
      <c r="Y33" s="37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rgb="FFFFFF00"/>
  </sheetPr>
  <dimension ref="A1:CE126"/>
  <sheetViews>
    <sheetView tabSelected="1" topLeftCell="BI1" zoomScale="150" workbookViewId="0">
      <selection activeCell="CD43" sqref="CD43"/>
    </sheetView>
  </sheetViews>
  <sheetFormatPr baseColWidth="10" defaultColWidth="8.83203125" defaultRowHeight="12" customHeight="1" x14ac:dyDescent="0.2"/>
  <cols>
    <col min="1" max="1" width="7" bestFit="1" customWidth="1"/>
    <col min="2" max="3" width="6.6640625" bestFit="1" customWidth="1"/>
    <col min="4" max="6" width="13.6640625" bestFit="1" customWidth="1"/>
    <col min="7" max="7" width="14.6640625" bestFit="1" customWidth="1"/>
    <col min="8" max="8" width="11.1640625" bestFit="1" customWidth="1"/>
    <col min="9" max="11" width="13.6640625" bestFit="1" customWidth="1"/>
    <col min="12" max="12" width="14.6640625" bestFit="1" customWidth="1"/>
    <col min="13" max="13" width="11.1640625" bestFit="1" customWidth="1"/>
    <col min="14" max="16" width="13.6640625" bestFit="1" customWidth="1"/>
    <col min="17" max="17" width="14.6640625" bestFit="1" customWidth="1"/>
    <col min="18" max="18" width="7" bestFit="1" customWidth="1"/>
    <col min="19" max="19" width="6.6640625" bestFit="1" customWidth="1"/>
    <col min="20" max="20" width="9" bestFit="1" customWidth="1"/>
    <col min="21" max="22" width="10.83203125" bestFit="1" customWidth="1"/>
    <col min="23" max="24" width="12.1640625" bestFit="1" customWidth="1"/>
    <col min="25" max="25" width="9" bestFit="1" customWidth="1"/>
    <col min="26" max="26" width="12.1640625" bestFit="1" customWidth="1"/>
    <col min="27" max="27" width="10.83203125" bestFit="1" customWidth="1"/>
    <col min="28" max="29" width="12.1640625" bestFit="1" customWidth="1"/>
    <col min="30" max="30" width="9" bestFit="1" customWidth="1"/>
    <col min="31" max="31" width="11.1640625" bestFit="1" customWidth="1"/>
    <col min="32" max="32" width="10.83203125" bestFit="1" customWidth="1"/>
    <col min="33" max="34" width="12.1640625" bestFit="1" customWidth="1"/>
    <col min="35" max="43" width="10" hidden="1" customWidth="1"/>
    <col min="44" max="44" width="6.6640625" bestFit="1" customWidth="1"/>
    <col min="45" max="45" width="8.83203125" bestFit="1" customWidth="1"/>
    <col min="46" max="48" width="11.1640625" bestFit="1" customWidth="1"/>
    <col min="49" max="49" width="5.5" bestFit="1" customWidth="1"/>
    <col min="50" max="57" width="9" hidden="1" customWidth="1"/>
    <col min="58" max="58" width="11.1640625" hidden="1" customWidth="1"/>
    <col min="59" max="61" width="10" bestFit="1" customWidth="1"/>
    <col min="62" max="62" width="6.1640625" bestFit="1" customWidth="1"/>
    <col min="63" max="64" width="6.33203125" bestFit="1" customWidth="1"/>
    <col min="65" max="65" width="6.1640625" bestFit="1" customWidth="1"/>
    <col min="66" max="67" width="6.33203125" bestFit="1" customWidth="1"/>
    <col min="68" max="68" width="8.6640625" bestFit="1" customWidth="1"/>
    <col min="69" max="70" width="6.33203125" bestFit="1" customWidth="1"/>
    <col min="71" max="71" width="10.33203125" bestFit="1" customWidth="1"/>
    <col min="72" max="72" width="12" bestFit="1" customWidth="1"/>
    <col min="73" max="73" width="9.83203125" bestFit="1" customWidth="1"/>
    <col min="74" max="74" width="12.1640625" bestFit="1" customWidth="1"/>
    <col min="75" max="75" width="11.6640625" bestFit="1" customWidth="1"/>
    <col min="76" max="76" width="9.6640625" bestFit="1" customWidth="1"/>
    <col min="77" max="79" width="7.83203125" customWidth="1"/>
    <col min="80" max="80" width="9.1640625" customWidth="1"/>
    <col min="81" max="82" width="7.83203125" customWidth="1"/>
  </cols>
  <sheetData>
    <row r="1" spans="1:83" ht="12" customHeight="1" thickBot="1" x14ac:dyDescent="0.25">
      <c r="A1" s="142" t="s">
        <v>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57" t="s">
        <v>10</v>
      </c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68"/>
      <c r="AJ1" s="68"/>
      <c r="AK1" s="68"/>
      <c r="AL1" s="68"/>
      <c r="AM1" s="68"/>
      <c r="AN1" s="68"/>
      <c r="AO1" s="68"/>
      <c r="AP1" s="68"/>
      <c r="AQ1" s="68"/>
      <c r="AR1" s="159" t="s">
        <v>213</v>
      </c>
      <c r="AS1" s="159"/>
      <c r="AT1" s="159"/>
      <c r="AU1" s="159"/>
      <c r="AV1" s="160"/>
      <c r="AW1" s="162" t="s">
        <v>7</v>
      </c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62" t="s">
        <v>11</v>
      </c>
      <c r="BK1" s="142"/>
      <c r="BL1" s="142"/>
      <c r="BM1" s="142"/>
      <c r="BN1" s="142"/>
      <c r="BO1" s="142"/>
      <c r="BP1" s="142"/>
      <c r="BQ1" s="142"/>
      <c r="BR1" s="142"/>
      <c r="BS1" s="161" t="s">
        <v>13</v>
      </c>
      <c r="BT1" s="159"/>
      <c r="BU1" s="159"/>
      <c r="BV1" s="159"/>
      <c r="BW1" s="159"/>
      <c r="BX1" s="160"/>
      <c r="BY1" s="162" t="s">
        <v>12</v>
      </c>
      <c r="BZ1" s="142"/>
      <c r="CA1" s="142"/>
      <c r="CB1" s="142"/>
      <c r="CC1" s="142"/>
      <c r="CD1" s="163"/>
    </row>
    <row r="2" spans="1:83" ht="12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</row>
    <row r="3" spans="1:83" ht="12" customHeight="1" x14ac:dyDescent="0.2">
      <c r="A3" s="143">
        <v>202401</v>
      </c>
      <c r="B3" s="143"/>
      <c r="C3" s="143"/>
      <c r="D3" s="143"/>
      <c r="E3" s="143"/>
      <c r="F3" s="143"/>
      <c r="G3" s="110"/>
      <c r="H3" s="144">
        <v>202402</v>
      </c>
      <c r="I3" s="143"/>
      <c r="J3" s="143"/>
      <c r="K3" s="143"/>
      <c r="L3" s="143"/>
      <c r="M3" s="143"/>
      <c r="N3" s="145"/>
      <c r="O3" s="144">
        <v>202403</v>
      </c>
      <c r="P3" s="143"/>
      <c r="Q3" s="143"/>
      <c r="R3" s="148">
        <v>202401</v>
      </c>
      <c r="S3" s="149"/>
      <c r="T3" s="149"/>
      <c r="U3" s="149"/>
      <c r="V3" s="149"/>
      <c r="W3" s="149"/>
      <c r="X3" s="150"/>
      <c r="Y3" s="151">
        <v>202402</v>
      </c>
      <c r="Z3" s="151"/>
      <c r="AA3" s="151"/>
      <c r="AB3" s="151"/>
      <c r="AC3" s="152"/>
      <c r="AD3" s="153">
        <v>202403</v>
      </c>
      <c r="AE3" s="153"/>
      <c r="AF3" s="153"/>
      <c r="AG3" s="153"/>
      <c r="AH3" s="154"/>
      <c r="AI3" s="69"/>
      <c r="AJ3" s="69"/>
      <c r="AK3" s="69"/>
      <c r="AL3" s="69"/>
      <c r="AM3" s="69"/>
      <c r="AN3" s="69"/>
      <c r="AO3" s="69"/>
      <c r="AP3" s="69"/>
      <c r="AQ3" s="74"/>
      <c r="AR3" s="155">
        <v>202401</v>
      </c>
      <c r="AS3" s="155"/>
      <c r="AT3" s="155"/>
      <c r="AU3" s="111">
        <v>202402</v>
      </c>
      <c r="AV3" s="111">
        <v>202403</v>
      </c>
      <c r="AW3" s="109" t="s">
        <v>215</v>
      </c>
      <c r="AX3" s="109">
        <v>202101</v>
      </c>
      <c r="AY3" s="109">
        <v>202102</v>
      </c>
      <c r="AZ3" s="109">
        <v>202103</v>
      </c>
      <c r="BA3" s="109">
        <v>202104</v>
      </c>
      <c r="BB3" s="109">
        <v>202105</v>
      </c>
      <c r="BC3" s="109">
        <v>202106</v>
      </c>
      <c r="BD3" s="109">
        <v>202107</v>
      </c>
      <c r="BE3" s="109">
        <v>202108</v>
      </c>
      <c r="BF3" s="109">
        <v>202109</v>
      </c>
      <c r="BG3" s="109">
        <v>202401</v>
      </c>
      <c r="BH3" s="109">
        <v>202402</v>
      </c>
      <c r="BI3" s="109">
        <v>202403</v>
      </c>
      <c r="BJ3" s="156">
        <v>202401</v>
      </c>
      <c r="BK3" s="156"/>
      <c r="BL3" s="147"/>
      <c r="BM3" s="156">
        <v>202402</v>
      </c>
      <c r="BN3" s="156"/>
      <c r="BO3" s="147"/>
      <c r="BP3" s="156">
        <v>202403</v>
      </c>
      <c r="BQ3" s="156"/>
      <c r="BR3" s="147"/>
      <c r="BS3" s="146">
        <v>202401</v>
      </c>
      <c r="BT3" s="147"/>
      <c r="BU3" s="146">
        <v>202402</v>
      </c>
      <c r="BV3" s="147"/>
      <c r="BW3" s="146">
        <v>202403</v>
      </c>
      <c r="BX3" s="147"/>
      <c r="BY3" s="146">
        <v>202401</v>
      </c>
      <c r="BZ3" s="147"/>
      <c r="CA3" s="146">
        <v>202402</v>
      </c>
      <c r="CB3" s="147"/>
      <c r="CC3" s="146">
        <v>202403</v>
      </c>
      <c r="CD3" s="147"/>
    </row>
    <row r="4" spans="1:83" ht="12" customHeight="1" x14ac:dyDescent="0.2">
      <c r="A4" s="62" t="s">
        <v>133</v>
      </c>
      <c r="B4" s="62" t="s">
        <v>196</v>
      </c>
      <c r="C4" s="82" t="s">
        <v>209</v>
      </c>
      <c r="D4" s="82" t="s">
        <v>223</v>
      </c>
      <c r="E4" s="82" t="s">
        <v>224</v>
      </c>
      <c r="F4" s="82" t="s">
        <v>225</v>
      </c>
      <c r="G4" s="82" t="s">
        <v>226</v>
      </c>
      <c r="H4" s="82" t="s">
        <v>209</v>
      </c>
      <c r="I4" s="82" t="s">
        <v>223</v>
      </c>
      <c r="J4" s="82" t="s">
        <v>224</v>
      </c>
      <c r="K4" s="82" t="s">
        <v>225</v>
      </c>
      <c r="L4" s="82" t="s">
        <v>226</v>
      </c>
      <c r="M4" s="82" t="s">
        <v>209</v>
      </c>
      <c r="N4" s="82" t="s">
        <v>223</v>
      </c>
      <c r="O4" s="82" t="s">
        <v>224</v>
      </c>
      <c r="P4" s="82" t="s">
        <v>225</v>
      </c>
      <c r="Q4" s="82" t="s">
        <v>226</v>
      </c>
      <c r="R4" s="62" t="s">
        <v>133</v>
      </c>
      <c r="S4" s="62" t="s">
        <v>196</v>
      </c>
      <c r="T4" s="73" t="s">
        <v>209</v>
      </c>
      <c r="U4" s="73" t="s">
        <v>223</v>
      </c>
      <c r="V4" s="73" t="s">
        <v>224</v>
      </c>
      <c r="W4" s="73" t="s">
        <v>225</v>
      </c>
      <c r="X4" s="73" t="s">
        <v>226</v>
      </c>
      <c r="Y4" s="73" t="s">
        <v>209</v>
      </c>
      <c r="Z4" s="73" t="s">
        <v>223</v>
      </c>
      <c r="AA4" s="73" t="s">
        <v>224</v>
      </c>
      <c r="AB4" s="73" t="s">
        <v>225</v>
      </c>
      <c r="AC4" s="73" t="s">
        <v>226</v>
      </c>
      <c r="AD4" s="73" t="s">
        <v>209</v>
      </c>
      <c r="AE4" s="73" t="s">
        <v>223</v>
      </c>
      <c r="AF4" s="73" t="s">
        <v>224</v>
      </c>
      <c r="AG4" s="73" t="s">
        <v>225</v>
      </c>
      <c r="AH4" s="73" t="s">
        <v>226</v>
      </c>
      <c r="AI4" s="24"/>
      <c r="AJ4" s="24"/>
      <c r="AK4" s="24"/>
      <c r="AL4" s="24"/>
      <c r="AM4" s="24"/>
      <c r="AN4" s="24"/>
      <c r="AO4" s="24"/>
      <c r="AP4" s="24"/>
      <c r="AQ4" s="75"/>
      <c r="AR4" s="5" t="s">
        <v>133</v>
      </c>
      <c r="AS4" s="5" t="s">
        <v>196</v>
      </c>
      <c r="AT4" s="5" t="s">
        <v>227</v>
      </c>
      <c r="AU4" s="5" t="s">
        <v>227</v>
      </c>
      <c r="AV4" s="5" t="s">
        <v>227</v>
      </c>
      <c r="AW4" t="s">
        <v>75</v>
      </c>
      <c r="AX4" s="77">
        <v>78547.88</v>
      </c>
      <c r="AY4" s="77">
        <v>83507.78</v>
      </c>
      <c r="AZ4" s="77">
        <v>74673.149999999994</v>
      </c>
      <c r="BA4" s="77">
        <v>63441.04</v>
      </c>
      <c r="BB4" s="77">
        <v>64476.9</v>
      </c>
      <c r="BC4" s="77">
        <v>57542.34</v>
      </c>
      <c r="BD4" s="77">
        <v>83815.89</v>
      </c>
      <c r="BE4" s="77">
        <v>81559.710000000006</v>
      </c>
      <c r="BF4" s="77">
        <v>121882.53</v>
      </c>
      <c r="BG4" s="77">
        <v>332931.21999999997</v>
      </c>
      <c r="BH4" s="77">
        <v>521109.71</v>
      </c>
      <c r="BI4" s="77">
        <v>529713.15</v>
      </c>
      <c r="BJ4" s="76" t="s">
        <v>196</v>
      </c>
      <c r="BK4" s="72" t="s">
        <v>133</v>
      </c>
      <c r="BL4" s="85" t="s">
        <v>214</v>
      </c>
      <c r="BM4" s="76" t="s">
        <v>196</v>
      </c>
      <c r="BN4" s="72" t="s">
        <v>133</v>
      </c>
      <c r="BO4" s="85" t="s">
        <v>214</v>
      </c>
      <c r="BP4" s="76" t="s">
        <v>196</v>
      </c>
      <c r="BQ4" s="72" t="s">
        <v>133</v>
      </c>
      <c r="BR4" s="85" t="s">
        <v>214</v>
      </c>
      <c r="BS4" s="114" t="s">
        <v>78</v>
      </c>
      <c r="BT4" s="114" t="s">
        <v>202</v>
      </c>
      <c r="BU4" s="114" t="s">
        <v>78</v>
      </c>
      <c r="BV4" s="114" t="s">
        <v>202</v>
      </c>
      <c r="BW4" s="114" t="s">
        <v>78</v>
      </c>
      <c r="BX4" s="114" t="s">
        <v>202</v>
      </c>
      <c r="BY4" s="114" t="s">
        <v>78</v>
      </c>
      <c r="BZ4" s="114" t="s">
        <v>276</v>
      </c>
      <c r="CA4" s="114" t="s">
        <v>78</v>
      </c>
      <c r="CB4" s="114" t="s">
        <v>276</v>
      </c>
      <c r="CC4" s="114" t="s">
        <v>78</v>
      </c>
      <c r="CD4" s="114" t="s">
        <v>276</v>
      </c>
    </row>
    <row r="5" spans="1:83" ht="12" customHeight="1" x14ac:dyDescent="0.2">
      <c r="A5" s="82" t="s">
        <v>34</v>
      </c>
      <c r="B5" s="82" t="s">
        <v>228</v>
      </c>
      <c r="C5" s="51">
        <v>131</v>
      </c>
      <c r="D5" s="87">
        <v>69568.039999999994</v>
      </c>
      <c r="E5" s="87">
        <v>16310.36</v>
      </c>
      <c r="F5" s="87">
        <v>119403.81</v>
      </c>
      <c r="G5" s="86">
        <v>205282.21</v>
      </c>
      <c r="H5" s="51">
        <v>123</v>
      </c>
      <c r="I5" s="87">
        <v>34900.54</v>
      </c>
      <c r="J5" s="87">
        <v>21242.23</v>
      </c>
      <c r="K5" s="87">
        <v>85977.31</v>
      </c>
      <c r="L5" s="86">
        <v>142120.07999999999</v>
      </c>
      <c r="M5" s="51">
        <v>142</v>
      </c>
      <c r="N5" s="87">
        <v>81373.570000000007</v>
      </c>
      <c r="O5" s="87">
        <v>19757.509999999998</v>
      </c>
      <c r="P5" s="87">
        <v>77773.649999999994</v>
      </c>
      <c r="Q5" s="86">
        <v>178904.73</v>
      </c>
      <c r="R5" s="106" t="s">
        <v>34</v>
      </c>
      <c r="S5" s="106" t="s">
        <v>228</v>
      </c>
      <c r="T5" s="108">
        <v>5</v>
      </c>
      <c r="U5" s="113">
        <v>406.89</v>
      </c>
      <c r="V5" s="113">
        <v>224.2</v>
      </c>
      <c r="W5" s="108">
        <v>775.07</v>
      </c>
      <c r="X5" s="108">
        <v>1406.16</v>
      </c>
      <c r="Y5" s="108">
        <v>4</v>
      </c>
      <c r="Z5" s="113">
        <v>413.36</v>
      </c>
      <c r="AA5" s="113">
        <v>383.61</v>
      </c>
      <c r="AB5" s="108">
        <v>924.2</v>
      </c>
      <c r="AC5" s="108">
        <v>1721.17</v>
      </c>
      <c r="AD5" s="108">
        <v>4</v>
      </c>
      <c r="AE5" s="113">
        <v>390.84</v>
      </c>
      <c r="AF5" s="113">
        <v>395.42</v>
      </c>
      <c r="AG5" s="108">
        <v>1270.05</v>
      </c>
      <c r="AH5" s="108">
        <v>2056.31</v>
      </c>
      <c r="AI5" s="62"/>
      <c r="AJ5" s="62"/>
      <c r="AK5" s="62"/>
      <c r="AL5" s="62"/>
      <c r="AM5" s="62"/>
      <c r="AN5" s="62"/>
      <c r="AO5" s="62"/>
      <c r="AP5" s="62"/>
      <c r="AQ5" s="62"/>
      <c r="AR5" s="82" t="str">
        <f>A5</f>
        <v>COM</v>
      </c>
      <c r="AS5" s="82" t="str">
        <f>B5</f>
        <v xml:space="preserve"> 98901  </v>
      </c>
      <c r="AT5" s="62">
        <f>D5*1.6%+E5*6.3%+F5*28.9%</f>
        <v>36648.342409999997</v>
      </c>
      <c r="AU5" s="62">
        <f>I5*1.6%+J5*6.3%+K5*28.9%</f>
        <v>26744.111719999997</v>
      </c>
      <c r="AV5" s="62">
        <f>N5*1.6%+O5*6.3%+P5*28.9%</f>
        <v>25023.285099999994</v>
      </c>
      <c r="AW5" t="s">
        <v>34</v>
      </c>
      <c r="AX5" s="77">
        <v>35411.49</v>
      </c>
      <c r="AY5" s="77">
        <v>19861.990000000002</v>
      </c>
      <c r="AZ5" s="77">
        <v>1614.2</v>
      </c>
      <c r="BA5" s="77">
        <v>209.93</v>
      </c>
      <c r="BB5" s="77">
        <v>2347.21</v>
      </c>
      <c r="BC5" s="77">
        <v>3702.39</v>
      </c>
      <c r="BD5" s="77">
        <v>16587.84</v>
      </c>
      <c r="BE5" s="77">
        <v>21717.759999999998</v>
      </c>
      <c r="BF5" s="77">
        <v>41593.57</v>
      </c>
      <c r="BG5" s="77">
        <v>42414.62</v>
      </c>
      <c r="BH5" s="77">
        <v>14589.08</v>
      </c>
      <c r="BI5" s="77">
        <v>20749.080000000002</v>
      </c>
      <c r="BJ5" s="115" t="s">
        <v>35</v>
      </c>
      <c r="BK5" s="115" t="s">
        <v>34</v>
      </c>
      <c r="BL5" s="116">
        <v>8</v>
      </c>
      <c r="BM5" s="115" t="s">
        <v>35</v>
      </c>
      <c r="BN5" s="115" t="s">
        <v>34</v>
      </c>
      <c r="BO5" s="116">
        <v>1</v>
      </c>
      <c r="BP5" s="115" t="s">
        <v>35</v>
      </c>
      <c r="BQ5" s="115" t="s">
        <v>75</v>
      </c>
      <c r="BR5" s="116">
        <v>65</v>
      </c>
      <c r="BS5" s="115" t="s">
        <v>104</v>
      </c>
      <c r="BT5" s="116">
        <v>27265.989999999998</v>
      </c>
      <c r="BU5" s="115" t="s">
        <v>104</v>
      </c>
      <c r="BV5" s="116">
        <v>2903.22</v>
      </c>
      <c r="BW5" s="115" t="s">
        <v>87</v>
      </c>
      <c r="BX5" s="116">
        <v>48324.459999999992</v>
      </c>
      <c r="BY5" s="115" t="s">
        <v>104</v>
      </c>
      <c r="BZ5" s="116">
        <v>2181.6799999999998</v>
      </c>
      <c r="CA5" s="115" t="s">
        <v>87</v>
      </c>
      <c r="CB5" s="116">
        <v>737.56</v>
      </c>
      <c r="CC5" s="115" t="s">
        <v>87</v>
      </c>
      <c r="CD5" s="116">
        <v>491.89</v>
      </c>
    </row>
    <row r="6" spans="1:83" ht="12" customHeight="1" x14ac:dyDescent="0.2">
      <c r="A6" s="82" t="s">
        <v>34</v>
      </c>
      <c r="B6" s="82" t="s">
        <v>229</v>
      </c>
      <c r="C6" s="51">
        <v>188</v>
      </c>
      <c r="D6" s="87">
        <v>55317.06</v>
      </c>
      <c r="E6" s="87">
        <v>20010.3</v>
      </c>
      <c r="F6" s="87">
        <v>104595.96</v>
      </c>
      <c r="G6" s="86">
        <v>179923.32</v>
      </c>
      <c r="H6" s="51">
        <v>227</v>
      </c>
      <c r="I6" s="87">
        <v>113297.04</v>
      </c>
      <c r="J6" s="87">
        <v>27278.76</v>
      </c>
      <c r="K6" s="87">
        <v>107772.19</v>
      </c>
      <c r="L6" s="86">
        <v>248347.99</v>
      </c>
      <c r="M6" s="51">
        <v>203</v>
      </c>
      <c r="N6" s="87">
        <v>68594.009999999995</v>
      </c>
      <c r="O6" s="87">
        <v>37551.17</v>
      </c>
      <c r="P6" s="87">
        <v>99427.64</v>
      </c>
      <c r="Q6" s="86">
        <v>205572.82</v>
      </c>
      <c r="R6" s="106" t="s">
        <v>34</v>
      </c>
      <c r="S6" s="106" t="s">
        <v>229</v>
      </c>
      <c r="T6" s="108">
        <v>4</v>
      </c>
      <c r="U6" s="113">
        <v>307.69</v>
      </c>
      <c r="V6" s="113">
        <v>113.12</v>
      </c>
      <c r="W6" s="108">
        <v>377.64</v>
      </c>
      <c r="X6" s="108">
        <v>798.45</v>
      </c>
      <c r="Y6" s="108">
        <v>4</v>
      </c>
      <c r="Z6" s="113">
        <v>386.22</v>
      </c>
      <c r="AA6" s="113">
        <v>299.69</v>
      </c>
      <c r="AB6" s="108">
        <v>132.13999999999999</v>
      </c>
      <c r="AC6" s="108">
        <v>818.05</v>
      </c>
      <c r="AD6" s="108">
        <v>5</v>
      </c>
      <c r="AE6" s="113">
        <v>283.7</v>
      </c>
      <c r="AF6" s="113">
        <v>350.79</v>
      </c>
      <c r="AG6" s="108">
        <v>210.93</v>
      </c>
      <c r="AH6" s="108">
        <v>845.42</v>
      </c>
      <c r="AI6" s="62"/>
      <c r="AJ6" s="62"/>
      <c r="AK6" s="62"/>
      <c r="AL6" s="62"/>
      <c r="AM6" s="62"/>
      <c r="AN6" s="62"/>
      <c r="AO6" s="62"/>
      <c r="AP6" s="62"/>
      <c r="AQ6" s="62"/>
      <c r="AR6" s="82" t="str">
        <f t="shared" ref="AR6:AR69" si="0">A6</f>
        <v>COM</v>
      </c>
      <c r="AS6" s="82" t="str">
        <f t="shared" ref="AS6:AS69" si="1">B6</f>
        <v xml:space="preserve"> 98902  </v>
      </c>
      <c r="AT6" s="62">
        <f t="shared" ref="AT6:AT69" si="2">D6*1.6%+E6*6.3%+F6*28.9%</f>
        <v>32373.954299999998</v>
      </c>
      <c r="AU6" s="62">
        <f t="shared" ref="AU6:AU69" si="3">I6*1.6%+J6*6.3%+K6*28.9%</f>
        <v>34677.477429999999</v>
      </c>
      <c r="AV6" s="62">
        <f t="shared" ref="AV6:AV69" si="4">N6*1.6%+O6*6.3%+P6*28.9%</f>
        <v>32197.815829999996</v>
      </c>
      <c r="BJ6" s="115" t="s">
        <v>35</v>
      </c>
      <c r="BK6" s="115" t="s">
        <v>75</v>
      </c>
      <c r="BL6" s="116">
        <v>85</v>
      </c>
      <c r="BM6" s="115" t="s">
        <v>35</v>
      </c>
      <c r="BN6" s="115" t="s">
        <v>75</v>
      </c>
      <c r="BO6" s="116">
        <v>64</v>
      </c>
      <c r="BP6" s="115" t="s">
        <v>36</v>
      </c>
      <c r="BQ6" s="115" t="s">
        <v>34</v>
      </c>
      <c r="BR6" s="116">
        <v>6</v>
      </c>
      <c r="BS6" s="115" t="s">
        <v>87</v>
      </c>
      <c r="BT6" s="116">
        <v>63382.489999999983</v>
      </c>
      <c r="BU6" s="115" t="s">
        <v>87</v>
      </c>
      <c r="BV6" s="116">
        <v>94219.050000000032</v>
      </c>
      <c r="BW6" s="115" t="s">
        <v>116</v>
      </c>
      <c r="BX6" s="116">
        <v>6680.46</v>
      </c>
      <c r="BY6" s="115" t="s">
        <v>87</v>
      </c>
      <c r="BZ6" s="116">
        <v>2158.2099999999996</v>
      </c>
      <c r="CA6" s="115" t="s">
        <v>116</v>
      </c>
      <c r="CB6" s="116">
        <v>250.07999999999998</v>
      </c>
      <c r="CC6" s="115" t="s">
        <v>116</v>
      </c>
      <c r="CD6" s="116">
        <v>117.45</v>
      </c>
    </row>
    <row r="7" spans="1:83" ht="12" customHeight="1" x14ac:dyDescent="0.2">
      <c r="A7" s="82" t="s">
        <v>34</v>
      </c>
      <c r="B7" s="82" t="s">
        <v>230</v>
      </c>
      <c r="C7" s="51">
        <v>101</v>
      </c>
      <c r="D7" s="87">
        <v>24198.880000000001</v>
      </c>
      <c r="E7" s="87">
        <v>4458.1400000000003</v>
      </c>
      <c r="F7" s="87">
        <v>156033.01</v>
      </c>
      <c r="G7" s="86">
        <v>184690.03</v>
      </c>
      <c r="H7" s="51">
        <v>133</v>
      </c>
      <c r="I7" s="87">
        <v>58387.800000000097</v>
      </c>
      <c r="J7" s="87">
        <v>8750.7099999999991</v>
      </c>
      <c r="K7" s="87">
        <v>55105.97</v>
      </c>
      <c r="L7" s="86">
        <v>122244.48</v>
      </c>
      <c r="M7" s="51">
        <v>121</v>
      </c>
      <c r="N7" s="87">
        <v>30300.13</v>
      </c>
      <c r="O7" s="87">
        <v>12520.28</v>
      </c>
      <c r="P7" s="87">
        <v>55606.16</v>
      </c>
      <c r="Q7" s="86">
        <v>98426.57</v>
      </c>
      <c r="R7" s="106" t="s">
        <v>34</v>
      </c>
      <c r="S7" s="106" t="s">
        <v>230</v>
      </c>
      <c r="T7" s="108">
        <v>2</v>
      </c>
      <c r="U7" s="113">
        <v>353.36</v>
      </c>
      <c r="V7" s="113">
        <v>242.74</v>
      </c>
      <c r="W7" s="108">
        <v>72.28</v>
      </c>
      <c r="X7" s="108">
        <v>668.38</v>
      </c>
      <c r="Y7" s="108">
        <v>2</v>
      </c>
      <c r="Z7" s="113">
        <v>401.97</v>
      </c>
      <c r="AA7" s="113">
        <v>338.8</v>
      </c>
      <c r="AB7" s="108">
        <v>329.58</v>
      </c>
      <c r="AC7" s="108">
        <v>1070.3499999999999</v>
      </c>
      <c r="AD7" s="108">
        <v>3</v>
      </c>
      <c r="AE7" s="113">
        <v>302.08</v>
      </c>
      <c r="AF7" s="113">
        <v>387.68</v>
      </c>
      <c r="AG7" s="108">
        <v>668.38</v>
      </c>
      <c r="AH7" s="108">
        <v>1358.14</v>
      </c>
      <c r="AI7" s="62"/>
      <c r="AJ7" s="62"/>
      <c r="AK7" s="62"/>
      <c r="AL7" s="62"/>
      <c r="AM7" s="62"/>
      <c r="AN7" s="62"/>
      <c r="AO7" s="62"/>
      <c r="AP7" s="62"/>
      <c r="AQ7" s="62"/>
      <c r="AR7" s="82" t="str">
        <f t="shared" si="0"/>
        <v>COM</v>
      </c>
      <c r="AS7" s="82" t="str">
        <f t="shared" si="1"/>
        <v xml:space="preserve"> 98903  </v>
      </c>
      <c r="AT7" s="62">
        <f t="shared" si="2"/>
        <v>45761.584790000001</v>
      </c>
      <c r="AU7" s="62">
        <f t="shared" si="3"/>
        <v>17411.12486</v>
      </c>
      <c r="AV7" s="62">
        <f t="shared" si="4"/>
        <v>17343.759959999999</v>
      </c>
      <c r="BJ7" s="115" t="s">
        <v>36</v>
      </c>
      <c r="BK7" s="115" t="s">
        <v>34</v>
      </c>
      <c r="BL7" s="116">
        <v>6</v>
      </c>
      <c r="BM7" s="115" t="s">
        <v>36</v>
      </c>
      <c r="BN7" s="115" t="s">
        <v>34</v>
      </c>
      <c r="BO7" s="116">
        <v>7</v>
      </c>
      <c r="BP7" s="115" t="s">
        <v>36</v>
      </c>
      <c r="BQ7" s="115" t="s">
        <v>75</v>
      </c>
      <c r="BR7" s="116">
        <v>85</v>
      </c>
      <c r="BS7" s="115" t="s">
        <v>116</v>
      </c>
      <c r="BT7" s="116">
        <v>1825.2400000000002</v>
      </c>
      <c r="BU7" s="115" t="s">
        <v>116</v>
      </c>
      <c r="BV7" s="116">
        <v>10207.93</v>
      </c>
      <c r="BW7" s="115" t="s">
        <v>88</v>
      </c>
      <c r="BX7" s="116">
        <v>63250.469999999994</v>
      </c>
      <c r="BY7" s="115" t="s">
        <v>116</v>
      </c>
      <c r="BZ7" s="116">
        <v>169.26</v>
      </c>
      <c r="CA7" s="115" t="s">
        <v>88</v>
      </c>
      <c r="CB7" s="116">
        <v>2986.9399999999996</v>
      </c>
      <c r="CC7" s="115" t="s">
        <v>88</v>
      </c>
      <c r="CD7" s="116">
        <v>2475.5300000000002</v>
      </c>
    </row>
    <row r="8" spans="1:83" ht="12" customHeight="1" x14ac:dyDescent="0.2">
      <c r="A8" s="82" t="s">
        <v>34</v>
      </c>
      <c r="B8" s="82" t="s">
        <v>266</v>
      </c>
      <c r="C8" s="51"/>
      <c r="D8" s="87">
        <v>0</v>
      </c>
      <c r="E8" s="87">
        <v>0</v>
      </c>
      <c r="F8" s="87">
        <v>0</v>
      </c>
      <c r="G8" s="86">
        <v>0</v>
      </c>
      <c r="H8" s="51"/>
      <c r="I8" s="87">
        <v>0</v>
      </c>
      <c r="J8" s="87">
        <v>0</v>
      </c>
      <c r="K8" s="87">
        <v>0</v>
      </c>
      <c r="L8" s="86">
        <v>0</v>
      </c>
      <c r="M8" s="51"/>
      <c r="N8" s="87">
        <v>0</v>
      </c>
      <c r="O8" s="87">
        <v>0</v>
      </c>
      <c r="P8" s="87">
        <v>0</v>
      </c>
      <c r="Q8" s="86">
        <v>0</v>
      </c>
      <c r="R8" s="106" t="s">
        <v>34</v>
      </c>
      <c r="S8" s="106" t="s">
        <v>231</v>
      </c>
      <c r="T8" s="108">
        <v>4</v>
      </c>
      <c r="U8" s="113">
        <v>664.49</v>
      </c>
      <c r="V8" s="113">
        <v>507.45</v>
      </c>
      <c r="W8" s="108">
        <v>2804.53</v>
      </c>
      <c r="X8" s="108">
        <v>3976.47</v>
      </c>
      <c r="Y8" s="108">
        <v>5</v>
      </c>
      <c r="Z8" s="113">
        <v>1128.1199999999999</v>
      </c>
      <c r="AA8" s="113">
        <v>626.92999999999995</v>
      </c>
      <c r="AB8" s="108">
        <v>3311.98</v>
      </c>
      <c r="AC8" s="108">
        <v>5067.03</v>
      </c>
      <c r="AD8" s="108">
        <v>6</v>
      </c>
      <c r="AE8" s="113">
        <v>982.22</v>
      </c>
      <c r="AF8" s="113">
        <v>766.41</v>
      </c>
      <c r="AG8" s="108">
        <v>3938.91</v>
      </c>
      <c r="AH8" s="108">
        <v>5687.54</v>
      </c>
      <c r="AI8" s="62"/>
      <c r="AJ8" s="62"/>
      <c r="AK8" s="62"/>
      <c r="AL8" s="62"/>
      <c r="AM8" s="62"/>
      <c r="AN8" s="62"/>
      <c r="AO8" s="62"/>
      <c r="AP8" s="62"/>
      <c r="AQ8" s="62"/>
      <c r="AR8" s="82" t="str">
        <f t="shared" si="0"/>
        <v>COM</v>
      </c>
      <c r="AS8" s="82" t="str">
        <f t="shared" si="1"/>
        <v xml:space="preserve"> 98904  </v>
      </c>
      <c r="AT8" s="62">
        <f t="shared" si="2"/>
        <v>0</v>
      </c>
      <c r="AU8" s="62">
        <f t="shared" si="3"/>
        <v>0</v>
      </c>
      <c r="AV8" s="62">
        <f t="shared" si="4"/>
        <v>0</v>
      </c>
      <c r="BJ8" s="115" t="s">
        <v>36</v>
      </c>
      <c r="BK8" s="115" t="s">
        <v>75</v>
      </c>
      <c r="BL8" s="116">
        <v>110</v>
      </c>
      <c r="BM8" s="115" t="s">
        <v>36</v>
      </c>
      <c r="BN8" s="115" t="s">
        <v>75</v>
      </c>
      <c r="BO8" s="116">
        <v>74</v>
      </c>
      <c r="BP8" s="115" t="s">
        <v>37</v>
      </c>
      <c r="BQ8" s="115" t="s">
        <v>75</v>
      </c>
      <c r="BR8" s="116">
        <v>23</v>
      </c>
      <c r="BS8" s="115" t="s">
        <v>88</v>
      </c>
      <c r="BT8" s="116">
        <v>86277.400000000023</v>
      </c>
      <c r="BU8" s="115" t="s">
        <v>88</v>
      </c>
      <c r="BV8" s="116">
        <v>46488.749999999993</v>
      </c>
      <c r="BW8" s="115" t="s">
        <v>89</v>
      </c>
      <c r="BX8" s="116">
        <v>60814.18</v>
      </c>
      <c r="BY8" s="115" t="s">
        <v>88</v>
      </c>
      <c r="BZ8" s="116">
        <v>908.06999999999994</v>
      </c>
      <c r="CA8" s="115" t="s">
        <v>89</v>
      </c>
      <c r="CB8" s="116">
        <v>1759.29</v>
      </c>
      <c r="CC8" s="115" t="s">
        <v>89</v>
      </c>
      <c r="CD8" s="116">
        <v>339.94</v>
      </c>
    </row>
    <row r="9" spans="1:83" ht="12" customHeight="1" x14ac:dyDescent="0.2">
      <c r="A9" s="82" t="s">
        <v>34</v>
      </c>
      <c r="B9" s="82" t="s">
        <v>267</v>
      </c>
      <c r="C9" s="51"/>
      <c r="D9" s="87">
        <v>0</v>
      </c>
      <c r="E9" s="87">
        <v>0</v>
      </c>
      <c r="F9" s="87">
        <v>0</v>
      </c>
      <c r="G9" s="86">
        <v>0</v>
      </c>
      <c r="H9" s="51"/>
      <c r="I9" s="87">
        <v>0</v>
      </c>
      <c r="J9" s="87">
        <v>0</v>
      </c>
      <c r="K9" s="87">
        <v>0</v>
      </c>
      <c r="L9" s="86">
        <v>0</v>
      </c>
      <c r="M9" s="51"/>
      <c r="N9" s="87">
        <v>0</v>
      </c>
      <c r="O9" s="87">
        <v>0</v>
      </c>
      <c r="P9" s="87">
        <v>0</v>
      </c>
      <c r="Q9" s="86">
        <v>0</v>
      </c>
      <c r="R9" s="106" t="s">
        <v>34</v>
      </c>
      <c r="S9" s="106" t="s">
        <v>234</v>
      </c>
      <c r="T9" s="108"/>
      <c r="U9" s="113">
        <v>0</v>
      </c>
      <c r="V9" s="113">
        <v>0</v>
      </c>
      <c r="W9" s="108">
        <v>0</v>
      </c>
      <c r="X9" s="108">
        <v>0</v>
      </c>
      <c r="Y9" s="108">
        <v>1</v>
      </c>
      <c r="Z9" s="113">
        <v>21.22</v>
      </c>
      <c r="AA9" s="113">
        <v>0</v>
      </c>
      <c r="AB9" s="108">
        <v>0</v>
      </c>
      <c r="AC9" s="108">
        <v>21.22</v>
      </c>
      <c r="AD9" s="108"/>
      <c r="AE9" s="113"/>
      <c r="AF9" s="113"/>
      <c r="AG9" s="108"/>
      <c r="AH9" s="108"/>
      <c r="AI9" s="62"/>
      <c r="AJ9" s="62"/>
      <c r="AK9" s="62"/>
      <c r="AL9" s="62"/>
      <c r="AM9" s="62"/>
      <c r="AN9" s="62"/>
      <c r="AO9" s="62"/>
      <c r="AP9" s="62"/>
      <c r="AQ9" s="62"/>
      <c r="AR9" s="82" t="str">
        <f t="shared" si="0"/>
        <v>COM</v>
      </c>
      <c r="AS9" s="82" t="str">
        <f t="shared" si="1"/>
        <v xml:space="preserve"> 98907  </v>
      </c>
      <c r="AT9" s="62">
        <f t="shared" si="2"/>
        <v>0</v>
      </c>
      <c r="AU9" s="62">
        <f t="shared" si="3"/>
        <v>0</v>
      </c>
      <c r="AV9" s="62">
        <f t="shared" si="4"/>
        <v>0</v>
      </c>
      <c r="BJ9" s="115" t="s">
        <v>37</v>
      </c>
      <c r="BK9" s="115" t="s">
        <v>34</v>
      </c>
      <c r="BL9" s="116">
        <v>2</v>
      </c>
      <c r="BM9" s="115" t="s">
        <v>37</v>
      </c>
      <c r="BN9" s="115" t="s">
        <v>34</v>
      </c>
      <c r="BO9" s="116">
        <v>2</v>
      </c>
      <c r="BP9" s="115" t="s">
        <v>40</v>
      </c>
      <c r="BQ9" s="115" t="s">
        <v>75</v>
      </c>
      <c r="BR9" s="116">
        <v>44</v>
      </c>
      <c r="BS9" s="115" t="s">
        <v>204</v>
      </c>
      <c r="BT9" s="116">
        <v>1797.35</v>
      </c>
      <c r="BU9" s="115" t="s">
        <v>204</v>
      </c>
      <c r="BV9" s="116">
        <v>2127.8199999999997</v>
      </c>
      <c r="BW9" s="115" t="s">
        <v>90</v>
      </c>
      <c r="BX9" s="116">
        <v>25083.520000000004</v>
      </c>
      <c r="BY9" s="115" t="s">
        <v>204</v>
      </c>
      <c r="BZ9" s="116">
        <v>1703.32</v>
      </c>
      <c r="CA9" s="115" t="s">
        <v>90</v>
      </c>
      <c r="CB9" s="116">
        <v>895.94999999999993</v>
      </c>
      <c r="CC9" s="115" t="s">
        <v>90</v>
      </c>
      <c r="CD9" s="116">
        <v>1187.01</v>
      </c>
    </row>
    <row r="10" spans="1:83" ht="12" customHeight="1" x14ac:dyDescent="0.2">
      <c r="A10" s="82" t="s">
        <v>34</v>
      </c>
      <c r="B10" s="82" t="s">
        <v>231</v>
      </c>
      <c r="C10" s="51">
        <v>128</v>
      </c>
      <c r="D10" s="87">
        <v>37174.410000000003</v>
      </c>
      <c r="E10" s="87">
        <v>9264.09</v>
      </c>
      <c r="F10" s="87">
        <v>35610.03</v>
      </c>
      <c r="G10" s="86">
        <v>82048.53</v>
      </c>
      <c r="H10" s="51">
        <v>133</v>
      </c>
      <c r="I10" s="87">
        <v>49700.56</v>
      </c>
      <c r="J10" s="87">
        <v>11002.22</v>
      </c>
      <c r="K10" s="87">
        <v>38652.129999999997</v>
      </c>
      <c r="L10" s="86">
        <v>99354.91</v>
      </c>
      <c r="M10" s="51">
        <v>131</v>
      </c>
      <c r="N10" s="87">
        <v>40502.57</v>
      </c>
      <c r="O10" s="87">
        <v>20698.55</v>
      </c>
      <c r="P10" s="87">
        <v>41216.81</v>
      </c>
      <c r="Q10" s="86">
        <v>102417.93</v>
      </c>
      <c r="R10" s="106" t="s">
        <v>34</v>
      </c>
      <c r="S10" s="106" t="s">
        <v>235</v>
      </c>
      <c r="T10" s="108">
        <v>1</v>
      </c>
      <c r="U10" s="113">
        <v>14.21</v>
      </c>
      <c r="V10" s="113">
        <v>0</v>
      </c>
      <c r="W10" s="108">
        <v>0</v>
      </c>
      <c r="X10" s="108">
        <v>14.21</v>
      </c>
      <c r="Y10" s="108">
        <v>1</v>
      </c>
      <c r="Z10" s="113">
        <v>14.46</v>
      </c>
      <c r="AA10" s="113">
        <v>0</v>
      </c>
      <c r="AB10" s="108">
        <v>0</v>
      </c>
      <c r="AC10" s="108">
        <v>14.46</v>
      </c>
      <c r="AD10" s="108">
        <v>1</v>
      </c>
      <c r="AE10" s="113">
        <v>14.85</v>
      </c>
      <c r="AF10" s="113">
        <v>0</v>
      </c>
      <c r="AG10" s="108">
        <v>0</v>
      </c>
      <c r="AH10" s="108">
        <v>14.85</v>
      </c>
      <c r="AI10" s="62"/>
      <c r="AJ10" s="62"/>
      <c r="AK10" s="62"/>
      <c r="AL10" s="62"/>
      <c r="AM10" s="62"/>
      <c r="AN10" s="62"/>
      <c r="AO10" s="62"/>
      <c r="AP10" s="62"/>
      <c r="AQ10" s="62"/>
      <c r="AR10" s="82" t="str">
        <f t="shared" si="0"/>
        <v>COM</v>
      </c>
      <c r="AS10" s="82" t="str">
        <f t="shared" si="1"/>
        <v xml:space="preserve"> 98908  </v>
      </c>
      <c r="AT10" s="62">
        <f t="shared" si="2"/>
        <v>11469.726899999998</v>
      </c>
      <c r="AU10" s="62">
        <f t="shared" si="3"/>
        <v>12658.814389999998</v>
      </c>
      <c r="AV10" s="62">
        <f t="shared" si="4"/>
        <v>13863.707859999999</v>
      </c>
      <c r="BJ10" s="115" t="s">
        <v>37</v>
      </c>
      <c r="BK10" s="115" t="s">
        <v>75</v>
      </c>
      <c r="BL10" s="116">
        <v>26</v>
      </c>
      <c r="BM10" s="115" t="s">
        <v>37</v>
      </c>
      <c r="BN10" s="115" t="s">
        <v>75</v>
      </c>
      <c r="BO10" s="116">
        <v>23</v>
      </c>
      <c r="BP10" s="115" t="s">
        <v>42</v>
      </c>
      <c r="BQ10" s="115" t="s">
        <v>75</v>
      </c>
      <c r="BR10" s="116">
        <v>1</v>
      </c>
      <c r="BS10" s="115" t="s">
        <v>89</v>
      </c>
      <c r="BT10" s="116">
        <v>41341.980000000003</v>
      </c>
      <c r="BU10" s="115" t="s">
        <v>89</v>
      </c>
      <c r="BV10" s="116">
        <v>28063.010000000002</v>
      </c>
      <c r="BW10" s="115" t="s">
        <v>118</v>
      </c>
      <c r="BX10" s="116">
        <v>87.64</v>
      </c>
      <c r="BY10" s="115" t="s">
        <v>89</v>
      </c>
      <c r="BZ10" s="116">
        <v>321.66000000000003</v>
      </c>
      <c r="CA10" s="115" t="s">
        <v>111</v>
      </c>
      <c r="CB10" s="116">
        <v>111.55</v>
      </c>
      <c r="CC10" s="115" t="s">
        <v>96</v>
      </c>
      <c r="CD10" s="116">
        <v>10.01</v>
      </c>
    </row>
    <row r="11" spans="1:83" ht="12" customHeight="1" x14ac:dyDescent="0.2">
      <c r="A11" s="82" t="s">
        <v>34</v>
      </c>
      <c r="B11" s="82" t="s">
        <v>268</v>
      </c>
      <c r="C11" s="51"/>
      <c r="D11" s="87">
        <v>0</v>
      </c>
      <c r="E11" s="87">
        <v>0</v>
      </c>
      <c r="F11" s="87">
        <v>0</v>
      </c>
      <c r="G11" s="86">
        <v>0</v>
      </c>
      <c r="H11" s="51"/>
      <c r="I11" s="87">
        <v>0</v>
      </c>
      <c r="J11" s="87">
        <v>0</v>
      </c>
      <c r="K11" s="87">
        <v>0</v>
      </c>
      <c r="L11" s="86">
        <v>0</v>
      </c>
      <c r="M11" s="51"/>
      <c r="N11" s="87">
        <v>0</v>
      </c>
      <c r="O11" s="87">
        <v>0</v>
      </c>
      <c r="P11" s="87">
        <v>0</v>
      </c>
      <c r="Q11" s="86">
        <v>0</v>
      </c>
      <c r="R11" s="106" t="s">
        <v>34</v>
      </c>
      <c r="S11" s="106" t="s">
        <v>236</v>
      </c>
      <c r="T11" s="108"/>
      <c r="U11" s="113">
        <v>0</v>
      </c>
      <c r="V11" s="113">
        <v>0</v>
      </c>
      <c r="W11" s="108">
        <v>0</v>
      </c>
      <c r="X11" s="108">
        <v>0</v>
      </c>
      <c r="Y11" s="108"/>
      <c r="Z11" s="113">
        <v>0</v>
      </c>
      <c r="AA11" s="113">
        <v>0</v>
      </c>
      <c r="AB11" s="108">
        <v>0</v>
      </c>
      <c r="AC11" s="108">
        <v>0</v>
      </c>
      <c r="AD11" s="108"/>
      <c r="AE11" s="113">
        <v>0</v>
      </c>
      <c r="AF11" s="113">
        <v>0</v>
      </c>
      <c r="AG11" s="108">
        <v>0</v>
      </c>
      <c r="AH11" s="108">
        <v>0</v>
      </c>
      <c r="AI11" s="62"/>
      <c r="AJ11" s="62"/>
      <c r="AK11" s="62"/>
      <c r="AL11" s="62"/>
      <c r="AM11" s="62"/>
      <c r="AN11" s="62"/>
      <c r="AO11" s="62"/>
      <c r="AP11" s="62"/>
      <c r="AQ11" s="62"/>
      <c r="AR11" s="82" t="str">
        <f t="shared" si="0"/>
        <v>COM</v>
      </c>
      <c r="AS11" s="82" t="str">
        <f t="shared" si="1"/>
        <v xml:space="preserve"> 98920  </v>
      </c>
      <c r="AT11" s="62">
        <f t="shared" si="2"/>
        <v>0</v>
      </c>
      <c r="AU11" s="62">
        <f t="shared" si="3"/>
        <v>0</v>
      </c>
      <c r="AV11" s="62">
        <f t="shared" si="4"/>
        <v>0</v>
      </c>
      <c r="BJ11" s="115" t="s">
        <v>40</v>
      </c>
      <c r="BK11" s="115" t="s">
        <v>34</v>
      </c>
      <c r="BL11" s="116">
        <v>2</v>
      </c>
      <c r="BM11" s="115" t="s">
        <v>40</v>
      </c>
      <c r="BN11" s="115" t="s">
        <v>75</v>
      </c>
      <c r="BO11" s="116">
        <v>31</v>
      </c>
      <c r="BP11" s="115" t="s">
        <v>44</v>
      </c>
      <c r="BQ11" s="115" t="s">
        <v>75</v>
      </c>
      <c r="BR11" s="116">
        <v>10</v>
      </c>
      <c r="BS11" s="115" t="s">
        <v>117</v>
      </c>
      <c r="BT11" s="116">
        <v>305.36999999999995</v>
      </c>
      <c r="BU11" s="115" t="s">
        <v>90</v>
      </c>
      <c r="BV11" s="116">
        <v>25328.579999999994</v>
      </c>
      <c r="BW11" s="115" t="s">
        <v>96</v>
      </c>
      <c r="BX11" s="116">
        <v>5497.7699999999995</v>
      </c>
      <c r="BY11" s="115" t="s">
        <v>117</v>
      </c>
      <c r="BZ11" s="116">
        <v>12.78</v>
      </c>
      <c r="CA11" s="115" t="s">
        <v>275</v>
      </c>
      <c r="CB11" s="116">
        <v>254.21</v>
      </c>
      <c r="CC11" s="115" t="s">
        <v>94</v>
      </c>
      <c r="CD11" s="116">
        <v>46.57</v>
      </c>
    </row>
    <row r="12" spans="1:83" ht="12" customHeight="1" x14ac:dyDescent="0.2">
      <c r="A12" s="82" t="s">
        <v>34</v>
      </c>
      <c r="B12" s="82" t="s">
        <v>232</v>
      </c>
      <c r="C12" s="51">
        <v>2</v>
      </c>
      <c r="D12" s="87">
        <v>163.44</v>
      </c>
      <c r="E12" s="87">
        <v>0</v>
      </c>
      <c r="F12" s="87">
        <v>0</v>
      </c>
      <c r="G12" s="86">
        <v>163.44</v>
      </c>
      <c r="H12" s="51"/>
      <c r="I12" s="87">
        <v>0</v>
      </c>
      <c r="J12" s="87">
        <v>0</v>
      </c>
      <c r="K12" s="87">
        <v>0</v>
      </c>
      <c r="L12" s="86">
        <v>0</v>
      </c>
      <c r="M12" s="51">
        <v>1</v>
      </c>
      <c r="N12" s="87">
        <v>13.7</v>
      </c>
      <c r="O12" s="87">
        <v>0</v>
      </c>
      <c r="P12" s="87">
        <v>0</v>
      </c>
      <c r="Q12" s="86">
        <v>13.7</v>
      </c>
      <c r="R12" s="106" t="s">
        <v>34</v>
      </c>
      <c r="S12" s="106" t="s">
        <v>238</v>
      </c>
      <c r="T12" s="108">
        <v>1</v>
      </c>
      <c r="U12" s="113">
        <v>0</v>
      </c>
      <c r="V12" s="113">
        <v>35.22</v>
      </c>
      <c r="W12" s="108">
        <v>141.41</v>
      </c>
      <c r="X12" s="108">
        <v>176.63</v>
      </c>
      <c r="Y12" s="108">
        <v>1</v>
      </c>
      <c r="Z12" s="113">
        <v>38.08</v>
      </c>
      <c r="AA12" s="113">
        <v>38.93</v>
      </c>
      <c r="AB12" s="108">
        <v>176.63</v>
      </c>
      <c r="AC12" s="108">
        <v>253.64</v>
      </c>
      <c r="AD12" s="108">
        <v>1</v>
      </c>
      <c r="AE12" s="113">
        <v>35.22</v>
      </c>
      <c r="AF12" s="113">
        <v>77.010000000000005</v>
      </c>
      <c r="AG12" s="108">
        <v>166.82</v>
      </c>
      <c r="AH12" s="108">
        <v>279.05</v>
      </c>
      <c r="AI12" s="62"/>
      <c r="AJ12" s="62"/>
      <c r="AK12" s="62"/>
      <c r="AL12" s="62"/>
      <c r="AM12" s="62"/>
      <c r="AN12" s="62"/>
      <c r="AO12" s="62"/>
      <c r="AP12" s="62"/>
      <c r="AQ12" s="62"/>
      <c r="AR12" s="82" t="str">
        <f t="shared" si="0"/>
        <v>COM</v>
      </c>
      <c r="AS12" s="82" t="str">
        <f t="shared" si="1"/>
        <v xml:space="preserve"> 98921  </v>
      </c>
      <c r="AT12" s="62">
        <f t="shared" si="2"/>
        <v>2.61504</v>
      </c>
      <c r="AU12" s="62">
        <f t="shared" si="3"/>
        <v>0</v>
      </c>
      <c r="AV12" s="62">
        <f t="shared" si="4"/>
        <v>0.21920000000000001</v>
      </c>
      <c r="BJ12" s="115" t="s">
        <v>40</v>
      </c>
      <c r="BK12" s="115" t="s">
        <v>75</v>
      </c>
      <c r="BL12" s="116">
        <v>71</v>
      </c>
      <c r="BM12" s="115" t="s">
        <v>42</v>
      </c>
      <c r="BN12" s="115" t="s">
        <v>75</v>
      </c>
      <c r="BO12" s="116">
        <v>1</v>
      </c>
      <c r="BP12" s="115" t="s">
        <v>45</v>
      </c>
      <c r="BQ12" s="115" t="s">
        <v>75</v>
      </c>
      <c r="BR12" s="116">
        <v>6</v>
      </c>
      <c r="BS12" s="115" t="s">
        <v>90</v>
      </c>
      <c r="BT12" s="116">
        <v>40035.65</v>
      </c>
      <c r="BU12" s="115" t="s">
        <v>118</v>
      </c>
      <c r="BV12" s="116">
        <v>154.30000000000001</v>
      </c>
      <c r="BW12" s="115" t="s">
        <v>94</v>
      </c>
      <c r="BX12" s="116">
        <v>11140.439999999999</v>
      </c>
      <c r="BY12" s="115" t="s">
        <v>90</v>
      </c>
      <c r="BZ12" s="116">
        <v>1340.0800000000002</v>
      </c>
      <c r="CA12" s="115" t="s">
        <v>282</v>
      </c>
      <c r="CB12" s="116">
        <v>191.91</v>
      </c>
      <c r="CC12" s="115" t="s">
        <v>98</v>
      </c>
      <c r="CD12" s="116">
        <v>141.43</v>
      </c>
    </row>
    <row r="13" spans="1:83" ht="12" customHeight="1" x14ac:dyDescent="0.2">
      <c r="A13" s="82" t="s">
        <v>34</v>
      </c>
      <c r="B13" s="82" t="s">
        <v>233</v>
      </c>
      <c r="C13" s="51">
        <v>5</v>
      </c>
      <c r="D13" s="87">
        <v>16940.32</v>
      </c>
      <c r="E13" s="87">
        <v>2535.15</v>
      </c>
      <c r="F13" s="87">
        <v>14050.68</v>
      </c>
      <c r="G13" s="86">
        <v>33526.15</v>
      </c>
      <c r="H13" s="51">
        <v>10</v>
      </c>
      <c r="I13" s="87">
        <v>3386.05</v>
      </c>
      <c r="J13" s="87">
        <v>2551.33</v>
      </c>
      <c r="K13" s="87">
        <v>10388.06</v>
      </c>
      <c r="L13" s="86">
        <v>16325.44</v>
      </c>
      <c r="M13" s="51">
        <v>7</v>
      </c>
      <c r="N13" s="87">
        <v>3222.68</v>
      </c>
      <c r="O13" s="87">
        <v>2634.86</v>
      </c>
      <c r="P13" s="87">
        <v>10181.549999999999</v>
      </c>
      <c r="Q13" s="86">
        <v>16039.09</v>
      </c>
      <c r="R13" s="106" t="s">
        <v>34</v>
      </c>
      <c r="S13" s="106" t="s">
        <v>239</v>
      </c>
      <c r="T13" s="108">
        <v>1</v>
      </c>
      <c r="U13" s="113">
        <v>27.4</v>
      </c>
      <c r="V13" s="113">
        <v>24.16</v>
      </c>
      <c r="W13" s="108">
        <v>369.88</v>
      </c>
      <c r="X13" s="108">
        <v>421.44</v>
      </c>
      <c r="Y13" s="108">
        <v>1</v>
      </c>
      <c r="Z13" s="113">
        <v>47.29</v>
      </c>
      <c r="AA13" s="113">
        <v>27.4</v>
      </c>
      <c r="AB13" s="108">
        <v>236.23</v>
      </c>
      <c r="AC13" s="108">
        <v>310.92</v>
      </c>
      <c r="AD13" s="108">
        <v>1</v>
      </c>
      <c r="AE13" s="113">
        <v>20.65</v>
      </c>
      <c r="AF13" s="113">
        <v>47.29</v>
      </c>
      <c r="AG13" s="108">
        <v>263.63</v>
      </c>
      <c r="AH13" s="108">
        <v>331.57</v>
      </c>
      <c r="AI13" s="62"/>
      <c r="AJ13" s="62"/>
      <c r="AK13" s="62"/>
      <c r="AL13" s="62"/>
      <c r="AM13" s="62"/>
      <c r="AN13" s="62"/>
      <c r="AO13" s="62"/>
      <c r="AP13" s="62"/>
      <c r="AQ13" s="62"/>
      <c r="AR13" s="82" t="str">
        <f t="shared" si="0"/>
        <v>COM</v>
      </c>
      <c r="AS13" s="82" t="str">
        <f t="shared" si="1"/>
        <v xml:space="preserve"> 98923  </v>
      </c>
      <c r="AT13" s="62">
        <f t="shared" si="2"/>
        <v>4491.4060899999995</v>
      </c>
      <c r="AU13" s="62">
        <f t="shared" si="3"/>
        <v>3217.0599299999994</v>
      </c>
      <c r="AV13" s="62">
        <f t="shared" si="4"/>
        <v>3160.0270099999998</v>
      </c>
      <c r="BJ13" s="115" t="s">
        <v>42</v>
      </c>
      <c r="BK13" s="115" t="s">
        <v>75</v>
      </c>
      <c r="BL13" s="116">
        <v>3</v>
      </c>
      <c r="BM13" s="115" t="s">
        <v>43</v>
      </c>
      <c r="BN13" s="115" t="s">
        <v>34</v>
      </c>
      <c r="BO13" s="116">
        <v>1</v>
      </c>
      <c r="BP13" s="115" t="s">
        <v>46</v>
      </c>
      <c r="BQ13" s="115" t="s">
        <v>75</v>
      </c>
      <c r="BR13" s="116">
        <v>1</v>
      </c>
      <c r="BS13" s="115" t="s">
        <v>118</v>
      </c>
      <c r="BT13" s="116">
        <v>180.23</v>
      </c>
      <c r="BU13" s="115" t="s">
        <v>284</v>
      </c>
      <c r="BV13" s="116">
        <v>348.94</v>
      </c>
      <c r="BW13" s="115" t="s">
        <v>95</v>
      </c>
      <c r="BX13" s="116">
        <v>9828.91</v>
      </c>
      <c r="BY13" s="115" t="s">
        <v>96</v>
      </c>
      <c r="BZ13" s="116">
        <v>369.45000000000005</v>
      </c>
      <c r="CA13" s="115" t="s">
        <v>283</v>
      </c>
      <c r="CB13" s="116">
        <v>306.58000000000004</v>
      </c>
      <c r="CC13" s="115" t="s">
        <v>106</v>
      </c>
      <c r="CD13" s="116">
        <v>298.43</v>
      </c>
    </row>
    <row r="14" spans="1:83" ht="12" customHeight="1" x14ac:dyDescent="0.2">
      <c r="A14" s="82" t="s">
        <v>34</v>
      </c>
      <c r="B14" s="82" t="s">
        <v>234</v>
      </c>
      <c r="C14" s="51">
        <v>39</v>
      </c>
      <c r="D14" s="87">
        <v>11221.25</v>
      </c>
      <c r="E14" s="87">
        <v>1165.6600000000001</v>
      </c>
      <c r="F14" s="87">
        <v>29350.18</v>
      </c>
      <c r="G14" s="86">
        <v>41737.089999999997</v>
      </c>
      <c r="H14" s="51">
        <v>39</v>
      </c>
      <c r="I14" s="87">
        <v>10592.47</v>
      </c>
      <c r="J14" s="87">
        <v>4565.5200000000004</v>
      </c>
      <c r="K14" s="87">
        <v>29031.34</v>
      </c>
      <c r="L14" s="86">
        <v>44189.33</v>
      </c>
      <c r="M14" s="51">
        <v>35</v>
      </c>
      <c r="N14" s="87">
        <v>8330.64</v>
      </c>
      <c r="O14" s="87">
        <v>5095.96</v>
      </c>
      <c r="P14" s="87">
        <v>30467.32</v>
      </c>
      <c r="Q14" s="86">
        <v>43893.919999999998</v>
      </c>
      <c r="R14" s="106" t="s">
        <v>34</v>
      </c>
      <c r="S14" s="106" t="s">
        <v>240</v>
      </c>
      <c r="T14" s="108">
        <v>2</v>
      </c>
      <c r="U14" s="113">
        <v>443.13</v>
      </c>
      <c r="V14" s="113">
        <v>268.26</v>
      </c>
      <c r="W14" s="108">
        <v>1069.6199999999999</v>
      </c>
      <c r="X14" s="108">
        <v>1781.01</v>
      </c>
      <c r="Y14" s="108">
        <v>2</v>
      </c>
      <c r="Z14" s="113">
        <v>438.88</v>
      </c>
      <c r="AA14" s="113">
        <v>343.7</v>
      </c>
      <c r="AB14" s="108">
        <v>1337.88</v>
      </c>
      <c r="AC14" s="108">
        <v>2120.46</v>
      </c>
      <c r="AD14" s="108">
        <v>2</v>
      </c>
      <c r="AE14" s="113">
        <v>606.29</v>
      </c>
      <c r="AF14" s="113">
        <v>438.25</v>
      </c>
      <c r="AG14" s="108">
        <v>1681.58</v>
      </c>
      <c r="AH14" s="108">
        <v>2726.12</v>
      </c>
      <c r="AI14" s="62"/>
      <c r="AJ14" s="62"/>
      <c r="AK14" s="62"/>
      <c r="AL14" s="62"/>
      <c r="AM14" s="62"/>
      <c r="AN14" s="62"/>
      <c r="AO14" s="62"/>
      <c r="AP14" s="62"/>
      <c r="AQ14" s="62"/>
      <c r="AR14" s="82" t="str">
        <f t="shared" si="0"/>
        <v>COM</v>
      </c>
      <c r="AS14" s="82" t="str">
        <f t="shared" si="1"/>
        <v xml:space="preserve"> 98930  </v>
      </c>
      <c r="AT14" s="62">
        <f t="shared" si="2"/>
        <v>8735.1785999999993</v>
      </c>
      <c r="AU14" s="62">
        <f t="shared" si="3"/>
        <v>8847.1645399999998</v>
      </c>
      <c r="AV14" s="62">
        <f t="shared" si="4"/>
        <v>9259.3911999999982</v>
      </c>
      <c r="BJ14" s="115" t="s">
        <v>43</v>
      </c>
      <c r="BK14" s="115" t="s">
        <v>75</v>
      </c>
      <c r="BL14" s="116">
        <v>8</v>
      </c>
      <c r="BM14" s="115" t="s">
        <v>43</v>
      </c>
      <c r="BN14" s="115" t="s">
        <v>75</v>
      </c>
      <c r="BO14" s="116">
        <v>1</v>
      </c>
      <c r="BP14" s="115" t="s">
        <v>47</v>
      </c>
      <c r="BQ14" s="115" t="s">
        <v>75</v>
      </c>
      <c r="BR14" s="116">
        <v>1</v>
      </c>
      <c r="BS14" s="115" t="s">
        <v>111</v>
      </c>
      <c r="BT14" s="116">
        <v>10431.850000000002</v>
      </c>
      <c r="BU14" s="115" t="s">
        <v>111</v>
      </c>
      <c r="BV14" s="116">
        <v>111.55</v>
      </c>
      <c r="BW14" s="115" t="s">
        <v>97</v>
      </c>
      <c r="BX14" s="116">
        <v>75.62</v>
      </c>
      <c r="BY14" s="115" t="s">
        <v>94</v>
      </c>
      <c r="BZ14" s="116">
        <v>190.81</v>
      </c>
      <c r="CA14" s="115" t="s">
        <v>98</v>
      </c>
      <c r="CB14" s="116">
        <v>75.930000000000007</v>
      </c>
      <c r="CC14" s="115" t="s">
        <v>102</v>
      </c>
      <c r="CD14" s="116">
        <v>61.73</v>
      </c>
    </row>
    <row r="15" spans="1:83" ht="12" customHeight="1" x14ac:dyDescent="0.2">
      <c r="A15" s="82" t="s">
        <v>34</v>
      </c>
      <c r="B15" s="82" t="s">
        <v>235</v>
      </c>
      <c r="C15" s="51">
        <v>24</v>
      </c>
      <c r="D15" s="87">
        <v>12476</v>
      </c>
      <c r="E15" s="87">
        <v>1077.01</v>
      </c>
      <c r="F15" s="87">
        <v>17578.98</v>
      </c>
      <c r="G15" s="86">
        <v>31131.99</v>
      </c>
      <c r="H15" s="51">
        <v>24</v>
      </c>
      <c r="I15" s="87">
        <v>35023.440000000002</v>
      </c>
      <c r="J15" s="87">
        <v>428.31</v>
      </c>
      <c r="K15" s="87">
        <v>5054.26</v>
      </c>
      <c r="L15" s="86">
        <v>40506.01</v>
      </c>
      <c r="M15" s="51">
        <v>19</v>
      </c>
      <c r="N15" s="87">
        <v>3818.37</v>
      </c>
      <c r="O15" s="87">
        <v>610.80999999999995</v>
      </c>
      <c r="P15" s="87">
        <v>4901.68</v>
      </c>
      <c r="Q15" s="86">
        <v>9330.86</v>
      </c>
      <c r="R15" s="106" t="s">
        <v>34</v>
      </c>
      <c r="S15" s="106" t="s">
        <v>241</v>
      </c>
      <c r="T15" s="108">
        <v>1</v>
      </c>
      <c r="U15" s="113">
        <v>426.38</v>
      </c>
      <c r="V15" s="113">
        <v>288.91000000000003</v>
      </c>
      <c r="W15" s="108">
        <v>224.28</v>
      </c>
      <c r="X15" s="108">
        <v>939.57</v>
      </c>
      <c r="Y15" s="108">
        <v>1</v>
      </c>
      <c r="Z15" s="113">
        <v>501.46</v>
      </c>
      <c r="AA15" s="113">
        <v>319.07</v>
      </c>
      <c r="AB15" s="108">
        <v>119.04</v>
      </c>
      <c r="AC15" s="108">
        <v>939.57</v>
      </c>
      <c r="AD15" s="108">
        <v>1</v>
      </c>
      <c r="AE15" s="113">
        <v>485.49</v>
      </c>
      <c r="AF15" s="113">
        <v>22.94</v>
      </c>
      <c r="AG15" s="108">
        <v>142.22999999999999</v>
      </c>
      <c r="AH15" s="108">
        <v>650.66</v>
      </c>
      <c r="AI15" s="62"/>
      <c r="AJ15" s="62"/>
      <c r="AK15" s="62"/>
      <c r="AL15" s="62"/>
      <c r="AM15" s="62"/>
      <c r="AN15" s="62"/>
      <c r="AO15" s="62"/>
      <c r="AP15" s="62"/>
      <c r="AQ15" s="62"/>
      <c r="AR15" s="82" t="str">
        <f t="shared" si="0"/>
        <v>COM</v>
      </c>
      <c r="AS15" s="82" t="str">
        <f t="shared" si="1"/>
        <v xml:space="preserve"> 98932  </v>
      </c>
      <c r="AT15" s="62">
        <f t="shared" si="2"/>
        <v>5347.7928499999998</v>
      </c>
      <c r="AU15" s="62">
        <f t="shared" si="3"/>
        <v>2048.03971</v>
      </c>
      <c r="AV15" s="62">
        <f t="shared" si="4"/>
        <v>1516.16047</v>
      </c>
      <c r="BJ15" s="115" t="s">
        <v>44</v>
      </c>
      <c r="BK15" s="115" t="s">
        <v>75</v>
      </c>
      <c r="BL15" s="116">
        <v>25</v>
      </c>
      <c r="BM15" s="115" t="s">
        <v>44</v>
      </c>
      <c r="BN15" s="115" t="s">
        <v>34</v>
      </c>
      <c r="BO15" s="116">
        <v>2</v>
      </c>
      <c r="BP15" s="115" t="s">
        <v>48</v>
      </c>
      <c r="BQ15" s="115" t="s">
        <v>75</v>
      </c>
      <c r="BR15" s="116">
        <v>6</v>
      </c>
      <c r="BS15" s="115" t="s">
        <v>96</v>
      </c>
      <c r="BT15" s="116">
        <v>16314.130000000001</v>
      </c>
      <c r="BU15" s="115" t="s">
        <v>275</v>
      </c>
      <c r="BV15" s="116">
        <v>422.71000000000004</v>
      </c>
      <c r="BW15" s="115" t="s">
        <v>98</v>
      </c>
      <c r="BX15" s="116">
        <v>2232.2099999999996</v>
      </c>
      <c r="BY15" s="115" t="s">
        <v>97</v>
      </c>
      <c r="BZ15" s="116">
        <v>59.78</v>
      </c>
      <c r="CA15" s="115" t="s">
        <v>107</v>
      </c>
      <c r="CB15" s="116">
        <v>57.15</v>
      </c>
      <c r="CC15" s="115" t="s">
        <v>109</v>
      </c>
      <c r="CD15" s="116">
        <v>113.30000000000001</v>
      </c>
    </row>
    <row r="16" spans="1:83" ht="12" customHeight="1" x14ac:dyDescent="0.2">
      <c r="A16" s="82" t="s">
        <v>34</v>
      </c>
      <c r="B16" s="82" t="s">
        <v>236</v>
      </c>
      <c r="C16" s="51">
        <v>10</v>
      </c>
      <c r="D16" s="87">
        <v>2093.94</v>
      </c>
      <c r="E16" s="87">
        <v>251.68</v>
      </c>
      <c r="F16" s="87">
        <v>186.3</v>
      </c>
      <c r="G16" s="86">
        <v>2531.92</v>
      </c>
      <c r="H16" s="51">
        <v>6</v>
      </c>
      <c r="I16" s="87">
        <v>830.84</v>
      </c>
      <c r="J16" s="87">
        <v>14</v>
      </c>
      <c r="K16" s="87">
        <v>14</v>
      </c>
      <c r="L16" s="86">
        <v>858.84</v>
      </c>
      <c r="M16" s="51">
        <v>8</v>
      </c>
      <c r="N16" s="87">
        <v>5840.85</v>
      </c>
      <c r="O16" s="87">
        <v>227.31</v>
      </c>
      <c r="P16" s="87">
        <v>0</v>
      </c>
      <c r="Q16" s="86">
        <v>6068.16</v>
      </c>
      <c r="R16" s="106" t="s">
        <v>34</v>
      </c>
      <c r="S16" s="106" t="s">
        <v>242</v>
      </c>
      <c r="T16" s="108"/>
      <c r="U16" s="113">
        <v>0</v>
      </c>
      <c r="V16" s="113">
        <v>0</v>
      </c>
      <c r="W16" s="108">
        <v>0</v>
      </c>
      <c r="X16" s="108">
        <v>0</v>
      </c>
      <c r="Y16" s="108"/>
      <c r="Z16" s="113">
        <v>0</v>
      </c>
      <c r="AA16" s="113">
        <v>0</v>
      </c>
      <c r="AB16" s="108">
        <v>0</v>
      </c>
      <c r="AC16" s="108">
        <v>0</v>
      </c>
      <c r="AD16" s="108"/>
      <c r="AE16" s="113">
        <v>0</v>
      </c>
      <c r="AF16" s="113">
        <v>0</v>
      </c>
      <c r="AG16" s="108">
        <v>0</v>
      </c>
      <c r="AH16" s="108">
        <v>0</v>
      </c>
      <c r="AI16" s="62"/>
      <c r="AJ16" s="62"/>
      <c r="AK16" s="62"/>
      <c r="AL16" s="62"/>
      <c r="AM16" s="62"/>
      <c r="AN16" s="62"/>
      <c r="AO16" s="62"/>
      <c r="AP16" s="62"/>
      <c r="AQ16" s="62"/>
      <c r="AR16" s="82" t="str">
        <f t="shared" si="0"/>
        <v>COM</v>
      </c>
      <c r="AS16" s="82" t="str">
        <f t="shared" si="1"/>
        <v xml:space="preserve"> 98933  </v>
      </c>
      <c r="AT16" s="62">
        <f t="shared" si="2"/>
        <v>103.19958</v>
      </c>
      <c r="AU16" s="62">
        <f t="shared" si="3"/>
        <v>18.221440000000001</v>
      </c>
      <c r="AV16" s="62">
        <f t="shared" si="4"/>
        <v>107.77413000000001</v>
      </c>
      <c r="BJ16" s="115" t="s">
        <v>45</v>
      </c>
      <c r="BK16" s="115" t="s">
        <v>75</v>
      </c>
      <c r="BL16" s="116">
        <v>5</v>
      </c>
      <c r="BM16" s="115" t="s">
        <v>44</v>
      </c>
      <c r="BN16" s="115" t="s">
        <v>75</v>
      </c>
      <c r="BO16" s="116">
        <v>13</v>
      </c>
      <c r="BP16" s="115" t="s">
        <v>49</v>
      </c>
      <c r="BQ16" s="115" t="s">
        <v>75</v>
      </c>
      <c r="BR16" s="116">
        <v>4</v>
      </c>
      <c r="BS16" s="115" t="s">
        <v>94</v>
      </c>
      <c r="BT16" s="116">
        <v>4466.01</v>
      </c>
      <c r="BU16" s="115" t="s">
        <v>96</v>
      </c>
      <c r="BV16" s="116">
        <v>18389.110000000004</v>
      </c>
      <c r="BW16" s="115" t="s">
        <v>107</v>
      </c>
      <c r="BX16" s="116">
        <v>546.98</v>
      </c>
      <c r="BY16" s="115" t="s">
        <v>205</v>
      </c>
      <c r="BZ16" s="116">
        <v>72.77</v>
      </c>
      <c r="CA16" s="115" t="s">
        <v>99</v>
      </c>
      <c r="CB16" s="116">
        <v>102.2</v>
      </c>
      <c r="CC16" s="115" t="s">
        <v>93</v>
      </c>
      <c r="CD16" s="116">
        <v>274.73</v>
      </c>
    </row>
    <row r="17" spans="1:82" ht="12" customHeight="1" x14ac:dyDescent="0.2">
      <c r="A17" s="82" t="s">
        <v>34</v>
      </c>
      <c r="B17" s="82" t="s">
        <v>237</v>
      </c>
      <c r="C17" s="51">
        <v>4</v>
      </c>
      <c r="D17" s="87">
        <v>1771.88</v>
      </c>
      <c r="E17" s="87">
        <v>0</v>
      </c>
      <c r="F17" s="87">
        <v>14.43</v>
      </c>
      <c r="G17" s="86">
        <v>1786.31</v>
      </c>
      <c r="H17" s="51">
        <v>3</v>
      </c>
      <c r="I17" s="87">
        <v>215.81</v>
      </c>
      <c r="J17" s="87">
        <v>0</v>
      </c>
      <c r="K17" s="87">
        <v>0</v>
      </c>
      <c r="L17" s="86">
        <v>215.81</v>
      </c>
      <c r="M17" s="51">
        <v>4</v>
      </c>
      <c r="N17" s="87">
        <v>599.25</v>
      </c>
      <c r="O17" s="87">
        <v>0</v>
      </c>
      <c r="P17" s="87">
        <v>0</v>
      </c>
      <c r="Q17" s="86">
        <v>599.25</v>
      </c>
      <c r="R17" s="106" t="s">
        <v>34</v>
      </c>
      <c r="S17" s="106" t="s">
        <v>243</v>
      </c>
      <c r="T17" s="108">
        <v>3</v>
      </c>
      <c r="U17" s="113">
        <v>954.98</v>
      </c>
      <c r="V17" s="113">
        <v>842.47</v>
      </c>
      <c r="W17" s="108">
        <v>23878.6</v>
      </c>
      <c r="X17" s="108">
        <v>25676.05</v>
      </c>
      <c r="Y17" s="108">
        <v>4</v>
      </c>
      <c r="Z17" s="113">
        <v>1288.6099999999999</v>
      </c>
      <c r="AA17" s="113">
        <v>954.98</v>
      </c>
      <c r="AB17" s="108">
        <v>24119.57</v>
      </c>
      <c r="AC17" s="108">
        <v>26363.16</v>
      </c>
      <c r="AD17" s="108">
        <v>4</v>
      </c>
      <c r="AE17" s="113">
        <v>1078.47</v>
      </c>
      <c r="AF17" s="113">
        <v>1288.6099999999999</v>
      </c>
      <c r="AG17" s="108">
        <v>25074.55</v>
      </c>
      <c r="AH17" s="108">
        <v>27441.63</v>
      </c>
      <c r="AI17" s="62"/>
      <c r="AJ17" s="62"/>
      <c r="AK17" s="62"/>
      <c r="AL17" s="62"/>
      <c r="AM17" s="62"/>
      <c r="AN17" s="62"/>
      <c r="AO17" s="62"/>
      <c r="AP17" s="62"/>
      <c r="AQ17" s="62"/>
      <c r="AR17" s="82" t="str">
        <f t="shared" si="0"/>
        <v>COM</v>
      </c>
      <c r="AS17" s="82" t="str">
        <f t="shared" si="1"/>
        <v xml:space="preserve"> 98935  </v>
      </c>
      <c r="AT17" s="62">
        <f t="shared" si="2"/>
        <v>32.520350000000001</v>
      </c>
      <c r="AU17" s="62">
        <f t="shared" si="3"/>
        <v>3.45296</v>
      </c>
      <c r="AV17" s="62">
        <f t="shared" si="4"/>
        <v>9.588000000000001</v>
      </c>
      <c r="BJ17" s="115" t="s">
        <v>46</v>
      </c>
      <c r="BK17" s="115" t="s">
        <v>75</v>
      </c>
      <c r="BL17" s="116">
        <v>2</v>
      </c>
      <c r="BM17" s="115" t="s">
        <v>45</v>
      </c>
      <c r="BN17" s="115" t="s">
        <v>75</v>
      </c>
      <c r="BO17" s="116">
        <v>5</v>
      </c>
      <c r="BP17" s="115" t="s">
        <v>50</v>
      </c>
      <c r="BQ17" s="115" t="s">
        <v>75</v>
      </c>
      <c r="BR17" s="116">
        <v>2</v>
      </c>
      <c r="BS17" s="115" t="s">
        <v>95</v>
      </c>
      <c r="BT17" s="116">
        <v>16041.77</v>
      </c>
      <c r="BU17" s="115" t="s">
        <v>94</v>
      </c>
      <c r="BV17" s="116">
        <v>1895.13</v>
      </c>
      <c r="BW17" s="115" t="s">
        <v>105</v>
      </c>
      <c r="BX17" s="116">
        <v>7675.91</v>
      </c>
      <c r="BY17" s="115" t="s">
        <v>119</v>
      </c>
      <c r="BZ17" s="116">
        <v>14.55</v>
      </c>
      <c r="CA17" s="115" t="s">
        <v>91</v>
      </c>
      <c r="CB17" s="116">
        <v>392.99</v>
      </c>
      <c r="CC17" s="104"/>
      <c r="CD17" s="105"/>
    </row>
    <row r="18" spans="1:82" ht="12" customHeight="1" x14ac:dyDescent="0.2">
      <c r="A18" s="82" t="s">
        <v>34</v>
      </c>
      <c r="B18" s="82" t="s">
        <v>238</v>
      </c>
      <c r="C18" s="51">
        <v>21</v>
      </c>
      <c r="D18" s="87">
        <v>10345.76</v>
      </c>
      <c r="E18" s="87">
        <v>11502.12</v>
      </c>
      <c r="F18" s="87">
        <v>20556.05</v>
      </c>
      <c r="G18" s="86">
        <v>42403.93</v>
      </c>
      <c r="H18" s="51">
        <v>23</v>
      </c>
      <c r="I18" s="87">
        <v>70712.08</v>
      </c>
      <c r="J18" s="87">
        <v>1272.27</v>
      </c>
      <c r="K18" s="87">
        <v>11967.12</v>
      </c>
      <c r="L18" s="86">
        <v>83951.47</v>
      </c>
      <c r="M18" s="51">
        <v>23</v>
      </c>
      <c r="N18" s="87">
        <v>10495.06</v>
      </c>
      <c r="O18" s="87">
        <v>4387.49</v>
      </c>
      <c r="P18" s="87">
        <v>12853.96</v>
      </c>
      <c r="Q18" s="86">
        <v>27736.51</v>
      </c>
      <c r="R18" s="106" t="s">
        <v>34</v>
      </c>
      <c r="S18" s="106" t="s">
        <v>244</v>
      </c>
      <c r="T18" s="108"/>
      <c r="U18" s="113">
        <v>0</v>
      </c>
      <c r="V18" s="113">
        <v>0</v>
      </c>
      <c r="W18" s="108">
        <v>0</v>
      </c>
      <c r="X18" s="108">
        <v>0</v>
      </c>
      <c r="Y18" s="108">
        <v>1</v>
      </c>
      <c r="Z18" s="113">
        <v>106.22</v>
      </c>
      <c r="AA18" s="113">
        <v>0</v>
      </c>
      <c r="AB18" s="108">
        <v>0</v>
      </c>
      <c r="AC18" s="108">
        <v>106.22</v>
      </c>
      <c r="AD18" s="108">
        <v>1</v>
      </c>
      <c r="AE18" s="113">
        <v>192.69</v>
      </c>
      <c r="AF18" s="113">
        <v>0</v>
      </c>
      <c r="AG18" s="108">
        <v>0</v>
      </c>
      <c r="AH18" s="108">
        <v>192.69</v>
      </c>
      <c r="AI18" s="62"/>
      <c r="AJ18" s="62"/>
      <c r="AK18" s="62"/>
      <c r="AL18" s="62"/>
      <c r="AM18" s="62"/>
      <c r="AN18" s="62"/>
      <c r="AO18" s="62"/>
      <c r="AP18" s="62"/>
      <c r="AQ18" s="62"/>
      <c r="AR18" s="82" t="str">
        <f t="shared" si="0"/>
        <v>COM</v>
      </c>
      <c r="AS18" s="82" t="str">
        <f t="shared" si="1"/>
        <v xml:space="preserve"> 98936  </v>
      </c>
      <c r="AT18" s="62">
        <f t="shared" si="2"/>
        <v>6830.8641699999989</v>
      </c>
      <c r="AU18" s="62">
        <f t="shared" si="3"/>
        <v>4670.0439699999997</v>
      </c>
      <c r="AV18" s="62">
        <f t="shared" si="4"/>
        <v>4159.12727</v>
      </c>
      <c r="BJ18" s="115" t="s">
        <v>47</v>
      </c>
      <c r="BK18" s="115" t="s">
        <v>75</v>
      </c>
      <c r="BL18" s="116">
        <v>7</v>
      </c>
      <c r="BM18" s="115" t="s">
        <v>46</v>
      </c>
      <c r="BN18" s="115" t="s">
        <v>34</v>
      </c>
      <c r="BO18" s="116">
        <v>1</v>
      </c>
      <c r="BP18" s="115" t="s">
        <v>52</v>
      </c>
      <c r="BQ18" s="115" t="s">
        <v>75</v>
      </c>
      <c r="BR18" s="116">
        <v>15</v>
      </c>
      <c r="BS18" s="115" t="s">
        <v>97</v>
      </c>
      <c r="BT18" s="116">
        <v>3537.91</v>
      </c>
      <c r="BU18" s="115" t="s">
        <v>282</v>
      </c>
      <c r="BV18" s="116">
        <v>191.91</v>
      </c>
      <c r="BW18" s="115" t="s">
        <v>99</v>
      </c>
      <c r="BX18" s="116">
        <v>19480.520000000004</v>
      </c>
      <c r="BY18" s="115" t="s">
        <v>99</v>
      </c>
      <c r="BZ18" s="116">
        <v>409.94</v>
      </c>
      <c r="CA18" s="115" t="s">
        <v>100</v>
      </c>
      <c r="CB18" s="116">
        <v>51.03</v>
      </c>
      <c r="CC18" s="104"/>
      <c r="CD18" s="105"/>
    </row>
    <row r="19" spans="1:82" ht="12" customHeight="1" x14ac:dyDescent="0.2">
      <c r="A19" s="82" t="s">
        <v>34</v>
      </c>
      <c r="B19" s="82" t="s">
        <v>239</v>
      </c>
      <c r="C19" s="51">
        <v>32</v>
      </c>
      <c r="D19" s="87">
        <v>17982.09</v>
      </c>
      <c r="E19" s="87">
        <v>2282.56</v>
      </c>
      <c r="F19" s="87">
        <v>13405.99</v>
      </c>
      <c r="G19" s="86">
        <v>33670.639999999999</v>
      </c>
      <c r="H19" s="51">
        <v>31</v>
      </c>
      <c r="I19" s="87">
        <v>17962.2</v>
      </c>
      <c r="J19" s="87">
        <v>4560.46</v>
      </c>
      <c r="K19" s="87">
        <v>13749.17</v>
      </c>
      <c r="L19" s="86">
        <v>36271.83</v>
      </c>
      <c r="M19" s="51">
        <v>35</v>
      </c>
      <c r="N19" s="87">
        <v>15720.03</v>
      </c>
      <c r="O19" s="87">
        <v>2783.88</v>
      </c>
      <c r="P19" s="87">
        <v>11855.76</v>
      </c>
      <c r="Q19" s="86">
        <v>30359.67</v>
      </c>
      <c r="R19" s="106" t="s">
        <v>34</v>
      </c>
      <c r="S19" s="106" t="s">
        <v>245</v>
      </c>
      <c r="T19" s="108">
        <v>10</v>
      </c>
      <c r="U19" s="113">
        <v>5681.94</v>
      </c>
      <c r="V19" s="113">
        <v>2330.85</v>
      </c>
      <c r="W19" s="108">
        <v>17490.849999999999</v>
      </c>
      <c r="X19" s="108">
        <v>25503.64</v>
      </c>
      <c r="Y19" s="108">
        <v>11</v>
      </c>
      <c r="Z19" s="113">
        <v>10728.07</v>
      </c>
      <c r="AA19" s="113">
        <v>1992.58</v>
      </c>
      <c r="AB19" s="108">
        <v>10765.52</v>
      </c>
      <c r="AC19" s="108">
        <v>23486.17</v>
      </c>
      <c r="AD19" s="108">
        <v>7</v>
      </c>
      <c r="AE19" s="113">
        <v>3065.2</v>
      </c>
      <c r="AF19" s="113">
        <v>4025.67</v>
      </c>
      <c r="AG19" s="108">
        <v>10138.459999999999</v>
      </c>
      <c r="AH19" s="108">
        <v>17229.330000000002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82" t="str">
        <f t="shared" si="0"/>
        <v>COM</v>
      </c>
      <c r="AS19" s="82" t="str">
        <f t="shared" si="1"/>
        <v xml:space="preserve"> 98937  </v>
      </c>
      <c r="AT19" s="62">
        <f t="shared" si="2"/>
        <v>4305.8458299999993</v>
      </c>
      <c r="AU19" s="62">
        <f t="shared" si="3"/>
        <v>4548.2143099999994</v>
      </c>
      <c r="AV19" s="62">
        <f t="shared" si="4"/>
        <v>3853.2195599999995</v>
      </c>
      <c r="BJ19" s="115" t="s">
        <v>48</v>
      </c>
      <c r="BK19" s="115" t="s">
        <v>75</v>
      </c>
      <c r="BL19" s="116">
        <v>7</v>
      </c>
      <c r="BM19" s="115" t="s">
        <v>46</v>
      </c>
      <c r="BN19" s="115" t="s">
        <v>75</v>
      </c>
      <c r="BO19" s="116">
        <v>2</v>
      </c>
      <c r="BP19" s="115" t="s">
        <v>53</v>
      </c>
      <c r="BQ19" s="115" t="s">
        <v>34</v>
      </c>
      <c r="BR19" s="116">
        <v>2</v>
      </c>
      <c r="BS19" s="115" t="s">
        <v>98</v>
      </c>
      <c r="BT19" s="116">
        <v>6875.3</v>
      </c>
      <c r="BU19" s="115" t="s">
        <v>95</v>
      </c>
      <c r="BV19" s="116">
        <v>6473.16</v>
      </c>
      <c r="BW19" s="115" t="s">
        <v>222</v>
      </c>
      <c r="BX19" s="116">
        <v>9292.8700000000008</v>
      </c>
      <c r="BY19" s="115" t="s">
        <v>222</v>
      </c>
      <c r="BZ19" s="116">
        <v>218.5</v>
      </c>
      <c r="CA19" s="115" t="s">
        <v>101</v>
      </c>
      <c r="CB19" s="116">
        <v>343</v>
      </c>
      <c r="CC19" s="104"/>
      <c r="CD19" s="105"/>
    </row>
    <row r="20" spans="1:82" ht="12" customHeight="1" x14ac:dyDescent="0.2">
      <c r="A20" s="82" t="s">
        <v>34</v>
      </c>
      <c r="B20" s="82" t="s">
        <v>240</v>
      </c>
      <c r="C20" s="51">
        <v>17</v>
      </c>
      <c r="D20" s="87">
        <v>32394.94</v>
      </c>
      <c r="E20" s="87">
        <v>903.05</v>
      </c>
      <c r="F20" s="87">
        <v>8737.4599999999991</v>
      </c>
      <c r="G20" s="86">
        <v>42035.45</v>
      </c>
      <c r="H20" s="51">
        <v>20</v>
      </c>
      <c r="I20" s="87">
        <v>35328.69</v>
      </c>
      <c r="J20" s="87">
        <v>30552.5</v>
      </c>
      <c r="K20" s="87">
        <v>8057.87</v>
      </c>
      <c r="L20" s="86">
        <v>73939.06</v>
      </c>
      <c r="M20" s="51">
        <v>16</v>
      </c>
      <c r="N20" s="87">
        <v>30621.42</v>
      </c>
      <c r="O20" s="87">
        <v>1795.27</v>
      </c>
      <c r="P20" s="87">
        <v>8996.35</v>
      </c>
      <c r="Q20" s="86">
        <v>41413.040000000001</v>
      </c>
      <c r="R20" s="106" t="s">
        <v>34</v>
      </c>
      <c r="S20" s="106" t="s">
        <v>246</v>
      </c>
      <c r="T20" s="108">
        <v>4</v>
      </c>
      <c r="U20" s="113">
        <v>818.43</v>
      </c>
      <c r="V20" s="113">
        <v>121.76</v>
      </c>
      <c r="W20" s="108">
        <v>258.14999999999998</v>
      </c>
      <c r="X20" s="108">
        <v>1198.3399999999999</v>
      </c>
      <c r="Y20" s="108">
        <v>4</v>
      </c>
      <c r="Z20" s="113">
        <v>425.16</v>
      </c>
      <c r="AA20" s="113">
        <v>109.03</v>
      </c>
      <c r="AB20" s="108">
        <v>258.14999999999998</v>
      </c>
      <c r="AC20" s="108">
        <v>792.34</v>
      </c>
      <c r="AD20" s="108">
        <v>2</v>
      </c>
      <c r="AE20" s="113">
        <v>173.03</v>
      </c>
      <c r="AF20" s="113">
        <v>57.38</v>
      </c>
      <c r="AG20" s="108">
        <v>367.18</v>
      </c>
      <c r="AH20" s="108">
        <v>597.59</v>
      </c>
      <c r="AI20" s="62"/>
      <c r="AJ20" s="62"/>
      <c r="AK20" s="62"/>
      <c r="AL20" s="62"/>
      <c r="AM20" s="62"/>
      <c r="AN20" s="62"/>
      <c r="AO20" s="62"/>
      <c r="AP20" s="62"/>
      <c r="AQ20" s="62"/>
      <c r="AR20" s="82" t="str">
        <f t="shared" si="0"/>
        <v>COM</v>
      </c>
      <c r="AS20" s="82" t="str">
        <f t="shared" si="1"/>
        <v xml:space="preserve"> 98938  </v>
      </c>
      <c r="AT20" s="62">
        <f t="shared" si="2"/>
        <v>3100.3371299999994</v>
      </c>
      <c r="AU20" s="62">
        <f t="shared" si="3"/>
        <v>4818.79097</v>
      </c>
      <c r="AV20" s="62">
        <f t="shared" si="4"/>
        <v>3202.9898800000001</v>
      </c>
      <c r="BJ20" s="115" t="s">
        <v>49</v>
      </c>
      <c r="BK20" s="115" t="s">
        <v>34</v>
      </c>
      <c r="BL20" s="116">
        <v>1</v>
      </c>
      <c r="BM20" s="115" t="s">
        <v>47</v>
      </c>
      <c r="BN20" s="115" t="s">
        <v>34</v>
      </c>
      <c r="BO20" s="116">
        <v>2</v>
      </c>
      <c r="BP20" s="115" t="s">
        <v>53</v>
      </c>
      <c r="BQ20" s="115" t="s">
        <v>75</v>
      </c>
      <c r="BR20" s="116">
        <v>38</v>
      </c>
      <c r="BS20" s="115" t="s">
        <v>205</v>
      </c>
      <c r="BT20" s="116">
        <v>72.77</v>
      </c>
      <c r="BU20" s="115" t="s">
        <v>283</v>
      </c>
      <c r="BV20" s="116">
        <v>310.56</v>
      </c>
      <c r="BW20" s="115" t="s">
        <v>91</v>
      </c>
      <c r="BX20" s="116">
        <v>17438.560000000001</v>
      </c>
      <c r="BY20" s="115" t="s">
        <v>91</v>
      </c>
      <c r="BZ20" s="116">
        <v>495.95000000000005</v>
      </c>
      <c r="CA20" s="115" t="s">
        <v>106</v>
      </c>
      <c r="CB20" s="116">
        <v>557.73</v>
      </c>
      <c r="CC20" s="84"/>
      <c r="CD20" s="83"/>
    </row>
    <row r="21" spans="1:82" ht="12" customHeight="1" x14ac:dyDescent="0.2">
      <c r="A21" s="82" t="s">
        <v>34</v>
      </c>
      <c r="B21" s="82" t="s">
        <v>241</v>
      </c>
      <c r="C21" s="51">
        <v>2</v>
      </c>
      <c r="D21" s="87">
        <v>426.95</v>
      </c>
      <c r="E21" s="87">
        <v>288.91000000000003</v>
      </c>
      <c r="F21" s="87">
        <v>224.28</v>
      </c>
      <c r="G21" s="86">
        <v>940.14</v>
      </c>
      <c r="H21" s="51">
        <v>3</v>
      </c>
      <c r="I21" s="87">
        <v>672.33</v>
      </c>
      <c r="J21" s="87">
        <v>319.07</v>
      </c>
      <c r="K21" s="87">
        <v>119.04</v>
      </c>
      <c r="L21" s="86">
        <v>1110.44</v>
      </c>
      <c r="M21" s="51">
        <v>2</v>
      </c>
      <c r="N21" s="87">
        <v>509.3</v>
      </c>
      <c r="O21" s="87">
        <v>22.94</v>
      </c>
      <c r="P21" s="87">
        <v>142.22999999999999</v>
      </c>
      <c r="Q21" s="86">
        <v>674.47</v>
      </c>
      <c r="R21" s="106" t="s">
        <v>34</v>
      </c>
      <c r="S21" s="106" t="s">
        <v>247</v>
      </c>
      <c r="T21" s="108">
        <v>1</v>
      </c>
      <c r="U21" s="113">
        <v>142.91999999999999</v>
      </c>
      <c r="V21" s="113">
        <v>116.89</v>
      </c>
      <c r="W21" s="108">
        <v>245.31</v>
      </c>
      <c r="X21" s="108">
        <v>505.12</v>
      </c>
      <c r="Y21" s="108">
        <v>1</v>
      </c>
      <c r="Z21" s="113">
        <v>136.61000000000001</v>
      </c>
      <c r="AA21" s="113">
        <v>142.91999999999999</v>
      </c>
      <c r="AB21" s="108">
        <v>362.2</v>
      </c>
      <c r="AC21" s="108">
        <v>641.73</v>
      </c>
      <c r="AD21" s="108">
        <v>1</v>
      </c>
      <c r="AE21" s="113">
        <v>144.1</v>
      </c>
      <c r="AF21" s="113">
        <v>136.61000000000001</v>
      </c>
      <c r="AG21" s="108">
        <v>505.12</v>
      </c>
      <c r="AH21" s="108">
        <v>785.83</v>
      </c>
      <c r="AI21" s="62"/>
      <c r="AJ21" s="62"/>
      <c r="AK21" s="62"/>
      <c r="AL21" s="62"/>
      <c r="AM21" s="62"/>
      <c r="AN21" s="62"/>
      <c r="AO21" s="62"/>
      <c r="AP21" s="62"/>
      <c r="AQ21" s="62"/>
      <c r="AR21" s="82" t="str">
        <f t="shared" si="0"/>
        <v>COM</v>
      </c>
      <c r="AS21" s="82" t="str">
        <f t="shared" si="1"/>
        <v xml:space="preserve"> 98939  </v>
      </c>
      <c r="AT21" s="62">
        <f t="shared" si="2"/>
        <v>89.84944999999999</v>
      </c>
      <c r="AU21" s="62">
        <f t="shared" si="3"/>
        <v>65.261250000000004</v>
      </c>
      <c r="AV21" s="62">
        <f t="shared" si="4"/>
        <v>50.698489999999993</v>
      </c>
      <c r="BJ21" s="115" t="s">
        <v>49</v>
      </c>
      <c r="BK21" s="115" t="s">
        <v>75</v>
      </c>
      <c r="BL21" s="116">
        <v>3</v>
      </c>
      <c r="BM21" s="115" t="s">
        <v>47</v>
      </c>
      <c r="BN21" s="115" t="s">
        <v>75</v>
      </c>
      <c r="BO21" s="116">
        <v>7</v>
      </c>
      <c r="BP21" s="115" t="s">
        <v>54</v>
      </c>
      <c r="BQ21" s="115" t="s">
        <v>75</v>
      </c>
      <c r="BR21" s="116">
        <v>2</v>
      </c>
      <c r="BS21" s="115" t="s">
        <v>107</v>
      </c>
      <c r="BT21" s="116">
        <v>488.48</v>
      </c>
      <c r="BU21" s="115" t="s">
        <v>97</v>
      </c>
      <c r="BV21" s="116">
        <v>3392.2200000000003</v>
      </c>
      <c r="BW21" s="115" t="s">
        <v>100</v>
      </c>
      <c r="BX21" s="116">
        <v>262.39</v>
      </c>
      <c r="BY21" s="115" t="s">
        <v>100</v>
      </c>
      <c r="BZ21" s="116">
        <v>103.91</v>
      </c>
      <c r="CA21" s="115" t="s">
        <v>108</v>
      </c>
      <c r="CB21" s="116">
        <v>254.96999999999997</v>
      </c>
    </row>
    <row r="22" spans="1:82" ht="12" customHeight="1" x14ac:dyDescent="0.2">
      <c r="A22" s="82" t="s">
        <v>34</v>
      </c>
      <c r="B22" s="82" t="s">
        <v>242</v>
      </c>
      <c r="C22" s="51">
        <v>56</v>
      </c>
      <c r="D22" s="87">
        <v>11099.93</v>
      </c>
      <c r="E22" s="87">
        <v>1960.7</v>
      </c>
      <c r="F22" s="87">
        <v>15454.52</v>
      </c>
      <c r="G22" s="86">
        <v>28515.15</v>
      </c>
      <c r="H22" s="51">
        <v>64</v>
      </c>
      <c r="I22" s="87">
        <v>177344.82</v>
      </c>
      <c r="J22" s="87">
        <v>3721.04</v>
      </c>
      <c r="K22" s="87">
        <v>14805.36</v>
      </c>
      <c r="L22" s="86">
        <v>195871.22</v>
      </c>
      <c r="M22" s="51">
        <v>63</v>
      </c>
      <c r="N22" s="87">
        <v>27922.76</v>
      </c>
      <c r="O22" s="87">
        <v>3816.14</v>
      </c>
      <c r="P22" s="87">
        <v>13035.01</v>
      </c>
      <c r="Q22" s="86">
        <v>44773.91</v>
      </c>
      <c r="R22" s="106" t="s">
        <v>34</v>
      </c>
      <c r="S22" s="106" t="s">
        <v>248</v>
      </c>
      <c r="T22" s="108">
        <v>4</v>
      </c>
      <c r="U22" s="113">
        <v>187.6</v>
      </c>
      <c r="V22" s="113">
        <v>483.68</v>
      </c>
      <c r="W22" s="108">
        <v>3350.72</v>
      </c>
      <c r="X22" s="108">
        <v>4022</v>
      </c>
      <c r="Y22" s="108">
        <v>4</v>
      </c>
      <c r="Z22" s="113">
        <v>193.8</v>
      </c>
      <c r="AA22" s="113">
        <v>187.6</v>
      </c>
      <c r="AB22" s="108">
        <v>3440.86</v>
      </c>
      <c r="AC22" s="108">
        <v>3822.26</v>
      </c>
      <c r="AD22" s="108">
        <v>5</v>
      </c>
      <c r="AE22" s="113">
        <v>296.43</v>
      </c>
      <c r="AF22" s="113">
        <v>193.8</v>
      </c>
      <c r="AG22" s="108">
        <v>3225.46</v>
      </c>
      <c r="AH22" s="108">
        <v>3715.69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82" t="str">
        <f t="shared" si="0"/>
        <v>COM</v>
      </c>
      <c r="AS22" s="82" t="str">
        <f t="shared" si="1"/>
        <v xml:space="preserve"> 98942  </v>
      </c>
      <c r="AT22" s="62">
        <f t="shared" si="2"/>
        <v>4767.4792600000001</v>
      </c>
      <c r="AU22" s="62">
        <f t="shared" si="3"/>
        <v>7350.6916799999999</v>
      </c>
      <c r="AV22" s="62">
        <f t="shared" si="4"/>
        <v>4454.2988699999996</v>
      </c>
      <c r="BJ22" s="115" t="s">
        <v>50</v>
      </c>
      <c r="BK22" s="115" t="s">
        <v>75</v>
      </c>
      <c r="BL22" s="116">
        <v>1</v>
      </c>
      <c r="BM22" s="115" t="s">
        <v>48</v>
      </c>
      <c r="BN22" s="115" t="s">
        <v>34</v>
      </c>
      <c r="BO22" s="116">
        <v>1</v>
      </c>
      <c r="BP22" s="115" t="s">
        <v>55</v>
      </c>
      <c r="BQ22" s="115" t="s">
        <v>34</v>
      </c>
      <c r="BR22" s="116">
        <v>1</v>
      </c>
      <c r="BS22" s="115" t="s">
        <v>105</v>
      </c>
      <c r="BT22" s="116">
        <v>323.75</v>
      </c>
      <c r="BU22" s="115" t="s">
        <v>273</v>
      </c>
      <c r="BV22" s="116">
        <v>1665.44</v>
      </c>
      <c r="BW22" s="115" t="s">
        <v>120</v>
      </c>
      <c r="BX22" s="116">
        <v>438.2</v>
      </c>
      <c r="BY22" s="115" t="s">
        <v>106</v>
      </c>
      <c r="BZ22" s="116">
        <v>142.72</v>
      </c>
      <c r="CA22" s="115" t="s">
        <v>102</v>
      </c>
      <c r="CB22" s="116">
        <v>491.91</v>
      </c>
    </row>
    <row r="23" spans="1:82" ht="12" customHeight="1" x14ac:dyDescent="0.2">
      <c r="A23" s="82" t="s">
        <v>34</v>
      </c>
      <c r="B23" s="82" t="s">
        <v>243</v>
      </c>
      <c r="C23" s="51">
        <v>99</v>
      </c>
      <c r="D23" s="87">
        <v>34942.879999999997</v>
      </c>
      <c r="E23" s="87">
        <v>10216.64</v>
      </c>
      <c r="F23" s="87">
        <v>123485.32</v>
      </c>
      <c r="G23" s="86">
        <v>168644.84</v>
      </c>
      <c r="H23" s="51">
        <v>115</v>
      </c>
      <c r="I23" s="87">
        <v>45148.69</v>
      </c>
      <c r="J23" s="87">
        <v>18573.740000000002</v>
      </c>
      <c r="K23" s="87">
        <v>127183.5</v>
      </c>
      <c r="L23" s="86">
        <v>190905.93</v>
      </c>
      <c r="M23" s="51">
        <v>116</v>
      </c>
      <c r="N23" s="87">
        <v>41395.79</v>
      </c>
      <c r="O23" s="87">
        <v>20822.169999999998</v>
      </c>
      <c r="P23" s="87">
        <v>135741.57</v>
      </c>
      <c r="Q23" s="86">
        <v>197959.53</v>
      </c>
      <c r="R23" s="106" t="s">
        <v>34</v>
      </c>
      <c r="S23" s="106" t="s">
        <v>249</v>
      </c>
      <c r="T23" s="108">
        <v>1</v>
      </c>
      <c r="U23" s="113">
        <v>83.36</v>
      </c>
      <c r="V23" s="113">
        <v>103.27</v>
      </c>
      <c r="W23" s="108">
        <v>234.44</v>
      </c>
      <c r="X23" s="108">
        <v>421.07</v>
      </c>
      <c r="Y23" s="108">
        <v>1</v>
      </c>
      <c r="Z23" s="113">
        <v>52.88</v>
      </c>
      <c r="AA23" s="113">
        <v>83.36</v>
      </c>
      <c r="AB23" s="108">
        <v>337.71</v>
      </c>
      <c r="AC23" s="108">
        <v>473.95</v>
      </c>
      <c r="AD23" s="108"/>
      <c r="AE23" s="113">
        <v>0</v>
      </c>
      <c r="AF23" s="113">
        <v>0</v>
      </c>
      <c r="AG23" s="108">
        <v>0</v>
      </c>
      <c r="AH23" s="108">
        <v>0</v>
      </c>
      <c r="AI23" s="62"/>
      <c r="AJ23" s="62"/>
      <c r="AK23" s="62"/>
      <c r="AL23" s="62"/>
      <c r="AM23" s="62"/>
      <c r="AN23" s="62"/>
      <c r="AO23" s="62"/>
      <c r="AP23" s="62"/>
      <c r="AQ23" s="62"/>
      <c r="AR23" s="82" t="str">
        <f t="shared" si="0"/>
        <v>COM</v>
      </c>
      <c r="AS23" s="82" t="str">
        <f t="shared" si="1"/>
        <v xml:space="preserve"> 98944  </v>
      </c>
      <c r="AT23" s="62">
        <f t="shared" si="2"/>
        <v>36889.991880000001</v>
      </c>
      <c r="AU23" s="62">
        <f t="shared" si="3"/>
        <v>38648.55616</v>
      </c>
      <c r="AV23" s="62">
        <f t="shared" si="4"/>
        <v>41203.443080000005</v>
      </c>
      <c r="BJ23" s="115" t="s">
        <v>51</v>
      </c>
      <c r="BK23" s="115" t="s">
        <v>75</v>
      </c>
      <c r="BL23" s="116">
        <v>4</v>
      </c>
      <c r="BM23" s="115" t="s">
        <v>48</v>
      </c>
      <c r="BN23" s="115" t="s">
        <v>75</v>
      </c>
      <c r="BO23" s="116">
        <v>7</v>
      </c>
      <c r="BP23" s="115" t="s">
        <v>55</v>
      </c>
      <c r="BQ23" s="115" t="s">
        <v>75</v>
      </c>
      <c r="BR23" s="116">
        <v>11</v>
      </c>
      <c r="BS23" s="115" t="s">
        <v>119</v>
      </c>
      <c r="BT23" s="116">
        <v>3036.33</v>
      </c>
      <c r="BU23" s="115" t="s">
        <v>98</v>
      </c>
      <c r="BV23" s="116">
        <v>15808.6</v>
      </c>
      <c r="BW23" s="115" t="s">
        <v>101</v>
      </c>
      <c r="BX23" s="116">
        <v>9395.1899999999987</v>
      </c>
      <c r="BY23" s="115" t="s">
        <v>92</v>
      </c>
      <c r="BZ23" s="116">
        <v>567.41000000000008</v>
      </c>
      <c r="CA23" s="115" t="s">
        <v>109</v>
      </c>
      <c r="CB23" s="116">
        <v>1899.16</v>
      </c>
    </row>
    <row r="24" spans="1:82" ht="12" customHeight="1" x14ac:dyDescent="0.2">
      <c r="A24" s="82" t="s">
        <v>34</v>
      </c>
      <c r="B24" s="82" t="s">
        <v>244</v>
      </c>
      <c r="C24" s="51">
        <v>12</v>
      </c>
      <c r="D24" s="87">
        <v>10344.959999999999</v>
      </c>
      <c r="E24" s="87">
        <v>1058.9000000000001</v>
      </c>
      <c r="F24" s="87">
        <v>2565.77</v>
      </c>
      <c r="G24" s="86">
        <v>13969.63</v>
      </c>
      <c r="H24" s="51">
        <v>14</v>
      </c>
      <c r="I24" s="87">
        <v>5035.8</v>
      </c>
      <c r="J24" s="87">
        <v>235.96</v>
      </c>
      <c r="K24" s="87">
        <v>2397.7199999999998</v>
      </c>
      <c r="L24" s="86">
        <v>7669.48</v>
      </c>
      <c r="M24" s="51">
        <v>11</v>
      </c>
      <c r="N24" s="87">
        <v>3251.54</v>
      </c>
      <c r="O24" s="87">
        <v>1964.61</v>
      </c>
      <c r="P24" s="87">
        <v>2633.68</v>
      </c>
      <c r="Q24" s="86">
        <v>7849.83</v>
      </c>
      <c r="R24" s="106" t="s">
        <v>34</v>
      </c>
      <c r="S24" s="106" t="s">
        <v>250</v>
      </c>
      <c r="T24" s="108">
        <v>1</v>
      </c>
      <c r="U24" s="113">
        <v>12.22</v>
      </c>
      <c r="V24" s="113">
        <v>0</v>
      </c>
      <c r="W24" s="108">
        <v>0</v>
      </c>
      <c r="X24" s="108">
        <v>12.22</v>
      </c>
      <c r="Y24" s="108">
        <v>1</v>
      </c>
      <c r="Z24" s="113">
        <v>14.08</v>
      </c>
      <c r="AA24" s="113">
        <v>12.22</v>
      </c>
      <c r="AB24" s="108">
        <v>0</v>
      </c>
      <c r="AC24" s="108">
        <v>26.3</v>
      </c>
      <c r="AD24" s="108">
        <v>1</v>
      </c>
      <c r="AE24" s="113">
        <v>14.21</v>
      </c>
      <c r="AF24" s="113">
        <v>14.08</v>
      </c>
      <c r="AG24" s="108">
        <v>12.22</v>
      </c>
      <c r="AH24" s="108">
        <v>40.51</v>
      </c>
      <c r="AI24" s="62"/>
      <c r="AJ24" s="62"/>
      <c r="AK24" s="62"/>
      <c r="AL24" s="62"/>
      <c r="AM24" s="62"/>
      <c r="AN24" s="62"/>
      <c r="AO24" s="62"/>
      <c r="AP24" s="62"/>
      <c r="AQ24" s="62"/>
      <c r="AR24" s="82" t="str">
        <f t="shared" si="0"/>
        <v>COM</v>
      </c>
      <c r="AS24" s="82" t="str">
        <f t="shared" si="1"/>
        <v xml:space="preserve"> 98947  </v>
      </c>
      <c r="AT24" s="62">
        <f t="shared" si="2"/>
        <v>973.73758999999995</v>
      </c>
      <c r="AU24" s="62">
        <f t="shared" si="3"/>
        <v>788.37935999999991</v>
      </c>
      <c r="AV24" s="62">
        <f t="shared" si="4"/>
        <v>936.92858999999987</v>
      </c>
      <c r="BJ24" s="115" t="s">
        <v>52</v>
      </c>
      <c r="BK24" s="115" t="s">
        <v>75</v>
      </c>
      <c r="BL24" s="116">
        <v>26</v>
      </c>
      <c r="BM24" s="115" t="s">
        <v>49</v>
      </c>
      <c r="BN24" s="115" t="s">
        <v>75</v>
      </c>
      <c r="BO24" s="116">
        <v>1</v>
      </c>
      <c r="BP24" s="115" t="s">
        <v>56</v>
      </c>
      <c r="BQ24" s="115" t="s">
        <v>75</v>
      </c>
      <c r="BR24" s="116">
        <v>15</v>
      </c>
      <c r="BS24" s="115" t="s">
        <v>99</v>
      </c>
      <c r="BT24" s="116">
        <v>17938.25</v>
      </c>
      <c r="BU24" s="115" t="s">
        <v>107</v>
      </c>
      <c r="BV24" s="116">
        <v>57.15</v>
      </c>
      <c r="BW24" s="115" t="s">
        <v>106</v>
      </c>
      <c r="BX24" s="116">
        <v>26543.170000000002</v>
      </c>
      <c r="BY24" s="115" t="s">
        <v>108</v>
      </c>
      <c r="BZ24" s="116">
        <v>147.61000000000001</v>
      </c>
      <c r="CA24" s="115" t="s">
        <v>132</v>
      </c>
      <c r="CB24" s="116">
        <v>183.69</v>
      </c>
    </row>
    <row r="25" spans="1:82" ht="12" customHeight="1" x14ac:dyDescent="0.2">
      <c r="A25" s="82" t="s">
        <v>34</v>
      </c>
      <c r="B25" s="82" t="s">
        <v>245</v>
      </c>
      <c r="C25" s="51">
        <v>69</v>
      </c>
      <c r="D25" s="87">
        <v>18997.32</v>
      </c>
      <c r="E25" s="87">
        <v>18784.669999999998</v>
      </c>
      <c r="F25" s="87">
        <v>194697.92</v>
      </c>
      <c r="G25" s="86">
        <v>232479.91</v>
      </c>
      <c r="H25" s="51">
        <v>110</v>
      </c>
      <c r="I25" s="87">
        <v>108221.94</v>
      </c>
      <c r="J25" s="87">
        <v>12330.23</v>
      </c>
      <c r="K25" s="87">
        <v>183058.95</v>
      </c>
      <c r="L25" s="86">
        <v>303611.12</v>
      </c>
      <c r="M25" s="51">
        <v>69</v>
      </c>
      <c r="N25" s="87">
        <v>47615.8</v>
      </c>
      <c r="O25" s="87">
        <v>28899.919999999998</v>
      </c>
      <c r="P25" s="87">
        <v>169413.37</v>
      </c>
      <c r="Q25" s="86">
        <v>245929.09</v>
      </c>
      <c r="R25" s="106" t="s">
        <v>34</v>
      </c>
      <c r="S25" s="106" t="s">
        <v>251</v>
      </c>
      <c r="T25" s="108"/>
      <c r="U25" s="113">
        <v>0</v>
      </c>
      <c r="V25" s="113">
        <v>0</v>
      </c>
      <c r="W25" s="108">
        <v>0</v>
      </c>
      <c r="X25" s="108">
        <v>0</v>
      </c>
      <c r="Y25" s="108"/>
      <c r="Z25" s="113">
        <v>0</v>
      </c>
      <c r="AA25" s="113">
        <v>0</v>
      </c>
      <c r="AB25" s="108">
        <v>0</v>
      </c>
      <c r="AC25" s="108">
        <v>0</v>
      </c>
      <c r="AD25" s="108"/>
      <c r="AE25" s="113">
        <v>0</v>
      </c>
      <c r="AF25" s="113">
        <v>0</v>
      </c>
      <c r="AG25" s="108">
        <v>0</v>
      </c>
      <c r="AH25" s="108">
        <v>0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82" t="str">
        <f t="shared" si="0"/>
        <v>COM</v>
      </c>
      <c r="AS25" s="82" t="str">
        <f t="shared" si="1"/>
        <v xml:space="preserve"> 98948  </v>
      </c>
      <c r="AT25" s="62">
        <f t="shared" si="2"/>
        <v>57755.090209999995</v>
      </c>
      <c r="AU25" s="62">
        <f t="shared" si="3"/>
        <v>55412.392079999998</v>
      </c>
      <c r="AV25" s="62">
        <f t="shared" si="4"/>
        <v>51543.011689999999</v>
      </c>
      <c r="BJ25" s="115" t="s">
        <v>53</v>
      </c>
      <c r="BK25" s="115" t="s">
        <v>34</v>
      </c>
      <c r="BL25" s="116">
        <v>1</v>
      </c>
      <c r="BM25" s="115" t="s">
        <v>50</v>
      </c>
      <c r="BN25" s="115" t="s">
        <v>75</v>
      </c>
      <c r="BO25" s="116">
        <v>2</v>
      </c>
      <c r="BP25" s="115" t="s">
        <v>58</v>
      </c>
      <c r="BQ25" s="115" t="s">
        <v>75</v>
      </c>
      <c r="BR25" s="116">
        <v>8</v>
      </c>
      <c r="BS25" s="115" t="s">
        <v>222</v>
      </c>
      <c r="BT25" s="116">
        <v>218.5</v>
      </c>
      <c r="BU25" s="115" t="s">
        <v>105</v>
      </c>
      <c r="BV25" s="116">
        <v>28200.440000000002</v>
      </c>
      <c r="BW25" s="115" t="s">
        <v>92</v>
      </c>
      <c r="BX25" s="116">
        <v>13090.66</v>
      </c>
      <c r="BY25" s="115" t="s">
        <v>102</v>
      </c>
      <c r="BZ25" s="116">
        <v>61.73</v>
      </c>
      <c r="CA25" s="115" t="s">
        <v>93</v>
      </c>
      <c r="CB25" s="116">
        <v>1303.1100000000001</v>
      </c>
    </row>
    <row r="26" spans="1:82" ht="12" customHeight="1" x14ac:dyDescent="0.2">
      <c r="A26" s="82" t="s">
        <v>34</v>
      </c>
      <c r="B26" s="82" t="s">
        <v>246</v>
      </c>
      <c r="C26" s="51">
        <v>72</v>
      </c>
      <c r="D26" s="87">
        <v>80377.66</v>
      </c>
      <c r="E26" s="87">
        <v>7701.07</v>
      </c>
      <c r="F26" s="87">
        <v>36406.18</v>
      </c>
      <c r="G26" s="86">
        <v>124484.91</v>
      </c>
      <c r="H26" s="51">
        <v>81</v>
      </c>
      <c r="I26" s="87">
        <v>38031</v>
      </c>
      <c r="J26" s="87">
        <v>5700.8</v>
      </c>
      <c r="K26" s="87">
        <v>35175.14</v>
      </c>
      <c r="L26" s="86">
        <v>78906.94</v>
      </c>
      <c r="M26" s="51">
        <v>77</v>
      </c>
      <c r="N26" s="87">
        <v>41143.22</v>
      </c>
      <c r="O26" s="87">
        <v>9319.89</v>
      </c>
      <c r="P26" s="87">
        <v>33936.089999999997</v>
      </c>
      <c r="Q26" s="86">
        <v>84399.2</v>
      </c>
      <c r="R26" s="106" t="s">
        <v>34</v>
      </c>
      <c r="S26" s="106" t="s">
        <v>253</v>
      </c>
      <c r="T26" s="108">
        <v>1</v>
      </c>
      <c r="U26" s="113">
        <v>109.95</v>
      </c>
      <c r="V26" s="113">
        <v>0</v>
      </c>
      <c r="W26" s="108">
        <v>0</v>
      </c>
      <c r="X26" s="108">
        <v>109.95</v>
      </c>
      <c r="Y26" s="108">
        <v>1</v>
      </c>
      <c r="Z26" s="113">
        <v>142.06</v>
      </c>
      <c r="AA26" s="113">
        <v>0</v>
      </c>
      <c r="AB26" s="108">
        <v>0</v>
      </c>
      <c r="AC26" s="108">
        <v>142.06</v>
      </c>
      <c r="AD26" s="108">
        <v>2</v>
      </c>
      <c r="AE26" s="113">
        <v>281.20999999999998</v>
      </c>
      <c r="AF26" s="113">
        <v>0</v>
      </c>
      <c r="AG26" s="108">
        <v>0</v>
      </c>
      <c r="AH26" s="108">
        <v>281.20999999999998</v>
      </c>
      <c r="AI26" s="62"/>
      <c r="AJ26" s="62"/>
      <c r="AK26" s="62"/>
      <c r="AL26" s="62"/>
      <c r="AM26" s="62"/>
      <c r="AN26" s="62"/>
      <c r="AO26" s="62"/>
      <c r="AP26" s="62"/>
      <c r="AQ26" s="62"/>
      <c r="AR26" s="82" t="str">
        <f t="shared" si="0"/>
        <v>COM</v>
      </c>
      <c r="AS26" s="82" t="str">
        <f t="shared" si="1"/>
        <v xml:space="preserve"> 98951  </v>
      </c>
      <c r="AT26" s="62">
        <f t="shared" si="2"/>
        <v>12292.59599</v>
      </c>
      <c r="AU26" s="62">
        <f t="shared" si="3"/>
        <v>11133.261859999999</v>
      </c>
      <c r="AV26" s="62">
        <f t="shared" si="4"/>
        <v>11052.974599999998</v>
      </c>
      <c r="BJ26" s="115" t="s">
        <v>53</v>
      </c>
      <c r="BK26" s="115" t="s">
        <v>75</v>
      </c>
      <c r="BL26" s="116">
        <v>30</v>
      </c>
      <c r="BM26" s="115" t="s">
        <v>52</v>
      </c>
      <c r="BN26" s="115" t="s">
        <v>75</v>
      </c>
      <c r="BO26" s="116">
        <v>19</v>
      </c>
      <c r="BP26" s="115" t="s">
        <v>60</v>
      </c>
      <c r="BQ26" s="115" t="s">
        <v>75</v>
      </c>
      <c r="BR26" s="116">
        <v>3</v>
      </c>
      <c r="BS26" s="115" t="s">
        <v>91</v>
      </c>
      <c r="BT26" s="116">
        <v>14193.609999999999</v>
      </c>
      <c r="BU26" s="115" t="s">
        <v>99</v>
      </c>
      <c r="BV26" s="116">
        <v>11952.919999999998</v>
      </c>
      <c r="BW26" s="115" t="s">
        <v>114</v>
      </c>
      <c r="BX26" s="116">
        <v>1012.54</v>
      </c>
      <c r="BY26" s="115" t="s">
        <v>109</v>
      </c>
      <c r="BZ26" s="116">
        <v>36.69</v>
      </c>
    </row>
    <row r="27" spans="1:82" ht="12" customHeight="1" x14ac:dyDescent="0.2">
      <c r="A27" s="82" t="s">
        <v>34</v>
      </c>
      <c r="B27" s="82" t="s">
        <v>247</v>
      </c>
      <c r="C27" s="51">
        <v>11</v>
      </c>
      <c r="D27" s="87">
        <v>6879.33</v>
      </c>
      <c r="E27" s="87">
        <v>333.68</v>
      </c>
      <c r="F27" s="87">
        <v>3372.24</v>
      </c>
      <c r="G27" s="86">
        <v>10585.25</v>
      </c>
      <c r="H27" s="51">
        <v>8</v>
      </c>
      <c r="I27" s="87">
        <v>2034.42</v>
      </c>
      <c r="J27" s="87">
        <v>397.32</v>
      </c>
      <c r="K27" s="87">
        <v>3642.45</v>
      </c>
      <c r="L27" s="86">
        <v>6074.19</v>
      </c>
      <c r="M27" s="51">
        <v>7</v>
      </c>
      <c r="N27" s="87">
        <v>1624.24</v>
      </c>
      <c r="O27" s="87">
        <v>528.78</v>
      </c>
      <c r="P27" s="87">
        <v>4039.77</v>
      </c>
      <c r="Q27" s="86">
        <v>6192.79</v>
      </c>
      <c r="R27" s="106" t="s">
        <v>34</v>
      </c>
      <c r="S27" s="106" t="s">
        <v>257</v>
      </c>
      <c r="T27" s="108">
        <v>1</v>
      </c>
      <c r="U27" s="113">
        <v>20.71</v>
      </c>
      <c r="V27" s="113">
        <v>0</v>
      </c>
      <c r="W27" s="108">
        <v>0</v>
      </c>
      <c r="X27" s="108">
        <v>20.71</v>
      </c>
      <c r="Y27" s="108"/>
      <c r="Z27" s="113">
        <v>0</v>
      </c>
      <c r="AA27" s="113">
        <v>0</v>
      </c>
      <c r="AB27" s="108">
        <v>0</v>
      </c>
      <c r="AC27" s="108">
        <v>0</v>
      </c>
      <c r="AD27" s="108">
        <v>1</v>
      </c>
      <c r="AE27" s="113">
        <v>20.32</v>
      </c>
      <c r="AF27" s="113">
        <v>0</v>
      </c>
      <c r="AG27" s="108">
        <v>0</v>
      </c>
      <c r="AH27" s="108">
        <v>20.32</v>
      </c>
      <c r="AI27" s="62"/>
      <c r="AJ27" s="62"/>
      <c r="AK27" s="62"/>
      <c r="AL27" s="62"/>
      <c r="AM27" s="62"/>
      <c r="AN27" s="62"/>
      <c r="AO27" s="62"/>
      <c r="AP27" s="62"/>
      <c r="AQ27" s="62"/>
      <c r="AR27" s="82" t="str">
        <f t="shared" si="0"/>
        <v>COM</v>
      </c>
      <c r="AS27" s="82" t="str">
        <f t="shared" si="1"/>
        <v xml:space="preserve"> 98952  </v>
      </c>
      <c r="AT27" s="62">
        <f t="shared" si="2"/>
        <v>1105.6684799999998</v>
      </c>
      <c r="AU27" s="62">
        <f t="shared" si="3"/>
        <v>1110.2499299999997</v>
      </c>
      <c r="AV27" s="62">
        <f t="shared" si="4"/>
        <v>1226.7945099999999</v>
      </c>
      <c r="BJ27" s="115" t="s">
        <v>54</v>
      </c>
      <c r="BK27" s="115" t="s">
        <v>34</v>
      </c>
      <c r="BL27" s="116">
        <v>1</v>
      </c>
      <c r="BM27" s="115" t="s">
        <v>53</v>
      </c>
      <c r="BN27" s="115" t="s">
        <v>34</v>
      </c>
      <c r="BO27" s="116">
        <v>4</v>
      </c>
      <c r="BP27" s="115" t="s">
        <v>61</v>
      </c>
      <c r="BQ27" s="115" t="s">
        <v>75</v>
      </c>
      <c r="BR27" s="116">
        <v>11</v>
      </c>
      <c r="BS27" s="115" t="s">
        <v>280</v>
      </c>
      <c r="BT27" s="116">
        <v>120.68</v>
      </c>
      <c r="BU27" s="115" t="s">
        <v>222</v>
      </c>
      <c r="BV27" s="116">
        <v>427.86</v>
      </c>
      <c r="BW27" s="115" t="s">
        <v>108</v>
      </c>
      <c r="BX27" s="116">
        <v>2894.7799999999997</v>
      </c>
      <c r="BY27" s="115" t="s">
        <v>132</v>
      </c>
      <c r="BZ27" s="116">
        <v>518.19000000000005</v>
      </c>
    </row>
    <row r="28" spans="1:82" ht="12" customHeight="1" x14ac:dyDescent="0.2">
      <c r="A28" s="82" t="s">
        <v>34</v>
      </c>
      <c r="B28" s="82" t="s">
        <v>248</v>
      </c>
      <c r="C28" s="51">
        <v>45</v>
      </c>
      <c r="D28" s="87">
        <v>9522.99</v>
      </c>
      <c r="E28" s="87">
        <v>5165.18</v>
      </c>
      <c r="F28" s="87">
        <v>38479.03</v>
      </c>
      <c r="G28" s="86">
        <v>53167.199999999997</v>
      </c>
      <c r="H28" s="51">
        <v>53</v>
      </c>
      <c r="I28" s="87">
        <v>29527.62</v>
      </c>
      <c r="J28" s="87">
        <v>4496.1000000000004</v>
      </c>
      <c r="K28" s="87">
        <v>39123.4</v>
      </c>
      <c r="L28" s="86">
        <v>73147.12</v>
      </c>
      <c r="M28" s="51">
        <v>51</v>
      </c>
      <c r="N28" s="87">
        <v>10377.370000000001</v>
      </c>
      <c r="O28" s="87">
        <v>4978.76</v>
      </c>
      <c r="P28" s="87">
        <v>37694.61</v>
      </c>
      <c r="Q28" s="86">
        <v>53050.74</v>
      </c>
      <c r="R28" s="106" t="s">
        <v>75</v>
      </c>
      <c r="S28" s="106" t="s">
        <v>228</v>
      </c>
      <c r="T28" s="108">
        <v>635</v>
      </c>
      <c r="U28" s="113">
        <v>98540.26</v>
      </c>
      <c r="V28" s="113">
        <v>19862.509999999998</v>
      </c>
      <c r="W28" s="108">
        <v>199330.9</v>
      </c>
      <c r="X28" s="108">
        <v>317733.67</v>
      </c>
      <c r="Y28" s="108">
        <v>696</v>
      </c>
      <c r="Z28" s="113">
        <v>111265.69</v>
      </c>
      <c r="AA28" s="113">
        <v>75470.94</v>
      </c>
      <c r="AB28" s="108">
        <v>197958.33</v>
      </c>
      <c r="AC28" s="108">
        <v>384694.96</v>
      </c>
      <c r="AD28" s="108">
        <v>748</v>
      </c>
      <c r="AE28" s="113">
        <v>132079.94</v>
      </c>
      <c r="AF28" s="113">
        <v>78225.030000000101</v>
      </c>
      <c r="AG28" s="108">
        <v>212515.65</v>
      </c>
      <c r="AH28" s="108">
        <v>422820.62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82" t="str">
        <f t="shared" si="0"/>
        <v>COM</v>
      </c>
      <c r="AS28" s="82" t="str">
        <f t="shared" si="1"/>
        <v xml:space="preserve"> 98953  </v>
      </c>
      <c r="AT28" s="62">
        <f t="shared" si="2"/>
        <v>11598.21385</v>
      </c>
      <c r="AU28" s="62">
        <f t="shared" si="3"/>
        <v>12062.358819999999</v>
      </c>
      <c r="AV28" s="62">
        <f t="shared" si="4"/>
        <v>11373.44209</v>
      </c>
      <c r="BJ28" s="115" t="s">
        <v>54</v>
      </c>
      <c r="BK28" s="115" t="s">
        <v>75</v>
      </c>
      <c r="BL28" s="116">
        <v>4</v>
      </c>
      <c r="BM28" s="115" t="s">
        <v>53</v>
      </c>
      <c r="BN28" s="115" t="s">
        <v>75</v>
      </c>
      <c r="BO28" s="116">
        <v>16</v>
      </c>
      <c r="BP28" s="115" t="s">
        <v>62</v>
      </c>
      <c r="BQ28" s="115" t="s">
        <v>75</v>
      </c>
      <c r="BR28" s="116">
        <v>4</v>
      </c>
      <c r="BS28" s="115" t="s">
        <v>100</v>
      </c>
      <c r="BT28" s="116">
        <v>896.7</v>
      </c>
      <c r="BU28" s="115" t="s">
        <v>91</v>
      </c>
      <c r="BV28" s="116">
        <v>12556.26</v>
      </c>
      <c r="BW28" s="115" t="s">
        <v>102</v>
      </c>
      <c r="BX28" s="116">
        <v>2687.1699999999996</v>
      </c>
      <c r="BY28" s="115" t="s">
        <v>93</v>
      </c>
      <c r="BZ28" s="116">
        <v>1349.3300000000002</v>
      </c>
    </row>
    <row r="29" spans="1:82" ht="12" customHeight="1" x14ac:dyDescent="0.2">
      <c r="A29" s="82" t="s">
        <v>34</v>
      </c>
      <c r="B29" s="82" t="s">
        <v>269</v>
      </c>
      <c r="C29" s="51">
        <v>1</v>
      </c>
      <c r="D29" s="87">
        <v>18.54</v>
      </c>
      <c r="E29" s="87">
        <v>18.79</v>
      </c>
      <c r="F29" s="87">
        <v>37.08</v>
      </c>
      <c r="G29" s="86">
        <v>74.41</v>
      </c>
      <c r="H29" s="51">
        <v>1</v>
      </c>
      <c r="I29" s="87">
        <v>18.54</v>
      </c>
      <c r="J29" s="87">
        <v>18.54</v>
      </c>
      <c r="K29" s="87">
        <v>55.87</v>
      </c>
      <c r="L29" s="86">
        <v>92.95</v>
      </c>
      <c r="M29" s="51">
        <v>1</v>
      </c>
      <c r="N29" s="87">
        <v>18.54</v>
      </c>
      <c r="O29" s="87">
        <v>18.54</v>
      </c>
      <c r="P29" s="87">
        <v>74.41</v>
      </c>
      <c r="Q29" s="86">
        <v>111.49</v>
      </c>
      <c r="R29" s="106" t="s">
        <v>75</v>
      </c>
      <c r="S29" s="106" t="s">
        <v>229</v>
      </c>
      <c r="T29" s="108">
        <v>959</v>
      </c>
      <c r="U29" s="113">
        <v>130619.55</v>
      </c>
      <c r="V29" s="113">
        <v>69276.010000000097</v>
      </c>
      <c r="W29" s="108">
        <v>230718.48</v>
      </c>
      <c r="X29" s="108">
        <v>430614.04</v>
      </c>
      <c r="Y29" s="108">
        <v>1196</v>
      </c>
      <c r="Z29" s="113">
        <v>237711.52</v>
      </c>
      <c r="AA29" s="113">
        <v>101091.1</v>
      </c>
      <c r="AB29" s="108">
        <v>259936.37</v>
      </c>
      <c r="AC29" s="108">
        <v>598738.99</v>
      </c>
      <c r="AD29" s="108">
        <v>1095</v>
      </c>
      <c r="AE29" s="113">
        <v>160030.67000000001</v>
      </c>
      <c r="AF29" s="113">
        <v>150399.94</v>
      </c>
      <c r="AG29" s="108">
        <v>239367.23</v>
      </c>
      <c r="AH29" s="108">
        <v>549797.84</v>
      </c>
      <c r="AI29" s="62"/>
      <c r="AJ29" s="62"/>
      <c r="AK29" s="62"/>
      <c r="AL29" s="62"/>
      <c r="AM29" s="62"/>
      <c r="AN29" s="62"/>
      <c r="AO29" s="62"/>
      <c r="AP29" s="62"/>
      <c r="AQ29" s="62"/>
      <c r="AR29" s="82" t="str">
        <f t="shared" si="0"/>
        <v>COM</v>
      </c>
      <c r="AS29" s="82" t="str">
        <f t="shared" si="1"/>
        <v xml:space="preserve"> 99301  </v>
      </c>
      <c r="AT29" s="62">
        <f t="shared" si="2"/>
        <v>12.196529999999999</v>
      </c>
      <c r="AU29" s="62">
        <f t="shared" si="3"/>
        <v>17.611089999999997</v>
      </c>
      <c r="AV29" s="62">
        <f t="shared" si="4"/>
        <v>22.969149999999996</v>
      </c>
      <c r="BJ29" s="115" t="s">
        <v>55</v>
      </c>
      <c r="BK29" s="115" t="s">
        <v>75</v>
      </c>
      <c r="BL29" s="116">
        <v>13</v>
      </c>
      <c r="BM29" s="115" t="s">
        <v>54</v>
      </c>
      <c r="BN29" s="115" t="s">
        <v>75</v>
      </c>
      <c r="BO29" s="116">
        <v>1</v>
      </c>
      <c r="BP29" s="115" t="s">
        <v>64</v>
      </c>
      <c r="BQ29" s="115" t="s">
        <v>75</v>
      </c>
      <c r="BR29" s="116">
        <v>4</v>
      </c>
      <c r="BS29" s="115" t="s">
        <v>101</v>
      </c>
      <c r="BT29" s="116">
        <v>19918.27</v>
      </c>
      <c r="BU29" s="115" t="s">
        <v>100</v>
      </c>
      <c r="BV29" s="116">
        <v>51.03</v>
      </c>
      <c r="BW29" s="115" t="s">
        <v>109</v>
      </c>
      <c r="BX29" s="116">
        <v>1702.7199999999998</v>
      </c>
    </row>
    <row r="30" spans="1:82" ht="12" customHeight="1" x14ac:dyDescent="0.2">
      <c r="A30" s="82" t="s">
        <v>34</v>
      </c>
      <c r="B30" s="82" t="s">
        <v>249</v>
      </c>
      <c r="C30" s="51">
        <v>13</v>
      </c>
      <c r="D30" s="87">
        <v>4581.21</v>
      </c>
      <c r="E30" s="87">
        <v>2094.1</v>
      </c>
      <c r="F30" s="87">
        <v>4388.26</v>
      </c>
      <c r="G30" s="86">
        <v>11063.57</v>
      </c>
      <c r="H30" s="51">
        <v>11</v>
      </c>
      <c r="I30" s="87">
        <v>4495.18</v>
      </c>
      <c r="J30" s="87">
        <v>1897.27</v>
      </c>
      <c r="K30" s="87">
        <v>3720.11</v>
      </c>
      <c r="L30" s="86">
        <v>10112.56</v>
      </c>
      <c r="M30" s="51">
        <v>9</v>
      </c>
      <c r="N30" s="87">
        <v>3232.7</v>
      </c>
      <c r="O30" s="87">
        <v>2095.0300000000002</v>
      </c>
      <c r="P30" s="87">
        <v>2851.1</v>
      </c>
      <c r="Q30" s="86">
        <v>8178.83</v>
      </c>
      <c r="R30" s="106" t="s">
        <v>75</v>
      </c>
      <c r="S30" s="106" t="s">
        <v>230</v>
      </c>
      <c r="T30" s="108">
        <v>263</v>
      </c>
      <c r="U30" s="113">
        <v>47266.9</v>
      </c>
      <c r="V30" s="113">
        <v>10981.72</v>
      </c>
      <c r="W30" s="108">
        <v>102544.64</v>
      </c>
      <c r="X30" s="108">
        <v>160793.26</v>
      </c>
      <c r="Y30" s="108">
        <v>342</v>
      </c>
      <c r="Z30" s="113">
        <v>89347.249999999898</v>
      </c>
      <c r="AA30" s="113">
        <v>26968.95</v>
      </c>
      <c r="AB30" s="108">
        <v>105098.65</v>
      </c>
      <c r="AC30" s="108">
        <v>221414.85</v>
      </c>
      <c r="AD30" s="108">
        <v>317</v>
      </c>
      <c r="AE30" s="113">
        <v>66207.47</v>
      </c>
      <c r="AF30" s="113">
        <v>45077.46</v>
      </c>
      <c r="AG30" s="108">
        <v>106444.56</v>
      </c>
      <c r="AH30" s="108">
        <v>217729.49</v>
      </c>
      <c r="AI30" s="62"/>
      <c r="AJ30" s="62"/>
      <c r="AK30" s="62"/>
      <c r="AL30" s="62"/>
      <c r="AM30" s="62"/>
      <c r="AN30" s="62"/>
      <c r="AO30" s="62"/>
      <c r="AP30" s="62"/>
      <c r="AQ30" s="62"/>
      <c r="AR30" s="82" t="str">
        <f t="shared" si="0"/>
        <v>COM</v>
      </c>
      <c r="AS30" s="82" t="str">
        <f t="shared" si="1"/>
        <v xml:space="preserve"> 99323  </v>
      </c>
      <c r="AT30" s="62">
        <f t="shared" si="2"/>
        <v>1473.4348</v>
      </c>
      <c r="AU30" s="62">
        <f t="shared" si="3"/>
        <v>1266.56268</v>
      </c>
      <c r="AV30" s="62">
        <f t="shared" si="4"/>
        <v>1007.6779899999999</v>
      </c>
      <c r="BJ30" s="115" t="s">
        <v>56</v>
      </c>
      <c r="BK30" s="115" t="s">
        <v>75</v>
      </c>
      <c r="BL30" s="116">
        <v>12</v>
      </c>
      <c r="BM30" s="115" t="s">
        <v>55</v>
      </c>
      <c r="BN30" s="115" t="s">
        <v>75</v>
      </c>
      <c r="BO30" s="116">
        <v>21</v>
      </c>
      <c r="BP30" s="115" t="s">
        <v>65</v>
      </c>
      <c r="BQ30" s="115" t="s">
        <v>75</v>
      </c>
      <c r="BR30" s="116">
        <v>1</v>
      </c>
      <c r="BS30" s="115" t="s">
        <v>106</v>
      </c>
      <c r="BT30" s="116">
        <v>26335.65</v>
      </c>
      <c r="BU30" s="115" t="s">
        <v>101</v>
      </c>
      <c r="BV30" s="116">
        <v>14855.49</v>
      </c>
      <c r="BW30" s="115" t="s">
        <v>113</v>
      </c>
      <c r="BX30" s="116">
        <v>125.31</v>
      </c>
    </row>
    <row r="31" spans="1:82" ht="12" customHeight="1" x14ac:dyDescent="0.2">
      <c r="A31" s="82" t="s">
        <v>34</v>
      </c>
      <c r="B31" s="82" t="s">
        <v>250</v>
      </c>
      <c r="C31" s="51">
        <v>13</v>
      </c>
      <c r="D31" s="87">
        <v>1834.2</v>
      </c>
      <c r="E31" s="87">
        <v>532.92999999999995</v>
      </c>
      <c r="F31" s="87">
        <v>10.09</v>
      </c>
      <c r="G31" s="86">
        <v>2377.2199999999998</v>
      </c>
      <c r="H31" s="51">
        <v>7</v>
      </c>
      <c r="I31" s="87">
        <v>662.5</v>
      </c>
      <c r="J31" s="87">
        <v>55.72</v>
      </c>
      <c r="K31" s="87">
        <v>0.76</v>
      </c>
      <c r="L31" s="86">
        <v>718.98</v>
      </c>
      <c r="M31" s="51">
        <v>13</v>
      </c>
      <c r="N31" s="87">
        <v>1460.12</v>
      </c>
      <c r="O31" s="87">
        <v>48.6</v>
      </c>
      <c r="P31" s="87">
        <v>12.22</v>
      </c>
      <c r="Q31" s="86">
        <v>1520.94</v>
      </c>
      <c r="R31" s="106" t="s">
        <v>75</v>
      </c>
      <c r="S31" s="106" t="s">
        <v>231</v>
      </c>
      <c r="T31" s="108">
        <v>405</v>
      </c>
      <c r="U31" s="113">
        <v>66317.22</v>
      </c>
      <c r="V31" s="113">
        <v>36888.769999999997</v>
      </c>
      <c r="W31" s="108">
        <v>105620.71</v>
      </c>
      <c r="X31" s="108">
        <v>208826.7</v>
      </c>
      <c r="Y31" s="108">
        <v>458</v>
      </c>
      <c r="Z31" s="113">
        <v>92242.400000000096</v>
      </c>
      <c r="AA31" s="113">
        <v>48473.78</v>
      </c>
      <c r="AB31" s="108">
        <v>117215.69</v>
      </c>
      <c r="AC31" s="108">
        <v>257931.87</v>
      </c>
      <c r="AD31" s="108">
        <v>432</v>
      </c>
      <c r="AE31" s="113">
        <v>68878.78</v>
      </c>
      <c r="AF31" s="113">
        <v>66412.81</v>
      </c>
      <c r="AG31" s="108">
        <v>117263.22</v>
      </c>
      <c r="AH31" s="108">
        <v>252554.81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82" t="str">
        <f t="shared" si="0"/>
        <v>COM</v>
      </c>
      <c r="AS31" s="82" t="str">
        <f t="shared" si="1"/>
        <v xml:space="preserve"> 99324  </v>
      </c>
      <c r="AT31" s="62">
        <f t="shared" si="2"/>
        <v>65.837800000000001</v>
      </c>
      <c r="AU31" s="62">
        <f t="shared" si="3"/>
        <v>14.33</v>
      </c>
      <c r="AV31" s="62">
        <f t="shared" si="4"/>
        <v>29.955300000000001</v>
      </c>
      <c r="BJ31" s="115" t="s">
        <v>57</v>
      </c>
      <c r="BK31" s="115" t="s">
        <v>75</v>
      </c>
      <c r="BL31" s="116">
        <v>5</v>
      </c>
      <c r="BM31" s="115" t="s">
        <v>56</v>
      </c>
      <c r="BN31" s="115" t="s">
        <v>75</v>
      </c>
      <c r="BO31" s="116">
        <v>10</v>
      </c>
      <c r="BP31" s="115" t="s">
        <v>68</v>
      </c>
      <c r="BQ31" s="115" t="s">
        <v>75</v>
      </c>
      <c r="BR31" s="116">
        <v>3</v>
      </c>
      <c r="BS31" s="115" t="s">
        <v>110</v>
      </c>
      <c r="BT31" s="116">
        <v>9072.33</v>
      </c>
      <c r="BU31" s="115" t="s">
        <v>106</v>
      </c>
      <c r="BV31" s="116">
        <v>8353.74</v>
      </c>
      <c r="BW31" s="115" t="s">
        <v>103</v>
      </c>
      <c r="BX31" s="116">
        <v>810.21</v>
      </c>
    </row>
    <row r="32" spans="1:82" ht="12" customHeight="1" x14ac:dyDescent="0.2">
      <c r="A32" s="82" t="s">
        <v>34</v>
      </c>
      <c r="B32" s="82" t="s">
        <v>251</v>
      </c>
      <c r="C32" s="51">
        <v>26</v>
      </c>
      <c r="D32" s="87">
        <v>27010.18</v>
      </c>
      <c r="E32" s="87">
        <v>2653.73</v>
      </c>
      <c r="F32" s="87">
        <v>858.52</v>
      </c>
      <c r="G32" s="86">
        <v>30522.43</v>
      </c>
      <c r="H32" s="51">
        <v>20</v>
      </c>
      <c r="I32" s="87">
        <v>9931.1299999999992</v>
      </c>
      <c r="J32" s="87">
        <v>4301.62</v>
      </c>
      <c r="K32" s="87">
        <v>872.81</v>
      </c>
      <c r="L32" s="86">
        <v>15105.56</v>
      </c>
      <c r="M32" s="51">
        <v>21</v>
      </c>
      <c r="N32" s="87">
        <v>8530.84</v>
      </c>
      <c r="O32" s="87">
        <v>3724.21</v>
      </c>
      <c r="P32" s="87">
        <v>1728.14</v>
      </c>
      <c r="Q32" s="86">
        <v>13983.19</v>
      </c>
      <c r="R32" s="106" t="s">
        <v>75</v>
      </c>
      <c r="S32" s="106" t="s">
        <v>232</v>
      </c>
      <c r="T32" s="108">
        <v>40</v>
      </c>
      <c r="U32" s="113">
        <v>6779.96</v>
      </c>
      <c r="V32" s="113">
        <v>3460.18</v>
      </c>
      <c r="W32" s="108">
        <v>15021.91</v>
      </c>
      <c r="X32" s="108">
        <v>25262.05</v>
      </c>
      <c r="Y32" s="108">
        <v>43</v>
      </c>
      <c r="Z32" s="113">
        <v>8356.19</v>
      </c>
      <c r="AA32" s="113">
        <v>4705.4799999999996</v>
      </c>
      <c r="AB32" s="108">
        <v>15284.96</v>
      </c>
      <c r="AC32" s="108">
        <v>28346.63</v>
      </c>
      <c r="AD32" s="108">
        <v>40</v>
      </c>
      <c r="AE32" s="113">
        <v>7052.4</v>
      </c>
      <c r="AF32" s="113">
        <v>4924.6000000000004</v>
      </c>
      <c r="AG32" s="108">
        <v>12604.7</v>
      </c>
      <c r="AH32" s="108">
        <v>24581.7</v>
      </c>
      <c r="AI32" s="62"/>
      <c r="AJ32" s="62"/>
      <c r="AK32" s="62"/>
      <c r="AL32" s="62"/>
      <c r="AM32" s="62"/>
      <c r="AN32" s="62"/>
      <c r="AO32" s="62"/>
      <c r="AP32" s="62"/>
      <c r="AQ32" s="62"/>
      <c r="AR32" s="82" t="str">
        <f t="shared" si="0"/>
        <v>COM</v>
      </c>
      <c r="AS32" s="82" t="str">
        <f t="shared" si="1"/>
        <v xml:space="preserve"> 99328  </v>
      </c>
      <c r="AT32" s="62">
        <f t="shared" si="2"/>
        <v>847.46015</v>
      </c>
      <c r="AU32" s="62">
        <f t="shared" si="3"/>
        <v>682.14222999999993</v>
      </c>
      <c r="AV32" s="62">
        <f t="shared" si="4"/>
        <v>870.55113000000006</v>
      </c>
      <c r="BJ32" s="115" t="s">
        <v>58</v>
      </c>
      <c r="BK32" s="115" t="s">
        <v>75</v>
      </c>
      <c r="BL32" s="116">
        <v>11</v>
      </c>
      <c r="BM32" s="115" t="s">
        <v>58</v>
      </c>
      <c r="BN32" s="115" t="s">
        <v>34</v>
      </c>
      <c r="BO32" s="116">
        <v>1</v>
      </c>
      <c r="BP32" s="115" t="s">
        <v>69</v>
      </c>
      <c r="BQ32" s="115" t="s">
        <v>34</v>
      </c>
      <c r="BR32" s="116">
        <v>2</v>
      </c>
      <c r="BS32" s="115" t="s">
        <v>92</v>
      </c>
      <c r="BT32" s="116">
        <v>13028.52</v>
      </c>
      <c r="BU32" s="115" t="s">
        <v>285</v>
      </c>
      <c r="BV32" s="116">
        <v>65.22</v>
      </c>
      <c r="BW32" s="115" t="s">
        <v>132</v>
      </c>
      <c r="BX32" s="116">
        <v>3870.79</v>
      </c>
    </row>
    <row r="33" spans="1:82" ht="12" customHeight="1" x14ac:dyDescent="0.2">
      <c r="A33" s="82" t="s">
        <v>34</v>
      </c>
      <c r="B33" s="82" t="s">
        <v>252</v>
      </c>
      <c r="C33" s="51">
        <v>4</v>
      </c>
      <c r="D33" s="87">
        <v>163.38</v>
      </c>
      <c r="E33" s="87">
        <v>13.7</v>
      </c>
      <c r="F33" s="87">
        <v>137.13</v>
      </c>
      <c r="G33" s="86">
        <v>314.20999999999998</v>
      </c>
      <c r="H33" s="51">
        <v>2</v>
      </c>
      <c r="I33" s="87">
        <v>91.71</v>
      </c>
      <c r="J33" s="87">
        <v>37.54</v>
      </c>
      <c r="K33" s="87">
        <v>150.83000000000001</v>
      </c>
      <c r="L33" s="86">
        <v>280.08</v>
      </c>
      <c r="M33" s="51">
        <v>5</v>
      </c>
      <c r="N33" s="87">
        <v>377.91</v>
      </c>
      <c r="O33" s="87">
        <v>91.71</v>
      </c>
      <c r="P33" s="87">
        <v>188.37</v>
      </c>
      <c r="Q33" s="86">
        <v>657.99</v>
      </c>
      <c r="R33" s="106" t="s">
        <v>75</v>
      </c>
      <c r="S33" s="106" t="s">
        <v>233</v>
      </c>
      <c r="T33" s="108">
        <v>13</v>
      </c>
      <c r="U33" s="113">
        <v>3048.85</v>
      </c>
      <c r="V33" s="113">
        <v>1455.76</v>
      </c>
      <c r="W33" s="108">
        <v>5518.08</v>
      </c>
      <c r="X33" s="108">
        <v>10022.69</v>
      </c>
      <c r="Y33" s="108">
        <v>17</v>
      </c>
      <c r="Z33" s="113">
        <v>4334.74</v>
      </c>
      <c r="AA33" s="113">
        <v>1931.64</v>
      </c>
      <c r="AB33" s="108">
        <v>6254.94</v>
      </c>
      <c r="AC33" s="108">
        <v>12521.32</v>
      </c>
      <c r="AD33" s="108">
        <v>18</v>
      </c>
      <c r="AE33" s="113">
        <v>3293.26</v>
      </c>
      <c r="AF33" s="113">
        <v>2441.91</v>
      </c>
      <c r="AG33" s="108">
        <v>7271.92</v>
      </c>
      <c r="AH33" s="108">
        <v>13007.09</v>
      </c>
      <c r="AI33" s="62"/>
      <c r="AJ33" s="62"/>
      <c r="AK33" s="62"/>
      <c r="AL33" s="62"/>
      <c r="AM33" s="62"/>
      <c r="AN33" s="62"/>
      <c r="AO33" s="62"/>
      <c r="AP33" s="62"/>
      <c r="AQ33" s="62"/>
      <c r="AR33" s="82" t="str">
        <f t="shared" si="0"/>
        <v>COM</v>
      </c>
      <c r="AS33" s="82" t="str">
        <f t="shared" si="1"/>
        <v xml:space="preserve"> 99329  </v>
      </c>
      <c r="AT33" s="62">
        <f t="shared" si="2"/>
        <v>43.107749999999996</v>
      </c>
      <c r="AU33" s="62">
        <f t="shared" si="3"/>
        <v>47.422249999999998</v>
      </c>
      <c r="AV33" s="62">
        <f t="shared" si="4"/>
        <v>66.263220000000004</v>
      </c>
      <c r="BJ33" s="115" t="s">
        <v>61</v>
      </c>
      <c r="BK33" s="115" t="s">
        <v>75</v>
      </c>
      <c r="BL33" s="116">
        <v>11</v>
      </c>
      <c r="BM33" s="115" t="s">
        <v>58</v>
      </c>
      <c r="BN33" s="115" t="s">
        <v>75</v>
      </c>
      <c r="BO33" s="116">
        <v>9</v>
      </c>
      <c r="BP33" s="115" t="s">
        <v>69</v>
      </c>
      <c r="BQ33" s="115" t="s">
        <v>75</v>
      </c>
      <c r="BR33" s="116">
        <v>58</v>
      </c>
      <c r="BS33" s="115" t="s">
        <v>108</v>
      </c>
      <c r="BT33" s="116">
        <v>768.10000000000014</v>
      </c>
      <c r="BU33" s="115" t="s">
        <v>92</v>
      </c>
      <c r="BV33" s="116">
        <v>24629.200000000004</v>
      </c>
      <c r="BW33" s="115" t="s">
        <v>93</v>
      </c>
      <c r="BX33" s="116">
        <v>21683.209999999995</v>
      </c>
    </row>
    <row r="34" spans="1:82" ht="12" customHeight="1" x14ac:dyDescent="0.2">
      <c r="A34" s="82" t="s">
        <v>34</v>
      </c>
      <c r="B34" s="82" t="s">
        <v>253</v>
      </c>
      <c r="C34" s="51">
        <v>9</v>
      </c>
      <c r="D34" s="87">
        <v>3801.04</v>
      </c>
      <c r="E34" s="87">
        <v>1869.66</v>
      </c>
      <c r="F34" s="87">
        <v>5913.8</v>
      </c>
      <c r="G34" s="86">
        <v>11584.5</v>
      </c>
      <c r="H34" s="51">
        <v>11</v>
      </c>
      <c r="I34" s="87">
        <v>5244.28</v>
      </c>
      <c r="J34" s="87">
        <v>2188.66</v>
      </c>
      <c r="K34" s="87">
        <v>7423.74</v>
      </c>
      <c r="L34" s="86">
        <v>14856.68</v>
      </c>
      <c r="M34" s="51">
        <v>13</v>
      </c>
      <c r="N34" s="87">
        <v>5734.26</v>
      </c>
      <c r="O34" s="87">
        <v>2390.21</v>
      </c>
      <c r="P34" s="87">
        <v>9612.4</v>
      </c>
      <c r="Q34" s="86">
        <v>17736.87</v>
      </c>
      <c r="R34" s="106" t="s">
        <v>75</v>
      </c>
      <c r="S34" s="106" t="s">
        <v>234</v>
      </c>
      <c r="T34" s="108">
        <v>204</v>
      </c>
      <c r="U34" s="113">
        <v>27674.95</v>
      </c>
      <c r="V34" s="113">
        <v>4663.3599999999997</v>
      </c>
      <c r="W34" s="108">
        <v>82944.23</v>
      </c>
      <c r="X34" s="108">
        <v>115282.54</v>
      </c>
      <c r="Y34" s="108">
        <v>203</v>
      </c>
      <c r="Z34" s="113">
        <v>30357.55</v>
      </c>
      <c r="AA34" s="113">
        <v>17513.810000000001</v>
      </c>
      <c r="AB34" s="108">
        <v>76160.56</v>
      </c>
      <c r="AC34" s="108">
        <v>124031.92</v>
      </c>
      <c r="AD34" s="108">
        <v>220</v>
      </c>
      <c r="AE34" s="113">
        <v>33589.25</v>
      </c>
      <c r="AF34" s="113">
        <v>20101.330000000002</v>
      </c>
      <c r="AG34" s="108">
        <v>68190.539999999994</v>
      </c>
      <c r="AH34" s="108">
        <v>121881.12</v>
      </c>
      <c r="AI34" s="62"/>
      <c r="AJ34" s="62"/>
      <c r="AK34" s="62"/>
      <c r="AL34" s="62"/>
      <c r="AM34" s="62"/>
      <c r="AN34" s="62"/>
      <c r="AO34" s="62"/>
      <c r="AP34" s="62"/>
      <c r="AQ34" s="62"/>
      <c r="AR34" s="82" t="str">
        <f t="shared" si="0"/>
        <v>COM</v>
      </c>
      <c r="AS34" s="82" t="str">
        <f t="shared" si="1"/>
        <v xml:space="preserve"> 99347  </v>
      </c>
      <c r="AT34" s="62">
        <f t="shared" si="2"/>
        <v>1887.6934199999998</v>
      </c>
      <c r="AU34" s="62">
        <f t="shared" si="3"/>
        <v>2367.2549199999999</v>
      </c>
      <c r="AV34" s="62">
        <f t="shared" si="4"/>
        <v>3020.3149899999994</v>
      </c>
      <c r="BJ34" s="115" t="s">
        <v>62</v>
      </c>
      <c r="BK34" s="115" t="s">
        <v>34</v>
      </c>
      <c r="BL34" s="116">
        <v>4</v>
      </c>
      <c r="BM34" s="115" t="s">
        <v>60</v>
      </c>
      <c r="BN34" s="115" t="s">
        <v>34</v>
      </c>
      <c r="BO34" s="116">
        <v>1</v>
      </c>
      <c r="BS34" s="115" t="s">
        <v>281</v>
      </c>
      <c r="BT34" s="116">
        <v>4449.9399999999996</v>
      </c>
      <c r="BU34" s="115" t="s">
        <v>286</v>
      </c>
      <c r="BV34" s="116">
        <v>22.22</v>
      </c>
      <c r="BW34" s="98"/>
      <c r="BX34" s="99"/>
    </row>
    <row r="35" spans="1:82" ht="12" customHeight="1" x14ac:dyDescent="0.2">
      <c r="A35" s="82" t="s">
        <v>34</v>
      </c>
      <c r="B35" s="82" t="s">
        <v>254</v>
      </c>
      <c r="C35" s="51">
        <v>5</v>
      </c>
      <c r="D35" s="87">
        <v>1588.91</v>
      </c>
      <c r="E35" s="87">
        <v>127.84</v>
      </c>
      <c r="F35" s="87">
        <v>82.17</v>
      </c>
      <c r="G35" s="86">
        <v>1798.92</v>
      </c>
      <c r="H35" s="51">
        <v>2</v>
      </c>
      <c r="I35" s="87">
        <v>1248.32</v>
      </c>
      <c r="J35" s="87">
        <v>1071.6500000000001</v>
      </c>
      <c r="K35" s="87">
        <v>33.450000000000003</v>
      </c>
      <c r="L35" s="86">
        <v>2353.42</v>
      </c>
      <c r="M35" s="51">
        <v>2</v>
      </c>
      <c r="N35" s="87">
        <v>41517.35</v>
      </c>
      <c r="O35" s="87">
        <v>302.87</v>
      </c>
      <c r="P35" s="87">
        <v>170</v>
      </c>
      <c r="Q35" s="86">
        <v>41990.22</v>
      </c>
      <c r="R35" s="106" t="s">
        <v>75</v>
      </c>
      <c r="S35" s="106" t="s">
        <v>235</v>
      </c>
      <c r="T35" s="108">
        <v>154</v>
      </c>
      <c r="U35" s="113">
        <v>23624.87</v>
      </c>
      <c r="V35" s="113">
        <v>12957.8</v>
      </c>
      <c r="W35" s="108">
        <v>57887.83</v>
      </c>
      <c r="X35" s="108">
        <v>94470.5</v>
      </c>
      <c r="Y35" s="108">
        <v>152</v>
      </c>
      <c r="Z35" s="113">
        <v>31598.71</v>
      </c>
      <c r="AA35" s="113">
        <v>16170.23</v>
      </c>
      <c r="AB35" s="108">
        <v>59807.74</v>
      </c>
      <c r="AC35" s="108">
        <v>107576.68</v>
      </c>
      <c r="AD35" s="108">
        <v>149</v>
      </c>
      <c r="AE35" s="113">
        <v>21222.639999999999</v>
      </c>
      <c r="AF35" s="113">
        <v>23017.72</v>
      </c>
      <c r="AG35" s="108">
        <v>57192.18</v>
      </c>
      <c r="AH35" s="108">
        <v>101432.54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82" t="str">
        <f t="shared" si="0"/>
        <v>COM</v>
      </c>
      <c r="AS35" s="82" t="str">
        <f t="shared" si="1"/>
        <v xml:space="preserve"> 99348  </v>
      </c>
      <c r="AT35" s="62">
        <f t="shared" si="2"/>
        <v>57.223610000000001</v>
      </c>
      <c r="AU35" s="62">
        <f t="shared" si="3"/>
        <v>97.154120000000006</v>
      </c>
      <c r="AV35" s="62">
        <f t="shared" si="4"/>
        <v>732.48841000000004</v>
      </c>
      <c r="BJ35" s="115" t="s">
        <v>62</v>
      </c>
      <c r="BK35" s="115" t="s">
        <v>75</v>
      </c>
      <c r="BL35" s="116">
        <v>9</v>
      </c>
      <c r="BM35" s="115" t="s">
        <v>60</v>
      </c>
      <c r="BN35" s="115" t="s">
        <v>75</v>
      </c>
      <c r="BO35" s="116">
        <v>5</v>
      </c>
      <c r="BP35" s="83"/>
      <c r="BQ35" s="84"/>
      <c r="BR35" s="83"/>
      <c r="BS35" s="115" t="s">
        <v>102</v>
      </c>
      <c r="BT35" s="116">
        <v>6881.24</v>
      </c>
      <c r="BU35" s="115" t="s">
        <v>114</v>
      </c>
      <c r="BV35" s="116">
        <v>5123.43</v>
      </c>
      <c r="BW35" s="98"/>
      <c r="BX35" s="99"/>
    </row>
    <row r="36" spans="1:82" ht="12" customHeight="1" x14ac:dyDescent="0.2">
      <c r="A36" s="82" t="s">
        <v>34</v>
      </c>
      <c r="B36" s="82" t="s">
        <v>259</v>
      </c>
      <c r="C36" s="51"/>
      <c r="D36" s="87">
        <v>0</v>
      </c>
      <c r="E36" s="87">
        <v>0</v>
      </c>
      <c r="F36" s="87">
        <v>0</v>
      </c>
      <c r="G36" s="86">
        <v>0</v>
      </c>
      <c r="H36" s="51">
        <v>1</v>
      </c>
      <c r="I36" s="87">
        <v>182.14</v>
      </c>
      <c r="J36" s="87">
        <v>0</v>
      </c>
      <c r="K36" s="87">
        <v>0</v>
      </c>
      <c r="L36" s="86">
        <v>182.14</v>
      </c>
      <c r="M36" s="51">
        <v>1</v>
      </c>
      <c r="N36" s="87">
        <v>28.11</v>
      </c>
      <c r="O36" s="87">
        <v>182.14</v>
      </c>
      <c r="P36" s="87">
        <v>0</v>
      </c>
      <c r="Q36" s="86">
        <v>210.25</v>
      </c>
      <c r="R36" s="106" t="s">
        <v>75</v>
      </c>
      <c r="S36" s="106" t="s">
        <v>236</v>
      </c>
      <c r="T36" s="108">
        <v>20</v>
      </c>
      <c r="U36" s="113">
        <v>4540.28</v>
      </c>
      <c r="V36" s="113">
        <v>1895.24</v>
      </c>
      <c r="W36" s="108">
        <v>16840.86</v>
      </c>
      <c r="X36" s="108">
        <v>23276.38</v>
      </c>
      <c r="Y36" s="108">
        <v>23</v>
      </c>
      <c r="Z36" s="113">
        <v>5246.35</v>
      </c>
      <c r="AA36" s="113">
        <v>3738.07</v>
      </c>
      <c r="AB36" s="108">
        <v>17922.53</v>
      </c>
      <c r="AC36" s="108">
        <v>26906.95</v>
      </c>
      <c r="AD36" s="108">
        <v>18</v>
      </c>
      <c r="AE36" s="113">
        <v>4057.17</v>
      </c>
      <c r="AF36" s="113">
        <v>3645.78</v>
      </c>
      <c r="AG36" s="108">
        <v>20494.689999999999</v>
      </c>
      <c r="AH36" s="108">
        <v>28197.64</v>
      </c>
      <c r="AI36" s="62"/>
      <c r="AJ36" s="62"/>
      <c r="AK36" s="62"/>
      <c r="AL36" s="62"/>
      <c r="AM36" s="62"/>
      <c r="AN36" s="62"/>
      <c r="AO36" s="62"/>
      <c r="AP36" s="62"/>
      <c r="AQ36" s="62"/>
      <c r="AR36" s="82" t="str">
        <f t="shared" si="0"/>
        <v>COM</v>
      </c>
      <c r="AS36" s="82" t="str">
        <f t="shared" si="1"/>
        <v xml:space="preserve"> 99350  </v>
      </c>
      <c r="AT36" s="62">
        <f t="shared" si="2"/>
        <v>0</v>
      </c>
      <c r="AU36" s="62">
        <f t="shared" si="3"/>
        <v>2.9142399999999999</v>
      </c>
      <c r="AV36" s="62">
        <f t="shared" si="4"/>
        <v>11.924579999999999</v>
      </c>
      <c r="BJ36" s="115" t="s">
        <v>64</v>
      </c>
      <c r="BK36" s="115" t="s">
        <v>75</v>
      </c>
      <c r="BL36" s="116">
        <v>3</v>
      </c>
      <c r="BM36" s="115" t="s">
        <v>61</v>
      </c>
      <c r="BN36" s="115" t="s">
        <v>75</v>
      </c>
      <c r="BO36" s="116">
        <v>14</v>
      </c>
      <c r="BP36" s="83"/>
      <c r="BQ36" s="84"/>
      <c r="BR36" s="83"/>
      <c r="BS36" s="115" t="s">
        <v>109</v>
      </c>
      <c r="BT36" s="116">
        <v>2548.8300000000004</v>
      </c>
      <c r="BU36" s="115" t="s">
        <v>108</v>
      </c>
      <c r="BV36" s="116">
        <v>6758.89</v>
      </c>
      <c r="BW36" s="98"/>
      <c r="BX36" s="99"/>
    </row>
    <row r="37" spans="1:82" ht="12" customHeight="1" x14ac:dyDescent="0.2">
      <c r="A37" s="82" t="s">
        <v>34</v>
      </c>
      <c r="B37" s="82" t="s">
        <v>255</v>
      </c>
      <c r="C37" s="51">
        <v>12</v>
      </c>
      <c r="D37" s="87">
        <v>3921.24</v>
      </c>
      <c r="E37" s="87">
        <v>1233.3800000000001</v>
      </c>
      <c r="F37" s="87">
        <v>384.7</v>
      </c>
      <c r="G37" s="86">
        <v>5539.32</v>
      </c>
      <c r="H37" s="51">
        <v>12</v>
      </c>
      <c r="I37" s="87">
        <v>1594.74</v>
      </c>
      <c r="J37" s="87">
        <v>464.34</v>
      </c>
      <c r="K37" s="87">
        <v>281.83999999999997</v>
      </c>
      <c r="L37" s="86">
        <v>2340.92</v>
      </c>
      <c r="M37" s="51">
        <v>13</v>
      </c>
      <c r="N37" s="87">
        <v>2100.91</v>
      </c>
      <c r="O37" s="87">
        <v>447.53</v>
      </c>
      <c r="P37" s="87">
        <v>258.97000000000003</v>
      </c>
      <c r="Q37" s="86">
        <v>2807.41</v>
      </c>
      <c r="R37" s="106" t="s">
        <v>75</v>
      </c>
      <c r="S37" s="106" t="s">
        <v>237</v>
      </c>
      <c r="T37" s="108">
        <v>69</v>
      </c>
      <c r="U37" s="113">
        <v>12614.75</v>
      </c>
      <c r="V37" s="113">
        <v>498.66</v>
      </c>
      <c r="W37" s="108">
        <v>41627.949999999997</v>
      </c>
      <c r="X37" s="108">
        <v>54741.36</v>
      </c>
      <c r="Y37" s="108">
        <v>74</v>
      </c>
      <c r="Z37" s="113">
        <v>13045.29</v>
      </c>
      <c r="AA37" s="113">
        <v>8451.31</v>
      </c>
      <c r="AB37" s="108">
        <v>38771.17</v>
      </c>
      <c r="AC37" s="108">
        <v>60267.77</v>
      </c>
      <c r="AD37" s="108">
        <v>72</v>
      </c>
      <c r="AE37" s="113">
        <v>15738.81</v>
      </c>
      <c r="AF37" s="113">
        <v>8746.83</v>
      </c>
      <c r="AG37" s="108">
        <v>41190.129999999997</v>
      </c>
      <c r="AH37" s="108">
        <v>65675.77</v>
      </c>
      <c r="AI37" s="62"/>
      <c r="AJ37" s="62"/>
      <c r="AK37" s="62"/>
      <c r="AL37" s="62"/>
      <c r="AM37" s="62"/>
      <c r="AN37" s="62"/>
      <c r="AO37" s="62"/>
      <c r="AP37" s="62"/>
      <c r="AQ37" s="62"/>
      <c r="AR37" s="82" t="str">
        <f t="shared" si="0"/>
        <v>COM</v>
      </c>
      <c r="AS37" s="82" t="str">
        <f t="shared" si="1"/>
        <v xml:space="preserve"> 99360  </v>
      </c>
      <c r="AT37" s="62">
        <f t="shared" si="2"/>
        <v>251.62108000000001</v>
      </c>
      <c r="AU37" s="62">
        <f t="shared" si="3"/>
        <v>136.22102000000001</v>
      </c>
      <c r="AV37" s="62">
        <f t="shared" si="4"/>
        <v>136.65127999999999</v>
      </c>
      <c r="BJ37" s="115" t="s">
        <v>65</v>
      </c>
      <c r="BK37" s="115" t="s">
        <v>75</v>
      </c>
      <c r="BL37" s="116">
        <v>3</v>
      </c>
      <c r="BM37" s="115" t="s">
        <v>62</v>
      </c>
      <c r="BN37" s="115" t="s">
        <v>75</v>
      </c>
      <c r="BO37" s="116">
        <v>5</v>
      </c>
      <c r="BP37" s="83"/>
      <c r="BQ37" s="84"/>
      <c r="BR37" s="83"/>
      <c r="BS37" s="115" t="s">
        <v>113</v>
      </c>
      <c r="BT37" s="116">
        <v>2798.4800000000005</v>
      </c>
      <c r="BU37" s="115" t="s">
        <v>102</v>
      </c>
      <c r="BV37" s="116">
        <v>776.74</v>
      </c>
    </row>
    <row r="38" spans="1:82" ht="12" customHeight="1" x14ac:dyDescent="0.2">
      <c r="A38" s="82" t="s">
        <v>34</v>
      </c>
      <c r="B38" s="82" t="s">
        <v>256</v>
      </c>
      <c r="C38" s="51">
        <v>10</v>
      </c>
      <c r="D38" s="87">
        <v>1445.01</v>
      </c>
      <c r="E38" s="87">
        <v>49.71</v>
      </c>
      <c r="F38" s="87">
        <v>21.02</v>
      </c>
      <c r="G38" s="86">
        <v>1515.74</v>
      </c>
      <c r="H38" s="51">
        <v>11</v>
      </c>
      <c r="I38" s="87">
        <v>2928.52</v>
      </c>
      <c r="J38" s="87">
        <v>175.86</v>
      </c>
      <c r="K38" s="87">
        <v>62.17</v>
      </c>
      <c r="L38" s="86">
        <v>3166.55</v>
      </c>
      <c r="M38" s="51">
        <v>11</v>
      </c>
      <c r="N38" s="87">
        <v>6896.7</v>
      </c>
      <c r="O38" s="87">
        <v>776.87</v>
      </c>
      <c r="P38" s="87">
        <v>147.1</v>
      </c>
      <c r="Q38" s="86">
        <v>7820.67</v>
      </c>
      <c r="R38" s="106" t="s">
        <v>75</v>
      </c>
      <c r="S38" s="106" t="s">
        <v>238</v>
      </c>
      <c r="T38" s="108">
        <v>59</v>
      </c>
      <c r="U38" s="113">
        <v>9612.44</v>
      </c>
      <c r="V38" s="113">
        <v>117.35</v>
      </c>
      <c r="W38" s="108">
        <v>31661.34</v>
      </c>
      <c r="X38" s="108">
        <v>41391.129999999997</v>
      </c>
      <c r="Y38" s="108">
        <v>65</v>
      </c>
      <c r="Z38" s="113">
        <v>11175.75</v>
      </c>
      <c r="AA38" s="113">
        <v>7920.67</v>
      </c>
      <c r="AB38" s="108">
        <v>29473.08</v>
      </c>
      <c r="AC38" s="108">
        <v>48569.5</v>
      </c>
      <c r="AD38" s="108">
        <v>67</v>
      </c>
      <c r="AE38" s="113">
        <v>12929.04</v>
      </c>
      <c r="AF38" s="113">
        <v>8438.0400000000009</v>
      </c>
      <c r="AG38" s="108">
        <v>32042.240000000002</v>
      </c>
      <c r="AH38" s="108">
        <v>53409.32</v>
      </c>
      <c r="AI38" s="62"/>
      <c r="AJ38" s="62"/>
      <c r="AK38" s="62"/>
      <c r="AL38" s="62"/>
      <c r="AM38" s="62"/>
      <c r="AN38" s="62"/>
      <c r="AO38" s="62"/>
      <c r="AP38" s="62"/>
      <c r="AQ38" s="62"/>
      <c r="AR38" s="82" t="str">
        <f t="shared" si="0"/>
        <v>COM</v>
      </c>
      <c r="AS38" s="82" t="str">
        <f t="shared" si="1"/>
        <v xml:space="preserve"> 99361  </v>
      </c>
      <c r="AT38" s="62">
        <f t="shared" si="2"/>
        <v>32.32667</v>
      </c>
      <c r="AU38" s="62">
        <f t="shared" si="3"/>
        <v>75.902630000000002</v>
      </c>
      <c r="AV38" s="62">
        <f t="shared" si="4"/>
        <v>201.80190999999999</v>
      </c>
      <c r="BJ38" s="115" t="s">
        <v>67</v>
      </c>
      <c r="BK38" s="115" t="s">
        <v>75</v>
      </c>
      <c r="BL38" s="116">
        <v>1</v>
      </c>
      <c r="BM38" s="115" t="s">
        <v>64</v>
      </c>
      <c r="BN38" s="115" t="s">
        <v>75</v>
      </c>
      <c r="BO38" s="116">
        <v>4</v>
      </c>
      <c r="BP38" s="84"/>
      <c r="BQ38" s="84"/>
      <c r="BR38" s="83"/>
      <c r="BS38" s="115" t="s">
        <v>123</v>
      </c>
      <c r="BT38" s="116">
        <v>36.44</v>
      </c>
      <c r="BU38" s="115" t="s">
        <v>109</v>
      </c>
      <c r="BV38" s="116">
        <v>6811.85</v>
      </c>
      <c r="BW38" s="62"/>
      <c r="BX38" s="62"/>
    </row>
    <row r="39" spans="1:82" ht="12" customHeight="1" x14ac:dyDescent="0.2">
      <c r="A39" s="82" t="s">
        <v>34</v>
      </c>
      <c r="B39" s="82" t="s">
        <v>257</v>
      </c>
      <c r="C39" s="51">
        <v>104</v>
      </c>
      <c r="D39" s="87">
        <v>85888.27</v>
      </c>
      <c r="E39" s="87">
        <v>38154.53</v>
      </c>
      <c r="F39" s="87">
        <v>47954.71</v>
      </c>
      <c r="G39" s="86">
        <v>171997.51</v>
      </c>
      <c r="H39" s="51">
        <v>106</v>
      </c>
      <c r="I39" s="87">
        <v>110597.98</v>
      </c>
      <c r="J39" s="87">
        <v>7251.26</v>
      </c>
      <c r="K39" s="87">
        <v>29131.98</v>
      </c>
      <c r="L39" s="86">
        <v>146981.22</v>
      </c>
      <c r="M39" s="51">
        <v>115</v>
      </c>
      <c r="N39" s="87">
        <v>112783.27</v>
      </c>
      <c r="O39" s="87">
        <v>5911.78</v>
      </c>
      <c r="P39" s="87">
        <v>25680.639999999999</v>
      </c>
      <c r="Q39" s="86">
        <v>144375.69</v>
      </c>
      <c r="R39" s="106" t="s">
        <v>75</v>
      </c>
      <c r="S39" s="106" t="s">
        <v>239</v>
      </c>
      <c r="T39" s="108">
        <v>27</v>
      </c>
      <c r="U39" s="113">
        <v>5184.8999999999996</v>
      </c>
      <c r="V39" s="113">
        <v>2214.5700000000002</v>
      </c>
      <c r="W39" s="108">
        <v>7348.08</v>
      </c>
      <c r="X39" s="108">
        <v>14747.55</v>
      </c>
      <c r="Y39" s="108">
        <v>26</v>
      </c>
      <c r="Z39" s="113">
        <v>6823.63</v>
      </c>
      <c r="AA39" s="113">
        <v>2831.01</v>
      </c>
      <c r="AB39" s="108">
        <v>7756.75</v>
      </c>
      <c r="AC39" s="108">
        <v>17411.39</v>
      </c>
      <c r="AD39" s="108">
        <v>31</v>
      </c>
      <c r="AE39" s="113">
        <v>6460.7</v>
      </c>
      <c r="AF39" s="113">
        <v>4736.38</v>
      </c>
      <c r="AG39" s="108">
        <v>8186.42</v>
      </c>
      <c r="AH39" s="108">
        <v>19383.5</v>
      </c>
      <c r="AI39" s="62"/>
      <c r="AJ39" s="62"/>
      <c r="AK39" s="62"/>
      <c r="AL39" s="62"/>
      <c r="AM39" s="62"/>
      <c r="AN39" s="62"/>
      <c r="AO39" s="62"/>
      <c r="AP39" s="62"/>
      <c r="AQ39" s="62"/>
      <c r="AR39" s="82" t="str">
        <f t="shared" si="0"/>
        <v>COM</v>
      </c>
      <c r="AS39" s="82" t="str">
        <f t="shared" si="1"/>
        <v xml:space="preserve"> 99362  </v>
      </c>
      <c r="AT39" s="62">
        <f t="shared" si="2"/>
        <v>17636.858899999999</v>
      </c>
      <c r="AU39" s="62">
        <f t="shared" si="3"/>
        <v>10645.539279999999</v>
      </c>
      <c r="AV39" s="62">
        <f t="shared" si="4"/>
        <v>9598.6794199999986</v>
      </c>
      <c r="BJ39" s="115" t="s">
        <v>68</v>
      </c>
      <c r="BK39" s="115" t="s">
        <v>75</v>
      </c>
      <c r="BL39" s="116">
        <v>3</v>
      </c>
      <c r="BM39" s="115" t="s">
        <v>69</v>
      </c>
      <c r="BN39" s="115" t="s">
        <v>34</v>
      </c>
      <c r="BO39" s="116">
        <v>2</v>
      </c>
      <c r="BP39" s="84"/>
      <c r="BQ39" s="84"/>
      <c r="BR39" s="83"/>
      <c r="BS39" s="115" t="s">
        <v>103</v>
      </c>
      <c r="BT39" s="116">
        <v>1122.17</v>
      </c>
      <c r="BU39" s="115" t="s">
        <v>132</v>
      </c>
      <c r="BV39" s="116">
        <v>193.89</v>
      </c>
    </row>
    <row r="40" spans="1:82" ht="12" customHeight="1" x14ac:dyDescent="0.2">
      <c r="A40" s="82" t="s">
        <v>34</v>
      </c>
      <c r="B40" s="82" t="s">
        <v>258</v>
      </c>
      <c r="C40" s="51">
        <v>6</v>
      </c>
      <c r="D40" s="87">
        <v>2538.04</v>
      </c>
      <c r="E40" s="87">
        <v>121.51</v>
      </c>
      <c r="F40" s="87">
        <v>721.35</v>
      </c>
      <c r="G40" s="86">
        <v>3380.9</v>
      </c>
      <c r="H40" s="51">
        <v>5</v>
      </c>
      <c r="I40" s="87">
        <v>4153.24</v>
      </c>
      <c r="J40" s="87">
        <v>148.97999999999999</v>
      </c>
      <c r="K40" s="87">
        <v>49.75</v>
      </c>
      <c r="L40" s="86">
        <v>4351.97</v>
      </c>
      <c r="M40" s="51">
        <v>5</v>
      </c>
      <c r="N40" s="87">
        <v>2368.13</v>
      </c>
      <c r="O40" s="87">
        <v>333.98</v>
      </c>
      <c r="P40" s="87">
        <v>124.02</v>
      </c>
      <c r="Q40" s="86">
        <v>2826.13</v>
      </c>
      <c r="R40" s="106" t="s">
        <v>75</v>
      </c>
      <c r="S40" s="106" t="s">
        <v>240</v>
      </c>
      <c r="T40" s="108">
        <v>35</v>
      </c>
      <c r="U40" s="113">
        <v>8442.24</v>
      </c>
      <c r="V40" s="113">
        <v>3948.11</v>
      </c>
      <c r="W40" s="108">
        <v>17936.87</v>
      </c>
      <c r="X40" s="108">
        <v>30327.22</v>
      </c>
      <c r="Y40" s="108">
        <v>39</v>
      </c>
      <c r="Z40" s="113">
        <v>12929.4</v>
      </c>
      <c r="AA40" s="113">
        <v>6400.36</v>
      </c>
      <c r="AB40" s="108">
        <v>19605.57</v>
      </c>
      <c r="AC40" s="108">
        <v>38935.33</v>
      </c>
      <c r="AD40" s="108">
        <v>37</v>
      </c>
      <c r="AE40" s="113">
        <v>8322.93</v>
      </c>
      <c r="AF40" s="113">
        <v>8894.56</v>
      </c>
      <c r="AG40" s="108">
        <v>20257.97</v>
      </c>
      <c r="AH40" s="108">
        <v>37475.46</v>
      </c>
      <c r="AI40" s="62"/>
      <c r="AJ40" s="62"/>
      <c r="AK40" s="62"/>
      <c r="AL40" s="62"/>
      <c r="AM40" s="62"/>
      <c r="AN40" s="62"/>
      <c r="AO40" s="62"/>
      <c r="AP40" s="62"/>
      <c r="AQ40" s="62"/>
      <c r="AR40" s="82" t="str">
        <f t="shared" si="0"/>
        <v>COM</v>
      </c>
      <c r="AS40" s="82" t="str">
        <f t="shared" si="1"/>
        <v xml:space="preserve"> 99363  </v>
      </c>
      <c r="AT40" s="62">
        <f t="shared" si="2"/>
        <v>256.73392000000001</v>
      </c>
      <c r="AU40" s="62">
        <f t="shared" si="3"/>
        <v>90.215329999999994</v>
      </c>
      <c r="AV40" s="62">
        <f t="shared" si="4"/>
        <v>94.772599999999997</v>
      </c>
      <c r="BJ40" s="115" t="s">
        <v>69</v>
      </c>
      <c r="BK40" s="115" t="s">
        <v>34</v>
      </c>
      <c r="BL40" s="116">
        <v>3</v>
      </c>
      <c r="BM40" s="115" t="s">
        <v>69</v>
      </c>
      <c r="BN40" s="115" t="s">
        <v>75</v>
      </c>
      <c r="BO40" s="116">
        <v>58</v>
      </c>
      <c r="BS40" s="115" t="s">
        <v>132</v>
      </c>
      <c r="BT40" s="116">
        <v>1172.23</v>
      </c>
      <c r="BU40" s="115" t="s">
        <v>93</v>
      </c>
      <c r="BV40" s="116">
        <v>17970.200000000008</v>
      </c>
    </row>
    <row r="41" spans="1:82" ht="12" customHeight="1" x14ac:dyDescent="0.2">
      <c r="A41" s="82" t="s">
        <v>34</v>
      </c>
      <c r="B41" s="82" t="s">
        <v>272</v>
      </c>
      <c r="C41" s="51">
        <v>1</v>
      </c>
      <c r="D41" s="87">
        <v>5943.14</v>
      </c>
      <c r="E41" s="87">
        <v>0</v>
      </c>
      <c r="F41" s="87">
        <v>0</v>
      </c>
      <c r="G41" s="86">
        <v>5943.14</v>
      </c>
      <c r="H41" s="51"/>
      <c r="I41" s="87">
        <v>0</v>
      </c>
      <c r="J41" s="87">
        <v>0</v>
      </c>
      <c r="K41" s="87">
        <v>0</v>
      </c>
      <c r="L41" s="86">
        <v>0</v>
      </c>
      <c r="M41" s="51">
        <v>2</v>
      </c>
      <c r="N41" s="87">
        <v>6543.26</v>
      </c>
      <c r="O41" s="87">
        <v>0</v>
      </c>
      <c r="P41" s="87">
        <v>0</v>
      </c>
      <c r="Q41" s="86">
        <v>6543.26</v>
      </c>
      <c r="R41" s="106" t="s">
        <v>75</v>
      </c>
      <c r="S41" s="106" t="s">
        <v>241</v>
      </c>
      <c r="T41" s="108">
        <v>10</v>
      </c>
      <c r="U41" s="113">
        <v>1952.3</v>
      </c>
      <c r="V41" s="113">
        <v>889.61</v>
      </c>
      <c r="W41" s="108">
        <v>7638.86</v>
      </c>
      <c r="X41" s="108">
        <v>10480.77</v>
      </c>
      <c r="Y41" s="108">
        <v>10</v>
      </c>
      <c r="Z41" s="113">
        <v>2103.7399999999998</v>
      </c>
      <c r="AA41" s="113">
        <v>1400.91</v>
      </c>
      <c r="AB41" s="108">
        <v>7592.97</v>
      </c>
      <c r="AC41" s="108">
        <v>11097.62</v>
      </c>
      <c r="AD41" s="108">
        <v>13</v>
      </c>
      <c r="AE41" s="113">
        <v>2517.92</v>
      </c>
      <c r="AF41" s="113">
        <v>1766.08</v>
      </c>
      <c r="AG41" s="108">
        <v>8942.75</v>
      </c>
      <c r="AH41" s="108">
        <v>13226.75</v>
      </c>
      <c r="AI41" s="62"/>
      <c r="AJ41" s="62"/>
      <c r="AK41" s="62"/>
      <c r="AL41" s="62"/>
      <c r="AM41" s="62"/>
      <c r="AN41" s="62"/>
      <c r="AO41" s="62"/>
      <c r="AP41" s="62"/>
      <c r="AQ41" s="62"/>
      <c r="AR41" s="82" t="str">
        <f t="shared" si="0"/>
        <v>COM</v>
      </c>
      <c r="AS41" s="82" t="str">
        <f t="shared" si="1"/>
        <v xml:space="preserve">  WA    </v>
      </c>
      <c r="AT41" s="62">
        <f t="shared" si="2"/>
        <v>95.090240000000009</v>
      </c>
      <c r="AU41" s="62">
        <f t="shared" si="3"/>
        <v>0</v>
      </c>
      <c r="AV41" s="62">
        <f t="shared" si="4"/>
        <v>104.69216</v>
      </c>
      <c r="BJ41" s="115" t="s">
        <v>69</v>
      </c>
      <c r="BK41" s="115" t="s">
        <v>75</v>
      </c>
      <c r="BL41" s="116">
        <v>72</v>
      </c>
      <c r="BS41" s="115" t="s">
        <v>93</v>
      </c>
      <c r="BT41" s="116">
        <v>24361.620000000006</v>
      </c>
    </row>
    <row r="42" spans="1:82" ht="12" customHeight="1" x14ac:dyDescent="0.2">
      <c r="A42" s="82" t="s">
        <v>75</v>
      </c>
      <c r="B42" s="82" t="s">
        <v>270</v>
      </c>
      <c r="C42" s="51"/>
      <c r="D42" s="87">
        <v>0</v>
      </c>
      <c r="E42" s="87">
        <v>0</v>
      </c>
      <c r="F42" s="87">
        <v>0</v>
      </c>
      <c r="G42" s="86">
        <v>0</v>
      </c>
      <c r="H42" s="51"/>
      <c r="I42" s="87">
        <v>0</v>
      </c>
      <c r="J42" s="87">
        <v>0</v>
      </c>
      <c r="K42" s="87">
        <v>0</v>
      </c>
      <c r="L42" s="86">
        <v>0</v>
      </c>
      <c r="M42" s="51">
        <v>3</v>
      </c>
      <c r="N42" s="87">
        <v>362.02</v>
      </c>
      <c r="O42" s="87">
        <v>0</v>
      </c>
      <c r="P42" s="87">
        <v>0</v>
      </c>
      <c r="Q42" s="86">
        <v>362.02</v>
      </c>
      <c r="R42" s="106" t="s">
        <v>75</v>
      </c>
      <c r="S42" s="106" t="s">
        <v>242</v>
      </c>
      <c r="T42" s="108">
        <v>141</v>
      </c>
      <c r="U42" s="113">
        <v>27954.79</v>
      </c>
      <c r="V42" s="113">
        <v>12664.66</v>
      </c>
      <c r="W42" s="108">
        <v>49342.58</v>
      </c>
      <c r="X42" s="108">
        <v>89962.03</v>
      </c>
      <c r="Y42" s="108">
        <v>148</v>
      </c>
      <c r="Z42" s="113">
        <v>27276.57</v>
      </c>
      <c r="AA42" s="113">
        <v>21180.22</v>
      </c>
      <c r="AB42" s="108">
        <v>55380.12</v>
      </c>
      <c r="AC42" s="108">
        <v>103836.91</v>
      </c>
      <c r="AD42" s="108">
        <v>161</v>
      </c>
      <c r="AE42" s="113">
        <v>33592.370000000003</v>
      </c>
      <c r="AF42" s="113">
        <v>20994.1</v>
      </c>
      <c r="AG42" s="108">
        <v>59227.839999999997</v>
      </c>
      <c r="AH42" s="108">
        <v>113814.31</v>
      </c>
      <c r="AI42" s="62"/>
      <c r="AJ42" s="62"/>
      <c r="AK42" s="62"/>
      <c r="AL42" s="62"/>
      <c r="AM42" s="62"/>
      <c r="AN42" s="62"/>
      <c r="AO42" s="62"/>
      <c r="AP42" s="62"/>
      <c r="AQ42" s="62"/>
      <c r="AR42" s="82" t="str">
        <f t="shared" si="0"/>
        <v>RES</v>
      </c>
      <c r="AS42" s="82" t="str">
        <f t="shared" si="1"/>
        <v xml:space="preserve"> 98603  </v>
      </c>
      <c r="AT42" s="62">
        <f t="shared" si="2"/>
        <v>0</v>
      </c>
      <c r="AU42" s="62">
        <f t="shared" si="3"/>
        <v>0</v>
      </c>
      <c r="AV42" s="62">
        <f t="shared" si="4"/>
        <v>5.7923200000000001</v>
      </c>
      <c r="BJ42" s="178" t="s">
        <v>287</v>
      </c>
      <c r="BK42" s="178"/>
      <c r="BL42" s="178">
        <f>SUMIF($BK$5:$BK$41,$BK$6,$BL$5:BL41)</f>
        <v>560</v>
      </c>
      <c r="BM42" s="178"/>
      <c r="BN42" s="178"/>
      <c r="BO42" s="178">
        <f>SUMIF(BN5:BN40,BN6,BO5:BO40)</f>
        <v>393</v>
      </c>
      <c r="BP42" s="178"/>
      <c r="BQ42" s="178"/>
      <c r="BR42" s="178">
        <f>SUMIF(BQ5:BQ33,BQ5,BR5:BR33)</f>
        <v>421</v>
      </c>
      <c r="BS42" s="186"/>
      <c r="BT42" s="187">
        <f>SUM(BT6,BT8,BT10,BT12:BT19,BT21:BT24,BT26,BT28:BT33,BT35:BT39,BT41)</f>
        <v>432633.49000000005</v>
      </c>
      <c r="BU42" s="178"/>
      <c r="BV42" s="179">
        <f>SUM(BV6,BV8,BV10:BV12,BV14,BV16:BV17,BV19,BV21,BV23:BV26,BV28:BV31,BV33,BV35:BV38,BV40)</f>
        <v>378420.80000000005</v>
      </c>
      <c r="BW42" s="179"/>
      <c r="BX42" s="179">
        <f>SUM(BX5,BX7:BX18,BX20:BX21,BX23:BX31,BX33)</f>
        <v>351684.54</v>
      </c>
      <c r="BY42" s="179"/>
      <c r="BZ42" s="179">
        <f>SUM(BZ6,BZ8,BZ10,BZ12:BZ15,BZ17:BZ18,BZ20:BZ25,BZ26,BZ28)</f>
        <v>8677.8999999999978</v>
      </c>
      <c r="CA42" s="179"/>
      <c r="CB42" s="179">
        <f>SUM(CB5,CB7:CB10,CB14:CB23,CB25)</f>
        <v>12020.469999999998</v>
      </c>
      <c r="CC42" s="179"/>
      <c r="CD42" s="179">
        <f>SUM(CD5,CD7:CD16)</f>
        <v>5440.57</v>
      </c>
    </row>
    <row r="43" spans="1:82" ht="12" customHeight="1" x14ac:dyDescent="0.2">
      <c r="A43" s="82" t="s">
        <v>75</v>
      </c>
      <c r="B43" s="82" t="s">
        <v>228</v>
      </c>
      <c r="C43" s="51">
        <v>2229</v>
      </c>
      <c r="D43" s="87">
        <v>322496</v>
      </c>
      <c r="E43" s="87">
        <v>65364.83</v>
      </c>
      <c r="F43" s="87">
        <v>781167.03000000096</v>
      </c>
      <c r="G43" s="86">
        <v>1169027.8600000001</v>
      </c>
      <c r="H43" s="51">
        <v>2389</v>
      </c>
      <c r="I43" s="87">
        <v>361710.37999999902</v>
      </c>
      <c r="J43" s="87">
        <v>189903.23</v>
      </c>
      <c r="K43" s="87">
        <v>739544.32</v>
      </c>
      <c r="L43" s="86">
        <v>1291157.93</v>
      </c>
      <c r="M43" s="51">
        <v>2759</v>
      </c>
      <c r="N43" s="87">
        <v>492624.51</v>
      </c>
      <c r="O43" s="87">
        <v>213567.15</v>
      </c>
      <c r="P43" s="87">
        <v>780863.58</v>
      </c>
      <c r="Q43" s="86">
        <v>1487055.24</v>
      </c>
      <c r="R43" s="106" t="s">
        <v>75</v>
      </c>
      <c r="S43" s="106" t="s">
        <v>243</v>
      </c>
      <c r="T43" s="108">
        <v>477</v>
      </c>
      <c r="U43" s="113">
        <v>71358.710000000006</v>
      </c>
      <c r="V43" s="113">
        <v>33753.18</v>
      </c>
      <c r="W43" s="108">
        <v>191938.15</v>
      </c>
      <c r="X43" s="108">
        <v>297050.03999999998</v>
      </c>
      <c r="Y43" s="108">
        <v>504</v>
      </c>
      <c r="Z43" s="113">
        <v>89521.65</v>
      </c>
      <c r="AA43" s="113">
        <v>52295.33</v>
      </c>
      <c r="AB43" s="108">
        <v>189001.73</v>
      </c>
      <c r="AC43" s="108">
        <v>330818.71000000002</v>
      </c>
      <c r="AD43" s="108">
        <v>502</v>
      </c>
      <c r="AE43" s="113">
        <v>74703.149999999994</v>
      </c>
      <c r="AF43" s="113">
        <v>60652.38</v>
      </c>
      <c r="AG43" s="108">
        <v>193940.63</v>
      </c>
      <c r="AH43" s="108">
        <v>329296.15999999997</v>
      </c>
      <c r="AI43" s="62"/>
      <c r="AJ43" s="62"/>
      <c r="AK43" s="62"/>
      <c r="AL43" s="62"/>
      <c r="AM43" s="62"/>
      <c r="AN43" s="62"/>
      <c r="AO43" s="62"/>
      <c r="AP43" s="62"/>
      <c r="AQ43" s="62"/>
      <c r="AR43" s="82" t="str">
        <f t="shared" si="0"/>
        <v>RES</v>
      </c>
      <c r="AS43" s="82" t="str">
        <f t="shared" si="1"/>
        <v xml:space="preserve"> 98901  </v>
      </c>
      <c r="AT43" s="62">
        <f t="shared" si="2"/>
        <v>235035.19196000026</v>
      </c>
      <c r="AU43" s="62">
        <f t="shared" si="3"/>
        <v>231479.57804999995</v>
      </c>
      <c r="AV43" s="62">
        <f t="shared" si="4"/>
        <v>247006.29722999997</v>
      </c>
    </row>
    <row r="44" spans="1:82" ht="12" customHeight="1" x14ac:dyDescent="0.2">
      <c r="A44" s="82" t="s">
        <v>75</v>
      </c>
      <c r="B44" s="82" t="s">
        <v>229</v>
      </c>
      <c r="C44" s="51">
        <v>4091</v>
      </c>
      <c r="D44" s="87">
        <v>504695.33</v>
      </c>
      <c r="E44" s="87">
        <v>217180.35</v>
      </c>
      <c r="F44" s="87">
        <v>820832.9</v>
      </c>
      <c r="G44" s="86">
        <v>1542708.58</v>
      </c>
      <c r="H44" s="51">
        <v>5422</v>
      </c>
      <c r="I44" s="87">
        <v>993535.37999999896</v>
      </c>
      <c r="J44" s="87">
        <v>296078.34999999998</v>
      </c>
      <c r="K44" s="87">
        <v>868468.5</v>
      </c>
      <c r="L44" s="86">
        <v>2158082.23</v>
      </c>
      <c r="M44" s="51">
        <v>5030</v>
      </c>
      <c r="N44" s="87">
        <v>702390.79000000097</v>
      </c>
      <c r="O44" s="87">
        <v>481305.55</v>
      </c>
      <c r="P44" s="87">
        <v>785007.34</v>
      </c>
      <c r="Q44" s="86">
        <v>1968703.68</v>
      </c>
      <c r="R44" s="106" t="s">
        <v>75</v>
      </c>
      <c r="S44" s="106" t="s">
        <v>244</v>
      </c>
      <c r="T44" s="108">
        <v>68</v>
      </c>
      <c r="U44" s="113">
        <v>13287.66</v>
      </c>
      <c r="V44" s="113">
        <v>7048.26</v>
      </c>
      <c r="W44" s="108">
        <v>25844.94</v>
      </c>
      <c r="X44" s="108">
        <v>46180.86</v>
      </c>
      <c r="Y44" s="108">
        <v>76</v>
      </c>
      <c r="Z44" s="113">
        <v>18317.45</v>
      </c>
      <c r="AA44" s="113">
        <v>9908.71000000001</v>
      </c>
      <c r="AB44" s="108">
        <v>28992.32</v>
      </c>
      <c r="AC44" s="108">
        <v>57218.48</v>
      </c>
      <c r="AD44" s="108">
        <v>71</v>
      </c>
      <c r="AE44" s="113">
        <v>13759.99</v>
      </c>
      <c r="AF44" s="113">
        <v>12580.53</v>
      </c>
      <c r="AG44" s="108">
        <v>25633.35</v>
      </c>
      <c r="AH44" s="108">
        <v>51973.87</v>
      </c>
      <c r="AI44" s="62"/>
      <c r="AJ44" s="62"/>
      <c r="AK44" s="62"/>
      <c r="AL44" s="62"/>
      <c r="AM44" s="62"/>
      <c r="AN44" s="62"/>
      <c r="AO44" s="62"/>
      <c r="AP44" s="62"/>
      <c r="AQ44" s="62"/>
      <c r="AR44" s="82" t="str">
        <f t="shared" si="0"/>
        <v>RES</v>
      </c>
      <c r="AS44" s="82" t="str">
        <f t="shared" si="1"/>
        <v xml:space="preserve"> 98902  </v>
      </c>
      <c r="AT44" s="62">
        <f t="shared" si="2"/>
        <v>258978.19542999999</v>
      </c>
      <c r="AU44" s="62">
        <f t="shared" si="3"/>
        <v>285536.89862999995</v>
      </c>
      <c r="AV44" s="62">
        <f t="shared" si="4"/>
        <v>268427.62355000002</v>
      </c>
    </row>
    <row r="45" spans="1:82" ht="12" customHeight="1" x14ac:dyDescent="0.2">
      <c r="A45" s="82" t="s">
        <v>75</v>
      </c>
      <c r="B45" s="82" t="s">
        <v>230</v>
      </c>
      <c r="C45" s="51">
        <v>1544</v>
      </c>
      <c r="D45" s="87">
        <v>276014.51</v>
      </c>
      <c r="E45" s="87">
        <v>73931.090000000098</v>
      </c>
      <c r="F45" s="87">
        <v>580424.31999999995</v>
      </c>
      <c r="G45" s="86">
        <v>930369.92000000097</v>
      </c>
      <c r="H45" s="51">
        <v>2034</v>
      </c>
      <c r="I45" s="87">
        <v>513641.13</v>
      </c>
      <c r="J45" s="87">
        <v>116324.34</v>
      </c>
      <c r="K45" s="87">
        <v>582025.21</v>
      </c>
      <c r="L45" s="86">
        <v>1211990.68</v>
      </c>
      <c r="M45" s="51">
        <v>1893</v>
      </c>
      <c r="N45" s="87">
        <v>361509.16</v>
      </c>
      <c r="O45" s="87">
        <v>206355.53</v>
      </c>
      <c r="P45" s="87">
        <v>586511.82999999996</v>
      </c>
      <c r="Q45" s="86">
        <v>1154376.52</v>
      </c>
      <c r="R45" s="106" t="s">
        <v>75</v>
      </c>
      <c r="S45" s="106" t="s">
        <v>245</v>
      </c>
      <c r="T45" s="108">
        <v>341</v>
      </c>
      <c r="U45" s="113">
        <v>43723.66</v>
      </c>
      <c r="V45" s="113">
        <v>30632.27</v>
      </c>
      <c r="W45" s="108">
        <v>202115.89</v>
      </c>
      <c r="X45" s="108">
        <v>276471.82</v>
      </c>
      <c r="Y45" s="108">
        <v>437</v>
      </c>
      <c r="Z45" s="113">
        <v>116177.51</v>
      </c>
      <c r="AA45" s="113">
        <v>35523.360000000001</v>
      </c>
      <c r="AB45" s="108">
        <v>225784.95999999999</v>
      </c>
      <c r="AC45" s="108">
        <v>377485.83</v>
      </c>
      <c r="AD45" s="108">
        <v>380</v>
      </c>
      <c r="AE45" s="113">
        <v>67553.55</v>
      </c>
      <c r="AF45" s="113">
        <v>71898.63</v>
      </c>
      <c r="AG45" s="108">
        <v>209430.55</v>
      </c>
      <c r="AH45" s="108">
        <v>348882.73</v>
      </c>
      <c r="AI45" s="62"/>
      <c r="AJ45" s="62"/>
      <c r="AK45" s="62"/>
      <c r="AL45" s="62"/>
      <c r="AM45" s="62"/>
      <c r="AN45" s="62"/>
      <c r="AO45" s="62"/>
      <c r="AP45" s="62"/>
      <c r="AQ45" s="62"/>
      <c r="AR45" s="82" t="str">
        <f t="shared" si="0"/>
        <v>RES</v>
      </c>
      <c r="AS45" s="82" t="str">
        <f t="shared" si="1"/>
        <v xml:space="preserve"> 98903  </v>
      </c>
      <c r="AT45" s="62">
        <f t="shared" si="2"/>
        <v>176816.51931</v>
      </c>
      <c r="AU45" s="62">
        <f t="shared" si="3"/>
        <v>183751.97718999998</v>
      </c>
      <c r="AV45" s="62">
        <f t="shared" si="4"/>
        <v>188286.46381999998</v>
      </c>
    </row>
    <row r="46" spans="1:82" ht="12" customHeight="1" x14ac:dyDescent="0.2">
      <c r="A46" s="82" t="s">
        <v>75</v>
      </c>
      <c r="B46" s="82" t="s">
        <v>266</v>
      </c>
      <c r="C46" s="51"/>
      <c r="D46" s="87">
        <v>0</v>
      </c>
      <c r="E46" s="87">
        <v>0</v>
      </c>
      <c r="F46" s="87">
        <v>0</v>
      </c>
      <c r="G46" s="86">
        <v>0</v>
      </c>
      <c r="H46" s="51">
        <v>1</v>
      </c>
      <c r="I46" s="87">
        <v>29.5</v>
      </c>
      <c r="J46" s="87">
        <v>0</v>
      </c>
      <c r="K46" s="87">
        <v>0</v>
      </c>
      <c r="L46" s="86">
        <v>29.5</v>
      </c>
      <c r="M46" s="51"/>
      <c r="N46" s="87"/>
      <c r="O46" s="87"/>
      <c r="P46" s="87"/>
      <c r="Q46" s="86"/>
      <c r="R46" s="106" t="s">
        <v>75</v>
      </c>
      <c r="S46" s="106" t="s">
        <v>246</v>
      </c>
      <c r="T46" s="108">
        <v>342</v>
      </c>
      <c r="U46" s="113">
        <v>64913.63</v>
      </c>
      <c r="V46" s="113">
        <v>23736.58</v>
      </c>
      <c r="W46" s="108">
        <v>245575.25</v>
      </c>
      <c r="X46" s="108">
        <v>334225.46000000002</v>
      </c>
      <c r="Y46" s="108">
        <v>373</v>
      </c>
      <c r="Z46" s="113">
        <v>82632.800000000003</v>
      </c>
      <c r="AA46" s="113">
        <v>48314.19</v>
      </c>
      <c r="AB46" s="108">
        <v>226270.63</v>
      </c>
      <c r="AC46" s="108">
        <v>357217.62</v>
      </c>
      <c r="AD46" s="108">
        <v>364</v>
      </c>
      <c r="AE46" s="113">
        <v>72714.320000000094</v>
      </c>
      <c r="AF46" s="113">
        <v>58809.13</v>
      </c>
      <c r="AG46" s="108">
        <v>245139.22</v>
      </c>
      <c r="AH46" s="108">
        <v>376662.67</v>
      </c>
      <c r="AI46" s="62"/>
      <c r="AJ46" s="62"/>
      <c r="AK46" s="62"/>
      <c r="AL46" s="62"/>
      <c r="AM46" s="62"/>
      <c r="AN46" s="62"/>
      <c r="AO46" s="62"/>
      <c r="AP46" s="62"/>
      <c r="AQ46" s="62"/>
      <c r="AR46" s="82" t="str">
        <f t="shared" si="0"/>
        <v>RES</v>
      </c>
      <c r="AS46" s="82" t="str">
        <f t="shared" si="1"/>
        <v xml:space="preserve"> 98904  </v>
      </c>
      <c r="AT46" s="62">
        <f t="shared" si="2"/>
        <v>0</v>
      </c>
      <c r="AU46" s="62">
        <f t="shared" si="3"/>
        <v>0.47200000000000003</v>
      </c>
      <c r="AV46" s="62">
        <f t="shared" si="4"/>
        <v>0</v>
      </c>
    </row>
    <row r="47" spans="1:82" ht="12" customHeight="1" x14ac:dyDescent="0.2">
      <c r="A47" s="82" t="s">
        <v>75</v>
      </c>
      <c r="B47" s="82" t="s">
        <v>231</v>
      </c>
      <c r="C47" s="51">
        <v>3501</v>
      </c>
      <c r="D47" s="87">
        <v>540012.09999999905</v>
      </c>
      <c r="E47" s="87">
        <v>198384.79</v>
      </c>
      <c r="F47" s="87">
        <v>612366.69999999995</v>
      </c>
      <c r="G47" s="86">
        <v>1350763.59</v>
      </c>
      <c r="H47" s="51">
        <v>3972</v>
      </c>
      <c r="I47" s="87">
        <v>771763.87999999896</v>
      </c>
      <c r="J47" s="87">
        <v>251381.12</v>
      </c>
      <c r="K47" s="87">
        <v>636489.35</v>
      </c>
      <c r="L47" s="86">
        <v>1659634.35</v>
      </c>
      <c r="M47" s="51">
        <v>3921</v>
      </c>
      <c r="N47" s="87">
        <v>621413.58000000101</v>
      </c>
      <c r="O47" s="87">
        <v>375647.42</v>
      </c>
      <c r="P47" s="87">
        <v>647348.69999999995</v>
      </c>
      <c r="Q47" s="86">
        <v>1644409.7</v>
      </c>
      <c r="R47" s="106" t="s">
        <v>75</v>
      </c>
      <c r="S47" s="106" t="s">
        <v>247</v>
      </c>
      <c r="T47" s="108">
        <v>31</v>
      </c>
      <c r="U47" s="113">
        <v>7059.32</v>
      </c>
      <c r="V47" s="113">
        <v>3234.84</v>
      </c>
      <c r="W47" s="108">
        <v>19732.14</v>
      </c>
      <c r="X47" s="108">
        <v>30026.3</v>
      </c>
      <c r="Y47" s="108">
        <v>33</v>
      </c>
      <c r="Z47" s="113">
        <v>8295.2999999999993</v>
      </c>
      <c r="AA47" s="113">
        <v>5105.87</v>
      </c>
      <c r="AB47" s="108">
        <v>21100.98</v>
      </c>
      <c r="AC47" s="108">
        <v>34502.15</v>
      </c>
      <c r="AD47" s="108">
        <v>30</v>
      </c>
      <c r="AE47" s="113">
        <v>7484.96</v>
      </c>
      <c r="AF47" s="113">
        <v>6762.64</v>
      </c>
      <c r="AG47" s="108">
        <v>23203.05</v>
      </c>
      <c r="AH47" s="108">
        <v>37450.65</v>
      </c>
      <c r="AI47" s="62"/>
      <c r="AJ47" s="62"/>
      <c r="AK47" s="62"/>
      <c r="AL47" s="62"/>
      <c r="AM47" s="62"/>
      <c r="AN47" s="62"/>
      <c r="AO47" s="62"/>
      <c r="AP47" s="62"/>
      <c r="AQ47" s="62"/>
      <c r="AR47" s="82" t="str">
        <f t="shared" si="0"/>
        <v>RES</v>
      </c>
      <c r="AS47" s="82" t="str">
        <f t="shared" si="1"/>
        <v xml:space="preserve"> 98908  </v>
      </c>
      <c r="AT47" s="62">
        <f t="shared" si="2"/>
        <v>198112.41166999997</v>
      </c>
      <c r="AU47" s="62">
        <f t="shared" si="3"/>
        <v>212130.65478999994</v>
      </c>
      <c r="AV47" s="62">
        <f t="shared" si="4"/>
        <v>220692.17903999996</v>
      </c>
    </row>
    <row r="48" spans="1:82" ht="12" customHeight="1" x14ac:dyDescent="0.2">
      <c r="A48" s="82" t="s">
        <v>75</v>
      </c>
      <c r="B48" s="82" t="s">
        <v>268</v>
      </c>
      <c r="C48" s="51"/>
      <c r="D48" s="87">
        <v>0</v>
      </c>
      <c r="E48" s="87">
        <v>0</v>
      </c>
      <c r="F48" s="87">
        <v>0</v>
      </c>
      <c r="G48" s="86">
        <v>0</v>
      </c>
      <c r="H48" s="51">
        <v>1</v>
      </c>
      <c r="I48" s="87">
        <v>28.64</v>
      </c>
      <c r="J48" s="87">
        <v>0</v>
      </c>
      <c r="K48" s="87">
        <v>0</v>
      </c>
      <c r="L48" s="86">
        <v>28.64</v>
      </c>
      <c r="M48" s="51">
        <v>1</v>
      </c>
      <c r="N48" s="87">
        <v>31.11</v>
      </c>
      <c r="O48" s="87">
        <v>28.64</v>
      </c>
      <c r="P48" s="87">
        <v>0</v>
      </c>
      <c r="Q48" s="86">
        <v>59.75</v>
      </c>
      <c r="R48" s="106" t="s">
        <v>75</v>
      </c>
      <c r="S48" s="106" t="s">
        <v>248</v>
      </c>
      <c r="T48" s="108">
        <v>83</v>
      </c>
      <c r="U48" s="113">
        <v>15432.98</v>
      </c>
      <c r="V48" s="113">
        <v>9132.42</v>
      </c>
      <c r="W48" s="108">
        <v>44088.95</v>
      </c>
      <c r="X48" s="108">
        <v>68654.350000000006</v>
      </c>
      <c r="Y48" s="108">
        <v>85</v>
      </c>
      <c r="Z48" s="113">
        <v>20707.91</v>
      </c>
      <c r="AA48" s="113">
        <v>10479.76</v>
      </c>
      <c r="AB48" s="108">
        <v>43008.72</v>
      </c>
      <c r="AC48" s="108">
        <v>74196.39</v>
      </c>
      <c r="AD48" s="108">
        <v>77</v>
      </c>
      <c r="AE48" s="113">
        <v>13370.38</v>
      </c>
      <c r="AF48" s="113">
        <v>12801.07</v>
      </c>
      <c r="AG48" s="108">
        <v>35406.19</v>
      </c>
      <c r="AH48" s="108">
        <v>61577.64</v>
      </c>
      <c r="AR48" s="82" t="str">
        <f t="shared" si="0"/>
        <v>RES</v>
      </c>
      <c r="AS48" s="82" t="str">
        <f t="shared" si="1"/>
        <v xml:space="preserve"> 98920  </v>
      </c>
      <c r="AT48" s="62">
        <f t="shared" si="2"/>
        <v>0</v>
      </c>
      <c r="AU48" s="62">
        <f t="shared" si="3"/>
        <v>0.45824000000000004</v>
      </c>
      <c r="AV48" s="62">
        <f t="shared" si="4"/>
        <v>2.3020800000000001</v>
      </c>
    </row>
    <row r="49" spans="1:48" ht="12" customHeight="1" x14ac:dyDescent="0.2">
      <c r="A49" s="82" t="s">
        <v>75</v>
      </c>
      <c r="B49" s="82" t="s">
        <v>232</v>
      </c>
      <c r="C49" s="51">
        <v>89</v>
      </c>
      <c r="D49" s="87">
        <v>16778.84</v>
      </c>
      <c r="E49" s="87">
        <v>7066.79</v>
      </c>
      <c r="F49" s="87">
        <v>55185.36</v>
      </c>
      <c r="G49" s="86">
        <v>79030.990000000005</v>
      </c>
      <c r="H49" s="51">
        <v>95</v>
      </c>
      <c r="I49" s="87">
        <v>19539.55</v>
      </c>
      <c r="J49" s="87">
        <v>8917.09</v>
      </c>
      <c r="K49" s="87">
        <v>52358.29</v>
      </c>
      <c r="L49" s="86">
        <v>80814.929999999993</v>
      </c>
      <c r="M49" s="51">
        <v>90</v>
      </c>
      <c r="N49" s="87">
        <v>16906.580000000002</v>
      </c>
      <c r="O49" s="87">
        <v>12213.32</v>
      </c>
      <c r="P49" s="87">
        <v>52252.13</v>
      </c>
      <c r="Q49" s="86">
        <v>81372.03</v>
      </c>
      <c r="R49" s="106" t="s">
        <v>75</v>
      </c>
      <c r="S49" s="106" t="s">
        <v>249</v>
      </c>
      <c r="T49" s="108">
        <v>24</v>
      </c>
      <c r="U49" s="113">
        <v>4191.96</v>
      </c>
      <c r="V49" s="113">
        <v>1857.56</v>
      </c>
      <c r="W49" s="108">
        <v>481.49</v>
      </c>
      <c r="X49" s="108">
        <v>6531.01</v>
      </c>
      <c r="Y49" s="108">
        <v>24</v>
      </c>
      <c r="Z49" s="113">
        <v>5325.25</v>
      </c>
      <c r="AA49" s="113">
        <v>1435.53</v>
      </c>
      <c r="AB49" s="108">
        <v>864.17</v>
      </c>
      <c r="AC49" s="108">
        <v>7624.95</v>
      </c>
      <c r="AD49" s="108">
        <v>23</v>
      </c>
      <c r="AE49" s="113">
        <v>3538.89</v>
      </c>
      <c r="AF49" s="113">
        <v>2210.5500000000002</v>
      </c>
      <c r="AG49" s="108">
        <v>1702.12</v>
      </c>
      <c r="AH49" s="108">
        <v>7451.56</v>
      </c>
      <c r="AR49" s="82" t="str">
        <f t="shared" si="0"/>
        <v>RES</v>
      </c>
      <c r="AS49" s="82" t="str">
        <f t="shared" si="1"/>
        <v xml:space="preserve"> 98921  </v>
      </c>
      <c r="AT49" s="62">
        <f t="shared" si="2"/>
        <v>16662.238249999999</v>
      </c>
      <c r="AU49" s="62">
        <f t="shared" si="3"/>
        <v>16005.95528</v>
      </c>
      <c r="AV49" s="62">
        <f t="shared" si="4"/>
        <v>16140.810009999997</v>
      </c>
    </row>
    <row r="50" spans="1:48" ht="12" customHeight="1" x14ac:dyDescent="0.2">
      <c r="A50" s="82" t="s">
        <v>75</v>
      </c>
      <c r="B50" s="82" t="s">
        <v>233</v>
      </c>
      <c r="C50" s="51">
        <v>107</v>
      </c>
      <c r="D50" s="87">
        <v>22705.43</v>
      </c>
      <c r="E50" s="87">
        <v>7342.24</v>
      </c>
      <c r="F50" s="87">
        <v>30557.67</v>
      </c>
      <c r="G50" s="86">
        <v>60605.34</v>
      </c>
      <c r="H50" s="51">
        <v>118</v>
      </c>
      <c r="I50" s="87">
        <v>29796.51</v>
      </c>
      <c r="J50" s="87">
        <v>10750.19</v>
      </c>
      <c r="K50" s="87">
        <v>32092.45</v>
      </c>
      <c r="L50" s="86">
        <v>72639.149999999994</v>
      </c>
      <c r="M50" s="51">
        <v>125</v>
      </c>
      <c r="N50" s="87">
        <v>27953.45</v>
      </c>
      <c r="O50" s="87">
        <v>17139.849999999999</v>
      </c>
      <c r="P50" s="87">
        <v>35673.919999999998</v>
      </c>
      <c r="Q50" s="86">
        <v>80767.22</v>
      </c>
      <c r="R50" s="106" t="s">
        <v>75</v>
      </c>
      <c r="S50" s="106" t="s">
        <v>250</v>
      </c>
      <c r="T50" s="108">
        <v>96</v>
      </c>
      <c r="U50" s="113">
        <v>12086.71</v>
      </c>
      <c r="V50" s="113">
        <v>3779.56</v>
      </c>
      <c r="W50" s="108">
        <v>7959.71</v>
      </c>
      <c r="X50" s="108">
        <v>23825.98</v>
      </c>
      <c r="Y50" s="108">
        <v>92</v>
      </c>
      <c r="Z50" s="113">
        <v>11981.27</v>
      </c>
      <c r="AA50" s="113">
        <v>6382.14</v>
      </c>
      <c r="AB50" s="108">
        <v>7109.96</v>
      </c>
      <c r="AC50" s="108">
        <v>25473.37</v>
      </c>
      <c r="AD50" s="108">
        <v>106</v>
      </c>
      <c r="AE50" s="113">
        <v>15632.22</v>
      </c>
      <c r="AF50" s="113">
        <v>7424.08</v>
      </c>
      <c r="AG50" s="108">
        <v>6654.82</v>
      </c>
      <c r="AH50" s="108">
        <v>29711.119999999999</v>
      </c>
      <c r="AR50" s="82" t="str">
        <f t="shared" si="0"/>
        <v>RES</v>
      </c>
      <c r="AS50" s="82" t="str">
        <f t="shared" si="1"/>
        <v xml:space="preserve"> 98923  </v>
      </c>
      <c r="AT50" s="62">
        <f t="shared" si="2"/>
        <v>9657.0146299999997</v>
      </c>
      <c r="AU50" s="62">
        <f t="shared" si="3"/>
        <v>10428.724179999999</v>
      </c>
      <c r="AV50" s="62">
        <f t="shared" si="4"/>
        <v>11836.828629999998</v>
      </c>
    </row>
    <row r="51" spans="1:48" ht="12" customHeight="1" x14ac:dyDescent="0.2">
      <c r="A51" s="82" t="s">
        <v>75</v>
      </c>
      <c r="B51" s="82" t="s">
        <v>234</v>
      </c>
      <c r="C51" s="51">
        <v>897</v>
      </c>
      <c r="D51" s="87">
        <v>130918.39999999999</v>
      </c>
      <c r="E51" s="87">
        <v>21878.89</v>
      </c>
      <c r="F51" s="87">
        <v>331079.71000000002</v>
      </c>
      <c r="G51" s="86">
        <v>483877</v>
      </c>
      <c r="H51" s="51">
        <v>877</v>
      </c>
      <c r="I51" s="87">
        <v>148554.98000000001</v>
      </c>
      <c r="J51" s="87">
        <v>65186.44</v>
      </c>
      <c r="K51" s="87">
        <v>313960.39</v>
      </c>
      <c r="L51" s="86">
        <v>527701.81000000006</v>
      </c>
      <c r="M51" s="51">
        <v>1051</v>
      </c>
      <c r="N51" s="87">
        <v>193711.16</v>
      </c>
      <c r="O51" s="87">
        <v>81736.820000000094</v>
      </c>
      <c r="P51" s="87">
        <v>313705.21000000002</v>
      </c>
      <c r="Q51" s="86">
        <v>589153.18999999994</v>
      </c>
      <c r="R51" s="106" t="s">
        <v>75</v>
      </c>
      <c r="S51" s="106" t="s">
        <v>251</v>
      </c>
      <c r="T51" s="108">
        <v>55</v>
      </c>
      <c r="U51" s="113">
        <v>8782.7999999999993</v>
      </c>
      <c r="V51" s="113">
        <v>2962.28</v>
      </c>
      <c r="W51" s="108">
        <v>1619.49</v>
      </c>
      <c r="X51" s="108">
        <v>13364.57</v>
      </c>
      <c r="Y51" s="108">
        <v>61</v>
      </c>
      <c r="Z51" s="113">
        <v>12168.64</v>
      </c>
      <c r="AA51" s="113">
        <v>5629.84</v>
      </c>
      <c r="AB51" s="108">
        <v>2870.8</v>
      </c>
      <c r="AC51" s="108">
        <v>20669.28</v>
      </c>
      <c r="AD51" s="108">
        <v>65</v>
      </c>
      <c r="AE51" s="113">
        <v>9730.36</v>
      </c>
      <c r="AF51" s="113">
        <v>8328.41</v>
      </c>
      <c r="AG51" s="108">
        <v>4046.8</v>
      </c>
      <c r="AH51" s="108">
        <v>22105.57</v>
      </c>
      <c r="AR51" s="82" t="str">
        <f t="shared" si="0"/>
        <v>RES</v>
      </c>
      <c r="AS51" s="82" t="str">
        <f t="shared" si="1"/>
        <v xml:space="preserve"> 98930  </v>
      </c>
      <c r="AT51" s="62">
        <f t="shared" si="2"/>
        <v>99155.100659999996</v>
      </c>
      <c r="AU51" s="62">
        <f t="shared" si="3"/>
        <v>97218.178110000008</v>
      </c>
      <c r="AV51" s="62">
        <f t="shared" si="4"/>
        <v>98909.603910000005</v>
      </c>
    </row>
    <row r="52" spans="1:48" ht="12" customHeight="1" x14ac:dyDescent="0.2">
      <c r="A52" s="82" t="s">
        <v>75</v>
      </c>
      <c r="B52" s="82" t="s">
        <v>235</v>
      </c>
      <c r="C52" s="51">
        <v>547</v>
      </c>
      <c r="D52" s="87">
        <v>93689.169999999896</v>
      </c>
      <c r="E52" s="87">
        <v>38104.550000000003</v>
      </c>
      <c r="F52" s="87">
        <v>184041.91</v>
      </c>
      <c r="G52" s="86">
        <v>315835.63</v>
      </c>
      <c r="H52" s="51">
        <v>604</v>
      </c>
      <c r="I52" s="87">
        <v>139881.25</v>
      </c>
      <c r="J52" s="87">
        <v>50623.34</v>
      </c>
      <c r="K52" s="87">
        <v>184314.99</v>
      </c>
      <c r="L52" s="86">
        <v>374819.58</v>
      </c>
      <c r="M52" s="51">
        <v>594</v>
      </c>
      <c r="N52" s="87">
        <v>100838.81</v>
      </c>
      <c r="O52" s="87">
        <v>79506.55</v>
      </c>
      <c r="P52" s="87">
        <v>190840.01</v>
      </c>
      <c r="Q52" s="86">
        <v>371185.37</v>
      </c>
      <c r="R52" s="106" t="s">
        <v>75</v>
      </c>
      <c r="S52" s="106" t="s">
        <v>252</v>
      </c>
      <c r="T52" s="108">
        <v>2</v>
      </c>
      <c r="U52" s="113">
        <v>401.68</v>
      </c>
      <c r="V52" s="113">
        <v>123.24</v>
      </c>
      <c r="W52" s="108">
        <v>9.15</v>
      </c>
      <c r="X52" s="108">
        <v>534.07000000000005</v>
      </c>
      <c r="Y52" s="108">
        <v>2</v>
      </c>
      <c r="Z52" s="113">
        <v>188.94</v>
      </c>
      <c r="AA52" s="113">
        <v>0</v>
      </c>
      <c r="AB52" s="108">
        <v>0</v>
      </c>
      <c r="AC52" s="108">
        <v>188.94</v>
      </c>
      <c r="AD52" s="108">
        <v>3</v>
      </c>
      <c r="AE52" s="113">
        <v>301.75</v>
      </c>
      <c r="AF52" s="113">
        <v>92.38</v>
      </c>
      <c r="AG52" s="108">
        <v>0</v>
      </c>
      <c r="AH52" s="108">
        <v>394.13</v>
      </c>
      <c r="AR52" s="82" t="str">
        <f t="shared" si="0"/>
        <v>RES</v>
      </c>
      <c r="AS52" s="82" t="str">
        <f t="shared" si="1"/>
        <v xml:space="preserve"> 98932  </v>
      </c>
      <c r="AT52" s="62">
        <f t="shared" si="2"/>
        <v>57087.725359999997</v>
      </c>
      <c r="AU52" s="62">
        <f t="shared" si="3"/>
        <v>58694.402529999992</v>
      </c>
      <c r="AV52" s="62">
        <f t="shared" si="4"/>
        <v>61775.0965</v>
      </c>
    </row>
    <row r="53" spans="1:48" ht="12" customHeight="1" x14ac:dyDescent="0.2">
      <c r="A53" s="82" t="s">
        <v>75</v>
      </c>
      <c r="B53" s="82" t="s">
        <v>236</v>
      </c>
      <c r="C53" s="51">
        <v>82</v>
      </c>
      <c r="D53" s="87">
        <v>14519.45</v>
      </c>
      <c r="E53" s="87">
        <v>3907.24</v>
      </c>
      <c r="F53" s="87">
        <v>23554.35</v>
      </c>
      <c r="G53" s="86">
        <v>41981.04</v>
      </c>
      <c r="H53" s="51">
        <v>94</v>
      </c>
      <c r="I53" s="87">
        <v>18016.3</v>
      </c>
      <c r="J53" s="87">
        <v>7833.6</v>
      </c>
      <c r="K53" s="87">
        <v>25476.49</v>
      </c>
      <c r="L53" s="86">
        <v>51326.39</v>
      </c>
      <c r="M53" s="51">
        <v>93</v>
      </c>
      <c r="N53" s="87">
        <v>17507.55</v>
      </c>
      <c r="O53" s="87">
        <v>9216.5300000000007</v>
      </c>
      <c r="P53" s="87">
        <v>29041.45</v>
      </c>
      <c r="Q53" s="86">
        <v>55765.53</v>
      </c>
      <c r="R53" s="106" t="s">
        <v>75</v>
      </c>
      <c r="S53" s="106" t="s">
        <v>253</v>
      </c>
      <c r="T53" s="108">
        <v>21</v>
      </c>
      <c r="U53" s="113">
        <v>2550.7600000000002</v>
      </c>
      <c r="V53" s="113">
        <v>892.64</v>
      </c>
      <c r="W53" s="108">
        <v>3348.8</v>
      </c>
      <c r="X53" s="108">
        <v>6792.2</v>
      </c>
      <c r="Y53" s="108">
        <v>22</v>
      </c>
      <c r="Z53" s="113">
        <v>3767.02</v>
      </c>
      <c r="AA53" s="113">
        <v>1601.21</v>
      </c>
      <c r="AB53" s="108">
        <v>1952.7</v>
      </c>
      <c r="AC53" s="108">
        <v>7320.93</v>
      </c>
      <c r="AD53" s="108">
        <v>26</v>
      </c>
      <c r="AE53" s="113">
        <v>4463.18</v>
      </c>
      <c r="AF53" s="113">
        <v>2184.75</v>
      </c>
      <c r="AG53" s="108">
        <v>2976.72</v>
      </c>
      <c r="AH53" s="108">
        <v>9624.65</v>
      </c>
      <c r="AR53" s="82" t="str">
        <f t="shared" si="0"/>
        <v>RES</v>
      </c>
      <c r="AS53" s="82" t="str">
        <f t="shared" si="1"/>
        <v xml:space="preserve"> 98933  </v>
      </c>
      <c r="AT53" s="62">
        <f t="shared" si="2"/>
        <v>7285.674469999999</v>
      </c>
      <c r="AU53" s="62">
        <f t="shared" si="3"/>
        <v>8144.4832100000003</v>
      </c>
      <c r="AV53" s="62">
        <f t="shared" si="4"/>
        <v>9253.7412399999994</v>
      </c>
    </row>
    <row r="54" spans="1:48" ht="12" customHeight="1" x14ac:dyDescent="0.2">
      <c r="A54" s="82" t="s">
        <v>75</v>
      </c>
      <c r="B54" s="82" t="s">
        <v>237</v>
      </c>
      <c r="C54" s="51">
        <v>217</v>
      </c>
      <c r="D54" s="87">
        <v>41540.33</v>
      </c>
      <c r="E54" s="87">
        <v>2812.37</v>
      </c>
      <c r="F54" s="87">
        <v>141031.85999999999</v>
      </c>
      <c r="G54" s="86">
        <v>185384.56</v>
      </c>
      <c r="H54" s="51">
        <v>217</v>
      </c>
      <c r="I54" s="87">
        <v>40992.19</v>
      </c>
      <c r="J54" s="87">
        <v>22650.94</v>
      </c>
      <c r="K54" s="87">
        <v>129032.35</v>
      </c>
      <c r="L54" s="86">
        <v>192675.48</v>
      </c>
      <c r="M54" s="51">
        <v>255</v>
      </c>
      <c r="N54" s="87">
        <v>57796.73</v>
      </c>
      <c r="O54" s="87">
        <v>25479.65</v>
      </c>
      <c r="P54" s="87">
        <v>134416.5</v>
      </c>
      <c r="Q54" s="86">
        <v>217692.88</v>
      </c>
      <c r="R54" s="106" t="s">
        <v>75</v>
      </c>
      <c r="S54" s="106" t="s">
        <v>254</v>
      </c>
      <c r="T54" s="108">
        <v>11</v>
      </c>
      <c r="U54" s="113">
        <v>2433.84</v>
      </c>
      <c r="V54" s="113">
        <v>605.47</v>
      </c>
      <c r="W54" s="108">
        <v>653.41</v>
      </c>
      <c r="X54" s="108">
        <v>3692.72</v>
      </c>
      <c r="Y54" s="108">
        <v>14</v>
      </c>
      <c r="Z54" s="113">
        <v>3433.04</v>
      </c>
      <c r="AA54" s="113">
        <v>1148.52</v>
      </c>
      <c r="AB54" s="108">
        <v>328.35</v>
      </c>
      <c r="AC54" s="108">
        <v>4909.91</v>
      </c>
      <c r="AD54" s="108">
        <v>8</v>
      </c>
      <c r="AE54" s="113">
        <v>1924.39</v>
      </c>
      <c r="AF54" s="113">
        <v>1452.69</v>
      </c>
      <c r="AG54" s="108">
        <v>1018.87</v>
      </c>
      <c r="AH54" s="108">
        <v>4395.95</v>
      </c>
      <c r="AR54" s="82" t="str">
        <f t="shared" si="0"/>
        <v>RES</v>
      </c>
      <c r="AS54" s="82" t="str">
        <f t="shared" si="1"/>
        <v xml:space="preserve"> 98935  </v>
      </c>
      <c r="AT54" s="62">
        <f t="shared" si="2"/>
        <v>41600.032129999992</v>
      </c>
      <c r="AU54" s="62">
        <f t="shared" si="3"/>
        <v>39373.233410000001</v>
      </c>
      <c r="AV54" s="62">
        <f t="shared" si="4"/>
        <v>41376.334129999996</v>
      </c>
    </row>
    <row r="55" spans="1:48" ht="12" customHeight="1" x14ac:dyDescent="0.2">
      <c r="A55" s="82" t="s">
        <v>75</v>
      </c>
      <c r="B55" s="82" t="s">
        <v>238</v>
      </c>
      <c r="C55" s="51">
        <v>419</v>
      </c>
      <c r="D55" s="87">
        <v>61303.25</v>
      </c>
      <c r="E55" s="87">
        <v>774.8</v>
      </c>
      <c r="F55" s="87">
        <v>157849.85</v>
      </c>
      <c r="G55" s="86">
        <v>219927.9</v>
      </c>
      <c r="H55" s="51">
        <v>445</v>
      </c>
      <c r="I55" s="87">
        <v>67429.929999999993</v>
      </c>
      <c r="J55" s="87">
        <v>32691.1</v>
      </c>
      <c r="K55" s="87">
        <v>136788.19</v>
      </c>
      <c r="L55" s="86">
        <v>236909.22</v>
      </c>
      <c r="M55" s="51">
        <v>482</v>
      </c>
      <c r="N55" s="87">
        <v>86366.69</v>
      </c>
      <c r="O55" s="87">
        <v>35290.99</v>
      </c>
      <c r="P55" s="87">
        <v>145164.92000000001</v>
      </c>
      <c r="Q55" s="86">
        <v>266822.59999999998</v>
      </c>
      <c r="R55" s="106" t="s">
        <v>75</v>
      </c>
      <c r="S55" s="106" t="s">
        <v>259</v>
      </c>
      <c r="T55" s="108">
        <v>2</v>
      </c>
      <c r="U55" s="113">
        <v>483.82</v>
      </c>
      <c r="V55" s="113">
        <v>0</v>
      </c>
      <c r="W55" s="108">
        <v>1804.53</v>
      </c>
      <c r="X55" s="108">
        <v>2288.35</v>
      </c>
      <c r="Y55" s="108">
        <v>2</v>
      </c>
      <c r="Z55" s="113">
        <v>467.94</v>
      </c>
      <c r="AA55" s="113">
        <v>246.3</v>
      </c>
      <c r="AB55" s="108">
        <v>1804.53</v>
      </c>
      <c r="AC55" s="108">
        <v>2518.77</v>
      </c>
      <c r="AD55" s="108"/>
      <c r="AE55" s="113">
        <v>0</v>
      </c>
      <c r="AF55" s="113">
        <v>0</v>
      </c>
      <c r="AG55" s="108">
        <v>0</v>
      </c>
      <c r="AH55" s="108">
        <v>0</v>
      </c>
      <c r="AR55" s="82" t="str">
        <f t="shared" si="0"/>
        <v>RES</v>
      </c>
      <c r="AS55" s="82" t="str">
        <f t="shared" si="1"/>
        <v xml:space="preserve"> 98936  </v>
      </c>
      <c r="AT55" s="62">
        <f t="shared" si="2"/>
        <v>46648.271050000003</v>
      </c>
      <c r="AU55" s="62">
        <f t="shared" si="3"/>
        <v>42670.205089999996</v>
      </c>
      <c r="AV55" s="62">
        <f t="shared" si="4"/>
        <v>45557.861290000001</v>
      </c>
    </row>
    <row r="56" spans="1:48" ht="12" customHeight="1" x14ac:dyDescent="0.2">
      <c r="A56" s="82" t="s">
        <v>75</v>
      </c>
      <c r="B56" s="82" t="s">
        <v>239</v>
      </c>
      <c r="C56" s="51">
        <v>363</v>
      </c>
      <c r="D56" s="87">
        <v>61777.89</v>
      </c>
      <c r="E56" s="87">
        <v>19292.38</v>
      </c>
      <c r="F56" s="87">
        <v>82374.94</v>
      </c>
      <c r="G56" s="86">
        <v>163445.21</v>
      </c>
      <c r="H56" s="51">
        <v>389</v>
      </c>
      <c r="I56" s="87">
        <v>86009.42</v>
      </c>
      <c r="J56" s="87">
        <v>25477.69</v>
      </c>
      <c r="K56" s="87">
        <v>84962.12</v>
      </c>
      <c r="L56" s="86">
        <v>196449.23</v>
      </c>
      <c r="M56" s="51">
        <v>415</v>
      </c>
      <c r="N56" s="87">
        <v>81618.91</v>
      </c>
      <c r="O56" s="87">
        <v>41737.129999999997</v>
      </c>
      <c r="P56" s="87">
        <v>86941.1</v>
      </c>
      <c r="Q56" s="86">
        <v>210297.14</v>
      </c>
      <c r="R56" s="106" t="s">
        <v>75</v>
      </c>
      <c r="S56" s="106" t="s">
        <v>255</v>
      </c>
      <c r="T56" s="108">
        <v>2</v>
      </c>
      <c r="U56" s="113">
        <v>0</v>
      </c>
      <c r="V56" s="113">
        <v>404.62</v>
      </c>
      <c r="W56" s="108">
        <v>118.17</v>
      </c>
      <c r="X56" s="108">
        <v>522.79</v>
      </c>
      <c r="Y56" s="108">
        <v>4</v>
      </c>
      <c r="Z56" s="113">
        <v>1056.5899999999999</v>
      </c>
      <c r="AA56" s="113">
        <v>622.41</v>
      </c>
      <c r="AB56" s="108">
        <v>522.79</v>
      </c>
      <c r="AC56" s="108">
        <v>2201.79</v>
      </c>
      <c r="AD56" s="108">
        <v>4</v>
      </c>
      <c r="AE56" s="113">
        <v>761.04</v>
      </c>
      <c r="AF56" s="113">
        <v>984.29</v>
      </c>
      <c r="AG56" s="108">
        <v>456.86</v>
      </c>
      <c r="AH56" s="108">
        <v>2202.19</v>
      </c>
      <c r="AR56" s="82" t="str">
        <f t="shared" si="0"/>
        <v>RES</v>
      </c>
      <c r="AS56" s="82" t="str">
        <f t="shared" si="1"/>
        <v xml:space="preserve"> 98937  </v>
      </c>
      <c r="AT56" s="62">
        <f t="shared" si="2"/>
        <v>26010.223839999999</v>
      </c>
      <c r="AU56" s="62">
        <f t="shared" si="3"/>
        <v>27535.297869999999</v>
      </c>
      <c r="AV56" s="62">
        <f t="shared" si="4"/>
        <v>29061.319650000001</v>
      </c>
    </row>
    <row r="57" spans="1:48" ht="12" customHeight="1" x14ac:dyDescent="0.2">
      <c r="A57" s="82" t="s">
        <v>75</v>
      </c>
      <c r="B57" s="82" t="s">
        <v>240</v>
      </c>
      <c r="C57" s="51">
        <v>167</v>
      </c>
      <c r="D57" s="87">
        <v>42705.27</v>
      </c>
      <c r="E57" s="87">
        <v>14151.21</v>
      </c>
      <c r="F57" s="87">
        <v>51460.77</v>
      </c>
      <c r="G57" s="86">
        <v>108317.25</v>
      </c>
      <c r="H57" s="51">
        <v>205</v>
      </c>
      <c r="I57" s="87">
        <v>66259.839999999997</v>
      </c>
      <c r="J57" s="87">
        <v>22168.78</v>
      </c>
      <c r="K57" s="87">
        <v>53846.34</v>
      </c>
      <c r="L57" s="86">
        <v>142274.96</v>
      </c>
      <c r="M57" s="51">
        <v>202</v>
      </c>
      <c r="N57" s="87">
        <v>48957.53</v>
      </c>
      <c r="O57" s="87">
        <v>37169.29</v>
      </c>
      <c r="P57" s="87">
        <v>61754.79</v>
      </c>
      <c r="Q57" s="86">
        <v>147881.60999999999</v>
      </c>
      <c r="R57" s="106" t="s">
        <v>75</v>
      </c>
      <c r="S57" s="106" t="s">
        <v>256</v>
      </c>
      <c r="T57" s="108">
        <v>8</v>
      </c>
      <c r="U57" s="113">
        <v>1918.5</v>
      </c>
      <c r="V57" s="113">
        <v>722.3</v>
      </c>
      <c r="W57" s="108">
        <v>674.56</v>
      </c>
      <c r="X57" s="108">
        <v>3315.36</v>
      </c>
      <c r="Y57" s="108">
        <v>9</v>
      </c>
      <c r="Z57" s="113">
        <v>2391.13</v>
      </c>
      <c r="AA57" s="113">
        <v>1312.23</v>
      </c>
      <c r="AB57" s="108">
        <v>757.43</v>
      </c>
      <c r="AC57" s="108">
        <v>4460.79</v>
      </c>
      <c r="AD57" s="108">
        <v>11</v>
      </c>
      <c r="AE57" s="113">
        <v>2205.86</v>
      </c>
      <c r="AF57" s="113">
        <v>1678.8</v>
      </c>
      <c r="AG57" s="108">
        <v>1245.1600000000001</v>
      </c>
      <c r="AH57" s="108">
        <v>5129.82</v>
      </c>
      <c r="AR57" s="82" t="str">
        <f t="shared" si="0"/>
        <v>RES</v>
      </c>
      <c r="AS57" s="82" t="str">
        <f t="shared" si="1"/>
        <v xml:space="preserve"> 98938  </v>
      </c>
      <c r="AT57" s="62">
        <f t="shared" si="2"/>
        <v>16446.973079999996</v>
      </c>
      <c r="AU57" s="62">
        <f t="shared" si="3"/>
        <v>18018.382839999998</v>
      </c>
      <c r="AV57" s="62">
        <f t="shared" si="4"/>
        <v>20972.120059999997</v>
      </c>
    </row>
    <row r="58" spans="1:48" ht="12" customHeight="1" x14ac:dyDescent="0.2">
      <c r="A58" s="82" t="s">
        <v>75</v>
      </c>
      <c r="B58" s="82" t="s">
        <v>241</v>
      </c>
      <c r="C58" s="51">
        <v>28</v>
      </c>
      <c r="D58" s="87">
        <v>4575.7299999999996</v>
      </c>
      <c r="E58" s="87">
        <v>14182.21</v>
      </c>
      <c r="F58" s="87">
        <v>17851.02</v>
      </c>
      <c r="G58" s="86">
        <v>36608.959999999999</v>
      </c>
      <c r="H58" s="51">
        <v>26</v>
      </c>
      <c r="I58" s="87">
        <v>5311.62</v>
      </c>
      <c r="J58" s="87">
        <v>2954.58</v>
      </c>
      <c r="K58" s="87">
        <v>30663.15</v>
      </c>
      <c r="L58" s="86">
        <v>38929.35</v>
      </c>
      <c r="M58" s="51">
        <v>33</v>
      </c>
      <c r="N58" s="87">
        <v>5881.82</v>
      </c>
      <c r="O58" s="87">
        <v>3377.21</v>
      </c>
      <c r="P58" s="87">
        <v>33260.959999999999</v>
      </c>
      <c r="Q58" s="86">
        <v>42519.99</v>
      </c>
      <c r="R58" s="106" t="s">
        <v>75</v>
      </c>
      <c r="S58" s="106" t="s">
        <v>257</v>
      </c>
      <c r="T58" s="108">
        <v>478</v>
      </c>
      <c r="U58" s="113">
        <v>51917.8</v>
      </c>
      <c r="V58" s="113">
        <v>9904.51</v>
      </c>
      <c r="W58" s="108">
        <v>25144.58</v>
      </c>
      <c r="X58" s="108">
        <v>86966.89</v>
      </c>
      <c r="Y58" s="108">
        <v>469</v>
      </c>
      <c r="Z58" s="113">
        <v>56338.96</v>
      </c>
      <c r="AA58" s="113">
        <v>26150.54</v>
      </c>
      <c r="AB58" s="108">
        <v>18089.939999999999</v>
      </c>
      <c r="AC58" s="108">
        <v>100579.44</v>
      </c>
      <c r="AD58" s="108">
        <v>487</v>
      </c>
      <c r="AE58" s="113">
        <v>67888.19</v>
      </c>
      <c r="AF58" s="113">
        <v>29634.86</v>
      </c>
      <c r="AG58" s="108">
        <v>23438.11</v>
      </c>
      <c r="AH58" s="108">
        <v>120961.16</v>
      </c>
      <c r="AR58" s="82" t="str">
        <f t="shared" si="0"/>
        <v>RES</v>
      </c>
      <c r="AS58" s="82" t="str">
        <f t="shared" si="1"/>
        <v xml:space="preserve"> 98939  </v>
      </c>
      <c r="AT58" s="62">
        <f t="shared" si="2"/>
        <v>6125.6356900000001</v>
      </c>
      <c r="AU58" s="62">
        <f t="shared" si="3"/>
        <v>9132.774809999999</v>
      </c>
      <c r="AV58" s="62">
        <f t="shared" si="4"/>
        <v>9919.2907899999991</v>
      </c>
    </row>
    <row r="59" spans="1:48" ht="12" customHeight="1" x14ac:dyDescent="0.2">
      <c r="A59" s="82" t="s">
        <v>75</v>
      </c>
      <c r="B59" s="82" t="s">
        <v>242</v>
      </c>
      <c r="C59" s="51">
        <v>1456</v>
      </c>
      <c r="D59" s="87">
        <v>250175.730000001</v>
      </c>
      <c r="E59" s="87">
        <v>71198.789999999994</v>
      </c>
      <c r="F59" s="87">
        <v>477576.23</v>
      </c>
      <c r="G59" s="86">
        <v>798950.75</v>
      </c>
      <c r="H59" s="51">
        <v>1540</v>
      </c>
      <c r="I59" s="87">
        <v>284253.38</v>
      </c>
      <c r="J59" s="87">
        <v>116971.84</v>
      </c>
      <c r="K59" s="87">
        <v>480560.31</v>
      </c>
      <c r="L59" s="86">
        <v>881785.53</v>
      </c>
      <c r="M59" s="51">
        <v>1705</v>
      </c>
      <c r="N59" s="87">
        <v>349616.65</v>
      </c>
      <c r="O59" s="87">
        <v>138596.74</v>
      </c>
      <c r="P59" s="87">
        <v>516772.36</v>
      </c>
      <c r="Q59" s="86">
        <v>1004985.75</v>
      </c>
      <c r="R59" s="106" t="s">
        <v>75</v>
      </c>
      <c r="S59" s="106" t="s">
        <v>258</v>
      </c>
      <c r="T59" s="108">
        <v>4</v>
      </c>
      <c r="U59" s="113">
        <v>0</v>
      </c>
      <c r="V59" s="113">
        <v>746.16</v>
      </c>
      <c r="W59" s="108">
        <v>339.93</v>
      </c>
      <c r="X59" s="108">
        <v>1086.0899999999999</v>
      </c>
      <c r="Y59" s="108">
        <v>3</v>
      </c>
      <c r="Z59" s="113">
        <v>732.16</v>
      </c>
      <c r="AA59" s="113">
        <v>480.54</v>
      </c>
      <c r="AB59" s="108">
        <v>350.57</v>
      </c>
      <c r="AC59" s="108">
        <v>1563.27</v>
      </c>
      <c r="AD59" s="108">
        <v>3</v>
      </c>
      <c r="AE59" s="113">
        <v>545.72</v>
      </c>
      <c r="AF59" s="113">
        <v>857.18</v>
      </c>
      <c r="AG59" s="108">
        <v>247.11</v>
      </c>
      <c r="AH59" s="108">
        <v>1650.01</v>
      </c>
      <c r="AR59" s="82" t="str">
        <f t="shared" si="0"/>
        <v>RES</v>
      </c>
      <c r="AS59" s="82" t="str">
        <f t="shared" si="1"/>
        <v xml:space="preserve"> 98942  </v>
      </c>
      <c r="AT59" s="62">
        <f t="shared" si="2"/>
        <v>146507.86592000001</v>
      </c>
      <c r="AU59" s="62">
        <f t="shared" si="3"/>
        <v>150799.20958999998</v>
      </c>
      <c r="AV59" s="62">
        <f t="shared" si="4"/>
        <v>163672.67305999997</v>
      </c>
    </row>
    <row r="60" spans="1:48" ht="12" customHeight="1" x14ac:dyDescent="0.2">
      <c r="A60" s="82" t="s">
        <v>75</v>
      </c>
      <c r="B60" s="82" t="s">
        <v>243</v>
      </c>
      <c r="C60" s="51">
        <v>1863</v>
      </c>
      <c r="D60" s="87">
        <v>298800.46000000002</v>
      </c>
      <c r="E60" s="87">
        <v>98186.76</v>
      </c>
      <c r="F60" s="87">
        <v>559361.68000000005</v>
      </c>
      <c r="G60" s="86">
        <v>956348.9</v>
      </c>
      <c r="H60" s="51">
        <v>1980</v>
      </c>
      <c r="I60" s="87">
        <v>383188.74</v>
      </c>
      <c r="J60" s="87">
        <v>157255.01</v>
      </c>
      <c r="K60" s="87">
        <v>556882.88</v>
      </c>
      <c r="L60" s="86">
        <v>1097326.6299999999</v>
      </c>
      <c r="M60" s="51">
        <v>2046</v>
      </c>
      <c r="N60" s="87">
        <v>354148.53000000102</v>
      </c>
      <c r="O60" s="87">
        <v>204733.99</v>
      </c>
      <c r="P60" s="87">
        <v>561678.17000000004</v>
      </c>
      <c r="Q60" s="86">
        <v>1120560.69</v>
      </c>
      <c r="R60" s="181" t="s">
        <v>287</v>
      </c>
      <c r="S60" s="181"/>
      <c r="T60" s="183">
        <f>SUM(T28:T59)</f>
        <v>5079</v>
      </c>
      <c r="U60" s="182">
        <f t="shared" ref="U60:AH60" si="5">SUM(U28:U59)</f>
        <v>774718.09000000008</v>
      </c>
      <c r="V60" s="182">
        <f t="shared" si="5"/>
        <v>311310.2</v>
      </c>
      <c r="W60" s="182">
        <f t="shared" si="5"/>
        <v>1743432.4599999995</v>
      </c>
      <c r="X60" s="182">
        <f t="shared" si="5"/>
        <v>2829460.7499999995</v>
      </c>
      <c r="Y60" s="183">
        <f t="shared" si="5"/>
        <v>5702</v>
      </c>
      <c r="Z60" s="182">
        <f t="shared" si="5"/>
        <v>1117318.3399999999</v>
      </c>
      <c r="AA60" s="182">
        <f t="shared" si="5"/>
        <v>550884.96000000008</v>
      </c>
      <c r="AB60" s="182">
        <f t="shared" si="5"/>
        <v>1783030.0099999998</v>
      </c>
      <c r="AC60" s="182">
        <f t="shared" si="5"/>
        <v>3451233.3100000005</v>
      </c>
      <c r="AD60" s="183">
        <f t="shared" si="5"/>
        <v>5578</v>
      </c>
      <c r="AE60" s="182">
        <f t="shared" si="5"/>
        <v>932551.30000000028</v>
      </c>
      <c r="AF60" s="182">
        <f t="shared" si="5"/>
        <v>726174.94000000018</v>
      </c>
      <c r="AG60" s="182">
        <f t="shared" si="5"/>
        <v>1785731.6000000006</v>
      </c>
      <c r="AH60" s="182">
        <f t="shared" si="5"/>
        <v>3444457.84</v>
      </c>
      <c r="AR60" s="82" t="str">
        <f t="shared" si="0"/>
        <v>RES</v>
      </c>
      <c r="AS60" s="82" t="str">
        <f t="shared" si="1"/>
        <v xml:space="preserve"> 98944  </v>
      </c>
      <c r="AT60" s="62">
        <f t="shared" si="2"/>
        <v>172622.09875999999</v>
      </c>
      <c r="AU60" s="62">
        <f t="shared" si="3"/>
        <v>176977.23778999998</v>
      </c>
      <c r="AV60" s="62">
        <f t="shared" si="4"/>
        <v>180889.60898000002</v>
      </c>
    </row>
    <row r="61" spans="1:48" ht="12" customHeight="1" x14ac:dyDescent="0.2">
      <c r="A61" s="82" t="s">
        <v>75</v>
      </c>
      <c r="B61" s="82" t="s">
        <v>244</v>
      </c>
      <c r="C61" s="51">
        <v>312</v>
      </c>
      <c r="D61" s="87">
        <v>56557.96</v>
      </c>
      <c r="E61" s="87">
        <v>20470.189999999999</v>
      </c>
      <c r="F61" s="87">
        <v>90110.29</v>
      </c>
      <c r="G61" s="86">
        <v>167138.44</v>
      </c>
      <c r="H61" s="51">
        <v>366</v>
      </c>
      <c r="I61" s="87">
        <v>86333.64</v>
      </c>
      <c r="J61" s="87">
        <v>27567.39</v>
      </c>
      <c r="K61" s="87">
        <v>95384.77</v>
      </c>
      <c r="L61" s="86">
        <v>209285.8</v>
      </c>
      <c r="M61" s="51">
        <v>367</v>
      </c>
      <c r="N61" s="87">
        <v>70176.59</v>
      </c>
      <c r="O61" s="87">
        <v>49640.42</v>
      </c>
      <c r="P61" s="87">
        <v>98739.86</v>
      </c>
      <c r="Q61" s="86">
        <v>218556.87</v>
      </c>
      <c r="R61" s="82"/>
      <c r="S61" s="82"/>
      <c r="T61" s="51"/>
      <c r="U61" s="87"/>
      <c r="V61" s="87"/>
      <c r="W61" s="87"/>
      <c r="X61" s="86"/>
      <c r="Y61" s="51"/>
      <c r="Z61" s="87"/>
      <c r="AA61" s="87"/>
      <c r="AB61" s="87"/>
      <c r="AC61" s="86"/>
      <c r="AD61" s="51"/>
      <c r="AE61" s="87"/>
      <c r="AF61" s="87"/>
      <c r="AG61" s="87"/>
      <c r="AH61" s="86"/>
      <c r="AR61" s="82" t="str">
        <f t="shared" si="0"/>
        <v>RES</v>
      </c>
      <c r="AS61" s="82" t="str">
        <f t="shared" si="1"/>
        <v xml:space="preserve"> 98947  </v>
      </c>
      <c r="AT61" s="62">
        <f t="shared" si="2"/>
        <v>28236.423139999999</v>
      </c>
      <c r="AU61" s="62">
        <f t="shared" si="3"/>
        <v>30684.282339999998</v>
      </c>
      <c r="AV61" s="62">
        <f t="shared" si="4"/>
        <v>32785.991439999998</v>
      </c>
    </row>
    <row r="62" spans="1:48" ht="12" customHeight="1" x14ac:dyDescent="0.2">
      <c r="A62" s="82" t="s">
        <v>75</v>
      </c>
      <c r="B62" s="82" t="s">
        <v>245</v>
      </c>
      <c r="C62" s="51">
        <v>925</v>
      </c>
      <c r="D62" s="87">
        <v>121624.87</v>
      </c>
      <c r="E62" s="87">
        <v>70056.52</v>
      </c>
      <c r="F62" s="87">
        <v>520046.79</v>
      </c>
      <c r="G62" s="86">
        <v>711728.18</v>
      </c>
      <c r="H62" s="51">
        <v>1340</v>
      </c>
      <c r="I62" s="87">
        <v>349130.02</v>
      </c>
      <c r="J62" s="87">
        <v>80409.77</v>
      </c>
      <c r="K62" s="87">
        <v>559684.93999999994</v>
      </c>
      <c r="L62" s="86">
        <v>989224.73</v>
      </c>
      <c r="M62" s="51">
        <v>1131</v>
      </c>
      <c r="N62" s="87">
        <v>199567.47</v>
      </c>
      <c r="O62" s="87">
        <v>169750.22</v>
      </c>
      <c r="P62" s="87">
        <v>523805.42</v>
      </c>
      <c r="Q62" s="86">
        <v>893123.11</v>
      </c>
      <c r="AR62" s="82" t="str">
        <f t="shared" si="0"/>
        <v>RES</v>
      </c>
      <c r="AS62" s="82" t="str">
        <f t="shared" si="1"/>
        <v xml:space="preserve"> 98948  </v>
      </c>
      <c r="AT62" s="62">
        <f t="shared" si="2"/>
        <v>156653.08098999996</v>
      </c>
      <c r="AU62" s="62">
        <f t="shared" si="3"/>
        <v>172400.84348999997</v>
      </c>
      <c r="AV62" s="62">
        <f t="shared" si="4"/>
        <v>165267.10975999999</v>
      </c>
    </row>
    <row r="63" spans="1:48" ht="12" customHeight="1" x14ac:dyDescent="0.2">
      <c r="A63" s="82" t="s">
        <v>75</v>
      </c>
      <c r="B63" s="82" t="s">
        <v>246</v>
      </c>
      <c r="C63" s="51">
        <v>1000</v>
      </c>
      <c r="D63" s="87">
        <v>179522.39</v>
      </c>
      <c r="E63" s="87">
        <v>60896.61</v>
      </c>
      <c r="F63" s="87">
        <v>549661.97</v>
      </c>
      <c r="G63" s="86">
        <v>790080.97</v>
      </c>
      <c r="H63" s="51">
        <v>1126</v>
      </c>
      <c r="I63" s="87">
        <v>259702.27</v>
      </c>
      <c r="J63" s="87">
        <v>112358.87</v>
      </c>
      <c r="K63" s="87">
        <v>526379.55000000005</v>
      </c>
      <c r="L63" s="86">
        <v>898440.69</v>
      </c>
      <c r="M63" s="51">
        <v>1156</v>
      </c>
      <c r="N63" s="87">
        <v>239727.1</v>
      </c>
      <c r="O63" s="87">
        <v>151564.87</v>
      </c>
      <c r="P63" s="87">
        <v>538652</v>
      </c>
      <c r="Q63" s="86">
        <v>929943.97000000102</v>
      </c>
      <c r="AR63" s="82" t="str">
        <f t="shared" si="0"/>
        <v>RES</v>
      </c>
      <c r="AS63" s="82" t="str">
        <f t="shared" si="1"/>
        <v xml:space="preserve"> 98951  </v>
      </c>
      <c r="AT63" s="62">
        <f t="shared" si="2"/>
        <v>165561.15399999998</v>
      </c>
      <c r="AU63" s="62">
        <f t="shared" si="3"/>
        <v>163357.53508</v>
      </c>
      <c r="AV63" s="62">
        <f t="shared" si="4"/>
        <v>169054.64840999999</v>
      </c>
    </row>
    <row r="64" spans="1:48" ht="12" customHeight="1" x14ac:dyDescent="0.2">
      <c r="A64" s="82" t="s">
        <v>75</v>
      </c>
      <c r="B64" s="82" t="s">
        <v>247</v>
      </c>
      <c r="C64" s="51">
        <v>88</v>
      </c>
      <c r="D64" s="87">
        <v>19451.419999999998</v>
      </c>
      <c r="E64" s="87">
        <v>6964.49</v>
      </c>
      <c r="F64" s="87">
        <v>56485.1</v>
      </c>
      <c r="G64" s="86">
        <v>82901.009999999995</v>
      </c>
      <c r="H64" s="51">
        <v>92</v>
      </c>
      <c r="I64" s="87">
        <v>21520.42</v>
      </c>
      <c r="J64" s="87">
        <v>12921.42</v>
      </c>
      <c r="K64" s="87">
        <v>60020.35</v>
      </c>
      <c r="L64" s="86">
        <v>94462.19</v>
      </c>
      <c r="M64" s="51">
        <v>92</v>
      </c>
      <c r="N64" s="87">
        <v>21380.86</v>
      </c>
      <c r="O64" s="87">
        <v>17028.05</v>
      </c>
      <c r="P64" s="87">
        <v>65874.34</v>
      </c>
      <c r="Q64" s="86">
        <v>104283.25</v>
      </c>
      <c r="AR64" s="82" t="str">
        <f t="shared" si="0"/>
        <v>RES</v>
      </c>
      <c r="AS64" s="82" t="str">
        <f t="shared" si="1"/>
        <v xml:space="preserve"> 98952  </v>
      </c>
      <c r="AT64" s="62">
        <f t="shared" si="2"/>
        <v>17074.179489999999</v>
      </c>
      <c r="AU64" s="62">
        <f t="shared" si="3"/>
        <v>18504.257329999997</v>
      </c>
      <c r="AV64" s="62">
        <f t="shared" si="4"/>
        <v>20452.545169999998</v>
      </c>
    </row>
    <row r="65" spans="1:48" ht="12" customHeight="1" x14ac:dyDescent="0.2">
      <c r="A65" s="82" t="s">
        <v>75</v>
      </c>
      <c r="B65" s="82" t="s">
        <v>248</v>
      </c>
      <c r="C65" s="51">
        <v>638</v>
      </c>
      <c r="D65" s="87">
        <v>113002.93</v>
      </c>
      <c r="E65" s="87">
        <v>41988.3</v>
      </c>
      <c r="F65" s="87">
        <v>160442.13</v>
      </c>
      <c r="G65" s="86">
        <v>315433.36</v>
      </c>
      <c r="H65" s="51">
        <v>709</v>
      </c>
      <c r="I65" s="87">
        <v>163605.75</v>
      </c>
      <c r="J65" s="87">
        <v>50756.08</v>
      </c>
      <c r="K65" s="87">
        <v>156583.16</v>
      </c>
      <c r="L65" s="86">
        <v>370944.99</v>
      </c>
      <c r="M65" s="51">
        <v>705</v>
      </c>
      <c r="N65" s="87">
        <v>130785.23</v>
      </c>
      <c r="O65" s="87">
        <v>74436.600000000006</v>
      </c>
      <c r="P65" s="87">
        <v>154353.20000000001</v>
      </c>
      <c r="Q65" s="86">
        <v>359575.03</v>
      </c>
      <c r="AR65" s="82" t="str">
        <f t="shared" si="0"/>
        <v>RES</v>
      </c>
      <c r="AS65" s="82" t="str">
        <f t="shared" si="1"/>
        <v xml:space="preserve"> 98953  </v>
      </c>
      <c r="AT65" s="62">
        <f t="shared" si="2"/>
        <v>50821.085349999994</v>
      </c>
      <c r="AU65" s="62">
        <f t="shared" si="3"/>
        <v>51067.85828</v>
      </c>
      <c r="AV65" s="62">
        <f t="shared" si="4"/>
        <v>51390.14428</v>
      </c>
    </row>
    <row r="66" spans="1:48" ht="12" customHeight="1" x14ac:dyDescent="0.2">
      <c r="A66" s="82" t="s">
        <v>75</v>
      </c>
      <c r="B66" s="82" t="s">
        <v>269</v>
      </c>
      <c r="C66" s="51"/>
      <c r="D66" s="87">
        <v>0</v>
      </c>
      <c r="E66" s="87">
        <v>0</v>
      </c>
      <c r="F66" s="87">
        <v>0</v>
      </c>
      <c r="G66" s="86">
        <v>0</v>
      </c>
      <c r="H66" s="51"/>
      <c r="I66" s="87">
        <v>0</v>
      </c>
      <c r="J66" s="87">
        <v>0</v>
      </c>
      <c r="K66" s="87">
        <v>0</v>
      </c>
      <c r="L66" s="86">
        <v>0</v>
      </c>
      <c r="M66" s="51"/>
      <c r="N66" s="87">
        <v>0</v>
      </c>
      <c r="O66" s="87">
        <v>0</v>
      </c>
      <c r="P66" s="87">
        <v>0</v>
      </c>
      <c r="Q66" s="86">
        <v>0</v>
      </c>
      <c r="AR66" s="82" t="str">
        <f t="shared" si="0"/>
        <v>RES</v>
      </c>
      <c r="AS66" s="82" t="str">
        <f t="shared" si="1"/>
        <v xml:space="preserve"> 99301  </v>
      </c>
      <c r="AT66" s="62">
        <f t="shared" si="2"/>
        <v>0</v>
      </c>
      <c r="AU66" s="62">
        <f t="shared" si="3"/>
        <v>0</v>
      </c>
      <c r="AV66" s="62">
        <f t="shared" si="4"/>
        <v>0</v>
      </c>
    </row>
    <row r="67" spans="1:48" ht="12" customHeight="1" x14ac:dyDescent="0.2">
      <c r="A67" s="82" t="s">
        <v>75</v>
      </c>
      <c r="B67" s="82" t="s">
        <v>249</v>
      </c>
      <c r="C67" s="51">
        <v>236</v>
      </c>
      <c r="D67" s="87">
        <v>46545.98</v>
      </c>
      <c r="E67" s="87">
        <v>15682.55</v>
      </c>
      <c r="F67" s="87">
        <v>11424.79</v>
      </c>
      <c r="G67" s="86">
        <v>73653.320000000007</v>
      </c>
      <c r="H67" s="51">
        <v>274</v>
      </c>
      <c r="I67" s="87">
        <v>73511.8</v>
      </c>
      <c r="J67" s="87">
        <v>15941.43</v>
      </c>
      <c r="K67" s="87">
        <v>10652.55</v>
      </c>
      <c r="L67" s="86">
        <v>100105.78</v>
      </c>
      <c r="M67" s="51">
        <v>268</v>
      </c>
      <c r="N67" s="87">
        <v>47512.82</v>
      </c>
      <c r="O67" s="87">
        <v>35324.949999999997</v>
      </c>
      <c r="P67" s="87">
        <v>13539.74</v>
      </c>
      <c r="Q67" s="86">
        <v>96377.51</v>
      </c>
      <c r="AR67" s="82" t="str">
        <f t="shared" si="0"/>
        <v>RES</v>
      </c>
      <c r="AS67" s="82" t="str">
        <f t="shared" si="1"/>
        <v xml:space="preserve"> 99323  </v>
      </c>
      <c r="AT67" s="62">
        <f t="shared" si="2"/>
        <v>5034.5006400000002</v>
      </c>
      <c r="AU67" s="62">
        <f t="shared" si="3"/>
        <v>5259.0858399999997</v>
      </c>
      <c r="AV67" s="62">
        <f t="shared" si="4"/>
        <v>6898.6618299999991</v>
      </c>
    </row>
    <row r="68" spans="1:48" ht="12" customHeight="1" x14ac:dyDescent="0.2">
      <c r="A68" s="82" t="s">
        <v>75</v>
      </c>
      <c r="B68" s="82" t="s">
        <v>250</v>
      </c>
      <c r="C68" s="51">
        <v>501</v>
      </c>
      <c r="D68" s="87">
        <v>57603.919999999896</v>
      </c>
      <c r="E68" s="87">
        <v>16818.3</v>
      </c>
      <c r="F68" s="87">
        <v>16086.35</v>
      </c>
      <c r="G68" s="86">
        <v>90508.57</v>
      </c>
      <c r="H68" s="51">
        <v>548</v>
      </c>
      <c r="I68" s="87">
        <v>69138.39</v>
      </c>
      <c r="J68" s="87">
        <v>23164.799999999999</v>
      </c>
      <c r="K68" s="87">
        <v>16924.21</v>
      </c>
      <c r="L68" s="86">
        <v>109227.4</v>
      </c>
      <c r="M68" s="51">
        <v>610</v>
      </c>
      <c r="N68" s="87">
        <v>83745.03</v>
      </c>
      <c r="O68" s="87">
        <v>30135.81</v>
      </c>
      <c r="P68" s="87">
        <v>16249.43</v>
      </c>
      <c r="Q68" s="86">
        <v>130130.27</v>
      </c>
      <c r="AR68" s="82" t="str">
        <f t="shared" si="0"/>
        <v>RES</v>
      </c>
      <c r="AS68" s="82" t="str">
        <f t="shared" si="1"/>
        <v xml:space="preserve"> 99324  </v>
      </c>
      <c r="AT68" s="62">
        <f t="shared" si="2"/>
        <v>6630.1707699999979</v>
      </c>
      <c r="AU68" s="62">
        <f t="shared" si="3"/>
        <v>7456.6933299999992</v>
      </c>
      <c r="AV68" s="62">
        <f t="shared" si="4"/>
        <v>7934.56178</v>
      </c>
    </row>
    <row r="69" spans="1:48" ht="12" customHeight="1" x14ac:dyDescent="0.2">
      <c r="A69" s="82" t="s">
        <v>75</v>
      </c>
      <c r="B69" s="82" t="s">
        <v>251</v>
      </c>
      <c r="C69" s="51">
        <v>338</v>
      </c>
      <c r="D69" s="87">
        <v>64868.400000000103</v>
      </c>
      <c r="E69" s="87">
        <v>19494.669999999998</v>
      </c>
      <c r="F69" s="87">
        <v>11124.42</v>
      </c>
      <c r="G69" s="86">
        <v>95487.49</v>
      </c>
      <c r="H69" s="51">
        <v>398</v>
      </c>
      <c r="I69" s="87">
        <v>96887.2</v>
      </c>
      <c r="J69" s="87">
        <v>28497.33</v>
      </c>
      <c r="K69" s="87">
        <v>11658.31</v>
      </c>
      <c r="L69" s="86">
        <v>137042.84</v>
      </c>
      <c r="M69" s="51">
        <v>406</v>
      </c>
      <c r="N69" s="87">
        <v>80504.020000000106</v>
      </c>
      <c r="O69" s="87">
        <v>44183.67</v>
      </c>
      <c r="P69" s="87">
        <v>16191.57</v>
      </c>
      <c r="Q69" s="86">
        <v>140879.26</v>
      </c>
      <c r="AR69" s="82" t="str">
        <f t="shared" si="0"/>
        <v>RES</v>
      </c>
      <c r="AS69" s="82" t="str">
        <f t="shared" si="1"/>
        <v xml:space="preserve"> 99328  </v>
      </c>
      <c r="AT69" s="62">
        <f t="shared" si="2"/>
        <v>5481.0159900000017</v>
      </c>
      <c r="AU69" s="62">
        <f t="shared" si="3"/>
        <v>6714.7785800000001</v>
      </c>
      <c r="AV69" s="62">
        <f t="shared" si="4"/>
        <v>8750.9992600000023</v>
      </c>
    </row>
    <row r="70" spans="1:48" ht="12" customHeight="1" x14ac:dyDescent="0.2">
      <c r="A70" s="82" t="s">
        <v>75</v>
      </c>
      <c r="B70" s="82" t="s">
        <v>252</v>
      </c>
      <c r="C70" s="51">
        <v>18</v>
      </c>
      <c r="D70" s="87">
        <v>2274.36</v>
      </c>
      <c r="E70" s="87">
        <v>216.74</v>
      </c>
      <c r="F70" s="87">
        <v>9.15</v>
      </c>
      <c r="G70" s="86">
        <v>2500.25</v>
      </c>
      <c r="H70" s="51">
        <v>22</v>
      </c>
      <c r="I70" s="87">
        <v>3333.45</v>
      </c>
      <c r="J70" s="87">
        <v>600.01</v>
      </c>
      <c r="K70" s="87">
        <v>34.659999999999997</v>
      </c>
      <c r="L70" s="86">
        <v>3968.12</v>
      </c>
      <c r="M70" s="51">
        <v>25</v>
      </c>
      <c r="N70" s="87">
        <v>3718.29</v>
      </c>
      <c r="O70" s="87">
        <v>789.69</v>
      </c>
      <c r="P70" s="87">
        <v>267.63</v>
      </c>
      <c r="Q70" s="86">
        <v>4775.6099999999997</v>
      </c>
      <c r="AR70" s="82" t="str">
        <f t="shared" ref="AR70:AR78" si="6">A70</f>
        <v>RES</v>
      </c>
      <c r="AS70" s="82" t="str">
        <f t="shared" ref="AS70:AS77" si="7">B70</f>
        <v xml:space="preserve"> 99329  </v>
      </c>
      <c r="AT70" s="62">
        <f t="shared" ref="AT70:AT76" si="8">D70*1.6%+E70*6.3%+F70*28.9%</f>
        <v>52.688730000000007</v>
      </c>
      <c r="AU70" s="62">
        <f t="shared" ref="AU70:AU76" si="9">I70*1.6%+J70*6.3%+K70*28.9%</f>
        <v>101.15257</v>
      </c>
      <c r="AV70" s="62">
        <f t="shared" ref="AV70:AV75" si="10">N70*1.6%+O70*6.3%+P70*28.9%</f>
        <v>186.58817999999999</v>
      </c>
    </row>
    <row r="71" spans="1:48" ht="12" customHeight="1" x14ac:dyDescent="0.2">
      <c r="A71" s="82" t="s">
        <v>75</v>
      </c>
      <c r="B71" s="82" t="s">
        <v>253</v>
      </c>
      <c r="C71" s="51">
        <v>134</v>
      </c>
      <c r="D71" s="87">
        <v>24172.06</v>
      </c>
      <c r="E71" s="87">
        <v>4982.6099999999997</v>
      </c>
      <c r="F71" s="87">
        <v>10068.700000000001</v>
      </c>
      <c r="G71" s="86">
        <v>39223.370000000003</v>
      </c>
      <c r="H71" s="51">
        <v>141</v>
      </c>
      <c r="I71" s="87">
        <v>28453.48</v>
      </c>
      <c r="J71" s="87">
        <v>8490.34</v>
      </c>
      <c r="K71" s="87">
        <v>6033.18</v>
      </c>
      <c r="L71" s="86">
        <v>42977</v>
      </c>
      <c r="M71" s="51">
        <v>183</v>
      </c>
      <c r="N71" s="87">
        <v>40092.300000000097</v>
      </c>
      <c r="O71" s="87">
        <v>10195.01</v>
      </c>
      <c r="P71" s="87">
        <v>8557.7099999999991</v>
      </c>
      <c r="Q71" s="86">
        <v>58845.02</v>
      </c>
      <c r="AR71" s="82" t="str">
        <f t="shared" si="6"/>
        <v>RES</v>
      </c>
      <c r="AS71" s="82" t="str">
        <f t="shared" si="7"/>
        <v xml:space="preserve"> 99347  </v>
      </c>
      <c r="AT71" s="62">
        <f t="shared" si="8"/>
        <v>3610.5116900000003</v>
      </c>
      <c r="AU71" s="62">
        <f t="shared" si="9"/>
        <v>2733.73612</v>
      </c>
      <c r="AV71" s="62">
        <f t="shared" si="10"/>
        <v>3756.9406200000012</v>
      </c>
    </row>
    <row r="72" spans="1:48" ht="12" customHeight="1" x14ac:dyDescent="0.2">
      <c r="A72" s="82" t="s">
        <v>75</v>
      </c>
      <c r="B72" s="82" t="s">
        <v>254</v>
      </c>
      <c r="C72" s="51">
        <v>45</v>
      </c>
      <c r="D72" s="87">
        <v>7350.65</v>
      </c>
      <c r="E72" s="87">
        <v>1802.87</v>
      </c>
      <c r="F72" s="87">
        <v>1963.27</v>
      </c>
      <c r="G72" s="86">
        <v>11116.79</v>
      </c>
      <c r="H72" s="51">
        <v>49</v>
      </c>
      <c r="I72" s="87">
        <v>9929.61</v>
      </c>
      <c r="J72" s="87">
        <v>2839.35</v>
      </c>
      <c r="K72" s="87">
        <v>918.78</v>
      </c>
      <c r="L72" s="86">
        <v>13687.74</v>
      </c>
      <c r="M72" s="51">
        <v>45</v>
      </c>
      <c r="N72" s="87">
        <v>8901.25</v>
      </c>
      <c r="O72" s="87">
        <v>3955.74</v>
      </c>
      <c r="P72" s="87">
        <v>1752.18</v>
      </c>
      <c r="Q72" s="86">
        <v>14609.17</v>
      </c>
      <c r="AR72" s="82" t="str">
        <f t="shared" si="6"/>
        <v>RES</v>
      </c>
      <c r="AS72" s="82" t="str">
        <f t="shared" si="7"/>
        <v xml:space="preserve"> 99348  </v>
      </c>
      <c r="AT72" s="62">
        <f t="shared" si="8"/>
        <v>798.57623999999987</v>
      </c>
      <c r="AU72" s="62">
        <f t="shared" si="9"/>
        <v>603.28022999999996</v>
      </c>
      <c r="AV72" s="62">
        <f t="shared" si="10"/>
        <v>898.01163999999994</v>
      </c>
    </row>
    <row r="73" spans="1:48" ht="12" customHeight="1" x14ac:dyDescent="0.2">
      <c r="A73" s="82" t="s">
        <v>75</v>
      </c>
      <c r="B73" s="82" t="s">
        <v>259</v>
      </c>
      <c r="C73" s="51">
        <v>4</v>
      </c>
      <c r="D73" s="87">
        <v>1016.25</v>
      </c>
      <c r="E73" s="87">
        <v>0</v>
      </c>
      <c r="F73" s="87">
        <v>1804.53</v>
      </c>
      <c r="G73" s="86">
        <v>2820.78</v>
      </c>
      <c r="H73" s="51">
        <v>6</v>
      </c>
      <c r="I73" s="87">
        <v>1054.96</v>
      </c>
      <c r="J73" s="87">
        <v>246.3</v>
      </c>
      <c r="K73" s="87">
        <v>1804.53</v>
      </c>
      <c r="L73" s="86">
        <v>3105.79</v>
      </c>
      <c r="M73" s="51">
        <v>5</v>
      </c>
      <c r="N73" s="87">
        <v>1367.87</v>
      </c>
      <c r="O73" s="87">
        <v>10.3</v>
      </c>
      <c r="P73" s="87">
        <v>0</v>
      </c>
      <c r="Q73" s="86">
        <v>1378.17</v>
      </c>
      <c r="AR73" s="82" t="str">
        <f t="shared" si="6"/>
        <v>RES</v>
      </c>
      <c r="AS73" s="82" t="str">
        <f t="shared" si="7"/>
        <v xml:space="preserve"> 99350  </v>
      </c>
      <c r="AT73" s="62">
        <f t="shared" si="8"/>
        <v>537.76916999999992</v>
      </c>
      <c r="AU73" s="62">
        <f t="shared" si="9"/>
        <v>553.90542999999991</v>
      </c>
      <c r="AV73" s="62">
        <f t="shared" si="10"/>
        <v>22.53482</v>
      </c>
    </row>
    <row r="74" spans="1:48" ht="12" customHeight="1" x14ac:dyDescent="0.2">
      <c r="A74" s="82" t="s">
        <v>75</v>
      </c>
      <c r="B74" s="82" t="s">
        <v>255</v>
      </c>
      <c r="C74" s="51">
        <v>40</v>
      </c>
      <c r="D74" s="87">
        <v>1926.19</v>
      </c>
      <c r="E74" s="87">
        <v>5113.18</v>
      </c>
      <c r="F74" s="87">
        <v>1724.59</v>
      </c>
      <c r="G74" s="86">
        <v>8763.9599999999991</v>
      </c>
      <c r="H74" s="51">
        <v>106</v>
      </c>
      <c r="I74" s="87">
        <v>26449.040000000001</v>
      </c>
      <c r="J74" s="87">
        <v>6156.37</v>
      </c>
      <c r="K74" s="87">
        <v>888.66</v>
      </c>
      <c r="L74" s="86">
        <v>33494.07</v>
      </c>
      <c r="M74" s="51">
        <v>103</v>
      </c>
      <c r="N74" s="87">
        <v>18124.89</v>
      </c>
      <c r="O74" s="87">
        <v>9761.36</v>
      </c>
      <c r="P74" s="87">
        <v>725.26</v>
      </c>
      <c r="Q74" s="86">
        <v>28611.51</v>
      </c>
      <c r="AR74" s="82" t="str">
        <f t="shared" si="6"/>
        <v>RES</v>
      </c>
      <c r="AS74" s="82" t="str">
        <f t="shared" si="7"/>
        <v xml:space="preserve"> 99360  </v>
      </c>
      <c r="AT74" s="62">
        <f t="shared" si="8"/>
        <v>851.35588999999993</v>
      </c>
      <c r="AU74" s="62">
        <f t="shared" si="9"/>
        <v>1067.85869</v>
      </c>
      <c r="AV74" s="62">
        <f t="shared" si="10"/>
        <v>1114.5640599999999</v>
      </c>
    </row>
    <row r="75" spans="1:48" ht="12" customHeight="1" x14ac:dyDescent="0.2">
      <c r="A75" s="82" t="s">
        <v>75</v>
      </c>
      <c r="B75" s="82" t="s">
        <v>256</v>
      </c>
      <c r="C75" s="51">
        <v>99</v>
      </c>
      <c r="D75" s="87">
        <v>18801.22</v>
      </c>
      <c r="E75" s="87">
        <v>2749.01</v>
      </c>
      <c r="F75" s="87">
        <v>3850</v>
      </c>
      <c r="G75" s="86">
        <v>25400.23</v>
      </c>
      <c r="H75" s="51">
        <v>126</v>
      </c>
      <c r="I75" s="87">
        <v>30864.1</v>
      </c>
      <c r="J75" s="87">
        <v>7654.34</v>
      </c>
      <c r="K75" s="87">
        <v>2788.2</v>
      </c>
      <c r="L75" s="86">
        <v>41306.639999999999</v>
      </c>
      <c r="M75" s="51">
        <v>146</v>
      </c>
      <c r="N75" s="87">
        <v>30553.49</v>
      </c>
      <c r="O75" s="87">
        <v>13723.53</v>
      </c>
      <c r="P75" s="87">
        <v>4761.54</v>
      </c>
      <c r="Q75" s="86">
        <v>49038.559999999998</v>
      </c>
      <c r="AR75" s="82" t="str">
        <f t="shared" si="6"/>
        <v>RES</v>
      </c>
      <c r="AS75" s="82" t="str">
        <f t="shared" si="7"/>
        <v xml:space="preserve"> 99361  </v>
      </c>
      <c r="AT75" s="62">
        <f t="shared" si="8"/>
        <v>1586.65715</v>
      </c>
      <c r="AU75" s="62">
        <f t="shared" si="9"/>
        <v>1781.8388199999999</v>
      </c>
      <c r="AV75" s="62">
        <f t="shared" si="10"/>
        <v>2729.5232900000001</v>
      </c>
    </row>
    <row r="76" spans="1:48" ht="12" customHeight="1" x14ac:dyDescent="0.2">
      <c r="A76" s="82" t="s">
        <v>75</v>
      </c>
      <c r="B76" s="82" t="s">
        <v>257</v>
      </c>
      <c r="C76" s="51">
        <v>2152</v>
      </c>
      <c r="D76" s="87">
        <v>238971.25</v>
      </c>
      <c r="E76" s="87">
        <v>39648.82</v>
      </c>
      <c r="F76" s="87">
        <v>104010.66</v>
      </c>
      <c r="G76" s="86">
        <v>382630.73000000097</v>
      </c>
      <c r="H76" s="51">
        <v>2289</v>
      </c>
      <c r="I76" s="87">
        <v>290441.06</v>
      </c>
      <c r="J76" s="87">
        <v>92151.4200000001</v>
      </c>
      <c r="K76" s="87">
        <v>74798.87</v>
      </c>
      <c r="L76" s="86">
        <v>457391.35</v>
      </c>
      <c r="M76" s="51">
        <v>2465</v>
      </c>
      <c r="N76" s="87">
        <v>341908.54</v>
      </c>
      <c r="O76" s="87">
        <v>114933.73</v>
      </c>
      <c r="P76" s="87">
        <v>84846.8</v>
      </c>
      <c r="Q76" s="86">
        <v>541689.06999999995</v>
      </c>
      <c r="AR76" s="82" t="str">
        <f t="shared" si="6"/>
        <v>RES</v>
      </c>
      <c r="AS76" s="82" t="str">
        <f t="shared" si="7"/>
        <v xml:space="preserve"> 99362  </v>
      </c>
      <c r="AT76" s="62">
        <f t="shared" si="8"/>
        <v>36380.496399999996</v>
      </c>
      <c r="AU76" s="62">
        <f t="shared" si="9"/>
        <v>32069.469850000001</v>
      </c>
      <c r="AV76" s="62">
        <f>N76*1.6%+O76*6.3%+P76*28.9%</f>
        <v>37232.08683</v>
      </c>
    </row>
    <row r="77" spans="1:48" ht="12" customHeight="1" x14ac:dyDescent="0.2">
      <c r="A77" s="82" t="s">
        <v>75</v>
      </c>
      <c r="B77" s="82" t="s">
        <v>258</v>
      </c>
      <c r="C77" s="51">
        <v>8</v>
      </c>
      <c r="D77" s="87">
        <v>0</v>
      </c>
      <c r="E77" s="87">
        <v>1378.2</v>
      </c>
      <c r="F77" s="87">
        <v>339.93</v>
      </c>
      <c r="G77" s="86">
        <v>1718.13</v>
      </c>
      <c r="H77" s="51">
        <v>26</v>
      </c>
      <c r="I77" s="87">
        <v>6035.44</v>
      </c>
      <c r="J77" s="87">
        <v>1440.9</v>
      </c>
      <c r="K77" s="87">
        <v>522.72</v>
      </c>
      <c r="L77" s="86">
        <v>7999.06</v>
      </c>
      <c r="M77" s="51">
        <v>23</v>
      </c>
      <c r="N77" s="87">
        <v>4383.68</v>
      </c>
      <c r="O77" s="87">
        <v>2965.15</v>
      </c>
      <c r="P77" s="87">
        <v>247.11</v>
      </c>
      <c r="Q77" s="86">
        <v>7595.94</v>
      </c>
      <c r="AR77" s="82" t="str">
        <f t="shared" si="6"/>
        <v>RES</v>
      </c>
      <c r="AS77" s="82" t="str">
        <f t="shared" si="7"/>
        <v xml:space="preserve"> 99363  </v>
      </c>
      <c r="AT77" s="62">
        <f t="shared" ref="AT77" si="11">D77*1.6%+E77*6.3%+F77*28.9%</f>
        <v>185.06637000000001</v>
      </c>
      <c r="AU77" s="62">
        <f t="shared" ref="AU77" si="12">I77*1.6%+J77*6.3%+K77*28.9%</f>
        <v>338.40981999999997</v>
      </c>
      <c r="AV77" s="62">
        <f>N77*1.6%+O77*6.3%+P77*28.9%</f>
        <v>328.35811999999999</v>
      </c>
    </row>
    <row r="78" spans="1:48" ht="12" customHeight="1" x14ac:dyDescent="0.2">
      <c r="A78" s="178" t="s">
        <v>287</v>
      </c>
      <c r="B78" s="178"/>
      <c r="C78" s="178">
        <f>SUM(C42:C77)</f>
        <v>24138</v>
      </c>
      <c r="D78" s="179">
        <f t="shared" ref="D78:Q78" si="13">SUM(D42:D77)</f>
        <v>3636397.7399999998</v>
      </c>
      <c r="E78" s="179">
        <f t="shared" si="13"/>
        <v>1162022.3500000003</v>
      </c>
      <c r="F78" s="179">
        <f t="shared" si="13"/>
        <v>6445868.9699999997</v>
      </c>
      <c r="G78" s="179">
        <f t="shared" si="13"/>
        <v>11244289.060000001</v>
      </c>
      <c r="H78" s="180">
        <f t="shared" si="13"/>
        <v>28027</v>
      </c>
      <c r="I78" s="179">
        <f t="shared" si="13"/>
        <v>5446333.2499999963</v>
      </c>
      <c r="J78" s="179">
        <f t="shared" si="13"/>
        <v>1848363.7600000005</v>
      </c>
      <c r="K78" s="179">
        <f t="shared" si="13"/>
        <v>6432542.7699999986</v>
      </c>
      <c r="L78" s="179">
        <f t="shared" si="13"/>
        <v>13727239.779999999</v>
      </c>
      <c r="M78" s="180">
        <f t="shared" si="13"/>
        <v>28428</v>
      </c>
      <c r="N78" s="179">
        <f t="shared" si="13"/>
        <v>4842085.0100000035</v>
      </c>
      <c r="O78" s="179">
        <f t="shared" si="13"/>
        <v>2691501.4599999995</v>
      </c>
      <c r="P78" s="179">
        <f t="shared" si="13"/>
        <v>6489796.7599999998</v>
      </c>
      <c r="Q78" s="179">
        <f t="shared" si="13"/>
        <v>14023383.229999995</v>
      </c>
      <c r="AR78" s="184" t="str">
        <f t="shared" si="6"/>
        <v>TOTAL</v>
      </c>
      <c r="AS78" s="184"/>
      <c r="AT78" s="185">
        <f>SUM(AT42:AT77)</f>
        <v>1994245.9042200006</v>
      </c>
      <c r="AU78" s="185">
        <f t="shared" ref="AU78:AV78" si="14">SUM(AU42:AU77)</f>
        <v>2062593.1094099993</v>
      </c>
      <c r="AV78" s="185">
        <f t="shared" si="14"/>
        <v>2122589.2157799997</v>
      </c>
    </row>
    <row r="79" spans="1:48" ht="12" customHeight="1" x14ac:dyDescent="0.2">
      <c r="AR79" s="112"/>
      <c r="AS79" s="112"/>
      <c r="AT79" s="62"/>
      <c r="AV79" s="62"/>
    </row>
    <row r="80" spans="1:48" ht="12" customHeight="1" x14ac:dyDescent="0.2">
      <c r="AR80" s="112"/>
      <c r="AS80" s="112"/>
      <c r="AT80" s="62"/>
      <c r="AV80" s="62"/>
    </row>
    <row r="81" spans="44:48" ht="12" customHeight="1" x14ac:dyDescent="0.2">
      <c r="AR81" s="112"/>
      <c r="AS81" s="112"/>
      <c r="AT81" s="62"/>
      <c r="AV81" s="62"/>
    </row>
    <row r="82" spans="44:48" ht="12" customHeight="1" x14ac:dyDescent="0.2">
      <c r="AR82" s="112"/>
      <c r="AS82" s="112"/>
      <c r="AT82" s="62"/>
      <c r="AV82" s="62"/>
    </row>
    <row r="83" spans="44:48" ht="12" customHeight="1" x14ac:dyDescent="0.2">
      <c r="AR83" s="112"/>
      <c r="AS83" s="112"/>
      <c r="AT83" s="62"/>
    </row>
    <row r="84" spans="44:48" ht="12" customHeight="1" x14ac:dyDescent="0.2">
      <c r="AR84" s="112"/>
      <c r="AS84" s="112"/>
      <c r="AT84" s="62"/>
    </row>
    <row r="85" spans="44:48" ht="12" customHeight="1" x14ac:dyDescent="0.2">
      <c r="AR85" s="112"/>
      <c r="AS85" s="112"/>
      <c r="AT85" s="62"/>
    </row>
    <row r="86" spans="44:48" ht="12" customHeight="1" x14ac:dyDescent="0.2">
      <c r="AR86" s="112"/>
      <c r="AS86" s="112"/>
      <c r="AT86" s="62"/>
    </row>
    <row r="87" spans="44:48" ht="12" customHeight="1" x14ac:dyDescent="0.2">
      <c r="AR87" s="112"/>
      <c r="AS87" s="112"/>
      <c r="AT87" s="62"/>
    </row>
    <row r="88" spans="44:48" ht="12" customHeight="1" x14ac:dyDescent="0.2">
      <c r="AR88" s="112"/>
      <c r="AS88" s="112"/>
      <c r="AT88" s="62"/>
    </row>
    <row r="89" spans="44:48" ht="12" customHeight="1" x14ac:dyDescent="0.2">
      <c r="AR89" s="112"/>
      <c r="AS89" s="112"/>
      <c r="AT89" s="62"/>
    </row>
    <row r="90" spans="44:48" ht="12" customHeight="1" x14ac:dyDescent="0.2">
      <c r="AR90" s="112"/>
      <c r="AS90" s="112"/>
      <c r="AT90" s="62"/>
    </row>
    <row r="91" spans="44:48" ht="12" customHeight="1" x14ac:dyDescent="0.2">
      <c r="AR91" s="112"/>
      <c r="AS91" s="112"/>
      <c r="AT91" s="62"/>
    </row>
    <row r="92" spans="44:48" ht="12" customHeight="1" x14ac:dyDescent="0.2">
      <c r="AR92" s="112"/>
      <c r="AS92" s="112"/>
      <c r="AT92" s="62"/>
    </row>
    <row r="93" spans="44:48" ht="12" customHeight="1" x14ac:dyDescent="0.2">
      <c r="AR93" s="112"/>
      <c r="AS93" s="112"/>
      <c r="AT93" s="62"/>
    </row>
    <row r="94" spans="44:48" ht="12" customHeight="1" x14ac:dyDescent="0.2">
      <c r="AR94" s="112"/>
      <c r="AS94" s="112"/>
      <c r="AT94" s="62"/>
    </row>
    <row r="95" spans="44:48" ht="12" customHeight="1" x14ac:dyDescent="0.2">
      <c r="AR95" s="112"/>
      <c r="AS95" s="112"/>
      <c r="AT95" s="62"/>
    </row>
    <row r="96" spans="44:48" ht="12" customHeight="1" x14ac:dyDescent="0.2">
      <c r="AR96" s="112"/>
      <c r="AS96" s="112"/>
      <c r="AT96" s="62"/>
    </row>
    <row r="97" spans="44:46" ht="12" customHeight="1" x14ac:dyDescent="0.2">
      <c r="AR97" s="112"/>
      <c r="AS97" s="112"/>
      <c r="AT97" s="62"/>
    </row>
    <row r="98" spans="44:46" ht="12" customHeight="1" x14ac:dyDescent="0.2">
      <c r="AR98" s="112"/>
      <c r="AS98" s="112"/>
      <c r="AT98" s="62"/>
    </row>
    <row r="99" spans="44:46" ht="12" customHeight="1" x14ac:dyDescent="0.2">
      <c r="AR99" s="112"/>
      <c r="AS99" s="112"/>
      <c r="AT99" s="62"/>
    </row>
    <row r="100" spans="44:46" ht="12" customHeight="1" x14ac:dyDescent="0.2">
      <c r="AR100" s="112"/>
      <c r="AS100" s="112"/>
      <c r="AT100" s="62"/>
    </row>
    <row r="101" spans="44:46" ht="12" customHeight="1" x14ac:dyDescent="0.2">
      <c r="AR101" s="112"/>
      <c r="AS101" s="112"/>
      <c r="AT101" s="62"/>
    </row>
    <row r="102" spans="44:46" ht="12" customHeight="1" x14ac:dyDescent="0.2">
      <c r="AR102" s="112"/>
      <c r="AS102" s="112"/>
      <c r="AT102" s="62"/>
    </row>
    <row r="103" spans="44:46" ht="12" customHeight="1" x14ac:dyDescent="0.2">
      <c r="AR103" s="112"/>
      <c r="AS103" s="112"/>
      <c r="AT103" s="62"/>
    </row>
    <row r="104" spans="44:46" ht="12" customHeight="1" x14ac:dyDescent="0.2">
      <c r="AR104" s="112"/>
      <c r="AS104" s="112"/>
      <c r="AT104" s="62"/>
    </row>
    <row r="105" spans="44:46" ht="12" customHeight="1" x14ac:dyDescent="0.2">
      <c r="AR105" s="112"/>
      <c r="AS105" s="112"/>
      <c r="AT105" s="62"/>
    </row>
    <row r="106" spans="44:46" ht="12" customHeight="1" x14ac:dyDescent="0.2">
      <c r="AR106" s="112"/>
      <c r="AS106" s="112"/>
      <c r="AT106" s="62"/>
    </row>
    <row r="107" spans="44:46" ht="12" customHeight="1" x14ac:dyDescent="0.2">
      <c r="AR107" s="112"/>
      <c r="AS107" s="112"/>
      <c r="AT107" s="62"/>
    </row>
    <row r="108" spans="44:46" ht="12" customHeight="1" x14ac:dyDescent="0.2">
      <c r="AR108" s="112"/>
      <c r="AS108" s="112"/>
      <c r="AT108" s="62"/>
    </row>
    <row r="109" spans="44:46" ht="12" customHeight="1" x14ac:dyDescent="0.2">
      <c r="AR109" s="112"/>
      <c r="AS109" s="112"/>
      <c r="AT109" s="62"/>
    </row>
    <row r="110" spans="44:46" ht="12" customHeight="1" x14ac:dyDescent="0.2">
      <c r="AR110" s="112"/>
      <c r="AS110" s="112"/>
      <c r="AT110" s="62"/>
    </row>
    <row r="111" spans="44:46" ht="12" customHeight="1" x14ac:dyDescent="0.2">
      <c r="AR111" s="112"/>
      <c r="AS111" s="112"/>
      <c r="AT111" s="62"/>
    </row>
    <row r="112" spans="44:46" ht="12" customHeight="1" x14ac:dyDescent="0.2">
      <c r="AR112" s="112"/>
      <c r="AS112" s="112"/>
      <c r="AT112" s="62"/>
    </row>
    <row r="113" spans="44:46" ht="12" customHeight="1" x14ac:dyDescent="0.2">
      <c r="AR113" s="112"/>
      <c r="AS113" s="112"/>
      <c r="AT113" s="62"/>
    </row>
    <row r="114" spans="44:46" ht="12" customHeight="1" x14ac:dyDescent="0.2">
      <c r="AR114" s="112"/>
      <c r="AS114" s="112"/>
      <c r="AT114" s="62"/>
    </row>
    <row r="115" spans="44:46" ht="12" customHeight="1" x14ac:dyDescent="0.2">
      <c r="AR115" s="112"/>
      <c r="AS115" s="112"/>
      <c r="AT115" s="62"/>
    </row>
    <row r="116" spans="44:46" ht="12" customHeight="1" x14ac:dyDescent="0.2">
      <c r="AR116" s="112"/>
      <c r="AS116" s="112"/>
      <c r="AT116" s="62"/>
    </row>
    <row r="117" spans="44:46" ht="12" customHeight="1" x14ac:dyDescent="0.2">
      <c r="AR117" s="112"/>
      <c r="AS117" s="112"/>
      <c r="AT117" s="62"/>
    </row>
    <row r="118" spans="44:46" ht="12" customHeight="1" x14ac:dyDescent="0.2">
      <c r="AR118" s="112"/>
      <c r="AS118" s="112"/>
      <c r="AT118" s="62"/>
    </row>
    <row r="119" spans="44:46" ht="12" customHeight="1" x14ac:dyDescent="0.2">
      <c r="AR119" s="112"/>
      <c r="AS119" s="112"/>
      <c r="AT119" s="62"/>
    </row>
    <row r="120" spans="44:46" ht="12" customHeight="1" x14ac:dyDescent="0.2">
      <c r="AR120" s="112"/>
      <c r="AS120" s="112"/>
      <c r="AT120" s="62"/>
    </row>
    <row r="121" spans="44:46" ht="12" customHeight="1" x14ac:dyDescent="0.2">
      <c r="AR121" s="112"/>
      <c r="AS121" s="112"/>
      <c r="AT121" s="62"/>
    </row>
    <row r="122" spans="44:46" ht="12" customHeight="1" x14ac:dyDescent="0.2">
      <c r="AR122" s="112"/>
      <c r="AS122" s="112"/>
      <c r="AT122" s="62"/>
    </row>
    <row r="123" spans="44:46" ht="12" customHeight="1" x14ac:dyDescent="0.2">
      <c r="AR123" s="112"/>
      <c r="AS123" s="112"/>
      <c r="AT123" s="62"/>
    </row>
    <row r="124" spans="44:46" ht="12" customHeight="1" x14ac:dyDescent="0.2">
      <c r="AR124" s="112"/>
      <c r="AS124" s="112"/>
      <c r="AT124" s="62"/>
    </row>
    <row r="125" spans="44:46" ht="12" customHeight="1" x14ac:dyDescent="0.2">
      <c r="AR125" s="112"/>
      <c r="AS125" s="112"/>
      <c r="AT125" s="62"/>
    </row>
    <row r="126" spans="44:46" ht="12" customHeight="1" x14ac:dyDescent="0.2">
      <c r="AR126" s="112"/>
      <c r="AS126" s="112"/>
      <c r="AT126" s="62"/>
    </row>
  </sheetData>
  <mergeCells count="23">
    <mergeCell ref="CA3:CB3"/>
    <mergeCell ref="CC3:CD3"/>
    <mergeCell ref="BM3:BO3"/>
    <mergeCell ref="BP3:BR3"/>
    <mergeCell ref="BS3:BT3"/>
    <mergeCell ref="BU3:BV3"/>
    <mergeCell ref="BW3:BX3"/>
    <mergeCell ref="A1:Q1"/>
    <mergeCell ref="A3:F3"/>
    <mergeCell ref="H3:N3"/>
    <mergeCell ref="O3:Q3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3320312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664062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31" t="s">
        <v>31</v>
      </c>
      <c r="B1" s="131"/>
      <c r="E1" s="130" t="s">
        <v>8</v>
      </c>
      <c r="F1" s="130"/>
      <c r="G1" s="130"/>
      <c r="H1" s="130"/>
      <c r="I1" s="130"/>
      <c r="J1" s="130"/>
      <c r="K1" s="130"/>
      <c r="L1" s="130"/>
      <c r="M1" s="130"/>
      <c r="O1" s="167" t="s">
        <v>9</v>
      </c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8"/>
      <c r="AZ1" s="167" t="s">
        <v>10</v>
      </c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8"/>
      <c r="CJ1" s="28"/>
      <c r="CL1" s="131" t="s">
        <v>6</v>
      </c>
      <c r="CM1" s="131"/>
      <c r="CN1" s="131"/>
      <c r="CO1" s="131"/>
      <c r="CP1" s="131"/>
      <c r="CQ1" s="131"/>
      <c r="CR1" s="131"/>
      <c r="CS1" s="131"/>
      <c r="CT1" s="131"/>
      <c r="CV1" s="130" t="s">
        <v>7</v>
      </c>
      <c r="CW1" s="130"/>
      <c r="CX1" s="130"/>
      <c r="CY1" s="130"/>
      <c r="CZ1" s="130"/>
      <c r="DA1" s="130"/>
      <c r="DB1" s="130"/>
      <c r="DC1" s="130"/>
      <c r="DD1" s="130"/>
      <c r="DE1" s="130"/>
      <c r="DG1" s="164" t="s">
        <v>11</v>
      </c>
      <c r="DH1" s="164"/>
      <c r="DI1" s="164"/>
      <c r="DJ1" s="164"/>
      <c r="DK1" s="164"/>
      <c r="DL1" s="164"/>
      <c r="DM1" s="164"/>
      <c r="DN1" s="164"/>
      <c r="DO1" s="164"/>
      <c r="DQ1" s="131" t="s">
        <v>13</v>
      </c>
      <c r="DR1" s="131"/>
      <c r="DS1" s="131"/>
      <c r="DT1" s="131"/>
      <c r="DU1" s="131"/>
      <c r="DV1" s="131"/>
      <c r="DW1" s="131"/>
      <c r="DX1" s="131"/>
      <c r="DY1" s="131"/>
      <c r="EA1" s="131" t="s">
        <v>12</v>
      </c>
      <c r="EB1" s="131"/>
      <c r="EC1" s="131"/>
      <c r="ED1" s="131"/>
      <c r="EE1" s="131"/>
      <c r="EF1" s="131"/>
      <c r="EG1" s="131"/>
      <c r="EH1" s="131"/>
      <c r="EI1" s="131"/>
    </row>
    <row r="2" spans="1:139" x14ac:dyDescent="0.2">
      <c r="A2" s="131"/>
      <c r="B2" s="131"/>
      <c r="E2" s="130"/>
      <c r="F2" s="130"/>
      <c r="G2" s="130"/>
      <c r="H2" s="130"/>
      <c r="I2" s="130"/>
      <c r="J2" s="130"/>
      <c r="K2" s="130"/>
      <c r="L2" s="130"/>
      <c r="M2" s="130"/>
      <c r="O2" s="165">
        <v>43831</v>
      </c>
      <c r="P2" s="166"/>
      <c r="Q2" s="166"/>
      <c r="R2" s="166"/>
      <c r="S2" s="165">
        <v>43862</v>
      </c>
      <c r="T2" s="166"/>
      <c r="U2" s="166"/>
      <c r="V2" s="166"/>
      <c r="W2" s="165">
        <v>43891</v>
      </c>
      <c r="X2" s="166"/>
      <c r="Y2" s="166"/>
      <c r="Z2" s="166"/>
      <c r="AA2" s="165">
        <v>43922</v>
      </c>
      <c r="AB2" s="166"/>
      <c r="AC2" s="166"/>
      <c r="AD2" s="166"/>
      <c r="AE2" s="165">
        <v>43952</v>
      </c>
      <c r="AF2" s="166"/>
      <c r="AG2" s="166"/>
      <c r="AH2" s="166"/>
      <c r="AI2" s="165">
        <v>43983</v>
      </c>
      <c r="AJ2" s="166"/>
      <c r="AK2" s="166"/>
      <c r="AL2" s="166"/>
      <c r="AM2" s="165">
        <v>44013</v>
      </c>
      <c r="AN2" s="166"/>
      <c r="AO2" s="166"/>
      <c r="AP2" s="166"/>
      <c r="AQ2" s="165">
        <v>44044</v>
      </c>
      <c r="AR2" s="166"/>
      <c r="AS2" s="166"/>
      <c r="AT2" s="166"/>
      <c r="AU2" s="165">
        <v>44075</v>
      </c>
      <c r="AV2" s="166"/>
      <c r="AW2" s="166"/>
      <c r="AX2" s="166"/>
      <c r="AZ2" s="165">
        <v>43831</v>
      </c>
      <c r="BA2" s="166"/>
      <c r="BB2" s="166"/>
      <c r="BC2" s="166"/>
      <c r="BD2" s="165">
        <v>43862</v>
      </c>
      <c r="BE2" s="166"/>
      <c r="BF2" s="166"/>
      <c r="BG2" s="166"/>
      <c r="BH2" s="165">
        <v>43891</v>
      </c>
      <c r="BI2" s="166"/>
      <c r="BJ2" s="166"/>
      <c r="BK2" s="166"/>
      <c r="BL2" s="165">
        <v>43922</v>
      </c>
      <c r="BM2" s="166"/>
      <c r="BN2" s="166"/>
      <c r="BO2" s="166"/>
      <c r="BP2" s="165">
        <v>43952</v>
      </c>
      <c r="BQ2" s="166"/>
      <c r="BR2" s="166"/>
      <c r="BS2" s="166"/>
      <c r="BT2" s="165">
        <v>43983</v>
      </c>
      <c r="BU2" s="166"/>
      <c r="BV2" s="166"/>
      <c r="BW2" s="166"/>
      <c r="BX2" s="165">
        <v>44013</v>
      </c>
      <c r="BY2" s="166"/>
      <c r="BZ2" s="166"/>
      <c r="CA2" s="166"/>
      <c r="CB2" s="165">
        <v>44044</v>
      </c>
      <c r="CC2" s="166"/>
      <c r="CD2" s="166"/>
      <c r="CE2" s="166"/>
      <c r="CF2" s="165">
        <v>44075</v>
      </c>
      <c r="CG2" s="166"/>
      <c r="CH2" s="166"/>
      <c r="CI2" s="166"/>
      <c r="CJ2" s="26"/>
      <c r="CL2" s="131"/>
      <c r="CM2" s="131"/>
      <c r="CN2" s="131"/>
      <c r="CO2" s="131"/>
      <c r="CP2" s="131"/>
      <c r="CQ2" s="131"/>
      <c r="CR2" s="131"/>
      <c r="CS2" s="131"/>
      <c r="CT2" s="131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G2" s="164"/>
      <c r="DH2" s="164"/>
      <c r="DI2" s="164"/>
      <c r="DJ2" s="164"/>
      <c r="DK2" s="164"/>
      <c r="DL2" s="164"/>
      <c r="DM2" s="164"/>
      <c r="DN2" s="164"/>
      <c r="DO2" s="164"/>
      <c r="DQ2" s="131"/>
      <c r="DR2" s="131"/>
      <c r="DS2" s="131"/>
      <c r="DT2" s="131"/>
      <c r="DU2" s="131"/>
      <c r="DV2" s="131"/>
      <c r="DW2" s="131"/>
      <c r="DX2" s="131"/>
      <c r="DY2" s="131"/>
      <c r="EA2" s="131"/>
      <c r="EB2" s="131"/>
      <c r="EC2" s="131"/>
      <c r="ED2" s="131"/>
      <c r="EE2" s="131"/>
      <c r="EF2" s="131"/>
      <c r="EG2" s="131"/>
      <c r="EH2" s="131"/>
      <c r="EI2" s="131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664062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6"/>
      <c r="Y1" s="46"/>
      <c r="Z1" s="46"/>
      <c r="AA1" s="46"/>
      <c r="AB1" s="47"/>
      <c r="AC1" s="47"/>
      <c r="AD1" s="47"/>
      <c r="AE1" s="47"/>
      <c r="AF1" s="47">
        <v>6</v>
      </c>
      <c r="AG1" s="47">
        <v>7</v>
      </c>
      <c r="AH1" s="47">
        <v>8</v>
      </c>
      <c r="AI1" s="47">
        <v>9</v>
      </c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31" t="s">
        <v>31</v>
      </c>
      <c r="B2" s="131"/>
      <c r="E2" s="177" t="s">
        <v>8</v>
      </c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X2" s="169" t="s">
        <v>9</v>
      </c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70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69" t="s">
        <v>10</v>
      </c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U2" s="169"/>
      <c r="CV2" s="169"/>
      <c r="CW2" s="169"/>
      <c r="CX2" s="169"/>
      <c r="CY2" s="169"/>
      <c r="CZ2" s="169"/>
      <c r="DA2" s="169"/>
      <c r="DB2" s="169"/>
      <c r="DC2" s="169"/>
      <c r="DD2" s="170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72" t="s">
        <v>6</v>
      </c>
      <c r="DU2" s="173"/>
      <c r="DV2" s="173"/>
      <c r="DW2" s="173"/>
      <c r="DX2" s="173"/>
      <c r="DY2" s="173"/>
      <c r="DZ2" s="173"/>
      <c r="EA2" s="173"/>
      <c r="EB2" s="173"/>
      <c r="EC2" s="173"/>
      <c r="ED2" s="173"/>
      <c r="EE2" s="173"/>
      <c r="EG2" s="130" t="s">
        <v>7</v>
      </c>
      <c r="EH2" s="130"/>
      <c r="EI2" s="130"/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U2" s="176" t="s">
        <v>11</v>
      </c>
      <c r="EV2" s="176"/>
      <c r="EW2" s="176"/>
      <c r="EX2" s="176"/>
      <c r="EY2" s="176"/>
      <c r="EZ2" s="176"/>
      <c r="FA2" s="176"/>
      <c r="FB2" s="176"/>
      <c r="FC2" s="176"/>
      <c r="FD2" s="176"/>
      <c r="FE2" s="176"/>
      <c r="FF2" s="176"/>
      <c r="FH2" s="171" t="s">
        <v>13</v>
      </c>
      <c r="FI2" s="171"/>
      <c r="FJ2" s="171"/>
      <c r="FK2" s="171"/>
      <c r="FL2" s="171"/>
      <c r="FM2" s="171"/>
      <c r="FN2" s="171"/>
      <c r="FO2" s="171"/>
      <c r="FP2" s="171"/>
      <c r="FQ2" s="171"/>
      <c r="FR2" s="171"/>
      <c r="FS2" s="171"/>
      <c r="FU2" s="171" t="s">
        <v>12</v>
      </c>
      <c r="FV2" s="171"/>
      <c r="FW2" s="171"/>
      <c r="FX2" s="171"/>
      <c r="FY2" s="171"/>
      <c r="FZ2" s="171"/>
      <c r="GA2" s="171"/>
      <c r="GB2" s="171"/>
      <c r="GC2" s="171"/>
      <c r="GD2" s="171"/>
      <c r="GE2" s="171"/>
      <c r="GF2" s="171"/>
    </row>
    <row r="3" spans="1:188" x14ac:dyDescent="0.2">
      <c r="A3" s="131"/>
      <c r="B3" s="131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X3" s="165">
        <v>43831</v>
      </c>
      <c r="Y3" s="166"/>
      <c r="Z3" s="166"/>
      <c r="AA3" s="166"/>
      <c r="AB3" s="165">
        <v>43862</v>
      </c>
      <c r="AC3" s="166"/>
      <c r="AD3" s="166"/>
      <c r="AE3" s="166"/>
      <c r="AF3" s="165">
        <v>43891</v>
      </c>
      <c r="AG3" s="166"/>
      <c r="AH3" s="166"/>
      <c r="AI3" s="166"/>
      <c r="AJ3" s="165">
        <v>43922</v>
      </c>
      <c r="AK3" s="166"/>
      <c r="AL3" s="166"/>
      <c r="AM3" s="166"/>
      <c r="AN3" s="165">
        <v>43952</v>
      </c>
      <c r="AO3" s="166"/>
      <c r="AP3" s="166"/>
      <c r="AQ3" s="166"/>
      <c r="AR3" s="165">
        <v>43983</v>
      </c>
      <c r="AS3" s="166"/>
      <c r="AT3" s="166"/>
      <c r="AU3" s="166"/>
      <c r="AV3" s="165">
        <v>44013</v>
      </c>
      <c r="AW3" s="166"/>
      <c r="AX3" s="166"/>
      <c r="AY3" s="166"/>
      <c r="AZ3" s="165">
        <v>44044</v>
      </c>
      <c r="BA3" s="166"/>
      <c r="BB3" s="166"/>
      <c r="BC3" s="166"/>
      <c r="BD3" s="165">
        <v>44075</v>
      </c>
      <c r="BE3" s="166"/>
      <c r="BF3" s="166"/>
      <c r="BG3" s="166"/>
      <c r="BH3" s="165">
        <v>44105</v>
      </c>
      <c r="BI3" s="166"/>
      <c r="BJ3" s="166"/>
      <c r="BK3" s="166"/>
      <c r="BL3" s="165">
        <v>44136</v>
      </c>
      <c r="BM3" s="166"/>
      <c r="BN3" s="166"/>
      <c r="BO3" s="166"/>
      <c r="BP3" s="165">
        <v>44166</v>
      </c>
      <c r="BQ3" s="166"/>
      <c r="BR3" s="166"/>
      <c r="BS3" s="166"/>
      <c r="BU3" s="165">
        <v>43831</v>
      </c>
      <c r="BV3" s="166"/>
      <c r="BW3" s="166"/>
      <c r="BX3" s="166"/>
      <c r="BY3" s="165">
        <v>43862</v>
      </c>
      <c r="BZ3" s="166"/>
      <c r="CA3" s="166"/>
      <c r="CB3" s="166"/>
      <c r="CC3" s="165">
        <v>43891</v>
      </c>
      <c r="CD3" s="166"/>
      <c r="CE3" s="166"/>
      <c r="CF3" s="166"/>
      <c r="CG3" s="165">
        <v>43922</v>
      </c>
      <c r="CH3" s="166"/>
      <c r="CI3" s="166"/>
      <c r="CJ3" s="166"/>
      <c r="CK3" s="165">
        <v>43952</v>
      </c>
      <c r="CL3" s="166"/>
      <c r="CM3" s="166"/>
      <c r="CN3" s="166"/>
      <c r="CO3" s="165">
        <v>43983</v>
      </c>
      <c r="CP3" s="166"/>
      <c r="CQ3" s="166"/>
      <c r="CR3" s="166"/>
      <c r="CS3" s="165">
        <v>44013</v>
      </c>
      <c r="CT3" s="166"/>
      <c r="CU3" s="166"/>
      <c r="CV3" s="166"/>
      <c r="CW3" s="165">
        <v>44044</v>
      </c>
      <c r="CX3" s="166"/>
      <c r="CY3" s="166"/>
      <c r="CZ3" s="166"/>
      <c r="DA3" s="165">
        <v>44075</v>
      </c>
      <c r="DB3" s="166"/>
      <c r="DC3" s="166"/>
      <c r="DD3" s="166"/>
      <c r="DE3" s="30"/>
      <c r="DF3" s="165">
        <v>44105</v>
      </c>
      <c r="DG3" s="166"/>
      <c r="DH3" s="166"/>
      <c r="DI3" s="166"/>
      <c r="DJ3" s="165">
        <v>44136</v>
      </c>
      <c r="DK3" s="166"/>
      <c r="DL3" s="166"/>
      <c r="DM3" s="166"/>
      <c r="DN3" s="165">
        <v>44166</v>
      </c>
      <c r="DO3" s="166"/>
      <c r="DP3" s="166"/>
      <c r="DQ3" s="166"/>
      <c r="DR3" s="26"/>
      <c r="DT3" s="174"/>
      <c r="DU3" s="175"/>
      <c r="DV3" s="175"/>
      <c r="DW3" s="175"/>
      <c r="DX3" s="175"/>
      <c r="DY3" s="175"/>
      <c r="DZ3" s="175"/>
      <c r="EA3" s="175"/>
      <c r="EB3" s="175"/>
      <c r="EC3" s="175"/>
      <c r="ED3" s="175"/>
      <c r="EE3" s="175"/>
      <c r="EG3" s="130"/>
      <c r="EH3" s="130"/>
      <c r="EI3" s="130"/>
      <c r="EJ3" s="130"/>
      <c r="EK3" s="130"/>
      <c r="EL3" s="130"/>
      <c r="EM3" s="130"/>
      <c r="EN3" s="130"/>
      <c r="EO3" s="130"/>
      <c r="EP3" s="130"/>
      <c r="EQ3" s="130"/>
      <c r="ER3" s="130"/>
      <c r="ES3" s="130"/>
      <c r="EU3" s="176"/>
      <c r="EV3" s="176"/>
      <c r="EW3" s="176"/>
      <c r="EX3" s="176"/>
      <c r="EY3" s="176"/>
      <c r="EZ3" s="176"/>
      <c r="FA3" s="176"/>
      <c r="FB3" s="176"/>
      <c r="FC3" s="176"/>
      <c r="FD3" s="176"/>
      <c r="FE3" s="176"/>
      <c r="FF3" s="176"/>
      <c r="FH3" s="171"/>
      <c r="FI3" s="171"/>
      <c r="FJ3" s="171"/>
      <c r="FK3" s="171"/>
      <c r="FL3" s="171"/>
      <c r="FM3" s="171"/>
      <c r="FN3" s="171"/>
      <c r="FO3" s="171"/>
      <c r="FP3" s="171"/>
      <c r="FQ3" s="171"/>
      <c r="FR3" s="171"/>
      <c r="FS3" s="171"/>
      <c r="FU3" s="171"/>
      <c r="FV3" s="171"/>
      <c r="FW3" s="171"/>
      <c r="FX3" s="171"/>
      <c r="FY3" s="171"/>
      <c r="FZ3" s="171"/>
      <c r="GA3" s="171"/>
      <c r="GB3" s="171"/>
      <c r="GC3" s="171"/>
      <c r="GD3" s="171"/>
      <c r="GE3" s="171"/>
      <c r="GF3" s="171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0" t="s">
        <v>35</v>
      </c>
      <c r="O5" s="40" t="s">
        <v>34</v>
      </c>
      <c r="P5" s="41">
        <v>171</v>
      </c>
      <c r="Q5" s="41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1">
        <v>46328.75</v>
      </c>
      <c r="BI5" s="41">
        <v>19103.26999999999</v>
      </c>
      <c r="BJ5" s="41">
        <v>63397.820000000007</v>
      </c>
      <c r="BK5" s="41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0" t="s">
        <v>104</v>
      </c>
      <c r="DF5" s="41">
        <v>17.559999999999999</v>
      </c>
      <c r="DG5" s="41">
        <v>33.340000000000003</v>
      </c>
      <c r="DH5" s="41">
        <v>236.83</v>
      </c>
      <c r="DI5" s="41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0" t="s">
        <v>36</v>
      </c>
      <c r="O6" s="40" t="s">
        <v>34</v>
      </c>
      <c r="P6" s="41">
        <v>195</v>
      </c>
      <c r="Q6" s="41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1">
        <v>48036.000000000015</v>
      </c>
      <c r="BI6" s="41">
        <v>26816.670000000006</v>
      </c>
      <c r="BJ6" s="41">
        <v>74774.799999999988</v>
      </c>
      <c r="BK6" s="41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0" t="s">
        <v>87</v>
      </c>
      <c r="DF6" s="41">
        <v>17724.21</v>
      </c>
      <c r="DG6" s="41">
        <v>14934.98</v>
      </c>
      <c r="DH6" s="41">
        <v>74742.549999999988</v>
      </c>
      <c r="DI6" s="41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0" t="s">
        <v>37</v>
      </c>
      <c r="O7" s="40" t="s">
        <v>34</v>
      </c>
      <c r="P7" s="41">
        <v>107</v>
      </c>
      <c r="Q7" s="41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1">
        <v>16698.88</v>
      </c>
      <c r="BI7" s="41">
        <v>13362.459999999997</v>
      </c>
      <c r="BJ7" s="41">
        <v>41505.12999999999</v>
      </c>
      <c r="BK7" s="41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0" t="s">
        <v>116</v>
      </c>
      <c r="DF7" s="41">
        <v>79.41</v>
      </c>
      <c r="DG7" s="41">
        <v>80.19</v>
      </c>
      <c r="DH7" s="41">
        <v>548.70000000000005</v>
      </c>
      <c r="DI7" s="41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0" t="s">
        <v>40</v>
      </c>
      <c r="O8" s="40" t="s">
        <v>34</v>
      </c>
      <c r="P8" s="41">
        <v>112</v>
      </c>
      <c r="Q8" s="41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1">
        <v>22292.28999999999</v>
      </c>
      <c r="BI8" s="41">
        <v>8298.2999999999975</v>
      </c>
      <c r="BJ8" s="41">
        <v>16546.32</v>
      </c>
      <c r="BK8" s="41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0" t="s">
        <v>88</v>
      </c>
      <c r="DF8" s="41">
        <v>24174.940000000024</v>
      </c>
      <c r="DG8" s="41">
        <v>23422.789999999994</v>
      </c>
      <c r="DH8" s="41">
        <v>84889.230000000025</v>
      </c>
      <c r="DI8" s="41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0" t="s">
        <v>42</v>
      </c>
      <c r="O9" s="40" t="s">
        <v>34</v>
      </c>
      <c r="P9" s="41">
        <v>2</v>
      </c>
      <c r="Q9" s="41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1">
        <v>94</v>
      </c>
      <c r="BI9" s="41">
        <v>115.57</v>
      </c>
      <c r="BJ9" s="41">
        <v>229.07999999999998</v>
      </c>
      <c r="BK9" s="41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0" t="s">
        <v>89</v>
      </c>
      <c r="DF9" s="41">
        <v>9541.5499999999975</v>
      </c>
      <c r="DG9" s="41">
        <v>7497.2</v>
      </c>
      <c r="DH9" s="41">
        <v>29702.059999999994</v>
      </c>
      <c r="DI9" s="41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0" t="s">
        <v>43</v>
      </c>
      <c r="O10" s="40" t="s">
        <v>34</v>
      </c>
      <c r="P10" s="41">
        <v>18</v>
      </c>
      <c r="Q10" s="41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1">
        <v>10786.149999999998</v>
      </c>
      <c r="BI10" s="41">
        <v>59.66</v>
      </c>
      <c r="BJ10" s="41">
        <v>424.36</v>
      </c>
      <c r="BK10" s="41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0" t="s">
        <v>117</v>
      </c>
      <c r="DF10" s="41">
        <v>46.22</v>
      </c>
      <c r="DG10" s="41">
        <v>50.18</v>
      </c>
      <c r="DH10" s="41">
        <v>304.45</v>
      </c>
      <c r="DI10" s="41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0" t="s">
        <v>44</v>
      </c>
      <c r="O11" s="40" t="s">
        <v>34</v>
      </c>
      <c r="P11" s="41">
        <v>40</v>
      </c>
      <c r="Q11" s="41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1">
        <v>6383.1399999999994</v>
      </c>
      <c r="BI11" s="41">
        <v>4786.26</v>
      </c>
      <c r="BJ11" s="41">
        <v>14992.820000000003</v>
      </c>
      <c r="BK11" s="41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0" t="s">
        <v>90</v>
      </c>
      <c r="DF11" s="41">
        <v>7850.4699999999993</v>
      </c>
      <c r="DG11" s="41">
        <v>5886.7000000000016</v>
      </c>
      <c r="DH11" s="41">
        <v>22388.280000000002</v>
      </c>
      <c r="DI11" s="41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0" t="s">
        <v>45</v>
      </c>
      <c r="O12" s="40" t="s">
        <v>34</v>
      </c>
      <c r="P12" s="41">
        <v>20</v>
      </c>
      <c r="Q12" s="41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1">
        <v>8264.74</v>
      </c>
      <c r="BI12" s="41">
        <v>917.29000000000019</v>
      </c>
      <c r="BJ12" s="41">
        <v>5572.09</v>
      </c>
      <c r="BK12" s="41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0" t="s">
        <v>118</v>
      </c>
      <c r="DF12" s="41">
        <v>1585.09</v>
      </c>
      <c r="DG12" s="41">
        <v>1372.33</v>
      </c>
      <c r="DH12" s="41">
        <v>4908.55</v>
      </c>
      <c r="DI12" s="41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0" t="s">
        <v>46</v>
      </c>
      <c r="O13" s="40" t="s">
        <v>34</v>
      </c>
      <c r="P13" s="41">
        <v>8</v>
      </c>
      <c r="Q13" s="41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1">
        <v>3251.88</v>
      </c>
      <c r="BI13" s="41">
        <v>846.93000000000006</v>
      </c>
      <c r="BJ13" s="41">
        <v>2869.04</v>
      </c>
      <c r="BK13" s="41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0" t="s">
        <v>111</v>
      </c>
      <c r="DF13" s="41">
        <v>465.09</v>
      </c>
      <c r="DG13" s="41">
        <v>203.32000000000002</v>
      </c>
      <c r="DH13" s="41">
        <v>188.07</v>
      </c>
      <c r="DI13" s="41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0" t="s">
        <v>47</v>
      </c>
      <c r="O14" s="40" t="s">
        <v>34</v>
      </c>
      <c r="P14" s="41">
        <v>3</v>
      </c>
      <c r="Q14" s="41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1">
        <v>180.51</v>
      </c>
      <c r="BI14" s="41">
        <v>95.940000000000012</v>
      </c>
      <c r="BJ14" s="41">
        <v>1413.14</v>
      </c>
      <c r="BK14" s="41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0" t="s">
        <v>96</v>
      </c>
      <c r="DF14" s="41">
        <v>7685.45</v>
      </c>
      <c r="DG14" s="41">
        <v>5979.6400000000021</v>
      </c>
      <c r="DH14" s="41">
        <v>15927.730000000003</v>
      </c>
      <c r="DI14" s="41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0" t="s">
        <v>48</v>
      </c>
      <c r="O15" s="40" t="s">
        <v>34</v>
      </c>
      <c r="P15" s="41">
        <v>24</v>
      </c>
      <c r="Q15" s="41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1">
        <v>11480.58</v>
      </c>
      <c r="BI15" s="41">
        <v>3202.63</v>
      </c>
      <c r="BJ15" s="41">
        <v>9604.369999999999</v>
      </c>
      <c r="BK15" s="41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0" t="s">
        <v>94</v>
      </c>
      <c r="DF15" s="41">
        <v>4638.97</v>
      </c>
      <c r="DG15" s="41">
        <v>4228.7399999999989</v>
      </c>
      <c r="DH15" s="41">
        <v>12002.640000000001</v>
      </c>
      <c r="DI15" s="41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0" t="s">
        <v>49</v>
      </c>
      <c r="O16" s="40" t="s">
        <v>34</v>
      </c>
      <c r="P16" s="41">
        <v>36</v>
      </c>
      <c r="Q16" s="41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1">
        <v>5817.09</v>
      </c>
      <c r="BI16" s="41">
        <v>1514.26</v>
      </c>
      <c r="BJ16" s="41">
        <v>2642.57</v>
      </c>
      <c r="BK16" s="41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0" t="s">
        <v>95</v>
      </c>
      <c r="DF16" s="41">
        <v>773.53</v>
      </c>
      <c r="DG16" s="41">
        <v>608.24</v>
      </c>
      <c r="DH16" s="41">
        <v>3182.08</v>
      </c>
      <c r="DI16" s="41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0" t="s">
        <v>50</v>
      </c>
      <c r="O17" s="40" t="s">
        <v>34</v>
      </c>
      <c r="P17" s="41">
        <v>21</v>
      </c>
      <c r="Q17" s="41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1">
        <v>34302.410000000003</v>
      </c>
      <c r="BI17" s="41">
        <v>26450.880000000001</v>
      </c>
      <c r="BJ17" s="41">
        <v>5615.89</v>
      </c>
      <c r="BK17" s="41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0" t="s">
        <v>97</v>
      </c>
      <c r="DF17" s="41">
        <v>3114.889999999999</v>
      </c>
      <c r="DG17" s="41">
        <v>2208.85</v>
      </c>
      <c r="DH17" s="41">
        <v>6017.7300000000005</v>
      </c>
      <c r="DI17" s="41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0" t="s">
        <v>51</v>
      </c>
      <c r="O18" s="40" t="s">
        <v>34</v>
      </c>
      <c r="P18" s="41">
        <v>3</v>
      </c>
      <c r="Q18" s="41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1">
        <v>306.49</v>
      </c>
      <c r="BI18" s="41">
        <v>319.05</v>
      </c>
      <c r="BJ18" s="41">
        <v>100.27</v>
      </c>
      <c r="BK18" s="41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0" t="s">
        <v>98</v>
      </c>
      <c r="DF18" s="41">
        <v>1143.3900000000001</v>
      </c>
      <c r="DG18" s="41">
        <v>551.17999999999995</v>
      </c>
      <c r="DH18" s="41">
        <v>2163.4699999999998</v>
      </c>
      <c r="DI18" s="41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0" t="s">
        <v>52</v>
      </c>
      <c r="O19" s="40" t="s">
        <v>34</v>
      </c>
      <c r="P19" s="41">
        <v>58</v>
      </c>
      <c r="Q19" s="41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1">
        <v>12180.3</v>
      </c>
      <c r="BI19" s="41">
        <v>9783.119999999999</v>
      </c>
      <c r="BJ19" s="41">
        <v>21436.66</v>
      </c>
      <c r="BK19" s="41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0" t="s">
        <v>107</v>
      </c>
      <c r="DF19" s="41">
        <v>798.69</v>
      </c>
      <c r="DG19" s="41">
        <v>550.24</v>
      </c>
      <c r="DH19" s="41">
        <v>2277.62</v>
      </c>
      <c r="DI19" s="41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0" t="s">
        <v>53</v>
      </c>
      <c r="O20" s="40" t="s">
        <v>34</v>
      </c>
      <c r="P20" s="41">
        <v>116</v>
      </c>
      <c r="Q20" s="41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1">
        <v>28664.300000000017</v>
      </c>
      <c r="BI20" s="41">
        <v>17920.740000000002</v>
      </c>
      <c r="BJ20" s="41">
        <v>58332.910000000011</v>
      </c>
      <c r="BK20" s="41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0" t="s">
        <v>105</v>
      </c>
      <c r="DF20" s="41">
        <v>1416.4199999999998</v>
      </c>
      <c r="DG20" s="41">
        <v>1077.1099999999999</v>
      </c>
      <c r="DH20" s="41">
        <v>3639.1200000000003</v>
      </c>
      <c r="DI20" s="41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0" t="s">
        <v>54</v>
      </c>
      <c r="O21" s="40" t="s">
        <v>34</v>
      </c>
      <c r="P21" s="41">
        <v>19</v>
      </c>
      <c r="Q21" s="41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1">
        <v>5271.9499999999989</v>
      </c>
      <c r="BI21" s="41">
        <v>1968.55</v>
      </c>
      <c r="BJ21" s="41">
        <v>3738.68</v>
      </c>
      <c r="BK21" s="41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0" t="s">
        <v>119</v>
      </c>
      <c r="DF21" s="41">
        <v>126.58000000000001</v>
      </c>
      <c r="DG21" s="41">
        <v>161.31</v>
      </c>
      <c r="DH21" s="41">
        <v>962.45</v>
      </c>
      <c r="DI21" s="41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0" t="s">
        <v>55</v>
      </c>
      <c r="O22" s="40" t="s">
        <v>34</v>
      </c>
      <c r="P22" s="41">
        <v>86</v>
      </c>
      <c r="Q22" s="41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1">
        <v>15192.090000000006</v>
      </c>
      <c r="BI22" s="41">
        <v>10812.270000000002</v>
      </c>
      <c r="BJ22" s="41">
        <v>28349.309999999998</v>
      </c>
      <c r="BK22" s="41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0" t="s">
        <v>99</v>
      </c>
      <c r="DF22" s="41">
        <v>3754.4300000000003</v>
      </c>
      <c r="DG22" s="41">
        <v>3149.3599999999992</v>
      </c>
      <c r="DH22" s="41">
        <v>10392.719999999996</v>
      </c>
      <c r="DI22" s="41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0" t="s">
        <v>56</v>
      </c>
      <c r="O23" s="40" t="s">
        <v>34</v>
      </c>
      <c r="P23" s="41">
        <v>75</v>
      </c>
      <c r="Q23" s="41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1">
        <v>14456.65</v>
      </c>
      <c r="BI23" s="41">
        <v>12586.489999999998</v>
      </c>
      <c r="BJ23" s="41">
        <v>26268.590000000004</v>
      </c>
      <c r="BK23" s="41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0" t="s">
        <v>91</v>
      </c>
      <c r="DF23" s="41">
        <v>14126.599999999993</v>
      </c>
      <c r="DG23" s="41">
        <v>11676.02</v>
      </c>
      <c r="DH23" s="41">
        <v>39123.94000000001</v>
      </c>
      <c r="DI23" s="41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0" t="s">
        <v>57</v>
      </c>
      <c r="O24" s="40" t="s">
        <v>34</v>
      </c>
      <c r="P24" s="41">
        <v>2</v>
      </c>
      <c r="Q24" s="41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1">
        <v>160.59</v>
      </c>
      <c r="BI24" s="41">
        <v>36.370000000000005</v>
      </c>
      <c r="BJ24" s="41">
        <v>387.24</v>
      </c>
      <c r="BK24" s="41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0" t="s">
        <v>100</v>
      </c>
      <c r="DF24" s="41">
        <v>1299.27</v>
      </c>
      <c r="DG24" s="41">
        <v>1025.8700000000001</v>
      </c>
      <c r="DH24" s="41">
        <v>5545.83</v>
      </c>
      <c r="DI24" s="41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0" t="s">
        <v>58</v>
      </c>
      <c r="O25" s="40" t="s">
        <v>34</v>
      </c>
      <c r="P25" s="41">
        <v>44</v>
      </c>
      <c r="Q25" s="41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1">
        <v>5285.3900000000012</v>
      </c>
      <c r="BI25" s="41">
        <v>4040.8799999999997</v>
      </c>
      <c r="BJ25" s="41">
        <v>15907.32</v>
      </c>
      <c r="BK25" s="41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0" t="s">
        <v>120</v>
      </c>
      <c r="DF25" s="41">
        <v>5521.0199999999995</v>
      </c>
      <c r="DG25" s="41">
        <v>1812.8700000000001</v>
      </c>
      <c r="DH25" s="41">
        <v>2895.75</v>
      </c>
      <c r="DI25" s="41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0" t="s">
        <v>60</v>
      </c>
      <c r="O26" s="40" t="s">
        <v>34</v>
      </c>
      <c r="P26" s="41">
        <v>23</v>
      </c>
      <c r="Q26" s="41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1">
        <v>5784.1900000000005</v>
      </c>
      <c r="BI26" s="41">
        <v>448.75000000000006</v>
      </c>
      <c r="BJ26" s="41">
        <v>2129.83</v>
      </c>
      <c r="BK26" s="41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0" t="s">
        <v>101</v>
      </c>
      <c r="DF26" s="41">
        <v>13674.169999999998</v>
      </c>
      <c r="DG26" s="41">
        <v>15772.749999999987</v>
      </c>
      <c r="DH26" s="41">
        <v>59150.75</v>
      </c>
      <c r="DI26" s="41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0" t="s">
        <v>61</v>
      </c>
      <c r="O27" s="40" t="s">
        <v>34</v>
      </c>
      <c r="P27" s="41">
        <v>6</v>
      </c>
      <c r="Q27" s="41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1">
        <v>1043.24</v>
      </c>
      <c r="BI27" s="41">
        <v>494.91999999999996</v>
      </c>
      <c r="BJ27" s="41">
        <v>1202.6300000000001</v>
      </c>
      <c r="BK27" s="41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0" t="s">
        <v>112</v>
      </c>
      <c r="DF27" s="41">
        <v>11.85</v>
      </c>
      <c r="DG27" s="41">
        <v>30.46</v>
      </c>
      <c r="DH27" s="41">
        <v>572.58000000000004</v>
      </c>
      <c r="DI27" s="41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0" t="s">
        <v>62</v>
      </c>
      <c r="O28" s="40" t="s">
        <v>34</v>
      </c>
      <c r="P28" s="41">
        <v>35</v>
      </c>
      <c r="Q28" s="41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1">
        <v>5481.9100000000008</v>
      </c>
      <c r="BI28" s="41">
        <v>1862.22</v>
      </c>
      <c r="BJ28" s="41">
        <v>10156.710000000001</v>
      </c>
      <c r="BK28" s="41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0" t="s">
        <v>106</v>
      </c>
      <c r="DF28" s="41">
        <v>24784.839999999982</v>
      </c>
      <c r="DG28" s="41">
        <v>22097.41</v>
      </c>
      <c r="DH28" s="41">
        <v>122968.34999999995</v>
      </c>
      <c r="DI28" s="41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0" t="s">
        <v>63</v>
      </c>
      <c r="O29" s="40" t="s">
        <v>34</v>
      </c>
      <c r="P29" s="41">
        <v>3</v>
      </c>
      <c r="Q29" s="41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1">
        <v>451.25</v>
      </c>
      <c r="BI29" s="41">
        <v>70.34</v>
      </c>
      <c r="BJ29" s="41">
        <v>887.13</v>
      </c>
      <c r="BK29" s="41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0" t="s">
        <v>144</v>
      </c>
      <c r="DF29" s="41">
        <v>21.15</v>
      </c>
      <c r="DG29" s="41">
        <v>16.34</v>
      </c>
      <c r="DH29" s="41">
        <v>387.24</v>
      </c>
      <c r="DI29" s="41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0" t="s">
        <v>64</v>
      </c>
      <c r="O30" s="40" t="s">
        <v>34</v>
      </c>
      <c r="P30" s="41">
        <v>20</v>
      </c>
      <c r="Q30" s="41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1">
        <v>4482.67</v>
      </c>
      <c r="BI30" s="41">
        <v>2876.9699999999993</v>
      </c>
      <c r="BJ30" s="41">
        <v>4566.1499999999996</v>
      </c>
      <c r="BK30" s="41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0" t="s">
        <v>110</v>
      </c>
      <c r="DF30" s="41">
        <v>3313.2099999999991</v>
      </c>
      <c r="DG30" s="41">
        <v>3300.9</v>
      </c>
      <c r="DH30" s="41">
        <v>14162.14</v>
      </c>
      <c r="DI30" s="41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0" t="s">
        <v>65</v>
      </c>
      <c r="O31" s="40" t="s">
        <v>34</v>
      </c>
      <c r="P31" s="41">
        <v>5</v>
      </c>
      <c r="Q31" s="41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1">
        <v>933.02</v>
      </c>
      <c r="BI31" s="41">
        <v>92.77</v>
      </c>
      <c r="BJ31" s="41">
        <v>22.74</v>
      </c>
      <c r="BK31" s="41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0" t="s">
        <v>92</v>
      </c>
      <c r="DF31" s="41">
        <v>3073.8500000000013</v>
      </c>
      <c r="DG31" s="41">
        <v>2659.95</v>
      </c>
      <c r="DH31" s="41">
        <v>7513.4299999999994</v>
      </c>
      <c r="DI31" s="41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0" t="s">
        <v>67</v>
      </c>
      <c r="O32" s="40" t="s">
        <v>34</v>
      </c>
      <c r="P32" s="41">
        <v>7</v>
      </c>
      <c r="Q32" s="41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1">
        <v>628.27</v>
      </c>
      <c r="BI32" s="41">
        <v>1279.31</v>
      </c>
      <c r="BJ32" s="41">
        <v>9536.61</v>
      </c>
      <c r="BK32" s="41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0" t="s">
        <v>114</v>
      </c>
      <c r="DF32" s="41">
        <v>321.5</v>
      </c>
      <c r="DG32" s="41">
        <v>292.02999999999997</v>
      </c>
      <c r="DH32" s="41">
        <v>1811.97</v>
      </c>
      <c r="DI32" s="41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0" t="s">
        <v>68</v>
      </c>
      <c r="O33" s="40" t="s">
        <v>34</v>
      </c>
      <c r="P33" s="41">
        <v>25</v>
      </c>
      <c r="Q33" s="41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1">
        <v>1590.7599999999998</v>
      </c>
      <c r="BI33" s="41">
        <v>1164.69</v>
      </c>
      <c r="BJ33" s="41">
        <v>3559.27</v>
      </c>
      <c r="BK33" s="41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0" t="s">
        <v>108</v>
      </c>
      <c r="DF33" s="41">
        <v>3343.1100000000015</v>
      </c>
      <c r="DG33" s="41">
        <v>3032.6699999999996</v>
      </c>
      <c r="DH33" s="41">
        <v>9874.6900000000023</v>
      </c>
      <c r="DI33" s="41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0" t="s">
        <v>69</v>
      </c>
      <c r="O34" s="40" t="s">
        <v>34</v>
      </c>
      <c r="P34" s="41">
        <v>118</v>
      </c>
      <c r="Q34" s="41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1">
        <v>24886.09999999998</v>
      </c>
      <c r="BI34" s="41">
        <v>14047.86</v>
      </c>
      <c r="BJ34" s="41">
        <v>40116.249999999993</v>
      </c>
      <c r="BK34" s="41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0" t="s">
        <v>102</v>
      </c>
      <c r="DF34" s="41">
        <v>2586.0399999999995</v>
      </c>
      <c r="DG34" s="41">
        <v>2719.25</v>
      </c>
      <c r="DH34" s="41">
        <v>12033.329999999998</v>
      </c>
      <c r="DI34" s="41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0" t="s">
        <v>70</v>
      </c>
      <c r="O35" s="40" t="s">
        <v>34</v>
      </c>
      <c r="P35" s="41">
        <v>3</v>
      </c>
      <c r="Q35" s="41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1">
        <v>181.19</v>
      </c>
      <c r="BI35" s="41">
        <v>41.84</v>
      </c>
      <c r="BJ35" s="41">
        <v>93.05</v>
      </c>
      <c r="BK35" s="41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0" t="s">
        <v>180</v>
      </c>
      <c r="DF35" s="41">
        <v>0</v>
      </c>
      <c r="DG35" s="41">
        <v>0</v>
      </c>
      <c r="DH35" s="41">
        <v>0</v>
      </c>
      <c r="DI35" s="41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0" t="s">
        <v>76</v>
      </c>
      <c r="O36" s="40" t="s">
        <v>75</v>
      </c>
      <c r="P36" s="41">
        <v>2</v>
      </c>
      <c r="Q36" s="41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1">
        <v>260</v>
      </c>
      <c r="BI36" s="41">
        <v>131.72999999999999</v>
      </c>
      <c r="BJ36" s="41">
        <v>174.31</v>
      </c>
      <c r="BK36" s="41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0" t="s">
        <v>121</v>
      </c>
      <c r="DF36" s="41">
        <v>100.28</v>
      </c>
      <c r="DG36" s="41">
        <v>0</v>
      </c>
      <c r="DH36" s="41">
        <v>0</v>
      </c>
      <c r="DI36" s="41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0" t="s">
        <v>35</v>
      </c>
      <c r="O37" s="40" t="s">
        <v>75</v>
      </c>
      <c r="P37" s="41">
        <v>2175</v>
      </c>
      <c r="Q37" s="41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1">
        <v>173009.97000000018</v>
      </c>
      <c r="BI37" s="41">
        <v>120016.05000000012</v>
      </c>
      <c r="BJ37" s="41">
        <v>472644.39999999944</v>
      </c>
      <c r="BK37" s="41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0" t="s">
        <v>109</v>
      </c>
      <c r="DF37" s="41">
        <v>909.50999999999988</v>
      </c>
      <c r="DG37" s="41">
        <v>696.19999999999993</v>
      </c>
      <c r="DH37" s="41">
        <v>4127.8499999999995</v>
      </c>
      <c r="DI37" s="41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0" t="s">
        <v>36</v>
      </c>
      <c r="O38" s="40" t="s">
        <v>75</v>
      </c>
      <c r="P38" s="41">
        <v>3905</v>
      </c>
      <c r="Q38" s="41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1">
        <v>264470.8000000001</v>
      </c>
      <c r="BI38" s="41">
        <v>227282.79000000012</v>
      </c>
      <c r="BJ38" s="41">
        <v>612103.08999999939</v>
      </c>
      <c r="BK38" s="41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0" t="s">
        <v>113</v>
      </c>
      <c r="DF38" s="41">
        <v>364.08</v>
      </c>
      <c r="DG38" s="41">
        <v>286.29000000000002</v>
      </c>
      <c r="DH38" s="41">
        <v>833.92000000000007</v>
      </c>
      <c r="DI38" s="41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0" t="s">
        <v>37</v>
      </c>
      <c r="O39" s="40" t="s">
        <v>75</v>
      </c>
      <c r="P39" s="41">
        <v>1321</v>
      </c>
      <c r="Q39" s="41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1">
        <v>121861.70000000019</v>
      </c>
      <c r="BI39" s="41">
        <v>75724.840000000055</v>
      </c>
      <c r="BJ39" s="41">
        <v>295072.0999999998</v>
      </c>
      <c r="BK39" s="41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0" t="s">
        <v>122</v>
      </c>
      <c r="DF39" s="41">
        <v>98.27</v>
      </c>
      <c r="DG39" s="41">
        <v>85.99</v>
      </c>
      <c r="DH39" s="41">
        <v>32.4</v>
      </c>
      <c r="DI39" s="41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0" t="s">
        <v>40</v>
      </c>
      <c r="O40" s="40" t="s">
        <v>75</v>
      </c>
      <c r="P40" s="41">
        <v>2921</v>
      </c>
      <c r="Q40" s="41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1">
        <v>261621.40999999986</v>
      </c>
      <c r="BI40" s="41">
        <v>157946.06000000041</v>
      </c>
      <c r="BJ40" s="41">
        <v>377925.71999999968</v>
      </c>
      <c r="BK40" s="41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0" t="s">
        <v>123</v>
      </c>
      <c r="DF40" s="41">
        <v>0</v>
      </c>
      <c r="DG40" s="41">
        <v>0</v>
      </c>
      <c r="DH40" s="41">
        <v>0</v>
      </c>
      <c r="DI40" s="41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0" t="s">
        <v>41</v>
      </c>
      <c r="O41" s="40" t="s">
        <v>75</v>
      </c>
      <c r="P41" s="41">
        <v>1</v>
      </c>
      <c r="Q41" s="41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1">
        <v>119.07</v>
      </c>
      <c r="BI41" s="41">
        <v>39.25</v>
      </c>
      <c r="BJ41" s="41">
        <v>0</v>
      </c>
      <c r="BK41" s="41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0" t="s">
        <v>103</v>
      </c>
      <c r="DF41" s="41">
        <v>598.66999999999996</v>
      </c>
      <c r="DG41" s="41">
        <v>560.13</v>
      </c>
      <c r="DH41" s="41">
        <v>2336.71</v>
      </c>
      <c r="DI41" s="41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0" t="s">
        <v>42</v>
      </c>
      <c r="O42" s="40" t="s">
        <v>75</v>
      </c>
      <c r="P42" s="41">
        <v>75</v>
      </c>
      <c r="Q42" s="41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1">
        <v>5743.53</v>
      </c>
      <c r="BI42" s="41">
        <v>4468.13</v>
      </c>
      <c r="BJ42" s="41">
        <v>19485.400000000001</v>
      </c>
      <c r="BK42" s="41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0" t="s">
        <v>93</v>
      </c>
      <c r="DF42" s="41">
        <v>17012.839999999993</v>
      </c>
      <c r="DG42" s="41">
        <v>13924.579999999996</v>
      </c>
      <c r="DH42" s="41">
        <v>46583</v>
      </c>
      <c r="DI42" s="41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0" t="s">
        <v>43</v>
      </c>
      <c r="O43" s="40" t="s">
        <v>75</v>
      </c>
      <c r="P43" s="41">
        <v>95</v>
      </c>
      <c r="Q43" s="41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1">
        <v>9016.2199999999957</v>
      </c>
      <c r="BI43" s="41">
        <v>5033.8500000000004</v>
      </c>
      <c r="BJ43" s="41">
        <v>18347.989999999994</v>
      </c>
      <c r="BK43" s="41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0" t="s">
        <v>124</v>
      </c>
      <c r="DF43" s="41">
        <v>0</v>
      </c>
      <c r="DG43" s="41">
        <v>45.47</v>
      </c>
      <c r="DH43" s="41">
        <v>320.64</v>
      </c>
      <c r="DI43" s="41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0" t="s">
        <v>44</v>
      </c>
      <c r="O44" s="40" t="s">
        <v>75</v>
      </c>
      <c r="P44" s="41">
        <v>750</v>
      </c>
      <c r="Q44" s="41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1">
        <v>63246.820000000116</v>
      </c>
      <c r="BI44" s="41">
        <v>42290.000000000015</v>
      </c>
      <c r="BJ44" s="41">
        <v>116444.84000000005</v>
      </c>
      <c r="BK44" s="41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0" t="s">
        <v>45</v>
      </c>
      <c r="O45" s="40" t="s">
        <v>75</v>
      </c>
      <c r="P45" s="41">
        <v>431</v>
      </c>
      <c r="Q45" s="41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1">
        <v>36094.179999999993</v>
      </c>
      <c r="BI45" s="41">
        <v>24363.160000000007</v>
      </c>
      <c r="BJ45" s="41">
        <v>76821.919999999998</v>
      </c>
      <c r="BK45" s="41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0" t="s">
        <v>46</v>
      </c>
      <c r="O46" s="40" t="s">
        <v>75</v>
      </c>
      <c r="P46" s="41">
        <v>56</v>
      </c>
      <c r="Q46" s="41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1">
        <v>4852.1999999999989</v>
      </c>
      <c r="BI46" s="41">
        <v>3341.85</v>
      </c>
      <c r="BJ46" s="41">
        <v>18024.710000000003</v>
      </c>
      <c r="BK46" s="41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0" t="s">
        <v>47</v>
      </c>
      <c r="O47" s="40" t="s">
        <v>75</v>
      </c>
      <c r="P47" s="41">
        <v>176</v>
      </c>
      <c r="Q47" s="41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1">
        <v>17571.260000000002</v>
      </c>
      <c r="BI47" s="41">
        <v>11710.47</v>
      </c>
      <c r="BJ47" s="41">
        <v>44787.42000000002</v>
      </c>
      <c r="BK47" s="41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0" t="s">
        <v>48</v>
      </c>
      <c r="O48" s="40" t="s">
        <v>75</v>
      </c>
      <c r="P48" s="41">
        <v>378</v>
      </c>
      <c r="Q48" s="41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1">
        <v>35199.9</v>
      </c>
      <c r="BI48" s="41">
        <v>25862.859999999997</v>
      </c>
      <c r="BJ48" s="41">
        <v>84227.139999999985</v>
      </c>
      <c r="BK48" s="41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0" t="s">
        <v>49</v>
      </c>
      <c r="O49" s="40" t="s">
        <v>75</v>
      </c>
      <c r="P49" s="41">
        <v>294</v>
      </c>
      <c r="Q49" s="41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1">
        <v>26791.099999999991</v>
      </c>
      <c r="BI49" s="41">
        <v>15535.700000000004</v>
      </c>
      <c r="BJ49" s="41">
        <v>44848.189999999995</v>
      </c>
      <c r="BK49" s="41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0" t="s">
        <v>50</v>
      </c>
      <c r="O50" s="40" t="s">
        <v>75</v>
      </c>
      <c r="P50" s="41">
        <v>143</v>
      </c>
      <c r="Q50" s="41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1">
        <v>16067.880000000001</v>
      </c>
      <c r="BI50" s="41">
        <v>11424.430000000004</v>
      </c>
      <c r="BJ50" s="41">
        <v>35348.89</v>
      </c>
      <c r="BK50" s="41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0" t="s">
        <v>51</v>
      </c>
      <c r="O51" s="40" t="s">
        <v>75</v>
      </c>
      <c r="P51" s="41">
        <v>22</v>
      </c>
      <c r="Q51" s="41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1">
        <v>1968.9699999999998</v>
      </c>
      <c r="BI51" s="41">
        <v>1702.0099999999995</v>
      </c>
      <c r="BJ51" s="41">
        <v>8459.1999999999989</v>
      </c>
      <c r="BK51" s="41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0" t="s">
        <v>52</v>
      </c>
      <c r="O52" s="40" t="s">
        <v>75</v>
      </c>
      <c r="P52" s="41">
        <v>1298</v>
      </c>
      <c r="Q52" s="41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1">
        <v>133865.34999999983</v>
      </c>
      <c r="BI52" s="41">
        <v>77001.17</v>
      </c>
      <c r="BJ52" s="41">
        <v>220868.81000000011</v>
      </c>
      <c r="BK52" s="41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0" t="s">
        <v>53</v>
      </c>
      <c r="O53" s="40" t="s">
        <v>75</v>
      </c>
      <c r="P53" s="41">
        <v>1531</v>
      </c>
      <c r="Q53" s="41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1">
        <v>131978.7200000002</v>
      </c>
      <c r="BI53" s="41">
        <v>83626.530000000028</v>
      </c>
      <c r="BJ53" s="41">
        <v>212845.08000000013</v>
      </c>
      <c r="BK53" s="41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0" t="s">
        <v>54</v>
      </c>
      <c r="O54" s="40" t="s">
        <v>75</v>
      </c>
      <c r="P54" s="41">
        <v>236</v>
      </c>
      <c r="Q54" s="41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1">
        <v>21905.179999999993</v>
      </c>
      <c r="BI54" s="41">
        <v>13400.26</v>
      </c>
      <c r="BJ54" s="41">
        <v>50882.920000000013</v>
      </c>
      <c r="BK54" s="41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0" t="s">
        <v>55</v>
      </c>
      <c r="O55" s="40" t="s">
        <v>75</v>
      </c>
      <c r="P55" s="41">
        <v>743</v>
      </c>
      <c r="Q55" s="41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1">
        <v>50212.82</v>
      </c>
      <c r="BI55" s="41">
        <v>51196.250000000022</v>
      </c>
      <c r="BJ55" s="41">
        <v>165724.99</v>
      </c>
      <c r="BK55" s="41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0" t="s">
        <v>56</v>
      </c>
      <c r="O56" s="40" t="s">
        <v>75</v>
      </c>
      <c r="P56" s="41">
        <v>937</v>
      </c>
      <c r="Q56" s="41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1">
        <v>95958.779999999955</v>
      </c>
      <c r="BI56" s="41">
        <v>68658.09000000004</v>
      </c>
      <c r="BJ56" s="41">
        <v>254205.52999999971</v>
      </c>
      <c r="BK56" s="41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0" t="s">
        <v>57</v>
      </c>
      <c r="O57" s="40" t="s">
        <v>75</v>
      </c>
      <c r="P57" s="41">
        <v>70</v>
      </c>
      <c r="Q57" s="41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1">
        <v>6660.9400000000014</v>
      </c>
      <c r="BI57" s="41">
        <v>6039.68</v>
      </c>
      <c r="BJ57" s="41">
        <v>28627.86</v>
      </c>
      <c r="BK57" s="41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0" t="s">
        <v>58</v>
      </c>
      <c r="O58" s="40" t="s">
        <v>75</v>
      </c>
      <c r="P58" s="41">
        <v>531</v>
      </c>
      <c r="Q58" s="41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1">
        <v>51245.319999999927</v>
      </c>
      <c r="BI58" s="41">
        <v>33558.959999999999</v>
      </c>
      <c r="BJ58" s="41">
        <v>83869.059999999969</v>
      </c>
      <c r="BK58" s="41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0" t="s">
        <v>59</v>
      </c>
      <c r="O59" s="40" t="s">
        <v>75</v>
      </c>
      <c r="P59" s="41">
        <v>1</v>
      </c>
      <c r="Q59" s="41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1">
        <v>86.85</v>
      </c>
      <c r="BI59" s="41">
        <v>185.01</v>
      </c>
      <c r="BJ59" s="41">
        <v>679.43</v>
      </c>
      <c r="BK59" s="41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0" t="s">
        <v>60</v>
      </c>
      <c r="O60" s="40" t="s">
        <v>75</v>
      </c>
      <c r="P60" s="41">
        <v>208</v>
      </c>
      <c r="Q60" s="41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1">
        <v>19575.720000000005</v>
      </c>
      <c r="BI60" s="41">
        <v>13228.749999999998</v>
      </c>
      <c r="BJ60" s="41">
        <v>24537.329999999994</v>
      </c>
      <c r="BK60" s="41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0" t="s">
        <v>61</v>
      </c>
      <c r="O61" s="40" t="s">
        <v>75</v>
      </c>
      <c r="P61" s="41">
        <v>490</v>
      </c>
      <c r="Q61" s="41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1">
        <v>35621.029999999977</v>
      </c>
      <c r="BI61" s="41">
        <v>22046.950000000012</v>
      </c>
      <c r="BJ61" s="41">
        <v>44996.209999999985</v>
      </c>
      <c r="BK61" s="41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0" t="s">
        <v>62</v>
      </c>
      <c r="O62" s="40" t="s">
        <v>75</v>
      </c>
      <c r="P62" s="41">
        <v>336</v>
      </c>
      <c r="Q62" s="41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1">
        <v>23013.860000000015</v>
      </c>
      <c r="BI62" s="41">
        <v>18240.900000000012</v>
      </c>
      <c r="BJ62" s="41">
        <v>56986.040000000008</v>
      </c>
      <c r="BK62" s="41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0" t="s">
        <v>63</v>
      </c>
      <c r="O63" s="40" t="s">
        <v>75</v>
      </c>
      <c r="P63" s="41">
        <v>15</v>
      </c>
      <c r="Q63" s="41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1">
        <v>1325.4</v>
      </c>
      <c r="BI63" s="41">
        <v>680.51</v>
      </c>
      <c r="BJ63" s="41">
        <v>1632.3000000000002</v>
      </c>
      <c r="BK63" s="41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0" t="s">
        <v>64</v>
      </c>
      <c r="O64" s="40" t="s">
        <v>75</v>
      </c>
      <c r="P64" s="41">
        <v>121</v>
      </c>
      <c r="Q64" s="41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1">
        <v>11195.130000000006</v>
      </c>
      <c r="BI64" s="41">
        <v>6619.5199999999986</v>
      </c>
      <c r="BJ64" s="41">
        <v>31279.280000000013</v>
      </c>
      <c r="BK64" s="41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0" t="s">
        <v>65</v>
      </c>
      <c r="O65" s="40" t="s">
        <v>75</v>
      </c>
      <c r="P65" s="41">
        <v>40</v>
      </c>
      <c r="Q65" s="41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1">
        <v>3612.5399999999986</v>
      </c>
      <c r="BI65" s="41">
        <v>1992.2000000000003</v>
      </c>
      <c r="BJ65" s="41">
        <v>5875.2199999999993</v>
      </c>
      <c r="BK65" s="41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0" t="s">
        <v>66</v>
      </c>
      <c r="O66" s="40" t="s">
        <v>75</v>
      </c>
      <c r="P66" s="41">
        <v>6</v>
      </c>
      <c r="Q66" s="41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1">
        <v>725.36999999999989</v>
      </c>
      <c r="BI66" s="41">
        <v>551.17999999999995</v>
      </c>
      <c r="BJ66" s="41">
        <v>1037.53</v>
      </c>
      <c r="BK66" s="41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0" t="s">
        <v>67</v>
      </c>
      <c r="O67" s="40" t="s">
        <v>75</v>
      </c>
      <c r="P67" s="41">
        <v>54</v>
      </c>
      <c r="Q67" s="41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1">
        <v>1888.8899999999999</v>
      </c>
      <c r="BI67" s="41">
        <v>5639.7599999999993</v>
      </c>
      <c r="BJ67" s="41">
        <v>9835.92</v>
      </c>
      <c r="BK67" s="41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0" t="s">
        <v>68</v>
      </c>
      <c r="O68" s="40" t="s">
        <v>75</v>
      </c>
      <c r="P68" s="41">
        <v>102</v>
      </c>
      <c r="Q68" s="41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1">
        <v>8133.4599999999982</v>
      </c>
      <c r="BI68" s="41">
        <v>5384.7199999999984</v>
      </c>
      <c r="BJ68" s="41">
        <v>19272.310000000001</v>
      </c>
      <c r="BK68" s="41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0" t="s">
        <v>69</v>
      </c>
      <c r="O69" s="40" t="s">
        <v>75</v>
      </c>
      <c r="P69" s="41">
        <v>2246</v>
      </c>
      <c r="Q69" s="41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1">
        <v>177511.1300000003</v>
      </c>
      <c r="BI69" s="41">
        <v>105231.83000000003</v>
      </c>
      <c r="BJ69" s="41">
        <v>261297.57999999987</v>
      </c>
      <c r="BK69" s="41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0" t="s">
        <v>70</v>
      </c>
      <c r="O70" s="40" t="s">
        <v>75</v>
      </c>
      <c r="P70" s="41">
        <v>7</v>
      </c>
      <c r="Q70" s="41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1">
        <v>0</v>
      </c>
      <c r="BI70" s="41">
        <v>538.11999999999989</v>
      </c>
      <c r="BJ70" s="41">
        <v>1779.5</v>
      </c>
      <c r="BK70" s="41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664062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4" t="s">
        <v>212</v>
      </c>
      <c r="C3" s="34" t="s">
        <v>150</v>
      </c>
      <c r="D3" s="34" t="s">
        <v>210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4" t="s">
        <v>133</v>
      </c>
      <c r="B5" s="34" t="s">
        <v>196</v>
      </c>
      <c r="C5" t="s">
        <v>211</v>
      </c>
      <c r="D5" t="s">
        <v>208</v>
      </c>
      <c r="E5" t="s">
        <v>207</v>
      </c>
      <c r="F5" t="s">
        <v>211</v>
      </c>
      <c r="G5" t="s">
        <v>208</v>
      </c>
      <c r="H5" t="s">
        <v>207</v>
      </c>
      <c r="I5" t="s">
        <v>211</v>
      </c>
      <c r="J5" t="s">
        <v>208</v>
      </c>
      <c r="K5" t="s">
        <v>207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196</v>
      </c>
      <c r="C1" t="s">
        <v>150</v>
      </c>
      <c r="D1" t="s">
        <v>209</v>
      </c>
      <c r="E1" t="s">
        <v>210</v>
      </c>
      <c r="G1" s="43" t="s">
        <v>201</v>
      </c>
      <c r="H1" s="43" t="s">
        <v>78</v>
      </c>
      <c r="I1" s="43" t="s">
        <v>150</v>
      </c>
      <c r="J1" s="43" t="s">
        <v>202</v>
      </c>
      <c r="K1" s="44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207</v>
      </c>
      <c r="G2" s="11" t="s">
        <v>203</v>
      </c>
      <c r="H2" s="11" t="s">
        <v>104</v>
      </c>
      <c r="I2" s="11" t="s">
        <v>152</v>
      </c>
      <c r="J2" s="12">
        <v>701.3</v>
      </c>
      <c r="K2" s="13" t="s">
        <v>207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207</v>
      </c>
      <c r="G3" s="11" t="s">
        <v>203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207</v>
      </c>
      <c r="G4" s="11" t="s">
        <v>203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207</v>
      </c>
      <c r="G5" s="11" t="s">
        <v>203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207</v>
      </c>
      <c r="G6" s="11" t="s">
        <v>203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207</v>
      </c>
      <c r="G7" s="11" t="s">
        <v>203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207</v>
      </c>
      <c r="G8" s="11" t="s">
        <v>203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207</v>
      </c>
      <c r="G9" s="11" t="s">
        <v>203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207</v>
      </c>
      <c r="G10" s="11" t="s">
        <v>203</v>
      </c>
      <c r="H10" s="11" t="s">
        <v>204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207</v>
      </c>
      <c r="G11" s="11" t="s">
        <v>203</v>
      </c>
      <c r="H11" s="11" t="s">
        <v>204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207</v>
      </c>
      <c r="G12" s="11" t="s">
        <v>203</v>
      </c>
      <c r="H12" s="11" t="s">
        <v>204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207</v>
      </c>
      <c r="G13" s="11" t="s">
        <v>203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207</v>
      </c>
      <c r="G14" s="11" t="s">
        <v>203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207</v>
      </c>
      <c r="G15" s="11" t="s">
        <v>203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207</v>
      </c>
      <c r="G16" s="11" t="s">
        <v>203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207</v>
      </c>
      <c r="G17" s="11" t="s">
        <v>203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207</v>
      </c>
      <c r="G18" s="11" t="s">
        <v>203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207</v>
      </c>
      <c r="G19" s="11" t="s">
        <v>203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207</v>
      </c>
      <c r="G20" s="11" t="s">
        <v>203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207</v>
      </c>
      <c r="G21" s="11" t="s">
        <v>203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207</v>
      </c>
      <c r="G22" s="11" t="s">
        <v>203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207</v>
      </c>
      <c r="G23" s="11" t="s">
        <v>203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207</v>
      </c>
      <c r="G24" s="11" t="s">
        <v>203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207</v>
      </c>
      <c r="G25" s="11" t="s">
        <v>203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207</v>
      </c>
      <c r="G26" s="11" t="s">
        <v>203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207</v>
      </c>
      <c r="G27" s="11" t="s">
        <v>203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207</v>
      </c>
      <c r="G28" s="11" t="s">
        <v>203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207</v>
      </c>
      <c r="G29" s="11" t="s">
        <v>203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207</v>
      </c>
      <c r="G30" s="11" t="s">
        <v>203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207</v>
      </c>
      <c r="G31" s="11" t="s">
        <v>203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207</v>
      </c>
      <c r="G32" s="11" t="s">
        <v>203</v>
      </c>
      <c r="H32" s="11" t="s">
        <v>205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207</v>
      </c>
      <c r="G33" s="11" t="s">
        <v>203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207</v>
      </c>
      <c r="G34" s="11" t="s">
        <v>203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207</v>
      </c>
      <c r="G35" s="11" t="s">
        <v>203</v>
      </c>
      <c r="H35" s="11" t="s">
        <v>206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207</v>
      </c>
      <c r="G36" s="11" t="s">
        <v>203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207</v>
      </c>
      <c r="G37" s="11" t="s">
        <v>203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207</v>
      </c>
      <c r="G38" s="11" t="s">
        <v>203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207</v>
      </c>
      <c r="G39" s="11" t="s">
        <v>203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207</v>
      </c>
      <c r="G40" s="11" t="s">
        <v>203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207</v>
      </c>
      <c r="G41" s="11" t="s">
        <v>203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207</v>
      </c>
      <c r="G42" s="11" t="s">
        <v>203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207</v>
      </c>
      <c r="G43" s="11" t="s">
        <v>203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207</v>
      </c>
      <c r="G44" s="11" t="s">
        <v>203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207</v>
      </c>
      <c r="G45" s="11" t="s">
        <v>203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207</v>
      </c>
      <c r="G46" s="11" t="s">
        <v>203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207</v>
      </c>
      <c r="G47" s="11" t="s">
        <v>203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207</v>
      </c>
      <c r="G48" s="11" t="s">
        <v>203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207</v>
      </c>
      <c r="G49" s="11" t="s">
        <v>203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207</v>
      </c>
      <c r="G50" s="11" t="s">
        <v>203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207</v>
      </c>
      <c r="G51" s="11" t="s">
        <v>203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207</v>
      </c>
      <c r="G52" s="11" t="s">
        <v>203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207</v>
      </c>
      <c r="G53" s="11" t="s">
        <v>203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207</v>
      </c>
      <c r="G54" s="11" t="s">
        <v>203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207</v>
      </c>
      <c r="G55" s="11" t="s">
        <v>203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207</v>
      </c>
      <c r="G56" s="11" t="s">
        <v>203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207</v>
      </c>
      <c r="G57" s="11" t="s">
        <v>203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207</v>
      </c>
      <c r="G58" s="11" t="s">
        <v>203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207</v>
      </c>
      <c r="G59" s="11" t="s">
        <v>203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207</v>
      </c>
      <c r="G60" s="11" t="s">
        <v>203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207</v>
      </c>
      <c r="G61" s="11" t="s">
        <v>203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207</v>
      </c>
      <c r="G62" s="11" t="s">
        <v>203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207</v>
      </c>
      <c r="G63" s="11" t="s">
        <v>203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207</v>
      </c>
      <c r="G64" s="11" t="s">
        <v>203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207</v>
      </c>
      <c r="G65" s="11" t="s">
        <v>203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207</v>
      </c>
      <c r="G66" s="11" t="s">
        <v>203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207</v>
      </c>
      <c r="G67" s="11" t="s">
        <v>203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207</v>
      </c>
      <c r="G68" s="11" t="s">
        <v>203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207</v>
      </c>
      <c r="G69" s="11" t="s">
        <v>203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207</v>
      </c>
      <c r="G70" s="11" t="s">
        <v>203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207</v>
      </c>
      <c r="G71" s="11" t="s">
        <v>203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207</v>
      </c>
      <c r="G72" s="11" t="s">
        <v>203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207</v>
      </c>
      <c r="G73" s="11" t="s">
        <v>203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207</v>
      </c>
      <c r="G74" s="11" t="s">
        <v>203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211</v>
      </c>
      <c r="G75" s="11" t="s">
        <v>203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211</v>
      </c>
      <c r="G76" s="11" t="s">
        <v>203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211</v>
      </c>
      <c r="G77" s="11" t="s">
        <v>203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211</v>
      </c>
      <c r="G78" s="11" t="s">
        <v>203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211</v>
      </c>
      <c r="G79" s="11" t="s">
        <v>203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211</v>
      </c>
      <c r="G80" s="11" t="s">
        <v>203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211</v>
      </c>
      <c r="G81" s="11" t="s">
        <v>203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211</v>
      </c>
      <c r="G82" s="11" t="s">
        <v>203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211</v>
      </c>
      <c r="G83" s="11" t="s">
        <v>203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211</v>
      </c>
      <c r="G84" s="11" t="s">
        <v>203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211</v>
      </c>
      <c r="G85" s="11" t="s">
        <v>203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211</v>
      </c>
      <c r="G86" s="11" t="s">
        <v>203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211</v>
      </c>
      <c r="G87" s="11" t="s">
        <v>203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211</v>
      </c>
      <c r="G88" s="11" t="s">
        <v>203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211</v>
      </c>
      <c r="G89" s="11" t="s">
        <v>203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211</v>
      </c>
      <c r="G90" s="11" t="s">
        <v>203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211</v>
      </c>
      <c r="G91" s="11" t="s">
        <v>203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211</v>
      </c>
      <c r="G92" s="11" t="s">
        <v>203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211</v>
      </c>
      <c r="G93" s="11" t="s">
        <v>203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211</v>
      </c>
      <c r="G94" s="11" t="s">
        <v>203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211</v>
      </c>
      <c r="G95" s="11" t="s">
        <v>203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211</v>
      </c>
      <c r="G96" s="11" t="s">
        <v>203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211</v>
      </c>
      <c r="G97" s="11" t="s">
        <v>203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211</v>
      </c>
      <c r="G98" s="11" t="s">
        <v>203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211</v>
      </c>
      <c r="G99" s="11" t="s">
        <v>203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211</v>
      </c>
      <c r="G100" s="11" t="s">
        <v>203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211</v>
      </c>
      <c r="G101" s="11" t="s">
        <v>203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211</v>
      </c>
      <c r="G102" s="11" t="s">
        <v>203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211</v>
      </c>
      <c r="G103" s="11" t="s">
        <v>203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211</v>
      </c>
      <c r="G104" s="11" t="s">
        <v>203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211</v>
      </c>
      <c r="G105" s="11" t="s">
        <v>203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211</v>
      </c>
      <c r="G106" s="11" t="s">
        <v>203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211</v>
      </c>
      <c r="G107" s="11" t="s">
        <v>203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211</v>
      </c>
      <c r="G108" s="11" t="s">
        <v>203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211</v>
      </c>
      <c r="G109" s="11" t="s">
        <v>203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211</v>
      </c>
      <c r="G110" s="11" t="s">
        <v>203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211</v>
      </c>
      <c r="G111" s="11" t="s">
        <v>203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211</v>
      </c>
      <c r="G112" s="11" t="s">
        <v>203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211</v>
      </c>
      <c r="G113" s="11" t="s">
        <v>203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211</v>
      </c>
      <c r="G114" s="11" t="s">
        <v>203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211</v>
      </c>
      <c r="G115" s="11" t="s">
        <v>203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211</v>
      </c>
      <c r="G116" s="11" t="s">
        <v>203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211</v>
      </c>
      <c r="G117" s="11" t="s">
        <v>203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211</v>
      </c>
      <c r="G118" s="11" t="s">
        <v>203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211</v>
      </c>
      <c r="G119" s="11" t="s">
        <v>203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211</v>
      </c>
      <c r="G120" s="11" t="s">
        <v>203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211</v>
      </c>
      <c r="G121" s="11" t="s">
        <v>203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211</v>
      </c>
      <c r="G122" s="11" t="s">
        <v>203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211</v>
      </c>
      <c r="G123" s="11" t="s">
        <v>203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211</v>
      </c>
      <c r="G124" s="11" t="s">
        <v>203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211</v>
      </c>
      <c r="G125" s="11" t="s">
        <v>203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211</v>
      </c>
      <c r="G126" s="11" t="s">
        <v>203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211</v>
      </c>
      <c r="G127" s="11" t="s">
        <v>203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211</v>
      </c>
      <c r="G128" s="11" t="s">
        <v>203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211</v>
      </c>
      <c r="G129" s="11" t="s">
        <v>203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211</v>
      </c>
      <c r="G130" s="11" t="s">
        <v>203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211</v>
      </c>
      <c r="G131" s="11" t="s">
        <v>203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211</v>
      </c>
      <c r="G132" s="11" t="s">
        <v>203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211</v>
      </c>
      <c r="G133" s="11" t="s">
        <v>203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211</v>
      </c>
      <c r="G134" s="11" t="s">
        <v>203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211</v>
      </c>
      <c r="G135" s="11" t="s">
        <v>203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211</v>
      </c>
      <c r="G136" s="11" t="s">
        <v>203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211</v>
      </c>
      <c r="G137" s="11" t="s">
        <v>203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211</v>
      </c>
      <c r="G138" s="11" t="s">
        <v>203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211</v>
      </c>
      <c r="G139" s="11" t="s">
        <v>203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211</v>
      </c>
      <c r="G140" s="11" t="s">
        <v>203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211</v>
      </c>
      <c r="G141" s="11" t="s">
        <v>203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211</v>
      </c>
      <c r="G142" s="11" t="s">
        <v>203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211</v>
      </c>
      <c r="G143" s="11" t="s">
        <v>203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211</v>
      </c>
      <c r="G144" s="11" t="s">
        <v>203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211</v>
      </c>
      <c r="G145" s="11" t="s">
        <v>203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211</v>
      </c>
      <c r="G146" s="11" t="s">
        <v>203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211</v>
      </c>
      <c r="G147" s="11" t="s">
        <v>203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5" t="s">
        <v>208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5" t="s">
        <v>208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5" t="s">
        <v>208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5" t="s">
        <v>208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5" t="s">
        <v>208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5" t="s">
        <v>208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5" t="s">
        <v>208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204</v>
      </c>
      <c r="H155" s="11" t="s">
        <v>152</v>
      </c>
      <c r="I155" s="12">
        <v>11.76</v>
      </c>
      <c r="J155" s="45" t="s">
        <v>208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204</v>
      </c>
      <c r="H156" s="11" t="s">
        <v>153</v>
      </c>
      <c r="I156" s="12">
        <v>62.04</v>
      </c>
      <c r="J156" s="45" t="s">
        <v>208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204</v>
      </c>
      <c r="H157" s="11" t="s">
        <v>154</v>
      </c>
      <c r="I157" s="12">
        <v>42.519999999999996</v>
      </c>
      <c r="J157" s="45" t="s">
        <v>208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5" t="s">
        <v>208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5" t="s">
        <v>208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5" t="s">
        <v>208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5" t="s">
        <v>208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5" t="s">
        <v>208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5" t="s">
        <v>208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5" t="s">
        <v>208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5" t="s">
        <v>208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5" t="s">
        <v>208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5" t="s">
        <v>208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5" t="s">
        <v>208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5" t="s">
        <v>208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5" t="s">
        <v>208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5" t="s">
        <v>208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5" t="s">
        <v>208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206</v>
      </c>
      <c r="H173" s="11" t="s">
        <v>154</v>
      </c>
      <c r="I173" s="12">
        <v>11.64</v>
      </c>
      <c r="J173" s="45" t="s">
        <v>208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5" t="s">
        <v>208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5" t="s">
        <v>208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5" t="s">
        <v>208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5" t="s">
        <v>208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5" t="s">
        <v>208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5" t="s">
        <v>208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5" t="s">
        <v>208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5" t="s">
        <v>208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5" t="s">
        <v>208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5" t="s">
        <v>208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5" t="s">
        <v>208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5" t="s">
        <v>208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5" t="s">
        <v>208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5" t="s">
        <v>208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5" t="s">
        <v>208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5" t="s">
        <v>208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5" t="s">
        <v>208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5" t="s">
        <v>208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5" t="s">
        <v>208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5" t="s">
        <v>208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5" t="s">
        <v>208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5" t="s">
        <v>208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5" t="s">
        <v>208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5" t="s">
        <v>208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5" t="s">
        <v>208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5" t="s">
        <v>208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5" t="s">
        <v>208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5" t="s">
        <v>208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4" t="s">
        <v>84</v>
      </c>
      <c r="D3" s="34" t="s">
        <v>191</v>
      </c>
    </row>
    <row r="4" spans="1:17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202010</v>
      </c>
      <c r="H4" s="42">
        <v>202011</v>
      </c>
      <c r="I4" s="42">
        <v>202011</v>
      </c>
      <c r="J4" s="42">
        <v>202011</v>
      </c>
      <c r="K4" s="42">
        <v>202011</v>
      </c>
      <c r="L4" s="42">
        <v>202011</v>
      </c>
      <c r="M4" s="42">
        <v>202012</v>
      </c>
      <c r="N4" s="42">
        <v>202012</v>
      </c>
      <c r="O4" s="42">
        <v>202012</v>
      </c>
      <c r="P4" s="42">
        <v>202012</v>
      </c>
      <c r="Q4" s="42">
        <v>202012</v>
      </c>
    </row>
    <row r="5" spans="1:17" x14ac:dyDescent="0.2">
      <c r="A5" s="34" t="s">
        <v>184</v>
      </c>
      <c r="B5" s="34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4" t="s">
        <v>84</v>
      </c>
      <c r="D3" s="34" t="s">
        <v>191</v>
      </c>
    </row>
    <row r="4" spans="1:14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202011</v>
      </c>
      <c r="H4" s="42">
        <v>202011</v>
      </c>
      <c r="I4" s="42">
        <v>202011</v>
      </c>
      <c r="J4" s="42">
        <v>202011</v>
      </c>
      <c r="K4" s="42">
        <v>202012</v>
      </c>
      <c r="L4" s="42">
        <v>202012</v>
      </c>
      <c r="M4" s="42">
        <v>202012</v>
      </c>
      <c r="N4" s="42">
        <v>202012</v>
      </c>
    </row>
    <row r="5" spans="1:14" x14ac:dyDescent="0.2">
      <c r="A5" s="34" t="s">
        <v>133</v>
      </c>
      <c r="B5" s="34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197</v>
      </c>
      <c r="H5" t="s">
        <v>198</v>
      </c>
      <c r="I5" t="s">
        <v>199</v>
      </c>
      <c r="J5" t="s">
        <v>200</v>
      </c>
      <c r="K5" t="s">
        <v>197</v>
      </c>
      <c r="L5" t="s">
        <v>198</v>
      </c>
      <c r="M5" t="s">
        <v>199</v>
      </c>
      <c r="N5" t="s">
        <v>200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8" t="s">
        <v>84</v>
      </c>
      <c r="M1" s="38" t="s">
        <v>78</v>
      </c>
      <c r="N1" s="38" t="s">
        <v>196</v>
      </c>
      <c r="O1" s="38" t="s">
        <v>133</v>
      </c>
      <c r="P1" s="38" t="s">
        <v>128</v>
      </c>
      <c r="Q1" s="38" t="s">
        <v>129</v>
      </c>
      <c r="R1" s="38" t="s">
        <v>130</v>
      </c>
      <c r="S1" s="38" t="s">
        <v>131</v>
      </c>
    </row>
    <row r="2" spans="2:19" ht="32" x14ac:dyDescent="0.2">
      <c r="B2" s="38" t="s">
        <v>84</v>
      </c>
      <c r="C2" s="38" t="s">
        <v>0</v>
      </c>
      <c r="D2" s="38" t="s">
        <v>184</v>
      </c>
      <c r="E2" s="38" t="s">
        <v>185</v>
      </c>
      <c r="F2" s="38" t="s">
        <v>186</v>
      </c>
      <c r="G2" s="38" t="s">
        <v>187</v>
      </c>
      <c r="H2" s="38" t="s">
        <v>188</v>
      </c>
      <c r="I2" s="38" t="s">
        <v>189</v>
      </c>
      <c r="L2" s="39">
        <v>202010</v>
      </c>
      <c r="M2" s="40" t="s">
        <v>104</v>
      </c>
      <c r="N2" s="40" t="str">
        <f>LEFT(M2,5)</f>
        <v>98901</v>
      </c>
      <c r="O2" s="40" t="str">
        <f>RIGHT(M2,3)</f>
        <v>COM</v>
      </c>
      <c r="P2" s="41">
        <v>17.559999999999999</v>
      </c>
      <c r="Q2" s="41">
        <v>33.340000000000003</v>
      </c>
      <c r="R2" s="41">
        <v>236.83</v>
      </c>
      <c r="S2" s="41">
        <v>287.73</v>
      </c>
    </row>
    <row r="3" spans="2:19" ht="16" x14ac:dyDescent="0.2">
      <c r="B3" s="39">
        <v>202010</v>
      </c>
      <c r="C3" s="40" t="s">
        <v>35</v>
      </c>
      <c r="D3" s="40" t="s">
        <v>34</v>
      </c>
      <c r="E3" s="41">
        <v>171</v>
      </c>
      <c r="F3" s="41">
        <v>46328.75</v>
      </c>
      <c r="G3" s="41">
        <v>19103.26999999999</v>
      </c>
      <c r="H3" s="41">
        <v>63397.820000000007</v>
      </c>
      <c r="I3" s="41">
        <v>128829.84000000003</v>
      </c>
      <c r="L3" s="39">
        <v>202010</v>
      </c>
      <c r="M3" s="40" t="s">
        <v>87</v>
      </c>
      <c r="N3" s="40" t="str">
        <f t="shared" ref="N3:N66" si="0">LEFT(M3,5)</f>
        <v>98901</v>
      </c>
      <c r="O3" s="40" t="str">
        <f t="shared" ref="O3:O66" si="1">RIGHT(M3,3)</f>
        <v>RES</v>
      </c>
      <c r="P3" s="41">
        <v>17724.21</v>
      </c>
      <c r="Q3" s="41">
        <v>14934.98</v>
      </c>
      <c r="R3" s="41">
        <v>74742.549999999988</v>
      </c>
      <c r="S3" s="41">
        <v>107401.73999999996</v>
      </c>
    </row>
    <row r="4" spans="2:19" ht="32" x14ac:dyDescent="0.2">
      <c r="B4" s="39">
        <v>202010</v>
      </c>
      <c r="C4" s="40" t="s">
        <v>36</v>
      </c>
      <c r="D4" s="40" t="s">
        <v>34</v>
      </c>
      <c r="E4" s="41">
        <v>195</v>
      </c>
      <c r="F4" s="41">
        <v>48036.000000000015</v>
      </c>
      <c r="G4" s="41">
        <v>26816.670000000006</v>
      </c>
      <c r="H4" s="41">
        <v>74774.799999999988</v>
      </c>
      <c r="I4" s="41">
        <v>149627.47000000006</v>
      </c>
      <c r="L4" s="39">
        <v>202010</v>
      </c>
      <c r="M4" s="40" t="s">
        <v>116</v>
      </c>
      <c r="N4" s="40" t="str">
        <f t="shared" si="0"/>
        <v>98902</v>
      </c>
      <c r="O4" s="40" t="str">
        <f t="shared" si="1"/>
        <v>COM</v>
      </c>
      <c r="P4" s="41">
        <v>79.41</v>
      </c>
      <c r="Q4" s="41">
        <v>80.19</v>
      </c>
      <c r="R4" s="41">
        <v>548.70000000000005</v>
      </c>
      <c r="S4" s="41">
        <v>708.3</v>
      </c>
    </row>
    <row r="5" spans="2:19" ht="16" x14ac:dyDescent="0.2">
      <c r="B5" s="39">
        <v>202010</v>
      </c>
      <c r="C5" s="40" t="s">
        <v>37</v>
      </c>
      <c r="D5" s="40" t="s">
        <v>34</v>
      </c>
      <c r="E5" s="41">
        <v>107</v>
      </c>
      <c r="F5" s="41">
        <v>16698.88</v>
      </c>
      <c r="G5" s="41">
        <v>13362.459999999997</v>
      </c>
      <c r="H5" s="41">
        <v>41505.12999999999</v>
      </c>
      <c r="I5" s="41">
        <v>71566.469999999958</v>
      </c>
      <c r="L5" s="39">
        <v>202010</v>
      </c>
      <c r="M5" s="40" t="s">
        <v>88</v>
      </c>
      <c r="N5" s="40" t="str">
        <f t="shared" si="0"/>
        <v>98902</v>
      </c>
      <c r="O5" s="40" t="str">
        <f t="shared" si="1"/>
        <v>RES</v>
      </c>
      <c r="P5" s="41">
        <v>24174.940000000024</v>
      </c>
      <c r="Q5" s="41">
        <v>23422.789999999994</v>
      </c>
      <c r="R5" s="41">
        <v>84889.230000000025</v>
      </c>
      <c r="S5" s="41">
        <v>132486.95999999996</v>
      </c>
    </row>
    <row r="6" spans="2:19" ht="16" x14ac:dyDescent="0.2">
      <c r="B6" s="39">
        <v>202010</v>
      </c>
      <c r="C6" s="40" t="s">
        <v>40</v>
      </c>
      <c r="D6" s="40" t="s">
        <v>34</v>
      </c>
      <c r="E6" s="41">
        <v>112</v>
      </c>
      <c r="F6" s="41">
        <v>22292.28999999999</v>
      </c>
      <c r="G6" s="41">
        <v>8298.2999999999975</v>
      </c>
      <c r="H6" s="41">
        <v>16546.32</v>
      </c>
      <c r="I6" s="41">
        <v>47136.909999999996</v>
      </c>
      <c r="L6" s="39">
        <v>202010</v>
      </c>
      <c r="M6" s="40" t="s">
        <v>89</v>
      </c>
      <c r="N6" s="40" t="str">
        <f t="shared" si="0"/>
        <v>98903</v>
      </c>
      <c r="O6" s="40" t="str">
        <f t="shared" si="1"/>
        <v>RES</v>
      </c>
      <c r="P6" s="41">
        <v>9541.5499999999975</v>
      </c>
      <c r="Q6" s="41">
        <v>7497.2</v>
      </c>
      <c r="R6" s="41">
        <v>29702.059999999994</v>
      </c>
      <c r="S6" s="41">
        <v>46740.809999999976</v>
      </c>
    </row>
    <row r="7" spans="2:19" ht="32" x14ac:dyDescent="0.2">
      <c r="B7" s="39">
        <v>202010</v>
      </c>
      <c r="C7" s="40" t="s">
        <v>42</v>
      </c>
      <c r="D7" s="40" t="s">
        <v>34</v>
      </c>
      <c r="E7" s="41">
        <v>2</v>
      </c>
      <c r="F7" s="41">
        <v>94</v>
      </c>
      <c r="G7" s="41">
        <v>115.57</v>
      </c>
      <c r="H7" s="41">
        <v>229.07999999999998</v>
      </c>
      <c r="I7" s="41">
        <v>438.65</v>
      </c>
      <c r="L7" s="39">
        <v>202010</v>
      </c>
      <c r="M7" s="40" t="s">
        <v>117</v>
      </c>
      <c r="N7" s="40" t="str">
        <f t="shared" si="0"/>
        <v>98908</v>
      </c>
      <c r="O7" s="40" t="str">
        <f t="shared" si="1"/>
        <v>COM</v>
      </c>
      <c r="P7" s="41">
        <v>46.22</v>
      </c>
      <c r="Q7" s="41">
        <v>50.18</v>
      </c>
      <c r="R7" s="41">
        <v>304.45</v>
      </c>
      <c r="S7" s="41">
        <v>400.84999999999997</v>
      </c>
    </row>
    <row r="8" spans="2:19" ht="16" x14ac:dyDescent="0.2">
      <c r="B8" s="39">
        <v>202010</v>
      </c>
      <c r="C8" s="40" t="s">
        <v>43</v>
      </c>
      <c r="D8" s="40" t="s">
        <v>34</v>
      </c>
      <c r="E8" s="41">
        <v>18</v>
      </c>
      <c r="F8" s="41">
        <v>10786.149999999998</v>
      </c>
      <c r="G8" s="41">
        <v>59.66</v>
      </c>
      <c r="H8" s="41">
        <v>424.36</v>
      </c>
      <c r="I8" s="41">
        <v>11270.17</v>
      </c>
      <c r="L8" s="39">
        <v>202010</v>
      </c>
      <c r="M8" s="40" t="s">
        <v>90</v>
      </c>
      <c r="N8" s="40" t="str">
        <f t="shared" si="0"/>
        <v>98908</v>
      </c>
      <c r="O8" s="40" t="str">
        <f t="shared" si="1"/>
        <v>RES</v>
      </c>
      <c r="P8" s="41">
        <v>7850.4699999999993</v>
      </c>
      <c r="Q8" s="41">
        <v>5886.7000000000016</v>
      </c>
      <c r="R8" s="41">
        <v>22388.280000000002</v>
      </c>
      <c r="S8" s="41">
        <v>36125.449999999997</v>
      </c>
    </row>
    <row r="9" spans="2:19" ht="16" x14ac:dyDescent="0.2">
      <c r="B9" s="39">
        <v>202010</v>
      </c>
      <c r="C9" s="40" t="s">
        <v>44</v>
      </c>
      <c r="D9" s="40" t="s">
        <v>34</v>
      </c>
      <c r="E9" s="41">
        <v>40</v>
      </c>
      <c r="F9" s="41">
        <v>6383.1399999999994</v>
      </c>
      <c r="G9" s="41">
        <v>4786.26</v>
      </c>
      <c r="H9" s="41">
        <v>14992.820000000003</v>
      </c>
      <c r="I9" s="41">
        <v>26162.219999999998</v>
      </c>
      <c r="L9" s="39">
        <v>202010</v>
      </c>
      <c r="M9" s="40" t="s">
        <v>118</v>
      </c>
      <c r="N9" s="40" t="str">
        <f t="shared" si="0"/>
        <v>98921</v>
      </c>
      <c r="O9" s="40" t="str">
        <f t="shared" si="1"/>
        <v>RES</v>
      </c>
      <c r="P9" s="41">
        <v>1585.09</v>
      </c>
      <c r="Q9" s="41">
        <v>1372.33</v>
      </c>
      <c r="R9" s="41">
        <v>4908.55</v>
      </c>
      <c r="S9" s="41">
        <v>7865.97</v>
      </c>
    </row>
    <row r="10" spans="2:19" ht="16" x14ac:dyDescent="0.2">
      <c r="B10" s="39">
        <v>202010</v>
      </c>
      <c r="C10" s="40" t="s">
        <v>45</v>
      </c>
      <c r="D10" s="40" t="s">
        <v>34</v>
      </c>
      <c r="E10" s="41">
        <v>20</v>
      </c>
      <c r="F10" s="41">
        <v>8264.74</v>
      </c>
      <c r="G10" s="41">
        <v>917.29000000000019</v>
      </c>
      <c r="H10" s="41">
        <v>5572.09</v>
      </c>
      <c r="I10" s="41">
        <v>14754.12</v>
      </c>
      <c r="L10" s="39">
        <v>202010</v>
      </c>
      <c r="M10" s="40" t="s">
        <v>111</v>
      </c>
      <c r="N10" s="40" t="str">
        <f t="shared" si="0"/>
        <v>98923</v>
      </c>
      <c r="O10" s="40" t="str">
        <f t="shared" si="1"/>
        <v>RES</v>
      </c>
      <c r="P10" s="41">
        <v>465.09</v>
      </c>
      <c r="Q10" s="41">
        <v>203.32000000000002</v>
      </c>
      <c r="R10" s="41">
        <v>188.07</v>
      </c>
      <c r="S10" s="41">
        <v>856.48</v>
      </c>
    </row>
    <row r="11" spans="2:19" ht="16" x14ac:dyDescent="0.2">
      <c r="B11" s="39">
        <v>202010</v>
      </c>
      <c r="C11" s="40" t="s">
        <v>46</v>
      </c>
      <c r="D11" s="40" t="s">
        <v>34</v>
      </c>
      <c r="E11" s="41">
        <v>8</v>
      </c>
      <c r="F11" s="41">
        <v>3251.88</v>
      </c>
      <c r="G11" s="41">
        <v>846.93000000000006</v>
      </c>
      <c r="H11" s="41">
        <v>2869.04</v>
      </c>
      <c r="I11" s="41">
        <v>6967.8499999999995</v>
      </c>
      <c r="L11" s="39">
        <v>202010</v>
      </c>
      <c r="M11" s="40" t="s">
        <v>96</v>
      </c>
      <c r="N11" s="40" t="str">
        <f t="shared" si="0"/>
        <v>98930</v>
      </c>
      <c r="O11" s="40" t="str">
        <f t="shared" si="1"/>
        <v>RES</v>
      </c>
      <c r="P11" s="41">
        <v>7685.45</v>
      </c>
      <c r="Q11" s="41">
        <v>5979.6400000000021</v>
      </c>
      <c r="R11" s="41">
        <v>15927.730000000003</v>
      </c>
      <c r="S11" s="41">
        <v>29592.819999999989</v>
      </c>
    </row>
    <row r="12" spans="2:19" ht="16" x14ac:dyDescent="0.2">
      <c r="B12" s="39">
        <v>202010</v>
      </c>
      <c r="C12" s="40" t="s">
        <v>47</v>
      </c>
      <c r="D12" s="40" t="s">
        <v>34</v>
      </c>
      <c r="E12" s="41">
        <v>3</v>
      </c>
      <c r="F12" s="41">
        <v>180.51</v>
      </c>
      <c r="G12" s="41">
        <v>95.940000000000012</v>
      </c>
      <c r="H12" s="41">
        <v>1413.14</v>
      </c>
      <c r="I12" s="41">
        <v>1689.59</v>
      </c>
      <c r="L12" s="39">
        <v>202010</v>
      </c>
      <c r="M12" s="40" t="s">
        <v>94</v>
      </c>
      <c r="N12" s="40" t="str">
        <f t="shared" si="0"/>
        <v>98932</v>
      </c>
      <c r="O12" s="40" t="str">
        <f t="shared" si="1"/>
        <v>RES</v>
      </c>
      <c r="P12" s="41">
        <v>4638.97</v>
      </c>
      <c r="Q12" s="41">
        <v>4228.7399999999989</v>
      </c>
      <c r="R12" s="41">
        <v>12002.640000000001</v>
      </c>
      <c r="S12" s="41">
        <v>20870.350000000002</v>
      </c>
    </row>
    <row r="13" spans="2:19" ht="16" x14ac:dyDescent="0.2">
      <c r="B13" s="39">
        <v>202010</v>
      </c>
      <c r="C13" s="40" t="s">
        <v>48</v>
      </c>
      <c r="D13" s="40" t="s">
        <v>34</v>
      </c>
      <c r="E13" s="41">
        <v>24</v>
      </c>
      <c r="F13" s="41">
        <v>11480.58</v>
      </c>
      <c r="G13" s="41">
        <v>3202.63</v>
      </c>
      <c r="H13" s="41">
        <v>9604.369999999999</v>
      </c>
      <c r="I13" s="41">
        <v>24287.579999999994</v>
      </c>
      <c r="L13" s="39">
        <v>202010</v>
      </c>
      <c r="M13" s="40" t="s">
        <v>95</v>
      </c>
      <c r="N13" s="40" t="str">
        <f t="shared" si="0"/>
        <v>98933</v>
      </c>
      <c r="O13" s="40" t="str">
        <f t="shared" si="1"/>
        <v>RES</v>
      </c>
      <c r="P13" s="41">
        <v>773.53</v>
      </c>
      <c r="Q13" s="41">
        <v>608.24</v>
      </c>
      <c r="R13" s="41">
        <v>3182.08</v>
      </c>
      <c r="S13" s="41">
        <v>4563.8500000000004</v>
      </c>
    </row>
    <row r="14" spans="2:19" ht="16" x14ac:dyDescent="0.2">
      <c r="B14" s="39">
        <v>202010</v>
      </c>
      <c r="C14" s="40" t="s">
        <v>49</v>
      </c>
      <c r="D14" s="40" t="s">
        <v>34</v>
      </c>
      <c r="E14" s="41">
        <v>36</v>
      </c>
      <c r="F14" s="41">
        <v>5817.09</v>
      </c>
      <c r="G14" s="41">
        <v>1514.26</v>
      </c>
      <c r="H14" s="41">
        <v>2642.57</v>
      </c>
      <c r="I14" s="41">
        <v>9973.92</v>
      </c>
      <c r="L14" s="39">
        <v>202010</v>
      </c>
      <c r="M14" s="40" t="s">
        <v>97</v>
      </c>
      <c r="N14" s="40" t="str">
        <f t="shared" si="0"/>
        <v>98935</v>
      </c>
      <c r="O14" s="40" t="str">
        <f t="shared" si="1"/>
        <v>RES</v>
      </c>
      <c r="P14" s="41">
        <v>3114.889999999999</v>
      </c>
      <c r="Q14" s="41">
        <v>2208.85</v>
      </c>
      <c r="R14" s="41">
        <v>6017.7300000000005</v>
      </c>
      <c r="S14" s="41">
        <v>11341.470000000001</v>
      </c>
    </row>
    <row r="15" spans="2:19" ht="16" x14ac:dyDescent="0.2">
      <c r="B15" s="39">
        <v>202010</v>
      </c>
      <c r="C15" s="40" t="s">
        <v>50</v>
      </c>
      <c r="D15" s="40" t="s">
        <v>34</v>
      </c>
      <c r="E15" s="41">
        <v>21</v>
      </c>
      <c r="F15" s="41">
        <v>34302.410000000003</v>
      </c>
      <c r="G15" s="41">
        <v>26450.880000000001</v>
      </c>
      <c r="H15" s="41">
        <v>5615.89</v>
      </c>
      <c r="I15" s="41">
        <v>66369.179999999993</v>
      </c>
      <c r="L15" s="39">
        <v>202010</v>
      </c>
      <c r="M15" s="40" t="s">
        <v>98</v>
      </c>
      <c r="N15" s="40" t="str">
        <f t="shared" si="0"/>
        <v>98936</v>
      </c>
      <c r="O15" s="40" t="str">
        <f t="shared" si="1"/>
        <v>RES</v>
      </c>
      <c r="P15" s="41">
        <v>1143.3900000000001</v>
      </c>
      <c r="Q15" s="41">
        <v>551.17999999999995</v>
      </c>
      <c r="R15" s="41">
        <v>2163.4699999999998</v>
      </c>
      <c r="S15" s="41">
        <v>3858.04</v>
      </c>
    </row>
    <row r="16" spans="2:19" ht="16" x14ac:dyDescent="0.2">
      <c r="B16" s="39">
        <v>202010</v>
      </c>
      <c r="C16" s="40" t="s">
        <v>51</v>
      </c>
      <c r="D16" s="40" t="s">
        <v>34</v>
      </c>
      <c r="E16" s="41">
        <v>3</v>
      </c>
      <c r="F16" s="41">
        <v>306.49</v>
      </c>
      <c r="G16" s="41">
        <v>319.05</v>
      </c>
      <c r="H16" s="41">
        <v>100.27</v>
      </c>
      <c r="I16" s="41">
        <v>725.81</v>
      </c>
      <c r="L16" s="39">
        <v>202010</v>
      </c>
      <c r="M16" s="40" t="s">
        <v>107</v>
      </c>
      <c r="N16" s="40" t="str">
        <f t="shared" si="0"/>
        <v>98937</v>
      </c>
      <c r="O16" s="40" t="str">
        <f t="shared" si="1"/>
        <v>RES</v>
      </c>
      <c r="P16" s="41">
        <v>798.69</v>
      </c>
      <c r="Q16" s="41">
        <v>550.24</v>
      </c>
      <c r="R16" s="41">
        <v>2277.62</v>
      </c>
      <c r="S16" s="41">
        <v>3626.55</v>
      </c>
    </row>
    <row r="17" spans="2:19" ht="16" x14ac:dyDescent="0.2">
      <c r="B17" s="39">
        <v>202010</v>
      </c>
      <c r="C17" s="40" t="s">
        <v>52</v>
      </c>
      <c r="D17" s="40" t="s">
        <v>34</v>
      </c>
      <c r="E17" s="41">
        <v>58</v>
      </c>
      <c r="F17" s="41">
        <v>12180.3</v>
      </c>
      <c r="G17" s="41">
        <v>9783.119999999999</v>
      </c>
      <c r="H17" s="41">
        <v>21436.66</v>
      </c>
      <c r="I17" s="41">
        <v>43400.080000000009</v>
      </c>
      <c r="L17" s="39">
        <v>202010</v>
      </c>
      <c r="M17" s="40" t="s">
        <v>105</v>
      </c>
      <c r="N17" s="40" t="str">
        <f t="shared" si="0"/>
        <v>98938</v>
      </c>
      <c r="O17" s="40" t="str">
        <f t="shared" si="1"/>
        <v>RES</v>
      </c>
      <c r="P17" s="41">
        <v>1416.4199999999998</v>
      </c>
      <c r="Q17" s="41">
        <v>1077.1099999999999</v>
      </c>
      <c r="R17" s="41">
        <v>3639.1200000000003</v>
      </c>
      <c r="S17" s="41">
        <v>6132.6500000000005</v>
      </c>
    </row>
    <row r="18" spans="2:19" ht="16" x14ac:dyDescent="0.2">
      <c r="B18" s="39">
        <v>202010</v>
      </c>
      <c r="C18" s="40" t="s">
        <v>53</v>
      </c>
      <c r="D18" s="40" t="s">
        <v>34</v>
      </c>
      <c r="E18" s="41">
        <v>116</v>
      </c>
      <c r="F18" s="41">
        <v>28664.300000000017</v>
      </c>
      <c r="G18" s="41">
        <v>17920.740000000002</v>
      </c>
      <c r="H18" s="41">
        <v>58332.910000000011</v>
      </c>
      <c r="I18" s="41">
        <v>104917.94999999998</v>
      </c>
      <c r="L18" s="39">
        <v>202010</v>
      </c>
      <c r="M18" s="40" t="s">
        <v>119</v>
      </c>
      <c r="N18" s="40" t="str">
        <f t="shared" si="0"/>
        <v>98939</v>
      </c>
      <c r="O18" s="40" t="str">
        <f t="shared" si="1"/>
        <v>RES</v>
      </c>
      <c r="P18" s="41">
        <v>126.58000000000001</v>
      </c>
      <c r="Q18" s="41">
        <v>161.31</v>
      </c>
      <c r="R18" s="41">
        <v>962.45</v>
      </c>
      <c r="S18" s="41">
        <v>1250.3399999999999</v>
      </c>
    </row>
    <row r="19" spans="2:19" ht="16" x14ac:dyDescent="0.2">
      <c r="B19" s="39">
        <v>202010</v>
      </c>
      <c r="C19" s="40" t="s">
        <v>54</v>
      </c>
      <c r="D19" s="40" t="s">
        <v>34</v>
      </c>
      <c r="E19" s="41">
        <v>19</v>
      </c>
      <c r="F19" s="41">
        <v>5271.9499999999989</v>
      </c>
      <c r="G19" s="41">
        <v>1968.55</v>
      </c>
      <c r="H19" s="41">
        <v>3738.68</v>
      </c>
      <c r="I19" s="41">
        <v>10979.179999999998</v>
      </c>
      <c r="L19" s="39">
        <v>202010</v>
      </c>
      <c r="M19" s="40" t="s">
        <v>99</v>
      </c>
      <c r="N19" s="40" t="str">
        <f t="shared" si="0"/>
        <v>98942</v>
      </c>
      <c r="O19" s="40" t="str">
        <f t="shared" si="1"/>
        <v>RES</v>
      </c>
      <c r="P19" s="41">
        <v>3754.4300000000003</v>
      </c>
      <c r="Q19" s="41">
        <v>3149.3599999999992</v>
      </c>
      <c r="R19" s="41">
        <v>10392.719999999996</v>
      </c>
      <c r="S19" s="41">
        <v>17296.510000000002</v>
      </c>
    </row>
    <row r="20" spans="2:19" ht="16" x14ac:dyDescent="0.2">
      <c r="B20" s="39">
        <v>202010</v>
      </c>
      <c r="C20" s="40" t="s">
        <v>55</v>
      </c>
      <c r="D20" s="40" t="s">
        <v>34</v>
      </c>
      <c r="E20" s="41">
        <v>86</v>
      </c>
      <c r="F20" s="41">
        <v>15192.090000000006</v>
      </c>
      <c r="G20" s="41">
        <v>10812.270000000002</v>
      </c>
      <c r="H20" s="41">
        <v>28349.309999999998</v>
      </c>
      <c r="I20" s="41">
        <v>54353.67</v>
      </c>
      <c r="L20" s="39">
        <v>202010</v>
      </c>
      <c r="M20" s="40" t="s">
        <v>91</v>
      </c>
      <c r="N20" s="40" t="str">
        <f t="shared" si="0"/>
        <v>98944</v>
      </c>
      <c r="O20" s="40" t="str">
        <f t="shared" si="1"/>
        <v>RES</v>
      </c>
      <c r="P20" s="41">
        <v>14126.599999999993</v>
      </c>
      <c r="Q20" s="41">
        <v>11676.02</v>
      </c>
      <c r="R20" s="41">
        <v>39123.94000000001</v>
      </c>
      <c r="S20" s="41">
        <v>64926.560000000019</v>
      </c>
    </row>
    <row r="21" spans="2:19" ht="16" x14ac:dyDescent="0.2">
      <c r="B21" s="39">
        <v>202010</v>
      </c>
      <c r="C21" s="40" t="s">
        <v>56</v>
      </c>
      <c r="D21" s="40" t="s">
        <v>34</v>
      </c>
      <c r="E21" s="41">
        <v>75</v>
      </c>
      <c r="F21" s="41">
        <v>14456.65</v>
      </c>
      <c r="G21" s="41">
        <v>12586.489999999998</v>
      </c>
      <c r="H21" s="41">
        <v>26268.590000000004</v>
      </c>
      <c r="I21" s="41">
        <v>53311.73</v>
      </c>
      <c r="L21" s="39">
        <v>202010</v>
      </c>
      <c r="M21" s="40" t="s">
        <v>100</v>
      </c>
      <c r="N21" s="40" t="str">
        <f t="shared" si="0"/>
        <v>98947</v>
      </c>
      <c r="O21" s="40" t="str">
        <f t="shared" si="1"/>
        <v>RES</v>
      </c>
      <c r="P21" s="41">
        <v>1299.27</v>
      </c>
      <c r="Q21" s="41">
        <v>1025.8700000000001</v>
      </c>
      <c r="R21" s="41">
        <v>5545.83</v>
      </c>
      <c r="S21" s="41">
        <v>7870.9700000000012</v>
      </c>
    </row>
    <row r="22" spans="2:19" ht="32" x14ac:dyDescent="0.2">
      <c r="B22" s="39">
        <v>202010</v>
      </c>
      <c r="C22" s="40" t="s">
        <v>57</v>
      </c>
      <c r="D22" s="40" t="s">
        <v>34</v>
      </c>
      <c r="E22" s="41">
        <v>2</v>
      </c>
      <c r="F22" s="41">
        <v>160.59</v>
      </c>
      <c r="G22" s="41">
        <v>36.370000000000005</v>
      </c>
      <c r="H22" s="41">
        <v>387.24</v>
      </c>
      <c r="I22" s="41">
        <v>584.20000000000005</v>
      </c>
      <c r="L22" s="39">
        <v>202010</v>
      </c>
      <c r="M22" s="40" t="s">
        <v>120</v>
      </c>
      <c r="N22" s="40" t="str">
        <f t="shared" si="0"/>
        <v>98948</v>
      </c>
      <c r="O22" s="40" t="str">
        <f t="shared" si="1"/>
        <v>COM</v>
      </c>
      <c r="P22" s="41">
        <v>5521.0199999999995</v>
      </c>
      <c r="Q22" s="41">
        <v>1812.8700000000001</v>
      </c>
      <c r="R22" s="41">
        <v>2895.75</v>
      </c>
      <c r="S22" s="41">
        <v>10229.640000000001</v>
      </c>
    </row>
    <row r="23" spans="2:19" ht="16" x14ac:dyDescent="0.2">
      <c r="B23" s="39">
        <v>202010</v>
      </c>
      <c r="C23" s="40" t="s">
        <v>58</v>
      </c>
      <c r="D23" s="40" t="s">
        <v>34</v>
      </c>
      <c r="E23" s="41">
        <v>44</v>
      </c>
      <c r="F23" s="41">
        <v>5285.3900000000012</v>
      </c>
      <c r="G23" s="41">
        <v>4040.8799999999997</v>
      </c>
      <c r="H23" s="41">
        <v>15907.32</v>
      </c>
      <c r="I23" s="41">
        <v>25233.589999999989</v>
      </c>
      <c r="L23" s="39">
        <v>202010</v>
      </c>
      <c r="M23" s="40" t="s">
        <v>101</v>
      </c>
      <c r="N23" s="40" t="str">
        <f t="shared" si="0"/>
        <v>98948</v>
      </c>
      <c r="O23" s="40" t="str">
        <f t="shared" si="1"/>
        <v>RES</v>
      </c>
      <c r="P23" s="41">
        <v>13674.169999999998</v>
      </c>
      <c r="Q23" s="41">
        <v>15772.749999999987</v>
      </c>
      <c r="R23" s="41">
        <v>59150.75</v>
      </c>
      <c r="S23" s="41">
        <v>88597.670000000027</v>
      </c>
    </row>
    <row r="24" spans="2:19" ht="32" x14ac:dyDescent="0.2">
      <c r="B24" s="39">
        <v>202010</v>
      </c>
      <c r="C24" s="40" t="s">
        <v>60</v>
      </c>
      <c r="D24" s="40" t="s">
        <v>34</v>
      </c>
      <c r="E24" s="41">
        <v>23</v>
      </c>
      <c r="F24" s="41">
        <v>5784.1900000000005</v>
      </c>
      <c r="G24" s="41">
        <v>448.75000000000006</v>
      </c>
      <c r="H24" s="41">
        <v>2129.83</v>
      </c>
      <c r="I24" s="41">
        <v>8362.7699999999986</v>
      </c>
      <c r="L24" s="39">
        <v>202010</v>
      </c>
      <c r="M24" s="40" t="s">
        <v>112</v>
      </c>
      <c r="N24" s="40" t="str">
        <f t="shared" si="0"/>
        <v>98951</v>
      </c>
      <c r="O24" s="40" t="str">
        <f t="shared" si="1"/>
        <v>COM</v>
      </c>
      <c r="P24" s="41">
        <v>11.85</v>
      </c>
      <c r="Q24" s="41">
        <v>30.46</v>
      </c>
      <c r="R24" s="41">
        <v>572.58000000000004</v>
      </c>
      <c r="S24" s="41">
        <v>614.89</v>
      </c>
    </row>
    <row r="25" spans="2:19" ht="16" x14ac:dyDescent="0.2">
      <c r="B25" s="39">
        <v>202010</v>
      </c>
      <c r="C25" s="40" t="s">
        <v>61</v>
      </c>
      <c r="D25" s="40" t="s">
        <v>34</v>
      </c>
      <c r="E25" s="41">
        <v>6</v>
      </c>
      <c r="F25" s="41">
        <v>1043.24</v>
      </c>
      <c r="G25" s="41">
        <v>494.91999999999996</v>
      </c>
      <c r="H25" s="41">
        <v>1202.6300000000001</v>
      </c>
      <c r="I25" s="41">
        <v>2740.7900000000004</v>
      </c>
      <c r="L25" s="39">
        <v>202010</v>
      </c>
      <c r="M25" s="40" t="s">
        <v>106</v>
      </c>
      <c r="N25" s="40" t="str">
        <f t="shared" si="0"/>
        <v>98951</v>
      </c>
      <c r="O25" s="40" t="str">
        <f t="shared" si="1"/>
        <v>RES</v>
      </c>
      <c r="P25" s="41">
        <v>24784.839999999982</v>
      </c>
      <c r="Q25" s="41">
        <v>22097.41</v>
      </c>
      <c r="R25" s="41">
        <v>122968.34999999995</v>
      </c>
      <c r="S25" s="41">
        <v>169850.59999999992</v>
      </c>
    </row>
    <row r="26" spans="2:19" ht="32" x14ac:dyDescent="0.2">
      <c r="B26" s="39">
        <v>202010</v>
      </c>
      <c r="C26" s="40" t="s">
        <v>62</v>
      </c>
      <c r="D26" s="40" t="s">
        <v>34</v>
      </c>
      <c r="E26" s="41">
        <v>35</v>
      </c>
      <c r="F26" s="41">
        <v>5481.9100000000008</v>
      </c>
      <c r="G26" s="41">
        <v>1862.22</v>
      </c>
      <c r="H26" s="41">
        <v>10156.710000000001</v>
      </c>
      <c r="I26" s="41">
        <v>17500.839999999993</v>
      </c>
      <c r="L26" s="39">
        <v>202010</v>
      </c>
      <c r="M26" s="40" t="s">
        <v>144</v>
      </c>
      <c r="N26" s="40" t="str">
        <f t="shared" si="0"/>
        <v>98952</v>
      </c>
      <c r="O26" s="40" t="str">
        <f t="shared" si="1"/>
        <v>COM</v>
      </c>
      <c r="P26" s="41">
        <v>21.15</v>
      </c>
      <c r="Q26" s="41">
        <v>16.34</v>
      </c>
      <c r="R26" s="41">
        <v>387.24</v>
      </c>
      <c r="S26" s="41">
        <v>424.73</v>
      </c>
    </row>
    <row r="27" spans="2:19" ht="16" x14ac:dyDescent="0.2">
      <c r="B27" s="39">
        <v>202010</v>
      </c>
      <c r="C27" s="40" t="s">
        <v>63</v>
      </c>
      <c r="D27" s="40" t="s">
        <v>34</v>
      </c>
      <c r="E27" s="41">
        <v>3</v>
      </c>
      <c r="F27" s="41">
        <v>451.25</v>
      </c>
      <c r="G27" s="41">
        <v>70.34</v>
      </c>
      <c r="H27" s="41">
        <v>887.13</v>
      </c>
      <c r="I27" s="41">
        <v>1408.72</v>
      </c>
      <c r="L27" s="39">
        <v>202010</v>
      </c>
      <c r="M27" s="40" t="s">
        <v>110</v>
      </c>
      <c r="N27" s="40" t="str">
        <f t="shared" si="0"/>
        <v>98952</v>
      </c>
      <c r="O27" s="40" t="str">
        <f t="shared" si="1"/>
        <v>RES</v>
      </c>
      <c r="P27" s="41">
        <v>3313.2099999999991</v>
      </c>
      <c r="Q27" s="41">
        <v>3300.9</v>
      </c>
      <c r="R27" s="41">
        <v>14162.14</v>
      </c>
      <c r="S27" s="41">
        <v>20776.25</v>
      </c>
    </row>
    <row r="28" spans="2:19" ht="16" x14ac:dyDescent="0.2">
      <c r="B28" s="39">
        <v>202010</v>
      </c>
      <c r="C28" s="40" t="s">
        <v>64</v>
      </c>
      <c r="D28" s="40" t="s">
        <v>34</v>
      </c>
      <c r="E28" s="41">
        <v>20</v>
      </c>
      <c r="F28" s="41">
        <v>4482.67</v>
      </c>
      <c r="G28" s="41">
        <v>2876.9699999999993</v>
      </c>
      <c r="H28" s="41">
        <v>4566.1499999999996</v>
      </c>
      <c r="I28" s="41">
        <v>11925.79</v>
      </c>
      <c r="L28" s="39">
        <v>202010</v>
      </c>
      <c r="M28" s="40" t="s">
        <v>92</v>
      </c>
      <c r="N28" s="40" t="str">
        <f t="shared" si="0"/>
        <v>98953</v>
      </c>
      <c r="O28" s="40" t="str">
        <f t="shared" si="1"/>
        <v>RES</v>
      </c>
      <c r="P28" s="41">
        <v>3073.8500000000013</v>
      </c>
      <c r="Q28" s="41">
        <v>2659.95</v>
      </c>
      <c r="R28" s="41">
        <v>7513.4299999999994</v>
      </c>
      <c r="S28" s="41">
        <v>13247.229999999998</v>
      </c>
    </row>
    <row r="29" spans="2:19" ht="16" x14ac:dyDescent="0.2">
      <c r="B29" s="39">
        <v>202010</v>
      </c>
      <c r="C29" s="40" t="s">
        <v>65</v>
      </c>
      <c r="D29" s="40" t="s">
        <v>34</v>
      </c>
      <c r="E29" s="41">
        <v>5</v>
      </c>
      <c r="F29" s="41">
        <v>933.02</v>
      </c>
      <c r="G29" s="41">
        <v>92.77</v>
      </c>
      <c r="H29" s="41">
        <v>22.74</v>
      </c>
      <c r="I29" s="41">
        <v>1048.5299999999997</v>
      </c>
      <c r="L29" s="39">
        <v>202010</v>
      </c>
      <c r="M29" s="40" t="s">
        <v>114</v>
      </c>
      <c r="N29" s="40" t="str">
        <f t="shared" si="0"/>
        <v>99323</v>
      </c>
      <c r="O29" s="40" t="str">
        <f t="shared" si="1"/>
        <v>RES</v>
      </c>
      <c r="P29" s="41">
        <v>321.5</v>
      </c>
      <c r="Q29" s="41">
        <v>292.02999999999997</v>
      </c>
      <c r="R29" s="41">
        <v>1811.97</v>
      </c>
      <c r="S29" s="41">
        <v>2425.5</v>
      </c>
    </row>
    <row r="30" spans="2:19" ht="16" x14ac:dyDescent="0.2">
      <c r="B30" s="39">
        <v>202010</v>
      </c>
      <c r="C30" s="40" t="s">
        <v>67</v>
      </c>
      <c r="D30" s="40" t="s">
        <v>34</v>
      </c>
      <c r="E30" s="41">
        <v>7</v>
      </c>
      <c r="F30" s="41">
        <v>628.27</v>
      </c>
      <c r="G30" s="41">
        <v>1279.31</v>
      </c>
      <c r="H30" s="41">
        <v>9536.61</v>
      </c>
      <c r="I30" s="41">
        <v>11444.19</v>
      </c>
      <c r="L30" s="39">
        <v>202010</v>
      </c>
      <c r="M30" s="40" t="s">
        <v>108</v>
      </c>
      <c r="N30" s="40" t="str">
        <f t="shared" si="0"/>
        <v>99324</v>
      </c>
      <c r="O30" s="40" t="str">
        <f t="shared" si="1"/>
        <v>RES</v>
      </c>
      <c r="P30" s="41">
        <v>3343.1100000000015</v>
      </c>
      <c r="Q30" s="41">
        <v>3032.6699999999996</v>
      </c>
      <c r="R30" s="41">
        <v>9874.6900000000023</v>
      </c>
      <c r="S30" s="41">
        <v>16250.470000000001</v>
      </c>
    </row>
    <row r="31" spans="2:19" ht="16" x14ac:dyDescent="0.2">
      <c r="B31" s="39">
        <v>202010</v>
      </c>
      <c r="C31" s="40" t="s">
        <v>68</v>
      </c>
      <c r="D31" s="40" t="s">
        <v>34</v>
      </c>
      <c r="E31" s="41">
        <v>25</v>
      </c>
      <c r="F31" s="41">
        <v>1590.7599999999998</v>
      </c>
      <c r="G31" s="41">
        <v>1164.69</v>
      </c>
      <c r="H31" s="41">
        <v>3559.27</v>
      </c>
      <c r="I31" s="41">
        <v>6314.72</v>
      </c>
      <c r="L31" s="39">
        <v>202010</v>
      </c>
      <c r="M31" s="40" t="s">
        <v>102</v>
      </c>
      <c r="N31" s="40" t="str">
        <f t="shared" si="0"/>
        <v>99328</v>
      </c>
      <c r="O31" s="40" t="str">
        <f t="shared" si="1"/>
        <v>RES</v>
      </c>
      <c r="P31" s="41">
        <v>2586.0399999999995</v>
      </c>
      <c r="Q31" s="41">
        <v>2719.25</v>
      </c>
      <c r="R31" s="41">
        <v>12033.329999999998</v>
      </c>
      <c r="S31" s="41">
        <v>17338.62</v>
      </c>
    </row>
    <row r="32" spans="2:19" ht="16" x14ac:dyDescent="0.2">
      <c r="B32" s="39">
        <v>202010</v>
      </c>
      <c r="C32" s="40" t="s">
        <v>69</v>
      </c>
      <c r="D32" s="40" t="s">
        <v>34</v>
      </c>
      <c r="E32" s="41">
        <v>118</v>
      </c>
      <c r="F32" s="41">
        <v>24886.09999999998</v>
      </c>
      <c r="G32" s="41">
        <v>14047.86</v>
      </c>
      <c r="H32" s="41">
        <v>40116.249999999993</v>
      </c>
      <c r="I32" s="41">
        <v>79050.209999999992</v>
      </c>
      <c r="L32" s="39">
        <v>202010</v>
      </c>
      <c r="M32" s="40" t="s">
        <v>180</v>
      </c>
      <c r="N32" s="40" t="str">
        <f t="shared" si="0"/>
        <v>99329</v>
      </c>
      <c r="O32" s="40" t="str">
        <f t="shared" si="1"/>
        <v>RES</v>
      </c>
      <c r="P32" s="41">
        <v>0</v>
      </c>
      <c r="Q32" s="41">
        <v>0</v>
      </c>
      <c r="R32" s="41">
        <v>0</v>
      </c>
      <c r="S32" s="41">
        <v>0</v>
      </c>
    </row>
    <row r="33" spans="2:19" ht="32" x14ac:dyDescent="0.2">
      <c r="B33" s="39">
        <v>202010</v>
      </c>
      <c r="C33" s="40" t="s">
        <v>70</v>
      </c>
      <c r="D33" s="40" t="s">
        <v>34</v>
      </c>
      <c r="E33" s="41">
        <v>3</v>
      </c>
      <c r="F33" s="41">
        <v>181.19</v>
      </c>
      <c r="G33" s="41">
        <v>41.84</v>
      </c>
      <c r="H33" s="41">
        <v>93.05</v>
      </c>
      <c r="I33" s="41">
        <v>316.08</v>
      </c>
      <c r="L33" s="39">
        <v>202010</v>
      </c>
      <c r="M33" s="40" t="s">
        <v>121</v>
      </c>
      <c r="N33" s="40" t="str">
        <f t="shared" si="0"/>
        <v>99347</v>
      </c>
      <c r="O33" s="40" t="str">
        <f t="shared" si="1"/>
        <v>COM</v>
      </c>
      <c r="P33" s="41">
        <v>100.28</v>
      </c>
      <c r="Q33" s="41">
        <v>0</v>
      </c>
      <c r="R33" s="41">
        <v>0</v>
      </c>
      <c r="S33" s="41">
        <v>100.28</v>
      </c>
    </row>
    <row r="34" spans="2:19" ht="16" x14ac:dyDescent="0.2">
      <c r="B34" s="39">
        <v>202010</v>
      </c>
      <c r="C34" s="40" t="s">
        <v>76</v>
      </c>
      <c r="D34" s="40" t="s">
        <v>75</v>
      </c>
      <c r="E34" s="41">
        <v>2</v>
      </c>
      <c r="F34" s="41">
        <v>260</v>
      </c>
      <c r="G34" s="41">
        <v>131.72999999999999</v>
      </c>
      <c r="H34" s="41">
        <v>174.31</v>
      </c>
      <c r="I34" s="41">
        <v>566.04</v>
      </c>
      <c r="L34" s="39">
        <v>202010</v>
      </c>
      <c r="M34" s="40" t="s">
        <v>109</v>
      </c>
      <c r="N34" s="40" t="str">
        <f t="shared" si="0"/>
        <v>99347</v>
      </c>
      <c r="O34" s="40" t="str">
        <f t="shared" si="1"/>
        <v>RES</v>
      </c>
      <c r="P34" s="41">
        <v>909.50999999999988</v>
      </c>
      <c r="Q34" s="41">
        <v>696.19999999999993</v>
      </c>
      <c r="R34" s="41">
        <v>4127.8499999999995</v>
      </c>
      <c r="S34" s="41">
        <v>5733.5599999999995</v>
      </c>
    </row>
    <row r="35" spans="2:19" ht="16" x14ac:dyDescent="0.2">
      <c r="B35" s="39">
        <v>202010</v>
      </c>
      <c r="C35" s="40" t="s">
        <v>35</v>
      </c>
      <c r="D35" s="40" t="s">
        <v>75</v>
      </c>
      <c r="E35" s="41">
        <v>2175</v>
      </c>
      <c r="F35" s="41">
        <v>173009.97000000018</v>
      </c>
      <c r="G35" s="41">
        <v>120016.05000000012</v>
      </c>
      <c r="H35" s="41">
        <v>472644.39999999944</v>
      </c>
      <c r="I35" s="41">
        <v>765670.42000000167</v>
      </c>
      <c r="L35" s="39">
        <v>202010</v>
      </c>
      <c r="M35" s="40" t="s">
        <v>113</v>
      </c>
      <c r="N35" s="40" t="str">
        <f t="shared" si="0"/>
        <v>99348</v>
      </c>
      <c r="O35" s="40" t="str">
        <f t="shared" si="1"/>
        <v>RES</v>
      </c>
      <c r="P35" s="41">
        <v>364.08</v>
      </c>
      <c r="Q35" s="41">
        <v>286.29000000000002</v>
      </c>
      <c r="R35" s="41">
        <v>833.92000000000007</v>
      </c>
      <c r="S35" s="41">
        <v>1484.29</v>
      </c>
    </row>
    <row r="36" spans="2:19" ht="16" x14ac:dyDescent="0.2">
      <c r="B36" s="39">
        <v>202010</v>
      </c>
      <c r="C36" s="40" t="s">
        <v>36</v>
      </c>
      <c r="D36" s="40" t="s">
        <v>75</v>
      </c>
      <c r="E36" s="41">
        <v>3905</v>
      </c>
      <c r="F36" s="41">
        <v>264470.8000000001</v>
      </c>
      <c r="G36" s="41">
        <v>227282.79000000012</v>
      </c>
      <c r="H36" s="41">
        <v>612103.08999999939</v>
      </c>
      <c r="I36" s="41">
        <v>1103856.68</v>
      </c>
      <c r="L36" s="39">
        <v>202010</v>
      </c>
      <c r="M36" s="40" t="s">
        <v>122</v>
      </c>
      <c r="N36" s="40" t="str">
        <f t="shared" si="0"/>
        <v>99350</v>
      </c>
      <c r="O36" s="40" t="str">
        <f t="shared" si="1"/>
        <v>RES</v>
      </c>
      <c r="P36" s="41">
        <v>98.27</v>
      </c>
      <c r="Q36" s="41">
        <v>85.99</v>
      </c>
      <c r="R36" s="41">
        <v>32.4</v>
      </c>
      <c r="S36" s="41">
        <v>216.66</v>
      </c>
    </row>
    <row r="37" spans="2:19" ht="16" x14ac:dyDescent="0.2">
      <c r="B37" s="39">
        <v>202010</v>
      </c>
      <c r="C37" s="40" t="s">
        <v>37</v>
      </c>
      <c r="D37" s="40" t="s">
        <v>75</v>
      </c>
      <c r="E37" s="41">
        <v>1321</v>
      </c>
      <c r="F37" s="41">
        <v>121861.70000000019</v>
      </c>
      <c r="G37" s="41">
        <v>75724.840000000055</v>
      </c>
      <c r="H37" s="41">
        <v>295072.0999999998</v>
      </c>
      <c r="I37" s="41">
        <v>492658.6399999999</v>
      </c>
      <c r="L37" s="39">
        <v>202010</v>
      </c>
      <c r="M37" s="40" t="s">
        <v>123</v>
      </c>
      <c r="N37" s="40" t="str">
        <f t="shared" si="0"/>
        <v>99360</v>
      </c>
      <c r="O37" s="40" t="str">
        <f t="shared" si="1"/>
        <v>RES</v>
      </c>
      <c r="P37" s="41">
        <v>0</v>
      </c>
      <c r="Q37" s="41">
        <v>0</v>
      </c>
      <c r="R37" s="41">
        <v>0</v>
      </c>
      <c r="S37" s="41">
        <v>0</v>
      </c>
    </row>
    <row r="38" spans="2:19" ht="16" x14ac:dyDescent="0.2">
      <c r="B38" s="39">
        <v>202010</v>
      </c>
      <c r="C38" s="40" t="s">
        <v>40</v>
      </c>
      <c r="D38" s="40" t="s">
        <v>75</v>
      </c>
      <c r="E38" s="41">
        <v>2921</v>
      </c>
      <c r="F38" s="41">
        <v>261621.40999999986</v>
      </c>
      <c r="G38" s="41">
        <v>157946.06000000041</v>
      </c>
      <c r="H38" s="41">
        <v>377925.71999999968</v>
      </c>
      <c r="I38" s="41">
        <v>797493.18999999925</v>
      </c>
      <c r="L38" s="39">
        <v>202010</v>
      </c>
      <c r="M38" s="40" t="s">
        <v>103</v>
      </c>
      <c r="N38" s="40" t="str">
        <f t="shared" si="0"/>
        <v>99361</v>
      </c>
      <c r="O38" s="40" t="str">
        <f t="shared" si="1"/>
        <v>RES</v>
      </c>
      <c r="P38" s="41">
        <v>598.66999999999996</v>
      </c>
      <c r="Q38" s="41">
        <v>560.13</v>
      </c>
      <c r="R38" s="41">
        <v>2336.71</v>
      </c>
      <c r="S38" s="41">
        <v>3495.5099999999998</v>
      </c>
    </row>
    <row r="39" spans="2:19" ht="16" x14ac:dyDescent="0.2">
      <c r="B39" s="39">
        <v>202010</v>
      </c>
      <c r="C39" s="40" t="s">
        <v>41</v>
      </c>
      <c r="D39" s="40" t="s">
        <v>75</v>
      </c>
      <c r="E39" s="41">
        <v>1</v>
      </c>
      <c r="F39" s="41">
        <v>119.07</v>
      </c>
      <c r="G39" s="41">
        <v>39.25</v>
      </c>
      <c r="H39" s="41">
        <v>0</v>
      </c>
      <c r="I39" s="41">
        <v>158.32</v>
      </c>
      <c r="L39" s="39">
        <v>202010</v>
      </c>
      <c r="M39" s="40" t="s">
        <v>93</v>
      </c>
      <c r="N39" s="40" t="str">
        <f t="shared" si="0"/>
        <v>99362</v>
      </c>
      <c r="O39" s="40" t="str">
        <f t="shared" si="1"/>
        <v>RES</v>
      </c>
      <c r="P39" s="41">
        <v>17012.839999999993</v>
      </c>
      <c r="Q39" s="41">
        <v>13924.579999999996</v>
      </c>
      <c r="R39" s="41">
        <v>46583</v>
      </c>
      <c r="S39" s="41">
        <v>77520.419999999955</v>
      </c>
    </row>
    <row r="40" spans="2:19" ht="16" x14ac:dyDescent="0.2">
      <c r="B40" s="39">
        <v>202010</v>
      </c>
      <c r="C40" s="40" t="s">
        <v>42</v>
      </c>
      <c r="D40" s="40" t="s">
        <v>75</v>
      </c>
      <c r="E40" s="41">
        <v>75</v>
      </c>
      <c r="F40" s="41">
        <v>5743.53</v>
      </c>
      <c r="G40" s="41">
        <v>4468.13</v>
      </c>
      <c r="H40" s="41">
        <v>19485.400000000001</v>
      </c>
      <c r="I40" s="41">
        <v>29697.059999999998</v>
      </c>
      <c r="L40" s="39">
        <v>202010</v>
      </c>
      <c r="M40" s="40" t="s">
        <v>124</v>
      </c>
      <c r="N40" s="40" t="str">
        <f t="shared" si="0"/>
        <v>99363</v>
      </c>
      <c r="O40" s="40" t="str">
        <f t="shared" si="1"/>
        <v>RES</v>
      </c>
      <c r="P40" s="41">
        <v>0</v>
      </c>
      <c r="Q40" s="41">
        <v>45.47</v>
      </c>
      <c r="R40" s="41">
        <v>320.64</v>
      </c>
      <c r="S40" s="41">
        <v>366.11</v>
      </c>
    </row>
    <row r="41" spans="2:19" ht="32" x14ac:dyDescent="0.2">
      <c r="B41" s="39">
        <v>202010</v>
      </c>
      <c r="C41" s="40" t="s">
        <v>43</v>
      </c>
      <c r="D41" s="40" t="s">
        <v>75</v>
      </c>
      <c r="E41" s="41">
        <v>95</v>
      </c>
      <c r="F41" s="41">
        <v>9016.2199999999957</v>
      </c>
      <c r="G41" s="41">
        <v>5033.8500000000004</v>
      </c>
      <c r="H41" s="41">
        <v>18347.989999999994</v>
      </c>
      <c r="I41" s="41">
        <v>32398.059999999998</v>
      </c>
      <c r="L41" s="39">
        <v>202011</v>
      </c>
      <c r="M41" s="40" t="s">
        <v>104</v>
      </c>
      <c r="N41" s="40" t="str">
        <f t="shared" si="0"/>
        <v>98901</v>
      </c>
      <c r="O41" s="40" t="str">
        <f t="shared" si="1"/>
        <v>COM</v>
      </c>
      <c r="P41" s="41">
        <v>14.85</v>
      </c>
      <c r="Q41" s="41">
        <v>17.559999999999999</v>
      </c>
      <c r="R41" s="41">
        <v>270.17</v>
      </c>
      <c r="S41" s="41">
        <v>302.58</v>
      </c>
    </row>
    <row r="42" spans="2:19" ht="16" x14ac:dyDescent="0.2">
      <c r="B42" s="39">
        <v>202010</v>
      </c>
      <c r="C42" s="40" t="s">
        <v>44</v>
      </c>
      <c r="D42" s="40" t="s">
        <v>75</v>
      </c>
      <c r="E42" s="41">
        <v>750</v>
      </c>
      <c r="F42" s="41">
        <v>63246.820000000116</v>
      </c>
      <c r="G42" s="41">
        <v>42290.000000000015</v>
      </c>
      <c r="H42" s="41">
        <v>116444.84000000005</v>
      </c>
      <c r="I42" s="41">
        <v>221981.66</v>
      </c>
      <c r="L42" s="39">
        <v>202011</v>
      </c>
      <c r="M42" s="40" t="s">
        <v>87</v>
      </c>
      <c r="N42" s="40" t="str">
        <f t="shared" si="0"/>
        <v>98901</v>
      </c>
      <c r="O42" s="40" t="str">
        <f t="shared" si="1"/>
        <v>RES</v>
      </c>
      <c r="P42" s="41">
        <v>11261.61</v>
      </c>
      <c r="Q42" s="41">
        <v>14475.859999999999</v>
      </c>
      <c r="R42" s="41">
        <v>85715.689999999988</v>
      </c>
      <c r="S42" s="41">
        <v>111453.15999999992</v>
      </c>
    </row>
    <row r="43" spans="2:19" ht="32" x14ac:dyDescent="0.2">
      <c r="B43" s="39">
        <v>202010</v>
      </c>
      <c r="C43" s="40" t="s">
        <v>45</v>
      </c>
      <c r="D43" s="40" t="s">
        <v>75</v>
      </c>
      <c r="E43" s="41">
        <v>431</v>
      </c>
      <c r="F43" s="41">
        <v>36094.179999999993</v>
      </c>
      <c r="G43" s="41">
        <v>24363.160000000007</v>
      </c>
      <c r="H43" s="41">
        <v>76821.919999999998</v>
      </c>
      <c r="I43" s="41">
        <v>137279.25999999998</v>
      </c>
      <c r="L43" s="39">
        <v>202011</v>
      </c>
      <c r="M43" s="40" t="s">
        <v>116</v>
      </c>
      <c r="N43" s="40" t="str">
        <f t="shared" si="0"/>
        <v>98902</v>
      </c>
      <c r="O43" s="40" t="str">
        <f t="shared" si="1"/>
        <v>COM</v>
      </c>
      <c r="P43" s="41">
        <v>82.34</v>
      </c>
      <c r="Q43" s="41">
        <v>79.41</v>
      </c>
      <c r="R43" s="41">
        <v>628.89</v>
      </c>
      <c r="S43" s="41">
        <v>790.64</v>
      </c>
    </row>
    <row r="44" spans="2:19" ht="16" x14ac:dyDescent="0.2">
      <c r="B44" s="39">
        <v>202010</v>
      </c>
      <c r="C44" s="40" t="s">
        <v>46</v>
      </c>
      <c r="D44" s="40" t="s">
        <v>75</v>
      </c>
      <c r="E44" s="41">
        <v>56</v>
      </c>
      <c r="F44" s="41">
        <v>4852.1999999999989</v>
      </c>
      <c r="G44" s="41">
        <v>3341.85</v>
      </c>
      <c r="H44" s="41">
        <v>18024.710000000003</v>
      </c>
      <c r="I44" s="41">
        <v>26218.76</v>
      </c>
      <c r="L44" s="39">
        <v>202011</v>
      </c>
      <c r="M44" s="40" t="s">
        <v>88</v>
      </c>
      <c r="N44" s="40" t="str">
        <f t="shared" si="0"/>
        <v>98902</v>
      </c>
      <c r="O44" s="40" t="str">
        <f t="shared" si="1"/>
        <v>RES</v>
      </c>
      <c r="P44" s="41">
        <v>23729.439999999991</v>
      </c>
      <c r="Q44" s="41">
        <v>21226.800000000007</v>
      </c>
      <c r="R44" s="41">
        <v>96803.72</v>
      </c>
      <c r="S44" s="41">
        <v>141759.95999999996</v>
      </c>
    </row>
    <row r="45" spans="2:19" ht="16" x14ac:dyDescent="0.2">
      <c r="B45" s="39">
        <v>202010</v>
      </c>
      <c r="C45" s="40" t="s">
        <v>47</v>
      </c>
      <c r="D45" s="40" t="s">
        <v>75</v>
      </c>
      <c r="E45" s="41">
        <v>176</v>
      </c>
      <c r="F45" s="41">
        <v>17571.260000000002</v>
      </c>
      <c r="G45" s="41">
        <v>11710.47</v>
      </c>
      <c r="H45" s="41">
        <v>44787.42000000002</v>
      </c>
      <c r="I45" s="41">
        <v>74069.150000000038</v>
      </c>
      <c r="L45" s="39">
        <v>202011</v>
      </c>
      <c r="M45" s="40" t="s">
        <v>89</v>
      </c>
      <c r="N45" s="40" t="str">
        <f t="shared" si="0"/>
        <v>98903</v>
      </c>
      <c r="O45" s="40" t="str">
        <f t="shared" si="1"/>
        <v>RES</v>
      </c>
      <c r="P45" s="41">
        <v>10841.94000000001</v>
      </c>
      <c r="Q45" s="41">
        <v>7642.8100000000013</v>
      </c>
      <c r="R45" s="41">
        <v>37955.890000000007</v>
      </c>
      <c r="S45" s="41">
        <v>56440.63999999997</v>
      </c>
    </row>
    <row r="46" spans="2:19" ht="32" x14ac:dyDescent="0.2">
      <c r="B46" s="39">
        <v>202010</v>
      </c>
      <c r="C46" s="40" t="s">
        <v>48</v>
      </c>
      <c r="D46" s="40" t="s">
        <v>75</v>
      </c>
      <c r="E46" s="41">
        <v>378</v>
      </c>
      <c r="F46" s="41">
        <v>35199.9</v>
      </c>
      <c r="G46" s="41">
        <v>25862.859999999997</v>
      </c>
      <c r="H46" s="41">
        <v>84227.139999999985</v>
      </c>
      <c r="I46" s="41">
        <v>145289.90000000005</v>
      </c>
      <c r="L46" s="39">
        <v>202011</v>
      </c>
      <c r="M46" s="40" t="s">
        <v>117</v>
      </c>
      <c r="N46" s="40" t="str">
        <f t="shared" si="0"/>
        <v>98908</v>
      </c>
      <c r="O46" s="40" t="str">
        <f t="shared" si="1"/>
        <v>COM</v>
      </c>
      <c r="P46" s="41">
        <v>59.57</v>
      </c>
      <c r="Q46" s="41">
        <v>46.22</v>
      </c>
      <c r="R46" s="41">
        <v>354.63</v>
      </c>
      <c r="S46" s="41">
        <v>460.41999999999996</v>
      </c>
    </row>
    <row r="47" spans="2:19" ht="16" x14ac:dyDescent="0.2">
      <c r="B47" s="39">
        <v>202010</v>
      </c>
      <c r="C47" s="40" t="s">
        <v>49</v>
      </c>
      <c r="D47" s="40" t="s">
        <v>75</v>
      </c>
      <c r="E47" s="41">
        <v>294</v>
      </c>
      <c r="F47" s="41">
        <v>26791.099999999991</v>
      </c>
      <c r="G47" s="41">
        <v>15535.700000000004</v>
      </c>
      <c r="H47" s="41">
        <v>44848.189999999995</v>
      </c>
      <c r="I47" s="41">
        <v>87174.989999999991</v>
      </c>
      <c r="L47" s="39">
        <v>202011</v>
      </c>
      <c r="M47" s="40" t="s">
        <v>90</v>
      </c>
      <c r="N47" s="40" t="str">
        <f t="shared" si="0"/>
        <v>98908</v>
      </c>
      <c r="O47" s="40" t="str">
        <f t="shared" si="1"/>
        <v>RES</v>
      </c>
      <c r="P47" s="41">
        <v>5880.6099999999979</v>
      </c>
      <c r="Q47" s="41">
        <v>5623.2500000000009</v>
      </c>
      <c r="R47" s="41">
        <v>23925.440000000002</v>
      </c>
      <c r="S47" s="41">
        <v>35429.299999999988</v>
      </c>
    </row>
    <row r="48" spans="2:19" ht="16" x14ac:dyDescent="0.2">
      <c r="B48" s="39">
        <v>202010</v>
      </c>
      <c r="C48" s="40" t="s">
        <v>50</v>
      </c>
      <c r="D48" s="40" t="s">
        <v>75</v>
      </c>
      <c r="E48" s="41">
        <v>143</v>
      </c>
      <c r="F48" s="41">
        <v>16067.880000000001</v>
      </c>
      <c r="G48" s="41">
        <v>11424.430000000004</v>
      </c>
      <c r="H48" s="41">
        <v>35348.89</v>
      </c>
      <c r="I48" s="41">
        <v>62841.19999999999</v>
      </c>
      <c r="L48" s="39">
        <v>202011</v>
      </c>
      <c r="M48" s="40" t="s">
        <v>118</v>
      </c>
      <c r="N48" s="40" t="str">
        <f t="shared" si="0"/>
        <v>98921</v>
      </c>
      <c r="O48" s="40" t="str">
        <f t="shared" si="1"/>
        <v>RES</v>
      </c>
      <c r="P48" s="41">
        <v>1251.5199999999998</v>
      </c>
      <c r="Q48" s="41">
        <v>1171.68</v>
      </c>
      <c r="R48" s="41">
        <v>5579.5499999999984</v>
      </c>
      <c r="S48" s="41">
        <v>8002.75</v>
      </c>
    </row>
    <row r="49" spans="2:19" ht="16" x14ac:dyDescent="0.2">
      <c r="B49" s="39">
        <v>202010</v>
      </c>
      <c r="C49" s="40" t="s">
        <v>51</v>
      </c>
      <c r="D49" s="40" t="s">
        <v>75</v>
      </c>
      <c r="E49" s="41">
        <v>22</v>
      </c>
      <c r="F49" s="41">
        <v>1968.9699999999998</v>
      </c>
      <c r="G49" s="41">
        <v>1702.0099999999995</v>
      </c>
      <c r="H49" s="41">
        <v>8459.1999999999989</v>
      </c>
      <c r="I49" s="41">
        <v>12130.18</v>
      </c>
      <c r="L49" s="39">
        <v>202011</v>
      </c>
      <c r="M49" s="40" t="s">
        <v>111</v>
      </c>
      <c r="N49" s="40" t="str">
        <f t="shared" si="0"/>
        <v>98923</v>
      </c>
      <c r="O49" s="40" t="str">
        <f t="shared" si="1"/>
        <v>RES</v>
      </c>
      <c r="P49" s="41">
        <v>372.06</v>
      </c>
      <c r="Q49" s="41">
        <v>360.51000000000005</v>
      </c>
      <c r="R49" s="41">
        <v>348.07000000000005</v>
      </c>
      <c r="S49" s="41">
        <v>1080.6399999999999</v>
      </c>
    </row>
    <row r="50" spans="2:19" ht="16" x14ac:dyDescent="0.2">
      <c r="B50" s="39">
        <v>202010</v>
      </c>
      <c r="C50" s="40" t="s">
        <v>52</v>
      </c>
      <c r="D50" s="40" t="s">
        <v>75</v>
      </c>
      <c r="E50" s="41">
        <v>1298</v>
      </c>
      <c r="F50" s="41">
        <v>133865.34999999983</v>
      </c>
      <c r="G50" s="41">
        <v>77001.17</v>
      </c>
      <c r="H50" s="41">
        <v>220868.81000000011</v>
      </c>
      <c r="I50" s="41">
        <v>431735.3299999999</v>
      </c>
      <c r="L50" s="39">
        <v>202011</v>
      </c>
      <c r="M50" s="40" t="s">
        <v>96</v>
      </c>
      <c r="N50" s="40" t="str">
        <f t="shared" si="0"/>
        <v>98930</v>
      </c>
      <c r="O50" s="40" t="str">
        <f t="shared" si="1"/>
        <v>RES</v>
      </c>
      <c r="P50" s="41">
        <v>6120.3500000000013</v>
      </c>
      <c r="Q50" s="41">
        <v>5455.7999999999993</v>
      </c>
      <c r="R50" s="41">
        <v>17970.990000000002</v>
      </c>
      <c r="S50" s="41">
        <v>29547.139999999996</v>
      </c>
    </row>
    <row r="51" spans="2:19" ht="16" x14ac:dyDescent="0.2">
      <c r="B51" s="39">
        <v>202010</v>
      </c>
      <c r="C51" s="40" t="s">
        <v>53</v>
      </c>
      <c r="D51" s="40" t="s">
        <v>75</v>
      </c>
      <c r="E51" s="41">
        <v>1531</v>
      </c>
      <c r="F51" s="41">
        <v>131978.7200000002</v>
      </c>
      <c r="G51" s="41">
        <v>83626.530000000028</v>
      </c>
      <c r="H51" s="41">
        <v>212845.08000000013</v>
      </c>
      <c r="I51" s="41">
        <v>428450.33000000013</v>
      </c>
      <c r="L51" s="39">
        <v>202011</v>
      </c>
      <c r="M51" s="40" t="s">
        <v>94</v>
      </c>
      <c r="N51" s="40" t="str">
        <f t="shared" si="0"/>
        <v>98932</v>
      </c>
      <c r="O51" s="40" t="str">
        <f t="shared" si="1"/>
        <v>RES</v>
      </c>
      <c r="P51" s="41">
        <v>3367.5400000000004</v>
      </c>
      <c r="Q51" s="41">
        <v>3526.4300000000003</v>
      </c>
      <c r="R51" s="41">
        <v>10344.250000000004</v>
      </c>
      <c r="S51" s="41">
        <v>17238.219999999998</v>
      </c>
    </row>
    <row r="52" spans="2:19" ht="16" x14ac:dyDescent="0.2">
      <c r="B52" s="39">
        <v>202010</v>
      </c>
      <c r="C52" s="40" t="s">
        <v>54</v>
      </c>
      <c r="D52" s="40" t="s">
        <v>75</v>
      </c>
      <c r="E52" s="41">
        <v>236</v>
      </c>
      <c r="F52" s="41">
        <v>21905.179999999993</v>
      </c>
      <c r="G52" s="41">
        <v>13400.26</v>
      </c>
      <c r="H52" s="41">
        <v>50882.920000000013</v>
      </c>
      <c r="I52" s="41">
        <v>86188.360000000015</v>
      </c>
      <c r="L52" s="39">
        <v>202011</v>
      </c>
      <c r="M52" s="40" t="s">
        <v>95</v>
      </c>
      <c r="N52" s="40" t="str">
        <f t="shared" si="0"/>
        <v>98933</v>
      </c>
      <c r="O52" s="40" t="str">
        <f t="shared" si="1"/>
        <v>RES</v>
      </c>
      <c r="P52" s="41">
        <v>826.82999999999981</v>
      </c>
      <c r="Q52" s="41">
        <v>611.28</v>
      </c>
      <c r="R52" s="41">
        <v>3525.75</v>
      </c>
      <c r="S52" s="41">
        <v>4963.8600000000006</v>
      </c>
    </row>
    <row r="53" spans="2:19" ht="16" x14ac:dyDescent="0.2">
      <c r="B53" s="39">
        <v>202010</v>
      </c>
      <c r="C53" s="40" t="s">
        <v>55</v>
      </c>
      <c r="D53" s="40" t="s">
        <v>75</v>
      </c>
      <c r="E53" s="41">
        <v>743</v>
      </c>
      <c r="F53" s="41">
        <v>50212.82</v>
      </c>
      <c r="G53" s="41">
        <v>51196.250000000022</v>
      </c>
      <c r="H53" s="41">
        <v>165724.99</v>
      </c>
      <c r="I53" s="41">
        <v>267134.06</v>
      </c>
      <c r="L53" s="39">
        <v>202011</v>
      </c>
      <c r="M53" s="40" t="s">
        <v>97</v>
      </c>
      <c r="N53" s="40" t="str">
        <f t="shared" si="0"/>
        <v>98935</v>
      </c>
      <c r="O53" s="40" t="str">
        <f t="shared" si="1"/>
        <v>RES</v>
      </c>
      <c r="P53" s="41">
        <v>3295.1199999999994</v>
      </c>
      <c r="Q53" s="41">
        <v>2143.2499999999995</v>
      </c>
      <c r="R53" s="41">
        <v>8865.6700000000019</v>
      </c>
      <c r="S53" s="41">
        <v>14304.039999999997</v>
      </c>
    </row>
    <row r="54" spans="2:19" ht="16" x14ac:dyDescent="0.2">
      <c r="B54" s="39">
        <v>202010</v>
      </c>
      <c r="C54" s="40" t="s">
        <v>56</v>
      </c>
      <c r="D54" s="40" t="s">
        <v>75</v>
      </c>
      <c r="E54" s="41">
        <v>937</v>
      </c>
      <c r="F54" s="41">
        <v>95958.779999999955</v>
      </c>
      <c r="G54" s="41">
        <v>68658.09000000004</v>
      </c>
      <c r="H54" s="41">
        <v>254205.52999999971</v>
      </c>
      <c r="I54" s="41">
        <v>418822.39999999991</v>
      </c>
      <c r="L54" s="39">
        <v>202011</v>
      </c>
      <c r="M54" s="40" t="s">
        <v>98</v>
      </c>
      <c r="N54" s="40" t="str">
        <f t="shared" si="0"/>
        <v>98936</v>
      </c>
      <c r="O54" s="40" t="str">
        <f t="shared" si="1"/>
        <v>RES</v>
      </c>
      <c r="P54" s="41">
        <v>911.99</v>
      </c>
      <c r="Q54" s="41">
        <v>655.87</v>
      </c>
      <c r="R54" s="41">
        <v>2563.2099999999996</v>
      </c>
      <c r="S54" s="41">
        <v>4131.07</v>
      </c>
    </row>
    <row r="55" spans="2:19" ht="16" x14ac:dyDescent="0.2">
      <c r="B55" s="39">
        <v>202010</v>
      </c>
      <c r="C55" s="40" t="s">
        <v>57</v>
      </c>
      <c r="D55" s="40" t="s">
        <v>75</v>
      </c>
      <c r="E55" s="41">
        <v>70</v>
      </c>
      <c r="F55" s="41">
        <v>6660.9400000000014</v>
      </c>
      <c r="G55" s="41">
        <v>6039.68</v>
      </c>
      <c r="H55" s="41">
        <v>28627.86</v>
      </c>
      <c r="I55" s="41">
        <v>41328.479999999989</v>
      </c>
      <c r="L55" s="39">
        <v>202011</v>
      </c>
      <c r="M55" s="40" t="s">
        <v>107</v>
      </c>
      <c r="N55" s="40" t="str">
        <f t="shared" si="0"/>
        <v>98937</v>
      </c>
      <c r="O55" s="40" t="str">
        <f t="shared" si="1"/>
        <v>RES</v>
      </c>
      <c r="P55" s="41">
        <v>642.16000000000008</v>
      </c>
      <c r="Q55" s="41">
        <v>530.01</v>
      </c>
      <c r="R55" s="41">
        <v>1464.09</v>
      </c>
      <c r="S55" s="41">
        <v>2636.26</v>
      </c>
    </row>
    <row r="56" spans="2:19" ht="16" x14ac:dyDescent="0.2">
      <c r="B56" s="39">
        <v>202010</v>
      </c>
      <c r="C56" s="40" t="s">
        <v>58</v>
      </c>
      <c r="D56" s="40" t="s">
        <v>75</v>
      </c>
      <c r="E56" s="41">
        <v>531</v>
      </c>
      <c r="F56" s="41">
        <v>51245.319999999927</v>
      </c>
      <c r="G56" s="41">
        <v>33558.959999999999</v>
      </c>
      <c r="H56" s="41">
        <v>83869.059999999969</v>
      </c>
      <c r="I56" s="41">
        <v>168673.34000000008</v>
      </c>
      <c r="L56" s="39">
        <v>202011</v>
      </c>
      <c r="M56" s="40" t="s">
        <v>105</v>
      </c>
      <c r="N56" s="40" t="str">
        <f t="shared" si="0"/>
        <v>98938</v>
      </c>
      <c r="O56" s="40" t="str">
        <f t="shared" si="1"/>
        <v>RES</v>
      </c>
      <c r="P56" s="41">
        <v>1050.3700000000001</v>
      </c>
      <c r="Q56" s="41">
        <v>676.81000000000006</v>
      </c>
      <c r="R56" s="41">
        <v>3254.4399999999996</v>
      </c>
      <c r="S56" s="41">
        <v>4981.619999999999</v>
      </c>
    </row>
    <row r="57" spans="2:19" ht="16" x14ac:dyDescent="0.2">
      <c r="B57" s="39">
        <v>202010</v>
      </c>
      <c r="C57" s="40" t="s">
        <v>59</v>
      </c>
      <c r="D57" s="40" t="s">
        <v>75</v>
      </c>
      <c r="E57" s="41">
        <v>1</v>
      </c>
      <c r="F57" s="41">
        <v>86.85</v>
      </c>
      <c r="G57" s="41">
        <v>185.01</v>
      </c>
      <c r="H57" s="41">
        <v>679.43</v>
      </c>
      <c r="I57" s="41">
        <v>951.29</v>
      </c>
      <c r="L57" s="39">
        <v>202011</v>
      </c>
      <c r="M57" s="40" t="s">
        <v>119</v>
      </c>
      <c r="N57" s="40" t="str">
        <f t="shared" si="0"/>
        <v>98939</v>
      </c>
      <c r="O57" s="40" t="str">
        <f t="shared" si="1"/>
        <v>RES</v>
      </c>
      <c r="P57" s="41">
        <v>117.67</v>
      </c>
      <c r="Q57" s="41">
        <v>126.58000000000001</v>
      </c>
      <c r="R57" s="41">
        <v>573.76</v>
      </c>
      <c r="S57" s="41">
        <v>818.01</v>
      </c>
    </row>
    <row r="58" spans="2:19" ht="16" x14ac:dyDescent="0.2">
      <c r="B58" s="39">
        <v>202010</v>
      </c>
      <c r="C58" s="40" t="s">
        <v>60</v>
      </c>
      <c r="D58" s="40" t="s">
        <v>75</v>
      </c>
      <c r="E58" s="41">
        <v>208</v>
      </c>
      <c r="F58" s="41">
        <v>19575.720000000005</v>
      </c>
      <c r="G58" s="41">
        <v>13228.749999999998</v>
      </c>
      <c r="H58" s="41">
        <v>24537.329999999994</v>
      </c>
      <c r="I58" s="41">
        <v>57341.799999999996</v>
      </c>
      <c r="L58" s="39">
        <v>202011</v>
      </c>
      <c r="M58" s="40" t="s">
        <v>99</v>
      </c>
      <c r="N58" s="40" t="str">
        <f t="shared" si="0"/>
        <v>98942</v>
      </c>
      <c r="O58" s="40" t="str">
        <f t="shared" si="1"/>
        <v>RES</v>
      </c>
      <c r="P58" s="41">
        <v>2541.87</v>
      </c>
      <c r="Q58" s="41">
        <v>2809.4900000000002</v>
      </c>
      <c r="R58" s="41">
        <v>12041.699999999999</v>
      </c>
      <c r="S58" s="41">
        <v>17393.060000000001</v>
      </c>
    </row>
    <row r="59" spans="2:19" ht="16" x14ac:dyDescent="0.2">
      <c r="B59" s="39">
        <v>202010</v>
      </c>
      <c r="C59" s="40" t="s">
        <v>61</v>
      </c>
      <c r="D59" s="40" t="s">
        <v>75</v>
      </c>
      <c r="E59" s="41">
        <v>490</v>
      </c>
      <c r="F59" s="41">
        <v>35621.029999999977</v>
      </c>
      <c r="G59" s="41">
        <v>22046.950000000012</v>
      </c>
      <c r="H59" s="41">
        <v>44996.209999999985</v>
      </c>
      <c r="I59" s="41">
        <v>102664.18999999994</v>
      </c>
      <c r="L59" s="39">
        <v>202011</v>
      </c>
      <c r="M59" s="40" t="s">
        <v>91</v>
      </c>
      <c r="N59" s="40" t="str">
        <f t="shared" si="0"/>
        <v>98944</v>
      </c>
      <c r="O59" s="40" t="str">
        <f t="shared" si="1"/>
        <v>RES</v>
      </c>
      <c r="P59" s="41">
        <v>11272.8</v>
      </c>
      <c r="Q59" s="41">
        <v>10610.969999999998</v>
      </c>
      <c r="R59" s="41">
        <v>43155.63</v>
      </c>
      <c r="S59" s="41">
        <v>65039.4</v>
      </c>
    </row>
    <row r="60" spans="2:19" ht="16" x14ac:dyDescent="0.2">
      <c r="B60" s="39">
        <v>202010</v>
      </c>
      <c r="C60" s="40" t="s">
        <v>62</v>
      </c>
      <c r="D60" s="40" t="s">
        <v>75</v>
      </c>
      <c r="E60" s="41">
        <v>336</v>
      </c>
      <c r="F60" s="41">
        <v>23013.860000000015</v>
      </c>
      <c r="G60" s="41">
        <v>18240.900000000012</v>
      </c>
      <c r="H60" s="41">
        <v>56986.040000000008</v>
      </c>
      <c r="I60" s="41">
        <v>98240.800000000032</v>
      </c>
      <c r="L60" s="39">
        <v>202011</v>
      </c>
      <c r="M60" s="40" t="s">
        <v>100</v>
      </c>
      <c r="N60" s="40" t="str">
        <f t="shared" si="0"/>
        <v>98947</v>
      </c>
      <c r="O60" s="40" t="str">
        <f t="shared" si="1"/>
        <v>RES</v>
      </c>
      <c r="P60" s="41">
        <v>1141.82</v>
      </c>
      <c r="Q60" s="41">
        <v>1045.24</v>
      </c>
      <c r="R60" s="41">
        <v>5301.71</v>
      </c>
      <c r="S60" s="41">
        <v>7488.77</v>
      </c>
    </row>
    <row r="61" spans="2:19" ht="32" x14ac:dyDescent="0.2">
      <c r="B61" s="39">
        <v>202010</v>
      </c>
      <c r="C61" s="40" t="s">
        <v>63</v>
      </c>
      <c r="D61" s="40" t="s">
        <v>75</v>
      </c>
      <c r="E61" s="41">
        <v>15</v>
      </c>
      <c r="F61" s="41">
        <v>1325.4</v>
      </c>
      <c r="G61" s="41">
        <v>680.51</v>
      </c>
      <c r="H61" s="41">
        <v>1632.3000000000002</v>
      </c>
      <c r="I61" s="41">
        <v>3638.2099999999996</v>
      </c>
      <c r="L61" s="39">
        <v>202011</v>
      </c>
      <c r="M61" s="40" t="s">
        <v>120</v>
      </c>
      <c r="N61" s="40" t="str">
        <f t="shared" si="0"/>
        <v>98948</v>
      </c>
      <c r="O61" s="40" t="str">
        <f t="shared" si="1"/>
        <v>COM</v>
      </c>
      <c r="P61" s="41">
        <v>2726.35</v>
      </c>
      <c r="Q61" s="41">
        <v>4196.8099999999995</v>
      </c>
      <c r="R61" s="41">
        <v>5145.59</v>
      </c>
      <c r="S61" s="41">
        <v>12068.75</v>
      </c>
    </row>
    <row r="62" spans="2:19" ht="16" x14ac:dyDescent="0.2">
      <c r="B62" s="39">
        <v>202010</v>
      </c>
      <c r="C62" s="40" t="s">
        <v>64</v>
      </c>
      <c r="D62" s="40" t="s">
        <v>75</v>
      </c>
      <c r="E62" s="41">
        <v>121</v>
      </c>
      <c r="F62" s="41">
        <v>11195.130000000006</v>
      </c>
      <c r="G62" s="41">
        <v>6619.5199999999986</v>
      </c>
      <c r="H62" s="41">
        <v>31279.280000000013</v>
      </c>
      <c r="I62" s="41">
        <v>49093.93</v>
      </c>
      <c r="L62" s="39">
        <v>202011</v>
      </c>
      <c r="M62" s="40" t="s">
        <v>101</v>
      </c>
      <c r="N62" s="40" t="str">
        <f t="shared" si="0"/>
        <v>98948</v>
      </c>
      <c r="O62" s="40" t="str">
        <f t="shared" si="1"/>
        <v>RES</v>
      </c>
      <c r="P62" s="41">
        <v>18835.89000000001</v>
      </c>
      <c r="Q62" s="41">
        <v>14113.05</v>
      </c>
      <c r="R62" s="41">
        <v>69666.569999999992</v>
      </c>
      <c r="S62" s="41">
        <v>102615.51000000004</v>
      </c>
    </row>
    <row r="63" spans="2:19" ht="32" x14ac:dyDescent="0.2">
      <c r="B63" s="39">
        <v>202010</v>
      </c>
      <c r="C63" s="40" t="s">
        <v>65</v>
      </c>
      <c r="D63" s="40" t="s">
        <v>75</v>
      </c>
      <c r="E63" s="41">
        <v>40</v>
      </c>
      <c r="F63" s="41">
        <v>3612.5399999999986</v>
      </c>
      <c r="G63" s="41">
        <v>1992.2000000000003</v>
      </c>
      <c r="H63" s="41">
        <v>5875.2199999999993</v>
      </c>
      <c r="I63" s="41">
        <v>11479.960000000001</v>
      </c>
      <c r="L63" s="39">
        <v>202011</v>
      </c>
      <c r="M63" s="40" t="s">
        <v>112</v>
      </c>
      <c r="N63" s="40" t="str">
        <f t="shared" si="0"/>
        <v>98951</v>
      </c>
      <c r="O63" s="40" t="str">
        <f t="shared" si="1"/>
        <v>COM</v>
      </c>
      <c r="P63" s="41">
        <v>282.52000000000004</v>
      </c>
      <c r="Q63" s="41">
        <v>11.85</v>
      </c>
      <c r="R63" s="41">
        <v>603.04</v>
      </c>
      <c r="S63" s="41">
        <v>897.41000000000008</v>
      </c>
    </row>
    <row r="64" spans="2:19" ht="16" x14ac:dyDescent="0.2">
      <c r="B64" s="39">
        <v>202010</v>
      </c>
      <c r="C64" s="40" t="s">
        <v>66</v>
      </c>
      <c r="D64" s="40" t="s">
        <v>75</v>
      </c>
      <c r="E64" s="41">
        <v>6</v>
      </c>
      <c r="F64" s="41">
        <v>725.36999999999989</v>
      </c>
      <c r="G64" s="41">
        <v>551.17999999999995</v>
      </c>
      <c r="H64" s="41">
        <v>1037.53</v>
      </c>
      <c r="I64" s="41">
        <v>2314.08</v>
      </c>
      <c r="L64" s="39">
        <v>202011</v>
      </c>
      <c r="M64" s="40" t="s">
        <v>106</v>
      </c>
      <c r="N64" s="40" t="str">
        <f t="shared" si="0"/>
        <v>98951</v>
      </c>
      <c r="O64" s="40" t="str">
        <f t="shared" si="1"/>
        <v>RES</v>
      </c>
      <c r="P64" s="41">
        <v>19572.460000000003</v>
      </c>
      <c r="Q64" s="41">
        <v>19788.89999999998</v>
      </c>
      <c r="R64" s="41">
        <v>131011.47999999997</v>
      </c>
      <c r="S64" s="41">
        <v>170372.84000000003</v>
      </c>
    </row>
    <row r="65" spans="2:19" ht="32" x14ac:dyDescent="0.2">
      <c r="B65" s="39">
        <v>202010</v>
      </c>
      <c r="C65" s="40" t="s">
        <v>67</v>
      </c>
      <c r="D65" s="40" t="s">
        <v>75</v>
      </c>
      <c r="E65" s="41">
        <v>54</v>
      </c>
      <c r="F65" s="41">
        <v>1888.8899999999999</v>
      </c>
      <c r="G65" s="41">
        <v>5639.7599999999993</v>
      </c>
      <c r="H65" s="41">
        <v>9835.92</v>
      </c>
      <c r="I65" s="41">
        <v>17364.570000000003</v>
      </c>
      <c r="L65" s="39">
        <v>202011</v>
      </c>
      <c r="M65" s="40" t="s">
        <v>144</v>
      </c>
      <c r="N65" s="40" t="str">
        <f t="shared" si="0"/>
        <v>98952</v>
      </c>
      <c r="O65" s="40" t="str">
        <f t="shared" si="1"/>
        <v>COM</v>
      </c>
      <c r="P65" s="41">
        <v>35.39</v>
      </c>
      <c r="Q65" s="41">
        <v>21.15</v>
      </c>
      <c r="R65" s="41">
        <v>403.58</v>
      </c>
      <c r="S65" s="41">
        <v>460.12</v>
      </c>
    </row>
    <row r="66" spans="2:19" ht="16" x14ac:dyDescent="0.2">
      <c r="B66" s="39">
        <v>202010</v>
      </c>
      <c r="C66" s="40" t="s">
        <v>68</v>
      </c>
      <c r="D66" s="40" t="s">
        <v>75</v>
      </c>
      <c r="E66" s="41">
        <v>102</v>
      </c>
      <c r="F66" s="41">
        <v>8133.4599999999982</v>
      </c>
      <c r="G66" s="41">
        <v>5384.7199999999984</v>
      </c>
      <c r="H66" s="41">
        <v>19272.310000000001</v>
      </c>
      <c r="I66" s="41">
        <v>32790.489999999991</v>
      </c>
      <c r="L66" s="39">
        <v>202011</v>
      </c>
      <c r="M66" s="40" t="s">
        <v>110</v>
      </c>
      <c r="N66" s="40" t="str">
        <f t="shared" si="0"/>
        <v>98952</v>
      </c>
      <c r="O66" s="40" t="str">
        <f t="shared" si="1"/>
        <v>RES</v>
      </c>
      <c r="P66" s="41">
        <v>2339.56</v>
      </c>
      <c r="Q66" s="41">
        <v>2584.9</v>
      </c>
      <c r="R66" s="41">
        <v>15078.490000000002</v>
      </c>
      <c r="S66" s="41">
        <v>20002.95</v>
      </c>
    </row>
    <row r="67" spans="2:19" ht="16" x14ac:dyDescent="0.2">
      <c r="B67" s="39">
        <v>202010</v>
      </c>
      <c r="C67" s="40" t="s">
        <v>69</v>
      </c>
      <c r="D67" s="40" t="s">
        <v>75</v>
      </c>
      <c r="E67" s="41">
        <v>2246</v>
      </c>
      <c r="F67" s="41">
        <v>177511.1300000003</v>
      </c>
      <c r="G67" s="41">
        <v>105231.83000000003</v>
      </c>
      <c r="H67" s="41">
        <v>261297.57999999987</v>
      </c>
      <c r="I67" s="41">
        <v>544040.53999999922</v>
      </c>
      <c r="L67" s="39">
        <v>202011</v>
      </c>
      <c r="M67" s="40" t="s">
        <v>92</v>
      </c>
      <c r="N67" s="40" t="str">
        <f t="shared" ref="N67:N119" si="2">LEFT(M67,5)</f>
        <v>98953</v>
      </c>
      <c r="O67" s="40" t="str">
        <f t="shared" ref="O67:O119" si="3">RIGHT(M67,3)</f>
        <v>RES</v>
      </c>
      <c r="P67" s="41">
        <v>2360.35</v>
      </c>
      <c r="Q67" s="41">
        <v>2266.2399999999998</v>
      </c>
      <c r="R67" s="41">
        <v>8197.9500000000007</v>
      </c>
      <c r="S67" s="41">
        <v>12824.539999999995</v>
      </c>
    </row>
    <row r="68" spans="2:19" ht="16" x14ac:dyDescent="0.2">
      <c r="B68" s="39">
        <v>202010</v>
      </c>
      <c r="C68" s="40" t="s">
        <v>70</v>
      </c>
      <c r="D68" s="40" t="s">
        <v>75</v>
      </c>
      <c r="E68" s="41">
        <v>7</v>
      </c>
      <c r="F68" s="41">
        <v>0</v>
      </c>
      <c r="G68" s="41">
        <v>538.11999999999989</v>
      </c>
      <c r="H68" s="41">
        <v>1779.5</v>
      </c>
      <c r="I68" s="41">
        <v>2317.62</v>
      </c>
      <c r="L68" s="39">
        <v>202011</v>
      </c>
      <c r="M68" s="40" t="s">
        <v>114</v>
      </c>
      <c r="N68" s="40" t="str">
        <f t="shared" si="2"/>
        <v>99323</v>
      </c>
      <c r="O68" s="40" t="str">
        <f t="shared" si="3"/>
        <v>RES</v>
      </c>
      <c r="P68" s="41">
        <v>509.10999999999996</v>
      </c>
      <c r="Q68" s="41">
        <v>321.5</v>
      </c>
      <c r="R68" s="41">
        <v>2100.08</v>
      </c>
      <c r="S68" s="41">
        <v>2930.6900000000005</v>
      </c>
    </row>
    <row r="69" spans="2:19" ht="16" x14ac:dyDescent="0.2">
      <c r="B69" s="39">
        <v>202011</v>
      </c>
      <c r="C69" s="40" t="s">
        <v>76</v>
      </c>
      <c r="D69" s="40" t="s">
        <v>75</v>
      </c>
      <c r="E69" s="41">
        <v>3</v>
      </c>
      <c r="F69" s="41">
        <v>243.81</v>
      </c>
      <c r="G69" s="41">
        <v>190.02</v>
      </c>
      <c r="H69" s="41">
        <v>80.02</v>
      </c>
      <c r="I69" s="41">
        <v>513.84999999999991</v>
      </c>
      <c r="L69" s="39">
        <v>202011</v>
      </c>
      <c r="M69" s="40" t="s">
        <v>108</v>
      </c>
      <c r="N69" s="40" t="str">
        <f t="shared" si="2"/>
        <v>99324</v>
      </c>
      <c r="O69" s="40" t="str">
        <f t="shared" si="3"/>
        <v>RES</v>
      </c>
      <c r="P69" s="41">
        <v>2798.389999999999</v>
      </c>
      <c r="Q69" s="41">
        <v>2504.86</v>
      </c>
      <c r="R69" s="41">
        <v>11357.62</v>
      </c>
      <c r="S69" s="41">
        <v>16660.869999999995</v>
      </c>
    </row>
    <row r="70" spans="2:19" ht="16" x14ac:dyDescent="0.2">
      <c r="B70" s="39">
        <v>202011</v>
      </c>
      <c r="C70" s="40" t="s">
        <v>35</v>
      </c>
      <c r="D70" s="40" t="s">
        <v>34</v>
      </c>
      <c r="E70" s="41">
        <v>169</v>
      </c>
      <c r="F70" s="41">
        <v>44038.130000000026</v>
      </c>
      <c r="G70" s="41">
        <v>18326.52</v>
      </c>
      <c r="H70" s="41">
        <v>81156.280000000013</v>
      </c>
      <c r="I70" s="41">
        <v>143520.92999999991</v>
      </c>
      <c r="L70" s="39">
        <v>202011</v>
      </c>
      <c r="M70" s="40" t="s">
        <v>102</v>
      </c>
      <c r="N70" s="40" t="str">
        <f t="shared" si="2"/>
        <v>99328</v>
      </c>
      <c r="O70" s="40" t="str">
        <f t="shared" si="3"/>
        <v>RES</v>
      </c>
      <c r="P70" s="41">
        <v>1826.8399999999995</v>
      </c>
      <c r="Q70" s="41">
        <v>1620.9499999999998</v>
      </c>
      <c r="R70" s="41">
        <v>12361.339999999998</v>
      </c>
      <c r="S70" s="41">
        <v>15809.129999999997</v>
      </c>
    </row>
    <row r="71" spans="2:19" ht="16" x14ac:dyDescent="0.2">
      <c r="B71" s="39">
        <v>202011</v>
      </c>
      <c r="C71" s="40" t="s">
        <v>35</v>
      </c>
      <c r="D71" s="40" t="s">
        <v>75</v>
      </c>
      <c r="E71" s="41">
        <v>2170</v>
      </c>
      <c r="F71" s="41">
        <v>113567.25000000009</v>
      </c>
      <c r="G71" s="41">
        <v>123437.62999999999</v>
      </c>
      <c r="H71" s="41">
        <v>558638.24000000046</v>
      </c>
      <c r="I71" s="41">
        <v>795643.12000000011</v>
      </c>
      <c r="L71" s="39">
        <v>202011</v>
      </c>
      <c r="M71" s="40" t="s">
        <v>180</v>
      </c>
      <c r="N71" s="40" t="str">
        <f t="shared" si="2"/>
        <v>99329</v>
      </c>
      <c r="O71" s="40" t="str">
        <f t="shared" si="3"/>
        <v>RES</v>
      </c>
      <c r="P71" s="41">
        <v>0</v>
      </c>
      <c r="Q71" s="41">
        <v>0</v>
      </c>
      <c r="R71" s="41">
        <v>0</v>
      </c>
      <c r="S71" s="41">
        <v>0</v>
      </c>
    </row>
    <row r="72" spans="2:19" ht="32" x14ac:dyDescent="0.2">
      <c r="B72" s="39">
        <v>202011</v>
      </c>
      <c r="C72" s="40" t="s">
        <v>36</v>
      </c>
      <c r="D72" s="40" t="s">
        <v>34</v>
      </c>
      <c r="E72" s="41">
        <v>191</v>
      </c>
      <c r="F72" s="41">
        <v>46614.429999999971</v>
      </c>
      <c r="G72" s="41">
        <v>22713.83</v>
      </c>
      <c r="H72" s="41">
        <v>79876.420000000013</v>
      </c>
      <c r="I72" s="41">
        <v>149204.68000000008</v>
      </c>
      <c r="L72" s="39">
        <v>202011</v>
      </c>
      <c r="M72" s="40" t="s">
        <v>121</v>
      </c>
      <c r="N72" s="40" t="str">
        <f t="shared" si="2"/>
        <v>99347</v>
      </c>
      <c r="O72" s="40" t="str">
        <f t="shared" si="3"/>
        <v>COM</v>
      </c>
      <c r="P72" s="41">
        <v>95.330000000000013</v>
      </c>
      <c r="Q72" s="41">
        <v>0</v>
      </c>
      <c r="R72" s="41">
        <v>0</v>
      </c>
      <c r="S72" s="41">
        <v>95.330000000000013</v>
      </c>
    </row>
    <row r="73" spans="2:19" ht="16" x14ac:dyDescent="0.2">
      <c r="B73" s="39">
        <v>202011</v>
      </c>
      <c r="C73" s="40" t="s">
        <v>36</v>
      </c>
      <c r="D73" s="40" t="s">
        <v>75</v>
      </c>
      <c r="E73" s="41">
        <v>4113</v>
      </c>
      <c r="F73" s="41">
        <v>251721.7299999996</v>
      </c>
      <c r="G73" s="41">
        <v>207405.43000000028</v>
      </c>
      <c r="H73" s="41">
        <v>708523.56000000017</v>
      </c>
      <c r="I73" s="41">
        <v>1167650.7200000035</v>
      </c>
      <c r="L73" s="39">
        <v>202011</v>
      </c>
      <c r="M73" s="40" t="s">
        <v>109</v>
      </c>
      <c r="N73" s="40" t="str">
        <f t="shared" si="2"/>
        <v>99347</v>
      </c>
      <c r="O73" s="40" t="str">
        <f t="shared" si="3"/>
        <v>RES</v>
      </c>
      <c r="P73" s="41">
        <v>700.77</v>
      </c>
      <c r="Q73" s="41">
        <v>601.04999999999995</v>
      </c>
      <c r="R73" s="41">
        <v>3077.45</v>
      </c>
      <c r="S73" s="41">
        <v>4379.2699999999995</v>
      </c>
    </row>
    <row r="74" spans="2:19" ht="16" x14ac:dyDescent="0.2">
      <c r="B74" s="39">
        <v>202011</v>
      </c>
      <c r="C74" s="40" t="s">
        <v>37</v>
      </c>
      <c r="D74" s="40" t="s">
        <v>34</v>
      </c>
      <c r="E74" s="41">
        <v>162</v>
      </c>
      <c r="F74" s="41">
        <v>41463.760000000002</v>
      </c>
      <c r="G74" s="41">
        <v>15371.429999999998</v>
      </c>
      <c r="H74" s="41">
        <v>47568.77</v>
      </c>
      <c r="I74" s="41">
        <v>104403.96000000002</v>
      </c>
      <c r="L74" s="39">
        <v>202011</v>
      </c>
      <c r="M74" s="40" t="s">
        <v>113</v>
      </c>
      <c r="N74" s="40" t="str">
        <f t="shared" si="2"/>
        <v>99348</v>
      </c>
      <c r="O74" s="40" t="str">
        <f t="shared" si="3"/>
        <v>RES</v>
      </c>
      <c r="P74" s="41">
        <v>292.59000000000003</v>
      </c>
      <c r="Q74" s="41">
        <v>317.21999999999997</v>
      </c>
      <c r="R74" s="41">
        <v>967.07</v>
      </c>
      <c r="S74" s="41">
        <v>1576.8799999999999</v>
      </c>
    </row>
    <row r="75" spans="2:19" ht="16" x14ac:dyDescent="0.2">
      <c r="B75" s="39">
        <v>202011</v>
      </c>
      <c r="C75" s="40" t="s">
        <v>37</v>
      </c>
      <c r="D75" s="40" t="s">
        <v>75</v>
      </c>
      <c r="E75" s="41">
        <v>1506</v>
      </c>
      <c r="F75" s="41">
        <v>127734.90999999993</v>
      </c>
      <c r="G75" s="41">
        <v>75750.560000000085</v>
      </c>
      <c r="H75" s="41">
        <v>347061.92000000016</v>
      </c>
      <c r="I75" s="41">
        <v>550547.39000000025</v>
      </c>
      <c r="L75" s="39">
        <v>202011</v>
      </c>
      <c r="M75" s="40" t="s">
        <v>122</v>
      </c>
      <c r="N75" s="40" t="str">
        <f t="shared" si="2"/>
        <v>99350</v>
      </c>
      <c r="O75" s="40" t="str">
        <f t="shared" si="3"/>
        <v>RES</v>
      </c>
      <c r="P75" s="41">
        <v>85.100000000000009</v>
      </c>
      <c r="Q75" s="41">
        <v>67.22</v>
      </c>
      <c r="R75" s="41">
        <v>216.66</v>
      </c>
      <c r="S75" s="41">
        <v>368.97999999999996</v>
      </c>
    </row>
    <row r="76" spans="2:19" ht="16" x14ac:dyDescent="0.2">
      <c r="B76" s="39">
        <v>202011</v>
      </c>
      <c r="C76" s="40" t="s">
        <v>40</v>
      </c>
      <c r="D76" s="40" t="s">
        <v>34</v>
      </c>
      <c r="E76" s="41">
        <v>106</v>
      </c>
      <c r="F76" s="41">
        <v>20962.140000000003</v>
      </c>
      <c r="G76" s="41">
        <v>6375.300000000002</v>
      </c>
      <c r="H76" s="41">
        <v>18074.890000000003</v>
      </c>
      <c r="I76" s="41">
        <v>45412.330000000009</v>
      </c>
      <c r="L76" s="39">
        <v>202011</v>
      </c>
      <c r="M76" s="40" t="s">
        <v>123</v>
      </c>
      <c r="N76" s="40" t="str">
        <f t="shared" si="2"/>
        <v>99360</v>
      </c>
      <c r="O76" s="40" t="str">
        <f t="shared" si="3"/>
        <v>RES</v>
      </c>
      <c r="P76" s="41">
        <v>192.36</v>
      </c>
      <c r="Q76" s="41">
        <v>53.91</v>
      </c>
      <c r="R76" s="41">
        <v>0</v>
      </c>
      <c r="S76" s="41">
        <v>246.26999999999998</v>
      </c>
    </row>
    <row r="77" spans="2:19" ht="16" x14ac:dyDescent="0.2">
      <c r="B77" s="39">
        <v>202011</v>
      </c>
      <c r="C77" s="40" t="s">
        <v>40</v>
      </c>
      <c r="D77" s="40" t="s">
        <v>75</v>
      </c>
      <c r="E77" s="41">
        <v>2557</v>
      </c>
      <c r="F77" s="41">
        <v>185637.37999999951</v>
      </c>
      <c r="G77" s="41">
        <v>139187.3899999999</v>
      </c>
      <c r="H77" s="41">
        <v>416954.06999999972</v>
      </c>
      <c r="I77" s="41">
        <v>741778.83999999915</v>
      </c>
      <c r="L77" s="39">
        <v>202011</v>
      </c>
      <c r="M77" s="40" t="s">
        <v>103</v>
      </c>
      <c r="N77" s="40" t="str">
        <f t="shared" si="2"/>
        <v>99361</v>
      </c>
      <c r="O77" s="40" t="str">
        <f t="shared" si="3"/>
        <v>RES</v>
      </c>
      <c r="P77" s="41">
        <v>429.94</v>
      </c>
      <c r="Q77" s="41">
        <v>558.87</v>
      </c>
      <c r="R77" s="41">
        <v>2756.5600000000004</v>
      </c>
      <c r="S77" s="41">
        <v>3745.37</v>
      </c>
    </row>
    <row r="78" spans="2:19" ht="16" x14ac:dyDescent="0.2">
      <c r="B78" s="39">
        <v>202011</v>
      </c>
      <c r="C78" s="40" t="s">
        <v>42</v>
      </c>
      <c r="D78" s="40" t="s">
        <v>34</v>
      </c>
      <c r="E78" s="41">
        <v>2</v>
      </c>
      <c r="F78" s="41">
        <v>100.96000000000001</v>
      </c>
      <c r="G78" s="41">
        <v>82.45</v>
      </c>
      <c r="H78" s="41">
        <v>214.76</v>
      </c>
      <c r="I78" s="41">
        <v>398.17</v>
      </c>
      <c r="L78" s="39">
        <v>202011</v>
      </c>
      <c r="M78" s="40" t="s">
        <v>93</v>
      </c>
      <c r="N78" s="40" t="str">
        <f t="shared" si="2"/>
        <v>99362</v>
      </c>
      <c r="O78" s="40" t="str">
        <f t="shared" si="3"/>
        <v>RES</v>
      </c>
      <c r="P78" s="41">
        <v>14053.130000000001</v>
      </c>
      <c r="Q78" s="41">
        <v>14250.79000000001</v>
      </c>
      <c r="R78" s="41">
        <v>62767.349999999962</v>
      </c>
      <c r="S78" s="41">
        <v>91071.27</v>
      </c>
    </row>
    <row r="79" spans="2:19" ht="16" x14ac:dyDescent="0.2">
      <c r="B79" s="39">
        <v>202011</v>
      </c>
      <c r="C79" s="40" t="s">
        <v>42</v>
      </c>
      <c r="D79" s="40" t="s">
        <v>75</v>
      </c>
      <c r="E79" s="41">
        <v>68</v>
      </c>
      <c r="F79" s="41">
        <v>3865.6399999999994</v>
      </c>
      <c r="G79" s="41">
        <v>3411.4000000000005</v>
      </c>
      <c r="H79" s="41">
        <v>20934.53</v>
      </c>
      <c r="I79" s="41">
        <v>28211.569999999996</v>
      </c>
      <c r="L79" s="39">
        <v>202011</v>
      </c>
      <c r="M79" s="40" t="s">
        <v>124</v>
      </c>
      <c r="N79" s="40" t="str">
        <f t="shared" si="2"/>
        <v>99363</v>
      </c>
      <c r="O79" s="40" t="str">
        <f t="shared" si="3"/>
        <v>RES</v>
      </c>
      <c r="P79" s="41">
        <v>84.92</v>
      </c>
      <c r="Q79" s="41">
        <v>50.56</v>
      </c>
      <c r="R79" s="41">
        <v>366.11</v>
      </c>
      <c r="S79" s="41">
        <v>501.59</v>
      </c>
    </row>
    <row r="80" spans="2:19" ht="32" x14ac:dyDescent="0.2">
      <c r="B80" s="39">
        <v>202011</v>
      </c>
      <c r="C80" s="40" t="s">
        <v>43</v>
      </c>
      <c r="D80" s="40" t="s">
        <v>34</v>
      </c>
      <c r="E80" s="41">
        <v>5</v>
      </c>
      <c r="F80" s="41">
        <v>72.509999999999991</v>
      </c>
      <c r="G80" s="41">
        <v>63.56</v>
      </c>
      <c r="H80" s="41">
        <v>451.12</v>
      </c>
      <c r="I80" s="41">
        <v>587.18999999999994</v>
      </c>
      <c r="L80" s="39">
        <v>202012</v>
      </c>
      <c r="M80" s="40" t="s">
        <v>104</v>
      </c>
      <c r="N80" s="40" t="str">
        <f t="shared" si="2"/>
        <v>98901</v>
      </c>
      <c r="O80" s="40" t="str">
        <f t="shared" si="3"/>
        <v>COM</v>
      </c>
      <c r="P80" s="41">
        <v>53.83</v>
      </c>
      <c r="Q80" s="41">
        <v>14.85</v>
      </c>
      <c r="R80" s="41">
        <v>287.73</v>
      </c>
      <c r="S80" s="41">
        <v>356.41</v>
      </c>
    </row>
    <row r="81" spans="2:19" ht="16" x14ac:dyDescent="0.2">
      <c r="B81" s="39">
        <v>202011</v>
      </c>
      <c r="C81" s="40" t="s">
        <v>43</v>
      </c>
      <c r="D81" s="40" t="s">
        <v>75</v>
      </c>
      <c r="E81" s="41">
        <v>87</v>
      </c>
      <c r="F81" s="41">
        <v>6317.22</v>
      </c>
      <c r="G81" s="41">
        <v>4924.9700000000012</v>
      </c>
      <c r="H81" s="41">
        <v>16641.039999999997</v>
      </c>
      <c r="I81" s="41">
        <v>27883.230000000003</v>
      </c>
      <c r="L81" s="39">
        <v>202012</v>
      </c>
      <c r="M81" s="40" t="s">
        <v>87</v>
      </c>
      <c r="N81" s="40" t="str">
        <f t="shared" si="2"/>
        <v>98901</v>
      </c>
      <c r="O81" s="40" t="str">
        <f t="shared" si="3"/>
        <v>RES</v>
      </c>
      <c r="P81" s="41">
        <v>26609.290000000005</v>
      </c>
      <c r="Q81" s="41">
        <v>14739.840000000007</v>
      </c>
      <c r="R81" s="41">
        <v>86848.399999999965</v>
      </c>
      <c r="S81" s="41">
        <v>128197.53000000001</v>
      </c>
    </row>
    <row r="82" spans="2:19" ht="32" x14ac:dyDescent="0.2">
      <c r="B82" s="39">
        <v>202011</v>
      </c>
      <c r="C82" s="40" t="s">
        <v>44</v>
      </c>
      <c r="D82" s="40" t="s">
        <v>34</v>
      </c>
      <c r="E82" s="41">
        <v>32</v>
      </c>
      <c r="F82" s="41">
        <v>4425.5599999999995</v>
      </c>
      <c r="G82" s="41">
        <v>4365.54</v>
      </c>
      <c r="H82" s="41">
        <v>17583.609999999997</v>
      </c>
      <c r="I82" s="41">
        <v>26374.710000000003</v>
      </c>
      <c r="L82" s="39">
        <v>202012</v>
      </c>
      <c r="M82" s="40" t="s">
        <v>116</v>
      </c>
      <c r="N82" s="40" t="str">
        <f t="shared" si="2"/>
        <v>98902</v>
      </c>
      <c r="O82" s="40" t="str">
        <f t="shared" si="3"/>
        <v>COM</v>
      </c>
      <c r="P82" s="41">
        <v>184.35</v>
      </c>
      <c r="Q82" s="41">
        <v>82.34</v>
      </c>
      <c r="R82" s="41">
        <v>708.3</v>
      </c>
      <c r="S82" s="41">
        <v>974.99</v>
      </c>
    </row>
    <row r="83" spans="2:19" ht="16" x14ac:dyDescent="0.2">
      <c r="B83" s="39">
        <v>202011</v>
      </c>
      <c r="C83" s="40" t="s">
        <v>44</v>
      </c>
      <c r="D83" s="40" t="s">
        <v>75</v>
      </c>
      <c r="E83" s="41">
        <v>664</v>
      </c>
      <c r="F83" s="41">
        <v>48411.580000000016</v>
      </c>
      <c r="G83" s="41">
        <v>36224.190000000017</v>
      </c>
      <c r="H83" s="41">
        <v>133642.93000000005</v>
      </c>
      <c r="I83" s="41">
        <v>218278.69999999998</v>
      </c>
      <c r="L83" s="39">
        <v>202012</v>
      </c>
      <c r="M83" s="40" t="s">
        <v>88</v>
      </c>
      <c r="N83" s="40" t="str">
        <f t="shared" si="2"/>
        <v>98902</v>
      </c>
      <c r="O83" s="40" t="str">
        <f t="shared" si="3"/>
        <v>RES</v>
      </c>
      <c r="P83" s="41">
        <v>38190.289999999964</v>
      </c>
      <c r="Q83" s="41">
        <v>16218.28000000001</v>
      </c>
      <c r="R83" s="41">
        <v>99953.480000000025</v>
      </c>
      <c r="S83" s="41">
        <v>154362.04999999984</v>
      </c>
    </row>
    <row r="84" spans="2:19" ht="16" x14ac:dyDescent="0.2">
      <c r="B84" s="39">
        <v>202011</v>
      </c>
      <c r="C84" s="40" t="s">
        <v>45</v>
      </c>
      <c r="D84" s="40" t="s">
        <v>34</v>
      </c>
      <c r="E84" s="41">
        <v>15</v>
      </c>
      <c r="F84" s="41">
        <v>4859.2099999999991</v>
      </c>
      <c r="G84" s="41">
        <v>644.61</v>
      </c>
      <c r="H84" s="41">
        <v>5824.23</v>
      </c>
      <c r="I84" s="41">
        <v>11328.050000000001</v>
      </c>
      <c r="L84" s="39">
        <v>202012</v>
      </c>
      <c r="M84" s="40" t="s">
        <v>89</v>
      </c>
      <c r="N84" s="40" t="str">
        <f t="shared" si="2"/>
        <v>98903</v>
      </c>
      <c r="O84" s="40" t="str">
        <f t="shared" si="3"/>
        <v>RES</v>
      </c>
      <c r="P84" s="41">
        <v>20283.559999999994</v>
      </c>
      <c r="Q84" s="41">
        <v>7676.0999999999976</v>
      </c>
      <c r="R84" s="41">
        <v>39103.909999999996</v>
      </c>
      <c r="S84" s="41">
        <v>67063.569999999992</v>
      </c>
    </row>
    <row r="85" spans="2:19" ht="32" x14ac:dyDescent="0.2">
      <c r="B85" s="39">
        <v>202011</v>
      </c>
      <c r="C85" s="40" t="s">
        <v>45</v>
      </c>
      <c r="D85" s="40" t="s">
        <v>75</v>
      </c>
      <c r="E85" s="41">
        <v>398</v>
      </c>
      <c r="F85" s="41">
        <v>25411.469999999983</v>
      </c>
      <c r="G85" s="41">
        <v>21096.390000000007</v>
      </c>
      <c r="H85" s="41">
        <v>78171.190000000017</v>
      </c>
      <c r="I85" s="41">
        <v>124679.04999999996</v>
      </c>
      <c r="L85" s="39">
        <v>202012</v>
      </c>
      <c r="M85" s="40" t="s">
        <v>117</v>
      </c>
      <c r="N85" s="40" t="str">
        <f t="shared" si="2"/>
        <v>98908</v>
      </c>
      <c r="O85" s="40" t="str">
        <f t="shared" si="3"/>
        <v>COM</v>
      </c>
      <c r="P85" s="41">
        <v>111.77</v>
      </c>
      <c r="Q85" s="41">
        <v>59.57</v>
      </c>
      <c r="R85" s="41">
        <v>400.84999999999997</v>
      </c>
      <c r="S85" s="41">
        <v>572.19000000000005</v>
      </c>
    </row>
    <row r="86" spans="2:19" ht="16" x14ac:dyDescent="0.2">
      <c r="B86" s="39">
        <v>202011</v>
      </c>
      <c r="C86" s="40" t="s">
        <v>46</v>
      </c>
      <c r="D86" s="40" t="s">
        <v>34</v>
      </c>
      <c r="E86" s="41">
        <v>5</v>
      </c>
      <c r="F86" s="41">
        <v>1433.48</v>
      </c>
      <c r="G86" s="41">
        <v>688.2</v>
      </c>
      <c r="H86" s="41">
        <v>3122.8199999999997</v>
      </c>
      <c r="I86" s="41">
        <v>5244.5</v>
      </c>
      <c r="L86" s="39">
        <v>202012</v>
      </c>
      <c r="M86" s="40" t="s">
        <v>90</v>
      </c>
      <c r="N86" s="40" t="str">
        <f t="shared" si="2"/>
        <v>98908</v>
      </c>
      <c r="O86" s="40" t="str">
        <f t="shared" si="3"/>
        <v>RES</v>
      </c>
      <c r="P86" s="41">
        <v>9979.24</v>
      </c>
      <c r="Q86" s="41">
        <v>3828.4699999999993</v>
      </c>
      <c r="R86" s="41">
        <v>24507.449999999993</v>
      </c>
      <c r="S86" s="41">
        <v>38315.160000000003</v>
      </c>
    </row>
    <row r="87" spans="2:19" ht="16" x14ac:dyDescent="0.2">
      <c r="B87" s="39">
        <v>202011</v>
      </c>
      <c r="C87" s="40" t="s">
        <v>46</v>
      </c>
      <c r="D87" s="40" t="s">
        <v>75</v>
      </c>
      <c r="E87" s="41">
        <v>45</v>
      </c>
      <c r="F87" s="41">
        <v>3095.59</v>
      </c>
      <c r="G87" s="41">
        <v>2730.95</v>
      </c>
      <c r="H87" s="41">
        <v>17871.239999999998</v>
      </c>
      <c r="I87" s="41">
        <v>23697.78</v>
      </c>
      <c r="L87" s="39">
        <v>202012</v>
      </c>
      <c r="M87" s="40" t="s">
        <v>118</v>
      </c>
      <c r="N87" s="40" t="str">
        <f t="shared" si="2"/>
        <v>98921</v>
      </c>
      <c r="O87" s="40" t="str">
        <f t="shared" si="3"/>
        <v>RES</v>
      </c>
      <c r="P87" s="41">
        <v>2717.0099999999998</v>
      </c>
      <c r="Q87" s="41">
        <v>1039.5199999999998</v>
      </c>
      <c r="R87" s="41">
        <v>5623.8100000000013</v>
      </c>
      <c r="S87" s="41">
        <v>9380.34</v>
      </c>
    </row>
    <row r="88" spans="2:19" ht="16" x14ac:dyDescent="0.2">
      <c r="B88" s="39">
        <v>202011</v>
      </c>
      <c r="C88" s="40" t="s">
        <v>47</v>
      </c>
      <c r="D88" s="40" t="s">
        <v>34</v>
      </c>
      <c r="E88" s="41">
        <v>8</v>
      </c>
      <c r="F88" s="41">
        <v>1225.19</v>
      </c>
      <c r="G88" s="41">
        <v>173.14</v>
      </c>
      <c r="H88" s="41">
        <v>1501.25</v>
      </c>
      <c r="I88" s="41">
        <v>2899.58</v>
      </c>
      <c r="L88" s="39">
        <v>202012</v>
      </c>
      <c r="M88" s="40" t="s">
        <v>111</v>
      </c>
      <c r="N88" s="40" t="str">
        <f t="shared" si="2"/>
        <v>98923</v>
      </c>
      <c r="O88" s="40" t="str">
        <f t="shared" si="3"/>
        <v>RES</v>
      </c>
      <c r="P88" s="41">
        <v>419.3</v>
      </c>
      <c r="Q88" s="41">
        <v>218.34</v>
      </c>
      <c r="R88" s="41">
        <v>353.38</v>
      </c>
      <c r="S88" s="41">
        <v>991.02</v>
      </c>
    </row>
    <row r="89" spans="2:19" ht="16" x14ac:dyDescent="0.2">
      <c r="B89" s="39">
        <v>202011</v>
      </c>
      <c r="C89" s="40" t="s">
        <v>47</v>
      </c>
      <c r="D89" s="40" t="s">
        <v>75</v>
      </c>
      <c r="E89" s="41">
        <v>240</v>
      </c>
      <c r="F89" s="41">
        <v>21234.709999999995</v>
      </c>
      <c r="G89" s="41">
        <v>11883.399999999994</v>
      </c>
      <c r="H89" s="41">
        <v>58089.17</v>
      </c>
      <c r="I89" s="41">
        <v>91207.280000000042</v>
      </c>
      <c r="L89" s="39">
        <v>202012</v>
      </c>
      <c r="M89" s="40" t="s">
        <v>96</v>
      </c>
      <c r="N89" s="40" t="str">
        <f t="shared" si="2"/>
        <v>98930</v>
      </c>
      <c r="O89" s="40" t="str">
        <f t="shared" si="3"/>
        <v>RES</v>
      </c>
      <c r="P89" s="41">
        <v>2412.4699999999998</v>
      </c>
      <c r="Q89" s="41">
        <v>7564.3799999999983</v>
      </c>
      <c r="R89" s="41">
        <v>20767.139999999992</v>
      </c>
      <c r="S89" s="41">
        <v>30743.990000000009</v>
      </c>
    </row>
    <row r="90" spans="2:19" ht="16" x14ac:dyDescent="0.2">
      <c r="B90" s="39">
        <v>202011</v>
      </c>
      <c r="C90" s="40" t="s">
        <v>48</v>
      </c>
      <c r="D90" s="40" t="s">
        <v>34</v>
      </c>
      <c r="E90" s="41">
        <v>17</v>
      </c>
      <c r="F90" s="41">
        <v>8551.4500000000007</v>
      </c>
      <c r="G90" s="41">
        <v>3268.28</v>
      </c>
      <c r="H90" s="41">
        <v>6747.2199999999993</v>
      </c>
      <c r="I90" s="41">
        <v>18566.949999999997</v>
      </c>
      <c r="L90" s="39">
        <v>202012</v>
      </c>
      <c r="M90" s="40" t="s">
        <v>94</v>
      </c>
      <c r="N90" s="40" t="str">
        <f t="shared" si="2"/>
        <v>98932</v>
      </c>
      <c r="O90" s="40" t="str">
        <f t="shared" si="3"/>
        <v>RES</v>
      </c>
      <c r="P90" s="41">
        <v>5580.0399999999991</v>
      </c>
      <c r="Q90" s="41">
        <v>2209.36</v>
      </c>
      <c r="R90" s="41">
        <v>9051.1400000000012</v>
      </c>
      <c r="S90" s="41">
        <v>16840.540000000005</v>
      </c>
    </row>
    <row r="91" spans="2:19" ht="16" x14ac:dyDescent="0.2">
      <c r="B91" s="39">
        <v>202011</v>
      </c>
      <c r="C91" s="40" t="s">
        <v>48</v>
      </c>
      <c r="D91" s="40" t="s">
        <v>75</v>
      </c>
      <c r="E91" s="41">
        <v>335</v>
      </c>
      <c r="F91" s="41">
        <v>25841.480000000003</v>
      </c>
      <c r="G91" s="41">
        <v>20488.250000000004</v>
      </c>
      <c r="H91" s="41">
        <v>92223.5</v>
      </c>
      <c r="I91" s="41">
        <v>138553.22999999992</v>
      </c>
      <c r="L91" s="39">
        <v>202012</v>
      </c>
      <c r="M91" s="40" t="s">
        <v>95</v>
      </c>
      <c r="N91" s="40" t="str">
        <f t="shared" si="2"/>
        <v>98933</v>
      </c>
      <c r="O91" s="40" t="str">
        <f t="shared" si="3"/>
        <v>RES</v>
      </c>
      <c r="P91" s="41">
        <v>1132.77</v>
      </c>
      <c r="Q91" s="41">
        <v>697.68999999999994</v>
      </c>
      <c r="R91" s="41">
        <v>4072.2400000000002</v>
      </c>
      <c r="S91" s="41">
        <v>5902.6999999999989</v>
      </c>
    </row>
    <row r="92" spans="2:19" ht="16" x14ac:dyDescent="0.2">
      <c r="B92" s="39">
        <v>202011</v>
      </c>
      <c r="C92" s="40" t="s">
        <v>49</v>
      </c>
      <c r="D92" s="40" t="s">
        <v>34</v>
      </c>
      <c r="E92" s="41">
        <v>30</v>
      </c>
      <c r="F92" s="41">
        <v>3054.4400000000005</v>
      </c>
      <c r="G92" s="41">
        <v>1915.2900000000002</v>
      </c>
      <c r="H92" s="41">
        <v>3575.3599999999997</v>
      </c>
      <c r="I92" s="41">
        <v>8545.09</v>
      </c>
      <c r="L92" s="39">
        <v>202012</v>
      </c>
      <c r="M92" s="40" t="s">
        <v>97</v>
      </c>
      <c r="N92" s="40" t="str">
        <f t="shared" si="2"/>
        <v>98935</v>
      </c>
      <c r="O92" s="40" t="str">
        <f t="shared" si="3"/>
        <v>RES</v>
      </c>
      <c r="P92" s="41">
        <v>6761.4199999999992</v>
      </c>
      <c r="Q92" s="41">
        <v>2238.33</v>
      </c>
      <c r="R92" s="41">
        <v>9052.6200000000008</v>
      </c>
      <c r="S92" s="41">
        <v>18052.369999999995</v>
      </c>
    </row>
    <row r="93" spans="2:19" ht="16" x14ac:dyDescent="0.2">
      <c r="B93" s="39">
        <v>202011</v>
      </c>
      <c r="C93" s="40" t="s">
        <v>49</v>
      </c>
      <c r="D93" s="40" t="s">
        <v>75</v>
      </c>
      <c r="E93" s="41">
        <v>258</v>
      </c>
      <c r="F93" s="41">
        <v>19245.550000000007</v>
      </c>
      <c r="G93" s="41">
        <v>14914.099999999995</v>
      </c>
      <c r="H93" s="41">
        <v>42998.170000000006</v>
      </c>
      <c r="I93" s="41">
        <v>77157.820000000022</v>
      </c>
      <c r="L93" s="39">
        <v>202012</v>
      </c>
      <c r="M93" s="40" t="s">
        <v>98</v>
      </c>
      <c r="N93" s="40" t="str">
        <f t="shared" si="2"/>
        <v>98936</v>
      </c>
      <c r="O93" s="40" t="str">
        <f t="shared" si="3"/>
        <v>RES</v>
      </c>
      <c r="P93" s="41">
        <v>0</v>
      </c>
      <c r="Q93" s="41">
        <v>769.32</v>
      </c>
      <c r="R93" s="41">
        <v>2510.02</v>
      </c>
      <c r="S93" s="41">
        <v>3279.3399999999997</v>
      </c>
    </row>
    <row r="94" spans="2:19" ht="16" x14ac:dyDescent="0.2">
      <c r="B94" s="39">
        <v>202011</v>
      </c>
      <c r="C94" s="40" t="s">
        <v>50</v>
      </c>
      <c r="D94" s="40" t="s">
        <v>34</v>
      </c>
      <c r="E94" s="41">
        <v>21</v>
      </c>
      <c r="F94" s="41">
        <v>29849.54</v>
      </c>
      <c r="G94" s="41">
        <v>4618.8300000000008</v>
      </c>
      <c r="H94" s="41">
        <v>5583.17</v>
      </c>
      <c r="I94" s="41">
        <v>40051.54</v>
      </c>
      <c r="L94" s="39">
        <v>202012</v>
      </c>
      <c r="M94" s="40" t="s">
        <v>107</v>
      </c>
      <c r="N94" s="40" t="str">
        <f t="shared" si="2"/>
        <v>98937</v>
      </c>
      <c r="O94" s="40" t="str">
        <f t="shared" si="3"/>
        <v>RES</v>
      </c>
      <c r="P94" s="41">
        <v>1279.57</v>
      </c>
      <c r="Q94" s="41">
        <v>604.04</v>
      </c>
      <c r="R94" s="41">
        <v>1994.1000000000001</v>
      </c>
      <c r="S94" s="41">
        <v>3877.71</v>
      </c>
    </row>
    <row r="95" spans="2:19" ht="16" x14ac:dyDescent="0.2">
      <c r="B95" s="39">
        <v>202011</v>
      </c>
      <c r="C95" s="40" t="s">
        <v>50</v>
      </c>
      <c r="D95" s="40" t="s">
        <v>75</v>
      </c>
      <c r="E95" s="41">
        <v>131</v>
      </c>
      <c r="F95" s="41">
        <v>11310.149999999996</v>
      </c>
      <c r="G95" s="41">
        <v>9113.0999999999985</v>
      </c>
      <c r="H95" s="41">
        <v>38212.379999999997</v>
      </c>
      <c r="I95" s="41">
        <v>58635.630000000026</v>
      </c>
      <c r="L95" s="39">
        <v>202012</v>
      </c>
      <c r="M95" s="40" t="s">
        <v>105</v>
      </c>
      <c r="N95" s="40" t="str">
        <f t="shared" si="2"/>
        <v>98938</v>
      </c>
      <c r="O95" s="40" t="str">
        <f t="shared" si="3"/>
        <v>RES</v>
      </c>
      <c r="P95" s="41">
        <v>2371.6800000000003</v>
      </c>
      <c r="Q95" s="41">
        <v>756.62000000000012</v>
      </c>
      <c r="R95" s="41">
        <v>3497.92</v>
      </c>
      <c r="S95" s="41">
        <v>6626.2199999999993</v>
      </c>
    </row>
    <row r="96" spans="2:19" ht="32" x14ac:dyDescent="0.2">
      <c r="B96" s="39">
        <v>202011</v>
      </c>
      <c r="C96" s="40" t="s">
        <v>51</v>
      </c>
      <c r="D96" s="40" t="s">
        <v>34</v>
      </c>
      <c r="E96" s="41">
        <v>1</v>
      </c>
      <c r="F96" s="41">
        <v>125.74</v>
      </c>
      <c r="G96" s="41">
        <v>134.57</v>
      </c>
      <c r="H96" s="41">
        <v>215.02</v>
      </c>
      <c r="I96" s="41">
        <v>475.33</v>
      </c>
      <c r="L96" s="39">
        <v>202012</v>
      </c>
      <c r="M96" s="40" t="s">
        <v>79</v>
      </c>
      <c r="N96" s="40" t="str">
        <f t="shared" si="2"/>
        <v>98939</v>
      </c>
      <c r="O96" s="40" t="str">
        <f t="shared" si="3"/>
        <v>COM</v>
      </c>
      <c r="P96" s="41">
        <v>0</v>
      </c>
      <c r="Q96" s="41">
        <v>0</v>
      </c>
      <c r="R96" s="41">
        <v>0</v>
      </c>
      <c r="S96" s="41">
        <v>0</v>
      </c>
    </row>
    <row r="97" spans="2:19" ht="16" x14ac:dyDescent="0.2">
      <c r="B97" s="39">
        <v>202011</v>
      </c>
      <c r="C97" s="40" t="s">
        <v>51</v>
      </c>
      <c r="D97" s="40" t="s">
        <v>75</v>
      </c>
      <c r="E97" s="41">
        <v>20</v>
      </c>
      <c r="F97" s="41">
        <v>1765.61</v>
      </c>
      <c r="G97" s="41">
        <v>1491.1899999999998</v>
      </c>
      <c r="H97" s="41">
        <v>8297.23</v>
      </c>
      <c r="I97" s="41">
        <v>11554.03</v>
      </c>
      <c r="L97" s="39">
        <v>202012</v>
      </c>
      <c r="M97" s="40" t="s">
        <v>119</v>
      </c>
      <c r="N97" s="40" t="str">
        <f t="shared" si="2"/>
        <v>98939</v>
      </c>
      <c r="O97" s="40" t="str">
        <f t="shared" si="3"/>
        <v>RES</v>
      </c>
      <c r="P97" s="41">
        <v>0</v>
      </c>
      <c r="Q97" s="41">
        <v>283.95999999999998</v>
      </c>
      <c r="R97" s="41">
        <v>350.34</v>
      </c>
      <c r="S97" s="41">
        <v>634.29999999999995</v>
      </c>
    </row>
    <row r="98" spans="2:19" ht="16" x14ac:dyDescent="0.2">
      <c r="B98" s="39">
        <v>202011</v>
      </c>
      <c r="C98" s="40" t="s">
        <v>52</v>
      </c>
      <c r="D98" s="40" t="s">
        <v>34</v>
      </c>
      <c r="E98" s="41">
        <v>63</v>
      </c>
      <c r="F98" s="41">
        <v>52894.820000000014</v>
      </c>
      <c r="G98" s="41">
        <v>8398.2999999999975</v>
      </c>
      <c r="H98" s="41">
        <v>24354.1</v>
      </c>
      <c r="I98" s="41">
        <v>85647.219999999972</v>
      </c>
      <c r="L98" s="39">
        <v>202012</v>
      </c>
      <c r="M98" s="40" t="s">
        <v>99</v>
      </c>
      <c r="N98" s="40" t="str">
        <f t="shared" si="2"/>
        <v>98942</v>
      </c>
      <c r="O98" s="40" t="str">
        <f t="shared" si="3"/>
        <v>RES</v>
      </c>
      <c r="P98" s="41">
        <v>3151.59</v>
      </c>
      <c r="Q98" s="41">
        <v>1945.2599999999993</v>
      </c>
      <c r="R98" s="41">
        <v>13649.099999999997</v>
      </c>
      <c r="S98" s="41">
        <v>18745.95</v>
      </c>
    </row>
    <row r="99" spans="2:19" ht="16" x14ac:dyDescent="0.2">
      <c r="B99" s="39">
        <v>202011</v>
      </c>
      <c r="C99" s="40" t="s">
        <v>52</v>
      </c>
      <c r="D99" s="40" t="s">
        <v>75</v>
      </c>
      <c r="E99" s="41">
        <v>1076</v>
      </c>
      <c r="F99" s="41">
        <v>82705.520000000033</v>
      </c>
      <c r="G99" s="41">
        <v>69707.85000000002</v>
      </c>
      <c r="H99" s="41">
        <v>236135.28999999998</v>
      </c>
      <c r="I99" s="41">
        <v>388548.65999999945</v>
      </c>
      <c r="L99" s="39">
        <v>202012</v>
      </c>
      <c r="M99" s="40" t="s">
        <v>91</v>
      </c>
      <c r="N99" s="40" t="str">
        <f t="shared" si="2"/>
        <v>98944</v>
      </c>
      <c r="O99" s="40" t="str">
        <f t="shared" si="3"/>
        <v>RES</v>
      </c>
      <c r="P99" s="41">
        <v>17037.169999999998</v>
      </c>
      <c r="Q99" s="41">
        <v>7898.3899999999967</v>
      </c>
      <c r="R99" s="41">
        <v>43794.14999999998</v>
      </c>
      <c r="S99" s="41">
        <v>68729.710000000021</v>
      </c>
    </row>
    <row r="100" spans="2:19" ht="16" x14ac:dyDescent="0.2">
      <c r="B100" s="39">
        <v>202011</v>
      </c>
      <c r="C100" s="40" t="s">
        <v>53</v>
      </c>
      <c r="D100" s="40" t="s">
        <v>34</v>
      </c>
      <c r="E100" s="41">
        <v>116</v>
      </c>
      <c r="F100" s="41">
        <v>26300.420000000009</v>
      </c>
      <c r="G100" s="41">
        <v>18654.450000000008</v>
      </c>
      <c r="H100" s="41">
        <v>70179.19</v>
      </c>
      <c r="I100" s="41">
        <v>115134.06000000007</v>
      </c>
      <c r="L100" s="39">
        <v>202012</v>
      </c>
      <c r="M100" s="40" t="s">
        <v>100</v>
      </c>
      <c r="N100" s="40" t="str">
        <f t="shared" si="2"/>
        <v>98947</v>
      </c>
      <c r="O100" s="40" t="str">
        <f t="shared" si="3"/>
        <v>RES</v>
      </c>
      <c r="P100" s="41">
        <v>1521.2099999999996</v>
      </c>
      <c r="Q100" s="41">
        <v>955.94</v>
      </c>
      <c r="R100" s="41">
        <v>6052.5199999999995</v>
      </c>
      <c r="S100" s="41">
        <v>8529.67</v>
      </c>
    </row>
    <row r="101" spans="2:19" ht="32" x14ac:dyDescent="0.2">
      <c r="B101" s="39">
        <v>202011</v>
      </c>
      <c r="C101" s="40" t="s">
        <v>53</v>
      </c>
      <c r="D101" s="40" t="s">
        <v>75</v>
      </c>
      <c r="E101" s="41">
        <v>1354</v>
      </c>
      <c r="F101" s="41">
        <v>86259.770000000048</v>
      </c>
      <c r="G101" s="41">
        <v>75700.089999999938</v>
      </c>
      <c r="H101" s="41">
        <v>235883.47000000006</v>
      </c>
      <c r="I101" s="41">
        <v>397843.33000000042</v>
      </c>
      <c r="L101" s="39">
        <v>202012</v>
      </c>
      <c r="M101" s="40" t="s">
        <v>120</v>
      </c>
      <c r="N101" s="40" t="str">
        <f t="shared" si="2"/>
        <v>98948</v>
      </c>
      <c r="O101" s="40" t="str">
        <f t="shared" si="3"/>
        <v>COM</v>
      </c>
      <c r="P101" s="41">
        <v>5188.2799999999988</v>
      </c>
      <c r="Q101" s="41">
        <v>3608.29</v>
      </c>
      <c r="R101" s="41">
        <v>6553.9</v>
      </c>
      <c r="S101" s="41">
        <v>15350.470000000003</v>
      </c>
    </row>
    <row r="102" spans="2:19" ht="16" x14ac:dyDescent="0.2">
      <c r="B102" s="39">
        <v>202011</v>
      </c>
      <c r="C102" s="40" t="s">
        <v>54</v>
      </c>
      <c r="D102" s="40" t="s">
        <v>34</v>
      </c>
      <c r="E102" s="41">
        <v>13</v>
      </c>
      <c r="F102" s="41">
        <v>1791.42</v>
      </c>
      <c r="G102" s="41">
        <v>2074.87</v>
      </c>
      <c r="H102" s="41">
        <v>4235.09</v>
      </c>
      <c r="I102" s="41">
        <v>8101.38</v>
      </c>
      <c r="L102" s="39">
        <v>202012</v>
      </c>
      <c r="M102" s="40" t="s">
        <v>101</v>
      </c>
      <c r="N102" s="40" t="str">
        <f t="shared" si="2"/>
        <v>98948</v>
      </c>
      <c r="O102" s="40" t="str">
        <f t="shared" si="3"/>
        <v>RES</v>
      </c>
      <c r="P102" s="41">
        <v>32902.47</v>
      </c>
      <c r="Q102" s="41">
        <v>13498.68</v>
      </c>
      <c r="R102" s="41">
        <v>71458.190000000031</v>
      </c>
      <c r="S102" s="41">
        <v>117859.34</v>
      </c>
    </row>
    <row r="103" spans="2:19" ht="32" x14ac:dyDescent="0.2">
      <c r="B103" s="39">
        <v>202011</v>
      </c>
      <c r="C103" s="40" t="s">
        <v>54</v>
      </c>
      <c r="D103" s="40" t="s">
        <v>75</v>
      </c>
      <c r="E103" s="41">
        <v>214</v>
      </c>
      <c r="F103" s="41">
        <v>16062.289999999997</v>
      </c>
      <c r="G103" s="41">
        <v>12760.259999999998</v>
      </c>
      <c r="H103" s="41">
        <v>52378.58</v>
      </c>
      <c r="I103" s="41">
        <v>81201.129999999976</v>
      </c>
      <c r="L103" s="39">
        <v>202012</v>
      </c>
      <c r="M103" s="40" t="s">
        <v>112</v>
      </c>
      <c r="N103" s="40" t="str">
        <f t="shared" si="2"/>
        <v>98951</v>
      </c>
      <c r="O103" s="40" t="str">
        <f t="shared" si="3"/>
        <v>COM</v>
      </c>
      <c r="P103" s="41">
        <v>417.96000000000004</v>
      </c>
      <c r="Q103" s="41">
        <v>113.69</v>
      </c>
      <c r="R103" s="41">
        <v>614.89</v>
      </c>
      <c r="S103" s="41">
        <v>1146.54</v>
      </c>
    </row>
    <row r="104" spans="2:19" ht="16" x14ac:dyDescent="0.2">
      <c r="B104" s="39">
        <v>202011</v>
      </c>
      <c r="C104" s="40" t="s">
        <v>55</v>
      </c>
      <c r="D104" s="40" t="s">
        <v>34</v>
      </c>
      <c r="E104" s="41">
        <v>115</v>
      </c>
      <c r="F104" s="41">
        <v>16836.060000000009</v>
      </c>
      <c r="G104" s="41">
        <v>15620.499999999996</v>
      </c>
      <c r="H104" s="41">
        <v>36435.929999999993</v>
      </c>
      <c r="I104" s="41">
        <v>68892.49000000002</v>
      </c>
      <c r="L104" s="39">
        <v>202012</v>
      </c>
      <c r="M104" s="40" t="s">
        <v>106</v>
      </c>
      <c r="N104" s="40" t="str">
        <f t="shared" si="2"/>
        <v>98951</v>
      </c>
      <c r="O104" s="40" t="str">
        <f t="shared" si="3"/>
        <v>RES</v>
      </c>
      <c r="P104" s="41">
        <v>19350.419999999991</v>
      </c>
      <c r="Q104" s="41">
        <v>19277.689999999999</v>
      </c>
      <c r="R104" s="41">
        <v>142248.97999999992</v>
      </c>
      <c r="S104" s="41">
        <v>180877.09000000008</v>
      </c>
    </row>
    <row r="105" spans="2:19" ht="32" x14ac:dyDescent="0.2">
      <c r="B105" s="39">
        <v>202011</v>
      </c>
      <c r="C105" s="40" t="s">
        <v>55</v>
      </c>
      <c r="D105" s="40" t="s">
        <v>75</v>
      </c>
      <c r="E105" s="41">
        <v>921</v>
      </c>
      <c r="F105" s="41">
        <v>73212.950000000026</v>
      </c>
      <c r="G105" s="41">
        <v>47544.420000000006</v>
      </c>
      <c r="H105" s="41">
        <v>191171.98000000004</v>
      </c>
      <c r="I105" s="41">
        <v>311929.34999999998</v>
      </c>
      <c r="L105" s="39">
        <v>202012</v>
      </c>
      <c r="M105" s="40" t="s">
        <v>144</v>
      </c>
      <c r="N105" s="40" t="str">
        <f t="shared" si="2"/>
        <v>98952</v>
      </c>
      <c r="O105" s="40" t="str">
        <f t="shared" si="3"/>
        <v>COM</v>
      </c>
      <c r="P105" s="41">
        <v>111.91</v>
      </c>
      <c r="Q105" s="41">
        <v>35.39</v>
      </c>
      <c r="R105" s="41">
        <v>263.3</v>
      </c>
      <c r="S105" s="41">
        <v>410.6</v>
      </c>
    </row>
    <row r="106" spans="2:19" ht="16" x14ac:dyDescent="0.2">
      <c r="B106" s="39">
        <v>202011</v>
      </c>
      <c r="C106" s="40" t="s">
        <v>56</v>
      </c>
      <c r="D106" s="40" t="s">
        <v>34</v>
      </c>
      <c r="E106" s="41">
        <v>70</v>
      </c>
      <c r="F106" s="41">
        <v>15220.210000000003</v>
      </c>
      <c r="G106" s="41">
        <v>6193.47</v>
      </c>
      <c r="H106" s="41">
        <v>9419.19</v>
      </c>
      <c r="I106" s="41">
        <v>30832.869999999995</v>
      </c>
      <c r="L106" s="39">
        <v>202012</v>
      </c>
      <c r="M106" s="40" t="s">
        <v>110</v>
      </c>
      <c r="N106" s="40" t="str">
        <f t="shared" si="2"/>
        <v>98952</v>
      </c>
      <c r="O106" s="40" t="str">
        <f t="shared" si="3"/>
        <v>RES</v>
      </c>
      <c r="P106" s="41">
        <v>3946.3900000000003</v>
      </c>
      <c r="Q106" s="41">
        <v>2134.9900000000002</v>
      </c>
      <c r="R106" s="41">
        <v>16112.55</v>
      </c>
      <c r="S106" s="41">
        <v>22193.93</v>
      </c>
    </row>
    <row r="107" spans="2:19" ht="16" x14ac:dyDescent="0.2">
      <c r="B107" s="39">
        <v>202011</v>
      </c>
      <c r="C107" s="40" t="s">
        <v>56</v>
      </c>
      <c r="D107" s="40" t="s">
        <v>75</v>
      </c>
      <c r="E107" s="41">
        <v>844</v>
      </c>
      <c r="F107" s="41">
        <v>69474.129999999932</v>
      </c>
      <c r="G107" s="41">
        <v>64389.489999999983</v>
      </c>
      <c r="H107" s="41">
        <v>274327.51000000013</v>
      </c>
      <c r="I107" s="41">
        <v>408191.13000000047</v>
      </c>
      <c r="L107" s="39">
        <v>202012</v>
      </c>
      <c r="M107" s="40" t="s">
        <v>92</v>
      </c>
      <c r="N107" s="40" t="str">
        <f t="shared" si="2"/>
        <v>98953</v>
      </c>
      <c r="O107" s="40" t="str">
        <f t="shared" si="3"/>
        <v>RES</v>
      </c>
      <c r="P107" s="41">
        <v>4513.6899999999996</v>
      </c>
      <c r="Q107" s="41">
        <v>1787.3699999999997</v>
      </c>
      <c r="R107" s="41">
        <v>8860.51</v>
      </c>
      <c r="S107" s="41">
        <v>15161.570000000005</v>
      </c>
    </row>
    <row r="108" spans="2:19" ht="16" x14ac:dyDescent="0.2">
      <c r="B108" s="39">
        <v>202011</v>
      </c>
      <c r="C108" s="40" t="s">
        <v>57</v>
      </c>
      <c r="D108" s="40" t="s">
        <v>34</v>
      </c>
      <c r="E108" s="41">
        <v>2</v>
      </c>
      <c r="F108" s="41">
        <v>132.41</v>
      </c>
      <c r="G108" s="41">
        <v>21.15</v>
      </c>
      <c r="H108" s="41">
        <v>403.58</v>
      </c>
      <c r="I108" s="41">
        <v>557.14</v>
      </c>
      <c r="L108" s="39">
        <v>202012</v>
      </c>
      <c r="M108" s="40" t="s">
        <v>114</v>
      </c>
      <c r="N108" s="40" t="str">
        <f t="shared" si="2"/>
        <v>99323</v>
      </c>
      <c r="O108" s="40" t="str">
        <f t="shared" si="3"/>
        <v>RES</v>
      </c>
      <c r="P108" s="41">
        <v>530.6</v>
      </c>
      <c r="Q108" s="41">
        <v>341.14</v>
      </c>
      <c r="R108" s="41">
        <v>2036.21</v>
      </c>
      <c r="S108" s="41">
        <v>2907.9500000000003</v>
      </c>
    </row>
    <row r="109" spans="2:19" ht="16" x14ac:dyDescent="0.2">
      <c r="B109" s="39">
        <v>202011</v>
      </c>
      <c r="C109" s="40" t="s">
        <v>57</v>
      </c>
      <c r="D109" s="40" t="s">
        <v>75</v>
      </c>
      <c r="E109" s="41">
        <v>64</v>
      </c>
      <c r="F109" s="41">
        <v>4867.4399999999996</v>
      </c>
      <c r="G109" s="41">
        <v>5075.0600000000013</v>
      </c>
      <c r="H109" s="41">
        <v>30641.82</v>
      </c>
      <c r="I109" s="41">
        <v>40584.320000000029</v>
      </c>
      <c r="L109" s="39">
        <v>202012</v>
      </c>
      <c r="M109" s="40" t="s">
        <v>108</v>
      </c>
      <c r="N109" s="40" t="str">
        <f t="shared" si="2"/>
        <v>99324</v>
      </c>
      <c r="O109" s="40" t="str">
        <f t="shared" si="3"/>
        <v>RES</v>
      </c>
      <c r="P109" s="41">
        <v>3277.1500000000005</v>
      </c>
      <c r="Q109" s="41">
        <v>2117.92</v>
      </c>
      <c r="R109" s="41">
        <v>12107.95</v>
      </c>
      <c r="S109" s="41">
        <v>17503.02</v>
      </c>
    </row>
    <row r="110" spans="2:19" ht="16" x14ac:dyDescent="0.2">
      <c r="B110" s="39">
        <v>202011</v>
      </c>
      <c r="C110" s="40" t="s">
        <v>58</v>
      </c>
      <c r="D110" s="40" t="s">
        <v>34</v>
      </c>
      <c r="E110" s="41">
        <v>47</v>
      </c>
      <c r="F110" s="41">
        <v>4881.3100000000013</v>
      </c>
      <c r="G110" s="41">
        <v>4127.0200000000013</v>
      </c>
      <c r="H110" s="41">
        <v>16241.88</v>
      </c>
      <c r="I110" s="41">
        <v>25250.209999999992</v>
      </c>
      <c r="L110" s="39">
        <v>202012</v>
      </c>
      <c r="M110" s="40" t="s">
        <v>102</v>
      </c>
      <c r="N110" s="40" t="str">
        <f t="shared" si="2"/>
        <v>99328</v>
      </c>
      <c r="O110" s="40" t="str">
        <f t="shared" si="3"/>
        <v>RES</v>
      </c>
      <c r="P110" s="41">
        <v>4037.8300000000004</v>
      </c>
      <c r="Q110" s="41">
        <v>1525.7999999999993</v>
      </c>
      <c r="R110" s="41">
        <v>12136.98</v>
      </c>
      <c r="S110" s="41">
        <v>17700.61</v>
      </c>
    </row>
    <row r="111" spans="2:19" ht="16" x14ac:dyDescent="0.2">
      <c r="B111" s="39">
        <v>202011</v>
      </c>
      <c r="C111" s="40" t="s">
        <v>58</v>
      </c>
      <c r="D111" s="40" t="s">
        <v>75</v>
      </c>
      <c r="E111" s="41">
        <v>494</v>
      </c>
      <c r="F111" s="41">
        <v>38612.619999999959</v>
      </c>
      <c r="G111" s="41">
        <v>28896.570000000011</v>
      </c>
      <c r="H111" s="41">
        <v>91124.709999999992</v>
      </c>
      <c r="I111" s="41">
        <v>158633.90000000008</v>
      </c>
      <c r="L111" s="39">
        <v>202012</v>
      </c>
      <c r="M111" s="40" t="s">
        <v>180</v>
      </c>
      <c r="N111" s="40" t="str">
        <f t="shared" si="2"/>
        <v>99329</v>
      </c>
      <c r="O111" s="40" t="str">
        <f t="shared" si="3"/>
        <v>RES</v>
      </c>
      <c r="P111" s="41">
        <v>0</v>
      </c>
      <c r="Q111" s="41">
        <v>0</v>
      </c>
      <c r="R111" s="41">
        <v>0</v>
      </c>
      <c r="S111" s="41">
        <v>0</v>
      </c>
    </row>
    <row r="112" spans="2:19" ht="32" x14ac:dyDescent="0.2">
      <c r="B112" s="39">
        <v>202011</v>
      </c>
      <c r="C112" s="40" t="s">
        <v>59</v>
      </c>
      <c r="D112" s="40" t="s">
        <v>75</v>
      </c>
      <c r="E112" s="41">
        <v>1</v>
      </c>
      <c r="F112" s="41">
        <v>99.16</v>
      </c>
      <c r="G112" s="41">
        <v>86.85</v>
      </c>
      <c r="H112" s="41">
        <v>214.44</v>
      </c>
      <c r="I112" s="41">
        <v>400.45</v>
      </c>
      <c r="L112" s="39">
        <v>202012</v>
      </c>
      <c r="M112" s="40" t="s">
        <v>121</v>
      </c>
      <c r="N112" s="40" t="str">
        <f t="shared" si="2"/>
        <v>99347</v>
      </c>
      <c r="O112" s="40" t="str">
        <f t="shared" si="3"/>
        <v>COM</v>
      </c>
      <c r="P112" s="41">
        <v>305.81</v>
      </c>
      <c r="Q112" s="41">
        <v>46.45</v>
      </c>
      <c r="R112" s="41">
        <v>0</v>
      </c>
      <c r="S112" s="41">
        <v>352.26</v>
      </c>
    </row>
    <row r="113" spans="2:19" ht="16" x14ac:dyDescent="0.2">
      <c r="B113" s="39">
        <v>202011</v>
      </c>
      <c r="C113" s="40" t="s">
        <v>60</v>
      </c>
      <c r="D113" s="40" t="s">
        <v>34</v>
      </c>
      <c r="E113" s="41">
        <v>14</v>
      </c>
      <c r="F113" s="41">
        <v>1837.5400000000002</v>
      </c>
      <c r="G113" s="41">
        <v>350.28</v>
      </c>
      <c r="H113" s="41">
        <v>2475.75</v>
      </c>
      <c r="I113" s="41">
        <v>4663.57</v>
      </c>
      <c r="L113" s="39">
        <v>202012</v>
      </c>
      <c r="M113" s="40" t="s">
        <v>109</v>
      </c>
      <c r="N113" s="40" t="str">
        <f t="shared" si="2"/>
        <v>99347</v>
      </c>
      <c r="O113" s="40" t="str">
        <f t="shared" si="3"/>
        <v>RES</v>
      </c>
      <c r="P113" s="41">
        <v>1054.52</v>
      </c>
      <c r="Q113" s="41">
        <v>576.54</v>
      </c>
      <c r="R113" s="41">
        <v>2740.11</v>
      </c>
      <c r="S113" s="41">
        <v>4371.17</v>
      </c>
    </row>
    <row r="114" spans="2:19" ht="16" x14ac:dyDescent="0.2">
      <c r="B114" s="39">
        <v>202011</v>
      </c>
      <c r="C114" s="40" t="s">
        <v>60</v>
      </c>
      <c r="D114" s="40" t="s">
        <v>75</v>
      </c>
      <c r="E114" s="41">
        <v>168</v>
      </c>
      <c r="F114" s="41">
        <v>14930.739999999994</v>
      </c>
      <c r="G114" s="41">
        <v>8925.4699999999975</v>
      </c>
      <c r="H114" s="41">
        <v>26848.139999999992</v>
      </c>
      <c r="I114" s="41">
        <v>50704.349999999991</v>
      </c>
      <c r="L114" s="39">
        <v>202012</v>
      </c>
      <c r="M114" s="40" t="s">
        <v>113</v>
      </c>
      <c r="N114" s="40" t="str">
        <f t="shared" si="2"/>
        <v>99348</v>
      </c>
      <c r="O114" s="40" t="str">
        <f t="shared" si="3"/>
        <v>RES</v>
      </c>
      <c r="P114" s="41">
        <v>573.78</v>
      </c>
      <c r="Q114" s="41">
        <v>292.59000000000003</v>
      </c>
      <c r="R114" s="41">
        <v>1284.29</v>
      </c>
      <c r="S114" s="41">
        <v>2150.66</v>
      </c>
    </row>
    <row r="115" spans="2:19" ht="16" x14ac:dyDescent="0.2">
      <c r="B115" s="39">
        <v>202011</v>
      </c>
      <c r="C115" s="40" t="s">
        <v>61</v>
      </c>
      <c r="D115" s="40" t="s">
        <v>34</v>
      </c>
      <c r="E115" s="41">
        <v>7</v>
      </c>
      <c r="F115" s="41">
        <v>1912.21</v>
      </c>
      <c r="G115" s="41">
        <v>192.82</v>
      </c>
      <c r="H115" s="41">
        <v>669.92</v>
      </c>
      <c r="I115" s="41">
        <v>2774.9500000000003</v>
      </c>
      <c r="L115" s="39">
        <v>202012</v>
      </c>
      <c r="M115" s="40" t="s">
        <v>122</v>
      </c>
      <c r="N115" s="40" t="str">
        <f t="shared" si="2"/>
        <v>99350</v>
      </c>
      <c r="O115" s="40" t="str">
        <f t="shared" si="3"/>
        <v>RES</v>
      </c>
      <c r="P115" s="41">
        <v>245.09</v>
      </c>
      <c r="Q115" s="41">
        <v>3.7</v>
      </c>
      <c r="R115" s="41">
        <v>0</v>
      </c>
      <c r="S115" s="41">
        <v>248.79</v>
      </c>
    </row>
    <row r="116" spans="2:19" ht="16" x14ac:dyDescent="0.2">
      <c r="B116" s="39">
        <v>202011</v>
      </c>
      <c r="C116" s="40" t="s">
        <v>61</v>
      </c>
      <c r="D116" s="40" t="s">
        <v>75</v>
      </c>
      <c r="E116" s="41">
        <v>387</v>
      </c>
      <c r="F116" s="41">
        <v>22401.620000000003</v>
      </c>
      <c r="G116" s="41">
        <v>19719.909999999993</v>
      </c>
      <c r="H116" s="41">
        <v>49259.549999999981</v>
      </c>
      <c r="I116" s="41">
        <v>91381.079999999987</v>
      </c>
      <c r="L116" s="39">
        <v>202012</v>
      </c>
      <c r="M116" s="40" t="s">
        <v>123</v>
      </c>
      <c r="N116" s="40" t="str">
        <f t="shared" si="2"/>
        <v>99360</v>
      </c>
      <c r="O116" s="40" t="str">
        <f t="shared" si="3"/>
        <v>RES</v>
      </c>
      <c r="P116" s="41">
        <v>494.29</v>
      </c>
      <c r="Q116" s="41">
        <v>192.36</v>
      </c>
      <c r="R116" s="41">
        <v>53.91</v>
      </c>
      <c r="S116" s="41">
        <v>740.56</v>
      </c>
    </row>
    <row r="117" spans="2:19" ht="16" x14ac:dyDescent="0.2">
      <c r="B117" s="39">
        <v>202011</v>
      </c>
      <c r="C117" s="40" t="s">
        <v>62</v>
      </c>
      <c r="D117" s="40" t="s">
        <v>34</v>
      </c>
      <c r="E117" s="41">
        <v>35</v>
      </c>
      <c r="F117" s="41">
        <v>5081.55</v>
      </c>
      <c r="G117" s="41">
        <v>2155.4100000000003</v>
      </c>
      <c r="H117" s="41">
        <v>11425.809999999998</v>
      </c>
      <c r="I117" s="41">
        <v>18662.770000000004</v>
      </c>
      <c r="L117" s="39">
        <v>202012</v>
      </c>
      <c r="M117" s="40" t="s">
        <v>103</v>
      </c>
      <c r="N117" s="40" t="str">
        <f t="shared" si="2"/>
        <v>99361</v>
      </c>
      <c r="O117" s="40" t="str">
        <f t="shared" si="3"/>
        <v>RES</v>
      </c>
      <c r="P117" s="41">
        <v>729.44999999999993</v>
      </c>
      <c r="Q117" s="41">
        <v>429.94</v>
      </c>
      <c r="R117" s="41">
        <v>3281.16</v>
      </c>
      <c r="S117" s="41">
        <v>4440.55</v>
      </c>
    </row>
    <row r="118" spans="2:19" ht="16" x14ac:dyDescent="0.2">
      <c r="B118" s="39">
        <v>202011</v>
      </c>
      <c r="C118" s="40" t="s">
        <v>62</v>
      </c>
      <c r="D118" s="40" t="s">
        <v>75</v>
      </c>
      <c r="E118" s="41">
        <v>253</v>
      </c>
      <c r="F118" s="41">
        <v>17823.669999999995</v>
      </c>
      <c r="G118" s="41">
        <v>11450.51</v>
      </c>
      <c r="H118" s="41">
        <v>59277.200000000004</v>
      </c>
      <c r="I118" s="41">
        <v>88551.379999999976</v>
      </c>
      <c r="L118" s="39">
        <v>202012</v>
      </c>
      <c r="M118" s="40" t="s">
        <v>93</v>
      </c>
      <c r="N118" s="40" t="str">
        <f t="shared" si="2"/>
        <v>99362</v>
      </c>
      <c r="O118" s="40" t="str">
        <f t="shared" si="3"/>
        <v>RES</v>
      </c>
      <c r="P118" s="41">
        <v>27438.060000000009</v>
      </c>
      <c r="Q118" s="41">
        <v>14711.320000000005</v>
      </c>
      <c r="R118" s="41">
        <v>65982.839999999953</v>
      </c>
      <c r="S118" s="41">
        <v>108132.22000000015</v>
      </c>
    </row>
    <row r="119" spans="2:19" ht="16" x14ac:dyDescent="0.2">
      <c r="B119" s="39">
        <v>202011</v>
      </c>
      <c r="C119" s="40" t="s">
        <v>63</v>
      </c>
      <c r="D119" s="40" t="s">
        <v>34</v>
      </c>
      <c r="E119" s="41">
        <v>2</v>
      </c>
      <c r="F119" s="41">
        <v>263.61</v>
      </c>
      <c r="G119" s="41">
        <v>110.09</v>
      </c>
      <c r="H119" s="41">
        <v>957.47</v>
      </c>
      <c r="I119" s="41">
        <v>1331.17</v>
      </c>
      <c r="L119" s="39">
        <v>202012</v>
      </c>
      <c r="M119" s="40" t="s">
        <v>124</v>
      </c>
      <c r="N119" s="40" t="str">
        <f t="shared" si="2"/>
        <v>99363</v>
      </c>
      <c r="O119" s="40" t="str">
        <f t="shared" si="3"/>
        <v>RES</v>
      </c>
      <c r="P119" s="41">
        <v>212.55</v>
      </c>
      <c r="Q119" s="41">
        <v>84.92</v>
      </c>
      <c r="R119" s="41">
        <v>416.67</v>
      </c>
      <c r="S119" s="41">
        <v>714.14</v>
      </c>
    </row>
    <row r="120" spans="2:19" ht="16" x14ac:dyDescent="0.2">
      <c r="B120" s="39">
        <v>202011</v>
      </c>
      <c r="C120" s="40" t="s">
        <v>63</v>
      </c>
      <c r="D120" s="40" t="s">
        <v>75</v>
      </c>
      <c r="E120" s="41">
        <v>15</v>
      </c>
      <c r="F120" s="41">
        <v>834.35</v>
      </c>
      <c r="G120" s="41">
        <v>746.2</v>
      </c>
      <c r="H120" s="41">
        <v>1780.8</v>
      </c>
      <c r="I120" s="41">
        <v>3361.3499999999995</v>
      </c>
    </row>
    <row r="121" spans="2:19" ht="16" x14ac:dyDescent="0.2">
      <c r="B121" s="39">
        <v>202011</v>
      </c>
      <c r="C121" s="40" t="s">
        <v>64</v>
      </c>
      <c r="D121" s="40" t="s">
        <v>34</v>
      </c>
      <c r="E121" s="41">
        <v>18</v>
      </c>
      <c r="F121" s="41">
        <v>3209.76</v>
      </c>
      <c r="G121" s="41">
        <v>2919.43</v>
      </c>
      <c r="H121" s="41">
        <v>3962.6099999999997</v>
      </c>
      <c r="I121" s="41">
        <v>10091.799999999997</v>
      </c>
    </row>
    <row r="122" spans="2:19" ht="16" x14ac:dyDescent="0.2">
      <c r="B122" s="39">
        <v>202011</v>
      </c>
      <c r="C122" s="40" t="s">
        <v>64</v>
      </c>
      <c r="D122" s="40" t="s">
        <v>75</v>
      </c>
      <c r="E122" s="41">
        <v>112</v>
      </c>
      <c r="F122" s="41">
        <v>8396.1</v>
      </c>
      <c r="G122" s="41">
        <v>6534.2999999999984</v>
      </c>
      <c r="H122" s="41">
        <v>30993.42</v>
      </c>
      <c r="I122" s="41">
        <v>45923.820000000007</v>
      </c>
    </row>
    <row r="123" spans="2:19" ht="16" x14ac:dyDescent="0.2">
      <c r="B123" s="39">
        <v>202011</v>
      </c>
      <c r="C123" s="40" t="s">
        <v>65</v>
      </c>
      <c r="D123" s="40" t="s">
        <v>34</v>
      </c>
      <c r="E123" s="41">
        <v>3</v>
      </c>
      <c r="F123" s="41">
        <v>917.14999999999986</v>
      </c>
      <c r="G123" s="41">
        <v>84.26</v>
      </c>
      <c r="H123" s="41">
        <v>0</v>
      </c>
      <c r="I123" s="41">
        <v>1001.4099999999999</v>
      </c>
    </row>
    <row r="124" spans="2:19" ht="16" x14ac:dyDescent="0.2">
      <c r="B124" s="39">
        <v>202011</v>
      </c>
      <c r="C124" s="40" t="s">
        <v>65</v>
      </c>
      <c r="D124" s="40" t="s">
        <v>75</v>
      </c>
      <c r="E124" s="41">
        <v>32</v>
      </c>
      <c r="F124" s="41">
        <v>2021.4099999999999</v>
      </c>
      <c r="G124" s="41">
        <v>2202.1</v>
      </c>
      <c r="H124" s="41">
        <v>7080.1199999999981</v>
      </c>
      <c r="I124" s="41">
        <v>11303.63</v>
      </c>
    </row>
    <row r="125" spans="2:19" ht="16" x14ac:dyDescent="0.2">
      <c r="B125" s="39">
        <v>202011</v>
      </c>
      <c r="C125" s="40" t="s">
        <v>66</v>
      </c>
      <c r="D125" s="40" t="s">
        <v>75</v>
      </c>
      <c r="E125" s="41">
        <v>12</v>
      </c>
      <c r="F125" s="41">
        <v>790.53000000000009</v>
      </c>
      <c r="G125" s="41">
        <v>307.87</v>
      </c>
      <c r="H125" s="41">
        <v>1671.2</v>
      </c>
      <c r="I125" s="41">
        <v>2769.6</v>
      </c>
    </row>
    <row r="126" spans="2:19" ht="16" x14ac:dyDescent="0.2">
      <c r="B126" s="39">
        <v>202011</v>
      </c>
      <c r="C126" s="40" t="s">
        <v>67</v>
      </c>
      <c r="D126" s="40" t="s">
        <v>34</v>
      </c>
      <c r="E126" s="41">
        <v>16</v>
      </c>
      <c r="F126" s="41">
        <v>8020.5</v>
      </c>
      <c r="G126" s="41">
        <v>1764.1100000000001</v>
      </c>
      <c r="H126" s="41">
        <v>10165.189999999999</v>
      </c>
      <c r="I126" s="41">
        <v>19949.800000000003</v>
      </c>
    </row>
    <row r="127" spans="2:19" ht="16" x14ac:dyDescent="0.2">
      <c r="B127" s="39">
        <v>202011</v>
      </c>
      <c r="C127" s="40" t="s">
        <v>67</v>
      </c>
      <c r="D127" s="40" t="s">
        <v>75</v>
      </c>
      <c r="E127" s="41">
        <v>67</v>
      </c>
      <c r="F127" s="41">
        <v>6670.7800000000016</v>
      </c>
      <c r="G127" s="41">
        <v>4754.95</v>
      </c>
      <c r="H127" s="41">
        <v>11966.599999999999</v>
      </c>
      <c r="I127" s="41">
        <v>23392.329999999991</v>
      </c>
    </row>
    <row r="128" spans="2:19" ht="16" x14ac:dyDescent="0.2">
      <c r="B128" s="39">
        <v>202011</v>
      </c>
      <c r="C128" s="40" t="s">
        <v>68</v>
      </c>
      <c r="D128" s="40" t="s">
        <v>34</v>
      </c>
      <c r="E128" s="41">
        <v>11</v>
      </c>
      <c r="F128" s="41">
        <v>1378.02</v>
      </c>
      <c r="G128" s="41">
        <v>743.99000000000012</v>
      </c>
      <c r="H128" s="41">
        <v>4098.13</v>
      </c>
      <c r="I128" s="41">
        <v>6220.1399999999994</v>
      </c>
    </row>
    <row r="129" spans="2:9" ht="16" x14ac:dyDescent="0.2">
      <c r="B129" s="39">
        <v>202011</v>
      </c>
      <c r="C129" s="40" t="s">
        <v>68</v>
      </c>
      <c r="D129" s="40" t="s">
        <v>75</v>
      </c>
      <c r="E129" s="41">
        <v>84</v>
      </c>
      <c r="F129" s="41">
        <v>6052.3799999999983</v>
      </c>
      <c r="G129" s="41">
        <v>4832.2999999999984</v>
      </c>
      <c r="H129" s="41">
        <v>20596.150000000005</v>
      </c>
      <c r="I129" s="41">
        <v>31480.829999999991</v>
      </c>
    </row>
    <row r="130" spans="2:9" ht="16" x14ac:dyDescent="0.2">
      <c r="B130" s="39">
        <v>202011</v>
      </c>
      <c r="C130" s="40" t="s">
        <v>69</v>
      </c>
      <c r="D130" s="40" t="s">
        <v>34</v>
      </c>
      <c r="E130" s="41">
        <v>156</v>
      </c>
      <c r="F130" s="41">
        <v>24479.909999999996</v>
      </c>
      <c r="G130" s="41">
        <v>28205.84</v>
      </c>
      <c r="H130" s="41">
        <v>53938.52</v>
      </c>
      <c r="I130" s="41">
        <v>106624.26999999997</v>
      </c>
    </row>
    <row r="131" spans="2:9" ht="16" x14ac:dyDescent="0.2">
      <c r="B131" s="39">
        <v>202011</v>
      </c>
      <c r="C131" s="40" t="s">
        <v>69</v>
      </c>
      <c r="D131" s="40" t="s">
        <v>75</v>
      </c>
      <c r="E131" s="41">
        <v>2486</v>
      </c>
      <c r="F131" s="41">
        <v>134847.80000000031</v>
      </c>
      <c r="G131" s="41">
        <v>111213.18999999997</v>
      </c>
      <c r="H131" s="41">
        <v>349226.2300000001</v>
      </c>
      <c r="I131" s="41">
        <v>595287.22000000044</v>
      </c>
    </row>
    <row r="132" spans="2:9" ht="16" x14ac:dyDescent="0.2">
      <c r="B132" s="39">
        <v>202011</v>
      </c>
      <c r="C132" s="40" t="s">
        <v>70</v>
      </c>
      <c r="D132" s="40" t="s">
        <v>34</v>
      </c>
      <c r="E132" s="41">
        <v>1</v>
      </c>
      <c r="F132" s="41">
        <v>43.65</v>
      </c>
      <c r="G132" s="41">
        <v>46.73</v>
      </c>
      <c r="H132" s="41">
        <v>134.88999999999999</v>
      </c>
      <c r="I132" s="41">
        <v>225.27</v>
      </c>
    </row>
    <row r="133" spans="2:9" ht="16" x14ac:dyDescent="0.2">
      <c r="B133" s="39">
        <v>202011</v>
      </c>
      <c r="C133" s="40" t="s">
        <v>70</v>
      </c>
      <c r="D133" s="40" t="s">
        <v>75</v>
      </c>
      <c r="E133" s="41">
        <v>16</v>
      </c>
      <c r="F133" s="41">
        <v>1212.05</v>
      </c>
      <c r="G133" s="41">
        <v>855.39</v>
      </c>
      <c r="H133" s="41">
        <v>1910.33</v>
      </c>
      <c r="I133" s="41">
        <v>3977.7700000000004</v>
      </c>
    </row>
    <row r="134" spans="2:9" ht="16" x14ac:dyDescent="0.2">
      <c r="B134" s="39">
        <v>202012</v>
      </c>
      <c r="C134" s="40" t="s">
        <v>76</v>
      </c>
      <c r="D134" s="40" t="s">
        <v>75</v>
      </c>
      <c r="E134" s="41">
        <v>2</v>
      </c>
      <c r="F134" s="41">
        <v>177.74</v>
      </c>
      <c r="G134" s="41">
        <v>175.57</v>
      </c>
      <c r="H134" s="41">
        <v>206.33</v>
      </c>
      <c r="I134" s="41">
        <v>559.64</v>
      </c>
    </row>
    <row r="135" spans="2:9" ht="16" x14ac:dyDescent="0.2">
      <c r="B135" s="39">
        <v>202012</v>
      </c>
      <c r="C135" s="40" t="s">
        <v>35</v>
      </c>
      <c r="D135" s="40" t="s">
        <v>34</v>
      </c>
      <c r="E135" s="41">
        <v>204</v>
      </c>
      <c r="F135" s="41">
        <v>64602.309999999976</v>
      </c>
      <c r="G135" s="41">
        <v>20489.439999999991</v>
      </c>
      <c r="H135" s="41">
        <v>82732.100000000049</v>
      </c>
      <c r="I135" s="41">
        <v>167823.85000000009</v>
      </c>
    </row>
    <row r="136" spans="2:9" ht="16" x14ac:dyDescent="0.2">
      <c r="B136" s="39">
        <v>202012</v>
      </c>
      <c r="C136" s="40" t="s">
        <v>35</v>
      </c>
      <c r="D136" s="40" t="s">
        <v>75</v>
      </c>
      <c r="E136" s="41">
        <v>2654</v>
      </c>
      <c r="F136" s="41">
        <v>248038.7999999997</v>
      </c>
      <c r="G136" s="41">
        <v>145225.39000000001</v>
      </c>
      <c r="H136" s="41">
        <v>576363.00000000023</v>
      </c>
      <c r="I136" s="41">
        <v>969627.18999999948</v>
      </c>
    </row>
    <row r="137" spans="2:9" ht="16" x14ac:dyDescent="0.2">
      <c r="B137" s="39">
        <v>202012</v>
      </c>
      <c r="C137" s="40" t="s">
        <v>36</v>
      </c>
      <c r="D137" s="40" t="s">
        <v>34</v>
      </c>
      <c r="E137" s="41">
        <v>192</v>
      </c>
      <c r="F137" s="41">
        <v>41639.870000000003</v>
      </c>
      <c r="G137" s="41">
        <v>19486.430000000004</v>
      </c>
      <c r="H137" s="41">
        <v>80070.469999999972</v>
      </c>
      <c r="I137" s="41">
        <v>141196.77000000008</v>
      </c>
    </row>
    <row r="138" spans="2:9" ht="16" x14ac:dyDescent="0.2">
      <c r="B138" s="39">
        <v>202012</v>
      </c>
      <c r="C138" s="40" t="s">
        <v>36</v>
      </c>
      <c r="D138" s="40" t="s">
        <v>75</v>
      </c>
      <c r="E138" s="41">
        <v>4337</v>
      </c>
      <c r="F138" s="41">
        <v>434290.41000000027</v>
      </c>
      <c r="G138" s="41">
        <v>155373.2600000001</v>
      </c>
      <c r="H138" s="41">
        <v>746345.87999999907</v>
      </c>
      <c r="I138" s="41">
        <v>1336009.5499999956</v>
      </c>
    </row>
    <row r="139" spans="2:9" ht="16" x14ac:dyDescent="0.2">
      <c r="B139" s="39">
        <v>202012</v>
      </c>
      <c r="C139" s="40" t="s">
        <v>37</v>
      </c>
      <c r="D139" s="40" t="s">
        <v>34</v>
      </c>
      <c r="E139" s="41">
        <v>186</v>
      </c>
      <c r="F139" s="41">
        <v>76163.579999999973</v>
      </c>
      <c r="G139" s="41">
        <v>13319.810000000005</v>
      </c>
      <c r="H139" s="41">
        <v>52745.360000000008</v>
      </c>
      <c r="I139" s="41">
        <v>142228.75000000003</v>
      </c>
    </row>
    <row r="140" spans="2:9" ht="16" x14ac:dyDescent="0.2">
      <c r="B140" s="39">
        <v>202012</v>
      </c>
      <c r="C140" s="40" t="s">
        <v>37</v>
      </c>
      <c r="D140" s="40" t="s">
        <v>75</v>
      </c>
      <c r="E140" s="41">
        <v>1678</v>
      </c>
      <c r="F140" s="41">
        <v>229666.44000000021</v>
      </c>
      <c r="G140" s="41">
        <v>69401.989999999918</v>
      </c>
      <c r="H140" s="41">
        <v>350333.53000000009</v>
      </c>
      <c r="I140" s="41">
        <v>649401.95999999892</v>
      </c>
    </row>
    <row r="141" spans="2:9" ht="16" x14ac:dyDescent="0.2">
      <c r="B141" s="39">
        <v>202012</v>
      </c>
      <c r="C141" s="40" t="s">
        <v>40</v>
      </c>
      <c r="D141" s="40" t="s">
        <v>34</v>
      </c>
      <c r="E141" s="41">
        <v>99</v>
      </c>
      <c r="F141" s="41">
        <v>19424.25</v>
      </c>
      <c r="G141" s="41">
        <v>5544.51</v>
      </c>
      <c r="H141" s="41">
        <v>20027.689999999995</v>
      </c>
      <c r="I141" s="41">
        <v>44996.45</v>
      </c>
    </row>
    <row r="142" spans="2:9" ht="16" x14ac:dyDescent="0.2">
      <c r="B142" s="39">
        <v>202012</v>
      </c>
      <c r="C142" s="40" t="s">
        <v>40</v>
      </c>
      <c r="D142" s="40" t="s">
        <v>75</v>
      </c>
      <c r="E142" s="41">
        <v>2738</v>
      </c>
      <c r="F142" s="41">
        <v>280818.84999999928</v>
      </c>
      <c r="G142" s="41">
        <v>99089.469999999943</v>
      </c>
      <c r="H142" s="41">
        <v>443248.13</v>
      </c>
      <c r="I142" s="41">
        <v>823156.4499999996</v>
      </c>
    </row>
    <row r="143" spans="2:9" ht="16" x14ac:dyDescent="0.2">
      <c r="B143" s="39">
        <v>202012</v>
      </c>
      <c r="C143" s="40" t="s">
        <v>41</v>
      </c>
      <c r="D143" s="40" t="s">
        <v>75</v>
      </c>
      <c r="E143" s="41">
        <v>1</v>
      </c>
      <c r="F143" s="41">
        <v>104.45</v>
      </c>
      <c r="G143" s="41">
        <v>0</v>
      </c>
      <c r="H143" s="41">
        <v>0</v>
      </c>
      <c r="I143" s="41">
        <v>104.45</v>
      </c>
    </row>
    <row r="144" spans="2:9" ht="16" x14ac:dyDescent="0.2">
      <c r="B144" s="39">
        <v>202012</v>
      </c>
      <c r="C144" s="40" t="s">
        <v>42</v>
      </c>
      <c r="D144" s="40" t="s">
        <v>34</v>
      </c>
      <c r="E144" s="41">
        <v>2</v>
      </c>
      <c r="F144" s="41">
        <v>216.78</v>
      </c>
      <c r="G144" s="41">
        <v>51.26</v>
      </c>
      <c r="H144" s="41">
        <v>297.20999999999998</v>
      </c>
      <c r="I144" s="41">
        <v>565.25</v>
      </c>
    </row>
    <row r="145" spans="2:9" ht="16" x14ac:dyDescent="0.2">
      <c r="B145" s="39">
        <v>202012</v>
      </c>
      <c r="C145" s="40" t="s">
        <v>42</v>
      </c>
      <c r="D145" s="40" t="s">
        <v>75</v>
      </c>
      <c r="E145" s="41">
        <v>74</v>
      </c>
      <c r="F145" s="41">
        <v>8468.4500000000007</v>
      </c>
      <c r="G145" s="41">
        <v>2608.23</v>
      </c>
      <c r="H145" s="41">
        <v>21603.459999999995</v>
      </c>
      <c r="I145" s="41">
        <v>32680.14</v>
      </c>
    </row>
    <row r="146" spans="2:9" ht="16" x14ac:dyDescent="0.2">
      <c r="B146" s="39">
        <v>202012</v>
      </c>
      <c r="C146" s="40" t="s">
        <v>43</v>
      </c>
      <c r="D146" s="40" t="s">
        <v>34</v>
      </c>
      <c r="E146" s="41">
        <v>20</v>
      </c>
      <c r="F146" s="41">
        <v>12804.3</v>
      </c>
      <c r="G146" s="41">
        <v>46.12</v>
      </c>
      <c r="H146" s="41">
        <v>454.42999999999995</v>
      </c>
      <c r="I146" s="41">
        <v>13304.849999999999</v>
      </c>
    </row>
    <row r="147" spans="2:9" ht="16" x14ac:dyDescent="0.2">
      <c r="B147" s="39">
        <v>202012</v>
      </c>
      <c r="C147" s="40" t="s">
        <v>43</v>
      </c>
      <c r="D147" s="40" t="s">
        <v>75</v>
      </c>
      <c r="E147" s="41">
        <v>81</v>
      </c>
      <c r="F147" s="41">
        <v>9627.6299999999974</v>
      </c>
      <c r="G147" s="41">
        <v>3056.9900000000007</v>
      </c>
      <c r="H147" s="41">
        <v>15848.389999999998</v>
      </c>
      <c r="I147" s="41">
        <v>28533.010000000006</v>
      </c>
    </row>
    <row r="148" spans="2:9" ht="16" x14ac:dyDescent="0.2">
      <c r="B148" s="39">
        <v>202012</v>
      </c>
      <c r="C148" s="40" t="s">
        <v>44</v>
      </c>
      <c r="D148" s="40" t="s">
        <v>34</v>
      </c>
      <c r="E148" s="41">
        <v>36</v>
      </c>
      <c r="F148" s="41">
        <v>2522.7900000000004</v>
      </c>
      <c r="G148" s="41">
        <v>3888.4799999999996</v>
      </c>
      <c r="H148" s="41">
        <v>16077.8</v>
      </c>
      <c r="I148" s="41">
        <v>22489.07</v>
      </c>
    </row>
    <row r="149" spans="2:9" ht="16" x14ac:dyDescent="0.2">
      <c r="B149" s="39">
        <v>202012</v>
      </c>
      <c r="C149" s="40" t="s">
        <v>44</v>
      </c>
      <c r="D149" s="40" t="s">
        <v>75</v>
      </c>
      <c r="E149" s="41">
        <v>663</v>
      </c>
      <c r="F149" s="41">
        <v>23701.32</v>
      </c>
      <c r="G149" s="41">
        <v>51475.569999999985</v>
      </c>
      <c r="H149" s="41">
        <v>155090.88999999987</v>
      </c>
      <c r="I149" s="41">
        <v>230267.78</v>
      </c>
    </row>
    <row r="150" spans="2:9" ht="16" x14ac:dyDescent="0.2">
      <c r="B150" s="39">
        <v>202012</v>
      </c>
      <c r="C150" s="40" t="s">
        <v>45</v>
      </c>
      <c r="D150" s="40" t="s">
        <v>34</v>
      </c>
      <c r="E150" s="41">
        <v>31</v>
      </c>
      <c r="F150" s="41">
        <v>23068.950000000004</v>
      </c>
      <c r="G150" s="41">
        <v>548.15000000000009</v>
      </c>
      <c r="H150" s="41">
        <v>6468.84</v>
      </c>
      <c r="I150" s="41">
        <v>30085.940000000002</v>
      </c>
    </row>
    <row r="151" spans="2:9" ht="16" x14ac:dyDescent="0.2">
      <c r="B151" s="39">
        <v>202012</v>
      </c>
      <c r="C151" s="40" t="s">
        <v>45</v>
      </c>
      <c r="D151" s="40" t="s">
        <v>75</v>
      </c>
      <c r="E151" s="41">
        <v>424</v>
      </c>
      <c r="F151" s="41">
        <v>45561.600000000028</v>
      </c>
      <c r="G151" s="41">
        <v>15500.550000000001</v>
      </c>
      <c r="H151" s="41">
        <v>79731.250000000029</v>
      </c>
      <c r="I151" s="41">
        <v>140793.40000000008</v>
      </c>
    </row>
    <row r="152" spans="2:9" ht="16" x14ac:dyDescent="0.2">
      <c r="B152" s="39">
        <v>202012</v>
      </c>
      <c r="C152" s="40" t="s">
        <v>46</v>
      </c>
      <c r="D152" s="40" t="s">
        <v>34</v>
      </c>
      <c r="E152" s="41">
        <v>6</v>
      </c>
      <c r="F152" s="41">
        <v>2094.9500000000003</v>
      </c>
      <c r="G152" s="41">
        <v>252.78</v>
      </c>
      <c r="H152" s="41">
        <v>2750.83</v>
      </c>
      <c r="I152" s="41">
        <v>5098.5599999999995</v>
      </c>
    </row>
    <row r="153" spans="2:9" ht="16" x14ac:dyDescent="0.2">
      <c r="B153" s="39">
        <v>202012</v>
      </c>
      <c r="C153" s="40" t="s">
        <v>46</v>
      </c>
      <c r="D153" s="40" t="s">
        <v>75</v>
      </c>
      <c r="E153" s="41">
        <v>42</v>
      </c>
      <c r="F153" s="41">
        <v>4649.1100000000006</v>
      </c>
      <c r="G153" s="41">
        <v>2357.329999999999</v>
      </c>
      <c r="H153" s="41">
        <v>19510.64</v>
      </c>
      <c r="I153" s="41">
        <v>26517.079999999994</v>
      </c>
    </row>
    <row r="154" spans="2:9" ht="16" x14ac:dyDescent="0.2">
      <c r="B154" s="39">
        <v>202012</v>
      </c>
      <c r="C154" s="40" t="s">
        <v>47</v>
      </c>
      <c r="D154" s="40" t="s">
        <v>34</v>
      </c>
      <c r="E154" s="41">
        <v>7</v>
      </c>
      <c r="F154" s="41">
        <v>1427.02</v>
      </c>
      <c r="G154" s="41">
        <v>95.27</v>
      </c>
      <c r="H154" s="41">
        <v>1581.41</v>
      </c>
      <c r="I154" s="41">
        <v>3103.7000000000003</v>
      </c>
    </row>
    <row r="155" spans="2:9" ht="16" x14ac:dyDescent="0.2">
      <c r="B155" s="39">
        <v>202012</v>
      </c>
      <c r="C155" s="40" t="s">
        <v>47</v>
      </c>
      <c r="D155" s="40" t="s">
        <v>75</v>
      </c>
      <c r="E155" s="41">
        <v>298</v>
      </c>
      <c r="F155" s="41">
        <v>46631.32999999998</v>
      </c>
      <c r="G155" s="41">
        <v>12062.239999999998</v>
      </c>
      <c r="H155" s="41">
        <v>60271.800000000039</v>
      </c>
      <c r="I155" s="41">
        <v>118965.37000000001</v>
      </c>
    </row>
    <row r="156" spans="2:9" ht="16" x14ac:dyDescent="0.2">
      <c r="B156" s="39">
        <v>202012</v>
      </c>
      <c r="C156" s="40" t="s">
        <v>48</v>
      </c>
      <c r="D156" s="40" t="s">
        <v>34</v>
      </c>
      <c r="E156" s="41">
        <v>23</v>
      </c>
      <c r="F156" s="41">
        <v>825.90000000000009</v>
      </c>
      <c r="G156" s="41">
        <v>7281.56</v>
      </c>
      <c r="H156" s="41">
        <v>12158.49</v>
      </c>
      <c r="I156" s="41">
        <v>20265.949999999997</v>
      </c>
    </row>
    <row r="157" spans="2:9" ht="16" x14ac:dyDescent="0.2">
      <c r="B157" s="39">
        <v>202012</v>
      </c>
      <c r="C157" s="40" t="s">
        <v>48</v>
      </c>
      <c r="D157" s="40" t="s">
        <v>75</v>
      </c>
      <c r="E157" s="41">
        <v>320</v>
      </c>
      <c r="F157" s="41">
        <v>273.51</v>
      </c>
      <c r="G157" s="41">
        <v>28370.210000000014</v>
      </c>
      <c r="H157" s="41">
        <v>111837.60999999999</v>
      </c>
      <c r="I157" s="41">
        <v>140481.32999999996</v>
      </c>
    </row>
    <row r="158" spans="2:9" ht="16" x14ac:dyDescent="0.2">
      <c r="B158" s="39">
        <v>202012</v>
      </c>
      <c r="C158" s="40" t="s">
        <v>49</v>
      </c>
      <c r="D158" s="40" t="s">
        <v>34</v>
      </c>
      <c r="E158" s="41">
        <v>21</v>
      </c>
      <c r="F158" s="41">
        <v>3211.1699999999996</v>
      </c>
      <c r="G158" s="41">
        <v>1332.1</v>
      </c>
      <c r="H158" s="41">
        <v>4151.99</v>
      </c>
      <c r="I158" s="41">
        <v>8695.26</v>
      </c>
    </row>
    <row r="159" spans="2:9" ht="16" x14ac:dyDescent="0.2">
      <c r="B159" s="39">
        <v>202012</v>
      </c>
      <c r="C159" s="40" t="s">
        <v>49</v>
      </c>
      <c r="D159" s="40" t="s">
        <v>75</v>
      </c>
      <c r="E159" s="41">
        <v>261</v>
      </c>
      <c r="F159" s="41">
        <v>27034.559999999994</v>
      </c>
      <c r="G159" s="41">
        <v>10372.669999999995</v>
      </c>
      <c r="H159" s="41">
        <v>45429.51999999999</v>
      </c>
      <c r="I159" s="41">
        <v>82836.749999999956</v>
      </c>
    </row>
    <row r="160" spans="2:9" ht="16" x14ac:dyDescent="0.2">
      <c r="B160" s="39">
        <v>202012</v>
      </c>
      <c r="C160" s="40" t="s">
        <v>50</v>
      </c>
      <c r="D160" s="40" t="s">
        <v>34</v>
      </c>
      <c r="E160" s="41">
        <v>30</v>
      </c>
      <c r="F160" s="41">
        <v>46323.08</v>
      </c>
      <c r="G160" s="41">
        <v>85.23</v>
      </c>
      <c r="H160" s="41">
        <v>251.11</v>
      </c>
      <c r="I160" s="41">
        <v>46659.420000000006</v>
      </c>
    </row>
    <row r="161" spans="2:9" ht="16" x14ac:dyDescent="0.2">
      <c r="B161" s="39">
        <v>202012</v>
      </c>
      <c r="C161" s="40" t="s">
        <v>50</v>
      </c>
      <c r="D161" s="40" t="s">
        <v>75</v>
      </c>
      <c r="E161" s="41">
        <v>139</v>
      </c>
      <c r="F161" s="41">
        <v>21836.569999999992</v>
      </c>
      <c r="G161" s="41">
        <v>6606.0700000000015</v>
      </c>
      <c r="H161" s="41">
        <v>37297.909999999996</v>
      </c>
      <c r="I161" s="41">
        <v>65740.549999999988</v>
      </c>
    </row>
    <row r="162" spans="2:9" ht="16" x14ac:dyDescent="0.2">
      <c r="B162" s="39">
        <v>202012</v>
      </c>
      <c r="C162" s="40" t="s">
        <v>51</v>
      </c>
      <c r="D162" s="40" t="s">
        <v>34</v>
      </c>
      <c r="E162" s="41">
        <v>2</v>
      </c>
      <c r="F162" s="41">
        <v>0</v>
      </c>
      <c r="G162" s="41">
        <v>304.99</v>
      </c>
      <c r="H162" s="41">
        <v>475.33</v>
      </c>
      <c r="I162" s="41">
        <v>780.31999999999994</v>
      </c>
    </row>
    <row r="163" spans="2:9" ht="16" x14ac:dyDescent="0.2">
      <c r="B163" s="39">
        <v>202012</v>
      </c>
      <c r="C163" s="40" t="s">
        <v>51</v>
      </c>
      <c r="D163" s="40" t="s">
        <v>75</v>
      </c>
      <c r="E163" s="41">
        <v>23</v>
      </c>
      <c r="F163" s="41">
        <v>128.35</v>
      </c>
      <c r="G163" s="41">
        <v>3561.2500000000005</v>
      </c>
      <c r="H163" s="41">
        <v>9341.2200000000012</v>
      </c>
      <c r="I163" s="41">
        <v>13030.82</v>
      </c>
    </row>
    <row r="164" spans="2:9" ht="16" x14ac:dyDescent="0.2">
      <c r="B164" s="39">
        <v>202012</v>
      </c>
      <c r="C164" s="40" t="s">
        <v>52</v>
      </c>
      <c r="D164" s="40" t="s">
        <v>34</v>
      </c>
      <c r="E164" s="41">
        <v>64</v>
      </c>
      <c r="F164" s="41">
        <v>9651.0199999999986</v>
      </c>
      <c r="G164" s="41">
        <v>7151.2800000000034</v>
      </c>
      <c r="H164" s="41">
        <v>26763.51</v>
      </c>
      <c r="I164" s="41">
        <v>43565.81</v>
      </c>
    </row>
    <row r="165" spans="2:9" ht="16" x14ac:dyDescent="0.2">
      <c r="B165" s="39">
        <v>202012</v>
      </c>
      <c r="C165" s="40" t="s">
        <v>52</v>
      </c>
      <c r="D165" s="40" t="s">
        <v>75</v>
      </c>
      <c r="E165" s="41">
        <v>1033</v>
      </c>
      <c r="F165" s="41">
        <v>95354.980000000025</v>
      </c>
      <c r="G165" s="41">
        <v>47895.330000000038</v>
      </c>
      <c r="H165" s="41">
        <v>260365.60000000006</v>
      </c>
      <c r="I165" s="41">
        <v>403615.91000000021</v>
      </c>
    </row>
    <row r="166" spans="2:9" ht="16" x14ac:dyDescent="0.2">
      <c r="B166" s="39">
        <v>202012</v>
      </c>
      <c r="C166" s="40" t="s">
        <v>53</v>
      </c>
      <c r="D166" s="40" t="s">
        <v>34</v>
      </c>
      <c r="E166" s="41">
        <v>121</v>
      </c>
      <c r="F166" s="41">
        <v>37834.970000000023</v>
      </c>
      <c r="G166" s="41">
        <v>15618.369999999995</v>
      </c>
      <c r="H166" s="41">
        <v>71959.740000000005</v>
      </c>
      <c r="I166" s="41">
        <v>125413.07999999994</v>
      </c>
    </row>
    <row r="167" spans="2:9" ht="16" x14ac:dyDescent="0.2">
      <c r="B167" s="39">
        <v>202012</v>
      </c>
      <c r="C167" s="40" t="s">
        <v>53</v>
      </c>
      <c r="D167" s="40" t="s">
        <v>75</v>
      </c>
      <c r="E167" s="41">
        <v>1350</v>
      </c>
      <c r="F167" s="41">
        <v>125793.26000000004</v>
      </c>
      <c r="G167" s="41">
        <v>53507.560000000027</v>
      </c>
      <c r="H167" s="41">
        <v>245838.37000000032</v>
      </c>
      <c r="I167" s="41">
        <v>425139.19000000018</v>
      </c>
    </row>
    <row r="168" spans="2:9" ht="16" x14ac:dyDescent="0.2">
      <c r="B168" s="39">
        <v>202012</v>
      </c>
      <c r="C168" s="40" t="s">
        <v>54</v>
      </c>
      <c r="D168" s="40" t="s">
        <v>34</v>
      </c>
      <c r="E168" s="41">
        <v>14</v>
      </c>
      <c r="F168" s="41">
        <v>7759.1799999999994</v>
      </c>
      <c r="G168" s="41">
        <v>1212.2200000000003</v>
      </c>
      <c r="H168" s="41">
        <v>3974.02</v>
      </c>
      <c r="I168" s="41">
        <v>12945.42</v>
      </c>
    </row>
    <row r="169" spans="2:9" ht="16" x14ac:dyDescent="0.2">
      <c r="B169" s="39">
        <v>202012</v>
      </c>
      <c r="C169" s="40" t="s">
        <v>54</v>
      </c>
      <c r="D169" s="40" t="s">
        <v>75</v>
      </c>
      <c r="E169" s="41">
        <v>205</v>
      </c>
      <c r="F169" s="41">
        <v>23587.050000000003</v>
      </c>
      <c r="G169" s="41">
        <v>8536.5700000000033</v>
      </c>
      <c r="H169" s="41">
        <v>55241.630000000019</v>
      </c>
      <c r="I169" s="41">
        <v>87365.249999999971</v>
      </c>
    </row>
    <row r="170" spans="2:9" ht="16" x14ac:dyDescent="0.2">
      <c r="B170" s="39">
        <v>202012</v>
      </c>
      <c r="C170" s="40" t="s">
        <v>55</v>
      </c>
      <c r="D170" s="40" t="s">
        <v>34</v>
      </c>
      <c r="E170" s="41">
        <v>109</v>
      </c>
      <c r="F170" s="41">
        <v>48434.05999999999</v>
      </c>
      <c r="G170" s="41">
        <v>14093.740000000005</v>
      </c>
      <c r="H170" s="41">
        <v>44439.97</v>
      </c>
      <c r="I170" s="41">
        <v>106967.76999999996</v>
      </c>
    </row>
    <row r="171" spans="2:9" ht="16" x14ac:dyDescent="0.2">
      <c r="B171" s="39">
        <v>202012</v>
      </c>
      <c r="C171" s="40" t="s">
        <v>55</v>
      </c>
      <c r="D171" s="40" t="s">
        <v>75</v>
      </c>
      <c r="E171" s="41">
        <v>1028</v>
      </c>
      <c r="F171" s="41">
        <v>133931.91999999987</v>
      </c>
      <c r="G171" s="41">
        <v>43514.409999999996</v>
      </c>
      <c r="H171" s="41">
        <v>197814.63999999996</v>
      </c>
      <c r="I171" s="41">
        <v>375260.97000000044</v>
      </c>
    </row>
    <row r="172" spans="2:9" ht="16" x14ac:dyDescent="0.2">
      <c r="B172" s="39">
        <v>202012</v>
      </c>
      <c r="C172" s="40" t="s">
        <v>56</v>
      </c>
      <c r="D172" s="40" t="s">
        <v>34</v>
      </c>
      <c r="E172" s="41">
        <v>80</v>
      </c>
      <c r="F172" s="41">
        <v>12038.720000000001</v>
      </c>
      <c r="G172" s="41">
        <v>6995.3099999999986</v>
      </c>
      <c r="H172" s="41">
        <v>11957.06</v>
      </c>
      <c r="I172" s="41">
        <v>30991.089999999993</v>
      </c>
    </row>
    <row r="173" spans="2:9" ht="16" x14ac:dyDescent="0.2">
      <c r="B173" s="39">
        <v>202012</v>
      </c>
      <c r="C173" s="40" t="s">
        <v>56</v>
      </c>
      <c r="D173" s="40" t="s">
        <v>75</v>
      </c>
      <c r="E173" s="41">
        <v>875</v>
      </c>
      <c r="F173" s="41">
        <v>81826.11000000003</v>
      </c>
      <c r="G173" s="41">
        <v>59348.619999999915</v>
      </c>
      <c r="H173" s="41">
        <v>305584.55999999994</v>
      </c>
      <c r="I173" s="41">
        <v>446759.28999999975</v>
      </c>
    </row>
    <row r="174" spans="2:9" ht="16" x14ac:dyDescent="0.2">
      <c r="B174" s="39">
        <v>202012</v>
      </c>
      <c r="C174" s="40" t="s">
        <v>57</v>
      </c>
      <c r="D174" s="40" t="s">
        <v>34</v>
      </c>
      <c r="E174" s="41">
        <v>1</v>
      </c>
      <c r="F174" s="41">
        <v>111.91</v>
      </c>
      <c r="G174" s="41">
        <v>35.39</v>
      </c>
      <c r="H174" s="41">
        <v>263.3</v>
      </c>
      <c r="I174" s="41">
        <v>410.6</v>
      </c>
    </row>
    <row r="175" spans="2:9" ht="16" x14ac:dyDescent="0.2">
      <c r="B175" s="39">
        <v>202012</v>
      </c>
      <c r="C175" s="40" t="s">
        <v>57</v>
      </c>
      <c r="D175" s="40" t="s">
        <v>75</v>
      </c>
      <c r="E175" s="41">
        <v>62</v>
      </c>
      <c r="F175" s="41">
        <v>7980.7699999999977</v>
      </c>
      <c r="G175" s="41">
        <v>3543.1599999999985</v>
      </c>
      <c r="H175" s="41">
        <v>30681.019999999997</v>
      </c>
      <c r="I175" s="41">
        <v>42204.950000000004</v>
      </c>
    </row>
    <row r="176" spans="2:9" ht="16" x14ac:dyDescent="0.2">
      <c r="B176" s="39">
        <v>202012</v>
      </c>
      <c r="C176" s="40" t="s">
        <v>58</v>
      </c>
      <c r="D176" s="40" t="s">
        <v>34</v>
      </c>
      <c r="E176" s="41">
        <v>56</v>
      </c>
      <c r="F176" s="41">
        <v>6822.8499999999985</v>
      </c>
      <c r="G176" s="41">
        <v>2841.2800000000007</v>
      </c>
      <c r="H176" s="41">
        <v>16527.740000000002</v>
      </c>
      <c r="I176" s="41">
        <v>26191.870000000003</v>
      </c>
    </row>
    <row r="177" spans="2:9" ht="16" x14ac:dyDescent="0.2">
      <c r="B177" s="39">
        <v>202012</v>
      </c>
      <c r="C177" s="40" t="s">
        <v>58</v>
      </c>
      <c r="D177" s="40" t="s">
        <v>75</v>
      </c>
      <c r="E177" s="41">
        <v>506</v>
      </c>
      <c r="F177" s="41">
        <v>63408.520000000055</v>
      </c>
      <c r="G177" s="41">
        <v>20729.589999999997</v>
      </c>
      <c r="H177" s="41">
        <v>98167.510000000009</v>
      </c>
      <c r="I177" s="41">
        <v>182305.62000000014</v>
      </c>
    </row>
    <row r="178" spans="2:9" ht="16" x14ac:dyDescent="0.2">
      <c r="B178" s="39">
        <v>202012</v>
      </c>
      <c r="C178" s="40" t="s">
        <v>60</v>
      </c>
      <c r="D178" s="40" t="s">
        <v>34</v>
      </c>
      <c r="E178" s="41">
        <v>17</v>
      </c>
      <c r="F178" s="41">
        <v>11461.429999999998</v>
      </c>
      <c r="G178" s="41">
        <v>910.01999999999987</v>
      </c>
      <c r="H178" s="41">
        <v>2770.6400000000003</v>
      </c>
      <c r="I178" s="41">
        <v>15142.09</v>
      </c>
    </row>
    <row r="179" spans="2:9" ht="16" x14ac:dyDescent="0.2">
      <c r="B179" s="39">
        <v>202012</v>
      </c>
      <c r="C179" s="40" t="s">
        <v>60</v>
      </c>
      <c r="D179" s="40" t="s">
        <v>75</v>
      </c>
      <c r="E179" s="41">
        <v>180</v>
      </c>
      <c r="F179" s="41">
        <v>21527.840000000004</v>
      </c>
      <c r="G179" s="41">
        <v>7972.4099999999971</v>
      </c>
      <c r="H179" s="41">
        <v>27515.649999999998</v>
      </c>
      <c r="I179" s="41">
        <v>57015.9</v>
      </c>
    </row>
    <row r="180" spans="2:9" ht="16" x14ac:dyDescent="0.2">
      <c r="B180" s="39">
        <v>202012</v>
      </c>
      <c r="C180" s="40" t="s">
        <v>61</v>
      </c>
      <c r="D180" s="40" t="s">
        <v>34</v>
      </c>
      <c r="E180" s="41">
        <v>6</v>
      </c>
      <c r="F180" s="41">
        <v>1746.49</v>
      </c>
      <c r="G180" s="41">
        <v>288.76000000000005</v>
      </c>
      <c r="H180" s="41">
        <v>609.23</v>
      </c>
      <c r="I180" s="41">
        <v>2644.48</v>
      </c>
    </row>
    <row r="181" spans="2:9" ht="16" x14ac:dyDescent="0.2">
      <c r="B181" s="39">
        <v>202012</v>
      </c>
      <c r="C181" s="40" t="s">
        <v>61</v>
      </c>
      <c r="D181" s="40" t="s">
        <v>75</v>
      </c>
      <c r="E181" s="41">
        <v>400</v>
      </c>
      <c r="F181" s="41">
        <v>25655.420000000006</v>
      </c>
      <c r="G181" s="41">
        <v>14041.980000000007</v>
      </c>
      <c r="H181" s="41">
        <v>55911.539999999972</v>
      </c>
      <c r="I181" s="41">
        <v>95608.940000000017</v>
      </c>
    </row>
    <row r="182" spans="2:9" ht="16" x14ac:dyDescent="0.2">
      <c r="B182" s="39">
        <v>202012</v>
      </c>
      <c r="C182" s="40" t="s">
        <v>62</v>
      </c>
      <c r="D182" s="40" t="s">
        <v>34</v>
      </c>
      <c r="E182" s="41">
        <v>51</v>
      </c>
      <c r="F182" s="41">
        <v>16671.689999999991</v>
      </c>
      <c r="G182" s="41">
        <v>1414.25</v>
      </c>
      <c r="H182" s="41">
        <v>5939.69</v>
      </c>
      <c r="I182" s="41">
        <v>24025.629999999994</v>
      </c>
    </row>
    <row r="183" spans="2:9" ht="16" x14ac:dyDescent="0.2">
      <c r="B183" s="39">
        <v>202012</v>
      </c>
      <c r="C183" s="40" t="s">
        <v>62</v>
      </c>
      <c r="D183" s="40" t="s">
        <v>75</v>
      </c>
      <c r="E183" s="41">
        <v>302</v>
      </c>
      <c r="F183" s="41">
        <v>38371.090000000018</v>
      </c>
      <c r="G183" s="41">
        <v>10789.93</v>
      </c>
      <c r="H183" s="41">
        <v>60712.679999999978</v>
      </c>
      <c r="I183" s="41">
        <v>109873.70000000006</v>
      </c>
    </row>
    <row r="184" spans="2:9" ht="16" x14ac:dyDescent="0.2">
      <c r="B184" s="39">
        <v>202012</v>
      </c>
      <c r="C184" s="40" t="s">
        <v>63</v>
      </c>
      <c r="D184" s="40" t="s">
        <v>34</v>
      </c>
      <c r="E184" s="41">
        <v>2</v>
      </c>
      <c r="F184" s="41">
        <v>393.37</v>
      </c>
      <c r="G184" s="41">
        <v>263.61</v>
      </c>
      <c r="H184" s="41">
        <v>1067.04</v>
      </c>
      <c r="I184" s="41">
        <v>1724.02</v>
      </c>
    </row>
    <row r="185" spans="2:9" ht="16" x14ac:dyDescent="0.2">
      <c r="B185" s="39">
        <v>202012</v>
      </c>
      <c r="C185" s="40" t="s">
        <v>63</v>
      </c>
      <c r="D185" s="40" t="s">
        <v>75</v>
      </c>
      <c r="E185" s="41">
        <v>14</v>
      </c>
      <c r="F185" s="41">
        <v>1509.1099999999997</v>
      </c>
      <c r="G185" s="41">
        <v>558.51</v>
      </c>
      <c r="H185" s="41">
        <v>1242.3699999999999</v>
      </c>
      <c r="I185" s="41">
        <v>3309.9899999999993</v>
      </c>
    </row>
    <row r="186" spans="2:9" ht="16" x14ac:dyDescent="0.2">
      <c r="B186" s="39">
        <v>202012</v>
      </c>
      <c r="C186" s="40" t="s">
        <v>64</v>
      </c>
      <c r="D186" s="40" t="s">
        <v>34</v>
      </c>
      <c r="E186" s="41">
        <v>13</v>
      </c>
      <c r="F186" s="41">
        <v>3410.4900000000002</v>
      </c>
      <c r="G186" s="41">
        <v>2963.04</v>
      </c>
      <c r="H186" s="41">
        <v>4558.01</v>
      </c>
      <c r="I186" s="41">
        <v>10931.539999999999</v>
      </c>
    </row>
    <row r="187" spans="2:9" ht="16" x14ac:dyDescent="0.2">
      <c r="B187" s="39">
        <v>202012</v>
      </c>
      <c r="C187" s="40" t="s">
        <v>64</v>
      </c>
      <c r="D187" s="40" t="s">
        <v>75</v>
      </c>
      <c r="E187" s="41">
        <v>101</v>
      </c>
      <c r="F187" s="41">
        <v>11216.61</v>
      </c>
      <c r="G187" s="41">
        <v>5459.2199999999993</v>
      </c>
      <c r="H187" s="41">
        <v>33311.049999999996</v>
      </c>
      <c r="I187" s="41">
        <v>49986.87999999999</v>
      </c>
    </row>
    <row r="188" spans="2:9" ht="16" x14ac:dyDescent="0.2">
      <c r="B188" s="39">
        <v>202012</v>
      </c>
      <c r="C188" s="40" t="s">
        <v>65</v>
      </c>
      <c r="D188" s="40" t="s">
        <v>34</v>
      </c>
      <c r="E188" s="41">
        <v>4</v>
      </c>
      <c r="F188" s="41">
        <v>794.07</v>
      </c>
      <c r="G188" s="41">
        <v>267.56</v>
      </c>
      <c r="H188" s="41">
        <v>84.26</v>
      </c>
      <c r="I188" s="41">
        <v>1145.8899999999999</v>
      </c>
    </row>
    <row r="189" spans="2:9" ht="16" x14ac:dyDescent="0.2">
      <c r="B189" s="39">
        <v>202012</v>
      </c>
      <c r="C189" s="40" t="s">
        <v>65</v>
      </c>
      <c r="D189" s="40" t="s">
        <v>75</v>
      </c>
      <c r="E189" s="41">
        <v>35</v>
      </c>
      <c r="F189" s="41">
        <v>3967.2</v>
      </c>
      <c r="G189" s="41">
        <v>1573.2599999999995</v>
      </c>
      <c r="H189" s="41">
        <v>7906.9399999999987</v>
      </c>
      <c r="I189" s="41">
        <v>13447.400000000001</v>
      </c>
    </row>
    <row r="190" spans="2:9" ht="16" x14ac:dyDescent="0.2">
      <c r="B190" s="39">
        <v>202012</v>
      </c>
      <c r="C190" s="40" t="s">
        <v>66</v>
      </c>
      <c r="D190" s="40" t="s">
        <v>75</v>
      </c>
      <c r="E190" s="41">
        <v>11</v>
      </c>
      <c r="F190" s="41">
        <v>1837.4399999999996</v>
      </c>
      <c r="G190" s="41">
        <v>291.27999999999997</v>
      </c>
      <c r="H190" s="41">
        <v>1597.54</v>
      </c>
      <c r="I190" s="41">
        <v>3726.26</v>
      </c>
    </row>
    <row r="191" spans="2:9" ht="16" x14ac:dyDescent="0.2">
      <c r="B191" s="39">
        <v>202012</v>
      </c>
      <c r="C191" s="40" t="s">
        <v>67</v>
      </c>
      <c r="D191" s="40" t="s">
        <v>34</v>
      </c>
      <c r="E191" s="41">
        <v>13</v>
      </c>
      <c r="F191" s="41">
        <v>3215.15</v>
      </c>
      <c r="G191" s="41">
        <v>1256.6399999999999</v>
      </c>
      <c r="H191" s="41">
        <v>3955.3799999999997</v>
      </c>
      <c r="I191" s="41">
        <v>8427.17</v>
      </c>
    </row>
    <row r="192" spans="2:9" ht="16" x14ac:dyDescent="0.2">
      <c r="B192" s="39">
        <v>202012</v>
      </c>
      <c r="C192" s="40" t="s">
        <v>67</v>
      </c>
      <c r="D192" s="40" t="s">
        <v>75</v>
      </c>
      <c r="E192" s="41">
        <v>86</v>
      </c>
      <c r="F192" s="41">
        <v>13160.009999999998</v>
      </c>
      <c r="G192" s="41">
        <v>3927.1000000000008</v>
      </c>
      <c r="H192" s="41">
        <v>12584.140000000001</v>
      </c>
      <c r="I192" s="41">
        <v>29671.250000000004</v>
      </c>
    </row>
    <row r="193" spans="2:9" ht="16" x14ac:dyDescent="0.2">
      <c r="B193" s="39">
        <v>202012</v>
      </c>
      <c r="C193" s="40" t="s">
        <v>68</v>
      </c>
      <c r="D193" s="40" t="s">
        <v>34</v>
      </c>
      <c r="E193" s="41">
        <v>10</v>
      </c>
      <c r="F193" s="41">
        <v>1213.21</v>
      </c>
      <c r="G193" s="41">
        <v>599.35</v>
      </c>
      <c r="H193" s="41">
        <v>4681.53</v>
      </c>
      <c r="I193" s="41">
        <v>6494.09</v>
      </c>
    </row>
    <row r="194" spans="2:9" ht="16" x14ac:dyDescent="0.2">
      <c r="B194" s="39">
        <v>202012</v>
      </c>
      <c r="C194" s="40" t="s">
        <v>68</v>
      </c>
      <c r="D194" s="40" t="s">
        <v>75</v>
      </c>
      <c r="E194" s="41">
        <v>90</v>
      </c>
      <c r="F194" s="41">
        <v>10325.189999999997</v>
      </c>
      <c r="G194" s="41">
        <v>3473.0299999999993</v>
      </c>
      <c r="H194" s="41">
        <v>22147.040000000001</v>
      </c>
      <c r="I194" s="41">
        <v>35945.260000000009</v>
      </c>
    </row>
    <row r="195" spans="2:9" ht="16" x14ac:dyDescent="0.2">
      <c r="B195" s="39">
        <v>202012</v>
      </c>
      <c r="C195" s="40" t="s">
        <v>69</v>
      </c>
      <c r="D195" s="40" t="s">
        <v>34</v>
      </c>
      <c r="E195" s="41">
        <v>225</v>
      </c>
      <c r="F195" s="41">
        <v>121889.2499999999</v>
      </c>
      <c r="G195" s="41">
        <v>15044.86</v>
      </c>
      <c r="H195" s="41">
        <v>49985.420000000006</v>
      </c>
      <c r="I195" s="41">
        <v>186919.52999999991</v>
      </c>
    </row>
    <row r="196" spans="2:9" ht="16" x14ac:dyDescent="0.2">
      <c r="B196" s="39">
        <v>202012</v>
      </c>
      <c r="C196" s="40" t="s">
        <v>69</v>
      </c>
      <c r="D196" s="40" t="s">
        <v>75</v>
      </c>
      <c r="E196" s="41">
        <v>2867</v>
      </c>
      <c r="F196" s="41">
        <v>225860.34999999963</v>
      </c>
      <c r="G196" s="41">
        <v>112324.15000000024</v>
      </c>
      <c r="H196" s="41">
        <v>377056.67000000092</v>
      </c>
      <c r="I196" s="41">
        <v>715241.1699999983</v>
      </c>
    </row>
    <row r="197" spans="2:9" ht="16" x14ac:dyDescent="0.2">
      <c r="B197" s="39">
        <v>202012</v>
      </c>
      <c r="C197" s="40" t="s">
        <v>70</v>
      </c>
      <c r="D197" s="40" t="s">
        <v>34</v>
      </c>
      <c r="E197" s="41">
        <v>3</v>
      </c>
      <c r="F197" s="41">
        <v>375.69</v>
      </c>
      <c r="G197" s="41">
        <v>43.65</v>
      </c>
      <c r="H197" s="41">
        <v>181.62</v>
      </c>
      <c r="I197" s="41">
        <v>600.96</v>
      </c>
    </row>
    <row r="198" spans="2:9" ht="16" x14ac:dyDescent="0.2">
      <c r="B198" s="39">
        <v>202012</v>
      </c>
      <c r="C198" s="40" t="s">
        <v>70</v>
      </c>
      <c r="D198" s="40" t="s">
        <v>75</v>
      </c>
      <c r="E198" s="41">
        <v>19</v>
      </c>
      <c r="F198" s="41">
        <v>2850.9300000000003</v>
      </c>
      <c r="G198" s="41">
        <v>529.46</v>
      </c>
      <c r="H198" s="41">
        <v>1975.12</v>
      </c>
      <c r="I198" s="41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2024-04-25T07:00:00+00:00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314E45CF-49D8-4793-A4D2-DF43CDAB91B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3DD4192-DD4E-4150-B8E6-B60CFF8B6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4BDA3-7691-4353-BF92-1C5E74A49B6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5F21CBD-C6C5-4C69-8985-F0E33D77AE12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2024_Q1</vt:lpstr>
      <vt:lpstr>2. Disconnections 2024_Q1</vt:lpstr>
      <vt:lpstr>3. Fees 2024_Q1</vt:lpstr>
      <vt:lpstr>4. Payment Arrangements 2024_Q1</vt:lpstr>
      <vt:lpstr>5. Medical Certificates 2024_Q1</vt:lpstr>
      <vt:lpstr>6. Deposits 2024_Q1</vt:lpstr>
      <vt:lpstr>DEP_WKSHT</vt:lpstr>
      <vt:lpstr>7. Bill Assistance 2024_Q1</vt:lpstr>
      <vt:lpstr>BA_WRKSHT</vt:lpstr>
      <vt:lpstr>8.ARREARS NEW 2024_Q1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2024-07-19T20:03:26Z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