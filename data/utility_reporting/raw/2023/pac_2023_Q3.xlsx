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PAC/"/>
    </mc:Choice>
  </mc:AlternateContent>
  <xr:revisionPtr revIDLastSave="0" documentId="13_ncr:1_{0B17494E-1646-2E43-9622-C6F99682491E}" xr6:coauthVersionLast="47" xr6:coauthVersionMax="47" xr10:uidLastSave="{00000000-0000-0000-0000-000000000000}"/>
  <bookViews>
    <workbookView xWindow="28800" yWindow="480" windowWidth="38400" windowHeight="21120" tabRatio="796" activeTab="9" xr2:uid="{00000000-000D-0000-FFFF-FFFF00000000}"/>
  </bookViews>
  <sheets>
    <sheet name="1. General 2023_Q3" sheetId="2" r:id="rId1"/>
    <sheet name="2. Disconnections 2023_Q3" sheetId="3" r:id="rId2"/>
    <sheet name="3. Fees 2023_Q3" sheetId="4" r:id="rId3"/>
    <sheet name="4. Payment Arrangements 2023_Q3" sheetId="5" r:id="rId4"/>
    <sheet name="5. Medical Certificates 2023_Q3" sheetId="6" r:id="rId5"/>
    <sheet name="6. Deposits 2023_Q3" sheetId="7" r:id="rId6"/>
    <sheet name="DEP_WKSHT" sheetId="35" state="hidden" r:id="rId7"/>
    <sheet name="7. Bill Assistance 2023_Q3" sheetId="8" r:id="rId8"/>
    <sheet name="BA_WRKSHT" sheetId="36" state="hidden" r:id="rId9"/>
    <sheet name="8.ARREARS NEW 2023_Q3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2023_Q3'!$J$4:$J$141</definedName>
    <definedName name="_xlnm._FilterDatabase" localSheetId="1" hidden="1">'2. Disconnections 2023_Q3'!$A$2:$Z$599</definedName>
    <definedName name="_xlnm._FilterDatabase" localSheetId="2" hidden="1">'3. Fees 2023_Q3'!$A$2:$Z$68</definedName>
    <definedName name="_xlnm._FilterDatabase" localSheetId="5" hidden="1">'6. Deposits 2023_Q3'!$A$1:$B$61</definedName>
    <definedName name="_xlnm._FilterDatabase" localSheetId="7" hidden="1">'7. Bill Assistance 2023_Q3'!$A$2:$M$2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9"/>
  <pivotCaches>
    <pivotCache cacheId="53" r:id="rId18"/>
    <pivotCache cacheId="54" r:id="rId19"/>
    <pivotCache cacheId="55" r:id="rId20"/>
    <pivotCache cacheId="56" r:id="rId21"/>
    <pivotCache cacheId="57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U77" i="38" l="1"/>
  <c r="AV77" i="38"/>
  <c r="AT77" i="38"/>
  <c r="BO41" i="38"/>
  <c r="BR41" i="38"/>
  <c r="BT41" i="38"/>
  <c r="BV41" i="38"/>
  <c r="BX41" i="38"/>
  <c r="BZ41" i="38"/>
  <c r="CB41" i="38"/>
  <c r="CD41" i="38"/>
  <c r="BL4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T61" i="38"/>
  <c r="G77" i="38"/>
  <c r="D77" i="38"/>
  <c r="E77" i="38"/>
  <c r="F77" i="38"/>
  <c r="H77" i="38"/>
  <c r="I77" i="38"/>
  <c r="J77" i="38"/>
  <c r="K77" i="38"/>
  <c r="L77" i="38"/>
  <c r="M77" i="38"/>
  <c r="N77" i="38"/>
  <c r="O77" i="38"/>
  <c r="P77" i="38"/>
  <c r="Q77" i="38"/>
  <c r="C77" i="38"/>
  <c r="Q35" i="8"/>
  <c r="S35" i="8"/>
  <c r="O35" i="8"/>
  <c r="E39" i="3"/>
  <c r="F39" i="3"/>
  <c r="D39" i="3"/>
  <c r="AV76" i="38"/>
  <c r="AV5" i="38" l="1"/>
  <c r="AT70" i="38" l="1"/>
  <c r="AU70" i="38"/>
  <c r="AV70" i="38"/>
  <c r="AT71" i="38"/>
  <c r="AU71" i="38"/>
  <c r="AV71" i="38"/>
  <c r="AT72" i="38"/>
  <c r="AU72" i="38"/>
  <c r="AV72" i="38"/>
  <c r="AT73" i="38"/>
  <c r="AU73" i="38"/>
  <c r="AV73" i="38"/>
  <c r="AT74" i="38"/>
  <c r="AU74" i="38"/>
  <c r="AV74" i="38"/>
  <c r="AT75" i="38"/>
  <c r="AU75" i="38"/>
  <c r="AV75" i="38"/>
  <c r="AT76" i="38"/>
  <c r="AU76" i="38"/>
  <c r="AT6" i="38"/>
  <c r="AU6" i="38"/>
  <c r="AV6" i="38"/>
  <c r="AT7" i="38"/>
  <c r="AU7" i="38"/>
  <c r="AV7" i="38"/>
  <c r="AT8" i="38"/>
  <c r="AU8" i="38"/>
  <c r="AV8" i="38"/>
  <c r="AT9" i="38"/>
  <c r="AU9" i="38"/>
  <c r="AV9" i="38"/>
  <c r="AT10" i="38"/>
  <c r="AU10" i="38"/>
  <c r="AV10" i="38"/>
  <c r="AT11" i="38"/>
  <c r="AU11" i="38"/>
  <c r="AV11" i="38"/>
  <c r="AT12" i="38"/>
  <c r="AU12" i="38"/>
  <c r="AV12" i="38"/>
  <c r="AT13" i="38"/>
  <c r="AU13" i="38"/>
  <c r="AV13" i="38"/>
  <c r="AT14" i="38"/>
  <c r="AU14" i="38"/>
  <c r="AV14" i="38"/>
  <c r="AT15" i="38"/>
  <c r="AU15" i="38"/>
  <c r="AV15" i="38"/>
  <c r="AT16" i="38"/>
  <c r="AU16" i="38"/>
  <c r="AV16" i="38"/>
  <c r="AT17" i="38"/>
  <c r="AU17" i="38"/>
  <c r="AV17" i="38"/>
  <c r="AT18" i="38"/>
  <c r="AU18" i="38"/>
  <c r="AV18" i="38"/>
  <c r="AT19" i="38"/>
  <c r="AU19" i="38"/>
  <c r="AV19" i="38"/>
  <c r="AT20" i="38"/>
  <c r="AU20" i="38"/>
  <c r="AV20" i="38"/>
  <c r="AT21" i="38"/>
  <c r="AU21" i="38"/>
  <c r="AV21" i="38"/>
  <c r="AT22" i="38"/>
  <c r="AU22" i="38"/>
  <c r="AV22" i="38"/>
  <c r="AT23" i="38"/>
  <c r="AU23" i="38"/>
  <c r="AV23" i="38"/>
  <c r="AT24" i="38"/>
  <c r="AU24" i="38"/>
  <c r="AV24" i="38"/>
  <c r="AT25" i="38"/>
  <c r="AU25" i="38"/>
  <c r="AV25" i="38"/>
  <c r="AT26" i="38"/>
  <c r="AU26" i="38"/>
  <c r="AV26" i="38"/>
  <c r="AT27" i="38"/>
  <c r="AU27" i="38"/>
  <c r="AV27" i="38"/>
  <c r="AT28" i="38"/>
  <c r="AU28" i="38"/>
  <c r="AV28" i="38"/>
  <c r="AT29" i="38"/>
  <c r="AU29" i="38"/>
  <c r="AV29" i="38"/>
  <c r="AT30" i="38"/>
  <c r="AU30" i="38"/>
  <c r="AV30" i="38"/>
  <c r="AT31" i="38"/>
  <c r="AU31" i="38"/>
  <c r="AV31" i="38"/>
  <c r="AT32" i="38"/>
  <c r="AU32" i="38"/>
  <c r="AV32" i="38"/>
  <c r="AT33" i="38"/>
  <c r="AU33" i="38"/>
  <c r="AV33" i="38"/>
  <c r="AT34" i="38"/>
  <c r="AU34" i="38"/>
  <c r="AV34" i="38"/>
  <c r="AT35" i="38"/>
  <c r="AU35" i="38"/>
  <c r="AV35" i="38"/>
  <c r="AT36" i="38"/>
  <c r="AU36" i="38"/>
  <c r="AV36" i="38"/>
  <c r="AT37" i="38"/>
  <c r="AU37" i="38"/>
  <c r="AV37" i="38"/>
  <c r="AT38" i="38"/>
  <c r="AU38" i="38"/>
  <c r="AV38" i="38"/>
  <c r="AT39" i="38"/>
  <c r="AU39" i="38"/>
  <c r="AV39" i="38"/>
  <c r="AT40" i="38"/>
  <c r="AU40" i="38"/>
  <c r="AV40" i="38"/>
  <c r="AT41" i="38"/>
  <c r="AU41" i="38"/>
  <c r="AV41" i="38"/>
  <c r="AT42" i="38"/>
  <c r="AU42" i="38"/>
  <c r="AV42" i="38"/>
  <c r="AT43" i="38"/>
  <c r="AU43" i="38"/>
  <c r="AV43" i="38"/>
  <c r="AT44" i="38"/>
  <c r="AU44" i="38"/>
  <c r="AV44" i="38"/>
  <c r="AT45" i="38"/>
  <c r="AU45" i="38"/>
  <c r="AV45" i="38"/>
  <c r="AT46" i="38"/>
  <c r="AU46" i="38"/>
  <c r="AV46" i="38"/>
  <c r="AT47" i="38"/>
  <c r="AU47" i="38"/>
  <c r="AV47" i="38"/>
  <c r="AT48" i="38"/>
  <c r="AU48" i="38"/>
  <c r="AV48" i="38"/>
  <c r="AT49" i="38"/>
  <c r="AU49" i="38"/>
  <c r="AV49" i="38"/>
  <c r="AT50" i="38"/>
  <c r="AU50" i="38"/>
  <c r="AV50" i="38"/>
  <c r="AT51" i="38"/>
  <c r="AU51" i="38"/>
  <c r="AV51" i="38"/>
  <c r="AT52" i="38"/>
  <c r="AU52" i="38"/>
  <c r="AV52" i="38"/>
  <c r="AT53" i="38"/>
  <c r="AU53" i="38"/>
  <c r="AV53" i="38"/>
  <c r="AT54" i="38"/>
  <c r="AU54" i="38"/>
  <c r="AV54" i="38"/>
  <c r="AT55" i="38"/>
  <c r="AU55" i="38"/>
  <c r="AV55" i="38"/>
  <c r="AT56" i="38"/>
  <c r="AU56" i="38"/>
  <c r="AV56" i="38"/>
  <c r="AT57" i="38"/>
  <c r="AU57" i="38"/>
  <c r="AV57" i="38"/>
  <c r="AT58" i="38"/>
  <c r="AU58" i="38"/>
  <c r="AV58" i="38"/>
  <c r="AT59" i="38"/>
  <c r="AU59" i="38"/>
  <c r="AV59" i="38"/>
  <c r="AT60" i="38"/>
  <c r="AU60" i="38"/>
  <c r="AV60" i="38"/>
  <c r="AT61" i="38"/>
  <c r="AU61" i="38"/>
  <c r="AV61" i="38"/>
  <c r="AT62" i="38"/>
  <c r="AU62" i="38"/>
  <c r="AV62" i="38"/>
  <c r="AT63" i="38"/>
  <c r="AU63" i="38"/>
  <c r="AV63" i="38"/>
  <c r="AT64" i="38"/>
  <c r="AU64" i="38"/>
  <c r="AV64" i="38"/>
  <c r="AT65" i="38"/>
  <c r="AU65" i="38"/>
  <c r="AV65" i="38"/>
  <c r="AT66" i="38"/>
  <c r="AU66" i="38"/>
  <c r="AV66" i="38"/>
  <c r="AT67" i="38"/>
  <c r="AU67" i="38"/>
  <c r="AV67" i="38"/>
  <c r="AT68" i="38"/>
  <c r="AU68" i="38"/>
  <c r="AV68" i="38"/>
  <c r="AT69" i="38"/>
  <c r="AU69" i="38"/>
  <c r="AV69" i="38"/>
  <c r="AU5" i="38"/>
  <c r="AT5" i="38"/>
  <c r="X8" i="2" l="1"/>
  <c r="X7" i="2"/>
  <c r="X6" i="2"/>
  <c r="X5" i="2"/>
  <c r="O9" i="2" l="1"/>
  <c r="P9" i="2"/>
  <c r="Q9" i="2"/>
  <c r="R9" i="2"/>
  <c r="S9" i="2"/>
  <c r="T9" i="2"/>
  <c r="U9" i="2"/>
  <c r="V9" i="2"/>
  <c r="W9" i="2"/>
  <c r="X9" i="2"/>
  <c r="N9" i="2" l="1"/>
  <c r="M9" i="2"/>
  <c r="L9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  <author>tc={A553E4D8-0846-4DF7-936B-80767AA3367B}</author>
  </authors>
  <commentList>
    <comment ref="A1" authorId="0" shapeId="0" xr:uid="{29E6C49C-4542-4DCA-8AFA-7DD1B8935E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  </r>
      </text>
    </comment>
    <comment ref="R1" authorId="1" shapeId="0" xr:uid="{A553E4D8-0846-4DF7-936B-80767AA3367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WATERMCOLLECTIONS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WA_TERM_COVID_DAY_1_A</t>
        </r>
      </text>
    </comment>
    <comment ref="H1" authorId="1" shapeId="0" xr:uid="{5C2FC0E8-9CCF-48C1-A9B5-4BC1FB5DA7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WA_TERM_COVID_PAY_PAID_B</t>
        </r>
      </text>
    </comment>
    <comment ref="L1" authorId="2" shapeId="0" xr:uid="{ABCD4D32-22CD-4BEF-8375-3AECD1BBEF3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WA_TERM_COVID_NEW_PLAN_C</t>
        </r>
      </text>
    </comment>
    <comment ref="P1" authorId="3" shapeId="0" xr:uid="{D6F4FB4F-9D1E-4047-909F-380B59235A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  </r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  </r>
      </text>
    </comment>
    <comment ref="P1" authorId="3" shapeId="0" xr:uid="{BED26B28-B838-4B2E-B6BF-6AD5A97F88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A1" authorId="0" shapeId="0" xr:uid="{6D3D4264-5A8B-4A3D-85C3-D48294817D30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WA_TERM_COVID_EAP_LIBA_7A + BPAP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tc={947527C6-D04E-4C71-A03A-FED261EE1EF9}</author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A1" authorId="0" shapeId="0" xr:uid="{947527C6-D04E-4C71-A03A-FED261EE1EF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</t>
        </r>
      </text>
    </comment>
    <comment ref="AW1" authorId="1" shapeId="0" xr:uid="{70C2B88C-F2AE-4E6B-9F86-2C87149FCA7C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WA_TERM_WOF</t>
        </r>
      </text>
    </comment>
    <comment ref="BJ1" authorId="2" shapeId="0" xr:uid="{58686200-3B6D-4071-B60A-3FB2EEC1164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  </r>
      </text>
    </comment>
    <comment ref="BS1" authorId="3" shapeId="0" xr:uid="{93E06C06-51A0-474A-BF23-F708C6B1831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  </r>
      </text>
    </comment>
    <comment ref="BY1" authorId="4" shapeId="0" xr:uid="{ACF410E0-7564-4295-857B-D4CAB0CE5DA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See note in previous section</t>
        </r>
      </text>
    </comment>
  </commentList>
</comments>
</file>

<file path=xl/sharedStrings.xml><?xml version="1.0" encoding="utf-8"?>
<sst xmlns="http://schemas.openxmlformats.org/spreadsheetml/2006/main" count="8794" uniqueCount="281">
  <si>
    <t>Zip Code</t>
  </si>
  <si>
    <t>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</si>
  <si>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</si>
  <si>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</si>
  <si>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</si>
  <si>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</si>
  <si>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</si>
  <si>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</si>
  <si>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</si>
  <si>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</si>
  <si>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</si>
  <si>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</si>
  <si>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</si>
  <si>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</si>
  <si>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</si>
  <si>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</si>
  <si>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</si>
  <si>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</si>
  <si>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</si>
  <si>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</si>
  <si>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</si>
  <si>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</si>
  <si>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</si>
  <si>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</si>
  <si>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</si>
  <si>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</si>
  <si>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</si>
  <si>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</si>
  <si>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</si>
  <si>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</si>
  <si>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</si>
  <si>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General 2020</t>
  </si>
  <si>
    <t>Item d) Number of Customers Renegotiating Medical Payment Arrangements Each Month</t>
  </si>
  <si>
    <t>Item a) Number of Customers Taking Service at the Beginning of Each Month Under Existing Medical Payment Arrangements</t>
  </si>
  <si>
    <t>COM</t>
  </si>
  <si>
    <t>98901</t>
  </si>
  <si>
    <t>98902</t>
  </si>
  <si>
    <t>98903</t>
  </si>
  <si>
    <t>98904</t>
  </si>
  <si>
    <t>98907</t>
  </si>
  <si>
    <t>98908</t>
  </si>
  <si>
    <t>98920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</si>
  <si>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</si>
  <si>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</si>
  <si>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</si>
  <si>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</si>
  <si>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</si>
  <si>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</si>
  <si>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</si>
  <si>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</si>
  <si>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</si>
  <si>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</si>
  <si>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</si>
  <si>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</si>
  <si>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</si>
  <si>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</si>
  <si>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</si>
  <si>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</si>
  <si>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</si>
  <si>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99301</t>
  </si>
  <si>
    <t>99323</t>
  </si>
  <si>
    <t>99324</t>
  </si>
  <si>
    <t>99328</t>
  </si>
  <si>
    <t>99329</t>
  </si>
  <si>
    <t>99347</t>
  </si>
  <si>
    <t>99348</t>
  </si>
  <si>
    <t>99350</t>
  </si>
  <si>
    <t>99360</t>
  </si>
  <si>
    <t>99361</t>
  </si>
  <si>
    <t>99362</t>
  </si>
  <si>
    <t>99363</t>
  </si>
  <si>
    <t>IND</t>
  </si>
  <si>
    <t>IRG</t>
  </si>
  <si>
    <t>98909</t>
  </si>
  <si>
    <t>99343</t>
  </si>
  <si>
    <t>RES</t>
  </si>
  <si>
    <t>98603</t>
  </si>
  <si>
    <t>98950</t>
  </si>
  <si>
    <t>FLAG</t>
  </si>
  <si>
    <t>98939COM</t>
  </si>
  <si>
    <t>x</t>
  </si>
  <si>
    <t/>
  </si>
  <si>
    <t>99301COM</t>
  </si>
  <si>
    <t>NA</t>
  </si>
  <si>
    <t>Accounting Period Year Month</t>
  </si>
  <si>
    <t>ACCOUTING - ESTIMATE</t>
  </si>
  <si>
    <t>BD WRITE OFF -- WOF</t>
  </si>
  <si>
    <t>98901RES</t>
  </si>
  <si>
    <t>98902RES</t>
  </si>
  <si>
    <t>98903RES</t>
  </si>
  <si>
    <t>98908RES</t>
  </si>
  <si>
    <t>98944RES</t>
  </si>
  <si>
    <t>98953RES</t>
  </si>
  <si>
    <t>99362RES</t>
  </si>
  <si>
    <t>98932RES</t>
  </si>
  <si>
    <t>98933RES</t>
  </si>
  <si>
    <t>98930RES</t>
  </si>
  <si>
    <t>98935RES</t>
  </si>
  <si>
    <t>98936RES</t>
  </si>
  <si>
    <t>98942RES</t>
  </si>
  <si>
    <t>98947RES</t>
  </si>
  <si>
    <t>98948RES</t>
  </si>
  <si>
    <t>99328RES</t>
  </si>
  <si>
    <t>99361RES</t>
  </si>
  <si>
    <t>98901COM</t>
  </si>
  <si>
    <t>98938RES</t>
  </si>
  <si>
    <t>98951RES</t>
  </si>
  <si>
    <t>98937RES</t>
  </si>
  <si>
    <t>99324RES</t>
  </si>
  <si>
    <t>99347RES</t>
  </si>
  <si>
    <t>98952RES</t>
  </si>
  <si>
    <t>98923RES</t>
  </si>
  <si>
    <t>98951COM</t>
  </si>
  <si>
    <t>99348RES</t>
  </si>
  <si>
    <t>99323RES</t>
  </si>
  <si>
    <t>Item b) Avg. Duration of Disconnection by Customer Class (in Hours for recon 10 days or less)</t>
  </si>
  <si>
    <t>98902COM</t>
  </si>
  <si>
    <t>98908COM</t>
  </si>
  <si>
    <t>98921RES</t>
  </si>
  <si>
    <t>98939RES</t>
  </si>
  <si>
    <t>98948COM</t>
  </si>
  <si>
    <t>99347COM</t>
  </si>
  <si>
    <t>99350RES</t>
  </si>
  <si>
    <t>99360RES</t>
  </si>
  <si>
    <t>99363RES</t>
  </si>
  <si>
    <t>Retail Sales (kWh)</t>
  </si>
  <si>
    <t>Residential</t>
  </si>
  <si>
    <t>Commercial</t>
  </si>
  <si>
    <t>SumOfDays 31 60</t>
  </si>
  <si>
    <t>SumOfDays 61 90</t>
  </si>
  <si>
    <t>SumOfDays 91+</t>
  </si>
  <si>
    <t>SumOfArrears</t>
  </si>
  <si>
    <t>99362COM</t>
  </si>
  <si>
    <t>CLASS</t>
  </si>
  <si>
    <t>July</t>
  </si>
  <si>
    <t>August</t>
  </si>
  <si>
    <t>September</t>
  </si>
  <si>
    <t>October</t>
  </si>
  <si>
    <t>November</t>
  </si>
  <si>
    <t>December</t>
  </si>
  <si>
    <t>Industrial</t>
  </si>
  <si>
    <t>Irrigation</t>
  </si>
  <si>
    <t>Totals</t>
  </si>
  <si>
    <t xml:space="preserve"> Item a) Aggregate amount of Charged Late Payment Fees</t>
  </si>
  <si>
    <t>98952COM</t>
  </si>
  <si>
    <t>WA_TERM_COVID_COUNTS</t>
  </si>
  <si>
    <t>CountOfConcat Agreement Number</t>
  </si>
  <si>
    <t>MO</t>
  </si>
  <si>
    <t>NDEP</t>
  </si>
  <si>
    <t>RDEP</t>
  </si>
  <si>
    <t>YRMO</t>
  </si>
  <si>
    <t>Expr1</t>
  </si>
  <si>
    <t>202010</t>
  </si>
  <si>
    <t>202011</t>
  </si>
  <si>
    <t>202012</t>
  </si>
  <si>
    <t>20209</t>
  </si>
  <si>
    <t>Grand Total</t>
  </si>
  <si>
    <t>Sum of CountOfConcat Agreement Number</t>
  </si>
  <si>
    <t>SumOfAmount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</si>
  <si>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</si>
  <si>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</si>
  <si>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</si>
  <si>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</si>
  <si>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</si>
  <si>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</si>
  <si>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</si>
  <si>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</si>
  <si>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</si>
  <si>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</si>
  <si>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</si>
  <si>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</si>
  <si>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</si>
  <si>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</si>
  <si>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</si>
  <si>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</si>
  <si>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</si>
  <si>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</si>
  <si>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</si>
  <si>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</si>
  <si>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</si>
  <si>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99329RES</t>
  </si>
  <si>
    <t>SumOfOCT20</t>
  </si>
  <si>
    <t>SumOfNOV20</t>
  </si>
  <si>
    <t>SumOfDEC20</t>
  </si>
  <si>
    <t>Agrmt Revenue Class Cd</t>
  </si>
  <si>
    <t>CountOfCUST</t>
  </si>
  <si>
    <t>SumOfSumOfSumOfDays 31 60</t>
  </si>
  <si>
    <t>SumOfSumOfSumOfDays 61 90</t>
  </si>
  <si>
    <t>SumOfSumOfSumOfDays 91+</t>
  </si>
  <si>
    <t>SumOfSumOfSumOfArrears</t>
  </si>
  <si>
    <t>Sum of SumOfSumOfSumOfDays 31 60</t>
  </si>
  <si>
    <t>Values</t>
  </si>
  <si>
    <t>Sum of SumOfSumOfSumOfDays 61 90</t>
  </si>
  <si>
    <t>Sum of SumOfSumOfSumOfDays 91+</t>
  </si>
  <si>
    <t>Sum of SumOfSumOfSumOfArrears</t>
  </si>
  <si>
    <t>Sum of CountOfCUST</t>
  </si>
  <si>
    <t>ZIP</t>
  </si>
  <si>
    <t>Sum of SumOfDays 31 60</t>
  </si>
  <si>
    <t>Sum of SumOfDays 61 90</t>
  </si>
  <si>
    <t>Sum of SumOfDays 91+</t>
  </si>
  <si>
    <t>Sum of SumOfArrears</t>
  </si>
  <si>
    <t>State Abbr</t>
  </si>
  <si>
    <t>SumOfSumOfAccount Collection Amount</t>
  </si>
  <si>
    <t>WA</t>
  </si>
  <si>
    <t>98903COM</t>
  </si>
  <si>
    <t>98937COM</t>
  </si>
  <si>
    <t>98942COM</t>
  </si>
  <si>
    <t>USD</t>
  </si>
  <si>
    <t>PAID</t>
  </si>
  <si>
    <t>COUNT</t>
  </si>
  <si>
    <t>CLASSB</t>
  </si>
  <si>
    <t>COUNTS</t>
  </si>
  <si>
    <t>Sum of COUNT</t>
  </si>
  <si>
    <t>Section D. Bad Debt</t>
  </si>
  <si>
    <t>Count</t>
  </si>
  <si>
    <t>Class</t>
  </si>
  <si>
    <t>Zip</t>
  </si>
  <si>
    <t xml:space="preserve">Count of aggreements by ZIP and CLASS. </t>
  </si>
  <si>
    <t>None</t>
  </si>
  <si>
    <r>
      <t>Item b) Number of Customers Completing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Medical Payment </t>
    </r>
    <r>
      <rPr>
        <b/>
        <sz val="11"/>
        <color theme="1"/>
        <rFont val="Calibri"/>
        <family val="2"/>
        <scheme val="minor"/>
      </rPr>
      <t>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</si>
  <si>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</si>
  <si>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ZIP **</t>
  </si>
  <si>
    <t>98944COM</t>
  </si>
  <si>
    <t>DAYS 31 60</t>
  </si>
  <si>
    <t>DAYS 61 90</t>
  </si>
  <si>
    <t>DAYS 91+</t>
  </si>
  <si>
    <t>ARREARS</t>
  </si>
  <si>
    <t>ZIP/CLASS</t>
  </si>
  <si>
    <t>BAD DEBT</t>
  </si>
  <si>
    <t xml:space="preserve"> 98901  </t>
  </si>
  <si>
    <t xml:space="preserve"> 98902  </t>
  </si>
  <si>
    <t xml:space="preserve"> 98903  </t>
  </si>
  <si>
    <t xml:space="preserve"> 98908  </t>
  </si>
  <si>
    <t xml:space="preserve"> 98921  </t>
  </si>
  <si>
    <t xml:space="preserve"> 98923  </t>
  </si>
  <si>
    <t xml:space="preserve"> 98930  </t>
  </si>
  <si>
    <t xml:space="preserve"> 98932  </t>
  </si>
  <si>
    <t xml:space="preserve"> 98933  </t>
  </si>
  <si>
    <t xml:space="preserve"> 98935  </t>
  </si>
  <si>
    <t xml:space="preserve"> 98936  </t>
  </si>
  <si>
    <t xml:space="preserve"> 98937  </t>
  </si>
  <si>
    <t xml:space="preserve"> 98938  </t>
  </si>
  <si>
    <t xml:space="preserve"> 98939  </t>
  </si>
  <si>
    <t xml:space="preserve"> 98942  </t>
  </si>
  <si>
    <t xml:space="preserve"> 98944  </t>
  </si>
  <si>
    <t xml:space="preserve"> 98947  </t>
  </si>
  <si>
    <t xml:space="preserve"> 98948  </t>
  </si>
  <si>
    <t xml:space="preserve"> 98951  </t>
  </si>
  <si>
    <t xml:space="preserve"> 98952  </t>
  </si>
  <si>
    <t xml:space="preserve"> 98953  </t>
  </si>
  <si>
    <t xml:space="preserve"> 99323  </t>
  </si>
  <si>
    <t xml:space="preserve"> 99324  </t>
  </si>
  <si>
    <t xml:space="preserve"> 99328  </t>
  </si>
  <si>
    <t xml:space="preserve"> 99329  </t>
  </si>
  <si>
    <t xml:space="preserve"> 99347  </t>
  </si>
  <si>
    <t xml:space="preserve"> 99348  </t>
  </si>
  <si>
    <t xml:space="preserve"> 99360  </t>
  </si>
  <si>
    <t xml:space="preserve"> 99361  </t>
  </si>
  <si>
    <t xml:space="preserve"> 99362  </t>
  </si>
  <si>
    <t xml:space="preserve"> 99363  </t>
  </si>
  <si>
    <t xml:space="preserve"> 99350  </t>
  </si>
  <si>
    <t>FFN</t>
  </si>
  <si>
    <t>PDN</t>
  </si>
  <si>
    <t>Category</t>
  </si>
  <si>
    <t>FNL</t>
  </si>
  <si>
    <t xml:space="preserve"> </t>
  </si>
  <si>
    <t>Amount</t>
  </si>
  <si>
    <t>General 2023</t>
  </si>
  <si>
    <t xml:space="preserve"> 98904  </t>
  </si>
  <si>
    <t xml:space="preserve"> 98907  </t>
  </si>
  <si>
    <t xml:space="preserve"> 98920  </t>
  </si>
  <si>
    <t xml:space="preserve"> 99301  </t>
  </si>
  <si>
    <t xml:space="preserve"> 98603  </t>
  </si>
  <si>
    <t>99328COM</t>
  </si>
  <si>
    <t>Concat Agreement Number</t>
  </si>
  <si>
    <t xml:space="preserve">  WA    </t>
  </si>
  <si>
    <t>98947COM</t>
  </si>
  <si>
    <t>Totals Q3</t>
  </si>
  <si>
    <t>98936COM</t>
  </si>
  <si>
    <t>REV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</si>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</sst>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_(* #,##0_);_(* \(#,##0\);_(* &quot;-&quot;??_);_(@_)"/>
    <numFmt numFmtId="168" formatCode="&quot;$&quot;#,##0.00"/>
    <numFmt numFmtId="169" formatCode="yyyy\-mm"/>
    <numFmt numFmtId="170" formatCode="[h]:mm:ss;@"/>
  </numFmts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Arial"/>
      <family val="2"/>
    </font>
    <font>
      <b/>
      <sz val="10"/>
      <color theme="1"/>
      <name val="Arial"/>
      <family val="2"/>
    </font>
    <font>
      <sz val="9"/>
      <color rgb="FF3A3A3A"/>
      <name val="Arial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  <border>
      <left style="thick">
        <color rgb="FF008000"/>
      </left>
      <right/>
      <top/>
      <bottom/>
      <diagonal/>
    </border>
  </borders>
  <cellStyleXfs count="13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8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</cellStyleXfs>
  <cellXfs count="16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2" fillId="0" borderId="0" xfId="0" applyFont="1"/>
    <xf numFmtId="0" fontId="0" fillId="3" borderId="0" xfId="0" applyFill="1"/>
    <xf numFmtId="164" fontId="0" fillId="0" borderId="0" xfId="0" applyNumberFormat="1"/>
    <xf numFmtId="0" fontId="5" fillId="0" borderId="5" xfId="2" applyFont="1" applyBorder="1" applyAlignment="1">
      <alignment wrapText="1"/>
    </xf>
    <xf numFmtId="0" fontId="5" fillId="0" borderId="5" xfId="2" applyFont="1" applyBorder="1" applyAlignment="1">
      <alignment horizontal="right" wrapText="1"/>
    </xf>
    <xf numFmtId="0" fontId="5" fillId="0" borderId="5" xfId="3" applyFont="1" applyBorder="1" applyAlignment="1">
      <alignment wrapText="1"/>
    </xf>
    <xf numFmtId="0" fontId="5" fillId="0" borderId="5" xfId="4" applyFont="1" applyBorder="1" applyAlignment="1">
      <alignment wrapText="1"/>
    </xf>
    <xf numFmtId="0" fontId="5" fillId="0" borderId="5" xfId="4" applyFont="1" applyBorder="1" applyAlignment="1">
      <alignment horizontal="right" wrapText="1"/>
    </xf>
    <xf numFmtId="0" fontId="5" fillId="0" borderId="7" xfId="4" applyFont="1" applyBorder="1" applyAlignment="1">
      <alignment wrapText="1"/>
    </xf>
    <xf numFmtId="0" fontId="0" fillId="0" borderId="0" xfId="0" quotePrefix="1"/>
    <xf numFmtId="0" fontId="5" fillId="0" borderId="7" xfId="4" applyFont="1" applyBorder="1" applyAlignment="1">
      <alignment horizontal="right" wrapText="1"/>
    </xf>
    <xf numFmtId="44" fontId="0" fillId="0" borderId="0" xfId="1" applyFont="1"/>
    <xf numFmtId="44" fontId="5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5" fillId="0" borderId="7" xfId="1" applyFont="1" applyFill="1" applyBorder="1" applyAlignment="1">
      <alignment horizontal="right" wrapText="1"/>
    </xf>
    <xf numFmtId="0" fontId="5" fillId="0" borderId="5" xfId="5" applyFont="1" applyBorder="1" applyAlignment="1">
      <alignment wrapText="1"/>
    </xf>
    <xf numFmtId="0" fontId="2" fillId="3" borderId="0" xfId="0" applyFont="1" applyFill="1"/>
    <xf numFmtId="17" fontId="2" fillId="0" borderId="1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6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8" fillId="4" borderId="6" xfId="6" applyFont="1" applyFill="1" applyBorder="1" applyAlignment="1">
      <alignment horizontal="center"/>
    </xf>
    <xf numFmtId="0" fontId="8" fillId="0" borderId="5" xfId="6" applyFont="1" applyBorder="1" applyAlignment="1">
      <alignment wrapText="1"/>
    </xf>
    <xf numFmtId="0" fontId="8" fillId="0" borderId="5" xfId="6" applyFont="1" applyBorder="1" applyAlignment="1">
      <alignment horizontal="right" wrapText="1"/>
    </xf>
    <xf numFmtId="0" fontId="0" fillId="0" borderId="0" xfId="0" pivotButton="1"/>
    <xf numFmtId="0" fontId="8" fillId="4" borderId="6" xfId="7" applyFont="1" applyFill="1" applyBorder="1" applyAlignment="1">
      <alignment horizontal="center"/>
    </xf>
    <xf numFmtId="0" fontId="8" fillId="0" borderId="5" xfId="7" applyFont="1" applyBorder="1" applyAlignment="1">
      <alignment wrapText="1"/>
    </xf>
    <xf numFmtId="0" fontId="8" fillId="0" borderId="5" xfId="7" applyFont="1" applyBorder="1" applyAlignment="1">
      <alignment horizontal="right" wrapText="1"/>
    </xf>
    <xf numFmtId="0" fontId="8" fillId="4" borderId="6" xfId="8" applyFont="1" applyFill="1" applyBorder="1" applyAlignment="1">
      <alignment horizontal="center"/>
    </xf>
    <xf numFmtId="165" fontId="8" fillId="0" borderId="5" xfId="8" applyNumberFormat="1" applyFont="1" applyBorder="1" applyAlignment="1">
      <alignment horizontal="right" wrapText="1"/>
    </xf>
    <xf numFmtId="0" fontId="8" fillId="0" borderId="5" xfId="8" applyFont="1" applyBorder="1" applyAlignment="1">
      <alignment wrapText="1"/>
    </xf>
    <xf numFmtId="0" fontId="8" fillId="0" borderId="5" xfId="8" applyFont="1" applyBorder="1" applyAlignment="1">
      <alignment horizontal="right" wrapText="1"/>
    </xf>
    <xf numFmtId="165" fontId="0" fillId="0" borderId="0" xfId="0" applyNumberFormat="1"/>
    <xf numFmtId="0" fontId="5" fillId="4" borderId="6" xfId="4" applyFont="1" applyFill="1" applyBorder="1" applyAlignment="1">
      <alignment horizontal="center"/>
    </xf>
    <xf numFmtId="0" fontId="5" fillId="4" borderId="12" xfId="4" applyFont="1" applyFill="1" applyBorder="1" applyAlignment="1">
      <alignment horizontal="center"/>
    </xf>
    <xf numFmtId="0" fontId="5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2" fillId="0" borderId="17" xfId="0" applyFont="1" applyBorder="1"/>
    <xf numFmtId="49" fontId="10" fillId="6" borderId="1" xfId="0" applyNumberFormat="1" applyFont="1" applyFill="1" applyBorder="1" applyAlignment="1">
      <alignment horizontal="left"/>
    </xf>
    <xf numFmtId="49" fontId="11" fillId="7" borderId="18" xfId="0" applyNumberFormat="1" applyFont="1" applyFill="1" applyBorder="1" applyAlignment="1">
      <alignment horizontal="left"/>
    </xf>
    <xf numFmtId="0" fontId="11" fillId="7" borderId="18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49" fontId="11" fillId="7" borderId="1" xfId="0" applyNumberFormat="1" applyFont="1" applyFill="1" applyBorder="1" applyAlignment="1">
      <alignment horizontal="left"/>
    </xf>
    <xf numFmtId="0" fontId="11" fillId="7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41" fontId="0" fillId="0" borderId="1" xfId="0" applyNumberForma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17" fontId="2" fillId="0" borderId="2" xfId="0" applyNumberFormat="1" applyFont="1" applyBorder="1"/>
    <xf numFmtId="17" fontId="2" fillId="0" borderId="4" xfId="0" applyNumberFormat="1" applyFont="1" applyBorder="1"/>
    <xf numFmtId="17" fontId="2" fillId="0" borderId="20" xfId="0" applyNumberFormat="1" applyFont="1" applyBorder="1"/>
    <xf numFmtId="17" fontId="2" fillId="0" borderId="21" xfId="0" applyNumberFormat="1" applyFont="1" applyBorder="1"/>
    <xf numFmtId="17" fontId="2" fillId="0" borderId="22" xfId="0" applyNumberFormat="1" applyFont="1" applyBorder="1"/>
    <xf numFmtId="0" fontId="2" fillId="0" borderId="15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16" fillId="7" borderId="18" xfId="0" applyNumberFormat="1" applyFont="1" applyFill="1" applyBorder="1" applyAlignment="1">
      <alignment horizontal="left"/>
    </xf>
    <xf numFmtId="0" fontId="16" fillId="7" borderId="18" xfId="0" applyFont="1" applyFill="1" applyBorder="1" applyAlignment="1">
      <alignment horizontal="right"/>
    </xf>
    <xf numFmtId="0" fontId="17" fillId="4" borderId="6" xfId="9" applyFont="1" applyFill="1" applyBorder="1" applyAlignment="1">
      <alignment horizontal="center"/>
    </xf>
    <xf numFmtId="0" fontId="17" fillId="0" borderId="5" xfId="9" applyFont="1" applyBorder="1" applyAlignment="1">
      <alignment wrapText="1"/>
    </xf>
    <xf numFmtId="0" fontId="17" fillId="0" borderId="5" xfId="9" applyFont="1" applyBorder="1" applyAlignment="1">
      <alignment horizontal="right" wrapText="1"/>
    </xf>
    <xf numFmtId="49" fontId="16" fillId="6" borderId="18" xfId="0" applyNumberFormat="1" applyFont="1" applyFill="1" applyBorder="1" applyAlignment="1">
      <alignment horizontal="left"/>
    </xf>
    <xf numFmtId="0" fontId="2" fillId="3" borderId="4" xfId="0" applyFont="1" applyFill="1" applyBorder="1"/>
    <xf numFmtId="167" fontId="0" fillId="0" borderId="0" xfId="10" applyNumberFormat="1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7" fillId="4" borderId="28" xfId="9" applyFont="1" applyFill="1" applyBorder="1" applyAlignment="1">
      <alignment horizontal="center"/>
    </xf>
    <xf numFmtId="166" fontId="3" fillId="0" borderId="0" xfId="1" applyNumberFormat="1" applyFont="1" applyFill="1" applyBorder="1"/>
    <xf numFmtId="49" fontId="19" fillId="6" borderId="18" xfId="0" applyNumberFormat="1" applyFont="1" applyFill="1" applyBorder="1" applyAlignment="1">
      <alignment horizontal="left"/>
    </xf>
    <xf numFmtId="49" fontId="19" fillId="7" borderId="18" xfId="0" applyNumberFormat="1" applyFont="1" applyFill="1" applyBorder="1" applyAlignment="1">
      <alignment horizontal="left"/>
    </xf>
    <xf numFmtId="0" fontId="19" fillId="7" borderId="18" xfId="0" applyFont="1" applyFill="1" applyBorder="1" applyAlignment="1">
      <alignment horizontal="right"/>
    </xf>
    <xf numFmtId="14" fontId="0" fillId="0" borderId="0" xfId="0" applyNumberFormat="1"/>
    <xf numFmtId="49" fontId="11" fillId="6" borderId="18" xfId="0" applyNumberFormat="1" applyFont="1" applyFill="1" applyBorder="1" applyAlignment="1">
      <alignment horizontal="left"/>
    </xf>
    <xf numFmtId="0" fontId="5" fillId="0" borderId="5" xfId="11" applyFont="1" applyBorder="1" applyAlignment="1">
      <alignment horizontal="right" wrapText="1"/>
    </xf>
    <xf numFmtId="0" fontId="5" fillId="0" borderId="5" xfId="11" applyFont="1" applyBorder="1" applyAlignment="1">
      <alignment wrapText="1"/>
    </xf>
    <xf numFmtId="0" fontId="5" fillId="4" borderId="6" xfId="9" applyFont="1" applyFill="1" applyBorder="1" applyAlignment="1">
      <alignment horizontal="center"/>
    </xf>
    <xf numFmtId="168" fontId="11" fillId="7" borderId="18" xfId="0" applyNumberFormat="1" applyFont="1" applyFill="1" applyBorder="1" applyAlignment="1">
      <alignment horizontal="right"/>
    </xf>
    <xf numFmtId="44" fontId="11" fillId="7" borderId="18" xfId="1" applyFont="1" applyFill="1" applyBorder="1" applyAlignment="1">
      <alignment horizontal="right"/>
    </xf>
    <xf numFmtId="41" fontId="0" fillId="0" borderId="1" xfId="0" applyNumberFormat="1" applyBorder="1" applyAlignment="1">
      <alignment horizontal="center"/>
    </xf>
    <xf numFmtId="41" fontId="0" fillId="0" borderId="0" xfId="0" applyNumberFormat="1" applyAlignment="1">
      <alignment horizontal="center"/>
    </xf>
    <xf numFmtId="41" fontId="2" fillId="0" borderId="1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3" borderId="0" xfId="0" applyFont="1" applyFill="1" applyAlignment="1">
      <alignment horizontal="center"/>
    </xf>
    <xf numFmtId="0" fontId="5" fillId="0" borderId="32" xfId="2" applyFont="1" applyBorder="1" applyAlignment="1">
      <alignment horizontal="right" wrapText="1"/>
    </xf>
    <xf numFmtId="0" fontId="20" fillId="0" borderId="0" xfId="0" applyFont="1"/>
    <xf numFmtId="0" fontId="20" fillId="0" borderId="19" xfId="0" applyFont="1" applyBorder="1"/>
    <xf numFmtId="0" fontId="5" fillId="0" borderId="5" xfId="12" applyFont="1" applyBorder="1" applyAlignment="1">
      <alignment wrapText="1"/>
    </xf>
    <xf numFmtId="0" fontId="5" fillId="0" borderId="5" xfId="12" applyFont="1" applyBorder="1" applyAlignment="1">
      <alignment horizontal="right" wrapText="1"/>
    </xf>
    <xf numFmtId="170" fontId="21" fillId="0" borderId="33" xfId="0" applyNumberFormat="1" applyFont="1" applyBorder="1" applyAlignment="1">
      <alignment horizontal="left" vertical="center" inden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7" fontId="2" fillId="0" borderId="2" xfId="0" applyNumberFormat="1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7" fontId="2" fillId="0" borderId="4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10" borderId="15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165" fontId="10" fillId="9" borderId="10" xfId="0" applyNumberFormat="1" applyFont="1" applyFill="1" applyBorder="1" applyAlignment="1">
      <alignment horizontal="center"/>
    </xf>
    <xf numFmtId="165" fontId="10" fillId="9" borderId="0" xfId="0" applyNumberFormat="1" applyFont="1" applyFill="1" applyAlignment="1">
      <alignment horizontal="center"/>
    </xf>
    <xf numFmtId="165" fontId="10" fillId="9" borderId="26" xfId="0" applyNumberFormat="1" applyFont="1" applyFill="1" applyBorder="1" applyAlignment="1">
      <alignment horizontal="center"/>
    </xf>
    <xf numFmtId="165" fontId="10" fillId="9" borderId="23" xfId="0" applyNumberFormat="1" applyFont="1" applyFill="1" applyBorder="1" applyAlignment="1">
      <alignment horizontal="center"/>
    </xf>
    <xf numFmtId="165" fontId="10" fillId="9" borderId="24" xfId="0" applyNumberFormat="1" applyFont="1" applyFill="1" applyBorder="1" applyAlignment="1">
      <alignment horizontal="center"/>
    </xf>
    <xf numFmtId="165" fontId="10" fillId="9" borderId="25" xfId="0" applyNumberFormat="1" applyFont="1" applyFill="1" applyBorder="1" applyAlignment="1">
      <alignment horizontal="center"/>
    </xf>
    <xf numFmtId="165" fontId="10" fillId="9" borderId="27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29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2" fillId="10" borderId="15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 wrapText="1"/>
    </xf>
    <xf numFmtId="0" fontId="2" fillId="10" borderId="16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" xfId="0" applyFill="1" applyBorder="1"/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wrapText="1"/>
    </xf>
    <xf numFmtId="0" fontId="2" fillId="11" borderId="0" xfId="0" applyFont="1" applyFill="1"/>
    <xf numFmtId="1" fontId="2" fillId="11" borderId="0" xfId="0" applyNumberFormat="1" applyFont="1" applyFill="1"/>
    <xf numFmtId="166" fontId="2" fillId="11" borderId="0" xfId="1" applyNumberFormat="1" applyFont="1" applyFill="1"/>
    <xf numFmtId="166" fontId="2" fillId="11" borderId="0" xfId="1" applyNumberFormat="1" applyFont="1" applyFill="1" applyBorder="1"/>
  </cellXfs>
  <cellStyles count="13">
    <cellStyle name="Comma" xfId="10" builtinId="3"/>
    <cellStyle name="Currency" xfId="1" builtinId="4"/>
    <cellStyle name="Normal" xfId="0" builtinId="0"/>
    <cellStyle name="Normal_8.ARREARS NEW 2022_Q3" xfId="11" xr:uid="{8A4A5DD5-AFE2-46FB-869E-5C94A7C6D100}"/>
    <cellStyle name="Normal_8.ARREARS NEW 2023_Q2_1" xfId="12" xr:uid="{512F0635-2DAE-4BED-8F7E-0F7405B7A495}"/>
    <cellStyle name="Normal_8.ARREARS NEW_Q4" xfId="9" xr:uid="{D52A84F4-4ED9-45D8-917A-CCDF82B79A49}"/>
    <cellStyle name="Normal_BA_WRKSHT" xfId="7" xr:uid="{2EABDF8C-E610-4E7C-A37C-12A2B0CDA556}"/>
    <cellStyle name="Normal_DEP_WKSHT" xfId="6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8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 (PacifiCorp)" id="{7FEE7FE4-C577-483D-BBE2-18B321D48DF8}" userId="S::Gustavo.Velasco@pacificorp.com::bd83c284-4e36-4d1c-b6bd-7f543d9b1d7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56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5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5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5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  <threadedComment ref="R1" dT="2023-04-26T18:19:32.28" personId="{7FEE7FE4-C577-483D-BBE2-18B321D48DF8}" id="{A553E4D8-0846-4DF7-936B-80767AA3367B}">
    <text>WATERMCOLLECTIONS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3-07-26T16:17:00.03" personId="{7FEE7FE4-C577-483D-BBE2-18B321D48DF8}" id="{947527C6-D04E-4C71-A03A-FED261EE1EF9}">
    <text>WA_RES_ARREARS_UNIQUE1</text>
  </threadedComment>
  <threadedComment ref="AW1" dT="2022-01-27T20:55:31.77" personId="{7FEE7FE4-C577-483D-BBE2-18B321D48DF8}" id="{70C2B88C-F2AE-4E6B-9F86-2C87149FCA7C}">
    <text>WA_TERM_WOF</text>
  </threadedComment>
  <threadedComment ref="BJ1" dT="2022-01-27T21:04:09.29" personId="{7FEE7FE4-C577-483D-BBE2-18B321D48DF8}" id="{58686200-3B6D-4071-B60A-3FB2EEC11640}">
    <text>WA_TERM_ASG</text>
  </threadedComment>
  <threadedComment ref="BS1" dT="2022-01-27T21:38:17.59" personId="{7FEE7FE4-C577-483D-BBE2-18B321D48DF8}" id="{93E06C06-51A0-474A-BF23-F708C6B1831F}">
    <text>WA_TERM_ASG and WA_TERM_ASG_PAID and DB</text>
  </threadedComment>
  <threadedComment ref="BY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</sheetPr>
  <dimension ref="A1:Y143"/>
  <sheetViews>
    <sheetView zoomScale="106" zoomScaleNormal="106" workbookViewId="0">
      <selection activeCell="O13" sqref="O13"/>
    </sheetView>
  </sheetViews>
  <sheetFormatPr baseColWidth="10" defaultColWidth="8.83203125" defaultRowHeight="15" x14ac:dyDescent="0.2"/>
  <cols>
    <col min="1" max="1" width="6" customWidth="1"/>
    <col min="2" max="2" width="5.5" customWidth="1"/>
    <col min="3" max="4" width="6" customWidth="1"/>
    <col min="5" max="5" width="5.5" customWidth="1"/>
    <col min="6" max="6" width="6" customWidth="1"/>
    <col min="7" max="7" width="11.5" customWidth="1"/>
    <col min="8" max="8" width="5.5" customWidth="1"/>
    <col min="9" max="9" width="6" customWidth="1"/>
    <col min="10" max="10" width="3.1640625" customWidth="1"/>
    <col min="11" max="11" width="14.5" customWidth="1"/>
    <col min="12" max="14" width="12.5" hidden="1" customWidth="1"/>
    <col min="15" max="17" width="14.1640625" customWidth="1"/>
    <col min="18" max="23" width="12.5" hidden="1" customWidth="1"/>
    <col min="24" max="24" width="14.83203125" bestFit="1" customWidth="1"/>
  </cols>
  <sheetData>
    <row r="1" spans="1:25" x14ac:dyDescent="0.2">
      <c r="A1" s="5" t="s">
        <v>217</v>
      </c>
      <c r="J1" s="5"/>
    </row>
    <row r="2" spans="1:25" x14ac:dyDescent="0.2">
      <c r="A2" s="5" t="s">
        <v>145</v>
      </c>
      <c r="B2" s="5"/>
      <c r="C2" s="5"/>
      <c r="D2" s="5"/>
      <c r="G2" s="85"/>
      <c r="J2" s="5"/>
    </row>
    <row r="3" spans="1:25" x14ac:dyDescent="0.2">
      <c r="A3" s="108" t="s">
        <v>267</v>
      </c>
      <c r="B3" s="108"/>
      <c r="C3" s="108"/>
      <c r="D3" s="108"/>
      <c r="G3" s="85"/>
      <c r="J3" s="52"/>
    </row>
    <row r="4" spans="1:25" ht="32" x14ac:dyDescent="0.2">
      <c r="A4" s="106">
        <v>45108</v>
      </c>
      <c r="B4" s="107"/>
      <c r="C4" s="107"/>
      <c r="D4" s="106">
        <v>45139</v>
      </c>
      <c r="E4" s="107"/>
      <c r="F4" s="107"/>
      <c r="G4" s="106">
        <v>45170</v>
      </c>
      <c r="H4" s="107"/>
      <c r="I4" s="107"/>
      <c r="J4" s="53"/>
      <c r="K4" s="98" t="s">
        <v>125</v>
      </c>
      <c r="L4" s="98" t="s">
        <v>134</v>
      </c>
      <c r="M4" s="98" t="s">
        <v>135</v>
      </c>
      <c r="N4" s="98" t="s">
        <v>136</v>
      </c>
      <c r="O4" s="95">
        <v>45108</v>
      </c>
      <c r="P4" s="95">
        <v>45139</v>
      </c>
      <c r="Q4" s="95">
        <v>45170</v>
      </c>
      <c r="R4" s="98" t="s">
        <v>134</v>
      </c>
      <c r="S4" s="98" t="s">
        <v>135</v>
      </c>
      <c r="T4" s="98" t="s">
        <v>136</v>
      </c>
      <c r="U4" s="98" t="s">
        <v>137</v>
      </c>
      <c r="V4" s="98" t="s">
        <v>138</v>
      </c>
      <c r="W4" s="98" t="s">
        <v>139</v>
      </c>
      <c r="X4" s="98" t="s">
        <v>277</v>
      </c>
    </row>
    <row r="5" spans="1:25" x14ac:dyDescent="0.2">
      <c r="A5" s="49" t="s">
        <v>216</v>
      </c>
      <c r="B5" s="49" t="s">
        <v>215</v>
      </c>
      <c r="C5" s="49" t="s">
        <v>214</v>
      </c>
      <c r="D5" s="49" t="s">
        <v>216</v>
      </c>
      <c r="E5" s="49" t="s">
        <v>215</v>
      </c>
      <c r="F5" s="49" t="s">
        <v>214</v>
      </c>
      <c r="G5" s="49" t="s">
        <v>216</v>
      </c>
      <c r="H5" s="49" t="s">
        <v>215</v>
      </c>
      <c r="I5" s="49" t="s">
        <v>214</v>
      </c>
      <c r="K5" s="56" t="s">
        <v>126</v>
      </c>
      <c r="L5" s="57">
        <v>149454803</v>
      </c>
      <c r="M5" s="57">
        <v>144341255</v>
      </c>
      <c r="N5" s="57">
        <v>106642496</v>
      </c>
      <c r="O5" s="92">
        <v>127826646</v>
      </c>
      <c r="P5" s="92">
        <v>133081832</v>
      </c>
      <c r="Q5" s="92">
        <v>111734624</v>
      </c>
      <c r="R5" s="57"/>
      <c r="S5" s="57"/>
      <c r="T5" s="57"/>
      <c r="U5" s="57"/>
      <c r="V5" s="57"/>
      <c r="W5" s="57"/>
      <c r="X5" s="58">
        <f>SUM(O5:Q5)</f>
        <v>372643102</v>
      </c>
    </row>
    <row r="6" spans="1:25" x14ac:dyDescent="0.2">
      <c r="A6" s="54" t="s">
        <v>35</v>
      </c>
      <c r="B6" s="54" t="s">
        <v>34</v>
      </c>
      <c r="C6" s="55">
        <v>2140</v>
      </c>
      <c r="D6" s="54" t="s">
        <v>35</v>
      </c>
      <c r="E6" s="54" t="s">
        <v>34</v>
      </c>
      <c r="F6" s="55">
        <v>2151</v>
      </c>
      <c r="G6" s="54" t="s">
        <v>35</v>
      </c>
      <c r="H6" s="54" t="s">
        <v>34</v>
      </c>
      <c r="I6" s="55">
        <v>2156</v>
      </c>
      <c r="K6" s="56" t="s">
        <v>127</v>
      </c>
      <c r="L6" s="57">
        <v>140404042</v>
      </c>
      <c r="M6" s="57">
        <v>148198213</v>
      </c>
      <c r="N6" s="57">
        <v>131511808</v>
      </c>
      <c r="O6" s="92">
        <v>128676067</v>
      </c>
      <c r="P6" s="92">
        <v>138229616</v>
      </c>
      <c r="Q6" s="92">
        <v>135834307</v>
      </c>
      <c r="R6" s="57"/>
      <c r="S6" s="57"/>
      <c r="T6" s="57"/>
      <c r="U6" s="57"/>
      <c r="V6" s="57"/>
      <c r="W6" s="57"/>
      <c r="X6" s="58">
        <f>SUM(O6:Q6)</f>
        <v>402739990</v>
      </c>
    </row>
    <row r="7" spans="1:25" x14ac:dyDescent="0.2">
      <c r="A7" s="54" t="s">
        <v>36</v>
      </c>
      <c r="B7" s="54" t="s">
        <v>34</v>
      </c>
      <c r="C7" s="55">
        <v>2571</v>
      </c>
      <c r="D7" s="54" t="s">
        <v>36</v>
      </c>
      <c r="E7" s="54" t="s">
        <v>34</v>
      </c>
      <c r="F7" s="55">
        <v>2574</v>
      </c>
      <c r="G7" s="54" t="s">
        <v>36</v>
      </c>
      <c r="H7" s="54" t="s">
        <v>34</v>
      </c>
      <c r="I7" s="55">
        <v>2570</v>
      </c>
      <c r="K7" s="56" t="s">
        <v>140</v>
      </c>
      <c r="L7" s="57">
        <v>72533895</v>
      </c>
      <c r="M7" s="57">
        <v>71622459</v>
      </c>
      <c r="N7" s="57">
        <v>72818621</v>
      </c>
      <c r="O7" s="92">
        <v>33667523</v>
      </c>
      <c r="P7" s="92">
        <v>23039927</v>
      </c>
      <c r="Q7" s="92">
        <v>30185750</v>
      </c>
      <c r="R7" s="57"/>
      <c r="S7" s="57"/>
      <c r="T7" s="57"/>
      <c r="U7" s="57"/>
      <c r="V7" s="57"/>
      <c r="W7" s="57"/>
      <c r="X7" s="58">
        <f>SUM(O7:Q7)</f>
        <v>86893200</v>
      </c>
    </row>
    <row r="8" spans="1:25" x14ac:dyDescent="0.2">
      <c r="A8" s="54" t="s">
        <v>37</v>
      </c>
      <c r="B8" s="54" t="s">
        <v>34</v>
      </c>
      <c r="C8" s="55">
        <v>1649</v>
      </c>
      <c r="D8" s="54" t="s">
        <v>37</v>
      </c>
      <c r="E8" s="54" t="s">
        <v>34</v>
      </c>
      <c r="F8" s="55">
        <v>1646</v>
      </c>
      <c r="G8" s="54" t="s">
        <v>37</v>
      </c>
      <c r="H8" s="54" t="s">
        <v>34</v>
      </c>
      <c r="I8" s="55">
        <v>1645</v>
      </c>
      <c r="K8" s="56" t="s">
        <v>141</v>
      </c>
      <c r="L8" s="57">
        <v>36860793</v>
      </c>
      <c r="M8" s="57">
        <v>39164393</v>
      </c>
      <c r="N8" s="57">
        <v>25760901</v>
      </c>
      <c r="O8" s="93">
        <v>32157540</v>
      </c>
      <c r="P8" s="93">
        <v>35430267</v>
      </c>
      <c r="Q8" s="93">
        <v>29459076</v>
      </c>
      <c r="R8" s="57"/>
      <c r="S8" s="57"/>
      <c r="T8" s="57"/>
      <c r="U8" s="57"/>
      <c r="V8" s="57"/>
      <c r="W8" s="57"/>
      <c r="X8" s="58">
        <f>SUM(O8:Q8)</f>
        <v>97046883</v>
      </c>
    </row>
    <row r="9" spans="1:25" x14ac:dyDescent="0.2">
      <c r="A9" s="54" t="s">
        <v>38</v>
      </c>
      <c r="B9" s="54" t="s">
        <v>34</v>
      </c>
      <c r="C9" s="55">
        <v>2</v>
      </c>
      <c r="D9" s="54" t="s">
        <v>38</v>
      </c>
      <c r="E9" s="54" t="s">
        <v>34</v>
      </c>
      <c r="F9" s="55">
        <v>2</v>
      </c>
      <c r="G9" s="54" t="s">
        <v>38</v>
      </c>
      <c r="H9" s="54" t="s">
        <v>34</v>
      </c>
      <c r="I9" s="55">
        <v>2</v>
      </c>
      <c r="K9" s="59" t="s">
        <v>142</v>
      </c>
      <c r="L9" s="58">
        <f>SUM(L5:L8)</f>
        <v>399253533</v>
      </c>
      <c r="M9" s="58">
        <f>SUM(M5:M8)</f>
        <v>403326320</v>
      </c>
      <c r="N9" s="58">
        <f>SUM(N5:N8)</f>
        <v>336733826</v>
      </c>
      <c r="O9" s="94">
        <f t="shared" ref="O9:U9" si="0">SUM(O5:O8)</f>
        <v>322327776</v>
      </c>
      <c r="P9" s="94">
        <f t="shared" si="0"/>
        <v>329781642</v>
      </c>
      <c r="Q9" s="94">
        <f t="shared" si="0"/>
        <v>307213757</v>
      </c>
      <c r="R9" s="58">
        <f t="shared" si="0"/>
        <v>0</v>
      </c>
      <c r="S9" s="58">
        <f t="shared" si="0"/>
        <v>0</v>
      </c>
      <c r="T9" s="58">
        <f t="shared" si="0"/>
        <v>0</v>
      </c>
      <c r="U9" s="58">
        <f t="shared" si="0"/>
        <v>0</v>
      </c>
      <c r="V9" s="58">
        <f>SUM(V5:V8)</f>
        <v>0</v>
      </c>
      <c r="W9" s="58">
        <f>SUM(W5:W8)</f>
        <v>0</v>
      </c>
      <c r="X9" s="58">
        <f>SUM(X5:X8)</f>
        <v>959323175</v>
      </c>
      <c r="Y9" s="26"/>
    </row>
    <row r="10" spans="1:25" x14ac:dyDescent="0.2">
      <c r="A10" s="54" t="s">
        <v>39</v>
      </c>
      <c r="B10" s="54" t="s">
        <v>34</v>
      </c>
      <c r="C10" s="55">
        <v>2</v>
      </c>
      <c r="D10" s="54" t="s">
        <v>39</v>
      </c>
      <c r="E10" s="54" t="s">
        <v>34</v>
      </c>
      <c r="F10" s="55">
        <v>2</v>
      </c>
      <c r="G10" s="54" t="s">
        <v>39</v>
      </c>
      <c r="H10" s="54" t="s">
        <v>34</v>
      </c>
      <c r="I10" s="55">
        <v>2</v>
      </c>
      <c r="U10" s="27"/>
      <c r="V10" s="27"/>
      <c r="W10" s="27"/>
      <c r="X10" s="27"/>
      <c r="Y10" s="27"/>
    </row>
    <row r="11" spans="1:25" x14ac:dyDescent="0.2">
      <c r="A11" s="54" t="s">
        <v>40</v>
      </c>
      <c r="B11" s="54" t="s">
        <v>34</v>
      </c>
      <c r="C11" s="55">
        <v>1571</v>
      </c>
      <c r="D11" s="54" t="s">
        <v>40</v>
      </c>
      <c r="E11" s="54" t="s">
        <v>34</v>
      </c>
      <c r="F11" s="55">
        <v>1581</v>
      </c>
      <c r="G11" s="54" t="s">
        <v>40</v>
      </c>
      <c r="H11" s="54" t="s">
        <v>34</v>
      </c>
      <c r="I11" s="55">
        <v>1583</v>
      </c>
      <c r="U11" s="27"/>
      <c r="V11" s="27"/>
      <c r="W11" s="27"/>
      <c r="X11" s="27"/>
      <c r="Y11" s="27"/>
    </row>
    <row r="12" spans="1:25" x14ac:dyDescent="0.2">
      <c r="A12" s="54" t="s">
        <v>41</v>
      </c>
      <c r="B12" s="54" t="s">
        <v>34</v>
      </c>
      <c r="C12" s="55">
        <v>3</v>
      </c>
      <c r="D12" s="54" t="s">
        <v>41</v>
      </c>
      <c r="E12" s="54" t="s">
        <v>34</v>
      </c>
      <c r="F12" s="55">
        <v>3</v>
      </c>
      <c r="G12" s="54" t="s">
        <v>41</v>
      </c>
      <c r="H12" s="54" t="s">
        <v>34</v>
      </c>
      <c r="I12" s="55">
        <v>3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7"/>
      <c r="Y12" s="27"/>
    </row>
    <row r="13" spans="1:25" x14ac:dyDescent="0.2">
      <c r="A13" s="54" t="s">
        <v>42</v>
      </c>
      <c r="B13" s="54" t="s">
        <v>34</v>
      </c>
      <c r="C13" s="55">
        <v>26</v>
      </c>
      <c r="D13" s="54" t="s">
        <v>42</v>
      </c>
      <c r="E13" s="54" t="s">
        <v>34</v>
      </c>
      <c r="F13" s="55">
        <v>26</v>
      </c>
      <c r="G13" s="54" t="s">
        <v>42</v>
      </c>
      <c r="H13" s="54" t="s">
        <v>34</v>
      </c>
      <c r="I13" s="55">
        <v>26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/>
      <c r="Y13" s="27"/>
    </row>
    <row r="14" spans="1:25" x14ac:dyDescent="0.2">
      <c r="A14" s="54" t="s">
        <v>43</v>
      </c>
      <c r="B14" s="54" t="s">
        <v>34</v>
      </c>
      <c r="C14" s="55">
        <v>107</v>
      </c>
      <c r="D14" s="54" t="s">
        <v>43</v>
      </c>
      <c r="E14" s="54" t="s">
        <v>34</v>
      </c>
      <c r="F14" s="55">
        <v>107</v>
      </c>
      <c r="G14" s="54" t="s">
        <v>43</v>
      </c>
      <c r="H14" s="54" t="s">
        <v>34</v>
      </c>
      <c r="I14" s="55">
        <v>108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7"/>
      <c r="Y14" s="27"/>
    </row>
    <row r="15" spans="1:25" x14ac:dyDescent="0.2">
      <c r="A15" s="54" t="s">
        <v>44</v>
      </c>
      <c r="B15" s="54" t="s">
        <v>34</v>
      </c>
      <c r="C15" s="55">
        <v>637</v>
      </c>
      <c r="D15" s="54" t="s">
        <v>44</v>
      </c>
      <c r="E15" s="54" t="s">
        <v>34</v>
      </c>
      <c r="F15" s="55">
        <v>640</v>
      </c>
      <c r="G15" s="54" t="s">
        <v>44</v>
      </c>
      <c r="H15" s="54" t="s">
        <v>34</v>
      </c>
      <c r="I15" s="55">
        <v>649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/>
      <c r="Y15" s="27"/>
    </row>
    <row r="16" spans="1:25" x14ac:dyDescent="0.2">
      <c r="A16" s="54" t="s">
        <v>45</v>
      </c>
      <c r="B16" s="54" t="s">
        <v>34</v>
      </c>
      <c r="C16" s="55">
        <v>231</v>
      </c>
      <c r="D16" s="54" t="s">
        <v>45</v>
      </c>
      <c r="E16" s="54" t="s">
        <v>34</v>
      </c>
      <c r="F16" s="55">
        <v>231</v>
      </c>
      <c r="G16" s="54" t="s">
        <v>45</v>
      </c>
      <c r="H16" s="54" t="s">
        <v>34</v>
      </c>
      <c r="I16" s="55">
        <v>230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2">
      <c r="A17" s="54" t="s">
        <v>46</v>
      </c>
      <c r="B17" s="54" t="s">
        <v>34</v>
      </c>
      <c r="C17" s="55">
        <v>73</v>
      </c>
      <c r="D17" s="54" t="s">
        <v>46</v>
      </c>
      <c r="E17" s="54" t="s">
        <v>34</v>
      </c>
      <c r="F17" s="55">
        <v>71</v>
      </c>
      <c r="G17" s="54" t="s">
        <v>46</v>
      </c>
      <c r="H17" s="54" t="s">
        <v>34</v>
      </c>
      <c r="I17" s="55">
        <v>71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x14ac:dyDescent="0.2">
      <c r="A18" s="54" t="s">
        <v>47</v>
      </c>
      <c r="B18" s="54" t="s">
        <v>34</v>
      </c>
      <c r="C18" s="55">
        <v>137</v>
      </c>
      <c r="D18" s="54" t="s">
        <v>47</v>
      </c>
      <c r="E18" s="54" t="s">
        <v>34</v>
      </c>
      <c r="F18" s="55">
        <v>137</v>
      </c>
      <c r="G18" s="54" t="s">
        <v>47</v>
      </c>
      <c r="H18" s="54" t="s">
        <v>34</v>
      </c>
      <c r="I18" s="55">
        <v>137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2">
      <c r="A19" s="54" t="s">
        <v>48</v>
      </c>
      <c r="B19" s="54" t="s">
        <v>34</v>
      </c>
      <c r="C19" s="55">
        <v>346</v>
      </c>
      <c r="D19" s="54" t="s">
        <v>48</v>
      </c>
      <c r="E19" s="54" t="s">
        <v>34</v>
      </c>
      <c r="F19" s="55">
        <v>345</v>
      </c>
      <c r="G19" s="54" t="s">
        <v>48</v>
      </c>
      <c r="H19" s="54" t="s">
        <v>34</v>
      </c>
      <c r="I19" s="55">
        <v>344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">
      <c r="A20" s="54" t="s">
        <v>49</v>
      </c>
      <c r="B20" s="54" t="s">
        <v>34</v>
      </c>
      <c r="C20" s="55">
        <v>398</v>
      </c>
      <c r="D20" s="54" t="s">
        <v>49</v>
      </c>
      <c r="E20" s="54" t="s">
        <v>34</v>
      </c>
      <c r="F20" s="55">
        <v>399</v>
      </c>
      <c r="G20" s="54" t="s">
        <v>49</v>
      </c>
      <c r="H20" s="54" t="s">
        <v>34</v>
      </c>
      <c r="I20" s="55">
        <v>395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">
      <c r="A21" s="54" t="s">
        <v>50</v>
      </c>
      <c r="B21" s="54" t="s">
        <v>34</v>
      </c>
      <c r="C21" s="55">
        <v>153</v>
      </c>
      <c r="D21" s="54" t="s">
        <v>50</v>
      </c>
      <c r="E21" s="54" t="s">
        <v>34</v>
      </c>
      <c r="F21" s="55">
        <v>154</v>
      </c>
      <c r="G21" s="54" t="s">
        <v>50</v>
      </c>
      <c r="H21" s="54" t="s">
        <v>34</v>
      </c>
      <c r="I21" s="55">
        <v>153</v>
      </c>
    </row>
    <row r="22" spans="1:23" x14ac:dyDescent="0.2">
      <c r="A22" s="54" t="s">
        <v>51</v>
      </c>
      <c r="B22" s="54" t="s">
        <v>34</v>
      </c>
      <c r="C22" s="55">
        <v>18</v>
      </c>
      <c r="D22" s="54" t="s">
        <v>51</v>
      </c>
      <c r="E22" s="54" t="s">
        <v>34</v>
      </c>
      <c r="F22" s="55">
        <v>18</v>
      </c>
      <c r="G22" s="54" t="s">
        <v>51</v>
      </c>
      <c r="H22" s="54" t="s">
        <v>34</v>
      </c>
      <c r="I22" s="55">
        <v>18</v>
      </c>
    </row>
    <row r="23" spans="1:23" x14ac:dyDescent="0.2">
      <c r="A23" s="54" t="s">
        <v>52</v>
      </c>
      <c r="B23" s="54" t="s">
        <v>34</v>
      </c>
      <c r="C23" s="55">
        <v>921</v>
      </c>
      <c r="D23" s="54" t="s">
        <v>52</v>
      </c>
      <c r="E23" s="54" t="s">
        <v>34</v>
      </c>
      <c r="F23" s="55">
        <v>920</v>
      </c>
      <c r="G23" s="54" t="s">
        <v>52</v>
      </c>
      <c r="H23" s="54" t="s">
        <v>34</v>
      </c>
      <c r="I23" s="55">
        <v>920</v>
      </c>
    </row>
    <row r="24" spans="1:23" x14ac:dyDescent="0.2">
      <c r="A24" s="54" t="s">
        <v>53</v>
      </c>
      <c r="B24" s="54" t="s">
        <v>34</v>
      </c>
      <c r="C24" s="55">
        <v>1303</v>
      </c>
      <c r="D24" s="54" t="s">
        <v>53</v>
      </c>
      <c r="E24" s="54" t="s">
        <v>34</v>
      </c>
      <c r="F24" s="55">
        <v>1299</v>
      </c>
      <c r="G24" s="54" t="s">
        <v>53</v>
      </c>
      <c r="H24" s="54" t="s">
        <v>34</v>
      </c>
      <c r="I24" s="55">
        <v>1306</v>
      </c>
    </row>
    <row r="25" spans="1:23" x14ac:dyDescent="0.2">
      <c r="A25" s="54" t="s">
        <v>54</v>
      </c>
      <c r="B25" s="54" t="s">
        <v>34</v>
      </c>
      <c r="C25" s="55">
        <v>220</v>
      </c>
      <c r="D25" s="54" t="s">
        <v>54</v>
      </c>
      <c r="E25" s="54" t="s">
        <v>34</v>
      </c>
      <c r="F25" s="55">
        <v>215</v>
      </c>
      <c r="G25" s="54" t="s">
        <v>54</v>
      </c>
      <c r="H25" s="54" t="s">
        <v>34</v>
      </c>
      <c r="I25" s="55">
        <v>220</v>
      </c>
    </row>
    <row r="26" spans="1:23" x14ac:dyDescent="0.2">
      <c r="A26" s="54" t="s">
        <v>55</v>
      </c>
      <c r="B26" s="54" t="s">
        <v>34</v>
      </c>
      <c r="C26" s="55">
        <v>688</v>
      </c>
      <c r="D26" s="54" t="s">
        <v>55</v>
      </c>
      <c r="E26" s="54" t="s">
        <v>34</v>
      </c>
      <c r="F26" s="55">
        <v>689</v>
      </c>
      <c r="G26" s="54" t="s">
        <v>55</v>
      </c>
      <c r="H26" s="54" t="s">
        <v>34</v>
      </c>
      <c r="I26" s="55">
        <v>687</v>
      </c>
    </row>
    <row r="27" spans="1:23" x14ac:dyDescent="0.2">
      <c r="A27" s="54" t="s">
        <v>56</v>
      </c>
      <c r="B27" s="54" t="s">
        <v>34</v>
      </c>
      <c r="C27" s="55">
        <v>730</v>
      </c>
      <c r="D27" s="54" t="s">
        <v>56</v>
      </c>
      <c r="E27" s="54" t="s">
        <v>34</v>
      </c>
      <c r="F27" s="55">
        <v>731</v>
      </c>
      <c r="G27" s="54" t="s">
        <v>56</v>
      </c>
      <c r="H27" s="54" t="s">
        <v>34</v>
      </c>
      <c r="I27" s="55">
        <v>728</v>
      </c>
    </row>
    <row r="28" spans="1:23" x14ac:dyDescent="0.2">
      <c r="A28" s="54" t="s">
        <v>57</v>
      </c>
      <c r="B28" s="54" t="s">
        <v>34</v>
      </c>
      <c r="C28" s="55">
        <v>63</v>
      </c>
      <c r="D28" s="54" t="s">
        <v>57</v>
      </c>
      <c r="E28" s="54" t="s">
        <v>34</v>
      </c>
      <c r="F28" s="55">
        <v>63</v>
      </c>
      <c r="G28" s="54" t="s">
        <v>57</v>
      </c>
      <c r="H28" s="54" t="s">
        <v>34</v>
      </c>
      <c r="I28" s="55">
        <v>63</v>
      </c>
    </row>
    <row r="29" spans="1:23" x14ac:dyDescent="0.2">
      <c r="A29" s="54" t="s">
        <v>58</v>
      </c>
      <c r="B29" s="54" t="s">
        <v>34</v>
      </c>
      <c r="C29" s="55">
        <v>541</v>
      </c>
      <c r="D29" s="54" t="s">
        <v>58</v>
      </c>
      <c r="E29" s="54" t="s">
        <v>34</v>
      </c>
      <c r="F29" s="55">
        <v>539</v>
      </c>
      <c r="G29" s="54" t="s">
        <v>58</v>
      </c>
      <c r="H29" s="54" t="s">
        <v>34</v>
      </c>
      <c r="I29" s="55">
        <v>540</v>
      </c>
    </row>
    <row r="30" spans="1:23" x14ac:dyDescent="0.2">
      <c r="A30" s="54" t="s">
        <v>59</v>
      </c>
      <c r="B30" s="54" t="s">
        <v>34</v>
      </c>
      <c r="C30" s="55">
        <v>4</v>
      </c>
      <c r="D30" s="54" t="s">
        <v>59</v>
      </c>
      <c r="E30" s="54" t="s">
        <v>34</v>
      </c>
      <c r="F30" s="55">
        <v>4</v>
      </c>
      <c r="G30" s="54" t="s">
        <v>59</v>
      </c>
      <c r="H30" s="54" t="s">
        <v>34</v>
      </c>
      <c r="I30" s="55">
        <v>4</v>
      </c>
    </row>
    <row r="31" spans="1:23" x14ac:dyDescent="0.2">
      <c r="A31" s="54" t="s">
        <v>60</v>
      </c>
      <c r="B31" s="54" t="s">
        <v>34</v>
      </c>
      <c r="C31" s="55">
        <v>108</v>
      </c>
      <c r="D31" s="54" t="s">
        <v>60</v>
      </c>
      <c r="E31" s="54" t="s">
        <v>34</v>
      </c>
      <c r="F31" s="55">
        <v>109</v>
      </c>
      <c r="G31" s="54" t="s">
        <v>60</v>
      </c>
      <c r="H31" s="54" t="s">
        <v>34</v>
      </c>
      <c r="I31" s="55">
        <v>106</v>
      </c>
    </row>
    <row r="32" spans="1:23" x14ac:dyDescent="0.2">
      <c r="A32" s="54" t="s">
        <v>61</v>
      </c>
      <c r="B32" s="54" t="s">
        <v>34</v>
      </c>
      <c r="C32" s="55">
        <v>177</v>
      </c>
      <c r="D32" s="54" t="s">
        <v>61</v>
      </c>
      <c r="E32" s="54" t="s">
        <v>34</v>
      </c>
      <c r="F32" s="55">
        <v>177</v>
      </c>
      <c r="G32" s="54" t="s">
        <v>61</v>
      </c>
      <c r="H32" s="54" t="s">
        <v>34</v>
      </c>
      <c r="I32" s="55">
        <v>177</v>
      </c>
    </row>
    <row r="33" spans="1:9" x14ac:dyDescent="0.2">
      <c r="A33" s="54" t="s">
        <v>62</v>
      </c>
      <c r="B33" s="54" t="s">
        <v>34</v>
      </c>
      <c r="C33" s="55">
        <v>394</v>
      </c>
      <c r="D33" s="54" t="s">
        <v>62</v>
      </c>
      <c r="E33" s="54" t="s">
        <v>34</v>
      </c>
      <c r="F33" s="55">
        <v>392</v>
      </c>
      <c r="G33" s="54" t="s">
        <v>62</v>
      </c>
      <c r="H33" s="54" t="s">
        <v>34</v>
      </c>
      <c r="I33" s="55">
        <v>395</v>
      </c>
    </row>
    <row r="34" spans="1:9" x14ac:dyDescent="0.2">
      <c r="A34" s="54" t="s">
        <v>63</v>
      </c>
      <c r="B34" s="54" t="s">
        <v>34</v>
      </c>
      <c r="C34" s="55">
        <v>37</v>
      </c>
      <c r="D34" s="54" t="s">
        <v>63</v>
      </c>
      <c r="E34" s="54" t="s">
        <v>34</v>
      </c>
      <c r="F34" s="55">
        <v>37</v>
      </c>
      <c r="G34" s="54" t="s">
        <v>63</v>
      </c>
      <c r="H34" s="54" t="s">
        <v>34</v>
      </c>
      <c r="I34" s="55">
        <v>38</v>
      </c>
    </row>
    <row r="35" spans="1:9" x14ac:dyDescent="0.2">
      <c r="A35" s="54" t="s">
        <v>64</v>
      </c>
      <c r="B35" s="54" t="s">
        <v>34</v>
      </c>
      <c r="C35" s="55">
        <v>276</v>
      </c>
      <c r="D35" s="54" t="s">
        <v>64</v>
      </c>
      <c r="E35" s="54" t="s">
        <v>34</v>
      </c>
      <c r="F35" s="55">
        <v>274</v>
      </c>
      <c r="G35" s="54" t="s">
        <v>64</v>
      </c>
      <c r="H35" s="54" t="s">
        <v>34</v>
      </c>
      <c r="I35" s="55">
        <v>272</v>
      </c>
    </row>
    <row r="36" spans="1:9" x14ac:dyDescent="0.2">
      <c r="A36" s="54" t="s">
        <v>65</v>
      </c>
      <c r="B36" s="54" t="s">
        <v>34</v>
      </c>
      <c r="C36" s="55">
        <v>47</v>
      </c>
      <c r="D36" s="54" t="s">
        <v>65</v>
      </c>
      <c r="E36" s="54" t="s">
        <v>34</v>
      </c>
      <c r="F36" s="55">
        <v>47</v>
      </c>
      <c r="G36" s="54" t="s">
        <v>65</v>
      </c>
      <c r="H36" s="54" t="s">
        <v>34</v>
      </c>
      <c r="I36" s="55">
        <v>47</v>
      </c>
    </row>
    <row r="37" spans="1:9" x14ac:dyDescent="0.2">
      <c r="A37" s="54" t="s">
        <v>67</v>
      </c>
      <c r="B37" s="54" t="s">
        <v>34</v>
      </c>
      <c r="C37" s="55">
        <v>133</v>
      </c>
      <c r="D37" s="54" t="s">
        <v>67</v>
      </c>
      <c r="E37" s="54" t="s">
        <v>34</v>
      </c>
      <c r="F37" s="55">
        <v>131</v>
      </c>
      <c r="G37" s="54" t="s">
        <v>67</v>
      </c>
      <c r="H37" s="54" t="s">
        <v>34</v>
      </c>
      <c r="I37" s="55">
        <v>130</v>
      </c>
    </row>
    <row r="38" spans="1:9" x14ac:dyDescent="0.2">
      <c r="A38" s="54" t="s">
        <v>68</v>
      </c>
      <c r="B38" s="54" t="s">
        <v>34</v>
      </c>
      <c r="C38" s="55">
        <v>142</v>
      </c>
      <c r="D38" s="54" t="s">
        <v>68</v>
      </c>
      <c r="E38" s="54" t="s">
        <v>34</v>
      </c>
      <c r="F38" s="55">
        <v>142</v>
      </c>
      <c r="G38" s="54" t="s">
        <v>68</v>
      </c>
      <c r="H38" s="54" t="s">
        <v>34</v>
      </c>
      <c r="I38" s="55">
        <v>142</v>
      </c>
    </row>
    <row r="39" spans="1:9" x14ac:dyDescent="0.2">
      <c r="A39" s="54" t="s">
        <v>69</v>
      </c>
      <c r="B39" s="54" t="s">
        <v>34</v>
      </c>
      <c r="C39" s="55">
        <v>2626</v>
      </c>
      <c r="D39" s="54" t="s">
        <v>69</v>
      </c>
      <c r="E39" s="54" t="s">
        <v>34</v>
      </c>
      <c r="F39" s="55">
        <v>2636</v>
      </c>
      <c r="G39" s="54" t="s">
        <v>69</v>
      </c>
      <c r="H39" s="54" t="s">
        <v>34</v>
      </c>
      <c r="I39" s="55">
        <v>2622</v>
      </c>
    </row>
    <row r="40" spans="1:9" x14ac:dyDescent="0.2">
      <c r="A40" s="54" t="s">
        <v>70</v>
      </c>
      <c r="B40" s="54" t="s">
        <v>34</v>
      </c>
      <c r="C40" s="55">
        <v>73</v>
      </c>
      <c r="D40" s="54" t="s">
        <v>70</v>
      </c>
      <c r="E40" s="54" t="s">
        <v>34</v>
      </c>
      <c r="F40" s="55">
        <v>73</v>
      </c>
      <c r="G40" s="54" t="s">
        <v>70</v>
      </c>
      <c r="H40" s="54" t="s">
        <v>34</v>
      </c>
      <c r="I40" s="55">
        <v>73</v>
      </c>
    </row>
    <row r="41" spans="1:9" x14ac:dyDescent="0.2">
      <c r="A41" s="54"/>
      <c r="B41" s="54" t="s">
        <v>34</v>
      </c>
      <c r="C41" s="55">
        <v>4</v>
      </c>
      <c r="D41" s="54"/>
      <c r="E41" s="54" t="s">
        <v>34</v>
      </c>
      <c r="F41" s="55">
        <v>4</v>
      </c>
      <c r="G41" s="54"/>
      <c r="H41" s="54" t="s">
        <v>34</v>
      </c>
      <c r="I41" s="55">
        <v>4</v>
      </c>
    </row>
    <row r="42" spans="1:9" x14ac:dyDescent="0.2">
      <c r="A42" s="54" t="s">
        <v>35</v>
      </c>
      <c r="B42" s="54" t="s">
        <v>71</v>
      </c>
      <c r="C42" s="55">
        <v>48</v>
      </c>
      <c r="D42" s="54" t="s">
        <v>35</v>
      </c>
      <c r="E42" s="54" t="s">
        <v>71</v>
      </c>
      <c r="F42" s="55">
        <v>48</v>
      </c>
      <c r="G42" s="54" t="s">
        <v>35</v>
      </c>
      <c r="H42" s="54" t="s">
        <v>71</v>
      </c>
      <c r="I42" s="55">
        <v>48</v>
      </c>
    </row>
    <row r="43" spans="1:9" x14ac:dyDescent="0.2">
      <c r="A43" s="54" t="s">
        <v>36</v>
      </c>
      <c r="B43" s="54" t="s">
        <v>71</v>
      </c>
      <c r="C43" s="55">
        <v>85</v>
      </c>
      <c r="D43" s="54" t="s">
        <v>36</v>
      </c>
      <c r="E43" s="54" t="s">
        <v>71</v>
      </c>
      <c r="F43" s="55">
        <v>85</v>
      </c>
      <c r="G43" s="54" t="s">
        <v>36</v>
      </c>
      <c r="H43" s="54" t="s">
        <v>71</v>
      </c>
      <c r="I43" s="55">
        <v>85</v>
      </c>
    </row>
    <row r="44" spans="1:9" x14ac:dyDescent="0.2">
      <c r="A44" s="54" t="s">
        <v>37</v>
      </c>
      <c r="B44" s="54" t="s">
        <v>71</v>
      </c>
      <c r="C44" s="55">
        <v>64</v>
      </c>
      <c r="D44" s="54" t="s">
        <v>37</v>
      </c>
      <c r="E44" s="54" t="s">
        <v>71</v>
      </c>
      <c r="F44" s="55">
        <v>64</v>
      </c>
      <c r="G44" s="54" t="s">
        <v>37</v>
      </c>
      <c r="H44" s="54" t="s">
        <v>71</v>
      </c>
      <c r="I44" s="55">
        <v>64</v>
      </c>
    </row>
    <row r="45" spans="1:9" x14ac:dyDescent="0.2">
      <c r="A45" s="54" t="s">
        <v>40</v>
      </c>
      <c r="B45" s="54" t="s">
        <v>71</v>
      </c>
      <c r="C45" s="55">
        <v>17</v>
      </c>
      <c r="D45" s="54" t="s">
        <v>40</v>
      </c>
      <c r="E45" s="54" t="s">
        <v>71</v>
      </c>
      <c r="F45" s="55">
        <v>17</v>
      </c>
      <c r="G45" s="54" t="s">
        <v>40</v>
      </c>
      <c r="H45" s="54" t="s">
        <v>71</v>
      </c>
      <c r="I45" s="55">
        <v>17</v>
      </c>
    </row>
    <row r="46" spans="1:9" x14ac:dyDescent="0.2">
      <c r="A46" s="54" t="s">
        <v>42</v>
      </c>
      <c r="B46" s="54" t="s">
        <v>71</v>
      </c>
      <c r="C46" s="55">
        <v>1</v>
      </c>
      <c r="D46" s="54" t="s">
        <v>42</v>
      </c>
      <c r="E46" s="54" t="s">
        <v>71</v>
      </c>
      <c r="F46" s="55">
        <v>1</v>
      </c>
      <c r="G46" s="54" t="s">
        <v>42</v>
      </c>
      <c r="H46" s="54" t="s">
        <v>71</v>
      </c>
      <c r="I46" s="55">
        <v>1</v>
      </c>
    </row>
    <row r="47" spans="1:9" x14ac:dyDescent="0.2">
      <c r="A47" s="54" t="s">
        <v>43</v>
      </c>
      <c r="B47" s="54" t="s">
        <v>71</v>
      </c>
      <c r="C47" s="55">
        <v>4</v>
      </c>
      <c r="D47" s="54" t="s">
        <v>43</v>
      </c>
      <c r="E47" s="54" t="s">
        <v>71</v>
      </c>
      <c r="F47" s="55">
        <v>4</v>
      </c>
      <c r="G47" s="54" t="s">
        <v>43</v>
      </c>
      <c r="H47" s="54" t="s">
        <v>71</v>
      </c>
      <c r="I47" s="55">
        <v>4</v>
      </c>
    </row>
    <row r="48" spans="1:9" x14ac:dyDescent="0.2">
      <c r="A48" s="54" t="s">
        <v>44</v>
      </c>
      <c r="B48" s="54" t="s">
        <v>71</v>
      </c>
      <c r="C48" s="55">
        <v>26</v>
      </c>
      <c r="D48" s="54" t="s">
        <v>44</v>
      </c>
      <c r="E48" s="54" t="s">
        <v>71</v>
      </c>
      <c r="F48" s="55">
        <v>26</v>
      </c>
      <c r="G48" s="54" t="s">
        <v>44</v>
      </c>
      <c r="H48" s="54" t="s">
        <v>71</v>
      </c>
      <c r="I48" s="55">
        <v>26</v>
      </c>
    </row>
    <row r="49" spans="1:9" x14ac:dyDescent="0.2">
      <c r="A49" s="54" t="s">
        <v>45</v>
      </c>
      <c r="B49" s="54" t="s">
        <v>71</v>
      </c>
      <c r="C49" s="55">
        <v>12</v>
      </c>
      <c r="D49" s="54" t="s">
        <v>45</v>
      </c>
      <c r="E49" s="54" t="s">
        <v>71</v>
      </c>
      <c r="F49" s="55">
        <v>12</v>
      </c>
      <c r="G49" s="54" t="s">
        <v>45</v>
      </c>
      <c r="H49" s="54" t="s">
        <v>71</v>
      </c>
      <c r="I49" s="55">
        <v>12</v>
      </c>
    </row>
    <row r="50" spans="1:9" x14ac:dyDescent="0.2">
      <c r="A50" s="54" t="s">
        <v>46</v>
      </c>
      <c r="B50" s="54" t="s">
        <v>71</v>
      </c>
      <c r="C50" s="55">
        <v>1</v>
      </c>
      <c r="D50" s="54" t="s">
        <v>46</v>
      </c>
      <c r="E50" s="54" t="s">
        <v>71</v>
      </c>
      <c r="F50" s="55">
        <v>1</v>
      </c>
      <c r="G50" s="54" t="s">
        <v>46</v>
      </c>
      <c r="H50" s="54" t="s">
        <v>71</v>
      </c>
      <c r="I50" s="55">
        <v>1</v>
      </c>
    </row>
    <row r="51" spans="1:9" x14ac:dyDescent="0.2">
      <c r="A51" s="54" t="s">
        <v>47</v>
      </c>
      <c r="B51" s="54" t="s">
        <v>71</v>
      </c>
      <c r="C51" s="55">
        <v>3</v>
      </c>
      <c r="D51" s="54" t="s">
        <v>47</v>
      </c>
      <c r="E51" s="54" t="s">
        <v>71</v>
      </c>
      <c r="F51" s="55">
        <v>3</v>
      </c>
      <c r="G51" s="54" t="s">
        <v>47</v>
      </c>
      <c r="H51" s="54" t="s">
        <v>71</v>
      </c>
      <c r="I51" s="55">
        <v>3</v>
      </c>
    </row>
    <row r="52" spans="1:9" x14ac:dyDescent="0.2">
      <c r="A52" s="54" t="s">
        <v>48</v>
      </c>
      <c r="B52" s="54" t="s">
        <v>71</v>
      </c>
      <c r="C52" s="55">
        <v>18</v>
      </c>
      <c r="D52" s="54" t="s">
        <v>48</v>
      </c>
      <c r="E52" s="54" t="s">
        <v>71</v>
      </c>
      <c r="F52" s="55">
        <v>18</v>
      </c>
      <c r="G52" s="54" t="s">
        <v>48</v>
      </c>
      <c r="H52" s="54" t="s">
        <v>71</v>
      </c>
      <c r="I52" s="55">
        <v>18</v>
      </c>
    </row>
    <row r="53" spans="1:9" x14ac:dyDescent="0.2">
      <c r="A53" s="54" t="s">
        <v>49</v>
      </c>
      <c r="B53" s="54" t="s">
        <v>71</v>
      </c>
      <c r="C53" s="55">
        <v>11</v>
      </c>
      <c r="D53" s="54" t="s">
        <v>49</v>
      </c>
      <c r="E53" s="54" t="s">
        <v>71</v>
      </c>
      <c r="F53" s="55">
        <v>11</v>
      </c>
      <c r="G53" s="54" t="s">
        <v>49</v>
      </c>
      <c r="H53" s="54" t="s">
        <v>71</v>
      </c>
      <c r="I53" s="55">
        <v>11</v>
      </c>
    </row>
    <row r="54" spans="1:9" x14ac:dyDescent="0.2">
      <c r="A54" s="54" t="s">
        <v>50</v>
      </c>
      <c r="B54" s="54" t="s">
        <v>71</v>
      </c>
      <c r="C54" s="55">
        <v>3</v>
      </c>
      <c r="D54" s="54" t="s">
        <v>50</v>
      </c>
      <c r="E54" s="54" t="s">
        <v>71</v>
      </c>
      <c r="F54" s="55">
        <v>3</v>
      </c>
      <c r="G54" s="54" t="s">
        <v>50</v>
      </c>
      <c r="H54" s="54" t="s">
        <v>71</v>
      </c>
      <c r="I54" s="55">
        <v>3</v>
      </c>
    </row>
    <row r="55" spans="1:9" x14ac:dyDescent="0.2">
      <c r="A55" s="54" t="s">
        <v>51</v>
      </c>
      <c r="B55" s="54" t="s">
        <v>71</v>
      </c>
      <c r="C55" s="55">
        <v>1</v>
      </c>
      <c r="D55" s="54" t="s">
        <v>51</v>
      </c>
      <c r="E55" s="54" t="s">
        <v>71</v>
      </c>
      <c r="F55" s="55">
        <v>1</v>
      </c>
      <c r="G55" s="54" t="s">
        <v>51</v>
      </c>
      <c r="H55" s="54" t="s">
        <v>71</v>
      </c>
      <c r="I55" s="55">
        <v>1</v>
      </c>
    </row>
    <row r="56" spans="1:9" x14ac:dyDescent="0.2">
      <c r="A56" s="54" t="s">
        <v>52</v>
      </c>
      <c r="B56" s="54" t="s">
        <v>71</v>
      </c>
      <c r="C56" s="55">
        <v>28</v>
      </c>
      <c r="D56" s="54" t="s">
        <v>52</v>
      </c>
      <c r="E56" s="54" t="s">
        <v>71</v>
      </c>
      <c r="F56" s="55">
        <v>28</v>
      </c>
      <c r="G56" s="54" t="s">
        <v>52</v>
      </c>
      <c r="H56" s="54" t="s">
        <v>71</v>
      </c>
      <c r="I56" s="55">
        <v>28</v>
      </c>
    </row>
    <row r="57" spans="1:9" x14ac:dyDescent="0.2">
      <c r="A57" s="54" t="s">
        <v>53</v>
      </c>
      <c r="B57" s="54" t="s">
        <v>71</v>
      </c>
      <c r="C57" s="55">
        <v>55</v>
      </c>
      <c r="D57" s="54" t="s">
        <v>53</v>
      </c>
      <c r="E57" s="54" t="s">
        <v>71</v>
      </c>
      <c r="F57" s="55">
        <v>53</v>
      </c>
      <c r="G57" s="54" t="s">
        <v>53</v>
      </c>
      <c r="H57" s="54" t="s">
        <v>71</v>
      </c>
      <c r="I57" s="55">
        <v>54</v>
      </c>
    </row>
    <row r="58" spans="1:9" x14ac:dyDescent="0.2">
      <c r="A58" s="54" t="s">
        <v>54</v>
      </c>
      <c r="B58" s="54" t="s">
        <v>71</v>
      </c>
      <c r="C58" s="55">
        <v>1</v>
      </c>
      <c r="D58" s="54" t="s">
        <v>54</v>
      </c>
      <c r="E58" s="54" t="s">
        <v>71</v>
      </c>
      <c r="F58" s="55">
        <v>1</v>
      </c>
      <c r="G58" s="54" t="s">
        <v>54</v>
      </c>
      <c r="H58" s="54" t="s">
        <v>71</v>
      </c>
      <c r="I58" s="55">
        <v>1</v>
      </c>
    </row>
    <row r="59" spans="1:9" x14ac:dyDescent="0.2">
      <c r="A59" s="54" t="s">
        <v>55</v>
      </c>
      <c r="B59" s="54" t="s">
        <v>71</v>
      </c>
      <c r="C59" s="55">
        <v>26</v>
      </c>
      <c r="D59" s="54" t="s">
        <v>55</v>
      </c>
      <c r="E59" s="54" t="s">
        <v>71</v>
      </c>
      <c r="F59" s="55">
        <v>26</v>
      </c>
      <c r="G59" s="54" t="s">
        <v>55</v>
      </c>
      <c r="H59" s="54" t="s">
        <v>71</v>
      </c>
      <c r="I59" s="55">
        <v>26</v>
      </c>
    </row>
    <row r="60" spans="1:9" x14ac:dyDescent="0.2">
      <c r="A60" s="54" t="s">
        <v>56</v>
      </c>
      <c r="B60" s="54" t="s">
        <v>71</v>
      </c>
      <c r="C60" s="55">
        <v>26</v>
      </c>
      <c r="D60" s="54" t="s">
        <v>56</v>
      </c>
      <c r="E60" s="54" t="s">
        <v>71</v>
      </c>
      <c r="F60" s="55">
        <v>26</v>
      </c>
      <c r="G60" s="54" t="s">
        <v>56</v>
      </c>
      <c r="H60" s="54" t="s">
        <v>71</v>
      </c>
      <c r="I60" s="55">
        <v>26</v>
      </c>
    </row>
    <row r="61" spans="1:9" x14ac:dyDescent="0.2">
      <c r="A61" s="54" t="s">
        <v>57</v>
      </c>
      <c r="B61" s="54" t="s">
        <v>71</v>
      </c>
      <c r="C61" s="55">
        <v>6</v>
      </c>
      <c r="D61" s="54" t="s">
        <v>57</v>
      </c>
      <c r="E61" s="54" t="s">
        <v>71</v>
      </c>
      <c r="F61" s="55">
        <v>6</v>
      </c>
      <c r="G61" s="54" t="s">
        <v>57</v>
      </c>
      <c r="H61" s="54" t="s">
        <v>71</v>
      </c>
      <c r="I61" s="55">
        <v>6</v>
      </c>
    </row>
    <row r="62" spans="1:9" x14ac:dyDescent="0.2">
      <c r="A62" s="54" t="s">
        <v>58</v>
      </c>
      <c r="B62" s="54" t="s">
        <v>71</v>
      </c>
      <c r="C62" s="55">
        <v>13</v>
      </c>
      <c r="D62" s="54" t="s">
        <v>58</v>
      </c>
      <c r="E62" s="54" t="s">
        <v>71</v>
      </c>
      <c r="F62" s="55">
        <v>13</v>
      </c>
      <c r="G62" s="54" t="s">
        <v>58</v>
      </c>
      <c r="H62" s="54" t="s">
        <v>71</v>
      </c>
      <c r="I62" s="55">
        <v>13</v>
      </c>
    </row>
    <row r="63" spans="1:9" x14ac:dyDescent="0.2">
      <c r="A63" s="54" t="s">
        <v>60</v>
      </c>
      <c r="B63" s="54" t="s">
        <v>71</v>
      </c>
      <c r="C63" s="55">
        <v>7</v>
      </c>
      <c r="D63" s="54" t="s">
        <v>60</v>
      </c>
      <c r="E63" s="54" t="s">
        <v>71</v>
      </c>
      <c r="F63" s="55">
        <v>7</v>
      </c>
      <c r="G63" s="54" t="s">
        <v>60</v>
      </c>
      <c r="H63" s="54" t="s">
        <v>71</v>
      </c>
      <c r="I63" s="55">
        <v>6</v>
      </c>
    </row>
    <row r="64" spans="1:9" x14ac:dyDescent="0.2">
      <c r="A64" s="54" t="s">
        <v>62</v>
      </c>
      <c r="B64" s="54" t="s">
        <v>71</v>
      </c>
      <c r="C64" s="55">
        <v>9</v>
      </c>
      <c r="D64" s="54" t="s">
        <v>62</v>
      </c>
      <c r="E64" s="54" t="s">
        <v>71</v>
      </c>
      <c r="F64" s="55">
        <v>9</v>
      </c>
      <c r="G64" s="54" t="s">
        <v>62</v>
      </c>
      <c r="H64" s="54" t="s">
        <v>71</v>
      </c>
      <c r="I64" s="55">
        <v>9</v>
      </c>
    </row>
    <row r="65" spans="1:9" x14ac:dyDescent="0.2">
      <c r="A65" s="54" t="s">
        <v>67</v>
      </c>
      <c r="B65" s="54" t="s">
        <v>71</v>
      </c>
      <c r="C65" s="55">
        <v>2</v>
      </c>
      <c r="D65" s="54" t="s">
        <v>67</v>
      </c>
      <c r="E65" s="54" t="s">
        <v>71</v>
      </c>
      <c r="F65" s="55">
        <v>2</v>
      </c>
      <c r="G65" s="54" t="s">
        <v>67</v>
      </c>
      <c r="H65" s="54" t="s">
        <v>71</v>
      </c>
      <c r="I65" s="55">
        <v>2</v>
      </c>
    </row>
    <row r="66" spans="1:9" x14ac:dyDescent="0.2">
      <c r="A66" s="54" t="s">
        <v>68</v>
      </c>
      <c r="B66" s="54" t="s">
        <v>71</v>
      </c>
      <c r="C66" s="55">
        <v>1</v>
      </c>
      <c r="D66" s="54" t="s">
        <v>68</v>
      </c>
      <c r="E66" s="54" t="s">
        <v>71</v>
      </c>
      <c r="F66" s="55">
        <v>1</v>
      </c>
      <c r="G66" s="54" t="s">
        <v>68</v>
      </c>
      <c r="H66" s="54" t="s">
        <v>71</v>
      </c>
      <c r="I66" s="55">
        <v>1</v>
      </c>
    </row>
    <row r="67" spans="1:9" x14ac:dyDescent="0.2">
      <c r="A67" s="54" t="s">
        <v>69</v>
      </c>
      <c r="B67" s="54" t="s">
        <v>71</v>
      </c>
      <c r="C67" s="55">
        <v>23</v>
      </c>
      <c r="D67" s="54" t="s">
        <v>69</v>
      </c>
      <c r="E67" s="54" t="s">
        <v>71</v>
      </c>
      <c r="F67" s="55">
        <v>23</v>
      </c>
      <c r="G67" s="54" t="s">
        <v>69</v>
      </c>
      <c r="H67" s="54" t="s">
        <v>71</v>
      </c>
      <c r="I67" s="55">
        <v>23</v>
      </c>
    </row>
    <row r="68" spans="1:9" x14ac:dyDescent="0.2">
      <c r="A68" s="54" t="s">
        <v>70</v>
      </c>
      <c r="B68" s="54" t="s">
        <v>71</v>
      </c>
      <c r="C68" s="55">
        <v>5</v>
      </c>
      <c r="D68" s="54" t="s">
        <v>70</v>
      </c>
      <c r="E68" s="54" t="s">
        <v>71</v>
      </c>
      <c r="F68" s="55">
        <v>5</v>
      </c>
      <c r="G68" s="54" t="s">
        <v>70</v>
      </c>
      <c r="H68" s="54" t="s">
        <v>71</v>
      </c>
      <c r="I68" s="55">
        <v>5</v>
      </c>
    </row>
    <row r="69" spans="1:9" x14ac:dyDescent="0.2">
      <c r="A69" s="54" t="s">
        <v>35</v>
      </c>
      <c r="B69" s="54" t="s">
        <v>72</v>
      </c>
      <c r="C69" s="55">
        <v>247</v>
      </c>
      <c r="D69" s="54" t="s">
        <v>35</v>
      </c>
      <c r="E69" s="54" t="s">
        <v>72</v>
      </c>
      <c r="F69" s="55">
        <v>247</v>
      </c>
      <c r="G69" s="54" t="s">
        <v>35</v>
      </c>
      <c r="H69" s="54" t="s">
        <v>72</v>
      </c>
      <c r="I69" s="55">
        <v>247</v>
      </c>
    </row>
    <row r="70" spans="1:9" x14ac:dyDescent="0.2">
      <c r="A70" s="54" t="s">
        <v>36</v>
      </c>
      <c r="B70" s="54" t="s">
        <v>72</v>
      </c>
      <c r="C70" s="55">
        <v>56</v>
      </c>
      <c r="D70" s="54" t="s">
        <v>36</v>
      </c>
      <c r="E70" s="54" t="s">
        <v>72</v>
      </c>
      <c r="F70" s="55">
        <v>56</v>
      </c>
      <c r="G70" s="54" t="s">
        <v>36</v>
      </c>
      <c r="H70" s="54" t="s">
        <v>72</v>
      </c>
      <c r="I70" s="55">
        <v>56</v>
      </c>
    </row>
    <row r="71" spans="1:9" x14ac:dyDescent="0.2">
      <c r="A71" s="54" t="s">
        <v>37</v>
      </c>
      <c r="B71" s="54" t="s">
        <v>72</v>
      </c>
      <c r="C71" s="55">
        <v>211</v>
      </c>
      <c r="D71" s="54" t="s">
        <v>37</v>
      </c>
      <c r="E71" s="54" t="s">
        <v>72</v>
      </c>
      <c r="F71" s="55">
        <v>211</v>
      </c>
      <c r="G71" s="54" t="s">
        <v>37</v>
      </c>
      <c r="H71" s="54" t="s">
        <v>72</v>
      </c>
      <c r="I71" s="55">
        <v>210</v>
      </c>
    </row>
    <row r="72" spans="1:9" x14ac:dyDescent="0.2">
      <c r="A72" s="54" t="s">
        <v>38</v>
      </c>
      <c r="B72" s="54" t="s">
        <v>72</v>
      </c>
      <c r="C72" s="55">
        <v>1</v>
      </c>
      <c r="D72" s="54" t="s">
        <v>38</v>
      </c>
      <c r="E72" s="54" t="s">
        <v>72</v>
      </c>
      <c r="F72" s="55">
        <v>1</v>
      </c>
      <c r="G72" s="54" t="s">
        <v>38</v>
      </c>
      <c r="H72" s="54" t="s">
        <v>72</v>
      </c>
      <c r="I72" s="55">
        <v>1</v>
      </c>
    </row>
    <row r="73" spans="1:9" x14ac:dyDescent="0.2">
      <c r="A73" s="54" t="s">
        <v>39</v>
      </c>
      <c r="B73" s="54" t="s">
        <v>72</v>
      </c>
      <c r="C73" s="55">
        <v>4</v>
      </c>
      <c r="D73" s="54" t="s">
        <v>39</v>
      </c>
      <c r="E73" s="54" t="s">
        <v>72</v>
      </c>
      <c r="F73" s="55">
        <v>4</v>
      </c>
      <c r="G73" s="54" t="s">
        <v>39</v>
      </c>
      <c r="H73" s="54" t="s">
        <v>72</v>
      </c>
      <c r="I73" s="55">
        <v>4</v>
      </c>
    </row>
    <row r="74" spans="1:9" x14ac:dyDescent="0.2">
      <c r="A74" s="54" t="s">
        <v>40</v>
      </c>
      <c r="B74" s="54" t="s">
        <v>72</v>
      </c>
      <c r="C74" s="55">
        <v>231</v>
      </c>
      <c r="D74" s="54" t="s">
        <v>40</v>
      </c>
      <c r="E74" s="54" t="s">
        <v>72</v>
      </c>
      <c r="F74" s="55">
        <v>231</v>
      </c>
      <c r="G74" s="54" t="s">
        <v>40</v>
      </c>
      <c r="H74" s="54" t="s">
        <v>72</v>
      </c>
      <c r="I74" s="55">
        <v>233</v>
      </c>
    </row>
    <row r="75" spans="1:9" x14ac:dyDescent="0.2">
      <c r="A75" s="54" t="s">
        <v>73</v>
      </c>
      <c r="B75" s="54" t="s">
        <v>72</v>
      </c>
      <c r="C75" s="55">
        <v>2</v>
      </c>
      <c r="D75" s="54" t="s">
        <v>73</v>
      </c>
      <c r="E75" s="54" t="s">
        <v>72</v>
      </c>
      <c r="F75" s="55">
        <v>2</v>
      </c>
      <c r="G75" s="54" t="s">
        <v>73</v>
      </c>
      <c r="H75" s="54" t="s">
        <v>72</v>
      </c>
      <c r="I75" s="55">
        <v>2</v>
      </c>
    </row>
    <row r="76" spans="1:9" x14ac:dyDescent="0.2">
      <c r="A76" s="54" t="s">
        <v>41</v>
      </c>
      <c r="B76" s="54" t="s">
        <v>72</v>
      </c>
      <c r="C76" s="55">
        <v>6</v>
      </c>
      <c r="D76" s="54" t="s">
        <v>41</v>
      </c>
      <c r="E76" s="54" t="s">
        <v>72</v>
      </c>
      <c r="F76" s="55">
        <v>6</v>
      </c>
      <c r="G76" s="54" t="s">
        <v>41</v>
      </c>
      <c r="H76" s="54" t="s">
        <v>72</v>
      </c>
      <c r="I76" s="55">
        <v>6</v>
      </c>
    </row>
    <row r="77" spans="1:9" x14ac:dyDescent="0.2">
      <c r="A77" s="54" t="s">
        <v>42</v>
      </c>
      <c r="B77" s="54" t="s">
        <v>72</v>
      </c>
      <c r="C77" s="55">
        <v>13</v>
      </c>
      <c r="D77" s="54" t="s">
        <v>42</v>
      </c>
      <c r="E77" s="54" t="s">
        <v>72</v>
      </c>
      <c r="F77" s="55">
        <v>13</v>
      </c>
      <c r="G77" s="54" t="s">
        <v>42</v>
      </c>
      <c r="H77" s="54" t="s">
        <v>72</v>
      </c>
      <c r="I77" s="55">
        <v>13</v>
      </c>
    </row>
    <row r="78" spans="1:9" x14ac:dyDescent="0.2">
      <c r="A78" s="54" t="s">
        <v>43</v>
      </c>
      <c r="B78" s="54" t="s">
        <v>72</v>
      </c>
      <c r="C78" s="55">
        <v>46</v>
      </c>
      <c r="D78" s="54" t="s">
        <v>43</v>
      </c>
      <c r="E78" s="54" t="s">
        <v>72</v>
      </c>
      <c r="F78" s="55">
        <v>46</v>
      </c>
      <c r="G78" s="54" t="s">
        <v>43</v>
      </c>
      <c r="H78" s="54" t="s">
        <v>72</v>
      </c>
      <c r="I78" s="55">
        <v>46</v>
      </c>
    </row>
    <row r="79" spans="1:9" x14ac:dyDescent="0.2">
      <c r="A79" s="54" t="s">
        <v>44</v>
      </c>
      <c r="B79" s="54" t="s">
        <v>72</v>
      </c>
      <c r="C79" s="55">
        <v>273</v>
      </c>
      <c r="D79" s="54" t="s">
        <v>44</v>
      </c>
      <c r="E79" s="54" t="s">
        <v>72</v>
      </c>
      <c r="F79" s="55">
        <v>273</v>
      </c>
      <c r="G79" s="54" t="s">
        <v>44</v>
      </c>
      <c r="H79" s="54" t="s">
        <v>72</v>
      </c>
      <c r="I79" s="55">
        <v>273</v>
      </c>
    </row>
    <row r="80" spans="1:9" x14ac:dyDescent="0.2">
      <c r="A80" s="54" t="s">
        <v>45</v>
      </c>
      <c r="B80" s="54" t="s">
        <v>72</v>
      </c>
      <c r="C80" s="55">
        <v>145</v>
      </c>
      <c r="D80" s="54" t="s">
        <v>45</v>
      </c>
      <c r="E80" s="54" t="s">
        <v>72</v>
      </c>
      <c r="F80" s="55">
        <v>146</v>
      </c>
      <c r="G80" s="54" t="s">
        <v>45</v>
      </c>
      <c r="H80" s="54" t="s">
        <v>72</v>
      </c>
      <c r="I80" s="55">
        <v>146</v>
      </c>
    </row>
    <row r="81" spans="1:9" x14ac:dyDescent="0.2">
      <c r="A81" s="54" t="s">
        <v>46</v>
      </c>
      <c r="B81" s="54" t="s">
        <v>72</v>
      </c>
      <c r="C81" s="55">
        <v>43</v>
      </c>
      <c r="D81" s="54" t="s">
        <v>46</v>
      </c>
      <c r="E81" s="54" t="s">
        <v>72</v>
      </c>
      <c r="F81" s="55">
        <v>43</v>
      </c>
      <c r="G81" s="54" t="s">
        <v>46</v>
      </c>
      <c r="H81" s="54" t="s">
        <v>72</v>
      </c>
      <c r="I81" s="55">
        <v>44</v>
      </c>
    </row>
    <row r="82" spans="1:9" x14ac:dyDescent="0.2">
      <c r="A82" s="54" t="s">
        <v>47</v>
      </c>
      <c r="B82" s="54" t="s">
        <v>72</v>
      </c>
      <c r="C82" s="55">
        <v>130</v>
      </c>
      <c r="D82" s="54" t="s">
        <v>47</v>
      </c>
      <c r="E82" s="54" t="s">
        <v>72</v>
      </c>
      <c r="F82" s="55">
        <v>130</v>
      </c>
      <c r="G82" s="54" t="s">
        <v>47</v>
      </c>
      <c r="H82" s="54" t="s">
        <v>72</v>
      </c>
      <c r="I82" s="55">
        <v>130</v>
      </c>
    </row>
    <row r="83" spans="1:9" x14ac:dyDescent="0.2">
      <c r="A83" s="54" t="s">
        <v>48</v>
      </c>
      <c r="B83" s="54" t="s">
        <v>72</v>
      </c>
      <c r="C83" s="55">
        <v>309</v>
      </c>
      <c r="D83" s="54" t="s">
        <v>48</v>
      </c>
      <c r="E83" s="54" t="s">
        <v>72</v>
      </c>
      <c r="F83" s="55">
        <v>313</v>
      </c>
      <c r="G83" s="54" t="s">
        <v>48</v>
      </c>
      <c r="H83" s="54" t="s">
        <v>72</v>
      </c>
      <c r="I83" s="55">
        <v>310</v>
      </c>
    </row>
    <row r="84" spans="1:9" x14ac:dyDescent="0.2">
      <c r="A84" s="54" t="s">
        <v>49</v>
      </c>
      <c r="B84" s="54" t="s">
        <v>72</v>
      </c>
      <c r="C84" s="55">
        <v>200</v>
      </c>
      <c r="D84" s="54" t="s">
        <v>49</v>
      </c>
      <c r="E84" s="54" t="s">
        <v>72</v>
      </c>
      <c r="F84" s="55">
        <v>201</v>
      </c>
      <c r="G84" s="54" t="s">
        <v>49</v>
      </c>
      <c r="H84" s="54" t="s">
        <v>72</v>
      </c>
      <c r="I84" s="55">
        <v>200</v>
      </c>
    </row>
    <row r="85" spans="1:9" x14ac:dyDescent="0.2">
      <c r="A85" s="54" t="s">
        <v>50</v>
      </c>
      <c r="B85" s="54" t="s">
        <v>72</v>
      </c>
      <c r="C85" s="55">
        <v>138</v>
      </c>
      <c r="D85" s="54" t="s">
        <v>50</v>
      </c>
      <c r="E85" s="54" t="s">
        <v>72</v>
      </c>
      <c r="F85" s="55">
        <v>138</v>
      </c>
      <c r="G85" s="54" t="s">
        <v>50</v>
      </c>
      <c r="H85" s="54" t="s">
        <v>72</v>
      </c>
      <c r="I85" s="55">
        <v>139</v>
      </c>
    </row>
    <row r="86" spans="1:9" x14ac:dyDescent="0.2">
      <c r="A86" s="54" t="s">
        <v>51</v>
      </c>
      <c r="B86" s="54" t="s">
        <v>72</v>
      </c>
      <c r="C86" s="55">
        <v>4</v>
      </c>
      <c r="D86" s="54" t="s">
        <v>51</v>
      </c>
      <c r="E86" s="54" t="s">
        <v>72</v>
      </c>
      <c r="F86" s="55">
        <v>4</v>
      </c>
      <c r="G86" s="54" t="s">
        <v>51</v>
      </c>
      <c r="H86" s="54" t="s">
        <v>72</v>
      </c>
      <c r="I86" s="55">
        <v>4</v>
      </c>
    </row>
    <row r="87" spans="1:9" x14ac:dyDescent="0.2">
      <c r="A87" s="54" t="s">
        <v>52</v>
      </c>
      <c r="B87" s="54" t="s">
        <v>72</v>
      </c>
      <c r="C87" s="55">
        <v>323</v>
      </c>
      <c r="D87" s="54" t="s">
        <v>52</v>
      </c>
      <c r="E87" s="54" t="s">
        <v>72</v>
      </c>
      <c r="F87" s="55">
        <v>323</v>
      </c>
      <c r="G87" s="54" t="s">
        <v>52</v>
      </c>
      <c r="H87" s="54" t="s">
        <v>72</v>
      </c>
      <c r="I87" s="55">
        <v>321</v>
      </c>
    </row>
    <row r="88" spans="1:9" x14ac:dyDescent="0.2">
      <c r="A88" s="54" t="s">
        <v>53</v>
      </c>
      <c r="B88" s="54" t="s">
        <v>72</v>
      </c>
      <c r="C88" s="55">
        <v>418</v>
      </c>
      <c r="D88" s="54" t="s">
        <v>53</v>
      </c>
      <c r="E88" s="54" t="s">
        <v>72</v>
      </c>
      <c r="F88" s="55">
        <v>420</v>
      </c>
      <c r="G88" s="54" t="s">
        <v>53</v>
      </c>
      <c r="H88" s="54" t="s">
        <v>72</v>
      </c>
      <c r="I88" s="55">
        <v>419</v>
      </c>
    </row>
    <row r="89" spans="1:9" x14ac:dyDescent="0.2">
      <c r="A89" s="54" t="s">
        <v>54</v>
      </c>
      <c r="B89" s="54" t="s">
        <v>72</v>
      </c>
      <c r="C89" s="55">
        <v>53</v>
      </c>
      <c r="D89" s="54" t="s">
        <v>54</v>
      </c>
      <c r="E89" s="54" t="s">
        <v>72</v>
      </c>
      <c r="F89" s="55">
        <v>53</v>
      </c>
      <c r="G89" s="54" t="s">
        <v>54</v>
      </c>
      <c r="H89" s="54" t="s">
        <v>72</v>
      </c>
      <c r="I89" s="55">
        <v>53</v>
      </c>
    </row>
    <row r="90" spans="1:9" x14ac:dyDescent="0.2">
      <c r="A90" s="54" t="s">
        <v>55</v>
      </c>
      <c r="B90" s="54" t="s">
        <v>72</v>
      </c>
      <c r="C90" s="55">
        <v>150</v>
      </c>
      <c r="D90" s="54" t="s">
        <v>55</v>
      </c>
      <c r="E90" s="54" t="s">
        <v>72</v>
      </c>
      <c r="F90" s="55">
        <v>150</v>
      </c>
      <c r="G90" s="54" t="s">
        <v>55</v>
      </c>
      <c r="H90" s="54" t="s">
        <v>72</v>
      </c>
      <c r="I90" s="55">
        <v>150</v>
      </c>
    </row>
    <row r="91" spans="1:9" x14ac:dyDescent="0.2">
      <c r="A91" s="54" t="s">
        <v>56</v>
      </c>
      <c r="B91" s="54" t="s">
        <v>72</v>
      </c>
      <c r="C91" s="55">
        <v>816</v>
      </c>
      <c r="D91" s="54" t="s">
        <v>56</v>
      </c>
      <c r="E91" s="54" t="s">
        <v>72</v>
      </c>
      <c r="F91" s="55">
        <v>817</v>
      </c>
      <c r="G91" s="54" t="s">
        <v>56</v>
      </c>
      <c r="H91" s="54" t="s">
        <v>72</v>
      </c>
      <c r="I91" s="55">
        <v>816</v>
      </c>
    </row>
    <row r="92" spans="1:9" x14ac:dyDescent="0.2">
      <c r="A92" s="54" t="s">
        <v>57</v>
      </c>
      <c r="B92" s="54" t="s">
        <v>72</v>
      </c>
      <c r="C92" s="55">
        <v>13</v>
      </c>
      <c r="D92" s="54" t="s">
        <v>57</v>
      </c>
      <c r="E92" s="54" t="s">
        <v>72</v>
      </c>
      <c r="F92" s="55">
        <v>13</v>
      </c>
      <c r="G92" s="54" t="s">
        <v>57</v>
      </c>
      <c r="H92" s="54" t="s">
        <v>72</v>
      </c>
      <c r="I92" s="55">
        <v>13</v>
      </c>
    </row>
    <row r="93" spans="1:9" x14ac:dyDescent="0.2">
      <c r="A93" s="54" t="s">
        <v>58</v>
      </c>
      <c r="B93" s="54" t="s">
        <v>72</v>
      </c>
      <c r="C93" s="55">
        <v>467</v>
      </c>
      <c r="D93" s="54" t="s">
        <v>58</v>
      </c>
      <c r="E93" s="54" t="s">
        <v>72</v>
      </c>
      <c r="F93" s="55">
        <v>470</v>
      </c>
      <c r="G93" s="54" t="s">
        <v>58</v>
      </c>
      <c r="H93" s="54" t="s">
        <v>72</v>
      </c>
      <c r="I93" s="55">
        <v>467</v>
      </c>
    </row>
    <row r="94" spans="1:9" x14ac:dyDescent="0.2">
      <c r="A94" s="54" t="s">
        <v>59</v>
      </c>
      <c r="B94" s="54" t="s">
        <v>72</v>
      </c>
      <c r="C94" s="55">
        <v>1</v>
      </c>
      <c r="D94" s="54" t="s">
        <v>59</v>
      </c>
      <c r="E94" s="54" t="s">
        <v>72</v>
      </c>
      <c r="F94" s="55">
        <v>1</v>
      </c>
      <c r="G94" s="54" t="s">
        <v>59</v>
      </c>
      <c r="H94" s="54" t="s">
        <v>72</v>
      </c>
      <c r="I94" s="55">
        <v>1</v>
      </c>
    </row>
    <row r="95" spans="1:9" x14ac:dyDescent="0.2">
      <c r="A95" s="54" t="s">
        <v>60</v>
      </c>
      <c r="B95" s="54" t="s">
        <v>72</v>
      </c>
      <c r="C95" s="55">
        <v>44</v>
      </c>
      <c r="D95" s="54" t="s">
        <v>60</v>
      </c>
      <c r="E95" s="54" t="s">
        <v>72</v>
      </c>
      <c r="F95" s="55">
        <v>44</v>
      </c>
      <c r="G95" s="54" t="s">
        <v>60</v>
      </c>
      <c r="H95" s="54" t="s">
        <v>72</v>
      </c>
      <c r="I95" s="55">
        <v>44</v>
      </c>
    </row>
    <row r="96" spans="1:9" x14ac:dyDescent="0.2">
      <c r="A96" s="54" t="s">
        <v>61</v>
      </c>
      <c r="B96" s="54" t="s">
        <v>72</v>
      </c>
      <c r="C96" s="55">
        <v>33</v>
      </c>
      <c r="D96" s="54" t="s">
        <v>61</v>
      </c>
      <c r="E96" s="54" t="s">
        <v>72</v>
      </c>
      <c r="F96" s="55">
        <v>33</v>
      </c>
      <c r="G96" s="54" t="s">
        <v>61</v>
      </c>
      <c r="H96" s="54" t="s">
        <v>72</v>
      </c>
      <c r="I96" s="55">
        <v>33</v>
      </c>
    </row>
    <row r="97" spans="1:9" x14ac:dyDescent="0.2">
      <c r="A97" s="54" t="s">
        <v>62</v>
      </c>
      <c r="B97" s="54" t="s">
        <v>72</v>
      </c>
      <c r="C97" s="55">
        <v>42</v>
      </c>
      <c r="D97" s="54" t="s">
        <v>62</v>
      </c>
      <c r="E97" s="54" t="s">
        <v>72</v>
      </c>
      <c r="F97" s="55">
        <v>41</v>
      </c>
      <c r="G97" s="54" t="s">
        <v>62</v>
      </c>
      <c r="H97" s="54" t="s">
        <v>72</v>
      </c>
      <c r="I97" s="55">
        <v>42</v>
      </c>
    </row>
    <row r="98" spans="1:9" x14ac:dyDescent="0.2">
      <c r="A98" s="54" t="s">
        <v>63</v>
      </c>
      <c r="B98" s="54" t="s">
        <v>72</v>
      </c>
      <c r="C98" s="55">
        <v>5</v>
      </c>
      <c r="D98" s="54" t="s">
        <v>63</v>
      </c>
      <c r="E98" s="54" t="s">
        <v>72</v>
      </c>
      <c r="F98" s="55">
        <v>5</v>
      </c>
      <c r="G98" s="54" t="s">
        <v>63</v>
      </c>
      <c r="H98" s="54" t="s">
        <v>72</v>
      </c>
      <c r="I98" s="55">
        <v>5</v>
      </c>
    </row>
    <row r="99" spans="1:9" x14ac:dyDescent="0.2">
      <c r="A99" s="54" t="s">
        <v>74</v>
      </c>
      <c r="B99" s="54" t="s">
        <v>72</v>
      </c>
      <c r="C99" s="55">
        <v>1</v>
      </c>
      <c r="D99" s="54" t="s">
        <v>74</v>
      </c>
      <c r="E99" s="54" t="s">
        <v>72</v>
      </c>
      <c r="F99" s="55">
        <v>1</v>
      </c>
      <c r="G99" s="54" t="s">
        <v>74</v>
      </c>
      <c r="H99" s="54" t="s">
        <v>72</v>
      </c>
      <c r="I99" s="55">
        <v>1</v>
      </c>
    </row>
    <row r="100" spans="1:9" x14ac:dyDescent="0.2">
      <c r="A100" s="54" t="s">
        <v>64</v>
      </c>
      <c r="B100" s="54" t="s">
        <v>72</v>
      </c>
      <c r="C100" s="55">
        <v>36</v>
      </c>
      <c r="D100" s="54" t="s">
        <v>64</v>
      </c>
      <c r="E100" s="54" t="s">
        <v>72</v>
      </c>
      <c r="F100" s="55">
        <v>35</v>
      </c>
      <c r="G100" s="54" t="s">
        <v>64</v>
      </c>
      <c r="H100" s="54" t="s">
        <v>72</v>
      </c>
      <c r="I100" s="55">
        <v>35</v>
      </c>
    </row>
    <row r="101" spans="1:9" x14ac:dyDescent="0.2">
      <c r="A101" s="54" t="s">
        <v>65</v>
      </c>
      <c r="B101" s="54" t="s">
        <v>72</v>
      </c>
      <c r="C101" s="55">
        <v>8</v>
      </c>
      <c r="D101" s="54" t="s">
        <v>65</v>
      </c>
      <c r="E101" s="54" t="s">
        <v>72</v>
      </c>
      <c r="F101" s="55">
        <v>8</v>
      </c>
      <c r="G101" s="54" t="s">
        <v>65</v>
      </c>
      <c r="H101" s="54" t="s">
        <v>72</v>
      </c>
      <c r="I101" s="55">
        <v>8</v>
      </c>
    </row>
    <row r="102" spans="1:9" x14ac:dyDescent="0.2">
      <c r="A102" s="54" t="s">
        <v>66</v>
      </c>
      <c r="B102" s="54" t="s">
        <v>72</v>
      </c>
      <c r="C102" s="55">
        <v>6</v>
      </c>
      <c r="D102" s="54" t="s">
        <v>66</v>
      </c>
      <c r="E102" s="54" t="s">
        <v>72</v>
      </c>
      <c r="F102" s="55">
        <v>6</v>
      </c>
      <c r="G102" s="54" t="s">
        <v>66</v>
      </c>
      <c r="H102" s="54" t="s">
        <v>72</v>
      </c>
      <c r="I102" s="55">
        <v>6</v>
      </c>
    </row>
    <row r="103" spans="1:9" x14ac:dyDescent="0.2">
      <c r="A103" s="54" t="s">
        <v>67</v>
      </c>
      <c r="B103" s="54" t="s">
        <v>72</v>
      </c>
      <c r="C103" s="55">
        <v>214</v>
      </c>
      <c r="D103" s="54" t="s">
        <v>67</v>
      </c>
      <c r="E103" s="54" t="s">
        <v>72</v>
      </c>
      <c r="F103" s="55">
        <v>214</v>
      </c>
      <c r="G103" s="54" t="s">
        <v>67</v>
      </c>
      <c r="H103" s="54" t="s">
        <v>72</v>
      </c>
      <c r="I103" s="55">
        <v>215</v>
      </c>
    </row>
    <row r="104" spans="1:9" x14ac:dyDescent="0.2">
      <c r="A104" s="54" t="s">
        <v>68</v>
      </c>
      <c r="B104" s="54" t="s">
        <v>72</v>
      </c>
      <c r="C104" s="55">
        <v>12</v>
      </c>
      <c r="D104" s="54" t="s">
        <v>68</v>
      </c>
      <c r="E104" s="54" t="s">
        <v>72</v>
      </c>
      <c r="F104" s="55">
        <v>12</v>
      </c>
      <c r="G104" s="54" t="s">
        <v>68</v>
      </c>
      <c r="H104" s="54" t="s">
        <v>72</v>
      </c>
      <c r="I104" s="55">
        <v>12</v>
      </c>
    </row>
    <row r="105" spans="1:9" x14ac:dyDescent="0.2">
      <c r="A105" s="54" t="s">
        <v>69</v>
      </c>
      <c r="B105" s="54" t="s">
        <v>72</v>
      </c>
      <c r="C105" s="55">
        <v>420</v>
      </c>
      <c r="D105" s="54" t="s">
        <v>69</v>
      </c>
      <c r="E105" s="54" t="s">
        <v>72</v>
      </c>
      <c r="F105" s="55">
        <v>423</v>
      </c>
      <c r="G105" s="54" t="s">
        <v>69</v>
      </c>
      <c r="H105" s="54" t="s">
        <v>72</v>
      </c>
      <c r="I105" s="55">
        <v>418</v>
      </c>
    </row>
    <row r="106" spans="1:9" x14ac:dyDescent="0.2">
      <c r="A106" s="54" t="s">
        <v>70</v>
      </c>
      <c r="B106" s="54" t="s">
        <v>72</v>
      </c>
      <c r="C106" s="55">
        <v>10</v>
      </c>
      <c r="D106" s="54" t="s">
        <v>70</v>
      </c>
      <c r="E106" s="54" t="s">
        <v>72</v>
      </c>
      <c r="F106" s="55">
        <v>10</v>
      </c>
      <c r="G106" s="54" t="s">
        <v>70</v>
      </c>
      <c r="H106" s="54" t="s">
        <v>72</v>
      </c>
      <c r="I106" s="55">
        <v>10</v>
      </c>
    </row>
    <row r="107" spans="1:9" x14ac:dyDescent="0.2">
      <c r="A107" s="54" t="s">
        <v>76</v>
      </c>
      <c r="B107" s="54" t="s">
        <v>75</v>
      </c>
      <c r="C107" s="55">
        <v>8</v>
      </c>
      <c r="D107" s="54" t="s">
        <v>76</v>
      </c>
      <c r="E107" s="54" t="s">
        <v>75</v>
      </c>
      <c r="F107" s="55">
        <v>8</v>
      </c>
      <c r="G107" s="54" t="s">
        <v>76</v>
      </c>
      <c r="H107" s="54" t="s">
        <v>75</v>
      </c>
      <c r="I107" s="55">
        <v>8</v>
      </c>
    </row>
    <row r="108" spans="1:9" x14ac:dyDescent="0.2">
      <c r="A108" s="54" t="s">
        <v>35</v>
      </c>
      <c r="B108" s="54" t="s">
        <v>75</v>
      </c>
      <c r="C108" s="55">
        <v>13681</v>
      </c>
      <c r="D108" s="54" t="s">
        <v>35</v>
      </c>
      <c r="E108" s="54" t="s">
        <v>75</v>
      </c>
      <c r="F108" s="55">
        <v>13712</v>
      </c>
      <c r="G108" s="54" t="s">
        <v>35</v>
      </c>
      <c r="H108" s="54" t="s">
        <v>75</v>
      </c>
      <c r="I108" s="55">
        <v>13684</v>
      </c>
    </row>
    <row r="109" spans="1:9" x14ac:dyDescent="0.2">
      <c r="A109" s="54" t="s">
        <v>36</v>
      </c>
      <c r="B109" s="54" t="s">
        <v>75</v>
      </c>
      <c r="C109" s="55">
        <v>20223</v>
      </c>
      <c r="D109" s="54" t="s">
        <v>36</v>
      </c>
      <c r="E109" s="54" t="s">
        <v>75</v>
      </c>
      <c r="F109" s="55">
        <v>20252</v>
      </c>
      <c r="G109" s="54" t="s">
        <v>36</v>
      </c>
      <c r="H109" s="54" t="s">
        <v>75</v>
      </c>
      <c r="I109" s="55">
        <v>20221</v>
      </c>
    </row>
    <row r="110" spans="1:9" x14ac:dyDescent="0.2">
      <c r="A110" s="54" t="s">
        <v>37</v>
      </c>
      <c r="B110" s="54" t="s">
        <v>75</v>
      </c>
      <c r="C110" s="55">
        <v>7525</v>
      </c>
      <c r="D110" s="54" t="s">
        <v>37</v>
      </c>
      <c r="E110" s="54" t="s">
        <v>75</v>
      </c>
      <c r="F110" s="55">
        <v>7542</v>
      </c>
      <c r="G110" s="54" t="s">
        <v>37</v>
      </c>
      <c r="H110" s="54" t="s">
        <v>75</v>
      </c>
      <c r="I110" s="55">
        <v>7529</v>
      </c>
    </row>
    <row r="111" spans="1:9" x14ac:dyDescent="0.2">
      <c r="A111" s="54" t="s">
        <v>38</v>
      </c>
      <c r="B111" s="54" t="s">
        <v>75</v>
      </c>
      <c r="C111" s="55">
        <v>2</v>
      </c>
      <c r="D111" s="54" t="s">
        <v>38</v>
      </c>
      <c r="E111" s="54" t="s">
        <v>75</v>
      </c>
      <c r="F111" s="55">
        <v>2</v>
      </c>
      <c r="G111" s="54" t="s">
        <v>38</v>
      </c>
      <c r="H111" s="54" t="s">
        <v>75</v>
      </c>
      <c r="I111" s="55">
        <v>2</v>
      </c>
    </row>
    <row r="112" spans="1:9" x14ac:dyDescent="0.2">
      <c r="A112" s="54" t="s">
        <v>40</v>
      </c>
      <c r="B112" s="54" t="s">
        <v>75</v>
      </c>
      <c r="C112" s="55">
        <v>19068</v>
      </c>
      <c r="D112" s="54" t="s">
        <v>40</v>
      </c>
      <c r="E112" s="54" t="s">
        <v>75</v>
      </c>
      <c r="F112" s="55">
        <v>19094</v>
      </c>
      <c r="G112" s="54" t="s">
        <v>40</v>
      </c>
      <c r="H112" s="54" t="s">
        <v>75</v>
      </c>
      <c r="I112" s="55">
        <v>19080</v>
      </c>
    </row>
    <row r="113" spans="1:9" x14ac:dyDescent="0.2">
      <c r="A113" s="54" t="s">
        <v>41</v>
      </c>
      <c r="B113" s="54" t="s">
        <v>75</v>
      </c>
      <c r="C113" s="55">
        <v>3</v>
      </c>
      <c r="D113" s="54" t="s">
        <v>41</v>
      </c>
      <c r="E113" s="54" t="s">
        <v>75</v>
      </c>
      <c r="F113" s="55">
        <v>3</v>
      </c>
      <c r="G113" s="54" t="s">
        <v>41</v>
      </c>
      <c r="H113" s="54" t="s">
        <v>75</v>
      </c>
      <c r="I113" s="55">
        <v>3</v>
      </c>
    </row>
    <row r="114" spans="1:9" x14ac:dyDescent="0.2">
      <c r="A114" s="54" t="s">
        <v>42</v>
      </c>
      <c r="B114" s="54" t="s">
        <v>75</v>
      </c>
      <c r="C114" s="55">
        <v>242</v>
      </c>
      <c r="D114" s="54" t="s">
        <v>42</v>
      </c>
      <c r="E114" s="54" t="s">
        <v>75</v>
      </c>
      <c r="F114" s="55">
        <v>244</v>
      </c>
      <c r="G114" s="54" t="s">
        <v>42</v>
      </c>
      <c r="H114" s="54" t="s">
        <v>75</v>
      </c>
      <c r="I114" s="55">
        <v>245</v>
      </c>
    </row>
    <row r="115" spans="1:9" x14ac:dyDescent="0.2">
      <c r="A115" s="54" t="s">
        <v>43</v>
      </c>
      <c r="B115" s="54" t="s">
        <v>75</v>
      </c>
      <c r="C115" s="55">
        <v>532</v>
      </c>
      <c r="D115" s="54" t="s">
        <v>43</v>
      </c>
      <c r="E115" s="54" t="s">
        <v>75</v>
      </c>
      <c r="F115" s="55">
        <v>531</v>
      </c>
      <c r="G115" s="54" t="s">
        <v>43</v>
      </c>
      <c r="H115" s="54" t="s">
        <v>75</v>
      </c>
      <c r="I115" s="55">
        <v>534</v>
      </c>
    </row>
    <row r="116" spans="1:9" x14ac:dyDescent="0.2">
      <c r="A116" s="54" t="s">
        <v>44</v>
      </c>
      <c r="B116" s="54" t="s">
        <v>75</v>
      </c>
      <c r="C116" s="55">
        <v>4638</v>
      </c>
      <c r="D116" s="54" t="s">
        <v>44</v>
      </c>
      <c r="E116" s="54" t="s">
        <v>75</v>
      </c>
      <c r="F116" s="55">
        <v>4637</v>
      </c>
      <c r="G116" s="54" t="s">
        <v>44</v>
      </c>
      <c r="H116" s="54" t="s">
        <v>75</v>
      </c>
      <c r="I116" s="55">
        <v>4645</v>
      </c>
    </row>
    <row r="117" spans="1:9" x14ac:dyDescent="0.2">
      <c r="A117" s="54" t="s">
        <v>45</v>
      </c>
      <c r="B117" s="54" t="s">
        <v>75</v>
      </c>
      <c r="C117" s="55">
        <v>1676</v>
      </c>
      <c r="D117" s="54" t="s">
        <v>45</v>
      </c>
      <c r="E117" s="54" t="s">
        <v>75</v>
      </c>
      <c r="F117" s="55">
        <v>1685</v>
      </c>
      <c r="G117" s="54" t="s">
        <v>45</v>
      </c>
      <c r="H117" s="54" t="s">
        <v>75</v>
      </c>
      <c r="I117" s="55">
        <v>1682</v>
      </c>
    </row>
    <row r="118" spans="1:9" x14ac:dyDescent="0.2">
      <c r="A118" s="54" t="s">
        <v>46</v>
      </c>
      <c r="B118" s="54" t="s">
        <v>75</v>
      </c>
      <c r="C118" s="55">
        <v>293</v>
      </c>
      <c r="D118" s="54" t="s">
        <v>46</v>
      </c>
      <c r="E118" s="54" t="s">
        <v>75</v>
      </c>
      <c r="F118" s="55">
        <v>290</v>
      </c>
      <c r="G118" s="54" t="s">
        <v>46</v>
      </c>
      <c r="H118" s="54" t="s">
        <v>75</v>
      </c>
      <c r="I118" s="55">
        <v>289</v>
      </c>
    </row>
    <row r="119" spans="1:9" x14ac:dyDescent="0.2">
      <c r="A119" s="54" t="s">
        <v>47</v>
      </c>
      <c r="B119" s="54" t="s">
        <v>75</v>
      </c>
      <c r="C119" s="55">
        <v>915</v>
      </c>
      <c r="D119" s="54" t="s">
        <v>47</v>
      </c>
      <c r="E119" s="54" t="s">
        <v>75</v>
      </c>
      <c r="F119" s="55">
        <v>922</v>
      </c>
      <c r="G119" s="54" t="s">
        <v>47</v>
      </c>
      <c r="H119" s="54" t="s">
        <v>75</v>
      </c>
      <c r="I119" s="55">
        <v>916</v>
      </c>
    </row>
    <row r="120" spans="1:9" x14ac:dyDescent="0.2">
      <c r="A120" s="54" t="s">
        <v>48</v>
      </c>
      <c r="B120" s="54" t="s">
        <v>75</v>
      </c>
      <c r="C120" s="55">
        <v>2643</v>
      </c>
      <c r="D120" s="54" t="s">
        <v>48</v>
      </c>
      <c r="E120" s="54" t="s">
        <v>75</v>
      </c>
      <c r="F120" s="55">
        <v>2661</v>
      </c>
      <c r="G120" s="54" t="s">
        <v>48</v>
      </c>
      <c r="H120" s="54" t="s">
        <v>75</v>
      </c>
      <c r="I120" s="55">
        <v>2646</v>
      </c>
    </row>
    <row r="121" spans="1:9" x14ac:dyDescent="0.2">
      <c r="A121" s="54" t="s">
        <v>49</v>
      </c>
      <c r="B121" s="54" t="s">
        <v>75</v>
      </c>
      <c r="C121" s="55">
        <v>2315</v>
      </c>
      <c r="D121" s="54" t="s">
        <v>49</v>
      </c>
      <c r="E121" s="54" t="s">
        <v>75</v>
      </c>
      <c r="F121" s="55">
        <v>2325</v>
      </c>
      <c r="G121" s="54" t="s">
        <v>49</v>
      </c>
      <c r="H121" s="54" t="s">
        <v>75</v>
      </c>
      <c r="I121" s="55">
        <v>2312</v>
      </c>
    </row>
    <row r="122" spans="1:9" x14ac:dyDescent="0.2">
      <c r="A122" s="54" t="s">
        <v>50</v>
      </c>
      <c r="B122" s="54" t="s">
        <v>75</v>
      </c>
      <c r="C122" s="55">
        <v>578</v>
      </c>
      <c r="D122" s="54" t="s">
        <v>50</v>
      </c>
      <c r="E122" s="54" t="s">
        <v>75</v>
      </c>
      <c r="F122" s="55">
        <v>579</v>
      </c>
      <c r="G122" s="54" t="s">
        <v>50</v>
      </c>
      <c r="H122" s="54" t="s">
        <v>75</v>
      </c>
      <c r="I122" s="55">
        <v>582</v>
      </c>
    </row>
    <row r="123" spans="1:9" x14ac:dyDescent="0.2">
      <c r="A123" s="54" t="s">
        <v>51</v>
      </c>
      <c r="B123" s="54" t="s">
        <v>75</v>
      </c>
      <c r="C123" s="55">
        <v>94</v>
      </c>
      <c r="D123" s="54" t="s">
        <v>51</v>
      </c>
      <c r="E123" s="54" t="s">
        <v>75</v>
      </c>
      <c r="F123" s="55">
        <v>97</v>
      </c>
      <c r="G123" s="54" t="s">
        <v>51</v>
      </c>
      <c r="H123" s="54" t="s">
        <v>75</v>
      </c>
      <c r="I123" s="55">
        <v>96</v>
      </c>
    </row>
    <row r="124" spans="1:9" x14ac:dyDescent="0.2">
      <c r="A124" s="54" t="s">
        <v>52</v>
      </c>
      <c r="B124" s="54" t="s">
        <v>75</v>
      </c>
      <c r="C124" s="55">
        <v>8357</v>
      </c>
      <c r="D124" s="54" t="s">
        <v>52</v>
      </c>
      <c r="E124" s="54" t="s">
        <v>75</v>
      </c>
      <c r="F124" s="55">
        <v>8381</v>
      </c>
      <c r="G124" s="54" t="s">
        <v>52</v>
      </c>
      <c r="H124" s="54" t="s">
        <v>75</v>
      </c>
      <c r="I124" s="55">
        <v>8396</v>
      </c>
    </row>
    <row r="125" spans="1:9" x14ac:dyDescent="0.2">
      <c r="A125" s="54" t="s">
        <v>53</v>
      </c>
      <c r="B125" s="54" t="s">
        <v>75</v>
      </c>
      <c r="C125" s="55">
        <v>7305</v>
      </c>
      <c r="D125" s="54" t="s">
        <v>53</v>
      </c>
      <c r="E125" s="54" t="s">
        <v>75</v>
      </c>
      <c r="F125" s="55">
        <v>7278</v>
      </c>
      <c r="G125" s="54" t="s">
        <v>53</v>
      </c>
      <c r="H125" s="54" t="s">
        <v>75</v>
      </c>
      <c r="I125" s="55">
        <v>7281</v>
      </c>
    </row>
    <row r="126" spans="1:9" x14ac:dyDescent="0.2">
      <c r="A126" s="54" t="s">
        <v>54</v>
      </c>
      <c r="B126" s="54" t="s">
        <v>75</v>
      </c>
      <c r="C126" s="55">
        <v>1287</v>
      </c>
      <c r="D126" s="54" t="s">
        <v>54</v>
      </c>
      <c r="E126" s="54" t="s">
        <v>75</v>
      </c>
      <c r="F126" s="55">
        <v>1293</v>
      </c>
      <c r="G126" s="54" t="s">
        <v>54</v>
      </c>
      <c r="H126" s="54" t="s">
        <v>75</v>
      </c>
      <c r="I126" s="55">
        <v>1298</v>
      </c>
    </row>
    <row r="127" spans="1:9" x14ac:dyDescent="0.2">
      <c r="A127" s="54" t="s">
        <v>55</v>
      </c>
      <c r="B127" s="54" t="s">
        <v>75</v>
      </c>
      <c r="C127" s="55">
        <v>3449</v>
      </c>
      <c r="D127" s="54" t="s">
        <v>55</v>
      </c>
      <c r="E127" s="54" t="s">
        <v>75</v>
      </c>
      <c r="F127" s="55">
        <v>3446</v>
      </c>
      <c r="G127" s="54" t="s">
        <v>55</v>
      </c>
      <c r="H127" s="54" t="s">
        <v>75</v>
      </c>
      <c r="I127" s="55">
        <v>3447</v>
      </c>
    </row>
    <row r="128" spans="1:9" x14ac:dyDescent="0.2">
      <c r="A128" s="54" t="s">
        <v>77</v>
      </c>
      <c r="B128" s="54" t="s">
        <v>75</v>
      </c>
      <c r="C128" s="55">
        <v>1</v>
      </c>
      <c r="D128" s="54" t="s">
        <v>77</v>
      </c>
      <c r="E128" s="54" t="s">
        <v>75</v>
      </c>
      <c r="F128" s="55">
        <v>1</v>
      </c>
      <c r="G128" s="54" t="s">
        <v>77</v>
      </c>
      <c r="H128" s="54" t="s">
        <v>75</v>
      </c>
      <c r="I128" s="55">
        <v>1</v>
      </c>
    </row>
    <row r="129" spans="1:9" x14ac:dyDescent="0.2">
      <c r="A129" s="54" t="s">
        <v>56</v>
      </c>
      <c r="B129" s="54" t="s">
        <v>75</v>
      </c>
      <c r="C129" s="55">
        <v>3554</v>
      </c>
      <c r="D129" s="54" t="s">
        <v>56</v>
      </c>
      <c r="E129" s="54" t="s">
        <v>75</v>
      </c>
      <c r="F129" s="55">
        <v>3571</v>
      </c>
      <c r="G129" s="54" t="s">
        <v>56</v>
      </c>
      <c r="H129" s="54" t="s">
        <v>75</v>
      </c>
      <c r="I129" s="55">
        <v>3560</v>
      </c>
    </row>
    <row r="130" spans="1:9" x14ac:dyDescent="0.2">
      <c r="A130" s="54" t="s">
        <v>57</v>
      </c>
      <c r="B130" s="54" t="s">
        <v>75</v>
      </c>
      <c r="C130" s="55">
        <v>185</v>
      </c>
      <c r="D130" s="54" t="s">
        <v>57</v>
      </c>
      <c r="E130" s="54" t="s">
        <v>75</v>
      </c>
      <c r="F130" s="55">
        <v>189</v>
      </c>
      <c r="G130" s="54" t="s">
        <v>57</v>
      </c>
      <c r="H130" s="54" t="s">
        <v>75</v>
      </c>
      <c r="I130" s="55">
        <v>189</v>
      </c>
    </row>
    <row r="131" spans="1:9" x14ac:dyDescent="0.2">
      <c r="A131" s="54" t="s">
        <v>58</v>
      </c>
      <c r="B131" s="54" t="s">
        <v>75</v>
      </c>
      <c r="C131" s="55">
        <v>2620</v>
      </c>
      <c r="D131" s="54" t="s">
        <v>58</v>
      </c>
      <c r="E131" s="54" t="s">
        <v>75</v>
      </c>
      <c r="F131" s="55">
        <v>2619</v>
      </c>
      <c r="G131" s="54" t="s">
        <v>58</v>
      </c>
      <c r="H131" s="54" t="s">
        <v>75</v>
      </c>
      <c r="I131" s="55">
        <v>2620</v>
      </c>
    </row>
    <row r="132" spans="1:9" x14ac:dyDescent="0.2">
      <c r="A132" s="54" t="s">
        <v>59</v>
      </c>
      <c r="B132" s="54" t="s">
        <v>75</v>
      </c>
      <c r="C132" s="55">
        <v>2</v>
      </c>
      <c r="D132" s="54" t="s">
        <v>59</v>
      </c>
      <c r="E132" s="54" t="s">
        <v>75</v>
      </c>
      <c r="F132" s="55">
        <v>2</v>
      </c>
      <c r="G132" s="54" t="s">
        <v>59</v>
      </c>
      <c r="H132" s="54" t="s">
        <v>75</v>
      </c>
      <c r="I132" s="55">
        <v>3</v>
      </c>
    </row>
    <row r="133" spans="1:9" x14ac:dyDescent="0.2">
      <c r="A133" s="54" t="s">
        <v>60</v>
      </c>
      <c r="B133" s="54" t="s">
        <v>75</v>
      </c>
      <c r="C133" s="55">
        <v>880</v>
      </c>
      <c r="D133" s="54" t="s">
        <v>60</v>
      </c>
      <c r="E133" s="54" t="s">
        <v>75</v>
      </c>
      <c r="F133" s="55">
        <v>879</v>
      </c>
      <c r="G133" s="54" t="s">
        <v>60</v>
      </c>
      <c r="H133" s="54" t="s">
        <v>75</v>
      </c>
      <c r="I133" s="55">
        <v>876</v>
      </c>
    </row>
    <row r="134" spans="1:9" x14ac:dyDescent="0.2">
      <c r="A134" s="54" t="s">
        <v>61</v>
      </c>
      <c r="B134" s="54" t="s">
        <v>75</v>
      </c>
      <c r="C134" s="55">
        <v>3782</v>
      </c>
      <c r="D134" s="54" t="s">
        <v>61</v>
      </c>
      <c r="E134" s="54" t="s">
        <v>75</v>
      </c>
      <c r="F134" s="55">
        <v>3771</v>
      </c>
      <c r="G134" s="54" t="s">
        <v>61</v>
      </c>
      <c r="H134" s="54" t="s">
        <v>75</v>
      </c>
      <c r="I134" s="55">
        <v>3784</v>
      </c>
    </row>
    <row r="135" spans="1:9" x14ac:dyDescent="0.2">
      <c r="A135" s="54" t="s">
        <v>62</v>
      </c>
      <c r="B135" s="54" t="s">
        <v>75</v>
      </c>
      <c r="C135" s="55">
        <v>1709</v>
      </c>
      <c r="D135" s="54" t="s">
        <v>62</v>
      </c>
      <c r="E135" s="54" t="s">
        <v>75</v>
      </c>
      <c r="F135" s="55">
        <v>1682</v>
      </c>
      <c r="G135" s="54" t="s">
        <v>62</v>
      </c>
      <c r="H135" s="54" t="s">
        <v>75</v>
      </c>
      <c r="I135" s="55">
        <v>1701</v>
      </c>
    </row>
    <row r="136" spans="1:9" x14ac:dyDescent="0.2">
      <c r="A136" s="54" t="s">
        <v>63</v>
      </c>
      <c r="B136" s="54" t="s">
        <v>75</v>
      </c>
      <c r="C136" s="55">
        <v>117</v>
      </c>
      <c r="D136" s="54" t="s">
        <v>63</v>
      </c>
      <c r="E136" s="54" t="s">
        <v>75</v>
      </c>
      <c r="F136" s="55">
        <v>117</v>
      </c>
      <c r="G136" s="54" t="s">
        <v>63</v>
      </c>
      <c r="H136" s="54" t="s">
        <v>75</v>
      </c>
      <c r="I136" s="55">
        <v>116</v>
      </c>
    </row>
    <row r="137" spans="1:9" x14ac:dyDescent="0.2">
      <c r="A137" s="54" t="s">
        <v>64</v>
      </c>
      <c r="B137" s="54" t="s">
        <v>75</v>
      </c>
      <c r="C137" s="55">
        <v>909</v>
      </c>
      <c r="D137" s="54" t="s">
        <v>64</v>
      </c>
      <c r="E137" s="54" t="s">
        <v>75</v>
      </c>
      <c r="F137" s="55">
        <v>919</v>
      </c>
      <c r="G137" s="54" t="s">
        <v>64</v>
      </c>
      <c r="H137" s="54" t="s">
        <v>75</v>
      </c>
      <c r="I137" s="55">
        <v>903</v>
      </c>
    </row>
    <row r="138" spans="1:9" x14ac:dyDescent="0.2">
      <c r="A138" s="54" t="s">
        <v>65</v>
      </c>
      <c r="B138" s="54" t="s">
        <v>75</v>
      </c>
      <c r="C138" s="55">
        <v>203</v>
      </c>
      <c r="D138" s="54" t="s">
        <v>65</v>
      </c>
      <c r="E138" s="54" t="s">
        <v>75</v>
      </c>
      <c r="F138" s="55">
        <v>203</v>
      </c>
      <c r="G138" s="54" t="s">
        <v>65</v>
      </c>
      <c r="H138" s="54" t="s">
        <v>75</v>
      </c>
      <c r="I138" s="55">
        <v>203</v>
      </c>
    </row>
    <row r="139" spans="1:9" x14ac:dyDescent="0.2">
      <c r="A139" s="54" t="s">
        <v>66</v>
      </c>
      <c r="B139" s="54" t="s">
        <v>75</v>
      </c>
      <c r="C139" s="55">
        <v>47</v>
      </c>
      <c r="D139" s="54" t="s">
        <v>66</v>
      </c>
      <c r="E139" s="54" t="s">
        <v>75</v>
      </c>
      <c r="F139" s="55">
        <v>47</v>
      </c>
      <c r="G139" s="54" t="s">
        <v>66</v>
      </c>
      <c r="H139" s="54" t="s">
        <v>75</v>
      </c>
      <c r="I139" s="55">
        <v>47</v>
      </c>
    </row>
    <row r="140" spans="1:9" x14ac:dyDescent="0.2">
      <c r="A140" s="54" t="s">
        <v>67</v>
      </c>
      <c r="B140" s="54" t="s">
        <v>75</v>
      </c>
      <c r="C140" s="55">
        <v>404</v>
      </c>
      <c r="D140" s="54" t="s">
        <v>67</v>
      </c>
      <c r="E140" s="54" t="s">
        <v>75</v>
      </c>
      <c r="F140" s="55">
        <v>406</v>
      </c>
      <c r="G140" s="54" t="s">
        <v>67</v>
      </c>
      <c r="H140" s="54" t="s">
        <v>75</v>
      </c>
      <c r="I140" s="55">
        <v>405</v>
      </c>
    </row>
    <row r="141" spans="1:9" x14ac:dyDescent="0.2">
      <c r="A141" s="54" t="s">
        <v>68</v>
      </c>
      <c r="B141" s="54" t="s">
        <v>75</v>
      </c>
      <c r="C141" s="55">
        <v>685</v>
      </c>
      <c r="D141" s="54" t="s">
        <v>68</v>
      </c>
      <c r="E141" s="54" t="s">
        <v>75</v>
      </c>
      <c r="F141" s="55">
        <v>679</v>
      </c>
      <c r="G141" s="54" t="s">
        <v>68</v>
      </c>
      <c r="H141" s="54" t="s">
        <v>75</v>
      </c>
      <c r="I141" s="55">
        <v>678</v>
      </c>
    </row>
    <row r="142" spans="1:9" x14ac:dyDescent="0.2">
      <c r="A142" s="2" t="s">
        <v>69</v>
      </c>
      <c r="B142" s="2" t="s">
        <v>75</v>
      </c>
      <c r="C142" s="2">
        <v>18964</v>
      </c>
      <c r="D142" s="2" t="s">
        <v>69</v>
      </c>
      <c r="E142" s="2" t="s">
        <v>75</v>
      </c>
      <c r="F142" s="2">
        <v>18997</v>
      </c>
      <c r="G142" s="54" t="s">
        <v>69</v>
      </c>
      <c r="H142" s="54" t="s">
        <v>75</v>
      </c>
      <c r="I142" s="55">
        <v>18943</v>
      </c>
    </row>
    <row r="143" spans="1:9" x14ac:dyDescent="0.2">
      <c r="A143" s="2" t="s">
        <v>70</v>
      </c>
      <c r="B143" s="2" t="s">
        <v>75</v>
      </c>
      <c r="C143" s="2">
        <v>72</v>
      </c>
      <c r="D143" s="2" t="s">
        <v>70</v>
      </c>
      <c r="E143" s="2" t="s">
        <v>75</v>
      </c>
      <c r="F143" s="2">
        <v>74</v>
      </c>
      <c r="G143" s="2" t="s">
        <v>70</v>
      </c>
      <c r="H143" s="2" t="s">
        <v>75</v>
      </c>
      <c r="I143" s="2">
        <v>74</v>
      </c>
    </row>
  </sheetData>
  <mergeCells count="4">
    <mergeCell ref="G4:I4"/>
    <mergeCell ref="A4:C4"/>
    <mergeCell ref="D4:F4"/>
    <mergeCell ref="A3:D3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-0.249977111117893"/>
  </sheetPr>
  <dimension ref="A1:Z599"/>
  <sheetViews>
    <sheetView zoomScale="125" workbookViewId="0">
      <selection activeCell="D39" sqref="D39:F39"/>
    </sheetView>
  </sheetViews>
  <sheetFormatPr baseColWidth="10" defaultColWidth="8.83203125" defaultRowHeight="15" x14ac:dyDescent="0.2"/>
  <cols>
    <col min="2" max="2" width="15.33203125" customWidth="1"/>
    <col min="3" max="3" width="2.83203125" style="1" customWidth="1"/>
    <col min="4" max="4" width="6.6640625" customWidth="1"/>
    <col min="5" max="5" width="9.1640625" customWidth="1"/>
    <col min="6" max="6" width="8.5" customWidth="1"/>
    <col min="7" max="7" width="2.83203125" style="1" customWidth="1"/>
    <col min="8" max="9" width="7.5" customWidth="1"/>
    <col min="10" max="10" width="9.1640625" bestFit="1" customWidth="1"/>
    <col min="11" max="12" width="9.1640625" customWidth="1"/>
    <col min="13" max="13" width="11" customWidth="1"/>
    <col min="14" max="15" width="9.1640625" customWidth="1"/>
    <col min="16" max="16" width="10" bestFit="1" customWidth="1"/>
    <col min="17" max="17" width="2.6640625" style="1" customWidth="1"/>
    <col min="18" max="18" width="8.83203125" style="1" bestFit="1" customWidth="1"/>
    <col min="19" max="19" width="6.6640625" bestFit="1" customWidth="1"/>
    <col min="20" max="20" width="7.5" bestFit="1" customWidth="1"/>
    <col min="21" max="21" width="7" bestFit="1" customWidth="1"/>
    <col min="22" max="22" width="5.33203125" style="1" customWidth="1"/>
    <col min="23" max="23" width="8.83203125" style="1" bestFit="1" customWidth="1"/>
    <col min="24" max="24" width="6.6640625" bestFit="1" customWidth="1"/>
    <col min="25" max="25" width="7.33203125" bestFit="1" customWidth="1"/>
    <col min="26" max="26" width="7" bestFit="1" customWidth="1"/>
  </cols>
  <sheetData>
    <row r="1" spans="1:26" s="5" customFormat="1" ht="138.75" customHeight="1" x14ac:dyDescent="0.2">
      <c r="A1" s="112" t="s">
        <v>267</v>
      </c>
      <c r="B1" s="112"/>
      <c r="C1" s="23"/>
      <c r="D1" s="111" t="s">
        <v>15</v>
      </c>
      <c r="E1" s="111"/>
      <c r="F1" s="111"/>
      <c r="G1" s="23"/>
      <c r="H1" s="111" t="s">
        <v>115</v>
      </c>
      <c r="I1" s="111"/>
      <c r="J1" s="111"/>
      <c r="K1" s="111"/>
      <c r="L1" s="111"/>
      <c r="M1" s="111"/>
      <c r="N1" s="111"/>
      <c r="O1" s="111"/>
      <c r="P1" s="111"/>
      <c r="Q1" s="23"/>
      <c r="R1" s="109" t="s">
        <v>16</v>
      </c>
      <c r="S1" s="109"/>
      <c r="T1" s="109"/>
      <c r="U1" s="110"/>
      <c r="V1" s="23"/>
      <c r="W1" s="109" t="s">
        <v>17</v>
      </c>
      <c r="X1" s="109"/>
      <c r="Y1" s="109"/>
      <c r="Z1" s="110"/>
    </row>
    <row r="2" spans="1:26" s="5" customFormat="1" x14ac:dyDescent="0.2">
      <c r="A2" s="24" t="s">
        <v>0</v>
      </c>
      <c r="B2" s="24" t="s">
        <v>1</v>
      </c>
      <c r="C2" s="23"/>
      <c r="D2" s="22">
        <v>45108</v>
      </c>
      <c r="E2" s="22">
        <v>45139</v>
      </c>
      <c r="F2" s="22">
        <v>45170</v>
      </c>
      <c r="G2" s="23"/>
      <c r="H2" s="22" t="s">
        <v>196</v>
      </c>
      <c r="I2" s="22" t="s">
        <v>279</v>
      </c>
      <c r="J2" s="22">
        <v>45108</v>
      </c>
      <c r="K2" s="22" t="s">
        <v>196</v>
      </c>
      <c r="L2" s="22" t="s">
        <v>279</v>
      </c>
      <c r="M2" s="22">
        <v>45139</v>
      </c>
      <c r="N2" s="22" t="s">
        <v>196</v>
      </c>
      <c r="O2" s="22" t="s">
        <v>279</v>
      </c>
      <c r="P2" s="22">
        <v>45170</v>
      </c>
      <c r="Q2" s="23"/>
      <c r="R2" s="22" t="s">
        <v>263</v>
      </c>
      <c r="S2" s="22">
        <v>45108</v>
      </c>
      <c r="T2" s="22">
        <v>45139</v>
      </c>
      <c r="U2" s="22">
        <v>45170</v>
      </c>
      <c r="V2" s="23"/>
      <c r="W2" s="22" t="s">
        <v>263</v>
      </c>
      <c r="X2" s="22">
        <v>45108</v>
      </c>
      <c r="Y2" s="22">
        <v>45139</v>
      </c>
      <c r="Z2" s="22">
        <v>45170</v>
      </c>
    </row>
    <row r="3" spans="1:26" x14ac:dyDescent="0.2">
      <c r="A3" s="101" t="s">
        <v>35</v>
      </c>
      <c r="B3" t="s">
        <v>34</v>
      </c>
      <c r="E3">
        <v>2</v>
      </c>
      <c r="F3">
        <v>3</v>
      </c>
      <c r="H3" t="s">
        <v>61</v>
      </c>
      <c r="I3" t="s">
        <v>75</v>
      </c>
      <c r="J3" s="105">
        <v>0.60019841269841279</v>
      </c>
      <c r="K3" s="101" t="s">
        <v>35</v>
      </c>
      <c r="L3" t="s">
        <v>75</v>
      </c>
      <c r="M3" s="105">
        <v>0.70300925925925917</v>
      </c>
      <c r="N3" t="s">
        <v>35</v>
      </c>
      <c r="O3" t="s">
        <v>75</v>
      </c>
      <c r="P3" s="105">
        <v>2.8562500000000002</v>
      </c>
      <c r="R3" t="s">
        <v>261</v>
      </c>
      <c r="S3">
        <v>6363</v>
      </c>
      <c r="T3">
        <v>6695</v>
      </c>
      <c r="U3">
        <v>6599</v>
      </c>
      <c r="W3"/>
    </row>
    <row r="4" spans="1:26" x14ac:dyDescent="0.2">
      <c r="A4" s="102" t="s">
        <v>35</v>
      </c>
      <c r="B4" t="s">
        <v>75</v>
      </c>
      <c r="E4">
        <v>20</v>
      </c>
      <c r="F4">
        <v>26</v>
      </c>
      <c r="H4" s="7" t="s">
        <v>62</v>
      </c>
      <c r="I4" s="7" t="s">
        <v>75</v>
      </c>
      <c r="J4" s="105">
        <v>1.0013888888888889</v>
      </c>
      <c r="K4" s="101" t="s">
        <v>36</v>
      </c>
      <c r="L4" t="s">
        <v>34</v>
      </c>
      <c r="M4" s="105">
        <v>4.9416666666666664</v>
      </c>
      <c r="N4" t="s">
        <v>36</v>
      </c>
      <c r="O4" t="s">
        <v>75</v>
      </c>
      <c r="P4" s="105">
        <v>3.1944444444444449E-2</v>
      </c>
      <c r="R4" t="s">
        <v>264</v>
      </c>
      <c r="S4">
        <v>9767</v>
      </c>
      <c r="T4">
        <v>10303</v>
      </c>
      <c r="U4">
        <v>10076</v>
      </c>
      <c r="W4"/>
    </row>
    <row r="5" spans="1:26" x14ac:dyDescent="0.2">
      <c r="A5" s="101" t="s">
        <v>36</v>
      </c>
      <c r="B5" t="s">
        <v>34</v>
      </c>
      <c r="E5">
        <v>1</v>
      </c>
      <c r="H5" s="7" t="s">
        <v>69</v>
      </c>
      <c r="I5" s="7" t="s">
        <v>75</v>
      </c>
      <c r="J5" s="105">
        <v>0.57282196969696975</v>
      </c>
      <c r="K5" s="101" t="s">
        <v>48</v>
      </c>
      <c r="L5" t="s">
        <v>75</v>
      </c>
      <c r="M5" s="105">
        <v>1.0166666666666666</v>
      </c>
      <c r="N5" t="s">
        <v>37</v>
      </c>
      <c r="O5" t="s">
        <v>34</v>
      </c>
      <c r="P5" s="105">
        <v>1.0409722222222222</v>
      </c>
      <c r="R5" t="s">
        <v>262</v>
      </c>
      <c r="S5">
        <v>11304</v>
      </c>
      <c r="T5">
        <v>13006</v>
      </c>
      <c r="U5">
        <v>12145</v>
      </c>
      <c r="W5"/>
    </row>
    <row r="6" spans="1:26" x14ac:dyDescent="0.2">
      <c r="A6" s="102" t="s">
        <v>36</v>
      </c>
      <c r="B6" t="s">
        <v>75</v>
      </c>
      <c r="D6">
        <v>2</v>
      </c>
      <c r="E6">
        <v>3</v>
      </c>
      <c r="F6">
        <v>6</v>
      </c>
      <c r="H6" s="7"/>
      <c r="I6" s="7"/>
      <c r="J6" s="7"/>
      <c r="K6" s="101" t="s">
        <v>52</v>
      </c>
      <c r="L6" t="s">
        <v>34</v>
      </c>
      <c r="M6" s="105">
        <v>0.85972222222222217</v>
      </c>
      <c r="N6" s="7" t="s">
        <v>45</v>
      </c>
      <c r="O6" s="7" t="s">
        <v>75</v>
      </c>
      <c r="P6" s="105">
        <v>0.13749999999999998</v>
      </c>
    </row>
    <row r="7" spans="1:26" x14ac:dyDescent="0.2">
      <c r="A7" s="101" t="s">
        <v>37</v>
      </c>
      <c r="B7" t="s">
        <v>34</v>
      </c>
      <c r="D7">
        <v>1</v>
      </c>
      <c r="F7">
        <v>1</v>
      </c>
      <c r="H7" s="7"/>
      <c r="I7" s="7"/>
      <c r="J7" s="7"/>
      <c r="K7" s="101" t="s">
        <v>56</v>
      </c>
      <c r="L7" t="s">
        <v>75</v>
      </c>
      <c r="M7" s="105">
        <v>1.2358796296296297</v>
      </c>
      <c r="N7" t="s">
        <v>46</v>
      </c>
      <c r="O7" t="s">
        <v>75</v>
      </c>
      <c r="P7" s="105">
        <v>0.98541666666666661</v>
      </c>
    </row>
    <row r="8" spans="1:26" x14ac:dyDescent="0.2">
      <c r="A8" s="102" t="s">
        <v>37</v>
      </c>
      <c r="B8" t="s">
        <v>75</v>
      </c>
      <c r="D8">
        <v>1</v>
      </c>
      <c r="E8">
        <v>1</v>
      </c>
      <c r="F8">
        <v>1</v>
      </c>
      <c r="H8" s="7"/>
      <c r="I8" s="7"/>
      <c r="J8" s="7"/>
      <c r="K8" s="101" t="s">
        <v>61</v>
      </c>
      <c r="L8" t="s">
        <v>75</v>
      </c>
      <c r="M8" s="105">
        <v>0.80185185185185182</v>
      </c>
      <c r="N8" t="s">
        <v>49</v>
      </c>
      <c r="O8" t="s">
        <v>34</v>
      </c>
      <c r="P8" s="105">
        <v>0.26527777777777778</v>
      </c>
    </row>
    <row r="9" spans="1:26" x14ac:dyDescent="0.2">
      <c r="A9" s="102" t="s">
        <v>40</v>
      </c>
      <c r="B9" t="s">
        <v>75</v>
      </c>
      <c r="D9">
        <v>1</v>
      </c>
      <c r="F9">
        <v>13</v>
      </c>
      <c r="H9" s="7"/>
      <c r="I9" s="7"/>
      <c r="J9" s="7"/>
      <c r="K9" s="101" t="s">
        <v>64</v>
      </c>
      <c r="L9" t="s">
        <v>75</v>
      </c>
      <c r="M9" s="105">
        <v>1.9104166666666669</v>
      </c>
      <c r="N9" t="s">
        <v>49</v>
      </c>
      <c r="O9" t="s">
        <v>75</v>
      </c>
      <c r="P9" s="105">
        <v>0.67847222222222225</v>
      </c>
    </row>
    <row r="10" spans="1:26" x14ac:dyDescent="0.2">
      <c r="A10" s="102" t="s">
        <v>45</v>
      </c>
      <c r="B10" t="s">
        <v>75</v>
      </c>
      <c r="F10">
        <v>1</v>
      </c>
      <c r="H10" s="7"/>
      <c r="I10" s="7"/>
      <c r="J10" s="7"/>
      <c r="K10" s="101" t="s">
        <v>69</v>
      </c>
      <c r="L10" t="s">
        <v>75</v>
      </c>
      <c r="M10" s="105">
        <v>0.84229166666666655</v>
      </c>
      <c r="N10" t="s">
        <v>50</v>
      </c>
      <c r="O10" t="s">
        <v>72</v>
      </c>
      <c r="P10" s="105">
        <v>0.9819444444444444</v>
      </c>
    </row>
    <row r="11" spans="1:26" x14ac:dyDescent="0.2">
      <c r="A11" s="102" t="s">
        <v>46</v>
      </c>
      <c r="B11" t="s">
        <v>75</v>
      </c>
      <c r="F11">
        <v>1</v>
      </c>
      <c r="H11" s="7"/>
      <c r="I11" s="7"/>
      <c r="J11" s="7"/>
      <c r="K11" s="101"/>
      <c r="N11" t="s">
        <v>50</v>
      </c>
      <c r="O11" t="s">
        <v>75</v>
      </c>
      <c r="P11" s="105">
        <v>0.1013888888888889</v>
      </c>
    </row>
    <row r="12" spans="1:26" x14ac:dyDescent="0.2">
      <c r="A12" s="102" t="s">
        <v>48</v>
      </c>
      <c r="B12" t="s">
        <v>75</v>
      </c>
      <c r="E12">
        <v>4</v>
      </c>
      <c r="H12" s="7"/>
      <c r="I12" s="7"/>
      <c r="J12" s="7"/>
      <c r="K12" s="7"/>
      <c r="L12" s="7"/>
      <c r="N12" t="s">
        <v>52</v>
      </c>
      <c r="O12" t="s">
        <v>75</v>
      </c>
      <c r="P12" s="105">
        <v>1.0229166666666667</v>
      </c>
    </row>
    <row r="13" spans="1:26" x14ac:dyDescent="0.2">
      <c r="A13" s="101" t="s">
        <v>49</v>
      </c>
      <c r="B13" t="s">
        <v>34</v>
      </c>
      <c r="F13">
        <v>2</v>
      </c>
      <c r="H13" s="7"/>
      <c r="I13" s="7"/>
      <c r="J13" s="7"/>
      <c r="K13" s="7"/>
      <c r="L13" s="7"/>
      <c r="N13" t="s">
        <v>60</v>
      </c>
      <c r="O13" t="s">
        <v>75</v>
      </c>
      <c r="P13" s="105">
        <v>6.6319444444444445E-2</v>
      </c>
    </row>
    <row r="14" spans="1:26" x14ac:dyDescent="0.2">
      <c r="A14" s="102" t="s">
        <v>49</v>
      </c>
      <c r="B14" t="s">
        <v>75</v>
      </c>
      <c r="F14">
        <v>5</v>
      </c>
      <c r="H14" s="7"/>
      <c r="I14" s="7"/>
      <c r="J14" s="7"/>
      <c r="K14" s="7"/>
      <c r="L14" s="7"/>
      <c r="N14" t="s">
        <v>61</v>
      </c>
      <c r="O14" t="s">
        <v>75</v>
      </c>
      <c r="P14" s="105">
        <v>0.14305555555555557</v>
      </c>
    </row>
    <row r="15" spans="1:26" x14ac:dyDescent="0.2">
      <c r="A15" s="101" t="s">
        <v>50</v>
      </c>
      <c r="B15" t="s">
        <v>72</v>
      </c>
      <c r="F15">
        <v>1</v>
      </c>
      <c r="H15" s="7"/>
      <c r="I15" s="7"/>
      <c r="J15" s="7"/>
      <c r="K15" s="7"/>
      <c r="L15" s="7"/>
      <c r="N15" t="s">
        <v>62</v>
      </c>
      <c r="O15" t="s">
        <v>75</v>
      </c>
      <c r="P15" s="105">
        <v>4.9999999999999996E-2</v>
      </c>
    </row>
    <row r="16" spans="1:26" x14ac:dyDescent="0.2">
      <c r="A16" s="102" t="s">
        <v>50</v>
      </c>
      <c r="B16" t="s">
        <v>75</v>
      </c>
      <c r="F16">
        <v>2</v>
      </c>
      <c r="H16" s="7"/>
      <c r="I16" s="7"/>
      <c r="J16" s="7"/>
      <c r="K16" s="7"/>
      <c r="L16" s="7"/>
      <c r="N16" t="s">
        <v>68</v>
      </c>
      <c r="O16" t="s">
        <v>75</v>
      </c>
      <c r="P16" s="105">
        <v>0.31388888888888888</v>
      </c>
    </row>
    <row r="17" spans="1:16" x14ac:dyDescent="0.2">
      <c r="A17" s="101" t="s">
        <v>52</v>
      </c>
      <c r="B17" t="s">
        <v>34</v>
      </c>
      <c r="E17">
        <v>1</v>
      </c>
      <c r="H17" s="7"/>
      <c r="I17" s="7"/>
      <c r="J17" s="7"/>
      <c r="K17" s="7"/>
      <c r="L17" s="7"/>
      <c r="N17" t="s">
        <v>69</v>
      </c>
      <c r="O17" t="s">
        <v>75</v>
      </c>
      <c r="P17" s="105">
        <v>1.1102704678362572</v>
      </c>
    </row>
    <row r="18" spans="1:16" x14ac:dyDescent="0.2">
      <c r="A18" s="101" t="s">
        <v>52</v>
      </c>
      <c r="B18" t="s">
        <v>72</v>
      </c>
      <c r="E18">
        <v>4</v>
      </c>
      <c r="H18" s="7"/>
      <c r="I18" s="7"/>
      <c r="J18" s="7"/>
      <c r="K18" s="7"/>
      <c r="L18" s="7"/>
    </row>
    <row r="19" spans="1:16" x14ac:dyDescent="0.2">
      <c r="A19" s="102" t="s">
        <v>52</v>
      </c>
      <c r="B19" t="s">
        <v>75</v>
      </c>
      <c r="E19">
        <v>5</v>
      </c>
      <c r="F19">
        <v>1</v>
      </c>
      <c r="H19" s="7"/>
      <c r="I19" s="7"/>
      <c r="J19" s="7"/>
      <c r="K19" s="7"/>
      <c r="L19" s="7"/>
    </row>
    <row r="20" spans="1:16" x14ac:dyDescent="0.2">
      <c r="A20" s="102" t="s">
        <v>53</v>
      </c>
      <c r="B20" t="s">
        <v>75</v>
      </c>
      <c r="F20">
        <v>10</v>
      </c>
      <c r="H20" s="7"/>
      <c r="I20" s="7"/>
      <c r="J20" s="7"/>
      <c r="K20" s="7"/>
      <c r="L20" s="7"/>
    </row>
    <row r="21" spans="1:16" x14ac:dyDescent="0.2">
      <c r="A21" s="102" t="s">
        <v>55</v>
      </c>
      <c r="B21" t="s">
        <v>75</v>
      </c>
      <c r="E21">
        <v>1</v>
      </c>
      <c r="H21" s="7"/>
      <c r="I21" s="7"/>
      <c r="J21" s="7"/>
      <c r="K21" s="7"/>
      <c r="L21" s="7"/>
    </row>
    <row r="22" spans="1:16" x14ac:dyDescent="0.2">
      <c r="A22" s="101" t="s">
        <v>56</v>
      </c>
      <c r="B22" t="s">
        <v>34</v>
      </c>
      <c r="E22">
        <v>1</v>
      </c>
      <c r="H22" s="7"/>
      <c r="I22" s="7"/>
      <c r="J22" s="7"/>
      <c r="K22" s="7"/>
      <c r="L22" s="7"/>
    </row>
    <row r="23" spans="1:16" x14ac:dyDescent="0.2">
      <c r="A23" s="101" t="s">
        <v>56</v>
      </c>
      <c r="B23" t="s">
        <v>72</v>
      </c>
      <c r="E23">
        <v>1</v>
      </c>
      <c r="H23" s="7"/>
      <c r="I23" s="7"/>
      <c r="J23" s="7"/>
      <c r="K23" s="7"/>
      <c r="L23" s="7"/>
    </row>
    <row r="24" spans="1:16" x14ac:dyDescent="0.2">
      <c r="A24" s="102" t="s">
        <v>56</v>
      </c>
      <c r="B24" t="s">
        <v>75</v>
      </c>
      <c r="E24">
        <v>14</v>
      </c>
      <c r="F24">
        <v>1</v>
      </c>
      <c r="H24" s="7"/>
      <c r="I24" s="7"/>
      <c r="J24" s="7"/>
      <c r="K24" s="7"/>
      <c r="L24" s="7"/>
    </row>
    <row r="25" spans="1:16" x14ac:dyDescent="0.2">
      <c r="A25" s="102" t="s">
        <v>57</v>
      </c>
      <c r="B25" t="s">
        <v>75</v>
      </c>
      <c r="F25">
        <v>1</v>
      </c>
      <c r="H25" s="7"/>
      <c r="I25" s="7"/>
      <c r="J25" s="7"/>
      <c r="K25" s="7"/>
      <c r="L25" s="7"/>
    </row>
    <row r="26" spans="1:16" x14ac:dyDescent="0.2">
      <c r="A26" s="102" t="s">
        <v>58</v>
      </c>
      <c r="B26" t="s">
        <v>75</v>
      </c>
      <c r="E26">
        <v>1</v>
      </c>
      <c r="F26">
        <v>1</v>
      </c>
      <c r="H26" s="7"/>
      <c r="I26" s="7"/>
      <c r="J26" s="7"/>
      <c r="K26" s="7"/>
      <c r="L26" s="7"/>
    </row>
    <row r="27" spans="1:16" x14ac:dyDescent="0.2">
      <c r="A27" s="102" t="s">
        <v>59</v>
      </c>
      <c r="B27" t="s">
        <v>75</v>
      </c>
      <c r="F27">
        <v>1</v>
      </c>
      <c r="H27" s="7"/>
      <c r="I27" s="7"/>
      <c r="J27" s="7"/>
      <c r="K27" s="7"/>
      <c r="L27" s="7"/>
    </row>
    <row r="28" spans="1:16" x14ac:dyDescent="0.2">
      <c r="A28" s="102" t="s">
        <v>60</v>
      </c>
      <c r="B28" t="s">
        <v>75</v>
      </c>
      <c r="D28">
        <v>2</v>
      </c>
      <c r="E28">
        <v>1</v>
      </c>
      <c r="F28">
        <v>2</v>
      </c>
      <c r="H28" s="7"/>
      <c r="I28" s="7"/>
      <c r="J28" s="7"/>
      <c r="K28" s="7"/>
      <c r="L28" s="7"/>
    </row>
    <row r="29" spans="1:16" x14ac:dyDescent="0.2">
      <c r="A29" s="102" t="s">
        <v>61</v>
      </c>
      <c r="B29" t="s">
        <v>75</v>
      </c>
      <c r="D29">
        <v>15</v>
      </c>
      <c r="E29">
        <v>5</v>
      </c>
      <c r="F29">
        <v>3</v>
      </c>
      <c r="H29" s="7"/>
      <c r="I29" s="7"/>
      <c r="J29" s="7"/>
      <c r="K29" s="7"/>
      <c r="L29" s="7"/>
    </row>
    <row r="30" spans="1:16" x14ac:dyDescent="0.2">
      <c r="A30" s="102" t="s">
        <v>62</v>
      </c>
      <c r="B30" t="s">
        <v>75</v>
      </c>
      <c r="D30">
        <v>5</v>
      </c>
      <c r="F30">
        <v>2</v>
      </c>
      <c r="H30" s="7"/>
      <c r="I30" s="7"/>
      <c r="J30" s="7"/>
      <c r="K30" s="7"/>
      <c r="L30" s="7"/>
    </row>
    <row r="31" spans="1:16" x14ac:dyDescent="0.2">
      <c r="A31" s="102" t="s">
        <v>63</v>
      </c>
      <c r="B31" t="s">
        <v>75</v>
      </c>
      <c r="D31">
        <v>1</v>
      </c>
      <c r="H31" s="7"/>
      <c r="I31" s="7"/>
      <c r="J31" s="7"/>
      <c r="K31" s="7"/>
      <c r="L31" s="7"/>
    </row>
    <row r="32" spans="1:16" x14ac:dyDescent="0.2">
      <c r="A32" s="102" t="s">
        <v>64</v>
      </c>
      <c r="B32" t="s">
        <v>75</v>
      </c>
      <c r="E32">
        <v>12</v>
      </c>
      <c r="H32" s="7"/>
      <c r="I32" s="7"/>
      <c r="J32" s="7"/>
      <c r="K32" s="7"/>
      <c r="L32" s="7"/>
    </row>
    <row r="33" spans="1:12" x14ac:dyDescent="0.2">
      <c r="A33" s="102" t="s">
        <v>65</v>
      </c>
      <c r="B33" t="s">
        <v>75</v>
      </c>
      <c r="D33">
        <v>2</v>
      </c>
      <c r="H33" s="7"/>
      <c r="I33" s="7"/>
      <c r="J33" s="7"/>
      <c r="K33" s="7"/>
      <c r="L33" s="7"/>
    </row>
    <row r="34" spans="1:12" x14ac:dyDescent="0.2">
      <c r="A34" s="102" t="s">
        <v>67</v>
      </c>
      <c r="B34" t="s">
        <v>75</v>
      </c>
      <c r="D34">
        <v>2</v>
      </c>
      <c r="F34">
        <v>1</v>
      </c>
      <c r="H34" s="7"/>
      <c r="I34" s="7"/>
      <c r="J34" s="7"/>
      <c r="K34" s="7"/>
      <c r="L34" s="7"/>
    </row>
    <row r="35" spans="1:12" x14ac:dyDescent="0.2">
      <c r="A35" s="102" t="s">
        <v>68</v>
      </c>
      <c r="B35" t="s">
        <v>75</v>
      </c>
      <c r="D35">
        <v>6</v>
      </c>
      <c r="F35">
        <v>2</v>
      </c>
      <c r="H35" s="7"/>
      <c r="I35" s="7"/>
      <c r="J35" s="7"/>
      <c r="K35" s="7"/>
      <c r="L35" s="7"/>
    </row>
    <row r="36" spans="1:12" x14ac:dyDescent="0.2">
      <c r="A36" s="101" t="s">
        <v>69</v>
      </c>
      <c r="B36" t="s">
        <v>34</v>
      </c>
      <c r="F36">
        <v>1</v>
      </c>
      <c r="H36" s="7"/>
      <c r="I36" s="7"/>
      <c r="J36" s="7"/>
      <c r="K36" s="7"/>
      <c r="L36" s="7"/>
    </row>
    <row r="37" spans="1:12" x14ac:dyDescent="0.2">
      <c r="A37" s="102" t="s">
        <v>69</v>
      </c>
      <c r="B37" t="s">
        <v>75</v>
      </c>
      <c r="D37">
        <v>60</v>
      </c>
      <c r="E37">
        <v>42</v>
      </c>
      <c r="F37">
        <v>34</v>
      </c>
      <c r="H37" s="7"/>
      <c r="I37" s="7"/>
      <c r="J37" s="7"/>
      <c r="K37" s="7"/>
      <c r="L37" s="7"/>
    </row>
    <row r="38" spans="1:12" x14ac:dyDescent="0.2">
      <c r="A38" s="102" t="s">
        <v>70</v>
      </c>
      <c r="B38" t="s">
        <v>75</v>
      </c>
      <c r="F38">
        <v>1</v>
      </c>
      <c r="H38" s="7"/>
      <c r="I38" s="7"/>
      <c r="J38" s="7"/>
      <c r="K38" s="7"/>
      <c r="L38" s="7"/>
    </row>
    <row r="39" spans="1:12" x14ac:dyDescent="0.2">
      <c r="A39" s="161" t="s">
        <v>280</v>
      </c>
      <c r="B39" s="161"/>
      <c r="C39" s="161"/>
      <c r="D39" s="161">
        <f>SUMIF($B$3:$B$38,$B$4,D3:D38)</f>
        <v>97</v>
      </c>
      <c r="E39" s="161">
        <f t="shared" ref="E39:F39" si="0">SUMIF($B$3:$B$38,$B$4,E3:E38)</f>
        <v>109</v>
      </c>
      <c r="F39" s="161">
        <f t="shared" si="0"/>
        <v>115</v>
      </c>
      <c r="H39" s="7"/>
      <c r="I39" s="7"/>
      <c r="J39" s="7"/>
      <c r="K39" s="7"/>
      <c r="L39" s="7"/>
    </row>
    <row r="40" spans="1:12" x14ac:dyDescent="0.2">
      <c r="H40" s="7"/>
      <c r="I40" s="7"/>
      <c r="J40" s="7"/>
      <c r="K40" s="7"/>
      <c r="L40" s="7"/>
    </row>
    <row r="41" spans="1:12" x14ac:dyDescent="0.2">
      <c r="H41" s="7"/>
      <c r="I41" s="7"/>
      <c r="J41" s="7"/>
      <c r="K41" s="7"/>
      <c r="L41" s="7"/>
    </row>
    <row r="42" spans="1:12" x14ac:dyDescent="0.2">
      <c r="H42" s="7"/>
      <c r="I42" s="7"/>
      <c r="J42" s="7"/>
      <c r="K42" s="7"/>
      <c r="L42" s="7"/>
    </row>
    <row r="43" spans="1:12" x14ac:dyDescent="0.2">
      <c r="H43" s="7"/>
      <c r="I43" s="7"/>
      <c r="J43" s="7"/>
      <c r="K43" s="7"/>
      <c r="L43" s="7"/>
    </row>
    <row r="44" spans="1:12" x14ac:dyDescent="0.2">
      <c r="H44" s="7"/>
      <c r="I44" s="7"/>
      <c r="J44" s="7"/>
      <c r="K44" s="7"/>
      <c r="L44" s="7"/>
    </row>
    <row r="45" spans="1:12" x14ac:dyDescent="0.2">
      <c r="H45" s="7"/>
      <c r="I45" s="7"/>
      <c r="J45" s="7"/>
      <c r="K45" s="7"/>
      <c r="L45" s="7"/>
    </row>
    <row r="46" spans="1:12" x14ac:dyDescent="0.2">
      <c r="H46" s="7"/>
      <c r="I46" s="7"/>
      <c r="J46" s="7"/>
      <c r="K46" s="7"/>
      <c r="L46" s="7"/>
    </row>
    <row r="47" spans="1:12" x14ac:dyDescent="0.2">
      <c r="H47" s="7"/>
      <c r="I47" s="7"/>
      <c r="J47" s="7"/>
      <c r="K47" s="7"/>
      <c r="L47" s="7"/>
    </row>
    <row r="48" spans="1:12" x14ac:dyDescent="0.2">
      <c r="H48" s="7"/>
      <c r="I48" s="7"/>
      <c r="J48" s="7"/>
      <c r="K48" s="7"/>
      <c r="L48" s="7"/>
    </row>
    <row r="49" spans="8:12" x14ac:dyDescent="0.2">
      <c r="H49" s="7"/>
      <c r="I49" s="7"/>
      <c r="J49" s="7"/>
      <c r="K49" s="7"/>
      <c r="L49" s="7"/>
    </row>
    <row r="50" spans="8:12" x14ac:dyDescent="0.2">
      <c r="H50" s="7"/>
      <c r="I50" s="7"/>
      <c r="J50" s="7"/>
      <c r="K50" s="7"/>
      <c r="L50" s="7"/>
    </row>
    <row r="51" spans="8:12" x14ac:dyDescent="0.2">
      <c r="H51" s="7"/>
      <c r="I51" s="7"/>
      <c r="J51" s="7"/>
      <c r="K51" s="7"/>
      <c r="L51" s="7"/>
    </row>
    <row r="52" spans="8:12" x14ac:dyDescent="0.2">
      <c r="H52" s="7"/>
      <c r="I52" s="7"/>
      <c r="J52" s="7"/>
      <c r="K52" s="7"/>
      <c r="L52" s="7"/>
    </row>
    <row r="53" spans="8:12" x14ac:dyDescent="0.2">
      <c r="H53" s="7"/>
      <c r="I53" s="7"/>
      <c r="J53" s="7"/>
      <c r="K53" s="7"/>
      <c r="L53" s="7"/>
    </row>
    <row r="54" spans="8:12" x14ac:dyDescent="0.2">
      <c r="H54" s="7"/>
      <c r="I54" s="7"/>
      <c r="J54" s="7"/>
      <c r="K54" s="7"/>
      <c r="L54" s="7"/>
    </row>
    <row r="55" spans="8:12" x14ac:dyDescent="0.2">
      <c r="H55" s="7"/>
      <c r="I55" s="7"/>
      <c r="J55" s="7"/>
      <c r="K55" s="7"/>
      <c r="L55" s="7"/>
    </row>
    <row r="56" spans="8:12" x14ac:dyDescent="0.2">
      <c r="H56" s="7"/>
      <c r="I56" s="7"/>
      <c r="J56" s="7"/>
      <c r="K56" s="7"/>
      <c r="L56" s="7"/>
    </row>
    <row r="57" spans="8:12" x14ac:dyDescent="0.2">
      <c r="H57" s="7"/>
      <c r="I57" s="7"/>
      <c r="J57" s="7"/>
      <c r="K57" s="7"/>
      <c r="L57" s="7"/>
    </row>
    <row r="58" spans="8:12" x14ac:dyDescent="0.2">
      <c r="H58" s="7"/>
      <c r="I58" s="7"/>
      <c r="J58" s="7"/>
      <c r="K58" s="7"/>
      <c r="L58" s="7"/>
    </row>
    <row r="59" spans="8:12" x14ac:dyDescent="0.2">
      <c r="H59" s="7"/>
      <c r="I59" s="7"/>
      <c r="J59" s="7"/>
      <c r="K59" s="7"/>
      <c r="L59" s="7"/>
    </row>
    <row r="60" spans="8:12" x14ac:dyDescent="0.2">
      <c r="H60" s="7"/>
      <c r="I60" s="7"/>
      <c r="J60" s="7"/>
      <c r="K60" s="7"/>
      <c r="L60" s="7"/>
    </row>
    <row r="61" spans="8:12" x14ac:dyDescent="0.2">
      <c r="H61" s="7"/>
      <c r="I61" s="7"/>
      <c r="J61" s="7"/>
      <c r="K61" s="7"/>
      <c r="L61" s="7"/>
    </row>
    <row r="62" spans="8:12" x14ac:dyDescent="0.2">
      <c r="H62" s="7"/>
      <c r="I62" s="7"/>
      <c r="J62" s="7"/>
      <c r="K62" s="7"/>
      <c r="L62" s="7"/>
    </row>
    <row r="63" spans="8:12" x14ac:dyDescent="0.2">
      <c r="H63" s="7"/>
      <c r="I63" s="7"/>
      <c r="J63" s="7"/>
      <c r="K63" s="7"/>
      <c r="L63" s="7"/>
    </row>
    <row r="64" spans="8:12" x14ac:dyDescent="0.2">
      <c r="H64" s="7"/>
      <c r="I64" s="7"/>
      <c r="J64" s="7"/>
      <c r="K64" s="7"/>
      <c r="L64" s="7"/>
    </row>
    <row r="65" spans="8:12" x14ac:dyDescent="0.2">
      <c r="H65" s="7"/>
      <c r="I65" s="7"/>
      <c r="J65" s="7"/>
      <c r="K65" s="7"/>
      <c r="L65" s="7"/>
    </row>
    <row r="66" spans="8:12" x14ac:dyDescent="0.2">
      <c r="H66" s="7"/>
      <c r="I66" s="7"/>
      <c r="J66" s="7"/>
      <c r="K66" s="7"/>
      <c r="L66" s="7"/>
    </row>
    <row r="67" spans="8:12" x14ac:dyDescent="0.2">
      <c r="H67" s="7"/>
      <c r="I67" s="7"/>
      <c r="J67" s="7"/>
      <c r="K67" s="7"/>
      <c r="L67" s="7"/>
    </row>
    <row r="68" spans="8:12" x14ac:dyDescent="0.2">
      <c r="H68" s="7"/>
      <c r="I68" s="7"/>
      <c r="J68" s="7"/>
      <c r="K68" s="7"/>
      <c r="L68" s="7"/>
    </row>
    <row r="168" spans="19:19" x14ac:dyDescent="0.2">
      <c r="S168" t="s">
        <v>81</v>
      </c>
    </row>
    <row r="169" spans="19:19" x14ac:dyDescent="0.2">
      <c r="S169" t="s">
        <v>81</v>
      </c>
    </row>
    <row r="170" spans="19:19" x14ac:dyDescent="0.2">
      <c r="S170" t="s">
        <v>81</v>
      </c>
    </row>
    <row r="171" spans="19:19" x14ac:dyDescent="0.2">
      <c r="S171" t="s">
        <v>81</v>
      </c>
    </row>
    <row r="172" spans="19:19" x14ac:dyDescent="0.2">
      <c r="S172" t="s">
        <v>81</v>
      </c>
    </row>
    <row r="173" spans="19:19" x14ac:dyDescent="0.2">
      <c r="S173" t="s">
        <v>81</v>
      </c>
    </row>
    <row r="174" spans="19:19" x14ac:dyDescent="0.2">
      <c r="S174" t="s">
        <v>81</v>
      </c>
    </row>
    <row r="175" spans="19:19" x14ac:dyDescent="0.2">
      <c r="S175" t="s">
        <v>81</v>
      </c>
    </row>
    <row r="176" spans="19:19" x14ac:dyDescent="0.2">
      <c r="S176" t="s">
        <v>81</v>
      </c>
    </row>
    <row r="177" spans="19:19" x14ac:dyDescent="0.2">
      <c r="S177" t="s">
        <v>81</v>
      </c>
    </row>
    <row r="178" spans="19:19" x14ac:dyDescent="0.2">
      <c r="S178" t="s">
        <v>81</v>
      </c>
    </row>
    <row r="179" spans="19:19" x14ac:dyDescent="0.2">
      <c r="S179" t="s">
        <v>81</v>
      </c>
    </row>
    <row r="180" spans="19:19" x14ac:dyDescent="0.2">
      <c r="S180" t="s">
        <v>81</v>
      </c>
    </row>
    <row r="181" spans="19:19" x14ac:dyDescent="0.2">
      <c r="S181" t="s">
        <v>81</v>
      </c>
    </row>
    <row r="182" spans="19:19" x14ac:dyDescent="0.2">
      <c r="S182" t="s">
        <v>81</v>
      </c>
    </row>
    <row r="183" spans="19:19" x14ac:dyDescent="0.2">
      <c r="S183" t="s">
        <v>81</v>
      </c>
    </row>
    <row r="184" spans="19:19" x14ac:dyDescent="0.2">
      <c r="S184" t="s">
        <v>81</v>
      </c>
    </row>
    <row r="185" spans="19:19" x14ac:dyDescent="0.2">
      <c r="S185" t="s">
        <v>81</v>
      </c>
    </row>
    <row r="186" spans="19:19" x14ac:dyDescent="0.2">
      <c r="S186" t="s">
        <v>81</v>
      </c>
    </row>
    <row r="187" spans="19:19" x14ac:dyDescent="0.2">
      <c r="S187" t="s">
        <v>81</v>
      </c>
    </row>
    <row r="188" spans="19:19" x14ac:dyDescent="0.2">
      <c r="S188" t="s">
        <v>81</v>
      </c>
    </row>
    <row r="189" spans="19:19" x14ac:dyDescent="0.2">
      <c r="S189" t="s">
        <v>81</v>
      </c>
    </row>
    <row r="190" spans="19:19" x14ac:dyDescent="0.2">
      <c r="S190" t="s">
        <v>81</v>
      </c>
    </row>
    <row r="191" spans="19:19" x14ac:dyDescent="0.2">
      <c r="S191" t="s">
        <v>81</v>
      </c>
    </row>
    <row r="192" spans="19:19" x14ac:dyDescent="0.2">
      <c r="S192" t="s">
        <v>81</v>
      </c>
    </row>
    <row r="193" spans="19:19" x14ac:dyDescent="0.2">
      <c r="S193" t="s">
        <v>81</v>
      </c>
    </row>
    <row r="194" spans="19:19" x14ac:dyDescent="0.2">
      <c r="S194" t="s">
        <v>81</v>
      </c>
    </row>
    <row r="195" spans="19:19" x14ac:dyDescent="0.2">
      <c r="S195" t="s">
        <v>81</v>
      </c>
    </row>
    <row r="196" spans="19:19" x14ac:dyDescent="0.2">
      <c r="S196" t="s">
        <v>81</v>
      </c>
    </row>
    <row r="197" spans="19:19" x14ac:dyDescent="0.2">
      <c r="S197" t="s">
        <v>81</v>
      </c>
    </row>
    <row r="198" spans="19:19" x14ac:dyDescent="0.2">
      <c r="S198" t="s">
        <v>81</v>
      </c>
    </row>
    <row r="199" spans="19:19" x14ac:dyDescent="0.2">
      <c r="S199" t="s">
        <v>81</v>
      </c>
    </row>
    <row r="200" spans="19:19" x14ac:dyDescent="0.2">
      <c r="S200" t="s">
        <v>81</v>
      </c>
    </row>
    <row r="201" spans="19:19" x14ac:dyDescent="0.2">
      <c r="S201" t="s">
        <v>81</v>
      </c>
    </row>
    <row r="202" spans="19:19" x14ac:dyDescent="0.2">
      <c r="S202" t="s">
        <v>81</v>
      </c>
    </row>
    <row r="203" spans="19:19" x14ac:dyDescent="0.2">
      <c r="S203" t="s">
        <v>81</v>
      </c>
    </row>
    <row r="204" spans="19:19" x14ac:dyDescent="0.2">
      <c r="S204" t="s">
        <v>81</v>
      </c>
    </row>
    <row r="205" spans="19:19" x14ac:dyDescent="0.2">
      <c r="S205" t="s">
        <v>81</v>
      </c>
    </row>
    <row r="206" spans="19:19" x14ac:dyDescent="0.2">
      <c r="S206" t="s">
        <v>81</v>
      </c>
    </row>
    <row r="207" spans="19:19" x14ac:dyDescent="0.2">
      <c r="S207" t="s">
        <v>81</v>
      </c>
    </row>
    <row r="208" spans="19:19" x14ac:dyDescent="0.2">
      <c r="S208" t="s">
        <v>81</v>
      </c>
    </row>
    <row r="209" spans="19:19" x14ac:dyDescent="0.2">
      <c r="S209" t="s">
        <v>81</v>
      </c>
    </row>
    <row r="210" spans="19:19" x14ac:dyDescent="0.2">
      <c r="S210" t="s">
        <v>81</v>
      </c>
    </row>
    <row r="211" spans="19:19" x14ac:dyDescent="0.2">
      <c r="S211" t="s">
        <v>81</v>
      </c>
    </row>
    <row r="212" spans="19:19" x14ac:dyDescent="0.2">
      <c r="S212" t="s">
        <v>81</v>
      </c>
    </row>
    <row r="213" spans="19:19" x14ac:dyDescent="0.2">
      <c r="S213" t="s">
        <v>81</v>
      </c>
    </row>
    <row r="214" spans="19:19" x14ac:dyDescent="0.2">
      <c r="S214" t="s">
        <v>81</v>
      </c>
    </row>
    <row r="215" spans="19:19" x14ac:dyDescent="0.2">
      <c r="S215" t="s">
        <v>81</v>
      </c>
    </row>
    <row r="216" spans="19:19" x14ac:dyDescent="0.2">
      <c r="S216" t="s">
        <v>81</v>
      </c>
    </row>
    <row r="217" spans="19:19" x14ac:dyDescent="0.2">
      <c r="S217" t="s">
        <v>81</v>
      </c>
    </row>
    <row r="218" spans="19:19" x14ac:dyDescent="0.2">
      <c r="S218" t="s">
        <v>81</v>
      </c>
    </row>
    <row r="219" spans="19:19" x14ac:dyDescent="0.2">
      <c r="S219" t="s">
        <v>81</v>
      </c>
    </row>
    <row r="220" spans="19:19" x14ac:dyDescent="0.2">
      <c r="S220" t="s">
        <v>81</v>
      </c>
    </row>
    <row r="221" spans="19:19" x14ac:dyDescent="0.2">
      <c r="S221" t="s">
        <v>81</v>
      </c>
    </row>
    <row r="222" spans="19:19" x14ac:dyDescent="0.2">
      <c r="S222" t="s">
        <v>81</v>
      </c>
    </row>
    <row r="223" spans="19:19" x14ac:dyDescent="0.2">
      <c r="S223" t="s">
        <v>81</v>
      </c>
    </row>
    <row r="224" spans="19:19" x14ac:dyDescent="0.2">
      <c r="S224" t="s">
        <v>81</v>
      </c>
    </row>
    <row r="225" spans="19:19" x14ac:dyDescent="0.2">
      <c r="S225" t="s">
        <v>81</v>
      </c>
    </row>
    <row r="226" spans="19:19" x14ac:dyDescent="0.2">
      <c r="S226" t="s">
        <v>81</v>
      </c>
    </row>
    <row r="227" spans="19:19" x14ac:dyDescent="0.2">
      <c r="S227" t="s">
        <v>81</v>
      </c>
    </row>
    <row r="228" spans="19:19" x14ac:dyDescent="0.2">
      <c r="S228" t="s">
        <v>81</v>
      </c>
    </row>
    <row r="229" spans="19:19" x14ac:dyDescent="0.2">
      <c r="S229" t="s">
        <v>81</v>
      </c>
    </row>
    <row r="230" spans="19:19" x14ac:dyDescent="0.2">
      <c r="S230" t="s">
        <v>81</v>
      </c>
    </row>
    <row r="231" spans="19:19" x14ac:dyDescent="0.2">
      <c r="S231" t="s">
        <v>81</v>
      </c>
    </row>
    <row r="232" spans="19:19" x14ac:dyDescent="0.2">
      <c r="S232" t="s">
        <v>81</v>
      </c>
    </row>
    <row r="233" spans="19:19" x14ac:dyDescent="0.2">
      <c r="S233" t="s">
        <v>81</v>
      </c>
    </row>
    <row r="234" spans="19:19" x14ac:dyDescent="0.2">
      <c r="S234" t="s">
        <v>81</v>
      </c>
    </row>
    <row r="235" spans="19:19" x14ac:dyDescent="0.2">
      <c r="S235" t="s">
        <v>81</v>
      </c>
    </row>
    <row r="236" spans="19:19" x14ac:dyDescent="0.2">
      <c r="S236" t="s">
        <v>81</v>
      </c>
    </row>
    <row r="237" spans="19:19" x14ac:dyDescent="0.2">
      <c r="S237" t="s">
        <v>81</v>
      </c>
    </row>
    <row r="238" spans="19:19" x14ac:dyDescent="0.2">
      <c r="S238" t="s">
        <v>81</v>
      </c>
    </row>
    <row r="239" spans="19:19" x14ac:dyDescent="0.2">
      <c r="S239" t="s">
        <v>81</v>
      </c>
    </row>
    <row r="240" spans="19:19" x14ac:dyDescent="0.2">
      <c r="S240" t="s">
        <v>81</v>
      </c>
    </row>
    <row r="241" spans="19:19" x14ac:dyDescent="0.2">
      <c r="S241" t="s">
        <v>81</v>
      </c>
    </row>
    <row r="242" spans="19:19" x14ac:dyDescent="0.2">
      <c r="S242" t="s">
        <v>81</v>
      </c>
    </row>
    <row r="243" spans="19:19" x14ac:dyDescent="0.2">
      <c r="S243" t="s">
        <v>81</v>
      </c>
    </row>
    <row r="244" spans="19:19" x14ac:dyDescent="0.2">
      <c r="S244" t="s">
        <v>81</v>
      </c>
    </row>
    <row r="245" spans="19:19" x14ac:dyDescent="0.2">
      <c r="S245" t="s">
        <v>81</v>
      </c>
    </row>
    <row r="246" spans="19:19" x14ac:dyDescent="0.2">
      <c r="S246" t="s">
        <v>81</v>
      </c>
    </row>
    <row r="247" spans="19:19" x14ac:dyDescent="0.2">
      <c r="S247" t="s">
        <v>81</v>
      </c>
    </row>
    <row r="248" spans="19:19" x14ac:dyDescent="0.2">
      <c r="S248" t="s">
        <v>81</v>
      </c>
    </row>
    <row r="249" spans="19:19" x14ac:dyDescent="0.2">
      <c r="S249" t="s">
        <v>81</v>
      </c>
    </row>
    <row r="250" spans="19:19" x14ac:dyDescent="0.2">
      <c r="S250" t="s">
        <v>81</v>
      </c>
    </row>
    <row r="251" spans="19:19" x14ac:dyDescent="0.2">
      <c r="S251" t="s">
        <v>81</v>
      </c>
    </row>
    <row r="252" spans="19:19" x14ac:dyDescent="0.2">
      <c r="S252" t="s">
        <v>81</v>
      </c>
    </row>
    <row r="253" spans="19:19" x14ac:dyDescent="0.2">
      <c r="S253" t="s">
        <v>81</v>
      </c>
    </row>
    <row r="254" spans="19:19" x14ac:dyDescent="0.2">
      <c r="S254" t="s">
        <v>81</v>
      </c>
    </row>
    <row r="255" spans="19:19" x14ac:dyDescent="0.2">
      <c r="S255" t="s">
        <v>81</v>
      </c>
    </row>
    <row r="256" spans="19:19" x14ac:dyDescent="0.2">
      <c r="S256" t="s">
        <v>81</v>
      </c>
    </row>
    <row r="257" spans="19:19" x14ac:dyDescent="0.2">
      <c r="S257" t="s">
        <v>81</v>
      </c>
    </row>
    <row r="258" spans="19:19" x14ac:dyDescent="0.2">
      <c r="S258" t="s">
        <v>81</v>
      </c>
    </row>
    <row r="259" spans="19:19" x14ac:dyDescent="0.2">
      <c r="S259" t="s">
        <v>81</v>
      </c>
    </row>
    <row r="260" spans="19:19" x14ac:dyDescent="0.2">
      <c r="S260" t="s">
        <v>81</v>
      </c>
    </row>
    <row r="261" spans="19:19" x14ac:dyDescent="0.2">
      <c r="S261" t="s">
        <v>81</v>
      </c>
    </row>
    <row r="262" spans="19:19" x14ac:dyDescent="0.2">
      <c r="S262" t="s">
        <v>81</v>
      </c>
    </row>
    <row r="263" spans="19:19" x14ac:dyDescent="0.2">
      <c r="S263" t="s">
        <v>81</v>
      </c>
    </row>
    <row r="264" spans="19:19" x14ac:dyDescent="0.2">
      <c r="S264" t="s">
        <v>81</v>
      </c>
    </row>
    <row r="265" spans="19:19" x14ac:dyDescent="0.2">
      <c r="S265" t="s">
        <v>81</v>
      </c>
    </row>
    <row r="266" spans="19:19" x14ac:dyDescent="0.2">
      <c r="S266" t="s">
        <v>81</v>
      </c>
    </row>
    <row r="267" spans="19:19" x14ac:dyDescent="0.2">
      <c r="S267" t="s">
        <v>81</v>
      </c>
    </row>
    <row r="268" spans="19:19" x14ac:dyDescent="0.2">
      <c r="S268" t="s">
        <v>81</v>
      </c>
    </row>
    <row r="269" spans="19:19" x14ac:dyDescent="0.2">
      <c r="S269" t="s">
        <v>81</v>
      </c>
    </row>
    <row r="270" spans="19:19" x14ac:dyDescent="0.2">
      <c r="S270" t="s">
        <v>81</v>
      </c>
    </row>
    <row r="271" spans="19:19" x14ac:dyDescent="0.2">
      <c r="S271" t="s">
        <v>81</v>
      </c>
    </row>
    <row r="272" spans="19:19" x14ac:dyDescent="0.2">
      <c r="S272" t="s">
        <v>81</v>
      </c>
    </row>
    <row r="273" spans="19:19" x14ac:dyDescent="0.2">
      <c r="S273" t="s">
        <v>81</v>
      </c>
    </row>
    <row r="274" spans="19:19" x14ac:dyDescent="0.2">
      <c r="S274" t="s">
        <v>81</v>
      </c>
    </row>
    <row r="275" spans="19:19" x14ac:dyDescent="0.2">
      <c r="S275" t="s">
        <v>81</v>
      </c>
    </row>
    <row r="276" spans="19:19" x14ac:dyDescent="0.2">
      <c r="S276" t="s">
        <v>81</v>
      </c>
    </row>
    <row r="277" spans="19:19" x14ac:dyDescent="0.2">
      <c r="S277" t="s">
        <v>81</v>
      </c>
    </row>
    <row r="278" spans="19:19" x14ac:dyDescent="0.2">
      <c r="S278" t="s">
        <v>81</v>
      </c>
    </row>
    <row r="279" spans="19:19" x14ac:dyDescent="0.2">
      <c r="S279" t="s">
        <v>81</v>
      </c>
    </row>
    <row r="280" spans="19:19" x14ac:dyDescent="0.2">
      <c r="S280" t="s">
        <v>81</v>
      </c>
    </row>
    <row r="281" spans="19:19" x14ac:dyDescent="0.2">
      <c r="S281" t="s">
        <v>81</v>
      </c>
    </row>
    <row r="282" spans="19:19" x14ac:dyDescent="0.2">
      <c r="S282" t="s">
        <v>81</v>
      </c>
    </row>
    <row r="283" spans="19:19" x14ac:dyDescent="0.2">
      <c r="S283" t="s">
        <v>81</v>
      </c>
    </row>
    <row r="284" spans="19:19" x14ac:dyDescent="0.2">
      <c r="S284" t="s">
        <v>81</v>
      </c>
    </row>
    <row r="285" spans="19:19" x14ac:dyDescent="0.2">
      <c r="S285" t="s">
        <v>81</v>
      </c>
    </row>
    <row r="286" spans="19:19" x14ac:dyDescent="0.2">
      <c r="S286" t="s">
        <v>81</v>
      </c>
    </row>
    <row r="287" spans="19:19" x14ac:dyDescent="0.2">
      <c r="S287" t="s">
        <v>81</v>
      </c>
    </row>
    <row r="288" spans="19:19" x14ac:dyDescent="0.2">
      <c r="S288" t="s">
        <v>81</v>
      </c>
    </row>
    <row r="289" spans="19:19" x14ac:dyDescent="0.2">
      <c r="S289" t="s">
        <v>81</v>
      </c>
    </row>
    <row r="290" spans="19:19" x14ac:dyDescent="0.2">
      <c r="S290" t="s">
        <v>81</v>
      </c>
    </row>
    <row r="291" spans="19:19" x14ac:dyDescent="0.2">
      <c r="S291" t="s">
        <v>81</v>
      </c>
    </row>
    <row r="292" spans="19:19" x14ac:dyDescent="0.2">
      <c r="S292" t="s">
        <v>81</v>
      </c>
    </row>
    <row r="293" spans="19:19" x14ac:dyDescent="0.2">
      <c r="S293" t="s">
        <v>81</v>
      </c>
    </row>
    <row r="294" spans="19:19" x14ac:dyDescent="0.2">
      <c r="S294" t="s">
        <v>81</v>
      </c>
    </row>
    <row r="295" spans="19:19" x14ac:dyDescent="0.2">
      <c r="S295" t="s">
        <v>81</v>
      </c>
    </row>
    <row r="296" spans="19:19" x14ac:dyDescent="0.2">
      <c r="S296" t="s">
        <v>81</v>
      </c>
    </row>
    <row r="297" spans="19:19" x14ac:dyDescent="0.2">
      <c r="S297" t="s">
        <v>81</v>
      </c>
    </row>
    <row r="298" spans="19:19" x14ac:dyDescent="0.2">
      <c r="S298" t="s">
        <v>81</v>
      </c>
    </row>
    <row r="299" spans="19:19" x14ac:dyDescent="0.2">
      <c r="S299" t="s">
        <v>81</v>
      </c>
    </row>
    <row r="300" spans="19:19" x14ac:dyDescent="0.2">
      <c r="S300" t="s">
        <v>81</v>
      </c>
    </row>
    <row r="301" spans="19:19" x14ac:dyDescent="0.2">
      <c r="S301" t="s">
        <v>81</v>
      </c>
    </row>
    <row r="302" spans="19:19" x14ac:dyDescent="0.2">
      <c r="S302" t="s">
        <v>81</v>
      </c>
    </row>
    <row r="303" spans="19:19" x14ac:dyDescent="0.2">
      <c r="S303" t="s">
        <v>81</v>
      </c>
    </row>
    <row r="304" spans="19:19" x14ac:dyDescent="0.2">
      <c r="S304" t="s">
        <v>81</v>
      </c>
    </row>
    <row r="305" spans="19:19" x14ac:dyDescent="0.2">
      <c r="S305" t="s">
        <v>81</v>
      </c>
    </row>
    <row r="306" spans="19:19" x14ac:dyDescent="0.2">
      <c r="S306" t="s">
        <v>81</v>
      </c>
    </row>
    <row r="307" spans="19:19" x14ac:dyDescent="0.2">
      <c r="S307" t="s">
        <v>81</v>
      </c>
    </row>
    <row r="308" spans="19:19" x14ac:dyDescent="0.2">
      <c r="S308" t="s">
        <v>81</v>
      </c>
    </row>
    <row r="309" spans="19:19" x14ac:dyDescent="0.2">
      <c r="S309" t="s">
        <v>81</v>
      </c>
    </row>
    <row r="310" spans="19:19" x14ac:dyDescent="0.2">
      <c r="S310" t="s">
        <v>81</v>
      </c>
    </row>
    <row r="311" spans="19:19" x14ac:dyDescent="0.2">
      <c r="S311" t="s">
        <v>81</v>
      </c>
    </row>
    <row r="312" spans="19:19" x14ac:dyDescent="0.2">
      <c r="S312" t="s">
        <v>81</v>
      </c>
    </row>
    <row r="313" spans="19:19" x14ac:dyDescent="0.2">
      <c r="S313" t="s">
        <v>81</v>
      </c>
    </row>
    <row r="314" spans="19:19" x14ac:dyDescent="0.2">
      <c r="S314" t="s">
        <v>81</v>
      </c>
    </row>
    <row r="315" spans="19:19" x14ac:dyDescent="0.2">
      <c r="S315" t="s">
        <v>81</v>
      </c>
    </row>
    <row r="316" spans="19:19" x14ac:dyDescent="0.2">
      <c r="S316" t="s">
        <v>81</v>
      </c>
    </row>
    <row r="317" spans="19:19" x14ac:dyDescent="0.2">
      <c r="S317" t="s">
        <v>81</v>
      </c>
    </row>
    <row r="318" spans="19:19" x14ac:dyDescent="0.2">
      <c r="S318" t="s">
        <v>81</v>
      </c>
    </row>
    <row r="319" spans="19:19" x14ac:dyDescent="0.2">
      <c r="S319" t="s">
        <v>81</v>
      </c>
    </row>
    <row r="320" spans="19:19" x14ac:dyDescent="0.2">
      <c r="S320" t="s">
        <v>81</v>
      </c>
    </row>
    <row r="321" spans="19:19" x14ac:dyDescent="0.2">
      <c r="S321" t="s">
        <v>81</v>
      </c>
    </row>
    <row r="322" spans="19:19" x14ac:dyDescent="0.2">
      <c r="S322" t="s">
        <v>81</v>
      </c>
    </row>
    <row r="323" spans="19:19" x14ac:dyDescent="0.2">
      <c r="S323" t="s">
        <v>81</v>
      </c>
    </row>
    <row r="324" spans="19:19" x14ac:dyDescent="0.2">
      <c r="S324" t="s">
        <v>81</v>
      </c>
    </row>
    <row r="325" spans="19:19" x14ac:dyDescent="0.2">
      <c r="S325" t="s">
        <v>81</v>
      </c>
    </row>
    <row r="326" spans="19:19" x14ac:dyDescent="0.2">
      <c r="S326" t="s">
        <v>81</v>
      </c>
    </row>
    <row r="327" spans="19:19" x14ac:dyDescent="0.2">
      <c r="S327" t="s">
        <v>81</v>
      </c>
    </row>
    <row r="328" spans="19:19" x14ac:dyDescent="0.2">
      <c r="S328" t="s">
        <v>81</v>
      </c>
    </row>
    <row r="329" spans="19:19" x14ac:dyDescent="0.2">
      <c r="S329" t="s">
        <v>81</v>
      </c>
    </row>
    <row r="330" spans="19:19" x14ac:dyDescent="0.2">
      <c r="S330" t="s">
        <v>81</v>
      </c>
    </row>
    <row r="331" spans="19:19" x14ac:dyDescent="0.2">
      <c r="S331" t="s">
        <v>81</v>
      </c>
    </row>
    <row r="332" spans="19:19" x14ac:dyDescent="0.2">
      <c r="S332" t="s">
        <v>81</v>
      </c>
    </row>
    <row r="333" spans="19:19" x14ac:dyDescent="0.2">
      <c r="S333" t="s">
        <v>81</v>
      </c>
    </row>
    <row r="334" spans="19:19" x14ac:dyDescent="0.2">
      <c r="S334" t="s">
        <v>81</v>
      </c>
    </row>
    <row r="335" spans="19:19" x14ac:dyDescent="0.2">
      <c r="S335" t="s">
        <v>81</v>
      </c>
    </row>
    <row r="336" spans="19:19" x14ac:dyDescent="0.2">
      <c r="S336" t="s">
        <v>81</v>
      </c>
    </row>
    <row r="337" spans="19:19" x14ac:dyDescent="0.2">
      <c r="S337" t="s">
        <v>81</v>
      </c>
    </row>
    <row r="338" spans="19:19" x14ac:dyDescent="0.2">
      <c r="S338" t="s">
        <v>81</v>
      </c>
    </row>
    <row r="339" spans="19:19" x14ac:dyDescent="0.2">
      <c r="S339" t="s">
        <v>81</v>
      </c>
    </row>
    <row r="340" spans="19:19" x14ac:dyDescent="0.2">
      <c r="S340" t="s">
        <v>81</v>
      </c>
    </row>
    <row r="341" spans="19:19" x14ac:dyDescent="0.2">
      <c r="S341" t="s">
        <v>81</v>
      </c>
    </row>
    <row r="342" spans="19:19" x14ac:dyDescent="0.2">
      <c r="S342" t="s">
        <v>81</v>
      </c>
    </row>
    <row r="343" spans="19:19" x14ac:dyDescent="0.2">
      <c r="S343" t="s">
        <v>81</v>
      </c>
    </row>
    <row r="344" spans="19:19" x14ac:dyDescent="0.2">
      <c r="S344" t="s">
        <v>81</v>
      </c>
    </row>
    <row r="345" spans="19:19" x14ac:dyDescent="0.2">
      <c r="S345" t="s">
        <v>81</v>
      </c>
    </row>
    <row r="346" spans="19:19" x14ac:dyDescent="0.2">
      <c r="S346" t="s">
        <v>81</v>
      </c>
    </row>
    <row r="347" spans="19:19" x14ac:dyDescent="0.2">
      <c r="S347" t="s">
        <v>81</v>
      </c>
    </row>
    <row r="348" spans="19:19" x14ac:dyDescent="0.2">
      <c r="S348" t="s">
        <v>81</v>
      </c>
    </row>
    <row r="349" spans="19:19" x14ac:dyDescent="0.2">
      <c r="S349" t="s">
        <v>81</v>
      </c>
    </row>
    <row r="350" spans="19:19" x14ac:dyDescent="0.2">
      <c r="S350" t="s">
        <v>81</v>
      </c>
    </row>
    <row r="351" spans="19:19" x14ac:dyDescent="0.2">
      <c r="S351" t="s">
        <v>81</v>
      </c>
    </row>
    <row r="352" spans="19:19" x14ac:dyDescent="0.2">
      <c r="S352" t="s">
        <v>81</v>
      </c>
    </row>
    <row r="353" spans="19:19" x14ac:dyDescent="0.2">
      <c r="S353" t="s">
        <v>81</v>
      </c>
    </row>
    <row r="354" spans="19:19" x14ac:dyDescent="0.2">
      <c r="S354" t="s">
        <v>81</v>
      </c>
    </row>
    <row r="355" spans="19:19" x14ac:dyDescent="0.2">
      <c r="S355" t="s">
        <v>81</v>
      </c>
    </row>
    <row r="356" spans="19:19" x14ac:dyDescent="0.2">
      <c r="S356" t="s">
        <v>81</v>
      </c>
    </row>
    <row r="357" spans="19:19" x14ac:dyDescent="0.2">
      <c r="S357" t="s">
        <v>81</v>
      </c>
    </row>
    <row r="358" spans="19:19" x14ac:dyDescent="0.2">
      <c r="S358" t="s">
        <v>81</v>
      </c>
    </row>
    <row r="359" spans="19:19" x14ac:dyDescent="0.2">
      <c r="S359" t="s">
        <v>81</v>
      </c>
    </row>
    <row r="360" spans="19:19" x14ac:dyDescent="0.2">
      <c r="S360" t="s">
        <v>81</v>
      </c>
    </row>
    <row r="361" spans="19:19" x14ac:dyDescent="0.2">
      <c r="S361" t="s">
        <v>81</v>
      </c>
    </row>
    <row r="362" spans="19:19" x14ac:dyDescent="0.2">
      <c r="S362" t="s">
        <v>81</v>
      </c>
    </row>
    <row r="363" spans="19:19" x14ac:dyDescent="0.2">
      <c r="S363" t="s">
        <v>81</v>
      </c>
    </row>
    <row r="364" spans="19:19" x14ac:dyDescent="0.2">
      <c r="S364" t="s">
        <v>81</v>
      </c>
    </row>
    <row r="365" spans="19:19" x14ac:dyDescent="0.2">
      <c r="S365" t="s">
        <v>81</v>
      </c>
    </row>
    <row r="366" spans="19:19" x14ac:dyDescent="0.2">
      <c r="S366" t="s">
        <v>81</v>
      </c>
    </row>
    <row r="367" spans="19:19" x14ac:dyDescent="0.2">
      <c r="S367" t="s">
        <v>81</v>
      </c>
    </row>
    <row r="368" spans="19:19" x14ac:dyDescent="0.2">
      <c r="S368" t="s">
        <v>81</v>
      </c>
    </row>
    <row r="369" spans="19:19" x14ac:dyDescent="0.2">
      <c r="S369" t="s">
        <v>81</v>
      </c>
    </row>
    <row r="370" spans="19:19" x14ac:dyDescent="0.2">
      <c r="S370" t="s">
        <v>81</v>
      </c>
    </row>
    <row r="371" spans="19:19" x14ac:dyDescent="0.2">
      <c r="S371" t="s">
        <v>81</v>
      </c>
    </row>
    <row r="372" spans="19:19" x14ac:dyDescent="0.2">
      <c r="S372" t="s">
        <v>81</v>
      </c>
    </row>
    <row r="373" spans="19:19" x14ac:dyDescent="0.2">
      <c r="S373" t="s">
        <v>81</v>
      </c>
    </row>
    <row r="374" spans="19:19" x14ac:dyDescent="0.2">
      <c r="S374" t="s">
        <v>81</v>
      </c>
    </row>
    <row r="375" spans="19:19" x14ac:dyDescent="0.2">
      <c r="S375" t="s">
        <v>81</v>
      </c>
    </row>
    <row r="376" spans="19:19" x14ac:dyDescent="0.2">
      <c r="S376" t="s">
        <v>81</v>
      </c>
    </row>
    <row r="377" spans="19:19" x14ac:dyDescent="0.2">
      <c r="S377" t="s">
        <v>81</v>
      </c>
    </row>
    <row r="378" spans="19:19" x14ac:dyDescent="0.2">
      <c r="S378" t="s">
        <v>81</v>
      </c>
    </row>
    <row r="379" spans="19:19" x14ac:dyDescent="0.2">
      <c r="S379" t="s">
        <v>81</v>
      </c>
    </row>
    <row r="380" spans="19:19" x14ac:dyDescent="0.2">
      <c r="S380" t="s">
        <v>81</v>
      </c>
    </row>
    <row r="381" spans="19:19" x14ac:dyDescent="0.2">
      <c r="S381" t="s">
        <v>81</v>
      </c>
    </row>
    <row r="382" spans="19:19" x14ac:dyDescent="0.2">
      <c r="S382" t="s">
        <v>81</v>
      </c>
    </row>
    <row r="383" spans="19:19" x14ac:dyDescent="0.2">
      <c r="S383" t="s">
        <v>81</v>
      </c>
    </row>
    <row r="384" spans="19:19" x14ac:dyDescent="0.2">
      <c r="S384" t="s">
        <v>81</v>
      </c>
    </row>
    <row r="385" spans="19:19" x14ac:dyDescent="0.2">
      <c r="S385" t="s">
        <v>81</v>
      </c>
    </row>
    <row r="386" spans="19:19" x14ac:dyDescent="0.2">
      <c r="S386" t="s">
        <v>81</v>
      </c>
    </row>
    <row r="387" spans="19:19" x14ac:dyDescent="0.2">
      <c r="S387" t="s">
        <v>81</v>
      </c>
    </row>
    <row r="388" spans="19:19" x14ac:dyDescent="0.2">
      <c r="S388" t="s">
        <v>81</v>
      </c>
    </row>
    <row r="389" spans="19:19" x14ac:dyDescent="0.2">
      <c r="S389" t="s">
        <v>81</v>
      </c>
    </row>
    <row r="390" spans="19:19" x14ac:dyDescent="0.2">
      <c r="S390" t="s">
        <v>81</v>
      </c>
    </row>
    <row r="391" spans="19:19" x14ac:dyDescent="0.2">
      <c r="S391" t="s">
        <v>81</v>
      </c>
    </row>
    <row r="392" spans="19:19" x14ac:dyDescent="0.2">
      <c r="S392" t="s">
        <v>81</v>
      </c>
    </row>
    <row r="393" spans="19:19" x14ac:dyDescent="0.2">
      <c r="S393" t="s">
        <v>81</v>
      </c>
    </row>
    <row r="394" spans="19:19" x14ac:dyDescent="0.2">
      <c r="S394" t="s">
        <v>81</v>
      </c>
    </row>
    <row r="395" spans="19:19" x14ac:dyDescent="0.2">
      <c r="S395" t="s">
        <v>81</v>
      </c>
    </row>
    <row r="396" spans="19:19" x14ac:dyDescent="0.2">
      <c r="S396" t="s">
        <v>81</v>
      </c>
    </row>
    <row r="397" spans="19:19" x14ac:dyDescent="0.2">
      <c r="S397" t="s">
        <v>81</v>
      </c>
    </row>
    <row r="398" spans="19:19" x14ac:dyDescent="0.2">
      <c r="S398" t="s">
        <v>81</v>
      </c>
    </row>
    <row r="399" spans="19:19" x14ac:dyDescent="0.2">
      <c r="S399" t="s">
        <v>81</v>
      </c>
    </row>
    <row r="400" spans="19:19" x14ac:dyDescent="0.2">
      <c r="S400" t="s">
        <v>81</v>
      </c>
    </row>
    <row r="401" spans="19:19" x14ac:dyDescent="0.2">
      <c r="S401" t="s">
        <v>81</v>
      </c>
    </row>
    <row r="402" spans="19:19" x14ac:dyDescent="0.2">
      <c r="S402" t="s">
        <v>81</v>
      </c>
    </row>
    <row r="403" spans="19:19" x14ac:dyDescent="0.2">
      <c r="S403" t="s">
        <v>81</v>
      </c>
    </row>
    <row r="404" spans="19:19" x14ac:dyDescent="0.2">
      <c r="S404" t="s">
        <v>81</v>
      </c>
    </row>
    <row r="405" spans="19:19" x14ac:dyDescent="0.2">
      <c r="S405" t="s">
        <v>81</v>
      </c>
    </row>
    <row r="406" spans="19:19" x14ac:dyDescent="0.2">
      <c r="S406" t="s">
        <v>81</v>
      </c>
    </row>
    <row r="407" spans="19:19" x14ac:dyDescent="0.2">
      <c r="S407" t="s">
        <v>81</v>
      </c>
    </row>
    <row r="408" spans="19:19" x14ac:dyDescent="0.2">
      <c r="S408" t="s">
        <v>81</v>
      </c>
    </row>
    <row r="409" spans="19:19" x14ac:dyDescent="0.2">
      <c r="S409" t="s">
        <v>81</v>
      </c>
    </row>
    <row r="410" spans="19:19" x14ac:dyDescent="0.2">
      <c r="S410" t="s">
        <v>81</v>
      </c>
    </row>
    <row r="411" spans="19:19" x14ac:dyDescent="0.2">
      <c r="S411" t="s">
        <v>81</v>
      </c>
    </row>
    <row r="412" spans="19:19" x14ac:dyDescent="0.2">
      <c r="S412" t="s">
        <v>81</v>
      </c>
    </row>
    <row r="413" spans="19:19" x14ac:dyDescent="0.2">
      <c r="S413" t="s">
        <v>81</v>
      </c>
    </row>
    <row r="414" spans="19:19" x14ac:dyDescent="0.2">
      <c r="S414" t="s">
        <v>81</v>
      </c>
    </row>
    <row r="415" spans="19:19" x14ac:dyDescent="0.2">
      <c r="S415" t="s">
        <v>81</v>
      </c>
    </row>
    <row r="416" spans="19:19" x14ac:dyDescent="0.2">
      <c r="S416" t="s">
        <v>81</v>
      </c>
    </row>
    <row r="417" spans="19:19" x14ac:dyDescent="0.2">
      <c r="S417" t="s">
        <v>81</v>
      </c>
    </row>
    <row r="418" spans="19:19" x14ac:dyDescent="0.2">
      <c r="S418" t="s">
        <v>81</v>
      </c>
    </row>
    <row r="419" spans="19:19" x14ac:dyDescent="0.2">
      <c r="S419" t="s">
        <v>81</v>
      </c>
    </row>
    <row r="420" spans="19:19" x14ac:dyDescent="0.2">
      <c r="S420" t="s">
        <v>81</v>
      </c>
    </row>
    <row r="421" spans="19:19" x14ac:dyDescent="0.2">
      <c r="S421" t="s">
        <v>81</v>
      </c>
    </row>
    <row r="422" spans="19:19" x14ac:dyDescent="0.2">
      <c r="S422" t="s">
        <v>81</v>
      </c>
    </row>
    <row r="423" spans="19:19" x14ac:dyDescent="0.2">
      <c r="S423" t="s">
        <v>81</v>
      </c>
    </row>
    <row r="424" spans="19:19" x14ac:dyDescent="0.2">
      <c r="S424" t="s">
        <v>81</v>
      </c>
    </row>
    <row r="425" spans="19:19" x14ac:dyDescent="0.2">
      <c r="S425" t="s">
        <v>81</v>
      </c>
    </row>
    <row r="426" spans="19:19" x14ac:dyDescent="0.2">
      <c r="S426" t="s">
        <v>81</v>
      </c>
    </row>
    <row r="427" spans="19:19" x14ac:dyDescent="0.2">
      <c r="S427" t="s">
        <v>81</v>
      </c>
    </row>
    <row r="428" spans="19:19" x14ac:dyDescent="0.2">
      <c r="S428" t="s">
        <v>81</v>
      </c>
    </row>
    <row r="429" spans="19:19" x14ac:dyDescent="0.2">
      <c r="S429" t="s">
        <v>81</v>
      </c>
    </row>
    <row r="430" spans="19:19" x14ac:dyDescent="0.2">
      <c r="S430" t="s">
        <v>81</v>
      </c>
    </row>
    <row r="431" spans="19:19" x14ac:dyDescent="0.2">
      <c r="S431" t="s">
        <v>81</v>
      </c>
    </row>
    <row r="432" spans="19:19" x14ac:dyDescent="0.2">
      <c r="S432" t="s">
        <v>81</v>
      </c>
    </row>
    <row r="433" spans="19:19" x14ac:dyDescent="0.2">
      <c r="S433" t="s">
        <v>81</v>
      </c>
    </row>
    <row r="434" spans="19:19" x14ac:dyDescent="0.2">
      <c r="S434" t="s">
        <v>81</v>
      </c>
    </row>
    <row r="435" spans="19:19" x14ac:dyDescent="0.2">
      <c r="S435" t="s">
        <v>81</v>
      </c>
    </row>
    <row r="436" spans="19:19" x14ac:dyDescent="0.2">
      <c r="S436" t="s">
        <v>81</v>
      </c>
    </row>
    <row r="437" spans="19:19" x14ac:dyDescent="0.2">
      <c r="S437" t="s">
        <v>81</v>
      </c>
    </row>
    <row r="438" spans="19:19" x14ac:dyDescent="0.2">
      <c r="S438" t="s">
        <v>81</v>
      </c>
    </row>
    <row r="439" spans="19:19" x14ac:dyDescent="0.2">
      <c r="S439" t="s">
        <v>81</v>
      </c>
    </row>
    <row r="440" spans="19:19" x14ac:dyDescent="0.2">
      <c r="S440" t="s">
        <v>81</v>
      </c>
    </row>
    <row r="441" spans="19:19" x14ac:dyDescent="0.2">
      <c r="S441" t="s">
        <v>81</v>
      </c>
    </row>
    <row r="442" spans="19:19" x14ac:dyDescent="0.2">
      <c r="S442" t="s">
        <v>81</v>
      </c>
    </row>
    <row r="443" spans="19:19" x14ac:dyDescent="0.2">
      <c r="S443" t="s">
        <v>81</v>
      </c>
    </row>
    <row r="444" spans="19:19" x14ac:dyDescent="0.2">
      <c r="S444" t="s">
        <v>81</v>
      </c>
    </row>
    <row r="445" spans="19:19" x14ac:dyDescent="0.2">
      <c r="S445" t="s">
        <v>81</v>
      </c>
    </row>
    <row r="446" spans="19:19" x14ac:dyDescent="0.2">
      <c r="S446" t="s">
        <v>81</v>
      </c>
    </row>
    <row r="447" spans="19:19" x14ac:dyDescent="0.2">
      <c r="S447" t="s">
        <v>81</v>
      </c>
    </row>
    <row r="448" spans="19:19" x14ac:dyDescent="0.2">
      <c r="S448" t="s">
        <v>81</v>
      </c>
    </row>
    <row r="449" spans="19:19" x14ac:dyDescent="0.2">
      <c r="S449" t="s">
        <v>81</v>
      </c>
    </row>
    <row r="450" spans="19:19" x14ac:dyDescent="0.2">
      <c r="S450" t="s">
        <v>81</v>
      </c>
    </row>
    <row r="451" spans="19:19" x14ac:dyDescent="0.2">
      <c r="S451" t="s">
        <v>81</v>
      </c>
    </row>
    <row r="452" spans="19:19" x14ac:dyDescent="0.2">
      <c r="S452" t="s">
        <v>81</v>
      </c>
    </row>
    <row r="453" spans="19:19" x14ac:dyDescent="0.2">
      <c r="S453" t="s">
        <v>81</v>
      </c>
    </row>
    <row r="454" spans="19:19" x14ac:dyDescent="0.2">
      <c r="S454" t="s">
        <v>81</v>
      </c>
    </row>
    <row r="455" spans="19:19" x14ac:dyDescent="0.2">
      <c r="S455" t="s">
        <v>81</v>
      </c>
    </row>
    <row r="456" spans="19:19" x14ac:dyDescent="0.2">
      <c r="S456" t="s">
        <v>81</v>
      </c>
    </row>
    <row r="457" spans="19:19" x14ac:dyDescent="0.2">
      <c r="S457" t="s">
        <v>81</v>
      </c>
    </row>
    <row r="458" spans="19:19" x14ac:dyDescent="0.2">
      <c r="S458" t="s">
        <v>81</v>
      </c>
    </row>
    <row r="459" spans="19:19" x14ac:dyDescent="0.2">
      <c r="S459" t="s">
        <v>81</v>
      </c>
    </row>
    <row r="460" spans="19:19" x14ac:dyDescent="0.2">
      <c r="S460" t="s">
        <v>81</v>
      </c>
    </row>
    <row r="461" spans="19:19" x14ac:dyDescent="0.2">
      <c r="S461" t="s">
        <v>81</v>
      </c>
    </row>
    <row r="462" spans="19:19" x14ac:dyDescent="0.2">
      <c r="S462" t="s">
        <v>81</v>
      </c>
    </row>
    <row r="463" spans="19:19" x14ac:dyDescent="0.2">
      <c r="S463" t="s">
        <v>81</v>
      </c>
    </row>
    <row r="464" spans="19:19" x14ac:dyDescent="0.2">
      <c r="S464" t="s">
        <v>81</v>
      </c>
    </row>
    <row r="465" spans="19:19" x14ac:dyDescent="0.2">
      <c r="S465" t="s">
        <v>81</v>
      </c>
    </row>
    <row r="466" spans="19:19" x14ac:dyDescent="0.2">
      <c r="S466" t="s">
        <v>81</v>
      </c>
    </row>
    <row r="467" spans="19:19" x14ac:dyDescent="0.2">
      <c r="S467" t="s">
        <v>81</v>
      </c>
    </row>
    <row r="468" spans="19:19" x14ac:dyDescent="0.2">
      <c r="S468" t="s">
        <v>81</v>
      </c>
    </row>
    <row r="469" spans="19:19" x14ac:dyDescent="0.2">
      <c r="S469" t="s">
        <v>81</v>
      </c>
    </row>
    <row r="470" spans="19:19" x14ac:dyDescent="0.2">
      <c r="S470" t="s">
        <v>81</v>
      </c>
    </row>
    <row r="471" spans="19:19" x14ac:dyDescent="0.2">
      <c r="S471" t="s">
        <v>81</v>
      </c>
    </row>
    <row r="472" spans="19:19" x14ac:dyDescent="0.2">
      <c r="S472" t="s">
        <v>81</v>
      </c>
    </row>
    <row r="473" spans="19:19" x14ac:dyDescent="0.2">
      <c r="S473" t="s">
        <v>81</v>
      </c>
    </row>
    <row r="474" spans="19:19" x14ac:dyDescent="0.2">
      <c r="S474" t="s">
        <v>81</v>
      </c>
    </row>
    <row r="475" spans="19:19" x14ac:dyDescent="0.2">
      <c r="S475" t="s">
        <v>81</v>
      </c>
    </row>
    <row r="476" spans="19:19" x14ac:dyDescent="0.2">
      <c r="S476" t="s">
        <v>81</v>
      </c>
    </row>
    <row r="477" spans="19:19" x14ac:dyDescent="0.2">
      <c r="S477" t="s">
        <v>81</v>
      </c>
    </row>
    <row r="478" spans="19:19" x14ac:dyDescent="0.2">
      <c r="S478" t="s">
        <v>81</v>
      </c>
    </row>
    <row r="479" spans="19:19" x14ac:dyDescent="0.2">
      <c r="S479" t="s">
        <v>81</v>
      </c>
    </row>
    <row r="480" spans="19:19" x14ac:dyDescent="0.2">
      <c r="S480" t="s">
        <v>81</v>
      </c>
    </row>
    <row r="481" spans="19:19" x14ac:dyDescent="0.2">
      <c r="S481" t="s">
        <v>81</v>
      </c>
    </row>
    <row r="482" spans="19:19" x14ac:dyDescent="0.2">
      <c r="S482" t="s">
        <v>81</v>
      </c>
    </row>
    <row r="483" spans="19:19" x14ac:dyDescent="0.2">
      <c r="S483" t="s">
        <v>81</v>
      </c>
    </row>
    <row r="484" spans="19:19" x14ac:dyDescent="0.2">
      <c r="S484" t="s">
        <v>81</v>
      </c>
    </row>
    <row r="485" spans="19:19" x14ac:dyDescent="0.2">
      <c r="S485" t="s">
        <v>81</v>
      </c>
    </row>
    <row r="486" spans="19:19" x14ac:dyDescent="0.2">
      <c r="S486" t="s">
        <v>81</v>
      </c>
    </row>
    <row r="487" spans="19:19" x14ac:dyDescent="0.2">
      <c r="S487" t="s">
        <v>81</v>
      </c>
    </row>
    <row r="488" spans="19:19" x14ac:dyDescent="0.2">
      <c r="S488" t="s">
        <v>81</v>
      </c>
    </row>
    <row r="489" spans="19:19" x14ac:dyDescent="0.2">
      <c r="S489" t="s">
        <v>81</v>
      </c>
    </row>
    <row r="490" spans="19:19" x14ac:dyDescent="0.2">
      <c r="S490" t="s">
        <v>81</v>
      </c>
    </row>
    <row r="491" spans="19:19" x14ac:dyDescent="0.2">
      <c r="S491" t="s">
        <v>81</v>
      </c>
    </row>
    <row r="492" spans="19:19" x14ac:dyDescent="0.2">
      <c r="S492" t="s">
        <v>81</v>
      </c>
    </row>
    <row r="493" spans="19:19" x14ac:dyDescent="0.2">
      <c r="S493" t="s">
        <v>81</v>
      </c>
    </row>
    <row r="494" spans="19:19" x14ac:dyDescent="0.2">
      <c r="S494" t="s">
        <v>81</v>
      </c>
    </row>
    <row r="495" spans="19:19" x14ac:dyDescent="0.2">
      <c r="S495" t="s">
        <v>81</v>
      </c>
    </row>
    <row r="496" spans="19:19" x14ac:dyDescent="0.2">
      <c r="S496" t="s">
        <v>81</v>
      </c>
    </row>
    <row r="497" spans="19:19" x14ac:dyDescent="0.2">
      <c r="S497" t="s">
        <v>81</v>
      </c>
    </row>
    <row r="498" spans="19:19" x14ac:dyDescent="0.2">
      <c r="S498" t="s">
        <v>81</v>
      </c>
    </row>
    <row r="499" spans="19:19" x14ac:dyDescent="0.2">
      <c r="S499" t="s">
        <v>81</v>
      </c>
    </row>
    <row r="500" spans="19:19" x14ac:dyDescent="0.2">
      <c r="S500" t="s">
        <v>81</v>
      </c>
    </row>
    <row r="501" spans="19:19" x14ac:dyDescent="0.2">
      <c r="S501" t="s">
        <v>81</v>
      </c>
    </row>
    <row r="502" spans="19:19" x14ac:dyDescent="0.2">
      <c r="S502" t="s">
        <v>81</v>
      </c>
    </row>
    <row r="503" spans="19:19" x14ac:dyDescent="0.2">
      <c r="S503" t="s">
        <v>81</v>
      </c>
    </row>
    <row r="504" spans="19:19" x14ac:dyDescent="0.2">
      <c r="S504" t="s">
        <v>81</v>
      </c>
    </row>
    <row r="505" spans="19:19" x14ac:dyDescent="0.2">
      <c r="S505" t="s">
        <v>81</v>
      </c>
    </row>
    <row r="506" spans="19:19" x14ac:dyDescent="0.2">
      <c r="S506" t="s">
        <v>81</v>
      </c>
    </row>
    <row r="507" spans="19:19" x14ac:dyDescent="0.2">
      <c r="S507" t="s">
        <v>81</v>
      </c>
    </row>
    <row r="508" spans="19:19" x14ac:dyDescent="0.2">
      <c r="S508" t="s">
        <v>81</v>
      </c>
    </row>
    <row r="509" spans="19:19" x14ac:dyDescent="0.2">
      <c r="S509" t="s">
        <v>81</v>
      </c>
    </row>
    <row r="510" spans="19:19" x14ac:dyDescent="0.2">
      <c r="S510" t="s">
        <v>81</v>
      </c>
    </row>
    <row r="511" spans="19:19" x14ac:dyDescent="0.2">
      <c r="S511" t="s">
        <v>81</v>
      </c>
    </row>
    <row r="512" spans="19:19" x14ac:dyDescent="0.2">
      <c r="S512" t="s">
        <v>81</v>
      </c>
    </row>
    <row r="513" spans="19:19" x14ac:dyDescent="0.2">
      <c r="S513" t="s">
        <v>81</v>
      </c>
    </row>
    <row r="514" spans="19:19" x14ac:dyDescent="0.2">
      <c r="S514" t="s">
        <v>81</v>
      </c>
    </row>
    <row r="515" spans="19:19" x14ac:dyDescent="0.2">
      <c r="S515" t="s">
        <v>81</v>
      </c>
    </row>
    <row r="516" spans="19:19" x14ac:dyDescent="0.2">
      <c r="S516" t="s">
        <v>81</v>
      </c>
    </row>
    <row r="517" spans="19:19" x14ac:dyDescent="0.2">
      <c r="S517" t="s">
        <v>81</v>
      </c>
    </row>
    <row r="518" spans="19:19" x14ac:dyDescent="0.2">
      <c r="S518" t="s">
        <v>81</v>
      </c>
    </row>
    <row r="519" spans="19:19" x14ac:dyDescent="0.2">
      <c r="S519" t="s">
        <v>81</v>
      </c>
    </row>
    <row r="520" spans="19:19" x14ac:dyDescent="0.2">
      <c r="S520" t="s">
        <v>81</v>
      </c>
    </row>
    <row r="521" spans="19:19" x14ac:dyDescent="0.2">
      <c r="S521" t="s">
        <v>81</v>
      </c>
    </row>
    <row r="522" spans="19:19" x14ac:dyDescent="0.2">
      <c r="S522" t="s">
        <v>81</v>
      </c>
    </row>
    <row r="523" spans="19:19" x14ac:dyDescent="0.2">
      <c r="S523" t="s">
        <v>81</v>
      </c>
    </row>
    <row r="524" spans="19:19" x14ac:dyDescent="0.2">
      <c r="S524" t="s">
        <v>81</v>
      </c>
    </row>
    <row r="525" spans="19:19" x14ac:dyDescent="0.2">
      <c r="S525" t="s">
        <v>81</v>
      </c>
    </row>
    <row r="526" spans="19:19" x14ac:dyDescent="0.2">
      <c r="S526" t="s">
        <v>81</v>
      </c>
    </row>
    <row r="527" spans="19:19" x14ac:dyDescent="0.2">
      <c r="S527" t="s">
        <v>81</v>
      </c>
    </row>
    <row r="528" spans="19:19" x14ac:dyDescent="0.2">
      <c r="S528" t="s">
        <v>81</v>
      </c>
    </row>
    <row r="529" spans="19:19" x14ac:dyDescent="0.2">
      <c r="S529" t="s">
        <v>81</v>
      </c>
    </row>
    <row r="530" spans="19:19" x14ac:dyDescent="0.2">
      <c r="S530" t="s">
        <v>81</v>
      </c>
    </row>
    <row r="531" spans="19:19" x14ac:dyDescent="0.2">
      <c r="S531" t="s">
        <v>81</v>
      </c>
    </row>
    <row r="532" spans="19:19" x14ac:dyDescent="0.2">
      <c r="S532" t="s">
        <v>81</v>
      </c>
    </row>
    <row r="533" spans="19:19" x14ac:dyDescent="0.2">
      <c r="S533" t="s">
        <v>81</v>
      </c>
    </row>
    <row r="534" spans="19:19" x14ac:dyDescent="0.2">
      <c r="S534" t="s">
        <v>81</v>
      </c>
    </row>
    <row r="535" spans="19:19" x14ac:dyDescent="0.2">
      <c r="S535" t="s">
        <v>81</v>
      </c>
    </row>
    <row r="536" spans="19:19" x14ac:dyDescent="0.2">
      <c r="S536" t="s">
        <v>81</v>
      </c>
    </row>
    <row r="537" spans="19:19" x14ac:dyDescent="0.2">
      <c r="S537" t="s">
        <v>81</v>
      </c>
    </row>
    <row r="538" spans="19:19" x14ac:dyDescent="0.2">
      <c r="S538" t="s">
        <v>81</v>
      </c>
    </row>
    <row r="539" spans="19:19" x14ac:dyDescent="0.2">
      <c r="S539" t="s">
        <v>81</v>
      </c>
    </row>
    <row r="540" spans="19:19" x14ac:dyDescent="0.2">
      <c r="S540" t="s">
        <v>81</v>
      </c>
    </row>
    <row r="541" spans="19:19" x14ac:dyDescent="0.2">
      <c r="S541" t="s">
        <v>81</v>
      </c>
    </row>
    <row r="542" spans="19:19" x14ac:dyDescent="0.2">
      <c r="S542" t="s">
        <v>81</v>
      </c>
    </row>
    <row r="543" spans="19:19" x14ac:dyDescent="0.2">
      <c r="S543" t="s">
        <v>81</v>
      </c>
    </row>
    <row r="544" spans="19:19" x14ac:dyDescent="0.2">
      <c r="S544" t="s">
        <v>81</v>
      </c>
    </row>
    <row r="545" spans="19:19" x14ac:dyDescent="0.2">
      <c r="S545" t="s">
        <v>81</v>
      </c>
    </row>
    <row r="546" spans="19:19" x14ac:dyDescent="0.2">
      <c r="S546" t="s">
        <v>81</v>
      </c>
    </row>
    <row r="547" spans="19:19" x14ac:dyDescent="0.2">
      <c r="S547" t="s">
        <v>81</v>
      </c>
    </row>
    <row r="548" spans="19:19" x14ac:dyDescent="0.2">
      <c r="S548" t="s">
        <v>81</v>
      </c>
    </row>
    <row r="549" spans="19:19" x14ac:dyDescent="0.2">
      <c r="S549" t="s">
        <v>81</v>
      </c>
    </row>
    <row r="550" spans="19:19" x14ac:dyDescent="0.2">
      <c r="S550" t="s">
        <v>81</v>
      </c>
    </row>
    <row r="551" spans="19:19" x14ac:dyDescent="0.2">
      <c r="S551" t="s">
        <v>81</v>
      </c>
    </row>
    <row r="552" spans="19:19" x14ac:dyDescent="0.2">
      <c r="S552" t="s">
        <v>81</v>
      </c>
    </row>
    <row r="553" spans="19:19" x14ac:dyDescent="0.2">
      <c r="S553" t="s">
        <v>81</v>
      </c>
    </row>
    <row r="554" spans="19:19" x14ac:dyDescent="0.2">
      <c r="S554" t="s">
        <v>81</v>
      </c>
    </row>
    <row r="555" spans="19:19" x14ac:dyDescent="0.2">
      <c r="S555" t="s">
        <v>81</v>
      </c>
    </row>
    <row r="556" spans="19:19" x14ac:dyDescent="0.2">
      <c r="S556" t="s">
        <v>81</v>
      </c>
    </row>
    <row r="557" spans="19:19" x14ac:dyDescent="0.2">
      <c r="S557" t="s">
        <v>81</v>
      </c>
    </row>
    <row r="558" spans="19:19" x14ac:dyDescent="0.2">
      <c r="S558" t="s">
        <v>81</v>
      </c>
    </row>
    <row r="559" spans="19:19" x14ac:dyDescent="0.2">
      <c r="S559" t="s">
        <v>81</v>
      </c>
    </row>
    <row r="560" spans="19:19" x14ac:dyDescent="0.2">
      <c r="S560" t="s">
        <v>81</v>
      </c>
    </row>
    <row r="561" spans="19:19" x14ac:dyDescent="0.2">
      <c r="S561" t="s">
        <v>81</v>
      </c>
    </row>
    <row r="562" spans="19:19" x14ac:dyDescent="0.2">
      <c r="S562" t="s">
        <v>81</v>
      </c>
    </row>
    <row r="563" spans="19:19" x14ac:dyDescent="0.2">
      <c r="S563" t="s">
        <v>81</v>
      </c>
    </row>
    <row r="564" spans="19:19" x14ac:dyDescent="0.2">
      <c r="S564" t="s">
        <v>81</v>
      </c>
    </row>
    <row r="565" spans="19:19" x14ac:dyDescent="0.2">
      <c r="S565" t="s">
        <v>81</v>
      </c>
    </row>
    <row r="566" spans="19:19" x14ac:dyDescent="0.2">
      <c r="S566" t="s">
        <v>81</v>
      </c>
    </row>
    <row r="567" spans="19:19" x14ac:dyDescent="0.2">
      <c r="S567" t="s">
        <v>81</v>
      </c>
    </row>
    <row r="568" spans="19:19" x14ac:dyDescent="0.2">
      <c r="S568" t="s">
        <v>81</v>
      </c>
    </row>
    <row r="569" spans="19:19" x14ac:dyDescent="0.2">
      <c r="S569" t="s">
        <v>81</v>
      </c>
    </row>
    <row r="570" spans="19:19" x14ac:dyDescent="0.2">
      <c r="S570" t="s">
        <v>81</v>
      </c>
    </row>
    <row r="571" spans="19:19" x14ac:dyDescent="0.2">
      <c r="S571" t="s">
        <v>81</v>
      </c>
    </row>
    <row r="572" spans="19:19" x14ac:dyDescent="0.2">
      <c r="S572" t="s">
        <v>81</v>
      </c>
    </row>
    <row r="573" spans="19:19" x14ac:dyDescent="0.2">
      <c r="S573" t="s">
        <v>81</v>
      </c>
    </row>
    <row r="574" spans="19:19" x14ac:dyDescent="0.2">
      <c r="S574" t="s">
        <v>81</v>
      </c>
    </row>
    <row r="575" spans="19:19" x14ac:dyDescent="0.2">
      <c r="S575" t="s">
        <v>81</v>
      </c>
    </row>
    <row r="576" spans="19:19" x14ac:dyDescent="0.2">
      <c r="S576" t="s">
        <v>81</v>
      </c>
    </row>
    <row r="577" spans="19:19" x14ac:dyDescent="0.2">
      <c r="S577" t="s">
        <v>81</v>
      </c>
    </row>
    <row r="578" spans="19:19" x14ac:dyDescent="0.2">
      <c r="S578" t="s">
        <v>81</v>
      </c>
    </row>
    <row r="579" spans="19:19" x14ac:dyDescent="0.2">
      <c r="S579" t="s">
        <v>81</v>
      </c>
    </row>
    <row r="580" spans="19:19" x14ac:dyDescent="0.2">
      <c r="S580" t="s">
        <v>81</v>
      </c>
    </row>
    <row r="581" spans="19:19" x14ac:dyDescent="0.2">
      <c r="S581" t="s">
        <v>81</v>
      </c>
    </row>
    <row r="582" spans="19:19" x14ac:dyDescent="0.2">
      <c r="S582" t="s">
        <v>81</v>
      </c>
    </row>
    <row r="583" spans="19:19" x14ac:dyDescent="0.2">
      <c r="S583" t="s">
        <v>81</v>
      </c>
    </row>
    <row r="584" spans="19:19" x14ac:dyDescent="0.2">
      <c r="S584" t="s">
        <v>81</v>
      </c>
    </row>
    <row r="585" spans="19:19" x14ac:dyDescent="0.2">
      <c r="S585" t="s">
        <v>81</v>
      </c>
    </row>
    <row r="586" spans="19:19" x14ac:dyDescent="0.2">
      <c r="S586" t="s">
        <v>81</v>
      </c>
    </row>
    <row r="587" spans="19:19" x14ac:dyDescent="0.2">
      <c r="S587" t="s">
        <v>81</v>
      </c>
    </row>
    <row r="588" spans="19:19" x14ac:dyDescent="0.2">
      <c r="S588" t="s">
        <v>81</v>
      </c>
    </row>
    <row r="589" spans="19:19" x14ac:dyDescent="0.2">
      <c r="S589" t="s">
        <v>81</v>
      </c>
    </row>
    <row r="590" spans="19:19" x14ac:dyDescent="0.2">
      <c r="S590" t="s">
        <v>81</v>
      </c>
    </row>
    <row r="591" spans="19:19" x14ac:dyDescent="0.2">
      <c r="S591" t="s">
        <v>81</v>
      </c>
    </row>
    <row r="592" spans="19:19" x14ac:dyDescent="0.2">
      <c r="S592" t="s">
        <v>81</v>
      </c>
    </row>
    <row r="593" spans="19:19" x14ac:dyDescent="0.2">
      <c r="S593" t="s">
        <v>81</v>
      </c>
    </row>
    <row r="594" spans="19:19" x14ac:dyDescent="0.2">
      <c r="S594" t="s">
        <v>81</v>
      </c>
    </row>
    <row r="595" spans="19:19" x14ac:dyDescent="0.2">
      <c r="S595" t="s">
        <v>81</v>
      </c>
    </row>
    <row r="596" spans="19:19" x14ac:dyDescent="0.2">
      <c r="S596" t="s">
        <v>81</v>
      </c>
    </row>
    <row r="597" spans="19:19" x14ac:dyDescent="0.2">
      <c r="S597" t="s">
        <v>81</v>
      </c>
    </row>
    <row r="598" spans="19:19" x14ac:dyDescent="0.2">
      <c r="S598" t="s">
        <v>81</v>
      </c>
    </row>
    <row r="599" spans="19:19" x14ac:dyDescent="0.2">
      <c r="S599" t="s">
        <v>81</v>
      </c>
    </row>
  </sheetData>
  <sortState xmlns:xlrd2="http://schemas.microsoft.com/office/spreadsheetml/2017/richdata2" ref="A3:X650">
    <sortCondition ref="B3:B650"/>
    <sortCondition ref="A3:A650"/>
  </sortState>
  <mergeCells count="5">
    <mergeCell ref="W1:Z1"/>
    <mergeCell ref="D1:F1"/>
    <mergeCell ref="H1:P1"/>
    <mergeCell ref="A1:B1"/>
    <mergeCell ref="R1:U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4"/>
  </sheetPr>
  <dimension ref="A1:Z3"/>
  <sheetViews>
    <sheetView zoomScale="85" zoomScaleNormal="85" workbookViewId="0">
      <selection sqref="A1:B1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9.1640625" customWidth="1"/>
    <col min="5" max="6" width="13.1640625" customWidth="1"/>
    <col min="7" max="7" width="2.83203125" style="1" customWidth="1"/>
    <col min="8" max="10" width="9.1640625" customWidth="1"/>
    <col min="11" max="11" width="2.83203125" style="1" customWidth="1"/>
    <col min="12" max="14" width="8.5" customWidth="1"/>
    <col min="15" max="15" width="2.83203125" style="1" customWidth="1"/>
    <col min="16" max="18" width="8.5" customWidth="1"/>
    <col min="19" max="19" width="2.83203125" style="1" customWidth="1"/>
    <col min="20" max="22" width="9.1640625" customWidth="1"/>
    <col min="23" max="23" width="2.83203125" style="1" customWidth="1"/>
    <col min="24" max="26" width="9.1640625" customWidth="1"/>
  </cols>
  <sheetData>
    <row r="1" spans="1:26" ht="72.75" customHeight="1" x14ac:dyDescent="0.2">
      <c r="A1" s="114" t="s">
        <v>267</v>
      </c>
      <c r="B1" s="114"/>
      <c r="D1" s="113" t="s">
        <v>18</v>
      </c>
      <c r="E1" s="113"/>
      <c r="F1" s="113"/>
      <c r="H1" s="113" t="s">
        <v>143</v>
      </c>
      <c r="I1" s="113"/>
      <c r="J1" s="113"/>
      <c r="L1" s="113" t="s">
        <v>19</v>
      </c>
      <c r="M1" s="113"/>
      <c r="N1" s="113"/>
      <c r="P1" s="113" t="s">
        <v>20</v>
      </c>
      <c r="Q1" s="113"/>
      <c r="R1" s="113"/>
      <c r="T1" s="113" t="s">
        <v>21</v>
      </c>
      <c r="U1" s="113"/>
      <c r="V1" s="113"/>
      <c r="X1" s="113" t="s">
        <v>22</v>
      </c>
      <c r="Y1" s="113"/>
      <c r="Z1" s="113"/>
    </row>
    <row r="2" spans="1:26" x14ac:dyDescent="0.2">
      <c r="A2" s="2" t="s">
        <v>0</v>
      </c>
      <c r="B2" s="2" t="s">
        <v>1</v>
      </c>
      <c r="D2" s="22">
        <v>45017</v>
      </c>
      <c r="E2" s="22">
        <v>45047</v>
      </c>
      <c r="F2" s="22">
        <v>45078</v>
      </c>
      <c r="H2" s="22">
        <v>45017</v>
      </c>
      <c r="I2" s="22">
        <v>45047</v>
      </c>
      <c r="J2" s="22">
        <v>45078</v>
      </c>
      <c r="L2" s="22">
        <v>45017</v>
      </c>
      <c r="M2" s="22">
        <v>45047</v>
      </c>
      <c r="N2" s="22">
        <v>45078</v>
      </c>
      <c r="P2" s="22">
        <v>45017</v>
      </c>
      <c r="Q2" s="22">
        <v>45047</v>
      </c>
      <c r="R2" s="22">
        <v>45078</v>
      </c>
      <c r="T2" s="22">
        <v>45017</v>
      </c>
      <c r="U2" s="22">
        <v>45047</v>
      </c>
      <c r="V2" s="22">
        <v>45078</v>
      </c>
      <c r="X2" s="22">
        <v>45017</v>
      </c>
      <c r="Y2" s="22">
        <v>45047</v>
      </c>
      <c r="Z2" s="22">
        <v>45078</v>
      </c>
    </row>
    <row r="3" spans="1:26" x14ac:dyDescent="0.2">
      <c r="A3" t="s">
        <v>218</v>
      </c>
    </row>
  </sheetData>
  <mergeCells count="7">
    <mergeCell ref="X1:Z1"/>
    <mergeCell ref="T1:V1"/>
    <mergeCell ref="A1:B1"/>
    <mergeCell ref="D1:F1"/>
    <mergeCell ref="H1:J1"/>
    <mergeCell ref="L1:N1"/>
    <mergeCell ref="P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4"/>
  </sheetPr>
  <dimension ref="A1:R7"/>
  <sheetViews>
    <sheetView zoomScale="177" workbookViewId="0">
      <selection activeCell="D4" sqref="D4:F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6.6640625" bestFit="1" customWidth="1"/>
    <col min="5" max="5" width="7.5" bestFit="1" customWidth="1"/>
    <col min="6" max="6" width="7" bestFit="1" customWidth="1"/>
    <col min="7" max="7" width="2.83203125" style="1" customWidth="1"/>
    <col min="8" max="10" width="7.6640625" customWidth="1"/>
    <col min="11" max="11" width="2.83203125" style="1" customWidth="1"/>
    <col min="12" max="12" width="6.83203125" bestFit="1" customWidth="1"/>
    <col min="13" max="13" width="7.5" bestFit="1" customWidth="1"/>
    <col min="14" max="14" width="7.33203125" bestFit="1" customWidth="1"/>
    <col min="15" max="15" width="2.83203125" style="1" customWidth="1"/>
    <col min="16" max="16" width="6.83203125" bestFit="1" customWidth="1"/>
    <col min="17" max="17" width="7.5" bestFit="1" customWidth="1"/>
    <col min="18" max="18" width="7.33203125" bestFit="1" customWidth="1"/>
    <col min="19" max="19" width="9.1640625" customWidth="1"/>
  </cols>
  <sheetData>
    <row r="1" spans="1:18" s="5" customFormat="1" ht="134.25" customHeight="1" x14ac:dyDescent="0.2">
      <c r="A1" s="112" t="s">
        <v>267</v>
      </c>
      <c r="B1" s="112"/>
      <c r="C1" s="23"/>
      <c r="D1" s="115" t="s">
        <v>23</v>
      </c>
      <c r="E1" s="115"/>
      <c r="F1" s="115"/>
      <c r="G1" s="23"/>
      <c r="H1" s="115" t="s">
        <v>24</v>
      </c>
      <c r="I1" s="115"/>
      <c r="J1" s="115"/>
      <c r="K1" s="23"/>
      <c r="L1" s="115" t="s">
        <v>25</v>
      </c>
      <c r="M1" s="115"/>
      <c r="N1" s="115"/>
      <c r="O1" s="23"/>
      <c r="P1" s="115" t="s">
        <v>26</v>
      </c>
      <c r="Q1" s="115"/>
      <c r="R1" s="115"/>
    </row>
    <row r="2" spans="1:18" x14ac:dyDescent="0.2">
      <c r="A2" s="2" t="s">
        <v>0</v>
      </c>
      <c r="B2" s="2" t="s">
        <v>1</v>
      </c>
      <c r="D2" s="22">
        <v>45108</v>
      </c>
      <c r="E2" s="22">
        <v>45139</v>
      </c>
      <c r="F2" s="22">
        <v>45170</v>
      </c>
      <c r="H2" s="22">
        <v>45108</v>
      </c>
      <c r="I2" s="22">
        <v>45139</v>
      </c>
      <c r="J2" s="22">
        <v>45170</v>
      </c>
      <c r="L2" s="22">
        <v>45108</v>
      </c>
      <c r="M2" s="22">
        <v>45139</v>
      </c>
      <c r="N2" s="22">
        <v>45170</v>
      </c>
      <c r="P2" s="22">
        <v>45108</v>
      </c>
      <c r="Q2" s="22">
        <v>45139</v>
      </c>
      <c r="R2" s="22">
        <v>45170</v>
      </c>
    </row>
    <row r="3" spans="1:18" ht="16" x14ac:dyDescent="0.2">
      <c r="A3" t="s">
        <v>83</v>
      </c>
      <c r="B3" s="8" t="s">
        <v>34</v>
      </c>
      <c r="D3" s="9">
        <v>164</v>
      </c>
      <c r="E3" s="9">
        <v>157</v>
      </c>
      <c r="F3" s="9">
        <v>150</v>
      </c>
      <c r="H3" s="9">
        <v>17</v>
      </c>
      <c r="I3" s="9">
        <v>20</v>
      </c>
      <c r="J3" s="9">
        <v>14</v>
      </c>
      <c r="L3" s="100">
        <v>40</v>
      </c>
      <c r="M3" s="100">
        <v>46</v>
      </c>
      <c r="N3" s="100">
        <v>36</v>
      </c>
      <c r="P3">
        <v>1</v>
      </c>
      <c r="Q3">
        <v>0</v>
      </c>
      <c r="R3">
        <v>0</v>
      </c>
    </row>
    <row r="4" spans="1:18" ht="16" x14ac:dyDescent="0.2">
      <c r="A4" t="s">
        <v>83</v>
      </c>
      <c r="B4" s="8" t="s">
        <v>75</v>
      </c>
      <c r="D4" s="9">
        <v>5473</v>
      </c>
      <c r="E4" s="9">
        <v>5298</v>
      </c>
      <c r="F4" s="9">
        <v>5044</v>
      </c>
      <c r="H4" s="9">
        <v>175</v>
      </c>
      <c r="I4" s="9">
        <v>256</v>
      </c>
      <c r="J4" s="9">
        <v>147</v>
      </c>
      <c r="L4" s="100">
        <v>866</v>
      </c>
      <c r="M4" s="100">
        <v>1027</v>
      </c>
      <c r="N4" s="100">
        <v>778</v>
      </c>
      <c r="P4">
        <v>144</v>
      </c>
      <c r="Q4">
        <v>147</v>
      </c>
      <c r="R4">
        <v>67</v>
      </c>
    </row>
    <row r="7" spans="1:18" x14ac:dyDescent="0.2">
      <c r="E7" t="s">
        <v>265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theme="4"/>
  </sheetPr>
  <dimension ref="A1:AA3"/>
  <sheetViews>
    <sheetView zoomScale="90" zoomScaleNormal="90" workbookViewId="0">
      <selection activeCell="AC6" sqref="AC6"/>
    </sheetView>
  </sheetViews>
  <sheetFormatPr baseColWidth="10" defaultColWidth="8.83203125" defaultRowHeight="15" x14ac:dyDescent="0.2"/>
  <cols>
    <col min="1" max="1" width="12.83203125" customWidth="1"/>
    <col min="2" max="2" width="14.5" bestFit="1" customWidth="1"/>
    <col min="3" max="3" width="2.83203125" style="1" customWidth="1"/>
    <col min="4" max="4" width="6.83203125" bestFit="1" customWidth="1"/>
    <col min="5" max="5" width="7.5" bestFit="1" customWidth="1"/>
    <col min="6" max="6" width="10.83203125" customWidth="1"/>
    <col min="7" max="7" width="2.83203125" style="1" customWidth="1"/>
    <col min="8" max="8" width="7.1640625" bestFit="1" customWidth="1"/>
    <col min="9" max="9" width="7.5" bestFit="1" customWidth="1"/>
    <col min="10" max="10" width="6.83203125" bestFit="1" customWidth="1"/>
    <col min="11" max="11" width="4" style="1" customWidth="1"/>
    <col min="12" max="12" width="6.83203125" bestFit="1" customWidth="1"/>
    <col min="13" max="14" width="7.5" bestFit="1" customWidth="1"/>
    <col min="15" max="15" width="2.83203125" style="1" customWidth="1"/>
    <col min="16" max="16" width="6.5" hidden="1" customWidth="1"/>
    <col min="17" max="21" width="8" hidden="1" customWidth="1"/>
    <col min="22" max="24" width="15.33203125" hidden="1" customWidth="1"/>
    <col min="25" max="25" width="6.83203125" bestFit="1" customWidth="1"/>
    <col min="26" max="27" width="7.5" bestFit="1" customWidth="1"/>
  </cols>
  <sheetData>
    <row r="1" spans="1:27" ht="119.25" customHeight="1" x14ac:dyDescent="0.2">
      <c r="A1" s="97" t="s">
        <v>267</v>
      </c>
      <c r="B1" s="3"/>
      <c r="D1" s="115" t="s">
        <v>33</v>
      </c>
      <c r="E1" s="115"/>
      <c r="F1" s="115"/>
      <c r="H1" s="115" t="s">
        <v>219</v>
      </c>
      <c r="I1" s="115"/>
      <c r="J1" s="115"/>
      <c r="L1" s="115" t="s">
        <v>220</v>
      </c>
      <c r="M1" s="115"/>
      <c r="N1" s="115"/>
      <c r="P1" s="115" t="s">
        <v>32</v>
      </c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</row>
    <row r="2" spans="1:27" x14ac:dyDescent="0.2">
      <c r="A2" s="2" t="s">
        <v>0</v>
      </c>
      <c r="B2" s="2" t="s">
        <v>1</v>
      </c>
      <c r="D2" s="22">
        <v>45108</v>
      </c>
      <c r="E2" s="22">
        <v>45139</v>
      </c>
      <c r="F2" s="22">
        <v>45170</v>
      </c>
      <c r="H2" s="22">
        <v>45108</v>
      </c>
      <c r="I2" s="22">
        <v>45139</v>
      </c>
      <c r="J2" s="22">
        <v>45170</v>
      </c>
      <c r="L2" s="22">
        <v>45108</v>
      </c>
      <c r="M2" s="22">
        <v>45139</v>
      </c>
      <c r="N2" s="22">
        <v>45170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22">
        <v>45108</v>
      </c>
      <c r="Z2" s="22">
        <v>45139</v>
      </c>
      <c r="AA2" s="22">
        <v>45170</v>
      </c>
    </row>
    <row r="3" spans="1:27" ht="16" x14ac:dyDescent="0.2">
      <c r="A3" s="10" t="s">
        <v>83</v>
      </c>
      <c r="B3" s="10" t="s">
        <v>75</v>
      </c>
      <c r="D3">
        <v>14</v>
      </c>
      <c r="E3">
        <v>13</v>
      </c>
      <c r="F3">
        <v>17</v>
      </c>
      <c r="H3">
        <v>0</v>
      </c>
      <c r="I3">
        <v>0</v>
      </c>
      <c r="J3">
        <v>0</v>
      </c>
      <c r="L3">
        <v>2</v>
      </c>
      <c r="M3">
        <v>9</v>
      </c>
      <c r="N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theme="4" tint="-0.249977111117893"/>
  </sheetPr>
  <dimension ref="A1:AZ62"/>
  <sheetViews>
    <sheetView zoomScaleNormal="100" workbookViewId="0">
      <selection activeCell="AO7" sqref="AO7:AO8"/>
    </sheetView>
  </sheetViews>
  <sheetFormatPr baseColWidth="10" defaultColWidth="8.83203125" defaultRowHeight="15" x14ac:dyDescent="0.2"/>
  <cols>
    <col min="1" max="1" width="5.83203125" customWidth="1"/>
    <col min="2" max="2" width="7.83203125" customWidth="1"/>
    <col min="3" max="3" width="2.83203125" style="1" customWidth="1"/>
    <col min="4" max="12" width="5.5" customWidth="1"/>
    <col min="13" max="13" width="2.83203125" style="1" customWidth="1"/>
    <col min="14" max="20" width="8.5" hidden="1" customWidth="1"/>
    <col min="21" max="21" width="6.6640625" hidden="1" customWidth="1"/>
    <col min="22" max="22" width="9" hidden="1" customWidth="1"/>
    <col min="23" max="23" width="7.1640625" hidden="1" customWidth="1"/>
    <col min="24" max="24" width="6" bestFit="1" customWidth="1"/>
    <col min="25" max="25" width="6.5" bestFit="1" customWidth="1"/>
    <col min="26" max="26" width="4.5" bestFit="1" customWidth="1"/>
    <col min="27" max="27" width="6" bestFit="1" customWidth="1"/>
    <col min="28" max="28" width="6.5" bestFit="1" customWidth="1"/>
    <col min="29" max="29" width="4.5" bestFit="1" customWidth="1"/>
    <col min="30" max="30" width="6" bestFit="1" customWidth="1"/>
    <col min="31" max="31" width="6.5" bestFit="1" customWidth="1"/>
    <col min="32" max="32" width="4.5" bestFit="1" customWidth="1"/>
    <col min="33" max="33" width="2.83203125" style="1" customWidth="1"/>
    <col min="34" max="34" width="18.6640625" hidden="1" customWidth="1"/>
    <col min="35" max="39" width="10.5" hidden="1" customWidth="1"/>
    <col min="40" max="42" width="14.6640625" customWidth="1"/>
    <col min="43" max="43" width="2.83203125" style="1" customWidth="1"/>
    <col min="44" max="52" width="5.5" customWidth="1"/>
  </cols>
  <sheetData>
    <row r="1" spans="1:52" ht="51" customHeight="1" x14ac:dyDescent="0.2">
      <c r="A1" s="114" t="s">
        <v>267</v>
      </c>
      <c r="B1" s="114"/>
      <c r="D1" s="119" t="s">
        <v>27</v>
      </c>
      <c r="E1" s="109"/>
      <c r="F1" s="109"/>
      <c r="G1" s="109"/>
      <c r="H1" s="109"/>
      <c r="I1" s="109"/>
      <c r="J1" s="109"/>
      <c r="K1" s="109"/>
      <c r="L1" s="109"/>
      <c r="N1" s="111" t="s">
        <v>28</v>
      </c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H1" s="118" t="s">
        <v>29</v>
      </c>
      <c r="AI1" s="118"/>
      <c r="AJ1" s="118"/>
      <c r="AK1" s="118"/>
      <c r="AL1" s="118"/>
      <c r="AM1" s="118"/>
      <c r="AN1" s="118"/>
      <c r="AO1" s="118"/>
      <c r="AP1" s="118"/>
      <c r="AR1" s="116" t="s">
        <v>30</v>
      </c>
      <c r="AS1" s="117"/>
      <c r="AT1" s="117"/>
      <c r="AU1" s="117"/>
      <c r="AV1" s="117"/>
      <c r="AW1" s="117"/>
      <c r="AX1" s="117"/>
      <c r="AY1" s="117"/>
      <c r="AZ1" s="117"/>
    </row>
    <row r="2" spans="1:52" x14ac:dyDescent="0.2">
      <c r="A2" s="2"/>
      <c r="B2" s="2"/>
      <c r="D2" s="120">
        <v>45108</v>
      </c>
      <c r="E2" s="121"/>
      <c r="F2" s="122"/>
      <c r="G2" s="120">
        <v>45139</v>
      </c>
      <c r="H2" s="121"/>
      <c r="I2" s="122"/>
      <c r="J2" s="120">
        <v>45170</v>
      </c>
      <c r="K2" s="121"/>
      <c r="L2" s="122"/>
      <c r="N2" s="2" t="s">
        <v>0</v>
      </c>
      <c r="O2" s="2" t="s">
        <v>1</v>
      </c>
      <c r="P2" s="61">
        <v>44197</v>
      </c>
      <c r="Q2" s="4">
        <v>44228</v>
      </c>
      <c r="R2" s="4">
        <v>44256</v>
      </c>
      <c r="S2" s="2" t="s">
        <v>0</v>
      </c>
      <c r="T2" s="2" t="s">
        <v>1</v>
      </c>
      <c r="U2" s="4">
        <v>44287</v>
      </c>
      <c r="V2" s="4">
        <v>44317</v>
      </c>
      <c r="W2" s="4">
        <v>44348</v>
      </c>
      <c r="X2" s="120">
        <v>45108</v>
      </c>
      <c r="Y2" s="121"/>
      <c r="Z2" s="122"/>
      <c r="AA2" s="120">
        <v>45139</v>
      </c>
      <c r="AB2" s="121"/>
      <c r="AC2" s="122"/>
      <c r="AD2" s="120">
        <v>45170</v>
      </c>
      <c r="AE2" s="121"/>
      <c r="AF2" s="122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96">
        <v>45108</v>
      </c>
      <c r="AO2" s="96">
        <v>45139</v>
      </c>
      <c r="AP2" s="96">
        <v>45170</v>
      </c>
      <c r="AR2" s="120">
        <v>45108</v>
      </c>
      <c r="AS2" s="121"/>
      <c r="AT2" s="122"/>
      <c r="AU2" s="120">
        <v>45139</v>
      </c>
      <c r="AV2" s="121"/>
      <c r="AW2" s="122"/>
      <c r="AX2" s="120">
        <v>45170</v>
      </c>
      <c r="AY2" s="121"/>
      <c r="AZ2" s="122"/>
    </row>
    <row r="3" spans="1:52" x14ac:dyDescent="0.2">
      <c r="A3" s="20"/>
      <c r="B3" s="20"/>
      <c r="D3" s="82" t="s">
        <v>196</v>
      </c>
      <c r="E3" s="82" t="s">
        <v>133</v>
      </c>
      <c r="F3" s="86" t="s">
        <v>274</v>
      </c>
      <c r="G3" s="82" t="s">
        <v>196</v>
      </c>
      <c r="H3" s="82" t="s">
        <v>133</v>
      </c>
      <c r="I3" s="82" t="s">
        <v>274</v>
      </c>
      <c r="J3" s="82" t="s">
        <v>196</v>
      </c>
      <c r="K3" s="82" t="s">
        <v>133</v>
      </c>
      <c r="L3" s="82" t="s">
        <v>274</v>
      </c>
      <c r="N3" t="s">
        <v>35</v>
      </c>
      <c r="O3" t="s">
        <v>34</v>
      </c>
      <c r="P3">
        <v>4</v>
      </c>
      <c r="Q3">
        <v>1</v>
      </c>
      <c r="R3">
        <v>2</v>
      </c>
      <c r="S3" s="5" t="s">
        <v>35</v>
      </c>
      <c r="T3" t="s">
        <v>34</v>
      </c>
      <c r="U3">
        <v>1</v>
      </c>
      <c r="V3">
        <v>6</v>
      </c>
      <c r="X3" s="82" t="s">
        <v>196</v>
      </c>
      <c r="Y3" s="82" t="s">
        <v>133</v>
      </c>
      <c r="Z3" s="82" t="s">
        <v>274</v>
      </c>
      <c r="AA3" s="82" t="s">
        <v>196</v>
      </c>
      <c r="AB3" s="82" t="s">
        <v>133</v>
      </c>
      <c r="AC3" s="82" t="s">
        <v>274</v>
      </c>
      <c r="AD3" s="82" t="s">
        <v>196</v>
      </c>
      <c r="AE3" s="82" t="s">
        <v>133</v>
      </c>
      <c r="AF3" s="82" t="s">
        <v>274</v>
      </c>
      <c r="AR3" s="82" t="s">
        <v>196</v>
      </c>
      <c r="AS3" s="82" t="s">
        <v>133</v>
      </c>
      <c r="AT3" s="82" t="s">
        <v>274</v>
      </c>
      <c r="AU3" s="82" t="s">
        <v>196</v>
      </c>
      <c r="AV3" s="82" t="s">
        <v>133</v>
      </c>
      <c r="AW3" s="82" t="s">
        <v>274</v>
      </c>
      <c r="AX3" s="82" t="s">
        <v>196</v>
      </c>
      <c r="AY3" s="82" t="s">
        <v>133</v>
      </c>
      <c r="AZ3" s="82" t="s">
        <v>274</v>
      </c>
    </row>
    <row r="4" spans="1:52" x14ac:dyDescent="0.2">
      <c r="A4" s="20"/>
      <c r="B4" s="20"/>
      <c r="D4" s="50" t="s">
        <v>35</v>
      </c>
      <c r="E4" s="50" t="s">
        <v>34</v>
      </c>
      <c r="F4" s="51">
        <v>8</v>
      </c>
      <c r="G4" s="50" t="s">
        <v>35</v>
      </c>
      <c r="H4" s="50" t="s">
        <v>34</v>
      </c>
      <c r="I4" s="51">
        <v>71</v>
      </c>
      <c r="J4" s="50" t="s">
        <v>35</v>
      </c>
      <c r="K4" s="50" t="s">
        <v>34</v>
      </c>
      <c r="L4" s="51">
        <v>64</v>
      </c>
      <c r="N4" t="s">
        <v>35</v>
      </c>
      <c r="O4" t="s">
        <v>75</v>
      </c>
      <c r="P4">
        <v>71</v>
      </c>
      <c r="Q4">
        <v>53</v>
      </c>
      <c r="R4">
        <v>58</v>
      </c>
      <c r="S4" s="60" t="s">
        <v>35</v>
      </c>
      <c r="T4" t="s">
        <v>75</v>
      </c>
      <c r="U4">
        <v>19</v>
      </c>
      <c r="V4">
        <v>17</v>
      </c>
      <c r="W4">
        <v>19</v>
      </c>
      <c r="X4" s="50" t="s">
        <v>35</v>
      </c>
      <c r="Y4" s="50" t="s">
        <v>34</v>
      </c>
      <c r="Z4" s="51">
        <v>5</v>
      </c>
      <c r="AA4" s="50" t="s">
        <v>35</v>
      </c>
      <c r="AB4" s="50" t="s">
        <v>34</v>
      </c>
      <c r="AC4" s="51">
        <v>1</v>
      </c>
      <c r="AD4" s="50" t="s">
        <v>35</v>
      </c>
      <c r="AE4" s="50" t="s">
        <v>34</v>
      </c>
      <c r="AF4" s="51">
        <v>4</v>
      </c>
      <c r="AR4" s="50" t="s">
        <v>35</v>
      </c>
      <c r="AS4" s="50" t="s">
        <v>34</v>
      </c>
      <c r="AT4" s="51">
        <v>2</v>
      </c>
      <c r="AU4" s="50" t="s">
        <v>35</v>
      </c>
      <c r="AV4" s="50" t="s">
        <v>34</v>
      </c>
      <c r="AW4" s="51">
        <v>8</v>
      </c>
      <c r="AX4" s="50" t="s">
        <v>196</v>
      </c>
      <c r="AY4" s="50" t="s">
        <v>133</v>
      </c>
      <c r="AZ4" s="51" t="s">
        <v>274</v>
      </c>
    </row>
    <row r="5" spans="1:52" x14ac:dyDescent="0.2">
      <c r="A5" s="20"/>
      <c r="B5" s="20"/>
      <c r="D5" s="50" t="s">
        <v>35</v>
      </c>
      <c r="E5" s="50" t="s">
        <v>75</v>
      </c>
      <c r="F5" s="51">
        <v>44</v>
      </c>
      <c r="G5" s="50" t="s">
        <v>35</v>
      </c>
      <c r="H5" s="50" t="s">
        <v>75</v>
      </c>
      <c r="I5" s="51">
        <v>11</v>
      </c>
      <c r="J5" s="50" t="s">
        <v>35</v>
      </c>
      <c r="K5" s="50" t="s">
        <v>75</v>
      </c>
      <c r="L5" s="51">
        <v>4</v>
      </c>
      <c r="N5" t="s">
        <v>36</v>
      </c>
      <c r="O5" t="s">
        <v>34</v>
      </c>
      <c r="Q5">
        <v>6</v>
      </c>
      <c r="R5">
        <v>3</v>
      </c>
      <c r="S5" s="5" t="s">
        <v>36</v>
      </c>
      <c r="T5" t="s">
        <v>34</v>
      </c>
      <c r="U5">
        <v>4</v>
      </c>
      <c r="V5">
        <v>12</v>
      </c>
      <c r="W5">
        <v>5</v>
      </c>
      <c r="X5" s="50" t="s">
        <v>35</v>
      </c>
      <c r="Y5" s="50" t="s">
        <v>75</v>
      </c>
      <c r="Z5" s="51">
        <v>19</v>
      </c>
      <c r="AA5" s="50" t="s">
        <v>36</v>
      </c>
      <c r="AB5" s="50" t="s">
        <v>34</v>
      </c>
      <c r="AC5" s="51">
        <v>10</v>
      </c>
      <c r="AD5" s="50" t="s">
        <v>36</v>
      </c>
      <c r="AE5" s="50" t="s">
        <v>34</v>
      </c>
      <c r="AF5" s="51">
        <v>4</v>
      </c>
      <c r="AR5" s="50" t="s">
        <v>35</v>
      </c>
      <c r="AS5" s="50" t="s">
        <v>75</v>
      </c>
      <c r="AT5" s="51">
        <v>56</v>
      </c>
      <c r="AU5" s="50" t="s">
        <v>36</v>
      </c>
      <c r="AV5" s="50" t="s">
        <v>34</v>
      </c>
      <c r="AW5" s="51">
        <v>6</v>
      </c>
      <c r="AX5" s="50" t="s">
        <v>35</v>
      </c>
      <c r="AY5" s="50" t="s">
        <v>34</v>
      </c>
      <c r="AZ5" s="51">
        <v>3</v>
      </c>
    </row>
    <row r="6" spans="1:52" x14ac:dyDescent="0.2">
      <c r="A6" s="20"/>
      <c r="B6" s="20"/>
      <c r="D6" s="50" t="s">
        <v>36</v>
      </c>
      <c r="E6" s="50" t="s">
        <v>34</v>
      </c>
      <c r="F6" s="51">
        <v>8</v>
      </c>
      <c r="G6" s="50" t="s">
        <v>36</v>
      </c>
      <c r="H6" s="50" t="s">
        <v>34</v>
      </c>
      <c r="I6" s="51">
        <v>71</v>
      </c>
      <c r="J6" s="50" t="s">
        <v>36</v>
      </c>
      <c r="K6" s="50" t="s">
        <v>34</v>
      </c>
      <c r="L6" s="51">
        <v>73</v>
      </c>
      <c r="N6" t="s">
        <v>36</v>
      </c>
      <c r="O6" t="s">
        <v>75</v>
      </c>
      <c r="P6">
        <v>103</v>
      </c>
      <c r="Q6">
        <v>75</v>
      </c>
      <c r="R6">
        <v>32</v>
      </c>
      <c r="S6" s="60" t="s">
        <v>36</v>
      </c>
      <c r="T6" t="s">
        <v>75</v>
      </c>
      <c r="U6">
        <v>48</v>
      </c>
      <c r="V6">
        <v>22</v>
      </c>
      <c r="W6">
        <v>19</v>
      </c>
      <c r="X6" s="50" t="s">
        <v>36</v>
      </c>
      <c r="Y6" s="50" t="s">
        <v>34</v>
      </c>
      <c r="Z6" s="51">
        <v>4</v>
      </c>
      <c r="AA6" s="50" t="s">
        <v>37</v>
      </c>
      <c r="AB6" s="50" t="s">
        <v>34</v>
      </c>
      <c r="AC6" s="51">
        <v>2</v>
      </c>
      <c r="AD6" s="50" t="s">
        <v>37</v>
      </c>
      <c r="AE6" s="50" t="s">
        <v>34</v>
      </c>
      <c r="AF6" s="51">
        <v>8</v>
      </c>
      <c r="AR6" s="50" t="s">
        <v>36</v>
      </c>
      <c r="AS6" s="50" t="s">
        <v>34</v>
      </c>
      <c r="AT6" s="51">
        <v>5</v>
      </c>
      <c r="AU6" s="50" t="s">
        <v>36</v>
      </c>
      <c r="AV6" s="50" t="s">
        <v>75</v>
      </c>
      <c r="AW6" s="51">
        <v>13</v>
      </c>
      <c r="AX6" s="50" t="s">
        <v>36</v>
      </c>
      <c r="AY6" s="50" t="s">
        <v>34</v>
      </c>
      <c r="AZ6" s="51">
        <v>3</v>
      </c>
    </row>
    <row r="7" spans="1:52" x14ac:dyDescent="0.2">
      <c r="A7" s="20"/>
      <c r="B7" s="20"/>
      <c r="D7" s="50" t="s">
        <v>36</v>
      </c>
      <c r="E7" s="50" t="s">
        <v>75</v>
      </c>
      <c r="F7" s="51">
        <v>48</v>
      </c>
      <c r="G7" s="50" t="s">
        <v>36</v>
      </c>
      <c r="H7" s="50" t="s">
        <v>75</v>
      </c>
      <c r="I7" s="51">
        <v>15</v>
      </c>
      <c r="J7" s="50" t="s">
        <v>36</v>
      </c>
      <c r="K7" s="50" t="s">
        <v>75</v>
      </c>
      <c r="L7" s="51">
        <v>2</v>
      </c>
      <c r="N7" t="s">
        <v>37</v>
      </c>
      <c r="O7" t="s">
        <v>34</v>
      </c>
      <c r="P7">
        <v>6</v>
      </c>
      <c r="R7">
        <v>1</v>
      </c>
      <c r="S7" s="5" t="s">
        <v>37</v>
      </c>
      <c r="T7" t="s">
        <v>34</v>
      </c>
      <c r="U7">
        <v>2</v>
      </c>
      <c r="V7">
        <v>3</v>
      </c>
      <c r="W7">
        <v>3</v>
      </c>
      <c r="X7" s="50" t="s">
        <v>36</v>
      </c>
      <c r="Y7" s="50" t="s">
        <v>75</v>
      </c>
      <c r="Z7" s="51">
        <v>18</v>
      </c>
      <c r="AA7" s="50" t="s">
        <v>40</v>
      </c>
      <c r="AB7" s="50" t="s">
        <v>34</v>
      </c>
      <c r="AC7" s="51">
        <v>2</v>
      </c>
      <c r="AD7" s="50" t="s">
        <v>40</v>
      </c>
      <c r="AE7" s="50" t="s">
        <v>34</v>
      </c>
      <c r="AF7" s="51">
        <v>3</v>
      </c>
      <c r="AR7" s="50" t="s">
        <v>36</v>
      </c>
      <c r="AS7" s="50" t="s">
        <v>75</v>
      </c>
      <c r="AT7" s="51">
        <v>66</v>
      </c>
      <c r="AU7" s="50" t="s">
        <v>37</v>
      </c>
      <c r="AV7" s="50" t="s">
        <v>34</v>
      </c>
      <c r="AW7" s="51">
        <v>4</v>
      </c>
      <c r="AX7" s="50" t="s">
        <v>37</v>
      </c>
      <c r="AY7" s="50" t="s">
        <v>34</v>
      </c>
      <c r="AZ7" s="51">
        <v>4</v>
      </c>
    </row>
    <row r="8" spans="1:52" x14ac:dyDescent="0.2">
      <c r="A8" s="20"/>
      <c r="B8" s="20"/>
      <c r="D8" s="50" t="s">
        <v>37</v>
      </c>
      <c r="E8" s="50" t="s">
        <v>34</v>
      </c>
      <c r="F8" s="51">
        <v>3</v>
      </c>
      <c r="G8" s="50" t="s">
        <v>37</v>
      </c>
      <c r="H8" s="50" t="s">
        <v>34</v>
      </c>
      <c r="I8" s="51">
        <v>34</v>
      </c>
      <c r="J8" s="50" t="s">
        <v>37</v>
      </c>
      <c r="K8" s="50" t="s">
        <v>34</v>
      </c>
      <c r="L8" s="51">
        <v>32</v>
      </c>
      <c r="N8" t="s">
        <v>37</v>
      </c>
      <c r="O8" t="s">
        <v>75</v>
      </c>
      <c r="P8">
        <v>17</v>
      </c>
      <c r="Q8">
        <v>16</v>
      </c>
      <c r="R8">
        <v>22</v>
      </c>
      <c r="S8" s="60" t="s">
        <v>37</v>
      </c>
      <c r="T8" t="s">
        <v>75</v>
      </c>
      <c r="U8">
        <v>5</v>
      </c>
      <c r="V8">
        <v>1</v>
      </c>
      <c r="W8">
        <v>6</v>
      </c>
      <c r="X8" s="50" t="s">
        <v>37</v>
      </c>
      <c r="Y8" s="50" t="s">
        <v>34</v>
      </c>
      <c r="Z8" s="51">
        <v>1</v>
      </c>
      <c r="AA8" s="50" t="s">
        <v>44</v>
      </c>
      <c r="AB8" s="50" t="s">
        <v>34</v>
      </c>
      <c r="AC8" s="51">
        <v>1</v>
      </c>
      <c r="AD8" s="50" t="s">
        <v>49</v>
      </c>
      <c r="AE8" s="50" t="s">
        <v>34</v>
      </c>
      <c r="AF8" s="51">
        <v>1</v>
      </c>
      <c r="AR8" s="50" t="s">
        <v>37</v>
      </c>
      <c r="AS8" s="50" t="s">
        <v>75</v>
      </c>
      <c r="AT8" s="51">
        <v>20</v>
      </c>
      <c r="AU8" s="50" t="s">
        <v>37</v>
      </c>
      <c r="AV8" s="50" t="s">
        <v>75</v>
      </c>
      <c r="AW8" s="51">
        <v>5</v>
      </c>
      <c r="AX8" s="50" t="s">
        <v>40</v>
      </c>
      <c r="AY8" s="50" t="s">
        <v>75</v>
      </c>
      <c r="AZ8" s="51">
        <v>1</v>
      </c>
    </row>
    <row r="9" spans="1:52" x14ac:dyDescent="0.2">
      <c r="A9" s="32"/>
      <c r="B9" s="20"/>
      <c r="D9" s="50" t="s">
        <v>37</v>
      </c>
      <c r="E9" s="50" t="s">
        <v>75</v>
      </c>
      <c r="F9" s="51">
        <v>24</v>
      </c>
      <c r="G9" s="50" t="s">
        <v>37</v>
      </c>
      <c r="H9" s="50" t="s">
        <v>75</v>
      </c>
      <c r="I9" s="51">
        <v>9</v>
      </c>
      <c r="J9" s="50" t="s">
        <v>37</v>
      </c>
      <c r="K9" s="50" t="s">
        <v>75</v>
      </c>
      <c r="L9" s="51">
        <v>4</v>
      </c>
      <c r="N9" t="s">
        <v>40</v>
      </c>
      <c r="O9" t="s">
        <v>34</v>
      </c>
      <c r="P9">
        <v>4</v>
      </c>
      <c r="Q9">
        <v>1</v>
      </c>
      <c r="R9">
        <v>2</v>
      </c>
      <c r="S9" s="5" t="s">
        <v>40</v>
      </c>
      <c r="T9" t="s">
        <v>34</v>
      </c>
      <c r="V9">
        <v>4</v>
      </c>
      <c r="W9">
        <v>2</v>
      </c>
      <c r="X9" s="50" t="s">
        <v>37</v>
      </c>
      <c r="Y9" s="50" t="s">
        <v>75</v>
      </c>
      <c r="Z9" s="51">
        <v>4</v>
      </c>
      <c r="AA9" s="50" t="s">
        <v>49</v>
      </c>
      <c r="AB9" s="50" t="s">
        <v>34</v>
      </c>
      <c r="AC9" s="51">
        <v>1</v>
      </c>
      <c r="AD9" s="50" t="s">
        <v>53</v>
      </c>
      <c r="AE9" s="50" t="s">
        <v>34</v>
      </c>
      <c r="AF9" s="51">
        <v>11</v>
      </c>
      <c r="AR9" s="50" t="s">
        <v>40</v>
      </c>
      <c r="AS9" s="50" t="s">
        <v>34</v>
      </c>
      <c r="AT9" s="51">
        <v>2</v>
      </c>
      <c r="AU9" s="50" t="s">
        <v>40</v>
      </c>
      <c r="AV9" s="50" t="s">
        <v>34</v>
      </c>
      <c r="AW9" s="51">
        <v>2</v>
      </c>
      <c r="AX9" s="50" t="s">
        <v>44</v>
      </c>
      <c r="AY9" s="50" t="s">
        <v>34</v>
      </c>
      <c r="AZ9" s="51">
        <v>1</v>
      </c>
    </row>
    <row r="10" spans="1:52" x14ac:dyDescent="0.2">
      <c r="A10" s="20"/>
      <c r="B10" s="20"/>
      <c r="D10" s="50" t="s">
        <v>40</v>
      </c>
      <c r="E10" s="50" t="s">
        <v>34</v>
      </c>
      <c r="F10" s="51">
        <v>6</v>
      </c>
      <c r="G10" s="50" t="s">
        <v>40</v>
      </c>
      <c r="H10" s="50" t="s">
        <v>34</v>
      </c>
      <c r="I10" s="51">
        <v>30</v>
      </c>
      <c r="J10" s="50" t="s">
        <v>40</v>
      </c>
      <c r="K10" s="50" t="s">
        <v>34</v>
      </c>
      <c r="L10" s="51">
        <v>30</v>
      </c>
      <c r="N10" t="s">
        <v>40</v>
      </c>
      <c r="O10" t="s">
        <v>75</v>
      </c>
      <c r="P10">
        <v>37</v>
      </c>
      <c r="Q10">
        <v>59</v>
      </c>
      <c r="R10">
        <v>47</v>
      </c>
      <c r="S10" s="60" t="s">
        <v>40</v>
      </c>
      <c r="T10" t="s">
        <v>75</v>
      </c>
      <c r="U10">
        <v>31</v>
      </c>
      <c r="V10">
        <v>18</v>
      </c>
      <c r="W10">
        <v>14</v>
      </c>
      <c r="X10" s="50" t="s">
        <v>40</v>
      </c>
      <c r="Y10" s="50" t="s">
        <v>34</v>
      </c>
      <c r="Z10" s="51">
        <v>3</v>
      </c>
      <c r="AA10" s="50" t="s">
        <v>53</v>
      </c>
      <c r="AB10" s="50" t="s">
        <v>34</v>
      </c>
      <c r="AC10" s="51">
        <v>1</v>
      </c>
      <c r="AD10" s="50" t="s">
        <v>55</v>
      </c>
      <c r="AE10" s="50" t="s">
        <v>34</v>
      </c>
      <c r="AF10" s="51">
        <v>1</v>
      </c>
      <c r="AR10" s="50" t="s">
        <v>40</v>
      </c>
      <c r="AS10" s="50" t="s">
        <v>75</v>
      </c>
      <c r="AT10" s="51">
        <v>60</v>
      </c>
      <c r="AU10" s="50" t="s">
        <v>40</v>
      </c>
      <c r="AV10" s="50" t="s">
        <v>75</v>
      </c>
      <c r="AW10" s="51">
        <v>14</v>
      </c>
      <c r="AX10" s="50" t="s">
        <v>48</v>
      </c>
      <c r="AY10" s="50" t="s">
        <v>34</v>
      </c>
      <c r="AZ10" s="51">
        <v>1</v>
      </c>
    </row>
    <row r="11" spans="1:52" x14ac:dyDescent="0.2">
      <c r="A11" s="20"/>
      <c r="B11" s="20"/>
      <c r="D11" s="50" t="s">
        <v>40</v>
      </c>
      <c r="E11" s="50" t="s">
        <v>75</v>
      </c>
      <c r="F11" s="51">
        <v>50</v>
      </c>
      <c r="G11" s="50" t="s">
        <v>40</v>
      </c>
      <c r="H11" s="50" t="s">
        <v>75</v>
      </c>
      <c r="I11" s="51">
        <v>29</v>
      </c>
      <c r="J11" s="50" t="s">
        <v>40</v>
      </c>
      <c r="K11" s="50" t="s">
        <v>75</v>
      </c>
      <c r="L11" s="51">
        <v>15</v>
      </c>
      <c r="N11" t="s">
        <v>42</v>
      </c>
      <c r="O11" t="s">
        <v>75</v>
      </c>
      <c r="P11">
        <v>2</v>
      </c>
      <c r="Q11">
        <v>1</v>
      </c>
      <c r="S11" s="60" t="s">
        <v>42</v>
      </c>
      <c r="T11" t="s">
        <v>75</v>
      </c>
      <c r="U11">
        <v>2</v>
      </c>
      <c r="X11" s="50" t="s">
        <v>40</v>
      </c>
      <c r="Y11" s="50" t="s">
        <v>75</v>
      </c>
      <c r="Z11" s="51">
        <v>10</v>
      </c>
      <c r="AA11" s="50" t="s">
        <v>55</v>
      </c>
      <c r="AB11" s="50" t="s">
        <v>34</v>
      </c>
      <c r="AC11" s="51">
        <v>1</v>
      </c>
      <c r="AD11" s="50" t="s">
        <v>56</v>
      </c>
      <c r="AE11" s="50" t="s">
        <v>34</v>
      </c>
      <c r="AF11" s="51">
        <v>1</v>
      </c>
      <c r="AR11" s="50" t="s">
        <v>43</v>
      </c>
      <c r="AS11" s="50" t="s">
        <v>75</v>
      </c>
      <c r="AT11" s="51">
        <v>1</v>
      </c>
      <c r="AU11" s="50" t="s">
        <v>42</v>
      </c>
      <c r="AV11" s="50" t="s">
        <v>75</v>
      </c>
      <c r="AW11" s="51">
        <v>1</v>
      </c>
      <c r="AX11" s="50" t="s">
        <v>49</v>
      </c>
      <c r="AY11" s="50" t="s">
        <v>34</v>
      </c>
      <c r="AZ11" s="51">
        <v>2</v>
      </c>
    </row>
    <row r="12" spans="1:52" x14ac:dyDescent="0.2">
      <c r="A12" s="20"/>
      <c r="B12" s="20"/>
      <c r="D12" s="50" t="s">
        <v>42</v>
      </c>
      <c r="E12" s="50" t="s">
        <v>75</v>
      </c>
      <c r="F12" s="51">
        <v>2</v>
      </c>
      <c r="G12" s="50" t="s">
        <v>42</v>
      </c>
      <c r="H12" s="50" t="s">
        <v>75</v>
      </c>
      <c r="I12" s="51">
        <v>2</v>
      </c>
      <c r="J12" s="50" t="s">
        <v>42</v>
      </c>
      <c r="K12" s="50" t="s">
        <v>75</v>
      </c>
      <c r="L12" s="51">
        <v>1</v>
      </c>
      <c r="N12" t="s">
        <v>43</v>
      </c>
      <c r="O12" t="s">
        <v>75</v>
      </c>
      <c r="P12">
        <v>3</v>
      </c>
      <c r="Q12">
        <v>1</v>
      </c>
      <c r="S12" s="60" t="s">
        <v>43</v>
      </c>
      <c r="T12" t="s">
        <v>75</v>
      </c>
      <c r="U12">
        <v>1</v>
      </c>
      <c r="X12" s="50" t="s">
        <v>45</v>
      </c>
      <c r="Y12" s="50" t="s">
        <v>75</v>
      </c>
      <c r="Z12" s="51">
        <v>1</v>
      </c>
      <c r="AA12" s="50" t="s">
        <v>56</v>
      </c>
      <c r="AB12" s="50" t="s">
        <v>34</v>
      </c>
      <c r="AC12" s="51">
        <v>2</v>
      </c>
      <c r="AD12" s="50" t="s">
        <v>58</v>
      </c>
      <c r="AE12" s="50" t="s">
        <v>34</v>
      </c>
      <c r="AF12" s="51">
        <v>2</v>
      </c>
      <c r="AR12" s="50" t="s">
        <v>44</v>
      </c>
      <c r="AS12" s="50" t="s">
        <v>34</v>
      </c>
      <c r="AT12" s="51">
        <v>1</v>
      </c>
      <c r="AU12" s="50" t="s">
        <v>43</v>
      </c>
      <c r="AV12" s="50" t="s">
        <v>75</v>
      </c>
      <c r="AW12" s="51">
        <v>1</v>
      </c>
      <c r="AX12" s="50" t="s">
        <v>50</v>
      </c>
      <c r="AY12" s="50" t="s">
        <v>34</v>
      </c>
      <c r="AZ12" s="51">
        <v>1</v>
      </c>
    </row>
    <row r="13" spans="1:52" x14ac:dyDescent="0.2">
      <c r="A13" s="20"/>
      <c r="B13" s="20"/>
      <c r="D13" s="50" t="s">
        <v>43</v>
      </c>
      <c r="E13" s="50" t="s">
        <v>75</v>
      </c>
      <c r="F13" s="51">
        <v>1</v>
      </c>
      <c r="G13" s="50" t="s">
        <v>43</v>
      </c>
      <c r="H13" s="50" t="s">
        <v>34</v>
      </c>
      <c r="I13" s="51">
        <v>1</v>
      </c>
      <c r="J13" s="50" t="s">
        <v>43</v>
      </c>
      <c r="K13" s="50" t="s">
        <v>34</v>
      </c>
      <c r="L13" s="51">
        <v>1</v>
      </c>
      <c r="N13" t="s">
        <v>44</v>
      </c>
      <c r="O13" t="s">
        <v>34</v>
      </c>
      <c r="P13">
        <v>2</v>
      </c>
      <c r="Q13">
        <v>2</v>
      </c>
      <c r="R13">
        <v>1</v>
      </c>
      <c r="S13" s="5" t="s">
        <v>44</v>
      </c>
      <c r="T13" t="s">
        <v>34</v>
      </c>
      <c r="V13">
        <v>2</v>
      </c>
      <c r="X13" s="50" t="s">
        <v>47</v>
      </c>
      <c r="Y13" s="50" t="s">
        <v>34</v>
      </c>
      <c r="Z13" s="51">
        <v>1</v>
      </c>
      <c r="AA13" s="50" t="s">
        <v>58</v>
      </c>
      <c r="AB13" s="50" t="s">
        <v>34</v>
      </c>
      <c r="AC13" s="51">
        <v>1</v>
      </c>
      <c r="AD13" s="50" t="s">
        <v>61</v>
      </c>
      <c r="AE13" s="50" t="s">
        <v>34</v>
      </c>
      <c r="AF13" s="51">
        <v>1</v>
      </c>
      <c r="AR13" s="50" t="s">
        <v>44</v>
      </c>
      <c r="AS13" s="50" t="s">
        <v>75</v>
      </c>
      <c r="AT13" s="51">
        <v>23</v>
      </c>
      <c r="AU13" s="50" t="s">
        <v>44</v>
      </c>
      <c r="AV13" s="50" t="s">
        <v>75</v>
      </c>
      <c r="AW13" s="51">
        <v>5</v>
      </c>
      <c r="AX13" s="50" t="s">
        <v>50</v>
      </c>
      <c r="AY13" s="50" t="s">
        <v>75</v>
      </c>
      <c r="AZ13" s="51">
        <v>1</v>
      </c>
    </row>
    <row r="14" spans="1:52" x14ac:dyDescent="0.2">
      <c r="A14" s="20"/>
      <c r="B14" s="20"/>
      <c r="D14" s="50" t="s">
        <v>44</v>
      </c>
      <c r="E14" s="50" t="s">
        <v>34</v>
      </c>
      <c r="F14" s="51">
        <v>5</v>
      </c>
      <c r="G14" s="50" t="s">
        <v>43</v>
      </c>
      <c r="H14" s="50" t="s">
        <v>75</v>
      </c>
      <c r="I14" s="51">
        <v>1</v>
      </c>
      <c r="J14" s="50" t="s">
        <v>44</v>
      </c>
      <c r="K14" s="50" t="s">
        <v>34</v>
      </c>
      <c r="L14" s="51">
        <v>10</v>
      </c>
      <c r="N14" t="s">
        <v>44</v>
      </c>
      <c r="O14" t="s">
        <v>75</v>
      </c>
      <c r="P14">
        <v>11</v>
      </c>
      <c r="Q14">
        <v>23</v>
      </c>
      <c r="R14">
        <v>21</v>
      </c>
      <c r="S14" s="60" t="s">
        <v>44</v>
      </c>
      <c r="T14" t="s">
        <v>75</v>
      </c>
      <c r="U14">
        <v>3</v>
      </c>
      <c r="V14">
        <v>2</v>
      </c>
      <c r="W14">
        <v>1</v>
      </c>
      <c r="X14" s="50" t="s">
        <v>49</v>
      </c>
      <c r="Y14" s="50" t="s">
        <v>34</v>
      </c>
      <c r="Z14" s="51">
        <v>1</v>
      </c>
      <c r="AA14" s="50" t="s">
        <v>62</v>
      </c>
      <c r="AB14" s="50" t="s">
        <v>34</v>
      </c>
      <c r="AC14" s="51">
        <v>1</v>
      </c>
      <c r="AD14" s="50" t="s">
        <v>62</v>
      </c>
      <c r="AE14" s="50" t="s">
        <v>34</v>
      </c>
      <c r="AF14" s="51">
        <v>1</v>
      </c>
      <c r="AR14" s="50" t="s">
        <v>45</v>
      </c>
      <c r="AS14" s="50" t="s">
        <v>34</v>
      </c>
      <c r="AT14" s="51">
        <v>1</v>
      </c>
      <c r="AU14" s="50" t="s">
        <v>45</v>
      </c>
      <c r="AV14" s="50" t="s">
        <v>75</v>
      </c>
      <c r="AW14" s="51">
        <v>1</v>
      </c>
      <c r="AX14" s="50" t="s">
        <v>53</v>
      </c>
      <c r="AY14" s="50" t="s">
        <v>34</v>
      </c>
      <c r="AZ14" s="51">
        <v>3</v>
      </c>
    </row>
    <row r="15" spans="1:52" x14ac:dyDescent="0.2">
      <c r="A15" s="20"/>
      <c r="B15" s="20"/>
      <c r="D15" s="50" t="s">
        <v>44</v>
      </c>
      <c r="E15" s="50" t="s">
        <v>75</v>
      </c>
      <c r="F15" s="51">
        <v>25</v>
      </c>
      <c r="G15" s="50" t="s">
        <v>44</v>
      </c>
      <c r="H15" s="50" t="s">
        <v>34</v>
      </c>
      <c r="I15" s="51">
        <v>9</v>
      </c>
      <c r="J15" s="50" t="s">
        <v>44</v>
      </c>
      <c r="K15" s="50" t="s">
        <v>75</v>
      </c>
      <c r="L15" s="51">
        <v>2</v>
      </c>
      <c r="N15" t="s">
        <v>45</v>
      </c>
      <c r="O15" t="s">
        <v>75</v>
      </c>
      <c r="P15">
        <v>5</v>
      </c>
      <c r="Q15">
        <v>4</v>
      </c>
      <c r="R15">
        <v>6</v>
      </c>
      <c r="S15" s="60" t="s">
        <v>45</v>
      </c>
      <c r="T15" t="s">
        <v>75</v>
      </c>
      <c r="V15">
        <v>3</v>
      </c>
      <c r="X15" s="50" t="s">
        <v>49</v>
      </c>
      <c r="Y15" s="50" t="s">
        <v>75</v>
      </c>
      <c r="Z15" s="51">
        <v>2</v>
      </c>
      <c r="AA15" s="50" t="s">
        <v>69</v>
      </c>
      <c r="AB15" s="50" t="s">
        <v>34</v>
      </c>
      <c r="AC15" s="51">
        <v>6</v>
      </c>
      <c r="AD15" s="50" t="s">
        <v>63</v>
      </c>
      <c r="AE15" s="50" t="s">
        <v>34</v>
      </c>
      <c r="AF15" s="51">
        <v>1</v>
      </c>
      <c r="AR15" s="50" t="s">
        <v>45</v>
      </c>
      <c r="AS15" s="50" t="s">
        <v>75</v>
      </c>
      <c r="AT15" s="51">
        <v>4</v>
      </c>
      <c r="AU15" s="50" t="s">
        <v>47</v>
      </c>
      <c r="AV15" s="50" t="s">
        <v>34</v>
      </c>
      <c r="AW15" s="51">
        <v>1</v>
      </c>
      <c r="AX15" s="50" t="s">
        <v>56</v>
      </c>
      <c r="AY15" s="50" t="s">
        <v>34</v>
      </c>
      <c r="AZ15" s="51">
        <v>1</v>
      </c>
    </row>
    <row r="16" spans="1:52" x14ac:dyDescent="0.2">
      <c r="A16" s="20"/>
      <c r="B16" s="20"/>
      <c r="D16" s="50" t="s">
        <v>45</v>
      </c>
      <c r="E16" s="50" t="s">
        <v>34</v>
      </c>
      <c r="F16" s="51">
        <v>3</v>
      </c>
      <c r="G16" s="50" t="s">
        <v>44</v>
      </c>
      <c r="H16" s="50" t="s">
        <v>75</v>
      </c>
      <c r="I16" s="51">
        <v>7</v>
      </c>
      <c r="J16" s="50" t="s">
        <v>45</v>
      </c>
      <c r="K16" s="50" t="s">
        <v>34</v>
      </c>
      <c r="L16" s="51">
        <v>2</v>
      </c>
      <c r="N16" t="s">
        <v>46</v>
      </c>
      <c r="O16" t="s">
        <v>75</v>
      </c>
      <c r="Q16">
        <v>1</v>
      </c>
      <c r="S16" s="60" t="s">
        <v>46</v>
      </c>
      <c r="T16" t="s">
        <v>75</v>
      </c>
      <c r="X16" s="50" t="s">
        <v>50</v>
      </c>
      <c r="Y16" s="50" t="s">
        <v>34</v>
      </c>
      <c r="Z16" s="51">
        <v>2</v>
      </c>
      <c r="AA16" s="50"/>
      <c r="AB16" s="50"/>
      <c r="AC16" s="51"/>
      <c r="AD16" s="50" t="s">
        <v>64</v>
      </c>
      <c r="AE16" s="50" t="s">
        <v>34</v>
      </c>
      <c r="AF16" s="51">
        <v>1</v>
      </c>
      <c r="AR16" s="50" t="s">
        <v>46</v>
      </c>
      <c r="AS16" s="50" t="s">
        <v>75</v>
      </c>
      <c r="AT16" s="51">
        <v>2</v>
      </c>
      <c r="AU16" s="50" t="s">
        <v>48</v>
      </c>
      <c r="AV16" s="50" t="s">
        <v>75</v>
      </c>
      <c r="AW16" s="51">
        <v>2</v>
      </c>
      <c r="AX16" s="50" t="s">
        <v>58</v>
      </c>
      <c r="AY16" s="50" t="s">
        <v>34</v>
      </c>
      <c r="AZ16" s="51">
        <v>1</v>
      </c>
    </row>
    <row r="17" spans="1:52" x14ac:dyDescent="0.2">
      <c r="A17" s="20"/>
      <c r="B17" s="20"/>
      <c r="D17" s="50" t="s">
        <v>45</v>
      </c>
      <c r="E17" s="50" t="s">
        <v>75</v>
      </c>
      <c r="F17" s="51">
        <v>5</v>
      </c>
      <c r="G17" s="50" t="s">
        <v>45</v>
      </c>
      <c r="H17" s="50" t="s">
        <v>34</v>
      </c>
      <c r="I17" s="51">
        <v>2</v>
      </c>
      <c r="J17" s="50" t="s">
        <v>46</v>
      </c>
      <c r="K17" s="50" t="s">
        <v>34</v>
      </c>
      <c r="L17" s="51">
        <v>1</v>
      </c>
      <c r="N17" t="s">
        <v>47</v>
      </c>
      <c r="O17" t="s">
        <v>34</v>
      </c>
      <c r="Q17">
        <v>4</v>
      </c>
      <c r="S17" s="5" t="s">
        <v>47</v>
      </c>
      <c r="T17" t="s">
        <v>34</v>
      </c>
      <c r="X17" s="50" t="s">
        <v>52</v>
      </c>
      <c r="Y17" s="50" t="s">
        <v>34</v>
      </c>
      <c r="Z17" s="51">
        <v>1</v>
      </c>
      <c r="AA17" s="50"/>
      <c r="AB17" s="50"/>
      <c r="AC17" s="51"/>
      <c r="AD17" s="50" t="s">
        <v>69</v>
      </c>
      <c r="AE17" s="50" t="s">
        <v>34</v>
      </c>
      <c r="AF17" s="51">
        <v>2</v>
      </c>
      <c r="AR17" s="50" t="s">
        <v>47</v>
      </c>
      <c r="AS17" s="50" t="s">
        <v>75</v>
      </c>
      <c r="AT17" s="51">
        <v>4</v>
      </c>
      <c r="AU17" s="50" t="s">
        <v>49</v>
      </c>
      <c r="AV17" s="50" t="s">
        <v>34</v>
      </c>
      <c r="AW17" s="51">
        <v>1</v>
      </c>
      <c r="AX17" s="50" t="s">
        <v>63</v>
      </c>
      <c r="AY17" s="50" t="s">
        <v>34</v>
      </c>
      <c r="AZ17" s="51">
        <v>1</v>
      </c>
    </row>
    <row r="18" spans="1:52" x14ac:dyDescent="0.2">
      <c r="A18" s="20"/>
      <c r="B18" s="20"/>
      <c r="D18" s="50" t="s">
        <v>46</v>
      </c>
      <c r="E18" s="50" t="s">
        <v>34</v>
      </c>
      <c r="F18" s="51">
        <v>1</v>
      </c>
      <c r="G18" s="50" t="s">
        <v>45</v>
      </c>
      <c r="H18" s="50" t="s">
        <v>75</v>
      </c>
      <c r="I18" s="51">
        <v>1</v>
      </c>
      <c r="J18" s="50" t="s">
        <v>46</v>
      </c>
      <c r="K18" s="50" t="s">
        <v>75</v>
      </c>
      <c r="L18" s="51">
        <v>1</v>
      </c>
      <c r="N18" t="s">
        <v>47</v>
      </c>
      <c r="O18" t="s">
        <v>75</v>
      </c>
      <c r="P18">
        <v>6</v>
      </c>
      <c r="Q18">
        <v>9</v>
      </c>
      <c r="R18">
        <v>1</v>
      </c>
      <c r="S18" s="60" t="s">
        <v>47</v>
      </c>
      <c r="T18" t="s">
        <v>75</v>
      </c>
      <c r="U18">
        <v>2</v>
      </c>
      <c r="V18">
        <v>1</v>
      </c>
      <c r="X18" s="50" t="s">
        <v>52</v>
      </c>
      <c r="Y18" s="50" t="s">
        <v>75</v>
      </c>
      <c r="Z18" s="51">
        <v>3</v>
      </c>
      <c r="AA18" s="50"/>
      <c r="AB18" s="50"/>
      <c r="AC18" s="51"/>
      <c r="AD18" s="50"/>
      <c r="AE18" s="50"/>
      <c r="AF18" s="51"/>
      <c r="AR18" s="50" t="s">
        <v>48</v>
      </c>
      <c r="AS18" s="50" t="s">
        <v>34</v>
      </c>
      <c r="AT18" s="51">
        <v>3</v>
      </c>
      <c r="AU18" s="50" t="s">
        <v>52</v>
      </c>
      <c r="AV18" s="50" t="s">
        <v>34</v>
      </c>
      <c r="AW18" s="51">
        <v>5</v>
      </c>
      <c r="AX18" s="50" t="s">
        <v>69</v>
      </c>
      <c r="AY18" s="50" t="s">
        <v>34</v>
      </c>
      <c r="AZ18" s="51">
        <v>8</v>
      </c>
    </row>
    <row r="19" spans="1:52" x14ac:dyDescent="0.2">
      <c r="A19" s="20"/>
      <c r="B19" s="20"/>
      <c r="D19" s="50" t="s">
        <v>46</v>
      </c>
      <c r="E19" s="50" t="s">
        <v>75</v>
      </c>
      <c r="F19" s="51">
        <v>1</v>
      </c>
      <c r="G19" s="50" t="s">
        <v>46</v>
      </c>
      <c r="H19" s="50" t="s">
        <v>34</v>
      </c>
      <c r="I19" s="51">
        <v>1</v>
      </c>
      <c r="J19" s="50" t="s">
        <v>47</v>
      </c>
      <c r="K19" s="50" t="s">
        <v>34</v>
      </c>
      <c r="L19" s="51">
        <v>7</v>
      </c>
      <c r="N19" t="s">
        <v>48</v>
      </c>
      <c r="O19" t="s">
        <v>75</v>
      </c>
      <c r="P19">
        <v>2</v>
      </c>
      <c r="Q19">
        <v>6</v>
      </c>
      <c r="R19">
        <v>5</v>
      </c>
      <c r="S19" s="60" t="s">
        <v>48</v>
      </c>
      <c r="T19" t="s">
        <v>75</v>
      </c>
      <c r="X19" s="50" t="s">
        <v>53</v>
      </c>
      <c r="Y19" s="50" t="s">
        <v>34</v>
      </c>
      <c r="Z19" s="51">
        <v>2</v>
      </c>
      <c r="AA19" s="50"/>
      <c r="AB19" s="50"/>
      <c r="AC19" s="51"/>
      <c r="AD19" s="50"/>
      <c r="AE19" s="50"/>
      <c r="AF19" s="51"/>
      <c r="AR19" s="50" t="s">
        <v>48</v>
      </c>
      <c r="AS19" s="50" t="s">
        <v>75</v>
      </c>
      <c r="AT19" s="51">
        <v>8</v>
      </c>
      <c r="AU19" s="50" t="s">
        <v>52</v>
      </c>
      <c r="AV19" s="50" t="s">
        <v>75</v>
      </c>
      <c r="AW19" s="51">
        <v>6</v>
      </c>
      <c r="AX19" s="50"/>
      <c r="AY19" s="50"/>
      <c r="AZ19" s="51"/>
    </row>
    <row r="20" spans="1:52" x14ac:dyDescent="0.2">
      <c r="A20" s="20"/>
      <c r="B20" s="20"/>
      <c r="D20" s="50" t="s">
        <v>47</v>
      </c>
      <c r="E20" s="50" t="s">
        <v>75</v>
      </c>
      <c r="F20" s="51">
        <v>4</v>
      </c>
      <c r="G20" s="50" t="s">
        <v>46</v>
      </c>
      <c r="H20" s="50" t="s">
        <v>75</v>
      </c>
      <c r="I20" s="51">
        <v>1</v>
      </c>
      <c r="J20" s="50" t="s">
        <v>48</v>
      </c>
      <c r="K20" s="50" t="s">
        <v>34</v>
      </c>
      <c r="L20" s="51">
        <v>13</v>
      </c>
      <c r="N20" t="s">
        <v>49</v>
      </c>
      <c r="O20" t="s">
        <v>75</v>
      </c>
      <c r="P20">
        <v>5</v>
      </c>
      <c r="Q20">
        <v>2</v>
      </c>
      <c r="R20">
        <v>2</v>
      </c>
      <c r="S20" s="5" t="s">
        <v>49</v>
      </c>
      <c r="T20" t="s">
        <v>34</v>
      </c>
      <c r="U20">
        <v>1</v>
      </c>
      <c r="W20">
        <v>2</v>
      </c>
      <c r="X20" s="50" t="s">
        <v>53</v>
      </c>
      <c r="Y20" s="50" t="s">
        <v>75</v>
      </c>
      <c r="Z20" s="51">
        <v>1</v>
      </c>
      <c r="AA20" s="50"/>
      <c r="AB20" s="50"/>
      <c r="AC20" s="51"/>
      <c r="AD20" s="83"/>
      <c r="AE20" s="83"/>
      <c r="AF20" s="84"/>
      <c r="AR20" s="50" t="s">
        <v>49</v>
      </c>
      <c r="AS20" s="50" t="s">
        <v>75</v>
      </c>
      <c r="AT20" s="51">
        <v>1</v>
      </c>
      <c r="AU20" s="50" t="s">
        <v>53</v>
      </c>
      <c r="AV20" s="50" t="s">
        <v>34</v>
      </c>
      <c r="AW20" s="51">
        <v>3</v>
      </c>
      <c r="AX20" s="50"/>
      <c r="AY20" s="50"/>
      <c r="AZ20" s="51"/>
    </row>
    <row r="21" spans="1:52" x14ac:dyDescent="0.2">
      <c r="A21" s="20"/>
      <c r="B21" s="20"/>
      <c r="D21" s="50" t="s">
        <v>48</v>
      </c>
      <c r="E21" s="50" t="s">
        <v>34</v>
      </c>
      <c r="F21" s="51">
        <v>7</v>
      </c>
      <c r="G21" s="50" t="s">
        <v>47</v>
      </c>
      <c r="H21" s="50" t="s">
        <v>34</v>
      </c>
      <c r="I21" s="51">
        <v>8</v>
      </c>
      <c r="J21" s="50" t="s">
        <v>49</v>
      </c>
      <c r="K21" s="50" t="s">
        <v>34</v>
      </c>
      <c r="L21" s="51">
        <v>10</v>
      </c>
      <c r="N21" t="s">
        <v>50</v>
      </c>
      <c r="O21" t="s">
        <v>34</v>
      </c>
      <c r="P21">
        <v>1</v>
      </c>
      <c r="S21" s="60" t="s">
        <v>49</v>
      </c>
      <c r="T21" t="s">
        <v>75</v>
      </c>
      <c r="V21">
        <v>2</v>
      </c>
      <c r="X21" s="50" t="s">
        <v>54</v>
      </c>
      <c r="Y21" s="50" t="s">
        <v>75</v>
      </c>
      <c r="Z21" s="51">
        <v>1</v>
      </c>
      <c r="AA21" s="50"/>
      <c r="AB21" s="50"/>
      <c r="AC21" s="51"/>
      <c r="AD21" s="83"/>
      <c r="AE21" s="83"/>
      <c r="AF21" s="84"/>
      <c r="AR21" s="50" t="s">
        <v>50</v>
      </c>
      <c r="AS21" s="50" t="s">
        <v>34</v>
      </c>
      <c r="AT21" s="51">
        <v>1</v>
      </c>
      <c r="AU21" s="50" t="s">
        <v>53</v>
      </c>
      <c r="AV21" s="50" t="s">
        <v>75</v>
      </c>
      <c r="AW21" s="51">
        <v>7</v>
      </c>
      <c r="AX21" s="50"/>
      <c r="AY21" s="50"/>
      <c r="AZ21" s="51"/>
    </row>
    <row r="22" spans="1:52" x14ac:dyDescent="0.2">
      <c r="A22" s="20"/>
      <c r="B22" s="20"/>
      <c r="D22" s="50" t="s">
        <v>48</v>
      </c>
      <c r="E22" s="50" t="s">
        <v>75</v>
      </c>
      <c r="F22" s="51">
        <v>9</v>
      </c>
      <c r="G22" s="50" t="s">
        <v>48</v>
      </c>
      <c r="H22" s="50" t="s">
        <v>34</v>
      </c>
      <c r="I22" s="51">
        <v>13</v>
      </c>
      <c r="J22" s="50" t="s">
        <v>50</v>
      </c>
      <c r="K22" s="50" t="s">
        <v>34</v>
      </c>
      <c r="L22" s="51">
        <v>1</v>
      </c>
      <c r="N22" t="s">
        <v>50</v>
      </c>
      <c r="O22" t="s">
        <v>75</v>
      </c>
      <c r="P22">
        <v>7</v>
      </c>
      <c r="Q22">
        <v>2</v>
      </c>
      <c r="R22">
        <v>1</v>
      </c>
      <c r="S22" s="5" t="s">
        <v>50</v>
      </c>
      <c r="T22" t="s">
        <v>34</v>
      </c>
      <c r="X22" s="50" t="s">
        <v>55</v>
      </c>
      <c r="Y22" s="50" t="s">
        <v>75</v>
      </c>
      <c r="Z22" s="51">
        <v>1</v>
      </c>
      <c r="AA22" s="50"/>
      <c r="AB22" s="50"/>
      <c r="AC22" s="51"/>
      <c r="AD22" s="83"/>
      <c r="AE22" s="83"/>
      <c r="AF22" s="84"/>
      <c r="AR22" s="50" t="s">
        <v>50</v>
      </c>
      <c r="AS22" s="50" t="s">
        <v>75</v>
      </c>
      <c r="AT22" s="51">
        <v>5</v>
      </c>
      <c r="AU22" s="50" t="s">
        <v>54</v>
      </c>
      <c r="AV22" s="50" t="s">
        <v>75</v>
      </c>
      <c r="AW22" s="51">
        <v>1</v>
      </c>
      <c r="AX22" s="50"/>
      <c r="AY22" s="50"/>
      <c r="AZ22" s="51"/>
    </row>
    <row r="23" spans="1:52" x14ac:dyDescent="0.2">
      <c r="A23" s="20"/>
      <c r="B23" s="20"/>
      <c r="D23" s="50" t="s">
        <v>49</v>
      </c>
      <c r="E23" s="50" t="s">
        <v>75</v>
      </c>
      <c r="F23" s="51">
        <v>1</v>
      </c>
      <c r="G23" s="50" t="s">
        <v>48</v>
      </c>
      <c r="H23" s="50" t="s">
        <v>75</v>
      </c>
      <c r="I23" s="51">
        <v>2</v>
      </c>
      <c r="J23" s="50" t="s">
        <v>50</v>
      </c>
      <c r="K23" s="50" t="s">
        <v>75</v>
      </c>
      <c r="L23" s="51">
        <v>1</v>
      </c>
      <c r="N23" t="s">
        <v>51</v>
      </c>
      <c r="O23" t="s">
        <v>75</v>
      </c>
      <c r="P23">
        <v>1</v>
      </c>
      <c r="S23" s="60" t="s">
        <v>50</v>
      </c>
      <c r="T23" t="s">
        <v>75</v>
      </c>
      <c r="X23" s="50" t="s">
        <v>56</v>
      </c>
      <c r="Y23" s="50" t="s">
        <v>75</v>
      </c>
      <c r="Z23" s="51">
        <v>3</v>
      </c>
      <c r="AA23" s="50"/>
      <c r="AB23" s="50"/>
      <c r="AC23" s="51"/>
      <c r="AD23" s="83"/>
      <c r="AE23" s="83"/>
      <c r="AF23" s="84"/>
      <c r="AR23" s="50" t="s">
        <v>51</v>
      </c>
      <c r="AS23" s="50" t="s">
        <v>75</v>
      </c>
      <c r="AT23" s="51">
        <v>1</v>
      </c>
      <c r="AU23" s="50" t="s">
        <v>55</v>
      </c>
      <c r="AV23" s="50" t="s">
        <v>34</v>
      </c>
      <c r="AW23" s="51">
        <v>2</v>
      </c>
      <c r="AX23" s="50"/>
      <c r="AY23" s="50"/>
      <c r="AZ23" s="51"/>
    </row>
    <row r="24" spans="1:52" x14ac:dyDescent="0.2">
      <c r="A24" s="20"/>
      <c r="B24" s="20"/>
      <c r="D24" s="50" t="s">
        <v>50</v>
      </c>
      <c r="E24" s="50" t="s">
        <v>75</v>
      </c>
      <c r="F24" s="51">
        <v>6</v>
      </c>
      <c r="G24" s="50" t="s">
        <v>49</v>
      </c>
      <c r="H24" s="50" t="s">
        <v>34</v>
      </c>
      <c r="I24" s="51">
        <v>10</v>
      </c>
      <c r="J24" s="50" t="s">
        <v>52</v>
      </c>
      <c r="K24" s="50" t="s">
        <v>34</v>
      </c>
      <c r="L24" s="51">
        <v>11</v>
      </c>
      <c r="N24" t="s">
        <v>52</v>
      </c>
      <c r="O24" t="s">
        <v>34</v>
      </c>
      <c r="P24">
        <v>2</v>
      </c>
      <c r="Q24">
        <v>2</v>
      </c>
      <c r="S24" s="60" t="s">
        <v>51</v>
      </c>
      <c r="T24" t="s">
        <v>75</v>
      </c>
      <c r="X24" s="50" t="s">
        <v>61</v>
      </c>
      <c r="Y24" s="50" t="s">
        <v>75</v>
      </c>
      <c r="Z24" s="51">
        <v>2</v>
      </c>
      <c r="AA24" s="50"/>
      <c r="AB24" s="50"/>
      <c r="AC24" s="51"/>
      <c r="AD24" s="83"/>
      <c r="AE24" s="83"/>
      <c r="AF24" s="84"/>
      <c r="AR24" s="50" t="s">
        <v>52</v>
      </c>
      <c r="AS24" s="50" t="s">
        <v>34</v>
      </c>
      <c r="AT24" s="51">
        <v>1</v>
      </c>
      <c r="AU24" s="50" t="s">
        <v>55</v>
      </c>
      <c r="AV24" s="50" t="s">
        <v>75</v>
      </c>
      <c r="AW24" s="51">
        <v>3</v>
      </c>
      <c r="AX24" s="50"/>
      <c r="AY24" s="50"/>
      <c r="AZ24" s="51"/>
    </row>
    <row r="25" spans="1:52" x14ac:dyDescent="0.2">
      <c r="A25" s="20"/>
      <c r="B25" s="20"/>
      <c r="D25" s="50" t="s">
        <v>51</v>
      </c>
      <c r="E25" s="50" t="s">
        <v>75</v>
      </c>
      <c r="F25" s="51">
        <v>1</v>
      </c>
      <c r="G25" s="50" t="s">
        <v>50</v>
      </c>
      <c r="H25" s="50" t="s">
        <v>34</v>
      </c>
      <c r="I25" s="51">
        <v>1</v>
      </c>
      <c r="J25" s="50" t="s">
        <v>52</v>
      </c>
      <c r="K25" s="50" t="s">
        <v>75</v>
      </c>
      <c r="L25" s="51">
        <v>1</v>
      </c>
      <c r="N25" t="s">
        <v>52</v>
      </c>
      <c r="O25" t="s">
        <v>75</v>
      </c>
      <c r="P25">
        <v>14</v>
      </c>
      <c r="Q25">
        <v>25</v>
      </c>
      <c r="R25">
        <v>25</v>
      </c>
      <c r="S25" s="5" t="s">
        <v>52</v>
      </c>
      <c r="T25" t="s">
        <v>34</v>
      </c>
      <c r="W25">
        <v>2</v>
      </c>
      <c r="X25" s="50" t="s">
        <v>62</v>
      </c>
      <c r="Y25" s="50" t="s">
        <v>34</v>
      </c>
      <c r="Z25" s="51">
        <v>2</v>
      </c>
      <c r="AA25" s="50"/>
      <c r="AB25" s="50"/>
      <c r="AC25" s="51"/>
      <c r="AD25" s="83"/>
      <c r="AE25" s="83"/>
      <c r="AF25" s="84"/>
      <c r="AR25" s="50" t="s">
        <v>52</v>
      </c>
      <c r="AS25" s="50" t="s">
        <v>75</v>
      </c>
      <c r="AT25" s="51">
        <v>24</v>
      </c>
      <c r="AU25" s="50" t="s">
        <v>56</v>
      </c>
      <c r="AV25" s="50" t="s">
        <v>75</v>
      </c>
      <c r="AW25" s="51">
        <v>2</v>
      </c>
      <c r="AX25" s="50"/>
      <c r="AY25" s="50"/>
      <c r="AZ25" s="51"/>
    </row>
    <row r="26" spans="1:52" x14ac:dyDescent="0.2">
      <c r="A26" s="20"/>
      <c r="B26" s="20"/>
      <c r="D26" s="50" t="s">
        <v>52</v>
      </c>
      <c r="E26" s="50" t="s">
        <v>34</v>
      </c>
      <c r="F26" s="51">
        <v>12</v>
      </c>
      <c r="G26" s="50" t="s">
        <v>50</v>
      </c>
      <c r="H26" s="50" t="s">
        <v>75</v>
      </c>
      <c r="I26" s="51">
        <v>1</v>
      </c>
      <c r="J26" s="50" t="s">
        <v>53</v>
      </c>
      <c r="K26" s="50" t="s">
        <v>34</v>
      </c>
      <c r="L26" s="51">
        <v>19</v>
      </c>
      <c r="N26" t="s">
        <v>53</v>
      </c>
      <c r="O26" t="s">
        <v>34</v>
      </c>
      <c r="P26">
        <v>4</v>
      </c>
      <c r="Q26">
        <v>1</v>
      </c>
      <c r="R26">
        <v>9</v>
      </c>
      <c r="S26" s="60" t="s">
        <v>52</v>
      </c>
      <c r="T26" t="s">
        <v>75</v>
      </c>
      <c r="U26">
        <v>7</v>
      </c>
      <c r="V26">
        <v>8</v>
      </c>
      <c r="W26">
        <v>6</v>
      </c>
      <c r="X26" s="50" t="s">
        <v>62</v>
      </c>
      <c r="Y26" s="50" t="s">
        <v>75</v>
      </c>
      <c r="Z26" s="51">
        <v>1</v>
      </c>
      <c r="AA26" s="50"/>
      <c r="AB26" s="50"/>
      <c r="AC26" s="51"/>
      <c r="AD26" s="83"/>
      <c r="AE26" s="83"/>
      <c r="AF26" s="84"/>
      <c r="AR26" s="50" t="s">
        <v>53</v>
      </c>
      <c r="AS26" s="50" t="s">
        <v>34</v>
      </c>
      <c r="AT26" s="51">
        <v>3</v>
      </c>
      <c r="AU26" s="50" t="s">
        <v>61</v>
      </c>
      <c r="AV26" s="50" t="s">
        <v>75</v>
      </c>
      <c r="AW26" s="51">
        <v>4</v>
      </c>
      <c r="AX26" s="50"/>
      <c r="AY26" s="50"/>
      <c r="AZ26" s="51"/>
    </row>
    <row r="27" spans="1:52" x14ac:dyDescent="0.2">
      <c r="A27" s="20"/>
      <c r="B27" s="20"/>
      <c r="D27" s="50" t="s">
        <v>52</v>
      </c>
      <c r="E27" s="50" t="s">
        <v>75</v>
      </c>
      <c r="F27" s="51">
        <v>23</v>
      </c>
      <c r="G27" s="50" t="s">
        <v>52</v>
      </c>
      <c r="H27" s="50" t="s">
        <v>34</v>
      </c>
      <c r="I27" s="51">
        <v>15</v>
      </c>
      <c r="J27" s="50" t="s">
        <v>53</v>
      </c>
      <c r="K27" s="50" t="s">
        <v>75</v>
      </c>
      <c r="L27" s="51">
        <v>4</v>
      </c>
      <c r="N27" t="s">
        <v>53</v>
      </c>
      <c r="O27" t="s">
        <v>75</v>
      </c>
      <c r="P27">
        <v>36</v>
      </c>
      <c r="Q27">
        <v>21</v>
      </c>
      <c r="R27">
        <v>7</v>
      </c>
      <c r="S27" s="5" t="s">
        <v>53</v>
      </c>
      <c r="T27" t="s">
        <v>34</v>
      </c>
      <c r="U27">
        <v>2</v>
      </c>
      <c r="V27">
        <v>3</v>
      </c>
      <c r="W27">
        <v>1</v>
      </c>
      <c r="X27" s="50" t="s">
        <v>64</v>
      </c>
      <c r="Y27" s="50" t="s">
        <v>34</v>
      </c>
      <c r="Z27" s="51">
        <v>3</v>
      </c>
      <c r="AA27" s="50"/>
      <c r="AB27" s="50"/>
      <c r="AC27" s="51"/>
      <c r="AD27" s="83"/>
      <c r="AE27" s="83"/>
      <c r="AF27" s="84"/>
      <c r="AR27" s="50" t="s">
        <v>54</v>
      </c>
      <c r="AS27" s="50" t="s">
        <v>75</v>
      </c>
      <c r="AT27" s="51">
        <v>5</v>
      </c>
      <c r="AU27" s="50" t="s">
        <v>64</v>
      </c>
      <c r="AV27" s="50" t="s">
        <v>34</v>
      </c>
      <c r="AW27" s="51">
        <v>3</v>
      </c>
      <c r="AX27" s="50"/>
      <c r="AY27" s="50"/>
      <c r="AZ27" s="51"/>
    </row>
    <row r="28" spans="1:52" x14ac:dyDescent="0.2">
      <c r="A28" s="20"/>
      <c r="B28" s="20"/>
      <c r="D28" s="50" t="s">
        <v>53</v>
      </c>
      <c r="E28" s="50" t="s">
        <v>34</v>
      </c>
      <c r="F28" s="51">
        <v>7</v>
      </c>
      <c r="G28" s="50" t="s">
        <v>52</v>
      </c>
      <c r="H28" s="50" t="s">
        <v>75</v>
      </c>
      <c r="I28" s="51">
        <v>7</v>
      </c>
      <c r="J28" s="50" t="s">
        <v>54</v>
      </c>
      <c r="K28" s="50" t="s">
        <v>34</v>
      </c>
      <c r="L28" s="51">
        <v>4</v>
      </c>
      <c r="N28" t="s">
        <v>54</v>
      </c>
      <c r="O28" t="s">
        <v>75</v>
      </c>
      <c r="P28">
        <v>3</v>
      </c>
      <c r="Q28">
        <v>5</v>
      </c>
      <c r="S28" s="60" t="s">
        <v>53</v>
      </c>
      <c r="T28" t="s">
        <v>75</v>
      </c>
      <c r="U28">
        <v>13</v>
      </c>
      <c r="V28">
        <v>7</v>
      </c>
      <c r="W28">
        <v>2</v>
      </c>
      <c r="X28" s="50" t="s">
        <v>68</v>
      </c>
      <c r="Y28" s="50" t="s">
        <v>75</v>
      </c>
      <c r="Z28" s="51">
        <v>2</v>
      </c>
      <c r="AA28" s="50"/>
      <c r="AB28" s="50"/>
      <c r="AC28" s="51"/>
      <c r="AR28" s="50" t="s">
        <v>55</v>
      </c>
      <c r="AS28" s="50" t="s">
        <v>34</v>
      </c>
      <c r="AT28" s="51">
        <v>1</v>
      </c>
      <c r="AU28" s="50" t="s">
        <v>68</v>
      </c>
      <c r="AV28" s="50" t="s">
        <v>75</v>
      </c>
      <c r="AW28" s="51">
        <v>1</v>
      </c>
    </row>
    <row r="29" spans="1:52" x14ac:dyDescent="0.2">
      <c r="A29" s="20"/>
      <c r="B29" s="20"/>
      <c r="D29" s="50" t="s">
        <v>53</v>
      </c>
      <c r="E29" s="50" t="s">
        <v>75</v>
      </c>
      <c r="F29" s="51">
        <v>30</v>
      </c>
      <c r="G29" s="50" t="s">
        <v>53</v>
      </c>
      <c r="H29" s="50" t="s">
        <v>34</v>
      </c>
      <c r="I29" s="51">
        <v>21</v>
      </c>
      <c r="J29" s="50" t="s">
        <v>54</v>
      </c>
      <c r="K29" s="50" t="s">
        <v>75</v>
      </c>
      <c r="L29" s="51">
        <v>1</v>
      </c>
      <c r="N29" t="s">
        <v>55</v>
      </c>
      <c r="O29" t="s">
        <v>75</v>
      </c>
      <c r="P29">
        <v>20</v>
      </c>
      <c r="Q29">
        <v>16</v>
      </c>
      <c r="R29">
        <v>20</v>
      </c>
      <c r="S29" s="60" t="s">
        <v>54</v>
      </c>
      <c r="T29" t="s">
        <v>75</v>
      </c>
      <c r="U29">
        <v>4</v>
      </c>
      <c r="V29">
        <v>2</v>
      </c>
      <c r="X29" s="50" t="s">
        <v>69</v>
      </c>
      <c r="Y29" s="50" t="s">
        <v>34</v>
      </c>
      <c r="Z29" s="51">
        <v>3</v>
      </c>
      <c r="AR29" s="50" t="s">
        <v>55</v>
      </c>
      <c r="AS29" s="50" t="s">
        <v>75</v>
      </c>
      <c r="AT29" s="51">
        <v>11</v>
      </c>
      <c r="AU29" s="50" t="s">
        <v>69</v>
      </c>
      <c r="AV29" s="50" t="s">
        <v>34</v>
      </c>
      <c r="AW29" s="51">
        <v>8</v>
      </c>
    </row>
    <row r="30" spans="1:52" x14ac:dyDescent="0.2">
      <c r="A30" s="20"/>
      <c r="B30" s="20"/>
      <c r="D30" s="50" t="s">
        <v>54</v>
      </c>
      <c r="E30" s="50" t="s">
        <v>75</v>
      </c>
      <c r="F30" s="51">
        <v>4</v>
      </c>
      <c r="G30" s="50" t="s">
        <v>53</v>
      </c>
      <c r="H30" s="50" t="s">
        <v>75</v>
      </c>
      <c r="I30" s="51">
        <v>11</v>
      </c>
      <c r="J30" s="50" t="s">
        <v>55</v>
      </c>
      <c r="K30" s="50" t="s">
        <v>34</v>
      </c>
      <c r="L30" s="51">
        <v>13</v>
      </c>
      <c r="N30" t="s">
        <v>56</v>
      </c>
      <c r="O30" t="s">
        <v>34</v>
      </c>
      <c r="R30">
        <v>1</v>
      </c>
      <c r="S30" s="5" t="s">
        <v>55</v>
      </c>
      <c r="T30" t="s">
        <v>34</v>
      </c>
      <c r="U30">
        <v>2</v>
      </c>
      <c r="V30">
        <v>5</v>
      </c>
      <c r="X30" s="50" t="s">
        <v>69</v>
      </c>
      <c r="Y30" s="50" t="s">
        <v>75</v>
      </c>
      <c r="Z30" s="51">
        <v>14</v>
      </c>
      <c r="AR30" s="50" t="s">
        <v>56</v>
      </c>
      <c r="AS30" s="50" t="s">
        <v>75</v>
      </c>
      <c r="AT30" s="51">
        <v>19</v>
      </c>
      <c r="AU30" s="50" t="s">
        <v>69</v>
      </c>
      <c r="AV30" s="50" t="s">
        <v>75</v>
      </c>
      <c r="AW30" s="51">
        <v>16</v>
      </c>
    </row>
    <row r="31" spans="1:52" x14ac:dyDescent="0.2">
      <c r="A31" s="20"/>
      <c r="B31" s="20"/>
      <c r="D31" s="50" t="s">
        <v>55</v>
      </c>
      <c r="E31" s="50" t="s">
        <v>34</v>
      </c>
      <c r="F31" s="51">
        <v>5</v>
      </c>
      <c r="G31" s="50" t="s">
        <v>54</v>
      </c>
      <c r="H31" s="50" t="s">
        <v>34</v>
      </c>
      <c r="I31" s="51">
        <v>4</v>
      </c>
      <c r="J31" s="50" t="s">
        <v>55</v>
      </c>
      <c r="K31" s="50" t="s">
        <v>75</v>
      </c>
      <c r="L31" s="51">
        <v>3</v>
      </c>
      <c r="N31" t="s">
        <v>56</v>
      </c>
      <c r="O31" t="s">
        <v>75</v>
      </c>
      <c r="P31">
        <v>18</v>
      </c>
      <c r="Q31">
        <v>24</v>
      </c>
      <c r="R31">
        <v>13</v>
      </c>
      <c r="S31" s="60" t="s">
        <v>55</v>
      </c>
      <c r="T31" t="s">
        <v>75</v>
      </c>
      <c r="U31">
        <v>4</v>
      </c>
      <c r="V31">
        <v>3</v>
      </c>
      <c r="W31">
        <v>1</v>
      </c>
      <c r="X31" s="83"/>
      <c r="Y31" s="83"/>
      <c r="Z31" s="84"/>
      <c r="AR31" s="50" t="s">
        <v>57</v>
      </c>
      <c r="AS31" s="50" t="s">
        <v>75</v>
      </c>
      <c r="AT31" s="51">
        <v>3</v>
      </c>
      <c r="AU31" s="70"/>
      <c r="AV31" s="70"/>
      <c r="AW31" s="71"/>
    </row>
    <row r="32" spans="1:52" x14ac:dyDescent="0.2">
      <c r="A32" s="20"/>
      <c r="B32" s="20"/>
      <c r="D32" s="50" t="s">
        <v>55</v>
      </c>
      <c r="E32" s="50" t="s">
        <v>75</v>
      </c>
      <c r="F32" s="51">
        <v>16</v>
      </c>
      <c r="G32" s="50" t="s">
        <v>54</v>
      </c>
      <c r="H32" s="50" t="s">
        <v>75</v>
      </c>
      <c r="I32" s="51">
        <v>2</v>
      </c>
      <c r="J32" s="50" t="s">
        <v>56</v>
      </c>
      <c r="K32" s="50" t="s">
        <v>34</v>
      </c>
      <c r="L32" s="51">
        <v>36</v>
      </c>
      <c r="N32" t="s">
        <v>57</v>
      </c>
      <c r="O32" t="s">
        <v>75</v>
      </c>
      <c r="Q32">
        <v>1</v>
      </c>
      <c r="R32">
        <v>2</v>
      </c>
      <c r="S32" s="5" t="s">
        <v>56</v>
      </c>
      <c r="T32" t="s">
        <v>34</v>
      </c>
      <c r="U32">
        <v>1</v>
      </c>
      <c r="V32">
        <v>8</v>
      </c>
      <c r="W32">
        <v>6</v>
      </c>
      <c r="AR32" s="50" t="s">
        <v>58</v>
      </c>
      <c r="AS32" s="50" t="s">
        <v>34</v>
      </c>
      <c r="AT32" s="51">
        <v>1</v>
      </c>
      <c r="AU32" s="70"/>
      <c r="AV32" s="70"/>
      <c r="AW32" s="71"/>
    </row>
    <row r="33" spans="1:49" x14ac:dyDescent="0.2">
      <c r="A33" s="20"/>
      <c r="B33" s="20"/>
      <c r="D33" s="50" t="s">
        <v>56</v>
      </c>
      <c r="E33" s="50" t="s">
        <v>34</v>
      </c>
      <c r="F33" s="51">
        <v>11</v>
      </c>
      <c r="G33" s="50" t="s">
        <v>55</v>
      </c>
      <c r="H33" s="50" t="s">
        <v>34</v>
      </c>
      <c r="I33" s="51">
        <v>14</v>
      </c>
      <c r="J33" s="50" t="s">
        <v>56</v>
      </c>
      <c r="K33" s="50" t="s">
        <v>75</v>
      </c>
      <c r="L33" s="51">
        <v>2</v>
      </c>
      <c r="N33" t="s">
        <v>58</v>
      </c>
      <c r="O33" t="s">
        <v>34</v>
      </c>
      <c r="R33">
        <v>1</v>
      </c>
      <c r="S33" s="60" t="s">
        <v>56</v>
      </c>
      <c r="T33" t="s">
        <v>75</v>
      </c>
      <c r="U33">
        <v>9</v>
      </c>
      <c r="V33">
        <v>2</v>
      </c>
      <c r="AR33" s="50" t="s">
        <v>58</v>
      </c>
      <c r="AS33" s="50" t="s">
        <v>75</v>
      </c>
      <c r="AT33" s="51">
        <v>10</v>
      </c>
      <c r="AU33" s="70"/>
      <c r="AV33" s="70"/>
      <c r="AW33" s="71"/>
    </row>
    <row r="34" spans="1:49" x14ac:dyDescent="0.2">
      <c r="A34" s="32"/>
      <c r="B34" s="20"/>
      <c r="D34" s="50" t="s">
        <v>56</v>
      </c>
      <c r="E34" s="50" t="s">
        <v>75</v>
      </c>
      <c r="F34" s="51">
        <v>20</v>
      </c>
      <c r="G34" s="50" t="s">
        <v>55</v>
      </c>
      <c r="H34" s="50" t="s">
        <v>75</v>
      </c>
      <c r="I34" s="51">
        <v>6</v>
      </c>
      <c r="J34" s="50" t="s">
        <v>57</v>
      </c>
      <c r="K34" s="50" t="s">
        <v>34</v>
      </c>
      <c r="L34" s="51">
        <v>1</v>
      </c>
      <c r="N34" t="s">
        <v>58</v>
      </c>
      <c r="O34" t="s">
        <v>75</v>
      </c>
      <c r="P34">
        <v>7</v>
      </c>
      <c r="Q34">
        <v>6</v>
      </c>
      <c r="R34">
        <v>9</v>
      </c>
      <c r="S34" s="60" t="s">
        <v>57</v>
      </c>
      <c r="T34" t="s">
        <v>75</v>
      </c>
      <c r="V34">
        <v>2</v>
      </c>
      <c r="AR34" s="50" t="s">
        <v>60</v>
      </c>
      <c r="AS34" s="50" t="s">
        <v>75</v>
      </c>
      <c r="AT34" s="51">
        <v>3</v>
      </c>
      <c r="AU34" s="70"/>
      <c r="AV34" s="70"/>
      <c r="AW34" s="71"/>
    </row>
    <row r="35" spans="1:49" x14ac:dyDescent="0.2">
      <c r="A35" s="20"/>
      <c r="B35" s="20"/>
      <c r="D35" s="50" t="s">
        <v>57</v>
      </c>
      <c r="E35" s="50" t="s">
        <v>75</v>
      </c>
      <c r="F35" s="51">
        <v>2</v>
      </c>
      <c r="G35" s="50" t="s">
        <v>56</v>
      </c>
      <c r="H35" s="50" t="s">
        <v>34</v>
      </c>
      <c r="I35" s="51">
        <v>34</v>
      </c>
      <c r="J35" s="50" t="s">
        <v>58</v>
      </c>
      <c r="K35" s="50" t="s">
        <v>34</v>
      </c>
      <c r="L35" s="51">
        <v>13</v>
      </c>
      <c r="N35" t="s">
        <v>60</v>
      </c>
      <c r="O35" t="s">
        <v>75</v>
      </c>
      <c r="Q35">
        <v>2</v>
      </c>
      <c r="R35">
        <v>3</v>
      </c>
      <c r="S35" s="5" t="s">
        <v>58</v>
      </c>
      <c r="T35" t="s">
        <v>34</v>
      </c>
      <c r="U35">
        <v>2</v>
      </c>
      <c r="AR35" s="50" t="s">
        <v>61</v>
      </c>
      <c r="AS35" s="50" t="s">
        <v>75</v>
      </c>
      <c r="AT35" s="51">
        <v>5</v>
      </c>
      <c r="AU35" s="70"/>
      <c r="AV35" s="70"/>
      <c r="AW35" s="71"/>
    </row>
    <row r="36" spans="1:49" x14ac:dyDescent="0.2">
      <c r="A36" s="20"/>
      <c r="B36" s="20"/>
      <c r="D36" s="50" t="s">
        <v>58</v>
      </c>
      <c r="E36" s="50" t="s">
        <v>34</v>
      </c>
      <c r="F36" s="51">
        <v>1</v>
      </c>
      <c r="G36" s="50" t="s">
        <v>56</v>
      </c>
      <c r="H36" s="50" t="s">
        <v>75</v>
      </c>
      <c r="I36" s="51">
        <v>4</v>
      </c>
      <c r="J36" s="50" t="s">
        <v>58</v>
      </c>
      <c r="K36" s="50" t="s">
        <v>75</v>
      </c>
      <c r="L36" s="51">
        <v>3</v>
      </c>
      <c r="N36" t="s">
        <v>61</v>
      </c>
      <c r="O36" t="s">
        <v>75</v>
      </c>
      <c r="P36">
        <v>14</v>
      </c>
      <c r="Q36">
        <v>8</v>
      </c>
      <c r="R36">
        <v>10</v>
      </c>
      <c r="S36" s="60" t="s">
        <v>58</v>
      </c>
      <c r="T36" t="s">
        <v>75</v>
      </c>
      <c r="U36">
        <v>5</v>
      </c>
      <c r="V36">
        <v>3</v>
      </c>
      <c r="AR36" s="50" t="s">
        <v>62</v>
      </c>
      <c r="AS36" s="50" t="s">
        <v>34</v>
      </c>
      <c r="AT36" s="51">
        <v>3</v>
      </c>
      <c r="AU36" s="70"/>
      <c r="AV36" s="70"/>
      <c r="AW36" s="71"/>
    </row>
    <row r="37" spans="1:49" x14ac:dyDescent="0.2">
      <c r="A37" s="20"/>
      <c r="B37" s="20"/>
      <c r="D37" s="50" t="s">
        <v>58</v>
      </c>
      <c r="E37" s="50" t="s">
        <v>75</v>
      </c>
      <c r="F37" s="51">
        <v>9</v>
      </c>
      <c r="G37" s="50" t="s">
        <v>57</v>
      </c>
      <c r="H37" s="50" t="s">
        <v>34</v>
      </c>
      <c r="I37" s="51">
        <v>1</v>
      </c>
      <c r="J37" s="50" t="s">
        <v>60</v>
      </c>
      <c r="K37" s="50" t="s">
        <v>34</v>
      </c>
      <c r="L37" s="51">
        <v>2</v>
      </c>
      <c r="N37" t="s">
        <v>62</v>
      </c>
      <c r="O37" t="s">
        <v>34</v>
      </c>
      <c r="R37">
        <v>1</v>
      </c>
      <c r="S37" s="5" t="s">
        <v>60</v>
      </c>
      <c r="T37" t="s">
        <v>34</v>
      </c>
      <c r="U37">
        <v>1</v>
      </c>
      <c r="AR37" s="50" t="s">
        <v>62</v>
      </c>
      <c r="AS37" s="50" t="s">
        <v>75</v>
      </c>
      <c r="AT37" s="51">
        <v>10</v>
      </c>
    </row>
    <row r="38" spans="1:49" x14ac:dyDescent="0.2">
      <c r="A38" s="20"/>
      <c r="B38" s="20"/>
      <c r="D38" s="50" t="s">
        <v>60</v>
      </c>
      <c r="E38" s="50" t="s">
        <v>34</v>
      </c>
      <c r="F38" s="51">
        <v>2</v>
      </c>
      <c r="G38" s="50" t="s">
        <v>58</v>
      </c>
      <c r="H38" s="50" t="s">
        <v>34</v>
      </c>
      <c r="I38" s="51">
        <v>12</v>
      </c>
      <c r="J38" s="50" t="s">
        <v>61</v>
      </c>
      <c r="K38" s="50" t="s">
        <v>34</v>
      </c>
      <c r="L38" s="51">
        <v>1</v>
      </c>
      <c r="N38" t="s">
        <v>62</v>
      </c>
      <c r="O38" t="s">
        <v>75</v>
      </c>
      <c r="P38">
        <v>7</v>
      </c>
      <c r="Q38">
        <v>9</v>
      </c>
      <c r="R38">
        <v>4</v>
      </c>
      <c r="S38" s="60" t="s">
        <v>60</v>
      </c>
      <c r="T38" t="s">
        <v>75</v>
      </c>
      <c r="U38">
        <v>2</v>
      </c>
      <c r="AR38" s="50" t="s">
        <v>64</v>
      </c>
      <c r="AS38" s="50" t="s">
        <v>75</v>
      </c>
      <c r="AT38" s="51">
        <v>2</v>
      </c>
    </row>
    <row r="39" spans="1:49" x14ac:dyDescent="0.2">
      <c r="A39" s="20"/>
      <c r="B39" s="20"/>
      <c r="D39" s="50" t="s">
        <v>60</v>
      </c>
      <c r="E39" s="50" t="s">
        <v>75</v>
      </c>
      <c r="F39" s="51">
        <v>2</v>
      </c>
      <c r="G39" s="50" t="s">
        <v>58</v>
      </c>
      <c r="H39" s="50" t="s">
        <v>75</v>
      </c>
      <c r="I39" s="51">
        <v>3</v>
      </c>
      <c r="J39" s="50" t="s">
        <v>62</v>
      </c>
      <c r="K39" s="50" t="s">
        <v>34</v>
      </c>
      <c r="L39" s="51">
        <v>6</v>
      </c>
      <c r="N39" t="s">
        <v>64</v>
      </c>
      <c r="O39" t="s">
        <v>75</v>
      </c>
      <c r="P39">
        <v>2</v>
      </c>
      <c r="Q39">
        <v>4</v>
      </c>
      <c r="R39">
        <v>4</v>
      </c>
      <c r="S39" s="60" t="s">
        <v>61</v>
      </c>
      <c r="T39" t="s">
        <v>75</v>
      </c>
      <c r="U39">
        <v>8</v>
      </c>
      <c r="W39">
        <v>7</v>
      </c>
      <c r="AR39" s="50" t="s">
        <v>68</v>
      </c>
      <c r="AS39" s="50" t="s">
        <v>75</v>
      </c>
      <c r="AT39" s="51">
        <v>1</v>
      </c>
    </row>
    <row r="40" spans="1:49" x14ac:dyDescent="0.2">
      <c r="A40" s="20"/>
      <c r="B40" s="20"/>
      <c r="D40" s="50" t="s">
        <v>61</v>
      </c>
      <c r="E40" s="50" t="s">
        <v>75</v>
      </c>
      <c r="F40" s="51">
        <v>5</v>
      </c>
      <c r="G40" s="50" t="s">
        <v>60</v>
      </c>
      <c r="H40" s="50" t="s">
        <v>34</v>
      </c>
      <c r="I40" s="51">
        <v>2</v>
      </c>
      <c r="J40" s="50" t="s">
        <v>64</v>
      </c>
      <c r="K40" s="50" t="s">
        <v>34</v>
      </c>
      <c r="L40" s="51">
        <v>2</v>
      </c>
      <c r="N40" t="s">
        <v>67</v>
      </c>
      <c r="O40" t="s">
        <v>34</v>
      </c>
      <c r="R40">
        <v>1</v>
      </c>
      <c r="S40" s="5" t="s">
        <v>62</v>
      </c>
      <c r="T40" t="s">
        <v>34</v>
      </c>
      <c r="U40">
        <v>1</v>
      </c>
      <c r="V40">
        <v>2</v>
      </c>
      <c r="AR40" s="50" t="s">
        <v>69</v>
      </c>
      <c r="AS40" s="50" t="s">
        <v>34</v>
      </c>
      <c r="AT40" s="51">
        <v>4</v>
      </c>
    </row>
    <row r="41" spans="1:49" x14ac:dyDescent="0.2">
      <c r="A41" s="20"/>
      <c r="B41" s="20"/>
      <c r="D41" s="50" t="s">
        <v>62</v>
      </c>
      <c r="E41" s="50" t="s">
        <v>75</v>
      </c>
      <c r="F41" s="51">
        <v>3</v>
      </c>
      <c r="G41" s="50" t="s">
        <v>61</v>
      </c>
      <c r="H41" s="50" t="s">
        <v>34</v>
      </c>
      <c r="I41" s="51">
        <v>1</v>
      </c>
      <c r="J41" s="50" t="s">
        <v>67</v>
      </c>
      <c r="K41" s="50" t="s">
        <v>34</v>
      </c>
      <c r="L41" s="51">
        <v>5</v>
      </c>
      <c r="N41" t="s">
        <v>67</v>
      </c>
      <c r="O41" t="s">
        <v>75</v>
      </c>
      <c r="P41">
        <v>1</v>
      </c>
      <c r="Q41">
        <v>2</v>
      </c>
      <c r="S41" s="60" t="s">
        <v>62</v>
      </c>
      <c r="T41" t="s">
        <v>75</v>
      </c>
      <c r="U41">
        <v>1</v>
      </c>
      <c r="V41">
        <v>7</v>
      </c>
      <c r="AR41" s="50" t="s">
        <v>69</v>
      </c>
      <c r="AS41" s="50" t="s">
        <v>75</v>
      </c>
      <c r="AT41" s="51">
        <v>38</v>
      </c>
    </row>
    <row r="42" spans="1:49" x14ac:dyDescent="0.2">
      <c r="A42" s="20"/>
      <c r="B42" s="20"/>
      <c r="D42" s="50" t="s">
        <v>64</v>
      </c>
      <c r="E42" s="50" t="s">
        <v>75</v>
      </c>
      <c r="F42" s="51">
        <v>2</v>
      </c>
      <c r="G42" s="50" t="s">
        <v>61</v>
      </c>
      <c r="H42" s="50" t="s">
        <v>75</v>
      </c>
      <c r="I42" s="51">
        <v>4</v>
      </c>
      <c r="J42" s="50" t="s">
        <v>68</v>
      </c>
      <c r="K42" s="50" t="s">
        <v>34</v>
      </c>
      <c r="L42" s="51">
        <v>1</v>
      </c>
      <c r="N42" t="s">
        <v>68</v>
      </c>
      <c r="O42" t="s">
        <v>75</v>
      </c>
      <c r="Q42">
        <v>4</v>
      </c>
      <c r="R42">
        <v>1</v>
      </c>
      <c r="S42" s="5" t="s">
        <v>64</v>
      </c>
      <c r="T42" t="s">
        <v>34</v>
      </c>
      <c r="U42">
        <v>2</v>
      </c>
    </row>
    <row r="43" spans="1:49" x14ac:dyDescent="0.2">
      <c r="A43" s="20"/>
      <c r="B43" s="20"/>
      <c r="D43" s="50" t="s">
        <v>67</v>
      </c>
      <c r="E43" s="50" t="s">
        <v>34</v>
      </c>
      <c r="F43" s="51">
        <v>3</v>
      </c>
      <c r="G43" s="50" t="s">
        <v>62</v>
      </c>
      <c r="H43" s="50" t="s">
        <v>34</v>
      </c>
      <c r="I43" s="51">
        <v>5</v>
      </c>
      <c r="J43" s="50" t="s">
        <v>69</v>
      </c>
      <c r="K43" s="50" t="s">
        <v>34</v>
      </c>
      <c r="L43" s="51">
        <v>75</v>
      </c>
      <c r="N43" t="s">
        <v>69</v>
      </c>
      <c r="O43" t="s">
        <v>34</v>
      </c>
      <c r="P43">
        <v>4</v>
      </c>
      <c r="Q43">
        <v>2</v>
      </c>
      <c r="R43">
        <v>1</v>
      </c>
      <c r="S43" s="60" t="s">
        <v>64</v>
      </c>
      <c r="T43" t="s">
        <v>75</v>
      </c>
      <c r="V43">
        <v>2</v>
      </c>
    </row>
    <row r="44" spans="1:49" x14ac:dyDescent="0.2">
      <c r="A44" s="20"/>
      <c r="B44" s="20"/>
      <c r="D44" s="50" t="s">
        <v>68</v>
      </c>
      <c r="E44" s="50" t="s">
        <v>75</v>
      </c>
      <c r="F44" s="51">
        <v>1</v>
      </c>
      <c r="G44" s="50" t="s">
        <v>64</v>
      </c>
      <c r="H44" s="50" t="s">
        <v>34</v>
      </c>
      <c r="I44" s="51">
        <v>5</v>
      </c>
      <c r="J44" s="50" t="s">
        <v>69</v>
      </c>
      <c r="K44" s="50" t="s">
        <v>75</v>
      </c>
      <c r="L44" s="51">
        <v>2</v>
      </c>
      <c r="N44" t="s">
        <v>69</v>
      </c>
      <c r="O44" t="s">
        <v>75</v>
      </c>
      <c r="P44">
        <v>69</v>
      </c>
      <c r="Q44">
        <v>47</v>
      </c>
      <c r="R44">
        <v>44</v>
      </c>
      <c r="S44" s="5" t="s">
        <v>67</v>
      </c>
      <c r="T44" t="s">
        <v>34</v>
      </c>
    </row>
    <row r="45" spans="1:49" x14ac:dyDescent="0.2">
      <c r="A45" s="20"/>
      <c r="B45" s="20"/>
      <c r="D45" s="50" t="s">
        <v>69</v>
      </c>
      <c r="E45" s="50" t="s">
        <v>34</v>
      </c>
      <c r="F45" s="51">
        <v>12</v>
      </c>
      <c r="G45" s="50" t="s">
        <v>67</v>
      </c>
      <c r="H45" s="50" t="s">
        <v>34</v>
      </c>
      <c r="I45" s="51">
        <v>5</v>
      </c>
      <c r="J45" s="50"/>
      <c r="K45" s="50"/>
      <c r="L45" s="51"/>
      <c r="N45" t="s">
        <v>70</v>
      </c>
      <c r="O45" t="s">
        <v>75</v>
      </c>
      <c r="P45">
        <v>1</v>
      </c>
      <c r="S45" s="60" t="s">
        <v>67</v>
      </c>
      <c r="T45" t="s">
        <v>75</v>
      </c>
    </row>
    <row r="46" spans="1:49" x14ac:dyDescent="0.2">
      <c r="A46" s="20"/>
      <c r="B46" s="20"/>
      <c r="D46" s="50" t="s">
        <v>69</v>
      </c>
      <c r="E46" s="50" t="s">
        <v>75</v>
      </c>
      <c r="F46" s="51">
        <v>24</v>
      </c>
      <c r="G46" s="50" t="s">
        <v>68</v>
      </c>
      <c r="H46" s="50" t="s">
        <v>34</v>
      </c>
      <c r="I46" s="51">
        <v>1</v>
      </c>
      <c r="J46" s="50"/>
      <c r="K46" s="50"/>
      <c r="L46" s="51"/>
      <c r="S46" s="60" t="s">
        <v>68</v>
      </c>
      <c r="T46" t="s">
        <v>75</v>
      </c>
      <c r="U46">
        <v>3</v>
      </c>
    </row>
    <row r="47" spans="1:49" x14ac:dyDescent="0.2">
      <c r="A47" s="20"/>
      <c r="B47" s="20"/>
      <c r="D47" s="50"/>
      <c r="E47" s="50"/>
      <c r="F47" s="51"/>
      <c r="G47" s="50" t="s">
        <v>68</v>
      </c>
      <c r="H47" s="50" t="s">
        <v>75</v>
      </c>
      <c r="I47" s="51">
        <v>1</v>
      </c>
      <c r="J47" s="50"/>
      <c r="K47" s="50"/>
      <c r="L47" s="51"/>
      <c r="S47" s="5" t="s">
        <v>69</v>
      </c>
      <c r="T47" t="s">
        <v>34</v>
      </c>
      <c r="U47">
        <v>3</v>
      </c>
      <c r="V47">
        <v>2</v>
      </c>
      <c r="W47">
        <v>8</v>
      </c>
    </row>
    <row r="48" spans="1:49" x14ac:dyDescent="0.2">
      <c r="A48" s="20"/>
      <c r="B48" s="20"/>
      <c r="D48" s="50"/>
      <c r="E48" s="50"/>
      <c r="F48" s="51"/>
      <c r="G48" s="50" t="s">
        <v>69</v>
      </c>
      <c r="H48" s="50" t="s">
        <v>34</v>
      </c>
      <c r="I48" s="51">
        <v>75</v>
      </c>
      <c r="J48" s="50"/>
      <c r="K48" s="50"/>
      <c r="L48" s="51"/>
      <c r="S48" s="60" t="s">
        <v>69</v>
      </c>
      <c r="T48" t="s">
        <v>75</v>
      </c>
      <c r="U48">
        <v>21</v>
      </c>
      <c r="V48">
        <v>14</v>
      </c>
      <c r="W48">
        <v>29</v>
      </c>
    </row>
    <row r="49" spans="1:20" x14ac:dyDescent="0.2">
      <c r="A49" s="20"/>
      <c r="B49" s="20"/>
      <c r="D49" s="50"/>
      <c r="E49" s="50"/>
      <c r="F49" s="51"/>
      <c r="G49" s="50" t="s">
        <v>69</v>
      </c>
      <c r="H49" s="50" t="s">
        <v>75</v>
      </c>
      <c r="I49" s="51">
        <v>18</v>
      </c>
      <c r="J49" s="50"/>
      <c r="K49" s="50"/>
      <c r="L49" s="51"/>
      <c r="S49" s="60" t="s">
        <v>70</v>
      </c>
      <c r="T49" t="s">
        <v>75</v>
      </c>
    </row>
    <row r="50" spans="1:20" x14ac:dyDescent="0.2">
      <c r="A50" s="20"/>
      <c r="B50" s="20"/>
      <c r="D50" s="50"/>
      <c r="E50" s="50"/>
      <c r="F50" s="51"/>
      <c r="G50" s="50"/>
      <c r="H50" s="50"/>
      <c r="I50" s="51"/>
      <c r="J50" s="50"/>
      <c r="K50" s="50"/>
      <c r="L50" s="51"/>
    </row>
    <row r="51" spans="1:20" x14ac:dyDescent="0.2">
      <c r="A51" s="20"/>
      <c r="B51" s="20"/>
      <c r="D51" s="50"/>
      <c r="E51" s="50"/>
      <c r="F51" s="51"/>
      <c r="G51" s="50"/>
      <c r="H51" s="50"/>
      <c r="I51" s="51"/>
      <c r="J51" s="50"/>
      <c r="K51" s="50"/>
      <c r="L51" s="51"/>
    </row>
    <row r="52" spans="1:20" x14ac:dyDescent="0.2">
      <c r="A52" s="20"/>
      <c r="B52" s="20"/>
      <c r="G52" s="50"/>
      <c r="H52" s="50"/>
      <c r="I52" s="51"/>
      <c r="J52" s="50"/>
      <c r="K52" s="50"/>
      <c r="L52" s="51"/>
    </row>
    <row r="53" spans="1:20" x14ac:dyDescent="0.2">
      <c r="A53" s="20"/>
      <c r="B53" s="20"/>
    </row>
    <row r="54" spans="1:20" x14ac:dyDescent="0.2">
      <c r="A54" s="20"/>
      <c r="B54" s="20"/>
    </row>
    <row r="55" spans="1:20" x14ac:dyDescent="0.2">
      <c r="A55" s="20"/>
      <c r="B55" s="20"/>
    </row>
    <row r="56" spans="1:20" x14ac:dyDescent="0.2">
      <c r="A56" s="20"/>
      <c r="B56" s="20"/>
    </row>
    <row r="57" spans="1:20" x14ac:dyDescent="0.2">
      <c r="A57" s="20"/>
      <c r="B57" s="20"/>
    </row>
    <row r="58" spans="1:20" x14ac:dyDescent="0.2">
      <c r="A58" s="20"/>
      <c r="B58" s="20"/>
    </row>
    <row r="59" spans="1:20" x14ac:dyDescent="0.2">
      <c r="A59" s="20"/>
      <c r="B59" s="20"/>
    </row>
    <row r="60" spans="1:20" x14ac:dyDescent="0.2">
      <c r="A60" s="20"/>
      <c r="B60" s="20"/>
    </row>
    <row r="61" spans="1:20" x14ac:dyDescent="0.2">
      <c r="A61" s="20"/>
      <c r="B61" s="20"/>
    </row>
    <row r="62" spans="1:20" x14ac:dyDescent="0.2">
      <c r="N62" t="s">
        <v>81</v>
      </c>
    </row>
  </sheetData>
  <mergeCells count="14">
    <mergeCell ref="AR2:AT2"/>
    <mergeCell ref="AU2:AW2"/>
    <mergeCell ref="AX2:AZ2"/>
    <mergeCell ref="D2:F2"/>
    <mergeCell ref="G2:I2"/>
    <mergeCell ref="J2:L2"/>
    <mergeCell ref="X2:Z2"/>
    <mergeCell ref="AA2:AC2"/>
    <mergeCell ref="AD2:AF2"/>
    <mergeCell ref="AR1:AZ1"/>
    <mergeCell ref="A1:B1"/>
    <mergeCell ref="N1:AF1"/>
    <mergeCell ref="AH1:AP1"/>
    <mergeCell ref="D1:L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baseColWidth="10" defaultColWidth="8.83203125" defaultRowHeight="15" x14ac:dyDescent="0.2"/>
  <cols>
    <col min="17" max="17" width="13" customWidth="1"/>
    <col min="18" max="18" width="11" bestFit="1" customWidth="1"/>
    <col min="19" max="19" width="8.83203125" bestFit="1" customWidth="1"/>
    <col min="20" max="21" width="7" bestFit="1" customWidth="1"/>
    <col min="22" max="22" width="6" bestFit="1" customWidth="1"/>
    <col min="23" max="23" width="11.33203125" bestFit="1" customWidth="1"/>
    <col min="30" max="30" width="16.33203125" customWidth="1"/>
    <col min="31" max="31" width="11" bestFit="1" customWidth="1"/>
    <col min="32" max="34" width="8.83203125" bestFit="1" customWidth="1"/>
    <col min="35" max="35" width="11.33203125" bestFit="1" customWidth="1"/>
  </cols>
  <sheetData>
    <row r="1" spans="1:35" x14ac:dyDescent="0.2">
      <c r="A1" s="31" t="s">
        <v>0</v>
      </c>
      <c r="B1" s="31" t="s">
        <v>133</v>
      </c>
      <c r="C1" s="31" t="s">
        <v>146</v>
      </c>
      <c r="D1" s="31" t="s">
        <v>147</v>
      </c>
      <c r="G1" s="31" t="s">
        <v>0</v>
      </c>
      <c r="H1" s="31" t="s">
        <v>133</v>
      </c>
      <c r="I1" s="31" t="s">
        <v>146</v>
      </c>
      <c r="J1" s="31" t="s">
        <v>150</v>
      </c>
      <c r="K1" s="31" t="s">
        <v>151</v>
      </c>
      <c r="Q1" s="34" t="s">
        <v>157</v>
      </c>
      <c r="S1" s="34" t="s">
        <v>150</v>
      </c>
      <c r="X1" s="31" t="s">
        <v>0</v>
      </c>
      <c r="Y1" s="31" t="s">
        <v>133</v>
      </c>
      <c r="Z1" s="31" t="s">
        <v>146</v>
      </c>
      <c r="AA1" s="31" t="s">
        <v>158</v>
      </c>
      <c r="AB1" s="31" t="s">
        <v>150</v>
      </c>
      <c r="AD1" s="34" t="s">
        <v>157</v>
      </c>
      <c r="AF1" s="34" t="s">
        <v>150</v>
      </c>
    </row>
    <row r="2" spans="1:35" ht="16" x14ac:dyDescent="0.2">
      <c r="A2" s="32" t="s">
        <v>35</v>
      </c>
      <c r="B2" s="32" t="s">
        <v>148</v>
      </c>
      <c r="C2" s="33">
        <v>78</v>
      </c>
      <c r="D2" s="33">
        <v>1</v>
      </c>
      <c r="E2" t="e">
        <f>VLOOKUP(A2,'6. Deposits 2023_Q3'!$A$3:$A$34,1,FALSE)</f>
        <v>#N/A</v>
      </c>
      <c r="G2" s="32" t="s">
        <v>35</v>
      </c>
      <c r="H2" s="32" t="s">
        <v>148</v>
      </c>
      <c r="I2" s="33">
        <v>4</v>
      </c>
      <c r="J2" s="32" t="s">
        <v>152</v>
      </c>
      <c r="K2" s="33">
        <v>0</v>
      </c>
      <c r="Q2" s="34" t="s">
        <v>133</v>
      </c>
      <c r="R2" s="34" t="s">
        <v>0</v>
      </c>
      <c r="S2" t="s">
        <v>152</v>
      </c>
      <c r="T2" t="s">
        <v>153</v>
      </c>
      <c r="U2" t="s">
        <v>154</v>
      </c>
      <c r="V2" t="s">
        <v>155</v>
      </c>
      <c r="X2" s="32" t="s">
        <v>35</v>
      </c>
      <c r="Y2" s="32" t="s">
        <v>148</v>
      </c>
      <c r="Z2" s="33">
        <v>30</v>
      </c>
      <c r="AA2" s="33">
        <v>0</v>
      </c>
      <c r="AB2" s="33">
        <v>10</v>
      </c>
      <c r="AD2" s="34" t="s">
        <v>133</v>
      </c>
      <c r="AE2" s="34" t="s">
        <v>0</v>
      </c>
      <c r="AF2">
        <v>10</v>
      </c>
      <c r="AG2">
        <v>11</v>
      </c>
      <c r="AH2">
        <v>12</v>
      </c>
      <c r="AI2" t="s">
        <v>156</v>
      </c>
    </row>
    <row r="3" spans="1:35" ht="16" x14ac:dyDescent="0.2">
      <c r="A3" s="32" t="s">
        <v>36</v>
      </c>
      <c r="B3" s="32" t="s">
        <v>148</v>
      </c>
      <c r="C3" s="33">
        <v>97</v>
      </c>
      <c r="D3" s="33">
        <v>1</v>
      </c>
      <c r="E3" t="e">
        <f>VLOOKUP(A3,'6. Deposits 2023_Q3'!$A$3:$A$34,1,FALSE)</f>
        <v>#N/A</v>
      </c>
      <c r="G3" s="32" t="s">
        <v>35</v>
      </c>
      <c r="H3" s="32" t="s">
        <v>148</v>
      </c>
      <c r="I3" s="33">
        <v>9</v>
      </c>
      <c r="J3" s="32" t="s">
        <v>153</v>
      </c>
      <c r="K3" s="33">
        <v>0</v>
      </c>
      <c r="Q3" t="s">
        <v>148</v>
      </c>
      <c r="R3" t="s">
        <v>35</v>
      </c>
      <c r="S3">
        <v>4</v>
      </c>
      <c r="T3">
        <v>9</v>
      </c>
      <c r="U3">
        <v>2</v>
      </c>
      <c r="V3">
        <v>6</v>
      </c>
      <c r="X3" s="32" t="s">
        <v>35</v>
      </c>
      <c r="Y3" s="32" t="s">
        <v>148</v>
      </c>
      <c r="Z3" s="33">
        <v>16</v>
      </c>
      <c r="AA3" s="33">
        <v>0</v>
      </c>
      <c r="AB3" s="33">
        <v>11</v>
      </c>
      <c r="AD3" t="s">
        <v>148</v>
      </c>
      <c r="AE3" t="s">
        <v>35</v>
      </c>
      <c r="AF3">
        <v>30</v>
      </c>
      <c r="AG3">
        <v>16</v>
      </c>
      <c r="AH3">
        <v>20</v>
      </c>
      <c r="AI3">
        <v>66</v>
      </c>
    </row>
    <row r="4" spans="1:35" ht="16" x14ac:dyDescent="0.2">
      <c r="A4" s="32" t="s">
        <v>37</v>
      </c>
      <c r="B4" s="32" t="s">
        <v>148</v>
      </c>
      <c r="C4" s="33">
        <v>47</v>
      </c>
      <c r="D4" s="33">
        <v>1</v>
      </c>
      <c r="E4" t="e">
        <f>VLOOKUP(A4,'6. Deposits 2023_Q3'!$A$3:$A$34,1,FALSE)</f>
        <v>#N/A</v>
      </c>
      <c r="G4" s="32" t="s">
        <v>35</v>
      </c>
      <c r="H4" s="32" t="s">
        <v>148</v>
      </c>
      <c r="I4" s="33">
        <v>2</v>
      </c>
      <c r="J4" s="32" t="s">
        <v>154</v>
      </c>
      <c r="K4" s="33">
        <v>0</v>
      </c>
      <c r="Q4" t="s">
        <v>148</v>
      </c>
      <c r="R4" t="s">
        <v>36</v>
      </c>
      <c r="S4">
        <v>8</v>
      </c>
      <c r="T4">
        <v>2</v>
      </c>
      <c r="U4">
        <v>2</v>
      </c>
      <c r="V4">
        <v>5</v>
      </c>
      <c r="X4" s="32" t="s">
        <v>35</v>
      </c>
      <c r="Y4" s="32" t="s">
        <v>148</v>
      </c>
      <c r="Z4" s="33">
        <v>20</v>
      </c>
      <c r="AA4" s="33">
        <v>0</v>
      </c>
      <c r="AB4" s="33">
        <v>12</v>
      </c>
      <c r="AD4" t="s">
        <v>148</v>
      </c>
      <c r="AE4" t="s">
        <v>36</v>
      </c>
      <c r="AF4">
        <v>24</v>
      </c>
      <c r="AG4">
        <v>22</v>
      </c>
      <c r="AH4">
        <v>32</v>
      </c>
      <c r="AI4">
        <v>78</v>
      </c>
    </row>
    <row r="5" spans="1:35" ht="16" x14ac:dyDescent="0.2">
      <c r="A5" s="32" t="s">
        <v>40</v>
      </c>
      <c r="B5" s="32" t="s">
        <v>148</v>
      </c>
      <c r="C5" s="33">
        <v>35</v>
      </c>
      <c r="D5" s="33">
        <v>1</v>
      </c>
      <c r="E5" t="e">
        <f>VLOOKUP(A5,'6. Deposits 2023_Q3'!$A$3:$A$34,1,FALSE)</f>
        <v>#N/A</v>
      </c>
      <c r="G5" s="32" t="s">
        <v>35</v>
      </c>
      <c r="H5" s="32" t="s">
        <v>148</v>
      </c>
      <c r="I5" s="33">
        <v>6</v>
      </c>
      <c r="J5" s="32" t="s">
        <v>155</v>
      </c>
      <c r="K5" s="33">
        <v>0</v>
      </c>
      <c r="Q5" t="s">
        <v>148</v>
      </c>
      <c r="R5" t="s">
        <v>37</v>
      </c>
      <c r="S5">
        <v>2</v>
      </c>
      <c r="T5">
        <v>2</v>
      </c>
      <c r="V5">
        <v>4</v>
      </c>
      <c r="X5" s="32" t="s">
        <v>35</v>
      </c>
      <c r="Y5" s="32" t="s">
        <v>149</v>
      </c>
      <c r="Z5" s="33">
        <v>344</v>
      </c>
      <c r="AA5" s="33">
        <v>0</v>
      </c>
      <c r="AB5" s="33">
        <v>10</v>
      </c>
      <c r="AD5" t="s">
        <v>148</v>
      </c>
      <c r="AE5" t="s">
        <v>37</v>
      </c>
      <c r="AF5">
        <v>12</v>
      </c>
      <c r="AG5">
        <v>6</v>
      </c>
      <c r="AH5">
        <v>8</v>
      </c>
      <c r="AI5">
        <v>26</v>
      </c>
    </row>
    <row r="6" spans="1:35" ht="16" x14ac:dyDescent="0.2">
      <c r="A6" s="32" t="s">
        <v>41</v>
      </c>
      <c r="B6" s="32" t="s">
        <v>148</v>
      </c>
      <c r="C6" s="33">
        <v>2</v>
      </c>
      <c r="D6" s="33">
        <v>1</v>
      </c>
      <c r="E6" t="e">
        <f>VLOOKUP(A6,'6. Deposits 2023_Q3'!$A$3:$A$34,1,FALSE)</f>
        <v>#N/A</v>
      </c>
      <c r="G6" s="32" t="s">
        <v>35</v>
      </c>
      <c r="H6" s="32" t="s">
        <v>149</v>
      </c>
      <c r="I6" s="33">
        <v>99</v>
      </c>
      <c r="J6" s="32" t="s">
        <v>152</v>
      </c>
      <c r="K6" s="33">
        <v>0</v>
      </c>
      <c r="Q6" t="s">
        <v>148</v>
      </c>
      <c r="R6" t="s">
        <v>40</v>
      </c>
      <c r="T6">
        <v>5</v>
      </c>
      <c r="X6" s="32" t="s">
        <v>35</v>
      </c>
      <c r="Y6" s="32" t="s">
        <v>149</v>
      </c>
      <c r="Z6" s="33">
        <v>358</v>
      </c>
      <c r="AA6" s="33">
        <v>0</v>
      </c>
      <c r="AB6" s="33">
        <v>11</v>
      </c>
      <c r="AD6" t="s">
        <v>148</v>
      </c>
      <c r="AE6" t="s">
        <v>40</v>
      </c>
      <c r="AF6">
        <v>8</v>
      </c>
      <c r="AG6">
        <v>18</v>
      </c>
      <c r="AH6">
        <v>12</v>
      </c>
      <c r="AI6">
        <v>38</v>
      </c>
    </row>
    <row r="7" spans="1:35" ht="16" x14ac:dyDescent="0.2">
      <c r="A7" s="32" t="s">
        <v>42</v>
      </c>
      <c r="B7" s="32" t="s">
        <v>148</v>
      </c>
      <c r="C7" s="33">
        <v>2</v>
      </c>
      <c r="D7" s="33">
        <v>1</v>
      </c>
      <c r="E7" t="e">
        <f>VLOOKUP(A7,'6. Deposits 2023_Q3'!$A$3:$A$34,1,FALSE)</f>
        <v>#N/A</v>
      </c>
      <c r="G7" s="32" t="s">
        <v>35</v>
      </c>
      <c r="H7" s="32" t="s">
        <v>149</v>
      </c>
      <c r="I7" s="33">
        <v>70</v>
      </c>
      <c r="J7" s="32" t="s">
        <v>153</v>
      </c>
      <c r="K7" s="33">
        <v>0</v>
      </c>
      <c r="Q7" t="s">
        <v>148</v>
      </c>
      <c r="R7" t="s">
        <v>44</v>
      </c>
      <c r="S7">
        <v>3</v>
      </c>
      <c r="X7" s="32" t="s">
        <v>35</v>
      </c>
      <c r="Y7" s="32" t="s">
        <v>149</v>
      </c>
      <c r="Z7" s="33">
        <v>398</v>
      </c>
      <c r="AA7" s="33">
        <v>0</v>
      </c>
      <c r="AB7" s="33">
        <v>12</v>
      </c>
      <c r="AD7" t="s">
        <v>148</v>
      </c>
      <c r="AE7" t="s">
        <v>41</v>
      </c>
      <c r="AH7">
        <v>2</v>
      </c>
      <c r="AI7">
        <v>2</v>
      </c>
    </row>
    <row r="8" spans="1:35" ht="16" x14ac:dyDescent="0.2">
      <c r="A8" s="32" t="s">
        <v>44</v>
      </c>
      <c r="B8" s="32" t="s">
        <v>148</v>
      </c>
      <c r="C8" s="33">
        <v>24</v>
      </c>
      <c r="D8" s="33">
        <v>1</v>
      </c>
      <c r="E8" t="e">
        <f>VLOOKUP(A8,'6. Deposits 2023_Q3'!$A$3:$A$34,1,FALSE)</f>
        <v>#N/A</v>
      </c>
      <c r="G8" s="32" t="s">
        <v>35</v>
      </c>
      <c r="H8" s="32" t="s">
        <v>149</v>
      </c>
      <c r="I8" s="33">
        <v>26</v>
      </c>
      <c r="J8" s="32" t="s">
        <v>154</v>
      </c>
      <c r="K8" s="33">
        <v>0</v>
      </c>
      <c r="Q8" t="s">
        <v>148</v>
      </c>
      <c r="R8" t="s">
        <v>49</v>
      </c>
      <c r="T8">
        <v>3</v>
      </c>
      <c r="U8">
        <v>2</v>
      </c>
      <c r="X8" s="32" t="s">
        <v>36</v>
      </c>
      <c r="Y8" s="32" t="s">
        <v>148</v>
      </c>
      <c r="Z8" s="33">
        <v>24</v>
      </c>
      <c r="AA8" s="33">
        <v>0</v>
      </c>
      <c r="AB8" s="33">
        <v>10</v>
      </c>
      <c r="AD8" t="s">
        <v>148</v>
      </c>
      <c r="AE8" t="s">
        <v>44</v>
      </c>
      <c r="AF8">
        <v>8</v>
      </c>
      <c r="AG8">
        <v>8</v>
      </c>
      <c r="AH8">
        <v>4</v>
      </c>
      <c r="AI8">
        <v>20</v>
      </c>
    </row>
    <row r="9" spans="1:35" ht="16" x14ac:dyDescent="0.2">
      <c r="A9" s="32" t="s">
        <v>45</v>
      </c>
      <c r="B9" s="32" t="s">
        <v>148</v>
      </c>
      <c r="C9" s="33">
        <v>7</v>
      </c>
      <c r="D9" s="33">
        <v>1</v>
      </c>
      <c r="E9" t="e">
        <f>VLOOKUP(A9,'6. Deposits 2023_Q3'!$A$3:$A$34,1,FALSE)</f>
        <v>#N/A</v>
      </c>
      <c r="G9" s="32" t="s">
        <v>35</v>
      </c>
      <c r="H9" s="32" t="s">
        <v>149</v>
      </c>
      <c r="I9" s="33">
        <v>109</v>
      </c>
      <c r="J9" s="32" t="s">
        <v>155</v>
      </c>
      <c r="K9" s="33">
        <v>0</v>
      </c>
      <c r="Q9" t="s">
        <v>148</v>
      </c>
      <c r="R9" t="s">
        <v>52</v>
      </c>
      <c r="S9">
        <v>2</v>
      </c>
      <c r="V9">
        <v>1</v>
      </c>
      <c r="X9" s="32" t="s">
        <v>36</v>
      </c>
      <c r="Y9" s="32" t="s">
        <v>148</v>
      </c>
      <c r="Z9" s="33">
        <v>22</v>
      </c>
      <c r="AA9" s="33">
        <v>0</v>
      </c>
      <c r="AB9" s="33">
        <v>11</v>
      </c>
      <c r="AD9" t="s">
        <v>148</v>
      </c>
      <c r="AE9" t="s">
        <v>45</v>
      </c>
      <c r="AF9">
        <v>2</v>
      </c>
      <c r="AI9">
        <v>2</v>
      </c>
    </row>
    <row r="10" spans="1:35" ht="16" x14ac:dyDescent="0.2">
      <c r="A10" s="32" t="s">
        <v>46</v>
      </c>
      <c r="B10" s="32" t="s">
        <v>148</v>
      </c>
      <c r="C10" s="33">
        <v>3</v>
      </c>
      <c r="D10" s="33">
        <v>1</v>
      </c>
      <c r="E10" t="e">
        <f>VLOOKUP(A10,'6. Deposits 2023_Q3'!$A$3:$A$34,1,FALSE)</f>
        <v>#N/A</v>
      </c>
      <c r="G10" s="32" t="s">
        <v>36</v>
      </c>
      <c r="H10" s="32" t="s">
        <v>148</v>
      </c>
      <c r="I10" s="33">
        <v>8</v>
      </c>
      <c r="J10" s="32" t="s">
        <v>152</v>
      </c>
      <c r="K10" s="33">
        <v>0</v>
      </c>
      <c r="Q10" t="s">
        <v>148</v>
      </c>
      <c r="R10" t="s">
        <v>53</v>
      </c>
      <c r="S10">
        <v>17</v>
      </c>
      <c r="U10">
        <v>6</v>
      </c>
      <c r="V10">
        <v>2</v>
      </c>
      <c r="X10" s="32" t="s">
        <v>36</v>
      </c>
      <c r="Y10" s="32" t="s">
        <v>148</v>
      </c>
      <c r="Z10" s="33">
        <v>32</v>
      </c>
      <c r="AA10" s="33">
        <v>0</v>
      </c>
      <c r="AB10" s="33">
        <v>12</v>
      </c>
      <c r="AD10" t="s">
        <v>148</v>
      </c>
      <c r="AE10" t="s">
        <v>46</v>
      </c>
      <c r="AF10">
        <v>2</v>
      </c>
      <c r="AG10">
        <v>4</v>
      </c>
      <c r="AH10">
        <v>2</v>
      </c>
      <c r="AI10">
        <v>8</v>
      </c>
    </row>
    <row r="11" spans="1:35" ht="16" x14ac:dyDescent="0.2">
      <c r="A11" s="32" t="s">
        <v>47</v>
      </c>
      <c r="B11" s="32" t="s">
        <v>148</v>
      </c>
      <c r="C11" s="33">
        <v>4</v>
      </c>
      <c r="D11" s="33">
        <v>1</v>
      </c>
      <c r="E11" t="e">
        <f>VLOOKUP(A11,'6. Deposits 2023_Q3'!$A$3:$A$34,1,FALSE)</f>
        <v>#N/A</v>
      </c>
      <c r="G11" s="32" t="s">
        <v>36</v>
      </c>
      <c r="H11" s="32" t="s">
        <v>148</v>
      </c>
      <c r="I11" s="33">
        <v>2</v>
      </c>
      <c r="J11" s="32" t="s">
        <v>153</v>
      </c>
      <c r="K11" s="33">
        <v>0</v>
      </c>
      <c r="Q11" t="s">
        <v>148</v>
      </c>
      <c r="R11" t="s">
        <v>55</v>
      </c>
      <c r="S11">
        <v>2</v>
      </c>
      <c r="X11" s="32" t="s">
        <v>36</v>
      </c>
      <c r="Y11" s="32" t="s">
        <v>149</v>
      </c>
      <c r="Z11" s="33">
        <v>502</v>
      </c>
      <c r="AA11" s="33">
        <v>0</v>
      </c>
      <c r="AB11" s="33">
        <v>10</v>
      </c>
      <c r="AD11" t="s">
        <v>148</v>
      </c>
      <c r="AE11" t="s">
        <v>47</v>
      </c>
      <c r="AF11">
        <v>4</v>
      </c>
      <c r="AI11">
        <v>4</v>
      </c>
    </row>
    <row r="12" spans="1:35" ht="16" x14ac:dyDescent="0.2">
      <c r="A12" s="32" t="s">
        <v>48</v>
      </c>
      <c r="B12" s="32" t="s">
        <v>148</v>
      </c>
      <c r="C12" s="33">
        <v>21</v>
      </c>
      <c r="D12" s="33">
        <v>1</v>
      </c>
      <c r="E12" t="e">
        <f>VLOOKUP(A12,'6. Deposits 2023_Q3'!$A$3:$A$34,1,FALSE)</f>
        <v>#N/A</v>
      </c>
      <c r="G12" s="32" t="s">
        <v>36</v>
      </c>
      <c r="H12" s="32" t="s">
        <v>148</v>
      </c>
      <c r="I12" s="33">
        <v>2</v>
      </c>
      <c r="J12" s="32" t="s">
        <v>154</v>
      </c>
      <c r="K12" s="33">
        <v>0</v>
      </c>
      <c r="Q12" t="s">
        <v>148</v>
      </c>
      <c r="R12" t="s">
        <v>56</v>
      </c>
      <c r="S12">
        <v>2</v>
      </c>
      <c r="T12">
        <v>2</v>
      </c>
      <c r="U12">
        <v>2</v>
      </c>
      <c r="X12" s="32" t="s">
        <v>36</v>
      </c>
      <c r="Y12" s="32" t="s">
        <v>149</v>
      </c>
      <c r="Z12" s="33">
        <v>510</v>
      </c>
      <c r="AA12" s="33">
        <v>0</v>
      </c>
      <c r="AB12" s="33">
        <v>11</v>
      </c>
      <c r="AD12" t="s">
        <v>148</v>
      </c>
      <c r="AE12" t="s">
        <v>48</v>
      </c>
      <c r="AF12">
        <v>4</v>
      </c>
      <c r="AG12">
        <v>2</v>
      </c>
      <c r="AH12">
        <v>24</v>
      </c>
      <c r="AI12">
        <v>30</v>
      </c>
    </row>
    <row r="13" spans="1:35" ht="16" x14ac:dyDescent="0.2">
      <c r="A13" s="32" t="s">
        <v>49</v>
      </c>
      <c r="B13" s="32" t="s">
        <v>148</v>
      </c>
      <c r="C13" s="33">
        <v>10</v>
      </c>
      <c r="D13" s="33">
        <v>1</v>
      </c>
      <c r="E13" t="e">
        <f>VLOOKUP(A13,'6. Deposits 2023_Q3'!$A$3:$A$34,1,FALSE)</f>
        <v>#N/A</v>
      </c>
      <c r="G13" s="32" t="s">
        <v>36</v>
      </c>
      <c r="H13" s="32" t="s">
        <v>148</v>
      </c>
      <c r="I13" s="33">
        <v>5</v>
      </c>
      <c r="J13" s="32" t="s">
        <v>155</v>
      </c>
      <c r="K13" s="33">
        <v>0</v>
      </c>
      <c r="Q13" t="s">
        <v>148</v>
      </c>
      <c r="R13" t="s">
        <v>61</v>
      </c>
      <c r="T13">
        <v>2</v>
      </c>
      <c r="X13" s="32" t="s">
        <v>36</v>
      </c>
      <c r="Y13" s="32" t="s">
        <v>149</v>
      </c>
      <c r="Z13" s="33">
        <v>784</v>
      </c>
      <c r="AA13" s="33">
        <v>0</v>
      </c>
      <c r="AB13" s="33">
        <v>12</v>
      </c>
      <c r="AD13" t="s">
        <v>148</v>
      </c>
      <c r="AE13" t="s">
        <v>49</v>
      </c>
      <c r="AG13">
        <v>6</v>
      </c>
      <c r="AH13">
        <v>2</v>
      </c>
      <c r="AI13">
        <v>8</v>
      </c>
    </row>
    <row r="14" spans="1:35" ht="16" x14ac:dyDescent="0.2">
      <c r="A14" s="32" t="s">
        <v>50</v>
      </c>
      <c r="B14" s="32" t="s">
        <v>148</v>
      </c>
      <c r="C14" s="33">
        <v>1</v>
      </c>
      <c r="D14" s="33">
        <v>1</v>
      </c>
      <c r="E14" t="e">
        <f>VLOOKUP(A14,'6. Deposits 2023_Q3'!$A$3:$A$34,1,FALSE)</f>
        <v>#N/A</v>
      </c>
      <c r="G14" s="32" t="s">
        <v>36</v>
      </c>
      <c r="H14" s="32" t="s">
        <v>149</v>
      </c>
      <c r="I14" s="33">
        <v>163</v>
      </c>
      <c r="J14" s="32" t="s">
        <v>152</v>
      </c>
      <c r="K14" s="33">
        <v>0</v>
      </c>
      <c r="Q14" t="s">
        <v>148</v>
      </c>
      <c r="R14" t="s">
        <v>62</v>
      </c>
      <c r="V14">
        <v>1</v>
      </c>
      <c r="X14" s="32" t="s">
        <v>37</v>
      </c>
      <c r="Y14" s="32" t="s">
        <v>148</v>
      </c>
      <c r="Z14" s="33">
        <v>12</v>
      </c>
      <c r="AA14" s="33">
        <v>0</v>
      </c>
      <c r="AB14" s="33">
        <v>10</v>
      </c>
      <c r="AD14" t="s">
        <v>148</v>
      </c>
      <c r="AE14" t="s">
        <v>52</v>
      </c>
      <c r="AF14">
        <v>8</v>
      </c>
      <c r="AG14">
        <v>14</v>
      </c>
      <c r="AH14">
        <v>4</v>
      </c>
      <c r="AI14">
        <v>26</v>
      </c>
    </row>
    <row r="15" spans="1:35" ht="16" x14ac:dyDescent="0.2">
      <c r="A15" s="32" t="s">
        <v>52</v>
      </c>
      <c r="B15" s="32" t="s">
        <v>148</v>
      </c>
      <c r="C15" s="33">
        <v>18</v>
      </c>
      <c r="D15" s="33">
        <v>1</v>
      </c>
      <c r="E15" t="e">
        <f>VLOOKUP(A15,'6. Deposits 2023_Q3'!$A$3:$A$34,1,FALSE)</f>
        <v>#N/A</v>
      </c>
      <c r="G15" s="32" t="s">
        <v>36</v>
      </c>
      <c r="H15" s="32" t="s">
        <v>149</v>
      </c>
      <c r="I15" s="33">
        <v>98</v>
      </c>
      <c r="J15" s="32" t="s">
        <v>153</v>
      </c>
      <c r="K15" s="33">
        <v>0</v>
      </c>
      <c r="Q15" t="s">
        <v>148</v>
      </c>
      <c r="R15" t="s">
        <v>64</v>
      </c>
      <c r="S15">
        <v>2</v>
      </c>
      <c r="T15">
        <v>2</v>
      </c>
      <c r="X15" s="32" t="s">
        <v>37</v>
      </c>
      <c r="Y15" s="32" t="s">
        <v>148</v>
      </c>
      <c r="Z15" s="33">
        <v>6</v>
      </c>
      <c r="AA15" s="33">
        <v>0</v>
      </c>
      <c r="AB15" s="33">
        <v>11</v>
      </c>
      <c r="AD15" t="s">
        <v>148</v>
      </c>
      <c r="AE15" t="s">
        <v>53</v>
      </c>
      <c r="AF15">
        <v>12</v>
      </c>
      <c r="AG15">
        <v>26</v>
      </c>
      <c r="AH15">
        <v>18</v>
      </c>
      <c r="AI15">
        <v>56</v>
      </c>
    </row>
    <row r="16" spans="1:35" ht="16" x14ac:dyDescent="0.2">
      <c r="A16" s="32" t="s">
        <v>53</v>
      </c>
      <c r="B16" s="32" t="s">
        <v>148</v>
      </c>
      <c r="C16" s="33">
        <v>61</v>
      </c>
      <c r="D16" s="33">
        <v>1</v>
      </c>
      <c r="E16" t="e">
        <f>VLOOKUP(A16,'6. Deposits 2023_Q3'!$A$3:$A$34,1,FALSE)</f>
        <v>#N/A</v>
      </c>
      <c r="G16" s="32" t="s">
        <v>36</v>
      </c>
      <c r="H16" s="32" t="s">
        <v>149</v>
      </c>
      <c r="I16" s="33">
        <v>53</v>
      </c>
      <c r="J16" s="32" t="s">
        <v>154</v>
      </c>
      <c r="K16" s="33">
        <v>0</v>
      </c>
      <c r="Q16" t="s">
        <v>148</v>
      </c>
      <c r="R16" t="s">
        <v>67</v>
      </c>
      <c r="T16">
        <v>2</v>
      </c>
      <c r="X16" s="32" t="s">
        <v>37</v>
      </c>
      <c r="Y16" s="32" t="s">
        <v>148</v>
      </c>
      <c r="Z16" s="33">
        <v>8</v>
      </c>
      <c r="AA16" s="33">
        <v>0</v>
      </c>
      <c r="AB16" s="33">
        <v>12</v>
      </c>
      <c r="AD16" t="s">
        <v>148</v>
      </c>
      <c r="AE16" t="s">
        <v>55</v>
      </c>
      <c r="AF16">
        <v>6</v>
      </c>
      <c r="AG16">
        <v>2</v>
      </c>
      <c r="AH16">
        <v>10</v>
      </c>
      <c r="AI16">
        <v>18</v>
      </c>
    </row>
    <row r="17" spans="1:35" ht="16" x14ac:dyDescent="0.2">
      <c r="A17" s="32" t="s">
        <v>54</v>
      </c>
      <c r="B17" s="32" t="s">
        <v>148</v>
      </c>
      <c r="C17" s="33">
        <v>1</v>
      </c>
      <c r="D17" s="33">
        <v>1</v>
      </c>
      <c r="E17" t="e">
        <f>VLOOKUP(A17,'6. Deposits 2023_Q3'!$A$3:$A$34,1,FALSE)</f>
        <v>#N/A</v>
      </c>
      <c r="G17" s="32" t="s">
        <v>36</v>
      </c>
      <c r="H17" s="32" t="s">
        <v>149</v>
      </c>
      <c r="I17" s="33">
        <v>127</v>
      </c>
      <c r="J17" s="32" t="s">
        <v>155</v>
      </c>
      <c r="K17" s="33">
        <v>0</v>
      </c>
      <c r="Q17" t="s">
        <v>148</v>
      </c>
      <c r="R17" t="s">
        <v>68</v>
      </c>
      <c r="S17">
        <v>2</v>
      </c>
      <c r="V17">
        <v>1</v>
      </c>
      <c r="X17" s="32" t="s">
        <v>37</v>
      </c>
      <c r="Y17" s="32" t="s">
        <v>149</v>
      </c>
      <c r="Z17" s="33">
        <v>130</v>
      </c>
      <c r="AA17" s="33">
        <v>0</v>
      </c>
      <c r="AB17" s="33">
        <v>10</v>
      </c>
      <c r="AD17" t="s">
        <v>148</v>
      </c>
      <c r="AE17" t="s">
        <v>56</v>
      </c>
      <c r="AF17">
        <v>2</v>
      </c>
      <c r="AG17">
        <v>4</v>
      </c>
      <c r="AH17">
        <v>16</v>
      </c>
      <c r="AI17">
        <v>22</v>
      </c>
    </row>
    <row r="18" spans="1:35" ht="16" x14ac:dyDescent="0.2">
      <c r="A18" s="32" t="s">
        <v>55</v>
      </c>
      <c r="B18" s="32" t="s">
        <v>148</v>
      </c>
      <c r="C18" s="33">
        <v>29</v>
      </c>
      <c r="D18" s="33">
        <v>1</v>
      </c>
      <c r="E18" t="e">
        <f>VLOOKUP(A18,'6. Deposits 2023_Q3'!$A$3:$A$34,1,FALSE)</f>
        <v>#N/A</v>
      </c>
      <c r="G18" s="32" t="s">
        <v>37</v>
      </c>
      <c r="H18" s="32" t="s">
        <v>148</v>
      </c>
      <c r="I18" s="33">
        <v>2</v>
      </c>
      <c r="J18" s="32" t="s">
        <v>152</v>
      </c>
      <c r="K18" s="33">
        <v>0</v>
      </c>
      <c r="Q18" t="s">
        <v>148</v>
      </c>
      <c r="R18" t="s">
        <v>69</v>
      </c>
      <c r="S18">
        <v>4</v>
      </c>
      <c r="T18">
        <v>8</v>
      </c>
      <c r="U18">
        <v>3</v>
      </c>
      <c r="V18">
        <v>8</v>
      </c>
      <c r="X18" s="32" t="s">
        <v>37</v>
      </c>
      <c r="Y18" s="32" t="s">
        <v>149</v>
      </c>
      <c r="Z18" s="33">
        <v>84</v>
      </c>
      <c r="AA18" s="33">
        <v>0</v>
      </c>
      <c r="AB18" s="33">
        <v>11</v>
      </c>
      <c r="AD18" t="s">
        <v>148</v>
      </c>
      <c r="AE18" t="s">
        <v>57</v>
      </c>
      <c r="AH18">
        <v>4</v>
      </c>
      <c r="AI18">
        <v>4</v>
      </c>
    </row>
    <row r="19" spans="1:35" ht="16" x14ac:dyDescent="0.2">
      <c r="A19" s="32" t="s">
        <v>56</v>
      </c>
      <c r="B19" s="32" t="s">
        <v>148</v>
      </c>
      <c r="C19" s="33">
        <v>36</v>
      </c>
      <c r="D19" s="33">
        <v>1</v>
      </c>
      <c r="E19" t="e">
        <f>VLOOKUP(A19,'6. Deposits 2023_Q3'!$A$3:$A$34,1,FALSE)</f>
        <v>#N/A</v>
      </c>
      <c r="G19" s="32" t="s">
        <v>37</v>
      </c>
      <c r="H19" s="32" t="s">
        <v>148</v>
      </c>
      <c r="I19" s="33">
        <v>2</v>
      </c>
      <c r="J19" s="32" t="s">
        <v>153</v>
      </c>
      <c r="K19" s="33">
        <v>0</v>
      </c>
      <c r="Q19" t="s">
        <v>148</v>
      </c>
      <c r="R19" t="s">
        <v>70</v>
      </c>
      <c r="S19">
        <v>1</v>
      </c>
      <c r="X19" s="32" t="s">
        <v>37</v>
      </c>
      <c r="Y19" s="32" t="s">
        <v>149</v>
      </c>
      <c r="Z19" s="33">
        <v>130</v>
      </c>
      <c r="AA19" s="33">
        <v>0</v>
      </c>
      <c r="AB19" s="33">
        <v>12</v>
      </c>
      <c r="AD19" t="s">
        <v>148</v>
      </c>
      <c r="AE19" t="s">
        <v>58</v>
      </c>
      <c r="AF19">
        <v>2</v>
      </c>
      <c r="AG19">
        <v>2</v>
      </c>
      <c r="AH19">
        <v>4</v>
      </c>
      <c r="AI19">
        <v>8</v>
      </c>
    </row>
    <row r="20" spans="1:35" ht="16" x14ac:dyDescent="0.2">
      <c r="A20" s="32" t="s">
        <v>57</v>
      </c>
      <c r="B20" s="32" t="s">
        <v>148</v>
      </c>
      <c r="C20" s="33">
        <v>1</v>
      </c>
      <c r="D20" s="33">
        <v>1</v>
      </c>
      <c r="E20" t="e">
        <f>VLOOKUP(A20,'6. Deposits 2023_Q3'!$A$3:$A$34,1,FALSE)</f>
        <v>#N/A</v>
      </c>
      <c r="G20" s="32" t="s">
        <v>37</v>
      </c>
      <c r="H20" s="32" t="s">
        <v>148</v>
      </c>
      <c r="I20" s="33">
        <v>4</v>
      </c>
      <c r="J20" s="32" t="s">
        <v>155</v>
      </c>
      <c r="K20" s="33">
        <v>0</v>
      </c>
      <c r="Q20" t="s">
        <v>149</v>
      </c>
      <c r="R20" t="s">
        <v>35</v>
      </c>
      <c r="S20">
        <v>99</v>
      </c>
      <c r="T20">
        <v>70</v>
      </c>
      <c r="U20">
        <v>26</v>
      </c>
      <c r="V20">
        <v>109</v>
      </c>
      <c r="X20" s="32" t="s">
        <v>40</v>
      </c>
      <c r="Y20" s="32" t="s">
        <v>148</v>
      </c>
      <c r="Z20" s="33">
        <v>8</v>
      </c>
      <c r="AA20" s="33">
        <v>0</v>
      </c>
      <c r="AB20" s="33">
        <v>10</v>
      </c>
      <c r="AD20" t="s">
        <v>148</v>
      </c>
      <c r="AE20" t="s">
        <v>60</v>
      </c>
      <c r="AH20">
        <v>2</v>
      </c>
      <c r="AI20">
        <v>2</v>
      </c>
    </row>
    <row r="21" spans="1:35" ht="16" x14ac:dyDescent="0.2">
      <c r="A21" s="32" t="s">
        <v>58</v>
      </c>
      <c r="B21" s="32" t="s">
        <v>148</v>
      </c>
      <c r="C21" s="33">
        <v>10</v>
      </c>
      <c r="D21" s="33">
        <v>1</v>
      </c>
      <c r="E21" t="e">
        <f>VLOOKUP(A21,'6. Deposits 2023_Q3'!$A$3:$A$34,1,FALSE)</f>
        <v>#N/A</v>
      </c>
      <c r="G21" s="32" t="s">
        <v>37</v>
      </c>
      <c r="H21" s="32" t="s">
        <v>149</v>
      </c>
      <c r="I21" s="33">
        <v>27</v>
      </c>
      <c r="J21" s="32" t="s">
        <v>152</v>
      </c>
      <c r="K21" s="33">
        <v>0</v>
      </c>
      <c r="Q21" t="s">
        <v>149</v>
      </c>
      <c r="R21" t="s">
        <v>36</v>
      </c>
      <c r="S21">
        <v>163</v>
      </c>
      <c r="T21">
        <v>98</v>
      </c>
      <c r="U21">
        <v>53</v>
      </c>
      <c r="V21">
        <v>127</v>
      </c>
      <c r="X21" s="32" t="s">
        <v>40</v>
      </c>
      <c r="Y21" s="32" t="s">
        <v>148</v>
      </c>
      <c r="Z21" s="33">
        <v>18</v>
      </c>
      <c r="AA21" s="33">
        <v>0</v>
      </c>
      <c r="AB21" s="33">
        <v>11</v>
      </c>
      <c r="AD21" t="s">
        <v>148</v>
      </c>
      <c r="AE21" t="s">
        <v>61</v>
      </c>
      <c r="AG21">
        <v>4</v>
      </c>
      <c r="AH21">
        <v>2</v>
      </c>
      <c r="AI21">
        <v>6</v>
      </c>
    </row>
    <row r="22" spans="1:35" ht="16" x14ac:dyDescent="0.2">
      <c r="A22" s="32" t="s">
        <v>60</v>
      </c>
      <c r="B22" s="32" t="s">
        <v>148</v>
      </c>
      <c r="C22" s="33">
        <v>1</v>
      </c>
      <c r="D22" s="33">
        <v>1</v>
      </c>
      <c r="E22" t="e">
        <f>VLOOKUP(A22,'6. Deposits 2023_Q3'!$A$3:$A$34,1,FALSE)</f>
        <v>#N/A</v>
      </c>
      <c r="G22" s="32" t="s">
        <v>37</v>
      </c>
      <c r="H22" s="32" t="s">
        <v>149</v>
      </c>
      <c r="I22" s="33">
        <v>5</v>
      </c>
      <c r="J22" s="32" t="s">
        <v>153</v>
      </c>
      <c r="K22" s="33">
        <v>0</v>
      </c>
      <c r="Q22" t="s">
        <v>149</v>
      </c>
      <c r="R22" t="s">
        <v>37</v>
      </c>
      <c r="S22">
        <v>27</v>
      </c>
      <c r="T22">
        <v>5</v>
      </c>
      <c r="U22">
        <v>12</v>
      </c>
      <c r="V22">
        <v>26</v>
      </c>
      <c r="X22" s="32" t="s">
        <v>40</v>
      </c>
      <c r="Y22" s="32" t="s">
        <v>148</v>
      </c>
      <c r="Z22" s="33">
        <v>12</v>
      </c>
      <c r="AA22" s="33">
        <v>0</v>
      </c>
      <c r="AB22" s="33">
        <v>12</v>
      </c>
      <c r="AD22" t="s">
        <v>148</v>
      </c>
      <c r="AE22" t="s">
        <v>62</v>
      </c>
      <c r="AF22">
        <v>2</v>
      </c>
      <c r="AH22">
        <v>2</v>
      </c>
      <c r="AI22">
        <v>4</v>
      </c>
    </row>
    <row r="23" spans="1:35" ht="16" x14ac:dyDescent="0.2">
      <c r="A23" s="32" t="s">
        <v>61</v>
      </c>
      <c r="B23" s="32" t="s">
        <v>148</v>
      </c>
      <c r="C23" s="33">
        <v>4</v>
      </c>
      <c r="D23" s="33">
        <v>1</v>
      </c>
      <c r="E23" t="e">
        <f>VLOOKUP(A23,'6. Deposits 2023_Q3'!$A$3:$A$34,1,FALSE)</f>
        <v>#N/A</v>
      </c>
      <c r="G23" s="32" t="s">
        <v>37</v>
      </c>
      <c r="H23" s="32" t="s">
        <v>149</v>
      </c>
      <c r="I23" s="33">
        <v>12</v>
      </c>
      <c r="J23" s="32" t="s">
        <v>154</v>
      </c>
      <c r="K23" s="33">
        <v>0</v>
      </c>
      <c r="Q23" t="s">
        <v>149</v>
      </c>
      <c r="R23" t="s">
        <v>40</v>
      </c>
      <c r="S23">
        <v>136</v>
      </c>
      <c r="T23">
        <v>107</v>
      </c>
      <c r="U23">
        <v>32</v>
      </c>
      <c r="V23">
        <v>123</v>
      </c>
      <c r="X23" s="32" t="s">
        <v>40</v>
      </c>
      <c r="Y23" s="32" t="s">
        <v>149</v>
      </c>
      <c r="Z23" s="33">
        <v>320</v>
      </c>
      <c r="AA23" s="33">
        <v>0</v>
      </c>
      <c r="AB23" s="33">
        <v>10</v>
      </c>
      <c r="AD23" t="s">
        <v>148</v>
      </c>
      <c r="AE23" t="s">
        <v>64</v>
      </c>
      <c r="AG23">
        <v>4</v>
      </c>
      <c r="AI23">
        <v>4</v>
      </c>
    </row>
    <row r="24" spans="1:35" ht="16" x14ac:dyDescent="0.2">
      <c r="A24" s="32" t="s">
        <v>62</v>
      </c>
      <c r="B24" s="32" t="s">
        <v>148</v>
      </c>
      <c r="C24" s="33">
        <v>5</v>
      </c>
      <c r="D24" s="33">
        <v>1</v>
      </c>
      <c r="E24" t="e">
        <f>VLOOKUP(A24,'6. Deposits 2023_Q3'!$A$3:$A$34,1,FALSE)</f>
        <v>#N/A</v>
      </c>
      <c r="G24" s="32" t="s">
        <v>37</v>
      </c>
      <c r="H24" s="32" t="s">
        <v>149</v>
      </c>
      <c r="I24" s="33">
        <v>26</v>
      </c>
      <c r="J24" s="32" t="s">
        <v>155</v>
      </c>
      <c r="K24" s="33">
        <v>0</v>
      </c>
      <c r="Q24" t="s">
        <v>149</v>
      </c>
      <c r="R24" t="s">
        <v>42</v>
      </c>
      <c r="S24">
        <v>7</v>
      </c>
      <c r="T24">
        <v>4</v>
      </c>
      <c r="V24">
        <v>4</v>
      </c>
      <c r="X24" s="32" t="s">
        <v>40</v>
      </c>
      <c r="Y24" s="32" t="s">
        <v>149</v>
      </c>
      <c r="Z24" s="33">
        <v>450</v>
      </c>
      <c r="AA24" s="33">
        <v>0</v>
      </c>
      <c r="AB24" s="33">
        <v>11</v>
      </c>
      <c r="AD24" t="s">
        <v>148</v>
      </c>
      <c r="AE24" t="s">
        <v>67</v>
      </c>
      <c r="AG24">
        <v>4</v>
      </c>
      <c r="AH24">
        <v>2</v>
      </c>
      <c r="AI24">
        <v>6</v>
      </c>
    </row>
    <row r="25" spans="1:35" ht="16" x14ac:dyDescent="0.2">
      <c r="A25" s="32" t="s">
        <v>63</v>
      </c>
      <c r="B25" s="32" t="s">
        <v>148</v>
      </c>
      <c r="C25" s="33">
        <v>1</v>
      </c>
      <c r="D25" s="33">
        <v>1</v>
      </c>
      <c r="E25" t="e">
        <f>VLOOKUP(A25,'6. Deposits 2023_Q3'!$A$3:$A$34,1,FALSE)</f>
        <v>#N/A</v>
      </c>
      <c r="G25" s="32" t="s">
        <v>40</v>
      </c>
      <c r="H25" s="32" t="s">
        <v>148</v>
      </c>
      <c r="I25" s="33">
        <v>5</v>
      </c>
      <c r="J25" s="32" t="s">
        <v>153</v>
      </c>
      <c r="K25" s="33">
        <v>0</v>
      </c>
      <c r="Q25" t="s">
        <v>149</v>
      </c>
      <c r="R25" t="s">
        <v>43</v>
      </c>
      <c r="S25">
        <v>3</v>
      </c>
      <c r="T25">
        <v>2</v>
      </c>
      <c r="U25">
        <v>1</v>
      </c>
      <c r="V25">
        <v>2</v>
      </c>
      <c r="X25" s="32" t="s">
        <v>40</v>
      </c>
      <c r="Y25" s="32" t="s">
        <v>149</v>
      </c>
      <c r="Z25" s="33">
        <v>350</v>
      </c>
      <c r="AA25" s="33">
        <v>0</v>
      </c>
      <c r="AB25" s="33">
        <v>12</v>
      </c>
      <c r="AD25" t="s">
        <v>148</v>
      </c>
      <c r="AE25" t="s">
        <v>68</v>
      </c>
      <c r="AH25">
        <v>6</v>
      </c>
      <c r="AI25">
        <v>6</v>
      </c>
    </row>
    <row r="26" spans="1:35" ht="16" x14ac:dyDescent="0.2">
      <c r="A26" s="32" t="s">
        <v>64</v>
      </c>
      <c r="B26" s="32" t="s">
        <v>148</v>
      </c>
      <c r="C26" s="33">
        <v>3</v>
      </c>
      <c r="D26" s="33">
        <v>1</v>
      </c>
      <c r="E26" t="e">
        <f>VLOOKUP(A26,'6. Deposits 2023_Q3'!$A$3:$A$34,1,FALSE)</f>
        <v>#N/A</v>
      </c>
      <c r="G26" s="32" t="s">
        <v>40</v>
      </c>
      <c r="H26" s="32" t="s">
        <v>149</v>
      </c>
      <c r="I26" s="33">
        <v>136</v>
      </c>
      <c r="J26" s="32" t="s">
        <v>152</v>
      </c>
      <c r="K26" s="33">
        <v>0</v>
      </c>
      <c r="Q26" t="s">
        <v>149</v>
      </c>
      <c r="R26" t="s">
        <v>44</v>
      </c>
      <c r="S26">
        <v>29</v>
      </c>
      <c r="T26">
        <v>10</v>
      </c>
      <c r="U26">
        <v>18</v>
      </c>
      <c r="V26">
        <v>15</v>
      </c>
      <c r="X26" s="32" t="s">
        <v>41</v>
      </c>
      <c r="Y26" s="32" t="s">
        <v>148</v>
      </c>
      <c r="Z26" s="33">
        <v>2</v>
      </c>
      <c r="AA26" s="33">
        <v>0</v>
      </c>
      <c r="AB26" s="33">
        <v>12</v>
      </c>
      <c r="AD26" t="s">
        <v>148</v>
      </c>
      <c r="AE26" t="s">
        <v>69</v>
      </c>
      <c r="AF26">
        <v>18</v>
      </c>
      <c r="AG26">
        <v>20</v>
      </c>
      <c r="AH26">
        <v>16</v>
      </c>
      <c r="AI26">
        <v>54</v>
      </c>
    </row>
    <row r="27" spans="1:35" ht="16" x14ac:dyDescent="0.2">
      <c r="A27" s="32" t="s">
        <v>67</v>
      </c>
      <c r="B27" s="32" t="s">
        <v>148</v>
      </c>
      <c r="C27" s="33">
        <v>3</v>
      </c>
      <c r="D27" s="33">
        <v>1</v>
      </c>
      <c r="E27" t="e">
        <f>VLOOKUP(A27,'6. Deposits 2023_Q3'!$A$3:$A$34,1,FALSE)</f>
        <v>#N/A</v>
      </c>
      <c r="G27" s="32" t="s">
        <v>40</v>
      </c>
      <c r="H27" s="32" t="s">
        <v>149</v>
      </c>
      <c r="I27" s="33">
        <v>107</v>
      </c>
      <c r="J27" s="32" t="s">
        <v>153</v>
      </c>
      <c r="K27" s="33">
        <v>0</v>
      </c>
      <c r="Q27" t="s">
        <v>149</v>
      </c>
      <c r="R27" t="s">
        <v>45</v>
      </c>
      <c r="S27">
        <v>7</v>
      </c>
      <c r="T27">
        <v>17</v>
      </c>
      <c r="U27">
        <v>8</v>
      </c>
      <c r="V27">
        <v>7</v>
      </c>
      <c r="X27" s="32" t="s">
        <v>42</v>
      </c>
      <c r="Y27" s="32" t="s">
        <v>149</v>
      </c>
      <c r="Z27" s="33">
        <v>6</v>
      </c>
      <c r="AA27" s="33">
        <v>0</v>
      </c>
      <c r="AB27" s="33">
        <v>10</v>
      </c>
      <c r="AD27" t="s">
        <v>149</v>
      </c>
      <c r="AE27" t="s">
        <v>35</v>
      </c>
      <c r="AF27">
        <v>344</v>
      </c>
      <c r="AG27">
        <v>358</v>
      </c>
      <c r="AH27">
        <v>398</v>
      </c>
      <c r="AI27">
        <v>1100</v>
      </c>
    </row>
    <row r="28" spans="1:35" ht="16" x14ac:dyDescent="0.2">
      <c r="A28" s="32" t="s">
        <v>68</v>
      </c>
      <c r="B28" s="32" t="s">
        <v>148</v>
      </c>
      <c r="C28" s="33">
        <v>6</v>
      </c>
      <c r="D28" s="33">
        <v>1</v>
      </c>
      <c r="E28" t="e">
        <f>VLOOKUP(A28,'6. Deposits 2023_Q3'!$A$3:$A$34,1,FALSE)</f>
        <v>#N/A</v>
      </c>
      <c r="G28" s="32" t="s">
        <v>40</v>
      </c>
      <c r="H28" s="32" t="s">
        <v>149</v>
      </c>
      <c r="I28" s="33">
        <v>32</v>
      </c>
      <c r="J28" s="32" t="s">
        <v>154</v>
      </c>
      <c r="K28" s="33">
        <v>0</v>
      </c>
      <c r="Q28" t="s">
        <v>149</v>
      </c>
      <c r="R28" t="s">
        <v>46</v>
      </c>
      <c r="S28">
        <v>3</v>
      </c>
      <c r="T28">
        <v>3</v>
      </c>
      <c r="U28">
        <v>3</v>
      </c>
      <c r="V28">
        <v>1</v>
      </c>
      <c r="X28" s="32" t="s">
        <v>42</v>
      </c>
      <c r="Y28" s="32" t="s">
        <v>149</v>
      </c>
      <c r="Z28" s="33">
        <v>18</v>
      </c>
      <c r="AA28" s="33">
        <v>0</v>
      </c>
      <c r="AB28" s="33">
        <v>11</v>
      </c>
      <c r="AD28" t="s">
        <v>149</v>
      </c>
      <c r="AE28" t="s">
        <v>36</v>
      </c>
      <c r="AF28">
        <v>502</v>
      </c>
      <c r="AG28">
        <v>510</v>
      </c>
      <c r="AH28">
        <v>784</v>
      </c>
      <c r="AI28">
        <v>1796</v>
      </c>
    </row>
    <row r="29" spans="1:35" ht="16" x14ac:dyDescent="0.2">
      <c r="A29" s="32" t="s">
        <v>69</v>
      </c>
      <c r="B29" s="32" t="s">
        <v>148</v>
      </c>
      <c r="C29" s="33">
        <v>62</v>
      </c>
      <c r="D29" s="33">
        <v>1</v>
      </c>
      <c r="E29" t="e">
        <f>VLOOKUP(A29,'6. Deposits 2023_Q3'!$A$3:$A$34,1,FALSE)</f>
        <v>#N/A</v>
      </c>
      <c r="G29" s="32" t="s">
        <v>40</v>
      </c>
      <c r="H29" s="32" t="s">
        <v>149</v>
      </c>
      <c r="I29" s="33">
        <v>123</v>
      </c>
      <c r="J29" s="32" t="s">
        <v>155</v>
      </c>
      <c r="K29" s="33">
        <v>0</v>
      </c>
      <c r="Q29" t="s">
        <v>149</v>
      </c>
      <c r="R29" t="s">
        <v>47</v>
      </c>
      <c r="S29">
        <v>5</v>
      </c>
      <c r="T29">
        <v>6</v>
      </c>
      <c r="U29">
        <v>2</v>
      </c>
      <c r="V29">
        <v>4</v>
      </c>
      <c r="X29" s="32" t="s">
        <v>42</v>
      </c>
      <c r="Y29" s="32" t="s">
        <v>149</v>
      </c>
      <c r="Z29" s="33">
        <v>14</v>
      </c>
      <c r="AA29" s="33">
        <v>0</v>
      </c>
      <c r="AB29" s="33">
        <v>12</v>
      </c>
      <c r="AD29" t="s">
        <v>149</v>
      </c>
      <c r="AE29" t="s">
        <v>37</v>
      </c>
      <c r="AF29">
        <v>130</v>
      </c>
      <c r="AG29">
        <v>84</v>
      </c>
      <c r="AH29">
        <v>130</v>
      </c>
      <c r="AI29">
        <v>344</v>
      </c>
    </row>
    <row r="30" spans="1:35" ht="16" x14ac:dyDescent="0.2">
      <c r="A30" s="32" t="s">
        <v>70</v>
      </c>
      <c r="B30" s="32" t="s">
        <v>148</v>
      </c>
      <c r="C30" s="33">
        <v>1</v>
      </c>
      <c r="D30" s="33">
        <v>1</v>
      </c>
      <c r="E30" t="e">
        <f>VLOOKUP(A30,'6. Deposits 2023_Q3'!$A$3:$A$34,1,FALSE)</f>
        <v>#N/A</v>
      </c>
      <c r="G30" s="32" t="s">
        <v>42</v>
      </c>
      <c r="H30" s="32" t="s">
        <v>149</v>
      </c>
      <c r="I30" s="33">
        <v>7</v>
      </c>
      <c r="J30" s="32" t="s">
        <v>152</v>
      </c>
      <c r="K30" s="33">
        <v>0</v>
      </c>
      <c r="Q30" t="s">
        <v>149</v>
      </c>
      <c r="R30" t="s">
        <v>48</v>
      </c>
      <c r="S30">
        <v>6</v>
      </c>
      <c r="T30">
        <v>10</v>
      </c>
      <c r="U30">
        <v>6</v>
      </c>
      <c r="V30">
        <v>5</v>
      </c>
      <c r="X30" s="32" t="s">
        <v>43</v>
      </c>
      <c r="Y30" s="32" t="s">
        <v>149</v>
      </c>
      <c r="Z30" s="33">
        <v>4</v>
      </c>
      <c r="AA30" s="33">
        <v>0</v>
      </c>
      <c r="AB30" s="33">
        <v>10</v>
      </c>
      <c r="AD30" t="s">
        <v>149</v>
      </c>
      <c r="AE30" t="s">
        <v>40</v>
      </c>
      <c r="AF30">
        <v>320</v>
      </c>
      <c r="AG30">
        <v>450</v>
      </c>
      <c r="AH30">
        <v>350</v>
      </c>
      <c r="AI30">
        <v>1120</v>
      </c>
    </row>
    <row r="31" spans="1:35" ht="16" x14ac:dyDescent="0.2">
      <c r="A31" s="32" t="s">
        <v>35</v>
      </c>
      <c r="B31" s="32" t="s">
        <v>149</v>
      </c>
      <c r="C31" s="33">
        <v>1427</v>
      </c>
      <c r="D31" s="33">
        <v>1</v>
      </c>
      <c r="E31" t="e">
        <f>VLOOKUP(A31,'6. Deposits 2023_Q3'!$A$35:$A$61,1,FALSE)</f>
        <v>#N/A</v>
      </c>
      <c r="G31" s="32" t="s">
        <v>42</v>
      </c>
      <c r="H31" s="32" t="s">
        <v>149</v>
      </c>
      <c r="I31" s="33">
        <v>4</v>
      </c>
      <c r="J31" s="32" t="s">
        <v>153</v>
      </c>
      <c r="K31" s="33">
        <v>0</v>
      </c>
      <c r="Q31" t="s">
        <v>149</v>
      </c>
      <c r="R31" t="s">
        <v>49</v>
      </c>
      <c r="S31">
        <v>9</v>
      </c>
      <c r="T31">
        <v>2</v>
      </c>
      <c r="U31">
        <v>3</v>
      </c>
      <c r="V31">
        <v>7</v>
      </c>
      <c r="X31" s="32" t="s">
        <v>43</v>
      </c>
      <c r="Y31" s="32" t="s">
        <v>149</v>
      </c>
      <c r="Z31" s="33">
        <v>4</v>
      </c>
      <c r="AA31" s="33">
        <v>0</v>
      </c>
      <c r="AB31" s="33">
        <v>11</v>
      </c>
      <c r="AD31" t="s">
        <v>149</v>
      </c>
      <c r="AE31" t="s">
        <v>42</v>
      </c>
      <c r="AF31">
        <v>6</v>
      </c>
      <c r="AG31">
        <v>18</v>
      </c>
      <c r="AH31">
        <v>14</v>
      </c>
      <c r="AI31">
        <v>38</v>
      </c>
    </row>
    <row r="32" spans="1:35" ht="16" x14ac:dyDescent="0.2">
      <c r="A32" s="32" t="s">
        <v>36</v>
      </c>
      <c r="B32" s="32" t="s">
        <v>149</v>
      </c>
      <c r="C32" s="33">
        <v>1838</v>
      </c>
      <c r="D32" s="33">
        <v>1</v>
      </c>
      <c r="E32" t="e">
        <f>VLOOKUP(A32,'6. Deposits 2023_Q3'!$A$35:$A$61,1,FALSE)</f>
        <v>#N/A</v>
      </c>
      <c r="G32" s="32" t="s">
        <v>42</v>
      </c>
      <c r="H32" s="32" t="s">
        <v>149</v>
      </c>
      <c r="I32" s="33">
        <v>4</v>
      </c>
      <c r="J32" s="32" t="s">
        <v>155</v>
      </c>
      <c r="K32" s="33">
        <v>0</v>
      </c>
      <c r="Q32" t="s">
        <v>149</v>
      </c>
      <c r="R32" t="s">
        <v>50</v>
      </c>
      <c r="S32">
        <v>1</v>
      </c>
      <c r="U32">
        <v>4</v>
      </c>
      <c r="X32" s="32" t="s">
        <v>43</v>
      </c>
      <c r="Y32" s="32" t="s">
        <v>149</v>
      </c>
      <c r="Z32" s="33">
        <v>16</v>
      </c>
      <c r="AA32" s="33">
        <v>0</v>
      </c>
      <c r="AB32" s="33">
        <v>12</v>
      </c>
      <c r="AD32" t="s">
        <v>149</v>
      </c>
      <c r="AE32" t="s">
        <v>43</v>
      </c>
      <c r="AF32">
        <v>4</v>
      </c>
      <c r="AG32">
        <v>4</v>
      </c>
      <c r="AH32">
        <v>16</v>
      </c>
      <c r="AI32">
        <v>24</v>
      </c>
    </row>
    <row r="33" spans="1:35" ht="16" x14ac:dyDescent="0.2">
      <c r="A33" s="32" t="s">
        <v>37</v>
      </c>
      <c r="B33" s="32" t="s">
        <v>149</v>
      </c>
      <c r="C33" s="33">
        <v>403</v>
      </c>
      <c r="D33" s="33">
        <v>1</v>
      </c>
      <c r="E33" t="e">
        <f>VLOOKUP(A33,'6. Deposits 2023_Q3'!$A$35:$A$61,1,FALSE)</f>
        <v>#N/A</v>
      </c>
      <c r="G33" s="32" t="s">
        <v>43</v>
      </c>
      <c r="H33" s="32" t="s">
        <v>149</v>
      </c>
      <c r="I33" s="33">
        <v>3</v>
      </c>
      <c r="J33" s="32" t="s">
        <v>152</v>
      </c>
      <c r="K33" s="33">
        <v>0</v>
      </c>
      <c r="Q33" t="s">
        <v>149</v>
      </c>
      <c r="R33" t="s">
        <v>51</v>
      </c>
      <c r="U33">
        <v>1</v>
      </c>
      <c r="X33" s="32" t="s">
        <v>44</v>
      </c>
      <c r="Y33" s="32" t="s">
        <v>148</v>
      </c>
      <c r="Z33" s="33">
        <v>8</v>
      </c>
      <c r="AA33" s="33">
        <v>0</v>
      </c>
      <c r="AB33" s="33">
        <v>10</v>
      </c>
      <c r="AD33" t="s">
        <v>149</v>
      </c>
      <c r="AE33" t="s">
        <v>44</v>
      </c>
      <c r="AF33">
        <v>90</v>
      </c>
      <c r="AG33">
        <v>74</v>
      </c>
      <c r="AH33">
        <v>120</v>
      </c>
      <c r="AI33">
        <v>284</v>
      </c>
    </row>
    <row r="34" spans="1:35" ht="16" x14ac:dyDescent="0.2">
      <c r="A34" s="32" t="s">
        <v>40</v>
      </c>
      <c r="B34" s="32" t="s">
        <v>149</v>
      </c>
      <c r="C34" s="33">
        <v>1026</v>
      </c>
      <c r="D34" s="33">
        <v>1</v>
      </c>
      <c r="E34" t="e">
        <f>VLOOKUP(A34,'6. Deposits 2023_Q3'!$A$35:$A$61,1,FALSE)</f>
        <v>#N/A</v>
      </c>
      <c r="G34" s="32" t="s">
        <v>43</v>
      </c>
      <c r="H34" s="32" t="s">
        <v>149</v>
      </c>
      <c r="I34" s="33">
        <v>2</v>
      </c>
      <c r="J34" s="32" t="s">
        <v>153</v>
      </c>
      <c r="K34" s="33">
        <v>0</v>
      </c>
      <c r="Q34" t="s">
        <v>149</v>
      </c>
      <c r="R34" t="s">
        <v>52</v>
      </c>
      <c r="S34">
        <v>42</v>
      </c>
      <c r="T34">
        <v>27</v>
      </c>
      <c r="U34">
        <v>12</v>
      </c>
      <c r="V34">
        <v>36</v>
      </c>
      <c r="X34" s="32" t="s">
        <v>44</v>
      </c>
      <c r="Y34" s="32" t="s">
        <v>148</v>
      </c>
      <c r="Z34" s="33">
        <v>8</v>
      </c>
      <c r="AA34" s="33">
        <v>0</v>
      </c>
      <c r="AB34" s="33">
        <v>11</v>
      </c>
      <c r="AD34" t="s">
        <v>149</v>
      </c>
      <c r="AE34" t="s">
        <v>45</v>
      </c>
      <c r="AF34">
        <v>30</v>
      </c>
      <c r="AG34">
        <v>72</v>
      </c>
      <c r="AH34">
        <v>62</v>
      </c>
      <c r="AI34">
        <v>164</v>
      </c>
    </row>
    <row r="35" spans="1:35" ht="16" x14ac:dyDescent="0.2">
      <c r="A35" s="32" t="s">
        <v>42</v>
      </c>
      <c r="B35" s="32" t="s">
        <v>149</v>
      </c>
      <c r="C35" s="33">
        <v>31</v>
      </c>
      <c r="D35" s="33">
        <v>1</v>
      </c>
      <c r="E35" t="e">
        <f>VLOOKUP(A35,'6. Deposits 2023_Q3'!$A$35:$A$61,1,FALSE)</f>
        <v>#N/A</v>
      </c>
      <c r="G35" s="32" t="s">
        <v>43</v>
      </c>
      <c r="H35" s="32" t="s">
        <v>149</v>
      </c>
      <c r="I35" s="33">
        <v>1</v>
      </c>
      <c r="J35" s="32" t="s">
        <v>154</v>
      </c>
      <c r="K35" s="33">
        <v>0</v>
      </c>
      <c r="Q35" t="s">
        <v>149</v>
      </c>
      <c r="R35" t="s">
        <v>53</v>
      </c>
      <c r="S35">
        <v>23</v>
      </c>
      <c r="T35">
        <v>30</v>
      </c>
      <c r="U35">
        <v>15</v>
      </c>
      <c r="V35">
        <v>31</v>
      </c>
      <c r="X35" s="32" t="s">
        <v>44</v>
      </c>
      <c r="Y35" s="32" t="s">
        <v>148</v>
      </c>
      <c r="Z35" s="33">
        <v>4</v>
      </c>
      <c r="AA35" s="33">
        <v>0</v>
      </c>
      <c r="AB35" s="33">
        <v>12</v>
      </c>
      <c r="AD35" t="s">
        <v>149</v>
      </c>
      <c r="AE35" t="s">
        <v>46</v>
      </c>
      <c r="AF35">
        <v>4</v>
      </c>
      <c r="AG35">
        <v>4</v>
      </c>
      <c r="AH35">
        <v>14</v>
      </c>
      <c r="AI35">
        <v>22</v>
      </c>
    </row>
    <row r="36" spans="1:35" ht="16" x14ac:dyDescent="0.2">
      <c r="A36" s="32" t="s">
        <v>43</v>
      </c>
      <c r="B36" s="32" t="s">
        <v>149</v>
      </c>
      <c r="C36" s="33">
        <v>30</v>
      </c>
      <c r="D36" s="33">
        <v>1</v>
      </c>
      <c r="E36" t="e">
        <f>VLOOKUP(A36,'6. Deposits 2023_Q3'!$A$35:$A$61,1,FALSE)</f>
        <v>#N/A</v>
      </c>
      <c r="G36" s="32" t="s">
        <v>43</v>
      </c>
      <c r="H36" s="32" t="s">
        <v>149</v>
      </c>
      <c r="I36" s="33">
        <v>2</v>
      </c>
      <c r="J36" s="32" t="s">
        <v>155</v>
      </c>
      <c r="K36" s="33">
        <v>0</v>
      </c>
      <c r="Q36" t="s">
        <v>149</v>
      </c>
      <c r="R36" t="s">
        <v>54</v>
      </c>
      <c r="S36">
        <v>4</v>
      </c>
      <c r="T36">
        <v>2</v>
      </c>
      <c r="U36">
        <v>3</v>
      </c>
      <c r="V36">
        <v>1</v>
      </c>
      <c r="X36" s="32" t="s">
        <v>44</v>
      </c>
      <c r="Y36" s="32" t="s">
        <v>149</v>
      </c>
      <c r="Z36" s="33">
        <v>90</v>
      </c>
      <c r="AA36" s="33">
        <v>0</v>
      </c>
      <c r="AB36" s="33">
        <v>10</v>
      </c>
      <c r="AD36" t="s">
        <v>149</v>
      </c>
      <c r="AE36" t="s">
        <v>47</v>
      </c>
      <c r="AF36">
        <v>30</v>
      </c>
      <c r="AG36">
        <v>16</v>
      </c>
      <c r="AH36">
        <v>36</v>
      </c>
      <c r="AI36">
        <v>82</v>
      </c>
    </row>
    <row r="37" spans="1:35" ht="16" x14ac:dyDescent="0.2">
      <c r="A37" s="32" t="s">
        <v>44</v>
      </c>
      <c r="B37" s="32" t="s">
        <v>149</v>
      </c>
      <c r="C37" s="33">
        <v>336</v>
      </c>
      <c r="D37" s="33">
        <v>1</v>
      </c>
      <c r="E37" t="e">
        <f>VLOOKUP(A37,'6. Deposits 2023_Q3'!$A$35:$A$61,1,FALSE)</f>
        <v>#N/A</v>
      </c>
      <c r="G37" s="32" t="s">
        <v>44</v>
      </c>
      <c r="H37" s="32" t="s">
        <v>148</v>
      </c>
      <c r="I37" s="33">
        <v>3</v>
      </c>
      <c r="J37" s="32" t="s">
        <v>152</v>
      </c>
      <c r="K37" s="33">
        <v>0</v>
      </c>
      <c r="Q37" t="s">
        <v>149</v>
      </c>
      <c r="R37" t="s">
        <v>55</v>
      </c>
      <c r="S37">
        <v>24</v>
      </c>
      <c r="T37">
        <v>4</v>
      </c>
      <c r="U37">
        <v>4</v>
      </c>
      <c r="V37">
        <v>10</v>
      </c>
      <c r="X37" s="32" t="s">
        <v>44</v>
      </c>
      <c r="Y37" s="32" t="s">
        <v>149</v>
      </c>
      <c r="Z37" s="33">
        <v>74</v>
      </c>
      <c r="AA37" s="33">
        <v>0</v>
      </c>
      <c r="AB37" s="33">
        <v>11</v>
      </c>
      <c r="AD37" t="s">
        <v>149</v>
      </c>
      <c r="AE37" t="s">
        <v>48</v>
      </c>
      <c r="AF37">
        <v>38</v>
      </c>
      <c r="AG37">
        <v>26</v>
      </c>
      <c r="AH37">
        <v>80</v>
      </c>
      <c r="AI37">
        <v>144</v>
      </c>
    </row>
    <row r="38" spans="1:35" ht="16" x14ac:dyDescent="0.2">
      <c r="A38" s="32" t="s">
        <v>45</v>
      </c>
      <c r="B38" s="32" t="s">
        <v>149</v>
      </c>
      <c r="C38" s="33">
        <v>165</v>
      </c>
      <c r="D38" s="33">
        <v>1</v>
      </c>
      <c r="E38" t="e">
        <f>VLOOKUP(A38,'6. Deposits 2023_Q3'!$A$35:$A$61,1,FALSE)</f>
        <v>#N/A</v>
      </c>
      <c r="G38" s="32" t="s">
        <v>44</v>
      </c>
      <c r="H38" s="32" t="s">
        <v>149</v>
      </c>
      <c r="I38" s="33">
        <v>29</v>
      </c>
      <c r="J38" s="32" t="s">
        <v>152</v>
      </c>
      <c r="K38" s="33">
        <v>0</v>
      </c>
      <c r="Q38" t="s">
        <v>149</v>
      </c>
      <c r="R38" t="s">
        <v>56</v>
      </c>
      <c r="S38">
        <v>16</v>
      </c>
      <c r="T38">
        <v>12</v>
      </c>
      <c r="U38">
        <v>8</v>
      </c>
      <c r="V38">
        <v>10</v>
      </c>
      <c r="X38" s="32" t="s">
        <v>44</v>
      </c>
      <c r="Y38" s="32" t="s">
        <v>149</v>
      </c>
      <c r="Z38" s="33">
        <v>120</v>
      </c>
      <c r="AA38" s="33">
        <v>0</v>
      </c>
      <c r="AB38" s="33">
        <v>12</v>
      </c>
      <c r="AD38" t="s">
        <v>149</v>
      </c>
      <c r="AE38" t="s">
        <v>49</v>
      </c>
      <c r="AF38">
        <v>20</v>
      </c>
      <c r="AG38">
        <v>30</v>
      </c>
      <c r="AH38">
        <v>38</v>
      </c>
      <c r="AI38">
        <v>88</v>
      </c>
    </row>
    <row r="39" spans="1:35" ht="16" x14ac:dyDescent="0.2">
      <c r="A39" s="32" t="s">
        <v>46</v>
      </c>
      <c r="B39" s="32" t="s">
        <v>149</v>
      </c>
      <c r="C39" s="33">
        <v>24</v>
      </c>
      <c r="D39" s="33">
        <v>1</v>
      </c>
      <c r="E39" t="e">
        <f>VLOOKUP(A39,'6. Deposits 2023_Q3'!$A$35:$A$61,1,FALSE)</f>
        <v>#N/A</v>
      </c>
      <c r="G39" s="32" t="s">
        <v>44</v>
      </c>
      <c r="H39" s="32" t="s">
        <v>149</v>
      </c>
      <c r="I39" s="33">
        <v>10</v>
      </c>
      <c r="J39" s="32" t="s">
        <v>153</v>
      </c>
      <c r="K39" s="33">
        <v>0</v>
      </c>
      <c r="Q39" t="s">
        <v>149</v>
      </c>
      <c r="R39" t="s">
        <v>57</v>
      </c>
      <c r="S39">
        <v>1</v>
      </c>
      <c r="U39">
        <v>1</v>
      </c>
      <c r="X39" s="32" t="s">
        <v>45</v>
      </c>
      <c r="Y39" s="32" t="s">
        <v>148</v>
      </c>
      <c r="Z39" s="33">
        <v>2</v>
      </c>
      <c r="AA39" s="33">
        <v>0</v>
      </c>
      <c r="AB39" s="33">
        <v>10</v>
      </c>
      <c r="AD39" t="s">
        <v>149</v>
      </c>
      <c r="AE39" t="s">
        <v>50</v>
      </c>
      <c r="AF39">
        <v>24</v>
      </c>
      <c r="AG39">
        <v>14</v>
      </c>
      <c r="AH39">
        <v>40</v>
      </c>
      <c r="AI39">
        <v>78</v>
      </c>
    </row>
    <row r="40" spans="1:35" ht="16" x14ac:dyDescent="0.2">
      <c r="A40" s="32" t="s">
        <v>47</v>
      </c>
      <c r="B40" s="32" t="s">
        <v>149</v>
      </c>
      <c r="C40" s="33">
        <v>85</v>
      </c>
      <c r="D40" s="33">
        <v>1</v>
      </c>
      <c r="E40" t="e">
        <f>VLOOKUP(A40,'6. Deposits 2023_Q3'!$A$35:$A$61,1,FALSE)</f>
        <v>#N/A</v>
      </c>
      <c r="G40" s="32" t="s">
        <v>44</v>
      </c>
      <c r="H40" s="32" t="s">
        <v>149</v>
      </c>
      <c r="I40" s="33">
        <v>18</v>
      </c>
      <c r="J40" s="32" t="s">
        <v>154</v>
      </c>
      <c r="K40" s="33">
        <v>0</v>
      </c>
      <c r="Q40" t="s">
        <v>149</v>
      </c>
      <c r="R40" t="s">
        <v>58</v>
      </c>
      <c r="S40">
        <v>7</v>
      </c>
      <c r="T40">
        <v>9</v>
      </c>
      <c r="V40">
        <v>10</v>
      </c>
      <c r="X40" s="32" t="s">
        <v>45</v>
      </c>
      <c r="Y40" s="32" t="s">
        <v>149</v>
      </c>
      <c r="Z40" s="33">
        <v>30</v>
      </c>
      <c r="AA40" s="33">
        <v>0</v>
      </c>
      <c r="AB40" s="33">
        <v>10</v>
      </c>
      <c r="AD40" t="s">
        <v>149</v>
      </c>
      <c r="AE40" t="s">
        <v>51</v>
      </c>
      <c r="AF40">
        <v>4</v>
      </c>
      <c r="AG40">
        <v>4</v>
      </c>
      <c r="AH40">
        <v>2</v>
      </c>
      <c r="AI40">
        <v>10</v>
      </c>
    </row>
    <row r="41" spans="1:35" ht="16" x14ac:dyDescent="0.2">
      <c r="A41" s="32" t="s">
        <v>48</v>
      </c>
      <c r="B41" s="32" t="s">
        <v>149</v>
      </c>
      <c r="C41" s="33">
        <v>130</v>
      </c>
      <c r="D41" s="33">
        <v>1</v>
      </c>
      <c r="E41" t="e">
        <f>VLOOKUP(A41,'6. Deposits 2023_Q3'!$A$35:$A$61,1,FALSE)</f>
        <v>#N/A</v>
      </c>
      <c r="G41" s="32" t="s">
        <v>44</v>
      </c>
      <c r="H41" s="32" t="s">
        <v>149</v>
      </c>
      <c r="I41" s="33">
        <v>15</v>
      </c>
      <c r="J41" s="32" t="s">
        <v>155</v>
      </c>
      <c r="K41" s="33">
        <v>0</v>
      </c>
      <c r="Q41" t="s">
        <v>149</v>
      </c>
      <c r="R41" t="s">
        <v>60</v>
      </c>
      <c r="U41">
        <v>2</v>
      </c>
      <c r="V41">
        <v>2</v>
      </c>
      <c r="X41" s="32" t="s">
        <v>45</v>
      </c>
      <c r="Y41" s="32" t="s">
        <v>149</v>
      </c>
      <c r="Z41" s="33">
        <v>72</v>
      </c>
      <c r="AA41" s="33">
        <v>0</v>
      </c>
      <c r="AB41" s="33">
        <v>11</v>
      </c>
      <c r="AD41" t="s">
        <v>149</v>
      </c>
      <c r="AE41" t="s">
        <v>52</v>
      </c>
      <c r="AF41">
        <v>114</v>
      </c>
      <c r="AG41">
        <v>190</v>
      </c>
      <c r="AH41">
        <v>106</v>
      </c>
      <c r="AI41">
        <v>410</v>
      </c>
    </row>
    <row r="42" spans="1:35" ht="16" x14ac:dyDescent="0.2">
      <c r="A42" s="32" t="s">
        <v>49</v>
      </c>
      <c r="B42" s="32" t="s">
        <v>149</v>
      </c>
      <c r="C42" s="33">
        <v>85</v>
      </c>
      <c r="D42" s="33">
        <v>1</v>
      </c>
      <c r="E42" t="e">
        <f>VLOOKUP(A42,'6. Deposits 2023_Q3'!$A$35:$A$61,1,FALSE)</f>
        <v>#N/A</v>
      </c>
      <c r="G42" s="32" t="s">
        <v>45</v>
      </c>
      <c r="H42" s="32" t="s">
        <v>149</v>
      </c>
      <c r="I42" s="33">
        <v>7</v>
      </c>
      <c r="J42" s="32" t="s">
        <v>152</v>
      </c>
      <c r="K42" s="33">
        <v>0</v>
      </c>
      <c r="Q42" t="s">
        <v>149</v>
      </c>
      <c r="R42" t="s">
        <v>61</v>
      </c>
      <c r="S42">
        <v>29</v>
      </c>
      <c r="T42">
        <v>17</v>
      </c>
      <c r="U42">
        <v>4</v>
      </c>
      <c r="V42">
        <v>67</v>
      </c>
      <c r="X42" s="32" t="s">
        <v>45</v>
      </c>
      <c r="Y42" s="32" t="s">
        <v>149</v>
      </c>
      <c r="Z42" s="33">
        <v>62</v>
      </c>
      <c r="AA42" s="33">
        <v>0</v>
      </c>
      <c r="AB42" s="33">
        <v>12</v>
      </c>
      <c r="AD42" t="s">
        <v>149</v>
      </c>
      <c r="AE42" t="s">
        <v>53</v>
      </c>
      <c r="AF42">
        <v>100</v>
      </c>
      <c r="AG42">
        <v>182</v>
      </c>
      <c r="AH42">
        <v>230</v>
      </c>
      <c r="AI42">
        <v>512</v>
      </c>
    </row>
    <row r="43" spans="1:35" ht="16" x14ac:dyDescent="0.2">
      <c r="A43" s="32" t="s">
        <v>50</v>
      </c>
      <c r="B43" s="32" t="s">
        <v>149</v>
      </c>
      <c r="C43" s="33">
        <v>51</v>
      </c>
      <c r="D43" s="33">
        <v>1</v>
      </c>
      <c r="E43" t="e">
        <f>VLOOKUP(A43,'6. Deposits 2023_Q3'!$A$35:$A$61,1,FALSE)</f>
        <v>#N/A</v>
      </c>
      <c r="G43" s="32" t="s">
        <v>45</v>
      </c>
      <c r="H43" s="32" t="s">
        <v>149</v>
      </c>
      <c r="I43" s="33">
        <v>17</v>
      </c>
      <c r="J43" s="32" t="s">
        <v>153</v>
      </c>
      <c r="K43" s="33">
        <v>0</v>
      </c>
      <c r="Q43" t="s">
        <v>149</v>
      </c>
      <c r="R43" t="s">
        <v>62</v>
      </c>
      <c r="S43">
        <v>11</v>
      </c>
      <c r="T43">
        <v>6</v>
      </c>
      <c r="U43">
        <v>7</v>
      </c>
      <c r="V43">
        <v>8</v>
      </c>
      <c r="X43" s="32" t="s">
        <v>46</v>
      </c>
      <c r="Y43" s="32" t="s">
        <v>148</v>
      </c>
      <c r="Z43" s="33">
        <v>2</v>
      </c>
      <c r="AA43" s="33">
        <v>0</v>
      </c>
      <c r="AB43" s="33">
        <v>10</v>
      </c>
      <c r="AD43" t="s">
        <v>149</v>
      </c>
      <c r="AE43" t="s">
        <v>54</v>
      </c>
      <c r="AF43">
        <v>22</v>
      </c>
      <c r="AG43">
        <v>26</v>
      </c>
      <c r="AH43">
        <v>28</v>
      </c>
      <c r="AI43">
        <v>76</v>
      </c>
    </row>
    <row r="44" spans="1:35" ht="16" x14ac:dyDescent="0.2">
      <c r="A44" s="32" t="s">
        <v>51</v>
      </c>
      <c r="B44" s="32" t="s">
        <v>149</v>
      </c>
      <c r="C44" s="33">
        <v>8</v>
      </c>
      <c r="D44" s="33">
        <v>1</v>
      </c>
      <c r="E44" t="e">
        <f>VLOOKUP(A44,'6. Deposits 2023_Q3'!$A$35:$A$61,1,FALSE)</f>
        <v>#N/A</v>
      </c>
      <c r="G44" s="32" t="s">
        <v>45</v>
      </c>
      <c r="H44" s="32" t="s">
        <v>149</v>
      </c>
      <c r="I44" s="33">
        <v>8</v>
      </c>
      <c r="J44" s="32" t="s">
        <v>154</v>
      </c>
      <c r="K44" s="33">
        <v>0</v>
      </c>
      <c r="Q44" t="s">
        <v>149</v>
      </c>
      <c r="R44" t="s">
        <v>63</v>
      </c>
      <c r="U44">
        <v>1</v>
      </c>
      <c r="X44" s="32" t="s">
        <v>46</v>
      </c>
      <c r="Y44" s="32" t="s">
        <v>148</v>
      </c>
      <c r="Z44" s="33">
        <v>4</v>
      </c>
      <c r="AA44" s="33">
        <v>0</v>
      </c>
      <c r="AB44" s="33">
        <v>11</v>
      </c>
      <c r="AD44" t="s">
        <v>149</v>
      </c>
      <c r="AE44" t="s">
        <v>55</v>
      </c>
      <c r="AF44">
        <v>60</v>
      </c>
      <c r="AG44">
        <v>84</v>
      </c>
      <c r="AH44">
        <v>162</v>
      </c>
      <c r="AI44">
        <v>306</v>
      </c>
    </row>
    <row r="45" spans="1:35" ht="16" x14ac:dyDescent="0.2">
      <c r="A45" s="32" t="s">
        <v>52</v>
      </c>
      <c r="B45" s="32" t="s">
        <v>149</v>
      </c>
      <c r="C45" s="33">
        <v>446</v>
      </c>
      <c r="D45" s="33">
        <v>1</v>
      </c>
      <c r="E45" t="e">
        <f>VLOOKUP(A45,'6. Deposits 2023_Q3'!$A$35:$A$61,1,FALSE)</f>
        <v>#N/A</v>
      </c>
      <c r="G45" s="32" t="s">
        <v>45</v>
      </c>
      <c r="H45" s="32" t="s">
        <v>149</v>
      </c>
      <c r="I45" s="33">
        <v>7</v>
      </c>
      <c r="J45" s="32" t="s">
        <v>155</v>
      </c>
      <c r="K45" s="33">
        <v>0</v>
      </c>
      <c r="Q45" t="s">
        <v>149</v>
      </c>
      <c r="R45" t="s">
        <v>64</v>
      </c>
      <c r="S45">
        <v>4</v>
      </c>
      <c r="V45">
        <v>6</v>
      </c>
      <c r="X45" s="32" t="s">
        <v>46</v>
      </c>
      <c r="Y45" s="32" t="s">
        <v>148</v>
      </c>
      <c r="Z45" s="33">
        <v>2</v>
      </c>
      <c r="AA45" s="33">
        <v>0</v>
      </c>
      <c r="AB45" s="33">
        <v>12</v>
      </c>
      <c r="AD45" t="s">
        <v>149</v>
      </c>
      <c r="AE45" t="s">
        <v>56</v>
      </c>
      <c r="AF45">
        <v>86</v>
      </c>
      <c r="AG45">
        <v>82</v>
      </c>
      <c r="AH45">
        <v>154</v>
      </c>
      <c r="AI45">
        <v>322</v>
      </c>
    </row>
    <row r="46" spans="1:35" ht="16" x14ac:dyDescent="0.2">
      <c r="A46" s="32" t="s">
        <v>53</v>
      </c>
      <c r="B46" s="32" t="s">
        <v>149</v>
      </c>
      <c r="C46" s="33">
        <v>535</v>
      </c>
      <c r="D46" s="33">
        <v>1</v>
      </c>
      <c r="E46" t="e">
        <f>VLOOKUP(A46,'6. Deposits 2023_Q3'!$A$35:$A$61,1,FALSE)</f>
        <v>#N/A</v>
      </c>
      <c r="G46" s="32" t="s">
        <v>46</v>
      </c>
      <c r="H46" s="32" t="s">
        <v>149</v>
      </c>
      <c r="I46" s="33">
        <v>3</v>
      </c>
      <c r="J46" s="32" t="s">
        <v>152</v>
      </c>
      <c r="K46" s="33">
        <v>0</v>
      </c>
      <c r="Q46" t="s">
        <v>149</v>
      </c>
      <c r="R46" t="s">
        <v>65</v>
      </c>
      <c r="S46">
        <v>2</v>
      </c>
      <c r="V46">
        <v>1</v>
      </c>
      <c r="X46" s="32" t="s">
        <v>46</v>
      </c>
      <c r="Y46" s="32" t="s">
        <v>149</v>
      </c>
      <c r="Z46" s="33">
        <v>4</v>
      </c>
      <c r="AA46" s="33">
        <v>0</v>
      </c>
      <c r="AB46" s="33">
        <v>10</v>
      </c>
      <c r="AD46" t="s">
        <v>149</v>
      </c>
      <c r="AE46" t="s">
        <v>57</v>
      </c>
      <c r="AF46">
        <v>6</v>
      </c>
      <c r="AG46">
        <v>2</v>
      </c>
      <c r="AH46">
        <v>22</v>
      </c>
      <c r="AI46">
        <v>30</v>
      </c>
    </row>
    <row r="47" spans="1:35" ht="16" x14ac:dyDescent="0.2">
      <c r="A47" s="32" t="s">
        <v>54</v>
      </c>
      <c r="B47" s="32" t="s">
        <v>149</v>
      </c>
      <c r="C47" s="33">
        <v>69</v>
      </c>
      <c r="D47" s="33">
        <v>1</v>
      </c>
      <c r="E47" t="e">
        <f>VLOOKUP(A47,'6. Deposits 2023_Q3'!$A$35:$A$61,1,FALSE)</f>
        <v>#N/A</v>
      </c>
      <c r="G47" s="32" t="s">
        <v>46</v>
      </c>
      <c r="H47" s="32" t="s">
        <v>149</v>
      </c>
      <c r="I47" s="33">
        <v>3</v>
      </c>
      <c r="J47" s="32" t="s">
        <v>153</v>
      </c>
      <c r="K47" s="33">
        <v>0</v>
      </c>
      <c r="Q47" t="s">
        <v>149</v>
      </c>
      <c r="R47" t="s">
        <v>67</v>
      </c>
      <c r="T47">
        <v>2</v>
      </c>
      <c r="X47" s="32" t="s">
        <v>46</v>
      </c>
      <c r="Y47" s="32" t="s">
        <v>149</v>
      </c>
      <c r="Z47" s="33">
        <v>4</v>
      </c>
      <c r="AA47" s="33">
        <v>0</v>
      </c>
      <c r="AB47" s="33">
        <v>11</v>
      </c>
      <c r="AD47" t="s">
        <v>149</v>
      </c>
      <c r="AE47" t="s">
        <v>58</v>
      </c>
      <c r="AF47">
        <v>62</v>
      </c>
      <c r="AG47">
        <v>58</v>
      </c>
      <c r="AH47">
        <v>62</v>
      </c>
      <c r="AI47">
        <v>182</v>
      </c>
    </row>
    <row r="48" spans="1:35" ht="16" x14ac:dyDescent="0.2">
      <c r="A48" s="32" t="s">
        <v>55</v>
      </c>
      <c r="B48" s="32" t="s">
        <v>149</v>
      </c>
      <c r="C48" s="33">
        <v>308</v>
      </c>
      <c r="D48" s="33">
        <v>1</v>
      </c>
      <c r="E48" t="e">
        <f>VLOOKUP(A48,'6. Deposits 2023_Q3'!$A$35:$A$61,1,FALSE)</f>
        <v>#N/A</v>
      </c>
      <c r="G48" s="32" t="s">
        <v>46</v>
      </c>
      <c r="H48" s="32" t="s">
        <v>149</v>
      </c>
      <c r="I48" s="33">
        <v>3</v>
      </c>
      <c r="J48" s="32" t="s">
        <v>154</v>
      </c>
      <c r="K48" s="33">
        <v>0</v>
      </c>
      <c r="Q48" t="s">
        <v>149</v>
      </c>
      <c r="R48" t="s">
        <v>68</v>
      </c>
      <c r="S48">
        <v>3</v>
      </c>
      <c r="U48">
        <v>2</v>
      </c>
      <c r="V48">
        <v>1</v>
      </c>
      <c r="X48" s="32" t="s">
        <v>46</v>
      </c>
      <c r="Y48" s="32" t="s">
        <v>149</v>
      </c>
      <c r="Z48" s="33">
        <v>14</v>
      </c>
      <c r="AA48" s="33">
        <v>0</v>
      </c>
      <c r="AB48" s="33">
        <v>12</v>
      </c>
      <c r="AD48" t="s">
        <v>149</v>
      </c>
      <c r="AE48" t="s">
        <v>60</v>
      </c>
      <c r="AF48">
        <v>6</v>
      </c>
      <c r="AG48">
        <v>18</v>
      </c>
      <c r="AH48">
        <v>6</v>
      </c>
      <c r="AI48">
        <v>30</v>
      </c>
    </row>
    <row r="49" spans="1:35" ht="16" x14ac:dyDescent="0.2">
      <c r="A49" s="32" t="s">
        <v>56</v>
      </c>
      <c r="B49" s="32" t="s">
        <v>149</v>
      </c>
      <c r="C49" s="33">
        <v>351</v>
      </c>
      <c r="D49" s="33">
        <v>1</v>
      </c>
      <c r="E49" t="e">
        <f>VLOOKUP(A49,'6. Deposits 2023_Q3'!$A$35:$A$61,1,FALSE)</f>
        <v>#N/A</v>
      </c>
      <c r="G49" s="32" t="s">
        <v>46</v>
      </c>
      <c r="H49" s="32" t="s">
        <v>149</v>
      </c>
      <c r="I49" s="33">
        <v>1</v>
      </c>
      <c r="J49" s="32" t="s">
        <v>155</v>
      </c>
      <c r="K49" s="33">
        <v>0</v>
      </c>
      <c r="Q49" t="s">
        <v>149</v>
      </c>
      <c r="R49" t="s">
        <v>69</v>
      </c>
      <c r="S49">
        <v>85</v>
      </c>
      <c r="T49">
        <v>56</v>
      </c>
      <c r="U49">
        <v>23</v>
      </c>
      <c r="V49">
        <v>112</v>
      </c>
      <c r="X49" s="32" t="s">
        <v>47</v>
      </c>
      <c r="Y49" s="32" t="s">
        <v>148</v>
      </c>
      <c r="Z49" s="33">
        <v>4</v>
      </c>
      <c r="AA49" s="33">
        <v>0</v>
      </c>
      <c r="AB49" s="33">
        <v>10</v>
      </c>
      <c r="AD49" t="s">
        <v>149</v>
      </c>
      <c r="AE49" t="s">
        <v>61</v>
      </c>
      <c r="AF49">
        <v>64</v>
      </c>
      <c r="AG49">
        <v>102</v>
      </c>
      <c r="AH49">
        <v>64</v>
      </c>
      <c r="AI49">
        <v>230</v>
      </c>
    </row>
    <row r="50" spans="1:35" ht="16" x14ac:dyDescent="0.2">
      <c r="A50" s="32" t="s">
        <v>57</v>
      </c>
      <c r="B50" s="32" t="s">
        <v>149</v>
      </c>
      <c r="C50" s="33">
        <v>33</v>
      </c>
      <c r="D50" s="33">
        <v>1</v>
      </c>
      <c r="E50" t="e">
        <f>VLOOKUP(A50,'6. Deposits 2023_Q3'!$A$35:$A$61,1,FALSE)</f>
        <v>#N/A</v>
      </c>
      <c r="G50" s="32" t="s">
        <v>47</v>
      </c>
      <c r="H50" s="32" t="s">
        <v>149</v>
      </c>
      <c r="I50" s="33">
        <v>5</v>
      </c>
      <c r="J50" s="32" t="s">
        <v>152</v>
      </c>
      <c r="K50" s="33">
        <v>0</v>
      </c>
      <c r="Q50" t="s">
        <v>156</v>
      </c>
      <c r="S50">
        <v>795</v>
      </c>
      <c r="T50">
        <v>536</v>
      </c>
      <c r="U50">
        <v>268</v>
      </c>
      <c r="V50">
        <v>753</v>
      </c>
      <c r="X50" s="32" t="s">
        <v>47</v>
      </c>
      <c r="Y50" s="32" t="s">
        <v>149</v>
      </c>
      <c r="Z50" s="33">
        <v>30</v>
      </c>
      <c r="AA50" s="33">
        <v>0</v>
      </c>
      <c r="AB50" s="33">
        <v>10</v>
      </c>
      <c r="AD50" t="s">
        <v>149</v>
      </c>
      <c r="AE50" t="s">
        <v>62</v>
      </c>
      <c r="AF50">
        <v>20</v>
      </c>
      <c r="AG50">
        <v>36</v>
      </c>
      <c r="AH50">
        <v>34</v>
      </c>
      <c r="AI50">
        <v>90</v>
      </c>
    </row>
    <row r="51" spans="1:35" ht="16" x14ac:dyDescent="0.2">
      <c r="A51" s="32" t="s">
        <v>58</v>
      </c>
      <c r="B51" s="32" t="s">
        <v>149</v>
      </c>
      <c r="C51" s="33">
        <v>127</v>
      </c>
      <c r="D51" s="33">
        <v>1</v>
      </c>
      <c r="E51" t="e">
        <f>VLOOKUP(A51,'6. Deposits 2023_Q3'!$A$35:$A$61,1,FALSE)</f>
        <v>#N/A</v>
      </c>
      <c r="G51" s="32" t="s">
        <v>47</v>
      </c>
      <c r="H51" s="32" t="s">
        <v>149</v>
      </c>
      <c r="I51" s="33">
        <v>6</v>
      </c>
      <c r="J51" s="32" t="s">
        <v>153</v>
      </c>
      <c r="K51" s="33">
        <v>0</v>
      </c>
      <c r="X51" s="32" t="s">
        <v>47</v>
      </c>
      <c r="Y51" s="32" t="s">
        <v>149</v>
      </c>
      <c r="Z51" s="33">
        <v>16</v>
      </c>
      <c r="AA51" s="33">
        <v>0</v>
      </c>
      <c r="AB51" s="33">
        <v>11</v>
      </c>
      <c r="AD51" t="s">
        <v>149</v>
      </c>
      <c r="AE51" t="s">
        <v>63</v>
      </c>
      <c r="AF51">
        <v>2</v>
      </c>
      <c r="AH51">
        <v>2</v>
      </c>
      <c r="AI51">
        <v>4</v>
      </c>
    </row>
    <row r="52" spans="1:35" ht="16" x14ac:dyDescent="0.2">
      <c r="A52" s="32" t="s">
        <v>60</v>
      </c>
      <c r="B52" s="32" t="s">
        <v>149</v>
      </c>
      <c r="C52" s="33">
        <v>26</v>
      </c>
      <c r="D52" s="33">
        <v>1</v>
      </c>
      <c r="E52" t="e">
        <f>VLOOKUP(A52,'6. Deposits 2023_Q3'!$A$35:$A$61,1,FALSE)</f>
        <v>#N/A</v>
      </c>
      <c r="G52" s="32" t="s">
        <v>47</v>
      </c>
      <c r="H52" s="32" t="s">
        <v>149</v>
      </c>
      <c r="I52" s="33">
        <v>2</v>
      </c>
      <c r="J52" s="32" t="s">
        <v>154</v>
      </c>
      <c r="K52" s="33">
        <v>0</v>
      </c>
      <c r="X52" s="32" t="s">
        <v>47</v>
      </c>
      <c r="Y52" s="32" t="s">
        <v>149</v>
      </c>
      <c r="Z52" s="33">
        <v>36</v>
      </c>
      <c r="AA52" s="33">
        <v>0</v>
      </c>
      <c r="AB52" s="33">
        <v>12</v>
      </c>
      <c r="AD52" t="s">
        <v>149</v>
      </c>
      <c r="AE52" t="s">
        <v>64</v>
      </c>
      <c r="AF52">
        <v>6</v>
      </c>
      <c r="AG52">
        <v>10</v>
      </c>
      <c r="AH52">
        <v>6</v>
      </c>
      <c r="AI52">
        <v>22</v>
      </c>
    </row>
    <row r="53" spans="1:35" ht="16" x14ac:dyDescent="0.2">
      <c r="A53" s="32" t="s">
        <v>61</v>
      </c>
      <c r="B53" s="32" t="s">
        <v>149</v>
      </c>
      <c r="C53" s="33">
        <v>336</v>
      </c>
      <c r="D53" s="33">
        <v>1</v>
      </c>
      <c r="E53" t="e">
        <f>VLOOKUP(A53,'6. Deposits 2023_Q3'!$A$35:$A$61,1,FALSE)</f>
        <v>#N/A</v>
      </c>
      <c r="G53" s="32" t="s">
        <v>47</v>
      </c>
      <c r="H53" s="32" t="s">
        <v>149</v>
      </c>
      <c r="I53" s="33">
        <v>4</v>
      </c>
      <c r="J53" s="32" t="s">
        <v>155</v>
      </c>
      <c r="K53" s="33">
        <v>0</v>
      </c>
      <c r="X53" s="32" t="s">
        <v>48</v>
      </c>
      <c r="Y53" s="32" t="s">
        <v>148</v>
      </c>
      <c r="Z53" s="33">
        <v>4</v>
      </c>
      <c r="AA53" s="33">
        <v>0</v>
      </c>
      <c r="AB53" s="33">
        <v>10</v>
      </c>
      <c r="AD53" t="s">
        <v>149</v>
      </c>
      <c r="AE53" t="s">
        <v>65</v>
      </c>
      <c r="AG53">
        <v>4</v>
      </c>
      <c r="AH53">
        <v>2</v>
      </c>
      <c r="AI53">
        <v>6</v>
      </c>
    </row>
    <row r="54" spans="1:35" ht="16" x14ac:dyDescent="0.2">
      <c r="A54" s="32" t="s">
        <v>62</v>
      </c>
      <c r="B54" s="32" t="s">
        <v>149</v>
      </c>
      <c r="C54" s="33">
        <v>97</v>
      </c>
      <c r="D54" s="33">
        <v>1</v>
      </c>
      <c r="E54" t="e">
        <f>VLOOKUP(A54,'6. Deposits 2023_Q3'!$A$35:$A$61,1,FALSE)</f>
        <v>#N/A</v>
      </c>
      <c r="G54" s="32" t="s">
        <v>48</v>
      </c>
      <c r="H54" s="32" t="s">
        <v>149</v>
      </c>
      <c r="I54" s="33">
        <v>6</v>
      </c>
      <c r="J54" s="32" t="s">
        <v>152</v>
      </c>
      <c r="K54" s="33">
        <v>0</v>
      </c>
      <c r="X54" s="32" t="s">
        <v>48</v>
      </c>
      <c r="Y54" s="32" t="s">
        <v>148</v>
      </c>
      <c r="Z54" s="33">
        <v>2</v>
      </c>
      <c r="AA54" s="33">
        <v>0</v>
      </c>
      <c r="AB54" s="33">
        <v>11</v>
      </c>
      <c r="AD54" t="s">
        <v>149</v>
      </c>
      <c r="AE54" t="s">
        <v>67</v>
      </c>
      <c r="AF54">
        <v>2</v>
      </c>
      <c r="AG54">
        <v>2</v>
      </c>
      <c r="AH54">
        <v>6</v>
      </c>
      <c r="AI54">
        <v>10</v>
      </c>
    </row>
    <row r="55" spans="1:35" ht="16" x14ac:dyDescent="0.2">
      <c r="A55" s="32" t="s">
        <v>63</v>
      </c>
      <c r="B55" s="32" t="s">
        <v>149</v>
      </c>
      <c r="C55" s="33">
        <v>2</v>
      </c>
      <c r="D55" s="33">
        <v>1</v>
      </c>
      <c r="E55" t="e">
        <f>VLOOKUP(A55,'6. Deposits 2023_Q3'!$A$35:$A$61,1,FALSE)</f>
        <v>#N/A</v>
      </c>
      <c r="G55" s="32" t="s">
        <v>48</v>
      </c>
      <c r="H55" s="32" t="s">
        <v>149</v>
      </c>
      <c r="I55" s="33">
        <v>10</v>
      </c>
      <c r="J55" s="32" t="s">
        <v>153</v>
      </c>
      <c r="K55" s="33">
        <v>0</v>
      </c>
      <c r="X55" s="32" t="s">
        <v>48</v>
      </c>
      <c r="Y55" s="32" t="s">
        <v>148</v>
      </c>
      <c r="Z55" s="33">
        <v>24</v>
      </c>
      <c r="AA55" s="33">
        <v>0</v>
      </c>
      <c r="AB55" s="33">
        <v>12</v>
      </c>
      <c r="AD55" t="s">
        <v>149</v>
      </c>
      <c r="AE55" t="s">
        <v>68</v>
      </c>
      <c r="AF55">
        <v>6</v>
      </c>
      <c r="AH55">
        <v>24</v>
      </c>
      <c r="AI55">
        <v>30</v>
      </c>
    </row>
    <row r="56" spans="1:35" ht="16" x14ac:dyDescent="0.2">
      <c r="A56" s="32" t="s">
        <v>64</v>
      </c>
      <c r="B56" s="32" t="s">
        <v>149</v>
      </c>
      <c r="C56" s="33">
        <v>45</v>
      </c>
      <c r="D56" s="33">
        <v>1</v>
      </c>
      <c r="E56" t="e">
        <f>VLOOKUP(A56,'6. Deposits 2023_Q3'!$A$35:$A$61,1,FALSE)</f>
        <v>#N/A</v>
      </c>
      <c r="G56" s="32" t="s">
        <v>48</v>
      </c>
      <c r="H56" s="32" t="s">
        <v>149</v>
      </c>
      <c r="I56" s="33">
        <v>6</v>
      </c>
      <c r="J56" s="32" t="s">
        <v>154</v>
      </c>
      <c r="K56" s="33">
        <v>0</v>
      </c>
      <c r="X56" s="32" t="s">
        <v>48</v>
      </c>
      <c r="Y56" s="32" t="s">
        <v>149</v>
      </c>
      <c r="Z56" s="33">
        <v>38</v>
      </c>
      <c r="AA56" s="33">
        <v>0</v>
      </c>
      <c r="AB56" s="33">
        <v>10</v>
      </c>
      <c r="AD56" t="s">
        <v>149</v>
      </c>
      <c r="AE56" t="s">
        <v>69</v>
      </c>
      <c r="AF56">
        <v>394</v>
      </c>
      <c r="AG56">
        <v>308</v>
      </c>
      <c r="AH56">
        <v>342</v>
      </c>
      <c r="AI56">
        <v>1044</v>
      </c>
    </row>
    <row r="57" spans="1:35" ht="16" x14ac:dyDescent="0.2">
      <c r="A57" s="32" t="s">
        <v>65</v>
      </c>
      <c r="B57" s="32" t="s">
        <v>149</v>
      </c>
      <c r="C57" s="33">
        <v>12</v>
      </c>
      <c r="D57" s="33">
        <v>1</v>
      </c>
      <c r="E57" t="e">
        <f>VLOOKUP(A57,'6. Deposits 2023_Q3'!$A$35:$A$61,1,FALSE)</f>
        <v>#N/A</v>
      </c>
      <c r="G57" s="32" t="s">
        <v>48</v>
      </c>
      <c r="H57" s="32" t="s">
        <v>149</v>
      </c>
      <c r="I57" s="33">
        <v>5</v>
      </c>
      <c r="J57" s="32" t="s">
        <v>155</v>
      </c>
      <c r="K57" s="33">
        <v>0</v>
      </c>
      <c r="X57" s="32" t="s">
        <v>48</v>
      </c>
      <c r="Y57" s="32" t="s">
        <v>149</v>
      </c>
      <c r="Z57" s="33">
        <v>26</v>
      </c>
      <c r="AA57" s="33">
        <v>0</v>
      </c>
      <c r="AB57" s="33">
        <v>11</v>
      </c>
      <c r="AD57" t="s">
        <v>149</v>
      </c>
      <c r="AE57" t="s">
        <v>70</v>
      </c>
      <c r="AF57">
        <v>4</v>
      </c>
      <c r="AH57">
        <v>2</v>
      </c>
      <c r="AI57">
        <v>6</v>
      </c>
    </row>
    <row r="58" spans="1:35" ht="16" x14ac:dyDescent="0.2">
      <c r="A58" s="32" t="s">
        <v>66</v>
      </c>
      <c r="B58" s="32" t="s">
        <v>149</v>
      </c>
      <c r="C58" s="33">
        <v>3</v>
      </c>
      <c r="D58" s="33">
        <v>1</v>
      </c>
      <c r="E58" t="e">
        <f>VLOOKUP(A58,'6. Deposits 2023_Q3'!$A$35:$A$61,1,FALSE)</f>
        <v>#N/A</v>
      </c>
      <c r="G58" s="32" t="s">
        <v>49</v>
      </c>
      <c r="H58" s="32" t="s">
        <v>148</v>
      </c>
      <c r="I58" s="33">
        <v>3</v>
      </c>
      <c r="J58" s="32" t="s">
        <v>153</v>
      </c>
      <c r="K58" s="33">
        <v>0</v>
      </c>
      <c r="X58" s="32" t="s">
        <v>48</v>
      </c>
      <c r="Y58" s="32" t="s">
        <v>149</v>
      </c>
      <c r="Z58" s="33">
        <v>80</v>
      </c>
      <c r="AA58" s="33">
        <v>0</v>
      </c>
      <c r="AB58" s="33">
        <v>12</v>
      </c>
      <c r="AD58" t="s">
        <v>156</v>
      </c>
      <c r="AF58">
        <v>2644</v>
      </c>
      <c r="AG58">
        <v>2930</v>
      </c>
      <c r="AH58">
        <v>3528</v>
      </c>
      <c r="AI58">
        <v>9102</v>
      </c>
    </row>
    <row r="59" spans="1:35" ht="16" x14ac:dyDescent="0.2">
      <c r="A59" s="32" t="s">
        <v>67</v>
      </c>
      <c r="B59" s="32" t="s">
        <v>149</v>
      </c>
      <c r="C59" s="33">
        <v>11</v>
      </c>
      <c r="D59" s="33">
        <v>1</v>
      </c>
      <c r="E59" t="e">
        <f>VLOOKUP(A59,'6. Deposits 2023_Q3'!$A$35:$A$61,1,FALSE)</f>
        <v>#N/A</v>
      </c>
      <c r="G59" s="32" t="s">
        <v>49</v>
      </c>
      <c r="H59" s="32" t="s">
        <v>148</v>
      </c>
      <c r="I59" s="33">
        <v>2</v>
      </c>
      <c r="J59" s="32" t="s">
        <v>154</v>
      </c>
      <c r="K59" s="33">
        <v>0</v>
      </c>
      <c r="X59" s="32" t="s">
        <v>49</v>
      </c>
      <c r="Y59" s="32" t="s">
        <v>148</v>
      </c>
      <c r="Z59" s="33">
        <v>6</v>
      </c>
      <c r="AA59" s="33">
        <v>0</v>
      </c>
      <c r="AB59" s="33">
        <v>11</v>
      </c>
    </row>
    <row r="60" spans="1:35" ht="16" x14ac:dyDescent="0.2">
      <c r="A60" s="32" t="s">
        <v>68</v>
      </c>
      <c r="B60" s="32" t="s">
        <v>149</v>
      </c>
      <c r="C60" s="33">
        <v>31</v>
      </c>
      <c r="D60" s="33">
        <v>1</v>
      </c>
      <c r="E60" t="e">
        <f>VLOOKUP(A60,'6. Deposits 2023_Q3'!$A$35:$A$61,1,FALSE)</f>
        <v>#N/A</v>
      </c>
      <c r="G60" s="32" t="s">
        <v>49</v>
      </c>
      <c r="H60" s="32" t="s">
        <v>149</v>
      </c>
      <c r="I60" s="33">
        <v>9</v>
      </c>
      <c r="J60" s="32" t="s">
        <v>152</v>
      </c>
      <c r="K60" s="33">
        <v>0</v>
      </c>
      <c r="X60" s="32" t="s">
        <v>49</v>
      </c>
      <c r="Y60" s="32" t="s">
        <v>148</v>
      </c>
      <c r="Z60" s="33">
        <v>2</v>
      </c>
      <c r="AA60" s="33">
        <v>0</v>
      </c>
      <c r="AB60" s="33">
        <v>12</v>
      </c>
    </row>
    <row r="61" spans="1:35" ht="16" x14ac:dyDescent="0.2">
      <c r="A61" s="32" t="s">
        <v>69</v>
      </c>
      <c r="B61" s="32" t="s">
        <v>149</v>
      </c>
      <c r="C61" s="33">
        <v>1179</v>
      </c>
      <c r="D61" s="33">
        <v>1</v>
      </c>
      <c r="E61" t="e">
        <f>VLOOKUP(A61,'6. Deposits 2023_Q3'!$A$35:$A$61,1,FALSE)</f>
        <v>#N/A</v>
      </c>
      <c r="G61" s="32" t="s">
        <v>49</v>
      </c>
      <c r="H61" s="32" t="s">
        <v>149</v>
      </c>
      <c r="I61" s="33">
        <v>2</v>
      </c>
      <c r="J61" s="32" t="s">
        <v>153</v>
      </c>
      <c r="K61" s="33">
        <v>0</v>
      </c>
      <c r="X61" s="32" t="s">
        <v>49</v>
      </c>
      <c r="Y61" s="32" t="s">
        <v>149</v>
      </c>
      <c r="Z61" s="33">
        <v>20</v>
      </c>
      <c r="AA61" s="33">
        <v>0</v>
      </c>
      <c r="AB61" s="33">
        <v>10</v>
      </c>
    </row>
    <row r="62" spans="1:35" ht="16" x14ac:dyDescent="0.2">
      <c r="A62" s="32" t="s">
        <v>70</v>
      </c>
      <c r="B62" s="32" t="s">
        <v>149</v>
      </c>
      <c r="C62" s="33">
        <v>3</v>
      </c>
      <c r="D62" s="33">
        <v>1</v>
      </c>
      <c r="E62" t="e">
        <f>VLOOKUP(A62,'6. Deposits 2023_Q3'!$A$35:$A$61,1,FALSE)</f>
        <v>#N/A</v>
      </c>
      <c r="G62" s="32" t="s">
        <v>49</v>
      </c>
      <c r="H62" s="32" t="s">
        <v>149</v>
      </c>
      <c r="I62" s="33">
        <v>3</v>
      </c>
      <c r="J62" s="32" t="s">
        <v>154</v>
      </c>
      <c r="K62" s="33">
        <v>0</v>
      </c>
      <c r="X62" s="32" t="s">
        <v>49</v>
      </c>
      <c r="Y62" s="32" t="s">
        <v>149</v>
      </c>
      <c r="Z62" s="33">
        <v>30</v>
      </c>
      <c r="AA62" s="33">
        <v>0</v>
      </c>
      <c r="AB62" s="33">
        <v>11</v>
      </c>
    </row>
    <row r="63" spans="1:35" ht="16" x14ac:dyDescent="0.2">
      <c r="G63" s="32" t="s">
        <v>49</v>
      </c>
      <c r="H63" s="32" t="s">
        <v>149</v>
      </c>
      <c r="I63" s="33">
        <v>7</v>
      </c>
      <c r="J63" s="32" t="s">
        <v>155</v>
      </c>
      <c r="K63" s="33">
        <v>0</v>
      </c>
      <c r="X63" s="32" t="s">
        <v>49</v>
      </c>
      <c r="Y63" s="32" t="s">
        <v>149</v>
      </c>
      <c r="Z63" s="33">
        <v>38</v>
      </c>
      <c r="AA63" s="33">
        <v>0</v>
      </c>
      <c r="AB63" s="33">
        <v>12</v>
      </c>
    </row>
    <row r="64" spans="1:35" ht="16" x14ac:dyDescent="0.2">
      <c r="G64" s="32" t="s">
        <v>50</v>
      </c>
      <c r="H64" s="32" t="s">
        <v>149</v>
      </c>
      <c r="I64" s="33">
        <v>1</v>
      </c>
      <c r="J64" s="32" t="s">
        <v>152</v>
      </c>
      <c r="K64" s="33">
        <v>0</v>
      </c>
      <c r="X64" s="32" t="s">
        <v>50</v>
      </c>
      <c r="Y64" s="32" t="s">
        <v>149</v>
      </c>
      <c r="Z64" s="33">
        <v>24</v>
      </c>
      <c r="AA64" s="33">
        <v>0</v>
      </c>
      <c r="AB64" s="33">
        <v>10</v>
      </c>
    </row>
    <row r="65" spans="7:28" ht="16" x14ac:dyDescent="0.2">
      <c r="G65" s="32" t="s">
        <v>50</v>
      </c>
      <c r="H65" s="32" t="s">
        <v>149</v>
      </c>
      <c r="I65" s="33">
        <v>4</v>
      </c>
      <c r="J65" s="32" t="s">
        <v>154</v>
      </c>
      <c r="K65" s="33">
        <v>0</v>
      </c>
      <c r="X65" s="32" t="s">
        <v>50</v>
      </c>
      <c r="Y65" s="32" t="s">
        <v>149</v>
      </c>
      <c r="Z65" s="33">
        <v>14</v>
      </c>
      <c r="AA65" s="33">
        <v>0</v>
      </c>
      <c r="AB65" s="33">
        <v>11</v>
      </c>
    </row>
    <row r="66" spans="7:28" ht="16" x14ac:dyDescent="0.2">
      <c r="G66" s="32" t="s">
        <v>51</v>
      </c>
      <c r="H66" s="32" t="s">
        <v>149</v>
      </c>
      <c r="I66" s="33">
        <v>1</v>
      </c>
      <c r="J66" s="32" t="s">
        <v>154</v>
      </c>
      <c r="K66" s="33">
        <v>0</v>
      </c>
      <c r="X66" s="32" t="s">
        <v>50</v>
      </c>
      <c r="Y66" s="32" t="s">
        <v>149</v>
      </c>
      <c r="Z66" s="33">
        <v>40</v>
      </c>
      <c r="AA66" s="33">
        <v>0</v>
      </c>
      <c r="AB66" s="33">
        <v>12</v>
      </c>
    </row>
    <row r="67" spans="7:28" ht="16" x14ac:dyDescent="0.2">
      <c r="G67" s="32" t="s">
        <v>52</v>
      </c>
      <c r="H67" s="32" t="s">
        <v>148</v>
      </c>
      <c r="I67" s="33">
        <v>2</v>
      </c>
      <c r="J67" s="32" t="s">
        <v>152</v>
      </c>
      <c r="K67" s="33">
        <v>0</v>
      </c>
      <c r="X67" s="32" t="s">
        <v>51</v>
      </c>
      <c r="Y67" s="32" t="s">
        <v>149</v>
      </c>
      <c r="Z67" s="33">
        <v>4</v>
      </c>
      <c r="AA67" s="33">
        <v>0</v>
      </c>
      <c r="AB67" s="33">
        <v>10</v>
      </c>
    </row>
    <row r="68" spans="7:28" ht="16" x14ac:dyDescent="0.2">
      <c r="G68" s="32" t="s">
        <v>52</v>
      </c>
      <c r="H68" s="32" t="s">
        <v>148</v>
      </c>
      <c r="I68" s="33">
        <v>1</v>
      </c>
      <c r="J68" s="32" t="s">
        <v>155</v>
      </c>
      <c r="K68" s="33">
        <v>0</v>
      </c>
      <c r="X68" s="32" t="s">
        <v>51</v>
      </c>
      <c r="Y68" s="32" t="s">
        <v>149</v>
      </c>
      <c r="Z68" s="33">
        <v>4</v>
      </c>
      <c r="AA68" s="33">
        <v>0</v>
      </c>
      <c r="AB68" s="33">
        <v>11</v>
      </c>
    </row>
    <row r="69" spans="7:28" ht="16" x14ac:dyDescent="0.2">
      <c r="G69" s="32" t="s">
        <v>52</v>
      </c>
      <c r="H69" s="32" t="s">
        <v>149</v>
      </c>
      <c r="I69" s="33">
        <v>42</v>
      </c>
      <c r="J69" s="32" t="s">
        <v>152</v>
      </c>
      <c r="K69" s="33">
        <v>0</v>
      </c>
      <c r="X69" s="32" t="s">
        <v>51</v>
      </c>
      <c r="Y69" s="32" t="s">
        <v>149</v>
      </c>
      <c r="Z69" s="33">
        <v>2</v>
      </c>
      <c r="AA69" s="33">
        <v>0</v>
      </c>
      <c r="AB69" s="33">
        <v>12</v>
      </c>
    </row>
    <row r="70" spans="7:28" ht="16" x14ac:dyDescent="0.2">
      <c r="G70" s="32" t="s">
        <v>52</v>
      </c>
      <c r="H70" s="32" t="s">
        <v>149</v>
      </c>
      <c r="I70" s="33">
        <v>27</v>
      </c>
      <c r="J70" s="32" t="s">
        <v>153</v>
      </c>
      <c r="K70" s="33">
        <v>0</v>
      </c>
      <c r="X70" s="32" t="s">
        <v>52</v>
      </c>
      <c r="Y70" s="32" t="s">
        <v>148</v>
      </c>
      <c r="Z70" s="33">
        <v>8</v>
      </c>
      <c r="AA70" s="33">
        <v>0</v>
      </c>
      <c r="AB70" s="33">
        <v>10</v>
      </c>
    </row>
    <row r="71" spans="7:28" ht="16" x14ac:dyDescent="0.2">
      <c r="G71" s="32" t="s">
        <v>52</v>
      </c>
      <c r="H71" s="32" t="s">
        <v>149</v>
      </c>
      <c r="I71" s="33">
        <v>12</v>
      </c>
      <c r="J71" s="32" t="s">
        <v>154</v>
      </c>
      <c r="K71" s="33">
        <v>0</v>
      </c>
      <c r="X71" s="32" t="s">
        <v>52</v>
      </c>
      <c r="Y71" s="32" t="s">
        <v>148</v>
      </c>
      <c r="Z71" s="33">
        <v>14</v>
      </c>
      <c r="AA71" s="33">
        <v>0</v>
      </c>
      <c r="AB71" s="33">
        <v>11</v>
      </c>
    </row>
    <row r="72" spans="7:28" ht="16" x14ac:dyDescent="0.2">
      <c r="G72" s="32" t="s">
        <v>52</v>
      </c>
      <c r="H72" s="32" t="s">
        <v>149</v>
      </c>
      <c r="I72" s="33">
        <v>36</v>
      </c>
      <c r="J72" s="32" t="s">
        <v>155</v>
      </c>
      <c r="K72" s="33">
        <v>0</v>
      </c>
      <c r="X72" s="32" t="s">
        <v>52</v>
      </c>
      <c r="Y72" s="32" t="s">
        <v>148</v>
      </c>
      <c r="Z72" s="33">
        <v>4</v>
      </c>
      <c r="AA72" s="33">
        <v>0</v>
      </c>
      <c r="AB72" s="33">
        <v>12</v>
      </c>
    </row>
    <row r="73" spans="7:28" ht="16" x14ac:dyDescent="0.2">
      <c r="G73" s="32" t="s">
        <v>53</v>
      </c>
      <c r="H73" s="32" t="s">
        <v>148</v>
      </c>
      <c r="I73" s="33">
        <v>17</v>
      </c>
      <c r="J73" s="32" t="s">
        <v>152</v>
      </c>
      <c r="K73" s="33">
        <v>0</v>
      </c>
      <c r="X73" s="32" t="s">
        <v>52</v>
      </c>
      <c r="Y73" s="32" t="s">
        <v>149</v>
      </c>
      <c r="Z73" s="33">
        <v>114</v>
      </c>
      <c r="AA73" s="33">
        <v>0</v>
      </c>
      <c r="AB73" s="33">
        <v>10</v>
      </c>
    </row>
    <row r="74" spans="7:28" ht="16" x14ac:dyDescent="0.2">
      <c r="G74" s="32" t="s">
        <v>53</v>
      </c>
      <c r="H74" s="32" t="s">
        <v>148</v>
      </c>
      <c r="I74" s="33">
        <v>6</v>
      </c>
      <c r="J74" s="32" t="s">
        <v>154</v>
      </c>
      <c r="K74" s="33">
        <v>0</v>
      </c>
      <c r="X74" s="32" t="s">
        <v>52</v>
      </c>
      <c r="Y74" s="32" t="s">
        <v>149</v>
      </c>
      <c r="Z74" s="33">
        <v>190</v>
      </c>
      <c r="AA74" s="33">
        <v>0</v>
      </c>
      <c r="AB74" s="33">
        <v>11</v>
      </c>
    </row>
    <row r="75" spans="7:28" ht="16" x14ac:dyDescent="0.2">
      <c r="G75" s="32" t="s">
        <v>53</v>
      </c>
      <c r="H75" s="32" t="s">
        <v>148</v>
      </c>
      <c r="I75" s="33">
        <v>2</v>
      </c>
      <c r="J75" s="32" t="s">
        <v>155</v>
      </c>
      <c r="K75" s="33">
        <v>0</v>
      </c>
      <c r="X75" s="32" t="s">
        <v>52</v>
      </c>
      <c r="Y75" s="32" t="s">
        <v>149</v>
      </c>
      <c r="Z75" s="33">
        <v>106</v>
      </c>
      <c r="AA75" s="33">
        <v>0</v>
      </c>
      <c r="AB75" s="33">
        <v>12</v>
      </c>
    </row>
    <row r="76" spans="7:28" ht="16" x14ac:dyDescent="0.2">
      <c r="G76" s="32" t="s">
        <v>53</v>
      </c>
      <c r="H76" s="32" t="s">
        <v>149</v>
      </c>
      <c r="I76" s="33">
        <v>23</v>
      </c>
      <c r="J76" s="32" t="s">
        <v>152</v>
      </c>
      <c r="K76" s="33">
        <v>0</v>
      </c>
      <c r="X76" s="32" t="s">
        <v>53</v>
      </c>
      <c r="Y76" s="32" t="s">
        <v>148</v>
      </c>
      <c r="Z76" s="33">
        <v>12</v>
      </c>
      <c r="AA76" s="33">
        <v>0</v>
      </c>
      <c r="AB76" s="33">
        <v>10</v>
      </c>
    </row>
    <row r="77" spans="7:28" ht="16" x14ac:dyDescent="0.2">
      <c r="G77" s="32" t="s">
        <v>53</v>
      </c>
      <c r="H77" s="32" t="s">
        <v>149</v>
      </c>
      <c r="I77" s="33">
        <v>30</v>
      </c>
      <c r="J77" s="32" t="s">
        <v>153</v>
      </c>
      <c r="K77" s="33">
        <v>0</v>
      </c>
      <c r="X77" s="32" t="s">
        <v>53</v>
      </c>
      <c r="Y77" s="32" t="s">
        <v>148</v>
      </c>
      <c r="Z77" s="33">
        <v>26</v>
      </c>
      <c r="AA77" s="33">
        <v>0</v>
      </c>
      <c r="AB77" s="33">
        <v>11</v>
      </c>
    </row>
    <row r="78" spans="7:28" ht="16" x14ac:dyDescent="0.2">
      <c r="G78" s="32" t="s">
        <v>53</v>
      </c>
      <c r="H78" s="32" t="s">
        <v>149</v>
      </c>
      <c r="I78" s="33">
        <v>15</v>
      </c>
      <c r="J78" s="32" t="s">
        <v>154</v>
      </c>
      <c r="K78" s="33">
        <v>0</v>
      </c>
      <c r="X78" s="32" t="s">
        <v>53</v>
      </c>
      <c r="Y78" s="32" t="s">
        <v>148</v>
      </c>
      <c r="Z78" s="33">
        <v>18</v>
      </c>
      <c r="AA78" s="33">
        <v>0</v>
      </c>
      <c r="AB78" s="33">
        <v>12</v>
      </c>
    </row>
    <row r="79" spans="7:28" ht="16" x14ac:dyDescent="0.2">
      <c r="G79" s="32" t="s">
        <v>53</v>
      </c>
      <c r="H79" s="32" t="s">
        <v>149</v>
      </c>
      <c r="I79" s="33">
        <v>31</v>
      </c>
      <c r="J79" s="32" t="s">
        <v>155</v>
      </c>
      <c r="K79" s="33">
        <v>0</v>
      </c>
      <c r="X79" s="32" t="s">
        <v>53</v>
      </c>
      <c r="Y79" s="32" t="s">
        <v>149</v>
      </c>
      <c r="Z79" s="33">
        <v>100</v>
      </c>
      <c r="AA79" s="33">
        <v>0</v>
      </c>
      <c r="AB79" s="33">
        <v>10</v>
      </c>
    </row>
    <row r="80" spans="7:28" ht="16" x14ac:dyDescent="0.2">
      <c r="G80" s="32" t="s">
        <v>54</v>
      </c>
      <c r="H80" s="32" t="s">
        <v>149</v>
      </c>
      <c r="I80" s="33">
        <v>4</v>
      </c>
      <c r="J80" s="32" t="s">
        <v>152</v>
      </c>
      <c r="K80" s="33">
        <v>0</v>
      </c>
      <c r="X80" s="32" t="s">
        <v>53</v>
      </c>
      <c r="Y80" s="32" t="s">
        <v>149</v>
      </c>
      <c r="Z80" s="33">
        <v>182</v>
      </c>
      <c r="AA80" s="33">
        <v>0</v>
      </c>
      <c r="AB80" s="33">
        <v>11</v>
      </c>
    </row>
    <row r="81" spans="7:28" ht="16" x14ac:dyDescent="0.2">
      <c r="G81" s="32" t="s">
        <v>54</v>
      </c>
      <c r="H81" s="32" t="s">
        <v>149</v>
      </c>
      <c r="I81" s="33">
        <v>2</v>
      </c>
      <c r="J81" s="32" t="s">
        <v>153</v>
      </c>
      <c r="K81" s="33">
        <v>0</v>
      </c>
      <c r="X81" s="32" t="s">
        <v>53</v>
      </c>
      <c r="Y81" s="32" t="s">
        <v>149</v>
      </c>
      <c r="Z81" s="33">
        <v>230</v>
      </c>
      <c r="AA81" s="33">
        <v>0</v>
      </c>
      <c r="AB81" s="33">
        <v>12</v>
      </c>
    </row>
    <row r="82" spans="7:28" ht="16" x14ac:dyDescent="0.2">
      <c r="G82" s="32" t="s">
        <v>54</v>
      </c>
      <c r="H82" s="32" t="s">
        <v>149</v>
      </c>
      <c r="I82" s="33">
        <v>3</v>
      </c>
      <c r="J82" s="32" t="s">
        <v>154</v>
      </c>
      <c r="K82" s="33">
        <v>0</v>
      </c>
      <c r="X82" s="32" t="s">
        <v>54</v>
      </c>
      <c r="Y82" s="32" t="s">
        <v>149</v>
      </c>
      <c r="Z82" s="33">
        <v>22</v>
      </c>
      <c r="AA82" s="33">
        <v>0</v>
      </c>
      <c r="AB82" s="33">
        <v>10</v>
      </c>
    </row>
    <row r="83" spans="7:28" ht="16" x14ac:dyDescent="0.2">
      <c r="G83" s="32" t="s">
        <v>54</v>
      </c>
      <c r="H83" s="32" t="s">
        <v>149</v>
      </c>
      <c r="I83" s="33">
        <v>1</v>
      </c>
      <c r="J83" s="32" t="s">
        <v>155</v>
      </c>
      <c r="K83" s="33">
        <v>0</v>
      </c>
      <c r="X83" s="32" t="s">
        <v>54</v>
      </c>
      <c r="Y83" s="32" t="s">
        <v>149</v>
      </c>
      <c r="Z83" s="33">
        <v>26</v>
      </c>
      <c r="AA83" s="33">
        <v>0</v>
      </c>
      <c r="AB83" s="33">
        <v>11</v>
      </c>
    </row>
    <row r="84" spans="7:28" ht="16" x14ac:dyDescent="0.2">
      <c r="G84" s="32" t="s">
        <v>55</v>
      </c>
      <c r="H84" s="32" t="s">
        <v>148</v>
      </c>
      <c r="I84" s="33">
        <v>2</v>
      </c>
      <c r="J84" s="32" t="s">
        <v>152</v>
      </c>
      <c r="K84" s="33">
        <v>0</v>
      </c>
      <c r="X84" s="32" t="s">
        <v>54</v>
      </c>
      <c r="Y84" s="32" t="s">
        <v>149</v>
      </c>
      <c r="Z84" s="33">
        <v>28</v>
      </c>
      <c r="AA84" s="33">
        <v>0</v>
      </c>
      <c r="AB84" s="33">
        <v>12</v>
      </c>
    </row>
    <row r="85" spans="7:28" ht="16" x14ac:dyDescent="0.2">
      <c r="G85" s="32" t="s">
        <v>55</v>
      </c>
      <c r="H85" s="32" t="s">
        <v>149</v>
      </c>
      <c r="I85" s="33">
        <v>24</v>
      </c>
      <c r="J85" s="32" t="s">
        <v>152</v>
      </c>
      <c r="K85" s="33">
        <v>0</v>
      </c>
      <c r="X85" s="32" t="s">
        <v>55</v>
      </c>
      <c r="Y85" s="32" t="s">
        <v>148</v>
      </c>
      <c r="Z85" s="33">
        <v>6</v>
      </c>
      <c r="AA85" s="33">
        <v>0</v>
      </c>
      <c r="AB85" s="33">
        <v>10</v>
      </c>
    </row>
    <row r="86" spans="7:28" ht="16" x14ac:dyDescent="0.2">
      <c r="G86" s="32" t="s">
        <v>55</v>
      </c>
      <c r="H86" s="32" t="s">
        <v>149</v>
      </c>
      <c r="I86" s="33">
        <v>4</v>
      </c>
      <c r="J86" s="32" t="s">
        <v>153</v>
      </c>
      <c r="K86" s="33">
        <v>0</v>
      </c>
      <c r="X86" s="32" t="s">
        <v>55</v>
      </c>
      <c r="Y86" s="32" t="s">
        <v>148</v>
      </c>
      <c r="Z86" s="33">
        <v>2</v>
      </c>
      <c r="AA86" s="33">
        <v>0</v>
      </c>
      <c r="AB86" s="33">
        <v>11</v>
      </c>
    </row>
    <row r="87" spans="7:28" ht="16" x14ac:dyDescent="0.2">
      <c r="G87" s="32" t="s">
        <v>55</v>
      </c>
      <c r="H87" s="32" t="s">
        <v>149</v>
      </c>
      <c r="I87" s="33">
        <v>4</v>
      </c>
      <c r="J87" s="32" t="s">
        <v>154</v>
      </c>
      <c r="K87" s="33">
        <v>0</v>
      </c>
      <c r="X87" s="32" t="s">
        <v>55</v>
      </c>
      <c r="Y87" s="32" t="s">
        <v>148</v>
      </c>
      <c r="Z87" s="33">
        <v>10</v>
      </c>
      <c r="AA87" s="33">
        <v>0</v>
      </c>
      <c r="AB87" s="33">
        <v>12</v>
      </c>
    </row>
    <row r="88" spans="7:28" ht="16" x14ac:dyDescent="0.2">
      <c r="G88" s="32" t="s">
        <v>55</v>
      </c>
      <c r="H88" s="32" t="s">
        <v>149</v>
      </c>
      <c r="I88" s="33">
        <v>10</v>
      </c>
      <c r="J88" s="32" t="s">
        <v>155</v>
      </c>
      <c r="K88" s="33">
        <v>0</v>
      </c>
      <c r="X88" s="32" t="s">
        <v>55</v>
      </c>
      <c r="Y88" s="32" t="s">
        <v>149</v>
      </c>
      <c r="Z88" s="33">
        <v>60</v>
      </c>
      <c r="AA88" s="33">
        <v>0</v>
      </c>
      <c r="AB88" s="33">
        <v>10</v>
      </c>
    </row>
    <row r="89" spans="7:28" ht="16" x14ac:dyDescent="0.2">
      <c r="G89" s="32" t="s">
        <v>56</v>
      </c>
      <c r="H89" s="32" t="s">
        <v>148</v>
      </c>
      <c r="I89" s="33">
        <v>2</v>
      </c>
      <c r="J89" s="32" t="s">
        <v>152</v>
      </c>
      <c r="K89" s="33">
        <v>0</v>
      </c>
      <c r="X89" s="32" t="s">
        <v>55</v>
      </c>
      <c r="Y89" s="32" t="s">
        <v>149</v>
      </c>
      <c r="Z89" s="33">
        <v>84</v>
      </c>
      <c r="AA89" s="33">
        <v>0</v>
      </c>
      <c r="AB89" s="33">
        <v>11</v>
      </c>
    </row>
    <row r="90" spans="7:28" ht="16" x14ac:dyDescent="0.2">
      <c r="G90" s="32" t="s">
        <v>56</v>
      </c>
      <c r="H90" s="32" t="s">
        <v>148</v>
      </c>
      <c r="I90" s="33">
        <v>2</v>
      </c>
      <c r="J90" s="32" t="s">
        <v>153</v>
      </c>
      <c r="K90" s="33">
        <v>0</v>
      </c>
      <c r="X90" s="32" t="s">
        <v>55</v>
      </c>
      <c r="Y90" s="32" t="s">
        <v>149</v>
      </c>
      <c r="Z90" s="33">
        <v>162</v>
      </c>
      <c r="AA90" s="33">
        <v>0</v>
      </c>
      <c r="AB90" s="33">
        <v>12</v>
      </c>
    </row>
    <row r="91" spans="7:28" ht="16" x14ac:dyDescent="0.2">
      <c r="G91" s="32" t="s">
        <v>56</v>
      </c>
      <c r="H91" s="32" t="s">
        <v>148</v>
      </c>
      <c r="I91" s="33">
        <v>2</v>
      </c>
      <c r="J91" s="32" t="s">
        <v>154</v>
      </c>
      <c r="K91" s="33">
        <v>0</v>
      </c>
      <c r="X91" s="32" t="s">
        <v>56</v>
      </c>
      <c r="Y91" s="32" t="s">
        <v>148</v>
      </c>
      <c r="Z91" s="33">
        <v>2</v>
      </c>
      <c r="AA91" s="33">
        <v>0</v>
      </c>
      <c r="AB91" s="33">
        <v>10</v>
      </c>
    </row>
    <row r="92" spans="7:28" ht="16" x14ac:dyDescent="0.2">
      <c r="G92" s="32" t="s">
        <v>56</v>
      </c>
      <c r="H92" s="32" t="s">
        <v>149</v>
      </c>
      <c r="I92" s="33">
        <v>16</v>
      </c>
      <c r="J92" s="32" t="s">
        <v>152</v>
      </c>
      <c r="K92" s="33">
        <v>0</v>
      </c>
      <c r="X92" s="32" t="s">
        <v>56</v>
      </c>
      <c r="Y92" s="32" t="s">
        <v>148</v>
      </c>
      <c r="Z92" s="33">
        <v>4</v>
      </c>
      <c r="AA92" s="33">
        <v>0</v>
      </c>
      <c r="AB92" s="33">
        <v>11</v>
      </c>
    </row>
    <row r="93" spans="7:28" ht="16" x14ac:dyDescent="0.2">
      <c r="G93" s="32" t="s">
        <v>56</v>
      </c>
      <c r="H93" s="32" t="s">
        <v>149</v>
      </c>
      <c r="I93" s="33">
        <v>12</v>
      </c>
      <c r="J93" s="32" t="s">
        <v>153</v>
      </c>
      <c r="K93" s="33">
        <v>0</v>
      </c>
      <c r="X93" s="32" t="s">
        <v>56</v>
      </c>
      <c r="Y93" s="32" t="s">
        <v>148</v>
      </c>
      <c r="Z93" s="33">
        <v>16</v>
      </c>
      <c r="AA93" s="33">
        <v>0</v>
      </c>
      <c r="AB93" s="33">
        <v>12</v>
      </c>
    </row>
    <row r="94" spans="7:28" ht="16" x14ac:dyDescent="0.2">
      <c r="G94" s="32" t="s">
        <v>56</v>
      </c>
      <c r="H94" s="32" t="s">
        <v>149</v>
      </c>
      <c r="I94" s="33">
        <v>8</v>
      </c>
      <c r="J94" s="32" t="s">
        <v>154</v>
      </c>
      <c r="K94" s="33">
        <v>0</v>
      </c>
      <c r="X94" s="32" t="s">
        <v>56</v>
      </c>
      <c r="Y94" s="32" t="s">
        <v>149</v>
      </c>
      <c r="Z94" s="33">
        <v>86</v>
      </c>
      <c r="AA94" s="33">
        <v>0</v>
      </c>
      <c r="AB94" s="33">
        <v>10</v>
      </c>
    </row>
    <row r="95" spans="7:28" ht="16" x14ac:dyDescent="0.2">
      <c r="G95" s="32" t="s">
        <v>56</v>
      </c>
      <c r="H95" s="32" t="s">
        <v>149</v>
      </c>
      <c r="I95" s="33">
        <v>10</v>
      </c>
      <c r="J95" s="32" t="s">
        <v>155</v>
      </c>
      <c r="K95" s="33">
        <v>0</v>
      </c>
      <c r="X95" s="32" t="s">
        <v>56</v>
      </c>
      <c r="Y95" s="32" t="s">
        <v>149</v>
      </c>
      <c r="Z95" s="33">
        <v>82</v>
      </c>
      <c r="AA95" s="33">
        <v>0</v>
      </c>
      <c r="AB95" s="33">
        <v>11</v>
      </c>
    </row>
    <row r="96" spans="7:28" ht="16" x14ac:dyDescent="0.2">
      <c r="G96" s="32" t="s">
        <v>57</v>
      </c>
      <c r="H96" s="32" t="s">
        <v>149</v>
      </c>
      <c r="I96" s="33">
        <v>1</v>
      </c>
      <c r="J96" s="32" t="s">
        <v>152</v>
      </c>
      <c r="K96" s="33">
        <v>0</v>
      </c>
      <c r="X96" s="32" t="s">
        <v>56</v>
      </c>
      <c r="Y96" s="32" t="s">
        <v>149</v>
      </c>
      <c r="Z96" s="33">
        <v>154</v>
      </c>
      <c r="AA96" s="33">
        <v>0</v>
      </c>
      <c r="AB96" s="33">
        <v>12</v>
      </c>
    </row>
    <row r="97" spans="7:28" ht="16" x14ac:dyDescent="0.2">
      <c r="G97" s="32" t="s">
        <v>57</v>
      </c>
      <c r="H97" s="32" t="s">
        <v>149</v>
      </c>
      <c r="I97" s="33">
        <v>1</v>
      </c>
      <c r="J97" s="32" t="s">
        <v>154</v>
      </c>
      <c r="K97" s="33">
        <v>0</v>
      </c>
      <c r="X97" s="32" t="s">
        <v>57</v>
      </c>
      <c r="Y97" s="32" t="s">
        <v>148</v>
      </c>
      <c r="Z97" s="33">
        <v>4</v>
      </c>
      <c r="AA97" s="33">
        <v>0</v>
      </c>
      <c r="AB97" s="33">
        <v>12</v>
      </c>
    </row>
    <row r="98" spans="7:28" ht="16" x14ac:dyDescent="0.2">
      <c r="G98" s="32" t="s">
        <v>58</v>
      </c>
      <c r="H98" s="32" t="s">
        <v>149</v>
      </c>
      <c r="I98" s="33">
        <v>7</v>
      </c>
      <c r="J98" s="32" t="s">
        <v>152</v>
      </c>
      <c r="K98" s="33">
        <v>0</v>
      </c>
      <c r="X98" s="32" t="s">
        <v>57</v>
      </c>
      <c r="Y98" s="32" t="s">
        <v>149</v>
      </c>
      <c r="Z98" s="33">
        <v>6</v>
      </c>
      <c r="AA98" s="33">
        <v>0</v>
      </c>
      <c r="AB98" s="33">
        <v>10</v>
      </c>
    </row>
    <row r="99" spans="7:28" ht="16" x14ac:dyDescent="0.2">
      <c r="G99" s="32" t="s">
        <v>58</v>
      </c>
      <c r="H99" s="32" t="s">
        <v>149</v>
      </c>
      <c r="I99" s="33">
        <v>9</v>
      </c>
      <c r="J99" s="32" t="s">
        <v>153</v>
      </c>
      <c r="K99" s="33">
        <v>0</v>
      </c>
      <c r="X99" s="32" t="s">
        <v>57</v>
      </c>
      <c r="Y99" s="32" t="s">
        <v>149</v>
      </c>
      <c r="Z99" s="33">
        <v>2</v>
      </c>
      <c r="AA99" s="33">
        <v>0</v>
      </c>
      <c r="AB99" s="33">
        <v>11</v>
      </c>
    </row>
    <row r="100" spans="7:28" ht="16" x14ac:dyDescent="0.2">
      <c r="G100" s="32" t="s">
        <v>58</v>
      </c>
      <c r="H100" s="32" t="s">
        <v>149</v>
      </c>
      <c r="I100" s="33">
        <v>10</v>
      </c>
      <c r="J100" s="32" t="s">
        <v>155</v>
      </c>
      <c r="K100" s="33">
        <v>0</v>
      </c>
      <c r="X100" s="32" t="s">
        <v>57</v>
      </c>
      <c r="Y100" s="32" t="s">
        <v>149</v>
      </c>
      <c r="Z100" s="33">
        <v>22</v>
      </c>
      <c r="AA100" s="33">
        <v>0</v>
      </c>
      <c r="AB100" s="33">
        <v>12</v>
      </c>
    </row>
    <row r="101" spans="7:28" ht="16" x14ac:dyDescent="0.2">
      <c r="G101" s="32" t="s">
        <v>60</v>
      </c>
      <c r="H101" s="32" t="s">
        <v>149</v>
      </c>
      <c r="I101" s="33">
        <v>2</v>
      </c>
      <c r="J101" s="32" t="s">
        <v>154</v>
      </c>
      <c r="K101" s="33">
        <v>0</v>
      </c>
      <c r="X101" s="32" t="s">
        <v>58</v>
      </c>
      <c r="Y101" s="32" t="s">
        <v>148</v>
      </c>
      <c r="Z101" s="33">
        <v>2</v>
      </c>
      <c r="AA101" s="33">
        <v>0</v>
      </c>
      <c r="AB101" s="33">
        <v>10</v>
      </c>
    </row>
    <row r="102" spans="7:28" ht="16" x14ac:dyDescent="0.2">
      <c r="G102" s="32" t="s">
        <v>60</v>
      </c>
      <c r="H102" s="32" t="s">
        <v>149</v>
      </c>
      <c r="I102" s="33">
        <v>2</v>
      </c>
      <c r="J102" s="32" t="s">
        <v>155</v>
      </c>
      <c r="K102" s="33">
        <v>0</v>
      </c>
      <c r="X102" s="32" t="s">
        <v>58</v>
      </c>
      <c r="Y102" s="32" t="s">
        <v>148</v>
      </c>
      <c r="Z102" s="33">
        <v>2</v>
      </c>
      <c r="AA102" s="33">
        <v>0</v>
      </c>
      <c r="AB102" s="33">
        <v>11</v>
      </c>
    </row>
    <row r="103" spans="7:28" ht="16" x14ac:dyDescent="0.2">
      <c r="G103" s="32" t="s">
        <v>61</v>
      </c>
      <c r="H103" s="32" t="s">
        <v>148</v>
      </c>
      <c r="I103" s="33">
        <v>2</v>
      </c>
      <c r="J103" s="32" t="s">
        <v>153</v>
      </c>
      <c r="K103" s="33">
        <v>0</v>
      </c>
      <c r="X103" s="32" t="s">
        <v>58</v>
      </c>
      <c r="Y103" s="32" t="s">
        <v>148</v>
      </c>
      <c r="Z103" s="33">
        <v>4</v>
      </c>
      <c r="AA103" s="33">
        <v>0</v>
      </c>
      <c r="AB103" s="33">
        <v>12</v>
      </c>
    </row>
    <row r="104" spans="7:28" ht="16" x14ac:dyDescent="0.2">
      <c r="G104" s="32" t="s">
        <v>61</v>
      </c>
      <c r="H104" s="32" t="s">
        <v>149</v>
      </c>
      <c r="I104" s="33">
        <v>29</v>
      </c>
      <c r="J104" s="32" t="s">
        <v>152</v>
      </c>
      <c r="K104" s="33">
        <v>0</v>
      </c>
      <c r="X104" s="32" t="s">
        <v>58</v>
      </c>
      <c r="Y104" s="32" t="s">
        <v>149</v>
      </c>
      <c r="Z104" s="33">
        <v>62</v>
      </c>
      <c r="AA104" s="33">
        <v>0</v>
      </c>
      <c r="AB104" s="33">
        <v>10</v>
      </c>
    </row>
    <row r="105" spans="7:28" ht="16" x14ac:dyDescent="0.2">
      <c r="G105" s="32" t="s">
        <v>61</v>
      </c>
      <c r="H105" s="32" t="s">
        <v>149</v>
      </c>
      <c r="I105" s="33">
        <v>17</v>
      </c>
      <c r="J105" s="32" t="s">
        <v>153</v>
      </c>
      <c r="K105" s="33">
        <v>0</v>
      </c>
      <c r="X105" s="32" t="s">
        <v>58</v>
      </c>
      <c r="Y105" s="32" t="s">
        <v>149</v>
      </c>
      <c r="Z105" s="33">
        <v>58</v>
      </c>
      <c r="AA105" s="33">
        <v>0</v>
      </c>
      <c r="AB105" s="33">
        <v>11</v>
      </c>
    </row>
    <row r="106" spans="7:28" ht="16" x14ac:dyDescent="0.2">
      <c r="G106" s="32" t="s">
        <v>61</v>
      </c>
      <c r="H106" s="32" t="s">
        <v>149</v>
      </c>
      <c r="I106" s="33">
        <v>4</v>
      </c>
      <c r="J106" s="32" t="s">
        <v>154</v>
      </c>
      <c r="K106" s="33">
        <v>0</v>
      </c>
      <c r="X106" s="32" t="s">
        <v>58</v>
      </c>
      <c r="Y106" s="32" t="s">
        <v>149</v>
      </c>
      <c r="Z106" s="33">
        <v>62</v>
      </c>
      <c r="AA106" s="33">
        <v>0</v>
      </c>
      <c r="AB106" s="33">
        <v>12</v>
      </c>
    </row>
    <row r="107" spans="7:28" ht="16" x14ac:dyDescent="0.2">
      <c r="G107" s="32" t="s">
        <v>61</v>
      </c>
      <c r="H107" s="32" t="s">
        <v>149</v>
      </c>
      <c r="I107" s="33">
        <v>67</v>
      </c>
      <c r="J107" s="32" t="s">
        <v>155</v>
      </c>
      <c r="K107" s="33">
        <v>0</v>
      </c>
      <c r="X107" s="32" t="s">
        <v>60</v>
      </c>
      <c r="Y107" s="32" t="s">
        <v>148</v>
      </c>
      <c r="Z107" s="33">
        <v>2</v>
      </c>
      <c r="AA107" s="33">
        <v>0</v>
      </c>
      <c r="AB107" s="33">
        <v>12</v>
      </c>
    </row>
    <row r="108" spans="7:28" ht="16" x14ac:dyDescent="0.2">
      <c r="G108" s="32" t="s">
        <v>62</v>
      </c>
      <c r="H108" s="32" t="s">
        <v>148</v>
      </c>
      <c r="I108" s="33">
        <v>1</v>
      </c>
      <c r="J108" s="32" t="s">
        <v>155</v>
      </c>
      <c r="K108" s="33">
        <v>0</v>
      </c>
      <c r="X108" s="32" t="s">
        <v>60</v>
      </c>
      <c r="Y108" s="32" t="s">
        <v>149</v>
      </c>
      <c r="Z108" s="33">
        <v>6</v>
      </c>
      <c r="AA108" s="33">
        <v>0</v>
      </c>
      <c r="AB108" s="33">
        <v>10</v>
      </c>
    </row>
    <row r="109" spans="7:28" ht="16" x14ac:dyDescent="0.2">
      <c r="G109" s="32" t="s">
        <v>62</v>
      </c>
      <c r="H109" s="32" t="s">
        <v>149</v>
      </c>
      <c r="I109" s="33">
        <v>11</v>
      </c>
      <c r="J109" s="32" t="s">
        <v>152</v>
      </c>
      <c r="K109" s="33">
        <v>0</v>
      </c>
      <c r="X109" s="32" t="s">
        <v>60</v>
      </c>
      <c r="Y109" s="32" t="s">
        <v>149</v>
      </c>
      <c r="Z109" s="33">
        <v>18</v>
      </c>
      <c r="AA109" s="33">
        <v>0</v>
      </c>
      <c r="AB109" s="33">
        <v>11</v>
      </c>
    </row>
    <row r="110" spans="7:28" ht="16" x14ac:dyDescent="0.2">
      <c r="G110" s="32" t="s">
        <v>62</v>
      </c>
      <c r="H110" s="32" t="s">
        <v>149</v>
      </c>
      <c r="I110" s="33">
        <v>6</v>
      </c>
      <c r="J110" s="32" t="s">
        <v>153</v>
      </c>
      <c r="K110" s="33">
        <v>0</v>
      </c>
      <c r="X110" s="32" t="s">
        <v>60</v>
      </c>
      <c r="Y110" s="32" t="s">
        <v>149</v>
      </c>
      <c r="Z110" s="33">
        <v>6</v>
      </c>
      <c r="AA110" s="33">
        <v>0</v>
      </c>
      <c r="AB110" s="33">
        <v>12</v>
      </c>
    </row>
    <row r="111" spans="7:28" ht="16" x14ac:dyDescent="0.2">
      <c r="G111" s="32" t="s">
        <v>62</v>
      </c>
      <c r="H111" s="32" t="s">
        <v>149</v>
      </c>
      <c r="I111" s="33">
        <v>7</v>
      </c>
      <c r="J111" s="32" t="s">
        <v>154</v>
      </c>
      <c r="K111" s="33">
        <v>0</v>
      </c>
      <c r="X111" s="32" t="s">
        <v>61</v>
      </c>
      <c r="Y111" s="32" t="s">
        <v>148</v>
      </c>
      <c r="Z111" s="33">
        <v>4</v>
      </c>
      <c r="AA111" s="33">
        <v>0</v>
      </c>
      <c r="AB111" s="33">
        <v>11</v>
      </c>
    </row>
    <row r="112" spans="7:28" ht="16" x14ac:dyDescent="0.2">
      <c r="G112" s="32" t="s">
        <v>62</v>
      </c>
      <c r="H112" s="32" t="s">
        <v>149</v>
      </c>
      <c r="I112" s="33">
        <v>8</v>
      </c>
      <c r="J112" s="32" t="s">
        <v>155</v>
      </c>
      <c r="K112" s="33">
        <v>0</v>
      </c>
      <c r="X112" s="32" t="s">
        <v>61</v>
      </c>
      <c r="Y112" s="32" t="s">
        <v>148</v>
      </c>
      <c r="Z112" s="33">
        <v>2</v>
      </c>
      <c r="AA112" s="33">
        <v>0</v>
      </c>
      <c r="AB112" s="33">
        <v>12</v>
      </c>
    </row>
    <row r="113" spans="7:28" ht="16" x14ac:dyDescent="0.2">
      <c r="G113" s="32" t="s">
        <v>63</v>
      </c>
      <c r="H113" s="32" t="s">
        <v>149</v>
      </c>
      <c r="I113" s="33">
        <v>1</v>
      </c>
      <c r="J113" s="32" t="s">
        <v>154</v>
      </c>
      <c r="K113" s="33">
        <v>0</v>
      </c>
      <c r="X113" s="32" t="s">
        <v>61</v>
      </c>
      <c r="Y113" s="32" t="s">
        <v>149</v>
      </c>
      <c r="Z113" s="33">
        <v>64</v>
      </c>
      <c r="AA113" s="33">
        <v>0</v>
      </c>
      <c r="AB113" s="33">
        <v>10</v>
      </c>
    </row>
    <row r="114" spans="7:28" ht="16" x14ac:dyDescent="0.2">
      <c r="G114" s="32" t="s">
        <v>64</v>
      </c>
      <c r="H114" s="32" t="s">
        <v>148</v>
      </c>
      <c r="I114" s="33">
        <v>2</v>
      </c>
      <c r="J114" s="32" t="s">
        <v>152</v>
      </c>
      <c r="K114" s="33">
        <v>0</v>
      </c>
      <c r="X114" s="32" t="s">
        <v>61</v>
      </c>
      <c r="Y114" s="32" t="s">
        <v>149</v>
      </c>
      <c r="Z114" s="33">
        <v>102</v>
      </c>
      <c r="AA114" s="33">
        <v>0</v>
      </c>
      <c r="AB114" s="33">
        <v>11</v>
      </c>
    </row>
    <row r="115" spans="7:28" ht="16" x14ac:dyDescent="0.2">
      <c r="G115" s="32" t="s">
        <v>64</v>
      </c>
      <c r="H115" s="32" t="s">
        <v>148</v>
      </c>
      <c r="I115" s="33">
        <v>2</v>
      </c>
      <c r="J115" s="32" t="s">
        <v>153</v>
      </c>
      <c r="K115" s="33">
        <v>0</v>
      </c>
      <c r="X115" s="32" t="s">
        <v>61</v>
      </c>
      <c r="Y115" s="32" t="s">
        <v>149</v>
      </c>
      <c r="Z115" s="33">
        <v>64</v>
      </c>
      <c r="AA115" s="33">
        <v>0</v>
      </c>
      <c r="AB115" s="33">
        <v>12</v>
      </c>
    </row>
    <row r="116" spans="7:28" ht="16" x14ac:dyDescent="0.2">
      <c r="G116" s="32" t="s">
        <v>64</v>
      </c>
      <c r="H116" s="32" t="s">
        <v>149</v>
      </c>
      <c r="I116" s="33">
        <v>4</v>
      </c>
      <c r="J116" s="32" t="s">
        <v>152</v>
      </c>
      <c r="K116" s="33">
        <v>0</v>
      </c>
      <c r="X116" s="32" t="s">
        <v>62</v>
      </c>
      <c r="Y116" s="32" t="s">
        <v>148</v>
      </c>
      <c r="Z116" s="33">
        <v>2</v>
      </c>
      <c r="AA116" s="33">
        <v>0</v>
      </c>
      <c r="AB116" s="33">
        <v>10</v>
      </c>
    </row>
    <row r="117" spans="7:28" ht="16" x14ac:dyDescent="0.2">
      <c r="G117" s="32" t="s">
        <v>64</v>
      </c>
      <c r="H117" s="32" t="s">
        <v>149</v>
      </c>
      <c r="I117" s="33">
        <v>6</v>
      </c>
      <c r="J117" s="32" t="s">
        <v>155</v>
      </c>
      <c r="K117" s="33">
        <v>0</v>
      </c>
      <c r="X117" s="32" t="s">
        <v>62</v>
      </c>
      <c r="Y117" s="32" t="s">
        <v>148</v>
      </c>
      <c r="Z117" s="33">
        <v>2</v>
      </c>
      <c r="AA117" s="33">
        <v>0</v>
      </c>
      <c r="AB117" s="33">
        <v>12</v>
      </c>
    </row>
    <row r="118" spans="7:28" ht="16" x14ac:dyDescent="0.2">
      <c r="G118" s="32" t="s">
        <v>65</v>
      </c>
      <c r="H118" s="32" t="s">
        <v>149</v>
      </c>
      <c r="I118" s="33">
        <v>2</v>
      </c>
      <c r="J118" s="32" t="s">
        <v>152</v>
      </c>
      <c r="K118" s="33">
        <v>0</v>
      </c>
      <c r="X118" s="32" t="s">
        <v>62</v>
      </c>
      <c r="Y118" s="32" t="s">
        <v>149</v>
      </c>
      <c r="Z118" s="33">
        <v>20</v>
      </c>
      <c r="AA118" s="33">
        <v>0</v>
      </c>
      <c r="AB118" s="33">
        <v>10</v>
      </c>
    </row>
    <row r="119" spans="7:28" ht="16" x14ac:dyDescent="0.2">
      <c r="G119" s="32" t="s">
        <v>65</v>
      </c>
      <c r="H119" s="32" t="s">
        <v>149</v>
      </c>
      <c r="I119" s="33">
        <v>1</v>
      </c>
      <c r="J119" s="32" t="s">
        <v>155</v>
      </c>
      <c r="K119" s="33">
        <v>0</v>
      </c>
      <c r="X119" s="32" t="s">
        <v>62</v>
      </c>
      <c r="Y119" s="32" t="s">
        <v>149</v>
      </c>
      <c r="Z119" s="33">
        <v>36</v>
      </c>
      <c r="AA119" s="33">
        <v>0</v>
      </c>
      <c r="AB119" s="33">
        <v>11</v>
      </c>
    </row>
    <row r="120" spans="7:28" ht="16" x14ac:dyDescent="0.2">
      <c r="G120" s="32" t="s">
        <v>67</v>
      </c>
      <c r="H120" s="32" t="s">
        <v>148</v>
      </c>
      <c r="I120" s="33">
        <v>2</v>
      </c>
      <c r="J120" s="32" t="s">
        <v>153</v>
      </c>
      <c r="K120" s="33">
        <v>0</v>
      </c>
      <c r="X120" s="32" t="s">
        <v>62</v>
      </c>
      <c r="Y120" s="32" t="s">
        <v>149</v>
      </c>
      <c r="Z120" s="33">
        <v>34</v>
      </c>
      <c r="AA120" s="33">
        <v>0</v>
      </c>
      <c r="AB120" s="33">
        <v>12</v>
      </c>
    </row>
    <row r="121" spans="7:28" ht="16" x14ac:dyDescent="0.2">
      <c r="G121" s="32" t="s">
        <v>67</v>
      </c>
      <c r="H121" s="32" t="s">
        <v>149</v>
      </c>
      <c r="I121" s="33">
        <v>2</v>
      </c>
      <c r="J121" s="32" t="s">
        <v>153</v>
      </c>
      <c r="K121" s="33">
        <v>0</v>
      </c>
      <c r="X121" s="32" t="s">
        <v>63</v>
      </c>
      <c r="Y121" s="32" t="s">
        <v>149</v>
      </c>
      <c r="Z121" s="33">
        <v>2</v>
      </c>
      <c r="AA121" s="33">
        <v>0</v>
      </c>
      <c r="AB121" s="33">
        <v>10</v>
      </c>
    </row>
    <row r="122" spans="7:28" ht="16" x14ac:dyDescent="0.2">
      <c r="G122" s="32" t="s">
        <v>68</v>
      </c>
      <c r="H122" s="32" t="s">
        <v>148</v>
      </c>
      <c r="I122" s="33">
        <v>2</v>
      </c>
      <c r="J122" s="32" t="s">
        <v>152</v>
      </c>
      <c r="K122" s="33">
        <v>0</v>
      </c>
      <c r="X122" s="32" t="s">
        <v>63</v>
      </c>
      <c r="Y122" s="32" t="s">
        <v>149</v>
      </c>
      <c r="Z122" s="33">
        <v>2</v>
      </c>
      <c r="AA122" s="33">
        <v>0</v>
      </c>
      <c r="AB122" s="33">
        <v>12</v>
      </c>
    </row>
    <row r="123" spans="7:28" ht="16" x14ac:dyDescent="0.2">
      <c r="G123" s="32" t="s">
        <v>68</v>
      </c>
      <c r="H123" s="32" t="s">
        <v>148</v>
      </c>
      <c r="I123" s="33">
        <v>1</v>
      </c>
      <c r="J123" s="32" t="s">
        <v>155</v>
      </c>
      <c r="K123" s="33">
        <v>0</v>
      </c>
      <c r="X123" s="32" t="s">
        <v>64</v>
      </c>
      <c r="Y123" s="32" t="s">
        <v>148</v>
      </c>
      <c r="Z123" s="33">
        <v>4</v>
      </c>
      <c r="AA123" s="33">
        <v>0</v>
      </c>
      <c r="AB123" s="33">
        <v>11</v>
      </c>
    </row>
    <row r="124" spans="7:28" ht="16" x14ac:dyDescent="0.2">
      <c r="G124" s="32" t="s">
        <v>68</v>
      </c>
      <c r="H124" s="32" t="s">
        <v>149</v>
      </c>
      <c r="I124" s="33">
        <v>3</v>
      </c>
      <c r="J124" s="32" t="s">
        <v>152</v>
      </c>
      <c r="K124" s="33">
        <v>0</v>
      </c>
      <c r="X124" s="32" t="s">
        <v>64</v>
      </c>
      <c r="Y124" s="32" t="s">
        <v>149</v>
      </c>
      <c r="Z124" s="33">
        <v>6</v>
      </c>
      <c r="AA124" s="33">
        <v>0</v>
      </c>
      <c r="AB124" s="33">
        <v>10</v>
      </c>
    </row>
    <row r="125" spans="7:28" ht="16" x14ac:dyDescent="0.2">
      <c r="G125" s="32" t="s">
        <v>68</v>
      </c>
      <c r="H125" s="32" t="s">
        <v>149</v>
      </c>
      <c r="I125" s="33">
        <v>2</v>
      </c>
      <c r="J125" s="32" t="s">
        <v>154</v>
      </c>
      <c r="K125" s="33">
        <v>0</v>
      </c>
      <c r="X125" s="32" t="s">
        <v>64</v>
      </c>
      <c r="Y125" s="32" t="s">
        <v>149</v>
      </c>
      <c r="Z125" s="33">
        <v>10</v>
      </c>
      <c r="AA125" s="33">
        <v>0</v>
      </c>
      <c r="AB125" s="33">
        <v>11</v>
      </c>
    </row>
    <row r="126" spans="7:28" ht="16" x14ac:dyDescent="0.2">
      <c r="G126" s="32" t="s">
        <v>68</v>
      </c>
      <c r="H126" s="32" t="s">
        <v>149</v>
      </c>
      <c r="I126" s="33">
        <v>1</v>
      </c>
      <c r="J126" s="32" t="s">
        <v>155</v>
      </c>
      <c r="K126" s="33">
        <v>0</v>
      </c>
      <c r="X126" s="32" t="s">
        <v>64</v>
      </c>
      <c r="Y126" s="32" t="s">
        <v>149</v>
      </c>
      <c r="Z126" s="33">
        <v>6</v>
      </c>
      <c r="AA126" s="33">
        <v>0</v>
      </c>
      <c r="AB126" s="33">
        <v>12</v>
      </c>
    </row>
    <row r="127" spans="7:28" ht="16" x14ac:dyDescent="0.2">
      <c r="G127" s="32" t="s">
        <v>69</v>
      </c>
      <c r="H127" s="32" t="s">
        <v>148</v>
      </c>
      <c r="I127" s="33">
        <v>4</v>
      </c>
      <c r="J127" s="32" t="s">
        <v>152</v>
      </c>
      <c r="K127" s="33">
        <v>0</v>
      </c>
      <c r="X127" s="32" t="s">
        <v>65</v>
      </c>
      <c r="Y127" s="32" t="s">
        <v>149</v>
      </c>
      <c r="Z127" s="33">
        <v>4</v>
      </c>
      <c r="AA127" s="33">
        <v>0</v>
      </c>
      <c r="AB127" s="33">
        <v>11</v>
      </c>
    </row>
    <row r="128" spans="7:28" ht="16" x14ac:dyDescent="0.2">
      <c r="G128" s="32" t="s">
        <v>69</v>
      </c>
      <c r="H128" s="32" t="s">
        <v>148</v>
      </c>
      <c r="I128" s="33">
        <v>8</v>
      </c>
      <c r="J128" s="32" t="s">
        <v>153</v>
      </c>
      <c r="K128" s="33">
        <v>0</v>
      </c>
      <c r="X128" s="32" t="s">
        <v>65</v>
      </c>
      <c r="Y128" s="32" t="s">
        <v>149</v>
      </c>
      <c r="Z128" s="33">
        <v>2</v>
      </c>
      <c r="AA128" s="33">
        <v>0</v>
      </c>
      <c r="AB128" s="33">
        <v>12</v>
      </c>
    </row>
    <row r="129" spans="7:28" ht="16" x14ac:dyDescent="0.2">
      <c r="G129" s="32" t="s">
        <v>69</v>
      </c>
      <c r="H129" s="32" t="s">
        <v>148</v>
      </c>
      <c r="I129" s="33">
        <v>3</v>
      </c>
      <c r="J129" s="32" t="s">
        <v>154</v>
      </c>
      <c r="K129" s="33">
        <v>0</v>
      </c>
      <c r="X129" s="32" t="s">
        <v>67</v>
      </c>
      <c r="Y129" s="32" t="s">
        <v>148</v>
      </c>
      <c r="Z129" s="33">
        <v>4</v>
      </c>
      <c r="AA129" s="33">
        <v>0</v>
      </c>
      <c r="AB129" s="33">
        <v>11</v>
      </c>
    </row>
    <row r="130" spans="7:28" ht="16" x14ac:dyDescent="0.2">
      <c r="G130" s="32" t="s">
        <v>69</v>
      </c>
      <c r="H130" s="32" t="s">
        <v>148</v>
      </c>
      <c r="I130" s="33">
        <v>8</v>
      </c>
      <c r="J130" s="32" t="s">
        <v>155</v>
      </c>
      <c r="K130" s="33">
        <v>0</v>
      </c>
      <c r="X130" s="32" t="s">
        <v>67</v>
      </c>
      <c r="Y130" s="32" t="s">
        <v>148</v>
      </c>
      <c r="Z130" s="33">
        <v>2</v>
      </c>
      <c r="AA130" s="33">
        <v>0</v>
      </c>
      <c r="AB130" s="33">
        <v>12</v>
      </c>
    </row>
    <row r="131" spans="7:28" ht="16" x14ac:dyDescent="0.2">
      <c r="G131" s="32" t="s">
        <v>69</v>
      </c>
      <c r="H131" s="32" t="s">
        <v>149</v>
      </c>
      <c r="I131" s="33">
        <v>85</v>
      </c>
      <c r="J131" s="32" t="s">
        <v>152</v>
      </c>
      <c r="K131" s="33">
        <v>0</v>
      </c>
      <c r="X131" s="32" t="s">
        <v>67</v>
      </c>
      <c r="Y131" s="32" t="s">
        <v>149</v>
      </c>
      <c r="Z131" s="33">
        <v>2</v>
      </c>
      <c r="AA131" s="33">
        <v>0</v>
      </c>
      <c r="AB131" s="33">
        <v>10</v>
      </c>
    </row>
    <row r="132" spans="7:28" ht="16" x14ac:dyDescent="0.2">
      <c r="G132" s="32" t="s">
        <v>69</v>
      </c>
      <c r="H132" s="32" t="s">
        <v>149</v>
      </c>
      <c r="I132" s="33">
        <v>56</v>
      </c>
      <c r="J132" s="32" t="s">
        <v>153</v>
      </c>
      <c r="K132" s="33">
        <v>0</v>
      </c>
      <c r="X132" s="32" t="s">
        <v>67</v>
      </c>
      <c r="Y132" s="32" t="s">
        <v>149</v>
      </c>
      <c r="Z132" s="33">
        <v>2</v>
      </c>
      <c r="AA132" s="33">
        <v>0</v>
      </c>
      <c r="AB132" s="33">
        <v>11</v>
      </c>
    </row>
    <row r="133" spans="7:28" ht="16" x14ac:dyDescent="0.2">
      <c r="G133" s="32" t="s">
        <v>69</v>
      </c>
      <c r="H133" s="32" t="s">
        <v>149</v>
      </c>
      <c r="I133" s="33">
        <v>23</v>
      </c>
      <c r="J133" s="32" t="s">
        <v>154</v>
      </c>
      <c r="K133" s="33">
        <v>0</v>
      </c>
      <c r="X133" s="32" t="s">
        <v>67</v>
      </c>
      <c r="Y133" s="32" t="s">
        <v>149</v>
      </c>
      <c r="Z133" s="33">
        <v>6</v>
      </c>
      <c r="AA133" s="33">
        <v>0</v>
      </c>
      <c r="AB133" s="33">
        <v>12</v>
      </c>
    </row>
    <row r="134" spans="7:28" ht="16" x14ac:dyDescent="0.2">
      <c r="G134" s="32" t="s">
        <v>69</v>
      </c>
      <c r="H134" s="32" t="s">
        <v>149</v>
      </c>
      <c r="I134" s="33">
        <v>112</v>
      </c>
      <c r="J134" s="32" t="s">
        <v>155</v>
      </c>
      <c r="K134" s="33">
        <v>0</v>
      </c>
      <c r="X134" s="32" t="s">
        <v>68</v>
      </c>
      <c r="Y134" s="32" t="s">
        <v>148</v>
      </c>
      <c r="Z134" s="33">
        <v>6</v>
      </c>
      <c r="AA134" s="33">
        <v>0</v>
      </c>
      <c r="AB134" s="33">
        <v>12</v>
      </c>
    </row>
    <row r="135" spans="7:28" ht="16" x14ac:dyDescent="0.2">
      <c r="G135" s="32" t="s">
        <v>70</v>
      </c>
      <c r="H135" s="32" t="s">
        <v>148</v>
      </c>
      <c r="I135" s="33">
        <v>1</v>
      </c>
      <c r="J135" s="32" t="s">
        <v>152</v>
      </c>
      <c r="K135" s="33">
        <v>0</v>
      </c>
      <c r="X135" s="32" t="s">
        <v>68</v>
      </c>
      <c r="Y135" s="32" t="s">
        <v>149</v>
      </c>
      <c r="Z135" s="33">
        <v>6</v>
      </c>
      <c r="AA135" s="33">
        <v>0</v>
      </c>
      <c r="AB135" s="33">
        <v>10</v>
      </c>
    </row>
    <row r="136" spans="7:28" ht="16" x14ac:dyDescent="0.2">
      <c r="X136" s="32" t="s">
        <v>68</v>
      </c>
      <c r="Y136" s="32" t="s">
        <v>149</v>
      </c>
      <c r="Z136" s="33">
        <v>24</v>
      </c>
      <c r="AA136" s="33">
        <v>0</v>
      </c>
      <c r="AB136" s="33">
        <v>12</v>
      </c>
    </row>
    <row r="137" spans="7:28" ht="16" x14ac:dyDescent="0.2">
      <c r="X137" s="32" t="s">
        <v>69</v>
      </c>
      <c r="Y137" s="32" t="s">
        <v>148</v>
      </c>
      <c r="Z137" s="33">
        <v>18</v>
      </c>
      <c r="AA137" s="33">
        <v>0</v>
      </c>
      <c r="AB137" s="33">
        <v>10</v>
      </c>
    </row>
    <row r="138" spans="7:28" ht="16" x14ac:dyDescent="0.2">
      <c r="X138" s="32" t="s">
        <v>69</v>
      </c>
      <c r="Y138" s="32" t="s">
        <v>148</v>
      </c>
      <c r="Z138" s="33">
        <v>20</v>
      </c>
      <c r="AA138" s="33">
        <v>0</v>
      </c>
      <c r="AB138" s="33">
        <v>11</v>
      </c>
    </row>
    <row r="139" spans="7:28" ht="16" x14ac:dyDescent="0.2">
      <c r="X139" s="32" t="s">
        <v>69</v>
      </c>
      <c r="Y139" s="32" t="s">
        <v>148</v>
      </c>
      <c r="Z139" s="33">
        <v>16</v>
      </c>
      <c r="AA139" s="33">
        <v>0</v>
      </c>
      <c r="AB139" s="33">
        <v>12</v>
      </c>
    </row>
    <row r="140" spans="7:28" ht="16" x14ac:dyDescent="0.2">
      <c r="X140" s="32" t="s">
        <v>69</v>
      </c>
      <c r="Y140" s="32" t="s">
        <v>149</v>
      </c>
      <c r="Z140" s="33">
        <v>394</v>
      </c>
      <c r="AA140" s="33">
        <v>0</v>
      </c>
      <c r="AB140" s="33">
        <v>10</v>
      </c>
    </row>
    <row r="141" spans="7:28" ht="16" x14ac:dyDescent="0.2">
      <c r="X141" s="32" t="s">
        <v>69</v>
      </c>
      <c r="Y141" s="32" t="s">
        <v>149</v>
      </c>
      <c r="Z141" s="33">
        <v>308</v>
      </c>
      <c r="AA141" s="33">
        <v>0</v>
      </c>
      <c r="AB141" s="33">
        <v>11</v>
      </c>
    </row>
    <row r="142" spans="7:28" ht="16" x14ac:dyDescent="0.2">
      <c r="X142" s="32" t="s">
        <v>69</v>
      </c>
      <c r="Y142" s="32" t="s">
        <v>149</v>
      </c>
      <c r="Z142" s="33">
        <v>342</v>
      </c>
      <c r="AA142" s="33">
        <v>0</v>
      </c>
      <c r="AB142" s="33">
        <v>12</v>
      </c>
    </row>
    <row r="143" spans="7:28" ht="16" x14ac:dyDescent="0.2">
      <c r="X143" s="32" t="s">
        <v>70</v>
      </c>
      <c r="Y143" s="32" t="s">
        <v>149</v>
      </c>
      <c r="Z143" s="33">
        <v>4</v>
      </c>
      <c r="AA143" s="33">
        <v>0</v>
      </c>
      <c r="AB143" s="33">
        <v>10</v>
      </c>
    </row>
    <row r="144" spans="7:28" ht="16" x14ac:dyDescent="0.2">
      <c r="X144" s="32" t="s">
        <v>70</v>
      </c>
      <c r="Y144" s="32" t="s">
        <v>149</v>
      </c>
      <c r="Z144" s="33">
        <v>2</v>
      </c>
      <c r="AA144" s="33">
        <v>0</v>
      </c>
      <c r="AB144" s="33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4" tint="-0.249977111117893"/>
  </sheetPr>
  <dimension ref="A1:S35"/>
  <sheetViews>
    <sheetView topLeftCell="N22" zoomScale="150" workbookViewId="0">
      <selection activeCell="R35" sqref="R35"/>
    </sheetView>
  </sheetViews>
  <sheetFormatPr baseColWidth="10" defaultColWidth="8.83203125" defaultRowHeight="15" x14ac:dyDescent="0.2"/>
  <cols>
    <col min="1" max="3" width="18.5" hidden="1" customWidth="1"/>
    <col min="4" max="4" width="7.6640625" hidden="1" customWidth="1"/>
    <col min="5" max="13" width="9.1640625" hidden="1" customWidth="1"/>
    <col min="14" max="19" width="9.33203125" customWidth="1"/>
  </cols>
  <sheetData>
    <row r="1" spans="1:19" s="5" customFormat="1" ht="30" customHeight="1" thickBot="1" x14ac:dyDescent="0.25">
      <c r="A1" s="123" t="s">
        <v>14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</row>
    <row r="2" spans="1:19" s="5" customFormat="1" x14ac:dyDescent="0.2">
      <c r="A2" s="22">
        <v>44197</v>
      </c>
      <c r="B2" s="22">
        <v>44228</v>
      </c>
      <c r="C2" s="63">
        <v>44256</v>
      </c>
      <c r="D2" s="65" t="s">
        <v>221</v>
      </c>
      <c r="E2" s="66">
        <v>44287</v>
      </c>
      <c r="F2" s="66">
        <v>44317</v>
      </c>
      <c r="G2" s="67">
        <v>44348</v>
      </c>
      <c r="H2" s="64">
        <v>44378</v>
      </c>
      <c r="I2" s="22">
        <v>44409</v>
      </c>
      <c r="J2" s="22">
        <v>44440</v>
      </c>
      <c r="K2" s="22">
        <v>44470</v>
      </c>
      <c r="L2" s="22">
        <v>44501</v>
      </c>
      <c r="M2" s="22">
        <v>44531</v>
      </c>
      <c r="N2" s="24" t="s">
        <v>0</v>
      </c>
      <c r="O2" s="22">
        <v>45108</v>
      </c>
      <c r="P2" s="24" t="s">
        <v>0</v>
      </c>
      <c r="Q2" s="22">
        <v>45139</v>
      </c>
      <c r="R2" s="24" t="s">
        <v>0</v>
      </c>
      <c r="S2" s="22">
        <v>45170</v>
      </c>
    </row>
    <row r="3" spans="1:19" x14ac:dyDescent="0.2">
      <c r="N3" s="2" t="s">
        <v>35</v>
      </c>
      <c r="O3" s="2">
        <v>1212</v>
      </c>
      <c r="P3" s="2" t="s">
        <v>35</v>
      </c>
      <c r="Q3" s="2">
        <v>1208</v>
      </c>
      <c r="R3" s="2" t="s">
        <v>35</v>
      </c>
      <c r="S3" s="2">
        <v>1178</v>
      </c>
    </row>
    <row r="4" spans="1:19" x14ac:dyDescent="0.2">
      <c r="N4" s="2" t="s">
        <v>36</v>
      </c>
      <c r="O4" s="2">
        <v>1708</v>
      </c>
      <c r="P4" s="2" t="s">
        <v>36</v>
      </c>
      <c r="Q4" s="2">
        <v>1696</v>
      </c>
      <c r="R4" s="2" t="s">
        <v>36</v>
      </c>
      <c r="S4" s="2">
        <v>1669</v>
      </c>
    </row>
    <row r="5" spans="1:19" x14ac:dyDescent="0.2">
      <c r="N5" s="2" t="s">
        <v>37</v>
      </c>
      <c r="O5" s="2">
        <v>563</v>
      </c>
      <c r="P5" s="2" t="s">
        <v>37</v>
      </c>
      <c r="Q5" s="2">
        <v>563</v>
      </c>
      <c r="R5" s="2" t="s">
        <v>37</v>
      </c>
      <c r="S5" s="2">
        <v>557</v>
      </c>
    </row>
    <row r="6" spans="1:19" x14ac:dyDescent="0.2">
      <c r="N6" s="2" t="s">
        <v>40</v>
      </c>
      <c r="O6" s="2">
        <v>562</v>
      </c>
      <c r="P6" s="2" t="s">
        <v>40</v>
      </c>
      <c r="Q6" s="2">
        <v>562</v>
      </c>
      <c r="R6" s="2" t="s">
        <v>40</v>
      </c>
      <c r="S6" s="2">
        <v>548</v>
      </c>
    </row>
    <row r="7" spans="1:19" x14ac:dyDescent="0.2">
      <c r="N7" s="2" t="s">
        <v>42</v>
      </c>
      <c r="O7" s="2">
        <v>53</v>
      </c>
      <c r="P7" s="2" t="s">
        <v>42</v>
      </c>
      <c r="Q7" s="2">
        <v>54</v>
      </c>
      <c r="R7" s="2" t="s">
        <v>42</v>
      </c>
      <c r="S7" s="2">
        <v>53</v>
      </c>
    </row>
    <row r="8" spans="1:19" x14ac:dyDescent="0.2">
      <c r="N8" s="2" t="s">
        <v>43</v>
      </c>
      <c r="O8" s="2">
        <v>29</v>
      </c>
      <c r="P8" s="2" t="s">
        <v>43</v>
      </c>
      <c r="Q8" s="2">
        <v>28</v>
      </c>
      <c r="R8" s="2" t="s">
        <v>43</v>
      </c>
      <c r="S8" s="2">
        <v>28</v>
      </c>
    </row>
    <row r="9" spans="1:19" x14ac:dyDescent="0.2">
      <c r="N9" s="2" t="s">
        <v>44</v>
      </c>
      <c r="O9" s="2">
        <v>452</v>
      </c>
      <c r="P9" s="2" t="s">
        <v>44</v>
      </c>
      <c r="Q9" s="2">
        <v>452</v>
      </c>
      <c r="R9" s="2" t="s">
        <v>44</v>
      </c>
      <c r="S9" s="2">
        <v>446</v>
      </c>
    </row>
    <row r="10" spans="1:19" x14ac:dyDescent="0.2">
      <c r="N10" s="2" t="s">
        <v>45</v>
      </c>
      <c r="O10" s="2">
        <v>214</v>
      </c>
      <c r="P10" s="2" t="s">
        <v>45</v>
      </c>
      <c r="Q10" s="2">
        <v>212</v>
      </c>
      <c r="R10" s="2" t="s">
        <v>45</v>
      </c>
      <c r="S10" s="2">
        <v>210</v>
      </c>
    </row>
    <row r="11" spans="1:19" x14ac:dyDescent="0.2">
      <c r="N11" s="2" t="s">
        <v>46</v>
      </c>
      <c r="O11" s="2">
        <v>19</v>
      </c>
      <c r="P11" s="2" t="s">
        <v>46</v>
      </c>
      <c r="Q11" s="2">
        <v>19</v>
      </c>
      <c r="R11" s="2" t="s">
        <v>46</v>
      </c>
      <c r="S11" s="2">
        <v>19</v>
      </c>
    </row>
    <row r="12" spans="1:19" x14ac:dyDescent="0.2">
      <c r="N12" s="2" t="s">
        <v>47</v>
      </c>
      <c r="O12" s="2">
        <v>138</v>
      </c>
      <c r="P12" s="2" t="s">
        <v>47</v>
      </c>
      <c r="Q12" s="2">
        <v>137</v>
      </c>
      <c r="R12" s="2" t="s">
        <v>47</v>
      </c>
      <c r="S12" s="2">
        <v>137</v>
      </c>
    </row>
    <row r="13" spans="1:19" x14ac:dyDescent="0.2">
      <c r="N13" s="2" t="s">
        <v>48</v>
      </c>
      <c r="O13" s="2">
        <v>100</v>
      </c>
      <c r="P13" s="2" t="s">
        <v>48</v>
      </c>
      <c r="Q13" s="2">
        <v>98</v>
      </c>
      <c r="R13" s="2" t="s">
        <v>48</v>
      </c>
      <c r="S13" s="2">
        <v>97</v>
      </c>
    </row>
    <row r="14" spans="1:19" x14ac:dyDescent="0.2">
      <c r="N14" s="2" t="s">
        <v>49</v>
      </c>
      <c r="O14" s="2">
        <v>47</v>
      </c>
      <c r="P14" s="2" t="s">
        <v>49</v>
      </c>
      <c r="Q14" s="2">
        <v>48</v>
      </c>
      <c r="R14" s="2" t="s">
        <v>49</v>
      </c>
      <c r="S14" s="2">
        <v>45</v>
      </c>
    </row>
    <row r="15" spans="1:19" x14ac:dyDescent="0.2">
      <c r="N15" s="2" t="s">
        <v>50</v>
      </c>
      <c r="O15" s="2">
        <v>50</v>
      </c>
      <c r="P15" s="2" t="s">
        <v>50</v>
      </c>
      <c r="Q15" s="2">
        <v>49</v>
      </c>
      <c r="R15" s="2" t="s">
        <v>50</v>
      </c>
      <c r="S15" s="2">
        <v>46</v>
      </c>
    </row>
    <row r="16" spans="1:19" x14ac:dyDescent="0.2">
      <c r="N16" s="2" t="s">
        <v>51</v>
      </c>
      <c r="O16" s="2">
        <v>14</v>
      </c>
      <c r="P16" s="2" t="s">
        <v>51</v>
      </c>
      <c r="Q16" s="2">
        <v>14</v>
      </c>
      <c r="R16" s="2" t="s">
        <v>51</v>
      </c>
      <c r="S16" s="2">
        <v>14</v>
      </c>
    </row>
    <row r="17" spans="14:19" x14ac:dyDescent="0.2">
      <c r="N17" s="2" t="s">
        <v>52</v>
      </c>
      <c r="O17" s="2">
        <v>213</v>
      </c>
      <c r="P17" s="2" t="s">
        <v>52</v>
      </c>
      <c r="Q17" s="2">
        <v>212</v>
      </c>
      <c r="R17" s="2" t="s">
        <v>52</v>
      </c>
      <c r="S17" s="2">
        <v>211</v>
      </c>
    </row>
    <row r="18" spans="14:19" x14ac:dyDescent="0.2">
      <c r="N18" s="2" t="s">
        <v>53</v>
      </c>
      <c r="O18" s="2">
        <v>829</v>
      </c>
      <c r="P18" s="2" t="s">
        <v>53</v>
      </c>
      <c r="Q18" s="2">
        <v>823</v>
      </c>
      <c r="R18" s="2" t="s">
        <v>53</v>
      </c>
      <c r="S18" s="2">
        <v>811</v>
      </c>
    </row>
    <row r="19" spans="14:19" x14ac:dyDescent="0.2">
      <c r="N19" s="2" t="s">
        <v>54</v>
      </c>
      <c r="O19" s="2">
        <v>112</v>
      </c>
      <c r="P19" s="2" t="s">
        <v>54</v>
      </c>
      <c r="Q19" s="2">
        <v>115</v>
      </c>
      <c r="R19" s="2" t="s">
        <v>54</v>
      </c>
      <c r="S19" s="2">
        <v>110</v>
      </c>
    </row>
    <row r="20" spans="14:19" x14ac:dyDescent="0.2">
      <c r="N20" s="2" t="s">
        <v>55</v>
      </c>
      <c r="O20" s="2">
        <v>450</v>
      </c>
      <c r="P20" s="2" t="s">
        <v>55</v>
      </c>
      <c r="Q20" s="2">
        <v>454</v>
      </c>
      <c r="R20" s="2" t="s">
        <v>55</v>
      </c>
      <c r="S20" s="2">
        <v>447</v>
      </c>
    </row>
    <row r="21" spans="14:19" x14ac:dyDescent="0.2">
      <c r="N21" s="2" t="s">
        <v>56</v>
      </c>
      <c r="O21" s="2">
        <v>346</v>
      </c>
      <c r="P21" s="2" t="s">
        <v>56</v>
      </c>
      <c r="Q21" s="2">
        <v>360</v>
      </c>
      <c r="R21" s="2" t="s">
        <v>56</v>
      </c>
      <c r="S21" s="2">
        <v>347</v>
      </c>
    </row>
    <row r="22" spans="14:19" x14ac:dyDescent="0.2">
      <c r="N22" s="2" t="s">
        <v>57</v>
      </c>
      <c r="O22" s="2">
        <v>7</v>
      </c>
      <c r="P22" s="2" t="s">
        <v>57</v>
      </c>
      <c r="Q22" s="2">
        <v>8</v>
      </c>
      <c r="R22" s="2" t="s">
        <v>57</v>
      </c>
      <c r="S22" s="2">
        <v>7</v>
      </c>
    </row>
    <row r="23" spans="14:19" x14ac:dyDescent="0.2">
      <c r="N23" s="2" t="s">
        <v>58</v>
      </c>
      <c r="O23" s="2">
        <v>97</v>
      </c>
      <c r="P23" s="2" t="s">
        <v>58</v>
      </c>
      <c r="Q23" s="2">
        <v>97</v>
      </c>
      <c r="R23" s="2" t="s">
        <v>58</v>
      </c>
      <c r="S23" s="2">
        <v>97</v>
      </c>
    </row>
    <row r="24" spans="14:19" x14ac:dyDescent="0.2">
      <c r="N24" s="2" t="s">
        <v>60</v>
      </c>
      <c r="O24" s="2">
        <v>16</v>
      </c>
      <c r="P24" s="2" t="s">
        <v>60</v>
      </c>
      <c r="Q24" s="2">
        <v>14</v>
      </c>
      <c r="R24" s="2" t="s">
        <v>60</v>
      </c>
      <c r="S24" s="2">
        <v>14</v>
      </c>
    </row>
    <row r="25" spans="14:19" x14ac:dyDescent="0.2">
      <c r="N25" s="2" t="s">
        <v>61</v>
      </c>
      <c r="O25" s="2">
        <v>144</v>
      </c>
      <c r="P25" s="2" t="s">
        <v>61</v>
      </c>
      <c r="Q25" s="2">
        <v>142</v>
      </c>
      <c r="R25" s="2" t="s">
        <v>61</v>
      </c>
      <c r="S25" s="2">
        <v>142</v>
      </c>
    </row>
    <row r="26" spans="14:19" x14ac:dyDescent="0.2">
      <c r="N26" s="2" t="s">
        <v>62</v>
      </c>
      <c r="O26" s="2">
        <v>91</v>
      </c>
      <c r="P26" s="2" t="s">
        <v>62</v>
      </c>
      <c r="Q26" s="2">
        <v>90</v>
      </c>
      <c r="R26" s="2" t="s">
        <v>62</v>
      </c>
      <c r="S26" s="2">
        <v>88</v>
      </c>
    </row>
    <row r="27" spans="14:19" x14ac:dyDescent="0.2">
      <c r="N27" s="2" t="s">
        <v>63</v>
      </c>
      <c r="O27" s="2">
        <v>2</v>
      </c>
      <c r="P27" s="2" t="s">
        <v>63</v>
      </c>
      <c r="Q27" s="2">
        <v>2</v>
      </c>
      <c r="R27" s="2" t="s">
        <v>63</v>
      </c>
      <c r="S27" s="2">
        <v>2</v>
      </c>
    </row>
    <row r="28" spans="14:19" x14ac:dyDescent="0.2">
      <c r="N28" s="2" t="s">
        <v>64</v>
      </c>
      <c r="O28" s="2">
        <v>29</v>
      </c>
      <c r="P28" s="2" t="s">
        <v>64</v>
      </c>
      <c r="Q28" s="2">
        <v>30</v>
      </c>
      <c r="R28" s="2" t="s">
        <v>64</v>
      </c>
      <c r="S28" s="2">
        <v>29</v>
      </c>
    </row>
    <row r="29" spans="14:19" x14ac:dyDescent="0.2">
      <c r="N29" s="2" t="s">
        <v>65</v>
      </c>
      <c r="O29" s="2">
        <v>12</v>
      </c>
      <c r="P29" s="2" t="s">
        <v>65</v>
      </c>
      <c r="Q29" s="2">
        <v>12</v>
      </c>
      <c r="R29" s="2" t="s">
        <v>65</v>
      </c>
      <c r="S29" s="2">
        <v>12</v>
      </c>
    </row>
    <row r="30" spans="14:19" x14ac:dyDescent="0.2">
      <c r="N30" s="2" t="s">
        <v>66</v>
      </c>
      <c r="O30" s="2">
        <v>2</v>
      </c>
      <c r="P30" s="2" t="s">
        <v>66</v>
      </c>
      <c r="Q30" s="2">
        <v>2</v>
      </c>
      <c r="R30" s="2" t="s">
        <v>66</v>
      </c>
      <c r="S30" s="2">
        <v>2</v>
      </c>
    </row>
    <row r="31" spans="14:19" x14ac:dyDescent="0.2">
      <c r="N31" s="2" t="s">
        <v>67</v>
      </c>
      <c r="O31" s="2">
        <v>7</v>
      </c>
      <c r="P31" s="2" t="s">
        <v>67</v>
      </c>
      <c r="Q31" s="2">
        <v>7</v>
      </c>
      <c r="R31" s="2" t="s">
        <v>67</v>
      </c>
      <c r="S31" s="2">
        <v>8</v>
      </c>
    </row>
    <row r="32" spans="14:19" x14ac:dyDescent="0.2">
      <c r="N32" s="2" t="s">
        <v>68</v>
      </c>
      <c r="O32" s="2">
        <v>21</v>
      </c>
      <c r="P32" s="2" t="s">
        <v>68</v>
      </c>
      <c r="Q32" s="2">
        <v>21</v>
      </c>
      <c r="R32" s="2" t="s">
        <v>68</v>
      </c>
      <c r="S32" s="2">
        <v>20</v>
      </c>
    </row>
    <row r="33" spans="14:19" x14ac:dyDescent="0.2">
      <c r="N33" s="2" t="s">
        <v>69</v>
      </c>
      <c r="O33" s="2">
        <v>812</v>
      </c>
      <c r="P33" s="2" t="s">
        <v>69</v>
      </c>
      <c r="Q33" s="2">
        <v>795</v>
      </c>
      <c r="R33" s="2" t="s">
        <v>69</v>
      </c>
      <c r="S33" s="2">
        <v>782</v>
      </c>
    </row>
    <row r="34" spans="14:19" x14ac:dyDescent="0.2">
      <c r="N34" s="2" t="s">
        <v>70</v>
      </c>
      <c r="O34" s="2">
        <v>4</v>
      </c>
      <c r="P34" s="2" t="s">
        <v>70</v>
      </c>
      <c r="Q34" s="2">
        <v>4</v>
      </c>
      <c r="R34" s="2" t="s">
        <v>70</v>
      </c>
      <c r="S34" s="2">
        <v>5</v>
      </c>
    </row>
    <row r="35" spans="14:19" x14ac:dyDescent="0.2">
      <c r="N35" s="161" t="s">
        <v>280</v>
      </c>
      <c r="O35" s="161">
        <f>SUM(O3:O34)</f>
        <v>8355</v>
      </c>
      <c r="P35" s="161"/>
      <c r="Q35" s="161">
        <f t="shared" ref="P35:S35" si="0">SUM(Q3:Q34)</f>
        <v>8328</v>
      </c>
      <c r="R35" s="161"/>
      <c r="S35" s="161">
        <f t="shared" si="0"/>
        <v>8181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baseColWidth="10" defaultColWidth="8.83203125" defaultRowHeight="15" x14ac:dyDescent="0.2"/>
  <sheetData>
    <row r="1" spans="1:25" x14ac:dyDescent="0.2">
      <c r="A1" s="35" t="s">
        <v>78</v>
      </c>
      <c r="B1" s="35" t="s">
        <v>159</v>
      </c>
      <c r="C1" s="35" t="s">
        <v>160</v>
      </c>
      <c r="D1" s="35" t="s">
        <v>161</v>
      </c>
      <c r="E1" s="35" t="s">
        <v>162</v>
      </c>
      <c r="F1" s="35" t="s">
        <v>163</v>
      </c>
      <c r="G1" s="35" t="s">
        <v>164</v>
      </c>
      <c r="H1" s="35" t="s">
        <v>165</v>
      </c>
      <c r="I1" s="35" t="s">
        <v>166</v>
      </c>
      <c r="J1" s="35" t="s">
        <v>167</v>
      </c>
      <c r="K1" s="35" t="s">
        <v>181</v>
      </c>
      <c r="L1" s="35" t="s">
        <v>182</v>
      </c>
      <c r="M1" s="35" t="s">
        <v>183</v>
      </c>
      <c r="N1" s="35" t="s">
        <v>168</v>
      </c>
      <c r="O1" s="35" t="s">
        <v>169</v>
      </c>
      <c r="P1" s="35" t="s">
        <v>170</v>
      </c>
      <c r="Q1" s="35" t="s">
        <v>171</v>
      </c>
      <c r="R1" s="35" t="s">
        <v>172</v>
      </c>
      <c r="S1" s="35" t="s">
        <v>173</v>
      </c>
      <c r="T1" s="35" t="s">
        <v>174</v>
      </c>
      <c r="U1" s="35" t="s">
        <v>175</v>
      </c>
      <c r="V1" s="35" t="s">
        <v>176</v>
      </c>
      <c r="W1" s="35" t="s">
        <v>177</v>
      </c>
      <c r="X1" s="35" t="s">
        <v>178</v>
      </c>
      <c r="Y1" s="35" t="s">
        <v>179</v>
      </c>
    </row>
    <row r="2" spans="1:25" ht="16" x14ac:dyDescent="0.2">
      <c r="A2" s="36" t="s">
        <v>87</v>
      </c>
      <c r="B2" s="37">
        <v>37</v>
      </c>
      <c r="C2" s="37">
        <v>35</v>
      </c>
      <c r="D2" s="37">
        <v>33</v>
      </c>
      <c r="E2" s="37">
        <v>31</v>
      </c>
      <c r="F2" s="37">
        <v>31</v>
      </c>
      <c r="G2" s="37">
        <v>31</v>
      </c>
      <c r="H2" s="37">
        <v>30</v>
      </c>
      <c r="I2" s="37">
        <v>27</v>
      </c>
      <c r="J2" s="37">
        <v>27</v>
      </c>
      <c r="K2" s="37">
        <v>27</v>
      </c>
      <c r="L2" s="37">
        <v>24</v>
      </c>
      <c r="M2" s="37">
        <v>24</v>
      </c>
      <c r="N2" s="37">
        <v>23</v>
      </c>
      <c r="O2" s="37">
        <v>28</v>
      </c>
      <c r="P2" s="37">
        <v>28</v>
      </c>
      <c r="Q2" s="37">
        <v>30</v>
      </c>
      <c r="R2" s="37">
        <v>32</v>
      </c>
      <c r="S2" s="37">
        <v>33</v>
      </c>
      <c r="T2" s="37">
        <v>33</v>
      </c>
      <c r="U2" s="37">
        <v>35</v>
      </c>
      <c r="V2" s="37">
        <v>36</v>
      </c>
      <c r="W2" s="37">
        <v>37</v>
      </c>
      <c r="X2" s="37">
        <v>38</v>
      </c>
      <c r="Y2" s="37">
        <v>39</v>
      </c>
    </row>
    <row r="3" spans="1:25" ht="16" x14ac:dyDescent="0.2">
      <c r="A3" s="36" t="s">
        <v>88</v>
      </c>
      <c r="B3" s="37">
        <v>54</v>
      </c>
      <c r="C3" s="37">
        <v>51</v>
      </c>
      <c r="D3" s="37">
        <v>48</v>
      </c>
      <c r="E3" s="37">
        <v>46</v>
      </c>
      <c r="F3" s="37">
        <v>43</v>
      </c>
      <c r="G3" s="37">
        <v>41</v>
      </c>
      <c r="H3" s="37">
        <v>38</v>
      </c>
      <c r="I3" s="37">
        <v>34</v>
      </c>
      <c r="J3" s="37">
        <v>33</v>
      </c>
      <c r="K3" s="37">
        <v>29</v>
      </c>
      <c r="L3" s="37">
        <v>27</v>
      </c>
      <c r="M3" s="37">
        <v>24</v>
      </c>
      <c r="N3" s="37">
        <v>24</v>
      </c>
      <c r="O3" s="37">
        <v>31</v>
      </c>
      <c r="P3" s="37">
        <v>34</v>
      </c>
      <c r="Q3" s="37">
        <v>38</v>
      </c>
      <c r="R3" s="37">
        <v>39</v>
      </c>
      <c r="S3" s="37">
        <v>43</v>
      </c>
      <c r="T3" s="37">
        <v>45</v>
      </c>
      <c r="U3" s="37">
        <v>47</v>
      </c>
      <c r="V3" s="37">
        <v>48</v>
      </c>
      <c r="W3" s="37">
        <v>50</v>
      </c>
      <c r="X3" s="37">
        <v>51</v>
      </c>
      <c r="Y3" s="37">
        <v>53</v>
      </c>
    </row>
    <row r="4" spans="1:25" ht="16" x14ac:dyDescent="0.2">
      <c r="A4" s="36" t="s">
        <v>89</v>
      </c>
      <c r="B4" s="37">
        <v>26</v>
      </c>
      <c r="C4" s="37">
        <v>26</v>
      </c>
      <c r="D4" s="37">
        <v>24</v>
      </c>
      <c r="E4" s="37">
        <v>24</v>
      </c>
      <c r="F4" s="37">
        <v>23</v>
      </c>
      <c r="G4" s="37">
        <v>21</v>
      </c>
      <c r="H4" s="37">
        <v>22</v>
      </c>
      <c r="I4" s="37">
        <v>23</v>
      </c>
      <c r="J4" s="37">
        <v>23</v>
      </c>
      <c r="K4" s="37">
        <v>22</v>
      </c>
      <c r="L4" s="37">
        <v>22</v>
      </c>
      <c r="M4" s="37">
        <v>21</v>
      </c>
      <c r="N4" s="37">
        <v>22</v>
      </c>
      <c r="O4" s="37">
        <v>23</v>
      </c>
      <c r="P4" s="37">
        <v>24</v>
      </c>
      <c r="Q4" s="37">
        <v>26</v>
      </c>
      <c r="R4" s="37">
        <v>26</v>
      </c>
      <c r="S4" s="37">
        <v>27</v>
      </c>
      <c r="T4" s="37">
        <v>26</v>
      </c>
      <c r="U4" s="37">
        <v>26</v>
      </c>
      <c r="V4" s="37">
        <v>25</v>
      </c>
      <c r="W4" s="37">
        <v>26</v>
      </c>
      <c r="X4" s="37">
        <v>26</v>
      </c>
      <c r="Y4" s="37">
        <v>26</v>
      </c>
    </row>
    <row r="5" spans="1:25" ht="16" x14ac:dyDescent="0.2">
      <c r="A5" s="36" t="s">
        <v>90</v>
      </c>
      <c r="B5" s="37">
        <v>29</v>
      </c>
      <c r="C5" s="37">
        <v>29</v>
      </c>
      <c r="D5" s="37">
        <v>27</v>
      </c>
      <c r="E5" s="37">
        <v>27</v>
      </c>
      <c r="F5" s="37">
        <v>27</v>
      </c>
      <c r="G5" s="37">
        <v>26</v>
      </c>
      <c r="H5" s="37">
        <v>26</v>
      </c>
      <c r="I5" s="37">
        <v>25</v>
      </c>
      <c r="J5" s="37">
        <v>26</v>
      </c>
      <c r="K5" s="37">
        <v>26</v>
      </c>
      <c r="L5" s="37">
        <v>26</v>
      </c>
      <c r="M5" s="37">
        <v>23</v>
      </c>
      <c r="N5" s="37">
        <v>23</v>
      </c>
      <c r="O5" s="37">
        <v>26</v>
      </c>
      <c r="P5" s="37">
        <v>26</v>
      </c>
      <c r="Q5" s="37">
        <v>26</v>
      </c>
      <c r="R5" s="37">
        <v>25</v>
      </c>
      <c r="S5" s="37">
        <v>25</v>
      </c>
      <c r="T5" s="37">
        <v>25</v>
      </c>
      <c r="U5" s="37">
        <v>26</v>
      </c>
      <c r="V5" s="37">
        <v>27</v>
      </c>
      <c r="W5" s="37">
        <v>27</v>
      </c>
      <c r="X5" s="37">
        <v>26</v>
      </c>
      <c r="Y5" s="37">
        <v>28</v>
      </c>
    </row>
    <row r="6" spans="1:25" ht="16" x14ac:dyDescent="0.2">
      <c r="A6" s="36" t="s">
        <v>118</v>
      </c>
      <c r="B6" s="37">
        <v>10</v>
      </c>
      <c r="C6" s="37">
        <v>10</v>
      </c>
      <c r="D6" s="37">
        <v>9</v>
      </c>
      <c r="E6" s="37">
        <v>9</v>
      </c>
      <c r="F6" s="37">
        <v>9</v>
      </c>
      <c r="G6" s="37">
        <v>10</v>
      </c>
      <c r="H6" s="37">
        <v>9</v>
      </c>
      <c r="I6" s="37">
        <v>9</v>
      </c>
      <c r="J6" s="37">
        <v>7</v>
      </c>
      <c r="K6" s="37">
        <v>7</v>
      </c>
      <c r="L6" s="37">
        <v>7</v>
      </c>
      <c r="M6" s="37">
        <v>7</v>
      </c>
      <c r="N6" s="37">
        <v>12</v>
      </c>
      <c r="O6" s="37">
        <v>13</v>
      </c>
      <c r="P6" s="37">
        <v>12</v>
      </c>
      <c r="Q6" s="37">
        <v>12</v>
      </c>
      <c r="R6" s="37">
        <v>12</v>
      </c>
      <c r="S6" s="37">
        <v>11</v>
      </c>
      <c r="T6" s="37">
        <v>11</v>
      </c>
      <c r="U6" s="37">
        <v>10</v>
      </c>
      <c r="V6" s="37">
        <v>10</v>
      </c>
      <c r="W6" s="37">
        <v>10</v>
      </c>
      <c r="X6" s="37">
        <v>10</v>
      </c>
      <c r="Y6" s="37">
        <v>10</v>
      </c>
    </row>
    <row r="7" spans="1:25" ht="16" x14ac:dyDescent="0.2">
      <c r="A7" s="36" t="s">
        <v>111</v>
      </c>
      <c r="B7" s="37">
        <v>3</v>
      </c>
      <c r="C7" s="37">
        <v>4</v>
      </c>
      <c r="D7" s="37">
        <v>3</v>
      </c>
      <c r="E7" s="37">
        <v>4</v>
      </c>
      <c r="F7" s="37">
        <v>3</v>
      </c>
      <c r="G7" s="37">
        <v>3</v>
      </c>
      <c r="H7" s="37">
        <v>4</v>
      </c>
      <c r="I7" s="37">
        <v>3</v>
      </c>
      <c r="J7" s="37">
        <v>4</v>
      </c>
      <c r="K7" s="37">
        <v>3</v>
      </c>
      <c r="L7" s="37">
        <v>4</v>
      </c>
      <c r="M7" s="37">
        <v>4</v>
      </c>
      <c r="N7" s="37">
        <v>4</v>
      </c>
      <c r="O7" s="37">
        <v>4</v>
      </c>
      <c r="P7" s="37">
        <v>5</v>
      </c>
      <c r="Q7" s="37">
        <v>4</v>
      </c>
      <c r="R7" s="37">
        <v>4</v>
      </c>
      <c r="S7" s="37">
        <v>5</v>
      </c>
      <c r="T7" s="37">
        <v>4</v>
      </c>
      <c r="U7" s="37">
        <v>4</v>
      </c>
      <c r="V7" s="37">
        <v>5</v>
      </c>
      <c r="W7" s="37">
        <v>5</v>
      </c>
      <c r="X7" s="37">
        <v>4</v>
      </c>
      <c r="Y7" s="37">
        <v>4</v>
      </c>
    </row>
    <row r="8" spans="1:25" ht="16" x14ac:dyDescent="0.2">
      <c r="A8" s="36" t="s">
        <v>96</v>
      </c>
      <c r="B8" s="37">
        <v>33</v>
      </c>
      <c r="C8" s="37">
        <v>32</v>
      </c>
      <c r="D8" s="37">
        <v>32</v>
      </c>
      <c r="E8" s="37">
        <v>32</v>
      </c>
      <c r="F8" s="37">
        <v>30</v>
      </c>
      <c r="G8" s="37">
        <v>29</v>
      </c>
      <c r="H8" s="37">
        <v>28</v>
      </c>
      <c r="I8" s="37">
        <v>28</v>
      </c>
      <c r="J8" s="37">
        <v>28</v>
      </c>
      <c r="K8" s="37">
        <v>24</v>
      </c>
      <c r="L8" s="37">
        <v>21</v>
      </c>
      <c r="M8" s="37">
        <v>20</v>
      </c>
      <c r="N8" s="37">
        <v>21</v>
      </c>
      <c r="O8" s="37">
        <v>22</v>
      </c>
      <c r="P8" s="37">
        <v>25</v>
      </c>
      <c r="Q8" s="37">
        <v>25</v>
      </c>
      <c r="R8" s="37">
        <v>26</v>
      </c>
      <c r="S8" s="37">
        <v>27</v>
      </c>
      <c r="T8" s="37">
        <v>28</v>
      </c>
      <c r="U8" s="37">
        <v>28</v>
      </c>
      <c r="V8" s="37">
        <v>32</v>
      </c>
      <c r="W8" s="37">
        <v>31</v>
      </c>
      <c r="X8" s="37">
        <v>32</v>
      </c>
      <c r="Y8" s="37">
        <v>32</v>
      </c>
    </row>
    <row r="9" spans="1:25" ht="16" x14ac:dyDescent="0.2">
      <c r="A9" s="36" t="s">
        <v>94</v>
      </c>
      <c r="B9" s="37">
        <v>21</v>
      </c>
      <c r="C9" s="37">
        <v>20</v>
      </c>
      <c r="D9" s="37">
        <v>21</v>
      </c>
      <c r="E9" s="37">
        <v>22</v>
      </c>
      <c r="F9" s="37">
        <v>21</v>
      </c>
      <c r="G9" s="37">
        <v>18</v>
      </c>
      <c r="H9" s="37">
        <v>18</v>
      </c>
      <c r="I9" s="37">
        <v>18</v>
      </c>
      <c r="J9" s="37">
        <v>17</v>
      </c>
      <c r="K9" s="37">
        <v>16</v>
      </c>
      <c r="L9" s="37">
        <v>15</v>
      </c>
      <c r="M9" s="37">
        <v>14</v>
      </c>
      <c r="N9" s="37">
        <v>16</v>
      </c>
      <c r="O9" s="37">
        <v>17</v>
      </c>
      <c r="P9" s="37">
        <v>17</v>
      </c>
      <c r="Q9" s="37">
        <v>17</v>
      </c>
      <c r="R9" s="37">
        <v>17</v>
      </c>
      <c r="S9" s="37">
        <v>19</v>
      </c>
      <c r="T9" s="37">
        <v>19</v>
      </c>
      <c r="U9" s="37">
        <v>20</v>
      </c>
      <c r="V9" s="37">
        <v>19</v>
      </c>
      <c r="W9" s="37">
        <v>20</v>
      </c>
      <c r="X9" s="37">
        <v>21</v>
      </c>
      <c r="Y9" s="37">
        <v>21</v>
      </c>
    </row>
    <row r="10" spans="1:25" ht="16" x14ac:dyDescent="0.2">
      <c r="A10" s="36" t="s">
        <v>95</v>
      </c>
      <c r="B10" s="37">
        <v>4</v>
      </c>
      <c r="C10" s="37">
        <v>4</v>
      </c>
      <c r="D10" s="37">
        <v>4</v>
      </c>
      <c r="E10" s="37">
        <v>4</v>
      </c>
      <c r="F10" s="37">
        <v>4</v>
      </c>
      <c r="G10" s="37">
        <v>4</v>
      </c>
      <c r="H10" s="37">
        <v>4</v>
      </c>
      <c r="I10" s="37">
        <v>3</v>
      </c>
      <c r="J10" s="37">
        <v>2</v>
      </c>
      <c r="K10" s="37">
        <v>2</v>
      </c>
      <c r="L10" s="37">
        <v>2</v>
      </c>
      <c r="M10" s="37">
        <v>3</v>
      </c>
      <c r="N10" s="37">
        <v>2</v>
      </c>
      <c r="O10" s="37">
        <v>3</v>
      </c>
      <c r="P10" s="37">
        <v>3</v>
      </c>
      <c r="Q10" s="37">
        <v>3</v>
      </c>
      <c r="R10" s="37">
        <v>2</v>
      </c>
      <c r="S10" s="37">
        <v>3</v>
      </c>
      <c r="T10" s="37">
        <v>1</v>
      </c>
      <c r="U10" s="37">
        <v>1</v>
      </c>
      <c r="V10" s="37">
        <v>1</v>
      </c>
      <c r="W10" s="37">
        <v>2</v>
      </c>
      <c r="X10" s="37">
        <v>3</v>
      </c>
      <c r="Y10" s="37">
        <v>3</v>
      </c>
    </row>
    <row r="11" spans="1:25" ht="16" x14ac:dyDescent="0.2">
      <c r="A11" s="36" t="s">
        <v>97</v>
      </c>
      <c r="B11" s="37">
        <v>12</v>
      </c>
      <c r="C11" s="37">
        <v>12</v>
      </c>
      <c r="D11" s="37">
        <v>12</v>
      </c>
      <c r="E11" s="37">
        <v>12</v>
      </c>
      <c r="F11" s="37">
        <v>12</v>
      </c>
      <c r="G11" s="37">
        <v>11</v>
      </c>
      <c r="H11" s="37">
        <v>10</v>
      </c>
      <c r="I11" s="37">
        <v>10</v>
      </c>
      <c r="J11" s="37">
        <v>10</v>
      </c>
      <c r="K11" s="37">
        <v>10</v>
      </c>
      <c r="L11" s="37">
        <v>10</v>
      </c>
      <c r="M11" s="37">
        <v>8</v>
      </c>
      <c r="N11" s="37">
        <v>9</v>
      </c>
      <c r="O11" s="37">
        <v>10</v>
      </c>
      <c r="P11" s="37">
        <v>10</v>
      </c>
      <c r="Q11" s="37">
        <v>9</v>
      </c>
      <c r="R11" s="37">
        <v>10</v>
      </c>
      <c r="S11" s="37">
        <v>11</v>
      </c>
      <c r="T11" s="37">
        <v>11</v>
      </c>
      <c r="U11" s="37">
        <v>10</v>
      </c>
      <c r="V11" s="37">
        <v>10</v>
      </c>
      <c r="W11" s="37">
        <v>12</v>
      </c>
      <c r="X11" s="37">
        <v>12</v>
      </c>
      <c r="Y11" s="37">
        <v>12</v>
      </c>
    </row>
    <row r="12" spans="1:25" ht="16" x14ac:dyDescent="0.2">
      <c r="A12" s="36" t="s">
        <v>98</v>
      </c>
      <c r="B12" s="37">
        <v>8</v>
      </c>
      <c r="C12" s="37">
        <v>8</v>
      </c>
      <c r="D12" s="37">
        <v>7</v>
      </c>
      <c r="E12" s="37">
        <v>8</v>
      </c>
      <c r="F12" s="37">
        <v>7</v>
      </c>
      <c r="G12" s="37">
        <v>8</v>
      </c>
      <c r="H12" s="37">
        <v>8</v>
      </c>
      <c r="I12" s="37">
        <v>8</v>
      </c>
      <c r="J12" s="37">
        <v>8</v>
      </c>
      <c r="K12" s="37">
        <v>10</v>
      </c>
      <c r="L12" s="37">
        <v>10</v>
      </c>
      <c r="M12" s="37">
        <v>9</v>
      </c>
      <c r="N12" s="37">
        <v>7</v>
      </c>
      <c r="O12" s="37">
        <v>7</v>
      </c>
      <c r="P12" s="37">
        <v>7</v>
      </c>
      <c r="Q12" s="37">
        <v>7</v>
      </c>
      <c r="R12" s="37">
        <v>6</v>
      </c>
      <c r="S12" s="37">
        <v>6</v>
      </c>
      <c r="T12" s="37">
        <v>6</v>
      </c>
      <c r="U12" s="37">
        <v>5</v>
      </c>
      <c r="V12" s="37">
        <v>5</v>
      </c>
      <c r="W12" s="37">
        <v>7</v>
      </c>
      <c r="X12" s="37">
        <v>6</v>
      </c>
      <c r="Y12" s="37">
        <v>8</v>
      </c>
    </row>
    <row r="13" spans="1:25" ht="16" x14ac:dyDescent="0.2">
      <c r="A13" s="36" t="s">
        <v>107</v>
      </c>
      <c r="B13" s="37">
        <v>9</v>
      </c>
      <c r="C13" s="37">
        <v>10</v>
      </c>
      <c r="D13" s="37">
        <v>9</v>
      </c>
      <c r="E13" s="37">
        <v>9</v>
      </c>
      <c r="F13" s="37">
        <v>8</v>
      </c>
      <c r="G13" s="37">
        <v>10</v>
      </c>
      <c r="H13" s="37">
        <v>10</v>
      </c>
      <c r="I13" s="37">
        <v>9</v>
      </c>
      <c r="J13" s="37">
        <v>10</v>
      </c>
      <c r="K13" s="37">
        <v>9</v>
      </c>
      <c r="L13" s="37">
        <v>9</v>
      </c>
      <c r="M13" s="37">
        <v>9</v>
      </c>
      <c r="N13" s="37">
        <v>7</v>
      </c>
      <c r="O13" s="37">
        <v>7</v>
      </c>
      <c r="P13" s="37">
        <v>7</v>
      </c>
      <c r="Q13" s="37">
        <v>7</v>
      </c>
      <c r="R13" s="37">
        <v>8</v>
      </c>
      <c r="S13" s="37">
        <v>8</v>
      </c>
      <c r="T13" s="37">
        <v>7</v>
      </c>
      <c r="U13" s="37">
        <v>7</v>
      </c>
      <c r="V13" s="37">
        <v>7</v>
      </c>
      <c r="W13" s="37">
        <v>9</v>
      </c>
      <c r="X13" s="37">
        <v>8</v>
      </c>
      <c r="Y13" s="37">
        <v>9</v>
      </c>
    </row>
    <row r="14" spans="1:25" ht="16" x14ac:dyDescent="0.2">
      <c r="A14" s="36" t="s">
        <v>105</v>
      </c>
      <c r="B14" s="37">
        <v>8</v>
      </c>
      <c r="C14" s="37">
        <v>8</v>
      </c>
      <c r="D14" s="37">
        <v>9</v>
      </c>
      <c r="E14" s="37">
        <v>8</v>
      </c>
      <c r="F14" s="37">
        <v>8</v>
      </c>
      <c r="G14" s="37">
        <v>7</v>
      </c>
      <c r="H14" s="37">
        <v>7</v>
      </c>
      <c r="I14" s="37">
        <v>7</v>
      </c>
      <c r="J14" s="37">
        <v>6</v>
      </c>
      <c r="K14" s="37">
        <v>6</v>
      </c>
      <c r="L14" s="37">
        <v>7</v>
      </c>
      <c r="M14" s="37">
        <v>7</v>
      </c>
      <c r="N14" s="37">
        <v>8</v>
      </c>
      <c r="O14" s="37">
        <v>8</v>
      </c>
      <c r="P14" s="37">
        <v>8</v>
      </c>
      <c r="Q14" s="37">
        <v>8</v>
      </c>
      <c r="R14" s="37">
        <v>7</v>
      </c>
      <c r="S14" s="37">
        <v>8</v>
      </c>
      <c r="T14" s="37">
        <v>8</v>
      </c>
      <c r="U14" s="37">
        <v>7</v>
      </c>
      <c r="V14" s="37">
        <v>7</v>
      </c>
      <c r="W14" s="37">
        <v>9</v>
      </c>
      <c r="X14" s="37">
        <v>9</v>
      </c>
      <c r="Y14" s="37">
        <v>9</v>
      </c>
    </row>
    <row r="15" spans="1:25" ht="16" x14ac:dyDescent="0.2">
      <c r="A15" s="36" t="s">
        <v>119</v>
      </c>
      <c r="B15" s="37">
        <v>5</v>
      </c>
      <c r="C15" s="37">
        <v>6</v>
      </c>
      <c r="D15" s="37">
        <v>6</v>
      </c>
      <c r="E15" s="37">
        <v>5</v>
      </c>
      <c r="F15" s="37">
        <v>5</v>
      </c>
      <c r="G15" s="37">
        <v>6</v>
      </c>
      <c r="H15" s="37">
        <v>6</v>
      </c>
      <c r="I15" s="37">
        <v>5</v>
      </c>
      <c r="J15" s="37">
        <v>5</v>
      </c>
      <c r="K15" s="37">
        <v>5</v>
      </c>
      <c r="L15" s="37">
        <v>5</v>
      </c>
      <c r="M15" s="37">
        <v>5</v>
      </c>
      <c r="N15" s="37">
        <v>5</v>
      </c>
      <c r="O15" s="37">
        <v>5</v>
      </c>
      <c r="P15" s="37">
        <v>4</v>
      </c>
      <c r="Q15" s="37">
        <v>4</v>
      </c>
      <c r="R15" s="37">
        <v>4</v>
      </c>
      <c r="S15" s="37">
        <v>6</v>
      </c>
      <c r="T15" s="37">
        <v>4</v>
      </c>
      <c r="U15" s="37">
        <v>5</v>
      </c>
      <c r="V15" s="37">
        <v>6</v>
      </c>
      <c r="W15" s="37">
        <v>7</v>
      </c>
      <c r="X15" s="37">
        <v>7</v>
      </c>
      <c r="Y15" s="37">
        <v>7</v>
      </c>
    </row>
    <row r="16" spans="1:25" ht="16" x14ac:dyDescent="0.2">
      <c r="A16" s="36" t="s">
        <v>99</v>
      </c>
      <c r="B16" s="37">
        <v>21</v>
      </c>
      <c r="C16" s="37">
        <v>21</v>
      </c>
      <c r="D16" s="37">
        <v>20</v>
      </c>
      <c r="E16" s="37">
        <v>20</v>
      </c>
      <c r="F16" s="37">
        <v>19</v>
      </c>
      <c r="G16" s="37">
        <v>18</v>
      </c>
      <c r="H16" s="37">
        <v>17</v>
      </c>
      <c r="I16" s="37">
        <v>17</v>
      </c>
      <c r="J16" s="37">
        <v>16</v>
      </c>
      <c r="K16" s="37">
        <v>16</v>
      </c>
      <c r="L16" s="37">
        <v>15</v>
      </c>
      <c r="M16" s="37">
        <v>15</v>
      </c>
      <c r="N16" s="37">
        <v>20</v>
      </c>
      <c r="O16" s="37">
        <v>21</v>
      </c>
      <c r="P16" s="37">
        <v>21</v>
      </c>
      <c r="Q16" s="37">
        <v>21</v>
      </c>
      <c r="R16" s="37">
        <v>22</v>
      </c>
      <c r="S16" s="37">
        <v>22</v>
      </c>
      <c r="T16" s="37">
        <v>22</v>
      </c>
      <c r="U16" s="37">
        <v>21</v>
      </c>
      <c r="V16" s="37">
        <v>21</v>
      </c>
      <c r="W16" s="37">
        <v>21</v>
      </c>
      <c r="X16" s="37">
        <v>20</v>
      </c>
      <c r="Y16" s="37">
        <v>21</v>
      </c>
    </row>
    <row r="17" spans="1:25" ht="16" x14ac:dyDescent="0.2">
      <c r="A17" s="36" t="s">
        <v>91</v>
      </c>
      <c r="B17" s="37">
        <v>35</v>
      </c>
      <c r="C17" s="37">
        <v>35</v>
      </c>
      <c r="D17" s="37">
        <v>33</v>
      </c>
      <c r="E17" s="37">
        <v>33</v>
      </c>
      <c r="F17" s="37">
        <v>32</v>
      </c>
      <c r="G17" s="37">
        <v>30</v>
      </c>
      <c r="H17" s="37">
        <v>26</v>
      </c>
      <c r="I17" s="37">
        <v>26</v>
      </c>
      <c r="J17" s="37">
        <v>25</v>
      </c>
      <c r="K17" s="37">
        <v>24</v>
      </c>
      <c r="L17" s="37">
        <v>23</v>
      </c>
      <c r="M17" s="37">
        <v>21</v>
      </c>
      <c r="N17" s="37">
        <v>24</v>
      </c>
      <c r="O17" s="37">
        <v>25</v>
      </c>
      <c r="P17" s="37">
        <v>25</v>
      </c>
      <c r="Q17" s="37">
        <v>26</v>
      </c>
      <c r="R17" s="37">
        <v>29</v>
      </c>
      <c r="S17" s="37">
        <v>30</v>
      </c>
      <c r="T17" s="37">
        <v>30</v>
      </c>
      <c r="U17" s="37">
        <v>32</v>
      </c>
      <c r="V17" s="37">
        <v>32</v>
      </c>
      <c r="W17" s="37">
        <v>33</v>
      </c>
      <c r="X17" s="37">
        <v>33</v>
      </c>
      <c r="Y17" s="37">
        <v>34</v>
      </c>
    </row>
    <row r="18" spans="1:25" ht="16" x14ac:dyDescent="0.2">
      <c r="A18" s="36" t="s">
        <v>100</v>
      </c>
      <c r="B18" s="37">
        <v>11</v>
      </c>
      <c r="C18" s="37">
        <v>10</v>
      </c>
      <c r="D18" s="37">
        <v>10</v>
      </c>
      <c r="E18" s="37">
        <v>10</v>
      </c>
      <c r="F18" s="37">
        <v>9</v>
      </c>
      <c r="G18" s="37">
        <v>10</v>
      </c>
      <c r="H18" s="37">
        <v>10</v>
      </c>
      <c r="I18" s="37">
        <v>10</v>
      </c>
      <c r="J18" s="37">
        <v>10</v>
      </c>
      <c r="K18" s="37">
        <v>9</v>
      </c>
      <c r="L18" s="37">
        <v>9</v>
      </c>
      <c r="M18" s="37">
        <v>9</v>
      </c>
      <c r="N18" s="37">
        <v>8</v>
      </c>
      <c r="O18" s="37">
        <v>9</v>
      </c>
      <c r="P18" s="37">
        <v>9</v>
      </c>
      <c r="Q18" s="37">
        <v>9</v>
      </c>
      <c r="R18" s="37">
        <v>8</v>
      </c>
      <c r="S18" s="37">
        <v>8</v>
      </c>
      <c r="T18" s="37">
        <v>8</v>
      </c>
      <c r="U18" s="37">
        <v>7</v>
      </c>
      <c r="V18" s="37">
        <v>8</v>
      </c>
      <c r="W18" s="37">
        <v>10</v>
      </c>
      <c r="X18" s="37">
        <v>11</v>
      </c>
      <c r="Y18" s="37">
        <v>11</v>
      </c>
    </row>
    <row r="19" spans="1:25" ht="16" x14ac:dyDescent="0.2">
      <c r="A19" s="36" t="s">
        <v>101</v>
      </c>
      <c r="B19" s="37">
        <v>28</v>
      </c>
      <c r="C19" s="37">
        <v>29</v>
      </c>
      <c r="D19" s="37">
        <v>28</v>
      </c>
      <c r="E19" s="37">
        <v>28</v>
      </c>
      <c r="F19" s="37">
        <v>29</v>
      </c>
      <c r="G19" s="37">
        <v>29</v>
      </c>
      <c r="H19" s="37">
        <v>29</v>
      </c>
      <c r="I19" s="37">
        <v>27</v>
      </c>
      <c r="J19" s="37">
        <v>26</v>
      </c>
      <c r="K19" s="37">
        <v>24</v>
      </c>
      <c r="L19" s="37">
        <v>22</v>
      </c>
      <c r="M19" s="37">
        <v>20</v>
      </c>
      <c r="N19" s="37">
        <v>22</v>
      </c>
      <c r="O19" s="37">
        <v>27</v>
      </c>
      <c r="P19" s="37">
        <v>27</v>
      </c>
      <c r="Q19" s="37">
        <v>28</v>
      </c>
      <c r="R19" s="37">
        <v>29</v>
      </c>
      <c r="S19" s="37">
        <v>29</v>
      </c>
      <c r="T19" s="37">
        <v>28</v>
      </c>
      <c r="U19" s="37">
        <v>29</v>
      </c>
      <c r="V19" s="37">
        <v>29</v>
      </c>
      <c r="W19" s="37">
        <v>29</v>
      </c>
      <c r="X19" s="37">
        <v>28</v>
      </c>
      <c r="Y19" s="37">
        <v>27</v>
      </c>
    </row>
    <row r="20" spans="1:25" ht="16" x14ac:dyDescent="0.2">
      <c r="A20" s="36" t="s">
        <v>106</v>
      </c>
      <c r="B20" s="37">
        <v>23</v>
      </c>
      <c r="C20" s="37">
        <v>23</v>
      </c>
      <c r="D20" s="37">
        <v>24</v>
      </c>
      <c r="E20" s="37">
        <v>24</v>
      </c>
      <c r="F20" s="37">
        <v>25</v>
      </c>
      <c r="G20" s="37">
        <v>25</v>
      </c>
      <c r="H20" s="37">
        <v>24</v>
      </c>
      <c r="I20" s="37">
        <v>23</v>
      </c>
      <c r="J20" s="37">
        <v>21</v>
      </c>
      <c r="K20" s="37">
        <v>21</v>
      </c>
      <c r="L20" s="37">
        <v>19</v>
      </c>
      <c r="M20" s="37">
        <v>18</v>
      </c>
      <c r="N20" s="37">
        <v>20</v>
      </c>
      <c r="O20" s="37">
        <v>20</v>
      </c>
      <c r="P20" s="37">
        <v>20</v>
      </c>
      <c r="Q20" s="37">
        <v>20</v>
      </c>
      <c r="R20" s="37">
        <v>20</v>
      </c>
      <c r="S20" s="37">
        <v>20</v>
      </c>
      <c r="T20" s="37">
        <v>20</v>
      </c>
      <c r="U20" s="37">
        <v>21</v>
      </c>
      <c r="V20" s="37">
        <v>21</v>
      </c>
      <c r="W20" s="37">
        <v>21</v>
      </c>
      <c r="X20" s="37">
        <v>21</v>
      </c>
      <c r="Y20" s="37">
        <v>22</v>
      </c>
    </row>
    <row r="21" spans="1:25" ht="16" x14ac:dyDescent="0.2">
      <c r="A21" s="36" t="s">
        <v>110</v>
      </c>
      <c r="B21" s="37">
        <v>2</v>
      </c>
      <c r="C21" s="37">
        <v>2</v>
      </c>
      <c r="D21" s="37">
        <v>2</v>
      </c>
      <c r="E21" s="37">
        <v>2</v>
      </c>
      <c r="F21" s="37">
        <v>1</v>
      </c>
      <c r="G21" s="37">
        <v>2</v>
      </c>
      <c r="H21" s="37">
        <v>2</v>
      </c>
      <c r="I21" s="37">
        <v>1</v>
      </c>
      <c r="J21" s="37">
        <v>2</v>
      </c>
      <c r="K21" s="37">
        <v>0</v>
      </c>
      <c r="L21" s="37">
        <v>0</v>
      </c>
      <c r="M21" s="37">
        <v>0</v>
      </c>
      <c r="N21" s="37">
        <v>4</v>
      </c>
      <c r="O21" s="37">
        <v>4</v>
      </c>
      <c r="P21" s="37">
        <v>4</v>
      </c>
      <c r="Q21" s="37">
        <v>4</v>
      </c>
      <c r="R21" s="37">
        <v>3</v>
      </c>
      <c r="S21" s="37">
        <v>4</v>
      </c>
      <c r="T21" s="37">
        <v>3</v>
      </c>
      <c r="U21" s="37">
        <v>2</v>
      </c>
      <c r="V21" s="37">
        <v>3</v>
      </c>
      <c r="W21" s="37">
        <v>1</v>
      </c>
      <c r="X21" s="37">
        <v>2</v>
      </c>
      <c r="Y21" s="37">
        <v>2</v>
      </c>
    </row>
    <row r="22" spans="1:25" ht="16" x14ac:dyDescent="0.2">
      <c r="A22" s="36" t="s">
        <v>92</v>
      </c>
      <c r="B22" s="37">
        <v>12</v>
      </c>
      <c r="C22" s="37">
        <v>12</v>
      </c>
      <c r="D22" s="37">
        <v>12</v>
      </c>
      <c r="E22" s="37">
        <v>11</v>
      </c>
      <c r="F22" s="37">
        <v>11</v>
      </c>
      <c r="G22" s="37">
        <v>10</v>
      </c>
      <c r="H22" s="37">
        <v>10</v>
      </c>
      <c r="I22" s="37">
        <v>9</v>
      </c>
      <c r="J22" s="37">
        <v>8</v>
      </c>
      <c r="K22" s="37">
        <v>9</v>
      </c>
      <c r="L22" s="37">
        <v>9</v>
      </c>
      <c r="M22" s="37">
        <v>9</v>
      </c>
      <c r="N22" s="37">
        <v>15</v>
      </c>
      <c r="O22" s="37">
        <v>15</v>
      </c>
      <c r="P22" s="37">
        <v>15</v>
      </c>
      <c r="Q22" s="37">
        <v>14</v>
      </c>
      <c r="R22" s="37">
        <v>14</v>
      </c>
      <c r="S22" s="37">
        <v>14</v>
      </c>
      <c r="T22" s="37">
        <v>13</v>
      </c>
      <c r="U22" s="37">
        <v>11</v>
      </c>
      <c r="V22" s="37">
        <v>11</v>
      </c>
      <c r="W22" s="37">
        <v>11</v>
      </c>
      <c r="X22" s="37">
        <v>11</v>
      </c>
      <c r="Y22" s="37">
        <v>11</v>
      </c>
    </row>
    <row r="23" spans="1:25" ht="16" x14ac:dyDescent="0.2">
      <c r="A23" s="36" t="s">
        <v>114</v>
      </c>
      <c r="B23" s="37">
        <v>2</v>
      </c>
      <c r="C23" s="37">
        <v>2</v>
      </c>
      <c r="D23" s="37">
        <v>2</v>
      </c>
      <c r="E23" s="37">
        <v>1</v>
      </c>
      <c r="F23" s="37">
        <v>1</v>
      </c>
      <c r="G23" s="37">
        <v>2</v>
      </c>
      <c r="H23" s="37">
        <v>2</v>
      </c>
      <c r="I23" s="37">
        <v>2</v>
      </c>
      <c r="J23" s="37">
        <v>2</v>
      </c>
      <c r="K23" s="37">
        <v>2</v>
      </c>
      <c r="L23" s="37">
        <v>2</v>
      </c>
      <c r="M23" s="37">
        <v>2</v>
      </c>
      <c r="N23" s="37">
        <v>3</v>
      </c>
      <c r="O23" s="37">
        <v>3</v>
      </c>
      <c r="P23" s="37">
        <v>3</v>
      </c>
      <c r="Q23" s="37">
        <v>3</v>
      </c>
      <c r="R23" s="37">
        <v>3</v>
      </c>
      <c r="S23" s="37">
        <v>3</v>
      </c>
      <c r="T23" s="37">
        <v>2</v>
      </c>
      <c r="U23" s="37">
        <v>2</v>
      </c>
      <c r="V23" s="37">
        <v>2</v>
      </c>
      <c r="W23" s="37">
        <v>2</v>
      </c>
      <c r="X23" s="37">
        <v>2</v>
      </c>
      <c r="Y23" s="37">
        <v>1</v>
      </c>
    </row>
    <row r="24" spans="1:25" ht="16" x14ac:dyDescent="0.2">
      <c r="A24" s="36" t="s">
        <v>108</v>
      </c>
      <c r="B24" s="37">
        <v>24</v>
      </c>
      <c r="C24" s="37">
        <v>24</v>
      </c>
      <c r="D24" s="37">
        <v>24</v>
      </c>
      <c r="E24" s="37">
        <v>24</v>
      </c>
      <c r="F24" s="37">
        <v>24</v>
      </c>
      <c r="G24" s="37">
        <v>24</v>
      </c>
      <c r="H24" s="37">
        <v>24</v>
      </c>
      <c r="I24" s="37">
        <v>23</v>
      </c>
      <c r="J24" s="37">
        <v>23</v>
      </c>
      <c r="K24" s="37">
        <v>22</v>
      </c>
      <c r="L24" s="37">
        <v>20</v>
      </c>
      <c r="M24" s="37">
        <v>19</v>
      </c>
      <c r="N24" s="37">
        <v>19</v>
      </c>
      <c r="O24" s="37">
        <v>21</v>
      </c>
      <c r="P24" s="37">
        <v>22</v>
      </c>
      <c r="Q24" s="37">
        <v>24</v>
      </c>
      <c r="R24" s="37">
        <v>24</v>
      </c>
      <c r="S24" s="37">
        <v>24</v>
      </c>
      <c r="T24" s="37">
        <v>24</v>
      </c>
      <c r="U24" s="37">
        <v>24</v>
      </c>
      <c r="V24" s="37">
        <v>25</v>
      </c>
      <c r="W24" s="37">
        <v>26</v>
      </c>
      <c r="X24" s="37">
        <v>25</v>
      </c>
      <c r="Y24" s="37">
        <v>25</v>
      </c>
    </row>
    <row r="25" spans="1:25" ht="16" x14ac:dyDescent="0.2">
      <c r="A25" s="36" t="s">
        <v>102</v>
      </c>
      <c r="B25" s="37">
        <v>20</v>
      </c>
      <c r="C25" s="37">
        <v>20</v>
      </c>
      <c r="D25" s="37">
        <v>21</v>
      </c>
      <c r="E25" s="37">
        <v>20</v>
      </c>
      <c r="F25" s="37">
        <v>20</v>
      </c>
      <c r="G25" s="37">
        <v>20</v>
      </c>
      <c r="H25" s="37">
        <v>20</v>
      </c>
      <c r="I25" s="37">
        <v>20</v>
      </c>
      <c r="J25" s="37">
        <v>21</v>
      </c>
      <c r="K25" s="37">
        <v>20</v>
      </c>
      <c r="L25" s="37">
        <v>19</v>
      </c>
      <c r="M25" s="37">
        <v>18</v>
      </c>
      <c r="N25" s="37">
        <v>18</v>
      </c>
      <c r="O25" s="37">
        <v>19</v>
      </c>
      <c r="P25" s="37">
        <v>19</v>
      </c>
      <c r="Q25" s="37">
        <v>19</v>
      </c>
      <c r="R25" s="37">
        <v>20</v>
      </c>
      <c r="S25" s="37">
        <v>19</v>
      </c>
      <c r="T25" s="37">
        <v>20</v>
      </c>
      <c r="U25" s="37">
        <v>19</v>
      </c>
      <c r="V25" s="37">
        <v>19</v>
      </c>
      <c r="W25" s="37">
        <v>20</v>
      </c>
      <c r="X25" s="37">
        <v>20</v>
      </c>
      <c r="Y25" s="37">
        <v>20</v>
      </c>
    </row>
    <row r="26" spans="1:25" ht="16" x14ac:dyDescent="0.2">
      <c r="A26" s="36" t="s">
        <v>180</v>
      </c>
      <c r="B26" s="37">
        <v>1</v>
      </c>
      <c r="C26" s="37">
        <v>1</v>
      </c>
      <c r="D26" s="37">
        <v>2</v>
      </c>
      <c r="E26" s="37">
        <v>2</v>
      </c>
      <c r="F26" s="37">
        <v>2</v>
      </c>
      <c r="G26" s="37">
        <v>2</v>
      </c>
      <c r="H26" s="37">
        <v>2</v>
      </c>
      <c r="I26" s="37">
        <v>2</v>
      </c>
      <c r="J26" s="37">
        <v>2</v>
      </c>
      <c r="K26" s="37">
        <v>2</v>
      </c>
      <c r="L26" s="37">
        <v>2</v>
      </c>
      <c r="M26" s="37">
        <v>2</v>
      </c>
      <c r="N26" s="37">
        <v>2</v>
      </c>
      <c r="O26" s="37">
        <v>2</v>
      </c>
      <c r="P26" s="37">
        <v>3</v>
      </c>
      <c r="Q26" s="37">
        <v>2</v>
      </c>
      <c r="R26" s="37">
        <v>2</v>
      </c>
      <c r="S26" s="37">
        <v>2</v>
      </c>
      <c r="T26" s="37">
        <v>2</v>
      </c>
      <c r="U26" s="37">
        <v>2</v>
      </c>
      <c r="V26" s="37">
        <v>2</v>
      </c>
      <c r="W26" s="37">
        <v>2</v>
      </c>
      <c r="X26" s="37">
        <v>2</v>
      </c>
      <c r="Y26" s="37">
        <v>1</v>
      </c>
    </row>
    <row r="27" spans="1:25" ht="16" x14ac:dyDescent="0.2">
      <c r="A27" s="36" t="s">
        <v>109</v>
      </c>
      <c r="B27" s="37">
        <v>5</v>
      </c>
      <c r="C27" s="37">
        <v>5</v>
      </c>
      <c r="D27" s="37">
        <v>5</v>
      </c>
      <c r="E27" s="37">
        <v>6</v>
      </c>
      <c r="F27" s="37">
        <v>5</v>
      </c>
      <c r="G27" s="37">
        <v>6</v>
      </c>
      <c r="H27" s="37">
        <v>6</v>
      </c>
      <c r="I27" s="37">
        <v>6</v>
      </c>
      <c r="J27" s="37">
        <v>7</v>
      </c>
      <c r="K27" s="37">
        <v>6</v>
      </c>
      <c r="L27" s="37">
        <v>7</v>
      </c>
      <c r="M27" s="37">
        <v>7</v>
      </c>
      <c r="N27" s="37">
        <v>9</v>
      </c>
      <c r="O27" s="37">
        <v>8</v>
      </c>
      <c r="P27" s="37">
        <v>9</v>
      </c>
      <c r="Q27" s="37">
        <v>8</v>
      </c>
      <c r="R27" s="37">
        <v>7</v>
      </c>
      <c r="S27" s="37">
        <v>6</v>
      </c>
      <c r="T27" s="37">
        <v>5</v>
      </c>
      <c r="U27" s="37">
        <v>5</v>
      </c>
      <c r="V27" s="37">
        <v>6</v>
      </c>
      <c r="W27" s="37">
        <v>5</v>
      </c>
      <c r="X27" s="37">
        <v>4</v>
      </c>
      <c r="Y27" s="37">
        <v>5</v>
      </c>
    </row>
    <row r="28" spans="1:25" ht="16" x14ac:dyDescent="0.2">
      <c r="A28" s="36" t="s">
        <v>113</v>
      </c>
      <c r="B28" s="37">
        <v>2</v>
      </c>
      <c r="C28" s="37">
        <v>3</v>
      </c>
      <c r="D28" s="37">
        <v>2</v>
      </c>
      <c r="E28" s="37">
        <v>3</v>
      </c>
      <c r="F28" s="37">
        <v>3</v>
      </c>
      <c r="G28" s="37">
        <v>2</v>
      </c>
      <c r="H28" s="37">
        <v>2</v>
      </c>
      <c r="I28" s="37">
        <v>3</v>
      </c>
      <c r="J28" s="37">
        <v>1</v>
      </c>
      <c r="K28" s="37">
        <v>1</v>
      </c>
      <c r="L28" s="37">
        <v>1</v>
      </c>
      <c r="M28" s="37">
        <v>1</v>
      </c>
      <c r="N28" s="37">
        <v>3</v>
      </c>
      <c r="O28" s="37">
        <v>3</v>
      </c>
      <c r="P28" s="37">
        <v>3</v>
      </c>
      <c r="Q28" s="37">
        <v>3</v>
      </c>
      <c r="R28" s="37">
        <v>3</v>
      </c>
      <c r="S28" s="37">
        <v>2</v>
      </c>
      <c r="T28" s="37">
        <v>2</v>
      </c>
      <c r="U28" s="37">
        <v>2</v>
      </c>
      <c r="V28" s="37">
        <v>2</v>
      </c>
      <c r="W28" s="37">
        <v>2</v>
      </c>
      <c r="X28" s="37">
        <v>2</v>
      </c>
      <c r="Y28" s="37">
        <v>3</v>
      </c>
    </row>
    <row r="29" spans="1:25" ht="16" x14ac:dyDescent="0.2">
      <c r="A29" s="36" t="s">
        <v>122</v>
      </c>
      <c r="B29" s="37">
        <v>1</v>
      </c>
      <c r="C29" s="37">
        <v>2</v>
      </c>
      <c r="D29" s="37">
        <v>1</v>
      </c>
      <c r="E29" s="37">
        <v>1</v>
      </c>
      <c r="F29" s="37">
        <v>1</v>
      </c>
      <c r="G29" s="37">
        <v>2</v>
      </c>
      <c r="H29" s="37">
        <v>1</v>
      </c>
      <c r="I29" s="37">
        <v>2</v>
      </c>
      <c r="J29" s="37">
        <v>1</v>
      </c>
      <c r="K29" s="37">
        <v>1</v>
      </c>
      <c r="L29" s="37">
        <v>1</v>
      </c>
      <c r="M29" s="37">
        <v>2</v>
      </c>
      <c r="N29" s="37">
        <v>2</v>
      </c>
      <c r="O29" s="37">
        <v>1</v>
      </c>
      <c r="P29" s="37">
        <v>1</v>
      </c>
      <c r="Q29" s="37">
        <v>2</v>
      </c>
      <c r="R29" s="37">
        <v>1</v>
      </c>
      <c r="S29" s="37">
        <v>1</v>
      </c>
      <c r="T29" s="37">
        <v>1</v>
      </c>
      <c r="U29" s="37">
        <v>1</v>
      </c>
      <c r="V29" s="37">
        <v>1</v>
      </c>
      <c r="W29" s="37">
        <v>2</v>
      </c>
      <c r="X29" s="37">
        <v>1</v>
      </c>
      <c r="Y29" s="37">
        <v>1</v>
      </c>
    </row>
    <row r="30" spans="1:25" ht="16" x14ac:dyDescent="0.2">
      <c r="A30" s="36" t="s">
        <v>123</v>
      </c>
      <c r="B30" s="37">
        <v>1</v>
      </c>
      <c r="C30" s="37">
        <v>1</v>
      </c>
      <c r="D30" s="37">
        <v>1</v>
      </c>
      <c r="E30" s="37">
        <v>2</v>
      </c>
      <c r="F30" s="37">
        <v>1</v>
      </c>
      <c r="G30" s="37">
        <v>1</v>
      </c>
      <c r="H30" s="37">
        <v>2</v>
      </c>
      <c r="I30" s="37">
        <v>2</v>
      </c>
      <c r="J30" s="37">
        <v>1</v>
      </c>
      <c r="K30" s="37">
        <v>1</v>
      </c>
      <c r="L30" s="37">
        <v>1</v>
      </c>
      <c r="M30" s="37">
        <v>2</v>
      </c>
      <c r="N30" s="37">
        <v>2</v>
      </c>
      <c r="O30" s="37">
        <v>3</v>
      </c>
      <c r="P30" s="37">
        <v>3</v>
      </c>
      <c r="Q30" s="37">
        <v>2</v>
      </c>
      <c r="R30" s="37">
        <v>2</v>
      </c>
      <c r="S30" s="37">
        <v>2</v>
      </c>
      <c r="T30" s="37">
        <v>2</v>
      </c>
      <c r="U30" s="37">
        <v>3</v>
      </c>
      <c r="V30" s="37">
        <v>2</v>
      </c>
      <c r="W30" s="37">
        <v>1</v>
      </c>
      <c r="X30" s="37">
        <v>1</v>
      </c>
      <c r="Y30" s="37">
        <v>2</v>
      </c>
    </row>
    <row r="31" spans="1:25" ht="16" x14ac:dyDescent="0.2">
      <c r="A31" s="36" t="s">
        <v>103</v>
      </c>
      <c r="B31" s="37">
        <v>8</v>
      </c>
      <c r="C31" s="37">
        <v>8</v>
      </c>
      <c r="D31" s="37">
        <v>7</v>
      </c>
      <c r="E31" s="37">
        <v>8</v>
      </c>
      <c r="F31" s="37">
        <v>8</v>
      </c>
      <c r="G31" s="37">
        <v>8</v>
      </c>
      <c r="H31" s="37">
        <v>6</v>
      </c>
      <c r="I31" s="37">
        <v>5</v>
      </c>
      <c r="J31" s="37">
        <v>6</v>
      </c>
      <c r="K31" s="37">
        <v>5</v>
      </c>
      <c r="L31" s="37">
        <v>5</v>
      </c>
      <c r="M31" s="37">
        <v>4</v>
      </c>
      <c r="N31" s="37">
        <v>8</v>
      </c>
      <c r="O31" s="37">
        <v>8</v>
      </c>
      <c r="P31" s="37">
        <v>7</v>
      </c>
      <c r="Q31" s="37">
        <v>9</v>
      </c>
      <c r="R31" s="37">
        <v>9</v>
      </c>
      <c r="S31" s="37">
        <v>9</v>
      </c>
      <c r="T31" s="37">
        <v>9</v>
      </c>
      <c r="U31" s="37">
        <v>8</v>
      </c>
      <c r="V31" s="37">
        <v>9</v>
      </c>
      <c r="W31" s="37">
        <v>7</v>
      </c>
      <c r="X31" s="37">
        <v>8</v>
      </c>
      <c r="Y31" s="37">
        <v>8</v>
      </c>
    </row>
    <row r="32" spans="1:25" ht="16" x14ac:dyDescent="0.2">
      <c r="A32" s="36" t="s">
        <v>93</v>
      </c>
      <c r="B32" s="37">
        <v>39</v>
      </c>
      <c r="C32" s="37">
        <v>41</v>
      </c>
      <c r="D32" s="37">
        <v>40</v>
      </c>
      <c r="E32" s="37">
        <v>39</v>
      </c>
      <c r="F32" s="37">
        <v>38</v>
      </c>
      <c r="G32" s="37">
        <v>35</v>
      </c>
      <c r="H32" s="37">
        <v>34</v>
      </c>
      <c r="I32" s="37">
        <v>32</v>
      </c>
      <c r="J32" s="37">
        <v>28</v>
      </c>
      <c r="K32" s="37">
        <v>27</v>
      </c>
      <c r="L32" s="37">
        <v>25</v>
      </c>
      <c r="M32" s="37">
        <v>23</v>
      </c>
      <c r="N32" s="37">
        <v>24</v>
      </c>
      <c r="O32" s="37">
        <v>28</v>
      </c>
      <c r="P32" s="37">
        <v>30</v>
      </c>
      <c r="Q32" s="37">
        <v>33</v>
      </c>
      <c r="R32" s="37">
        <v>35</v>
      </c>
      <c r="S32" s="37">
        <v>34</v>
      </c>
      <c r="T32" s="37">
        <v>34</v>
      </c>
      <c r="U32" s="37">
        <v>36</v>
      </c>
      <c r="V32" s="37">
        <v>38</v>
      </c>
      <c r="W32" s="37">
        <v>40</v>
      </c>
      <c r="X32" s="37">
        <v>41</v>
      </c>
      <c r="Y32" s="37">
        <v>41</v>
      </c>
    </row>
    <row r="33" spans="1:25" ht="16" x14ac:dyDescent="0.2">
      <c r="A33" s="36" t="s">
        <v>124</v>
      </c>
      <c r="B33" s="37">
        <v>3</v>
      </c>
      <c r="C33" s="37">
        <v>2</v>
      </c>
      <c r="D33" s="37">
        <v>2</v>
      </c>
      <c r="E33" s="37">
        <v>2</v>
      </c>
      <c r="F33" s="37">
        <v>2</v>
      </c>
      <c r="G33" s="37">
        <v>2</v>
      </c>
      <c r="H33" s="37">
        <v>2</v>
      </c>
      <c r="I33" s="37">
        <v>1</v>
      </c>
      <c r="J33" s="37">
        <v>2</v>
      </c>
      <c r="K33" s="37">
        <v>1</v>
      </c>
      <c r="L33" s="37">
        <v>1</v>
      </c>
      <c r="M33" s="37">
        <v>1</v>
      </c>
      <c r="N33" s="37">
        <v>2</v>
      </c>
      <c r="O33" s="37">
        <v>2</v>
      </c>
      <c r="P33" s="37">
        <v>2</v>
      </c>
      <c r="Q33" s="37">
        <v>3</v>
      </c>
      <c r="R33" s="37">
        <v>2</v>
      </c>
      <c r="S33" s="37">
        <v>2</v>
      </c>
      <c r="T33" s="37">
        <v>2</v>
      </c>
      <c r="U33" s="37">
        <v>2</v>
      </c>
      <c r="V33" s="37">
        <v>2</v>
      </c>
      <c r="W33" s="37">
        <v>2</v>
      </c>
      <c r="X33" s="37">
        <v>2</v>
      </c>
      <c r="Y33" s="37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theme="4" tint="-0.249977111117893"/>
  </sheetPr>
  <dimension ref="A1:CE126"/>
  <sheetViews>
    <sheetView tabSelected="1" topLeftCell="AG53" zoomScale="189" workbookViewId="0">
      <selection activeCell="AT77" sqref="AT77:AV77"/>
    </sheetView>
  </sheetViews>
  <sheetFormatPr baseColWidth="10" defaultColWidth="8.83203125" defaultRowHeight="12" customHeight="1" x14ac:dyDescent="0.2"/>
  <cols>
    <col min="1" max="1" width="7.6640625" bestFit="1" customWidth="1"/>
    <col min="2" max="2" width="7.33203125" bestFit="1" customWidth="1"/>
    <col min="3" max="3" width="7.6640625" bestFit="1" customWidth="1"/>
    <col min="4" max="5" width="13.6640625" bestFit="1" customWidth="1"/>
    <col min="6" max="7" width="14.6640625" bestFit="1" customWidth="1"/>
    <col min="8" max="8" width="7.6640625" bestFit="1" customWidth="1"/>
    <col min="9" max="10" width="13.6640625" bestFit="1" customWidth="1"/>
    <col min="11" max="11" width="14" bestFit="1" customWidth="1"/>
    <col min="12" max="12" width="14.6640625" bestFit="1" customWidth="1"/>
    <col min="13" max="13" width="7.6640625" bestFit="1" customWidth="1"/>
    <col min="14" max="15" width="13.6640625" bestFit="1" customWidth="1"/>
    <col min="16" max="16" width="14" bestFit="1" customWidth="1"/>
    <col min="17" max="17" width="14.6640625" bestFit="1" customWidth="1"/>
    <col min="18" max="18" width="7.6640625" bestFit="1" customWidth="1"/>
    <col min="19" max="20" width="7.33203125" bestFit="1" customWidth="1"/>
    <col min="21" max="22" width="12.1640625" bestFit="1" customWidth="1"/>
    <col min="23" max="24" width="13.6640625" bestFit="1" customWidth="1"/>
    <col min="25" max="25" width="7.33203125" bestFit="1" customWidth="1"/>
    <col min="26" max="27" width="12.1640625" bestFit="1" customWidth="1"/>
    <col min="28" max="29" width="13.6640625" bestFit="1" customWidth="1"/>
    <col min="30" max="30" width="7.33203125" bestFit="1" customWidth="1"/>
    <col min="31" max="32" width="12.1640625" bestFit="1" customWidth="1"/>
    <col min="33" max="34" width="13.6640625" bestFit="1" customWidth="1"/>
    <col min="35" max="43" width="10" hidden="1" customWidth="1"/>
    <col min="44" max="44" width="6.6640625" bestFit="1" customWidth="1"/>
    <col min="45" max="45" width="8.83203125" bestFit="1" customWidth="1"/>
    <col min="46" max="48" width="11.1640625" bestFit="1" customWidth="1"/>
    <col min="49" max="49" width="5.5" bestFit="1" customWidth="1"/>
    <col min="50" max="57" width="9" hidden="1" customWidth="1"/>
    <col min="58" max="58" width="11.1640625" hidden="1" customWidth="1"/>
    <col min="59" max="61" width="10" bestFit="1" customWidth="1"/>
    <col min="62" max="62" width="6.1640625" bestFit="1" customWidth="1"/>
    <col min="63" max="64" width="6.33203125" bestFit="1" customWidth="1"/>
    <col min="65" max="65" width="6.1640625" bestFit="1" customWidth="1"/>
    <col min="66" max="67" width="6.33203125" bestFit="1" customWidth="1"/>
    <col min="68" max="68" width="8.6640625" bestFit="1" customWidth="1"/>
    <col min="69" max="70" width="6.33203125" bestFit="1" customWidth="1"/>
    <col min="71" max="71" width="10.33203125" bestFit="1" customWidth="1"/>
    <col min="72" max="72" width="12.1640625" bestFit="1" customWidth="1"/>
    <col min="73" max="73" width="9.83203125" bestFit="1" customWidth="1"/>
    <col min="74" max="74" width="13.6640625" bestFit="1" customWidth="1"/>
    <col min="75" max="75" width="11.6640625" bestFit="1" customWidth="1"/>
    <col min="76" max="76" width="12.1640625" bestFit="1" customWidth="1"/>
    <col min="77" max="82" width="7.83203125" customWidth="1"/>
  </cols>
  <sheetData>
    <row r="1" spans="1:83" ht="12" customHeight="1" thickBot="1" x14ac:dyDescent="0.25">
      <c r="A1" s="125" t="s">
        <v>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40" t="s">
        <v>10</v>
      </c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68"/>
      <c r="AJ1" s="68"/>
      <c r="AK1" s="68"/>
      <c r="AL1" s="68"/>
      <c r="AM1" s="68"/>
      <c r="AN1" s="68"/>
      <c r="AO1" s="68"/>
      <c r="AP1" s="68"/>
      <c r="AQ1" s="68"/>
      <c r="AR1" s="142" t="s">
        <v>213</v>
      </c>
      <c r="AS1" s="142"/>
      <c r="AT1" s="142"/>
      <c r="AU1" s="142"/>
      <c r="AV1" s="143"/>
      <c r="AW1" s="145" t="s">
        <v>7</v>
      </c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45" t="s">
        <v>11</v>
      </c>
      <c r="BK1" s="125"/>
      <c r="BL1" s="125"/>
      <c r="BM1" s="125"/>
      <c r="BN1" s="125"/>
      <c r="BO1" s="125"/>
      <c r="BP1" s="125"/>
      <c r="BQ1" s="125"/>
      <c r="BR1" s="125"/>
      <c r="BS1" s="144" t="s">
        <v>13</v>
      </c>
      <c r="BT1" s="142"/>
      <c r="BU1" s="142"/>
      <c r="BV1" s="142"/>
      <c r="BW1" s="142"/>
      <c r="BX1" s="143"/>
      <c r="BY1" s="145" t="s">
        <v>12</v>
      </c>
      <c r="BZ1" s="125"/>
      <c r="CA1" s="125"/>
      <c r="CB1" s="125"/>
      <c r="CC1" s="125"/>
      <c r="CD1" s="146"/>
    </row>
    <row r="2" spans="1:83" ht="12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</row>
    <row r="3" spans="1:83" ht="12" customHeight="1" x14ac:dyDescent="0.2">
      <c r="A3" s="126">
        <v>202307</v>
      </c>
      <c r="B3" s="126"/>
      <c r="C3" s="126"/>
      <c r="D3" s="126"/>
      <c r="E3" s="126"/>
      <c r="F3" s="126"/>
      <c r="G3" s="76"/>
      <c r="H3" s="127">
        <v>202308</v>
      </c>
      <c r="I3" s="126"/>
      <c r="J3" s="126"/>
      <c r="K3" s="126"/>
      <c r="L3" s="126"/>
      <c r="M3" s="126"/>
      <c r="N3" s="128"/>
      <c r="O3" s="127">
        <v>202309</v>
      </c>
      <c r="P3" s="126"/>
      <c r="Q3" s="126"/>
      <c r="R3" s="131">
        <v>202307</v>
      </c>
      <c r="S3" s="132"/>
      <c r="T3" s="132"/>
      <c r="U3" s="132"/>
      <c r="V3" s="132"/>
      <c r="W3" s="132"/>
      <c r="X3" s="133"/>
      <c r="Y3" s="134">
        <v>202308</v>
      </c>
      <c r="Z3" s="134"/>
      <c r="AA3" s="134"/>
      <c r="AB3" s="134"/>
      <c r="AC3" s="135"/>
      <c r="AD3" s="136">
        <v>202309</v>
      </c>
      <c r="AE3" s="136"/>
      <c r="AF3" s="136"/>
      <c r="AG3" s="136"/>
      <c r="AH3" s="137"/>
      <c r="AI3" s="69"/>
      <c r="AJ3" s="69"/>
      <c r="AK3" s="69"/>
      <c r="AL3" s="69"/>
      <c r="AM3" s="69"/>
      <c r="AN3" s="69"/>
      <c r="AO3" s="69"/>
      <c r="AP3" s="69"/>
      <c r="AQ3" s="78"/>
      <c r="AR3" s="138">
        <v>202307</v>
      </c>
      <c r="AS3" s="138"/>
      <c r="AT3" s="138"/>
      <c r="AU3" s="99">
        <v>202308</v>
      </c>
      <c r="AV3" s="99">
        <v>202309</v>
      </c>
      <c r="AW3" s="21" t="s">
        <v>215</v>
      </c>
      <c r="AX3" s="21">
        <v>202101</v>
      </c>
      <c r="AY3" s="21">
        <v>202102</v>
      </c>
      <c r="AZ3" s="21">
        <v>202103</v>
      </c>
      <c r="BA3" s="21">
        <v>202104</v>
      </c>
      <c r="BB3" s="21">
        <v>202105</v>
      </c>
      <c r="BC3" s="21">
        <v>202106</v>
      </c>
      <c r="BD3" s="21">
        <v>202107</v>
      </c>
      <c r="BE3" s="21">
        <v>202108</v>
      </c>
      <c r="BF3" s="21">
        <v>202109</v>
      </c>
      <c r="BG3" s="21">
        <v>202307</v>
      </c>
      <c r="BH3" s="21">
        <v>202308</v>
      </c>
      <c r="BI3" s="21">
        <v>202309</v>
      </c>
      <c r="BJ3" s="139">
        <v>202307</v>
      </c>
      <c r="BK3" s="139"/>
      <c r="BL3" s="130"/>
      <c r="BM3" s="139">
        <v>202308</v>
      </c>
      <c r="BN3" s="139"/>
      <c r="BO3" s="130"/>
      <c r="BP3" s="139">
        <v>202309</v>
      </c>
      <c r="BQ3" s="139"/>
      <c r="BR3" s="130"/>
      <c r="BS3" s="129">
        <v>202307</v>
      </c>
      <c r="BT3" s="130"/>
      <c r="BU3" s="129">
        <v>202308</v>
      </c>
      <c r="BV3" s="130"/>
      <c r="BW3" s="129">
        <v>202309</v>
      </c>
      <c r="BX3" s="130"/>
      <c r="BY3" s="129">
        <v>202307</v>
      </c>
      <c r="BZ3" s="130"/>
      <c r="CA3" s="129">
        <v>202308</v>
      </c>
      <c r="CB3" s="130"/>
      <c r="CC3" s="129">
        <v>202309</v>
      </c>
      <c r="CD3" s="130"/>
    </row>
    <row r="4" spans="1:83" ht="12" customHeight="1" x14ac:dyDescent="0.2">
      <c r="A4" s="62" t="s">
        <v>133</v>
      </c>
      <c r="B4" s="62" t="s">
        <v>196</v>
      </c>
      <c r="C4" s="86" t="s">
        <v>209</v>
      </c>
      <c r="D4" s="86" t="s">
        <v>223</v>
      </c>
      <c r="E4" s="86" t="s">
        <v>224</v>
      </c>
      <c r="F4" s="86" t="s">
        <v>225</v>
      </c>
      <c r="G4" s="86" t="s">
        <v>226</v>
      </c>
      <c r="H4" s="86" t="s">
        <v>209</v>
      </c>
      <c r="I4" s="86" t="s">
        <v>223</v>
      </c>
      <c r="J4" s="86" t="s">
        <v>224</v>
      </c>
      <c r="K4" s="86" t="s">
        <v>225</v>
      </c>
      <c r="L4" s="86" t="s">
        <v>226</v>
      </c>
      <c r="M4" s="86" t="s">
        <v>209</v>
      </c>
      <c r="N4" s="86" t="s">
        <v>223</v>
      </c>
      <c r="O4" s="86" t="s">
        <v>224</v>
      </c>
      <c r="P4" s="86" t="s">
        <v>225</v>
      </c>
      <c r="Q4" s="86" t="s">
        <v>226</v>
      </c>
      <c r="R4" s="62" t="s">
        <v>133</v>
      </c>
      <c r="S4" s="62" t="s">
        <v>196</v>
      </c>
      <c r="T4" s="75" t="s">
        <v>209</v>
      </c>
      <c r="U4" s="75" t="s">
        <v>223</v>
      </c>
      <c r="V4" s="75" t="s">
        <v>224</v>
      </c>
      <c r="W4" s="75" t="s">
        <v>225</v>
      </c>
      <c r="X4" s="75" t="s">
        <v>226</v>
      </c>
      <c r="Y4" s="75" t="s">
        <v>209</v>
      </c>
      <c r="Z4" s="75" t="s">
        <v>223</v>
      </c>
      <c r="AA4" s="75" t="s">
        <v>224</v>
      </c>
      <c r="AB4" s="75" t="s">
        <v>225</v>
      </c>
      <c r="AC4" s="75" t="s">
        <v>226</v>
      </c>
      <c r="AD4" s="75" t="s">
        <v>209</v>
      </c>
      <c r="AE4" s="75" t="s">
        <v>223</v>
      </c>
      <c r="AF4" s="75" t="s">
        <v>224</v>
      </c>
      <c r="AG4" s="75" t="s">
        <v>225</v>
      </c>
      <c r="AH4" s="75" t="s">
        <v>226</v>
      </c>
      <c r="AI4" s="24"/>
      <c r="AJ4" s="24"/>
      <c r="AK4" s="24"/>
      <c r="AL4" s="24"/>
      <c r="AM4" s="24"/>
      <c r="AN4" s="24"/>
      <c r="AO4" s="24"/>
      <c r="AP4" s="24"/>
      <c r="AQ4" s="79"/>
      <c r="AR4" s="5" t="s">
        <v>133</v>
      </c>
      <c r="AS4" s="5" t="s">
        <v>196</v>
      </c>
      <c r="AT4" s="5" t="s">
        <v>228</v>
      </c>
      <c r="AU4" s="5" t="s">
        <v>228</v>
      </c>
      <c r="AV4" s="5" t="s">
        <v>228</v>
      </c>
      <c r="AW4" t="s">
        <v>75</v>
      </c>
      <c r="AX4" s="81">
        <v>78547.88</v>
      </c>
      <c r="AY4" s="81">
        <v>83507.78</v>
      </c>
      <c r="AZ4" s="81">
        <v>74673.149999999994</v>
      </c>
      <c r="BA4" s="81">
        <v>63441.04</v>
      </c>
      <c r="BB4" s="81">
        <v>64476.9</v>
      </c>
      <c r="BC4" s="81">
        <v>57542.34</v>
      </c>
      <c r="BD4" s="81">
        <v>83815.89</v>
      </c>
      <c r="BE4" s="81">
        <v>81559.710000000006</v>
      </c>
      <c r="BF4" s="81">
        <v>121882.53</v>
      </c>
      <c r="BG4" s="81">
        <v>235999.64</v>
      </c>
      <c r="BH4" s="81">
        <v>280875.02</v>
      </c>
      <c r="BI4" s="81">
        <v>334506.88</v>
      </c>
      <c r="BJ4" s="80" t="s">
        <v>196</v>
      </c>
      <c r="BK4" s="72" t="s">
        <v>133</v>
      </c>
      <c r="BL4" s="89" t="s">
        <v>214</v>
      </c>
      <c r="BM4" s="72" t="s">
        <v>196</v>
      </c>
      <c r="BN4" s="72" t="s">
        <v>133</v>
      </c>
      <c r="BO4" s="89" t="s">
        <v>214</v>
      </c>
      <c r="BP4" s="72" t="s">
        <v>0</v>
      </c>
      <c r="BQ4" s="72" t="s">
        <v>133</v>
      </c>
      <c r="BR4" s="89" t="s">
        <v>214</v>
      </c>
      <c r="BS4" s="72" t="s">
        <v>227</v>
      </c>
      <c r="BT4" s="89" t="s">
        <v>266</v>
      </c>
      <c r="BU4" s="72" t="s">
        <v>227</v>
      </c>
      <c r="BV4" s="89" t="s">
        <v>266</v>
      </c>
      <c r="BW4" s="72" t="s">
        <v>227</v>
      </c>
      <c r="BX4" s="89" t="s">
        <v>266</v>
      </c>
      <c r="BY4" s="72" t="s">
        <v>227</v>
      </c>
      <c r="BZ4" s="89" t="s">
        <v>266</v>
      </c>
      <c r="CA4" s="72" t="s">
        <v>227</v>
      </c>
      <c r="CB4" s="89" t="s">
        <v>266</v>
      </c>
      <c r="CC4" s="72" t="s">
        <v>227</v>
      </c>
      <c r="CD4" s="89" t="s">
        <v>266</v>
      </c>
    </row>
    <row r="5" spans="1:83" ht="12" customHeight="1" x14ac:dyDescent="0.2">
      <c r="A5" s="86" t="s">
        <v>34</v>
      </c>
      <c r="B5" s="86" t="s">
        <v>229</v>
      </c>
      <c r="C5" s="51">
        <v>121</v>
      </c>
      <c r="D5" s="91">
        <v>45844.45</v>
      </c>
      <c r="E5" s="91">
        <v>22882.89</v>
      </c>
      <c r="F5" s="91">
        <v>183422.03</v>
      </c>
      <c r="G5" s="90">
        <v>252149.37</v>
      </c>
      <c r="H5" s="51">
        <v>130</v>
      </c>
      <c r="I5" s="91">
        <v>47977.919999999998</v>
      </c>
      <c r="J5" s="91">
        <v>20050.96</v>
      </c>
      <c r="K5" s="91">
        <v>166925.16</v>
      </c>
      <c r="L5" s="90">
        <v>234954.04</v>
      </c>
      <c r="M5" s="51">
        <v>155</v>
      </c>
      <c r="N5" s="91">
        <v>65368.24</v>
      </c>
      <c r="O5" s="91">
        <v>22713.439999999999</v>
      </c>
      <c r="P5" s="91">
        <v>120555.73</v>
      </c>
      <c r="Q5" s="90">
        <v>208637.41</v>
      </c>
      <c r="R5" s="86" t="s">
        <v>34</v>
      </c>
      <c r="S5" s="86" t="s">
        <v>229</v>
      </c>
      <c r="T5" s="51">
        <v>6</v>
      </c>
      <c r="U5" s="91">
        <v>225.34</v>
      </c>
      <c r="V5" s="91">
        <v>297.41000000000003</v>
      </c>
      <c r="W5" s="91">
        <v>1136.97</v>
      </c>
      <c r="X5" s="90">
        <v>1659.72</v>
      </c>
      <c r="Y5" s="51">
        <v>5</v>
      </c>
      <c r="Z5" s="91">
        <v>262.55</v>
      </c>
      <c r="AA5" s="91">
        <v>231.46</v>
      </c>
      <c r="AB5" s="91">
        <v>1412.06</v>
      </c>
      <c r="AC5" s="90">
        <v>1906.07</v>
      </c>
      <c r="AD5" s="51">
        <v>5</v>
      </c>
      <c r="AE5" s="91">
        <v>233.48</v>
      </c>
      <c r="AF5" s="91">
        <v>244.55</v>
      </c>
      <c r="AG5" s="91">
        <v>836.2</v>
      </c>
      <c r="AH5" s="90">
        <v>1314.23</v>
      </c>
      <c r="AI5" s="62"/>
      <c r="AJ5" s="62"/>
      <c r="AK5" s="62"/>
      <c r="AL5" s="62"/>
      <c r="AM5" s="62"/>
      <c r="AN5" s="62"/>
      <c r="AO5" s="62"/>
      <c r="AP5" s="62"/>
      <c r="AQ5" s="62"/>
      <c r="AR5" s="86" t="s">
        <v>34</v>
      </c>
      <c r="AS5" s="86" t="s">
        <v>229</v>
      </c>
      <c r="AT5" s="62">
        <f>D5*1.6%+E5*6.3%+F5*28.9%</f>
        <v>55184.099939999993</v>
      </c>
      <c r="AU5" s="62">
        <f>I5*1.6%+J5*6.3%+K5*28.9%</f>
        <v>50272.228439999999</v>
      </c>
      <c r="AV5" s="62">
        <f>N5*1.6%+O5*6.3%+P5*28.9%</f>
        <v>37317.444529999993</v>
      </c>
      <c r="AW5" t="s">
        <v>34</v>
      </c>
      <c r="AX5" s="81">
        <v>35411.49</v>
      </c>
      <c r="AY5" s="81">
        <v>19861.990000000002</v>
      </c>
      <c r="AZ5" s="81">
        <v>1614.2</v>
      </c>
      <c r="BA5" s="81">
        <v>209.93</v>
      </c>
      <c r="BB5" s="81">
        <v>2347.21</v>
      </c>
      <c r="BC5" s="81">
        <v>3702.39</v>
      </c>
      <c r="BD5" s="81">
        <v>16587.84</v>
      </c>
      <c r="BE5" s="81">
        <v>21717.759999999998</v>
      </c>
      <c r="BF5" s="81">
        <v>41593.57</v>
      </c>
      <c r="BG5" s="81">
        <v>57754.15</v>
      </c>
      <c r="BH5" s="81">
        <v>41500.39</v>
      </c>
      <c r="BI5" s="81">
        <v>23065.75</v>
      </c>
      <c r="BJ5" s="88" t="s">
        <v>35</v>
      </c>
      <c r="BK5" s="88" t="s">
        <v>34</v>
      </c>
      <c r="BL5" s="87">
        <v>2</v>
      </c>
      <c r="BM5" s="88" t="s">
        <v>35</v>
      </c>
      <c r="BN5" s="88" t="s">
        <v>34</v>
      </c>
      <c r="BO5" s="87">
        <v>5</v>
      </c>
      <c r="BP5" s="88" t="s">
        <v>35</v>
      </c>
      <c r="BQ5" s="88" t="s">
        <v>34</v>
      </c>
      <c r="BR5" s="87">
        <v>3</v>
      </c>
      <c r="BS5" s="103" t="s">
        <v>104</v>
      </c>
      <c r="BT5" s="104">
        <v>1021.9300000000001</v>
      </c>
      <c r="BU5" s="103" t="s">
        <v>104</v>
      </c>
      <c r="BV5" s="104">
        <v>55987.329999999994</v>
      </c>
      <c r="BW5" s="103" t="s">
        <v>104</v>
      </c>
      <c r="BX5" s="104">
        <v>26605.29</v>
      </c>
      <c r="BY5" s="103" t="s">
        <v>104</v>
      </c>
      <c r="BZ5" s="104">
        <v>87.97</v>
      </c>
      <c r="CA5" s="103" t="s">
        <v>104</v>
      </c>
      <c r="CB5" s="104">
        <v>230.16</v>
      </c>
      <c r="CC5" s="103" t="s">
        <v>87</v>
      </c>
      <c r="CD5" s="104">
        <v>819.1</v>
      </c>
    </row>
    <row r="6" spans="1:83" ht="12" customHeight="1" x14ac:dyDescent="0.2">
      <c r="A6" s="86" t="s">
        <v>34</v>
      </c>
      <c r="B6" s="86" t="s">
        <v>230</v>
      </c>
      <c r="C6" s="51">
        <v>209</v>
      </c>
      <c r="D6" s="91">
        <v>70788.899999999994</v>
      </c>
      <c r="E6" s="91">
        <v>27409.63</v>
      </c>
      <c r="F6" s="91">
        <v>107286.42</v>
      </c>
      <c r="G6" s="90">
        <v>205484.95</v>
      </c>
      <c r="H6" s="51">
        <v>197</v>
      </c>
      <c r="I6" s="91">
        <v>60951.68</v>
      </c>
      <c r="J6" s="91">
        <v>26441.63</v>
      </c>
      <c r="K6" s="91">
        <v>108496.66</v>
      </c>
      <c r="L6" s="90">
        <v>195889.97</v>
      </c>
      <c r="M6" s="51">
        <v>231</v>
      </c>
      <c r="N6" s="91">
        <v>87758.69</v>
      </c>
      <c r="O6" s="91">
        <v>32081.85</v>
      </c>
      <c r="P6" s="91">
        <v>117775.9</v>
      </c>
      <c r="Q6" s="90">
        <v>237616.44</v>
      </c>
      <c r="R6" s="86" t="s">
        <v>34</v>
      </c>
      <c r="S6" s="86" t="s">
        <v>230</v>
      </c>
      <c r="T6" s="51">
        <v>4</v>
      </c>
      <c r="U6" s="91">
        <v>273.33999999999997</v>
      </c>
      <c r="V6" s="91">
        <v>239.01</v>
      </c>
      <c r="W6" s="91">
        <v>948.15</v>
      </c>
      <c r="X6" s="90">
        <v>1460.5</v>
      </c>
      <c r="Y6" s="51">
        <v>4</v>
      </c>
      <c r="Z6" s="91">
        <v>1497.65</v>
      </c>
      <c r="AA6" s="91">
        <v>86.13</v>
      </c>
      <c r="AB6" s="91">
        <v>222.72</v>
      </c>
      <c r="AC6" s="90">
        <v>1806.5</v>
      </c>
      <c r="AD6" s="51">
        <v>4</v>
      </c>
      <c r="AE6" s="91">
        <v>306.52999999999997</v>
      </c>
      <c r="AF6" s="91">
        <v>88.46</v>
      </c>
      <c r="AG6" s="91">
        <v>308.85000000000002</v>
      </c>
      <c r="AH6" s="90">
        <v>703.84</v>
      </c>
      <c r="AI6" s="62"/>
      <c r="AJ6" s="62"/>
      <c r="AK6" s="62"/>
      <c r="AL6" s="62"/>
      <c r="AM6" s="62"/>
      <c r="AN6" s="62"/>
      <c r="AO6" s="62"/>
      <c r="AP6" s="62"/>
      <c r="AQ6" s="62"/>
      <c r="AR6" s="86" t="s">
        <v>34</v>
      </c>
      <c r="AS6" s="86" t="s">
        <v>230</v>
      </c>
      <c r="AT6" s="62">
        <f t="shared" ref="AT6:AT69" si="0">D6*1.6%+E6*6.3%+F6*28.9%</f>
        <v>33865.204469999997</v>
      </c>
      <c r="AU6" s="62">
        <f t="shared" ref="AU6:AU69" si="1">I6*1.6%+J6*6.3%+K6*28.9%</f>
        <v>33996.584309999998</v>
      </c>
      <c r="AV6" s="62">
        <f t="shared" ref="AV6:AV69" si="2">N6*1.6%+O6*6.3%+P6*28.9%</f>
        <v>37462.53069</v>
      </c>
      <c r="BJ6" s="88" t="s">
        <v>36</v>
      </c>
      <c r="BK6" s="88" t="s">
        <v>34</v>
      </c>
      <c r="BL6" s="87">
        <v>1</v>
      </c>
      <c r="BM6" s="88" t="s">
        <v>36</v>
      </c>
      <c r="BN6" s="88" t="s">
        <v>34</v>
      </c>
      <c r="BO6" s="87">
        <v>4</v>
      </c>
      <c r="BP6" s="88" t="s">
        <v>36</v>
      </c>
      <c r="BQ6" s="88" t="s">
        <v>34</v>
      </c>
      <c r="BR6" s="87">
        <v>1</v>
      </c>
      <c r="BS6" s="103" t="s">
        <v>87</v>
      </c>
      <c r="BT6" s="104">
        <v>40734.43</v>
      </c>
      <c r="BU6" s="103" t="s">
        <v>87</v>
      </c>
      <c r="BV6" s="104">
        <v>81570.47</v>
      </c>
      <c r="BW6" s="103" t="s">
        <v>87</v>
      </c>
      <c r="BX6" s="104">
        <v>41667.140000000014</v>
      </c>
      <c r="BY6" s="103" t="s">
        <v>87</v>
      </c>
      <c r="BZ6" s="104">
        <v>1301.4099999999999</v>
      </c>
      <c r="CA6" s="103" t="s">
        <v>87</v>
      </c>
      <c r="CB6" s="104">
        <v>1645.55</v>
      </c>
      <c r="CC6" s="103" t="s">
        <v>88</v>
      </c>
      <c r="CD6" s="104">
        <v>1936.4799999999996</v>
      </c>
    </row>
    <row r="7" spans="1:83" ht="12" customHeight="1" x14ac:dyDescent="0.2">
      <c r="A7" s="86" t="s">
        <v>34</v>
      </c>
      <c r="B7" s="86" t="s">
        <v>231</v>
      </c>
      <c r="C7" s="51">
        <v>139</v>
      </c>
      <c r="D7" s="91">
        <v>14933.74</v>
      </c>
      <c r="E7" s="91">
        <v>22284.73</v>
      </c>
      <c r="F7" s="91">
        <v>155348.95000000001</v>
      </c>
      <c r="G7" s="90">
        <v>192567.42</v>
      </c>
      <c r="H7" s="51">
        <v>100</v>
      </c>
      <c r="I7" s="91">
        <v>30267.37</v>
      </c>
      <c r="J7" s="91">
        <v>11192.05</v>
      </c>
      <c r="K7" s="91">
        <v>150206.92000000001</v>
      </c>
      <c r="L7" s="90">
        <v>191666.34</v>
      </c>
      <c r="M7" s="51">
        <v>193</v>
      </c>
      <c r="N7" s="91">
        <v>117396.53</v>
      </c>
      <c r="O7" s="91">
        <v>9537.0400000000009</v>
      </c>
      <c r="P7" s="91">
        <v>126497.38</v>
      </c>
      <c r="Q7" s="90">
        <v>253430.95</v>
      </c>
      <c r="R7" s="86" t="s">
        <v>34</v>
      </c>
      <c r="S7" s="86" t="s">
        <v>231</v>
      </c>
      <c r="T7" s="51">
        <v>5</v>
      </c>
      <c r="U7" s="91">
        <v>308.48</v>
      </c>
      <c r="V7" s="91">
        <v>252.27</v>
      </c>
      <c r="W7" s="91">
        <v>1715.53</v>
      </c>
      <c r="X7" s="90">
        <v>2276.2800000000002</v>
      </c>
      <c r="Y7" s="51">
        <v>5</v>
      </c>
      <c r="Z7" s="91">
        <v>323.20999999999998</v>
      </c>
      <c r="AA7" s="91">
        <v>279.04000000000002</v>
      </c>
      <c r="AB7" s="91">
        <v>884.84</v>
      </c>
      <c r="AC7" s="90">
        <v>1487.09</v>
      </c>
      <c r="AD7" s="51">
        <v>5</v>
      </c>
      <c r="AE7" s="91">
        <v>316.25</v>
      </c>
      <c r="AF7" s="91">
        <v>215.73</v>
      </c>
      <c r="AG7" s="91">
        <v>1170.82</v>
      </c>
      <c r="AH7" s="90">
        <v>1702.8</v>
      </c>
      <c r="AI7" s="62"/>
      <c r="AJ7" s="62"/>
      <c r="AK7" s="62"/>
      <c r="AL7" s="62"/>
      <c r="AM7" s="62"/>
      <c r="AN7" s="62"/>
      <c r="AO7" s="62"/>
      <c r="AP7" s="62"/>
      <c r="AQ7" s="62"/>
      <c r="AR7" s="86" t="s">
        <v>34</v>
      </c>
      <c r="AS7" s="86" t="s">
        <v>231</v>
      </c>
      <c r="AT7" s="62">
        <f t="shared" si="0"/>
        <v>46538.72438</v>
      </c>
      <c r="AU7" s="62">
        <f t="shared" si="1"/>
        <v>44599.176950000001</v>
      </c>
      <c r="AV7" s="62">
        <f t="shared" si="2"/>
        <v>39036.920819999999</v>
      </c>
      <c r="BJ7" s="88" t="s">
        <v>37</v>
      </c>
      <c r="BK7" s="88" t="s">
        <v>34</v>
      </c>
      <c r="BL7" s="87">
        <v>2</v>
      </c>
      <c r="BM7" s="88" t="s">
        <v>37</v>
      </c>
      <c r="BN7" s="88" t="s">
        <v>34</v>
      </c>
      <c r="BO7" s="87">
        <v>1</v>
      </c>
      <c r="BP7" s="88" t="s">
        <v>56</v>
      </c>
      <c r="BQ7" s="88" t="s">
        <v>34</v>
      </c>
      <c r="BR7" s="87">
        <v>1</v>
      </c>
      <c r="BS7" s="103" t="s">
        <v>116</v>
      </c>
      <c r="BT7" s="104">
        <v>16571.43</v>
      </c>
      <c r="BU7" s="103" t="s">
        <v>116</v>
      </c>
      <c r="BV7" s="104">
        <v>43337.599999999999</v>
      </c>
      <c r="BW7" s="103" t="s">
        <v>116</v>
      </c>
      <c r="BX7" s="104">
        <v>109.28</v>
      </c>
      <c r="BY7" s="103" t="s">
        <v>88</v>
      </c>
      <c r="BZ7" s="104">
        <v>4070.94</v>
      </c>
      <c r="CA7" s="103" t="s">
        <v>88</v>
      </c>
      <c r="CB7" s="104">
        <v>747.66000000000008</v>
      </c>
      <c r="CC7" s="103" t="s">
        <v>89</v>
      </c>
      <c r="CD7" s="104">
        <v>104.49</v>
      </c>
    </row>
    <row r="8" spans="1:83" ht="12" customHeight="1" x14ac:dyDescent="0.2">
      <c r="A8" s="86" t="s">
        <v>34</v>
      </c>
      <c r="B8" s="86" t="s">
        <v>268</v>
      </c>
      <c r="C8" s="51"/>
      <c r="D8" s="91">
        <v>0</v>
      </c>
      <c r="E8" s="91">
        <v>0</v>
      </c>
      <c r="F8" s="91">
        <v>0</v>
      </c>
      <c r="G8" s="90">
        <v>0</v>
      </c>
      <c r="H8" s="51"/>
      <c r="I8" s="91">
        <v>0</v>
      </c>
      <c r="J8" s="91">
        <v>0</v>
      </c>
      <c r="K8" s="91">
        <v>0</v>
      </c>
      <c r="L8" s="90">
        <v>0</v>
      </c>
      <c r="M8" s="51"/>
      <c r="N8" s="91">
        <v>0</v>
      </c>
      <c r="O8" s="91">
        <v>0</v>
      </c>
      <c r="P8" s="91">
        <v>0</v>
      </c>
      <c r="Q8" s="90">
        <v>0</v>
      </c>
      <c r="R8" s="86" t="s">
        <v>34</v>
      </c>
      <c r="S8" s="86" t="s">
        <v>232</v>
      </c>
      <c r="T8" s="51">
        <v>6</v>
      </c>
      <c r="U8" s="91">
        <v>356.95</v>
      </c>
      <c r="V8" s="91">
        <v>309.87</v>
      </c>
      <c r="W8" s="91">
        <v>1737.83</v>
      </c>
      <c r="X8" s="90">
        <v>2404.65</v>
      </c>
      <c r="Y8" s="51">
        <v>7</v>
      </c>
      <c r="Z8" s="91">
        <v>460.79</v>
      </c>
      <c r="AA8" s="91">
        <v>409.61</v>
      </c>
      <c r="AB8" s="91">
        <v>1838.73</v>
      </c>
      <c r="AC8" s="90">
        <v>2709.13</v>
      </c>
      <c r="AD8" s="51">
        <v>7</v>
      </c>
      <c r="AE8" s="91">
        <v>509.45</v>
      </c>
      <c r="AF8" s="91">
        <v>308.3</v>
      </c>
      <c r="AG8" s="91">
        <v>2225.35</v>
      </c>
      <c r="AH8" s="90">
        <v>3043.1</v>
      </c>
      <c r="AI8" s="62"/>
      <c r="AJ8" s="62"/>
      <c r="AK8" s="62"/>
      <c r="AL8" s="62"/>
      <c r="AM8" s="62"/>
      <c r="AN8" s="62"/>
      <c r="AO8" s="62"/>
      <c r="AP8" s="62"/>
      <c r="AQ8" s="62"/>
      <c r="AR8" s="86" t="s">
        <v>34</v>
      </c>
      <c r="AS8" s="86" t="s">
        <v>268</v>
      </c>
      <c r="AT8" s="62">
        <f t="shared" si="0"/>
        <v>0</v>
      </c>
      <c r="AU8" s="62">
        <f t="shared" si="1"/>
        <v>0</v>
      </c>
      <c r="AV8" s="62">
        <f t="shared" si="2"/>
        <v>0</v>
      </c>
      <c r="BJ8" s="88" t="s">
        <v>48</v>
      </c>
      <c r="BK8" s="88" t="s">
        <v>34</v>
      </c>
      <c r="BL8" s="87">
        <v>1</v>
      </c>
      <c r="BM8" s="88" t="s">
        <v>40</v>
      </c>
      <c r="BN8" s="88" t="s">
        <v>34</v>
      </c>
      <c r="BO8" s="87">
        <v>1</v>
      </c>
      <c r="BP8" s="88" t="s">
        <v>62</v>
      </c>
      <c r="BQ8" s="88" t="s">
        <v>34</v>
      </c>
      <c r="BR8" s="87">
        <v>1</v>
      </c>
      <c r="BS8" s="103" t="s">
        <v>88</v>
      </c>
      <c r="BT8" s="104">
        <v>97412.080000000031</v>
      </c>
      <c r="BU8" s="103" t="s">
        <v>88</v>
      </c>
      <c r="BV8" s="104">
        <v>102992.75</v>
      </c>
      <c r="BW8" s="103" t="s">
        <v>88</v>
      </c>
      <c r="BX8" s="104">
        <v>71143.460000000006</v>
      </c>
      <c r="BY8" s="103" t="s">
        <v>89</v>
      </c>
      <c r="BZ8" s="104">
        <v>1284.52</v>
      </c>
      <c r="CA8" s="103" t="s">
        <v>89</v>
      </c>
      <c r="CB8" s="104">
        <v>519.1</v>
      </c>
      <c r="CC8" s="103" t="s">
        <v>90</v>
      </c>
      <c r="CD8" s="104">
        <v>123.99</v>
      </c>
    </row>
    <row r="9" spans="1:83" ht="12" customHeight="1" x14ac:dyDescent="0.2">
      <c r="A9" s="86" t="s">
        <v>34</v>
      </c>
      <c r="B9" s="86" t="s">
        <v>269</v>
      </c>
      <c r="C9" s="51"/>
      <c r="D9" s="91">
        <v>0</v>
      </c>
      <c r="E9" s="91">
        <v>0</v>
      </c>
      <c r="F9" s="91">
        <v>0</v>
      </c>
      <c r="G9" s="90">
        <v>0</v>
      </c>
      <c r="H9" s="51"/>
      <c r="I9" s="91">
        <v>0</v>
      </c>
      <c r="J9" s="91">
        <v>0</v>
      </c>
      <c r="K9" s="91">
        <v>0</v>
      </c>
      <c r="L9" s="90">
        <v>0</v>
      </c>
      <c r="M9" s="51"/>
      <c r="N9" s="91">
        <v>0</v>
      </c>
      <c r="O9" s="91">
        <v>0</v>
      </c>
      <c r="P9" s="91">
        <v>0</v>
      </c>
      <c r="Q9" s="90">
        <v>0</v>
      </c>
      <c r="R9" s="86" t="s">
        <v>34</v>
      </c>
      <c r="S9" s="86" t="s">
        <v>235</v>
      </c>
      <c r="T9" s="51"/>
      <c r="U9" s="91">
        <v>0</v>
      </c>
      <c r="V9" s="91">
        <v>0</v>
      </c>
      <c r="W9" s="91">
        <v>0</v>
      </c>
      <c r="X9" s="90">
        <v>0</v>
      </c>
      <c r="Y9" s="51">
        <v>1</v>
      </c>
      <c r="Z9" s="91">
        <v>11.71</v>
      </c>
      <c r="AA9" s="91">
        <v>0</v>
      </c>
      <c r="AB9" s="91">
        <v>0</v>
      </c>
      <c r="AC9" s="90">
        <v>11.71</v>
      </c>
      <c r="AD9" s="51"/>
      <c r="AE9" s="91"/>
      <c r="AF9" s="91"/>
      <c r="AG9" s="91"/>
      <c r="AH9" s="90"/>
      <c r="AI9" s="62"/>
      <c r="AJ9" s="62"/>
      <c r="AK9" s="62"/>
      <c r="AL9" s="62"/>
      <c r="AM9" s="62"/>
      <c r="AN9" s="62"/>
      <c r="AO9" s="62"/>
      <c r="AP9" s="62"/>
      <c r="AQ9" s="62"/>
      <c r="AR9" s="86" t="s">
        <v>34</v>
      </c>
      <c r="AS9" s="86" t="s">
        <v>269</v>
      </c>
      <c r="AT9" s="62">
        <f t="shared" si="0"/>
        <v>0</v>
      </c>
      <c r="AU9" s="62">
        <f t="shared" si="1"/>
        <v>0</v>
      </c>
      <c r="AV9" s="62">
        <f t="shared" si="2"/>
        <v>0</v>
      </c>
      <c r="BJ9" s="88" t="s">
        <v>49</v>
      </c>
      <c r="BK9" s="88" t="s">
        <v>34</v>
      </c>
      <c r="BL9" s="87">
        <v>1</v>
      </c>
      <c r="BM9" s="88" t="s">
        <v>52</v>
      </c>
      <c r="BN9" s="88" t="s">
        <v>34</v>
      </c>
      <c r="BO9" s="87">
        <v>1</v>
      </c>
      <c r="BP9" s="88" t="s">
        <v>64</v>
      </c>
      <c r="BQ9" s="88" t="s">
        <v>34</v>
      </c>
      <c r="BR9" s="87">
        <v>1</v>
      </c>
      <c r="BS9" s="103" t="s">
        <v>204</v>
      </c>
      <c r="BT9" s="104">
        <v>5802.3</v>
      </c>
      <c r="BU9" s="103" t="s">
        <v>204</v>
      </c>
      <c r="BV9" s="104">
        <v>3495.99</v>
      </c>
      <c r="BW9" s="103" t="s">
        <v>89</v>
      </c>
      <c r="BX9" s="104">
        <v>23058.600000000002</v>
      </c>
      <c r="BY9" s="103" t="s">
        <v>90</v>
      </c>
      <c r="BZ9" s="104">
        <v>2014.83</v>
      </c>
      <c r="CA9" s="103" t="s">
        <v>90</v>
      </c>
      <c r="CB9" s="104">
        <v>1010.08</v>
      </c>
      <c r="CC9" s="103" t="s">
        <v>96</v>
      </c>
      <c r="CD9" s="104">
        <v>150.9</v>
      </c>
    </row>
    <row r="10" spans="1:83" ht="12" customHeight="1" x14ac:dyDescent="0.2">
      <c r="A10" s="86" t="s">
        <v>34</v>
      </c>
      <c r="B10" s="86" t="s">
        <v>232</v>
      </c>
      <c r="C10" s="51">
        <v>116</v>
      </c>
      <c r="D10" s="91">
        <v>37953.29</v>
      </c>
      <c r="E10" s="91">
        <v>9065.5400000000009</v>
      </c>
      <c r="F10" s="91">
        <v>27735.11</v>
      </c>
      <c r="G10" s="90">
        <v>74753.94</v>
      </c>
      <c r="H10" s="51">
        <v>137</v>
      </c>
      <c r="I10" s="91">
        <v>89937.53</v>
      </c>
      <c r="J10" s="91">
        <v>8484.5499999999993</v>
      </c>
      <c r="K10" s="91">
        <v>25456.59</v>
      </c>
      <c r="L10" s="90">
        <v>123878.67</v>
      </c>
      <c r="M10" s="51">
        <v>133</v>
      </c>
      <c r="N10" s="91">
        <v>50929.41</v>
      </c>
      <c r="O10" s="91">
        <v>13003.59</v>
      </c>
      <c r="P10" s="91">
        <v>24520.22</v>
      </c>
      <c r="Q10" s="90">
        <v>88453.22</v>
      </c>
      <c r="R10" s="86" t="s">
        <v>34</v>
      </c>
      <c r="S10" s="86" t="s">
        <v>236</v>
      </c>
      <c r="T10" s="51">
        <v>1</v>
      </c>
      <c r="U10" s="91">
        <v>14.74</v>
      </c>
      <c r="V10" s="91">
        <v>15.13</v>
      </c>
      <c r="W10" s="91">
        <v>143.46</v>
      </c>
      <c r="X10" s="90">
        <v>173.33</v>
      </c>
      <c r="Y10" s="51">
        <v>1</v>
      </c>
      <c r="Z10" s="91">
        <v>16.940000000000001</v>
      </c>
      <c r="AA10" s="91">
        <v>14.74</v>
      </c>
      <c r="AB10" s="91">
        <v>132.46</v>
      </c>
      <c r="AC10" s="90">
        <v>164.14</v>
      </c>
      <c r="AD10" s="51">
        <v>1</v>
      </c>
      <c r="AE10" s="91">
        <v>15.13</v>
      </c>
      <c r="AF10" s="91">
        <v>16.940000000000001</v>
      </c>
      <c r="AG10" s="91">
        <v>18.73</v>
      </c>
      <c r="AH10" s="90">
        <v>50.8</v>
      </c>
      <c r="AI10" s="62"/>
      <c r="AJ10" s="62"/>
      <c r="AK10" s="62"/>
      <c r="AL10" s="62"/>
      <c r="AM10" s="62"/>
      <c r="AN10" s="62"/>
      <c r="AO10" s="62"/>
      <c r="AP10" s="62"/>
      <c r="AQ10" s="62"/>
      <c r="AR10" s="86" t="s">
        <v>34</v>
      </c>
      <c r="AS10" s="86" t="s">
        <v>232</v>
      </c>
      <c r="AT10" s="62">
        <f t="shared" si="0"/>
        <v>9193.8284500000009</v>
      </c>
      <c r="AU10" s="62">
        <f t="shared" si="1"/>
        <v>9330.48164</v>
      </c>
      <c r="AV10" s="62">
        <f t="shared" si="2"/>
        <v>8720.44031</v>
      </c>
      <c r="BJ10" s="88" t="s">
        <v>52</v>
      </c>
      <c r="BK10" s="88" t="s">
        <v>34</v>
      </c>
      <c r="BL10" s="87">
        <v>1</v>
      </c>
      <c r="BM10" s="88" t="s">
        <v>53</v>
      </c>
      <c r="BN10" s="88" t="s">
        <v>34</v>
      </c>
      <c r="BO10" s="87">
        <v>1</v>
      </c>
      <c r="BP10" s="88" t="s">
        <v>69</v>
      </c>
      <c r="BQ10" s="88" t="s">
        <v>34</v>
      </c>
      <c r="BR10" s="87">
        <v>3</v>
      </c>
      <c r="BS10" s="103" t="s">
        <v>89</v>
      </c>
      <c r="BT10" s="104">
        <v>31989.74</v>
      </c>
      <c r="BU10" s="103" t="s">
        <v>89</v>
      </c>
      <c r="BV10" s="104">
        <v>120967.54999999997</v>
      </c>
      <c r="BW10" s="103" t="s">
        <v>90</v>
      </c>
      <c r="BX10" s="104">
        <v>50024.739999999991</v>
      </c>
      <c r="BY10" s="103" t="s">
        <v>96</v>
      </c>
      <c r="BZ10" s="104">
        <v>797.03000000000009</v>
      </c>
      <c r="CA10" s="103" t="s">
        <v>96</v>
      </c>
      <c r="CB10" s="104">
        <v>56.14</v>
      </c>
      <c r="CC10" s="103" t="s">
        <v>97</v>
      </c>
      <c r="CD10" s="104">
        <v>62.69</v>
      </c>
    </row>
    <row r="11" spans="1:83" ht="12" customHeight="1" x14ac:dyDescent="0.2">
      <c r="A11" s="86" t="s">
        <v>34</v>
      </c>
      <c r="B11" s="86" t="s">
        <v>270</v>
      </c>
      <c r="C11" s="51"/>
      <c r="D11" s="91">
        <v>0</v>
      </c>
      <c r="E11" s="91">
        <v>0</v>
      </c>
      <c r="F11" s="91">
        <v>0</v>
      </c>
      <c r="G11" s="90">
        <v>0</v>
      </c>
      <c r="H11" s="51"/>
      <c r="I11" s="91">
        <v>0</v>
      </c>
      <c r="J11" s="91">
        <v>0</v>
      </c>
      <c r="K11" s="91">
        <v>0</v>
      </c>
      <c r="L11" s="90">
        <v>0</v>
      </c>
      <c r="M11" s="51"/>
      <c r="N11" s="91">
        <v>0</v>
      </c>
      <c r="O11" s="91">
        <v>0</v>
      </c>
      <c r="P11" s="91">
        <v>0</v>
      </c>
      <c r="Q11" s="90">
        <v>0</v>
      </c>
      <c r="R11" s="86" t="s">
        <v>34</v>
      </c>
      <c r="S11" s="86" t="s">
        <v>237</v>
      </c>
      <c r="T11" s="51"/>
      <c r="U11" s="91">
        <v>0</v>
      </c>
      <c r="V11" s="91">
        <v>0</v>
      </c>
      <c r="W11" s="91">
        <v>0</v>
      </c>
      <c r="X11" s="90">
        <v>0</v>
      </c>
      <c r="Y11" s="51"/>
      <c r="Z11" s="91">
        <v>0</v>
      </c>
      <c r="AA11" s="91">
        <v>0</v>
      </c>
      <c r="AB11" s="91">
        <v>0</v>
      </c>
      <c r="AC11" s="90">
        <v>0</v>
      </c>
      <c r="AD11" s="51"/>
      <c r="AE11" s="91">
        <v>0</v>
      </c>
      <c r="AF11" s="91">
        <v>0</v>
      </c>
      <c r="AG11" s="91">
        <v>0</v>
      </c>
      <c r="AH11" s="90">
        <v>0</v>
      </c>
      <c r="AI11" s="62"/>
      <c r="AJ11" s="62"/>
      <c r="AK11" s="62"/>
      <c r="AL11" s="62"/>
      <c r="AM11" s="62"/>
      <c r="AN11" s="62"/>
      <c r="AO11" s="62"/>
      <c r="AP11" s="62"/>
      <c r="AQ11" s="62"/>
      <c r="AR11" s="86" t="s">
        <v>34</v>
      </c>
      <c r="AS11" s="86" t="s">
        <v>270</v>
      </c>
      <c r="AT11" s="62">
        <f t="shared" si="0"/>
        <v>0</v>
      </c>
      <c r="AU11" s="62">
        <f t="shared" si="1"/>
        <v>0</v>
      </c>
      <c r="AV11" s="62">
        <f t="shared" si="2"/>
        <v>0</v>
      </c>
      <c r="BJ11" s="88" t="s">
        <v>53</v>
      </c>
      <c r="BK11" s="88" t="s">
        <v>34</v>
      </c>
      <c r="BL11" s="87">
        <v>1</v>
      </c>
      <c r="BM11" s="88" t="s">
        <v>54</v>
      </c>
      <c r="BN11" s="88" t="s">
        <v>34</v>
      </c>
      <c r="BO11" s="87">
        <v>1</v>
      </c>
      <c r="BP11" s="88" t="s">
        <v>35</v>
      </c>
      <c r="BQ11" s="88" t="s">
        <v>75</v>
      </c>
      <c r="BR11" s="87">
        <v>65</v>
      </c>
      <c r="BS11" s="103" t="s">
        <v>90</v>
      </c>
      <c r="BT11" s="104">
        <v>66317.970000000016</v>
      </c>
      <c r="BU11" s="103" t="s">
        <v>117</v>
      </c>
      <c r="BV11" s="104">
        <v>1058.53</v>
      </c>
      <c r="BW11" s="103" t="s">
        <v>96</v>
      </c>
      <c r="BX11" s="104">
        <v>8543.94</v>
      </c>
      <c r="BY11" s="103" t="s">
        <v>94</v>
      </c>
      <c r="BZ11" s="104">
        <v>483.86</v>
      </c>
      <c r="CA11" s="103" t="s">
        <v>94</v>
      </c>
      <c r="CB11" s="104">
        <v>221.53</v>
      </c>
      <c r="CC11" s="103" t="s">
        <v>99</v>
      </c>
      <c r="CD11" s="104">
        <v>36.72</v>
      </c>
    </row>
    <row r="12" spans="1:83" ht="12" customHeight="1" x14ac:dyDescent="0.2">
      <c r="A12" s="86" t="s">
        <v>34</v>
      </c>
      <c r="B12" s="86" t="s">
        <v>233</v>
      </c>
      <c r="C12" s="51">
        <v>1</v>
      </c>
      <c r="D12" s="91">
        <v>13.7</v>
      </c>
      <c r="E12" s="91">
        <v>13.7</v>
      </c>
      <c r="F12" s="91">
        <v>95.9</v>
      </c>
      <c r="G12" s="90">
        <v>123.3</v>
      </c>
      <c r="H12" s="51">
        <v>2</v>
      </c>
      <c r="I12" s="91">
        <v>15417.72</v>
      </c>
      <c r="J12" s="91">
        <v>13.7</v>
      </c>
      <c r="K12" s="91">
        <v>109.6</v>
      </c>
      <c r="L12" s="90">
        <v>15541.02</v>
      </c>
      <c r="M12" s="51">
        <v>1</v>
      </c>
      <c r="N12" s="91">
        <v>13.7</v>
      </c>
      <c r="O12" s="91">
        <v>13.7</v>
      </c>
      <c r="P12" s="91">
        <v>123.3</v>
      </c>
      <c r="Q12" s="90">
        <v>150.69999999999999</v>
      </c>
      <c r="R12" s="86" t="s">
        <v>34</v>
      </c>
      <c r="S12" s="86" t="s">
        <v>239</v>
      </c>
      <c r="T12" s="51">
        <v>1</v>
      </c>
      <c r="U12" s="91">
        <v>37.76</v>
      </c>
      <c r="V12" s="91">
        <v>107.8</v>
      </c>
      <c r="W12" s="91">
        <v>0</v>
      </c>
      <c r="X12" s="90">
        <v>145.56</v>
      </c>
      <c r="Y12" s="51">
        <v>1</v>
      </c>
      <c r="Z12" s="91">
        <v>35.03</v>
      </c>
      <c r="AA12" s="91">
        <v>37.76</v>
      </c>
      <c r="AB12" s="91">
        <v>107.8</v>
      </c>
      <c r="AC12" s="90">
        <v>180.59</v>
      </c>
      <c r="AD12" s="51">
        <v>1</v>
      </c>
      <c r="AE12" s="91">
        <v>35.979999999999997</v>
      </c>
      <c r="AF12" s="91">
        <v>35.03</v>
      </c>
      <c r="AG12" s="91">
        <v>145.56</v>
      </c>
      <c r="AH12" s="90">
        <v>216.57</v>
      </c>
      <c r="AI12" s="62"/>
      <c r="AJ12" s="62"/>
      <c r="AK12" s="62"/>
      <c r="AL12" s="62"/>
      <c r="AM12" s="62"/>
      <c r="AN12" s="62"/>
      <c r="AO12" s="62"/>
      <c r="AP12" s="62"/>
      <c r="AQ12" s="62"/>
      <c r="AR12" s="86" t="s">
        <v>34</v>
      </c>
      <c r="AS12" s="86" t="s">
        <v>233</v>
      </c>
      <c r="AT12" s="62">
        <f t="shared" si="0"/>
        <v>28.7974</v>
      </c>
      <c r="AU12" s="62">
        <f t="shared" si="1"/>
        <v>279.22102000000001</v>
      </c>
      <c r="AV12" s="62">
        <f t="shared" si="2"/>
        <v>36.715999999999994</v>
      </c>
      <c r="BJ12" s="88" t="s">
        <v>55</v>
      </c>
      <c r="BK12" s="88" t="s">
        <v>34</v>
      </c>
      <c r="BL12" s="87">
        <v>2</v>
      </c>
      <c r="BM12" s="88" t="s">
        <v>55</v>
      </c>
      <c r="BN12" s="88" t="s">
        <v>34</v>
      </c>
      <c r="BO12" s="87">
        <v>3</v>
      </c>
      <c r="BP12" s="88" t="s">
        <v>36</v>
      </c>
      <c r="BQ12" s="88" t="s">
        <v>75</v>
      </c>
      <c r="BR12" s="87">
        <v>84</v>
      </c>
      <c r="BS12" s="103" t="s">
        <v>118</v>
      </c>
      <c r="BT12" s="104">
        <v>686.37</v>
      </c>
      <c r="BU12" s="103" t="s">
        <v>90</v>
      </c>
      <c r="BV12" s="104">
        <v>32146.850000000002</v>
      </c>
      <c r="BW12" s="103" t="s">
        <v>94</v>
      </c>
      <c r="BX12" s="104">
        <v>2372.6000000000004</v>
      </c>
      <c r="BY12" s="103" t="s">
        <v>95</v>
      </c>
      <c r="BZ12" s="104">
        <v>165.2</v>
      </c>
      <c r="CA12" s="103" t="s">
        <v>98</v>
      </c>
      <c r="CB12" s="104">
        <v>439.97999999999996</v>
      </c>
      <c r="CC12" s="103" t="s">
        <v>91</v>
      </c>
      <c r="CD12" s="104">
        <v>551.42999999999995</v>
      </c>
    </row>
    <row r="13" spans="1:83" ht="12" customHeight="1" x14ac:dyDescent="0.2">
      <c r="A13" s="86" t="s">
        <v>34</v>
      </c>
      <c r="B13" s="86" t="s">
        <v>234</v>
      </c>
      <c r="C13" s="51">
        <v>8</v>
      </c>
      <c r="D13" s="91">
        <v>15294.03</v>
      </c>
      <c r="E13" s="91">
        <v>2332.86</v>
      </c>
      <c r="F13" s="91">
        <v>13466.93</v>
      </c>
      <c r="G13" s="90">
        <v>31093.82</v>
      </c>
      <c r="H13" s="51">
        <v>9</v>
      </c>
      <c r="I13" s="91">
        <v>14841.39</v>
      </c>
      <c r="J13" s="91">
        <v>2664.88</v>
      </c>
      <c r="K13" s="91">
        <v>12522.31</v>
      </c>
      <c r="L13" s="90">
        <v>30028.58</v>
      </c>
      <c r="M13" s="51">
        <v>7</v>
      </c>
      <c r="N13" s="91">
        <v>12941.62</v>
      </c>
      <c r="O13" s="91">
        <v>1596.24</v>
      </c>
      <c r="P13" s="91">
        <v>13632.73</v>
      </c>
      <c r="Q13" s="90">
        <v>28170.59</v>
      </c>
      <c r="R13" s="86" t="s">
        <v>34</v>
      </c>
      <c r="S13" s="86" t="s">
        <v>240</v>
      </c>
      <c r="T13" s="51">
        <v>1</v>
      </c>
      <c r="U13" s="91">
        <v>28.85</v>
      </c>
      <c r="V13" s="91">
        <v>24.87</v>
      </c>
      <c r="W13" s="91">
        <v>268.81</v>
      </c>
      <c r="X13" s="90">
        <v>322.52999999999997</v>
      </c>
      <c r="Y13" s="51">
        <v>1</v>
      </c>
      <c r="Z13" s="91">
        <v>36.4</v>
      </c>
      <c r="AA13" s="91">
        <v>28.85</v>
      </c>
      <c r="AB13" s="91">
        <v>293.68</v>
      </c>
      <c r="AC13" s="90">
        <v>358.93</v>
      </c>
      <c r="AD13" s="51">
        <v>1</v>
      </c>
      <c r="AE13" s="91">
        <v>43.14</v>
      </c>
      <c r="AF13" s="91">
        <v>36.4</v>
      </c>
      <c r="AG13" s="91">
        <v>322.52999999999997</v>
      </c>
      <c r="AH13" s="90">
        <v>402.07</v>
      </c>
      <c r="AI13" s="62"/>
      <c r="AJ13" s="62"/>
      <c r="AK13" s="62"/>
      <c r="AL13" s="62"/>
      <c r="AM13" s="62"/>
      <c r="AN13" s="62"/>
      <c r="AO13" s="62"/>
      <c r="AP13" s="62"/>
      <c r="AQ13" s="62"/>
      <c r="AR13" s="86" t="s">
        <v>34</v>
      </c>
      <c r="AS13" s="86" t="s">
        <v>234</v>
      </c>
      <c r="AT13" s="62">
        <f t="shared" si="0"/>
        <v>4283.6174299999993</v>
      </c>
      <c r="AU13" s="62">
        <f t="shared" si="1"/>
        <v>4024.29727</v>
      </c>
      <c r="AV13" s="62">
        <f t="shared" si="2"/>
        <v>4247.48801</v>
      </c>
      <c r="BJ13" s="88" t="s">
        <v>56</v>
      </c>
      <c r="BK13" s="88" t="s">
        <v>34</v>
      </c>
      <c r="BL13" s="87">
        <v>3</v>
      </c>
      <c r="BM13" s="88" t="s">
        <v>62</v>
      </c>
      <c r="BN13" s="88" t="s">
        <v>34</v>
      </c>
      <c r="BO13" s="87">
        <v>1</v>
      </c>
      <c r="BP13" s="88" t="s">
        <v>37</v>
      </c>
      <c r="BQ13" s="88" t="s">
        <v>75</v>
      </c>
      <c r="BR13" s="87">
        <v>17</v>
      </c>
      <c r="BS13" s="103" t="s">
        <v>111</v>
      </c>
      <c r="BT13" s="104">
        <v>3597.58</v>
      </c>
      <c r="BU13" s="103" t="s">
        <v>111</v>
      </c>
      <c r="BV13" s="104">
        <v>1402.3799999999999</v>
      </c>
      <c r="BW13" s="103" t="s">
        <v>95</v>
      </c>
      <c r="BX13" s="104">
        <v>7983.5899999999992</v>
      </c>
      <c r="BY13" s="103" t="s">
        <v>97</v>
      </c>
      <c r="BZ13" s="104">
        <v>889.86</v>
      </c>
      <c r="CA13" s="103" t="s">
        <v>107</v>
      </c>
      <c r="CB13" s="104">
        <v>335.33000000000004</v>
      </c>
      <c r="CC13" s="103" t="s">
        <v>101</v>
      </c>
      <c r="CD13" s="104">
        <v>237.99</v>
      </c>
    </row>
    <row r="14" spans="1:83" ht="12" customHeight="1" x14ac:dyDescent="0.2">
      <c r="A14" s="86" t="s">
        <v>34</v>
      </c>
      <c r="B14" s="86" t="s">
        <v>235</v>
      </c>
      <c r="C14" s="51">
        <v>33</v>
      </c>
      <c r="D14" s="91">
        <v>6078.2</v>
      </c>
      <c r="E14" s="91">
        <v>4826.1400000000003</v>
      </c>
      <c r="F14" s="91">
        <v>30904.02</v>
      </c>
      <c r="G14" s="90">
        <v>41808.36</v>
      </c>
      <c r="H14" s="51">
        <v>33</v>
      </c>
      <c r="I14" s="91">
        <v>7600.99</v>
      </c>
      <c r="J14" s="91">
        <v>5123.68</v>
      </c>
      <c r="K14" s="91">
        <v>30835.439999999999</v>
      </c>
      <c r="L14" s="90">
        <v>43560.11</v>
      </c>
      <c r="M14" s="51">
        <v>41</v>
      </c>
      <c r="N14" s="91">
        <v>19763.75</v>
      </c>
      <c r="O14" s="91">
        <v>2728.02</v>
      </c>
      <c r="P14" s="91">
        <v>29183.439999999999</v>
      </c>
      <c r="Q14" s="90">
        <v>51675.21</v>
      </c>
      <c r="R14" s="86" t="s">
        <v>34</v>
      </c>
      <c r="S14" s="86" t="s">
        <v>241</v>
      </c>
      <c r="T14" s="51">
        <v>1</v>
      </c>
      <c r="U14" s="91">
        <v>85.86</v>
      </c>
      <c r="V14" s="91">
        <v>87.29</v>
      </c>
      <c r="W14" s="91">
        <v>971</v>
      </c>
      <c r="X14" s="90">
        <v>1144.1500000000001</v>
      </c>
      <c r="Y14" s="51">
        <v>2</v>
      </c>
      <c r="Z14" s="91">
        <v>156.5</v>
      </c>
      <c r="AA14" s="91">
        <v>85.86</v>
      </c>
      <c r="AB14" s="91">
        <v>1058.29</v>
      </c>
      <c r="AC14" s="90">
        <v>1300.6500000000001</v>
      </c>
      <c r="AD14" s="51">
        <v>1</v>
      </c>
      <c r="AE14" s="91">
        <v>87.04</v>
      </c>
      <c r="AF14" s="91">
        <v>66.17</v>
      </c>
      <c r="AG14" s="91">
        <v>1144.1500000000001</v>
      </c>
      <c r="AH14" s="90">
        <v>1297.3599999999999</v>
      </c>
      <c r="AI14" s="62"/>
      <c r="AJ14" s="62"/>
      <c r="AK14" s="62"/>
      <c r="AL14" s="62"/>
      <c r="AM14" s="62"/>
      <c r="AN14" s="62"/>
      <c r="AO14" s="62"/>
      <c r="AP14" s="62"/>
      <c r="AQ14" s="62"/>
      <c r="AR14" s="86" t="s">
        <v>34</v>
      </c>
      <c r="AS14" s="86" t="s">
        <v>235</v>
      </c>
      <c r="AT14" s="62">
        <f t="shared" si="0"/>
        <v>9332.5597999999991</v>
      </c>
      <c r="AU14" s="62">
        <f t="shared" si="1"/>
        <v>9355.8498399999989</v>
      </c>
      <c r="AV14" s="62">
        <f t="shared" si="2"/>
        <v>8922.0994199999986</v>
      </c>
      <c r="BJ14" s="88" t="s">
        <v>62</v>
      </c>
      <c r="BK14" s="88" t="s">
        <v>34</v>
      </c>
      <c r="BL14" s="87">
        <v>5</v>
      </c>
      <c r="BM14" s="88" t="s">
        <v>69</v>
      </c>
      <c r="BN14" s="88" t="s">
        <v>34</v>
      </c>
      <c r="BO14" s="87">
        <v>1</v>
      </c>
      <c r="BP14" s="88" t="s">
        <v>40</v>
      </c>
      <c r="BQ14" s="88" t="s">
        <v>75</v>
      </c>
      <c r="BR14" s="87">
        <v>37</v>
      </c>
      <c r="BS14" s="103" t="s">
        <v>96</v>
      </c>
      <c r="BT14" s="104">
        <v>10757.620000000003</v>
      </c>
      <c r="BU14" s="103" t="s">
        <v>96</v>
      </c>
      <c r="BV14" s="104">
        <v>11499.35</v>
      </c>
      <c r="BW14" s="103" t="s">
        <v>97</v>
      </c>
      <c r="BX14" s="104">
        <v>752.65</v>
      </c>
      <c r="BY14" s="103" t="s">
        <v>99</v>
      </c>
      <c r="BZ14" s="104">
        <v>1394.99</v>
      </c>
      <c r="CA14" s="103" t="s">
        <v>99</v>
      </c>
      <c r="CB14" s="104">
        <v>1056.1699999999998</v>
      </c>
      <c r="CC14" s="103" t="s">
        <v>106</v>
      </c>
      <c r="CD14" s="104">
        <v>33.129999999999995</v>
      </c>
    </row>
    <row r="15" spans="1:83" ht="12" customHeight="1" x14ac:dyDescent="0.2">
      <c r="A15" s="86" t="s">
        <v>34</v>
      </c>
      <c r="B15" s="86" t="s">
        <v>236</v>
      </c>
      <c r="C15" s="51">
        <v>24</v>
      </c>
      <c r="D15" s="91">
        <v>8434.25</v>
      </c>
      <c r="E15" s="91">
        <v>2545.33</v>
      </c>
      <c r="F15" s="91">
        <v>16552.009999999998</v>
      </c>
      <c r="G15" s="90">
        <v>27531.59</v>
      </c>
      <c r="H15" s="51">
        <v>26</v>
      </c>
      <c r="I15" s="91">
        <v>12078.76</v>
      </c>
      <c r="J15" s="91">
        <v>2582.38</v>
      </c>
      <c r="K15" s="91">
        <v>15803.65</v>
      </c>
      <c r="L15" s="90">
        <v>30464.79</v>
      </c>
      <c r="M15" s="51">
        <v>21</v>
      </c>
      <c r="N15" s="91">
        <v>34101.08</v>
      </c>
      <c r="O15" s="91">
        <v>14590.73</v>
      </c>
      <c r="P15" s="91">
        <v>15777.9</v>
      </c>
      <c r="Q15" s="90">
        <v>64469.71</v>
      </c>
      <c r="R15" s="86" t="s">
        <v>34</v>
      </c>
      <c r="S15" s="86" t="s">
        <v>242</v>
      </c>
      <c r="T15" s="51">
        <v>1</v>
      </c>
      <c r="U15" s="91">
        <v>509.46</v>
      </c>
      <c r="V15" s="91">
        <v>21.85</v>
      </c>
      <c r="W15" s="91">
        <v>119.35</v>
      </c>
      <c r="X15" s="90">
        <v>650.66</v>
      </c>
      <c r="Y15" s="51">
        <v>1</v>
      </c>
      <c r="Z15" s="91">
        <v>22</v>
      </c>
      <c r="AA15" s="91">
        <v>8.9</v>
      </c>
      <c r="AB15" s="91">
        <v>0</v>
      </c>
      <c r="AC15" s="90">
        <v>30.9</v>
      </c>
      <c r="AD15" s="51">
        <v>1</v>
      </c>
      <c r="AE15" s="91">
        <v>76.72</v>
      </c>
      <c r="AF15" s="91">
        <v>22</v>
      </c>
      <c r="AG15" s="91">
        <v>8.9</v>
      </c>
      <c r="AH15" s="90">
        <v>107.62</v>
      </c>
      <c r="AI15" s="62"/>
      <c r="AJ15" s="62"/>
      <c r="AK15" s="62"/>
      <c r="AL15" s="62"/>
      <c r="AM15" s="62"/>
      <c r="AN15" s="62"/>
      <c r="AO15" s="62"/>
      <c r="AP15" s="62"/>
      <c r="AQ15" s="62"/>
      <c r="AR15" s="86" t="s">
        <v>34</v>
      </c>
      <c r="AS15" s="86" t="s">
        <v>236</v>
      </c>
      <c r="AT15" s="62">
        <f t="shared" si="0"/>
        <v>5078.834679999999</v>
      </c>
      <c r="AU15" s="62">
        <f t="shared" si="1"/>
        <v>4923.2049499999994</v>
      </c>
      <c r="AV15" s="62">
        <f t="shared" si="2"/>
        <v>6024.6463699999995</v>
      </c>
      <c r="BJ15" s="88" t="s">
        <v>69</v>
      </c>
      <c r="BK15" s="88" t="s">
        <v>34</v>
      </c>
      <c r="BL15" s="87">
        <v>1</v>
      </c>
      <c r="BM15" s="88" t="s">
        <v>35</v>
      </c>
      <c r="BN15" s="88" t="s">
        <v>75</v>
      </c>
      <c r="BO15" s="87">
        <v>54</v>
      </c>
      <c r="BP15" s="88" t="s">
        <v>44</v>
      </c>
      <c r="BQ15" s="88" t="s">
        <v>75</v>
      </c>
      <c r="BR15" s="87">
        <v>19</v>
      </c>
      <c r="BS15" s="103" t="s">
        <v>94</v>
      </c>
      <c r="BT15" s="104">
        <v>4828.32</v>
      </c>
      <c r="BU15" s="103" t="s">
        <v>94</v>
      </c>
      <c r="BV15" s="104">
        <v>1730.38</v>
      </c>
      <c r="BW15" s="103" t="s">
        <v>98</v>
      </c>
      <c r="BX15" s="104">
        <v>2995.38</v>
      </c>
      <c r="BY15" s="103" t="s">
        <v>91</v>
      </c>
      <c r="BZ15" s="104">
        <v>250.21999999999997</v>
      </c>
      <c r="CA15" s="103" t="s">
        <v>91</v>
      </c>
      <c r="CB15" s="104">
        <v>667.56</v>
      </c>
      <c r="CC15" s="103" t="s">
        <v>108</v>
      </c>
      <c r="CD15" s="104">
        <v>97.61</v>
      </c>
    </row>
    <row r="16" spans="1:83" ht="12" customHeight="1" x14ac:dyDescent="0.2">
      <c r="A16" s="86" t="s">
        <v>34</v>
      </c>
      <c r="B16" s="86" t="s">
        <v>237</v>
      </c>
      <c r="C16" s="51">
        <v>10</v>
      </c>
      <c r="D16" s="91">
        <v>2494.33</v>
      </c>
      <c r="E16" s="91">
        <v>1012.59</v>
      </c>
      <c r="F16" s="91">
        <v>2136.02</v>
      </c>
      <c r="G16" s="90">
        <v>5642.94</v>
      </c>
      <c r="H16" s="51">
        <v>11</v>
      </c>
      <c r="I16" s="91">
        <v>2946.1</v>
      </c>
      <c r="J16" s="91">
        <v>850.36</v>
      </c>
      <c r="K16" s="91">
        <v>1154.0999999999999</v>
      </c>
      <c r="L16" s="90">
        <v>4950.5600000000004</v>
      </c>
      <c r="M16" s="51">
        <v>12</v>
      </c>
      <c r="N16" s="91">
        <v>2797.21</v>
      </c>
      <c r="O16" s="91">
        <v>983.08</v>
      </c>
      <c r="P16" s="91">
        <v>1153.78</v>
      </c>
      <c r="Q16" s="90">
        <v>4934.07</v>
      </c>
      <c r="R16" s="86" t="s">
        <v>34</v>
      </c>
      <c r="S16" s="86" t="s">
        <v>243</v>
      </c>
      <c r="T16" s="51"/>
      <c r="U16" s="91">
        <v>0</v>
      </c>
      <c r="V16" s="91">
        <v>0</v>
      </c>
      <c r="W16" s="91">
        <v>0</v>
      </c>
      <c r="X16" s="90">
        <v>0</v>
      </c>
      <c r="Y16" s="51"/>
      <c r="Z16" s="91">
        <v>0</v>
      </c>
      <c r="AA16" s="91">
        <v>0</v>
      </c>
      <c r="AB16" s="91">
        <v>0</v>
      </c>
      <c r="AC16" s="90">
        <v>0</v>
      </c>
      <c r="AD16" s="51"/>
      <c r="AE16" s="91">
        <v>0</v>
      </c>
      <c r="AF16" s="91">
        <v>0</v>
      </c>
      <c r="AG16" s="91">
        <v>0</v>
      </c>
      <c r="AH16" s="90">
        <v>0</v>
      </c>
      <c r="AI16" s="62"/>
      <c r="AJ16" s="62"/>
      <c r="AK16" s="62"/>
      <c r="AL16" s="62"/>
      <c r="AM16" s="62"/>
      <c r="AN16" s="62"/>
      <c r="AO16" s="62"/>
      <c r="AP16" s="62"/>
      <c r="AQ16" s="62"/>
      <c r="AR16" s="86" t="s">
        <v>34</v>
      </c>
      <c r="AS16" s="86" t="s">
        <v>237</v>
      </c>
      <c r="AT16" s="62">
        <f t="shared" si="0"/>
        <v>721.01222999999993</v>
      </c>
      <c r="AU16" s="62">
        <f t="shared" si="1"/>
        <v>434.24517999999995</v>
      </c>
      <c r="AV16" s="62">
        <f t="shared" si="2"/>
        <v>440.13181999999995</v>
      </c>
      <c r="BJ16" s="88" t="s">
        <v>35</v>
      </c>
      <c r="BK16" s="88" t="s">
        <v>75</v>
      </c>
      <c r="BL16" s="87">
        <v>43</v>
      </c>
      <c r="BM16" s="88" t="s">
        <v>36</v>
      </c>
      <c r="BN16" s="88" t="s">
        <v>75</v>
      </c>
      <c r="BO16" s="87">
        <v>63</v>
      </c>
      <c r="BP16" s="88" t="s">
        <v>45</v>
      </c>
      <c r="BQ16" s="88" t="s">
        <v>75</v>
      </c>
      <c r="BR16" s="87">
        <v>3</v>
      </c>
      <c r="BS16" s="103" t="s">
        <v>95</v>
      </c>
      <c r="BT16" s="104">
        <v>650.33999999999992</v>
      </c>
      <c r="BU16" s="103" t="s">
        <v>95</v>
      </c>
      <c r="BV16" s="104">
        <v>3128.92</v>
      </c>
      <c r="BW16" s="103" t="s">
        <v>107</v>
      </c>
      <c r="BX16" s="104">
        <v>1656.5800000000002</v>
      </c>
      <c r="BY16" s="103" t="s">
        <v>101</v>
      </c>
      <c r="BZ16" s="104">
        <v>152.65</v>
      </c>
      <c r="CA16" s="103" t="s">
        <v>101</v>
      </c>
      <c r="CB16" s="104">
        <v>405.27</v>
      </c>
      <c r="CC16" s="103" t="s">
        <v>109</v>
      </c>
      <c r="CD16" s="104">
        <v>326.42</v>
      </c>
    </row>
    <row r="17" spans="1:82" ht="12" customHeight="1" x14ac:dyDescent="0.2">
      <c r="A17" s="86" t="s">
        <v>34</v>
      </c>
      <c r="B17" s="86" t="s">
        <v>238</v>
      </c>
      <c r="C17" s="51">
        <v>7</v>
      </c>
      <c r="D17" s="91">
        <v>0</v>
      </c>
      <c r="E17" s="91">
        <v>480.9</v>
      </c>
      <c r="F17" s="91">
        <v>587.44000000000005</v>
      </c>
      <c r="G17" s="90">
        <v>1068.3399999999999</v>
      </c>
      <c r="H17" s="51">
        <v>8</v>
      </c>
      <c r="I17" s="91">
        <v>3904.55</v>
      </c>
      <c r="J17" s="91">
        <v>278.07</v>
      </c>
      <c r="K17" s="91">
        <v>71.900000000000006</v>
      </c>
      <c r="L17" s="90">
        <v>4254.5200000000004</v>
      </c>
      <c r="M17" s="51">
        <v>13</v>
      </c>
      <c r="N17" s="91">
        <v>7221.07</v>
      </c>
      <c r="O17" s="91">
        <v>0</v>
      </c>
      <c r="P17" s="91">
        <v>676.63</v>
      </c>
      <c r="Q17" s="90">
        <v>7897.7</v>
      </c>
      <c r="R17" s="86" t="s">
        <v>34</v>
      </c>
      <c r="S17" s="86" t="s">
        <v>244</v>
      </c>
      <c r="T17" s="51">
        <v>3</v>
      </c>
      <c r="U17" s="91">
        <v>650.6</v>
      </c>
      <c r="V17" s="91">
        <v>547.66999999999996</v>
      </c>
      <c r="W17" s="91">
        <v>22219.64</v>
      </c>
      <c r="X17" s="90">
        <v>23417.91</v>
      </c>
      <c r="Y17" s="51">
        <v>3</v>
      </c>
      <c r="Z17" s="91">
        <v>619.47</v>
      </c>
      <c r="AA17" s="91">
        <v>609.73</v>
      </c>
      <c r="AB17" s="91">
        <v>22767.31</v>
      </c>
      <c r="AC17" s="90">
        <v>23996.51</v>
      </c>
      <c r="AD17" s="51">
        <v>3</v>
      </c>
      <c r="AE17" s="91">
        <v>859.76</v>
      </c>
      <c r="AF17" s="91">
        <v>619.47</v>
      </c>
      <c r="AG17" s="91">
        <v>22875.54</v>
      </c>
      <c r="AH17" s="90">
        <v>24354.77</v>
      </c>
      <c r="AI17" s="62"/>
      <c r="AJ17" s="62"/>
      <c r="AK17" s="62"/>
      <c r="AL17" s="62"/>
      <c r="AM17" s="62"/>
      <c r="AN17" s="62"/>
      <c r="AO17" s="62"/>
      <c r="AP17" s="62"/>
      <c r="AQ17" s="62"/>
      <c r="AR17" s="86" t="s">
        <v>34</v>
      </c>
      <c r="AS17" s="86" t="s">
        <v>238</v>
      </c>
      <c r="AT17" s="62">
        <f t="shared" si="0"/>
        <v>200.06685999999999</v>
      </c>
      <c r="AU17" s="62">
        <f t="shared" si="1"/>
        <v>100.77031000000001</v>
      </c>
      <c r="AV17" s="62">
        <f t="shared" si="2"/>
        <v>311.08319</v>
      </c>
      <c r="BJ17" s="88" t="s">
        <v>36</v>
      </c>
      <c r="BK17" s="88" t="s">
        <v>75</v>
      </c>
      <c r="BL17" s="87">
        <v>85</v>
      </c>
      <c r="BM17" s="88" t="s">
        <v>37</v>
      </c>
      <c r="BN17" s="88" t="s">
        <v>75</v>
      </c>
      <c r="BO17" s="87">
        <v>24</v>
      </c>
      <c r="BP17" s="88" t="s">
        <v>46</v>
      </c>
      <c r="BQ17" s="88" t="s">
        <v>75</v>
      </c>
      <c r="BR17" s="87">
        <v>3</v>
      </c>
      <c r="BS17" s="103" t="s">
        <v>97</v>
      </c>
      <c r="BT17" s="104">
        <v>1756.35</v>
      </c>
      <c r="BU17" s="103" t="s">
        <v>98</v>
      </c>
      <c r="BV17" s="104">
        <v>2847.11</v>
      </c>
      <c r="BW17" s="103" t="s">
        <v>99</v>
      </c>
      <c r="BX17" s="104">
        <v>36069.659999999996</v>
      </c>
      <c r="BY17" s="103" t="s">
        <v>106</v>
      </c>
      <c r="BZ17" s="104">
        <v>153.5</v>
      </c>
      <c r="CA17" s="103" t="s">
        <v>106</v>
      </c>
      <c r="CB17" s="104">
        <v>131.65</v>
      </c>
      <c r="CC17" s="103" t="s">
        <v>132</v>
      </c>
      <c r="CD17" s="104">
        <v>3178.49</v>
      </c>
    </row>
    <row r="18" spans="1:82" ht="12" customHeight="1" x14ac:dyDescent="0.2">
      <c r="A18" s="86" t="s">
        <v>34</v>
      </c>
      <c r="B18" s="86" t="s">
        <v>239</v>
      </c>
      <c r="C18" s="51">
        <v>22</v>
      </c>
      <c r="D18" s="91">
        <v>4994.3900000000003</v>
      </c>
      <c r="E18" s="91">
        <v>1760.09</v>
      </c>
      <c r="F18" s="91">
        <v>17304.8</v>
      </c>
      <c r="G18" s="90">
        <v>24059.279999999999</v>
      </c>
      <c r="H18" s="51">
        <v>21</v>
      </c>
      <c r="I18" s="91">
        <v>3447.19</v>
      </c>
      <c r="J18" s="91">
        <v>4084.09</v>
      </c>
      <c r="K18" s="91">
        <v>13849.47</v>
      </c>
      <c r="L18" s="90">
        <v>21380.75</v>
      </c>
      <c r="M18" s="51">
        <v>22</v>
      </c>
      <c r="N18" s="91">
        <v>9728.19</v>
      </c>
      <c r="O18" s="91">
        <v>1754.15</v>
      </c>
      <c r="P18" s="91">
        <v>15667.34</v>
      </c>
      <c r="Q18" s="90">
        <v>27149.68</v>
      </c>
      <c r="R18" s="86" t="s">
        <v>34</v>
      </c>
      <c r="S18" s="86" t="s">
        <v>245</v>
      </c>
      <c r="T18" s="51">
        <v>1</v>
      </c>
      <c r="U18" s="91">
        <v>42.33</v>
      </c>
      <c r="V18" s="91">
        <v>55.21</v>
      </c>
      <c r="W18" s="91">
        <v>0</v>
      </c>
      <c r="X18" s="90">
        <v>97.54</v>
      </c>
      <c r="Y18" s="51"/>
      <c r="Z18" s="91">
        <v>0</v>
      </c>
      <c r="AA18" s="91">
        <v>0</v>
      </c>
      <c r="AB18" s="91">
        <v>0</v>
      </c>
      <c r="AC18" s="90">
        <v>0</v>
      </c>
      <c r="AD18" s="51"/>
      <c r="AE18" s="91">
        <v>0</v>
      </c>
      <c r="AF18" s="91">
        <v>0</v>
      </c>
      <c r="AG18" s="91">
        <v>0</v>
      </c>
      <c r="AH18" s="90">
        <v>0</v>
      </c>
      <c r="AI18" s="62"/>
      <c r="AJ18" s="62"/>
      <c r="AK18" s="62"/>
      <c r="AL18" s="62"/>
      <c r="AM18" s="62"/>
      <c r="AN18" s="62"/>
      <c r="AO18" s="62"/>
      <c r="AP18" s="62"/>
      <c r="AQ18" s="62"/>
      <c r="AR18" s="86" t="s">
        <v>34</v>
      </c>
      <c r="AS18" s="86" t="s">
        <v>239</v>
      </c>
      <c r="AT18" s="62">
        <f t="shared" si="0"/>
        <v>5191.8831099999989</v>
      </c>
      <c r="AU18" s="62">
        <f t="shared" si="1"/>
        <v>4314.9495399999996</v>
      </c>
      <c r="AV18" s="62">
        <f t="shared" si="2"/>
        <v>4794.0237499999994</v>
      </c>
      <c r="BJ18" s="88" t="s">
        <v>37</v>
      </c>
      <c r="BK18" s="88" t="s">
        <v>75</v>
      </c>
      <c r="BL18" s="87">
        <v>18</v>
      </c>
      <c r="BM18" s="88" t="s">
        <v>40</v>
      </c>
      <c r="BN18" s="88" t="s">
        <v>75</v>
      </c>
      <c r="BO18" s="87">
        <v>44</v>
      </c>
      <c r="BP18" s="88" t="s">
        <v>47</v>
      </c>
      <c r="BQ18" s="88" t="s">
        <v>75</v>
      </c>
      <c r="BR18" s="87">
        <v>4</v>
      </c>
      <c r="BS18" s="103" t="s">
        <v>278</v>
      </c>
      <c r="BT18" s="104">
        <v>1445.29</v>
      </c>
      <c r="BU18" s="103" t="s">
        <v>107</v>
      </c>
      <c r="BV18" s="104">
        <v>4202.6499999999996</v>
      </c>
      <c r="BW18" s="103" t="s">
        <v>91</v>
      </c>
      <c r="BX18" s="104">
        <v>6514.1</v>
      </c>
      <c r="BY18" s="103" t="s">
        <v>108</v>
      </c>
      <c r="BZ18" s="104">
        <v>294.58999999999997</v>
      </c>
      <c r="CA18" s="103" t="s">
        <v>92</v>
      </c>
      <c r="CB18" s="104">
        <v>34.25</v>
      </c>
      <c r="CC18" s="103" t="s">
        <v>93</v>
      </c>
      <c r="CD18" s="104">
        <v>3871.47</v>
      </c>
    </row>
    <row r="19" spans="1:82" ht="12" customHeight="1" x14ac:dyDescent="0.2">
      <c r="A19" s="86" t="s">
        <v>34</v>
      </c>
      <c r="B19" s="86" t="s">
        <v>240</v>
      </c>
      <c r="C19" s="51">
        <v>25</v>
      </c>
      <c r="D19" s="91">
        <v>7287.07</v>
      </c>
      <c r="E19" s="91">
        <v>4856.71</v>
      </c>
      <c r="F19" s="91">
        <v>29434.02</v>
      </c>
      <c r="G19" s="90">
        <v>41577.800000000003</v>
      </c>
      <c r="H19" s="51">
        <v>31</v>
      </c>
      <c r="I19" s="91">
        <v>22944.58</v>
      </c>
      <c r="J19" s="91">
        <v>4708.2700000000004</v>
      </c>
      <c r="K19" s="91">
        <v>31296.25</v>
      </c>
      <c r="L19" s="90">
        <v>58949.1</v>
      </c>
      <c r="M19" s="51">
        <v>28</v>
      </c>
      <c r="N19" s="91">
        <v>23480.04</v>
      </c>
      <c r="O19" s="91">
        <v>2860.44</v>
      </c>
      <c r="P19" s="91">
        <v>17955.52</v>
      </c>
      <c r="Q19" s="90">
        <v>44296</v>
      </c>
      <c r="R19" s="86" t="s">
        <v>34</v>
      </c>
      <c r="S19" s="86" t="s">
        <v>246</v>
      </c>
      <c r="T19" s="51">
        <v>9</v>
      </c>
      <c r="U19" s="91">
        <v>3976.71</v>
      </c>
      <c r="V19" s="91">
        <v>2494.41</v>
      </c>
      <c r="W19" s="91">
        <v>10820.2</v>
      </c>
      <c r="X19" s="90">
        <v>17291.32</v>
      </c>
      <c r="Y19" s="51">
        <v>8</v>
      </c>
      <c r="Z19" s="91">
        <v>0</v>
      </c>
      <c r="AA19" s="91">
        <v>3911.46</v>
      </c>
      <c r="AB19" s="91">
        <v>12242.74</v>
      </c>
      <c r="AC19" s="90">
        <v>16154.2</v>
      </c>
      <c r="AD19" s="51">
        <v>10</v>
      </c>
      <c r="AE19" s="91">
        <v>4452.82</v>
      </c>
      <c r="AF19" s="91">
        <v>4889.21</v>
      </c>
      <c r="AG19" s="91">
        <v>16154.2</v>
      </c>
      <c r="AH19" s="90">
        <v>25496.23</v>
      </c>
      <c r="AI19" s="62"/>
      <c r="AJ19" s="62"/>
      <c r="AK19" s="62"/>
      <c r="AL19" s="62"/>
      <c r="AM19" s="62"/>
      <c r="AN19" s="62"/>
      <c r="AO19" s="62"/>
      <c r="AP19" s="62"/>
      <c r="AQ19" s="62"/>
      <c r="AR19" s="86" t="s">
        <v>34</v>
      </c>
      <c r="AS19" s="86" t="s">
        <v>240</v>
      </c>
      <c r="AT19" s="62">
        <f t="shared" si="0"/>
        <v>8928.9976299999998</v>
      </c>
      <c r="AU19" s="62">
        <f t="shared" si="1"/>
        <v>9708.3505399999995</v>
      </c>
      <c r="AV19" s="62">
        <f t="shared" si="2"/>
        <v>5745.0336399999997</v>
      </c>
      <c r="BJ19" s="88" t="s">
        <v>40</v>
      </c>
      <c r="BK19" s="88" t="s">
        <v>75</v>
      </c>
      <c r="BL19" s="87">
        <v>46</v>
      </c>
      <c r="BM19" s="88" t="s">
        <v>43</v>
      </c>
      <c r="BN19" s="88" t="s">
        <v>75</v>
      </c>
      <c r="BO19" s="87">
        <v>2</v>
      </c>
      <c r="BP19" s="88" t="s">
        <v>48</v>
      </c>
      <c r="BQ19" s="88" t="s">
        <v>75</v>
      </c>
      <c r="BR19" s="87">
        <v>5</v>
      </c>
      <c r="BS19" s="103" t="s">
        <v>98</v>
      </c>
      <c r="BT19" s="104">
        <v>2145.0500000000002</v>
      </c>
      <c r="BU19" s="103" t="s">
        <v>105</v>
      </c>
      <c r="BV19" s="104">
        <v>18311.32</v>
      </c>
      <c r="BW19" s="103" t="s">
        <v>100</v>
      </c>
      <c r="BX19" s="104">
        <v>124.48999999999998</v>
      </c>
      <c r="BY19" s="103" t="s">
        <v>102</v>
      </c>
      <c r="BZ19" s="104">
        <v>357.05</v>
      </c>
      <c r="CA19" s="103" t="s">
        <v>114</v>
      </c>
      <c r="CB19" s="104">
        <v>79.64</v>
      </c>
    </row>
    <row r="20" spans="1:82" ht="12" customHeight="1" x14ac:dyDescent="0.2">
      <c r="A20" s="86" t="s">
        <v>34</v>
      </c>
      <c r="B20" s="86" t="s">
        <v>241</v>
      </c>
      <c r="C20" s="51">
        <v>19</v>
      </c>
      <c r="D20" s="91">
        <v>61067.37</v>
      </c>
      <c r="E20" s="91">
        <v>4221.54</v>
      </c>
      <c r="F20" s="91">
        <v>8501.43</v>
      </c>
      <c r="G20" s="90">
        <v>73790.34</v>
      </c>
      <c r="H20" s="51">
        <v>17</v>
      </c>
      <c r="I20" s="91">
        <v>39439.160000000003</v>
      </c>
      <c r="J20" s="91">
        <v>30837.41</v>
      </c>
      <c r="K20" s="91">
        <v>11667.66</v>
      </c>
      <c r="L20" s="90">
        <v>81944.23</v>
      </c>
      <c r="M20" s="51">
        <v>19</v>
      </c>
      <c r="N20" s="91">
        <v>67634.039999999994</v>
      </c>
      <c r="O20" s="91">
        <v>1486.44</v>
      </c>
      <c r="P20" s="91">
        <v>8229.1299999999992</v>
      </c>
      <c r="Q20" s="90">
        <v>77349.61</v>
      </c>
      <c r="R20" s="86" t="s">
        <v>34</v>
      </c>
      <c r="S20" s="86" t="s">
        <v>247</v>
      </c>
      <c r="T20" s="51">
        <v>2</v>
      </c>
      <c r="U20" s="91">
        <v>76.64</v>
      </c>
      <c r="V20" s="91">
        <v>51.41</v>
      </c>
      <c r="W20" s="91">
        <v>124.2</v>
      </c>
      <c r="X20" s="90">
        <v>252.25</v>
      </c>
      <c r="Y20" s="51">
        <v>3</v>
      </c>
      <c r="Z20" s="91">
        <v>178.19</v>
      </c>
      <c r="AA20" s="91">
        <v>76.64</v>
      </c>
      <c r="AB20" s="91">
        <v>175.61</v>
      </c>
      <c r="AC20" s="90">
        <v>430.44</v>
      </c>
      <c r="AD20" s="51">
        <v>3</v>
      </c>
      <c r="AE20" s="91">
        <v>141.28</v>
      </c>
      <c r="AF20" s="91">
        <v>83.71</v>
      </c>
      <c r="AG20" s="91">
        <v>190.7</v>
      </c>
      <c r="AH20" s="90">
        <v>415.69</v>
      </c>
      <c r="AI20" s="62"/>
      <c r="AJ20" s="62"/>
      <c r="AK20" s="62"/>
      <c r="AL20" s="62"/>
      <c r="AM20" s="62"/>
      <c r="AN20" s="62"/>
      <c r="AO20" s="62"/>
      <c r="AP20" s="62"/>
      <c r="AQ20" s="62"/>
      <c r="AR20" s="86" t="s">
        <v>34</v>
      </c>
      <c r="AS20" s="86" t="s">
        <v>241</v>
      </c>
      <c r="AT20" s="62">
        <f t="shared" si="0"/>
        <v>3699.94821</v>
      </c>
      <c r="AU20" s="62">
        <f t="shared" si="1"/>
        <v>5945.7371299999995</v>
      </c>
      <c r="AV20" s="62">
        <f t="shared" si="2"/>
        <v>3554.0089299999995</v>
      </c>
      <c r="BJ20" s="88" t="s">
        <v>42</v>
      </c>
      <c r="BK20" s="88" t="s">
        <v>75</v>
      </c>
      <c r="BL20" s="87">
        <v>1</v>
      </c>
      <c r="BM20" s="88" t="s">
        <v>44</v>
      </c>
      <c r="BN20" s="88" t="s">
        <v>75</v>
      </c>
      <c r="BO20" s="87">
        <v>11</v>
      </c>
      <c r="BP20" s="88" t="s">
        <v>49</v>
      </c>
      <c r="BQ20" s="88" t="s">
        <v>75</v>
      </c>
      <c r="BR20" s="87">
        <v>3</v>
      </c>
      <c r="BS20" s="103" t="s">
        <v>205</v>
      </c>
      <c r="BT20" s="104">
        <v>17.420000000000002</v>
      </c>
      <c r="BU20" s="103" t="s">
        <v>206</v>
      </c>
      <c r="BV20" s="104">
        <v>18961.88</v>
      </c>
      <c r="BW20" s="103" t="s">
        <v>101</v>
      </c>
      <c r="BX20" s="104">
        <v>8551.77</v>
      </c>
      <c r="BY20" s="103" t="s">
        <v>132</v>
      </c>
      <c r="BZ20" s="104">
        <v>2352.5</v>
      </c>
      <c r="CA20" s="103" t="s">
        <v>108</v>
      </c>
      <c r="CB20" s="104">
        <v>316.17999999999995</v>
      </c>
      <c r="CC20" s="88"/>
      <c r="CD20" s="87"/>
    </row>
    <row r="21" spans="1:82" ht="12" customHeight="1" x14ac:dyDescent="0.2">
      <c r="A21" s="86" t="s">
        <v>34</v>
      </c>
      <c r="B21" s="86" t="s">
        <v>242</v>
      </c>
      <c r="C21" s="51">
        <v>2</v>
      </c>
      <c r="D21" s="91">
        <v>717.5</v>
      </c>
      <c r="E21" s="91">
        <v>176.72</v>
      </c>
      <c r="F21" s="91">
        <v>119.35</v>
      </c>
      <c r="G21" s="90">
        <v>1013.57</v>
      </c>
      <c r="H21" s="51">
        <v>2</v>
      </c>
      <c r="I21" s="91">
        <v>224.21</v>
      </c>
      <c r="J21" s="91">
        <v>216.94</v>
      </c>
      <c r="K21" s="91">
        <v>154.87</v>
      </c>
      <c r="L21" s="90">
        <v>596.02</v>
      </c>
      <c r="M21" s="51">
        <v>2</v>
      </c>
      <c r="N21" s="91">
        <v>268.62</v>
      </c>
      <c r="O21" s="91">
        <v>224.21</v>
      </c>
      <c r="P21" s="91">
        <v>371.81</v>
      </c>
      <c r="Q21" s="90">
        <v>864.64</v>
      </c>
      <c r="R21" s="86" t="s">
        <v>34</v>
      </c>
      <c r="S21" s="86" t="s">
        <v>248</v>
      </c>
      <c r="T21" s="51">
        <v>1</v>
      </c>
      <c r="U21" s="91">
        <v>89.54</v>
      </c>
      <c r="V21" s="91">
        <v>66.05</v>
      </c>
      <c r="W21" s="91">
        <v>0</v>
      </c>
      <c r="X21" s="90">
        <v>155.59</v>
      </c>
      <c r="Y21" s="51">
        <v>1</v>
      </c>
      <c r="Z21" s="91">
        <v>95.14</v>
      </c>
      <c r="AA21" s="91">
        <v>89.54</v>
      </c>
      <c r="AB21" s="91">
        <v>66.05</v>
      </c>
      <c r="AC21" s="90">
        <v>250.73</v>
      </c>
      <c r="AD21" s="51">
        <v>1</v>
      </c>
      <c r="AE21" s="91">
        <v>104.6</v>
      </c>
      <c r="AF21" s="91">
        <v>95.14</v>
      </c>
      <c r="AG21" s="91">
        <v>48.09</v>
      </c>
      <c r="AH21" s="90">
        <v>247.83</v>
      </c>
      <c r="AI21" s="62"/>
      <c r="AJ21" s="62"/>
      <c r="AK21" s="62"/>
      <c r="AL21" s="62"/>
      <c r="AM21" s="62"/>
      <c r="AN21" s="62"/>
      <c r="AO21" s="62"/>
      <c r="AP21" s="62"/>
      <c r="AQ21" s="62"/>
      <c r="AR21" s="86" t="s">
        <v>34</v>
      </c>
      <c r="AS21" s="86" t="s">
        <v>242</v>
      </c>
      <c r="AT21" s="62">
        <f t="shared" si="0"/>
        <v>57.105509999999995</v>
      </c>
      <c r="AU21" s="62">
        <f t="shared" si="1"/>
        <v>62.012010000000004</v>
      </c>
      <c r="AV21" s="62">
        <f t="shared" si="2"/>
        <v>125.87624</v>
      </c>
      <c r="BJ21" s="88" t="s">
        <v>43</v>
      </c>
      <c r="BK21" s="88" t="s">
        <v>75</v>
      </c>
      <c r="BL21" s="87">
        <v>1</v>
      </c>
      <c r="BM21" s="88" t="s">
        <v>45</v>
      </c>
      <c r="BN21" s="88" t="s">
        <v>75</v>
      </c>
      <c r="BO21" s="87">
        <v>3</v>
      </c>
      <c r="BP21" s="88" t="s">
        <v>52</v>
      </c>
      <c r="BQ21" s="88" t="s">
        <v>75</v>
      </c>
      <c r="BR21" s="87">
        <v>17</v>
      </c>
      <c r="BS21" s="103" t="s">
        <v>107</v>
      </c>
      <c r="BT21" s="104">
        <v>1779.3899999999999</v>
      </c>
      <c r="BU21" s="103" t="s">
        <v>99</v>
      </c>
      <c r="BV21" s="104">
        <v>56427.810000000005</v>
      </c>
      <c r="BW21" s="103" t="s">
        <v>112</v>
      </c>
      <c r="BX21" s="104">
        <v>430.9</v>
      </c>
      <c r="BY21" s="103" t="s">
        <v>93</v>
      </c>
      <c r="BZ21" s="104">
        <v>1693.87</v>
      </c>
      <c r="CA21" s="103" t="s">
        <v>103</v>
      </c>
      <c r="CB21" s="104">
        <v>84.98</v>
      </c>
    </row>
    <row r="22" spans="1:82" ht="12" customHeight="1" x14ac:dyDescent="0.2">
      <c r="A22" s="86" t="s">
        <v>34</v>
      </c>
      <c r="B22" s="86" t="s">
        <v>243</v>
      </c>
      <c r="C22" s="51">
        <v>59</v>
      </c>
      <c r="D22" s="91">
        <v>98891.39</v>
      </c>
      <c r="E22" s="91">
        <v>4903.0200000000004</v>
      </c>
      <c r="F22" s="91">
        <v>24819.88</v>
      </c>
      <c r="G22" s="90">
        <v>128614.29</v>
      </c>
      <c r="H22" s="51">
        <v>59</v>
      </c>
      <c r="I22" s="91">
        <v>70082.12</v>
      </c>
      <c r="J22" s="91">
        <v>4993.32</v>
      </c>
      <c r="K22" s="91">
        <v>20664.580000000002</v>
      </c>
      <c r="L22" s="90">
        <v>95740.02</v>
      </c>
      <c r="M22" s="51">
        <v>70</v>
      </c>
      <c r="N22" s="91">
        <v>72079.13</v>
      </c>
      <c r="O22" s="91">
        <v>4833.2299999999996</v>
      </c>
      <c r="P22" s="91">
        <v>20619.88</v>
      </c>
      <c r="Q22" s="90">
        <v>97532.24</v>
      </c>
      <c r="R22" s="86" t="s">
        <v>34</v>
      </c>
      <c r="S22" s="86" t="s">
        <v>249</v>
      </c>
      <c r="T22" s="51">
        <v>4</v>
      </c>
      <c r="U22" s="91">
        <v>74.33</v>
      </c>
      <c r="V22" s="91">
        <v>130.19999999999999</v>
      </c>
      <c r="W22" s="91">
        <v>2609.1799999999998</v>
      </c>
      <c r="X22" s="90">
        <v>2813.71</v>
      </c>
      <c r="Y22" s="51">
        <v>3</v>
      </c>
      <c r="Z22" s="91">
        <v>88.64</v>
      </c>
      <c r="AA22" s="91">
        <v>74.16</v>
      </c>
      <c r="AB22" s="91">
        <v>2739.38</v>
      </c>
      <c r="AC22" s="90">
        <v>2902.18</v>
      </c>
      <c r="AD22" s="51">
        <v>3</v>
      </c>
      <c r="AE22" s="91">
        <v>74.180000000000007</v>
      </c>
      <c r="AF22" s="91">
        <v>88.64</v>
      </c>
      <c r="AG22" s="91">
        <v>2813.54</v>
      </c>
      <c r="AH22" s="90">
        <v>2976.36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86" t="s">
        <v>34</v>
      </c>
      <c r="AS22" s="86" t="s">
        <v>243</v>
      </c>
      <c r="AT22" s="62">
        <f t="shared" si="0"/>
        <v>9064.097819999999</v>
      </c>
      <c r="AU22" s="62">
        <f t="shared" si="1"/>
        <v>7407.9566999999997</v>
      </c>
      <c r="AV22" s="62">
        <f t="shared" si="2"/>
        <v>7416.9048899999998</v>
      </c>
      <c r="BJ22" s="88" t="s">
        <v>44</v>
      </c>
      <c r="BK22" s="88" t="s">
        <v>75</v>
      </c>
      <c r="BL22" s="87">
        <v>11</v>
      </c>
      <c r="BM22" s="88" t="s">
        <v>46</v>
      </c>
      <c r="BN22" s="88" t="s">
        <v>75</v>
      </c>
      <c r="BO22" s="87">
        <v>2</v>
      </c>
      <c r="BP22" s="88" t="s">
        <v>53</v>
      </c>
      <c r="BQ22" s="88" t="s">
        <v>75</v>
      </c>
      <c r="BR22" s="87">
        <v>18</v>
      </c>
      <c r="BS22" s="103" t="s">
        <v>105</v>
      </c>
      <c r="BT22" s="104">
        <v>21472.21</v>
      </c>
      <c r="BU22" s="103" t="s">
        <v>222</v>
      </c>
      <c r="BV22" s="104">
        <v>12921.82</v>
      </c>
      <c r="BW22" s="103" t="s">
        <v>106</v>
      </c>
      <c r="BX22" s="104">
        <v>20150.089999999997</v>
      </c>
      <c r="CA22" s="103" t="s">
        <v>93</v>
      </c>
      <c r="CB22" s="104">
        <v>2300.9499999999998</v>
      </c>
    </row>
    <row r="23" spans="1:82" ht="12" customHeight="1" x14ac:dyDescent="0.2">
      <c r="A23" s="86" t="s">
        <v>34</v>
      </c>
      <c r="B23" s="86" t="s">
        <v>244</v>
      </c>
      <c r="C23" s="51">
        <v>116</v>
      </c>
      <c r="D23" s="91">
        <v>36806.730000000003</v>
      </c>
      <c r="E23" s="91">
        <v>16252.42</v>
      </c>
      <c r="F23" s="91">
        <v>139272.14000000001</v>
      </c>
      <c r="G23" s="90">
        <v>192331.29</v>
      </c>
      <c r="H23" s="51">
        <v>119</v>
      </c>
      <c r="I23" s="91">
        <v>45879.74</v>
      </c>
      <c r="J23" s="91">
        <v>23090.240000000002</v>
      </c>
      <c r="K23" s="91">
        <v>141342.78</v>
      </c>
      <c r="L23" s="90">
        <v>210312.76</v>
      </c>
      <c r="M23" s="51">
        <v>116</v>
      </c>
      <c r="N23" s="91">
        <v>37749.440000000002</v>
      </c>
      <c r="O23" s="91">
        <v>13716.32</v>
      </c>
      <c r="P23" s="91">
        <v>103373.55</v>
      </c>
      <c r="Q23" s="90">
        <v>154839.31</v>
      </c>
      <c r="R23" s="86" t="s">
        <v>34</v>
      </c>
      <c r="S23" s="86" t="s">
        <v>250</v>
      </c>
      <c r="T23" s="51">
        <v>1</v>
      </c>
      <c r="U23" s="91">
        <v>53.48</v>
      </c>
      <c r="V23" s="91">
        <v>41.17</v>
      </c>
      <c r="W23" s="91">
        <v>146.13999999999999</v>
      </c>
      <c r="X23" s="90">
        <v>240.79</v>
      </c>
      <c r="Y23" s="51">
        <v>1</v>
      </c>
      <c r="Z23" s="91">
        <v>59.95</v>
      </c>
      <c r="AA23" s="91">
        <v>53.48</v>
      </c>
      <c r="AB23" s="91">
        <v>110.32</v>
      </c>
      <c r="AC23" s="90">
        <v>223.75</v>
      </c>
      <c r="AD23" s="51">
        <v>1</v>
      </c>
      <c r="AE23" s="91">
        <v>56.33</v>
      </c>
      <c r="AF23" s="91">
        <v>59.95</v>
      </c>
      <c r="AG23" s="91">
        <v>163.80000000000001</v>
      </c>
      <c r="AH23" s="90">
        <v>280.08</v>
      </c>
      <c r="AI23" s="62"/>
      <c r="AJ23" s="62"/>
      <c r="AK23" s="62"/>
      <c r="AL23" s="62"/>
      <c r="AM23" s="62"/>
      <c r="AN23" s="62"/>
      <c r="AO23" s="62"/>
      <c r="AP23" s="62"/>
      <c r="AQ23" s="62"/>
      <c r="AR23" s="86" t="s">
        <v>34</v>
      </c>
      <c r="AS23" s="86" t="s">
        <v>244</v>
      </c>
      <c r="AT23" s="62">
        <f t="shared" si="0"/>
        <v>41862.458600000005</v>
      </c>
      <c r="AU23" s="62">
        <f t="shared" si="1"/>
        <v>43036.824379999998</v>
      </c>
      <c r="AV23" s="62">
        <f t="shared" si="2"/>
        <v>31343.075150000001</v>
      </c>
      <c r="BJ23" s="88" t="s">
        <v>45</v>
      </c>
      <c r="BK23" s="88" t="s">
        <v>75</v>
      </c>
      <c r="BL23" s="87">
        <v>8</v>
      </c>
      <c r="BM23" s="88" t="s">
        <v>48</v>
      </c>
      <c r="BN23" s="88" t="s">
        <v>75</v>
      </c>
      <c r="BO23" s="87">
        <v>6</v>
      </c>
      <c r="BP23" s="88" t="s">
        <v>54</v>
      </c>
      <c r="BQ23" s="88" t="s">
        <v>75</v>
      </c>
      <c r="BR23" s="87">
        <v>3</v>
      </c>
      <c r="BS23" s="103" t="s">
        <v>206</v>
      </c>
      <c r="BT23" s="104">
        <v>18961.88</v>
      </c>
      <c r="BU23" s="103" t="s">
        <v>91</v>
      </c>
      <c r="BV23" s="104">
        <v>18413.48</v>
      </c>
      <c r="BW23" s="103" t="s">
        <v>110</v>
      </c>
      <c r="BX23" s="104">
        <v>3353.01</v>
      </c>
      <c r="BY23" s="73"/>
      <c r="BZ23" s="74"/>
    </row>
    <row r="24" spans="1:82" ht="12" customHeight="1" x14ac:dyDescent="0.2">
      <c r="A24" s="86" t="s">
        <v>34</v>
      </c>
      <c r="B24" s="86" t="s">
        <v>245</v>
      </c>
      <c r="C24" s="51">
        <v>14</v>
      </c>
      <c r="D24" s="91">
        <v>5116.8</v>
      </c>
      <c r="E24" s="91">
        <v>882.94</v>
      </c>
      <c r="F24" s="91">
        <v>3090.06</v>
      </c>
      <c r="G24" s="90">
        <v>9089.7999999999993</v>
      </c>
      <c r="H24" s="51">
        <v>12</v>
      </c>
      <c r="I24" s="91">
        <v>5781.98</v>
      </c>
      <c r="J24" s="91">
        <v>640.65</v>
      </c>
      <c r="K24" s="91">
        <v>3056.21</v>
      </c>
      <c r="L24" s="90">
        <v>9478.84</v>
      </c>
      <c r="M24" s="51">
        <v>14</v>
      </c>
      <c r="N24" s="91">
        <v>59471.360000000001</v>
      </c>
      <c r="O24" s="91">
        <v>330.29</v>
      </c>
      <c r="P24" s="91">
        <v>2983.8</v>
      </c>
      <c r="Q24" s="90">
        <v>62785.45</v>
      </c>
      <c r="R24" s="86" t="s">
        <v>34</v>
      </c>
      <c r="S24" s="86" t="s">
        <v>251</v>
      </c>
      <c r="T24" s="51">
        <v>1</v>
      </c>
      <c r="U24" s="91">
        <v>14.09</v>
      </c>
      <c r="V24" s="91">
        <v>14.09</v>
      </c>
      <c r="W24" s="91">
        <v>296.24</v>
      </c>
      <c r="X24" s="90">
        <v>324.42</v>
      </c>
      <c r="Y24" s="51"/>
      <c r="Z24" s="91">
        <v>0</v>
      </c>
      <c r="AA24" s="91">
        <v>0</v>
      </c>
      <c r="AB24" s="91">
        <v>0</v>
      </c>
      <c r="AC24" s="90">
        <v>0</v>
      </c>
      <c r="AD24" s="51">
        <v>1</v>
      </c>
      <c r="AE24" s="91">
        <v>12.22</v>
      </c>
      <c r="AF24" s="91">
        <v>0</v>
      </c>
      <c r="AG24" s="91">
        <v>0</v>
      </c>
      <c r="AH24" s="90">
        <v>12.22</v>
      </c>
      <c r="AI24" s="62"/>
      <c r="AJ24" s="62"/>
      <c r="AK24" s="62"/>
      <c r="AL24" s="62"/>
      <c r="AM24" s="62"/>
      <c r="AN24" s="62"/>
      <c r="AO24" s="62"/>
      <c r="AP24" s="62"/>
      <c r="AQ24" s="62"/>
      <c r="AR24" s="86" t="s">
        <v>34</v>
      </c>
      <c r="AS24" s="86" t="s">
        <v>245</v>
      </c>
      <c r="AT24" s="62">
        <f t="shared" si="0"/>
        <v>1030.52136</v>
      </c>
      <c r="AU24" s="62">
        <f t="shared" si="1"/>
        <v>1016.1173199999999</v>
      </c>
      <c r="AV24" s="62">
        <f t="shared" si="2"/>
        <v>1834.66823</v>
      </c>
      <c r="BJ24" s="88" t="s">
        <v>46</v>
      </c>
      <c r="BK24" s="88" t="s">
        <v>75</v>
      </c>
      <c r="BL24" s="87">
        <v>2</v>
      </c>
      <c r="BM24" s="88" t="s">
        <v>49</v>
      </c>
      <c r="BN24" s="88" t="s">
        <v>75</v>
      </c>
      <c r="BO24" s="87">
        <v>5</v>
      </c>
      <c r="BP24" s="88" t="s">
        <v>55</v>
      </c>
      <c r="BQ24" s="88" t="s">
        <v>75</v>
      </c>
      <c r="BR24" s="87">
        <v>15</v>
      </c>
      <c r="BS24" s="103" t="s">
        <v>99</v>
      </c>
      <c r="BT24" s="104">
        <v>25870.05</v>
      </c>
      <c r="BU24" s="103" t="s">
        <v>276</v>
      </c>
      <c r="BV24" s="104">
        <v>52.51</v>
      </c>
      <c r="BW24" s="103" t="s">
        <v>92</v>
      </c>
      <c r="BX24" s="104">
        <v>1130.03</v>
      </c>
      <c r="BY24" s="73"/>
      <c r="BZ24" s="74"/>
      <c r="CA24" s="28"/>
    </row>
    <row r="25" spans="1:82" ht="12" customHeight="1" x14ac:dyDescent="0.2">
      <c r="A25" s="86" t="s">
        <v>34</v>
      </c>
      <c r="B25" s="86" t="s">
        <v>246</v>
      </c>
      <c r="C25" s="51">
        <v>102</v>
      </c>
      <c r="D25" s="91">
        <v>57881.36</v>
      </c>
      <c r="E25" s="91">
        <v>20431.84</v>
      </c>
      <c r="F25" s="91">
        <v>182326.84</v>
      </c>
      <c r="G25" s="90">
        <v>260640.04</v>
      </c>
      <c r="H25" s="51">
        <v>68</v>
      </c>
      <c r="I25" s="91">
        <v>8066.65</v>
      </c>
      <c r="J25" s="91">
        <v>22154.11</v>
      </c>
      <c r="K25" s="91">
        <v>189645.38</v>
      </c>
      <c r="L25" s="90">
        <v>219866.14</v>
      </c>
      <c r="M25" s="51">
        <v>96</v>
      </c>
      <c r="N25" s="91">
        <v>69698.570000000007</v>
      </c>
      <c r="O25" s="91">
        <v>25036.55</v>
      </c>
      <c r="P25" s="91">
        <v>203313.77</v>
      </c>
      <c r="Q25" s="90">
        <v>298048.89</v>
      </c>
      <c r="R25" s="86" t="s">
        <v>34</v>
      </c>
      <c r="S25" s="86" t="s">
        <v>252</v>
      </c>
      <c r="T25" s="51"/>
      <c r="U25" s="91">
        <v>0</v>
      </c>
      <c r="V25" s="91">
        <v>0</v>
      </c>
      <c r="W25" s="91">
        <v>0</v>
      </c>
      <c r="X25" s="90">
        <v>0</v>
      </c>
      <c r="Y25" s="51"/>
      <c r="Z25" s="91">
        <v>0</v>
      </c>
      <c r="AA25" s="91">
        <v>0</v>
      </c>
      <c r="AB25" s="91">
        <v>0</v>
      </c>
      <c r="AC25" s="90">
        <v>0</v>
      </c>
      <c r="AD25" s="51"/>
      <c r="AE25" s="91">
        <v>0</v>
      </c>
      <c r="AF25" s="91">
        <v>0</v>
      </c>
      <c r="AG25" s="91">
        <v>0</v>
      </c>
      <c r="AH25" s="90">
        <v>0</v>
      </c>
      <c r="AI25" s="62"/>
      <c r="AJ25" s="62"/>
      <c r="AK25" s="62"/>
      <c r="AL25" s="62"/>
      <c r="AM25" s="62"/>
      <c r="AN25" s="62"/>
      <c r="AO25" s="62"/>
      <c r="AP25" s="62"/>
      <c r="AQ25" s="62"/>
      <c r="AR25" s="86" t="s">
        <v>34</v>
      </c>
      <c r="AS25" s="86" t="s">
        <v>246</v>
      </c>
      <c r="AT25" s="62">
        <f t="shared" si="0"/>
        <v>54905.764439999992</v>
      </c>
      <c r="AU25" s="62">
        <f t="shared" si="1"/>
        <v>56332.290149999993</v>
      </c>
      <c r="AV25" s="62">
        <f t="shared" si="2"/>
        <v>61450.159299999992</v>
      </c>
      <c r="BJ25" s="88" t="s">
        <v>47</v>
      </c>
      <c r="BK25" s="88" t="s">
        <v>75</v>
      </c>
      <c r="BL25" s="87">
        <v>3</v>
      </c>
      <c r="BM25" s="88" t="s">
        <v>50</v>
      </c>
      <c r="BN25" s="88" t="s">
        <v>75</v>
      </c>
      <c r="BO25" s="87">
        <v>1</v>
      </c>
      <c r="BP25" s="88" t="s">
        <v>56</v>
      </c>
      <c r="BQ25" s="88" t="s">
        <v>75</v>
      </c>
      <c r="BR25" s="87">
        <v>13</v>
      </c>
      <c r="BS25" s="103" t="s">
        <v>222</v>
      </c>
      <c r="BT25" s="104">
        <v>202.28</v>
      </c>
      <c r="BU25" s="103" t="s">
        <v>100</v>
      </c>
      <c r="BV25" s="104">
        <v>2286.04</v>
      </c>
      <c r="BW25" s="103" t="s">
        <v>114</v>
      </c>
      <c r="BX25" s="104">
        <v>2591.9700000000003</v>
      </c>
      <c r="BY25" s="73"/>
      <c r="BZ25" s="74"/>
      <c r="CA25" s="28"/>
    </row>
    <row r="26" spans="1:82" ht="12" customHeight="1" x14ac:dyDescent="0.2">
      <c r="A26" s="86" t="s">
        <v>34</v>
      </c>
      <c r="B26" s="86" t="s">
        <v>247</v>
      </c>
      <c r="C26" s="51">
        <v>78</v>
      </c>
      <c r="D26" s="91">
        <v>40110.06</v>
      </c>
      <c r="E26" s="91">
        <v>29204.68</v>
      </c>
      <c r="F26" s="91">
        <v>45865.98</v>
      </c>
      <c r="G26" s="90">
        <v>115180.72</v>
      </c>
      <c r="H26" s="51">
        <v>75</v>
      </c>
      <c r="I26" s="91">
        <v>40785</v>
      </c>
      <c r="J26" s="91">
        <v>9904.36</v>
      </c>
      <c r="K26" s="91">
        <v>37181.46</v>
      </c>
      <c r="L26" s="90">
        <v>87870.82</v>
      </c>
      <c r="M26" s="51">
        <v>80</v>
      </c>
      <c r="N26" s="91">
        <v>68919.710000000094</v>
      </c>
      <c r="O26" s="91">
        <v>9878.6900000000096</v>
      </c>
      <c r="P26" s="91">
        <v>42371.24</v>
      </c>
      <c r="Q26" s="90">
        <v>121169.64</v>
      </c>
      <c r="R26" s="86" t="s">
        <v>34</v>
      </c>
      <c r="S26" s="86" t="s">
        <v>254</v>
      </c>
      <c r="T26" s="51">
        <v>3</v>
      </c>
      <c r="U26" s="91">
        <v>252.16</v>
      </c>
      <c r="V26" s="91">
        <v>241.06</v>
      </c>
      <c r="W26" s="91">
        <v>1880.45</v>
      </c>
      <c r="X26" s="90">
        <v>2373.67</v>
      </c>
      <c r="Y26" s="51">
        <v>1</v>
      </c>
      <c r="Z26" s="91">
        <v>101.03</v>
      </c>
      <c r="AA26" s="91">
        <v>0</v>
      </c>
      <c r="AB26" s="91">
        <v>0</v>
      </c>
      <c r="AC26" s="90">
        <v>101.03</v>
      </c>
      <c r="AD26" s="51">
        <v>1</v>
      </c>
      <c r="AE26" s="91">
        <v>43.3</v>
      </c>
      <c r="AF26" s="91">
        <v>0</v>
      </c>
      <c r="AG26" s="91">
        <v>0</v>
      </c>
      <c r="AH26" s="90">
        <v>43.3</v>
      </c>
      <c r="AI26" s="62"/>
      <c r="AJ26" s="62"/>
      <c r="AK26" s="62"/>
      <c r="AL26" s="62"/>
      <c r="AM26" s="62"/>
      <c r="AN26" s="62"/>
      <c r="AO26" s="62"/>
      <c r="AP26" s="62"/>
      <c r="AQ26" s="62"/>
      <c r="AR26" s="86" t="s">
        <v>34</v>
      </c>
      <c r="AS26" s="86" t="s">
        <v>247</v>
      </c>
      <c r="AT26" s="62">
        <f t="shared" si="0"/>
        <v>15736.92402</v>
      </c>
      <c r="AU26" s="62">
        <f t="shared" si="1"/>
        <v>12021.976619999999</v>
      </c>
      <c r="AV26" s="62">
        <f t="shared" si="2"/>
        <v>13970.361190000001</v>
      </c>
      <c r="BJ26" s="88" t="s">
        <v>48</v>
      </c>
      <c r="BK26" s="88" t="s">
        <v>75</v>
      </c>
      <c r="BL26" s="87">
        <v>2</v>
      </c>
      <c r="BM26" s="88" t="s">
        <v>52</v>
      </c>
      <c r="BN26" s="88" t="s">
        <v>75</v>
      </c>
      <c r="BO26" s="87">
        <v>27</v>
      </c>
      <c r="BP26" s="88" t="s">
        <v>57</v>
      </c>
      <c r="BQ26" s="88" t="s">
        <v>75</v>
      </c>
      <c r="BR26" s="87">
        <v>1</v>
      </c>
      <c r="BS26" s="103" t="s">
        <v>91</v>
      </c>
      <c r="BT26" s="104">
        <v>12698.47</v>
      </c>
      <c r="BU26" s="103" t="s">
        <v>120</v>
      </c>
      <c r="BV26" s="104">
        <v>99798.3</v>
      </c>
      <c r="BW26" s="103" t="s">
        <v>108</v>
      </c>
      <c r="BX26" s="104">
        <v>7670.27</v>
      </c>
    </row>
    <row r="27" spans="1:82" ht="12" customHeight="1" x14ac:dyDescent="0.2">
      <c r="A27" s="86" t="s">
        <v>34</v>
      </c>
      <c r="B27" s="86" t="s">
        <v>248</v>
      </c>
      <c r="C27" s="51">
        <v>3</v>
      </c>
      <c r="D27" s="91">
        <v>262.7</v>
      </c>
      <c r="E27" s="91">
        <v>245.52</v>
      </c>
      <c r="F27" s="91">
        <v>2957.9</v>
      </c>
      <c r="G27" s="90">
        <v>3466.12</v>
      </c>
      <c r="H27" s="51">
        <v>3</v>
      </c>
      <c r="I27" s="91">
        <v>263.25</v>
      </c>
      <c r="J27" s="91">
        <v>172.27</v>
      </c>
      <c r="K27" s="91">
        <v>2777.72</v>
      </c>
      <c r="L27" s="90">
        <v>3213.24</v>
      </c>
      <c r="M27" s="51">
        <v>6</v>
      </c>
      <c r="N27" s="91">
        <v>501.58</v>
      </c>
      <c r="O27" s="91">
        <v>174.25</v>
      </c>
      <c r="P27" s="91">
        <v>2842.49</v>
      </c>
      <c r="Q27" s="90">
        <v>3518.32</v>
      </c>
      <c r="R27" s="86" t="s">
        <v>34</v>
      </c>
      <c r="S27" s="86" t="s">
        <v>257</v>
      </c>
      <c r="T27" s="51"/>
      <c r="U27" s="91"/>
      <c r="V27" s="91"/>
      <c r="W27" s="91"/>
      <c r="X27" s="90"/>
      <c r="Y27" s="51"/>
      <c r="Z27" s="91">
        <v>0</v>
      </c>
      <c r="AA27" s="91">
        <v>0</v>
      </c>
      <c r="AB27" s="91">
        <v>0</v>
      </c>
      <c r="AC27" s="90">
        <v>0</v>
      </c>
      <c r="AD27" s="51"/>
      <c r="AE27" s="91"/>
      <c r="AF27" s="91"/>
      <c r="AG27" s="91"/>
      <c r="AH27" s="90"/>
      <c r="AI27" s="62"/>
      <c r="AJ27" s="62"/>
      <c r="AK27" s="62"/>
      <c r="AL27" s="62"/>
      <c r="AM27" s="62"/>
      <c r="AN27" s="62"/>
      <c r="AO27" s="62"/>
      <c r="AP27" s="62"/>
      <c r="AQ27" s="62"/>
      <c r="AR27" s="86" t="s">
        <v>34</v>
      </c>
      <c r="AS27" s="86" t="s">
        <v>248</v>
      </c>
      <c r="AT27" s="62">
        <f t="shared" si="0"/>
        <v>874.50405999999998</v>
      </c>
      <c r="AU27" s="62">
        <f t="shared" si="1"/>
        <v>817.82608999999991</v>
      </c>
      <c r="AV27" s="62">
        <f t="shared" si="2"/>
        <v>840.48263999999983</v>
      </c>
      <c r="BJ27" s="88" t="s">
        <v>49</v>
      </c>
      <c r="BK27" s="88" t="s">
        <v>75</v>
      </c>
      <c r="BL27" s="87">
        <v>3</v>
      </c>
      <c r="BM27" s="88" t="s">
        <v>53</v>
      </c>
      <c r="BN27" s="88" t="s">
        <v>75</v>
      </c>
      <c r="BO27" s="87">
        <v>24</v>
      </c>
      <c r="BP27" s="88" t="s">
        <v>58</v>
      </c>
      <c r="BQ27" s="88" t="s">
        <v>75</v>
      </c>
      <c r="BR27" s="87">
        <v>3</v>
      </c>
      <c r="BS27" s="103" t="s">
        <v>100</v>
      </c>
      <c r="BT27" s="104">
        <v>2154.3599999999997</v>
      </c>
      <c r="BU27" s="103" t="s">
        <v>101</v>
      </c>
      <c r="BV27" s="104">
        <v>38070.58</v>
      </c>
      <c r="BW27" s="103" t="s">
        <v>273</v>
      </c>
      <c r="BX27" s="104">
        <v>36.49</v>
      </c>
    </row>
    <row r="28" spans="1:82" ht="12" customHeight="1" x14ac:dyDescent="0.2">
      <c r="A28" s="86" t="s">
        <v>34</v>
      </c>
      <c r="B28" s="86" t="s">
        <v>249</v>
      </c>
      <c r="C28" s="51">
        <v>50</v>
      </c>
      <c r="D28" s="91">
        <v>13050.16</v>
      </c>
      <c r="E28" s="91">
        <v>3614.09</v>
      </c>
      <c r="F28" s="91">
        <v>32151.25</v>
      </c>
      <c r="G28" s="90">
        <v>48815.5</v>
      </c>
      <c r="H28" s="51">
        <v>41</v>
      </c>
      <c r="I28" s="91">
        <v>8789.58</v>
      </c>
      <c r="J28" s="91">
        <v>4853.82</v>
      </c>
      <c r="K28" s="91">
        <v>33352.61</v>
      </c>
      <c r="L28" s="90">
        <v>46996.01</v>
      </c>
      <c r="M28" s="51">
        <v>57</v>
      </c>
      <c r="N28" s="91">
        <v>12603.62</v>
      </c>
      <c r="O28" s="91">
        <v>3657.67</v>
      </c>
      <c r="P28" s="91">
        <v>32836.75</v>
      </c>
      <c r="Q28" s="90">
        <v>49098.04</v>
      </c>
      <c r="R28" s="86" t="s">
        <v>34</v>
      </c>
      <c r="S28" s="86" t="s">
        <v>258</v>
      </c>
      <c r="T28" s="51"/>
      <c r="U28" s="91">
        <v>0</v>
      </c>
      <c r="V28" s="91">
        <v>0</v>
      </c>
      <c r="W28" s="91">
        <v>0</v>
      </c>
      <c r="X28" s="90">
        <v>0</v>
      </c>
      <c r="Y28" s="51"/>
      <c r="Z28" s="91">
        <v>0</v>
      </c>
      <c r="AA28" s="91">
        <v>0</v>
      </c>
      <c r="AB28" s="91">
        <v>0</v>
      </c>
      <c r="AC28" s="90">
        <v>0</v>
      </c>
      <c r="AD28" s="51">
        <v>2</v>
      </c>
      <c r="AE28" s="91">
        <v>1279.48</v>
      </c>
      <c r="AF28" s="91">
        <v>0</v>
      </c>
      <c r="AG28" s="91">
        <v>0</v>
      </c>
      <c r="AH28" s="90">
        <v>1279.48</v>
      </c>
      <c r="AI28" s="62"/>
      <c r="AJ28" s="62"/>
      <c r="AK28" s="62"/>
      <c r="AL28" s="62"/>
      <c r="AM28" s="62"/>
      <c r="AN28" s="62"/>
      <c r="AO28" s="62"/>
      <c r="AP28" s="62"/>
      <c r="AQ28" s="62"/>
      <c r="AR28" s="86" t="s">
        <v>34</v>
      </c>
      <c r="AS28" s="86" t="s">
        <v>249</v>
      </c>
      <c r="AT28" s="62">
        <f t="shared" si="0"/>
        <v>9728.2014799999979</v>
      </c>
      <c r="AU28" s="62">
        <f t="shared" si="1"/>
        <v>10085.328229999999</v>
      </c>
      <c r="AV28" s="62">
        <f t="shared" si="2"/>
        <v>9921.9118799999997</v>
      </c>
      <c r="BJ28" s="88" t="s">
        <v>50</v>
      </c>
      <c r="BK28" s="88" t="s">
        <v>75</v>
      </c>
      <c r="BL28" s="87">
        <v>2</v>
      </c>
      <c r="BM28" s="88" t="s">
        <v>54</v>
      </c>
      <c r="BN28" s="88" t="s">
        <v>75</v>
      </c>
      <c r="BO28" s="87">
        <v>4</v>
      </c>
      <c r="BP28" s="88" t="s">
        <v>60</v>
      </c>
      <c r="BQ28" s="88" t="s">
        <v>75</v>
      </c>
      <c r="BR28" s="87">
        <v>3</v>
      </c>
      <c r="BS28" s="103" t="s">
        <v>120</v>
      </c>
      <c r="BT28" s="104">
        <v>4798.9399999999996</v>
      </c>
      <c r="BU28" s="103" t="s">
        <v>106</v>
      </c>
      <c r="BV28" s="104">
        <v>53675.040000000008</v>
      </c>
      <c r="BW28" s="103" t="s">
        <v>102</v>
      </c>
      <c r="BX28" s="104">
        <v>2000.1299999999999</v>
      </c>
    </row>
    <row r="29" spans="1:82" ht="12" customHeight="1" x14ac:dyDescent="0.2">
      <c r="A29" s="86" t="s">
        <v>34</v>
      </c>
      <c r="B29" s="86" t="s">
        <v>271</v>
      </c>
      <c r="C29" s="51">
        <v>1</v>
      </c>
      <c r="D29" s="91">
        <v>20.350000000000001</v>
      </c>
      <c r="E29" s="91">
        <v>0</v>
      </c>
      <c r="F29" s="91">
        <v>0</v>
      </c>
      <c r="G29" s="90">
        <v>20.350000000000001</v>
      </c>
      <c r="H29" s="51">
        <v>1</v>
      </c>
      <c r="I29" s="91">
        <v>18.8</v>
      </c>
      <c r="J29" s="91">
        <v>0</v>
      </c>
      <c r="K29" s="91">
        <v>0</v>
      </c>
      <c r="L29" s="90">
        <v>18.8</v>
      </c>
      <c r="M29" s="51"/>
      <c r="N29" s="91">
        <v>0</v>
      </c>
      <c r="O29" s="91">
        <v>0</v>
      </c>
      <c r="P29" s="91">
        <v>0</v>
      </c>
      <c r="Q29" s="90">
        <v>0</v>
      </c>
      <c r="R29" s="86" t="s">
        <v>75</v>
      </c>
      <c r="S29" s="86" t="s">
        <v>229</v>
      </c>
      <c r="T29" s="51">
        <v>589</v>
      </c>
      <c r="U29" s="91">
        <v>38253.11</v>
      </c>
      <c r="V29" s="91">
        <v>44977.29</v>
      </c>
      <c r="W29" s="91">
        <v>238476.84</v>
      </c>
      <c r="X29" s="90">
        <v>321707.24</v>
      </c>
      <c r="Y29" s="51">
        <v>498</v>
      </c>
      <c r="Z29" s="91">
        <v>40435.75</v>
      </c>
      <c r="AA29" s="91">
        <v>28924.97</v>
      </c>
      <c r="AB29" s="91">
        <v>179635.17</v>
      </c>
      <c r="AC29" s="90">
        <v>248995.89</v>
      </c>
      <c r="AD29" s="51">
        <v>522</v>
      </c>
      <c r="AE29" s="91">
        <v>57521.5</v>
      </c>
      <c r="AF29" s="91">
        <v>22647.33</v>
      </c>
      <c r="AG29" s="91">
        <v>149178.89000000001</v>
      </c>
      <c r="AH29" s="90">
        <v>229347.72</v>
      </c>
      <c r="AI29" s="62"/>
      <c r="AJ29" s="62"/>
      <c r="AK29" s="62"/>
      <c r="AL29" s="62"/>
      <c r="AM29" s="62"/>
      <c r="AN29" s="62"/>
      <c r="AO29" s="62"/>
      <c r="AP29" s="62"/>
      <c r="AQ29" s="62"/>
      <c r="AR29" s="86" t="s">
        <v>34</v>
      </c>
      <c r="AS29" s="86" t="s">
        <v>271</v>
      </c>
      <c r="AT29" s="62">
        <f t="shared" si="0"/>
        <v>0.32560000000000006</v>
      </c>
      <c r="AU29" s="62">
        <f t="shared" si="1"/>
        <v>0.30080000000000001</v>
      </c>
      <c r="AV29" s="62">
        <f t="shared" si="2"/>
        <v>0</v>
      </c>
      <c r="BJ29" s="88" t="s">
        <v>52</v>
      </c>
      <c r="BK29" s="88" t="s">
        <v>75</v>
      </c>
      <c r="BL29" s="87">
        <v>12</v>
      </c>
      <c r="BM29" s="88" t="s">
        <v>55</v>
      </c>
      <c r="BN29" s="88" t="s">
        <v>75</v>
      </c>
      <c r="BO29" s="87">
        <v>10</v>
      </c>
      <c r="BP29" s="88" t="s">
        <v>61</v>
      </c>
      <c r="BQ29" s="88" t="s">
        <v>75</v>
      </c>
      <c r="BR29" s="87">
        <v>18</v>
      </c>
      <c r="BS29" s="103" t="s">
        <v>101</v>
      </c>
      <c r="BT29" s="104">
        <v>10706.23</v>
      </c>
      <c r="BU29" s="103" t="s">
        <v>110</v>
      </c>
      <c r="BV29" s="104">
        <v>13076.06</v>
      </c>
      <c r="BW29" s="103" t="s">
        <v>180</v>
      </c>
      <c r="BX29" s="104">
        <v>1742.6</v>
      </c>
    </row>
    <row r="30" spans="1:82" ht="12" customHeight="1" x14ac:dyDescent="0.2">
      <c r="A30" s="86" t="s">
        <v>34</v>
      </c>
      <c r="B30" s="86" t="s">
        <v>250</v>
      </c>
      <c r="C30" s="51">
        <v>12</v>
      </c>
      <c r="D30" s="91">
        <v>3301.51</v>
      </c>
      <c r="E30" s="91">
        <v>2005.66</v>
      </c>
      <c r="F30" s="91">
        <v>13285.8</v>
      </c>
      <c r="G30" s="90">
        <v>18592.97</v>
      </c>
      <c r="H30" s="51">
        <v>13</v>
      </c>
      <c r="I30" s="91">
        <v>5364.72</v>
      </c>
      <c r="J30" s="91">
        <v>2983.8</v>
      </c>
      <c r="K30" s="91">
        <v>11826.47</v>
      </c>
      <c r="L30" s="90">
        <v>20174.990000000002</v>
      </c>
      <c r="M30" s="51">
        <v>14</v>
      </c>
      <c r="N30" s="91">
        <v>5314.29</v>
      </c>
      <c r="O30" s="91">
        <v>2854.31</v>
      </c>
      <c r="P30" s="91">
        <v>13670.54</v>
      </c>
      <c r="Q30" s="90">
        <v>21839.14</v>
      </c>
      <c r="R30" s="86" t="s">
        <v>75</v>
      </c>
      <c r="S30" s="86" t="s">
        <v>230</v>
      </c>
      <c r="T30" s="51">
        <v>1008</v>
      </c>
      <c r="U30" s="91">
        <v>81855.850000000093</v>
      </c>
      <c r="V30" s="91">
        <v>60638.51</v>
      </c>
      <c r="W30" s="91">
        <v>330033</v>
      </c>
      <c r="X30" s="90">
        <v>472527.35999999999</v>
      </c>
      <c r="Y30" s="51">
        <v>858</v>
      </c>
      <c r="Z30" s="91">
        <v>64276.02</v>
      </c>
      <c r="AA30" s="91">
        <v>53391.059999999903</v>
      </c>
      <c r="AB30" s="91">
        <v>252124.57</v>
      </c>
      <c r="AC30" s="90">
        <v>369791.65</v>
      </c>
      <c r="AD30" s="51">
        <v>907</v>
      </c>
      <c r="AE30" s="91">
        <v>92435.72</v>
      </c>
      <c r="AF30" s="91">
        <v>65324.62</v>
      </c>
      <c r="AG30" s="91">
        <v>205855.08</v>
      </c>
      <c r="AH30" s="90">
        <v>363615.42</v>
      </c>
      <c r="AI30" s="62"/>
      <c r="AJ30" s="62"/>
      <c r="AK30" s="62"/>
      <c r="AL30" s="62"/>
      <c r="AM30" s="62"/>
      <c r="AN30" s="62"/>
      <c r="AO30" s="62"/>
      <c r="AP30" s="62"/>
      <c r="AQ30" s="62"/>
      <c r="AR30" s="86" t="s">
        <v>34</v>
      </c>
      <c r="AS30" s="86" t="s">
        <v>250</v>
      </c>
      <c r="AT30" s="62">
        <f t="shared" si="0"/>
        <v>4018.7769399999997</v>
      </c>
      <c r="AU30" s="62">
        <f t="shared" si="1"/>
        <v>3691.6647499999999</v>
      </c>
      <c r="AV30" s="62">
        <f t="shared" si="2"/>
        <v>4215.6362300000001</v>
      </c>
      <c r="BJ30" s="88" t="s">
        <v>53</v>
      </c>
      <c r="BK30" s="88" t="s">
        <v>75</v>
      </c>
      <c r="BL30" s="87">
        <v>19</v>
      </c>
      <c r="BM30" s="88" t="s">
        <v>56</v>
      </c>
      <c r="BN30" s="88" t="s">
        <v>75</v>
      </c>
      <c r="BO30" s="87">
        <v>14</v>
      </c>
      <c r="BP30" s="88" t="s">
        <v>62</v>
      </c>
      <c r="BQ30" s="88" t="s">
        <v>75</v>
      </c>
      <c r="BR30" s="87">
        <v>5</v>
      </c>
      <c r="BS30" s="103" t="s">
        <v>112</v>
      </c>
      <c r="BT30" s="104">
        <v>2415.6799999999998</v>
      </c>
      <c r="BU30" s="103" t="s">
        <v>92</v>
      </c>
      <c r="BV30" s="104">
        <v>8175.119999999999</v>
      </c>
      <c r="BW30" s="103" t="s">
        <v>121</v>
      </c>
      <c r="BX30" s="104">
        <v>48.8</v>
      </c>
    </row>
    <row r="31" spans="1:82" ht="12" customHeight="1" x14ac:dyDescent="0.2">
      <c r="A31" s="86" t="s">
        <v>34</v>
      </c>
      <c r="B31" s="86" t="s">
        <v>251</v>
      </c>
      <c r="C31" s="51">
        <v>9</v>
      </c>
      <c r="D31" s="91">
        <v>4186.32</v>
      </c>
      <c r="E31" s="91">
        <v>1962.71</v>
      </c>
      <c r="F31" s="91">
        <v>578.35</v>
      </c>
      <c r="G31" s="90">
        <v>6727.38</v>
      </c>
      <c r="H31" s="51">
        <v>12</v>
      </c>
      <c r="I31" s="91">
        <v>5551.96</v>
      </c>
      <c r="J31" s="91">
        <v>3528.3</v>
      </c>
      <c r="K31" s="91">
        <v>2105.84</v>
      </c>
      <c r="L31" s="90">
        <v>11186.1</v>
      </c>
      <c r="M31" s="51">
        <v>10</v>
      </c>
      <c r="N31" s="91">
        <v>5199.03</v>
      </c>
      <c r="O31" s="91">
        <v>4586.96</v>
      </c>
      <c r="P31" s="91">
        <v>302.19</v>
      </c>
      <c r="Q31" s="90">
        <v>10088.18</v>
      </c>
      <c r="R31" s="86" t="s">
        <v>75</v>
      </c>
      <c r="S31" s="86" t="s">
        <v>231</v>
      </c>
      <c r="T31" s="51">
        <v>294</v>
      </c>
      <c r="U31" s="91">
        <v>17434.78</v>
      </c>
      <c r="V31" s="91">
        <v>18813.07</v>
      </c>
      <c r="W31" s="91">
        <v>163147.59</v>
      </c>
      <c r="X31" s="90">
        <v>199395.44</v>
      </c>
      <c r="Y31" s="51">
        <v>242</v>
      </c>
      <c r="Z31" s="91">
        <v>17096.3</v>
      </c>
      <c r="AA31" s="91">
        <v>16027.23</v>
      </c>
      <c r="AB31" s="91">
        <v>117716.78</v>
      </c>
      <c r="AC31" s="90">
        <v>150840.31</v>
      </c>
      <c r="AD31" s="51">
        <v>301</v>
      </c>
      <c r="AE31" s="91">
        <v>40086.81</v>
      </c>
      <c r="AF31" s="91">
        <v>13260.21</v>
      </c>
      <c r="AG31" s="91">
        <v>102038.85</v>
      </c>
      <c r="AH31" s="90">
        <v>155385.87</v>
      </c>
      <c r="AI31" s="62"/>
      <c r="AJ31" s="62"/>
      <c r="AK31" s="62"/>
      <c r="AL31" s="62"/>
      <c r="AM31" s="62"/>
      <c r="AN31" s="62"/>
      <c r="AO31" s="62"/>
      <c r="AP31" s="62"/>
      <c r="AQ31" s="62"/>
      <c r="AR31" s="86" t="s">
        <v>34</v>
      </c>
      <c r="AS31" s="86" t="s">
        <v>251</v>
      </c>
      <c r="AT31" s="62">
        <f t="shared" si="0"/>
        <v>357.77499999999998</v>
      </c>
      <c r="AU31" s="62">
        <f t="shared" si="1"/>
        <v>919.70201999999995</v>
      </c>
      <c r="AV31" s="62">
        <f t="shared" si="2"/>
        <v>459.49586999999997</v>
      </c>
      <c r="BJ31" s="88" t="s">
        <v>54</v>
      </c>
      <c r="BK31" s="88" t="s">
        <v>75</v>
      </c>
      <c r="BL31" s="87">
        <v>3</v>
      </c>
      <c r="BM31" s="88" t="s">
        <v>57</v>
      </c>
      <c r="BN31" s="88" t="s">
        <v>75</v>
      </c>
      <c r="BO31" s="87">
        <v>1</v>
      </c>
      <c r="BP31" s="88" t="s">
        <v>63</v>
      </c>
      <c r="BQ31" s="88" t="s">
        <v>75</v>
      </c>
      <c r="BR31" s="87">
        <v>1</v>
      </c>
      <c r="BS31" s="103" t="s">
        <v>106</v>
      </c>
      <c r="BT31" s="104">
        <v>16154.85</v>
      </c>
      <c r="BU31" s="103" t="s">
        <v>114</v>
      </c>
      <c r="BV31" s="104">
        <v>79.64</v>
      </c>
      <c r="BW31" s="103" t="s">
        <v>109</v>
      </c>
      <c r="BX31" s="104">
        <v>15464.26</v>
      </c>
    </row>
    <row r="32" spans="1:82" ht="12" customHeight="1" x14ac:dyDescent="0.2">
      <c r="A32" s="86" t="s">
        <v>34</v>
      </c>
      <c r="B32" s="86" t="s">
        <v>252</v>
      </c>
      <c r="C32" s="51">
        <v>19</v>
      </c>
      <c r="D32" s="91">
        <v>3342.68</v>
      </c>
      <c r="E32" s="91">
        <v>1741.95</v>
      </c>
      <c r="F32" s="91">
        <v>3649.65</v>
      </c>
      <c r="G32" s="90">
        <v>8734.2800000000007</v>
      </c>
      <c r="H32" s="51">
        <v>26</v>
      </c>
      <c r="I32" s="91">
        <v>7346.3</v>
      </c>
      <c r="J32" s="91">
        <v>1772.62</v>
      </c>
      <c r="K32" s="91">
        <v>2758.75</v>
      </c>
      <c r="L32" s="90">
        <v>11877.67</v>
      </c>
      <c r="M32" s="51">
        <v>27</v>
      </c>
      <c r="N32" s="91">
        <v>7153.16</v>
      </c>
      <c r="O32" s="91">
        <v>3646.71</v>
      </c>
      <c r="P32" s="91">
        <v>2190.25</v>
      </c>
      <c r="Q32" s="90">
        <v>12990.12</v>
      </c>
      <c r="R32" s="86" t="s">
        <v>75</v>
      </c>
      <c r="S32" s="86" t="s">
        <v>232</v>
      </c>
      <c r="T32" s="51">
        <v>395</v>
      </c>
      <c r="U32" s="91">
        <v>35363.61</v>
      </c>
      <c r="V32" s="91">
        <v>30261.57</v>
      </c>
      <c r="W32" s="91">
        <v>178966.39</v>
      </c>
      <c r="X32" s="90">
        <v>244591.57</v>
      </c>
      <c r="Y32" s="51">
        <v>345</v>
      </c>
      <c r="Z32" s="91">
        <v>38787.21</v>
      </c>
      <c r="AA32" s="91">
        <v>22567.48</v>
      </c>
      <c r="AB32" s="91">
        <v>121526.59</v>
      </c>
      <c r="AC32" s="90">
        <v>182881.28</v>
      </c>
      <c r="AD32" s="51">
        <v>351</v>
      </c>
      <c r="AE32" s="91">
        <v>38289.49</v>
      </c>
      <c r="AF32" s="91">
        <v>26422.27</v>
      </c>
      <c r="AG32" s="91">
        <v>96096.74</v>
      </c>
      <c r="AH32" s="90">
        <v>160808.5</v>
      </c>
      <c r="AI32" s="62"/>
      <c r="AJ32" s="62"/>
      <c r="AK32" s="62"/>
      <c r="AL32" s="62"/>
      <c r="AM32" s="62"/>
      <c r="AN32" s="62"/>
      <c r="AO32" s="62"/>
      <c r="AP32" s="62"/>
      <c r="AQ32" s="62"/>
      <c r="AR32" s="86" t="s">
        <v>34</v>
      </c>
      <c r="AS32" s="86" t="s">
        <v>252</v>
      </c>
      <c r="AT32" s="62">
        <f t="shared" si="0"/>
        <v>1217.9745800000001</v>
      </c>
      <c r="AU32" s="62">
        <f t="shared" si="1"/>
        <v>1026.49461</v>
      </c>
      <c r="AV32" s="62">
        <f t="shared" si="2"/>
        <v>977.17553999999996</v>
      </c>
      <c r="BJ32" s="88" t="s">
        <v>55</v>
      </c>
      <c r="BK32" s="88" t="s">
        <v>75</v>
      </c>
      <c r="BL32" s="87">
        <v>6</v>
      </c>
      <c r="BM32" s="88" t="s">
        <v>58</v>
      </c>
      <c r="BN32" s="88" t="s">
        <v>75</v>
      </c>
      <c r="BO32" s="87">
        <v>12</v>
      </c>
      <c r="BP32" s="88" t="s">
        <v>64</v>
      </c>
      <c r="BQ32" s="88" t="s">
        <v>75</v>
      </c>
      <c r="BR32" s="87">
        <v>11</v>
      </c>
      <c r="BS32" s="103" t="s">
        <v>110</v>
      </c>
      <c r="BT32" s="104">
        <v>2756.4700000000003</v>
      </c>
      <c r="BU32" s="103" t="s">
        <v>108</v>
      </c>
      <c r="BV32" s="104">
        <v>21103.749999999993</v>
      </c>
      <c r="BW32" s="103" t="s">
        <v>123</v>
      </c>
      <c r="BX32" s="104">
        <v>5036.7299999999996</v>
      </c>
    </row>
    <row r="33" spans="1:82" ht="12" customHeight="1" x14ac:dyDescent="0.2">
      <c r="A33" s="86" t="s">
        <v>34</v>
      </c>
      <c r="B33" s="86" t="s">
        <v>253</v>
      </c>
      <c r="C33" s="51">
        <v>2</v>
      </c>
      <c r="D33" s="91">
        <v>69.94</v>
      </c>
      <c r="E33" s="91">
        <v>106.74</v>
      </c>
      <c r="F33" s="91">
        <v>3117.39</v>
      </c>
      <c r="G33" s="90">
        <v>3294.07</v>
      </c>
      <c r="H33" s="51">
        <v>3</v>
      </c>
      <c r="I33" s="91">
        <v>95.76</v>
      </c>
      <c r="J33" s="91">
        <v>69.94</v>
      </c>
      <c r="K33" s="91">
        <v>3224.13</v>
      </c>
      <c r="L33" s="90">
        <v>3389.83</v>
      </c>
      <c r="M33" s="51">
        <v>2</v>
      </c>
      <c r="N33" s="91">
        <v>28.71</v>
      </c>
      <c r="O33" s="91">
        <v>13.7</v>
      </c>
      <c r="P33" s="91">
        <v>82.33</v>
      </c>
      <c r="Q33" s="90">
        <v>124.74</v>
      </c>
      <c r="R33" s="86" t="s">
        <v>75</v>
      </c>
      <c r="S33" s="86" t="s">
        <v>233</v>
      </c>
      <c r="T33" s="51">
        <v>41</v>
      </c>
      <c r="U33" s="91">
        <v>3022.86</v>
      </c>
      <c r="V33" s="91">
        <v>2527.2800000000002</v>
      </c>
      <c r="W33" s="91">
        <v>17893.13</v>
      </c>
      <c r="X33" s="90">
        <v>23443.27</v>
      </c>
      <c r="Y33" s="51">
        <v>44</v>
      </c>
      <c r="Z33" s="91">
        <v>3879.02</v>
      </c>
      <c r="AA33" s="91">
        <v>2457.61</v>
      </c>
      <c r="AB33" s="91">
        <v>17813.13</v>
      </c>
      <c r="AC33" s="90">
        <v>24149.759999999998</v>
      </c>
      <c r="AD33" s="51">
        <v>41</v>
      </c>
      <c r="AE33" s="91">
        <v>3456.35</v>
      </c>
      <c r="AF33" s="91">
        <v>2698.38</v>
      </c>
      <c r="AG33" s="91">
        <v>16110.39</v>
      </c>
      <c r="AH33" s="90">
        <v>22265.119999999999</v>
      </c>
      <c r="AI33" s="62"/>
      <c r="AJ33" s="62"/>
      <c r="AK33" s="62"/>
      <c r="AL33" s="62"/>
      <c r="AM33" s="62"/>
      <c r="AN33" s="62"/>
      <c r="AO33" s="62"/>
      <c r="AP33" s="62"/>
      <c r="AQ33" s="62"/>
      <c r="AR33" s="86" t="s">
        <v>34</v>
      </c>
      <c r="AS33" s="86" t="s">
        <v>253</v>
      </c>
      <c r="AT33" s="62">
        <f t="shared" si="0"/>
        <v>908.76936999999987</v>
      </c>
      <c r="AU33" s="62">
        <f t="shared" si="1"/>
        <v>937.71195</v>
      </c>
      <c r="AV33" s="62">
        <f t="shared" si="2"/>
        <v>25.115829999999999</v>
      </c>
      <c r="BJ33" s="88" t="s">
        <v>56</v>
      </c>
      <c r="BK33" s="88" t="s">
        <v>75</v>
      </c>
      <c r="BL33" s="87">
        <v>14</v>
      </c>
      <c r="BM33" s="88" t="s">
        <v>60</v>
      </c>
      <c r="BN33" s="88" t="s">
        <v>75</v>
      </c>
      <c r="BO33" s="87">
        <v>1</v>
      </c>
      <c r="BP33" s="88" t="s">
        <v>67</v>
      </c>
      <c r="BQ33" s="88" t="s">
        <v>75</v>
      </c>
      <c r="BR33" s="87">
        <v>2</v>
      </c>
      <c r="BS33" s="103" t="s">
        <v>114</v>
      </c>
      <c r="BT33" s="104">
        <v>1182.93</v>
      </c>
      <c r="BU33" s="103" t="s">
        <v>273</v>
      </c>
      <c r="BV33" s="104">
        <v>5515.53</v>
      </c>
      <c r="BW33" s="103" t="s">
        <v>103</v>
      </c>
      <c r="BX33" s="104">
        <v>18964.11</v>
      </c>
    </row>
    <row r="34" spans="1:82" ht="12" customHeight="1" x14ac:dyDescent="0.2">
      <c r="A34" s="86" t="s">
        <v>34</v>
      </c>
      <c r="B34" s="86" t="s">
        <v>254</v>
      </c>
      <c r="C34" s="51">
        <v>14</v>
      </c>
      <c r="D34" s="91">
        <v>3874.1</v>
      </c>
      <c r="E34" s="91">
        <v>3163.9</v>
      </c>
      <c r="F34" s="91">
        <v>9004.18</v>
      </c>
      <c r="G34" s="90">
        <v>16042.18</v>
      </c>
      <c r="H34" s="51">
        <v>7</v>
      </c>
      <c r="I34" s="91">
        <v>2194.9499999999998</v>
      </c>
      <c r="J34" s="91">
        <v>1949.38</v>
      </c>
      <c r="K34" s="91">
        <v>7556.75</v>
      </c>
      <c r="L34" s="90">
        <v>11701.08</v>
      </c>
      <c r="M34" s="51">
        <v>9</v>
      </c>
      <c r="N34" s="91">
        <v>2898.46</v>
      </c>
      <c r="O34" s="91">
        <v>2057.15</v>
      </c>
      <c r="P34" s="91">
        <v>9375.4500000000007</v>
      </c>
      <c r="Q34" s="90">
        <v>14331.06</v>
      </c>
      <c r="R34" s="86" t="s">
        <v>75</v>
      </c>
      <c r="S34" s="86" t="s">
        <v>234</v>
      </c>
      <c r="T34" s="51">
        <v>13</v>
      </c>
      <c r="U34" s="91">
        <v>1347.46</v>
      </c>
      <c r="V34" s="91">
        <v>1359.94</v>
      </c>
      <c r="W34" s="91">
        <v>4851.08</v>
      </c>
      <c r="X34" s="90">
        <v>7558.48</v>
      </c>
      <c r="Y34" s="51">
        <v>11</v>
      </c>
      <c r="Z34" s="91">
        <v>1372.75</v>
      </c>
      <c r="AA34" s="91">
        <v>1195.8900000000001</v>
      </c>
      <c r="AB34" s="91">
        <v>4860.43</v>
      </c>
      <c r="AC34" s="90">
        <v>7429.07</v>
      </c>
      <c r="AD34" s="51">
        <v>10</v>
      </c>
      <c r="AE34" s="91">
        <v>1251.8499999999999</v>
      </c>
      <c r="AF34" s="91">
        <v>982.13</v>
      </c>
      <c r="AG34" s="91">
        <v>2254.65</v>
      </c>
      <c r="AH34" s="90">
        <v>4488.63</v>
      </c>
      <c r="AI34" s="62"/>
      <c r="AJ34" s="62"/>
      <c r="AK34" s="62"/>
      <c r="AL34" s="62"/>
      <c r="AM34" s="62"/>
      <c r="AN34" s="62"/>
      <c r="AO34" s="62"/>
      <c r="AP34" s="62"/>
      <c r="AQ34" s="62"/>
      <c r="AR34" s="86" t="s">
        <v>34</v>
      </c>
      <c r="AS34" s="86" t="s">
        <v>254</v>
      </c>
      <c r="AT34" s="62">
        <f t="shared" si="0"/>
        <v>2863.5193199999999</v>
      </c>
      <c r="AU34" s="62">
        <f t="shared" si="1"/>
        <v>2341.8308899999997</v>
      </c>
      <c r="AV34" s="62">
        <f t="shared" si="2"/>
        <v>2885.4808600000001</v>
      </c>
      <c r="BJ34" s="88" t="s">
        <v>57</v>
      </c>
      <c r="BK34" s="88" t="s">
        <v>75</v>
      </c>
      <c r="BL34" s="87">
        <v>2</v>
      </c>
      <c r="BM34" s="88" t="s">
        <v>61</v>
      </c>
      <c r="BN34" s="88" t="s">
        <v>75</v>
      </c>
      <c r="BO34" s="87">
        <v>22</v>
      </c>
      <c r="BP34" s="50" t="s">
        <v>68</v>
      </c>
      <c r="BQ34" s="50" t="s">
        <v>75</v>
      </c>
      <c r="BR34" s="51">
        <v>6</v>
      </c>
      <c r="BS34" s="103" t="s">
        <v>108</v>
      </c>
      <c r="BT34" s="104">
        <v>7622.93</v>
      </c>
      <c r="BU34" s="103" t="s">
        <v>102</v>
      </c>
      <c r="BV34" s="104">
        <v>87704.409999999989</v>
      </c>
      <c r="BW34" s="103" t="s">
        <v>132</v>
      </c>
      <c r="BX34" s="104">
        <v>3304.54</v>
      </c>
    </row>
    <row r="35" spans="1:82" ht="12" customHeight="1" x14ac:dyDescent="0.2">
      <c r="A35" s="86" t="s">
        <v>34</v>
      </c>
      <c r="B35" s="86" t="s">
        <v>255</v>
      </c>
      <c r="C35" s="51">
        <v>3</v>
      </c>
      <c r="D35" s="91">
        <v>142.88999999999999</v>
      </c>
      <c r="E35" s="91">
        <v>156.57</v>
      </c>
      <c r="F35" s="91">
        <v>343.41</v>
      </c>
      <c r="G35" s="90">
        <v>642.87</v>
      </c>
      <c r="H35" s="51">
        <v>4</v>
      </c>
      <c r="I35" s="91">
        <v>221.3</v>
      </c>
      <c r="J35" s="91">
        <v>222.47</v>
      </c>
      <c r="K35" s="91">
        <v>908.77</v>
      </c>
      <c r="L35" s="90">
        <v>1352.54</v>
      </c>
      <c r="M35" s="51">
        <v>2</v>
      </c>
      <c r="N35" s="91">
        <v>81.510000000000005</v>
      </c>
      <c r="O35" s="91">
        <v>82.07</v>
      </c>
      <c r="P35" s="91">
        <v>175.51</v>
      </c>
      <c r="Q35" s="90">
        <v>339.09</v>
      </c>
      <c r="R35" s="86" t="s">
        <v>75</v>
      </c>
      <c r="S35" s="86" t="s">
        <v>235</v>
      </c>
      <c r="T35" s="51">
        <v>227</v>
      </c>
      <c r="U35" s="91">
        <v>16058.46</v>
      </c>
      <c r="V35" s="91">
        <v>13148.72</v>
      </c>
      <c r="W35" s="91">
        <v>63681.49</v>
      </c>
      <c r="X35" s="90">
        <v>92888.67</v>
      </c>
      <c r="Y35" s="51">
        <v>200</v>
      </c>
      <c r="Z35" s="91">
        <v>15309.08</v>
      </c>
      <c r="AA35" s="91">
        <v>11447.31</v>
      </c>
      <c r="AB35" s="91">
        <v>62716.9</v>
      </c>
      <c r="AC35" s="90">
        <v>89473.29</v>
      </c>
      <c r="AD35" s="51">
        <v>200</v>
      </c>
      <c r="AE35" s="91">
        <v>18303.96</v>
      </c>
      <c r="AF35" s="91">
        <v>10563.99</v>
      </c>
      <c r="AG35" s="91">
        <v>63637.53</v>
      </c>
      <c r="AH35" s="90">
        <v>92505.48</v>
      </c>
      <c r="AI35" s="62"/>
      <c r="AJ35" s="62"/>
      <c r="AK35" s="62"/>
      <c r="AL35" s="62"/>
      <c r="AM35" s="62"/>
      <c r="AN35" s="62"/>
      <c r="AO35" s="62"/>
      <c r="AP35" s="62"/>
      <c r="AQ35" s="62"/>
      <c r="AR35" s="86" t="s">
        <v>34</v>
      </c>
      <c r="AS35" s="86" t="s">
        <v>255</v>
      </c>
      <c r="AT35" s="62">
        <f t="shared" si="0"/>
        <v>111.39564</v>
      </c>
      <c r="AU35" s="62">
        <f t="shared" si="1"/>
        <v>280.19093999999996</v>
      </c>
      <c r="AV35" s="62">
        <f t="shared" si="2"/>
        <v>57.196959999999997</v>
      </c>
      <c r="BJ35" s="88" t="s">
        <v>60</v>
      </c>
      <c r="BK35" s="88" t="s">
        <v>75</v>
      </c>
      <c r="BL35" s="87">
        <v>4</v>
      </c>
      <c r="BM35" s="88" t="s">
        <v>62</v>
      </c>
      <c r="BN35" s="88" t="s">
        <v>75</v>
      </c>
      <c r="BO35" s="87">
        <v>24</v>
      </c>
      <c r="BP35" s="50" t="s">
        <v>69</v>
      </c>
      <c r="BQ35" s="50" t="s">
        <v>75</v>
      </c>
      <c r="BR35" s="51">
        <v>88</v>
      </c>
      <c r="BS35" s="103" t="s">
        <v>273</v>
      </c>
      <c r="BT35" s="104">
        <v>10077.519999999999</v>
      </c>
      <c r="BU35" s="103" t="s">
        <v>180</v>
      </c>
      <c r="BV35" s="104">
        <v>1642.6299999999999</v>
      </c>
      <c r="BW35" s="103" t="s">
        <v>93</v>
      </c>
      <c r="BX35" s="104">
        <v>85165.720000000016</v>
      </c>
    </row>
    <row r="36" spans="1:82" ht="12" customHeight="1" x14ac:dyDescent="0.2">
      <c r="A36" s="86" t="s">
        <v>34</v>
      </c>
      <c r="B36" s="86" t="s">
        <v>256</v>
      </c>
      <c r="C36" s="51">
        <v>14</v>
      </c>
      <c r="D36" s="91">
        <v>9125.6200000000008</v>
      </c>
      <c r="E36" s="91">
        <v>73.459999999999994</v>
      </c>
      <c r="F36" s="91">
        <v>96.79</v>
      </c>
      <c r="G36" s="90">
        <v>9295.8700000000008</v>
      </c>
      <c r="H36" s="51">
        <v>4</v>
      </c>
      <c r="I36" s="91">
        <v>535.54</v>
      </c>
      <c r="J36" s="91">
        <v>0</v>
      </c>
      <c r="K36" s="91">
        <v>44.64</v>
      </c>
      <c r="L36" s="90">
        <v>580.17999999999995</v>
      </c>
      <c r="M36" s="51">
        <v>14</v>
      </c>
      <c r="N36" s="91">
        <v>1552.65</v>
      </c>
      <c r="O36" s="91">
        <v>345.69</v>
      </c>
      <c r="P36" s="91">
        <v>0</v>
      </c>
      <c r="Q36" s="90">
        <v>1898.34</v>
      </c>
      <c r="R36" s="86" t="s">
        <v>75</v>
      </c>
      <c r="S36" s="86" t="s">
        <v>236</v>
      </c>
      <c r="T36" s="51">
        <v>150</v>
      </c>
      <c r="U36" s="91">
        <v>12167.36</v>
      </c>
      <c r="V36" s="91">
        <v>9181.57</v>
      </c>
      <c r="W36" s="91">
        <v>60531.79</v>
      </c>
      <c r="X36" s="90">
        <v>81880.72</v>
      </c>
      <c r="Y36" s="51">
        <v>141</v>
      </c>
      <c r="Z36" s="91">
        <v>14292.59</v>
      </c>
      <c r="AA36" s="91">
        <v>8563.8799999999992</v>
      </c>
      <c r="AB36" s="91">
        <v>54583.43</v>
      </c>
      <c r="AC36" s="90">
        <v>77439.899999999994</v>
      </c>
      <c r="AD36" s="51">
        <v>146</v>
      </c>
      <c r="AE36" s="91">
        <v>14464.26</v>
      </c>
      <c r="AF36" s="91">
        <v>9494.7399999999907</v>
      </c>
      <c r="AG36" s="91">
        <v>51085.15</v>
      </c>
      <c r="AH36" s="90">
        <v>75044.149999999994</v>
      </c>
      <c r="AI36" s="62"/>
      <c r="AJ36" s="62"/>
      <c r="AK36" s="62"/>
      <c r="AL36" s="62"/>
      <c r="AM36" s="62"/>
      <c r="AN36" s="62"/>
      <c r="AO36" s="62"/>
      <c r="AP36" s="62"/>
      <c r="AQ36" s="62"/>
      <c r="AR36" s="86" t="s">
        <v>34</v>
      </c>
      <c r="AS36" s="86" t="s">
        <v>256</v>
      </c>
      <c r="AT36" s="62">
        <f t="shared" si="0"/>
        <v>178.61021000000002</v>
      </c>
      <c r="AU36" s="62">
        <f t="shared" si="1"/>
        <v>21.4696</v>
      </c>
      <c r="AV36" s="62">
        <f t="shared" si="2"/>
        <v>46.620869999999996</v>
      </c>
      <c r="BJ36" s="88" t="s">
        <v>61</v>
      </c>
      <c r="BK36" s="88" t="s">
        <v>75</v>
      </c>
      <c r="BL36" s="87">
        <v>11</v>
      </c>
      <c r="BM36" s="88" t="s">
        <v>63</v>
      </c>
      <c r="BN36" s="88" t="s">
        <v>75</v>
      </c>
      <c r="BO36" s="87">
        <v>2</v>
      </c>
      <c r="BP36" s="50" t="s">
        <v>70</v>
      </c>
      <c r="BQ36" s="50" t="s">
        <v>75</v>
      </c>
      <c r="BR36" s="51">
        <v>1</v>
      </c>
      <c r="BS36" s="103" t="s">
        <v>102</v>
      </c>
      <c r="BT36" s="104">
        <v>11449.859999999999</v>
      </c>
      <c r="BU36" s="103" t="s">
        <v>109</v>
      </c>
      <c r="BV36" s="104">
        <v>21990</v>
      </c>
      <c r="BW36" s="103" t="s">
        <v>124</v>
      </c>
      <c r="BX36" s="104">
        <v>23.73</v>
      </c>
    </row>
    <row r="37" spans="1:82" ht="12" customHeight="1" x14ac:dyDescent="0.2">
      <c r="A37" s="86" t="s">
        <v>34</v>
      </c>
      <c r="B37" s="86" t="s">
        <v>257</v>
      </c>
      <c r="C37" s="51">
        <v>13</v>
      </c>
      <c r="D37" s="91">
        <v>1148.25</v>
      </c>
      <c r="E37" s="91">
        <v>938.11</v>
      </c>
      <c r="F37" s="91">
        <v>1135.6199999999999</v>
      </c>
      <c r="G37" s="90">
        <v>3221.98</v>
      </c>
      <c r="H37" s="51">
        <v>9</v>
      </c>
      <c r="I37" s="91">
        <v>673.35</v>
      </c>
      <c r="J37" s="91">
        <v>467.98</v>
      </c>
      <c r="K37" s="91">
        <v>907.93</v>
      </c>
      <c r="L37" s="90">
        <v>2049.2600000000002</v>
      </c>
      <c r="M37" s="51">
        <v>11</v>
      </c>
      <c r="N37" s="91">
        <v>846.5</v>
      </c>
      <c r="O37" s="91">
        <v>285.14</v>
      </c>
      <c r="P37" s="91">
        <v>326.13</v>
      </c>
      <c r="Q37" s="90">
        <v>1457.77</v>
      </c>
      <c r="R37" s="86" t="s">
        <v>75</v>
      </c>
      <c r="S37" s="86" t="s">
        <v>237</v>
      </c>
      <c r="T37" s="51">
        <v>16</v>
      </c>
      <c r="U37" s="91">
        <v>1988.35</v>
      </c>
      <c r="V37" s="91">
        <v>1587.49</v>
      </c>
      <c r="W37" s="91">
        <v>13720.03</v>
      </c>
      <c r="X37" s="90">
        <v>17295.87</v>
      </c>
      <c r="Y37" s="51">
        <v>18</v>
      </c>
      <c r="Z37" s="91">
        <v>2129.29</v>
      </c>
      <c r="AA37" s="91">
        <v>1669.52</v>
      </c>
      <c r="AB37" s="91">
        <v>14185.12</v>
      </c>
      <c r="AC37" s="90">
        <v>17983.93</v>
      </c>
      <c r="AD37" s="51">
        <v>18</v>
      </c>
      <c r="AE37" s="91">
        <v>2120.73</v>
      </c>
      <c r="AF37" s="91">
        <v>1644.03</v>
      </c>
      <c r="AG37" s="91">
        <v>13393.26</v>
      </c>
      <c r="AH37" s="90">
        <v>17158.02</v>
      </c>
      <c r="AI37" s="62"/>
      <c r="AJ37" s="62"/>
      <c r="AK37" s="62"/>
      <c r="AL37" s="62"/>
      <c r="AM37" s="62"/>
      <c r="AN37" s="62"/>
      <c r="AO37" s="62"/>
      <c r="AP37" s="62"/>
      <c r="AQ37" s="62"/>
      <c r="AR37" s="86" t="s">
        <v>34</v>
      </c>
      <c r="AS37" s="86" t="s">
        <v>257</v>
      </c>
      <c r="AT37" s="62">
        <f t="shared" si="0"/>
        <v>405.66710999999998</v>
      </c>
      <c r="AU37" s="62">
        <f t="shared" si="1"/>
        <v>302.64810999999997</v>
      </c>
      <c r="AV37" s="62">
        <f t="shared" si="2"/>
        <v>125.75938999999998</v>
      </c>
      <c r="BJ37" s="88" t="s">
        <v>62</v>
      </c>
      <c r="BK37" s="88" t="s">
        <v>75</v>
      </c>
      <c r="BL37" s="87">
        <v>8</v>
      </c>
      <c r="BM37" t="s">
        <v>64</v>
      </c>
      <c r="BN37" t="s">
        <v>75</v>
      </c>
      <c r="BO37">
        <v>3</v>
      </c>
      <c r="BP37" s="73"/>
      <c r="BQ37" s="73"/>
      <c r="BR37" s="74"/>
      <c r="BS37" s="103" t="s">
        <v>109</v>
      </c>
      <c r="BT37" s="104">
        <v>4383.05</v>
      </c>
      <c r="BU37" s="103" t="s">
        <v>113</v>
      </c>
      <c r="BV37" s="104">
        <v>3545.56</v>
      </c>
    </row>
    <row r="38" spans="1:82" ht="12" customHeight="1" x14ac:dyDescent="0.2">
      <c r="A38" s="86" t="s">
        <v>34</v>
      </c>
      <c r="B38" s="86" t="s">
        <v>258</v>
      </c>
      <c r="C38" s="51">
        <v>104</v>
      </c>
      <c r="D38" s="91">
        <v>90352.960000000006</v>
      </c>
      <c r="E38" s="91">
        <v>9990.6299999999992</v>
      </c>
      <c r="F38" s="91">
        <v>20830.18</v>
      </c>
      <c r="G38" s="90">
        <v>121173.77</v>
      </c>
      <c r="H38" s="51">
        <v>109</v>
      </c>
      <c r="I38" s="91">
        <v>125195.17</v>
      </c>
      <c r="J38" s="91">
        <v>8058.01</v>
      </c>
      <c r="K38" s="91">
        <v>15888.25</v>
      </c>
      <c r="L38" s="90">
        <v>149141.43</v>
      </c>
      <c r="M38" s="51">
        <v>151</v>
      </c>
      <c r="N38" s="91">
        <v>123314.84</v>
      </c>
      <c r="O38" s="91">
        <v>21733.599999999999</v>
      </c>
      <c r="P38" s="91">
        <v>12375.92</v>
      </c>
      <c r="Q38" s="90">
        <v>157424.35999999999</v>
      </c>
      <c r="R38" s="86" t="s">
        <v>75</v>
      </c>
      <c r="S38" s="86" t="s">
        <v>238</v>
      </c>
      <c r="T38" s="51">
        <v>68</v>
      </c>
      <c r="U38" s="91">
        <v>1371.65</v>
      </c>
      <c r="V38" s="91">
        <v>6268.25</v>
      </c>
      <c r="W38" s="91">
        <v>42765.93</v>
      </c>
      <c r="X38" s="90">
        <v>50405.83</v>
      </c>
      <c r="Y38" s="51">
        <v>63</v>
      </c>
      <c r="Z38" s="91">
        <v>5937</v>
      </c>
      <c r="AA38" s="91">
        <v>4713.8999999999996</v>
      </c>
      <c r="AB38" s="91">
        <v>37545.03</v>
      </c>
      <c r="AC38" s="90">
        <v>48195.93</v>
      </c>
      <c r="AD38" s="51">
        <v>87</v>
      </c>
      <c r="AE38" s="91">
        <v>15162.96</v>
      </c>
      <c r="AF38" s="91">
        <v>1119.97</v>
      </c>
      <c r="AG38" s="91">
        <v>41570.65</v>
      </c>
      <c r="AH38" s="90">
        <v>57853.58</v>
      </c>
      <c r="AI38" s="62"/>
      <c r="AJ38" s="62"/>
      <c r="AK38" s="62"/>
      <c r="AL38" s="62"/>
      <c r="AM38" s="62"/>
      <c r="AN38" s="62"/>
      <c r="AO38" s="62"/>
      <c r="AP38" s="62"/>
      <c r="AQ38" s="62"/>
      <c r="AR38" s="86" t="s">
        <v>34</v>
      </c>
      <c r="AS38" s="86" t="s">
        <v>258</v>
      </c>
      <c r="AT38" s="62">
        <f t="shared" si="0"/>
        <v>8094.9790700000003</v>
      </c>
      <c r="AU38" s="62">
        <f t="shared" si="1"/>
        <v>7102.4816000000001</v>
      </c>
      <c r="AV38" s="62">
        <f t="shared" si="2"/>
        <v>6918.8951200000001</v>
      </c>
      <c r="BJ38" t="s">
        <v>64</v>
      </c>
      <c r="BK38" t="s">
        <v>75</v>
      </c>
      <c r="BL38">
        <v>3</v>
      </c>
      <c r="BM38" t="s">
        <v>65</v>
      </c>
      <c r="BN38" t="s">
        <v>75</v>
      </c>
      <c r="BO38">
        <v>3</v>
      </c>
      <c r="BS38" s="103" t="s">
        <v>103</v>
      </c>
      <c r="BT38" s="104">
        <v>1026.27</v>
      </c>
      <c r="BU38" s="103" t="s">
        <v>103</v>
      </c>
      <c r="BV38" s="104">
        <v>27746.54</v>
      </c>
      <c r="BW38" s="62"/>
      <c r="BX38" s="62"/>
    </row>
    <row r="39" spans="1:82" ht="12" customHeight="1" x14ac:dyDescent="0.2">
      <c r="A39" s="86" t="s">
        <v>34</v>
      </c>
      <c r="B39" s="86" t="s">
        <v>259</v>
      </c>
      <c r="C39" s="51">
        <v>4</v>
      </c>
      <c r="D39" s="91">
        <v>400.19</v>
      </c>
      <c r="E39" s="91">
        <v>80.22</v>
      </c>
      <c r="F39" s="91">
        <v>180.36</v>
      </c>
      <c r="G39" s="90">
        <v>660.77</v>
      </c>
      <c r="H39" s="51">
        <v>1</v>
      </c>
      <c r="I39" s="91">
        <v>0</v>
      </c>
      <c r="J39" s="91">
        <v>94.34</v>
      </c>
      <c r="K39" s="91">
        <v>101.58</v>
      </c>
      <c r="L39" s="90">
        <v>195.92</v>
      </c>
      <c r="M39" s="51">
        <v>2</v>
      </c>
      <c r="N39" s="91">
        <v>19001.439999999999</v>
      </c>
      <c r="O39" s="91">
        <v>119.6</v>
      </c>
      <c r="P39" s="91">
        <v>15.92</v>
      </c>
      <c r="Q39" s="90">
        <v>19136.96</v>
      </c>
      <c r="R39" s="86" t="s">
        <v>75</v>
      </c>
      <c r="S39" s="86" t="s">
        <v>239</v>
      </c>
      <c r="T39" s="51">
        <v>57</v>
      </c>
      <c r="U39" s="91">
        <v>6168.56</v>
      </c>
      <c r="V39" s="91">
        <v>6604.11</v>
      </c>
      <c r="W39" s="91">
        <v>45444.86</v>
      </c>
      <c r="X39" s="90">
        <v>58217.53</v>
      </c>
      <c r="Y39" s="51">
        <v>48</v>
      </c>
      <c r="Z39" s="91">
        <v>5092.57</v>
      </c>
      <c r="AA39" s="91">
        <v>4463.2</v>
      </c>
      <c r="AB39" s="91">
        <v>34324.14</v>
      </c>
      <c r="AC39" s="90">
        <v>43879.91</v>
      </c>
      <c r="AD39" s="51">
        <v>42</v>
      </c>
      <c r="AE39" s="91">
        <v>5127.28</v>
      </c>
      <c r="AF39" s="91">
        <v>3183.16</v>
      </c>
      <c r="AG39" s="91">
        <v>22124.15</v>
      </c>
      <c r="AH39" s="90">
        <v>30434.59</v>
      </c>
      <c r="AI39" s="62"/>
      <c r="AJ39" s="62"/>
      <c r="AK39" s="62"/>
      <c r="AL39" s="62"/>
      <c r="AM39" s="62"/>
      <c r="AN39" s="62"/>
      <c r="AO39" s="62"/>
      <c r="AP39" s="62"/>
      <c r="AQ39" s="62"/>
      <c r="AR39" s="86" t="s">
        <v>34</v>
      </c>
      <c r="AS39" s="86" t="s">
        <v>259</v>
      </c>
      <c r="AT39" s="62">
        <f t="shared" si="0"/>
        <v>63.580939999999998</v>
      </c>
      <c r="AU39" s="62">
        <f t="shared" si="1"/>
        <v>35.300039999999996</v>
      </c>
      <c r="AV39" s="62">
        <f t="shared" si="2"/>
        <v>316.15872000000002</v>
      </c>
      <c r="BJ39" t="s">
        <v>68</v>
      </c>
      <c r="BK39" t="s">
        <v>75</v>
      </c>
      <c r="BL39">
        <v>1</v>
      </c>
      <c r="BM39" t="s">
        <v>68</v>
      </c>
      <c r="BN39" t="s">
        <v>75</v>
      </c>
      <c r="BO39">
        <v>3</v>
      </c>
      <c r="BS39" s="103" t="s">
        <v>132</v>
      </c>
      <c r="BT39" s="104">
        <v>2352.5</v>
      </c>
      <c r="BU39" s="103" t="s">
        <v>132</v>
      </c>
      <c r="BV39" s="104">
        <v>1503.01</v>
      </c>
    </row>
    <row r="40" spans="1:82" ht="12" customHeight="1" x14ac:dyDescent="0.2">
      <c r="A40" s="86" t="s">
        <v>34</v>
      </c>
      <c r="B40" s="86" t="s">
        <v>275</v>
      </c>
      <c r="C40" s="51"/>
      <c r="D40" s="91">
        <v>0</v>
      </c>
      <c r="E40" s="91">
        <v>0</v>
      </c>
      <c r="F40" s="91">
        <v>0</v>
      </c>
      <c r="G40" s="90">
        <v>0</v>
      </c>
      <c r="H40" s="51">
        <v>1</v>
      </c>
      <c r="I40" s="91">
        <v>25.88</v>
      </c>
      <c r="J40" s="91">
        <v>0</v>
      </c>
      <c r="K40" s="91">
        <v>0</v>
      </c>
      <c r="L40" s="90">
        <v>25.88</v>
      </c>
      <c r="M40" s="51"/>
      <c r="N40" s="91">
        <v>0</v>
      </c>
      <c r="O40" s="91">
        <v>0</v>
      </c>
      <c r="P40" s="91">
        <v>0</v>
      </c>
      <c r="Q40" s="90">
        <v>0</v>
      </c>
      <c r="R40" s="86" t="s">
        <v>75</v>
      </c>
      <c r="S40" s="86" t="s">
        <v>240</v>
      </c>
      <c r="T40" s="51">
        <v>32</v>
      </c>
      <c r="U40" s="91">
        <v>2902.67</v>
      </c>
      <c r="V40" s="91">
        <v>2841.02</v>
      </c>
      <c r="W40" s="91">
        <v>12332.03</v>
      </c>
      <c r="X40" s="90">
        <v>18075.72</v>
      </c>
      <c r="Y40" s="51">
        <v>28</v>
      </c>
      <c r="Z40" s="91">
        <v>2438.11</v>
      </c>
      <c r="AA40" s="91">
        <v>1720.52</v>
      </c>
      <c r="AB40" s="91">
        <v>8245.01</v>
      </c>
      <c r="AC40" s="90">
        <v>12403.64</v>
      </c>
      <c r="AD40" s="51">
        <v>29</v>
      </c>
      <c r="AE40" s="91">
        <v>2774.87</v>
      </c>
      <c r="AF40" s="91">
        <v>1543.12</v>
      </c>
      <c r="AG40" s="91">
        <v>6968.35</v>
      </c>
      <c r="AH40" s="90">
        <v>11286.34</v>
      </c>
      <c r="AI40" s="62"/>
      <c r="AJ40" s="62"/>
      <c r="AK40" s="62"/>
      <c r="AL40" s="62"/>
      <c r="AM40" s="62"/>
      <c r="AN40" s="62"/>
      <c r="AO40" s="62"/>
      <c r="AP40" s="62"/>
      <c r="AQ40" s="62"/>
      <c r="AR40" s="86" t="s">
        <v>34</v>
      </c>
      <c r="AS40" s="86" t="s">
        <v>275</v>
      </c>
      <c r="AT40" s="62">
        <f t="shared" si="0"/>
        <v>0</v>
      </c>
      <c r="AU40" s="62">
        <f t="shared" si="1"/>
        <v>0.41408</v>
      </c>
      <c r="AV40" s="62">
        <f t="shared" si="2"/>
        <v>0</v>
      </c>
      <c r="BJ40" t="s">
        <v>69</v>
      </c>
      <c r="BK40" t="s">
        <v>75</v>
      </c>
      <c r="BL40">
        <v>51</v>
      </c>
      <c r="BM40" t="s">
        <v>69</v>
      </c>
      <c r="BN40" t="s">
        <v>75</v>
      </c>
      <c r="BO40">
        <v>76</v>
      </c>
      <c r="BS40" s="103" t="s">
        <v>93</v>
      </c>
      <c r="BT40" s="104">
        <v>23877.17</v>
      </c>
      <c r="BU40" s="103" t="s">
        <v>93</v>
      </c>
      <c r="BV40" s="104">
        <v>93400.699999999983</v>
      </c>
    </row>
    <row r="41" spans="1:82" ht="12" customHeight="1" x14ac:dyDescent="0.2">
      <c r="A41" s="86" t="s">
        <v>75</v>
      </c>
      <c r="B41" s="86" t="s">
        <v>272</v>
      </c>
      <c r="C41" s="51">
        <v>1</v>
      </c>
      <c r="D41" s="91">
        <v>252.68</v>
      </c>
      <c r="E41" s="91">
        <v>283.87</v>
      </c>
      <c r="F41" s="91">
        <v>177.01</v>
      </c>
      <c r="G41" s="90">
        <v>713.56</v>
      </c>
      <c r="H41" s="51">
        <v>1</v>
      </c>
      <c r="I41" s="91">
        <v>76.989999999999995</v>
      </c>
      <c r="J41" s="91">
        <v>252.68</v>
      </c>
      <c r="K41" s="91">
        <v>205.88</v>
      </c>
      <c r="L41" s="90">
        <v>535.54999999999995</v>
      </c>
      <c r="M41" s="51">
        <v>1</v>
      </c>
      <c r="N41" s="91">
        <v>185.54</v>
      </c>
      <c r="O41" s="91">
        <v>76.989999999999995</v>
      </c>
      <c r="P41" s="91">
        <v>203.56</v>
      </c>
      <c r="Q41" s="90">
        <v>466.09</v>
      </c>
      <c r="R41" s="86" t="s">
        <v>75</v>
      </c>
      <c r="S41" s="86" t="s">
        <v>241</v>
      </c>
      <c r="T41" s="51">
        <v>33</v>
      </c>
      <c r="U41" s="91">
        <v>4312.54</v>
      </c>
      <c r="V41" s="91">
        <v>2931.17</v>
      </c>
      <c r="W41" s="91">
        <v>25920.79</v>
      </c>
      <c r="X41" s="90">
        <v>33164.5</v>
      </c>
      <c r="Y41" s="51">
        <v>33</v>
      </c>
      <c r="Z41" s="91">
        <v>4553.28</v>
      </c>
      <c r="AA41" s="91">
        <v>2709.88</v>
      </c>
      <c r="AB41" s="91">
        <v>21850.22</v>
      </c>
      <c r="AC41" s="90">
        <v>29113.38</v>
      </c>
      <c r="AD41" s="51">
        <v>30</v>
      </c>
      <c r="AE41" s="91">
        <v>4481.3599999999997</v>
      </c>
      <c r="AF41" s="91">
        <v>2581.4299999999998</v>
      </c>
      <c r="AG41" s="91">
        <v>13744.52</v>
      </c>
      <c r="AH41" s="90">
        <v>20807.310000000001</v>
      </c>
      <c r="AI41" s="62"/>
      <c r="AJ41" s="62"/>
      <c r="AK41" s="62"/>
      <c r="AL41" s="62"/>
      <c r="AM41" s="62"/>
      <c r="AN41" s="62"/>
      <c r="AO41" s="62"/>
      <c r="AP41" s="62"/>
      <c r="AQ41" s="62"/>
      <c r="AR41" s="86" t="s">
        <v>75</v>
      </c>
      <c r="AS41" s="86" t="s">
        <v>272</v>
      </c>
      <c r="AT41" s="62">
        <f t="shared" si="0"/>
        <v>73.082579999999993</v>
      </c>
      <c r="AU41" s="62">
        <f t="shared" si="1"/>
        <v>76.650000000000006</v>
      </c>
      <c r="AV41" s="62">
        <f t="shared" si="2"/>
        <v>66.647850000000005</v>
      </c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 t="s">
        <v>280</v>
      </c>
      <c r="BH41" s="161"/>
      <c r="BI41" s="161"/>
      <c r="BJ41" s="161"/>
      <c r="BK41" s="161"/>
      <c r="BL41" s="161">
        <f>SUM(BL5:BL40)</f>
        <v>379</v>
      </c>
      <c r="BM41" s="161"/>
      <c r="BN41" s="161"/>
      <c r="BO41" s="161">
        <f t="shared" ref="BM41:CD41" si="3">SUM(BO5:BO40)</f>
        <v>460</v>
      </c>
      <c r="BP41" s="161"/>
      <c r="BQ41" s="161"/>
      <c r="BR41" s="161">
        <f t="shared" si="3"/>
        <v>455</v>
      </c>
      <c r="BS41" s="161"/>
      <c r="BT41" s="163">
        <f t="shared" si="3"/>
        <v>467677.25999999989</v>
      </c>
      <c r="BU41" s="163"/>
      <c r="BV41" s="163">
        <f t="shared" si="3"/>
        <v>1070769.5900000003</v>
      </c>
      <c r="BW41" s="163"/>
      <c r="BX41" s="163">
        <f t="shared" si="3"/>
        <v>455286.64999999997</v>
      </c>
      <c r="BY41" s="163"/>
      <c r="BZ41" s="163">
        <f t="shared" si="3"/>
        <v>17744.990000000002</v>
      </c>
      <c r="CA41" s="163"/>
      <c r="CB41" s="163">
        <f t="shared" si="3"/>
        <v>10282.18</v>
      </c>
      <c r="CC41" s="163"/>
      <c r="CD41" s="163">
        <f t="shared" si="3"/>
        <v>11530.909999999998</v>
      </c>
    </row>
    <row r="42" spans="1:82" ht="12" customHeight="1" x14ac:dyDescent="0.2">
      <c r="A42" s="86" t="s">
        <v>75</v>
      </c>
      <c r="B42" s="86" t="s">
        <v>229</v>
      </c>
      <c r="C42" s="51">
        <v>2601</v>
      </c>
      <c r="D42" s="91">
        <v>204461.89</v>
      </c>
      <c r="E42" s="91">
        <v>187582.02</v>
      </c>
      <c r="F42" s="91">
        <v>1145755.53</v>
      </c>
      <c r="G42" s="90">
        <v>1537799.44</v>
      </c>
      <c r="H42" s="51">
        <v>2511</v>
      </c>
      <c r="I42" s="91">
        <v>238391.86</v>
      </c>
      <c r="J42" s="91">
        <v>135887.26999999999</v>
      </c>
      <c r="K42" s="91">
        <v>1005090.37</v>
      </c>
      <c r="L42" s="90">
        <v>1379369.5</v>
      </c>
      <c r="M42" s="51">
        <v>2683</v>
      </c>
      <c r="N42" s="91">
        <v>324799.11</v>
      </c>
      <c r="O42" s="91">
        <v>124985.88</v>
      </c>
      <c r="P42" s="91">
        <v>902111.59000000102</v>
      </c>
      <c r="Q42" s="90">
        <v>1351896.58</v>
      </c>
      <c r="R42" s="86" t="s">
        <v>75</v>
      </c>
      <c r="S42" s="86" t="s">
        <v>242</v>
      </c>
      <c r="T42" s="51">
        <v>10</v>
      </c>
      <c r="U42" s="91">
        <v>849.66</v>
      </c>
      <c r="V42" s="91">
        <v>750.01</v>
      </c>
      <c r="W42" s="91">
        <v>6410.95</v>
      </c>
      <c r="X42" s="90">
        <v>8010.62</v>
      </c>
      <c r="Y42" s="51">
        <v>11</v>
      </c>
      <c r="Z42" s="91">
        <v>979.13</v>
      </c>
      <c r="AA42" s="91">
        <v>799.32</v>
      </c>
      <c r="AB42" s="91">
        <v>7060.37</v>
      </c>
      <c r="AC42" s="90">
        <v>8838.82</v>
      </c>
      <c r="AD42" s="51">
        <v>12</v>
      </c>
      <c r="AE42" s="91">
        <v>1138.3699999999999</v>
      </c>
      <c r="AF42" s="91">
        <v>846.97</v>
      </c>
      <c r="AG42" s="91">
        <v>5725.89</v>
      </c>
      <c r="AH42" s="90">
        <v>7711.23</v>
      </c>
      <c r="AI42" s="62"/>
      <c r="AJ42" s="62"/>
      <c r="AK42" s="62"/>
      <c r="AL42" s="62"/>
      <c r="AM42" s="62"/>
      <c r="AN42" s="62"/>
      <c r="AO42" s="62"/>
      <c r="AP42" s="62"/>
      <c r="AQ42" s="62"/>
      <c r="AR42" s="86" t="s">
        <v>75</v>
      </c>
      <c r="AS42" s="86" t="s">
        <v>229</v>
      </c>
      <c r="AT42" s="62">
        <f t="shared" si="0"/>
        <v>346212.40567000001</v>
      </c>
      <c r="AU42" s="62">
        <f t="shared" si="1"/>
        <v>302846.28469999996</v>
      </c>
      <c r="AV42" s="62">
        <f t="shared" si="2"/>
        <v>273781.1457100003</v>
      </c>
    </row>
    <row r="43" spans="1:82" ht="12" customHeight="1" x14ac:dyDescent="0.2">
      <c r="A43" s="86" t="s">
        <v>75</v>
      </c>
      <c r="B43" s="86" t="s">
        <v>230</v>
      </c>
      <c r="C43" s="51">
        <v>5035</v>
      </c>
      <c r="D43" s="91">
        <v>433804.72000000102</v>
      </c>
      <c r="E43" s="91">
        <v>261648.42</v>
      </c>
      <c r="F43" s="91">
        <v>1297628.17</v>
      </c>
      <c r="G43" s="90">
        <v>1993081.31</v>
      </c>
      <c r="H43" s="51">
        <v>4368</v>
      </c>
      <c r="I43" s="91">
        <v>366523.26</v>
      </c>
      <c r="J43" s="91">
        <v>250473.87</v>
      </c>
      <c r="K43" s="91">
        <v>1104556.57</v>
      </c>
      <c r="L43" s="90">
        <v>1721553.7</v>
      </c>
      <c r="M43" s="51">
        <v>5167</v>
      </c>
      <c r="N43" s="91">
        <v>567506.67000000097</v>
      </c>
      <c r="O43" s="91">
        <v>317833.17</v>
      </c>
      <c r="P43" s="91">
        <v>951442.950000001</v>
      </c>
      <c r="Q43" s="90">
        <v>1836782.79</v>
      </c>
      <c r="R43" s="86" t="s">
        <v>75</v>
      </c>
      <c r="S43" s="86" t="s">
        <v>243</v>
      </c>
      <c r="T43" s="51">
        <v>135</v>
      </c>
      <c r="U43" s="91">
        <v>12693.98</v>
      </c>
      <c r="V43" s="91">
        <v>11913.39</v>
      </c>
      <c r="W43" s="91">
        <v>65784.350000000006</v>
      </c>
      <c r="X43" s="90">
        <v>90391.72</v>
      </c>
      <c r="Y43" s="51">
        <v>119</v>
      </c>
      <c r="Z43" s="91">
        <v>13287.98</v>
      </c>
      <c r="AA43" s="91">
        <v>8108.16</v>
      </c>
      <c r="AB43" s="91">
        <v>54119.76</v>
      </c>
      <c r="AC43" s="90">
        <v>75515.899999999994</v>
      </c>
      <c r="AD43" s="51">
        <v>112</v>
      </c>
      <c r="AE43" s="91">
        <v>12941.1</v>
      </c>
      <c r="AF43" s="91">
        <v>8977.7900000000009</v>
      </c>
      <c r="AG43" s="91">
        <v>38571.26</v>
      </c>
      <c r="AH43" s="90">
        <v>60490.15</v>
      </c>
      <c r="AI43" s="62"/>
      <c r="AJ43" s="62"/>
      <c r="AK43" s="62"/>
      <c r="AL43" s="62"/>
      <c r="AM43" s="62"/>
      <c r="AN43" s="62"/>
      <c r="AO43" s="62"/>
      <c r="AP43" s="62"/>
      <c r="AQ43" s="62"/>
      <c r="AR43" s="86" t="s">
        <v>75</v>
      </c>
      <c r="AS43" s="86" t="s">
        <v>230</v>
      </c>
      <c r="AT43" s="62">
        <f t="shared" si="0"/>
        <v>398439.26711000002</v>
      </c>
      <c r="AU43" s="62">
        <f t="shared" si="1"/>
        <v>340861.0747</v>
      </c>
      <c r="AV43" s="62">
        <f t="shared" si="2"/>
        <v>304070.60898000031</v>
      </c>
    </row>
    <row r="44" spans="1:82" ht="12" customHeight="1" x14ac:dyDescent="0.2">
      <c r="A44" s="86" t="s">
        <v>75</v>
      </c>
      <c r="B44" s="86" t="s">
        <v>231</v>
      </c>
      <c r="C44" s="51">
        <v>2069</v>
      </c>
      <c r="D44" s="91">
        <v>191275.29</v>
      </c>
      <c r="E44" s="91">
        <v>140024.70000000001</v>
      </c>
      <c r="F44" s="91">
        <v>889077.21</v>
      </c>
      <c r="G44" s="90">
        <v>1220377.2</v>
      </c>
      <c r="H44" s="51">
        <v>1851</v>
      </c>
      <c r="I44" s="91">
        <v>214187.5</v>
      </c>
      <c r="J44" s="91">
        <v>124338.69</v>
      </c>
      <c r="K44" s="91">
        <v>765526.59</v>
      </c>
      <c r="L44" s="90">
        <v>1104052.78</v>
      </c>
      <c r="M44" s="51">
        <v>2226</v>
      </c>
      <c r="N44" s="91">
        <v>322026.09999999998</v>
      </c>
      <c r="O44" s="91">
        <v>122500.91</v>
      </c>
      <c r="P44" s="91">
        <v>729022.75</v>
      </c>
      <c r="Q44" s="90">
        <v>1173549.76</v>
      </c>
      <c r="R44" s="86" t="s">
        <v>75</v>
      </c>
      <c r="S44" s="86" t="s">
        <v>244</v>
      </c>
      <c r="T44" s="51">
        <v>474</v>
      </c>
      <c r="U44" s="91">
        <v>43197.54</v>
      </c>
      <c r="V44" s="91">
        <v>30544.22</v>
      </c>
      <c r="W44" s="91">
        <v>198276.19</v>
      </c>
      <c r="X44" s="90">
        <v>272017.95</v>
      </c>
      <c r="Y44" s="51">
        <v>473</v>
      </c>
      <c r="Z44" s="91">
        <v>47268.08</v>
      </c>
      <c r="AA44" s="91">
        <v>31843.13</v>
      </c>
      <c r="AB44" s="91">
        <v>192946.35</v>
      </c>
      <c r="AC44" s="90">
        <v>272057.56</v>
      </c>
      <c r="AD44" s="51">
        <v>461</v>
      </c>
      <c r="AE44" s="91">
        <v>47832.690000000097</v>
      </c>
      <c r="AF44" s="91">
        <v>33442.61</v>
      </c>
      <c r="AG44" s="91">
        <v>188876.58</v>
      </c>
      <c r="AH44" s="90">
        <v>270151.88</v>
      </c>
      <c r="AI44" s="62"/>
      <c r="AJ44" s="62"/>
      <c r="AK44" s="62"/>
      <c r="AL44" s="62"/>
      <c r="AM44" s="62"/>
      <c r="AN44" s="62"/>
      <c r="AO44" s="62"/>
      <c r="AP44" s="62"/>
      <c r="AQ44" s="62"/>
      <c r="AR44" s="86" t="s">
        <v>75</v>
      </c>
      <c r="AS44" s="86" t="s">
        <v>231</v>
      </c>
      <c r="AT44" s="62">
        <f t="shared" si="0"/>
        <v>268825.27442999999</v>
      </c>
      <c r="AU44" s="62">
        <f t="shared" si="1"/>
        <v>232497.52197999996</v>
      </c>
      <c r="AV44" s="62">
        <f t="shared" si="2"/>
        <v>223557.54967999997</v>
      </c>
    </row>
    <row r="45" spans="1:82" ht="12" customHeight="1" x14ac:dyDescent="0.2">
      <c r="A45" s="86" t="s">
        <v>75</v>
      </c>
      <c r="B45" s="86" t="s">
        <v>268</v>
      </c>
      <c r="C45" s="51"/>
      <c r="D45" s="91"/>
      <c r="E45" s="91"/>
      <c r="F45" s="91"/>
      <c r="G45" s="90"/>
      <c r="H45" s="51"/>
      <c r="I45" s="91">
        <v>0</v>
      </c>
      <c r="J45" s="91">
        <v>0</v>
      </c>
      <c r="K45" s="91">
        <v>0</v>
      </c>
      <c r="L45" s="90">
        <v>0</v>
      </c>
      <c r="M45" s="51"/>
      <c r="N45" s="91">
        <v>0</v>
      </c>
      <c r="O45" s="91">
        <v>0</v>
      </c>
      <c r="P45" s="91">
        <v>0</v>
      </c>
      <c r="Q45" s="90">
        <v>0</v>
      </c>
      <c r="R45" s="86" t="s">
        <v>75</v>
      </c>
      <c r="S45" s="86" t="s">
        <v>245</v>
      </c>
      <c r="T45" s="51">
        <v>66</v>
      </c>
      <c r="U45" s="91">
        <v>11014.83</v>
      </c>
      <c r="V45" s="91">
        <v>8771.84</v>
      </c>
      <c r="W45" s="91">
        <v>42373.68</v>
      </c>
      <c r="X45" s="90">
        <v>62160.35</v>
      </c>
      <c r="Y45" s="51">
        <v>54</v>
      </c>
      <c r="Z45" s="91">
        <v>5023.1899999999996</v>
      </c>
      <c r="AA45" s="91">
        <v>5658.84</v>
      </c>
      <c r="AB45" s="91">
        <v>35554.29</v>
      </c>
      <c r="AC45" s="90">
        <v>46236.32</v>
      </c>
      <c r="AD45" s="51">
        <v>42</v>
      </c>
      <c r="AE45" s="91">
        <v>3824.56</v>
      </c>
      <c r="AF45" s="91">
        <v>2329.09</v>
      </c>
      <c r="AG45" s="91">
        <v>25981.93</v>
      </c>
      <c r="AH45" s="90">
        <v>32135.58</v>
      </c>
      <c r="AI45" s="62"/>
      <c r="AJ45" s="62"/>
      <c r="AK45" s="62"/>
      <c r="AL45" s="62"/>
      <c r="AM45" s="62"/>
      <c r="AN45" s="62"/>
      <c r="AO45" s="62"/>
      <c r="AP45" s="62"/>
      <c r="AQ45" s="62"/>
      <c r="AR45" s="86" t="s">
        <v>75</v>
      </c>
      <c r="AS45" s="86" t="s">
        <v>268</v>
      </c>
      <c r="AT45" s="62">
        <f t="shared" si="0"/>
        <v>0</v>
      </c>
      <c r="AU45" s="62">
        <f t="shared" si="1"/>
        <v>0</v>
      </c>
      <c r="AV45" s="62">
        <f t="shared" si="2"/>
        <v>0</v>
      </c>
    </row>
    <row r="46" spans="1:82" ht="12" customHeight="1" x14ac:dyDescent="0.2">
      <c r="A46" s="86" t="s">
        <v>75</v>
      </c>
      <c r="B46" s="86" t="s">
        <v>232</v>
      </c>
      <c r="C46" s="51">
        <v>3908</v>
      </c>
      <c r="D46" s="91">
        <v>403172.43</v>
      </c>
      <c r="E46" s="91">
        <v>228934.95</v>
      </c>
      <c r="F46" s="91">
        <v>1038748.13</v>
      </c>
      <c r="G46" s="90">
        <v>1670855.51</v>
      </c>
      <c r="H46" s="51">
        <v>3997</v>
      </c>
      <c r="I46" s="91">
        <v>522167.16</v>
      </c>
      <c r="J46" s="91">
        <v>218467.24</v>
      </c>
      <c r="K46" s="91">
        <v>868033.31</v>
      </c>
      <c r="L46" s="90">
        <v>1608667.71</v>
      </c>
      <c r="M46" s="51">
        <v>4069</v>
      </c>
      <c r="N46" s="91">
        <v>514554.700000001</v>
      </c>
      <c r="O46" s="91">
        <v>274709.43</v>
      </c>
      <c r="P46" s="91">
        <v>709870.98</v>
      </c>
      <c r="Q46" s="90">
        <v>1499135.11</v>
      </c>
      <c r="R46" s="86" t="s">
        <v>75</v>
      </c>
      <c r="S46" s="86" t="s">
        <v>246</v>
      </c>
      <c r="T46" s="51">
        <v>392</v>
      </c>
      <c r="U46" s="91">
        <v>39037.82</v>
      </c>
      <c r="V46" s="91">
        <v>29016.15</v>
      </c>
      <c r="W46" s="91">
        <v>209092.1</v>
      </c>
      <c r="X46" s="90">
        <v>277146.07</v>
      </c>
      <c r="Y46" s="51">
        <v>325</v>
      </c>
      <c r="Z46" s="91">
        <v>16680.599999999999</v>
      </c>
      <c r="AA46" s="91">
        <v>28377.67</v>
      </c>
      <c r="AB46" s="91">
        <v>206395.84</v>
      </c>
      <c r="AC46" s="90">
        <v>251454.11</v>
      </c>
      <c r="AD46" s="51">
        <v>399</v>
      </c>
      <c r="AE46" s="91">
        <v>43290.43</v>
      </c>
      <c r="AF46" s="91">
        <v>38976.86</v>
      </c>
      <c r="AG46" s="91">
        <v>205320.34</v>
      </c>
      <c r="AH46" s="90">
        <v>287587.63</v>
      </c>
      <c r="AI46" s="62"/>
      <c r="AJ46" s="62"/>
      <c r="AK46" s="62"/>
      <c r="AL46" s="62"/>
      <c r="AM46" s="62"/>
      <c r="AN46" s="62"/>
      <c r="AO46" s="62"/>
      <c r="AP46" s="62"/>
      <c r="AQ46" s="62"/>
      <c r="AR46" s="86" t="s">
        <v>75</v>
      </c>
      <c r="AS46" s="86" t="s">
        <v>232</v>
      </c>
      <c r="AT46" s="62">
        <f t="shared" si="0"/>
        <v>321071.87030000001</v>
      </c>
      <c r="AU46" s="62">
        <f t="shared" si="1"/>
        <v>272979.73726999998</v>
      </c>
      <c r="AV46" s="62">
        <f t="shared" si="2"/>
        <v>230692.28250999999</v>
      </c>
    </row>
    <row r="47" spans="1:82" ht="12" customHeight="1" x14ac:dyDescent="0.2">
      <c r="A47" s="86" t="s">
        <v>75</v>
      </c>
      <c r="B47" s="86" t="s">
        <v>270</v>
      </c>
      <c r="C47" s="51"/>
      <c r="D47" s="91">
        <v>0</v>
      </c>
      <c r="E47" s="91">
        <v>0</v>
      </c>
      <c r="F47" s="91">
        <v>0</v>
      </c>
      <c r="G47" s="90">
        <v>0</v>
      </c>
      <c r="H47" s="51">
        <v>1</v>
      </c>
      <c r="I47" s="91">
        <v>90.35</v>
      </c>
      <c r="J47" s="91">
        <v>0</v>
      </c>
      <c r="K47" s="91">
        <v>0</v>
      </c>
      <c r="L47" s="90">
        <v>90.35</v>
      </c>
      <c r="M47" s="51">
        <v>1</v>
      </c>
      <c r="N47" s="91">
        <v>72.33</v>
      </c>
      <c r="O47" s="91">
        <v>90.35</v>
      </c>
      <c r="P47" s="91">
        <v>0</v>
      </c>
      <c r="Q47" s="90">
        <v>162.68</v>
      </c>
      <c r="R47" s="86" t="s">
        <v>75</v>
      </c>
      <c r="S47" s="86" t="s">
        <v>247</v>
      </c>
      <c r="T47" s="51">
        <v>320</v>
      </c>
      <c r="U47" s="91">
        <v>33654.080000000002</v>
      </c>
      <c r="V47" s="91">
        <v>26873.52</v>
      </c>
      <c r="W47" s="91">
        <v>223604.93</v>
      </c>
      <c r="X47" s="90">
        <v>284132.53000000003</v>
      </c>
      <c r="Y47" s="51">
        <v>330</v>
      </c>
      <c r="Z47" s="91">
        <v>38260.32</v>
      </c>
      <c r="AA47" s="91">
        <v>25900.73</v>
      </c>
      <c r="AB47" s="91">
        <v>205138.29</v>
      </c>
      <c r="AC47" s="90">
        <v>269299.34000000003</v>
      </c>
      <c r="AD47" s="51">
        <v>336</v>
      </c>
      <c r="AE47" s="91">
        <v>43793.29</v>
      </c>
      <c r="AF47" s="91">
        <v>28830.61</v>
      </c>
      <c r="AG47" s="91">
        <v>204127.06</v>
      </c>
      <c r="AH47" s="90">
        <v>276750.96000000002</v>
      </c>
      <c r="AI47" s="62"/>
      <c r="AJ47" s="62"/>
      <c r="AK47" s="62"/>
      <c r="AL47" s="62"/>
      <c r="AM47" s="62"/>
      <c r="AN47" s="62"/>
      <c r="AO47" s="62"/>
      <c r="AP47" s="62"/>
      <c r="AQ47" s="62"/>
      <c r="AR47" s="86" t="s">
        <v>75</v>
      </c>
      <c r="AS47" s="86" t="s">
        <v>270</v>
      </c>
      <c r="AT47" s="62">
        <f t="shared" si="0"/>
        <v>0</v>
      </c>
      <c r="AU47" s="62">
        <f t="shared" si="1"/>
        <v>1.4456</v>
      </c>
      <c r="AV47" s="62">
        <f t="shared" si="2"/>
        <v>6.8493300000000001</v>
      </c>
    </row>
    <row r="48" spans="1:82" ht="12" customHeight="1" x14ac:dyDescent="0.2">
      <c r="A48" s="86" t="s">
        <v>75</v>
      </c>
      <c r="B48" s="86" t="s">
        <v>233</v>
      </c>
      <c r="C48" s="51">
        <v>96</v>
      </c>
      <c r="D48" s="91">
        <v>8569.1299999999992</v>
      </c>
      <c r="E48" s="91">
        <v>6193.99</v>
      </c>
      <c r="F48" s="91">
        <v>60851.98</v>
      </c>
      <c r="G48" s="90">
        <v>75615.100000000006</v>
      </c>
      <c r="H48" s="51">
        <v>96</v>
      </c>
      <c r="I48" s="91">
        <v>9765.4500000000007</v>
      </c>
      <c r="J48" s="91">
        <v>6034.62</v>
      </c>
      <c r="K48" s="91">
        <v>59547.13</v>
      </c>
      <c r="L48" s="90">
        <v>75347.199999999997</v>
      </c>
      <c r="M48" s="51">
        <v>90</v>
      </c>
      <c r="N48" s="91">
        <v>8795.42</v>
      </c>
      <c r="O48" s="91">
        <v>6633.89</v>
      </c>
      <c r="P48" s="91">
        <v>56702.21</v>
      </c>
      <c r="Q48" s="90">
        <v>72131.520000000004</v>
      </c>
      <c r="R48" s="86" t="s">
        <v>75</v>
      </c>
      <c r="S48" s="86" t="s">
        <v>248</v>
      </c>
      <c r="T48" s="51">
        <v>34</v>
      </c>
      <c r="U48" s="91">
        <v>3703.9</v>
      </c>
      <c r="V48" s="91">
        <v>3652.37</v>
      </c>
      <c r="W48" s="91">
        <v>27252.639999999999</v>
      </c>
      <c r="X48" s="90">
        <v>34608.910000000003</v>
      </c>
      <c r="Y48" s="51">
        <v>37</v>
      </c>
      <c r="Z48" s="91">
        <v>4098.7</v>
      </c>
      <c r="AA48" s="91">
        <v>3252.54</v>
      </c>
      <c r="AB48" s="91">
        <v>28425.09</v>
      </c>
      <c r="AC48" s="90">
        <v>35776.33</v>
      </c>
      <c r="AD48" s="51">
        <v>34</v>
      </c>
      <c r="AE48" s="91">
        <v>3695.76</v>
      </c>
      <c r="AF48" s="91">
        <v>2990.92</v>
      </c>
      <c r="AG48" s="91">
        <v>20102.03</v>
      </c>
      <c r="AH48" s="90">
        <v>26788.71</v>
      </c>
      <c r="AR48" s="86" t="s">
        <v>75</v>
      </c>
      <c r="AS48" s="86" t="s">
        <v>233</v>
      </c>
      <c r="AT48" s="62">
        <f t="shared" si="0"/>
        <v>18113.54967</v>
      </c>
      <c r="AU48" s="62">
        <f t="shared" si="1"/>
        <v>17745.54883</v>
      </c>
      <c r="AV48" s="62">
        <f t="shared" si="2"/>
        <v>16945.600479999997</v>
      </c>
    </row>
    <row r="49" spans="1:48" ht="12" customHeight="1" x14ac:dyDescent="0.2">
      <c r="A49" s="86" t="s">
        <v>75</v>
      </c>
      <c r="B49" s="86" t="s">
        <v>234</v>
      </c>
      <c r="C49" s="51">
        <v>119</v>
      </c>
      <c r="D49" s="91">
        <v>12551.14</v>
      </c>
      <c r="E49" s="91">
        <v>10688.04</v>
      </c>
      <c r="F49" s="91">
        <v>54747.45</v>
      </c>
      <c r="G49" s="90">
        <v>77986.63</v>
      </c>
      <c r="H49" s="51">
        <v>117</v>
      </c>
      <c r="I49" s="91">
        <v>13781.3</v>
      </c>
      <c r="J49" s="91">
        <v>8564.7800000000007</v>
      </c>
      <c r="K49" s="91">
        <v>44460.43</v>
      </c>
      <c r="L49" s="90">
        <v>66806.509999999995</v>
      </c>
      <c r="M49" s="51">
        <v>111</v>
      </c>
      <c r="N49" s="91">
        <v>14751.21</v>
      </c>
      <c r="O49" s="91">
        <v>6929.32</v>
      </c>
      <c r="P49" s="91">
        <v>37919.980000000003</v>
      </c>
      <c r="Q49" s="90">
        <v>59600.51</v>
      </c>
      <c r="R49" s="86" t="s">
        <v>75</v>
      </c>
      <c r="S49" s="86" t="s">
        <v>249</v>
      </c>
      <c r="T49" s="51">
        <v>75</v>
      </c>
      <c r="U49" s="91">
        <v>7958.43</v>
      </c>
      <c r="V49" s="91">
        <v>5442.62</v>
      </c>
      <c r="W49" s="91">
        <v>31599.67</v>
      </c>
      <c r="X49" s="90">
        <v>45000.72</v>
      </c>
      <c r="Y49" s="51">
        <v>76</v>
      </c>
      <c r="Z49" s="91">
        <v>10183.700000000001</v>
      </c>
      <c r="AA49" s="91">
        <v>5658.24</v>
      </c>
      <c r="AB49" s="91">
        <v>29704.66</v>
      </c>
      <c r="AC49" s="90">
        <v>45546.6</v>
      </c>
      <c r="AD49" s="51">
        <v>83</v>
      </c>
      <c r="AE49" s="91">
        <v>9747.01</v>
      </c>
      <c r="AF49" s="91">
        <v>7364.65</v>
      </c>
      <c r="AG49" s="91">
        <v>30237.33</v>
      </c>
      <c r="AH49" s="90">
        <v>47348.99</v>
      </c>
      <c r="AR49" s="86" t="s">
        <v>75</v>
      </c>
      <c r="AS49" s="86" t="s">
        <v>234</v>
      </c>
      <c r="AT49" s="62">
        <f t="shared" si="0"/>
        <v>16696.177809999997</v>
      </c>
      <c r="AU49" s="62">
        <f t="shared" si="1"/>
        <v>13609.146209999999</v>
      </c>
      <c r="AV49" s="62">
        <f t="shared" si="2"/>
        <v>11631.44074</v>
      </c>
    </row>
    <row r="50" spans="1:48" ht="12" customHeight="1" x14ac:dyDescent="0.2">
      <c r="A50" s="86" t="s">
        <v>75</v>
      </c>
      <c r="B50" s="86" t="s">
        <v>235</v>
      </c>
      <c r="C50" s="51">
        <v>1040</v>
      </c>
      <c r="D50" s="91">
        <v>93489.529999999897</v>
      </c>
      <c r="E50" s="91">
        <v>73455.740000000005</v>
      </c>
      <c r="F50" s="91">
        <v>382061.82</v>
      </c>
      <c r="G50" s="90">
        <v>549007.09</v>
      </c>
      <c r="H50" s="51">
        <v>1004</v>
      </c>
      <c r="I50" s="91">
        <v>98661.259999999806</v>
      </c>
      <c r="J50" s="91">
        <v>62330.9</v>
      </c>
      <c r="K50" s="91">
        <v>370712.74</v>
      </c>
      <c r="L50" s="90">
        <v>531704.9</v>
      </c>
      <c r="M50" s="51">
        <v>1022</v>
      </c>
      <c r="N50" s="91">
        <v>125341.22</v>
      </c>
      <c r="O50" s="91">
        <v>54440.86</v>
      </c>
      <c r="P50" s="91">
        <v>340103.8</v>
      </c>
      <c r="Q50" s="90">
        <v>519885.88</v>
      </c>
      <c r="R50" s="86" t="s">
        <v>75</v>
      </c>
      <c r="S50" s="86" t="s">
        <v>250</v>
      </c>
      <c r="T50" s="51">
        <v>15</v>
      </c>
      <c r="U50" s="91">
        <v>1605.01</v>
      </c>
      <c r="V50" s="91">
        <v>852.84</v>
      </c>
      <c r="W50" s="91">
        <v>1522.66</v>
      </c>
      <c r="X50" s="90">
        <v>3980.51</v>
      </c>
      <c r="Y50" s="51">
        <v>19</v>
      </c>
      <c r="Z50" s="91">
        <v>2339.69</v>
      </c>
      <c r="AA50" s="91">
        <v>1085.9100000000001</v>
      </c>
      <c r="AB50" s="91">
        <v>1458.38</v>
      </c>
      <c r="AC50" s="90">
        <v>4883.9799999999996</v>
      </c>
      <c r="AD50" s="51">
        <v>26</v>
      </c>
      <c r="AE50" s="91">
        <v>5770.49</v>
      </c>
      <c r="AF50" s="91">
        <v>1412.75</v>
      </c>
      <c r="AG50" s="91">
        <v>1247.32</v>
      </c>
      <c r="AH50" s="90">
        <v>8430.56</v>
      </c>
      <c r="AR50" s="86" t="s">
        <v>75</v>
      </c>
      <c r="AS50" s="86" t="s">
        <v>235</v>
      </c>
      <c r="AT50" s="62">
        <f t="shared" si="0"/>
        <v>116539.41007999999</v>
      </c>
      <c r="AU50" s="62">
        <f t="shared" si="1"/>
        <v>112641.40871999998</v>
      </c>
      <c r="AV50" s="62">
        <f t="shared" si="2"/>
        <v>103725.23189999998</v>
      </c>
    </row>
    <row r="51" spans="1:48" ht="12" customHeight="1" x14ac:dyDescent="0.2">
      <c r="A51" s="86" t="s">
        <v>75</v>
      </c>
      <c r="B51" s="86" t="s">
        <v>236</v>
      </c>
      <c r="C51" s="51">
        <v>545</v>
      </c>
      <c r="D51" s="91">
        <v>56078.69</v>
      </c>
      <c r="E51" s="91">
        <v>37032.120000000003</v>
      </c>
      <c r="F51" s="91">
        <v>241590.48</v>
      </c>
      <c r="G51" s="90">
        <v>334701.28999999998</v>
      </c>
      <c r="H51" s="51">
        <v>548</v>
      </c>
      <c r="I51" s="91">
        <v>70534.91</v>
      </c>
      <c r="J51" s="91">
        <v>37285.81</v>
      </c>
      <c r="K51" s="91">
        <v>222151.71</v>
      </c>
      <c r="L51" s="90">
        <v>329972.43</v>
      </c>
      <c r="M51" s="51">
        <v>559</v>
      </c>
      <c r="N51" s="91">
        <v>69739.730000000098</v>
      </c>
      <c r="O51" s="91">
        <v>42073.120000000003</v>
      </c>
      <c r="P51" s="91">
        <v>207109.75</v>
      </c>
      <c r="Q51" s="90">
        <v>318922.59999999998</v>
      </c>
      <c r="R51" s="86" t="s">
        <v>75</v>
      </c>
      <c r="S51" s="86" t="s">
        <v>251</v>
      </c>
      <c r="T51" s="51">
        <v>76</v>
      </c>
      <c r="U51" s="91">
        <v>4713.1000000000004</v>
      </c>
      <c r="V51" s="91">
        <v>2806.7</v>
      </c>
      <c r="W51" s="91">
        <v>7030.75</v>
      </c>
      <c r="X51" s="90">
        <v>14550.55</v>
      </c>
      <c r="Y51" s="51">
        <v>86</v>
      </c>
      <c r="Z51" s="91">
        <v>6931.83</v>
      </c>
      <c r="AA51" s="91">
        <v>3055.73</v>
      </c>
      <c r="AB51" s="91">
        <v>7957.49</v>
      </c>
      <c r="AC51" s="90">
        <v>17945.05</v>
      </c>
      <c r="AD51" s="51">
        <v>93</v>
      </c>
      <c r="AE51" s="91">
        <v>8095.32</v>
      </c>
      <c r="AF51" s="91">
        <v>3649.19</v>
      </c>
      <c r="AG51" s="91">
        <v>7279.02</v>
      </c>
      <c r="AH51" s="90">
        <v>19023.53</v>
      </c>
      <c r="AR51" s="86" t="s">
        <v>75</v>
      </c>
      <c r="AS51" s="86" t="s">
        <v>236</v>
      </c>
      <c r="AT51" s="62">
        <f t="shared" si="0"/>
        <v>73049.931320000003</v>
      </c>
      <c r="AU51" s="62">
        <f t="shared" si="1"/>
        <v>67679.408779999998</v>
      </c>
      <c r="AV51" s="62">
        <f t="shared" si="2"/>
        <v>63621.15999</v>
      </c>
    </row>
    <row r="52" spans="1:48" ht="12" customHeight="1" x14ac:dyDescent="0.2">
      <c r="A52" s="86" t="s">
        <v>75</v>
      </c>
      <c r="B52" s="86" t="s">
        <v>237</v>
      </c>
      <c r="C52" s="51">
        <v>92</v>
      </c>
      <c r="D52" s="91">
        <v>11557.96</v>
      </c>
      <c r="E52" s="91">
        <v>5996.07</v>
      </c>
      <c r="F52" s="91">
        <v>38925.07</v>
      </c>
      <c r="G52" s="90">
        <v>56479.1</v>
      </c>
      <c r="H52" s="51">
        <v>96</v>
      </c>
      <c r="I52" s="91">
        <v>11772.76</v>
      </c>
      <c r="J52" s="91">
        <v>6272.96</v>
      </c>
      <c r="K52" s="91">
        <v>38448.65</v>
      </c>
      <c r="L52" s="90">
        <v>56494.37</v>
      </c>
      <c r="M52" s="51">
        <v>94</v>
      </c>
      <c r="N52" s="91">
        <v>11026.52</v>
      </c>
      <c r="O52" s="91">
        <v>4945.54</v>
      </c>
      <c r="P52" s="91">
        <v>23102.01</v>
      </c>
      <c r="Q52" s="90">
        <v>39074.07</v>
      </c>
      <c r="R52" s="86" t="s">
        <v>75</v>
      </c>
      <c r="S52" s="86" t="s">
        <v>252</v>
      </c>
      <c r="T52" s="51">
        <v>54</v>
      </c>
      <c r="U52" s="91">
        <v>3488.3</v>
      </c>
      <c r="V52" s="91">
        <v>1915.84</v>
      </c>
      <c r="W52" s="91">
        <v>4736.9799999999996</v>
      </c>
      <c r="X52" s="90">
        <v>10141.120000000001</v>
      </c>
      <c r="Y52" s="51">
        <v>49</v>
      </c>
      <c r="Z52" s="91">
        <v>4067.09</v>
      </c>
      <c r="AA52" s="91">
        <v>2027.87</v>
      </c>
      <c r="AB52" s="91">
        <v>3742.09</v>
      </c>
      <c r="AC52" s="90">
        <v>9837.0499999999993</v>
      </c>
      <c r="AD52" s="51">
        <v>46</v>
      </c>
      <c r="AE52" s="91">
        <v>3295.65</v>
      </c>
      <c r="AF52" s="91">
        <v>2142.4299999999998</v>
      </c>
      <c r="AG52" s="91">
        <v>3054.41</v>
      </c>
      <c r="AH52" s="90">
        <v>8492.49</v>
      </c>
      <c r="AR52" s="86" t="s">
        <v>75</v>
      </c>
      <c r="AS52" s="86" t="s">
        <v>237</v>
      </c>
      <c r="AT52" s="62">
        <f t="shared" si="0"/>
        <v>11812.025</v>
      </c>
      <c r="AU52" s="62">
        <f t="shared" si="1"/>
        <v>11695.22049</v>
      </c>
      <c r="AV52" s="62">
        <f t="shared" si="2"/>
        <v>7164.4742299999989</v>
      </c>
    </row>
    <row r="53" spans="1:48" ht="12" customHeight="1" x14ac:dyDescent="0.2">
      <c r="A53" s="86" t="s">
        <v>75</v>
      </c>
      <c r="B53" s="86" t="s">
        <v>238</v>
      </c>
      <c r="C53" s="51">
        <v>269</v>
      </c>
      <c r="D53" s="91">
        <v>8328.67</v>
      </c>
      <c r="E53" s="91">
        <v>26854.94</v>
      </c>
      <c r="F53" s="91">
        <v>168798.59</v>
      </c>
      <c r="G53" s="90">
        <v>203982.2</v>
      </c>
      <c r="H53" s="51">
        <v>242</v>
      </c>
      <c r="I53" s="91">
        <v>25595.98</v>
      </c>
      <c r="J53" s="91">
        <v>15878.97</v>
      </c>
      <c r="K53" s="91">
        <v>145379.91</v>
      </c>
      <c r="L53" s="90">
        <v>186854.86</v>
      </c>
      <c r="M53" s="51">
        <v>343</v>
      </c>
      <c r="N53" s="91">
        <v>59923.94</v>
      </c>
      <c r="O53" s="91">
        <v>4593.63</v>
      </c>
      <c r="P53" s="91">
        <v>153427</v>
      </c>
      <c r="Q53" s="90">
        <v>217944.57</v>
      </c>
      <c r="R53" s="86" t="s">
        <v>75</v>
      </c>
      <c r="S53" s="86" t="s">
        <v>253</v>
      </c>
      <c r="T53" s="51"/>
      <c r="U53" s="91">
        <v>0</v>
      </c>
      <c r="V53" s="91">
        <v>0</v>
      </c>
      <c r="W53" s="91">
        <v>0</v>
      </c>
      <c r="X53" s="90">
        <v>0</v>
      </c>
      <c r="Y53" s="51"/>
      <c r="Z53" s="91">
        <v>0</v>
      </c>
      <c r="AA53" s="91">
        <v>0</v>
      </c>
      <c r="AB53" s="91">
        <v>0</v>
      </c>
      <c r="AC53" s="90">
        <v>0</v>
      </c>
      <c r="AD53" s="51"/>
      <c r="AE53" s="91">
        <v>0</v>
      </c>
      <c r="AF53" s="91">
        <v>0</v>
      </c>
      <c r="AG53" s="91">
        <v>0</v>
      </c>
      <c r="AH53" s="90">
        <v>0</v>
      </c>
      <c r="AR53" s="86" t="s">
        <v>75</v>
      </c>
      <c r="AS53" s="86" t="s">
        <v>238</v>
      </c>
      <c r="AT53" s="62">
        <f t="shared" si="0"/>
        <v>50607.912449999989</v>
      </c>
      <c r="AU53" s="62">
        <f t="shared" si="1"/>
        <v>43424.70478</v>
      </c>
      <c r="AV53" s="62">
        <f t="shared" si="2"/>
        <v>45588.584729999995</v>
      </c>
    </row>
    <row r="54" spans="1:48" ht="12" customHeight="1" x14ac:dyDescent="0.2">
      <c r="A54" s="86" t="s">
        <v>75</v>
      </c>
      <c r="B54" s="86" t="s">
        <v>239</v>
      </c>
      <c r="C54" s="51">
        <v>500</v>
      </c>
      <c r="D54" s="91">
        <v>55738.049999999901</v>
      </c>
      <c r="E54" s="91">
        <v>41148.47</v>
      </c>
      <c r="F54" s="91">
        <v>255412.73</v>
      </c>
      <c r="G54" s="90">
        <v>352299.25</v>
      </c>
      <c r="H54" s="51">
        <v>491</v>
      </c>
      <c r="I54" s="91">
        <v>54204.52</v>
      </c>
      <c r="J54" s="91">
        <v>33299.03</v>
      </c>
      <c r="K54" s="91">
        <v>196948.24</v>
      </c>
      <c r="L54" s="90">
        <v>284451.78999999998</v>
      </c>
      <c r="M54" s="51">
        <v>510</v>
      </c>
      <c r="N54" s="91">
        <v>66805.59</v>
      </c>
      <c r="O54" s="91">
        <v>27914.240000000002</v>
      </c>
      <c r="P54" s="91">
        <v>164910.37</v>
      </c>
      <c r="Q54" s="90">
        <v>259630.2</v>
      </c>
      <c r="R54" s="86" t="s">
        <v>75</v>
      </c>
      <c r="S54" s="86" t="s">
        <v>254</v>
      </c>
      <c r="T54" s="51">
        <v>31</v>
      </c>
      <c r="U54" s="91">
        <v>2124.04</v>
      </c>
      <c r="V54" s="91">
        <v>2343.04</v>
      </c>
      <c r="W54" s="91">
        <v>17056.560000000001</v>
      </c>
      <c r="X54" s="90">
        <v>21523.64</v>
      </c>
      <c r="Y54" s="51">
        <v>19</v>
      </c>
      <c r="Z54" s="91">
        <v>1620.74</v>
      </c>
      <c r="AA54" s="91">
        <v>1009.17</v>
      </c>
      <c r="AB54" s="91">
        <v>10174.19</v>
      </c>
      <c r="AC54" s="90">
        <v>12804.1</v>
      </c>
      <c r="AD54" s="51">
        <v>19</v>
      </c>
      <c r="AE54" s="91">
        <v>1614.16</v>
      </c>
      <c r="AF54" s="91">
        <v>1281.24</v>
      </c>
      <c r="AG54" s="91">
        <v>7711.38</v>
      </c>
      <c r="AH54" s="90">
        <v>10606.78</v>
      </c>
      <c r="AR54" s="86" t="s">
        <v>75</v>
      </c>
      <c r="AS54" s="86" t="s">
        <v>239</v>
      </c>
      <c r="AT54" s="62">
        <f t="shared" si="0"/>
        <v>77298.441380000004</v>
      </c>
      <c r="AU54" s="62">
        <f t="shared" si="1"/>
        <v>59883.152569999998</v>
      </c>
      <c r="AV54" s="62">
        <f t="shared" si="2"/>
        <v>50486.58348999999</v>
      </c>
    </row>
    <row r="55" spans="1:48" ht="12" customHeight="1" x14ac:dyDescent="0.2">
      <c r="A55" s="86" t="s">
        <v>75</v>
      </c>
      <c r="B55" s="86" t="s">
        <v>240</v>
      </c>
      <c r="C55" s="51">
        <v>426</v>
      </c>
      <c r="D55" s="91">
        <v>46904.41</v>
      </c>
      <c r="E55" s="91">
        <v>34453.050000000003</v>
      </c>
      <c r="F55" s="91">
        <v>170952.69</v>
      </c>
      <c r="G55" s="90">
        <v>252310.15</v>
      </c>
      <c r="H55" s="51">
        <v>420</v>
      </c>
      <c r="I55" s="91">
        <v>47535.89</v>
      </c>
      <c r="J55" s="91">
        <v>30212.61</v>
      </c>
      <c r="K55" s="91">
        <v>155243.1</v>
      </c>
      <c r="L55" s="90">
        <v>232991.6</v>
      </c>
      <c r="M55" s="51">
        <v>415</v>
      </c>
      <c r="N55" s="91">
        <v>55331.67</v>
      </c>
      <c r="O55" s="91">
        <v>24115.75</v>
      </c>
      <c r="P55" s="91">
        <v>113575.59</v>
      </c>
      <c r="Q55" s="90">
        <v>193023.01</v>
      </c>
      <c r="R55" s="86" t="s">
        <v>75</v>
      </c>
      <c r="S55" s="86" t="s">
        <v>255</v>
      </c>
      <c r="T55" s="51">
        <v>8</v>
      </c>
      <c r="U55" s="91">
        <v>667.42</v>
      </c>
      <c r="V55" s="91">
        <v>453.94</v>
      </c>
      <c r="W55" s="91">
        <v>1302.3499999999999</v>
      </c>
      <c r="X55" s="90">
        <v>2423.71</v>
      </c>
      <c r="Y55" s="51">
        <v>7</v>
      </c>
      <c r="Z55" s="91">
        <v>770.76</v>
      </c>
      <c r="AA55" s="91">
        <v>392.44</v>
      </c>
      <c r="AB55" s="91">
        <v>863.06</v>
      </c>
      <c r="AC55" s="90">
        <v>2026.26</v>
      </c>
      <c r="AD55" s="51">
        <v>7</v>
      </c>
      <c r="AE55" s="91">
        <v>632.55999999999995</v>
      </c>
      <c r="AF55" s="91">
        <v>387.96</v>
      </c>
      <c r="AG55" s="91">
        <v>578.1</v>
      </c>
      <c r="AH55" s="90">
        <v>1598.62</v>
      </c>
      <c r="AR55" s="86" t="s">
        <v>75</v>
      </c>
      <c r="AS55" s="86" t="s">
        <v>240</v>
      </c>
      <c r="AT55" s="62">
        <f t="shared" si="0"/>
        <v>52326.340120000001</v>
      </c>
      <c r="AU55" s="62">
        <f t="shared" si="1"/>
        <v>47529.224569999998</v>
      </c>
      <c r="AV55" s="62">
        <f t="shared" si="2"/>
        <v>35227.944479999998</v>
      </c>
    </row>
    <row r="56" spans="1:48" ht="12" customHeight="1" x14ac:dyDescent="0.2">
      <c r="A56" s="86" t="s">
        <v>75</v>
      </c>
      <c r="B56" s="86" t="s">
        <v>241</v>
      </c>
      <c r="C56" s="51">
        <v>192</v>
      </c>
      <c r="D56" s="91">
        <v>27450.38</v>
      </c>
      <c r="E56" s="91">
        <v>15981.03</v>
      </c>
      <c r="F56" s="91">
        <v>119675.78</v>
      </c>
      <c r="G56" s="90">
        <v>163107.19</v>
      </c>
      <c r="H56" s="51">
        <v>188</v>
      </c>
      <c r="I56" s="91">
        <v>31328.43</v>
      </c>
      <c r="J56" s="91">
        <v>17181.46</v>
      </c>
      <c r="K56" s="91">
        <v>110707.16</v>
      </c>
      <c r="L56" s="90">
        <v>159217.04999999999</v>
      </c>
      <c r="M56" s="51">
        <v>180</v>
      </c>
      <c r="N56" s="91">
        <v>29123.360000000001</v>
      </c>
      <c r="O56" s="91">
        <v>17014.689999999999</v>
      </c>
      <c r="P56" s="91">
        <v>91843.31</v>
      </c>
      <c r="Q56" s="90">
        <v>137981.35999999999</v>
      </c>
      <c r="R56" s="86" t="s">
        <v>75</v>
      </c>
      <c r="S56" s="86" t="s">
        <v>260</v>
      </c>
      <c r="T56" s="51">
        <v>2</v>
      </c>
      <c r="U56" s="91">
        <v>0</v>
      </c>
      <c r="V56" s="91">
        <v>236.94</v>
      </c>
      <c r="W56" s="91">
        <v>1497.13</v>
      </c>
      <c r="X56" s="90">
        <v>1734.07</v>
      </c>
      <c r="Y56" s="51">
        <v>2</v>
      </c>
      <c r="Z56" s="91">
        <v>247.88</v>
      </c>
      <c r="AA56" s="91">
        <v>236.94</v>
      </c>
      <c r="AB56" s="91">
        <v>1195.1400000000001</v>
      </c>
      <c r="AC56" s="90">
        <v>1679.96</v>
      </c>
      <c r="AD56" s="51">
        <v>2</v>
      </c>
      <c r="AE56" s="91">
        <v>536.46</v>
      </c>
      <c r="AF56" s="91">
        <v>0</v>
      </c>
      <c r="AG56" s="91">
        <v>1336.9</v>
      </c>
      <c r="AH56" s="90">
        <v>1873.36</v>
      </c>
      <c r="AR56" s="86" t="s">
        <v>75</v>
      </c>
      <c r="AS56" s="86" t="s">
        <v>241</v>
      </c>
      <c r="AT56" s="62">
        <f t="shared" si="0"/>
        <v>36032.311390000003</v>
      </c>
      <c r="AU56" s="62">
        <f t="shared" si="1"/>
        <v>33578.056100000002</v>
      </c>
      <c r="AV56" s="62">
        <f t="shared" si="2"/>
        <v>28080.615819999995</v>
      </c>
    </row>
    <row r="57" spans="1:48" ht="12" customHeight="1" x14ac:dyDescent="0.2">
      <c r="A57" s="86" t="s">
        <v>75</v>
      </c>
      <c r="B57" s="86" t="s">
        <v>242</v>
      </c>
      <c r="C57" s="51">
        <v>32</v>
      </c>
      <c r="D57" s="91">
        <v>2984.31</v>
      </c>
      <c r="E57" s="91">
        <v>2742.61</v>
      </c>
      <c r="F57" s="91">
        <v>29973.599999999999</v>
      </c>
      <c r="G57" s="90">
        <v>35700.519999999997</v>
      </c>
      <c r="H57" s="51">
        <v>28</v>
      </c>
      <c r="I57" s="91">
        <v>2576.59</v>
      </c>
      <c r="J57" s="91">
        <v>1952.73</v>
      </c>
      <c r="K57" s="91">
        <v>19199.11</v>
      </c>
      <c r="L57" s="90">
        <v>23728.43</v>
      </c>
      <c r="M57" s="51">
        <v>32</v>
      </c>
      <c r="N57" s="91">
        <v>3487.55</v>
      </c>
      <c r="O57" s="91">
        <v>2028.84</v>
      </c>
      <c r="P57" s="91">
        <v>17729.95</v>
      </c>
      <c r="Q57" s="90">
        <v>23246.34</v>
      </c>
      <c r="R57" s="86" t="s">
        <v>75</v>
      </c>
      <c r="S57" s="86" t="s">
        <v>256</v>
      </c>
      <c r="T57" s="51">
        <v>2</v>
      </c>
      <c r="U57" s="91">
        <v>159.29</v>
      </c>
      <c r="V57" s="91">
        <v>136.19</v>
      </c>
      <c r="W57" s="91">
        <v>973.03</v>
      </c>
      <c r="X57" s="90">
        <v>1268.51</v>
      </c>
      <c r="Y57" s="51">
        <v>2</v>
      </c>
      <c r="Z57" s="91">
        <v>257.62</v>
      </c>
      <c r="AA57" s="91">
        <v>132.31</v>
      </c>
      <c r="AB57" s="91">
        <v>851.23</v>
      </c>
      <c r="AC57" s="90">
        <v>1241.1600000000001</v>
      </c>
      <c r="AD57" s="51">
        <v>2</v>
      </c>
      <c r="AE57" s="91">
        <v>213.55</v>
      </c>
      <c r="AF57" s="91">
        <v>283.83999999999997</v>
      </c>
      <c r="AG57" s="91">
        <v>983.54</v>
      </c>
      <c r="AH57" s="90">
        <v>1480.93</v>
      </c>
      <c r="AR57" s="86" t="s">
        <v>75</v>
      </c>
      <c r="AS57" s="86" t="s">
        <v>242</v>
      </c>
      <c r="AT57" s="62">
        <f t="shared" si="0"/>
        <v>8882.9037900000003</v>
      </c>
      <c r="AU57" s="62">
        <f t="shared" si="1"/>
        <v>5712.7902199999999</v>
      </c>
      <c r="AV57" s="62">
        <f t="shared" si="2"/>
        <v>5307.5732699999999</v>
      </c>
    </row>
    <row r="58" spans="1:48" ht="12" customHeight="1" x14ac:dyDescent="0.2">
      <c r="A58" s="86" t="s">
        <v>75</v>
      </c>
      <c r="B58" s="86" t="s">
        <v>243</v>
      </c>
      <c r="C58" s="51">
        <v>1751</v>
      </c>
      <c r="D58" s="91">
        <v>193937.54</v>
      </c>
      <c r="E58" s="91">
        <v>132145.78</v>
      </c>
      <c r="F58" s="91">
        <v>650312.12</v>
      </c>
      <c r="G58" s="90">
        <v>976395.44</v>
      </c>
      <c r="H58" s="51">
        <v>1736</v>
      </c>
      <c r="I58" s="91">
        <v>226971.18</v>
      </c>
      <c r="J58" s="91">
        <v>110148.3</v>
      </c>
      <c r="K58" s="91">
        <v>586126.66</v>
      </c>
      <c r="L58" s="90">
        <v>923246.14</v>
      </c>
      <c r="M58" s="51">
        <v>1700</v>
      </c>
      <c r="N58" s="91">
        <v>227903.540000001</v>
      </c>
      <c r="O58" s="91">
        <v>117198.73</v>
      </c>
      <c r="P58" s="91">
        <v>522234.11</v>
      </c>
      <c r="Q58" s="90">
        <v>867336.38</v>
      </c>
      <c r="R58" s="86" t="s">
        <v>75</v>
      </c>
      <c r="S58" s="86" t="s">
        <v>257</v>
      </c>
      <c r="T58" s="51">
        <v>11</v>
      </c>
      <c r="U58" s="91">
        <v>902.95</v>
      </c>
      <c r="V58" s="91">
        <v>1285.46</v>
      </c>
      <c r="W58" s="91">
        <v>5436.19</v>
      </c>
      <c r="X58" s="90">
        <v>7624.6</v>
      </c>
      <c r="Y58" s="51">
        <v>14</v>
      </c>
      <c r="Z58" s="91">
        <v>1030.93</v>
      </c>
      <c r="AA58" s="91">
        <v>883.35</v>
      </c>
      <c r="AB58" s="91">
        <v>5641.75</v>
      </c>
      <c r="AC58" s="90">
        <v>7556.03</v>
      </c>
      <c r="AD58" s="51">
        <v>10</v>
      </c>
      <c r="AE58" s="91">
        <v>852.33</v>
      </c>
      <c r="AF58" s="91">
        <v>588.48</v>
      </c>
      <c r="AG58" s="91">
        <v>2716.19</v>
      </c>
      <c r="AH58" s="90">
        <v>4157</v>
      </c>
      <c r="AR58" s="86" t="s">
        <v>75</v>
      </c>
      <c r="AS58" s="86" t="s">
        <v>243</v>
      </c>
      <c r="AT58" s="62">
        <f t="shared" si="0"/>
        <v>199368.38746</v>
      </c>
      <c r="AU58" s="62">
        <f t="shared" si="1"/>
        <v>179961.48652000001</v>
      </c>
      <c r="AV58" s="62">
        <f t="shared" si="2"/>
        <v>161955.63442000002</v>
      </c>
    </row>
    <row r="59" spans="1:48" ht="12" customHeight="1" x14ac:dyDescent="0.2">
      <c r="A59" s="86" t="s">
        <v>75</v>
      </c>
      <c r="B59" s="86" t="s">
        <v>244</v>
      </c>
      <c r="C59" s="51">
        <v>1887</v>
      </c>
      <c r="D59" s="91">
        <v>194405.41</v>
      </c>
      <c r="E59" s="91">
        <v>118173.39</v>
      </c>
      <c r="F59" s="91">
        <v>678485.29</v>
      </c>
      <c r="G59" s="90">
        <v>991064.09</v>
      </c>
      <c r="H59" s="51">
        <v>1990</v>
      </c>
      <c r="I59" s="91">
        <v>233071.31</v>
      </c>
      <c r="J59" s="91">
        <v>122824.21</v>
      </c>
      <c r="K59" s="91">
        <v>643283.47</v>
      </c>
      <c r="L59" s="90">
        <v>999178.98999999894</v>
      </c>
      <c r="M59" s="51">
        <v>1959</v>
      </c>
      <c r="N59" s="91">
        <v>237363.63</v>
      </c>
      <c r="O59" s="91">
        <v>134055.71</v>
      </c>
      <c r="P59" s="91">
        <v>597726.16</v>
      </c>
      <c r="Q59" s="90">
        <v>969145.50000000105</v>
      </c>
      <c r="R59" s="86" t="s">
        <v>75</v>
      </c>
      <c r="S59" s="86" t="s">
        <v>258</v>
      </c>
      <c r="T59" s="51">
        <v>426</v>
      </c>
      <c r="U59" s="91">
        <v>18532.259999999998</v>
      </c>
      <c r="V59" s="91">
        <v>21651.65</v>
      </c>
      <c r="W59" s="91">
        <v>73696.87</v>
      </c>
      <c r="X59" s="90">
        <v>113880.78</v>
      </c>
      <c r="Y59" s="51">
        <v>429</v>
      </c>
      <c r="Z59" s="91">
        <v>32131.88</v>
      </c>
      <c r="AA59" s="91">
        <v>16884.34</v>
      </c>
      <c r="AB59" s="91">
        <v>48463.87</v>
      </c>
      <c r="AC59" s="90">
        <v>97480.090000000098</v>
      </c>
      <c r="AD59" s="51">
        <v>533</v>
      </c>
      <c r="AE59" s="91">
        <v>60846.31</v>
      </c>
      <c r="AF59" s="91">
        <v>12414.23</v>
      </c>
      <c r="AG59" s="91">
        <v>30368.57</v>
      </c>
      <c r="AH59" s="90">
        <v>103629.11</v>
      </c>
      <c r="AR59" s="86" t="s">
        <v>75</v>
      </c>
      <c r="AS59" s="86" t="s">
        <v>244</v>
      </c>
      <c r="AT59" s="62">
        <f t="shared" si="0"/>
        <v>206637.65893999999</v>
      </c>
      <c r="AU59" s="62">
        <f t="shared" si="1"/>
        <v>197375.98901999998</v>
      </c>
      <c r="AV59" s="62">
        <f t="shared" si="2"/>
        <v>184986.18805</v>
      </c>
    </row>
    <row r="60" spans="1:48" ht="12" customHeight="1" x14ac:dyDescent="0.2">
      <c r="A60" s="86" t="s">
        <v>75</v>
      </c>
      <c r="B60" s="86" t="s">
        <v>245</v>
      </c>
      <c r="C60" s="51">
        <v>358</v>
      </c>
      <c r="D60" s="91">
        <v>36914.74</v>
      </c>
      <c r="E60" s="91">
        <v>33495.089999999997</v>
      </c>
      <c r="F60" s="91">
        <v>146256.47</v>
      </c>
      <c r="G60" s="90">
        <v>216666.3</v>
      </c>
      <c r="H60" s="51">
        <v>353</v>
      </c>
      <c r="I60" s="91">
        <v>33949.47</v>
      </c>
      <c r="J60" s="91">
        <v>22426.52</v>
      </c>
      <c r="K60" s="91">
        <v>132339.51999999999</v>
      </c>
      <c r="L60" s="90">
        <v>188715.51</v>
      </c>
      <c r="M60" s="51">
        <v>333</v>
      </c>
      <c r="N60" s="91">
        <v>36350.22</v>
      </c>
      <c r="O60" s="91">
        <v>18573.53</v>
      </c>
      <c r="P60" s="91">
        <v>112441.19</v>
      </c>
      <c r="Q60" s="90">
        <v>167364.94</v>
      </c>
      <c r="R60" t="s">
        <v>75</v>
      </c>
      <c r="S60" t="s">
        <v>259</v>
      </c>
      <c r="T60" s="77">
        <v>4</v>
      </c>
      <c r="U60">
        <v>391.53</v>
      </c>
      <c r="V60">
        <v>333.8</v>
      </c>
      <c r="W60">
        <v>405.65</v>
      </c>
      <c r="X60">
        <v>1130.98</v>
      </c>
      <c r="Y60">
        <v>3</v>
      </c>
      <c r="Z60">
        <v>0</v>
      </c>
      <c r="AA60">
        <v>286.56</v>
      </c>
      <c r="AB60">
        <v>734.61</v>
      </c>
      <c r="AC60">
        <v>1021.17</v>
      </c>
      <c r="AD60">
        <v>4</v>
      </c>
      <c r="AE60">
        <v>330.21</v>
      </c>
      <c r="AF60">
        <v>279.93</v>
      </c>
      <c r="AG60">
        <v>416.45</v>
      </c>
      <c r="AH60">
        <v>1026.5899999999999</v>
      </c>
      <c r="AR60" s="86" t="s">
        <v>75</v>
      </c>
      <c r="AS60" s="86" t="s">
        <v>245</v>
      </c>
      <c r="AT60" s="62">
        <f t="shared" si="0"/>
        <v>44968.946339999995</v>
      </c>
      <c r="AU60" s="62">
        <f t="shared" si="1"/>
        <v>40202.18355999999</v>
      </c>
      <c r="AV60" s="62">
        <f t="shared" si="2"/>
        <v>34247.239820000003</v>
      </c>
    </row>
    <row r="61" spans="1:48" ht="12" customHeight="1" x14ac:dyDescent="0.2">
      <c r="A61" s="86" t="s">
        <v>75</v>
      </c>
      <c r="B61" s="86" t="s">
        <v>246</v>
      </c>
      <c r="C61" s="51">
        <v>1238</v>
      </c>
      <c r="D61" s="91">
        <v>131967.60999999999</v>
      </c>
      <c r="E61" s="91">
        <v>85749.94</v>
      </c>
      <c r="F61" s="91">
        <v>571484.81000000006</v>
      </c>
      <c r="G61" s="90">
        <v>789202.36000000103</v>
      </c>
      <c r="H61" s="51">
        <v>968</v>
      </c>
      <c r="I61" s="91">
        <v>58475.91</v>
      </c>
      <c r="J61" s="91">
        <v>81163.820000000007</v>
      </c>
      <c r="K61" s="91">
        <v>540916.68999999994</v>
      </c>
      <c r="L61" s="90">
        <v>680556.42</v>
      </c>
      <c r="M61" s="51">
        <v>1262</v>
      </c>
      <c r="N61" s="91">
        <v>156122.79</v>
      </c>
      <c r="O61" s="91">
        <v>115042.28</v>
      </c>
      <c r="P61" s="91">
        <v>529640.63</v>
      </c>
      <c r="Q61" s="90">
        <v>800805.69999999902</v>
      </c>
      <c r="R61" s="161" t="s">
        <v>280</v>
      </c>
      <c r="S61" s="161"/>
      <c r="T61" s="161">
        <f>SUM(T5:T60)</f>
        <v>5109</v>
      </c>
      <c r="U61" s="163">
        <f t="shared" ref="U61:AH61" si="4">SUM(U5:U60)</f>
        <v>414012.06000000006</v>
      </c>
      <c r="V61" s="163">
        <f t="shared" si="4"/>
        <v>355117.28000000014</v>
      </c>
      <c r="W61" s="163">
        <f t="shared" si="4"/>
        <v>2160954.7799999998</v>
      </c>
      <c r="X61" s="163">
        <f t="shared" si="4"/>
        <v>2930084.1199999992</v>
      </c>
      <c r="Y61" s="161">
        <f t="shared" si="4"/>
        <v>4632</v>
      </c>
      <c r="Z61" s="163">
        <f t="shared" si="4"/>
        <v>404744.29000000004</v>
      </c>
      <c r="AA61" s="163">
        <f t="shared" si="4"/>
        <v>301443.05999999976</v>
      </c>
      <c r="AB61" s="163">
        <f t="shared" si="4"/>
        <v>1811604.9700000004</v>
      </c>
      <c r="AC61" s="163">
        <f t="shared" si="4"/>
        <v>2517792.3199999994</v>
      </c>
      <c r="AD61" s="161">
        <f t="shared" si="4"/>
        <v>4956</v>
      </c>
      <c r="AE61" s="163">
        <f t="shared" si="4"/>
        <v>552575.08000000007</v>
      </c>
      <c r="AF61" s="163">
        <f t="shared" si="4"/>
        <v>314534.63</v>
      </c>
      <c r="AG61" s="163">
        <f t="shared" si="4"/>
        <v>1607119.4700000002</v>
      </c>
      <c r="AH61" s="163">
        <f t="shared" si="4"/>
        <v>2474229.1800000002</v>
      </c>
      <c r="AR61" s="86" t="s">
        <v>75</v>
      </c>
      <c r="AS61" s="86" t="s">
        <v>246</v>
      </c>
      <c r="AT61" s="62">
        <f t="shared" si="0"/>
        <v>172672.83807</v>
      </c>
      <c r="AU61" s="62">
        <f t="shared" si="1"/>
        <v>162373.85862999997</v>
      </c>
      <c r="AV61" s="62">
        <f t="shared" si="2"/>
        <v>162811.77035000001</v>
      </c>
    </row>
    <row r="62" spans="1:48" ht="12" customHeight="1" x14ac:dyDescent="0.2">
      <c r="A62" s="86" t="s">
        <v>75</v>
      </c>
      <c r="B62" s="86" t="s">
        <v>247</v>
      </c>
      <c r="C62" s="51">
        <v>1095</v>
      </c>
      <c r="D62" s="91">
        <v>123730.64</v>
      </c>
      <c r="E62" s="91">
        <v>90667.04</v>
      </c>
      <c r="F62" s="91">
        <v>678563</v>
      </c>
      <c r="G62" s="90">
        <v>892960.68000000098</v>
      </c>
      <c r="H62" s="51">
        <v>1085</v>
      </c>
      <c r="I62" s="91">
        <v>133546.54999999999</v>
      </c>
      <c r="J62" s="91">
        <v>79525.89</v>
      </c>
      <c r="K62" s="91">
        <v>577543.14</v>
      </c>
      <c r="L62" s="90">
        <v>790615.58000000101</v>
      </c>
      <c r="M62" s="51">
        <v>1098</v>
      </c>
      <c r="N62" s="91">
        <v>156619.98000000001</v>
      </c>
      <c r="O62" s="91">
        <v>88297.259999999893</v>
      </c>
      <c r="P62" s="91">
        <v>550692.32999999996</v>
      </c>
      <c r="Q62" s="90">
        <v>795609.57</v>
      </c>
      <c r="AR62" s="86" t="s">
        <v>75</v>
      </c>
      <c r="AS62" s="86" t="s">
        <v>247</v>
      </c>
      <c r="AT62" s="62">
        <f t="shared" si="0"/>
        <v>203796.42076000001</v>
      </c>
      <c r="AU62" s="62">
        <f t="shared" si="1"/>
        <v>174056.84332999997</v>
      </c>
      <c r="AV62" s="62">
        <f t="shared" si="2"/>
        <v>167218.73042999997</v>
      </c>
    </row>
    <row r="63" spans="1:48" ht="12" customHeight="1" x14ac:dyDescent="0.2">
      <c r="A63" s="86" t="s">
        <v>75</v>
      </c>
      <c r="B63" s="86" t="s">
        <v>248</v>
      </c>
      <c r="C63" s="51">
        <v>90</v>
      </c>
      <c r="D63" s="91">
        <v>9767.0200000000095</v>
      </c>
      <c r="E63" s="91">
        <v>7706.43</v>
      </c>
      <c r="F63" s="91">
        <v>74433.179999999993</v>
      </c>
      <c r="G63" s="90">
        <v>91906.63</v>
      </c>
      <c r="H63" s="51">
        <v>91</v>
      </c>
      <c r="I63" s="91">
        <v>10000.879999999999</v>
      </c>
      <c r="J63" s="91">
        <v>7990.11</v>
      </c>
      <c r="K63" s="91">
        <v>75234.070000000007</v>
      </c>
      <c r="L63" s="90">
        <v>93225.06</v>
      </c>
      <c r="M63" s="51">
        <v>85</v>
      </c>
      <c r="N63" s="91">
        <v>9685.58</v>
      </c>
      <c r="O63" s="91">
        <v>7157.59</v>
      </c>
      <c r="P63" s="91">
        <v>60892.44</v>
      </c>
      <c r="Q63" s="90">
        <v>77735.61</v>
      </c>
      <c r="AR63" s="86" t="s">
        <v>75</v>
      </c>
      <c r="AS63" s="86" t="s">
        <v>248</v>
      </c>
      <c r="AT63" s="62">
        <f t="shared" si="0"/>
        <v>22152.966429999997</v>
      </c>
      <c r="AU63" s="62">
        <f t="shared" si="1"/>
        <v>22406.037240000001</v>
      </c>
      <c r="AV63" s="62">
        <f t="shared" si="2"/>
        <v>18203.812610000001</v>
      </c>
    </row>
    <row r="64" spans="1:48" ht="12" customHeight="1" x14ac:dyDescent="0.2">
      <c r="A64" s="86" t="s">
        <v>75</v>
      </c>
      <c r="B64" s="86" t="s">
        <v>249</v>
      </c>
      <c r="C64" s="51">
        <v>698</v>
      </c>
      <c r="D64" s="91">
        <v>85722.780000000101</v>
      </c>
      <c r="E64" s="91">
        <v>45525.81</v>
      </c>
      <c r="F64" s="91">
        <v>222234.75</v>
      </c>
      <c r="G64" s="90">
        <v>353483.34</v>
      </c>
      <c r="H64" s="51">
        <v>749</v>
      </c>
      <c r="I64" s="91">
        <v>119858.61</v>
      </c>
      <c r="J64" s="91">
        <v>48415.41</v>
      </c>
      <c r="K64" s="91">
        <v>203989.32</v>
      </c>
      <c r="L64" s="90">
        <v>372263.34</v>
      </c>
      <c r="M64" s="51">
        <v>719</v>
      </c>
      <c r="N64" s="91">
        <v>100874.43</v>
      </c>
      <c r="O64" s="91">
        <v>60522.529999999897</v>
      </c>
      <c r="P64" s="91">
        <v>172552.57</v>
      </c>
      <c r="Q64" s="90">
        <v>333949.53000000003</v>
      </c>
      <c r="AR64" s="86" t="s">
        <v>75</v>
      </c>
      <c r="AS64" s="86" t="s">
        <v>249</v>
      </c>
      <c r="AT64" s="62">
        <f t="shared" si="0"/>
        <v>68465.533259999997</v>
      </c>
      <c r="AU64" s="62">
        <f t="shared" si="1"/>
        <v>63920.822069999995</v>
      </c>
      <c r="AV64" s="62">
        <f t="shared" si="2"/>
        <v>55294.602999999988</v>
      </c>
    </row>
    <row r="65" spans="1:48" ht="12" customHeight="1" x14ac:dyDescent="0.2">
      <c r="A65" s="86" t="s">
        <v>75</v>
      </c>
      <c r="B65" s="86" t="s">
        <v>271</v>
      </c>
      <c r="C65" s="51">
        <v>1</v>
      </c>
      <c r="D65" s="91">
        <v>157.44</v>
      </c>
      <c r="E65" s="91">
        <v>101.89</v>
      </c>
      <c r="F65" s="91">
        <v>0</v>
      </c>
      <c r="G65" s="90">
        <v>259.33</v>
      </c>
      <c r="H65" s="51">
        <v>1</v>
      </c>
      <c r="I65" s="91">
        <v>243.05</v>
      </c>
      <c r="J65" s="91">
        <v>157.44</v>
      </c>
      <c r="K65" s="91">
        <v>101.89</v>
      </c>
      <c r="L65" s="90">
        <v>502.38</v>
      </c>
      <c r="M65" s="51"/>
      <c r="N65" s="91">
        <v>0</v>
      </c>
      <c r="O65" s="91">
        <v>0</v>
      </c>
      <c r="P65" s="91">
        <v>0</v>
      </c>
      <c r="Q65" s="90">
        <v>0</v>
      </c>
      <c r="AR65" s="86" t="s">
        <v>75</v>
      </c>
      <c r="AS65" s="86" t="s">
        <v>271</v>
      </c>
      <c r="AT65" s="62">
        <f t="shared" si="0"/>
        <v>8.93811</v>
      </c>
      <c r="AU65" s="62">
        <f t="shared" si="1"/>
        <v>43.253729999999997</v>
      </c>
      <c r="AV65" s="62">
        <f t="shared" si="2"/>
        <v>0</v>
      </c>
    </row>
    <row r="66" spans="1:48" ht="12" customHeight="1" x14ac:dyDescent="0.2">
      <c r="A66" s="86" t="s">
        <v>75</v>
      </c>
      <c r="B66" s="86" t="s">
        <v>250</v>
      </c>
      <c r="C66" s="51">
        <v>250</v>
      </c>
      <c r="D66" s="91">
        <v>32919.22</v>
      </c>
      <c r="E66" s="91">
        <v>13477.09</v>
      </c>
      <c r="F66" s="91">
        <v>33549.370000000003</v>
      </c>
      <c r="G66" s="90">
        <v>79945.679999999993</v>
      </c>
      <c r="H66" s="51">
        <v>255</v>
      </c>
      <c r="I66" s="91">
        <v>41251.26</v>
      </c>
      <c r="J66" s="91">
        <v>15768.37</v>
      </c>
      <c r="K66" s="91">
        <v>21676.31</v>
      </c>
      <c r="L66" s="90">
        <v>78695.94</v>
      </c>
      <c r="M66" s="51">
        <v>261</v>
      </c>
      <c r="N66" s="91">
        <v>43829.19</v>
      </c>
      <c r="O66" s="91">
        <v>18509.16</v>
      </c>
      <c r="P66" s="91">
        <v>16287.02</v>
      </c>
      <c r="Q66" s="90">
        <v>78625.37</v>
      </c>
      <c r="AR66" s="86" t="s">
        <v>75</v>
      </c>
      <c r="AS66" s="86" t="s">
        <v>250</v>
      </c>
      <c r="AT66" s="62">
        <f t="shared" si="0"/>
        <v>11071.53212</v>
      </c>
      <c r="AU66" s="62">
        <f t="shared" si="1"/>
        <v>7917.8810599999997</v>
      </c>
      <c r="AV66" s="62">
        <f t="shared" si="2"/>
        <v>6574.2929000000004</v>
      </c>
    </row>
    <row r="67" spans="1:48" ht="12" customHeight="1" x14ac:dyDescent="0.2">
      <c r="A67" s="86" t="s">
        <v>75</v>
      </c>
      <c r="B67" s="86" t="s">
        <v>251</v>
      </c>
      <c r="C67" s="51">
        <v>554</v>
      </c>
      <c r="D67" s="91">
        <v>43797.91</v>
      </c>
      <c r="E67" s="91">
        <v>21888.81</v>
      </c>
      <c r="F67" s="91">
        <v>39318.5</v>
      </c>
      <c r="G67" s="90">
        <v>105005.22</v>
      </c>
      <c r="H67" s="51">
        <v>569</v>
      </c>
      <c r="I67" s="91">
        <v>52384.56</v>
      </c>
      <c r="J67" s="91">
        <v>21512.73</v>
      </c>
      <c r="K67" s="91">
        <v>31104.17</v>
      </c>
      <c r="L67" s="90">
        <v>105001.46</v>
      </c>
      <c r="M67" s="51">
        <v>595</v>
      </c>
      <c r="N67" s="91">
        <v>58447.59</v>
      </c>
      <c r="O67" s="91">
        <v>22764.66</v>
      </c>
      <c r="P67" s="91">
        <v>22777.34</v>
      </c>
      <c r="Q67" s="90">
        <v>103989.59</v>
      </c>
      <c r="AR67" s="86" t="s">
        <v>75</v>
      </c>
      <c r="AS67" s="86" t="s">
        <v>251</v>
      </c>
      <c r="AT67" s="62">
        <f t="shared" si="0"/>
        <v>13442.808089999999</v>
      </c>
      <c r="AU67" s="62">
        <f t="shared" si="1"/>
        <v>11182.560079999997</v>
      </c>
      <c r="AV67" s="62">
        <f t="shared" si="2"/>
        <v>8951.9862799999992</v>
      </c>
    </row>
    <row r="68" spans="1:48" ht="12" customHeight="1" x14ac:dyDescent="0.2">
      <c r="A68" s="86" t="s">
        <v>75</v>
      </c>
      <c r="B68" s="86" t="s">
        <v>252</v>
      </c>
      <c r="C68" s="51">
        <v>373</v>
      </c>
      <c r="D68" s="91">
        <v>33097.33</v>
      </c>
      <c r="E68" s="91">
        <v>21090.560000000001</v>
      </c>
      <c r="F68" s="91">
        <v>55428.31</v>
      </c>
      <c r="G68" s="90">
        <v>109616.2</v>
      </c>
      <c r="H68" s="51">
        <v>369</v>
      </c>
      <c r="I68" s="91">
        <v>45811.309999999903</v>
      </c>
      <c r="J68" s="91">
        <v>19033.689999999999</v>
      </c>
      <c r="K68" s="91">
        <v>42392.41</v>
      </c>
      <c r="L68" s="90">
        <v>107237.41</v>
      </c>
      <c r="M68" s="51">
        <v>372</v>
      </c>
      <c r="N68" s="91">
        <v>38620.28</v>
      </c>
      <c r="O68" s="91">
        <v>21915.41</v>
      </c>
      <c r="P68" s="91">
        <v>26300.21</v>
      </c>
      <c r="Q68" s="90">
        <v>86835.9</v>
      </c>
      <c r="AR68" s="86" t="s">
        <v>75</v>
      </c>
      <c r="AS68" s="86" t="s">
        <v>252</v>
      </c>
      <c r="AT68" s="62">
        <f t="shared" si="0"/>
        <v>17877.044149999998</v>
      </c>
      <c r="AU68" s="62">
        <f t="shared" si="1"/>
        <v>14183.509919999999</v>
      </c>
      <c r="AV68" s="62">
        <f t="shared" si="2"/>
        <v>9599.3559999999998</v>
      </c>
    </row>
    <row r="69" spans="1:48" ht="12" customHeight="1" x14ac:dyDescent="0.2">
      <c r="A69" s="86" t="s">
        <v>75</v>
      </c>
      <c r="B69" s="86" t="s">
        <v>253</v>
      </c>
      <c r="C69" s="51">
        <v>26</v>
      </c>
      <c r="D69" s="91">
        <v>3069.37</v>
      </c>
      <c r="E69" s="91">
        <v>2137.0500000000002</v>
      </c>
      <c r="F69" s="91">
        <v>1689.54</v>
      </c>
      <c r="G69" s="90">
        <v>6895.96</v>
      </c>
      <c r="H69" s="51">
        <v>22</v>
      </c>
      <c r="I69" s="91">
        <v>2553.98</v>
      </c>
      <c r="J69" s="91">
        <v>1255.8</v>
      </c>
      <c r="K69" s="91">
        <v>1195.57</v>
      </c>
      <c r="L69" s="90">
        <v>5005.3500000000004</v>
      </c>
      <c r="M69" s="51">
        <v>22</v>
      </c>
      <c r="N69" s="91">
        <v>2164.15</v>
      </c>
      <c r="O69" s="91">
        <v>1086.21</v>
      </c>
      <c r="P69" s="91">
        <v>362.47</v>
      </c>
      <c r="Q69" s="90">
        <v>3612.83</v>
      </c>
      <c r="AR69" s="86" t="s">
        <v>75</v>
      </c>
      <c r="AS69" s="86" t="s">
        <v>253</v>
      </c>
      <c r="AT69" s="62">
        <f t="shared" si="0"/>
        <v>672.02112999999997</v>
      </c>
      <c r="AU69" s="62">
        <f t="shared" si="1"/>
        <v>465.49880999999999</v>
      </c>
      <c r="AV69" s="62">
        <f t="shared" si="2"/>
        <v>207.81146000000001</v>
      </c>
    </row>
    <row r="70" spans="1:48" ht="12" customHeight="1" x14ac:dyDescent="0.2">
      <c r="A70" s="86" t="s">
        <v>75</v>
      </c>
      <c r="B70" s="86" t="s">
        <v>254</v>
      </c>
      <c r="C70" s="51">
        <v>202</v>
      </c>
      <c r="D70" s="91">
        <v>18287.53</v>
      </c>
      <c r="E70" s="91">
        <v>18508.87</v>
      </c>
      <c r="F70" s="91">
        <v>68053.759999999995</v>
      </c>
      <c r="G70" s="90">
        <v>104850.16</v>
      </c>
      <c r="H70" s="51">
        <v>180</v>
      </c>
      <c r="I70" s="91">
        <v>19535.64</v>
      </c>
      <c r="J70" s="91">
        <v>10227.44</v>
      </c>
      <c r="K70" s="91">
        <v>36104.35</v>
      </c>
      <c r="L70" s="90">
        <v>65867.429999999993</v>
      </c>
      <c r="M70" s="51">
        <v>173</v>
      </c>
      <c r="N70" s="91">
        <v>20153.240000000002</v>
      </c>
      <c r="O70" s="91">
        <v>10505.25</v>
      </c>
      <c r="P70" s="91">
        <v>27978.75</v>
      </c>
      <c r="Q70" s="90">
        <v>58637.24</v>
      </c>
      <c r="AR70" s="86" t="s">
        <v>75</v>
      </c>
      <c r="AS70" s="86" t="s">
        <v>254</v>
      </c>
      <c r="AT70" s="62">
        <f t="shared" ref="AT70:AT76" si="5">D70*1.6%+E70*6.3%+F70*28.9%</f>
        <v>21126.195929999998</v>
      </c>
      <c r="AU70" s="62">
        <f t="shared" ref="AU70:AU76" si="6">I70*1.6%+J70*6.3%+K70*28.9%</f>
        <v>11391.05611</v>
      </c>
      <c r="AV70" s="62">
        <f t="shared" ref="AV70:AV75" si="7">N70*1.6%+O70*6.3%+P70*28.9%</f>
        <v>9070.1413400000001</v>
      </c>
    </row>
    <row r="71" spans="1:48" ht="12" customHeight="1" x14ac:dyDescent="0.2">
      <c r="A71" s="86" t="s">
        <v>75</v>
      </c>
      <c r="B71" s="86" t="s">
        <v>255</v>
      </c>
      <c r="C71" s="51">
        <v>47</v>
      </c>
      <c r="D71" s="91">
        <v>4317.1099999999997</v>
      </c>
      <c r="E71" s="91">
        <v>3382.57</v>
      </c>
      <c r="F71" s="91">
        <v>7846.67</v>
      </c>
      <c r="G71" s="90">
        <v>15546.35</v>
      </c>
      <c r="H71" s="51">
        <v>48</v>
      </c>
      <c r="I71" s="91">
        <v>5052.51</v>
      </c>
      <c r="J71" s="91">
        <v>2747.21</v>
      </c>
      <c r="K71" s="91">
        <v>7139.15</v>
      </c>
      <c r="L71" s="90">
        <v>14938.87</v>
      </c>
      <c r="M71" s="51">
        <v>43</v>
      </c>
      <c r="N71" s="91">
        <v>4735.18</v>
      </c>
      <c r="O71" s="91">
        <v>2565.5500000000002</v>
      </c>
      <c r="P71" s="91">
        <v>5241.1000000000004</v>
      </c>
      <c r="Q71" s="90">
        <v>12541.83</v>
      </c>
      <c r="AR71" s="86" t="s">
        <v>75</v>
      </c>
      <c r="AS71" s="86" t="s">
        <v>255</v>
      </c>
      <c r="AT71" s="62">
        <f t="shared" si="5"/>
        <v>2549.8633</v>
      </c>
      <c r="AU71" s="62">
        <f t="shared" si="6"/>
        <v>2317.1287399999997</v>
      </c>
      <c r="AV71" s="62">
        <f t="shared" si="7"/>
        <v>1752.07043</v>
      </c>
    </row>
    <row r="72" spans="1:48" ht="12" customHeight="1" x14ac:dyDescent="0.2">
      <c r="A72" s="86" t="s">
        <v>75</v>
      </c>
      <c r="B72" s="86" t="s">
        <v>260</v>
      </c>
      <c r="C72" s="51">
        <v>8</v>
      </c>
      <c r="D72" s="91">
        <v>0</v>
      </c>
      <c r="E72" s="91">
        <v>948.58</v>
      </c>
      <c r="F72" s="91">
        <v>1728.89</v>
      </c>
      <c r="G72" s="90">
        <v>2677.47</v>
      </c>
      <c r="H72" s="51">
        <v>6</v>
      </c>
      <c r="I72" s="91">
        <v>895.4</v>
      </c>
      <c r="J72" s="91">
        <v>261.95999999999998</v>
      </c>
      <c r="K72" s="91">
        <v>1195.1400000000001</v>
      </c>
      <c r="L72" s="90">
        <v>2352.5</v>
      </c>
      <c r="M72" s="51">
        <v>11</v>
      </c>
      <c r="N72" s="91">
        <v>2603.41</v>
      </c>
      <c r="O72" s="91">
        <v>0</v>
      </c>
      <c r="P72" s="91">
        <v>1336.9</v>
      </c>
      <c r="Q72" s="90">
        <v>3940.31</v>
      </c>
      <c r="AR72" s="86" t="s">
        <v>75</v>
      </c>
      <c r="AS72" s="86" t="s">
        <v>260</v>
      </c>
      <c r="AT72" s="62">
        <f t="shared" si="5"/>
        <v>559.40975000000003</v>
      </c>
      <c r="AU72" s="62">
        <f t="shared" si="6"/>
        <v>376.22534000000002</v>
      </c>
      <c r="AV72" s="62">
        <f t="shared" si="7"/>
        <v>428.01866000000001</v>
      </c>
    </row>
    <row r="73" spans="1:48" ht="12" customHeight="1" x14ac:dyDescent="0.2">
      <c r="A73" s="86" t="s">
        <v>75</v>
      </c>
      <c r="B73" s="86" t="s">
        <v>256</v>
      </c>
      <c r="C73" s="51">
        <v>88</v>
      </c>
      <c r="D73" s="91">
        <v>11295.93</v>
      </c>
      <c r="E73" s="91">
        <v>5621.82</v>
      </c>
      <c r="F73" s="91">
        <v>12082.1</v>
      </c>
      <c r="G73" s="90">
        <v>28999.85</v>
      </c>
      <c r="H73" s="51">
        <v>48</v>
      </c>
      <c r="I73" s="91">
        <v>2842.08</v>
      </c>
      <c r="J73" s="91">
        <v>4685.16</v>
      </c>
      <c r="K73" s="91">
        <v>6318.41</v>
      </c>
      <c r="L73" s="90">
        <v>13845.65</v>
      </c>
      <c r="M73" s="51">
        <v>92</v>
      </c>
      <c r="N73" s="91">
        <v>13314</v>
      </c>
      <c r="O73" s="91">
        <v>8046.91</v>
      </c>
      <c r="P73" s="91">
        <v>4592.49</v>
      </c>
      <c r="Q73" s="90">
        <v>25953.4</v>
      </c>
      <c r="AR73" s="86" t="s">
        <v>75</v>
      </c>
      <c r="AS73" s="86" t="s">
        <v>256</v>
      </c>
      <c r="AT73" s="62">
        <f t="shared" si="5"/>
        <v>4026.6364399999998</v>
      </c>
      <c r="AU73" s="62">
        <f t="shared" si="6"/>
        <v>2166.6588499999998</v>
      </c>
      <c r="AV73" s="62">
        <f t="shared" si="7"/>
        <v>2047.20894</v>
      </c>
    </row>
    <row r="74" spans="1:48" ht="12" customHeight="1" x14ac:dyDescent="0.2">
      <c r="A74" s="86" t="s">
        <v>75</v>
      </c>
      <c r="B74" s="86" t="s">
        <v>257</v>
      </c>
      <c r="C74" s="51">
        <v>131</v>
      </c>
      <c r="D74" s="91">
        <v>15202.03</v>
      </c>
      <c r="E74" s="91">
        <v>11398.52</v>
      </c>
      <c r="F74" s="91">
        <v>23006.080000000002</v>
      </c>
      <c r="G74" s="90">
        <v>49606.63</v>
      </c>
      <c r="H74" s="51">
        <v>138</v>
      </c>
      <c r="I74" s="91">
        <v>15814.05</v>
      </c>
      <c r="J74" s="91">
        <v>9196.6</v>
      </c>
      <c r="K74" s="91">
        <v>19425.259999999998</v>
      </c>
      <c r="L74" s="90">
        <v>44435.91</v>
      </c>
      <c r="M74" s="51">
        <v>126</v>
      </c>
      <c r="N74" s="91">
        <v>15219.45</v>
      </c>
      <c r="O74" s="91">
        <v>7327.48</v>
      </c>
      <c r="P74" s="91">
        <v>12031.14</v>
      </c>
      <c r="Q74" s="90">
        <v>34578.07</v>
      </c>
      <c r="AR74" s="86" t="s">
        <v>75</v>
      </c>
      <c r="AS74" s="86" t="s">
        <v>257</v>
      </c>
      <c r="AT74" s="62">
        <f t="shared" si="5"/>
        <v>7610.0963600000005</v>
      </c>
      <c r="AU74" s="62">
        <f t="shared" si="6"/>
        <v>6446.310739999999</v>
      </c>
      <c r="AV74" s="62">
        <f t="shared" si="7"/>
        <v>4182.1418999999996</v>
      </c>
    </row>
    <row r="75" spans="1:48" ht="12" customHeight="1" x14ac:dyDescent="0.2">
      <c r="A75" s="86" t="s">
        <v>75</v>
      </c>
      <c r="B75" s="86" t="s">
        <v>258</v>
      </c>
      <c r="C75" s="51">
        <v>2322</v>
      </c>
      <c r="D75" s="91">
        <v>156381.85999999999</v>
      </c>
      <c r="E75" s="91">
        <v>127891.45</v>
      </c>
      <c r="F75" s="91">
        <v>345961.15</v>
      </c>
      <c r="G75" s="90">
        <v>630234.46</v>
      </c>
      <c r="H75" s="51">
        <v>2379</v>
      </c>
      <c r="I75" s="91">
        <v>215488.03</v>
      </c>
      <c r="J75" s="91">
        <v>91923.92</v>
      </c>
      <c r="K75" s="91">
        <v>231762.88</v>
      </c>
      <c r="L75" s="90">
        <v>539174.82999999996</v>
      </c>
      <c r="M75" s="51">
        <v>3143</v>
      </c>
      <c r="N75" s="91">
        <v>392212.75</v>
      </c>
      <c r="O75" s="91">
        <v>76377.97</v>
      </c>
      <c r="P75" s="91">
        <v>163677.88</v>
      </c>
      <c r="Q75" s="90">
        <v>632268.60000000102</v>
      </c>
      <c r="AR75" s="86" t="s">
        <v>75</v>
      </c>
      <c r="AS75" s="86" t="s">
        <v>258</v>
      </c>
      <c r="AT75" s="62">
        <f t="shared" si="5"/>
        <v>110542.04346</v>
      </c>
      <c r="AU75" s="62">
        <f t="shared" si="6"/>
        <v>76218.487760000004</v>
      </c>
      <c r="AV75" s="62">
        <f t="shared" si="7"/>
        <v>58390.12343</v>
      </c>
    </row>
    <row r="76" spans="1:48" ht="12" customHeight="1" x14ac:dyDescent="0.2">
      <c r="A76" s="86" t="s">
        <v>75</v>
      </c>
      <c r="B76" s="86" t="s">
        <v>259</v>
      </c>
      <c r="C76" s="51">
        <v>19</v>
      </c>
      <c r="D76" s="91">
        <v>1908.08</v>
      </c>
      <c r="E76" s="91">
        <v>1111.3399999999999</v>
      </c>
      <c r="F76" s="91">
        <v>1181.03</v>
      </c>
      <c r="G76" s="90">
        <v>4200.45</v>
      </c>
      <c r="H76" s="51">
        <v>11</v>
      </c>
      <c r="I76" s="91">
        <v>0</v>
      </c>
      <c r="J76" s="91">
        <v>882.1</v>
      </c>
      <c r="K76" s="91">
        <v>1226.8699999999999</v>
      </c>
      <c r="L76" s="90">
        <v>2108.9699999999998</v>
      </c>
      <c r="M76" s="51">
        <v>23</v>
      </c>
      <c r="N76" s="91">
        <v>2377.46</v>
      </c>
      <c r="O76" s="91">
        <v>1255.96</v>
      </c>
      <c r="P76" s="91">
        <v>798.27</v>
      </c>
      <c r="Q76" s="90">
        <v>4431.6899999999996</v>
      </c>
      <c r="AR76" s="86" t="s">
        <v>75</v>
      </c>
      <c r="AS76" s="86" t="s">
        <v>259</v>
      </c>
      <c r="AT76" s="62">
        <f t="shared" si="5"/>
        <v>441.86136999999997</v>
      </c>
      <c r="AU76" s="62">
        <f t="shared" si="6"/>
        <v>410.13772999999992</v>
      </c>
      <c r="AV76" s="62">
        <f>N76*1.6%+O76*6.3%+P76*28.9%</f>
        <v>347.86487</v>
      </c>
    </row>
    <row r="77" spans="1:48" ht="12" customHeight="1" x14ac:dyDescent="0.2">
      <c r="A77" s="161" t="s">
        <v>280</v>
      </c>
      <c r="B77" s="161"/>
      <c r="C77" s="162">
        <f>SUM(C5:C76)</f>
        <v>29416</v>
      </c>
      <c r="D77" s="163">
        <f t="shared" ref="D77:Q77" si="8">SUM(D5:D76)</f>
        <v>3297484.060000001</v>
      </c>
      <c r="E77" s="163">
        <f t="shared" si="8"/>
        <v>2013665.8800000008</v>
      </c>
      <c r="F77" s="163">
        <f t="shared" si="8"/>
        <v>10581591.470000001</v>
      </c>
      <c r="G77" s="163">
        <f>SUM(G5:G76)</f>
        <v>15892741.410000004</v>
      </c>
      <c r="H77" s="162">
        <f t="shared" si="8"/>
        <v>28248</v>
      </c>
      <c r="I77" s="163">
        <f t="shared" si="8"/>
        <v>3603791.1899999995</v>
      </c>
      <c r="J77" s="163">
        <f t="shared" si="8"/>
        <v>1801064.8800000001</v>
      </c>
      <c r="K77" s="163">
        <f t="shared" si="8"/>
        <v>9307180.6100000031</v>
      </c>
      <c r="L77" s="163">
        <f t="shared" si="8"/>
        <v>14712036.68</v>
      </c>
      <c r="M77" s="162">
        <f t="shared" si="8"/>
        <v>31079</v>
      </c>
      <c r="N77" s="163">
        <f t="shared" si="8"/>
        <v>4677883.7200000035</v>
      </c>
      <c r="O77" s="163">
        <f t="shared" si="8"/>
        <v>1939013.6599999995</v>
      </c>
      <c r="P77" s="163">
        <f t="shared" si="8"/>
        <v>8265615.3300000019</v>
      </c>
      <c r="Q77" s="163">
        <f t="shared" si="8"/>
        <v>14882512.710000001</v>
      </c>
      <c r="AR77" s="164" t="s">
        <v>280</v>
      </c>
      <c r="AS77" s="164"/>
      <c r="AT77" s="164">
        <f>SUM(AT41:AT76)</f>
        <v>2903972.1045699995</v>
      </c>
      <c r="AU77" s="164">
        <f t="shared" ref="AU77:AV77" si="9">SUM(AU41:AU76)</f>
        <v>2536177.3047599993</v>
      </c>
      <c r="AV77" s="164">
        <f t="shared" si="9"/>
        <v>2286223.2880800012</v>
      </c>
    </row>
    <row r="78" spans="1:48" ht="12" customHeight="1" x14ac:dyDescent="0.2">
      <c r="AR78" s="62"/>
      <c r="AS78" s="62"/>
      <c r="AT78" s="62"/>
      <c r="AV78" s="62"/>
    </row>
    <row r="79" spans="1:48" ht="12" customHeight="1" x14ac:dyDescent="0.2">
      <c r="AR79" s="62"/>
      <c r="AS79" s="62"/>
      <c r="AT79" s="62"/>
      <c r="AV79" s="62"/>
    </row>
    <row r="80" spans="1:48" ht="12" customHeight="1" x14ac:dyDescent="0.2">
      <c r="AR80" s="62"/>
      <c r="AS80" s="62"/>
      <c r="AT80" s="62"/>
      <c r="AV80" s="62"/>
    </row>
    <row r="81" spans="44:48" ht="12" customHeight="1" x14ac:dyDescent="0.2">
      <c r="AR81" s="62"/>
      <c r="AS81" s="62"/>
      <c r="AT81" s="62"/>
      <c r="AV81" s="62"/>
    </row>
    <row r="82" spans="44:48" ht="12" customHeight="1" x14ac:dyDescent="0.2">
      <c r="AR82" s="62"/>
      <c r="AS82" s="62"/>
      <c r="AT82" s="62"/>
      <c r="AV82" s="62"/>
    </row>
    <row r="83" spans="44:48" ht="12" customHeight="1" x14ac:dyDescent="0.2">
      <c r="AR83" s="62"/>
      <c r="AS83" s="62"/>
      <c r="AT83" s="62"/>
    </row>
    <row r="84" spans="44:48" ht="12" customHeight="1" x14ac:dyDescent="0.2">
      <c r="AR84" s="62"/>
      <c r="AS84" s="62"/>
      <c r="AT84" s="62"/>
    </row>
    <row r="85" spans="44:48" ht="12" customHeight="1" x14ac:dyDescent="0.2">
      <c r="AR85" s="62"/>
      <c r="AS85" s="62"/>
      <c r="AT85" s="62"/>
    </row>
    <row r="86" spans="44:48" ht="12" customHeight="1" x14ac:dyDescent="0.2">
      <c r="AR86" s="62"/>
      <c r="AS86" s="62"/>
      <c r="AT86" s="62"/>
    </row>
    <row r="87" spans="44:48" ht="12" customHeight="1" x14ac:dyDescent="0.2">
      <c r="AR87" s="62"/>
      <c r="AS87" s="62"/>
      <c r="AT87" s="62"/>
    </row>
    <row r="88" spans="44:48" ht="12" customHeight="1" x14ac:dyDescent="0.2">
      <c r="AR88" s="62"/>
      <c r="AS88" s="62"/>
      <c r="AT88" s="62"/>
    </row>
    <row r="89" spans="44:48" ht="12" customHeight="1" x14ac:dyDescent="0.2">
      <c r="AR89" s="62"/>
      <c r="AS89" s="62"/>
      <c r="AT89" s="62"/>
    </row>
    <row r="90" spans="44:48" ht="12" customHeight="1" x14ac:dyDescent="0.2">
      <c r="AR90" s="62"/>
      <c r="AS90" s="62"/>
      <c r="AT90" s="62"/>
    </row>
    <row r="91" spans="44:48" ht="12" customHeight="1" x14ac:dyDescent="0.2">
      <c r="AR91" s="62"/>
      <c r="AS91" s="62"/>
      <c r="AT91" s="62"/>
    </row>
    <row r="92" spans="44:48" ht="12" customHeight="1" x14ac:dyDescent="0.2">
      <c r="AR92" s="62"/>
      <c r="AS92" s="62"/>
      <c r="AT92" s="62"/>
    </row>
    <row r="93" spans="44:48" ht="12" customHeight="1" x14ac:dyDescent="0.2">
      <c r="AR93" s="62"/>
      <c r="AS93" s="62"/>
      <c r="AT93" s="62"/>
    </row>
    <row r="94" spans="44:48" ht="12" customHeight="1" x14ac:dyDescent="0.2">
      <c r="AR94" s="62"/>
      <c r="AS94" s="62"/>
      <c r="AT94" s="62"/>
    </row>
    <row r="95" spans="44:48" ht="12" customHeight="1" x14ac:dyDescent="0.2">
      <c r="AR95" s="62"/>
      <c r="AS95" s="62"/>
      <c r="AT95" s="62"/>
    </row>
    <row r="96" spans="44:48" ht="12" customHeight="1" x14ac:dyDescent="0.2">
      <c r="AR96" s="62"/>
      <c r="AS96" s="62"/>
      <c r="AT96" s="62"/>
    </row>
    <row r="97" spans="44:46" ht="12" customHeight="1" x14ac:dyDescent="0.2">
      <c r="AR97" s="62"/>
      <c r="AS97" s="62"/>
      <c r="AT97" s="62"/>
    </row>
    <row r="98" spans="44:46" ht="12" customHeight="1" x14ac:dyDescent="0.2">
      <c r="AR98" s="62"/>
      <c r="AS98" s="62"/>
      <c r="AT98" s="62"/>
    </row>
    <row r="99" spans="44:46" ht="12" customHeight="1" x14ac:dyDescent="0.2">
      <c r="AR99" s="62"/>
      <c r="AS99" s="62"/>
      <c r="AT99" s="62"/>
    </row>
    <row r="100" spans="44:46" ht="12" customHeight="1" x14ac:dyDescent="0.2">
      <c r="AR100" s="62"/>
      <c r="AS100" s="62"/>
      <c r="AT100" s="62"/>
    </row>
    <row r="101" spans="44:46" ht="12" customHeight="1" x14ac:dyDescent="0.2">
      <c r="AR101" s="62"/>
      <c r="AS101" s="62"/>
      <c r="AT101" s="62"/>
    </row>
    <row r="102" spans="44:46" ht="12" customHeight="1" x14ac:dyDescent="0.2">
      <c r="AR102" s="62"/>
      <c r="AS102" s="62"/>
      <c r="AT102" s="62"/>
    </row>
    <row r="103" spans="44:46" ht="12" customHeight="1" x14ac:dyDescent="0.2">
      <c r="AR103" s="62"/>
      <c r="AS103" s="62"/>
      <c r="AT103" s="62"/>
    </row>
    <row r="104" spans="44:46" ht="12" customHeight="1" x14ac:dyDescent="0.2">
      <c r="AR104" s="62"/>
      <c r="AS104" s="62"/>
      <c r="AT104" s="62"/>
    </row>
    <row r="105" spans="44:46" ht="12" customHeight="1" x14ac:dyDescent="0.2">
      <c r="AR105" s="62"/>
      <c r="AS105" s="62"/>
      <c r="AT105" s="62"/>
    </row>
    <row r="106" spans="44:46" ht="12" customHeight="1" x14ac:dyDescent="0.2">
      <c r="AR106" s="62"/>
      <c r="AS106" s="62"/>
      <c r="AT106" s="62"/>
    </row>
    <row r="107" spans="44:46" ht="12" customHeight="1" x14ac:dyDescent="0.2">
      <c r="AR107" s="62"/>
      <c r="AS107" s="62"/>
      <c r="AT107" s="62"/>
    </row>
    <row r="108" spans="44:46" ht="12" customHeight="1" x14ac:dyDescent="0.2">
      <c r="AR108" s="62"/>
      <c r="AS108" s="62"/>
      <c r="AT108" s="62"/>
    </row>
    <row r="109" spans="44:46" ht="12" customHeight="1" x14ac:dyDescent="0.2">
      <c r="AR109" s="62"/>
      <c r="AS109" s="62"/>
      <c r="AT109" s="62"/>
    </row>
    <row r="110" spans="44:46" ht="12" customHeight="1" x14ac:dyDescent="0.2">
      <c r="AR110" s="62"/>
      <c r="AS110" s="62"/>
      <c r="AT110" s="62"/>
    </row>
    <row r="111" spans="44:46" ht="12" customHeight="1" x14ac:dyDescent="0.2">
      <c r="AR111" s="62"/>
      <c r="AS111" s="62"/>
      <c r="AT111" s="62"/>
    </row>
    <row r="112" spans="44:46" ht="12" customHeight="1" x14ac:dyDescent="0.2">
      <c r="AR112" s="62"/>
      <c r="AS112" s="62"/>
      <c r="AT112" s="62"/>
    </row>
    <row r="113" spans="44:46" ht="12" customHeight="1" x14ac:dyDescent="0.2">
      <c r="AR113" s="62"/>
      <c r="AS113" s="62"/>
      <c r="AT113" s="62"/>
    </row>
    <row r="114" spans="44:46" ht="12" customHeight="1" x14ac:dyDescent="0.2">
      <c r="AR114" s="62"/>
      <c r="AS114" s="62"/>
      <c r="AT114" s="62"/>
    </row>
    <row r="115" spans="44:46" ht="12" customHeight="1" x14ac:dyDescent="0.2">
      <c r="AR115" s="62"/>
      <c r="AS115" s="62"/>
      <c r="AT115" s="62"/>
    </row>
    <row r="116" spans="44:46" ht="12" customHeight="1" x14ac:dyDescent="0.2">
      <c r="AR116" s="62"/>
      <c r="AS116" s="62"/>
      <c r="AT116" s="62"/>
    </row>
    <row r="117" spans="44:46" ht="12" customHeight="1" x14ac:dyDescent="0.2">
      <c r="AR117" s="62"/>
      <c r="AS117" s="62"/>
      <c r="AT117" s="62"/>
    </row>
    <row r="118" spans="44:46" ht="12" customHeight="1" x14ac:dyDescent="0.2">
      <c r="AR118" s="62"/>
      <c r="AS118" s="62"/>
      <c r="AT118" s="62"/>
    </row>
    <row r="119" spans="44:46" ht="12" customHeight="1" x14ac:dyDescent="0.2">
      <c r="AR119" s="62"/>
      <c r="AS119" s="62"/>
      <c r="AT119" s="62"/>
    </row>
    <row r="120" spans="44:46" ht="12" customHeight="1" x14ac:dyDescent="0.2">
      <c r="AR120" s="62"/>
      <c r="AS120" s="62"/>
      <c r="AT120" s="62"/>
    </row>
    <row r="121" spans="44:46" ht="12" customHeight="1" x14ac:dyDescent="0.2">
      <c r="AR121" s="62"/>
      <c r="AS121" s="62"/>
      <c r="AT121" s="62"/>
    </row>
    <row r="122" spans="44:46" ht="12" customHeight="1" x14ac:dyDescent="0.2">
      <c r="AR122" s="62"/>
      <c r="AS122" s="62"/>
      <c r="AT122" s="62"/>
    </row>
    <row r="123" spans="44:46" ht="12" customHeight="1" x14ac:dyDescent="0.2">
      <c r="AR123" s="62"/>
      <c r="AS123" s="62"/>
      <c r="AT123" s="62"/>
    </row>
    <row r="124" spans="44:46" ht="12" customHeight="1" x14ac:dyDescent="0.2">
      <c r="AR124" s="62"/>
      <c r="AS124" s="62"/>
      <c r="AT124" s="62"/>
    </row>
    <row r="125" spans="44:46" ht="12" customHeight="1" x14ac:dyDescent="0.2">
      <c r="AR125" s="62"/>
      <c r="AS125" s="62"/>
      <c r="AT125" s="62"/>
    </row>
    <row r="126" spans="44:46" ht="12" customHeight="1" x14ac:dyDescent="0.2">
      <c r="AR126" s="62"/>
      <c r="AS126" s="62"/>
      <c r="AT126" s="62"/>
    </row>
  </sheetData>
  <mergeCells count="23">
    <mergeCell ref="CA3:CB3"/>
    <mergeCell ref="CC3:CD3"/>
    <mergeCell ref="BM3:BO3"/>
    <mergeCell ref="BP3:BR3"/>
    <mergeCell ref="BS3:BT3"/>
    <mergeCell ref="BU3:BV3"/>
    <mergeCell ref="BW3:BX3"/>
    <mergeCell ref="A1:Q1"/>
    <mergeCell ref="A3:F3"/>
    <mergeCell ref="H3:N3"/>
    <mergeCell ref="O3:Q3"/>
    <mergeCell ref="BY3:BZ3"/>
    <mergeCell ref="R3:X3"/>
    <mergeCell ref="Y3:AC3"/>
    <mergeCell ref="AD3:AH3"/>
    <mergeCell ref="AR3:AT3"/>
    <mergeCell ref="BJ3:BL3"/>
    <mergeCell ref="R1:AH1"/>
    <mergeCell ref="AR1:AV1"/>
    <mergeCell ref="BS1:BX1"/>
    <mergeCell ref="BY1:CD1"/>
    <mergeCell ref="BJ1:BR1"/>
    <mergeCell ref="AW1:BI1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14" max="14" width="2.83203125" style="1" customWidth="1"/>
    <col min="15" max="17" width="12.33203125" style="16" bestFit="1" customWidth="1"/>
    <col min="18" max="18" width="18" style="16" bestFit="1" customWidth="1"/>
    <col min="19" max="21" width="12.5" bestFit="1" customWidth="1"/>
    <col min="22" max="22" width="16.5" bestFit="1" customWidth="1"/>
    <col min="23" max="25" width="12.5" bestFit="1" customWidth="1"/>
    <col min="26" max="26" width="16.5" bestFit="1" customWidth="1"/>
    <col min="27" max="29" width="12.5" bestFit="1" customWidth="1"/>
    <col min="30" max="30" width="16.5" bestFit="1" customWidth="1"/>
    <col min="31" max="33" width="12.5" bestFit="1" customWidth="1"/>
    <col min="34" max="34" width="16.5" bestFit="1" customWidth="1"/>
    <col min="35" max="37" width="12.5" bestFit="1" customWidth="1"/>
    <col min="38" max="38" width="16.5" bestFit="1" customWidth="1"/>
    <col min="39" max="41" width="12.5" bestFit="1" customWidth="1"/>
    <col min="42" max="42" width="16.5" bestFit="1" customWidth="1"/>
    <col min="43" max="45" width="12.5" bestFit="1" customWidth="1"/>
    <col min="46" max="46" width="16.5" bestFit="1" customWidth="1"/>
    <col min="47" max="49" width="12.5" bestFit="1" customWidth="1"/>
    <col min="50" max="50" width="16.5" bestFit="1" customWidth="1"/>
    <col min="51" max="51" width="2.83203125" style="1" customWidth="1"/>
    <col min="52" max="54" width="11.5" customWidth="1"/>
    <col min="55" max="55" width="16.5" customWidth="1"/>
    <col min="56" max="58" width="11.5" customWidth="1"/>
    <col min="59" max="59" width="16.5" customWidth="1"/>
    <col min="60" max="62" width="11.5" customWidth="1"/>
    <col min="63" max="63" width="16.5" customWidth="1"/>
    <col min="64" max="66" width="11.5" bestFit="1" customWidth="1"/>
    <col min="67" max="67" width="16.5" bestFit="1" customWidth="1"/>
    <col min="68" max="70" width="11.5" bestFit="1" customWidth="1"/>
    <col min="71" max="71" width="16.5" bestFit="1" customWidth="1"/>
    <col min="72" max="74" width="11.5" bestFit="1" customWidth="1"/>
    <col min="75" max="75" width="16.5" bestFit="1" customWidth="1"/>
    <col min="76" max="77" width="11.5" bestFit="1" customWidth="1"/>
    <col min="78" max="78" width="12.5" bestFit="1" customWidth="1"/>
    <col min="79" max="79" width="16.5" bestFit="1" customWidth="1"/>
    <col min="80" max="81" width="11.5" bestFit="1" customWidth="1"/>
    <col min="82" max="82" width="12.5" bestFit="1" customWidth="1"/>
    <col min="83" max="83" width="16.5" bestFit="1" customWidth="1"/>
    <col min="84" max="86" width="9.1640625" customWidth="1"/>
    <col min="87" max="87" width="15.5" customWidth="1"/>
    <col min="88" max="88" width="0.6640625" customWidth="1"/>
    <col min="89" max="89" width="2.83203125" style="1" customWidth="1"/>
    <col min="90" max="98" width="14.1640625" customWidth="1"/>
    <col min="99" max="99" width="2.83203125" style="1" customWidth="1"/>
    <col min="110" max="110" width="2.83203125" style="1" customWidth="1"/>
    <col min="120" max="120" width="2.83203125" style="1" customWidth="1"/>
    <col min="130" max="130" width="2.83203125" style="1" customWidth="1"/>
  </cols>
  <sheetData>
    <row r="1" spans="1:139" x14ac:dyDescent="0.2">
      <c r="A1" s="114" t="s">
        <v>31</v>
      </c>
      <c r="B1" s="114"/>
      <c r="E1" s="113" t="s">
        <v>8</v>
      </c>
      <c r="F1" s="113"/>
      <c r="G1" s="113"/>
      <c r="H1" s="113"/>
      <c r="I1" s="113"/>
      <c r="J1" s="113"/>
      <c r="K1" s="113"/>
      <c r="L1" s="113"/>
      <c r="M1" s="113"/>
      <c r="O1" s="150" t="s">
        <v>9</v>
      </c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1"/>
      <c r="AZ1" s="150" t="s">
        <v>10</v>
      </c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1"/>
      <c r="CJ1" s="28"/>
      <c r="CL1" s="114" t="s">
        <v>6</v>
      </c>
      <c r="CM1" s="114"/>
      <c r="CN1" s="114"/>
      <c r="CO1" s="114"/>
      <c r="CP1" s="114"/>
      <c r="CQ1" s="114"/>
      <c r="CR1" s="114"/>
      <c r="CS1" s="114"/>
      <c r="CT1" s="114"/>
      <c r="CV1" s="113" t="s">
        <v>7</v>
      </c>
      <c r="CW1" s="113"/>
      <c r="CX1" s="113"/>
      <c r="CY1" s="113"/>
      <c r="CZ1" s="113"/>
      <c r="DA1" s="113"/>
      <c r="DB1" s="113"/>
      <c r="DC1" s="113"/>
      <c r="DD1" s="113"/>
      <c r="DE1" s="113"/>
      <c r="DG1" s="147" t="s">
        <v>11</v>
      </c>
      <c r="DH1" s="147"/>
      <c r="DI1" s="147"/>
      <c r="DJ1" s="147"/>
      <c r="DK1" s="147"/>
      <c r="DL1" s="147"/>
      <c r="DM1" s="147"/>
      <c r="DN1" s="147"/>
      <c r="DO1" s="147"/>
      <c r="DQ1" s="114" t="s">
        <v>13</v>
      </c>
      <c r="DR1" s="114"/>
      <c r="DS1" s="114"/>
      <c r="DT1" s="114"/>
      <c r="DU1" s="114"/>
      <c r="DV1" s="114"/>
      <c r="DW1" s="114"/>
      <c r="DX1" s="114"/>
      <c r="DY1" s="114"/>
      <c r="EA1" s="114" t="s">
        <v>12</v>
      </c>
      <c r="EB1" s="114"/>
      <c r="EC1" s="114"/>
      <c r="ED1" s="114"/>
      <c r="EE1" s="114"/>
      <c r="EF1" s="114"/>
      <c r="EG1" s="114"/>
      <c r="EH1" s="114"/>
      <c r="EI1" s="114"/>
    </row>
    <row r="2" spans="1:139" x14ac:dyDescent="0.2">
      <c r="A2" s="114"/>
      <c r="B2" s="114"/>
      <c r="E2" s="113"/>
      <c r="F2" s="113"/>
      <c r="G2" s="113"/>
      <c r="H2" s="113"/>
      <c r="I2" s="113"/>
      <c r="J2" s="113"/>
      <c r="K2" s="113"/>
      <c r="L2" s="113"/>
      <c r="M2" s="113"/>
      <c r="O2" s="148">
        <v>43831</v>
      </c>
      <c r="P2" s="149"/>
      <c r="Q2" s="149"/>
      <c r="R2" s="149"/>
      <c r="S2" s="148">
        <v>43862</v>
      </c>
      <c r="T2" s="149"/>
      <c r="U2" s="149"/>
      <c r="V2" s="149"/>
      <c r="W2" s="148">
        <v>43891</v>
      </c>
      <c r="X2" s="149"/>
      <c r="Y2" s="149"/>
      <c r="Z2" s="149"/>
      <c r="AA2" s="148">
        <v>43922</v>
      </c>
      <c r="AB2" s="149"/>
      <c r="AC2" s="149"/>
      <c r="AD2" s="149"/>
      <c r="AE2" s="148">
        <v>43952</v>
      </c>
      <c r="AF2" s="149"/>
      <c r="AG2" s="149"/>
      <c r="AH2" s="149"/>
      <c r="AI2" s="148">
        <v>43983</v>
      </c>
      <c r="AJ2" s="149"/>
      <c r="AK2" s="149"/>
      <c r="AL2" s="149"/>
      <c r="AM2" s="148">
        <v>44013</v>
      </c>
      <c r="AN2" s="149"/>
      <c r="AO2" s="149"/>
      <c r="AP2" s="149"/>
      <c r="AQ2" s="148">
        <v>44044</v>
      </c>
      <c r="AR2" s="149"/>
      <c r="AS2" s="149"/>
      <c r="AT2" s="149"/>
      <c r="AU2" s="148">
        <v>44075</v>
      </c>
      <c r="AV2" s="149"/>
      <c r="AW2" s="149"/>
      <c r="AX2" s="149"/>
      <c r="AZ2" s="148">
        <v>43831</v>
      </c>
      <c r="BA2" s="149"/>
      <c r="BB2" s="149"/>
      <c r="BC2" s="149"/>
      <c r="BD2" s="148">
        <v>43862</v>
      </c>
      <c r="BE2" s="149"/>
      <c r="BF2" s="149"/>
      <c r="BG2" s="149"/>
      <c r="BH2" s="148">
        <v>43891</v>
      </c>
      <c r="BI2" s="149"/>
      <c r="BJ2" s="149"/>
      <c r="BK2" s="149"/>
      <c r="BL2" s="148">
        <v>43922</v>
      </c>
      <c r="BM2" s="149"/>
      <c r="BN2" s="149"/>
      <c r="BO2" s="149"/>
      <c r="BP2" s="148">
        <v>43952</v>
      </c>
      <c r="BQ2" s="149"/>
      <c r="BR2" s="149"/>
      <c r="BS2" s="149"/>
      <c r="BT2" s="148">
        <v>43983</v>
      </c>
      <c r="BU2" s="149"/>
      <c r="BV2" s="149"/>
      <c r="BW2" s="149"/>
      <c r="BX2" s="148">
        <v>44013</v>
      </c>
      <c r="BY2" s="149"/>
      <c r="BZ2" s="149"/>
      <c r="CA2" s="149"/>
      <c r="CB2" s="148">
        <v>44044</v>
      </c>
      <c r="CC2" s="149"/>
      <c r="CD2" s="149"/>
      <c r="CE2" s="149"/>
      <c r="CF2" s="148">
        <v>44075</v>
      </c>
      <c r="CG2" s="149"/>
      <c r="CH2" s="149"/>
      <c r="CI2" s="149"/>
      <c r="CJ2" s="26"/>
      <c r="CL2" s="114"/>
      <c r="CM2" s="114"/>
      <c r="CN2" s="114"/>
      <c r="CO2" s="114"/>
      <c r="CP2" s="114"/>
      <c r="CQ2" s="114"/>
      <c r="CR2" s="114"/>
      <c r="CS2" s="114"/>
      <c r="CT2" s="114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G2" s="147"/>
      <c r="DH2" s="147"/>
      <c r="DI2" s="147"/>
      <c r="DJ2" s="147"/>
      <c r="DK2" s="147"/>
      <c r="DL2" s="147"/>
      <c r="DM2" s="147"/>
      <c r="DN2" s="147"/>
      <c r="DO2" s="147"/>
      <c r="DQ2" s="114"/>
      <c r="DR2" s="114"/>
      <c r="DS2" s="114"/>
      <c r="DT2" s="114"/>
      <c r="DU2" s="114"/>
      <c r="DV2" s="114"/>
      <c r="DW2" s="114"/>
      <c r="DX2" s="114"/>
      <c r="DY2" s="114"/>
      <c r="EA2" s="114"/>
      <c r="EB2" s="114"/>
      <c r="EC2" s="114"/>
      <c r="ED2" s="114"/>
      <c r="EE2" s="114"/>
      <c r="EF2" s="114"/>
      <c r="EG2" s="114"/>
      <c r="EH2" s="114"/>
      <c r="EI2" s="114"/>
    </row>
    <row r="3" spans="1:139" x14ac:dyDescent="0.2">
      <c r="A3" s="2" t="s">
        <v>0</v>
      </c>
      <c r="B3" s="2" t="s">
        <v>1</v>
      </c>
      <c r="C3" t="s">
        <v>80</v>
      </c>
      <c r="D3" s="1" t="s">
        <v>80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80</v>
      </c>
      <c r="O3" s="18" t="s">
        <v>2</v>
      </c>
      <c r="P3" s="18" t="s">
        <v>3</v>
      </c>
      <c r="Q3" s="18" t="s">
        <v>4</v>
      </c>
      <c r="R3" s="18" t="s">
        <v>5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2</v>
      </c>
      <c r="X3" s="2" t="s">
        <v>3</v>
      </c>
      <c r="Y3" s="2" t="s">
        <v>4</v>
      </c>
      <c r="Z3" s="2" t="s">
        <v>5</v>
      </c>
      <c r="AA3" s="2" t="s">
        <v>2</v>
      </c>
      <c r="AB3" s="2" t="s">
        <v>3</v>
      </c>
      <c r="AC3" s="2" t="s">
        <v>4</v>
      </c>
      <c r="AD3" s="2" t="s">
        <v>5</v>
      </c>
      <c r="AE3" s="2" t="s">
        <v>2</v>
      </c>
      <c r="AF3" s="2" t="s">
        <v>3</v>
      </c>
      <c r="AG3" s="2" t="s">
        <v>4</v>
      </c>
      <c r="AH3" s="2" t="s">
        <v>5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2</v>
      </c>
      <c r="AN3" s="2" t="s">
        <v>3</v>
      </c>
      <c r="AO3" s="2" t="s">
        <v>4</v>
      </c>
      <c r="AP3" s="2" t="s">
        <v>5</v>
      </c>
      <c r="AQ3" s="2" t="s">
        <v>2</v>
      </c>
      <c r="AR3" s="2" t="s">
        <v>3</v>
      </c>
      <c r="AS3" s="2" t="s">
        <v>4</v>
      </c>
      <c r="AT3" s="2" t="s">
        <v>5</v>
      </c>
      <c r="AU3" s="2" t="s">
        <v>2</v>
      </c>
      <c r="AV3" s="2" t="s">
        <v>3</v>
      </c>
      <c r="AW3" s="2" t="s">
        <v>4</v>
      </c>
      <c r="AX3" s="2" t="s">
        <v>5</v>
      </c>
      <c r="AZ3" s="2" t="s">
        <v>2</v>
      </c>
      <c r="BA3" s="2" t="s">
        <v>3</v>
      </c>
      <c r="BB3" s="2" t="s">
        <v>4</v>
      </c>
      <c r="BC3" s="2" t="s">
        <v>5</v>
      </c>
      <c r="BD3" s="2" t="s">
        <v>2</v>
      </c>
      <c r="BE3" s="2" t="s">
        <v>3</v>
      </c>
      <c r="BF3" s="2" t="s">
        <v>4</v>
      </c>
      <c r="BG3" s="2" t="s">
        <v>5</v>
      </c>
      <c r="BH3" s="2" t="s">
        <v>2</v>
      </c>
      <c r="BI3" s="2" t="s">
        <v>3</v>
      </c>
      <c r="BJ3" s="2" t="s">
        <v>4</v>
      </c>
      <c r="BK3" s="2" t="s">
        <v>5</v>
      </c>
      <c r="BL3" s="2" t="s">
        <v>2</v>
      </c>
      <c r="BM3" s="2" t="s">
        <v>3</v>
      </c>
      <c r="BN3" s="2" t="s">
        <v>4</v>
      </c>
      <c r="BO3" s="2" t="s">
        <v>5</v>
      </c>
      <c r="BP3" s="2" t="s">
        <v>2</v>
      </c>
      <c r="BQ3" s="2" t="s">
        <v>3</v>
      </c>
      <c r="BR3" s="2" t="s">
        <v>4</v>
      </c>
      <c r="BS3" s="2" t="s">
        <v>5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2</v>
      </c>
      <c r="BY3" s="2" t="s">
        <v>3</v>
      </c>
      <c r="BZ3" s="2" t="s">
        <v>4</v>
      </c>
      <c r="CA3" s="2" t="s">
        <v>5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2</v>
      </c>
      <c r="CG3" s="2" t="s">
        <v>3</v>
      </c>
      <c r="CH3" s="2" t="s">
        <v>4</v>
      </c>
      <c r="CI3" s="2" t="s">
        <v>5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133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ht="16" x14ac:dyDescent="0.2">
      <c r="A4" s="11" t="s">
        <v>35</v>
      </c>
      <c r="B4" s="11" t="s">
        <v>34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75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81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81</v>
      </c>
      <c r="EC4">
        <v>215.93</v>
      </c>
      <c r="EE4">
        <v>361.46</v>
      </c>
    </row>
    <row r="5" spans="1:139" ht="16" x14ac:dyDescent="0.2">
      <c r="A5" s="11" t="s">
        <v>36</v>
      </c>
      <c r="B5" s="11" t="s">
        <v>34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34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81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81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ht="16" x14ac:dyDescent="0.2">
      <c r="A6" s="11" t="s">
        <v>37</v>
      </c>
      <c r="B6" s="11" t="s">
        <v>34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81</v>
      </c>
      <c r="BA6" s="16" t="s">
        <v>81</v>
      </c>
      <c r="BB6" s="16" t="s">
        <v>81</v>
      </c>
      <c r="BC6" s="16" t="s">
        <v>81</v>
      </c>
      <c r="BD6" s="16" t="s">
        <v>81</v>
      </c>
      <c r="BE6" s="16" t="s">
        <v>81</v>
      </c>
      <c r="BF6" s="16" t="s">
        <v>81</v>
      </c>
      <c r="BG6" s="16" t="s">
        <v>81</v>
      </c>
      <c r="BH6" s="16" t="s">
        <v>81</v>
      </c>
      <c r="BI6" s="16" t="s">
        <v>81</v>
      </c>
      <c r="BJ6" s="16" t="s">
        <v>81</v>
      </c>
      <c r="BK6" s="16" t="s">
        <v>81</v>
      </c>
      <c r="BL6" s="16" t="s">
        <v>81</v>
      </c>
      <c r="BM6" s="16" t="s">
        <v>81</v>
      </c>
      <c r="BN6" s="16" t="s">
        <v>81</v>
      </c>
      <c r="BO6" s="16" t="s">
        <v>81</v>
      </c>
      <c r="BP6" s="16" t="s">
        <v>81</v>
      </c>
      <c r="BQ6" s="16" t="s">
        <v>81</v>
      </c>
      <c r="BR6" s="16" t="s">
        <v>81</v>
      </c>
      <c r="BS6" s="16" t="s">
        <v>81</v>
      </c>
      <c r="BT6" s="16" t="s">
        <v>81</v>
      </c>
      <c r="BU6" s="16" t="s">
        <v>81</v>
      </c>
      <c r="BV6" s="16" t="s">
        <v>81</v>
      </c>
      <c r="BW6" s="16" t="s">
        <v>81</v>
      </c>
      <c r="BX6" s="16" t="s">
        <v>81</v>
      </c>
      <c r="BY6" s="16" t="s">
        <v>81</v>
      </c>
      <c r="BZ6" s="16" t="s">
        <v>81</v>
      </c>
      <c r="CA6" s="16" t="s">
        <v>81</v>
      </c>
      <c r="CB6" s="16" t="s">
        <v>81</v>
      </c>
      <c r="CC6" s="16" t="s">
        <v>81</v>
      </c>
      <c r="CD6" s="16" t="s">
        <v>81</v>
      </c>
      <c r="CE6" s="16" t="s">
        <v>81</v>
      </c>
      <c r="CF6" s="16" t="s">
        <v>81</v>
      </c>
      <c r="CG6" s="16" t="s">
        <v>81</v>
      </c>
      <c r="CH6" s="16" t="s">
        <v>81</v>
      </c>
      <c r="CI6" s="16" t="s">
        <v>81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81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81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ht="16" x14ac:dyDescent="0.2">
      <c r="A7" s="11" t="s">
        <v>40</v>
      </c>
      <c r="B7" s="11" t="s">
        <v>34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81</v>
      </c>
      <c r="DR7">
        <v>258.25</v>
      </c>
      <c r="DS7">
        <v>584.70000000000005</v>
      </c>
      <c r="DT7">
        <v>866.82</v>
      </c>
      <c r="DV7">
        <v>740.9</v>
      </c>
      <c r="DW7" t="s">
        <v>81</v>
      </c>
      <c r="EB7">
        <v>258.25</v>
      </c>
      <c r="EC7">
        <v>209.33</v>
      </c>
      <c r="ED7">
        <v>240.28</v>
      </c>
      <c r="EF7">
        <v>740.9</v>
      </c>
    </row>
    <row r="8" spans="1:139" ht="16" x14ac:dyDescent="0.2">
      <c r="A8" s="11" t="s">
        <v>41</v>
      </c>
      <c r="B8" s="11" t="s">
        <v>34</v>
      </c>
      <c r="C8" s="11" t="str">
        <f t="shared" si="0"/>
        <v>98920COM</v>
      </c>
      <c r="D8" s="12"/>
      <c r="E8" s="12">
        <v>1</v>
      </c>
      <c r="F8" s="12" t="s">
        <v>81</v>
      </c>
      <c r="G8" s="12" t="s">
        <v>81</v>
      </c>
      <c r="H8" s="12" t="s">
        <v>81</v>
      </c>
      <c r="I8" s="12" t="s">
        <v>81</v>
      </c>
      <c r="J8" s="12">
        <v>2</v>
      </c>
      <c r="K8" s="12" t="s">
        <v>81</v>
      </c>
      <c r="L8" s="12" t="s">
        <v>81</v>
      </c>
      <c r="M8" s="12" t="s">
        <v>81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81</v>
      </c>
      <c r="T8" s="16" t="s">
        <v>81</v>
      </c>
      <c r="U8" s="16" t="s">
        <v>81</v>
      </c>
      <c r="V8" s="16" t="s">
        <v>81</v>
      </c>
      <c r="W8" s="16" t="s">
        <v>81</v>
      </c>
      <c r="X8" s="16" t="s">
        <v>81</v>
      </c>
      <c r="Y8" s="16" t="s">
        <v>81</v>
      </c>
      <c r="Z8" s="16" t="s">
        <v>81</v>
      </c>
      <c r="AA8" s="16" t="s">
        <v>81</v>
      </c>
      <c r="AB8" s="16" t="s">
        <v>81</v>
      </c>
      <c r="AC8" s="16" t="s">
        <v>81</v>
      </c>
      <c r="AD8" s="16" t="s">
        <v>81</v>
      </c>
      <c r="AE8" s="16" t="s">
        <v>81</v>
      </c>
      <c r="AF8" s="16" t="s">
        <v>81</v>
      </c>
      <c r="AG8" s="16" t="s">
        <v>81</v>
      </c>
      <c r="AH8" s="16" t="s">
        <v>81</v>
      </c>
      <c r="AI8" s="16">
        <v>53.06</v>
      </c>
      <c r="AJ8" s="16">
        <v>0</v>
      </c>
      <c r="AK8" s="16">
        <v>0</v>
      </c>
      <c r="AL8" s="16">
        <v>53.06</v>
      </c>
      <c r="AM8" s="16" t="s">
        <v>81</v>
      </c>
      <c r="AN8" s="16" t="s">
        <v>81</v>
      </c>
      <c r="AO8" s="16" t="s">
        <v>81</v>
      </c>
      <c r="AP8" s="16" t="s">
        <v>81</v>
      </c>
      <c r="AQ8" s="16" t="s">
        <v>81</v>
      </c>
      <c r="AR8" s="16" t="s">
        <v>81</v>
      </c>
      <c r="AS8" s="16" t="s">
        <v>81</v>
      </c>
      <c r="AT8" s="16" t="s">
        <v>81</v>
      </c>
      <c r="AU8" s="16" t="s">
        <v>81</v>
      </c>
      <c r="AV8" s="16" t="s">
        <v>81</v>
      </c>
      <c r="AW8" s="16" t="s">
        <v>81</v>
      </c>
      <c r="AX8" s="16" t="s">
        <v>81</v>
      </c>
      <c r="AZ8" s="16" t="s">
        <v>81</v>
      </c>
      <c r="BA8" s="16" t="s">
        <v>81</v>
      </c>
      <c r="BB8" s="16" t="s">
        <v>81</v>
      </c>
      <c r="BC8" s="16" t="s">
        <v>81</v>
      </c>
      <c r="BD8" s="16" t="s">
        <v>81</v>
      </c>
      <c r="BE8" s="16" t="s">
        <v>81</v>
      </c>
      <c r="BF8" s="16" t="s">
        <v>81</v>
      </c>
      <c r="BG8" s="16" t="s">
        <v>81</v>
      </c>
      <c r="BH8" s="16" t="s">
        <v>81</v>
      </c>
      <c r="BI8" s="16" t="s">
        <v>81</v>
      </c>
      <c r="BJ8" s="16" t="s">
        <v>81</v>
      </c>
      <c r="BK8" s="16" t="s">
        <v>81</v>
      </c>
      <c r="BL8" s="16" t="s">
        <v>81</v>
      </c>
      <c r="BM8" s="16" t="s">
        <v>81</v>
      </c>
      <c r="BN8" s="16" t="s">
        <v>81</v>
      </c>
      <c r="BO8" s="16" t="s">
        <v>81</v>
      </c>
      <c r="BP8" s="16" t="s">
        <v>81</v>
      </c>
      <c r="BQ8" s="16" t="s">
        <v>81</v>
      </c>
      <c r="BR8" s="16" t="s">
        <v>81</v>
      </c>
      <c r="BS8" s="16" t="s">
        <v>81</v>
      </c>
      <c r="BT8" s="16" t="s">
        <v>81</v>
      </c>
      <c r="BU8" s="16" t="s">
        <v>81</v>
      </c>
      <c r="BV8" s="16" t="s">
        <v>81</v>
      </c>
      <c r="BW8" s="16" t="s">
        <v>81</v>
      </c>
      <c r="BX8" s="16" t="s">
        <v>81</v>
      </c>
      <c r="BY8" s="16" t="s">
        <v>81</v>
      </c>
      <c r="BZ8" s="16" t="s">
        <v>81</v>
      </c>
      <c r="CA8" s="16" t="s">
        <v>81</v>
      </c>
      <c r="CB8" s="16" t="s">
        <v>81</v>
      </c>
      <c r="CC8" s="16" t="s">
        <v>81</v>
      </c>
      <c r="CD8" s="16" t="s">
        <v>81</v>
      </c>
      <c r="CE8" s="16" t="s">
        <v>81</v>
      </c>
      <c r="CF8" s="16" t="s">
        <v>81</v>
      </c>
      <c r="CG8" s="16" t="s">
        <v>81</v>
      </c>
      <c r="CH8" s="16" t="s">
        <v>81</v>
      </c>
      <c r="CI8" s="16" t="s">
        <v>81</v>
      </c>
      <c r="CJ8">
        <v>0.28728462586298115</v>
      </c>
      <c r="CL8" s="29">
        <v>0.85823928052116483</v>
      </c>
      <c r="CM8" s="29" t="s">
        <v>81</v>
      </c>
      <c r="CN8" s="29" t="s">
        <v>81</v>
      </c>
      <c r="CO8" s="29" t="s">
        <v>81</v>
      </c>
      <c r="CP8" s="29" t="s">
        <v>81</v>
      </c>
      <c r="CQ8" s="29">
        <v>1.5347429625671256</v>
      </c>
      <c r="CR8" s="29" t="s">
        <v>81</v>
      </c>
      <c r="CS8" s="29" t="s">
        <v>81</v>
      </c>
      <c r="CT8" s="29" t="s">
        <v>81</v>
      </c>
      <c r="DG8" t="s">
        <v>81</v>
      </c>
      <c r="DH8" t="s">
        <v>81</v>
      </c>
      <c r="DI8" t="s">
        <v>81</v>
      </c>
      <c r="DJ8" t="s">
        <v>81</v>
      </c>
      <c r="DK8" t="s">
        <v>81</v>
      </c>
      <c r="DL8" t="s">
        <v>81</v>
      </c>
      <c r="DM8" t="s">
        <v>81</v>
      </c>
      <c r="DN8" t="s">
        <v>81</v>
      </c>
      <c r="DO8" t="s">
        <v>81</v>
      </c>
      <c r="DQ8" t="s">
        <v>81</v>
      </c>
      <c r="DR8" t="s">
        <v>81</v>
      </c>
      <c r="DS8" t="s">
        <v>81</v>
      </c>
      <c r="DT8" t="s">
        <v>81</v>
      </c>
      <c r="DU8" t="s">
        <v>81</v>
      </c>
      <c r="DV8" t="s">
        <v>81</v>
      </c>
      <c r="DW8" t="s">
        <v>81</v>
      </c>
      <c r="DX8" t="s">
        <v>81</v>
      </c>
      <c r="DY8" t="s">
        <v>81</v>
      </c>
    </row>
    <row r="9" spans="1:139" ht="16" x14ac:dyDescent="0.2">
      <c r="A9" s="11" t="s">
        <v>42</v>
      </c>
      <c r="B9" s="11" t="s">
        <v>34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16" t="s">
        <v>81</v>
      </c>
      <c r="BI9" s="16" t="s">
        <v>81</v>
      </c>
      <c r="BJ9" s="16" t="s">
        <v>81</v>
      </c>
      <c r="BK9" s="16" t="s">
        <v>81</v>
      </c>
      <c r="BL9" s="16" t="s">
        <v>81</v>
      </c>
      <c r="BM9" s="16" t="s">
        <v>81</v>
      </c>
      <c r="BN9" s="16" t="s">
        <v>81</v>
      </c>
      <c r="BO9" s="16" t="s">
        <v>81</v>
      </c>
      <c r="BP9" s="16" t="s">
        <v>81</v>
      </c>
      <c r="BQ9" s="16" t="s">
        <v>81</v>
      </c>
      <c r="BR9" s="16" t="s">
        <v>81</v>
      </c>
      <c r="BS9" s="16" t="s">
        <v>81</v>
      </c>
      <c r="BT9" s="16" t="s">
        <v>81</v>
      </c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CC9" s="16" t="s">
        <v>81</v>
      </c>
      <c r="CD9" s="16" t="s">
        <v>81</v>
      </c>
      <c r="CE9" s="16" t="s">
        <v>81</v>
      </c>
      <c r="CF9" s="16" t="s">
        <v>81</v>
      </c>
      <c r="CG9" s="16" t="s">
        <v>81</v>
      </c>
      <c r="CH9" s="16" t="s">
        <v>81</v>
      </c>
      <c r="CI9" s="16" t="s">
        <v>81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81</v>
      </c>
      <c r="DV9">
        <v>323.73</v>
      </c>
      <c r="DW9" t="s">
        <v>81</v>
      </c>
      <c r="EF9">
        <v>323.73</v>
      </c>
    </row>
    <row r="10" spans="1:139" ht="16" x14ac:dyDescent="0.2">
      <c r="A10" s="11" t="s">
        <v>43</v>
      </c>
      <c r="B10" s="11" t="s">
        <v>34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81</v>
      </c>
      <c r="BA10" s="16" t="s">
        <v>81</v>
      </c>
      <c r="BB10" s="16" t="s">
        <v>81</v>
      </c>
      <c r="BC10" s="16" t="s">
        <v>81</v>
      </c>
      <c r="BD10" s="16" t="s">
        <v>81</v>
      </c>
      <c r="BE10" s="16" t="s">
        <v>81</v>
      </c>
      <c r="BF10" s="16" t="s">
        <v>81</v>
      </c>
      <c r="BG10" s="16" t="s">
        <v>81</v>
      </c>
      <c r="BH10" s="16" t="s">
        <v>81</v>
      </c>
      <c r="BI10" s="16" t="s">
        <v>81</v>
      </c>
      <c r="BJ10" s="16" t="s">
        <v>81</v>
      </c>
      <c r="BK10" s="16" t="s">
        <v>81</v>
      </c>
      <c r="BL10" s="16" t="s">
        <v>81</v>
      </c>
      <c r="BM10" s="16" t="s">
        <v>81</v>
      </c>
      <c r="BN10" s="16" t="s">
        <v>81</v>
      </c>
      <c r="BO10" s="16" t="s">
        <v>81</v>
      </c>
      <c r="BP10" s="16" t="s">
        <v>81</v>
      </c>
      <c r="BQ10" s="16" t="s">
        <v>81</v>
      </c>
      <c r="BR10" s="16" t="s">
        <v>81</v>
      </c>
      <c r="BS10" s="16" t="s">
        <v>81</v>
      </c>
      <c r="BT10" s="16" t="s">
        <v>81</v>
      </c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CC10" s="16" t="s">
        <v>81</v>
      </c>
      <c r="CD10" s="16" t="s">
        <v>81</v>
      </c>
      <c r="CE10" s="16" t="s">
        <v>81</v>
      </c>
      <c r="CF10" s="16" t="s">
        <v>81</v>
      </c>
      <c r="CG10" s="16" t="s">
        <v>81</v>
      </c>
      <c r="CH10" s="16" t="s">
        <v>81</v>
      </c>
      <c r="CI10" s="16" t="s">
        <v>81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81</v>
      </c>
      <c r="DQ10">
        <v>106.87</v>
      </c>
      <c r="DW10" t="s">
        <v>81</v>
      </c>
    </row>
    <row r="11" spans="1:139" ht="16" x14ac:dyDescent="0.2">
      <c r="A11" s="11" t="s">
        <v>44</v>
      </c>
      <c r="B11" s="11" t="s">
        <v>34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81</v>
      </c>
      <c r="BA11" s="16" t="s">
        <v>81</v>
      </c>
      <c r="BB11" s="16" t="s">
        <v>81</v>
      </c>
      <c r="BC11" s="16" t="s">
        <v>81</v>
      </c>
      <c r="BD11" s="16" t="s">
        <v>81</v>
      </c>
      <c r="BE11" s="16" t="s">
        <v>81</v>
      </c>
      <c r="BF11" s="16" t="s">
        <v>81</v>
      </c>
      <c r="BG11" s="16" t="s">
        <v>81</v>
      </c>
      <c r="BH11" s="16" t="s">
        <v>81</v>
      </c>
      <c r="BI11" s="16" t="s">
        <v>81</v>
      </c>
      <c r="BJ11" s="16" t="s">
        <v>81</v>
      </c>
      <c r="BK11" s="16" t="s">
        <v>81</v>
      </c>
      <c r="BL11" s="16" t="s">
        <v>81</v>
      </c>
      <c r="BM11" s="16" t="s">
        <v>81</v>
      </c>
      <c r="BN11" s="16" t="s">
        <v>81</v>
      </c>
      <c r="BO11" s="16" t="s">
        <v>81</v>
      </c>
      <c r="BP11" s="16" t="s">
        <v>81</v>
      </c>
      <c r="BQ11" s="16" t="s">
        <v>81</v>
      </c>
      <c r="BR11" s="16" t="s">
        <v>81</v>
      </c>
      <c r="BS11" s="16" t="s">
        <v>81</v>
      </c>
      <c r="BT11" s="16" t="s">
        <v>81</v>
      </c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CC11" s="16" t="s">
        <v>81</v>
      </c>
      <c r="CD11" s="16" t="s">
        <v>81</v>
      </c>
      <c r="CE11" s="16" t="s">
        <v>81</v>
      </c>
      <c r="CF11" s="16" t="s">
        <v>81</v>
      </c>
      <c r="CG11" s="16" t="s">
        <v>81</v>
      </c>
      <c r="CH11" s="16" t="s">
        <v>81</v>
      </c>
      <c r="CI11" s="16" t="s">
        <v>81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81</v>
      </c>
      <c r="DS11">
        <v>128.22999999999999</v>
      </c>
      <c r="DU11">
        <v>116.78</v>
      </c>
      <c r="DV11">
        <v>87.06</v>
      </c>
      <c r="DW11" t="s">
        <v>81</v>
      </c>
      <c r="EC11">
        <v>128.22999999999999</v>
      </c>
      <c r="EE11">
        <v>116.78</v>
      </c>
      <c r="EF11">
        <v>87.06</v>
      </c>
    </row>
    <row r="12" spans="1:139" ht="16" x14ac:dyDescent="0.2">
      <c r="A12" s="11" t="s">
        <v>45</v>
      </c>
      <c r="B12" s="11" t="s">
        <v>34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81</v>
      </c>
      <c r="BA12" s="16" t="s">
        <v>81</v>
      </c>
      <c r="BB12" s="16" t="s">
        <v>81</v>
      </c>
      <c r="BC12" s="16" t="s">
        <v>81</v>
      </c>
      <c r="BD12" s="16" t="s">
        <v>81</v>
      </c>
      <c r="BE12" s="16" t="s">
        <v>81</v>
      </c>
      <c r="BF12" s="16" t="s">
        <v>81</v>
      </c>
      <c r="BG12" s="16" t="s">
        <v>81</v>
      </c>
      <c r="BH12" s="16" t="s">
        <v>81</v>
      </c>
      <c r="BI12" s="16" t="s">
        <v>81</v>
      </c>
      <c r="BJ12" s="16" t="s">
        <v>81</v>
      </c>
      <c r="BK12" s="16" t="s">
        <v>81</v>
      </c>
      <c r="BL12" s="16" t="s">
        <v>81</v>
      </c>
      <c r="BM12" s="16" t="s">
        <v>81</v>
      </c>
      <c r="BN12" s="16" t="s">
        <v>81</v>
      </c>
      <c r="BO12" s="16" t="s">
        <v>81</v>
      </c>
      <c r="BP12" s="16" t="s">
        <v>81</v>
      </c>
      <c r="BQ12" s="16" t="s">
        <v>81</v>
      </c>
      <c r="BR12" s="16" t="s">
        <v>81</v>
      </c>
      <c r="BS12" s="16" t="s">
        <v>81</v>
      </c>
      <c r="BT12" s="16" t="s">
        <v>81</v>
      </c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CC12" s="16" t="s">
        <v>81</v>
      </c>
      <c r="CD12" s="16" t="s">
        <v>81</v>
      </c>
      <c r="CE12" s="16" t="s">
        <v>81</v>
      </c>
      <c r="CF12" s="16" t="s">
        <v>81</v>
      </c>
      <c r="CG12" s="16" t="s">
        <v>81</v>
      </c>
      <c r="CH12" s="16" t="s">
        <v>81</v>
      </c>
      <c r="CI12" s="16" t="s">
        <v>81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81</v>
      </c>
      <c r="DQ12">
        <v>4434.07</v>
      </c>
      <c r="DU12">
        <v>132.18</v>
      </c>
      <c r="DW12" t="s">
        <v>81</v>
      </c>
      <c r="EE12">
        <v>132.18</v>
      </c>
    </row>
    <row r="13" spans="1:139" ht="16" x14ac:dyDescent="0.2">
      <c r="A13" s="11" t="s">
        <v>46</v>
      </c>
      <c r="B13" s="11" t="s">
        <v>34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81</v>
      </c>
      <c r="BA13" s="16" t="s">
        <v>81</v>
      </c>
      <c r="BB13" s="16" t="s">
        <v>81</v>
      </c>
      <c r="BC13" s="16" t="s">
        <v>81</v>
      </c>
      <c r="BD13" s="16" t="s">
        <v>81</v>
      </c>
      <c r="BE13" s="16" t="s">
        <v>81</v>
      </c>
      <c r="BF13" s="16" t="s">
        <v>81</v>
      </c>
      <c r="BG13" s="16" t="s">
        <v>81</v>
      </c>
      <c r="BH13" s="16" t="s">
        <v>81</v>
      </c>
      <c r="BI13" s="16" t="s">
        <v>81</v>
      </c>
      <c r="BJ13" s="16" t="s">
        <v>81</v>
      </c>
      <c r="BK13" s="16" t="s">
        <v>81</v>
      </c>
      <c r="BL13" s="16" t="s">
        <v>81</v>
      </c>
      <c r="BM13" s="16" t="s">
        <v>81</v>
      </c>
      <c r="BN13" s="16" t="s">
        <v>81</v>
      </c>
      <c r="BO13" s="16" t="s">
        <v>81</v>
      </c>
      <c r="BP13" s="16" t="s">
        <v>81</v>
      </c>
      <c r="BQ13" s="16" t="s">
        <v>81</v>
      </c>
      <c r="BR13" s="16" t="s">
        <v>81</v>
      </c>
      <c r="BS13" s="16" t="s">
        <v>81</v>
      </c>
      <c r="BT13" s="16" t="s">
        <v>81</v>
      </c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CC13" s="16" t="s">
        <v>81</v>
      </c>
      <c r="CD13" s="16" t="s">
        <v>81</v>
      </c>
      <c r="CE13" s="16" t="s">
        <v>81</v>
      </c>
      <c r="CF13" s="16" t="s">
        <v>81</v>
      </c>
      <c r="CG13" s="16" t="s">
        <v>81</v>
      </c>
      <c r="CH13" s="16" t="s">
        <v>81</v>
      </c>
      <c r="CI13" s="16" t="s">
        <v>81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81</v>
      </c>
      <c r="DW13" t="s">
        <v>81</v>
      </c>
    </row>
    <row r="14" spans="1:139" ht="16" x14ac:dyDescent="0.2">
      <c r="A14" s="11" t="s">
        <v>47</v>
      </c>
      <c r="B14" s="11" t="s">
        <v>34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81</v>
      </c>
      <c r="BA14" s="16" t="s">
        <v>81</v>
      </c>
      <c r="BB14" s="16" t="s">
        <v>81</v>
      </c>
      <c r="BC14" s="16" t="s">
        <v>81</v>
      </c>
      <c r="BD14" s="16" t="s">
        <v>81</v>
      </c>
      <c r="BE14" s="16" t="s">
        <v>81</v>
      </c>
      <c r="BF14" s="16" t="s">
        <v>81</v>
      </c>
      <c r="BG14" s="16" t="s">
        <v>81</v>
      </c>
      <c r="BH14" s="16" t="s">
        <v>81</v>
      </c>
      <c r="BI14" s="16" t="s">
        <v>81</v>
      </c>
      <c r="BJ14" s="16" t="s">
        <v>81</v>
      </c>
      <c r="BK14" s="16" t="s">
        <v>81</v>
      </c>
      <c r="BL14" s="16" t="s">
        <v>81</v>
      </c>
      <c r="BM14" s="16" t="s">
        <v>81</v>
      </c>
      <c r="BN14" s="16" t="s">
        <v>81</v>
      </c>
      <c r="BO14" s="16" t="s">
        <v>81</v>
      </c>
      <c r="BP14" s="16" t="s">
        <v>81</v>
      </c>
      <c r="BQ14" s="16" t="s">
        <v>81</v>
      </c>
      <c r="BR14" s="16" t="s">
        <v>81</v>
      </c>
      <c r="BS14" s="16" t="s">
        <v>81</v>
      </c>
      <c r="BT14" s="16" t="s">
        <v>81</v>
      </c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CC14" s="16" t="s">
        <v>81</v>
      </c>
      <c r="CD14" s="16" t="s">
        <v>81</v>
      </c>
      <c r="CE14" s="16" t="s">
        <v>81</v>
      </c>
      <c r="CF14" s="16" t="s">
        <v>81</v>
      </c>
      <c r="CG14" s="16" t="s">
        <v>81</v>
      </c>
      <c r="CH14" s="16" t="s">
        <v>81</v>
      </c>
      <c r="CI14" s="16" t="s">
        <v>81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81</v>
      </c>
      <c r="DH14" t="s">
        <v>81</v>
      </c>
      <c r="DI14" t="s">
        <v>81</v>
      </c>
      <c r="DJ14" t="s">
        <v>81</v>
      </c>
      <c r="DK14" t="s">
        <v>81</v>
      </c>
      <c r="DL14" t="s">
        <v>81</v>
      </c>
      <c r="DM14" t="s">
        <v>81</v>
      </c>
      <c r="DN14" t="s">
        <v>81</v>
      </c>
      <c r="DO14" t="s">
        <v>81</v>
      </c>
      <c r="DQ14" t="s">
        <v>81</v>
      </c>
      <c r="DR14" t="s">
        <v>81</v>
      </c>
      <c r="DS14" t="s">
        <v>81</v>
      </c>
      <c r="DT14" t="s">
        <v>81</v>
      </c>
      <c r="DU14" t="s">
        <v>81</v>
      </c>
      <c r="DV14" t="s">
        <v>81</v>
      </c>
      <c r="DW14" t="s">
        <v>81</v>
      </c>
      <c r="DX14" t="s">
        <v>81</v>
      </c>
      <c r="DY14" t="s">
        <v>81</v>
      </c>
    </row>
    <row r="15" spans="1:139" ht="16" x14ac:dyDescent="0.2">
      <c r="A15" s="11" t="s">
        <v>48</v>
      </c>
      <c r="B15" s="11" t="s">
        <v>34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81</v>
      </c>
      <c r="BA15" s="16" t="s">
        <v>81</v>
      </c>
      <c r="BB15" s="16" t="s">
        <v>81</v>
      </c>
      <c r="BC15" s="16" t="s">
        <v>81</v>
      </c>
      <c r="BD15" s="16" t="s">
        <v>81</v>
      </c>
      <c r="BE15" s="16" t="s">
        <v>81</v>
      </c>
      <c r="BF15" s="16" t="s">
        <v>81</v>
      </c>
      <c r="BG15" s="16" t="s">
        <v>81</v>
      </c>
      <c r="BH15" s="16" t="s">
        <v>81</v>
      </c>
      <c r="BI15" s="16" t="s">
        <v>81</v>
      </c>
      <c r="BJ15" s="16" t="s">
        <v>81</v>
      </c>
      <c r="BK15" s="16" t="s">
        <v>81</v>
      </c>
      <c r="BL15" s="16" t="s">
        <v>81</v>
      </c>
      <c r="BM15" s="16" t="s">
        <v>81</v>
      </c>
      <c r="BN15" s="16" t="s">
        <v>81</v>
      </c>
      <c r="BO15" s="16" t="s">
        <v>81</v>
      </c>
      <c r="BP15" s="16" t="s">
        <v>81</v>
      </c>
      <c r="BQ15" s="16" t="s">
        <v>81</v>
      </c>
      <c r="BR15" s="16" t="s">
        <v>81</v>
      </c>
      <c r="BS15" s="16" t="s">
        <v>81</v>
      </c>
      <c r="BT15" s="16" t="s">
        <v>81</v>
      </c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CC15" s="16" t="s">
        <v>81</v>
      </c>
      <c r="CD15" s="16" t="s">
        <v>81</v>
      </c>
      <c r="CE15" s="16" t="s">
        <v>81</v>
      </c>
      <c r="CF15" s="16" t="s">
        <v>81</v>
      </c>
      <c r="CG15" s="16" t="s">
        <v>81</v>
      </c>
      <c r="CH15" s="16" t="s">
        <v>81</v>
      </c>
      <c r="CI15" s="16" t="s">
        <v>81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81</v>
      </c>
      <c r="DT15">
        <v>103.59</v>
      </c>
      <c r="DW15" t="s">
        <v>81</v>
      </c>
      <c r="ED15">
        <v>62.32</v>
      </c>
    </row>
    <row r="16" spans="1:139" ht="16" x14ac:dyDescent="0.2">
      <c r="A16" s="11" t="s">
        <v>49</v>
      </c>
      <c r="B16" s="11" t="s">
        <v>34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81</v>
      </c>
      <c r="BA16" s="16" t="s">
        <v>81</v>
      </c>
      <c r="BB16" s="16" t="s">
        <v>81</v>
      </c>
      <c r="BC16" s="16" t="s">
        <v>81</v>
      </c>
      <c r="BD16" s="16" t="s">
        <v>81</v>
      </c>
      <c r="BE16" s="16" t="s">
        <v>81</v>
      </c>
      <c r="BF16" s="16" t="s">
        <v>81</v>
      </c>
      <c r="BG16" s="16" t="s">
        <v>81</v>
      </c>
      <c r="BH16" s="16" t="s">
        <v>81</v>
      </c>
      <c r="BI16" s="16" t="s">
        <v>81</v>
      </c>
      <c r="BJ16" s="16" t="s">
        <v>81</v>
      </c>
      <c r="BK16" s="16" t="s">
        <v>81</v>
      </c>
      <c r="BL16" s="16" t="s">
        <v>81</v>
      </c>
      <c r="BM16" s="16" t="s">
        <v>81</v>
      </c>
      <c r="BN16" s="16" t="s">
        <v>81</v>
      </c>
      <c r="BO16" s="16" t="s">
        <v>81</v>
      </c>
      <c r="BP16" s="16" t="s">
        <v>81</v>
      </c>
      <c r="BQ16" s="16" t="s">
        <v>81</v>
      </c>
      <c r="BR16" s="16" t="s">
        <v>81</v>
      </c>
      <c r="BS16" s="16" t="s">
        <v>81</v>
      </c>
      <c r="BT16" s="16" t="s">
        <v>81</v>
      </c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CC16" s="16" t="s">
        <v>81</v>
      </c>
      <c r="CD16" s="16" t="s">
        <v>81</v>
      </c>
      <c r="CE16" s="16" t="s">
        <v>81</v>
      </c>
      <c r="CF16" s="16" t="s">
        <v>81</v>
      </c>
      <c r="CG16" s="16" t="s">
        <v>81</v>
      </c>
      <c r="CH16" s="16" t="s">
        <v>81</v>
      </c>
      <c r="CI16" s="16" t="s">
        <v>81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81</v>
      </c>
      <c r="DQ16">
        <v>8.59</v>
      </c>
      <c r="DT16">
        <v>320.49</v>
      </c>
      <c r="DW16" t="s">
        <v>81</v>
      </c>
      <c r="EG16">
        <v>6.44</v>
      </c>
    </row>
    <row r="17" spans="1:137" ht="16" x14ac:dyDescent="0.2">
      <c r="A17" s="11" t="s">
        <v>50</v>
      </c>
      <c r="B17" s="11" t="s">
        <v>34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81</v>
      </c>
      <c r="BA17" s="16" t="s">
        <v>81</v>
      </c>
      <c r="BB17" s="16" t="s">
        <v>81</v>
      </c>
      <c r="BC17" s="16" t="s">
        <v>81</v>
      </c>
      <c r="BD17" s="16" t="s">
        <v>81</v>
      </c>
      <c r="BE17" s="16" t="s">
        <v>81</v>
      </c>
      <c r="BF17" s="16" t="s">
        <v>81</v>
      </c>
      <c r="BG17" s="16" t="s">
        <v>81</v>
      </c>
      <c r="BH17" s="16" t="s">
        <v>81</v>
      </c>
      <c r="BI17" s="16" t="s">
        <v>81</v>
      </c>
      <c r="BJ17" s="16" t="s">
        <v>81</v>
      </c>
      <c r="BK17" s="16" t="s">
        <v>81</v>
      </c>
      <c r="BL17" s="16" t="s">
        <v>81</v>
      </c>
      <c r="BM17" s="16" t="s">
        <v>81</v>
      </c>
      <c r="BN17" s="16" t="s">
        <v>81</v>
      </c>
      <c r="BO17" s="16" t="s">
        <v>81</v>
      </c>
      <c r="BP17" s="16" t="s">
        <v>81</v>
      </c>
      <c r="BQ17" s="16" t="s">
        <v>81</v>
      </c>
      <c r="BR17" s="16" t="s">
        <v>81</v>
      </c>
      <c r="BS17" s="16" t="s">
        <v>81</v>
      </c>
      <c r="BT17" s="16" t="s">
        <v>81</v>
      </c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CC17" s="16" t="s">
        <v>81</v>
      </c>
      <c r="CD17" s="16" t="s">
        <v>81</v>
      </c>
      <c r="CE17" s="16" t="s">
        <v>81</v>
      </c>
      <c r="CF17" s="16" t="s">
        <v>81</v>
      </c>
      <c r="CG17" s="16" t="s">
        <v>81</v>
      </c>
      <c r="CH17" s="16" t="s">
        <v>81</v>
      </c>
      <c r="CI17" s="16" t="s">
        <v>81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81</v>
      </c>
      <c r="DH17" t="s">
        <v>81</v>
      </c>
      <c r="DI17" t="s">
        <v>81</v>
      </c>
      <c r="DJ17" t="s">
        <v>81</v>
      </c>
      <c r="DK17" t="s">
        <v>81</v>
      </c>
      <c r="DL17" t="s">
        <v>81</v>
      </c>
      <c r="DM17" t="s">
        <v>81</v>
      </c>
      <c r="DN17" t="s">
        <v>81</v>
      </c>
      <c r="DO17" t="s">
        <v>81</v>
      </c>
      <c r="DQ17" t="s">
        <v>81</v>
      </c>
      <c r="DR17" t="s">
        <v>81</v>
      </c>
      <c r="DS17" t="s">
        <v>81</v>
      </c>
      <c r="DT17" t="s">
        <v>81</v>
      </c>
      <c r="DU17" t="s">
        <v>81</v>
      </c>
      <c r="DV17" t="s">
        <v>81</v>
      </c>
      <c r="DW17" t="s">
        <v>81</v>
      </c>
      <c r="DX17" t="s">
        <v>81</v>
      </c>
      <c r="DY17" t="s">
        <v>81</v>
      </c>
    </row>
    <row r="18" spans="1:137" ht="16" x14ac:dyDescent="0.2">
      <c r="A18" s="11" t="s">
        <v>52</v>
      </c>
      <c r="B18" s="11" t="s">
        <v>34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81</v>
      </c>
      <c r="BA18" s="16" t="s">
        <v>81</v>
      </c>
      <c r="BB18" s="16" t="s">
        <v>81</v>
      </c>
      <c r="BC18" s="16" t="s">
        <v>81</v>
      </c>
      <c r="BD18" s="16" t="s">
        <v>81</v>
      </c>
      <c r="BE18" s="16" t="s">
        <v>81</v>
      </c>
      <c r="BF18" s="16" t="s">
        <v>81</v>
      </c>
      <c r="BG18" s="16" t="s">
        <v>81</v>
      </c>
      <c r="BH18" s="16" t="s">
        <v>81</v>
      </c>
      <c r="BI18" s="16" t="s">
        <v>81</v>
      </c>
      <c r="BJ18" s="16" t="s">
        <v>81</v>
      </c>
      <c r="BK18" s="16" t="s">
        <v>81</v>
      </c>
      <c r="BL18" s="16" t="s">
        <v>81</v>
      </c>
      <c r="BM18" s="16" t="s">
        <v>81</v>
      </c>
      <c r="BN18" s="16" t="s">
        <v>81</v>
      </c>
      <c r="BO18" s="16" t="s">
        <v>81</v>
      </c>
      <c r="BP18" s="16" t="s">
        <v>81</v>
      </c>
      <c r="BQ18" s="16" t="s">
        <v>81</v>
      </c>
      <c r="BR18" s="16" t="s">
        <v>81</v>
      </c>
      <c r="BS18" s="16" t="s">
        <v>81</v>
      </c>
      <c r="BT18" s="16" t="s">
        <v>81</v>
      </c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CC18" s="16" t="s">
        <v>81</v>
      </c>
      <c r="CD18" s="16" t="s">
        <v>81</v>
      </c>
      <c r="CE18" s="16" t="s">
        <v>81</v>
      </c>
      <c r="CF18" s="16" t="s">
        <v>81</v>
      </c>
      <c r="CG18" s="16" t="s">
        <v>81</v>
      </c>
      <c r="CH18" s="16" t="s">
        <v>81</v>
      </c>
      <c r="CI18" s="16" t="s">
        <v>81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81</v>
      </c>
      <c r="DS18">
        <v>83.67</v>
      </c>
      <c r="DT18">
        <v>189.48</v>
      </c>
      <c r="DW18" t="s">
        <v>81</v>
      </c>
      <c r="EC18">
        <v>83.67</v>
      </c>
      <c r="EG18">
        <v>118.91</v>
      </c>
    </row>
    <row r="19" spans="1:137" ht="16" x14ac:dyDescent="0.2">
      <c r="A19" s="11" t="s">
        <v>53</v>
      </c>
      <c r="B19" s="11" t="s">
        <v>34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81</v>
      </c>
      <c r="BA19" s="16" t="s">
        <v>81</v>
      </c>
      <c r="BB19" s="16" t="s">
        <v>81</v>
      </c>
      <c r="BC19" s="16" t="s">
        <v>81</v>
      </c>
      <c r="BD19" s="16" t="s">
        <v>81</v>
      </c>
      <c r="BE19" s="16" t="s">
        <v>81</v>
      </c>
      <c r="BF19" s="16" t="s">
        <v>81</v>
      </c>
      <c r="BG19" s="16" t="s">
        <v>81</v>
      </c>
      <c r="BH19" s="16" t="s">
        <v>81</v>
      </c>
      <c r="BI19" s="16" t="s">
        <v>81</v>
      </c>
      <c r="BJ19" s="16" t="s">
        <v>81</v>
      </c>
      <c r="BK19" s="16" t="s">
        <v>81</v>
      </c>
      <c r="BL19" s="16" t="s">
        <v>81</v>
      </c>
      <c r="BM19" s="16" t="s">
        <v>81</v>
      </c>
      <c r="BN19" s="16" t="s">
        <v>81</v>
      </c>
      <c r="BO19" s="16" t="s">
        <v>81</v>
      </c>
      <c r="BP19" s="16" t="s">
        <v>81</v>
      </c>
      <c r="BQ19" s="16" t="s">
        <v>81</v>
      </c>
      <c r="BR19" s="16" t="s">
        <v>81</v>
      </c>
      <c r="BS19" s="16" t="s">
        <v>81</v>
      </c>
      <c r="BT19" s="16" t="s">
        <v>81</v>
      </c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CC19" s="16" t="s">
        <v>81</v>
      </c>
      <c r="CD19" s="16" t="s">
        <v>81</v>
      </c>
      <c r="CE19" s="16" t="s">
        <v>81</v>
      </c>
      <c r="CF19" s="16" t="s">
        <v>81</v>
      </c>
      <c r="CG19" s="16" t="s">
        <v>81</v>
      </c>
      <c r="CH19" s="16" t="s">
        <v>81</v>
      </c>
      <c r="CI19" s="16" t="s">
        <v>81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81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81</v>
      </c>
      <c r="DX19">
        <v>1155.9000000000001</v>
      </c>
      <c r="EB19">
        <v>224.58</v>
      </c>
      <c r="ED19">
        <v>16.75</v>
      </c>
    </row>
    <row r="20" spans="1:137" ht="16" x14ac:dyDescent="0.2">
      <c r="A20" s="11" t="s">
        <v>54</v>
      </c>
      <c r="B20" s="11" t="s">
        <v>34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81</v>
      </c>
      <c r="BA20" s="16" t="s">
        <v>81</v>
      </c>
      <c r="BB20" s="16" t="s">
        <v>81</v>
      </c>
      <c r="BC20" s="16" t="s">
        <v>81</v>
      </c>
      <c r="BD20" s="16" t="s">
        <v>81</v>
      </c>
      <c r="BE20" s="16" t="s">
        <v>81</v>
      </c>
      <c r="BF20" s="16" t="s">
        <v>81</v>
      </c>
      <c r="BG20" s="16" t="s">
        <v>81</v>
      </c>
      <c r="BH20" s="16" t="s">
        <v>81</v>
      </c>
      <c r="BI20" s="16" t="s">
        <v>81</v>
      </c>
      <c r="BJ20" s="16" t="s">
        <v>81</v>
      </c>
      <c r="BK20" s="16" t="s">
        <v>81</v>
      </c>
      <c r="BL20" s="16" t="s">
        <v>81</v>
      </c>
      <c r="BM20" s="16" t="s">
        <v>81</v>
      </c>
      <c r="BN20" s="16" t="s">
        <v>81</v>
      </c>
      <c r="BO20" s="16" t="s">
        <v>81</v>
      </c>
      <c r="BP20" s="16" t="s">
        <v>81</v>
      </c>
      <c r="BQ20" s="16" t="s">
        <v>81</v>
      </c>
      <c r="BR20" s="16" t="s">
        <v>81</v>
      </c>
      <c r="BS20" s="16" t="s">
        <v>81</v>
      </c>
      <c r="BT20" s="16" t="s">
        <v>81</v>
      </c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CC20" s="16" t="s">
        <v>81</v>
      </c>
      <c r="CD20" s="16" t="s">
        <v>81</v>
      </c>
      <c r="CE20" s="16" t="s">
        <v>81</v>
      </c>
      <c r="CF20" s="16" t="s">
        <v>81</v>
      </c>
      <c r="CG20" s="16" t="s">
        <v>81</v>
      </c>
      <c r="CH20" s="16" t="s">
        <v>81</v>
      </c>
      <c r="CI20" s="16" t="s">
        <v>81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81</v>
      </c>
      <c r="DH20" t="s">
        <v>81</v>
      </c>
      <c r="DI20" t="s">
        <v>81</v>
      </c>
      <c r="DJ20" t="s">
        <v>81</v>
      </c>
      <c r="DK20" t="s">
        <v>81</v>
      </c>
      <c r="DL20" t="s">
        <v>81</v>
      </c>
      <c r="DM20" t="s">
        <v>81</v>
      </c>
      <c r="DN20" t="s">
        <v>81</v>
      </c>
      <c r="DO20" t="s">
        <v>81</v>
      </c>
      <c r="DQ20" t="s">
        <v>81</v>
      </c>
      <c r="DR20" t="s">
        <v>81</v>
      </c>
      <c r="DS20" t="s">
        <v>81</v>
      </c>
      <c r="DT20" t="s">
        <v>81</v>
      </c>
      <c r="DU20" t="s">
        <v>81</v>
      </c>
      <c r="DV20" t="s">
        <v>81</v>
      </c>
      <c r="DW20" t="s">
        <v>81</v>
      </c>
      <c r="DX20" t="s">
        <v>81</v>
      </c>
      <c r="DY20" t="s">
        <v>81</v>
      </c>
    </row>
    <row r="21" spans="1:137" ht="16" x14ac:dyDescent="0.2">
      <c r="A21" s="11" t="s">
        <v>55</v>
      </c>
      <c r="B21" s="11" t="s">
        <v>34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81</v>
      </c>
      <c r="DQ21">
        <v>0.32</v>
      </c>
      <c r="DR21">
        <v>244.27</v>
      </c>
      <c r="DS21">
        <v>2508.0099999999998</v>
      </c>
      <c r="DT21">
        <v>975.37</v>
      </c>
      <c r="DW21" t="s">
        <v>81</v>
      </c>
      <c r="EA21">
        <v>0.32</v>
      </c>
    </row>
    <row r="22" spans="1:137" ht="16" x14ac:dyDescent="0.2">
      <c r="A22" s="11" t="s">
        <v>56</v>
      </c>
      <c r="B22" s="11" t="s">
        <v>34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81</v>
      </c>
      <c r="DQ22">
        <v>455.93</v>
      </c>
      <c r="DT22">
        <v>14372.61</v>
      </c>
      <c r="DV22">
        <v>33.869999999999997</v>
      </c>
      <c r="DW22" t="s">
        <v>81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ht="16" x14ac:dyDescent="0.2">
      <c r="A23" s="11" t="s">
        <v>57</v>
      </c>
      <c r="B23" s="11" t="s">
        <v>34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81</v>
      </c>
      <c r="BA23" s="16" t="s">
        <v>81</v>
      </c>
      <c r="BB23" s="16" t="s">
        <v>81</v>
      </c>
      <c r="BC23" s="16" t="s">
        <v>81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81</v>
      </c>
      <c r="DT23">
        <v>114.67</v>
      </c>
      <c r="DW23" t="s">
        <v>81</v>
      </c>
      <c r="ED23">
        <v>114.67</v>
      </c>
    </row>
    <row r="24" spans="1:137" ht="16" x14ac:dyDescent="0.2">
      <c r="A24" s="11" t="s">
        <v>58</v>
      </c>
      <c r="B24" s="11" t="s">
        <v>34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81</v>
      </c>
      <c r="BA24" s="16" t="s">
        <v>81</v>
      </c>
      <c r="BB24" s="16" t="s">
        <v>81</v>
      </c>
      <c r="BC24" s="16" t="s">
        <v>81</v>
      </c>
      <c r="BD24" s="16" t="s">
        <v>81</v>
      </c>
      <c r="BE24" s="16" t="s">
        <v>81</v>
      </c>
      <c r="BF24" s="16" t="s">
        <v>81</v>
      </c>
      <c r="BG24" s="16" t="s">
        <v>81</v>
      </c>
      <c r="BH24" s="16" t="s">
        <v>81</v>
      </c>
      <c r="BI24" s="16" t="s">
        <v>81</v>
      </c>
      <c r="BJ24" s="16" t="s">
        <v>81</v>
      </c>
      <c r="BK24" s="16" t="s">
        <v>81</v>
      </c>
      <c r="BL24" s="16" t="s">
        <v>81</v>
      </c>
      <c r="BM24" s="16" t="s">
        <v>81</v>
      </c>
      <c r="BN24" s="16" t="s">
        <v>81</v>
      </c>
      <c r="BO24" s="16" t="s">
        <v>81</v>
      </c>
      <c r="BP24" s="16" t="s">
        <v>81</v>
      </c>
      <c r="BQ24" s="16" t="s">
        <v>81</v>
      </c>
      <c r="BR24" s="16" t="s">
        <v>81</v>
      </c>
      <c r="BS24" s="16" t="s">
        <v>81</v>
      </c>
      <c r="BT24" s="16" t="s">
        <v>81</v>
      </c>
      <c r="BU24" s="16" t="s">
        <v>81</v>
      </c>
      <c r="BV24" s="16" t="s">
        <v>81</v>
      </c>
      <c r="BW24" s="16" t="s">
        <v>81</v>
      </c>
      <c r="BX24" s="16" t="s">
        <v>81</v>
      </c>
      <c r="BY24" s="16" t="s">
        <v>81</v>
      </c>
      <c r="BZ24" s="16" t="s">
        <v>81</v>
      </c>
      <c r="CA24" s="16" t="s">
        <v>81</v>
      </c>
      <c r="CB24" s="16" t="s">
        <v>81</v>
      </c>
      <c r="CC24" s="16" t="s">
        <v>81</v>
      </c>
      <c r="CD24" s="16" t="s">
        <v>81</v>
      </c>
      <c r="CE24" s="16" t="s">
        <v>81</v>
      </c>
      <c r="CF24" s="16" t="s">
        <v>81</v>
      </c>
      <c r="CG24" s="16" t="s">
        <v>81</v>
      </c>
      <c r="CH24" s="16" t="s">
        <v>81</v>
      </c>
      <c r="CI24" s="16" t="s">
        <v>81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81</v>
      </c>
      <c r="DS24">
        <v>3182.72</v>
      </c>
      <c r="DV24">
        <v>26.57</v>
      </c>
      <c r="DW24" t="s">
        <v>81</v>
      </c>
      <c r="EF24">
        <v>26.57</v>
      </c>
    </row>
    <row r="25" spans="1:137" ht="16" x14ac:dyDescent="0.2">
      <c r="A25" s="11" t="s">
        <v>60</v>
      </c>
      <c r="B25" s="11" t="s">
        <v>34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81</v>
      </c>
      <c r="BA25" s="16" t="s">
        <v>81</v>
      </c>
      <c r="BB25" s="16" t="s">
        <v>81</v>
      </c>
      <c r="BC25" s="16" t="s">
        <v>81</v>
      </c>
      <c r="BD25" s="16" t="s">
        <v>81</v>
      </c>
      <c r="BE25" s="16" t="s">
        <v>81</v>
      </c>
      <c r="BF25" s="16" t="s">
        <v>81</v>
      </c>
      <c r="BG25" s="16" t="s">
        <v>81</v>
      </c>
      <c r="BH25" s="16" t="s">
        <v>81</v>
      </c>
      <c r="BI25" s="16" t="s">
        <v>81</v>
      </c>
      <c r="BJ25" s="16" t="s">
        <v>81</v>
      </c>
      <c r="BK25" s="16" t="s">
        <v>81</v>
      </c>
      <c r="BL25" s="16" t="s">
        <v>81</v>
      </c>
      <c r="BM25" s="16" t="s">
        <v>81</v>
      </c>
      <c r="BN25" s="16" t="s">
        <v>81</v>
      </c>
      <c r="BO25" s="16" t="s">
        <v>81</v>
      </c>
      <c r="BP25" s="16" t="s">
        <v>81</v>
      </c>
      <c r="BQ25" s="16" t="s">
        <v>81</v>
      </c>
      <c r="BR25" s="16" t="s">
        <v>81</v>
      </c>
      <c r="BS25" s="16" t="s">
        <v>81</v>
      </c>
      <c r="BT25" s="16" t="s">
        <v>81</v>
      </c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CC25" s="16" t="s">
        <v>81</v>
      </c>
      <c r="CD25" s="16" t="s">
        <v>81</v>
      </c>
      <c r="CE25" s="16" t="s">
        <v>81</v>
      </c>
      <c r="CF25" s="16" t="s">
        <v>81</v>
      </c>
      <c r="CG25" s="16" t="s">
        <v>81</v>
      </c>
      <c r="CH25" s="16" t="s">
        <v>81</v>
      </c>
      <c r="CI25" s="16" t="s">
        <v>81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81</v>
      </c>
      <c r="DT25">
        <v>94.92</v>
      </c>
      <c r="DW25" t="s">
        <v>81</v>
      </c>
    </row>
    <row r="26" spans="1:137" ht="16" x14ac:dyDescent="0.2">
      <c r="A26" s="11" t="s">
        <v>61</v>
      </c>
      <c r="B26" s="11" t="s">
        <v>34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81</v>
      </c>
      <c r="BA26" s="16" t="s">
        <v>81</v>
      </c>
      <c r="BB26" s="16" t="s">
        <v>81</v>
      </c>
      <c r="BC26" s="16" t="s">
        <v>81</v>
      </c>
      <c r="BD26" s="16" t="s">
        <v>81</v>
      </c>
      <c r="BE26" s="16" t="s">
        <v>81</v>
      </c>
      <c r="BF26" s="16" t="s">
        <v>81</v>
      </c>
      <c r="BG26" s="16" t="s">
        <v>81</v>
      </c>
      <c r="BH26" s="16" t="s">
        <v>81</v>
      </c>
      <c r="BI26" s="16" t="s">
        <v>81</v>
      </c>
      <c r="BJ26" s="16" t="s">
        <v>81</v>
      </c>
      <c r="BK26" s="16" t="s">
        <v>81</v>
      </c>
      <c r="BL26" s="16" t="s">
        <v>81</v>
      </c>
      <c r="BM26" s="16" t="s">
        <v>81</v>
      </c>
      <c r="BN26" s="16" t="s">
        <v>81</v>
      </c>
      <c r="BO26" s="16" t="s">
        <v>81</v>
      </c>
      <c r="BP26" s="16" t="s">
        <v>81</v>
      </c>
      <c r="BQ26" s="16" t="s">
        <v>81</v>
      </c>
      <c r="BR26" s="16" t="s">
        <v>81</v>
      </c>
      <c r="BS26" s="16" t="s">
        <v>81</v>
      </c>
      <c r="BT26" s="16" t="s">
        <v>81</v>
      </c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CC26" s="16" t="s">
        <v>81</v>
      </c>
      <c r="CD26" s="16" t="s">
        <v>81</v>
      </c>
      <c r="CE26" s="16" t="s">
        <v>81</v>
      </c>
      <c r="CF26" s="16" t="s">
        <v>81</v>
      </c>
      <c r="CG26" s="16" t="s">
        <v>81</v>
      </c>
      <c r="CH26" s="16" t="s">
        <v>81</v>
      </c>
      <c r="CI26" s="16" t="s">
        <v>81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81</v>
      </c>
      <c r="DQ26">
        <v>31.15</v>
      </c>
      <c r="DW26" t="s">
        <v>81</v>
      </c>
    </row>
    <row r="27" spans="1:137" ht="16" x14ac:dyDescent="0.2">
      <c r="A27" s="11" t="s">
        <v>62</v>
      </c>
      <c r="B27" s="11" t="s">
        <v>34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81</v>
      </c>
      <c r="BA27" s="16" t="s">
        <v>81</v>
      </c>
      <c r="BB27" s="16" t="s">
        <v>81</v>
      </c>
      <c r="BC27" s="16" t="s">
        <v>81</v>
      </c>
      <c r="BD27" s="16" t="s">
        <v>81</v>
      </c>
      <c r="BE27" s="16" t="s">
        <v>81</v>
      </c>
      <c r="BF27" s="16" t="s">
        <v>81</v>
      </c>
      <c r="BG27" s="16" t="s">
        <v>81</v>
      </c>
      <c r="BH27" s="16" t="s">
        <v>81</v>
      </c>
      <c r="BI27" s="16" t="s">
        <v>81</v>
      </c>
      <c r="BJ27" s="16" t="s">
        <v>81</v>
      </c>
      <c r="BK27" s="16" t="s">
        <v>81</v>
      </c>
      <c r="BL27" s="16" t="s">
        <v>81</v>
      </c>
      <c r="BM27" s="16" t="s">
        <v>81</v>
      </c>
      <c r="BN27" s="16" t="s">
        <v>81</v>
      </c>
      <c r="BO27" s="16" t="s">
        <v>81</v>
      </c>
      <c r="BP27" s="16" t="s">
        <v>81</v>
      </c>
      <c r="BQ27" s="16" t="s">
        <v>81</v>
      </c>
      <c r="BR27" s="16" t="s">
        <v>81</v>
      </c>
      <c r="BS27" s="16" t="s">
        <v>81</v>
      </c>
      <c r="BT27" s="16" t="s">
        <v>81</v>
      </c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CC27" s="16" t="s">
        <v>81</v>
      </c>
      <c r="CD27" s="16" t="s">
        <v>81</v>
      </c>
      <c r="CE27" s="16" t="s">
        <v>81</v>
      </c>
      <c r="CF27" s="16" t="s">
        <v>81</v>
      </c>
      <c r="CG27" s="16" t="s">
        <v>81</v>
      </c>
      <c r="CH27" s="16" t="s">
        <v>81</v>
      </c>
      <c r="CI27" s="16" t="s">
        <v>81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81</v>
      </c>
      <c r="DS27">
        <v>81.48</v>
      </c>
      <c r="DW27" t="s">
        <v>81</v>
      </c>
      <c r="EC27">
        <v>81.48</v>
      </c>
    </row>
    <row r="28" spans="1:137" ht="16" x14ac:dyDescent="0.2">
      <c r="A28" s="11" t="s">
        <v>63</v>
      </c>
      <c r="B28" s="11" t="s">
        <v>34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81</v>
      </c>
      <c r="BA28" s="16" t="s">
        <v>81</v>
      </c>
      <c r="BB28" s="16" t="s">
        <v>81</v>
      </c>
      <c r="BC28" s="16" t="s">
        <v>81</v>
      </c>
      <c r="BD28" s="16" t="s">
        <v>81</v>
      </c>
      <c r="BE28" s="16" t="s">
        <v>81</v>
      </c>
      <c r="BF28" s="16" t="s">
        <v>81</v>
      </c>
      <c r="BG28" s="16" t="s">
        <v>81</v>
      </c>
      <c r="BH28" s="16" t="s">
        <v>81</v>
      </c>
      <c r="BI28" s="16" t="s">
        <v>81</v>
      </c>
      <c r="BJ28" s="16" t="s">
        <v>81</v>
      </c>
      <c r="BK28" s="16" t="s">
        <v>81</v>
      </c>
      <c r="BL28" s="16" t="s">
        <v>81</v>
      </c>
      <c r="BM28" s="16" t="s">
        <v>81</v>
      </c>
      <c r="BN28" s="16" t="s">
        <v>81</v>
      </c>
      <c r="BO28" s="16" t="s">
        <v>81</v>
      </c>
      <c r="BP28" s="16" t="s">
        <v>81</v>
      </c>
      <c r="BQ28" s="16" t="s">
        <v>81</v>
      </c>
      <c r="BR28" s="16" t="s">
        <v>81</v>
      </c>
      <c r="BS28" s="16" t="s">
        <v>81</v>
      </c>
      <c r="BT28" s="16" t="s">
        <v>81</v>
      </c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CC28" s="16" t="s">
        <v>81</v>
      </c>
      <c r="CD28" s="16" t="s">
        <v>81</v>
      </c>
      <c r="CE28" s="16" t="s">
        <v>81</v>
      </c>
      <c r="CF28" s="16" t="s">
        <v>81</v>
      </c>
      <c r="CG28" s="16" t="s">
        <v>81</v>
      </c>
      <c r="CH28" s="16" t="s">
        <v>81</v>
      </c>
      <c r="CI28" s="16" t="s">
        <v>81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81</v>
      </c>
      <c r="DH28" t="s">
        <v>81</v>
      </c>
      <c r="DI28" t="s">
        <v>81</v>
      </c>
      <c r="DJ28" t="s">
        <v>81</v>
      </c>
      <c r="DK28" t="s">
        <v>81</v>
      </c>
      <c r="DL28" t="s">
        <v>81</v>
      </c>
      <c r="DM28" t="s">
        <v>81</v>
      </c>
      <c r="DN28" t="s">
        <v>81</v>
      </c>
      <c r="DO28" t="s">
        <v>81</v>
      </c>
      <c r="DQ28" t="s">
        <v>81</v>
      </c>
      <c r="DR28" t="s">
        <v>81</v>
      </c>
      <c r="DS28" t="s">
        <v>81</v>
      </c>
      <c r="DT28" t="s">
        <v>81</v>
      </c>
      <c r="DU28" t="s">
        <v>81</v>
      </c>
      <c r="DV28" t="s">
        <v>81</v>
      </c>
      <c r="DW28" t="s">
        <v>81</v>
      </c>
      <c r="DX28" t="s">
        <v>81</v>
      </c>
      <c r="DY28" t="s">
        <v>81</v>
      </c>
    </row>
    <row r="29" spans="1:137" ht="16" x14ac:dyDescent="0.2">
      <c r="A29" s="11" t="s">
        <v>64</v>
      </c>
      <c r="B29" s="11" t="s">
        <v>34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81</v>
      </c>
      <c r="DS29">
        <v>277.39999999999998</v>
      </c>
      <c r="DT29">
        <v>3.48</v>
      </c>
      <c r="DU29">
        <v>79.25</v>
      </c>
      <c r="DW29" t="s">
        <v>81</v>
      </c>
      <c r="EE29">
        <v>26.79</v>
      </c>
    </row>
    <row r="30" spans="1:137" ht="16" x14ac:dyDescent="0.2">
      <c r="A30" s="11" t="s">
        <v>65</v>
      </c>
      <c r="B30" s="11" t="s">
        <v>34</v>
      </c>
      <c r="C30" s="11" t="str">
        <f t="shared" si="0"/>
        <v>99348COM</v>
      </c>
      <c r="D30" s="12"/>
      <c r="E30" s="12">
        <v>1</v>
      </c>
      <c r="F30" s="12" t="s">
        <v>81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81</v>
      </c>
      <c r="T30" s="16" t="s">
        <v>81</v>
      </c>
      <c r="U30" s="16" t="s">
        <v>81</v>
      </c>
      <c r="V30" s="16" t="s">
        <v>81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81</v>
      </c>
      <c r="BA30" s="16" t="s">
        <v>81</v>
      </c>
      <c r="BB30" s="16" t="s">
        <v>81</v>
      </c>
      <c r="BC30" s="16" t="s">
        <v>81</v>
      </c>
      <c r="BD30" s="16" t="s">
        <v>81</v>
      </c>
      <c r="BE30" s="16" t="s">
        <v>81</v>
      </c>
      <c r="BF30" s="16" t="s">
        <v>81</v>
      </c>
      <c r="BG30" s="16" t="s">
        <v>81</v>
      </c>
      <c r="BH30" s="16" t="s">
        <v>81</v>
      </c>
      <c r="BI30" s="16" t="s">
        <v>81</v>
      </c>
      <c r="BJ30" s="16" t="s">
        <v>81</v>
      </c>
      <c r="BK30" s="16" t="s">
        <v>81</v>
      </c>
      <c r="BL30" s="16" t="s">
        <v>81</v>
      </c>
      <c r="BM30" s="16" t="s">
        <v>81</v>
      </c>
      <c r="BN30" s="16" t="s">
        <v>81</v>
      </c>
      <c r="BO30" s="16" t="s">
        <v>81</v>
      </c>
      <c r="BP30" s="16" t="s">
        <v>81</v>
      </c>
      <c r="BQ30" s="16" t="s">
        <v>81</v>
      </c>
      <c r="BR30" s="16" t="s">
        <v>81</v>
      </c>
      <c r="BS30" s="16" t="s">
        <v>81</v>
      </c>
      <c r="BT30" s="16" t="s">
        <v>81</v>
      </c>
      <c r="BU30" s="16" t="s">
        <v>81</v>
      </c>
      <c r="BV30" s="16" t="s">
        <v>81</v>
      </c>
      <c r="BW30" s="16" t="s">
        <v>81</v>
      </c>
      <c r="BX30" s="16" t="s">
        <v>81</v>
      </c>
      <c r="BY30" s="16" t="s">
        <v>81</v>
      </c>
      <c r="BZ30" s="16" t="s">
        <v>81</v>
      </c>
      <c r="CA30" s="16" t="s">
        <v>81</v>
      </c>
      <c r="CB30" s="16" t="s">
        <v>81</v>
      </c>
      <c r="CC30" s="16" t="s">
        <v>81</v>
      </c>
      <c r="CD30" s="16" t="s">
        <v>81</v>
      </c>
      <c r="CE30" s="16" t="s">
        <v>81</v>
      </c>
      <c r="CF30" s="16" t="s">
        <v>81</v>
      </c>
      <c r="CG30" s="16" t="s">
        <v>81</v>
      </c>
      <c r="CH30" s="16" t="s">
        <v>81</v>
      </c>
      <c r="CI30" s="16" t="s">
        <v>81</v>
      </c>
      <c r="CL30" s="29">
        <v>3.2471254795516451</v>
      </c>
      <c r="CM30" s="29" t="s">
        <v>81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81</v>
      </c>
      <c r="DH30" t="s">
        <v>81</v>
      </c>
      <c r="DI30" t="s">
        <v>81</v>
      </c>
      <c r="DJ30" t="s">
        <v>81</v>
      </c>
      <c r="DK30" t="s">
        <v>81</v>
      </c>
      <c r="DL30" t="s">
        <v>81</v>
      </c>
      <c r="DM30" t="s">
        <v>81</v>
      </c>
      <c r="DN30" t="s">
        <v>81</v>
      </c>
      <c r="DO30" t="s">
        <v>81</v>
      </c>
      <c r="DQ30" t="s">
        <v>81</v>
      </c>
      <c r="DR30" t="s">
        <v>81</v>
      </c>
      <c r="DS30" t="s">
        <v>81</v>
      </c>
      <c r="DT30" t="s">
        <v>81</v>
      </c>
      <c r="DU30" t="s">
        <v>81</v>
      </c>
      <c r="DV30" t="s">
        <v>81</v>
      </c>
      <c r="DW30" t="s">
        <v>81</v>
      </c>
      <c r="DX30" t="s">
        <v>81</v>
      </c>
      <c r="DY30" t="s">
        <v>81</v>
      </c>
    </row>
    <row r="31" spans="1:137" ht="16" x14ac:dyDescent="0.2">
      <c r="A31" s="11" t="s">
        <v>67</v>
      </c>
      <c r="B31" s="11" t="s">
        <v>34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81</v>
      </c>
      <c r="BA31" s="16" t="s">
        <v>81</v>
      </c>
      <c r="BB31" s="16" t="s">
        <v>81</v>
      </c>
      <c r="BC31" s="16" t="s">
        <v>81</v>
      </c>
      <c r="BD31" s="16" t="s">
        <v>81</v>
      </c>
      <c r="BE31" s="16" t="s">
        <v>81</v>
      </c>
      <c r="BF31" s="16" t="s">
        <v>81</v>
      </c>
      <c r="BG31" s="16" t="s">
        <v>81</v>
      </c>
      <c r="BH31" s="16" t="s">
        <v>81</v>
      </c>
      <c r="BI31" s="16" t="s">
        <v>81</v>
      </c>
      <c r="BJ31" s="16" t="s">
        <v>81</v>
      </c>
      <c r="BK31" s="16" t="s">
        <v>81</v>
      </c>
      <c r="BL31" s="16" t="s">
        <v>81</v>
      </c>
      <c r="BM31" s="16" t="s">
        <v>81</v>
      </c>
      <c r="BN31" s="16" t="s">
        <v>81</v>
      </c>
      <c r="BO31" s="16" t="s">
        <v>81</v>
      </c>
      <c r="BP31" s="16" t="s">
        <v>81</v>
      </c>
      <c r="BQ31" s="16" t="s">
        <v>81</v>
      </c>
      <c r="BR31" s="16" t="s">
        <v>81</v>
      </c>
      <c r="BS31" s="16" t="s">
        <v>81</v>
      </c>
      <c r="BT31" s="16" t="s">
        <v>81</v>
      </c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CC31" s="16" t="s">
        <v>81</v>
      </c>
      <c r="CD31" s="16" t="s">
        <v>81</v>
      </c>
      <c r="CE31" s="16" t="s">
        <v>81</v>
      </c>
      <c r="CF31" s="16" t="s">
        <v>81</v>
      </c>
      <c r="CG31" s="16" t="s">
        <v>81</v>
      </c>
      <c r="CH31" s="16" t="s">
        <v>81</v>
      </c>
      <c r="CI31" s="16" t="s">
        <v>81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81</v>
      </c>
      <c r="DH31" t="s">
        <v>81</v>
      </c>
      <c r="DI31" t="s">
        <v>81</v>
      </c>
      <c r="DJ31" t="s">
        <v>81</v>
      </c>
      <c r="DK31" t="s">
        <v>81</v>
      </c>
      <c r="DL31" t="s">
        <v>81</v>
      </c>
      <c r="DM31" t="s">
        <v>81</v>
      </c>
      <c r="DN31" t="s">
        <v>81</v>
      </c>
      <c r="DO31" t="s">
        <v>81</v>
      </c>
      <c r="DQ31" t="s">
        <v>81</v>
      </c>
      <c r="DR31" t="s">
        <v>81</v>
      </c>
      <c r="DS31" t="s">
        <v>81</v>
      </c>
      <c r="DT31" t="s">
        <v>81</v>
      </c>
      <c r="DU31" t="s">
        <v>81</v>
      </c>
      <c r="DV31" t="s">
        <v>81</v>
      </c>
      <c r="DW31" t="s">
        <v>81</v>
      </c>
      <c r="DX31" t="s">
        <v>81</v>
      </c>
      <c r="DY31" t="s">
        <v>81</v>
      </c>
    </row>
    <row r="32" spans="1:137" ht="16" x14ac:dyDescent="0.2">
      <c r="A32" s="11" t="s">
        <v>68</v>
      </c>
      <c r="B32" s="11" t="s">
        <v>34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81</v>
      </c>
      <c r="BA32" s="16" t="s">
        <v>81</v>
      </c>
      <c r="BB32" s="16" t="s">
        <v>81</v>
      </c>
      <c r="BC32" s="16" t="s">
        <v>81</v>
      </c>
      <c r="BD32" s="16" t="s">
        <v>81</v>
      </c>
      <c r="BE32" s="16" t="s">
        <v>81</v>
      </c>
      <c r="BF32" s="16" t="s">
        <v>81</v>
      </c>
      <c r="BG32" s="16" t="s">
        <v>81</v>
      </c>
      <c r="BH32" s="16" t="s">
        <v>81</v>
      </c>
      <c r="BI32" s="16" t="s">
        <v>81</v>
      </c>
      <c r="BJ32" s="16" t="s">
        <v>81</v>
      </c>
      <c r="BK32" s="16" t="s">
        <v>81</v>
      </c>
      <c r="BL32" s="16" t="s">
        <v>81</v>
      </c>
      <c r="BM32" s="16" t="s">
        <v>81</v>
      </c>
      <c r="BN32" s="16" t="s">
        <v>81</v>
      </c>
      <c r="BO32" s="16" t="s">
        <v>81</v>
      </c>
      <c r="BP32" s="16" t="s">
        <v>81</v>
      </c>
      <c r="BQ32" s="16" t="s">
        <v>81</v>
      </c>
      <c r="BR32" s="16" t="s">
        <v>81</v>
      </c>
      <c r="BS32" s="16" t="s">
        <v>81</v>
      </c>
      <c r="BT32" s="16" t="s">
        <v>81</v>
      </c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CC32" s="16" t="s">
        <v>81</v>
      </c>
      <c r="CD32" s="16" t="s">
        <v>81</v>
      </c>
      <c r="CE32" s="16" t="s">
        <v>81</v>
      </c>
      <c r="CF32" s="16" t="s">
        <v>81</v>
      </c>
      <c r="CG32" s="16" t="s">
        <v>81</v>
      </c>
      <c r="CH32" s="16" t="s">
        <v>81</v>
      </c>
      <c r="CI32" s="16" t="s">
        <v>81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81</v>
      </c>
      <c r="DQ32">
        <v>389.95</v>
      </c>
      <c r="DW32" t="s">
        <v>81</v>
      </c>
    </row>
    <row r="33" spans="1:137" ht="16" x14ac:dyDescent="0.2">
      <c r="A33" s="11" t="s">
        <v>69</v>
      </c>
      <c r="B33" s="11" t="s">
        <v>34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81</v>
      </c>
      <c r="BM33" s="16" t="s">
        <v>81</v>
      </c>
      <c r="BN33" s="16" t="s">
        <v>81</v>
      </c>
      <c r="BO33" s="16" t="s">
        <v>81</v>
      </c>
      <c r="BP33" s="16" t="s">
        <v>81</v>
      </c>
      <c r="BQ33" s="16" t="s">
        <v>81</v>
      </c>
      <c r="BR33" s="16" t="s">
        <v>81</v>
      </c>
      <c r="BS33" s="16" t="s">
        <v>81</v>
      </c>
      <c r="BT33" s="16"/>
      <c r="BU33" s="16"/>
      <c r="BV33" s="16"/>
      <c r="BW33" s="16"/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CC33" s="16" t="s">
        <v>81</v>
      </c>
      <c r="CD33" s="16" t="s">
        <v>81</v>
      </c>
      <c r="CE33" s="16" t="s">
        <v>81</v>
      </c>
      <c r="CF33" s="16" t="s">
        <v>81</v>
      </c>
      <c r="CG33" s="16" t="s">
        <v>81</v>
      </c>
      <c r="CH33" s="16" t="s">
        <v>81</v>
      </c>
      <c r="CI33" s="16" t="s">
        <v>81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81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81</v>
      </c>
      <c r="EC33">
        <v>237.12</v>
      </c>
      <c r="ED33">
        <v>387.67</v>
      </c>
      <c r="EG33">
        <v>340.63</v>
      </c>
    </row>
    <row r="34" spans="1:137" ht="16" x14ac:dyDescent="0.2">
      <c r="A34" s="11" t="s">
        <v>70</v>
      </c>
      <c r="B34" s="11" t="s">
        <v>34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81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81</v>
      </c>
      <c r="X34" s="16" t="s">
        <v>81</v>
      </c>
      <c r="Y34" s="16" t="s">
        <v>81</v>
      </c>
      <c r="Z34" s="16" t="s">
        <v>81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81</v>
      </c>
      <c r="BA34" s="16" t="s">
        <v>81</v>
      </c>
      <c r="BB34" s="16" t="s">
        <v>81</v>
      </c>
      <c r="BC34" s="16" t="s">
        <v>81</v>
      </c>
      <c r="BD34" s="16" t="s">
        <v>81</v>
      </c>
      <c r="BE34" s="16" t="s">
        <v>81</v>
      </c>
      <c r="BF34" s="16" t="s">
        <v>81</v>
      </c>
      <c r="BG34" s="16" t="s">
        <v>81</v>
      </c>
      <c r="BH34" s="16" t="s">
        <v>81</v>
      </c>
      <c r="BI34" s="16" t="s">
        <v>81</v>
      </c>
      <c r="BJ34" s="16" t="s">
        <v>81</v>
      </c>
      <c r="BK34" s="16" t="s">
        <v>81</v>
      </c>
      <c r="BL34" s="16" t="s">
        <v>81</v>
      </c>
      <c r="BM34" s="16" t="s">
        <v>81</v>
      </c>
      <c r="BN34" s="16" t="s">
        <v>81</v>
      </c>
      <c r="BO34" s="16" t="s">
        <v>81</v>
      </c>
      <c r="BP34" s="16" t="s">
        <v>81</v>
      </c>
      <c r="BQ34" s="16" t="s">
        <v>81</v>
      </c>
      <c r="BR34" s="16" t="s">
        <v>81</v>
      </c>
      <c r="BS34" s="16" t="s">
        <v>81</v>
      </c>
      <c r="BT34" s="16" t="s">
        <v>81</v>
      </c>
      <c r="BU34" s="16" t="s">
        <v>81</v>
      </c>
      <c r="BV34" s="16" t="s">
        <v>81</v>
      </c>
      <c r="BW34" s="16" t="s">
        <v>81</v>
      </c>
      <c r="BX34" s="16" t="s">
        <v>81</v>
      </c>
      <c r="BY34" s="16" t="s">
        <v>81</v>
      </c>
      <c r="BZ34" s="16" t="s">
        <v>81</v>
      </c>
      <c r="CA34" s="16" t="s">
        <v>81</v>
      </c>
      <c r="CB34" s="16" t="s">
        <v>81</v>
      </c>
      <c r="CC34" s="16" t="s">
        <v>81</v>
      </c>
      <c r="CD34" s="16" t="s">
        <v>81</v>
      </c>
      <c r="CE34" s="16" t="s">
        <v>81</v>
      </c>
      <c r="CF34" s="16" t="s">
        <v>81</v>
      </c>
      <c r="CG34" s="16" t="s">
        <v>81</v>
      </c>
      <c r="CH34" s="16" t="s">
        <v>81</v>
      </c>
      <c r="CI34" s="16" t="s">
        <v>81</v>
      </c>
      <c r="CL34" s="29">
        <v>1.70644354054814</v>
      </c>
      <c r="CM34" s="29">
        <v>9.1206254372381377</v>
      </c>
      <c r="CN34" s="29" t="s">
        <v>81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81</v>
      </c>
      <c r="DH34" t="s">
        <v>81</v>
      </c>
      <c r="DI34" t="s">
        <v>81</v>
      </c>
      <c r="DJ34" t="s">
        <v>81</v>
      </c>
      <c r="DK34" t="s">
        <v>81</v>
      </c>
      <c r="DL34" t="s">
        <v>81</v>
      </c>
      <c r="DM34" t="s">
        <v>81</v>
      </c>
      <c r="DN34" t="s">
        <v>81</v>
      </c>
      <c r="DO34" t="s">
        <v>81</v>
      </c>
      <c r="DQ34" t="s">
        <v>81</v>
      </c>
      <c r="DR34" t="s">
        <v>81</v>
      </c>
      <c r="DS34" t="s">
        <v>81</v>
      </c>
      <c r="DT34" t="s">
        <v>81</v>
      </c>
      <c r="DU34" t="s">
        <v>81</v>
      </c>
      <c r="DV34" t="s">
        <v>81</v>
      </c>
      <c r="DW34" t="s">
        <v>81</v>
      </c>
      <c r="DX34" t="s">
        <v>81</v>
      </c>
      <c r="DY34" t="s">
        <v>81</v>
      </c>
    </row>
    <row r="35" spans="1:137" ht="16" x14ac:dyDescent="0.2">
      <c r="A35" s="11" t="s">
        <v>76</v>
      </c>
      <c r="B35" s="11" t="s">
        <v>75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81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81</v>
      </c>
      <c r="AF35" s="16" t="s">
        <v>81</v>
      </c>
      <c r="AG35" s="16" t="s">
        <v>81</v>
      </c>
      <c r="AH35" s="16" t="s">
        <v>81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81</v>
      </c>
      <c r="BA35" s="16" t="s">
        <v>81</v>
      </c>
      <c r="BB35" s="16" t="s">
        <v>81</v>
      </c>
      <c r="BC35" s="16" t="s">
        <v>81</v>
      </c>
      <c r="BD35" s="16" t="s">
        <v>81</v>
      </c>
      <c r="BE35" s="16" t="s">
        <v>81</v>
      </c>
      <c r="BF35" s="16" t="s">
        <v>81</v>
      </c>
      <c r="BG35" s="16" t="s">
        <v>81</v>
      </c>
      <c r="BH35" s="16" t="s">
        <v>81</v>
      </c>
      <c r="BI35" s="16" t="s">
        <v>81</v>
      </c>
      <c r="BJ35" s="16" t="s">
        <v>81</v>
      </c>
      <c r="BK35" s="16" t="s">
        <v>81</v>
      </c>
      <c r="BL35" s="16" t="s">
        <v>81</v>
      </c>
      <c r="BM35" s="16" t="s">
        <v>81</v>
      </c>
      <c r="BN35" s="16" t="s">
        <v>81</v>
      </c>
      <c r="BO35" s="16" t="s">
        <v>81</v>
      </c>
      <c r="BP35" s="16" t="s">
        <v>81</v>
      </c>
      <c r="BQ35" s="16" t="s">
        <v>81</v>
      </c>
      <c r="BR35" s="16" t="s">
        <v>81</v>
      </c>
      <c r="BS35" s="16" t="s">
        <v>81</v>
      </c>
      <c r="BT35" s="16" t="s">
        <v>81</v>
      </c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CC35" s="16" t="s">
        <v>81</v>
      </c>
      <c r="CD35" s="16" t="s">
        <v>81</v>
      </c>
      <c r="CE35" s="16" t="s">
        <v>81</v>
      </c>
      <c r="CF35" s="16" t="s">
        <v>81</v>
      </c>
      <c r="CG35" s="16" t="s">
        <v>81</v>
      </c>
      <c r="CH35" s="16" t="s">
        <v>81</v>
      </c>
      <c r="CI35" s="16" t="s">
        <v>81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81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81</v>
      </c>
      <c r="DH35" t="s">
        <v>81</v>
      </c>
      <c r="DI35" t="s">
        <v>81</v>
      </c>
      <c r="DJ35" t="s">
        <v>81</v>
      </c>
      <c r="DK35" t="s">
        <v>81</v>
      </c>
      <c r="DL35" t="s">
        <v>81</v>
      </c>
      <c r="DM35" t="s">
        <v>81</v>
      </c>
      <c r="DN35" t="s">
        <v>81</v>
      </c>
      <c r="DO35" t="s">
        <v>81</v>
      </c>
      <c r="DQ35" t="s">
        <v>81</v>
      </c>
      <c r="DR35" t="s">
        <v>81</v>
      </c>
      <c r="DS35" t="s">
        <v>81</v>
      </c>
      <c r="DT35" t="s">
        <v>81</v>
      </c>
      <c r="DU35" t="s">
        <v>81</v>
      </c>
      <c r="DV35" t="s">
        <v>81</v>
      </c>
      <c r="DW35" t="s">
        <v>81</v>
      </c>
      <c r="DX35" t="s">
        <v>81</v>
      </c>
      <c r="DY35" t="s">
        <v>81</v>
      </c>
    </row>
    <row r="36" spans="1:137" ht="16" x14ac:dyDescent="0.2">
      <c r="A36" s="11" t="s">
        <v>35</v>
      </c>
      <c r="B36" s="11" t="s">
        <v>75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81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81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ht="16" x14ac:dyDescent="0.2">
      <c r="A37" s="11" t="s">
        <v>36</v>
      </c>
      <c r="B37" s="11" t="s">
        <v>75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81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81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ht="16" x14ac:dyDescent="0.2">
      <c r="A38" s="11" t="s">
        <v>37</v>
      </c>
      <c r="B38" s="11" t="s">
        <v>75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81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81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ht="16" x14ac:dyDescent="0.2">
      <c r="A39" s="11" t="s">
        <v>40</v>
      </c>
      <c r="B39" s="11" t="s">
        <v>75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81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81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ht="16" x14ac:dyDescent="0.2">
      <c r="A40" s="11" t="s">
        <v>41</v>
      </c>
      <c r="B40" s="11" t="s">
        <v>75</v>
      </c>
      <c r="C40" s="11" t="str">
        <f t="shared" si="0"/>
        <v>98920RES</v>
      </c>
      <c r="D40" s="12"/>
      <c r="E40" s="12">
        <v>1</v>
      </c>
      <c r="F40" s="12" t="s">
        <v>81</v>
      </c>
      <c r="G40" s="12">
        <v>1</v>
      </c>
      <c r="H40" s="12">
        <v>1</v>
      </c>
      <c r="I40" s="12">
        <v>1</v>
      </c>
      <c r="J40" s="12" t="s">
        <v>81</v>
      </c>
      <c r="K40" s="12" t="s">
        <v>81</v>
      </c>
      <c r="L40" s="12" t="s">
        <v>81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81</v>
      </c>
      <c r="T40" s="16" t="s">
        <v>81</v>
      </c>
      <c r="U40" s="16" t="s">
        <v>81</v>
      </c>
      <c r="V40" s="16" t="s">
        <v>81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81</v>
      </c>
      <c r="AJ40" s="16" t="s">
        <v>81</v>
      </c>
      <c r="AK40" s="16" t="s">
        <v>81</v>
      </c>
      <c r="AL40" s="16" t="s">
        <v>81</v>
      </c>
      <c r="AM40" s="16" t="s">
        <v>81</v>
      </c>
      <c r="AN40" s="16" t="s">
        <v>81</v>
      </c>
      <c r="AO40" s="16" t="s">
        <v>81</v>
      </c>
      <c r="AP40" s="16" t="s">
        <v>81</v>
      </c>
      <c r="AQ40" s="16" t="s">
        <v>81</v>
      </c>
      <c r="AR40" s="16" t="s">
        <v>81</v>
      </c>
      <c r="AS40" s="16" t="s">
        <v>81</v>
      </c>
      <c r="AT40" s="16" t="s">
        <v>81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81</v>
      </c>
      <c r="BA40" s="16" t="s">
        <v>81</v>
      </c>
      <c r="BB40" s="16" t="s">
        <v>81</v>
      </c>
      <c r="BC40" s="16" t="s">
        <v>81</v>
      </c>
      <c r="BD40" s="16" t="s">
        <v>81</v>
      </c>
      <c r="BE40" s="16" t="s">
        <v>81</v>
      </c>
      <c r="BF40" s="16" t="s">
        <v>81</v>
      </c>
      <c r="BG40" s="16" t="s">
        <v>81</v>
      </c>
      <c r="BH40" s="16" t="s">
        <v>81</v>
      </c>
      <c r="BI40" s="16" t="s">
        <v>81</v>
      </c>
      <c r="BJ40" s="16" t="s">
        <v>81</v>
      </c>
      <c r="BK40" s="16" t="s">
        <v>81</v>
      </c>
      <c r="BL40" s="16" t="s">
        <v>81</v>
      </c>
      <c r="BM40" s="16" t="s">
        <v>81</v>
      </c>
      <c r="BN40" s="16" t="s">
        <v>81</v>
      </c>
      <c r="BO40" s="16" t="s">
        <v>81</v>
      </c>
      <c r="BP40" s="16" t="s">
        <v>81</v>
      </c>
      <c r="BQ40" s="16" t="s">
        <v>81</v>
      </c>
      <c r="BR40" s="16" t="s">
        <v>81</v>
      </c>
      <c r="BS40" s="16" t="s">
        <v>81</v>
      </c>
      <c r="BT40" s="16" t="s">
        <v>81</v>
      </c>
      <c r="BU40" s="16" t="s">
        <v>81</v>
      </c>
      <c r="BV40" s="16" t="s">
        <v>81</v>
      </c>
      <c r="BW40" s="16" t="s">
        <v>81</v>
      </c>
      <c r="BX40" s="16" t="s">
        <v>81</v>
      </c>
      <c r="BY40" s="16" t="s">
        <v>81</v>
      </c>
      <c r="BZ40" s="16" t="s">
        <v>81</v>
      </c>
      <c r="CA40" s="16" t="s">
        <v>81</v>
      </c>
      <c r="CB40" s="16" t="s">
        <v>81</v>
      </c>
      <c r="CC40" s="16" t="s">
        <v>81</v>
      </c>
      <c r="CD40" s="16" t="s">
        <v>81</v>
      </c>
      <c r="CE40" s="16" t="s">
        <v>81</v>
      </c>
      <c r="CF40" s="16" t="s">
        <v>81</v>
      </c>
      <c r="CG40" s="16" t="s">
        <v>81</v>
      </c>
      <c r="CH40" s="16" t="s">
        <v>81</v>
      </c>
      <c r="CI40" s="16" t="s">
        <v>81</v>
      </c>
      <c r="CL40" s="29">
        <v>2.5054817315382576</v>
      </c>
      <c r="CM40" s="29" t="s">
        <v>81</v>
      </c>
      <c r="CN40" s="29">
        <v>3.5739082688888573</v>
      </c>
      <c r="CO40" s="29">
        <v>0.42334498716444985</v>
      </c>
      <c r="CP40" s="29">
        <v>3.5938032635757873</v>
      </c>
      <c r="CQ40" s="29" t="s">
        <v>81</v>
      </c>
      <c r="CR40" s="29" t="s">
        <v>81</v>
      </c>
      <c r="CS40" s="29" t="s">
        <v>81</v>
      </c>
      <c r="CT40" s="29">
        <v>0.94079763609928357</v>
      </c>
      <c r="DG40" t="s">
        <v>81</v>
      </c>
      <c r="DH40" t="s">
        <v>81</v>
      </c>
      <c r="DI40" t="s">
        <v>81</v>
      </c>
      <c r="DJ40" t="s">
        <v>81</v>
      </c>
      <c r="DK40" t="s">
        <v>81</v>
      </c>
      <c r="DL40" t="s">
        <v>81</v>
      </c>
      <c r="DM40" t="s">
        <v>81</v>
      </c>
      <c r="DN40" t="s">
        <v>81</v>
      </c>
      <c r="DO40" t="s">
        <v>81</v>
      </c>
      <c r="DQ40" t="s">
        <v>81</v>
      </c>
      <c r="DR40" t="s">
        <v>81</v>
      </c>
      <c r="DS40" t="s">
        <v>81</v>
      </c>
      <c r="DT40" t="s">
        <v>81</v>
      </c>
      <c r="DU40" t="s">
        <v>81</v>
      </c>
      <c r="DV40" t="s">
        <v>81</v>
      </c>
      <c r="DW40" t="s">
        <v>81</v>
      </c>
      <c r="DX40" t="s">
        <v>81</v>
      </c>
      <c r="DY40" t="s">
        <v>81</v>
      </c>
    </row>
    <row r="41" spans="1:137" ht="16" x14ac:dyDescent="0.2">
      <c r="A41" s="11" t="s">
        <v>42</v>
      </c>
      <c r="B41" s="11" t="s">
        <v>75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81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81</v>
      </c>
      <c r="EA41">
        <v>466.46</v>
      </c>
      <c r="EC41">
        <v>41.56</v>
      </c>
    </row>
    <row r="42" spans="1:137" ht="16" x14ac:dyDescent="0.2">
      <c r="A42" s="11" t="s">
        <v>43</v>
      </c>
      <c r="B42" s="11" t="s">
        <v>75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81</v>
      </c>
      <c r="DQ42">
        <v>230.84</v>
      </c>
      <c r="DR42">
        <v>405.04</v>
      </c>
      <c r="DS42">
        <v>780.25</v>
      </c>
      <c r="DW42" t="s">
        <v>81</v>
      </c>
      <c r="EA42">
        <v>122.72999999999999</v>
      </c>
      <c r="EC42">
        <v>241.51</v>
      </c>
    </row>
    <row r="43" spans="1:137" ht="16" x14ac:dyDescent="0.2">
      <c r="A43" s="11" t="s">
        <v>44</v>
      </c>
      <c r="B43" s="11" t="s">
        <v>75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81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81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ht="16" x14ac:dyDescent="0.2">
      <c r="A44" s="11" t="s">
        <v>45</v>
      </c>
      <c r="B44" s="11" t="s">
        <v>75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81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81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ht="16" x14ac:dyDescent="0.2">
      <c r="A45" s="11" t="s">
        <v>46</v>
      </c>
      <c r="B45" s="11" t="s">
        <v>75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81</v>
      </c>
      <c r="DQ45">
        <v>34.19</v>
      </c>
      <c r="DR45">
        <v>1385.06</v>
      </c>
      <c r="DS45">
        <v>3281.4500000000003</v>
      </c>
      <c r="DT45">
        <v>296.33</v>
      </c>
      <c r="DW45" t="s">
        <v>81</v>
      </c>
      <c r="EB45">
        <v>88.06</v>
      </c>
      <c r="EC45">
        <v>152.79</v>
      </c>
    </row>
    <row r="46" spans="1:137" ht="16" x14ac:dyDescent="0.2">
      <c r="A46" s="11" t="s">
        <v>47</v>
      </c>
      <c r="B46" s="11" t="s">
        <v>75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81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81</v>
      </c>
      <c r="EA46">
        <v>56.58</v>
      </c>
      <c r="EB46">
        <v>177.03</v>
      </c>
      <c r="ED46">
        <v>1729.27</v>
      </c>
    </row>
    <row r="47" spans="1:137" ht="16" x14ac:dyDescent="0.2">
      <c r="A47" s="11" t="s">
        <v>48</v>
      </c>
      <c r="B47" s="11" t="s">
        <v>75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81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81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ht="16" x14ac:dyDescent="0.2">
      <c r="A48" s="11" t="s">
        <v>49</v>
      </c>
      <c r="B48" s="11" t="s">
        <v>75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81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81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ht="16" x14ac:dyDescent="0.2">
      <c r="A49" s="11" t="s">
        <v>50</v>
      </c>
      <c r="B49" s="11" t="s">
        <v>75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81</v>
      </c>
      <c r="DR49">
        <v>1733.5399999999997</v>
      </c>
      <c r="DS49">
        <v>1209.95</v>
      </c>
      <c r="DT49">
        <v>8710.42</v>
      </c>
      <c r="DV49">
        <v>1260.28</v>
      </c>
      <c r="DW49" t="s">
        <v>81</v>
      </c>
      <c r="EB49">
        <v>50</v>
      </c>
      <c r="EC49">
        <v>363.01</v>
      </c>
      <c r="ED49">
        <v>44.62</v>
      </c>
    </row>
    <row r="50" spans="1:137" ht="16" x14ac:dyDescent="0.2">
      <c r="A50" s="11" t="s">
        <v>51</v>
      </c>
      <c r="B50" s="11" t="s">
        <v>75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81</v>
      </c>
      <c r="DQ50">
        <v>122.07000000000001</v>
      </c>
      <c r="DS50">
        <v>195.26</v>
      </c>
      <c r="DT50">
        <v>2230.98</v>
      </c>
      <c r="DW50" t="s">
        <v>81</v>
      </c>
      <c r="EA50">
        <v>73.540000000000006</v>
      </c>
    </row>
    <row r="51" spans="1:137" ht="16" x14ac:dyDescent="0.2">
      <c r="A51" s="11" t="s">
        <v>52</v>
      </c>
      <c r="B51" s="11" t="s">
        <v>75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81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81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ht="16" x14ac:dyDescent="0.2">
      <c r="A52" s="11" t="s">
        <v>53</v>
      </c>
      <c r="B52" s="11" t="s">
        <v>75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81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81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ht="16" x14ac:dyDescent="0.2">
      <c r="A53" s="11" t="s">
        <v>54</v>
      </c>
      <c r="B53" s="11" t="s">
        <v>75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81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81</v>
      </c>
      <c r="DY53">
        <v>829.07</v>
      </c>
      <c r="EE53">
        <v>150.96</v>
      </c>
      <c r="EG53">
        <v>93.81</v>
      </c>
    </row>
    <row r="54" spans="1:137" ht="16" x14ac:dyDescent="0.2">
      <c r="A54" s="11" t="s">
        <v>55</v>
      </c>
      <c r="B54" s="11" t="s">
        <v>75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81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81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ht="16" x14ac:dyDescent="0.2">
      <c r="A55" s="11" t="s">
        <v>56</v>
      </c>
      <c r="B55" s="11" t="s">
        <v>75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81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81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ht="16" x14ac:dyDescent="0.2">
      <c r="A56" s="11" t="s">
        <v>57</v>
      </c>
      <c r="B56" s="11" t="s">
        <v>75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81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81</v>
      </c>
      <c r="ED56">
        <v>195.68</v>
      </c>
    </row>
    <row r="57" spans="1:137" ht="16" x14ac:dyDescent="0.2">
      <c r="A57" s="11" t="s">
        <v>58</v>
      </c>
      <c r="B57" s="11" t="s">
        <v>75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81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81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ht="16" x14ac:dyDescent="0.2">
      <c r="A58" s="11" t="s">
        <v>59</v>
      </c>
      <c r="B58" s="11" t="s">
        <v>75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81</v>
      </c>
      <c r="BA58" s="16" t="s">
        <v>81</v>
      </c>
      <c r="BB58" s="16" t="s">
        <v>81</v>
      </c>
      <c r="BC58" s="16" t="s">
        <v>81</v>
      </c>
      <c r="BD58" s="16" t="s">
        <v>81</v>
      </c>
      <c r="BE58" s="16" t="s">
        <v>81</v>
      </c>
      <c r="BF58" s="16" t="s">
        <v>81</v>
      </c>
      <c r="BG58" s="16" t="s">
        <v>81</v>
      </c>
      <c r="BH58" s="16" t="s">
        <v>81</v>
      </c>
      <c r="BI58" s="16" t="s">
        <v>81</v>
      </c>
      <c r="BJ58" s="16" t="s">
        <v>81</v>
      </c>
      <c r="BK58" s="16" t="s">
        <v>81</v>
      </c>
      <c r="BL58" s="16" t="s">
        <v>81</v>
      </c>
      <c r="BM58" s="16" t="s">
        <v>81</v>
      </c>
      <c r="BN58" s="16" t="s">
        <v>81</v>
      </c>
      <c r="BO58" s="16" t="s">
        <v>81</v>
      </c>
      <c r="BP58" s="16" t="s">
        <v>81</v>
      </c>
      <c r="BQ58" s="16" t="s">
        <v>81</v>
      </c>
      <c r="BR58" s="16" t="s">
        <v>81</v>
      </c>
      <c r="BS58" s="16" t="s">
        <v>81</v>
      </c>
      <c r="BT58" s="16" t="s">
        <v>81</v>
      </c>
      <c r="BU58" s="16" t="s">
        <v>81</v>
      </c>
      <c r="BV58" s="16" t="s">
        <v>81</v>
      </c>
      <c r="BW58" s="16" t="s">
        <v>81</v>
      </c>
      <c r="BX58" s="16" t="s">
        <v>81</v>
      </c>
      <c r="BY58" s="16" t="s">
        <v>81</v>
      </c>
      <c r="BZ58" s="16" t="s">
        <v>81</v>
      </c>
      <c r="CA58" s="16" t="s">
        <v>81</v>
      </c>
      <c r="CB58" s="16" t="s">
        <v>81</v>
      </c>
      <c r="CC58" s="16" t="s">
        <v>81</v>
      </c>
      <c r="CD58" s="16" t="s">
        <v>81</v>
      </c>
      <c r="CE58" s="16" t="s">
        <v>81</v>
      </c>
      <c r="CF58" s="16" t="s">
        <v>81</v>
      </c>
      <c r="CG58" s="16" t="s">
        <v>81</v>
      </c>
      <c r="CH58" s="16" t="s">
        <v>81</v>
      </c>
      <c r="CI58" s="16" t="s">
        <v>81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81</v>
      </c>
      <c r="DH58" t="s">
        <v>81</v>
      </c>
      <c r="DI58" t="s">
        <v>81</v>
      </c>
      <c r="DJ58" t="s">
        <v>81</v>
      </c>
      <c r="DK58" t="s">
        <v>81</v>
      </c>
      <c r="DL58" t="s">
        <v>81</v>
      </c>
      <c r="DM58" t="s">
        <v>81</v>
      </c>
      <c r="DN58" t="s">
        <v>81</v>
      </c>
      <c r="DO58" t="s">
        <v>81</v>
      </c>
      <c r="DQ58" t="s">
        <v>81</v>
      </c>
      <c r="DR58" t="s">
        <v>81</v>
      </c>
      <c r="DS58" t="s">
        <v>81</v>
      </c>
      <c r="DT58" t="s">
        <v>81</v>
      </c>
      <c r="DU58" t="s">
        <v>81</v>
      </c>
      <c r="DV58" t="s">
        <v>81</v>
      </c>
      <c r="DW58" t="s">
        <v>81</v>
      </c>
      <c r="DX58" t="s">
        <v>81</v>
      </c>
      <c r="DY58" t="s">
        <v>81</v>
      </c>
    </row>
    <row r="59" spans="1:137" ht="16" x14ac:dyDescent="0.2">
      <c r="A59" s="11" t="s">
        <v>60</v>
      </c>
      <c r="B59" s="11" t="s">
        <v>75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81</v>
      </c>
      <c r="DR59">
        <v>1427.21</v>
      </c>
      <c r="DT59">
        <v>4931.5600000000004</v>
      </c>
      <c r="DU59">
        <v>439.51</v>
      </c>
      <c r="DV59">
        <v>100</v>
      </c>
      <c r="DW59" t="s">
        <v>81</v>
      </c>
      <c r="ED59">
        <v>579.79999999999995</v>
      </c>
      <c r="EE59">
        <v>77.8</v>
      </c>
      <c r="EF59">
        <v>100</v>
      </c>
    </row>
    <row r="60" spans="1:137" ht="16" x14ac:dyDescent="0.2">
      <c r="A60" s="11" t="s">
        <v>61</v>
      </c>
      <c r="B60" s="11" t="s">
        <v>75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81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81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ht="16" x14ac:dyDescent="0.2">
      <c r="A61" s="11" t="s">
        <v>62</v>
      </c>
      <c r="B61" s="11" t="s">
        <v>75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81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81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ht="16" x14ac:dyDescent="0.2">
      <c r="A62" s="11" t="s">
        <v>63</v>
      </c>
      <c r="B62" s="11" t="s">
        <v>75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81</v>
      </c>
      <c r="BA62" s="16" t="s">
        <v>81</v>
      </c>
      <c r="BB62" s="16" t="s">
        <v>81</v>
      </c>
      <c r="BC62" s="16" t="s">
        <v>81</v>
      </c>
      <c r="BD62" s="16" t="s">
        <v>81</v>
      </c>
      <c r="BE62" s="16" t="s">
        <v>81</v>
      </c>
      <c r="BF62" s="16" t="s">
        <v>81</v>
      </c>
      <c r="BG62" s="16" t="s">
        <v>81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81</v>
      </c>
      <c r="DT62">
        <v>808.32</v>
      </c>
      <c r="DV62">
        <v>254.13</v>
      </c>
      <c r="DW62" t="s">
        <v>81</v>
      </c>
    </row>
    <row r="63" spans="1:137" ht="16" x14ac:dyDescent="0.2">
      <c r="A63" s="11" t="s">
        <v>64</v>
      </c>
      <c r="B63" s="11" t="s">
        <v>75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81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81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ht="16" x14ac:dyDescent="0.2">
      <c r="A64" s="11" t="s">
        <v>65</v>
      </c>
      <c r="B64" s="11" t="s">
        <v>75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81</v>
      </c>
      <c r="DQ64">
        <v>314.45</v>
      </c>
      <c r="DS64">
        <v>1332.54</v>
      </c>
      <c r="DT64">
        <v>903.67</v>
      </c>
      <c r="DW64" t="s">
        <v>81</v>
      </c>
      <c r="EC64">
        <v>514.16</v>
      </c>
    </row>
    <row r="65" spans="1:137" ht="16" x14ac:dyDescent="0.2">
      <c r="A65" s="11" t="s">
        <v>66</v>
      </c>
      <c r="B65" s="11" t="s">
        <v>75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81</v>
      </c>
      <c r="DR65">
        <v>71.39</v>
      </c>
      <c r="DV65">
        <v>297.22000000000003</v>
      </c>
      <c r="DW65" t="s">
        <v>81</v>
      </c>
      <c r="EB65">
        <v>71.39</v>
      </c>
      <c r="EF65">
        <v>297.22000000000003</v>
      </c>
    </row>
    <row r="66" spans="1:137" ht="16" x14ac:dyDescent="0.2">
      <c r="A66" s="11" t="s">
        <v>67</v>
      </c>
      <c r="B66" s="11" t="s">
        <v>75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81</v>
      </c>
      <c r="DQ66">
        <v>256.11</v>
      </c>
      <c r="DR66">
        <v>272.68</v>
      </c>
      <c r="DT66">
        <v>26.08</v>
      </c>
      <c r="DW66" t="s">
        <v>81</v>
      </c>
      <c r="EB66">
        <v>272.68</v>
      </c>
      <c r="ED66">
        <v>10.83</v>
      </c>
    </row>
    <row r="67" spans="1:137" ht="16" x14ac:dyDescent="0.2">
      <c r="A67" s="11" t="s">
        <v>68</v>
      </c>
      <c r="B67" s="11" t="s">
        <v>75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81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81</v>
      </c>
      <c r="EA67">
        <v>156.99</v>
      </c>
      <c r="EC67">
        <v>26.97</v>
      </c>
      <c r="EE67">
        <v>232.78</v>
      </c>
    </row>
    <row r="68" spans="1:137" ht="16" x14ac:dyDescent="0.2">
      <c r="A68" s="11" t="s">
        <v>69</v>
      </c>
      <c r="B68" s="11" t="s">
        <v>75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81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81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ht="16" x14ac:dyDescent="0.2">
      <c r="A69" s="11" t="s">
        <v>70</v>
      </c>
      <c r="B69" s="11" t="s">
        <v>75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81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81</v>
      </c>
      <c r="DV69">
        <v>28.34</v>
      </c>
      <c r="DW69" t="s">
        <v>81</v>
      </c>
      <c r="EF69">
        <v>28.34</v>
      </c>
    </row>
    <row r="70" spans="1:137" ht="16" x14ac:dyDescent="0.2">
      <c r="A70" s="14" t="s">
        <v>51</v>
      </c>
      <c r="B70" s="13" t="s">
        <v>34</v>
      </c>
      <c r="C70" s="11" t="s">
        <v>79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81</v>
      </c>
      <c r="DH70" t="s">
        <v>81</v>
      </c>
      <c r="DI70" t="s">
        <v>81</v>
      </c>
      <c r="DJ70" t="s">
        <v>81</v>
      </c>
      <c r="DK70" t="s">
        <v>81</v>
      </c>
      <c r="DL70" t="s">
        <v>81</v>
      </c>
      <c r="DM70" t="s">
        <v>81</v>
      </c>
      <c r="DN70" t="s">
        <v>81</v>
      </c>
      <c r="DO70" t="s">
        <v>81</v>
      </c>
    </row>
    <row r="71" spans="1:137" ht="16" x14ac:dyDescent="0.2">
      <c r="C71" t="s">
        <v>82</v>
      </c>
      <c r="E71" s="15"/>
      <c r="F71" s="15"/>
      <c r="G71" s="12"/>
      <c r="H71" s="12">
        <v>1</v>
      </c>
      <c r="I71" s="12">
        <v>1</v>
      </c>
      <c r="J71" s="12" t="s">
        <v>81</v>
      </c>
      <c r="K71" s="12" t="s">
        <v>81</v>
      </c>
      <c r="L71" s="12" t="s">
        <v>81</v>
      </c>
      <c r="M71" s="12" t="s">
        <v>81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81</v>
      </c>
      <c r="AJ71" s="16" t="s">
        <v>81</v>
      </c>
      <c r="AK71" s="16" t="s">
        <v>81</v>
      </c>
      <c r="AL71" s="16" t="s">
        <v>81</v>
      </c>
      <c r="AM71" s="16" t="s">
        <v>81</v>
      </c>
      <c r="AN71" s="16" t="s">
        <v>81</v>
      </c>
      <c r="AO71" s="16" t="s">
        <v>81</v>
      </c>
      <c r="AP71" s="16" t="s">
        <v>81</v>
      </c>
      <c r="AQ71" s="16" t="s">
        <v>81</v>
      </c>
      <c r="AR71" s="16" t="s">
        <v>81</v>
      </c>
      <c r="AS71" s="16" t="s">
        <v>81</v>
      </c>
      <c r="AT71" s="16" t="s">
        <v>81</v>
      </c>
      <c r="AZ71" s="16" t="s">
        <v>81</v>
      </c>
      <c r="BA71" s="16" t="s">
        <v>81</v>
      </c>
      <c r="BB71" s="16" t="s">
        <v>81</v>
      </c>
      <c r="BC71" s="16" t="s">
        <v>81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81</v>
      </c>
      <c r="CR71" s="29" t="s">
        <v>81</v>
      </c>
      <c r="CS71" s="29" t="s">
        <v>81</v>
      </c>
      <c r="CT71" s="29">
        <v>0</v>
      </c>
      <c r="DG71" t="s">
        <v>81</v>
      </c>
      <c r="DH71" t="s">
        <v>81</v>
      </c>
      <c r="DI71" t="s">
        <v>81</v>
      </c>
      <c r="DJ71" t="s">
        <v>81</v>
      </c>
      <c r="DK71" t="s">
        <v>81</v>
      </c>
      <c r="DL71" t="s">
        <v>81</v>
      </c>
      <c r="DM71" t="s">
        <v>81</v>
      </c>
      <c r="DN71" t="s">
        <v>81</v>
      </c>
      <c r="DO71" t="s">
        <v>81</v>
      </c>
    </row>
    <row r="72" spans="1:137" ht="16" x14ac:dyDescent="0.2">
      <c r="J72" s="12" t="s">
        <v>81</v>
      </c>
      <c r="K72" s="12" t="s">
        <v>81</v>
      </c>
      <c r="M72" s="12" t="s">
        <v>81</v>
      </c>
      <c r="AI72" s="16" t="s">
        <v>81</v>
      </c>
      <c r="AJ72" s="16" t="s">
        <v>81</v>
      </c>
      <c r="AK72" s="16" t="s">
        <v>81</v>
      </c>
      <c r="AL72" s="16" t="s">
        <v>81</v>
      </c>
      <c r="AM72" s="16" t="s">
        <v>81</v>
      </c>
      <c r="AN72" s="16" t="s">
        <v>81</v>
      </c>
      <c r="AO72" s="16" t="s">
        <v>81</v>
      </c>
      <c r="AP72" s="16" t="s">
        <v>81</v>
      </c>
      <c r="AQ72" s="16" t="s">
        <v>81</v>
      </c>
      <c r="AR72" s="16" t="s">
        <v>81</v>
      </c>
      <c r="AS72" s="16" t="s">
        <v>81</v>
      </c>
      <c r="AT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DG72" t="s">
        <v>81</v>
      </c>
      <c r="DH72" t="s">
        <v>81</v>
      </c>
      <c r="DI72" t="s">
        <v>81</v>
      </c>
      <c r="DJ72" t="s">
        <v>81</v>
      </c>
      <c r="DK72" t="s">
        <v>81</v>
      </c>
      <c r="DL72" t="s">
        <v>81</v>
      </c>
      <c r="DM72" t="s">
        <v>81</v>
      </c>
      <c r="DN72" t="s">
        <v>81</v>
      </c>
      <c r="DO72" t="s">
        <v>81</v>
      </c>
    </row>
    <row r="73" spans="1:137" ht="16" x14ac:dyDescent="0.2">
      <c r="M73" s="12" t="s">
        <v>81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81</v>
      </c>
      <c r="DH73" t="s">
        <v>81</v>
      </c>
      <c r="DI73" t="s">
        <v>81</v>
      </c>
      <c r="DJ73" t="s">
        <v>81</v>
      </c>
      <c r="DK73" t="s">
        <v>81</v>
      </c>
      <c r="DL73" t="s">
        <v>81</v>
      </c>
      <c r="DM73" t="s">
        <v>81</v>
      </c>
      <c r="DN73" t="s">
        <v>81</v>
      </c>
      <c r="DO73" t="s">
        <v>81</v>
      </c>
    </row>
    <row r="74" spans="1:137" ht="16" x14ac:dyDescent="0.2">
      <c r="M74" s="12" t="s">
        <v>81</v>
      </c>
      <c r="DG74" t="s">
        <v>81</v>
      </c>
      <c r="DH74" t="s">
        <v>81</v>
      </c>
      <c r="DI74" t="s">
        <v>81</v>
      </c>
      <c r="DJ74" t="s">
        <v>81</v>
      </c>
      <c r="DK74" t="s">
        <v>81</v>
      </c>
      <c r="DL74" t="s">
        <v>81</v>
      </c>
      <c r="DM74" t="s">
        <v>81</v>
      </c>
      <c r="DN74" t="s">
        <v>81</v>
      </c>
      <c r="DO74" t="s">
        <v>81</v>
      </c>
    </row>
    <row r="75" spans="1:137" ht="16" x14ac:dyDescent="0.2">
      <c r="M75" s="12" t="s">
        <v>81</v>
      </c>
      <c r="DG75" t="s">
        <v>81</v>
      </c>
      <c r="DH75" t="s">
        <v>81</v>
      </c>
      <c r="DI75" t="s">
        <v>81</v>
      </c>
      <c r="DJ75" t="s">
        <v>81</v>
      </c>
      <c r="DK75" t="s">
        <v>81</v>
      </c>
      <c r="DL75" t="s">
        <v>81</v>
      </c>
      <c r="DM75" t="s">
        <v>81</v>
      </c>
      <c r="DN75" t="s">
        <v>81</v>
      </c>
      <c r="DO75" t="s">
        <v>81</v>
      </c>
    </row>
    <row r="76" spans="1:137" ht="16" x14ac:dyDescent="0.2">
      <c r="M76" s="12" t="s">
        <v>81</v>
      </c>
      <c r="DG76" t="s">
        <v>81</v>
      </c>
      <c r="DH76" t="s">
        <v>81</v>
      </c>
      <c r="DI76" t="s">
        <v>81</v>
      </c>
      <c r="DJ76" t="s">
        <v>81</v>
      </c>
      <c r="DK76" t="s">
        <v>81</v>
      </c>
      <c r="DL76" t="s">
        <v>81</v>
      </c>
      <c r="DM76" t="s">
        <v>81</v>
      </c>
      <c r="DN76" t="s">
        <v>81</v>
      </c>
      <c r="DO76" t="s">
        <v>81</v>
      </c>
    </row>
    <row r="77" spans="1:137" ht="16" x14ac:dyDescent="0.2">
      <c r="M77" s="12" t="s">
        <v>81</v>
      </c>
      <c r="DG77" t="s">
        <v>81</v>
      </c>
      <c r="DH77" t="s">
        <v>81</v>
      </c>
      <c r="DI77" t="s">
        <v>81</v>
      </c>
      <c r="DJ77" t="s">
        <v>81</v>
      </c>
      <c r="DK77" t="s">
        <v>81</v>
      </c>
      <c r="DL77" t="s">
        <v>81</v>
      </c>
      <c r="DM77" t="s">
        <v>81</v>
      </c>
      <c r="DN77" t="s">
        <v>81</v>
      </c>
      <c r="DO77" t="s">
        <v>81</v>
      </c>
    </row>
  </sheetData>
  <mergeCells count="27"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5" max="22" width="2.1640625" customWidth="1"/>
    <col min="23" max="23" width="2.83203125" style="1" customWidth="1"/>
    <col min="24" max="27" width="0.83203125" style="16" customWidth="1"/>
    <col min="28" max="71" width="0.83203125" customWidth="1"/>
    <col min="72" max="72" width="2.83203125" style="1" customWidth="1"/>
    <col min="73" max="121" width="2" customWidth="1"/>
    <col min="122" max="122" width="0.6640625" customWidth="1"/>
    <col min="123" max="123" width="2.83203125" style="1" customWidth="1"/>
    <col min="124" max="135" width="2.5" customWidth="1"/>
    <col min="136" max="136" width="2.83203125" style="1" customWidth="1"/>
    <col min="150" max="150" width="2.83203125" style="1" customWidth="1"/>
    <col min="151" max="162" width="2.1640625" customWidth="1"/>
    <col min="163" max="163" width="2.83203125" style="1" customWidth="1"/>
    <col min="164" max="175" width="3.5" customWidth="1"/>
    <col min="176" max="176" width="2.83203125" style="1" customWidth="1"/>
    <col min="177" max="177" width="1.83203125" customWidth="1"/>
    <col min="178" max="188" width="3.1640625" customWidth="1"/>
  </cols>
  <sheetData>
    <row r="1" spans="1:188" x14ac:dyDescent="0.2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46"/>
      <c r="Y1" s="46"/>
      <c r="Z1" s="46"/>
      <c r="AA1" s="46"/>
      <c r="AB1" s="47"/>
      <c r="AC1" s="47"/>
      <c r="AD1" s="47"/>
      <c r="AE1" s="47"/>
      <c r="AF1" s="47">
        <v>6</v>
      </c>
      <c r="AG1" s="47">
        <v>7</v>
      </c>
      <c r="AH1" s="47">
        <v>8</v>
      </c>
      <c r="AI1" s="47">
        <v>9</v>
      </c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85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86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">
      <c r="A2" s="114" t="s">
        <v>31</v>
      </c>
      <c r="B2" s="114"/>
      <c r="E2" s="160" t="s">
        <v>8</v>
      </c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X2" s="152" t="s">
        <v>9</v>
      </c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2"/>
      <c r="BC2" s="152"/>
      <c r="BD2" s="152"/>
      <c r="BE2" s="152"/>
      <c r="BF2" s="152"/>
      <c r="BG2" s="153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52" t="s">
        <v>10</v>
      </c>
      <c r="BV2" s="152"/>
      <c r="BW2" s="152"/>
      <c r="BX2" s="152"/>
      <c r="BY2" s="152"/>
      <c r="BZ2" s="152"/>
      <c r="CA2" s="152"/>
      <c r="CB2" s="152"/>
      <c r="CC2" s="152"/>
      <c r="CD2" s="152"/>
      <c r="CE2" s="152"/>
      <c r="CF2" s="152"/>
      <c r="CG2" s="152"/>
      <c r="CH2" s="152"/>
      <c r="CI2" s="152"/>
      <c r="CJ2" s="152"/>
      <c r="CK2" s="152"/>
      <c r="CL2" s="152"/>
      <c r="CM2" s="152"/>
      <c r="CN2" s="152"/>
      <c r="CO2" s="152"/>
      <c r="CP2" s="152"/>
      <c r="CQ2" s="152"/>
      <c r="CR2" s="152"/>
      <c r="CS2" s="152"/>
      <c r="CT2" s="152"/>
      <c r="CU2" s="152"/>
      <c r="CV2" s="152"/>
      <c r="CW2" s="152"/>
      <c r="CX2" s="152"/>
      <c r="CY2" s="152"/>
      <c r="CZ2" s="152"/>
      <c r="DA2" s="152"/>
      <c r="DB2" s="152"/>
      <c r="DC2" s="152"/>
      <c r="DD2" s="153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55" t="s">
        <v>6</v>
      </c>
      <c r="DU2" s="156"/>
      <c r="DV2" s="156"/>
      <c r="DW2" s="156"/>
      <c r="DX2" s="156"/>
      <c r="DY2" s="156"/>
      <c r="DZ2" s="156"/>
      <c r="EA2" s="156"/>
      <c r="EB2" s="156"/>
      <c r="EC2" s="156"/>
      <c r="ED2" s="156"/>
      <c r="EE2" s="156"/>
      <c r="EG2" s="113" t="s">
        <v>7</v>
      </c>
      <c r="EH2" s="113"/>
      <c r="EI2" s="113"/>
      <c r="EJ2" s="113"/>
      <c r="EK2" s="113"/>
      <c r="EL2" s="113"/>
      <c r="EM2" s="113"/>
      <c r="EN2" s="113"/>
      <c r="EO2" s="113"/>
      <c r="EP2" s="113"/>
      <c r="EQ2" s="113"/>
      <c r="ER2" s="113"/>
      <c r="ES2" s="113"/>
      <c r="EU2" s="159" t="s">
        <v>11</v>
      </c>
      <c r="EV2" s="159"/>
      <c r="EW2" s="159"/>
      <c r="EX2" s="159"/>
      <c r="EY2" s="159"/>
      <c r="EZ2" s="159"/>
      <c r="FA2" s="159"/>
      <c r="FB2" s="159"/>
      <c r="FC2" s="159"/>
      <c r="FD2" s="159"/>
      <c r="FE2" s="159"/>
      <c r="FF2" s="159"/>
      <c r="FH2" s="154" t="s">
        <v>13</v>
      </c>
      <c r="FI2" s="154"/>
      <c r="FJ2" s="154"/>
      <c r="FK2" s="154"/>
      <c r="FL2" s="154"/>
      <c r="FM2" s="154"/>
      <c r="FN2" s="154"/>
      <c r="FO2" s="154"/>
      <c r="FP2" s="154"/>
      <c r="FQ2" s="154"/>
      <c r="FR2" s="154"/>
      <c r="FS2" s="154"/>
      <c r="FU2" s="154" t="s">
        <v>12</v>
      </c>
      <c r="FV2" s="154"/>
      <c r="FW2" s="154"/>
      <c r="FX2" s="154"/>
      <c r="FY2" s="154"/>
      <c r="FZ2" s="154"/>
      <c r="GA2" s="154"/>
      <c r="GB2" s="154"/>
      <c r="GC2" s="154"/>
      <c r="GD2" s="154"/>
      <c r="GE2" s="154"/>
      <c r="GF2" s="154"/>
    </row>
    <row r="3" spans="1:188" x14ac:dyDescent="0.2">
      <c r="A3" s="114"/>
      <c r="B3" s="114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X3" s="148">
        <v>43831</v>
      </c>
      <c r="Y3" s="149"/>
      <c r="Z3" s="149"/>
      <c r="AA3" s="149"/>
      <c r="AB3" s="148">
        <v>43862</v>
      </c>
      <c r="AC3" s="149"/>
      <c r="AD3" s="149"/>
      <c r="AE3" s="149"/>
      <c r="AF3" s="148">
        <v>43891</v>
      </c>
      <c r="AG3" s="149"/>
      <c r="AH3" s="149"/>
      <c r="AI3" s="149"/>
      <c r="AJ3" s="148">
        <v>43922</v>
      </c>
      <c r="AK3" s="149"/>
      <c r="AL3" s="149"/>
      <c r="AM3" s="149"/>
      <c r="AN3" s="148">
        <v>43952</v>
      </c>
      <c r="AO3" s="149"/>
      <c r="AP3" s="149"/>
      <c r="AQ3" s="149"/>
      <c r="AR3" s="148">
        <v>43983</v>
      </c>
      <c r="AS3" s="149"/>
      <c r="AT3" s="149"/>
      <c r="AU3" s="149"/>
      <c r="AV3" s="148">
        <v>44013</v>
      </c>
      <c r="AW3" s="149"/>
      <c r="AX3" s="149"/>
      <c r="AY3" s="149"/>
      <c r="AZ3" s="148">
        <v>44044</v>
      </c>
      <c r="BA3" s="149"/>
      <c r="BB3" s="149"/>
      <c r="BC3" s="149"/>
      <c r="BD3" s="148">
        <v>44075</v>
      </c>
      <c r="BE3" s="149"/>
      <c r="BF3" s="149"/>
      <c r="BG3" s="149"/>
      <c r="BH3" s="148">
        <v>44105</v>
      </c>
      <c r="BI3" s="149"/>
      <c r="BJ3" s="149"/>
      <c r="BK3" s="149"/>
      <c r="BL3" s="148">
        <v>44136</v>
      </c>
      <c r="BM3" s="149"/>
      <c r="BN3" s="149"/>
      <c r="BO3" s="149"/>
      <c r="BP3" s="148">
        <v>44166</v>
      </c>
      <c r="BQ3" s="149"/>
      <c r="BR3" s="149"/>
      <c r="BS3" s="149"/>
      <c r="BU3" s="148">
        <v>43831</v>
      </c>
      <c r="BV3" s="149"/>
      <c r="BW3" s="149"/>
      <c r="BX3" s="149"/>
      <c r="BY3" s="148">
        <v>43862</v>
      </c>
      <c r="BZ3" s="149"/>
      <c r="CA3" s="149"/>
      <c r="CB3" s="149"/>
      <c r="CC3" s="148">
        <v>43891</v>
      </c>
      <c r="CD3" s="149"/>
      <c r="CE3" s="149"/>
      <c r="CF3" s="149"/>
      <c r="CG3" s="148">
        <v>43922</v>
      </c>
      <c r="CH3" s="149"/>
      <c r="CI3" s="149"/>
      <c r="CJ3" s="149"/>
      <c r="CK3" s="148">
        <v>43952</v>
      </c>
      <c r="CL3" s="149"/>
      <c r="CM3" s="149"/>
      <c r="CN3" s="149"/>
      <c r="CO3" s="148">
        <v>43983</v>
      </c>
      <c r="CP3" s="149"/>
      <c r="CQ3" s="149"/>
      <c r="CR3" s="149"/>
      <c r="CS3" s="148">
        <v>44013</v>
      </c>
      <c r="CT3" s="149"/>
      <c r="CU3" s="149"/>
      <c r="CV3" s="149"/>
      <c r="CW3" s="148">
        <v>44044</v>
      </c>
      <c r="CX3" s="149"/>
      <c r="CY3" s="149"/>
      <c r="CZ3" s="149"/>
      <c r="DA3" s="148">
        <v>44075</v>
      </c>
      <c r="DB3" s="149"/>
      <c r="DC3" s="149"/>
      <c r="DD3" s="149"/>
      <c r="DE3" s="30"/>
      <c r="DF3" s="148">
        <v>44105</v>
      </c>
      <c r="DG3" s="149"/>
      <c r="DH3" s="149"/>
      <c r="DI3" s="149"/>
      <c r="DJ3" s="148">
        <v>44136</v>
      </c>
      <c r="DK3" s="149"/>
      <c r="DL3" s="149"/>
      <c r="DM3" s="149"/>
      <c r="DN3" s="148">
        <v>44166</v>
      </c>
      <c r="DO3" s="149"/>
      <c r="DP3" s="149"/>
      <c r="DQ3" s="149"/>
      <c r="DR3" s="26"/>
      <c r="DT3" s="157"/>
      <c r="DU3" s="158"/>
      <c r="DV3" s="158"/>
      <c r="DW3" s="158"/>
      <c r="DX3" s="158"/>
      <c r="DY3" s="158"/>
      <c r="DZ3" s="158"/>
      <c r="EA3" s="158"/>
      <c r="EB3" s="158"/>
      <c r="EC3" s="158"/>
      <c r="ED3" s="158"/>
      <c r="EE3" s="158"/>
      <c r="EG3" s="113"/>
      <c r="EH3" s="113"/>
      <c r="EI3" s="113"/>
      <c r="EJ3" s="113"/>
      <c r="EK3" s="113"/>
      <c r="EL3" s="113"/>
      <c r="EM3" s="113"/>
      <c r="EN3" s="113"/>
      <c r="EO3" s="113"/>
      <c r="EP3" s="113"/>
      <c r="EQ3" s="113"/>
      <c r="ER3" s="113"/>
      <c r="ES3" s="113"/>
      <c r="EU3" s="159"/>
      <c r="EV3" s="159"/>
      <c r="EW3" s="159"/>
      <c r="EX3" s="159"/>
      <c r="EY3" s="159"/>
      <c r="EZ3" s="159"/>
      <c r="FA3" s="159"/>
      <c r="FB3" s="159"/>
      <c r="FC3" s="159"/>
      <c r="FD3" s="159"/>
      <c r="FE3" s="159"/>
      <c r="FF3" s="159"/>
      <c r="FH3" s="154"/>
      <c r="FI3" s="154"/>
      <c r="FJ3" s="154"/>
      <c r="FK3" s="154"/>
      <c r="FL3" s="154"/>
      <c r="FM3" s="154"/>
      <c r="FN3" s="154"/>
      <c r="FO3" s="154"/>
      <c r="FP3" s="154"/>
      <c r="FQ3" s="154"/>
      <c r="FR3" s="154"/>
      <c r="FS3" s="154"/>
      <c r="FU3" s="154"/>
      <c r="FV3" s="154"/>
      <c r="FW3" s="154"/>
      <c r="FX3" s="154"/>
      <c r="FY3" s="154"/>
      <c r="FZ3" s="154"/>
      <c r="GA3" s="154"/>
      <c r="GB3" s="154"/>
      <c r="GC3" s="154"/>
      <c r="GD3" s="154"/>
      <c r="GE3" s="154"/>
      <c r="GF3" s="154"/>
    </row>
    <row r="4" spans="1:188" x14ac:dyDescent="0.2">
      <c r="A4" s="2" t="s">
        <v>0</v>
      </c>
      <c r="B4" s="2" t="s">
        <v>1</v>
      </c>
      <c r="C4" t="s">
        <v>80</v>
      </c>
      <c r="D4" s="1" t="s">
        <v>80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80</v>
      </c>
      <c r="X4" s="18" t="s">
        <v>2</v>
      </c>
      <c r="Y4" s="18" t="s">
        <v>3</v>
      </c>
      <c r="Z4" s="18" t="s">
        <v>4</v>
      </c>
      <c r="AA4" s="18" t="s">
        <v>5</v>
      </c>
      <c r="AB4" s="2" t="s">
        <v>2</v>
      </c>
      <c r="AC4" s="2" t="s">
        <v>3</v>
      </c>
      <c r="AD4" s="2" t="s">
        <v>4</v>
      </c>
      <c r="AE4" s="2" t="s">
        <v>5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2</v>
      </c>
      <c r="AK4" s="2" t="s">
        <v>3</v>
      </c>
      <c r="AL4" s="2" t="s">
        <v>4</v>
      </c>
      <c r="AM4" s="2" t="s">
        <v>5</v>
      </c>
      <c r="AN4" s="2" t="s">
        <v>2</v>
      </c>
      <c r="AO4" s="2" t="s">
        <v>3</v>
      </c>
      <c r="AP4" s="2" t="s">
        <v>4</v>
      </c>
      <c r="AQ4" s="2" t="s">
        <v>5</v>
      </c>
      <c r="AR4" s="2" t="s">
        <v>2</v>
      </c>
      <c r="AS4" s="2" t="s">
        <v>3</v>
      </c>
      <c r="AT4" s="2" t="s">
        <v>4</v>
      </c>
      <c r="AU4" s="2" t="s">
        <v>5</v>
      </c>
      <c r="AV4" s="2" t="s">
        <v>2</v>
      </c>
      <c r="AW4" s="2" t="s">
        <v>3</v>
      </c>
      <c r="AX4" s="2" t="s">
        <v>4</v>
      </c>
      <c r="AY4" s="2" t="s">
        <v>5</v>
      </c>
      <c r="AZ4" s="2" t="s">
        <v>2</v>
      </c>
      <c r="BA4" s="2" t="s">
        <v>3</v>
      </c>
      <c r="BB4" s="2" t="s">
        <v>4</v>
      </c>
      <c r="BC4" s="2" t="s">
        <v>5</v>
      </c>
      <c r="BD4" s="2" t="s">
        <v>2</v>
      </c>
      <c r="BE4" s="2" t="s">
        <v>3</v>
      </c>
      <c r="BF4" s="2" t="s">
        <v>4</v>
      </c>
      <c r="BG4" s="2" t="s">
        <v>5</v>
      </c>
      <c r="BH4" s="2" t="s">
        <v>2</v>
      </c>
      <c r="BI4" s="2" t="s">
        <v>3</v>
      </c>
      <c r="BJ4" s="2" t="s">
        <v>4</v>
      </c>
      <c r="BK4" s="2" t="s">
        <v>5</v>
      </c>
      <c r="BL4" s="2" t="s">
        <v>2</v>
      </c>
      <c r="BM4" s="2" t="s">
        <v>3</v>
      </c>
      <c r="BN4" s="2" t="s">
        <v>4</v>
      </c>
      <c r="BO4" s="2" t="s">
        <v>5</v>
      </c>
      <c r="BP4" s="2" t="s">
        <v>2</v>
      </c>
      <c r="BQ4" s="2" t="s">
        <v>3</v>
      </c>
      <c r="BR4" s="2" t="s">
        <v>4</v>
      </c>
      <c r="BS4" s="2" t="s">
        <v>5</v>
      </c>
      <c r="BU4" s="2" t="s">
        <v>2</v>
      </c>
      <c r="BV4" s="2" t="s">
        <v>3</v>
      </c>
      <c r="BW4" s="2" t="s">
        <v>4</v>
      </c>
      <c r="BX4" s="2" t="s">
        <v>5</v>
      </c>
      <c r="BY4" s="2" t="s">
        <v>2</v>
      </c>
      <c r="BZ4" s="2" t="s">
        <v>3</v>
      </c>
      <c r="CA4" s="2" t="s">
        <v>4</v>
      </c>
      <c r="CB4" s="2" t="s">
        <v>5</v>
      </c>
      <c r="CC4" s="2" t="s">
        <v>2</v>
      </c>
      <c r="CD4" s="2" t="s">
        <v>3</v>
      </c>
      <c r="CE4" s="2" t="s">
        <v>4</v>
      </c>
      <c r="CF4" s="2" t="s">
        <v>5</v>
      </c>
      <c r="CG4" s="2" t="s">
        <v>2</v>
      </c>
      <c r="CH4" s="2" t="s">
        <v>3</v>
      </c>
      <c r="CI4" s="2" t="s">
        <v>4</v>
      </c>
      <c r="CJ4" s="2" t="s">
        <v>5</v>
      </c>
      <c r="CK4" s="2" t="s">
        <v>2</v>
      </c>
      <c r="CL4" s="2" t="s">
        <v>3</v>
      </c>
      <c r="CM4" s="2" t="s">
        <v>4</v>
      </c>
      <c r="CN4" s="2" t="s">
        <v>5</v>
      </c>
      <c r="CO4" s="2" t="s">
        <v>2</v>
      </c>
      <c r="CP4" s="2" t="s">
        <v>3</v>
      </c>
      <c r="CQ4" s="2" t="s">
        <v>4</v>
      </c>
      <c r="CR4" s="2" t="s">
        <v>5</v>
      </c>
      <c r="CS4" s="2" t="s">
        <v>2</v>
      </c>
      <c r="CT4" s="2" t="s">
        <v>3</v>
      </c>
      <c r="CU4" s="2" t="s">
        <v>4</v>
      </c>
      <c r="CV4" s="2" t="s">
        <v>5</v>
      </c>
      <c r="CW4" s="2" t="s">
        <v>2</v>
      </c>
      <c r="CX4" s="2" t="s">
        <v>3</v>
      </c>
      <c r="CY4" s="2" t="s">
        <v>4</v>
      </c>
      <c r="CZ4" s="2" t="s">
        <v>5</v>
      </c>
      <c r="DA4" s="2" t="s">
        <v>2</v>
      </c>
      <c r="DB4" s="2" t="s">
        <v>3</v>
      </c>
      <c r="DC4" s="2" t="s">
        <v>4</v>
      </c>
      <c r="DD4" s="2" t="s">
        <v>5</v>
      </c>
      <c r="DE4" s="2"/>
      <c r="DF4" s="2" t="s">
        <v>2</v>
      </c>
      <c r="DG4" s="2" t="s">
        <v>3</v>
      </c>
      <c r="DH4" s="2" t="s">
        <v>4</v>
      </c>
      <c r="DI4" s="2" t="s">
        <v>5</v>
      </c>
      <c r="DJ4" s="2" t="s">
        <v>2</v>
      </c>
      <c r="DK4" s="2" t="s">
        <v>3</v>
      </c>
      <c r="DL4" s="2" t="s">
        <v>4</v>
      </c>
      <c r="DM4" s="2" t="s">
        <v>5</v>
      </c>
      <c r="DN4" s="2" t="s">
        <v>2</v>
      </c>
      <c r="DO4" s="2" t="s">
        <v>3</v>
      </c>
      <c r="DP4" s="2" t="s">
        <v>4</v>
      </c>
      <c r="DQ4" s="2" t="s">
        <v>5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133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8" x14ac:dyDescent="0.2">
      <c r="A5" s="11" t="s">
        <v>35</v>
      </c>
      <c r="B5" s="11" t="s">
        <v>34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40" t="s">
        <v>35</v>
      </c>
      <c r="O5" s="40" t="s">
        <v>34</v>
      </c>
      <c r="P5" s="41">
        <v>171</v>
      </c>
      <c r="Q5" s="41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41">
        <v>46328.75</v>
      </c>
      <c r="BI5" s="41">
        <v>19103.26999999999</v>
      </c>
      <c r="BJ5" s="41">
        <v>63397.820000000007</v>
      </c>
      <c r="BK5" s="41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40" t="s">
        <v>104</v>
      </c>
      <c r="DF5" s="41">
        <v>17.559999999999999</v>
      </c>
      <c r="DG5" s="41">
        <v>33.340000000000003</v>
      </c>
      <c r="DH5" s="41">
        <v>236.83</v>
      </c>
      <c r="DI5" s="41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75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81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81</v>
      </c>
      <c r="FW5">
        <v>215.93</v>
      </c>
      <c r="FY5">
        <v>361.46</v>
      </c>
    </row>
    <row r="6" spans="1:188" ht="128" x14ac:dyDescent="0.2">
      <c r="A6" s="11" t="s">
        <v>36</v>
      </c>
      <c r="B6" s="11" t="s">
        <v>34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40" t="s">
        <v>36</v>
      </c>
      <c r="O6" s="40" t="s">
        <v>34</v>
      </c>
      <c r="P6" s="41">
        <v>195</v>
      </c>
      <c r="Q6" s="41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41">
        <v>48036.000000000015</v>
      </c>
      <c r="BI6" s="41">
        <v>26816.670000000006</v>
      </c>
      <c r="BJ6" s="41">
        <v>74774.799999999988</v>
      </c>
      <c r="BK6" s="41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40" t="s">
        <v>87</v>
      </c>
      <c r="DF6" s="41">
        <v>17724.21</v>
      </c>
      <c r="DG6" s="41">
        <v>14934.98</v>
      </c>
      <c r="DH6" s="41">
        <v>74742.549999999988</v>
      </c>
      <c r="DI6" s="41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34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81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81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8" x14ac:dyDescent="0.2">
      <c r="A7" s="11" t="s">
        <v>37</v>
      </c>
      <c r="B7" s="11" t="s">
        <v>34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40" t="s">
        <v>37</v>
      </c>
      <c r="O7" s="40" t="s">
        <v>34</v>
      </c>
      <c r="P7" s="41">
        <v>107</v>
      </c>
      <c r="Q7" s="41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41">
        <v>16698.88</v>
      </c>
      <c r="BI7" s="41">
        <v>13362.459999999997</v>
      </c>
      <c r="BJ7" s="41">
        <v>41505.12999999999</v>
      </c>
      <c r="BK7" s="41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81</v>
      </c>
      <c r="BV7" s="16" t="s">
        <v>81</v>
      </c>
      <c r="BW7" s="16" t="s">
        <v>81</v>
      </c>
      <c r="BX7" s="16" t="s">
        <v>81</v>
      </c>
      <c r="BY7" s="16" t="s">
        <v>81</v>
      </c>
      <c r="BZ7" s="16" t="s">
        <v>81</v>
      </c>
      <c r="CA7" s="16" t="s">
        <v>81</v>
      </c>
      <c r="CB7" s="16" t="s">
        <v>81</v>
      </c>
      <c r="DE7" s="40" t="s">
        <v>116</v>
      </c>
      <c r="DF7" s="41">
        <v>79.41</v>
      </c>
      <c r="DG7" s="41">
        <v>80.19</v>
      </c>
      <c r="DH7" s="41">
        <v>548.70000000000005</v>
      </c>
      <c r="DI7" s="41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81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81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8" x14ac:dyDescent="0.2">
      <c r="A8" s="11" t="s">
        <v>40</v>
      </c>
      <c r="B8" s="11" t="s">
        <v>34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40" t="s">
        <v>40</v>
      </c>
      <c r="O8" s="40" t="s">
        <v>34</v>
      </c>
      <c r="P8" s="41">
        <v>112</v>
      </c>
      <c r="Q8" s="41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41">
        <v>22292.28999999999</v>
      </c>
      <c r="BI8" s="41">
        <v>8298.2999999999975</v>
      </c>
      <c r="BJ8" s="41">
        <v>16546.32</v>
      </c>
      <c r="BK8" s="41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40" t="s">
        <v>88</v>
      </c>
      <c r="DF8" s="41">
        <v>24174.940000000024</v>
      </c>
      <c r="DG8" s="41">
        <v>23422.789999999994</v>
      </c>
      <c r="DH8" s="41">
        <v>84889.230000000025</v>
      </c>
      <c r="DI8" s="41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81</v>
      </c>
      <c r="FI8">
        <v>258.25</v>
      </c>
      <c r="FJ8">
        <v>584.70000000000005</v>
      </c>
      <c r="FK8">
        <v>866.82</v>
      </c>
      <c r="FM8">
        <v>740.9</v>
      </c>
      <c r="FN8" t="s">
        <v>81</v>
      </c>
      <c r="FV8">
        <v>258.25</v>
      </c>
      <c r="FW8">
        <v>209.33</v>
      </c>
      <c r="FX8">
        <v>240.28</v>
      </c>
      <c r="FZ8">
        <v>740.9</v>
      </c>
    </row>
    <row r="9" spans="1:188" ht="128" x14ac:dyDescent="0.2">
      <c r="A9" s="11" t="s">
        <v>41</v>
      </c>
      <c r="B9" s="11" t="s">
        <v>34</v>
      </c>
      <c r="C9" s="11" t="str">
        <f t="shared" si="0"/>
        <v>98920COM</v>
      </c>
      <c r="D9" s="12"/>
      <c r="E9" s="12">
        <v>1</v>
      </c>
      <c r="F9" s="12" t="s">
        <v>81</v>
      </c>
      <c r="G9" s="12" t="s">
        <v>81</v>
      </c>
      <c r="H9" s="12" t="s">
        <v>81</v>
      </c>
      <c r="I9" s="12" t="s">
        <v>81</v>
      </c>
      <c r="J9" s="12">
        <v>2</v>
      </c>
      <c r="K9" s="12" t="s">
        <v>81</v>
      </c>
      <c r="L9" s="12" t="s">
        <v>81</v>
      </c>
      <c r="M9" s="12" t="s">
        <v>81</v>
      </c>
      <c r="N9" s="40" t="s">
        <v>42</v>
      </c>
      <c r="O9" s="40" t="s">
        <v>34</v>
      </c>
      <c r="P9" s="41">
        <v>2</v>
      </c>
      <c r="Q9" s="41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81</v>
      </c>
      <c r="AC9" s="16" t="s">
        <v>81</v>
      </c>
      <c r="AD9" s="16" t="s">
        <v>81</v>
      </c>
      <c r="AE9" s="16" t="s">
        <v>81</v>
      </c>
      <c r="AF9" s="16" t="s">
        <v>81</v>
      </c>
      <c r="AG9" s="16" t="s">
        <v>81</v>
      </c>
      <c r="AH9" s="16" t="s">
        <v>81</v>
      </c>
      <c r="AI9" s="16" t="s">
        <v>81</v>
      </c>
      <c r="AJ9" s="16" t="s">
        <v>81</v>
      </c>
      <c r="AK9" s="16" t="s">
        <v>81</v>
      </c>
      <c r="AL9" s="16" t="s">
        <v>81</v>
      </c>
      <c r="AM9" s="16" t="s">
        <v>81</v>
      </c>
      <c r="AN9" s="16" t="s">
        <v>81</v>
      </c>
      <c r="AO9" s="16" t="s">
        <v>81</v>
      </c>
      <c r="AP9" s="16" t="s">
        <v>81</v>
      </c>
      <c r="AQ9" s="16" t="s">
        <v>81</v>
      </c>
      <c r="AR9" s="16">
        <v>53.06</v>
      </c>
      <c r="AS9" s="16">
        <v>0</v>
      </c>
      <c r="AT9" s="16">
        <v>0</v>
      </c>
      <c r="AU9" s="16">
        <v>53.06</v>
      </c>
      <c r="AV9" s="16" t="s">
        <v>81</v>
      </c>
      <c r="AW9" s="16" t="s">
        <v>81</v>
      </c>
      <c r="AX9" s="16" t="s">
        <v>81</v>
      </c>
      <c r="AY9" s="16" t="s">
        <v>81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41">
        <v>94</v>
      </c>
      <c r="BI9" s="41">
        <v>115.57</v>
      </c>
      <c r="BJ9" s="41">
        <v>229.07999999999998</v>
      </c>
      <c r="BK9" s="41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DE9" s="40" t="s">
        <v>89</v>
      </c>
      <c r="DF9" s="41">
        <v>9541.5499999999975</v>
      </c>
      <c r="DG9" s="41">
        <v>7497.2</v>
      </c>
      <c r="DH9" s="41">
        <v>29702.059999999994</v>
      </c>
      <c r="DI9" s="41">
        <v>46740.809999999976</v>
      </c>
      <c r="DR9">
        <v>0.28728462586298115</v>
      </c>
      <c r="DT9" s="29">
        <v>0.85823928052116483</v>
      </c>
      <c r="DU9" s="29" t="s">
        <v>81</v>
      </c>
      <c r="DV9" s="29" t="s">
        <v>81</v>
      </c>
      <c r="DW9" s="29" t="s">
        <v>81</v>
      </c>
      <c r="DX9" s="29" t="s">
        <v>81</v>
      </c>
      <c r="DY9" s="29">
        <v>1.5347429625671256</v>
      </c>
      <c r="DZ9" s="29" t="s">
        <v>81</v>
      </c>
      <c r="EA9" s="29" t="s">
        <v>81</v>
      </c>
      <c r="EB9" s="29" t="s">
        <v>81</v>
      </c>
      <c r="EC9" s="29"/>
      <c r="ED9" s="29"/>
      <c r="EE9" s="29"/>
      <c r="EU9" t="s">
        <v>81</v>
      </c>
      <c r="EV9" t="s">
        <v>81</v>
      </c>
      <c r="EW9" t="s">
        <v>81</v>
      </c>
      <c r="EX9" t="s">
        <v>81</v>
      </c>
      <c r="EY9" t="s">
        <v>81</v>
      </c>
      <c r="EZ9" t="s">
        <v>81</v>
      </c>
      <c r="FA9" t="s">
        <v>81</v>
      </c>
      <c r="FB9" t="s">
        <v>81</v>
      </c>
      <c r="FC9" t="s">
        <v>81</v>
      </c>
      <c r="FH9" t="s">
        <v>81</v>
      </c>
      <c r="FI9" t="s">
        <v>81</v>
      </c>
      <c r="FJ9" t="s">
        <v>81</v>
      </c>
      <c r="FK9" t="s">
        <v>81</v>
      </c>
      <c r="FL9" t="s">
        <v>81</v>
      </c>
      <c r="FM9" t="s">
        <v>81</v>
      </c>
      <c r="FN9" t="s">
        <v>81</v>
      </c>
      <c r="FO9" t="s">
        <v>81</v>
      </c>
      <c r="FP9" t="s">
        <v>81</v>
      </c>
    </row>
    <row r="10" spans="1:188" ht="128" x14ac:dyDescent="0.2">
      <c r="A10" s="11" t="s">
        <v>42</v>
      </c>
      <c r="B10" s="11" t="s">
        <v>34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40" t="s">
        <v>43</v>
      </c>
      <c r="O10" s="40" t="s">
        <v>34</v>
      </c>
      <c r="P10" s="41">
        <v>18</v>
      </c>
      <c r="Q10" s="41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41">
        <v>10786.149999999998</v>
      </c>
      <c r="BI10" s="41">
        <v>59.66</v>
      </c>
      <c r="BJ10" s="41">
        <v>424.36</v>
      </c>
      <c r="BK10" s="41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DE10" s="40" t="s">
        <v>117</v>
      </c>
      <c r="DF10" s="41">
        <v>46.22</v>
      </c>
      <c r="DG10" s="41">
        <v>50.18</v>
      </c>
      <c r="DH10" s="41">
        <v>304.45</v>
      </c>
      <c r="DI10" s="41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81</v>
      </c>
      <c r="FM10">
        <v>323.73</v>
      </c>
      <c r="FN10" t="s">
        <v>81</v>
      </c>
      <c r="FZ10">
        <v>323.73</v>
      </c>
    </row>
    <row r="11" spans="1:188" ht="128" x14ac:dyDescent="0.2">
      <c r="A11" s="11" t="s">
        <v>43</v>
      </c>
      <c r="B11" s="11" t="s">
        <v>34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40" t="s">
        <v>44</v>
      </c>
      <c r="O11" s="40" t="s">
        <v>34</v>
      </c>
      <c r="P11" s="41">
        <v>40</v>
      </c>
      <c r="Q11" s="41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41">
        <v>6383.1399999999994</v>
      </c>
      <c r="BI11" s="41">
        <v>4786.26</v>
      </c>
      <c r="BJ11" s="41">
        <v>14992.820000000003</v>
      </c>
      <c r="BK11" s="41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DE11" s="40" t="s">
        <v>90</v>
      </c>
      <c r="DF11" s="41">
        <v>7850.4699999999993</v>
      </c>
      <c r="DG11" s="41">
        <v>5886.7000000000016</v>
      </c>
      <c r="DH11" s="41">
        <v>22388.280000000002</v>
      </c>
      <c r="DI11" s="41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81</v>
      </c>
      <c r="FH11">
        <v>106.87</v>
      </c>
      <c r="FN11" t="s">
        <v>81</v>
      </c>
    </row>
    <row r="12" spans="1:188" ht="128" x14ac:dyDescent="0.2">
      <c r="A12" s="11" t="s">
        <v>44</v>
      </c>
      <c r="B12" s="11" t="s">
        <v>34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40" t="s">
        <v>45</v>
      </c>
      <c r="O12" s="40" t="s">
        <v>34</v>
      </c>
      <c r="P12" s="41">
        <v>20</v>
      </c>
      <c r="Q12" s="41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41">
        <v>8264.74</v>
      </c>
      <c r="BI12" s="41">
        <v>917.29000000000019</v>
      </c>
      <c r="BJ12" s="41">
        <v>5572.09</v>
      </c>
      <c r="BK12" s="41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DE12" s="40" t="s">
        <v>118</v>
      </c>
      <c r="DF12" s="41">
        <v>1585.09</v>
      </c>
      <c r="DG12" s="41">
        <v>1372.33</v>
      </c>
      <c r="DH12" s="41">
        <v>4908.55</v>
      </c>
      <c r="DI12" s="41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81</v>
      </c>
      <c r="FJ12">
        <v>128.22999999999999</v>
      </c>
      <c r="FL12">
        <v>116.78</v>
      </c>
      <c r="FM12">
        <v>87.06</v>
      </c>
      <c r="FN12" t="s">
        <v>81</v>
      </c>
      <c r="FW12">
        <v>128.22999999999999</v>
      </c>
      <c r="FY12">
        <v>116.78</v>
      </c>
      <c r="FZ12">
        <v>87.06</v>
      </c>
    </row>
    <row r="13" spans="1:188" ht="128" x14ac:dyDescent="0.2">
      <c r="A13" s="11" t="s">
        <v>45</v>
      </c>
      <c r="B13" s="11" t="s">
        <v>34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40" t="s">
        <v>46</v>
      </c>
      <c r="O13" s="40" t="s">
        <v>34</v>
      </c>
      <c r="P13" s="41">
        <v>8</v>
      </c>
      <c r="Q13" s="41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41">
        <v>3251.88</v>
      </c>
      <c r="BI13" s="41">
        <v>846.93000000000006</v>
      </c>
      <c r="BJ13" s="41">
        <v>2869.04</v>
      </c>
      <c r="BK13" s="41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DE13" s="40" t="s">
        <v>111</v>
      </c>
      <c r="DF13" s="41">
        <v>465.09</v>
      </c>
      <c r="DG13" s="41">
        <v>203.32000000000002</v>
      </c>
      <c r="DH13" s="41">
        <v>188.07</v>
      </c>
      <c r="DI13" s="41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81</v>
      </c>
      <c r="FH13">
        <v>4434.07</v>
      </c>
      <c r="FL13">
        <v>132.18</v>
      </c>
      <c r="FN13" t="s">
        <v>81</v>
      </c>
      <c r="FY13">
        <v>132.18</v>
      </c>
    </row>
    <row r="14" spans="1:188" ht="128" x14ac:dyDescent="0.2">
      <c r="A14" s="11" t="s">
        <v>46</v>
      </c>
      <c r="B14" s="11" t="s">
        <v>34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40" t="s">
        <v>47</v>
      </c>
      <c r="O14" s="40" t="s">
        <v>34</v>
      </c>
      <c r="P14" s="41">
        <v>3</v>
      </c>
      <c r="Q14" s="41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41">
        <v>180.51</v>
      </c>
      <c r="BI14" s="41">
        <v>95.940000000000012</v>
      </c>
      <c r="BJ14" s="41">
        <v>1413.14</v>
      </c>
      <c r="BK14" s="41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DE14" s="40" t="s">
        <v>96</v>
      </c>
      <c r="DF14" s="41">
        <v>7685.45</v>
      </c>
      <c r="DG14" s="41">
        <v>5979.6400000000021</v>
      </c>
      <c r="DH14" s="41">
        <v>15927.730000000003</v>
      </c>
      <c r="DI14" s="41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81</v>
      </c>
      <c r="FN14" t="s">
        <v>81</v>
      </c>
    </row>
    <row r="15" spans="1:188" ht="128" x14ac:dyDescent="0.2">
      <c r="A15" s="11" t="s">
        <v>47</v>
      </c>
      <c r="B15" s="11" t="s">
        <v>34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40" t="s">
        <v>48</v>
      </c>
      <c r="O15" s="40" t="s">
        <v>34</v>
      </c>
      <c r="P15" s="41">
        <v>24</v>
      </c>
      <c r="Q15" s="41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41">
        <v>11480.58</v>
      </c>
      <c r="BI15" s="41">
        <v>3202.63</v>
      </c>
      <c r="BJ15" s="41">
        <v>9604.369999999999</v>
      </c>
      <c r="BK15" s="41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DE15" s="40" t="s">
        <v>94</v>
      </c>
      <c r="DF15" s="41">
        <v>4638.97</v>
      </c>
      <c r="DG15" s="41">
        <v>4228.7399999999989</v>
      </c>
      <c r="DH15" s="41">
        <v>12002.640000000001</v>
      </c>
      <c r="DI15" s="41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81</v>
      </c>
      <c r="EV15" t="s">
        <v>81</v>
      </c>
      <c r="EW15" t="s">
        <v>81</v>
      </c>
      <c r="EX15" t="s">
        <v>81</v>
      </c>
      <c r="EY15" t="s">
        <v>81</v>
      </c>
      <c r="EZ15" t="s">
        <v>81</v>
      </c>
      <c r="FA15" t="s">
        <v>81</v>
      </c>
      <c r="FB15" t="s">
        <v>81</v>
      </c>
      <c r="FC15" t="s">
        <v>81</v>
      </c>
      <c r="FH15" t="s">
        <v>81</v>
      </c>
      <c r="FI15" t="s">
        <v>81</v>
      </c>
      <c r="FJ15" t="s">
        <v>81</v>
      </c>
      <c r="FK15" t="s">
        <v>81</v>
      </c>
      <c r="FL15" t="s">
        <v>81</v>
      </c>
      <c r="FM15" t="s">
        <v>81</v>
      </c>
      <c r="FN15" t="s">
        <v>81</v>
      </c>
      <c r="FO15" t="s">
        <v>81</v>
      </c>
      <c r="FP15" t="s">
        <v>81</v>
      </c>
    </row>
    <row r="16" spans="1:188" ht="128" x14ac:dyDescent="0.2">
      <c r="A16" s="11" t="s">
        <v>48</v>
      </c>
      <c r="B16" s="11" t="s">
        <v>34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40" t="s">
        <v>49</v>
      </c>
      <c r="O16" s="40" t="s">
        <v>34</v>
      </c>
      <c r="P16" s="41">
        <v>36</v>
      </c>
      <c r="Q16" s="41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41">
        <v>5817.09</v>
      </c>
      <c r="BI16" s="41">
        <v>1514.26</v>
      </c>
      <c r="BJ16" s="41">
        <v>2642.57</v>
      </c>
      <c r="BK16" s="41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DE16" s="40" t="s">
        <v>95</v>
      </c>
      <c r="DF16" s="41">
        <v>773.53</v>
      </c>
      <c r="DG16" s="41">
        <v>608.24</v>
      </c>
      <c r="DH16" s="41">
        <v>3182.08</v>
      </c>
      <c r="DI16" s="41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81</v>
      </c>
      <c r="FK16">
        <v>103.59</v>
      </c>
      <c r="FN16" t="s">
        <v>81</v>
      </c>
      <c r="FX16">
        <v>62.32</v>
      </c>
    </row>
    <row r="17" spans="1:183" ht="128" x14ac:dyDescent="0.2">
      <c r="A17" s="11" t="s">
        <v>49</v>
      </c>
      <c r="B17" s="11" t="s">
        <v>34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40" t="s">
        <v>50</v>
      </c>
      <c r="O17" s="40" t="s">
        <v>34</v>
      </c>
      <c r="P17" s="41">
        <v>21</v>
      </c>
      <c r="Q17" s="41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41">
        <v>34302.410000000003</v>
      </c>
      <c r="BI17" s="41">
        <v>26450.880000000001</v>
      </c>
      <c r="BJ17" s="41">
        <v>5615.89</v>
      </c>
      <c r="BK17" s="41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DE17" s="40" t="s">
        <v>97</v>
      </c>
      <c r="DF17" s="41">
        <v>3114.889999999999</v>
      </c>
      <c r="DG17" s="41">
        <v>2208.85</v>
      </c>
      <c r="DH17" s="41">
        <v>6017.7300000000005</v>
      </c>
      <c r="DI17" s="41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81</v>
      </c>
      <c r="FH17">
        <v>8.59</v>
      </c>
      <c r="FK17">
        <v>320.49</v>
      </c>
      <c r="FN17" t="s">
        <v>81</v>
      </c>
      <c r="GA17">
        <v>6.44</v>
      </c>
    </row>
    <row r="18" spans="1:183" ht="128" x14ac:dyDescent="0.2">
      <c r="A18" s="11" t="s">
        <v>50</v>
      </c>
      <c r="B18" s="11" t="s">
        <v>34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40" t="s">
        <v>51</v>
      </c>
      <c r="O18" s="40" t="s">
        <v>34</v>
      </c>
      <c r="P18" s="41">
        <v>3</v>
      </c>
      <c r="Q18" s="41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41">
        <v>306.49</v>
      </c>
      <c r="BI18" s="41">
        <v>319.05</v>
      </c>
      <c r="BJ18" s="41">
        <v>100.27</v>
      </c>
      <c r="BK18" s="41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DE18" s="40" t="s">
        <v>98</v>
      </c>
      <c r="DF18" s="41">
        <v>1143.3900000000001</v>
      </c>
      <c r="DG18" s="41">
        <v>551.17999999999995</v>
      </c>
      <c r="DH18" s="41">
        <v>2163.4699999999998</v>
      </c>
      <c r="DI18" s="41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81</v>
      </c>
      <c r="EV18" t="s">
        <v>81</v>
      </c>
      <c r="EW18" t="s">
        <v>81</v>
      </c>
      <c r="EX18" t="s">
        <v>81</v>
      </c>
      <c r="EY18" t="s">
        <v>81</v>
      </c>
      <c r="EZ18" t="s">
        <v>81</v>
      </c>
      <c r="FA18" t="s">
        <v>81</v>
      </c>
      <c r="FB18" t="s">
        <v>81</v>
      </c>
      <c r="FC18" t="s">
        <v>81</v>
      </c>
      <c r="FH18" t="s">
        <v>81</v>
      </c>
      <c r="FI18" t="s">
        <v>81</v>
      </c>
      <c r="FJ18" t="s">
        <v>81</v>
      </c>
      <c r="FK18" t="s">
        <v>81</v>
      </c>
      <c r="FL18" t="s">
        <v>81</v>
      </c>
      <c r="FM18" t="s">
        <v>81</v>
      </c>
      <c r="FN18" t="s">
        <v>81</v>
      </c>
      <c r="FO18" t="s">
        <v>81</v>
      </c>
      <c r="FP18" t="s">
        <v>81</v>
      </c>
    </row>
    <row r="19" spans="1:183" ht="128" x14ac:dyDescent="0.2">
      <c r="A19" s="11" t="s">
        <v>52</v>
      </c>
      <c r="B19" s="11" t="s">
        <v>34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40" t="s">
        <v>52</v>
      </c>
      <c r="O19" s="40" t="s">
        <v>34</v>
      </c>
      <c r="P19" s="41">
        <v>58</v>
      </c>
      <c r="Q19" s="41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41">
        <v>12180.3</v>
      </c>
      <c r="BI19" s="41">
        <v>9783.119999999999</v>
      </c>
      <c r="BJ19" s="41">
        <v>21436.66</v>
      </c>
      <c r="BK19" s="41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DE19" s="40" t="s">
        <v>107</v>
      </c>
      <c r="DF19" s="41">
        <v>798.69</v>
      </c>
      <c r="DG19" s="41">
        <v>550.24</v>
      </c>
      <c r="DH19" s="41">
        <v>2277.62</v>
      </c>
      <c r="DI19" s="41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81</v>
      </c>
      <c r="FJ19">
        <v>83.67</v>
      </c>
      <c r="FK19">
        <v>189.48</v>
      </c>
      <c r="FN19" t="s">
        <v>81</v>
      </c>
      <c r="FW19">
        <v>83.67</v>
      </c>
      <c r="GA19">
        <v>118.91</v>
      </c>
    </row>
    <row r="20" spans="1:183" ht="128" x14ac:dyDescent="0.2">
      <c r="A20" s="11" t="s">
        <v>53</v>
      </c>
      <c r="B20" s="11" t="s">
        <v>34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40" t="s">
        <v>53</v>
      </c>
      <c r="O20" s="40" t="s">
        <v>34</v>
      </c>
      <c r="P20" s="41">
        <v>116</v>
      </c>
      <c r="Q20" s="41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41">
        <v>28664.300000000017</v>
      </c>
      <c r="BI20" s="41">
        <v>17920.740000000002</v>
      </c>
      <c r="BJ20" s="41">
        <v>58332.910000000011</v>
      </c>
      <c r="BK20" s="41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DE20" s="40" t="s">
        <v>105</v>
      </c>
      <c r="DF20" s="41">
        <v>1416.4199999999998</v>
      </c>
      <c r="DG20" s="41">
        <v>1077.1099999999999</v>
      </c>
      <c r="DH20" s="41">
        <v>3639.1200000000003</v>
      </c>
      <c r="DI20" s="41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81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81</v>
      </c>
      <c r="FO20">
        <v>1155.9000000000001</v>
      </c>
      <c r="FV20">
        <v>224.58</v>
      </c>
      <c r="FX20">
        <v>16.75</v>
      </c>
    </row>
    <row r="21" spans="1:183" ht="128" x14ac:dyDescent="0.2">
      <c r="A21" s="11" t="s">
        <v>54</v>
      </c>
      <c r="B21" s="11" t="s">
        <v>34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40" t="s">
        <v>54</v>
      </c>
      <c r="O21" s="40" t="s">
        <v>34</v>
      </c>
      <c r="P21" s="41">
        <v>19</v>
      </c>
      <c r="Q21" s="41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41">
        <v>5271.9499999999989</v>
      </c>
      <c r="BI21" s="41">
        <v>1968.55</v>
      </c>
      <c r="BJ21" s="41">
        <v>3738.68</v>
      </c>
      <c r="BK21" s="41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81</v>
      </c>
      <c r="BV21" s="16" t="s">
        <v>81</v>
      </c>
      <c r="BW21" s="16" t="s">
        <v>81</v>
      </c>
      <c r="BX21" s="16" t="s">
        <v>81</v>
      </c>
      <c r="BY21" s="16" t="s">
        <v>81</v>
      </c>
      <c r="BZ21" s="16" t="s">
        <v>81</v>
      </c>
      <c r="CA21" s="16" t="s">
        <v>81</v>
      </c>
      <c r="CB21" s="16" t="s">
        <v>81</v>
      </c>
      <c r="DE21" s="40" t="s">
        <v>119</v>
      </c>
      <c r="DF21" s="41">
        <v>126.58000000000001</v>
      </c>
      <c r="DG21" s="41">
        <v>161.31</v>
      </c>
      <c r="DH21" s="41">
        <v>962.45</v>
      </c>
      <c r="DI21" s="41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81</v>
      </c>
      <c r="EV21" t="s">
        <v>81</v>
      </c>
      <c r="EW21" t="s">
        <v>81</v>
      </c>
      <c r="EX21" t="s">
        <v>81</v>
      </c>
      <c r="EY21" t="s">
        <v>81</v>
      </c>
      <c r="EZ21" t="s">
        <v>81</v>
      </c>
      <c r="FA21" t="s">
        <v>81</v>
      </c>
      <c r="FB21" t="s">
        <v>81</v>
      </c>
      <c r="FC21" t="s">
        <v>81</v>
      </c>
      <c r="FH21" t="s">
        <v>81</v>
      </c>
      <c r="FI21" t="s">
        <v>81</v>
      </c>
      <c r="FJ21" t="s">
        <v>81</v>
      </c>
      <c r="FK21" t="s">
        <v>81</v>
      </c>
      <c r="FL21" t="s">
        <v>81</v>
      </c>
      <c r="FM21" t="s">
        <v>81</v>
      </c>
      <c r="FN21" t="s">
        <v>81</v>
      </c>
      <c r="FO21" t="s">
        <v>81</v>
      </c>
      <c r="FP21" t="s">
        <v>81</v>
      </c>
    </row>
    <row r="22" spans="1:183" ht="128" x14ac:dyDescent="0.2">
      <c r="A22" s="11" t="s">
        <v>55</v>
      </c>
      <c r="B22" s="11" t="s">
        <v>34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40" t="s">
        <v>55</v>
      </c>
      <c r="O22" s="40" t="s">
        <v>34</v>
      </c>
      <c r="P22" s="41">
        <v>86</v>
      </c>
      <c r="Q22" s="41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41">
        <v>15192.090000000006</v>
      </c>
      <c r="BI22" s="41">
        <v>10812.270000000002</v>
      </c>
      <c r="BJ22" s="41">
        <v>28349.309999999998</v>
      </c>
      <c r="BK22" s="41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40" t="s">
        <v>99</v>
      </c>
      <c r="DF22" s="41">
        <v>3754.4300000000003</v>
      </c>
      <c r="DG22" s="41">
        <v>3149.3599999999992</v>
      </c>
      <c r="DH22" s="41">
        <v>10392.719999999996</v>
      </c>
      <c r="DI22" s="41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81</v>
      </c>
      <c r="FH22">
        <v>0.32</v>
      </c>
      <c r="FI22">
        <v>244.27</v>
      </c>
      <c r="FJ22">
        <v>2508.0099999999998</v>
      </c>
      <c r="FK22">
        <v>975.37</v>
      </c>
      <c r="FN22" t="s">
        <v>81</v>
      </c>
      <c r="FU22">
        <v>0.32</v>
      </c>
    </row>
    <row r="23" spans="1:183" ht="128" x14ac:dyDescent="0.2">
      <c r="A23" s="11" t="s">
        <v>56</v>
      </c>
      <c r="B23" s="11" t="s">
        <v>34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40" t="s">
        <v>56</v>
      </c>
      <c r="O23" s="40" t="s">
        <v>34</v>
      </c>
      <c r="P23" s="41">
        <v>75</v>
      </c>
      <c r="Q23" s="41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41">
        <v>14456.65</v>
      </c>
      <c r="BI23" s="41">
        <v>12586.489999999998</v>
      </c>
      <c r="BJ23" s="41">
        <v>26268.590000000004</v>
      </c>
      <c r="BK23" s="41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40" t="s">
        <v>91</v>
      </c>
      <c r="DF23" s="41">
        <v>14126.599999999993</v>
      </c>
      <c r="DG23" s="41">
        <v>11676.02</v>
      </c>
      <c r="DH23" s="41">
        <v>39123.94000000001</v>
      </c>
      <c r="DI23" s="41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81</v>
      </c>
      <c r="FH23">
        <v>455.93</v>
      </c>
      <c r="FK23">
        <v>14372.61</v>
      </c>
      <c r="FM23">
        <v>33.869999999999997</v>
      </c>
      <c r="FN23" t="s">
        <v>81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8" x14ac:dyDescent="0.2">
      <c r="A24" s="11" t="s">
        <v>57</v>
      </c>
      <c r="B24" s="11" t="s">
        <v>34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40" t="s">
        <v>57</v>
      </c>
      <c r="O24" s="40" t="s">
        <v>34</v>
      </c>
      <c r="P24" s="41">
        <v>2</v>
      </c>
      <c r="Q24" s="41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41">
        <v>160.59</v>
      </c>
      <c r="BI24" s="41">
        <v>36.370000000000005</v>
      </c>
      <c r="BJ24" s="41">
        <v>387.24</v>
      </c>
      <c r="BK24" s="41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81</v>
      </c>
      <c r="BV24" s="16" t="s">
        <v>81</v>
      </c>
      <c r="BW24" s="16" t="s">
        <v>81</v>
      </c>
      <c r="BX24" s="16" t="s">
        <v>81</v>
      </c>
      <c r="BY24" s="16">
        <v>0</v>
      </c>
      <c r="BZ24" s="16">
        <v>0</v>
      </c>
      <c r="CA24" s="16">
        <v>0</v>
      </c>
      <c r="CB24" s="16">
        <v>0</v>
      </c>
      <c r="DE24" s="40" t="s">
        <v>100</v>
      </c>
      <c r="DF24" s="41">
        <v>1299.27</v>
      </c>
      <c r="DG24" s="41">
        <v>1025.8700000000001</v>
      </c>
      <c r="DH24" s="41">
        <v>5545.83</v>
      </c>
      <c r="DI24" s="41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81</v>
      </c>
      <c r="FK24">
        <v>114.67</v>
      </c>
      <c r="FN24" t="s">
        <v>81</v>
      </c>
      <c r="FX24">
        <v>114.67</v>
      </c>
    </row>
    <row r="25" spans="1:183" ht="128" x14ac:dyDescent="0.2">
      <c r="A25" s="11" t="s">
        <v>58</v>
      </c>
      <c r="B25" s="11" t="s">
        <v>34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40" t="s">
        <v>58</v>
      </c>
      <c r="O25" s="40" t="s">
        <v>34</v>
      </c>
      <c r="P25" s="41">
        <v>44</v>
      </c>
      <c r="Q25" s="41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41">
        <v>5285.3900000000012</v>
      </c>
      <c r="BI25" s="41">
        <v>4040.8799999999997</v>
      </c>
      <c r="BJ25" s="41">
        <v>15907.32</v>
      </c>
      <c r="BK25" s="41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DE25" s="40" t="s">
        <v>120</v>
      </c>
      <c r="DF25" s="41">
        <v>5521.0199999999995</v>
      </c>
      <c r="DG25" s="41">
        <v>1812.8700000000001</v>
      </c>
      <c r="DH25" s="41">
        <v>2895.75</v>
      </c>
      <c r="DI25" s="41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81</v>
      </c>
      <c r="FJ25">
        <v>3182.72</v>
      </c>
      <c r="FM25">
        <v>26.57</v>
      </c>
      <c r="FN25" t="s">
        <v>81</v>
      </c>
      <c r="FZ25">
        <v>26.57</v>
      </c>
    </row>
    <row r="26" spans="1:183" ht="128" x14ac:dyDescent="0.2">
      <c r="A26" s="11" t="s">
        <v>60</v>
      </c>
      <c r="B26" s="11" t="s">
        <v>34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40" t="s">
        <v>60</v>
      </c>
      <c r="O26" s="40" t="s">
        <v>34</v>
      </c>
      <c r="P26" s="41">
        <v>23</v>
      </c>
      <c r="Q26" s="41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41">
        <v>5784.1900000000005</v>
      </c>
      <c r="BI26" s="41">
        <v>448.75000000000006</v>
      </c>
      <c r="BJ26" s="41">
        <v>2129.83</v>
      </c>
      <c r="BK26" s="41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DE26" s="40" t="s">
        <v>101</v>
      </c>
      <c r="DF26" s="41">
        <v>13674.169999999998</v>
      </c>
      <c r="DG26" s="41">
        <v>15772.749999999987</v>
      </c>
      <c r="DH26" s="41">
        <v>59150.75</v>
      </c>
      <c r="DI26" s="41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81</v>
      </c>
      <c r="FK26">
        <v>94.92</v>
      </c>
      <c r="FN26" t="s">
        <v>81</v>
      </c>
    </row>
    <row r="27" spans="1:183" ht="128" x14ac:dyDescent="0.2">
      <c r="A27" s="11" t="s">
        <v>61</v>
      </c>
      <c r="B27" s="11" t="s">
        <v>34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40" t="s">
        <v>61</v>
      </c>
      <c r="O27" s="40" t="s">
        <v>34</v>
      </c>
      <c r="P27" s="41">
        <v>6</v>
      </c>
      <c r="Q27" s="41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41">
        <v>1043.24</v>
      </c>
      <c r="BI27" s="41">
        <v>494.91999999999996</v>
      </c>
      <c r="BJ27" s="41">
        <v>1202.6300000000001</v>
      </c>
      <c r="BK27" s="41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DE27" s="40" t="s">
        <v>112</v>
      </c>
      <c r="DF27" s="41">
        <v>11.85</v>
      </c>
      <c r="DG27" s="41">
        <v>30.46</v>
      </c>
      <c r="DH27" s="41">
        <v>572.58000000000004</v>
      </c>
      <c r="DI27" s="41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81</v>
      </c>
      <c r="FH27">
        <v>31.15</v>
      </c>
      <c r="FN27" t="s">
        <v>81</v>
      </c>
    </row>
    <row r="28" spans="1:183" ht="128" x14ac:dyDescent="0.2">
      <c r="A28" s="11" t="s">
        <v>62</v>
      </c>
      <c r="B28" s="11" t="s">
        <v>34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40" t="s">
        <v>62</v>
      </c>
      <c r="O28" s="40" t="s">
        <v>34</v>
      </c>
      <c r="P28" s="41">
        <v>35</v>
      </c>
      <c r="Q28" s="41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41">
        <v>5481.9100000000008</v>
      </c>
      <c r="BI28" s="41">
        <v>1862.22</v>
      </c>
      <c r="BJ28" s="41">
        <v>10156.710000000001</v>
      </c>
      <c r="BK28" s="41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DE28" s="40" t="s">
        <v>106</v>
      </c>
      <c r="DF28" s="41">
        <v>24784.839999999982</v>
      </c>
      <c r="DG28" s="41">
        <v>22097.41</v>
      </c>
      <c r="DH28" s="41">
        <v>122968.34999999995</v>
      </c>
      <c r="DI28" s="41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81</v>
      </c>
      <c r="FJ28">
        <v>81.48</v>
      </c>
      <c r="FN28" t="s">
        <v>81</v>
      </c>
      <c r="FW28">
        <v>81.48</v>
      </c>
    </row>
    <row r="29" spans="1:183" ht="128" x14ac:dyDescent="0.2">
      <c r="A29" s="11" t="s">
        <v>63</v>
      </c>
      <c r="B29" s="11" t="s">
        <v>34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40" t="s">
        <v>63</v>
      </c>
      <c r="O29" s="40" t="s">
        <v>34</v>
      </c>
      <c r="P29" s="41">
        <v>3</v>
      </c>
      <c r="Q29" s="41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41">
        <v>451.25</v>
      </c>
      <c r="BI29" s="41">
        <v>70.34</v>
      </c>
      <c r="BJ29" s="41">
        <v>887.13</v>
      </c>
      <c r="BK29" s="41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81</v>
      </c>
      <c r="BV29" s="16" t="s">
        <v>81</v>
      </c>
      <c r="BW29" s="16" t="s">
        <v>81</v>
      </c>
      <c r="BX29" s="16" t="s">
        <v>81</v>
      </c>
      <c r="BY29" s="16" t="s">
        <v>81</v>
      </c>
      <c r="BZ29" s="16" t="s">
        <v>81</v>
      </c>
      <c r="CA29" s="16" t="s">
        <v>81</v>
      </c>
      <c r="CB29" s="16" t="s">
        <v>81</v>
      </c>
      <c r="DE29" s="40" t="s">
        <v>144</v>
      </c>
      <c r="DF29" s="41">
        <v>21.15</v>
      </c>
      <c r="DG29" s="41">
        <v>16.34</v>
      </c>
      <c r="DH29" s="41">
        <v>387.24</v>
      </c>
      <c r="DI29" s="41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81</v>
      </c>
      <c r="EV29" t="s">
        <v>81</v>
      </c>
      <c r="EW29" t="s">
        <v>81</v>
      </c>
      <c r="EX29" t="s">
        <v>81</v>
      </c>
      <c r="EY29" t="s">
        <v>81</v>
      </c>
      <c r="EZ29" t="s">
        <v>81</v>
      </c>
      <c r="FA29" t="s">
        <v>81</v>
      </c>
      <c r="FB29" t="s">
        <v>81</v>
      </c>
      <c r="FC29" t="s">
        <v>81</v>
      </c>
      <c r="FH29" t="s">
        <v>81</v>
      </c>
      <c r="FI29" t="s">
        <v>81</v>
      </c>
      <c r="FJ29" t="s">
        <v>81</v>
      </c>
      <c r="FK29" t="s">
        <v>81</v>
      </c>
      <c r="FL29" t="s">
        <v>81</v>
      </c>
      <c r="FM29" t="s">
        <v>81</v>
      </c>
      <c r="FN29" t="s">
        <v>81</v>
      </c>
      <c r="FO29" t="s">
        <v>81</v>
      </c>
      <c r="FP29" t="s">
        <v>81</v>
      </c>
    </row>
    <row r="30" spans="1:183" ht="128" x14ac:dyDescent="0.2">
      <c r="A30" s="11" t="s">
        <v>64</v>
      </c>
      <c r="B30" s="11" t="s">
        <v>34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40" t="s">
        <v>64</v>
      </c>
      <c r="O30" s="40" t="s">
        <v>34</v>
      </c>
      <c r="P30" s="41">
        <v>20</v>
      </c>
      <c r="Q30" s="41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41">
        <v>4482.67</v>
      </c>
      <c r="BI30" s="41">
        <v>2876.9699999999993</v>
      </c>
      <c r="BJ30" s="41">
        <v>4566.1499999999996</v>
      </c>
      <c r="BK30" s="41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40" t="s">
        <v>110</v>
      </c>
      <c r="DF30" s="41">
        <v>3313.2099999999991</v>
      </c>
      <c r="DG30" s="41">
        <v>3300.9</v>
      </c>
      <c r="DH30" s="41">
        <v>14162.14</v>
      </c>
      <c r="DI30" s="41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81</v>
      </c>
      <c r="FJ30">
        <v>277.39999999999998</v>
      </c>
      <c r="FK30">
        <v>3.48</v>
      </c>
      <c r="FL30">
        <v>79.25</v>
      </c>
      <c r="FN30" t="s">
        <v>81</v>
      </c>
      <c r="FY30">
        <v>26.79</v>
      </c>
    </row>
    <row r="31" spans="1:183" ht="128" x14ac:dyDescent="0.2">
      <c r="A31" s="11" t="s">
        <v>65</v>
      </c>
      <c r="B31" s="11" t="s">
        <v>34</v>
      </c>
      <c r="C31" s="11" t="str">
        <f t="shared" si="0"/>
        <v>99348COM</v>
      </c>
      <c r="D31" s="12"/>
      <c r="E31" s="12">
        <v>1</v>
      </c>
      <c r="F31" s="12" t="s">
        <v>81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40" t="s">
        <v>65</v>
      </c>
      <c r="O31" s="40" t="s">
        <v>34</v>
      </c>
      <c r="P31" s="41">
        <v>5</v>
      </c>
      <c r="Q31" s="41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81</v>
      </c>
      <c r="AC31" s="16" t="s">
        <v>81</v>
      </c>
      <c r="AD31" s="16" t="s">
        <v>81</v>
      </c>
      <c r="AE31" s="16" t="s">
        <v>81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41">
        <v>933.02</v>
      </c>
      <c r="BI31" s="41">
        <v>92.77</v>
      </c>
      <c r="BJ31" s="41">
        <v>22.74</v>
      </c>
      <c r="BK31" s="41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DE31" s="40" t="s">
        <v>92</v>
      </c>
      <c r="DF31" s="41">
        <v>3073.8500000000013</v>
      </c>
      <c r="DG31" s="41">
        <v>2659.95</v>
      </c>
      <c r="DH31" s="41">
        <v>7513.4299999999994</v>
      </c>
      <c r="DI31" s="41">
        <v>13247.229999999998</v>
      </c>
      <c r="DT31" s="29">
        <v>3.2471254795516451</v>
      </c>
      <c r="DU31" s="29" t="s">
        <v>81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81</v>
      </c>
      <c r="EV31" t="s">
        <v>81</v>
      </c>
      <c r="EW31" t="s">
        <v>81</v>
      </c>
      <c r="EX31" t="s">
        <v>81</v>
      </c>
      <c r="EY31" t="s">
        <v>81</v>
      </c>
      <c r="EZ31" t="s">
        <v>81</v>
      </c>
      <c r="FA31" t="s">
        <v>81</v>
      </c>
      <c r="FB31" t="s">
        <v>81</v>
      </c>
      <c r="FC31" t="s">
        <v>81</v>
      </c>
      <c r="FH31" t="s">
        <v>81</v>
      </c>
      <c r="FI31" t="s">
        <v>81</v>
      </c>
      <c r="FJ31" t="s">
        <v>81</v>
      </c>
      <c r="FK31" t="s">
        <v>81</v>
      </c>
      <c r="FL31" t="s">
        <v>81</v>
      </c>
      <c r="FM31" t="s">
        <v>81</v>
      </c>
      <c r="FN31" t="s">
        <v>81</v>
      </c>
      <c r="FO31" t="s">
        <v>81</v>
      </c>
      <c r="FP31" t="s">
        <v>81</v>
      </c>
    </row>
    <row r="32" spans="1:183" ht="128" x14ac:dyDescent="0.2">
      <c r="A32" s="11" t="s">
        <v>67</v>
      </c>
      <c r="B32" s="11" t="s">
        <v>34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40" t="s">
        <v>67</v>
      </c>
      <c r="O32" s="40" t="s">
        <v>34</v>
      </c>
      <c r="P32" s="41">
        <v>7</v>
      </c>
      <c r="Q32" s="41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41">
        <v>628.27</v>
      </c>
      <c r="BI32" s="41">
        <v>1279.31</v>
      </c>
      <c r="BJ32" s="41">
        <v>9536.61</v>
      </c>
      <c r="BK32" s="41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DE32" s="40" t="s">
        <v>114</v>
      </c>
      <c r="DF32" s="41">
        <v>321.5</v>
      </c>
      <c r="DG32" s="41">
        <v>292.02999999999997</v>
      </c>
      <c r="DH32" s="41">
        <v>1811.97</v>
      </c>
      <c r="DI32" s="41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81</v>
      </c>
      <c r="EV32" t="s">
        <v>81</v>
      </c>
      <c r="EW32" t="s">
        <v>81</v>
      </c>
      <c r="EX32" t="s">
        <v>81</v>
      </c>
      <c r="EY32" t="s">
        <v>81</v>
      </c>
      <c r="EZ32" t="s">
        <v>81</v>
      </c>
      <c r="FA32" t="s">
        <v>81</v>
      </c>
      <c r="FB32" t="s">
        <v>81</v>
      </c>
      <c r="FC32" t="s">
        <v>81</v>
      </c>
      <c r="FH32" t="s">
        <v>81</v>
      </c>
      <c r="FI32" t="s">
        <v>81</v>
      </c>
      <c r="FJ32" t="s">
        <v>81</v>
      </c>
      <c r="FK32" t="s">
        <v>81</v>
      </c>
      <c r="FL32" t="s">
        <v>81</v>
      </c>
      <c r="FM32" t="s">
        <v>81</v>
      </c>
      <c r="FN32" t="s">
        <v>81</v>
      </c>
      <c r="FO32" t="s">
        <v>81</v>
      </c>
      <c r="FP32" t="s">
        <v>81</v>
      </c>
    </row>
    <row r="33" spans="1:183" ht="128" x14ac:dyDescent="0.2">
      <c r="A33" s="11" t="s">
        <v>68</v>
      </c>
      <c r="B33" s="11" t="s">
        <v>34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40" t="s">
        <v>68</v>
      </c>
      <c r="O33" s="40" t="s">
        <v>34</v>
      </c>
      <c r="P33" s="41">
        <v>25</v>
      </c>
      <c r="Q33" s="41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41">
        <v>1590.7599999999998</v>
      </c>
      <c r="BI33" s="41">
        <v>1164.69</v>
      </c>
      <c r="BJ33" s="41">
        <v>3559.27</v>
      </c>
      <c r="BK33" s="41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81</v>
      </c>
      <c r="BV33" s="16" t="s">
        <v>81</v>
      </c>
      <c r="BW33" s="16" t="s">
        <v>81</v>
      </c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DE33" s="40" t="s">
        <v>108</v>
      </c>
      <c r="DF33" s="41">
        <v>3343.1100000000015</v>
      </c>
      <c r="DG33" s="41">
        <v>3032.6699999999996</v>
      </c>
      <c r="DH33" s="41">
        <v>9874.6900000000023</v>
      </c>
      <c r="DI33" s="41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81</v>
      </c>
      <c r="FH33">
        <v>389.95</v>
      </c>
      <c r="FN33" t="s">
        <v>81</v>
      </c>
    </row>
    <row r="34" spans="1:183" ht="128" x14ac:dyDescent="0.2">
      <c r="A34" s="11" t="s">
        <v>69</v>
      </c>
      <c r="B34" s="11" t="s">
        <v>34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40" t="s">
        <v>69</v>
      </c>
      <c r="O34" s="40" t="s">
        <v>34</v>
      </c>
      <c r="P34" s="41">
        <v>118</v>
      </c>
      <c r="Q34" s="41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41">
        <v>24886.09999999998</v>
      </c>
      <c r="BI34" s="41">
        <v>14047.86</v>
      </c>
      <c r="BJ34" s="41">
        <v>40116.249999999993</v>
      </c>
      <c r="BK34" s="41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40" t="s">
        <v>102</v>
      </c>
      <c r="DF34" s="41">
        <v>2586.0399999999995</v>
      </c>
      <c r="DG34" s="41">
        <v>2719.25</v>
      </c>
      <c r="DH34" s="41">
        <v>12033.329999999998</v>
      </c>
      <c r="DI34" s="41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81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81</v>
      </c>
      <c r="FW34">
        <v>237.12</v>
      </c>
      <c r="FX34">
        <v>387.67</v>
      </c>
      <c r="GA34">
        <v>340.63</v>
      </c>
    </row>
    <row r="35" spans="1:183" ht="128" x14ac:dyDescent="0.2">
      <c r="A35" s="11" t="s">
        <v>70</v>
      </c>
      <c r="B35" s="11" t="s">
        <v>34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81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40" t="s">
        <v>70</v>
      </c>
      <c r="O35" s="40" t="s">
        <v>34</v>
      </c>
      <c r="P35" s="41">
        <v>3</v>
      </c>
      <c r="Q35" s="41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81</v>
      </c>
      <c r="AG35" s="16" t="s">
        <v>81</v>
      </c>
      <c r="AH35" s="16" t="s">
        <v>81</v>
      </c>
      <c r="AI35" s="16" t="s">
        <v>81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41">
        <v>181.19</v>
      </c>
      <c r="BI35" s="41">
        <v>41.84</v>
      </c>
      <c r="BJ35" s="41">
        <v>93.05</v>
      </c>
      <c r="BK35" s="41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DE35" s="40" t="s">
        <v>180</v>
      </c>
      <c r="DF35" s="41">
        <v>0</v>
      </c>
      <c r="DG35" s="41">
        <v>0</v>
      </c>
      <c r="DH35" s="41">
        <v>0</v>
      </c>
      <c r="DI35" s="41">
        <v>0</v>
      </c>
      <c r="DT35" s="29">
        <v>1.70644354054814</v>
      </c>
      <c r="DU35" s="29">
        <v>9.1206254372381377</v>
      </c>
      <c r="DV35" s="29" t="s">
        <v>81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81</v>
      </c>
      <c r="EV35" t="s">
        <v>81</v>
      </c>
      <c r="EW35" t="s">
        <v>81</v>
      </c>
      <c r="EX35" t="s">
        <v>81</v>
      </c>
      <c r="EY35" t="s">
        <v>81</v>
      </c>
      <c r="EZ35" t="s">
        <v>81</v>
      </c>
      <c r="FA35" t="s">
        <v>81</v>
      </c>
      <c r="FB35" t="s">
        <v>81</v>
      </c>
      <c r="FC35" t="s">
        <v>81</v>
      </c>
      <c r="FH35" t="s">
        <v>81</v>
      </c>
      <c r="FI35" t="s">
        <v>81</v>
      </c>
      <c r="FJ35" t="s">
        <v>81</v>
      </c>
      <c r="FK35" t="s">
        <v>81</v>
      </c>
      <c r="FL35" t="s">
        <v>81</v>
      </c>
      <c r="FM35" t="s">
        <v>81</v>
      </c>
      <c r="FN35" t="s">
        <v>81</v>
      </c>
      <c r="FO35" t="s">
        <v>81</v>
      </c>
      <c r="FP35" t="s">
        <v>81</v>
      </c>
    </row>
    <row r="36" spans="1:183" ht="128" x14ac:dyDescent="0.2">
      <c r="A36" s="11" t="s">
        <v>76</v>
      </c>
      <c r="B36" s="11" t="s">
        <v>75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81</v>
      </c>
      <c r="J36" s="12">
        <v>2</v>
      </c>
      <c r="K36" s="12">
        <v>3</v>
      </c>
      <c r="L36" s="12">
        <v>3</v>
      </c>
      <c r="M36" s="12">
        <v>2</v>
      </c>
      <c r="N36" s="40" t="s">
        <v>76</v>
      </c>
      <c r="O36" s="40" t="s">
        <v>75</v>
      </c>
      <c r="P36" s="41">
        <v>2</v>
      </c>
      <c r="Q36" s="41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81</v>
      </c>
      <c r="AO36" s="16" t="s">
        <v>81</v>
      </c>
      <c r="AP36" s="16" t="s">
        <v>81</v>
      </c>
      <c r="AQ36" s="16" t="s">
        <v>81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41">
        <v>260</v>
      </c>
      <c r="BI36" s="41">
        <v>131.72999999999999</v>
      </c>
      <c r="BJ36" s="41">
        <v>174.31</v>
      </c>
      <c r="BK36" s="41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81</v>
      </c>
      <c r="BV36" s="16" t="s">
        <v>81</v>
      </c>
      <c r="BW36" s="16" t="s">
        <v>81</v>
      </c>
      <c r="BX36" s="16" t="s">
        <v>81</v>
      </c>
      <c r="BY36" s="16" t="s">
        <v>81</v>
      </c>
      <c r="BZ36" s="16" t="s">
        <v>81</v>
      </c>
      <c r="CA36" s="16" t="s">
        <v>81</v>
      </c>
      <c r="CB36" s="16" t="s">
        <v>81</v>
      </c>
      <c r="DE36" s="40" t="s">
        <v>121</v>
      </c>
      <c r="DF36" s="41">
        <v>100.28</v>
      </c>
      <c r="DG36" s="41">
        <v>0</v>
      </c>
      <c r="DH36" s="41">
        <v>0</v>
      </c>
      <c r="DI36" s="41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81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81</v>
      </c>
      <c r="EV36" t="s">
        <v>81</v>
      </c>
      <c r="EW36" t="s">
        <v>81</v>
      </c>
      <c r="EX36" t="s">
        <v>81</v>
      </c>
      <c r="EY36" t="s">
        <v>81</v>
      </c>
      <c r="EZ36" t="s">
        <v>81</v>
      </c>
      <c r="FA36" t="s">
        <v>81</v>
      </c>
      <c r="FB36" t="s">
        <v>81</v>
      </c>
      <c r="FC36" t="s">
        <v>81</v>
      </c>
      <c r="FH36" t="s">
        <v>81</v>
      </c>
      <c r="FI36" t="s">
        <v>81</v>
      </c>
      <c r="FJ36" t="s">
        <v>81</v>
      </c>
      <c r="FK36" t="s">
        <v>81</v>
      </c>
      <c r="FL36" t="s">
        <v>81</v>
      </c>
      <c r="FM36" t="s">
        <v>81</v>
      </c>
      <c r="FN36" t="s">
        <v>81</v>
      </c>
      <c r="FO36" t="s">
        <v>81</v>
      </c>
      <c r="FP36" t="s">
        <v>81</v>
      </c>
    </row>
    <row r="37" spans="1:183" ht="128" x14ac:dyDescent="0.2">
      <c r="A37" s="11" t="s">
        <v>35</v>
      </c>
      <c r="B37" s="11" t="s">
        <v>75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40" t="s">
        <v>35</v>
      </c>
      <c r="O37" s="40" t="s">
        <v>75</v>
      </c>
      <c r="P37" s="41">
        <v>2175</v>
      </c>
      <c r="Q37" s="41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41">
        <v>173009.97000000018</v>
      </c>
      <c r="BI37" s="41">
        <v>120016.05000000012</v>
      </c>
      <c r="BJ37" s="41">
        <v>472644.39999999944</v>
      </c>
      <c r="BK37" s="41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40" t="s">
        <v>109</v>
      </c>
      <c r="DF37" s="41">
        <v>909.50999999999988</v>
      </c>
      <c r="DG37" s="41">
        <v>696.19999999999993</v>
      </c>
      <c r="DH37" s="41">
        <v>4127.8499999999995</v>
      </c>
      <c r="DI37" s="41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81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81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8" x14ac:dyDescent="0.2">
      <c r="A38" s="11" t="s">
        <v>36</v>
      </c>
      <c r="B38" s="11" t="s">
        <v>75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40" t="s">
        <v>36</v>
      </c>
      <c r="O38" s="40" t="s">
        <v>75</v>
      </c>
      <c r="P38" s="41">
        <v>3905</v>
      </c>
      <c r="Q38" s="41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41">
        <v>264470.8000000001</v>
      </c>
      <c r="BI38" s="41">
        <v>227282.79000000012</v>
      </c>
      <c r="BJ38" s="41">
        <v>612103.08999999939</v>
      </c>
      <c r="BK38" s="41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40" t="s">
        <v>113</v>
      </c>
      <c r="DF38" s="41">
        <v>364.08</v>
      </c>
      <c r="DG38" s="41">
        <v>286.29000000000002</v>
      </c>
      <c r="DH38" s="41">
        <v>833.92000000000007</v>
      </c>
      <c r="DI38" s="41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81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81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8" x14ac:dyDescent="0.2">
      <c r="A39" s="11" t="s">
        <v>37</v>
      </c>
      <c r="B39" s="11" t="s">
        <v>75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40" t="s">
        <v>37</v>
      </c>
      <c r="O39" s="40" t="s">
        <v>75</v>
      </c>
      <c r="P39" s="41">
        <v>1321</v>
      </c>
      <c r="Q39" s="41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41">
        <v>121861.70000000019</v>
      </c>
      <c r="BI39" s="41">
        <v>75724.840000000055</v>
      </c>
      <c r="BJ39" s="41">
        <v>295072.0999999998</v>
      </c>
      <c r="BK39" s="41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40" t="s">
        <v>122</v>
      </c>
      <c r="DF39" s="41">
        <v>98.27</v>
      </c>
      <c r="DG39" s="41">
        <v>85.99</v>
      </c>
      <c r="DH39" s="41">
        <v>32.4</v>
      </c>
      <c r="DI39" s="41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81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81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8" x14ac:dyDescent="0.2">
      <c r="A40" s="11" t="s">
        <v>40</v>
      </c>
      <c r="B40" s="11" t="s">
        <v>75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40" t="s">
        <v>40</v>
      </c>
      <c r="O40" s="40" t="s">
        <v>75</v>
      </c>
      <c r="P40" s="41">
        <v>2921</v>
      </c>
      <c r="Q40" s="41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41">
        <v>261621.40999999986</v>
      </c>
      <c r="BI40" s="41">
        <v>157946.06000000041</v>
      </c>
      <c r="BJ40" s="41">
        <v>377925.71999999968</v>
      </c>
      <c r="BK40" s="41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40" t="s">
        <v>123</v>
      </c>
      <c r="DF40" s="41">
        <v>0</v>
      </c>
      <c r="DG40" s="41">
        <v>0</v>
      </c>
      <c r="DH40" s="41">
        <v>0</v>
      </c>
      <c r="DI40" s="41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81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81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8" x14ac:dyDescent="0.2">
      <c r="A41" s="11" t="s">
        <v>41</v>
      </c>
      <c r="B41" s="11" t="s">
        <v>75</v>
      </c>
      <c r="C41" s="11" t="str">
        <f t="shared" si="0"/>
        <v>98920RES</v>
      </c>
      <c r="D41" s="12"/>
      <c r="E41" s="12">
        <v>1</v>
      </c>
      <c r="F41" s="12" t="s">
        <v>81</v>
      </c>
      <c r="G41" s="12">
        <v>1</v>
      </c>
      <c r="H41" s="12">
        <v>1</v>
      </c>
      <c r="I41" s="12">
        <v>1</v>
      </c>
      <c r="J41" s="12" t="s">
        <v>81</v>
      </c>
      <c r="K41" s="12" t="s">
        <v>81</v>
      </c>
      <c r="L41" s="12" t="s">
        <v>81</v>
      </c>
      <c r="M41" s="12">
        <v>1</v>
      </c>
      <c r="N41" s="40" t="s">
        <v>41</v>
      </c>
      <c r="O41" s="40" t="s">
        <v>75</v>
      </c>
      <c r="P41" s="41">
        <v>1</v>
      </c>
      <c r="Q41" s="41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81</v>
      </c>
      <c r="AC41" s="16" t="s">
        <v>81</v>
      </c>
      <c r="AD41" s="16" t="s">
        <v>81</v>
      </c>
      <c r="AE41" s="16" t="s">
        <v>81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81</v>
      </c>
      <c r="AS41" s="16" t="s">
        <v>81</v>
      </c>
      <c r="AT41" s="16" t="s">
        <v>81</v>
      </c>
      <c r="AU41" s="16" t="s">
        <v>81</v>
      </c>
      <c r="AV41" s="16" t="s">
        <v>81</v>
      </c>
      <c r="AW41" s="16" t="s">
        <v>81</v>
      </c>
      <c r="AX41" s="16" t="s">
        <v>81</v>
      </c>
      <c r="AY41" s="16" t="s">
        <v>81</v>
      </c>
      <c r="AZ41" s="16" t="s">
        <v>81</v>
      </c>
      <c r="BA41" s="16" t="s">
        <v>81</v>
      </c>
      <c r="BB41" s="16" t="s">
        <v>81</v>
      </c>
      <c r="BC41" s="16" t="s">
        <v>81</v>
      </c>
      <c r="BD41" s="16">
        <v>39.25</v>
      </c>
      <c r="BE41" s="16">
        <v>0</v>
      </c>
      <c r="BF41" s="16">
        <v>0</v>
      </c>
      <c r="BG41" s="16">
        <v>39.25</v>
      </c>
      <c r="BH41" s="41">
        <v>119.07</v>
      </c>
      <c r="BI41" s="41">
        <v>39.25</v>
      </c>
      <c r="BJ41" s="41">
        <v>0</v>
      </c>
      <c r="BK41" s="41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81</v>
      </c>
      <c r="BV41" s="16" t="s">
        <v>81</v>
      </c>
      <c r="BW41" s="16" t="s">
        <v>81</v>
      </c>
      <c r="BX41" s="16" t="s">
        <v>81</v>
      </c>
      <c r="BY41" s="16" t="s">
        <v>81</v>
      </c>
      <c r="BZ41" s="16" t="s">
        <v>81</v>
      </c>
      <c r="CA41" s="16" t="s">
        <v>81</v>
      </c>
      <c r="CB41" s="16" t="s">
        <v>81</v>
      </c>
      <c r="DE41" s="40" t="s">
        <v>103</v>
      </c>
      <c r="DF41" s="41">
        <v>598.66999999999996</v>
      </c>
      <c r="DG41" s="41">
        <v>560.13</v>
      </c>
      <c r="DH41" s="41">
        <v>2336.71</v>
      </c>
      <c r="DI41" s="41">
        <v>3495.5099999999998</v>
      </c>
      <c r="DT41" s="29">
        <v>2.5054817315382576</v>
      </c>
      <c r="DU41" s="29" t="s">
        <v>81</v>
      </c>
      <c r="DV41" s="29">
        <v>3.5739082688888573</v>
      </c>
      <c r="DW41" s="29">
        <v>0.42334498716444985</v>
      </c>
      <c r="DX41" s="29">
        <v>3.5938032635757873</v>
      </c>
      <c r="DY41" s="29" t="s">
        <v>81</v>
      </c>
      <c r="DZ41" s="29" t="s">
        <v>81</v>
      </c>
      <c r="EA41" s="29" t="s">
        <v>81</v>
      </c>
      <c r="EB41" s="29">
        <v>0.94079763609928357</v>
      </c>
      <c r="EC41" s="29"/>
      <c r="ED41" s="29"/>
      <c r="EE41" s="29"/>
      <c r="EU41" t="s">
        <v>81</v>
      </c>
      <c r="EV41" t="s">
        <v>81</v>
      </c>
      <c r="EW41" t="s">
        <v>81</v>
      </c>
      <c r="EX41" t="s">
        <v>81</v>
      </c>
      <c r="EY41" t="s">
        <v>81</v>
      </c>
      <c r="EZ41" t="s">
        <v>81</v>
      </c>
      <c r="FA41" t="s">
        <v>81</v>
      </c>
      <c r="FB41" t="s">
        <v>81</v>
      </c>
      <c r="FC41" t="s">
        <v>81</v>
      </c>
      <c r="FH41" t="s">
        <v>81</v>
      </c>
      <c r="FI41" t="s">
        <v>81</v>
      </c>
      <c r="FJ41" t="s">
        <v>81</v>
      </c>
      <c r="FK41" t="s">
        <v>81</v>
      </c>
      <c r="FL41" t="s">
        <v>81</v>
      </c>
      <c r="FM41" t="s">
        <v>81</v>
      </c>
      <c r="FN41" t="s">
        <v>81</v>
      </c>
      <c r="FO41" t="s">
        <v>81</v>
      </c>
      <c r="FP41" t="s">
        <v>81</v>
      </c>
    </row>
    <row r="42" spans="1:183" ht="128" x14ac:dyDescent="0.2">
      <c r="A42" s="11" t="s">
        <v>42</v>
      </c>
      <c r="B42" s="11" t="s">
        <v>75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40" t="s">
        <v>42</v>
      </c>
      <c r="O42" s="40" t="s">
        <v>75</v>
      </c>
      <c r="P42" s="41">
        <v>75</v>
      </c>
      <c r="Q42" s="41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41">
        <v>5743.53</v>
      </c>
      <c r="BI42" s="41">
        <v>4468.13</v>
      </c>
      <c r="BJ42" s="41">
        <v>19485.400000000001</v>
      </c>
      <c r="BK42" s="41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40" t="s">
        <v>93</v>
      </c>
      <c r="DF42" s="41">
        <v>17012.839999999993</v>
      </c>
      <c r="DG42" s="41">
        <v>13924.579999999996</v>
      </c>
      <c r="DH42" s="41">
        <v>46583</v>
      </c>
      <c r="DI42" s="41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81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81</v>
      </c>
      <c r="FU42">
        <v>466.46</v>
      </c>
      <c r="FW42">
        <v>41.56</v>
      </c>
    </row>
    <row r="43" spans="1:183" ht="128" x14ac:dyDescent="0.2">
      <c r="A43" s="11" t="s">
        <v>43</v>
      </c>
      <c r="B43" s="11" t="s">
        <v>75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40" t="s">
        <v>43</v>
      </c>
      <c r="O43" s="40" t="s">
        <v>75</v>
      </c>
      <c r="P43" s="41">
        <v>95</v>
      </c>
      <c r="Q43" s="41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41">
        <v>9016.2199999999957</v>
      </c>
      <c r="BI43" s="41">
        <v>5033.8500000000004</v>
      </c>
      <c r="BJ43" s="41">
        <v>18347.989999999994</v>
      </c>
      <c r="BK43" s="41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40" t="s">
        <v>124</v>
      </c>
      <c r="DF43" s="41">
        <v>0</v>
      </c>
      <c r="DG43" s="41">
        <v>45.47</v>
      </c>
      <c r="DH43" s="41">
        <v>320.64</v>
      </c>
      <c r="DI43" s="41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81</v>
      </c>
      <c r="FH43">
        <v>230.84</v>
      </c>
      <c r="FI43">
        <v>405.04</v>
      </c>
      <c r="FJ43">
        <v>780.25</v>
      </c>
      <c r="FN43" t="s">
        <v>81</v>
      </c>
      <c r="FU43">
        <v>122.72999999999999</v>
      </c>
      <c r="FW43">
        <v>241.51</v>
      </c>
    </row>
    <row r="44" spans="1:183" ht="80" x14ac:dyDescent="0.2">
      <c r="A44" s="11" t="s">
        <v>44</v>
      </c>
      <c r="B44" s="11" t="s">
        <v>75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40" t="s">
        <v>44</v>
      </c>
      <c r="O44" s="40" t="s">
        <v>75</v>
      </c>
      <c r="P44" s="41">
        <v>750</v>
      </c>
      <c r="Q44" s="41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41">
        <v>63246.820000000116</v>
      </c>
      <c r="BI44" s="41">
        <v>42290.000000000015</v>
      </c>
      <c r="BJ44" s="41">
        <v>116444.84000000005</v>
      </c>
      <c r="BK44" s="41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81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81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80" x14ac:dyDescent="0.2">
      <c r="A45" s="11" t="s">
        <v>45</v>
      </c>
      <c r="B45" s="11" t="s">
        <v>75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40" t="s">
        <v>45</v>
      </c>
      <c r="O45" s="40" t="s">
        <v>75</v>
      </c>
      <c r="P45" s="41">
        <v>431</v>
      </c>
      <c r="Q45" s="41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41">
        <v>36094.179999999993</v>
      </c>
      <c r="BI45" s="41">
        <v>24363.160000000007</v>
      </c>
      <c r="BJ45" s="41">
        <v>76821.919999999998</v>
      </c>
      <c r="BK45" s="41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81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81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80" x14ac:dyDescent="0.2">
      <c r="A46" s="11" t="s">
        <v>46</v>
      </c>
      <c r="B46" s="11" t="s">
        <v>75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40" t="s">
        <v>46</v>
      </c>
      <c r="O46" s="40" t="s">
        <v>75</v>
      </c>
      <c r="P46" s="41">
        <v>56</v>
      </c>
      <c r="Q46" s="41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41">
        <v>4852.1999999999989</v>
      </c>
      <c r="BI46" s="41">
        <v>3341.85</v>
      </c>
      <c r="BJ46" s="41">
        <v>18024.710000000003</v>
      </c>
      <c r="BK46" s="41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81</v>
      </c>
      <c r="FH46">
        <v>34.19</v>
      </c>
      <c r="FI46">
        <v>1385.06</v>
      </c>
      <c r="FJ46">
        <v>3281.4500000000003</v>
      </c>
      <c r="FK46">
        <v>296.33</v>
      </c>
      <c r="FN46" t="s">
        <v>81</v>
      </c>
      <c r="FV46">
        <v>88.06</v>
      </c>
      <c r="FW46">
        <v>152.79</v>
      </c>
    </row>
    <row r="47" spans="1:183" ht="80" x14ac:dyDescent="0.2">
      <c r="A47" s="11" t="s">
        <v>47</v>
      </c>
      <c r="B47" s="11" t="s">
        <v>75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40" t="s">
        <v>47</v>
      </c>
      <c r="O47" s="40" t="s">
        <v>75</v>
      </c>
      <c r="P47" s="41">
        <v>176</v>
      </c>
      <c r="Q47" s="41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41">
        <v>17571.260000000002</v>
      </c>
      <c r="BI47" s="41">
        <v>11710.47</v>
      </c>
      <c r="BJ47" s="41">
        <v>44787.42000000002</v>
      </c>
      <c r="BK47" s="41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81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81</v>
      </c>
      <c r="FU47">
        <v>56.58</v>
      </c>
      <c r="FV47">
        <v>177.03</v>
      </c>
      <c r="FX47">
        <v>1729.27</v>
      </c>
    </row>
    <row r="48" spans="1:183" ht="80" x14ac:dyDescent="0.2">
      <c r="A48" s="11" t="s">
        <v>48</v>
      </c>
      <c r="B48" s="11" t="s">
        <v>75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40" t="s">
        <v>48</v>
      </c>
      <c r="O48" s="40" t="s">
        <v>75</v>
      </c>
      <c r="P48" s="41">
        <v>378</v>
      </c>
      <c r="Q48" s="41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41">
        <v>35199.9</v>
      </c>
      <c r="BI48" s="41">
        <v>25862.859999999997</v>
      </c>
      <c r="BJ48" s="41">
        <v>84227.139999999985</v>
      </c>
      <c r="BK48" s="41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81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81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80" x14ac:dyDescent="0.2">
      <c r="A49" s="11" t="s">
        <v>49</v>
      </c>
      <c r="B49" s="11" t="s">
        <v>75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40" t="s">
        <v>49</v>
      </c>
      <c r="O49" s="40" t="s">
        <v>75</v>
      </c>
      <c r="P49" s="41">
        <v>294</v>
      </c>
      <c r="Q49" s="41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41">
        <v>26791.099999999991</v>
      </c>
      <c r="BI49" s="41">
        <v>15535.700000000004</v>
      </c>
      <c r="BJ49" s="41">
        <v>44848.189999999995</v>
      </c>
      <c r="BK49" s="41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81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81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80" x14ac:dyDescent="0.2">
      <c r="A50" s="11" t="s">
        <v>50</v>
      </c>
      <c r="B50" s="11" t="s">
        <v>75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40" t="s">
        <v>50</v>
      </c>
      <c r="O50" s="40" t="s">
        <v>75</v>
      </c>
      <c r="P50" s="41">
        <v>143</v>
      </c>
      <c r="Q50" s="41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41">
        <v>16067.880000000001</v>
      </c>
      <c r="BI50" s="41">
        <v>11424.430000000004</v>
      </c>
      <c r="BJ50" s="41">
        <v>35348.89</v>
      </c>
      <c r="BK50" s="41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81</v>
      </c>
      <c r="FI50">
        <v>1733.5399999999997</v>
      </c>
      <c r="FJ50">
        <v>1209.95</v>
      </c>
      <c r="FK50">
        <v>8710.42</v>
      </c>
      <c r="FM50">
        <v>1260.28</v>
      </c>
      <c r="FN50" t="s">
        <v>81</v>
      </c>
      <c r="FV50">
        <v>50</v>
      </c>
      <c r="FW50">
        <v>363.01</v>
      </c>
      <c r="FX50">
        <v>44.62</v>
      </c>
    </row>
    <row r="51" spans="1:183" ht="80" x14ac:dyDescent="0.2">
      <c r="A51" s="11" t="s">
        <v>51</v>
      </c>
      <c r="B51" s="11" t="s">
        <v>75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40" t="s">
        <v>51</v>
      </c>
      <c r="O51" s="40" t="s">
        <v>75</v>
      </c>
      <c r="P51" s="41">
        <v>22</v>
      </c>
      <c r="Q51" s="41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41">
        <v>1968.9699999999998</v>
      </c>
      <c r="BI51" s="41">
        <v>1702.0099999999995</v>
      </c>
      <c r="BJ51" s="41">
        <v>8459.1999999999989</v>
      </c>
      <c r="BK51" s="41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81</v>
      </c>
      <c r="FH51">
        <v>122.07000000000001</v>
      </c>
      <c r="FJ51">
        <v>195.26</v>
      </c>
      <c r="FK51">
        <v>2230.98</v>
      </c>
      <c r="FN51" t="s">
        <v>81</v>
      </c>
      <c r="FU51">
        <v>73.540000000000006</v>
      </c>
    </row>
    <row r="52" spans="1:183" ht="80" x14ac:dyDescent="0.2">
      <c r="A52" s="11" t="s">
        <v>52</v>
      </c>
      <c r="B52" s="11" t="s">
        <v>75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40" t="s">
        <v>52</v>
      </c>
      <c r="O52" s="40" t="s">
        <v>75</v>
      </c>
      <c r="P52" s="41">
        <v>1298</v>
      </c>
      <c r="Q52" s="41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41">
        <v>133865.34999999983</v>
      </c>
      <c r="BI52" s="41">
        <v>77001.17</v>
      </c>
      <c r="BJ52" s="41">
        <v>220868.81000000011</v>
      </c>
      <c r="BK52" s="41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81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81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80" x14ac:dyDescent="0.2">
      <c r="A53" s="11" t="s">
        <v>53</v>
      </c>
      <c r="B53" s="11" t="s">
        <v>75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40" t="s">
        <v>53</v>
      </c>
      <c r="O53" s="40" t="s">
        <v>75</v>
      </c>
      <c r="P53" s="41">
        <v>1531</v>
      </c>
      <c r="Q53" s="41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41">
        <v>131978.7200000002</v>
      </c>
      <c r="BI53" s="41">
        <v>83626.530000000028</v>
      </c>
      <c r="BJ53" s="41">
        <v>212845.08000000013</v>
      </c>
      <c r="BK53" s="41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81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81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80" x14ac:dyDescent="0.2">
      <c r="A54" s="11" t="s">
        <v>54</v>
      </c>
      <c r="B54" s="11" t="s">
        <v>75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40" t="s">
        <v>54</v>
      </c>
      <c r="O54" s="40" t="s">
        <v>75</v>
      </c>
      <c r="P54" s="41">
        <v>236</v>
      </c>
      <c r="Q54" s="41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41">
        <v>21905.179999999993</v>
      </c>
      <c r="BI54" s="41">
        <v>13400.26</v>
      </c>
      <c r="BJ54" s="41">
        <v>50882.920000000013</v>
      </c>
      <c r="BK54" s="41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81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81</v>
      </c>
      <c r="FP54">
        <v>829.07</v>
      </c>
      <c r="FY54">
        <v>150.96</v>
      </c>
      <c r="GA54">
        <v>93.81</v>
      </c>
    </row>
    <row r="55" spans="1:183" ht="80" x14ac:dyDescent="0.2">
      <c r="A55" s="11" t="s">
        <v>55</v>
      </c>
      <c r="B55" s="11" t="s">
        <v>75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40" t="s">
        <v>55</v>
      </c>
      <c r="O55" s="40" t="s">
        <v>75</v>
      </c>
      <c r="P55" s="41">
        <v>743</v>
      </c>
      <c r="Q55" s="41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41">
        <v>50212.82</v>
      </c>
      <c r="BI55" s="41">
        <v>51196.250000000022</v>
      </c>
      <c r="BJ55" s="41">
        <v>165724.99</v>
      </c>
      <c r="BK55" s="41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81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81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80" x14ac:dyDescent="0.2">
      <c r="A56" s="11" t="s">
        <v>56</v>
      </c>
      <c r="B56" s="11" t="s">
        <v>75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40" t="s">
        <v>56</v>
      </c>
      <c r="O56" s="40" t="s">
        <v>75</v>
      </c>
      <c r="P56" s="41">
        <v>937</v>
      </c>
      <c r="Q56" s="41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41">
        <v>95958.779999999955</v>
      </c>
      <c r="BI56" s="41">
        <v>68658.09000000004</v>
      </c>
      <c r="BJ56" s="41">
        <v>254205.52999999971</v>
      </c>
      <c r="BK56" s="41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81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81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80" x14ac:dyDescent="0.2">
      <c r="A57" s="11" t="s">
        <v>57</v>
      </c>
      <c r="B57" s="11" t="s">
        <v>75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40" t="s">
        <v>57</v>
      </c>
      <c r="O57" s="40" t="s">
        <v>75</v>
      </c>
      <c r="P57" s="41">
        <v>70</v>
      </c>
      <c r="Q57" s="41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41">
        <v>6660.9400000000014</v>
      </c>
      <c r="BI57" s="41">
        <v>6039.68</v>
      </c>
      <c r="BJ57" s="41">
        <v>28627.86</v>
      </c>
      <c r="BK57" s="41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81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81</v>
      </c>
      <c r="FX57">
        <v>195.68</v>
      </c>
    </row>
    <row r="58" spans="1:183" ht="80" x14ac:dyDescent="0.2">
      <c r="A58" s="11" t="s">
        <v>58</v>
      </c>
      <c r="B58" s="11" t="s">
        <v>75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40" t="s">
        <v>58</v>
      </c>
      <c r="O58" s="40" t="s">
        <v>75</v>
      </c>
      <c r="P58" s="41">
        <v>531</v>
      </c>
      <c r="Q58" s="41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41">
        <v>51245.319999999927</v>
      </c>
      <c r="BI58" s="41">
        <v>33558.959999999999</v>
      </c>
      <c r="BJ58" s="41">
        <v>83869.059999999969</v>
      </c>
      <c r="BK58" s="41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81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81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80" x14ac:dyDescent="0.2">
      <c r="A59" s="11" t="s">
        <v>59</v>
      </c>
      <c r="B59" s="11" t="s">
        <v>75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40" t="s">
        <v>59</v>
      </c>
      <c r="O59" s="40" t="s">
        <v>75</v>
      </c>
      <c r="P59" s="41">
        <v>1</v>
      </c>
      <c r="Q59" s="41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41">
        <v>86.85</v>
      </c>
      <c r="BI59" s="41">
        <v>185.01</v>
      </c>
      <c r="BJ59" s="41">
        <v>679.43</v>
      </c>
      <c r="BK59" s="41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81</v>
      </c>
      <c r="BV59" s="16" t="s">
        <v>81</v>
      </c>
      <c r="BW59" s="16" t="s">
        <v>81</v>
      </c>
      <c r="BX59" s="16" t="s">
        <v>81</v>
      </c>
      <c r="BY59" s="16" t="s">
        <v>81</v>
      </c>
      <c r="BZ59" s="16" t="s">
        <v>81</v>
      </c>
      <c r="CA59" s="16" t="s">
        <v>81</v>
      </c>
      <c r="CB59" s="16" t="s">
        <v>81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81</v>
      </c>
      <c r="EV59" t="s">
        <v>81</v>
      </c>
      <c r="EW59" t="s">
        <v>81</v>
      </c>
      <c r="EX59" t="s">
        <v>81</v>
      </c>
      <c r="EY59" t="s">
        <v>81</v>
      </c>
      <c r="EZ59" t="s">
        <v>81</v>
      </c>
      <c r="FA59" t="s">
        <v>81</v>
      </c>
      <c r="FB59" t="s">
        <v>81</v>
      </c>
      <c r="FC59" t="s">
        <v>81</v>
      </c>
      <c r="FH59" t="s">
        <v>81</v>
      </c>
      <c r="FI59" t="s">
        <v>81</v>
      </c>
      <c r="FJ59" t="s">
        <v>81</v>
      </c>
      <c r="FK59" t="s">
        <v>81</v>
      </c>
      <c r="FL59" t="s">
        <v>81</v>
      </c>
      <c r="FM59" t="s">
        <v>81</v>
      </c>
      <c r="FN59" t="s">
        <v>81</v>
      </c>
      <c r="FO59" t="s">
        <v>81</v>
      </c>
      <c r="FP59" t="s">
        <v>81</v>
      </c>
    </row>
    <row r="60" spans="1:183" ht="80" x14ac:dyDescent="0.2">
      <c r="A60" s="11" t="s">
        <v>60</v>
      </c>
      <c r="B60" s="11" t="s">
        <v>75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40" t="s">
        <v>60</v>
      </c>
      <c r="O60" s="40" t="s">
        <v>75</v>
      </c>
      <c r="P60" s="41">
        <v>208</v>
      </c>
      <c r="Q60" s="41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41">
        <v>19575.720000000005</v>
      </c>
      <c r="BI60" s="41">
        <v>13228.749999999998</v>
      </c>
      <c r="BJ60" s="41">
        <v>24537.329999999994</v>
      </c>
      <c r="BK60" s="41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81</v>
      </c>
      <c r="FI60">
        <v>1427.21</v>
      </c>
      <c r="FK60">
        <v>4931.5600000000004</v>
      </c>
      <c r="FL60">
        <v>439.51</v>
      </c>
      <c r="FM60">
        <v>100</v>
      </c>
      <c r="FN60" t="s">
        <v>81</v>
      </c>
      <c r="FX60">
        <v>579.79999999999995</v>
      </c>
      <c r="FY60">
        <v>77.8</v>
      </c>
      <c r="FZ60">
        <v>100</v>
      </c>
    </row>
    <row r="61" spans="1:183" ht="80" x14ac:dyDescent="0.2">
      <c r="A61" s="11" t="s">
        <v>61</v>
      </c>
      <c r="B61" s="11" t="s">
        <v>75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40" t="s">
        <v>61</v>
      </c>
      <c r="O61" s="40" t="s">
        <v>75</v>
      </c>
      <c r="P61" s="41">
        <v>490</v>
      </c>
      <c r="Q61" s="41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41">
        <v>35621.029999999977</v>
      </c>
      <c r="BI61" s="41">
        <v>22046.950000000012</v>
      </c>
      <c r="BJ61" s="41">
        <v>44996.209999999985</v>
      </c>
      <c r="BK61" s="41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81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81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80" x14ac:dyDescent="0.2">
      <c r="A62" s="11" t="s">
        <v>62</v>
      </c>
      <c r="B62" s="11" t="s">
        <v>75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40" t="s">
        <v>62</v>
      </c>
      <c r="O62" s="40" t="s">
        <v>75</v>
      </c>
      <c r="P62" s="41">
        <v>336</v>
      </c>
      <c r="Q62" s="41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41">
        <v>23013.860000000015</v>
      </c>
      <c r="BI62" s="41">
        <v>18240.900000000012</v>
      </c>
      <c r="BJ62" s="41">
        <v>56986.040000000008</v>
      </c>
      <c r="BK62" s="41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81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81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80" x14ac:dyDescent="0.2">
      <c r="A63" s="11" t="s">
        <v>63</v>
      </c>
      <c r="B63" s="11" t="s">
        <v>75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40" t="s">
        <v>63</v>
      </c>
      <c r="O63" s="40" t="s">
        <v>75</v>
      </c>
      <c r="P63" s="41">
        <v>15</v>
      </c>
      <c r="Q63" s="41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41">
        <v>1325.4</v>
      </c>
      <c r="BI63" s="41">
        <v>680.51</v>
      </c>
      <c r="BJ63" s="41">
        <v>1632.3000000000002</v>
      </c>
      <c r="BK63" s="41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81</v>
      </c>
      <c r="BV63" s="16" t="s">
        <v>81</v>
      </c>
      <c r="BW63" s="16" t="s">
        <v>81</v>
      </c>
      <c r="BX63" s="16" t="s">
        <v>81</v>
      </c>
      <c r="BY63" s="16" t="s">
        <v>81</v>
      </c>
      <c r="BZ63" s="16" t="s">
        <v>81</v>
      </c>
      <c r="CA63" s="16" t="s">
        <v>81</v>
      </c>
      <c r="CB63" s="16" t="s">
        <v>81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81</v>
      </c>
      <c r="FK63">
        <v>808.32</v>
      </c>
      <c r="FM63">
        <v>254.13</v>
      </c>
      <c r="FN63" t="s">
        <v>81</v>
      </c>
    </row>
    <row r="64" spans="1:183" ht="80" x14ac:dyDescent="0.2">
      <c r="A64" s="11" t="s">
        <v>64</v>
      </c>
      <c r="B64" s="11" t="s">
        <v>75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40" t="s">
        <v>64</v>
      </c>
      <c r="O64" s="40" t="s">
        <v>75</v>
      </c>
      <c r="P64" s="41">
        <v>121</v>
      </c>
      <c r="Q64" s="41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41">
        <v>11195.130000000006</v>
      </c>
      <c r="BI64" s="41">
        <v>6619.5199999999986</v>
      </c>
      <c r="BJ64" s="41">
        <v>31279.280000000013</v>
      </c>
      <c r="BK64" s="41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81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81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80" x14ac:dyDescent="0.2">
      <c r="A65" s="11" t="s">
        <v>65</v>
      </c>
      <c r="B65" s="11" t="s">
        <v>75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40" t="s">
        <v>65</v>
      </c>
      <c r="O65" s="40" t="s">
        <v>75</v>
      </c>
      <c r="P65" s="41">
        <v>40</v>
      </c>
      <c r="Q65" s="41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41">
        <v>3612.5399999999986</v>
      </c>
      <c r="BI65" s="41">
        <v>1992.2000000000003</v>
      </c>
      <c r="BJ65" s="41">
        <v>5875.2199999999993</v>
      </c>
      <c r="BK65" s="41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81</v>
      </c>
      <c r="FH65">
        <v>314.45</v>
      </c>
      <c r="FJ65">
        <v>1332.54</v>
      </c>
      <c r="FK65">
        <v>903.67</v>
      </c>
      <c r="FN65" t="s">
        <v>81</v>
      </c>
      <c r="FW65">
        <v>514.16</v>
      </c>
    </row>
    <row r="66" spans="1:183" ht="80" x14ac:dyDescent="0.2">
      <c r="A66" s="11" t="s">
        <v>66</v>
      </c>
      <c r="B66" s="11" t="s">
        <v>75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40" t="s">
        <v>66</v>
      </c>
      <c r="O66" s="40" t="s">
        <v>75</v>
      </c>
      <c r="P66" s="41">
        <v>6</v>
      </c>
      <c r="Q66" s="41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41">
        <v>725.36999999999989</v>
      </c>
      <c r="BI66" s="41">
        <v>551.17999999999995</v>
      </c>
      <c r="BJ66" s="41">
        <v>1037.53</v>
      </c>
      <c r="BK66" s="41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81</v>
      </c>
      <c r="FI66">
        <v>71.39</v>
      </c>
      <c r="FM66">
        <v>297.22000000000003</v>
      </c>
      <c r="FN66" t="s">
        <v>81</v>
      </c>
      <c r="FV66">
        <v>71.39</v>
      </c>
      <c r="FZ66">
        <v>297.22000000000003</v>
      </c>
    </row>
    <row r="67" spans="1:183" ht="80" x14ac:dyDescent="0.2">
      <c r="A67" s="11" t="s">
        <v>67</v>
      </c>
      <c r="B67" s="11" t="s">
        <v>75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40" t="s">
        <v>67</v>
      </c>
      <c r="O67" s="40" t="s">
        <v>75</v>
      </c>
      <c r="P67" s="41">
        <v>54</v>
      </c>
      <c r="Q67" s="41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41">
        <v>1888.8899999999999</v>
      </c>
      <c r="BI67" s="41">
        <v>5639.7599999999993</v>
      </c>
      <c r="BJ67" s="41">
        <v>9835.92</v>
      </c>
      <c r="BK67" s="41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81</v>
      </c>
      <c r="FH67">
        <v>256.11</v>
      </c>
      <c r="FI67">
        <v>272.68</v>
      </c>
      <c r="FK67">
        <v>26.08</v>
      </c>
      <c r="FN67" t="s">
        <v>81</v>
      </c>
      <c r="FV67">
        <v>272.68</v>
      </c>
      <c r="FX67">
        <v>10.83</v>
      </c>
    </row>
    <row r="68" spans="1:183" ht="80" x14ac:dyDescent="0.2">
      <c r="A68" s="11" t="s">
        <v>68</v>
      </c>
      <c r="B68" s="11" t="s">
        <v>75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40" t="s">
        <v>68</v>
      </c>
      <c r="O68" s="40" t="s">
        <v>75</v>
      </c>
      <c r="P68" s="41">
        <v>102</v>
      </c>
      <c r="Q68" s="41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41">
        <v>8133.4599999999982</v>
      </c>
      <c r="BI68" s="41">
        <v>5384.7199999999984</v>
      </c>
      <c r="BJ68" s="41">
        <v>19272.310000000001</v>
      </c>
      <c r="BK68" s="41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81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81</v>
      </c>
      <c r="FU68">
        <v>156.99</v>
      </c>
      <c r="FW68">
        <v>26.97</v>
      </c>
      <c r="FY68">
        <v>232.78</v>
      </c>
    </row>
    <row r="69" spans="1:183" ht="80" x14ac:dyDescent="0.2">
      <c r="A69" s="11" t="s">
        <v>69</v>
      </c>
      <c r="B69" s="11" t="s">
        <v>75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40" t="s">
        <v>69</v>
      </c>
      <c r="O69" s="40" t="s">
        <v>75</v>
      </c>
      <c r="P69" s="41">
        <v>2246</v>
      </c>
      <c r="Q69" s="41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41">
        <v>177511.1300000003</v>
      </c>
      <c r="BI69" s="41">
        <v>105231.83000000003</v>
      </c>
      <c r="BJ69" s="41">
        <v>261297.57999999987</v>
      </c>
      <c r="BK69" s="41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81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81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80" x14ac:dyDescent="0.2">
      <c r="A70" s="11" t="s">
        <v>70</v>
      </c>
      <c r="B70" s="11" t="s">
        <v>75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81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40" t="s">
        <v>70</v>
      </c>
      <c r="O70" s="40" t="s">
        <v>75</v>
      </c>
      <c r="P70" s="41">
        <v>7</v>
      </c>
      <c r="Q70" s="41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41">
        <v>0</v>
      </c>
      <c r="BI70" s="41">
        <v>538.11999999999989</v>
      </c>
      <c r="BJ70" s="41">
        <v>1779.5</v>
      </c>
      <c r="BK70" s="41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81</v>
      </c>
      <c r="FM70">
        <v>28.34</v>
      </c>
      <c r="FN70" t="s">
        <v>81</v>
      </c>
      <c r="FZ70">
        <v>28.34</v>
      </c>
    </row>
    <row r="71" spans="1:183" ht="16" x14ac:dyDescent="0.2">
      <c r="A71" s="14" t="s">
        <v>51</v>
      </c>
      <c r="B71" s="13" t="s">
        <v>34</v>
      </c>
      <c r="C71" s="11" t="s">
        <v>79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81</v>
      </c>
      <c r="EV71" t="s">
        <v>81</v>
      </c>
      <c r="EW71" t="s">
        <v>81</v>
      </c>
      <c r="EX71" t="s">
        <v>81</v>
      </c>
      <c r="EY71" t="s">
        <v>81</v>
      </c>
      <c r="EZ71" t="s">
        <v>81</v>
      </c>
      <c r="FA71" t="s">
        <v>81</v>
      </c>
      <c r="FB71" t="s">
        <v>81</v>
      </c>
      <c r="FC71" t="s">
        <v>81</v>
      </c>
    </row>
    <row r="72" spans="1:183" ht="16" x14ac:dyDescent="0.2">
      <c r="C72" t="s">
        <v>82</v>
      </c>
      <c r="E72" s="15"/>
      <c r="F72" s="15"/>
      <c r="G72" s="12"/>
      <c r="H72" s="12">
        <v>1</v>
      </c>
      <c r="I72" s="12">
        <v>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81</v>
      </c>
      <c r="AS72" s="16" t="s">
        <v>81</v>
      </c>
      <c r="AT72" s="16" t="s">
        <v>81</v>
      </c>
      <c r="AU72" s="16" t="s">
        <v>81</v>
      </c>
      <c r="AV72" s="16" t="s">
        <v>81</v>
      </c>
      <c r="AW72" s="16" t="s">
        <v>81</v>
      </c>
      <c r="AX72" s="16" t="s">
        <v>81</v>
      </c>
      <c r="AY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BU72" s="16" t="s">
        <v>81</v>
      </c>
      <c r="BV72" s="16" t="s">
        <v>81</v>
      </c>
      <c r="BW72" s="16" t="s">
        <v>81</v>
      </c>
      <c r="BX72" s="16" t="s">
        <v>81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81</v>
      </c>
      <c r="DZ72" s="29" t="s">
        <v>81</v>
      </c>
      <c r="EA72" s="29" t="s">
        <v>81</v>
      </c>
      <c r="EB72" s="29">
        <v>0</v>
      </c>
      <c r="EC72" s="29"/>
      <c r="ED72" s="29"/>
      <c r="EE72" s="29"/>
      <c r="EU72" t="s">
        <v>81</v>
      </c>
      <c r="EV72" t="s">
        <v>81</v>
      </c>
      <c r="EW72" t="s">
        <v>81</v>
      </c>
      <c r="EX72" t="s">
        <v>81</v>
      </c>
      <c r="EY72" t="s">
        <v>81</v>
      </c>
      <c r="EZ72" t="s">
        <v>81</v>
      </c>
      <c r="FA72" t="s">
        <v>81</v>
      </c>
      <c r="FB72" t="s">
        <v>81</v>
      </c>
      <c r="FC72" t="s">
        <v>81</v>
      </c>
    </row>
    <row r="73" spans="1:183" ht="16" x14ac:dyDescent="0.2">
      <c r="J73" s="12" t="s">
        <v>81</v>
      </c>
      <c r="K73" s="12" t="s">
        <v>81</v>
      </c>
      <c r="V73" s="12"/>
      <c r="AR73" s="16" t="s">
        <v>81</v>
      </c>
      <c r="AS73" s="16" t="s">
        <v>81</v>
      </c>
      <c r="AT73" s="16" t="s">
        <v>81</v>
      </c>
      <c r="AU73" s="16" t="s">
        <v>81</v>
      </c>
      <c r="AV73" s="16" t="s">
        <v>81</v>
      </c>
      <c r="AW73" s="16" t="s">
        <v>81</v>
      </c>
      <c r="AX73" s="16" t="s">
        <v>81</v>
      </c>
      <c r="AY73" s="16" t="s">
        <v>81</v>
      </c>
      <c r="AZ73" s="16" t="s">
        <v>81</v>
      </c>
      <c r="BA73" s="16" t="s">
        <v>81</v>
      </c>
      <c r="BB73" s="16" t="s">
        <v>81</v>
      </c>
      <c r="BC73" s="16" t="s">
        <v>81</v>
      </c>
      <c r="BU73" s="16" t="s">
        <v>81</v>
      </c>
      <c r="BV73" s="16" t="s">
        <v>81</v>
      </c>
      <c r="BW73" s="16" t="s">
        <v>81</v>
      </c>
      <c r="BX73" s="16" t="s">
        <v>81</v>
      </c>
      <c r="EU73" t="s">
        <v>81</v>
      </c>
      <c r="EV73" t="s">
        <v>81</v>
      </c>
      <c r="EW73" t="s">
        <v>81</v>
      </c>
      <c r="EX73" t="s">
        <v>81</v>
      </c>
      <c r="EY73" t="s">
        <v>81</v>
      </c>
      <c r="EZ73" t="s">
        <v>81</v>
      </c>
      <c r="FA73" t="s">
        <v>81</v>
      </c>
      <c r="FB73" t="s">
        <v>81</v>
      </c>
      <c r="FC73" t="s">
        <v>81</v>
      </c>
    </row>
    <row r="74" spans="1:183" x14ac:dyDescent="0.2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81</v>
      </c>
      <c r="EV74" t="s">
        <v>81</v>
      </c>
      <c r="EW74" t="s">
        <v>81</v>
      </c>
      <c r="EX74" t="s">
        <v>81</v>
      </c>
      <c r="EY74" t="s">
        <v>81</v>
      </c>
      <c r="EZ74" t="s">
        <v>81</v>
      </c>
      <c r="FA74" t="s">
        <v>81</v>
      </c>
      <c r="FB74" t="s">
        <v>81</v>
      </c>
      <c r="FC74" t="s">
        <v>81</v>
      </c>
    </row>
    <row r="75" spans="1:183" x14ac:dyDescent="0.2">
      <c r="V75" s="12"/>
      <c r="EU75" t="s">
        <v>81</v>
      </c>
      <c r="EV75" t="s">
        <v>81</v>
      </c>
      <c r="EW75" t="s">
        <v>81</v>
      </c>
      <c r="EX75" t="s">
        <v>81</v>
      </c>
      <c r="EY75" t="s">
        <v>81</v>
      </c>
      <c r="EZ75" t="s">
        <v>81</v>
      </c>
      <c r="FA75" t="s">
        <v>81</v>
      </c>
      <c r="FB75" t="s">
        <v>81</v>
      </c>
      <c r="FC75" t="s">
        <v>81</v>
      </c>
    </row>
    <row r="76" spans="1:183" x14ac:dyDescent="0.2">
      <c r="V76" s="12"/>
      <c r="EU76" t="s">
        <v>81</v>
      </c>
      <c r="EV76" t="s">
        <v>81</v>
      </c>
      <c r="EW76" t="s">
        <v>81</v>
      </c>
      <c r="EX76" t="s">
        <v>81</v>
      </c>
      <c r="EY76" t="s">
        <v>81</v>
      </c>
      <c r="EZ76" t="s">
        <v>81</v>
      </c>
      <c r="FA76" t="s">
        <v>81</v>
      </c>
      <c r="FB76" t="s">
        <v>81</v>
      </c>
      <c r="FC76" t="s">
        <v>81</v>
      </c>
    </row>
    <row r="77" spans="1:183" x14ac:dyDescent="0.2">
      <c r="V77" s="12"/>
      <c r="EU77" t="s">
        <v>81</v>
      </c>
      <c r="EV77" t="s">
        <v>81</v>
      </c>
      <c r="EW77" t="s">
        <v>81</v>
      </c>
      <c r="EX77" t="s">
        <v>81</v>
      </c>
      <c r="EY77" t="s">
        <v>81</v>
      </c>
      <c r="EZ77" t="s">
        <v>81</v>
      </c>
      <c r="FA77" t="s">
        <v>81</v>
      </c>
      <c r="FB77" t="s">
        <v>81</v>
      </c>
      <c r="FC77" t="s">
        <v>81</v>
      </c>
    </row>
    <row r="78" spans="1:183" ht="16" x14ac:dyDescent="0.2">
      <c r="V78" s="12" t="s">
        <v>81</v>
      </c>
      <c r="EU78" t="s">
        <v>81</v>
      </c>
      <c r="EV78" t="s">
        <v>81</v>
      </c>
      <c r="EW78" t="s">
        <v>81</v>
      </c>
      <c r="EX78" t="s">
        <v>81</v>
      </c>
      <c r="EY78" t="s">
        <v>81</v>
      </c>
      <c r="EZ78" t="s">
        <v>81</v>
      </c>
      <c r="FA78" t="s">
        <v>81</v>
      </c>
      <c r="FB78" t="s">
        <v>81</v>
      </c>
      <c r="FF78" t="s">
        <v>81</v>
      </c>
    </row>
  </sheetData>
  <autoFilter ref="FU1:GF71" xr:uid="{00000000-0009-0000-0000-00000E000000}"/>
  <mergeCells count="33"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BU3:BX3"/>
    <mergeCell ref="BU2:DD2"/>
    <mergeCell ref="X2:BG2"/>
    <mergeCell ref="BH3:BK3"/>
    <mergeCell ref="BL3:BO3"/>
    <mergeCell ref="BP3:BS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1" width="9.6640625" bestFit="1" customWidth="1"/>
    <col min="12" max="13" width="8.83203125" bestFit="1" customWidth="1"/>
    <col min="14" max="14" width="11.83203125" bestFit="1" customWidth="1"/>
  </cols>
  <sheetData>
    <row r="3" spans="1:11" x14ac:dyDescent="0.2">
      <c r="A3" s="34" t="s">
        <v>212</v>
      </c>
      <c r="C3" s="34" t="s">
        <v>150</v>
      </c>
      <c r="D3" s="34" t="s">
        <v>210</v>
      </c>
    </row>
    <row r="4" spans="1:11" x14ac:dyDescent="0.2">
      <c r="C4" t="s">
        <v>152</v>
      </c>
      <c r="D4" t="s">
        <v>152</v>
      </c>
      <c r="E4" t="s">
        <v>152</v>
      </c>
      <c r="F4" t="s">
        <v>153</v>
      </c>
      <c r="G4" t="s">
        <v>153</v>
      </c>
      <c r="H4" t="s">
        <v>153</v>
      </c>
      <c r="I4" t="s">
        <v>154</v>
      </c>
      <c r="J4" t="s">
        <v>154</v>
      </c>
      <c r="K4" t="s">
        <v>154</v>
      </c>
    </row>
    <row r="5" spans="1:11" x14ac:dyDescent="0.2">
      <c r="A5" s="34" t="s">
        <v>133</v>
      </c>
      <c r="B5" s="34" t="s">
        <v>196</v>
      </c>
      <c r="C5" t="s">
        <v>211</v>
      </c>
      <c r="D5" t="s">
        <v>208</v>
      </c>
      <c r="E5" t="s">
        <v>207</v>
      </c>
      <c r="F5" t="s">
        <v>211</v>
      </c>
      <c r="G5" t="s">
        <v>208</v>
      </c>
      <c r="H5" t="s">
        <v>207</v>
      </c>
      <c r="I5" t="s">
        <v>211</v>
      </c>
      <c r="J5" t="s">
        <v>208</v>
      </c>
      <c r="K5" t="s">
        <v>207</v>
      </c>
    </row>
    <row r="6" spans="1:11" x14ac:dyDescent="0.2">
      <c r="A6" t="s">
        <v>34</v>
      </c>
      <c r="B6" t="s">
        <v>35</v>
      </c>
      <c r="C6">
        <v>2</v>
      </c>
      <c r="D6">
        <v>701.3</v>
      </c>
      <c r="E6">
        <v>701.3</v>
      </c>
    </row>
    <row r="7" spans="1:11" x14ac:dyDescent="0.2">
      <c r="A7" t="s">
        <v>34</v>
      </c>
      <c r="B7" t="s">
        <v>36</v>
      </c>
      <c r="I7">
        <v>1</v>
      </c>
      <c r="K7">
        <v>679.32</v>
      </c>
    </row>
    <row r="8" spans="1:11" x14ac:dyDescent="0.2">
      <c r="A8" t="s">
        <v>34</v>
      </c>
      <c r="B8" t="s">
        <v>37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">
      <c r="A9" t="s">
        <v>34</v>
      </c>
      <c r="B9" t="s">
        <v>40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">
      <c r="A10" t="s">
        <v>34</v>
      </c>
      <c r="B10" t="s">
        <v>49</v>
      </c>
      <c r="C10">
        <v>1</v>
      </c>
      <c r="E10">
        <v>6.8</v>
      </c>
    </row>
    <row r="11" spans="1:11" x14ac:dyDescent="0.2">
      <c r="A11" t="s">
        <v>34</v>
      </c>
      <c r="B11" t="s">
        <v>52</v>
      </c>
      <c r="I11">
        <v>1</v>
      </c>
      <c r="J11">
        <v>11.64</v>
      </c>
      <c r="K11">
        <v>11.64</v>
      </c>
    </row>
    <row r="12" spans="1:11" x14ac:dyDescent="0.2">
      <c r="A12" t="s">
        <v>34</v>
      </c>
      <c r="B12" t="s">
        <v>55</v>
      </c>
      <c r="I12">
        <v>1</v>
      </c>
      <c r="K12">
        <v>288.83999999999997</v>
      </c>
    </row>
    <row r="13" spans="1:11" x14ac:dyDescent="0.2">
      <c r="A13" t="s">
        <v>34</v>
      </c>
      <c r="B13" t="s">
        <v>56</v>
      </c>
      <c r="I13">
        <v>1</v>
      </c>
      <c r="J13">
        <v>57.91</v>
      </c>
      <c r="K13">
        <v>57.91</v>
      </c>
    </row>
    <row r="14" spans="1:11" x14ac:dyDescent="0.2">
      <c r="A14" t="s">
        <v>34</v>
      </c>
      <c r="B14" t="s">
        <v>64</v>
      </c>
      <c r="F14">
        <v>1</v>
      </c>
      <c r="G14">
        <v>25.03</v>
      </c>
      <c r="H14">
        <v>25.03</v>
      </c>
    </row>
    <row r="15" spans="1:11" x14ac:dyDescent="0.2">
      <c r="A15" t="s">
        <v>34</v>
      </c>
      <c r="B15" t="s">
        <v>69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">
      <c r="A16" t="s">
        <v>75</v>
      </c>
      <c r="B16" t="s">
        <v>35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">
      <c r="A17" t="s">
        <v>75</v>
      </c>
      <c r="B17" t="s">
        <v>36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">
      <c r="A18" t="s">
        <v>75</v>
      </c>
      <c r="B18" t="s">
        <v>37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">
      <c r="A19" t="s">
        <v>75</v>
      </c>
      <c r="B19" t="s">
        <v>40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">
      <c r="A20" t="s">
        <v>75</v>
      </c>
      <c r="B20" t="s">
        <v>42</v>
      </c>
      <c r="F20">
        <v>1</v>
      </c>
      <c r="H20">
        <v>8.18</v>
      </c>
    </row>
    <row r="21" spans="1:11" x14ac:dyDescent="0.2">
      <c r="A21" t="s">
        <v>75</v>
      </c>
      <c r="B21" t="s">
        <v>43</v>
      </c>
      <c r="C21">
        <v>1</v>
      </c>
      <c r="E21">
        <v>384.52</v>
      </c>
    </row>
    <row r="22" spans="1:11" x14ac:dyDescent="0.2">
      <c r="A22" t="s">
        <v>75</v>
      </c>
      <c r="B22" t="s">
        <v>44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">
      <c r="A23" t="s">
        <v>75</v>
      </c>
      <c r="B23" t="s">
        <v>45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">
      <c r="A24" t="s">
        <v>75</v>
      </c>
      <c r="B24" t="s">
        <v>46</v>
      </c>
      <c r="F24">
        <v>1</v>
      </c>
      <c r="H24">
        <v>101.86</v>
      </c>
    </row>
    <row r="25" spans="1:11" x14ac:dyDescent="0.2">
      <c r="A25" t="s">
        <v>75</v>
      </c>
      <c r="B25" t="s">
        <v>47</v>
      </c>
      <c r="F25">
        <v>3</v>
      </c>
      <c r="G25">
        <v>86.97</v>
      </c>
      <c r="H25">
        <v>186.51999999999998</v>
      </c>
    </row>
    <row r="26" spans="1:11" x14ac:dyDescent="0.2">
      <c r="A26" t="s">
        <v>75</v>
      </c>
      <c r="B26" t="s">
        <v>48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">
      <c r="A27" t="s">
        <v>75</v>
      </c>
      <c r="B27" t="s">
        <v>49</v>
      </c>
      <c r="C27">
        <v>3</v>
      </c>
      <c r="E27">
        <v>742.71999999999991</v>
      </c>
    </row>
    <row r="28" spans="1:11" x14ac:dyDescent="0.2">
      <c r="A28" t="s">
        <v>75</v>
      </c>
      <c r="B28" t="s">
        <v>50</v>
      </c>
      <c r="C28">
        <v>1</v>
      </c>
      <c r="E28">
        <v>390.1</v>
      </c>
    </row>
    <row r="29" spans="1:11" x14ac:dyDescent="0.2">
      <c r="A29" t="s">
        <v>75</v>
      </c>
      <c r="B29" t="s">
        <v>52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">
      <c r="A30" t="s">
        <v>75</v>
      </c>
      <c r="B30" t="s">
        <v>53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">
      <c r="A31" t="s">
        <v>75</v>
      </c>
      <c r="B31" t="s">
        <v>54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">
      <c r="A32" t="s">
        <v>75</v>
      </c>
      <c r="B32" t="s">
        <v>55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">
      <c r="A33" t="s">
        <v>75</v>
      </c>
      <c r="B33" t="s">
        <v>56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">
      <c r="A34" t="s">
        <v>75</v>
      </c>
      <c r="B34" t="s">
        <v>57</v>
      </c>
      <c r="F34">
        <v>1</v>
      </c>
      <c r="H34">
        <v>78.89</v>
      </c>
    </row>
    <row r="35" spans="1:11" x14ac:dyDescent="0.2">
      <c r="A35" t="s">
        <v>75</v>
      </c>
      <c r="B35" t="s">
        <v>58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">
      <c r="A36" t="s">
        <v>75</v>
      </c>
      <c r="B36" t="s">
        <v>60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">
      <c r="A37" t="s">
        <v>75</v>
      </c>
      <c r="B37" t="s">
        <v>61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">
      <c r="A38" t="s">
        <v>75</v>
      </c>
      <c r="B38" t="s">
        <v>62</v>
      </c>
      <c r="F38">
        <v>5</v>
      </c>
      <c r="G38">
        <v>378.03</v>
      </c>
      <c r="H38">
        <v>1921.97</v>
      </c>
    </row>
    <row r="39" spans="1:11" x14ac:dyDescent="0.2">
      <c r="A39" t="s">
        <v>75</v>
      </c>
      <c r="B39" t="s">
        <v>64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">
      <c r="A40" t="s">
        <v>75</v>
      </c>
      <c r="B40" t="s">
        <v>65</v>
      </c>
      <c r="C40">
        <v>2</v>
      </c>
      <c r="E40">
        <v>597</v>
      </c>
    </row>
    <row r="41" spans="1:11" x14ac:dyDescent="0.2">
      <c r="A41" t="s">
        <v>75</v>
      </c>
      <c r="B41" t="s">
        <v>68</v>
      </c>
      <c r="F41">
        <v>1</v>
      </c>
      <c r="H41">
        <v>958.05</v>
      </c>
      <c r="I41">
        <v>1</v>
      </c>
      <c r="K41">
        <v>344.44</v>
      </c>
    </row>
    <row r="42" spans="1:11" x14ac:dyDescent="0.2">
      <c r="A42" t="s">
        <v>75</v>
      </c>
      <c r="B42" t="s">
        <v>69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baseColWidth="10" defaultColWidth="8.83203125" defaultRowHeight="15" x14ac:dyDescent="0.2"/>
  <sheetData>
    <row r="1" spans="1:11" x14ac:dyDescent="0.2">
      <c r="A1" t="s">
        <v>133</v>
      </c>
      <c r="B1" t="s">
        <v>196</v>
      </c>
      <c r="C1" t="s">
        <v>150</v>
      </c>
      <c r="D1" t="s">
        <v>209</v>
      </c>
      <c r="E1" t="s">
        <v>210</v>
      </c>
      <c r="G1" s="43" t="s">
        <v>201</v>
      </c>
      <c r="H1" s="43" t="s">
        <v>78</v>
      </c>
      <c r="I1" s="43" t="s">
        <v>150</v>
      </c>
      <c r="J1" s="43" t="s">
        <v>202</v>
      </c>
      <c r="K1" s="44" t="s">
        <v>133</v>
      </c>
    </row>
    <row r="2" spans="1:11" ht="32" x14ac:dyDescent="0.2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207</v>
      </c>
      <c r="G2" s="11" t="s">
        <v>203</v>
      </c>
      <c r="H2" s="11" t="s">
        <v>104</v>
      </c>
      <c r="I2" s="11" t="s">
        <v>152</v>
      </c>
      <c r="J2" s="12">
        <v>701.3</v>
      </c>
      <c r="K2" s="13" t="s">
        <v>207</v>
      </c>
    </row>
    <row r="3" spans="1:11" ht="16" x14ac:dyDescent="0.2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207</v>
      </c>
      <c r="G3" s="11" t="s">
        <v>203</v>
      </c>
      <c r="H3" s="11" t="s">
        <v>87</v>
      </c>
      <c r="I3" s="11" t="s">
        <v>152</v>
      </c>
      <c r="J3" s="12">
        <v>7450.4900000000007</v>
      </c>
    </row>
    <row r="4" spans="1:11" ht="16" x14ac:dyDescent="0.2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207</v>
      </c>
      <c r="G4" s="11" t="s">
        <v>203</v>
      </c>
      <c r="H4" s="11" t="s">
        <v>87</v>
      </c>
      <c r="I4" s="11" t="s">
        <v>153</v>
      </c>
      <c r="J4" s="12">
        <v>13517.27</v>
      </c>
    </row>
    <row r="5" spans="1:11" ht="16" x14ac:dyDescent="0.2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207</v>
      </c>
      <c r="G5" s="11" t="s">
        <v>203</v>
      </c>
      <c r="H5" s="11" t="s">
        <v>87</v>
      </c>
      <c r="I5" s="11" t="s">
        <v>154</v>
      </c>
      <c r="J5" s="12">
        <v>1572.5200000000002</v>
      </c>
    </row>
    <row r="6" spans="1:11" ht="32" x14ac:dyDescent="0.2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207</v>
      </c>
      <c r="G6" s="11" t="s">
        <v>203</v>
      </c>
      <c r="H6" s="11" t="s">
        <v>116</v>
      </c>
      <c r="I6" s="11" t="s">
        <v>154</v>
      </c>
      <c r="J6" s="12">
        <v>679.32</v>
      </c>
    </row>
    <row r="7" spans="1:11" ht="16" x14ac:dyDescent="0.2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207</v>
      </c>
      <c r="G7" s="11" t="s">
        <v>203</v>
      </c>
      <c r="H7" s="11" t="s">
        <v>88</v>
      </c>
      <c r="I7" s="11" t="s">
        <v>152</v>
      </c>
      <c r="J7" s="12">
        <v>16081.230000000001</v>
      </c>
    </row>
    <row r="8" spans="1:11" ht="16" x14ac:dyDescent="0.2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207</v>
      </c>
      <c r="G8" s="11" t="s">
        <v>203</v>
      </c>
      <c r="H8" s="11" t="s">
        <v>88</v>
      </c>
      <c r="I8" s="11" t="s">
        <v>153</v>
      </c>
      <c r="J8" s="12">
        <v>11038.599999999995</v>
      </c>
    </row>
    <row r="9" spans="1:11" ht="16" x14ac:dyDescent="0.2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207</v>
      </c>
      <c r="G9" s="11" t="s">
        <v>203</v>
      </c>
      <c r="H9" s="11" t="s">
        <v>88</v>
      </c>
      <c r="I9" s="11" t="s">
        <v>154</v>
      </c>
      <c r="J9" s="12">
        <v>5870.6099999999988</v>
      </c>
    </row>
    <row r="10" spans="1:11" ht="32" x14ac:dyDescent="0.2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207</v>
      </c>
      <c r="G10" s="11" t="s">
        <v>203</v>
      </c>
      <c r="H10" s="11" t="s">
        <v>204</v>
      </c>
      <c r="I10" s="11" t="s">
        <v>152</v>
      </c>
      <c r="J10" s="12">
        <v>363.19</v>
      </c>
    </row>
    <row r="11" spans="1:11" ht="32" x14ac:dyDescent="0.2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207</v>
      </c>
      <c r="G11" s="11" t="s">
        <v>203</v>
      </c>
      <c r="H11" s="11" t="s">
        <v>204</v>
      </c>
      <c r="I11" s="11" t="s">
        <v>153</v>
      </c>
      <c r="J11" s="12">
        <v>62.04</v>
      </c>
    </row>
    <row r="12" spans="1:11" ht="32" x14ac:dyDescent="0.2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207</v>
      </c>
      <c r="G12" s="11" t="s">
        <v>203</v>
      </c>
      <c r="H12" s="11" t="s">
        <v>204</v>
      </c>
      <c r="I12" s="11" t="s">
        <v>154</v>
      </c>
      <c r="J12" s="12">
        <v>42.519999999999996</v>
      </c>
    </row>
    <row r="13" spans="1:11" ht="16" x14ac:dyDescent="0.2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207</v>
      </c>
      <c r="G13" s="11" t="s">
        <v>203</v>
      </c>
      <c r="H13" s="11" t="s">
        <v>89</v>
      </c>
      <c r="I13" s="11" t="s">
        <v>152</v>
      </c>
      <c r="J13" s="12">
        <v>10402.149999999998</v>
      </c>
    </row>
    <row r="14" spans="1:11" ht="16" x14ac:dyDescent="0.2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207</v>
      </c>
      <c r="G14" s="11" t="s">
        <v>203</v>
      </c>
      <c r="H14" s="11" t="s">
        <v>89</v>
      </c>
      <c r="I14" s="11" t="s">
        <v>153</v>
      </c>
      <c r="J14" s="12">
        <v>4416.9199999999992</v>
      </c>
    </row>
    <row r="15" spans="1:11" ht="16" x14ac:dyDescent="0.2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207</v>
      </c>
      <c r="G15" s="11" t="s">
        <v>203</v>
      </c>
      <c r="H15" s="11" t="s">
        <v>89</v>
      </c>
      <c r="I15" s="11" t="s">
        <v>154</v>
      </c>
      <c r="J15" s="12">
        <v>4482.1400000000003</v>
      </c>
    </row>
    <row r="16" spans="1:11" ht="32" x14ac:dyDescent="0.2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207</v>
      </c>
      <c r="G16" s="11" t="s">
        <v>203</v>
      </c>
      <c r="H16" s="11" t="s">
        <v>117</v>
      </c>
      <c r="I16" s="11" t="s">
        <v>152</v>
      </c>
      <c r="J16" s="12">
        <v>591.78</v>
      </c>
    </row>
    <row r="17" spans="1:10" ht="32" x14ac:dyDescent="0.2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207</v>
      </c>
      <c r="G17" s="11" t="s">
        <v>203</v>
      </c>
      <c r="H17" s="11" t="s">
        <v>117</v>
      </c>
      <c r="I17" s="11" t="s">
        <v>153</v>
      </c>
      <c r="J17" s="12">
        <v>650.33000000000004</v>
      </c>
    </row>
    <row r="18" spans="1:10" ht="16" x14ac:dyDescent="0.2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207</v>
      </c>
      <c r="G18" s="11" t="s">
        <v>203</v>
      </c>
      <c r="H18" s="11" t="s">
        <v>90</v>
      </c>
      <c r="I18" s="11" t="s">
        <v>152</v>
      </c>
      <c r="J18" s="12">
        <v>6104.86</v>
      </c>
    </row>
    <row r="19" spans="1:10" ht="16" x14ac:dyDescent="0.2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207</v>
      </c>
      <c r="G19" s="11" t="s">
        <v>203</v>
      </c>
      <c r="H19" s="11" t="s">
        <v>90</v>
      </c>
      <c r="I19" s="11" t="s">
        <v>153</v>
      </c>
      <c r="J19" s="12">
        <v>1883.7700000000004</v>
      </c>
    </row>
    <row r="20" spans="1:10" ht="16" x14ac:dyDescent="0.2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207</v>
      </c>
      <c r="G20" s="11" t="s">
        <v>203</v>
      </c>
      <c r="H20" s="11" t="s">
        <v>90</v>
      </c>
      <c r="I20" s="11" t="s">
        <v>154</v>
      </c>
      <c r="J20" s="12">
        <v>4477.6200000000008</v>
      </c>
    </row>
    <row r="21" spans="1:10" ht="16" x14ac:dyDescent="0.2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207</v>
      </c>
      <c r="G21" s="11" t="s">
        <v>203</v>
      </c>
      <c r="H21" s="11" t="s">
        <v>118</v>
      </c>
      <c r="I21" s="11" t="s">
        <v>153</v>
      </c>
      <c r="J21" s="12">
        <v>8.18</v>
      </c>
    </row>
    <row r="22" spans="1:10" ht="16" x14ac:dyDescent="0.2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207</v>
      </c>
      <c r="G22" s="11" t="s">
        <v>203</v>
      </c>
      <c r="H22" s="11" t="s">
        <v>111</v>
      </c>
      <c r="I22" s="11" t="s">
        <v>152</v>
      </c>
      <c r="J22" s="12">
        <v>384.52</v>
      </c>
    </row>
    <row r="23" spans="1:10" ht="16" x14ac:dyDescent="0.2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207</v>
      </c>
      <c r="G23" s="11" t="s">
        <v>203</v>
      </c>
      <c r="H23" s="11" t="s">
        <v>96</v>
      </c>
      <c r="I23" s="11" t="s">
        <v>152</v>
      </c>
      <c r="J23" s="12">
        <v>2085.62</v>
      </c>
    </row>
    <row r="24" spans="1:10" ht="16" x14ac:dyDescent="0.2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207</v>
      </c>
      <c r="G24" s="11" t="s">
        <v>203</v>
      </c>
      <c r="H24" s="11" t="s">
        <v>96</v>
      </c>
      <c r="I24" s="11" t="s">
        <v>153</v>
      </c>
      <c r="J24" s="12">
        <v>2389.8399999999997</v>
      </c>
    </row>
    <row r="25" spans="1:10" ht="16" x14ac:dyDescent="0.2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207</v>
      </c>
      <c r="G25" s="11" t="s">
        <v>203</v>
      </c>
      <c r="H25" s="11" t="s">
        <v>94</v>
      </c>
      <c r="I25" s="11" t="s">
        <v>152</v>
      </c>
      <c r="J25" s="12">
        <v>856.62000000000012</v>
      </c>
    </row>
    <row r="26" spans="1:10" ht="16" x14ac:dyDescent="0.2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207</v>
      </c>
      <c r="G26" s="11" t="s">
        <v>203</v>
      </c>
      <c r="H26" s="11" t="s">
        <v>94</v>
      </c>
      <c r="I26" s="11" t="s">
        <v>153</v>
      </c>
      <c r="J26" s="12">
        <v>451.79999999999995</v>
      </c>
    </row>
    <row r="27" spans="1:10" ht="16" x14ac:dyDescent="0.2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207</v>
      </c>
      <c r="G27" s="11" t="s">
        <v>203</v>
      </c>
      <c r="H27" s="11" t="s">
        <v>94</v>
      </c>
      <c r="I27" s="11" t="s">
        <v>154</v>
      </c>
      <c r="J27" s="12">
        <v>919.91000000000008</v>
      </c>
    </row>
    <row r="28" spans="1:10" ht="16" x14ac:dyDescent="0.2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207</v>
      </c>
      <c r="G28" s="11" t="s">
        <v>203</v>
      </c>
      <c r="H28" s="11" t="s">
        <v>95</v>
      </c>
      <c r="I28" s="11" t="s">
        <v>153</v>
      </c>
      <c r="J28" s="12">
        <v>101.86</v>
      </c>
    </row>
    <row r="29" spans="1:10" ht="16" x14ac:dyDescent="0.2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207</v>
      </c>
      <c r="G29" s="11" t="s">
        <v>203</v>
      </c>
      <c r="H29" s="11" t="s">
        <v>97</v>
      </c>
      <c r="I29" s="11" t="s">
        <v>153</v>
      </c>
      <c r="J29" s="12">
        <v>186.51999999999998</v>
      </c>
    </row>
    <row r="30" spans="1:10" ht="16" x14ac:dyDescent="0.2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207</v>
      </c>
      <c r="G30" s="11" t="s">
        <v>203</v>
      </c>
      <c r="H30" s="11" t="s">
        <v>98</v>
      </c>
      <c r="I30" s="11" t="s">
        <v>152</v>
      </c>
      <c r="J30" s="12">
        <v>911.45999999999992</v>
      </c>
    </row>
    <row r="31" spans="1:10" ht="16" x14ac:dyDescent="0.2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207</v>
      </c>
      <c r="G31" s="11" t="s">
        <v>203</v>
      </c>
      <c r="H31" s="11" t="s">
        <v>98</v>
      </c>
      <c r="I31" s="11" t="s">
        <v>153</v>
      </c>
      <c r="J31" s="12">
        <v>1609.41</v>
      </c>
    </row>
    <row r="32" spans="1:10" ht="32" x14ac:dyDescent="0.2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207</v>
      </c>
      <c r="G32" s="11" t="s">
        <v>203</v>
      </c>
      <c r="H32" s="11" t="s">
        <v>205</v>
      </c>
      <c r="I32" s="11" t="s">
        <v>152</v>
      </c>
      <c r="J32" s="12">
        <v>6.8</v>
      </c>
    </row>
    <row r="33" spans="1:10" ht="16" x14ac:dyDescent="0.2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207</v>
      </c>
      <c r="G33" s="11" t="s">
        <v>203</v>
      </c>
      <c r="H33" s="11" t="s">
        <v>107</v>
      </c>
      <c r="I33" s="11" t="s">
        <v>152</v>
      </c>
      <c r="J33" s="12">
        <v>742.71999999999991</v>
      </c>
    </row>
    <row r="34" spans="1:10" ht="16" x14ac:dyDescent="0.2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207</v>
      </c>
      <c r="G34" s="11" t="s">
        <v>203</v>
      </c>
      <c r="H34" s="11" t="s">
        <v>105</v>
      </c>
      <c r="I34" s="11" t="s">
        <v>152</v>
      </c>
      <c r="J34" s="12">
        <v>390.1</v>
      </c>
    </row>
    <row r="35" spans="1:10" ht="32" x14ac:dyDescent="0.2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207</v>
      </c>
      <c r="G35" s="11" t="s">
        <v>203</v>
      </c>
      <c r="H35" s="11" t="s">
        <v>206</v>
      </c>
      <c r="I35" s="11" t="s">
        <v>154</v>
      </c>
      <c r="J35" s="12">
        <v>11.64</v>
      </c>
    </row>
    <row r="36" spans="1:10" ht="16" x14ac:dyDescent="0.2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207</v>
      </c>
      <c r="G36" s="11" t="s">
        <v>203</v>
      </c>
      <c r="H36" s="11" t="s">
        <v>99</v>
      </c>
      <c r="I36" s="11" t="s">
        <v>152</v>
      </c>
      <c r="J36" s="12">
        <v>5688.04</v>
      </c>
    </row>
    <row r="37" spans="1:10" ht="16" x14ac:dyDescent="0.2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207</v>
      </c>
      <c r="G37" s="11" t="s">
        <v>203</v>
      </c>
      <c r="H37" s="11" t="s">
        <v>99</v>
      </c>
      <c r="I37" s="11" t="s">
        <v>153</v>
      </c>
      <c r="J37" s="12">
        <v>9164.18</v>
      </c>
    </row>
    <row r="38" spans="1:10" ht="16" x14ac:dyDescent="0.2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207</v>
      </c>
      <c r="G38" s="11" t="s">
        <v>203</v>
      </c>
      <c r="H38" s="11" t="s">
        <v>99</v>
      </c>
      <c r="I38" s="11" t="s">
        <v>154</v>
      </c>
      <c r="J38" s="12">
        <v>2222.9899999999998</v>
      </c>
    </row>
    <row r="39" spans="1:10" ht="16" x14ac:dyDescent="0.2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207</v>
      </c>
      <c r="G39" s="11" t="s">
        <v>203</v>
      </c>
      <c r="H39" s="11" t="s">
        <v>91</v>
      </c>
      <c r="I39" s="11" t="s">
        <v>152</v>
      </c>
      <c r="J39" s="12">
        <v>2457.0299999999997</v>
      </c>
    </row>
    <row r="40" spans="1:10" ht="16" x14ac:dyDescent="0.2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207</v>
      </c>
      <c r="G40" s="11" t="s">
        <v>203</v>
      </c>
      <c r="H40" s="11" t="s">
        <v>91</v>
      </c>
      <c r="I40" s="11" t="s">
        <v>153</v>
      </c>
      <c r="J40" s="12">
        <v>1292.01</v>
      </c>
    </row>
    <row r="41" spans="1:10" ht="16" x14ac:dyDescent="0.2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207</v>
      </c>
      <c r="G41" s="11" t="s">
        <v>203</v>
      </c>
      <c r="H41" s="11" t="s">
        <v>91</v>
      </c>
      <c r="I41" s="11" t="s">
        <v>154</v>
      </c>
      <c r="J41" s="12">
        <v>1772.46</v>
      </c>
    </row>
    <row r="42" spans="1:10" ht="16" x14ac:dyDescent="0.2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207</v>
      </c>
      <c r="G42" s="11" t="s">
        <v>203</v>
      </c>
      <c r="H42" s="11" t="s">
        <v>100</v>
      </c>
      <c r="I42" s="11" t="s">
        <v>152</v>
      </c>
      <c r="J42" s="12">
        <v>181.47</v>
      </c>
    </row>
    <row r="43" spans="1:10" ht="16" x14ac:dyDescent="0.2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207</v>
      </c>
      <c r="G43" s="11" t="s">
        <v>203</v>
      </c>
      <c r="H43" s="11" t="s">
        <v>100</v>
      </c>
      <c r="I43" s="11" t="s">
        <v>153</v>
      </c>
      <c r="J43" s="12">
        <v>39.89</v>
      </c>
    </row>
    <row r="44" spans="1:10" ht="16" x14ac:dyDescent="0.2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207</v>
      </c>
      <c r="G44" s="11" t="s">
        <v>203</v>
      </c>
      <c r="H44" s="11" t="s">
        <v>100</v>
      </c>
      <c r="I44" s="11" t="s">
        <v>154</v>
      </c>
      <c r="J44" s="12">
        <v>2217.44</v>
      </c>
    </row>
    <row r="45" spans="1:10" ht="32" x14ac:dyDescent="0.2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207</v>
      </c>
      <c r="G45" s="11" t="s">
        <v>203</v>
      </c>
      <c r="H45" s="11" t="s">
        <v>120</v>
      </c>
      <c r="I45" s="11" t="s">
        <v>154</v>
      </c>
      <c r="J45" s="12">
        <v>288.83999999999997</v>
      </c>
    </row>
    <row r="46" spans="1:10" ht="16" x14ac:dyDescent="0.2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207</v>
      </c>
      <c r="G46" s="11" t="s">
        <v>203</v>
      </c>
      <c r="H46" s="11" t="s">
        <v>101</v>
      </c>
      <c r="I46" s="11" t="s">
        <v>152</v>
      </c>
      <c r="J46" s="12">
        <v>2225.1</v>
      </c>
    </row>
    <row r="47" spans="1:10" ht="16" x14ac:dyDescent="0.2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207</v>
      </c>
      <c r="G47" s="11" t="s">
        <v>203</v>
      </c>
      <c r="H47" s="11" t="s">
        <v>101</v>
      </c>
      <c r="I47" s="11" t="s">
        <v>153</v>
      </c>
      <c r="J47" s="12">
        <v>697.44</v>
      </c>
    </row>
    <row r="48" spans="1:10" ht="16" x14ac:dyDescent="0.2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207</v>
      </c>
      <c r="G48" s="11" t="s">
        <v>203</v>
      </c>
      <c r="H48" s="11" t="s">
        <v>101</v>
      </c>
      <c r="I48" s="11" t="s">
        <v>154</v>
      </c>
      <c r="J48" s="12">
        <v>64.59</v>
      </c>
    </row>
    <row r="49" spans="1:10" ht="32" x14ac:dyDescent="0.2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207</v>
      </c>
      <c r="G49" s="11" t="s">
        <v>203</v>
      </c>
      <c r="H49" s="11" t="s">
        <v>112</v>
      </c>
      <c r="I49" s="11" t="s">
        <v>154</v>
      </c>
      <c r="J49" s="12">
        <v>57.91</v>
      </c>
    </row>
    <row r="50" spans="1:10" ht="16" x14ac:dyDescent="0.2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207</v>
      </c>
      <c r="G50" s="11" t="s">
        <v>203</v>
      </c>
      <c r="H50" s="11" t="s">
        <v>106</v>
      </c>
      <c r="I50" s="11" t="s">
        <v>152</v>
      </c>
      <c r="J50" s="12">
        <v>1088.8</v>
      </c>
    </row>
    <row r="51" spans="1:10" ht="16" x14ac:dyDescent="0.2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207</v>
      </c>
      <c r="G51" s="11" t="s">
        <v>203</v>
      </c>
      <c r="H51" s="11" t="s">
        <v>106</v>
      </c>
      <c r="I51" s="11" t="s">
        <v>153</v>
      </c>
      <c r="J51" s="12">
        <v>5446.5599999999995</v>
      </c>
    </row>
    <row r="52" spans="1:10" ht="16" x14ac:dyDescent="0.2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207</v>
      </c>
      <c r="G52" s="11" t="s">
        <v>203</v>
      </c>
      <c r="H52" s="11" t="s">
        <v>106</v>
      </c>
      <c r="I52" s="11" t="s">
        <v>154</v>
      </c>
      <c r="J52" s="12">
        <v>1979.37</v>
      </c>
    </row>
    <row r="53" spans="1:10" ht="16" x14ac:dyDescent="0.2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207</v>
      </c>
      <c r="G53" s="11" t="s">
        <v>203</v>
      </c>
      <c r="H53" s="11" t="s">
        <v>110</v>
      </c>
      <c r="I53" s="11" t="s">
        <v>153</v>
      </c>
      <c r="J53" s="12">
        <v>78.89</v>
      </c>
    </row>
    <row r="54" spans="1:10" ht="16" x14ac:dyDescent="0.2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207</v>
      </c>
      <c r="G54" s="11" t="s">
        <v>203</v>
      </c>
      <c r="H54" s="11" t="s">
        <v>92</v>
      </c>
      <c r="I54" s="11" t="s">
        <v>152</v>
      </c>
      <c r="J54" s="12">
        <v>470.64000000000004</v>
      </c>
    </row>
    <row r="55" spans="1:10" ht="16" x14ac:dyDescent="0.2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207</v>
      </c>
      <c r="G55" s="11" t="s">
        <v>203</v>
      </c>
      <c r="H55" s="11" t="s">
        <v>92</v>
      </c>
      <c r="I55" s="11" t="s">
        <v>153</v>
      </c>
      <c r="J55" s="12">
        <v>3730.01</v>
      </c>
    </row>
    <row r="56" spans="1:10" ht="16" x14ac:dyDescent="0.2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207</v>
      </c>
      <c r="G56" s="11" t="s">
        <v>203</v>
      </c>
      <c r="H56" s="11" t="s">
        <v>92</v>
      </c>
      <c r="I56" s="11" t="s">
        <v>154</v>
      </c>
      <c r="J56" s="12">
        <v>16.52</v>
      </c>
    </row>
    <row r="57" spans="1:10" ht="16" x14ac:dyDescent="0.2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207</v>
      </c>
      <c r="G57" s="11" t="s">
        <v>203</v>
      </c>
      <c r="H57" s="11" t="s">
        <v>114</v>
      </c>
      <c r="I57" s="11" t="s">
        <v>153</v>
      </c>
      <c r="J57" s="12">
        <v>1910.83</v>
      </c>
    </row>
    <row r="58" spans="1:10" ht="16" x14ac:dyDescent="0.2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207</v>
      </c>
      <c r="G58" s="11" t="s">
        <v>203</v>
      </c>
      <c r="H58" s="11" t="s">
        <v>114</v>
      </c>
      <c r="I58" s="11" t="s">
        <v>154</v>
      </c>
      <c r="J58" s="12">
        <v>19.329999999999998</v>
      </c>
    </row>
    <row r="59" spans="1:10" ht="16" x14ac:dyDescent="0.2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207</v>
      </c>
      <c r="G59" s="11" t="s">
        <v>203</v>
      </c>
      <c r="H59" s="11" t="s">
        <v>108</v>
      </c>
      <c r="I59" s="11" t="s">
        <v>152</v>
      </c>
      <c r="J59" s="12">
        <v>2766.5800000000004</v>
      </c>
    </row>
    <row r="60" spans="1:10" ht="16" x14ac:dyDescent="0.2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207</v>
      </c>
      <c r="G60" s="11" t="s">
        <v>203</v>
      </c>
      <c r="H60" s="11" t="s">
        <v>108</v>
      </c>
      <c r="I60" s="11" t="s">
        <v>153</v>
      </c>
      <c r="J60" s="12">
        <v>1681.64</v>
      </c>
    </row>
    <row r="61" spans="1:10" ht="16" x14ac:dyDescent="0.2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207</v>
      </c>
      <c r="G61" s="11" t="s">
        <v>203</v>
      </c>
      <c r="H61" s="11" t="s">
        <v>108</v>
      </c>
      <c r="I61" s="11" t="s">
        <v>154</v>
      </c>
      <c r="J61" s="12">
        <v>191.88</v>
      </c>
    </row>
    <row r="62" spans="1:10" ht="16" x14ac:dyDescent="0.2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207</v>
      </c>
      <c r="G62" s="11" t="s">
        <v>203</v>
      </c>
      <c r="H62" s="11" t="s">
        <v>102</v>
      </c>
      <c r="I62" s="11" t="s">
        <v>153</v>
      </c>
      <c r="J62" s="12">
        <v>1921.97</v>
      </c>
    </row>
    <row r="63" spans="1:10" ht="32" x14ac:dyDescent="0.2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207</v>
      </c>
      <c r="G63" s="11" t="s">
        <v>203</v>
      </c>
      <c r="H63" s="11" t="s">
        <v>121</v>
      </c>
      <c r="I63" s="11" t="s">
        <v>153</v>
      </c>
      <c r="J63" s="12">
        <v>25.03</v>
      </c>
    </row>
    <row r="64" spans="1:10" ht="16" x14ac:dyDescent="0.2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207</v>
      </c>
      <c r="G64" s="11" t="s">
        <v>203</v>
      </c>
      <c r="H64" s="11" t="s">
        <v>109</v>
      </c>
      <c r="I64" s="11" t="s">
        <v>152</v>
      </c>
      <c r="J64" s="12">
        <v>108.39</v>
      </c>
    </row>
    <row r="65" spans="1:11" ht="16" x14ac:dyDescent="0.2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207</v>
      </c>
      <c r="G65" s="11" t="s">
        <v>203</v>
      </c>
      <c r="H65" s="11" t="s">
        <v>109</v>
      </c>
      <c r="I65" s="11" t="s">
        <v>153</v>
      </c>
      <c r="J65" s="12">
        <v>439.32</v>
      </c>
    </row>
    <row r="66" spans="1:11" ht="16" x14ac:dyDescent="0.2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207</v>
      </c>
      <c r="G66" s="11" t="s">
        <v>203</v>
      </c>
      <c r="H66" s="11" t="s">
        <v>109</v>
      </c>
      <c r="I66" s="11" t="s">
        <v>154</v>
      </c>
      <c r="J66" s="12">
        <v>56.71</v>
      </c>
    </row>
    <row r="67" spans="1:11" ht="16" x14ac:dyDescent="0.2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207</v>
      </c>
      <c r="G67" s="11" t="s">
        <v>203</v>
      </c>
      <c r="H67" s="11" t="s">
        <v>113</v>
      </c>
      <c r="I67" s="11" t="s">
        <v>152</v>
      </c>
      <c r="J67" s="12">
        <v>597</v>
      </c>
    </row>
    <row r="68" spans="1:11" ht="16" x14ac:dyDescent="0.2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207</v>
      </c>
      <c r="G68" s="11" t="s">
        <v>203</v>
      </c>
      <c r="H68" s="11" t="s">
        <v>103</v>
      </c>
      <c r="I68" s="11" t="s">
        <v>153</v>
      </c>
      <c r="J68" s="12">
        <v>958.05</v>
      </c>
    </row>
    <row r="69" spans="1:11" ht="16" x14ac:dyDescent="0.2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207</v>
      </c>
      <c r="G69" s="11" t="s">
        <v>203</v>
      </c>
      <c r="H69" s="11" t="s">
        <v>103</v>
      </c>
      <c r="I69" s="11" t="s">
        <v>154</v>
      </c>
      <c r="J69" s="12">
        <v>344.44</v>
      </c>
    </row>
    <row r="70" spans="1:11" ht="32" x14ac:dyDescent="0.2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207</v>
      </c>
      <c r="G70" s="11" t="s">
        <v>203</v>
      </c>
      <c r="H70" s="11" t="s">
        <v>132</v>
      </c>
      <c r="I70" s="11" t="s">
        <v>153</v>
      </c>
      <c r="J70" s="12">
        <v>1947.72</v>
      </c>
    </row>
    <row r="71" spans="1:11" ht="32" x14ac:dyDescent="0.2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207</v>
      </c>
      <c r="G71" s="11" t="s">
        <v>203</v>
      </c>
      <c r="H71" s="11" t="s">
        <v>132</v>
      </c>
      <c r="I71" s="11" t="s">
        <v>154</v>
      </c>
      <c r="J71" s="12">
        <v>670.34999999999991</v>
      </c>
    </row>
    <row r="72" spans="1:11" ht="16" x14ac:dyDescent="0.2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207</v>
      </c>
      <c r="G72" s="11" t="s">
        <v>203</v>
      </c>
      <c r="H72" s="11" t="s">
        <v>93</v>
      </c>
      <c r="I72" s="11" t="s">
        <v>152</v>
      </c>
      <c r="J72" s="12">
        <v>6897.2</v>
      </c>
    </row>
    <row r="73" spans="1:11" ht="16" x14ac:dyDescent="0.2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207</v>
      </c>
      <c r="G73" s="11" t="s">
        <v>203</v>
      </c>
      <c r="H73" s="11" t="s">
        <v>93</v>
      </c>
      <c r="I73" s="11" t="s">
        <v>153</v>
      </c>
      <c r="J73" s="12">
        <v>6798.84</v>
      </c>
    </row>
    <row r="74" spans="1:11" ht="16" x14ac:dyDescent="0.2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207</v>
      </c>
      <c r="G74" s="11" t="s">
        <v>203</v>
      </c>
      <c r="H74" s="11" t="s">
        <v>93</v>
      </c>
      <c r="I74" s="11" t="s">
        <v>154</v>
      </c>
      <c r="J74" s="12">
        <v>6203.8400000000011</v>
      </c>
    </row>
    <row r="75" spans="1:11" ht="16" x14ac:dyDescent="0.2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211</v>
      </c>
      <c r="G75" s="11" t="s">
        <v>203</v>
      </c>
      <c r="H75" s="11" t="s">
        <v>35</v>
      </c>
      <c r="I75" s="11" t="s">
        <v>34</v>
      </c>
      <c r="J75" s="11" t="s">
        <v>152</v>
      </c>
      <c r="K75" s="12">
        <v>2</v>
      </c>
    </row>
    <row r="76" spans="1:11" ht="16" x14ac:dyDescent="0.2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211</v>
      </c>
      <c r="G76" s="11" t="s">
        <v>203</v>
      </c>
      <c r="H76" s="11" t="s">
        <v>35</v>
      </c>
      <c r="I76" s="11" t="s">
        <v>75</v>
      </c>
      <c r="J76" s="11" t="s">
        <v>152</v>
      </c>
      <c r="K76" s="12">
        <v>29</v>
      </c>
    </row>
    <row r="77" spans="1:11" ht="16" x14ac:dyDescent="0.2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211</v>
      </c>
      <c r="G77" s="11" t="s">
        <v>203</v>
      </c>
      <c r="H77" s="11" t="s">
        <v>35</v>
      </c>
      <c r="I77" s="11" t="s">
        <v>75</v>
      </c>
      <c r="J77" s="11" t="s">
        <v>153</v>
      </c>
      <c r="K77" s="12">
        <v>36</v>
      </c>
    </row>
    <row r="78" spans="1:11" ht="16" x14ac:dyDescent="0.2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211</v>
      </c>
      <c r="G78" s="11" t="s">
        <v>203</v>
      </c>
      <c r="H78" s="11" t="s">
        <v>35</v>
      </c>
      <c r="I78" s="11" t="s">
        <v>75</v>
      </c>
      <c r="J78" s="11" t="s">
        <v>154</v>
      </c>
      <c r="K78" s="12">
        <v>11</v>
      </c>
    </row>
    <row r="79" spans="1:11" ht="16" x14ac:dyDescent="0.2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211</v>
      </c>
      <c r="G79" s="11" t="s">
        <v>203</v>
      </c>
      <c r="H79" s="11" t="s">
        <v>36</v>
      </c>
      <c r="I79" s="11" t="s">
        <v>34</v>
      </c>
      <c r="J79" s="11" t="s">
        <v>154</v>
      </c>
      <c r="K79" s="12">
        <v>1</v>
      </c>
    </row>
    <row r="80" spans="1:11" ht="16" x14ac:dyDescent="0.2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211</v>
      </c>
      <c r="G80" s="11" t="s">
        <v>203</v>
      </c>
      <c r="H80" s="11" t="s">
        <v>36</v>
      </c>
      <c r="I80" s="11" t="s">
        <v>75</v>
      </c>
      <c r="J80" s="11" t="s">
        <v>152</v>
      </c>
      <c r="K80" s="12">
        <v>49</v>
      </c>
    </row>
    <row r="81" spans="1:11" ht="16" x14ac:dyDescent="0.2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211</v>
      </c>
      <c r="G81" s="11" t="s">
        <v>203</v>
      </c>
      <c r="H81" s="11" t="s">
        <v>36</v>
      </c>
      <c r="I81" s="11" t="s">
        <v>75</v>
      </c>
      <c r="J81" s="11" t="s">
        <v>153</v>
      </c>
      <c r="K81" s="12">
        <v>40</v>
      </c>
    </row>
    <row r="82" spans="1:11" ht="16" x14ac:dyDescent="0.2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211</v>
      </c>
      <c r="G82" s="11" t="s">
        <v>203</v>
      </c>
      <c r="H82" s="11" t="s">
        <v>36</v>
      </c>
      <c r="I82" s="11" t="s">
        <v>75</v>
      </c>
      <c r="J82" s="11" t="s">
        <v>154</v>
      </c>
      <c r="K82" s="12">
        <v>22</v>
      </c>
    </row>
    <row r="83" spans="1:11" ht="16" x14ac:dyDescent="0.2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211</v>
      </c>
      <c r="G83" s="11" t="s">
        <v>203</v>
      </c>
      <c r="H83" s="11" t="s">
        <v>37</v>
      </c>
      <c r="I83" s="11" t="s">
        <v>34</v>
      </c>
      <c r="J83" s="11" t="s">
        <v>152</v>
      </c>
      <c r="K83" s="12">
        <v>2</v>
      </c>
    </row>
    <row r="84" spans="1:11" ht="16" x14ac:dyDescent="0.2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211</v>
      </c>
      <c r="G84" s="11" t="s">
        <v>203</v>
      </c>
      <c r="H84" s="11" t="s">
        <v>37</v>
      </c>
      <c r="I84" s="11" t="s">
        <v>34</v>
      </c>
      <c r="J84" s="11" t="s">
        <v>153</v>
      </c>
      <c r="K84" s="12">
        <v>1</v>
      </c>
    </row>
    <row r="85" spans="1:11" ht="16" x14ac:dyDescent="0.2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211</v>
      </c>
      <c r="G85" s="11" t="s">
        <v>203</v>
      </c>
      <c r="H85" s="11" t="s">
        <v>37</v>
      </c>
      <c r="I85" s="11" t="s">
        <v>34</v>
      </c>
      <c r="J85" s="11" t="s">
        <v>154</v>
      </c>
      <c r="K85" s="12">
        <v>2</v>
      </c>
    </row>
    <row r="86" spans="1:11" ht="16" x14ac:dyDescent="0.2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211</v>
      </c>
      <c r="G86" s="11" t="s">
        <v>203</v>
      </c>
      <c r="H86" s="11" t="s">
        <v>37</v>
      </c>
      <c r="I86" s="11" t="s">
        <v>75</v>
      </c>
      <c r="J86" s="11" t="s">
        <v>152</v>
      </c>
      <c r="K86" s="12">
        <v>20</v>
      </c>
    </row>
    <row r="87" spans="1:11" ht="16" x14ac:dyDescent="0.2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211</v>
      </c>
      <c r="G87" s="11" t="s">
        <v>203</v>
      </c>
      <c r="H87" s="11" t="s">
        <v>37</v>
      </c>
      <c r="I87" s="11" t="s">
        <v>75</v>
      </c>
      <c r="J87" s="11" t="s">
        <v>153</v>
      </c>
      <c r="K87" s="12">
        <v>13</v>
      </c>
    </row>
    <row r="88" spans="1:11" ht="16" x14ac:dyDescent="0.2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211</v>
      </c>
      <c r="G88" s="11" t="s">
        <v>203</v>
      </c>
      <c r="H88" s="11" t="s">
        <v>37</v>
      </c>
      <c r="I88" s="11" t="s">
        <v>75</v>
      </c>
      <c r="J88" s="11" t="s">
        <v>154</v>
      </c>
      <c r="K88" s="12">
        <v>9</v>
      </c>
    </row>
    <row r="89" spans="1:11" ht="16" x14ac:dyDescent="0.2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211</v>
      </c>
      <c r="G89" s="11" t="s">
        <v>203</v>
      </c>
      <c r="H89" s="11" t="s">
        <v>40</v>
      </c>
      <c r="I89" s="11" t="s">
        <v>34</v>
      </c>
      <c r="J89" s="11" t="s">
        <v>152</v>
      </c>
      <c r="K89" s="12">
        <v>2</v>
      </c>
    </row>
    <row r="90" spans="1:11" ht="16" x14ac:dyDescent="0.2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211</v>
      </c>
      <c r="G90" s="11" t="s">
        <v>203</v>
      </c>
      <c r="H90" s="11" t="s">
        <v>40</v>
      </c>
      <c r="I90" s="11" t="s">
        <v>34</v>
      </c>
      <c r="J90" s="11" t="s">
        <v>153</v>
      </c>
      <c r="K90" s="12">
        <v>1</v>
      </c>
    </row>
    <row r="91" spans="1:11" ht="16" x14ac:dyDescent="0.2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211</v>
      </c>
      <c r="G91" s="11" t="s">
        <v>203</v>
      </c>
      <c r="H91" s="11" t="s">
        <v>40</v>
      </c>
      <c r="I91" s="11" t="s">
        <v>75</v>
      </c>
      <c r="J91" s="11" t="s">
        <v>152</v>
      </c>
      <c r="K91" s="12">
        <v>19</v>
      </c>
    </row>
    <row r="92" spans="1:11" ht="16" x14ac:dyDescent="0.2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211</v>
      </c>
      <c r="G92" s="11" t="s">
        <v>203</v>
      </c>
      <c r="H92" s="11" t="s">
        <v>40</v>
      </c>
      <c r="I92" s="11" t="s">
        <v>75</v>
      </c>
      <c r="J92" s="11" t="s">
        <v>153</v>
      </c>
      <c r="K92" s="12">
        <v>25</v>
      </c>
    </row>
    <row r="93" spans="1:11" ht="16" x14ac:dyDescent="0.2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211</v>
      </c>
      <c r="G93" s="11" t="s">
        <v>203</v>
      </c>
      <c r="H93" s="11" t="s">
        <v>40</v>
      </c>
      <c r="I93" s="11" t="s">
        <v>75</v>
      </c>
      <c r="J93" s="11" t="s">
        <v>154</v>
      </c>
      <c r="K93" s="12">
        <v>17</v>
      </c>
    </row>
    <row r="94" spans="1:11" ht="16" x14ac:dyDescent="0.2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211</v>
      </c>
      <c r="G94" s="11" t="s">
        <v>203</v>
      </c>
      <c r="H94" s="11" t="s">
        <v>42</v>
      </c>
      <c r="I94" s="11" t="s">
        <v>75</v>
      </c>
      <c r="J94" s="11" t="s">
        <v>153</v>
      </c>
      <c r="K94" s="12">
        <v>1</v>
      </c>
    </row>
    <row r="95" spans="1:11" ht="16" x14ac:dyDescent="0.2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211</v>
      </c>
      <c r="G95" s="11" t="s">
        <v>203</v>
      </c>
      <c r="H95" s="11" t="s">
        <v>43</v>
      </c>
      <c r="I95" s="11" t="s">
        <v>75</v>
      </c>
      <c r="J95" s="11" t="s">
        <v>152</v>
      </c>
      <c r="K95" s="12">
        <v>1</v>
      </c>
    </row>
    <row r="96" spans="1:11" ht="16" x14ac:dyDescent="0.2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211</v>
      </c>
      <c r="G96" s="11" t="s">
        <v>203</v>
      </c>
      <c r="H96" s="11" t="s">
        <v>44</v>
      </c>
      <c r="I96" s="11" t="s">
        <v>75</v>
      </c>
      <c r="J96" s="11" t="s">
        <v>152</v>
      </c>
      <c r="K96" s="12">
        <v>9</v>
      </c>
    </row>
    <row r="97" spans="1:11" ht="16" x14ac:dyDescent="0.2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211</v>
      </c>
      <c r="G97" s="11" t="s">
        <v>203</v>
      </c>
      <c r="H97" s="11" t="s">
        <v>44</v>
      </c>
      <c r="I97" s="11" t="s">
        <v>75</v>
      </c>
      <c r="J97" s="11" t="s">
        <v>153</v>
      </c>
      <c r="K97" s="12">
        <v>8</v>
      </c>
    </row>
    <row r="98" spans="1:11" ht="16" x14ac:dyDescent="0.2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211</v>
      </c>
      <c r="G98" s="11" t="s">
        <v>203</v>
      </c>
      <c r="H98" s="11" t="s">
        <v>45</v>
      </c>
      <c r="I98" s="11" t="s">
        <v>75</v>
      </c>
      <c r="J98" s="11" t="s">
        <v>152</v>
      </c>
      <c r="K98" s="12">
        <v>3</v>
      </c>
    </row>
    <row r="99" spans="1:11" ht="16" x14ac:dyDescent="0.2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211</v>
      </c>
      <c r="G99" s="11" t="s">
        <v>203</v>
      </c>
      <c r="H99" s="11" t="s">
        <v>45</v>
      </c>
      <c r="I99" s="11" t="s">
        <v>75</v>
      </c>
      <c r="J99" s="11" t="s">
        <v>153</v>
      </c>
      <c r="K99" s="12">
        <v>4</v>
      </c>
    </row>
    <row r="100" spans="1:11" ht="16" x14ac:dyDescent="0.2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211</v>
      </c>
      <c r="G100" s="11" t="s">
        <v>203</v>
      </c>
      <c r="H100" s="11" t="s">
        <v>45</v>
      </c>
      <c r="I100" s="11" t="s">
        <v>75</v>
      </c>
      <c r="J100" s="11" t="s">
        <v>154</v>
      </c>
      <c r="K100" s="12">
        <v>4</v>
      </c>
    </row>
    <row r="101" spans="1:11" ht="16" x14ac:dyDescent="0.2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211</v>
      </c>
      <c r="G101" s="11" t="s">
        <v>203</v>
      </c>
      <c r="H101" s="11" t="s">
        <v>46</v>
      </c>
      <c r="I101" s="11" t="s">
        <v>75</v>
      </c>
      <c r="J101" s="11" t="s">
        <v>153</v>
      </c>
      <c r="K101" s="12">
        <v>1</v>
      </c>
    </row>
    <row r="102" spans="1:11" ht="16" x14ac:dyDescent="0.2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211</v>
      </c>
      <c r="G102" s="11" t="s">
        <v>203</v>
      </c>
      <c r="H102" s="11" t="s">
        <v>47</v>
      </c>
      <c r="I102" s="11" t="s">
        <v>75</v>
      </c>
      <c r="J102" s="11" t="s">
        <v>153</v>
      </c>
      <c r="K102" s="12">
        <v>3</v>
      </c>
    </row>
    <row r="103" spans="1:11" ht="16" x14ac:dyDescent="0.2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211</v>
      </c>
      <c r="G103" s="11" t="s">
        <v>203</v>
      </c>
      <c r="H103" s="11" t="s">
        <v>48</v>
      </c>
      <c r="I103" s="11" t="s">
        <v>75</v>
      </c>
      <c r="J103" s="11" t="s">
        <v>152</v>
      </c>
      <c r="K103" s="12">
        <v>2</v>
      </c>
    </row>
    <row r="104" spans="1:11" ht="16" x14ac:dyDescent="0.2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211</v>
      </c>
      <c r="G104" s="11" t="s">
        <v>203</v>
      </c>
      <c r="H104" s="11" t="s">
        <v>48</v>
      </c>
      <c r="I104" s="11" t="s">
        <v>75</v>
      </c>
      <c r="J104" s="11" t="s">
        <v>153</v>
      </c>
      <c r="K104" s="12">
        <v>5</v>
      </c>
    </row>
    <row r="105" spans="1:11" ht="16" x14ac:dyDescent="0.2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211</v>
      </c>
      <c r="G105" s="11" t="s">
        <v>203</v>
      </c>
      <c r="H105" s="11" t="s">
        <v>49</v>
      </c>
      <c r="I105" s="11" t="s">
        <v>34</v>
      </c>
      <c r="J105" s="11" t="s">
        <v>152</v>
      </c>
      <c r="K105" s="12">
        <v>1</v>
      </c>
    </row>
    <row r="106" spans="1:11" ht="16" x14ac:dyDescent="0.2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211</v>
      </c>
      <c r="G106" s="11" t="s">
        <v>203</v>
      </c>
      <c r="H106" s="11" t="s">
        <v>49</v>
      </c>
      <c r="I106" s="11" t="s">
        <v>75</v>
      </c>
      <c r="J106" s="11" t="s">
        <v>152</v>
      </c>
      <c r="K106" s="12">
        <v>3</v>
      </c>
    </row>
    <row r="107" spans="1:11" ht="16" x14ac:dyDescent="0.2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211</v>
      </c>
      <c r="G107" s="11" t="s">
        <v>203</v>
      </c>
      <c r="H107" s="11" t="s">
        <v>50</v>
      </c>
      <c r="I107" s="11" t="s">
        <v>75</v>
      </c>
      <c r="J107" s="11" t="s">
        <v>152</v>
      </c>
      <c r="K107" s="12">
        <v>1</v>
      </c>
    </row>
    <row r="108" spans="1:11" ht="16" x14ac:dyDescent="0.2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211</v>
      </c>
      <c r="G108" s="11" t="s">
        <v>203</v>
      </c>
      <c r="H108" s="11" t="s">
        <v>52</v>
      </c>
      <c r="I108" s="11" t="s">
        <v>34</v>
      </c>
      <c r="J108" s="11" t="s">
        <v>154</v>
      </c>
      <c r="K108" s="12">
        <v>1</v>
      </c>
    </row>
    <row r="109" spans="1:11" ht="16" x14ac:dyDescent="0.2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211</v>
      </c>
      <c r="G109" s="11" t="s">
        <v>203</v>
      </c>
      <c r="H109" s="11" t="s">
        <v>52</v>
      </c>
      <c r="I109" s="11" t="s">
        <v>75</v>
      </c>
      <c r="J109" s="11" t="s">
        <v>152</v>
      </c>
      <c r="K109" s="12">
        <v>15</v>
      </c>
    </row>
    <row r="110" spans="1:11" ht="16" x14ac:dyDescent="0.2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211</v>
      </c>
      <c r="G110" s="11" t="s">
        <v>203</v>
      </c>
      <c r="H110" s="11" t="s">
        <v>52</v>
      </c>
      <c r="I110" s="11" t="s">
        <v>75</v>
      </c>
      <c r="J110" s="11" t="s">
        <v>153</v>
      </c>
      <c r="K110" s="12">
        <v>11</v>
      </c>
    </row>
    <row r="111" spans="1:11" ht="16" x14ac:dyDescent="0.2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211</v>
      </c>
      <c r="G111" s="11" t="s">
        <v>203</v>
      </c>
      <c r="H111" s="11" t="s">
        <v>52</v>
      </c>
      <c r="I111" s="11" t="s">
        <v>75</v>
      </c>
      <c r="J111" s="11" t="s">
        <v>154</v>
      </c>
      <c r="K111" s="12">
        <v>1</v>
      </c>
    </row>
    <row r="112" spans="1:11" ht="16" x14ac:dyDescent="0.2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211</v>
      </c>
      <c r="G112" s="11" t="s">
        <v>203</v>
      </c>
      <c r="H112" s="11" t="s">
        <v>53</v>
      </c>
      <c r="I112" s="11" t="s">
        <v>75</v>
      </c>
      <c r="J112" s="11" t="s">
        <v>152</v>
      </c>
      <c r="K112" s="12">
        <v>15</v>
      </c>
    </row>
    <row r="113" spans="1:11" ht="16" x14ac:dyDescent="0.2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211</v>
      </c>
      <c r="G113" s="11" t="s">
        <v>203</v>
      </c>
      <c r="H113" s="11" t="s">
        <v>53</v>
      </c>
      <c r="I113" s="11" t="s">
        <v>75</v>
      </c>
      <c r="J113" s="11" t="s">
        <v>153</v>
      </c>
      <c r="K113" s="12">
        <v>6</v>
      </c>
    </row>
    <row r="114" spans="1:11" ht="16" x14ac:dyDescent="0.2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211</v>
      </c>
      <c r="G114" s="11" t="s">
        <v>203</v>
      </c>
      <c r="H114" s="11" t="s">
        <v>53</v>
      </c>
      <c r="I114" s="11" t="s">
        <v>75</v>
      </c>
      <c r="J114" s="11" t="s">
        <v>154</v>
      </c>
      <c r="K114" s="12">
        <v>10</v>
      </c>
    </row>
    <row r="115" spans="1:11" ht="16" x14ac:dyDescent="0.2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211</v>
      </c>
      <c r="G115" s="11" t="s">
        <v>203</v>
      </c>
      <c r="H115" s="11" t="s">
        <v>54</v>
      </c>
      <c r="I115" s="11" t="s">
        <v>75</v>
      </c>
      <c r="J115" s="11" t="s">
        <v>152</v>
      </c>
      <c r="K115" s="12">
        <v>2</v>
      </c>
    </row>
    <row r="116" spans="1:11" ht="16" x14ac:dyDescent="0.2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211</v>
      </c>
      <c r="G116" s="11" t="s">
        <v>203</v>
      </c>
      <c r="H116" s="11" t="s">
        <v>54</v>
      </c>
      <c r="I116" s="11" t="s">
        <v>75</v>
      </c>
      <c r="J116" s="11" t="s">
        <v>153</v>
      </c>
      <c r="K116" s="12">
        <v>1</v>
      </c>
    </row>
    <row r="117" spans="1:11" ht="16" x14ac:dyDescent="0.2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211</v>
      </c>
      <c r="G117" s="11" t="s">
        <v>203</v>
      </c>
      <c r="H117" s="11" t="s">
        <v>54</v>
      </c>
      <c r="I117" s="11" t="s">
        <v>75</v>
      </c>
      <c r="J117" s="11" t="s">
        <v>154</v>
      </c>
      <c r="K117" s="12">
        <v>3</v>
      </c>
    </row>
    <row r="118" spans="1:11" ht="16" x14ac:dyDescent="0.2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211</v>
      </c>
      <c r="G118" s="11" t="s">
        <v>203</v>
      </c>
      <c r="H118" s="11" t="s">
        <v>55</v>
      </c>
      <c r="I118" s="11" t="s">
        <v>34</v>
      </c>
      <c r="J118" s="11" t="s">
        <v>154</v>
      </c>
      <c r="K118" s="12">
        <v>1</v>
      </c>
    </row>
    <row r="119" spans="1:11" ht="16" x14ac:dyDescent="0.2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211</v>
      </c>
      <c r="G119" s="11" t="s">
        <v>203</v>
      </c>
      <c r="H119" s="11" t="s">
        <v>55</v>
      </c>
      <c r="I119" s="11" t="s">
        <v>75</v>
      </c>
      <c r="J119" s="11" t="s">
        <v>152</v>
      </c>
      <c r="K119" s="12">
        <v>4</v>
      </c>
    </row>
    <row r="120" spans="1:11" ht="16" x14ac:dyDescent="0.2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211</v>
      </c>
      <c r="G120" s="11" t="s">
        <v>203</v>
      </c>
      <c r="H120" s="11" t="s">
        <v>55</v>
      </c>
      <c r="I120" s="11" t="s">
        <v>75</v>
      </c>
      <c r="J120" s="11" t="s">
        <v>153</v>
      </c>
      <c r="K120" s="12">
        <v>4</v>
      </c>
    </row>
    <row r="121" spans="1:11" ht="16" x14ac:dyDescent="0.2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211</v>
      </c>
      <c r="G121" s="11" t="s">
        <v>203</v>
      </c>
      <c r="H121" s="11" t="s">
        <v>55</v>
      </c>
      <c r="I121" s="11" t="s">
        <v>75</v>
      </c>
      <c r="J121" s="11" t="s">
        <v>154</v>
      </c>
      <c r="K121" s="12">
        <v>1</v>
      </c>
    </row>
    <row r="122" spans="1:11" ht="16" x14ac:dyDescent="0.2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211</v>
      </c>
      <c r="G122" s="11" t="s">
        <v>203</v>
      </c>
      <c r="H122" s="11" t="s">
        <v>56</v>
      </c>
      <c r="I122" s="11" t="s">
        <v>34</v>
      </c>
      <c r="J122" s="11" t="s">
        <v>154</v>
      </c>
      <c r="K122" s="12">
        <v>1</v>
      </c>
    </row>
    <row r="123" spans="1:11" ht="16" x14ac:dyDescent="0.2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211</v>
      </c>
      <c r="G123" s="11" t="s">
        <v>203</v>
      </c>
      <c r="H123" s="11" t="s">
        <v>56</v>
      </c>
      <c r="I123" s="11" t="s">
        <v>75</v>
      </c>
      <c r="J123" s="11" t="s">
        <v>152</v>
      </c>
      <c r="K123" s="12">
        <v>6</v>
      </c>
    </row>
    <row r="124" spans="1:11" ht="16" x14ac:dyDescent="0.2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211</v>
      </c>
      <c r="G124" s="11" t="s">
        <v>203</v>
      </c>
      <c r="H124" s="11" t="s">
        <v>56</v>
      </c>
      <c r="I124" s="11" t="s">
        <v>75</v>
      </c>
      <c r="J124" s="11" t="s">
        <v>153</v>
      </c>
      <c r="K124" s="12">
        <v>8</v>
      </c>
    </row>
    <row r="125" spans="1:11" ht="16" x14ac:dyDescent="0.2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211</v>
      </c>
      <c r="G125" s="11" t="s">
        <v>203</v>
      </c>
      <c r="H125" s="11" t="s">
        <v>56</v>
      </c>
      <c r="I125" s="11" t="s">
        <v>75</v>
      </c>
      <c r="J125" s="11" t="s">
        <v>154</v>
      </c>
      <c r="K125" s="12">
        <v>5</v>
      </c>
    </row>
    <row r="126" spans="1:11" ht="16" x14ac:dyDescent="0.2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211</v>
      </c>
      <c r="G126" s="11" t="s">
        <v>203</v>
      </c>
      <c r="H126" s="11" t="s">
        <v>57</v>
      </c>
      <c r="I126" s="11" t="s">
        <v>75</v>
      </c>
      <c r="J126" s="11" t="s">
        <v>153</v>
      </c>
      <c r="K126" s="12">
        <v>1</v>
      </c>
    </row>
    <row r="127" spans="1:11" ht="16" x14ac:dyDescent="0.2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211</v>
      </c>
      <c r="G127" s="11" t="s">
        <v>203</v>
      </c>
      <c r="H127" s="11" t="s">
        <v>58</v>
      </c>
      <c r="I127" s="11" t="s">
        <v>75</v>
      </c>
      <c r="J127" s="11" t="s">
        <v>152</v>
      </c>
      <c r="K127" s="12">
        <v>7</v>
      </c>
    </row>
    <row r="128" spans="1:11" ht="16" x14ac:dyDescent="0.2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211</v>
      </c>
      <c r="G128" s="11" t="s">
        <v>203</v>
      </c>
      <c r="H128" s="11" t="s">
        <v>58</v>
      </c>
      <c r="I128" s="11" t="s">
        <v>75</v>
      </c>
      <c r="J128" s="11" t="s">
        <v>153</v>
      </c>
      <c r="K128" s="12">
        <v>9</v>
      </c>
    </row>
    <row r="129" spans="1:11" ht="16" x14ac:dyDescent="0.2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211</v>
      </c>
      <c r="G129" s="11" t="s">
        <v>203</v>
      </c>
      <c r="H129" s="11" t="s">
        <v>58</v>
      </c>
      <c r="I129" s="11" t="s">
        <v>75</v>
      </c>
      <c r="J129" s="11" t="s">
        <v>154</v>
      </c>
      <c r="K129" s="12">
        <v>1</v>
      </c>
    </row>
    <row r="130" spans="1:11" ht="16" x14ac:dyDescent="0.2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211</v>
      </c>
      <c r="G130" s="11" t="s">
        <v>203</v>
      </c>
      <c r="H130" s="11" t="s">
        <v>60</v>
      </c>
      <c r="I130" s="11" t="s">
        <v>75</v>
      </c>
      <c r="J130" s="11" t="s">
        <v>153</v>
      </c>
      <c r="K130" s="12">
        <v>3</v>
      </c>
    </row>
    <row r="131" spans="1:11" ht="16" x14ac:dyDescent="0.2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211</v>
      </c>
      <c r="G131" s="11" t="s">
        <v>203</v>
      </c>
      <c r="H131" s="11" t="s">
        <v>60</v>
      </c>
      <c r="I131" s="11" t="s">
        <v>75</v>
      </c>
      <c r="J131" s="11" t="s">
        <v>154</v>
      </c>
      <c r="K131" s="12">
        <v>1</v>
      </c>
    </row>
    <row r="132" spans="1:11" ht="16" x14ac:dyDescent="0.2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211</v>
      </c>
      <c r="G132" s="11" t="s">
        <v>203</v>
      </c>
      <c r="H132" s="11" t="s">
        <v>61</v>
      </c>
      <c r="I132" s="11" t="s">
        <v>75</v>
      </c>
      <c r="J132" s="11" t="s">
        <v>152</v>
      </c>
      <c r="K132" s="12">
        <v>10</v>
      </c>
    </row>
    <row r="133" spans="1:11" ht="16" x14ac:dyDescent="0.2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211</v>
      </c>
      <c r="G133" s="11" t="s">
        <v>203</v>
      </c>
      <c r="H133" s="11" t="s">
        <v>61</v>
      </c>
      <c r="I133" s="11" t="s">
        <v>75</v>
      </c>
      <c r="J133" s="11" t="s">
        <v>153</v>
      </c>
      <c r="K133" s="12">
        <v>13</v>
      </c>
    </row>
    <row r="134" spans="1:11" ht="16" x14ac:dyDescent="0.2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211</v>
      </c>
      <c r="G134" s="11" t="s">
        <v>203</v>
      </c>
      <c r="H134" s="11" t="s">
        <v>61</v>
      </c>
      <c r="I134" s="11" t="s">
        <v>75</v>
      </c>
      <c r="J134" s="11" t="s">
        <v>154</v>
      </c>
      <c r="K134" s="12">
        <v>1</v>
      </c>
    </row>
    <row r="135" spans="1:11" ht="16" x14ac:dyDescent="0.2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211</v>
      </c>
      <c r="G135" s="11" t="s">
        <v>203</v>
      </c>
      <c r="H135" s="11" t="s">
        <v>62</v>
      </c>
      <c r="I135" s="11" t="s">
        <v>75</v>
      </c>
      <c r="J135" s="11" t="s">
        <v>153</v>
      </c>
      <c r="K135" s="12">
        <v>5</v>
      </c>
    </row>
    <row r="136" spans="1:11" ht="16" x14ac:dyDescent="0.2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211</v>
      </c>
      <c r="G136" s="11" t="s">
        <v>203</v>
      </c>
      <c r="H136" s="11" t="s">
        <v>64</v>
      </c>
      <c r="I136" s="11" t="s">
        <v>34</v>
      </c>
      <c r="J136" s="11" t="s">
        <v>153</v>
      </c>
      <c r="K136" s="12">
        <v>1</v>
      </c>
    </row>
    <row r="137" spans="1:11" ht="16" x14ac:dyDescent="0.2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211</v>
      </c>
      <c r="G137" s="11" t="s">
        <v>203</v>
      </c>
      <c r="H137" s="11" t="s">
        <v>64</v>
      </c>
      <c r="I137" s="11" t="s">
        <v>75</v>
      </c>
      <c r="J137" s="11" t="s">
        <v>152</v>
      </c>
      <c r="K137" s="12">
        <v>2</v>
      </c>
    </row>
    <row r="138" spans="1:11" ht="16" x14ac:dyDescent="0.2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211</v>
      </c>
      <c r="G138" s="11" t="s">
        <v>203</v>
      </c>
      <c r="H138" s="11" t="s">
        <v>64</v>
      </c>
      <c r="I138" s="11" t="s">
        <v>75</v>
      </c>
      <c r="J138" s="11" t="s">
        <v>153</v>
      </c>
      <c r="K138" s="12">
        <v>2</v>
      </c>
    </row>
    <row r="139" spans="1:11" ht="16" x14ac:dyDescent="0.2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211</v>
      </c>
      <c r="G139" s="11" t="s">
        <v>203</v>
      </c>
      <c r="H139" s="11" t="s">
        <v>64</v>
      </c>
      <c r="I139" s="11" t="s">
        <v>75</v>
      </c>
      <c r="J139" s="11" t="s">
        <v>154</v>
      </c>
      <c r="K139" s="12">
        <v>1</v>
      </c>
    </row>
    <row r="140" spans="1:11" ht="16" x14ac:dyDescent="0.2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211</v>
      </c>
      <c r="G140" s="11" t="s">
        <v>203</v>
      </c>
      <c r="H140" s="11" t="s">
        <v>65</v>
      </c>
      <c r="I140" s="11" t="s">
        <v>75</v>
      </c>
      <c r="J140" s="11" t="s">
        <v>152</v>
      </c>
      <c r="K140" s="12">
        <v>2</v>
      </c>
    </row>
    <row r="141" spans="1:11" ht="16" x14ac:dyDescent="0.2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211</v>
      </c>
      <c r="G141" s="11" t="s">
        <v>203</v>
      </c>
      <c r="H141" s="11" t="s">
        <v>68</v>
      </c>
      <c r="I141" s="11" t="s">
        <v>75</v>
      </c>
      <c r="J141" s="11" t="s">
        <v>153</v>
      </c>
      <c r="K141" s="12">
        <v>1</v>
      </c>
    </row>
    <row r="142" spans="1:11" ht="16" x14ac:dyDescent="0.2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211</v>
      </c>
      <c r="G142" s="11" t="s">
        <v>203</v>
      </c>
      <c r="H142" s="11" t="s">
        <v>68</v>
      </c>
      <c r="I142" s="11" t="s">
        <v>75</v>
      </c>
      <c r="J142" s="11" t="s">
        <v>154</v>
      </c>
      <c r="K142" s="12">
        <v>1</v>
      </c>
    </row>
    <row r="143" spans="1:11" ht="16" x14ac:dyDescent="0.2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211</v>
      </c>
      <c r="G143" s="11" t="s">
        <v>203</v>
      </c>
      <c r="H143" s="11" t="s">
        <v>69</v>
      </c>
      <c r="I143" s="11" t="s">
        <v>34</v>
      </c>
      <c r="J143" s="11" t="s">
        <v>153</v>
      </c>
      <c r="K143" s="12">
        <v>5</v>
      </c>
    </row>
    <row r="144" spans="1:11" ht="16" x14ac:dyDescent="0.2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211</v>
      </c>
      <c r="G144" s="11" t="s">
        <v>203</v>
      </c>
      <c r="H144" s="11" t="s">
        <v>69</v>
      </c>
      <c r="I144" s="11" t="s">
        <v>34</v>
      </c>
      <c r="J144" s="11" t="s">
        <v>154</v>
      </c>
      <c r="K144" s="12">
        <v>3</v>
      </c>
    </row>
    <row r="145" spans="1:11" ht="16" x14ac:dyDescent="0.2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211</v>
      </c>
      <c r="G145" s="11" t="s">
        <v>203</v>
      </c>
      <c r="H145" s="11" t="s">
        <v>69</v>
      </c>
      <c r="I145" s="11" t="s">
        <v>75</v>
      </c>
      <c r="J145" s="11" t="s">
        <v>152</v>
      </c>
      <c r="K145" s="12">
        <v>35</v>
      </c>
    </row>
    <row r="146" spans="1:11" ht="16" x14ac:dyDescent="0.2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211</v>
      </c>
      <c r="G146" s="11" t="s">
        <v>203</v>
      </c>
      <c r="H146" s="11" t="s">
        <v>69</v>
      </c>
      <c r="I146" s="11" t="s">
        <v>75</v>
      </c>
      <c r="J146" s="11" t="s">
        <v>153</v>
      </c>
      <c r="K146" s="12">
        <v>27</v>
      </c>
    </row>
    <row r="147" spans="1:11" ht="16" x14ac:dyDescent="0.2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211</v>
      </c>
      <c r="G147" s="11" t="s">
        <v>203</v>
      </c>
      <c r="H147" s="11" t="s">
        <v>69</v>
      </c>
      <c r="I147" s="11" t="s">
        <v>75</v>
      </c>
      <c r="J147" s="11" t="s">
        <v>154</v>
      </c>
      <c r="K147" s="12">
        <v>15</v>
      </c>
    </row>
    <row r="148" spans="1:11" ht="32" x14ac:dyDescent="0.2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104</v>
      </c>
      <c r="H148" s="11" t="s">
        <v>152</v>
      </c>
      <c r="I148" s="12">
        <v>701.3</v>
      </c>
      <c r="J148" s="45" t="s">
        <v>208</v>
      </c>
    </row>
    <row r="149" spans="1:11" ht="16" x14ac:dyDescent="0.2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87</v>
      </c>
      <c r="H149" s="11" t="s">
        <v>152</v>
      </c>
      <c r="I149" s="12">
        <v>739.74</v>
      </c>
      <c r="J149" s="45" t="s">
        <v>208</v>
      </c>
    </row>
    <row r="150" spans="1:11" ht="16" x14ac:dyDescent="0.2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87</v>
      </c>
      <c r="H150" s="11" t="s">
        <v>153</v>
      </c>
      <c r="I150" s="12">
        <v>1333.05</v>
      </c>
      <c r="J150" s="45" t="s">
        <v>208</v>
      </c>
    </row>
    <row r="151" spans="1:11" ht="16" x14ac:dyDescent="0.2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87</v>
      </c>
      <c r="H151" s="11" t="s">
        <v>154</v>
      </c>
      <c r="I151" s="12">
        <v>51.62</v>
      </c>
      <c r="J151" s="45" t="s">
        <v>208</v>
      </c>
    </row>
    <row r="152" spans="1:11" ht="16" x14ac:dyDescent="0.2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88</v>
      </c>
      <c r="H152" s="11" t="s">
        <v>152</v>
      </c>
      <c r="I152" s="12">
        <v>1056.1600000000001</v>
      </c>
      <c r="J152" s="45" t="s">
        <v>208</v>
      </c>
    </row>
    <row r="153" spans="1:11" ht="16" x14ac:dyDescent="0.2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88</v>
      </c>
      <c r="H153" s="11" t="s">
        <v>153</v>
      </c>
      <c r="I153" s="12">
        <v>1334.88</v>
      </c>
      <c r="J153" s="45" t="s">
        <v>208</v>
      </c>
    </row>
    <row r="154" spans="1:11" ht="16" x14ac:dyDescent="0.2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88</v>
      </c>
      <c r="H154" s="11" t="s">
        <v>154</v>
      </c>
      <c r="I154" s="12">
        <v>298.10000000000002</v>
      </c>
      <c r="J154" s="45" t="s">
        <v>208</v>
      </c>
    </row>
    <row r="155" spans="1:11" ht="32" x14ac:dyDescent="0.2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204</v>
      </c>
      <c r="H155" s="11" t="s">
        <v>152</v>
      </c>
      <c r="I155" s="12">
        <v>11.76</v>
      </c>
      <c r="J155" s="45" t="s">
        <v>208</v>
      </c>
    </row>
    <row r="156" spans="1:11" ht="32" x14ac:dyDescent="0.2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204</v>
      </c>
      <c r="H156" s="11" t="s">
        <v>153</v>
      </c>
      <c r="I156" s="12">
        <v>62.04</v>
      </c>
      <c r="J156" s="45" t="s">
        <v>208</v>
      </c>
    </row>
    <row r="157" spans="1:11" ht="32" x14ac:dyDescent="0.2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204</v>
      </c>
      <c r="H157" s="11" t="s">
        <v>154</v>
      </c>
      <c r="I157" s="12">
        <v>42.519999999999996</v>
      </c>
      <c r="J157" s="45" t="s">
        <v>208</v>
      </c>
    </row>
    <row r="158" spans="1:11" ht="16" x14ac:dyDescent="0.2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89</v>
      </c>
      <c r="H158" s="11" t="s">
        <v>152</v>
      </c>
      <c r="I158" s="12">
        <v>712.96</v>
      </c>
      <c r="J158" s="45" t="s">
        <v>208</v>
      </c>
    </row>
    <row r="159" spans="1:11" ht="16" x14ac:dyDescent="0.2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89</v>
      </c>
      <c r="H159" s="11" t="s">
        <v>153</v>
      </c>
      <c r="I159" s="12">
        <v>1280.4899999999998</v>
      </c>
      <c r="J159" s="45" t="s">
        <v>208</v>
      </c>
    </row>
    <row r="160" spans="1:11" ht="16" x14ac:dyDescent="0.2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89</v>
      </c>
      <c r="H160" s="11" t="s">
        <v>154</v>
      </c>
      <c r="I160" s="12">
        <v>268.58</v>
      </c>
      <c r="J160" s="45" t="s">
        <v>208</v>
      </c>
    </row>
    <row r="161" spans="1:10" ht="32" x14ac:dyDescent="0.2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117</v>
      </c>
      <c r="H161" s="11" t="s">
        <v>152</v>
      </c>
      <c r="I161" s="12">
        <v>178.9</v>
      </c>
      <c r="J161" s="45" t="s">
        <v>208</v>
      </c>
    </row>
    <row r="162" spans="1:10" ht="32" x14ac:dyDescent="0.2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117</v>
      </c>
      <c r="H162" s="11" t="s">
        <v>153</v>
      </c>
      <c r="I162" s="12">
        <v>650.33000000000004</v>
      </c>
      <c r="J162" s="45" t="s">
        <v>208</v>
      </c>
    </row>
    <row r="163" spans="1:10" ht="16" x14ac:dyDescent="0.2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90</v>
      </c>
      <c r="H163" s="11" t="s">
        <v>152</v>
      </c>
      <c r="I163" s="12">
        <v>555.19000000000005</v>
      </c>
      <c r="J163" s="45" t="s">
        <v>208</v>
      </c>
    </row>
    <row r="164" spans="1:10" ht="16" x14ac:dyDescent="0.2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90</v>
      </c>
      <c r="H164" s="11" t="s">
        <v>153</v>
      </c>
      <c r="I164" s="12">
        <v>566.54999999999995</v>
      </c>
      <c r="J164" s="45" t="s">
        <v>208</v>
      </c>
    </row>
    <row r="165" spans="1:10" ht="16" x14ac:dyDescent="0.2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90</v>
      </c>
      <c r="H165" s="11" t="s">
        <v>154</v>
      </c>
      <c r="I165" s="12">
        <v>594.55999999999995</v>
      </c>
      <c r="J165" s="45" t="s">
        <v>208</v>
      </c>
    </row>
    <row r="166" spans="1:10" ht="16" x14ac:dyDescent="0.2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96</v>
      </c>
      <c r="H166" s="11" t="s">
        <v>152</v>
      </c>
      <c r="I166" s="12">
        <v>715.01</v>
      </c>
      <c r="J166" s="45" t="s">
        <v>208</v>
      </c>
    </row>
    <row r="167" spans="1:10" ht="16" x14ac:dyDescent="0.2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96</v>
      </c>
      <c r="H167" s="11" t="s">
        <v>153</v>
      </c>
      <c r="I167" s="12">
        <v>337.89</v>
      </c>
      <c r="J167" s="45" t="s">
        <v>208</v>
      </c>
    </row>
    <row r="168" spans="1:10" ht="16" x14ac:dyDescent="0.2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94</v>
      </c>
      <c r="H168" s="11" t="s">
        <v>152</v>
      </c>
      <c r="I168" s="12">
        <v>92.2</v>
      </c>
      <c r="J168" s="45" t="s">
        <v>208</v>
      </c>
    </row>
    <row r="169" spans="1:10" ht="16" x14ac:dyDescent="0.2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94</v>
      </c>
      <c r="H169" s="11" t="s">
        <v>154</v>
      </c>
      <c r="I169" s="12">
        <v>501.12</v>
      </c>
      <c r="J169" s="45" t="s">
        <v>208</v>
      </c>
    </row>
    <row r="170" spans="1:10" ht="16" x14ac:dyDescent="0.2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97</v>
      </c>
      <c r="H170" s="11" t="s">
        <v>153</v>
      </c>
      <c r="I170" s="12">
        <v>86.97</v>
      </c>
      <c r="J170" s="45" t="s">
        <v>208</v>
      </c>
    </row>
    <row r="171" spans="1:10" ht="16" x14ac:dyDescent="0.2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98</v>
      </c>
      <c r="H171" s="11" t="s">
        <v>152</v>
      </c>
      <c r="I171" s="12">
        <v>241.67</v>
      </c>
      <c r="J171" s="45" t="s">
        <v>208</v>
      </c>
    </row>
    <row r="172" spans="1:10" ht="16" x14ac:dyDescent="0.2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98</v>
      </c>
      <c r="H172" s="11" t="s">
        <v>153</v>
      </c>
      <c r="I172" s="12">
        <v>13.44</v>
      </c>
      <c r="J172" s="45" t="s">
        <v>208</v>
      </c>
    </row>
    <row r="173" spans="1:10" ht="32" x14ac:dyDescent="0.2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206</v>
      </c>
      <c r="H173" s="11" t="s">
        <v>154</v>
      </c>
      <c r="I173" s="12">
        <v>11.64</v>
      </c>
      <c r="J173" s="45" t="s">
        <v>208</v>
      </c>
    </row>
    <row r="174" spans="1:10" ht="16" x14ac:dyDescent="0.2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99</v>
      </c>
      <c r="H174" s="11" t="s">
        <v>152</v>
      </c>
      <c r="I174" s="12">
        <v>364.46</v>
      </c>
      <c r="J174" s="45" t="s">
        <v>208</v>
      </c>
    </row>
    <row r="175" spans="1:10" ht="16" x14ac:dyDescent="0.2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99</v>
      </c>
      <c r="H175" s="11" t="s">
        <v>153</v>
      </c>
      <c r="I175" s="12">
        <v>596.71</v>
      </c>
      <c r="J175" s="45" t="s">
        <v>208</v>
      </c>
    </row>
    <row r="176" spans="1:10" ht="16" x14ac:dyDescent="0.2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91</v>
      </c>
      <c r="H176" s="11" t="s">
        <v>152</v>
      </c>
      <c r="I176" s="12">
        <v>398.08</v>
      </c>
      <c r="J176" s="45" t="s">
        <v>208</v>
      </c>
    </row>
    <row r="177" spans="1:10" ht="16" x14ac:dyDescent="0.2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91</v>
      </c>
      <c r="H177" s="11" t="s">
        <v>154</v>
      </c>
      <c r="I177" s="12">
        <v>85.42</v>
      </c>
      <c r="J177" s="45" t="s">
        <v>208</v>
      </c>
    </row>
    <row r="178" spans="1:10" ht="16" x14ac:dyDescent="0.2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100</v>
      </c>
      <c r="H178" s="11" t="s">
        <v>153</v>
      </c>
      <c r="I178" s="12">
        <v>39.89</v>
      </c>
      <c r="J178" s="45" t="s">
        <v>208</v>
      </c>
    </row>
    <row r="179" spans="1:10" ht="16" x14ac:dyDescent="0.2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100</v>
      </c>
      <c r="H179" s="11" t="s">
        <v>154</v>
      </c>
      <c r="I179" s="12">
        <v>59.88</v>
      </c>
      <c r="J179" s="45" t="s">
        <v>208</v>
      </c>
    </row>
    <row r="180" spans="1:10" ht="16" x14ac:dyDescent="0.2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101</v>
      </c>
      <c r="H180" s="11" t="s">
        <v>153</v>
      </c>
      <c r="I180" s="12">
        <v>55.62</v>
      </c>
      <c r="J180" s="45" t="s">
        <v>208</v>
      </c>
    </row>
    <row r="181" spans="1:10" ht="16" x14ac:dyDescent="0.2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101</v>
      </c>
      <c r="H181" s="11" t="s">
        <v>154</v>
      </c>
      <c r="I181" s="12">
        <v>64.59</v>
      </c>
      <c r="J181" s="45" t="s">
        <v>208</v>
      </c>
    </row>
    <row r="182" spans="1:10" ht="32" x14ac:dyDescent="0.2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112</v>
      </c>
      <c r="H182" s="11" t="s">
        <v>154</v>
      </c>
      <c r="I182" s="12">
        <v>57.91</v>
      </c>
      <c r="J182" s="45" t="s">
        <v>208</v>
      </c>
    </row>
    <row r="183" spans="1:10" ht="16" x14ac:dyDescent="0.2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106</v>
      </c>
      <c r="H183" s="11" t="s">
        <v>152</v>
      </c>
      <c r="I183" s="12">
        <v>311.35000000000002</v>
      </c>
      <c r="J183" s="45" t="s">
        <v>208</v>
      </c>
    </row>
    <row r="184" spans="1:10" ht="16" x14ac:dyDescent="0.2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106</v>
      </c>
      <c r="H184" s="11" t="s">
        <v>153</v>
      </c>
      <c r="I184" s="12">
        <v>256.48</v>
      </c>
      <c r="J184" s="45" t="s">
        <v>208</v>
      </c>
    </row>
    <row r="185" spans="1:10" ht="16" x14ac:dyDescent="0.2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106</v>
      </c>
      <c r="H185" s="11" t="s">
        <v>154</v>
      </c>
      <c r="I185" s="12">
        <v>67.14</v>
      </c>
      <c r="J185" s="45" t="s">
        <v>208</v>
      </c>
    </row>
    <row r="186" spans="1:10" ht="16" x14ac:dyDescent="0.2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92</v>
      </c>
      <c r="H186" s="11" t="s">
        <v>152</v>
      </c>
      <c r="I186" s="12">
        <v>213.98000000000002</v>
      </c>
      <c r="J186" s="45" t="s">
        <v>208</v>
      </c>
    </row>
    <row r="187" spans="1:10" ht="16" x14ac:dyDescent="0.2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92</v>
      </c>
      <c r="H187" s="11" t="s">
        <v>153</v>
      </c>
      <c r="I187" s="12">
        <v>676.17</v>
      </c>
      <c r="J187" s="45" t="s">
        <v>208</v>
      </c>
    </row>
    <row r="188" spans="1:10" ht="16" x14ac:dyDescent="0.2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92</v>
      </c>
      <c r="H188" s="11" t="s">
        <v>154</v>
      </c>
      <c r="I188" s="12">
        <v>16.52</v>
      </c>
      <c r="J188" s="45" t="s">
        <v>208</v>
      </c>
    </row>
    <row r="189" spans="1:10" ht="16" x14ac:dyDescent="0.2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114</v>
      </c>
      <c r="H189" s="11" t="s">
        <v>153</v>
      </c>
      <c r="I189" s="12">
        <v>168.49</v>
      </c>
      <c r="J189" s="45" t="s">
        <v>208</v>
      </c>
    </row>
    <row r="190" spans="1:10" ht="16" x14ac:dyDescent="0.2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108</v>
      </c>
      <c r="H190" s="11" t="s">
        <v>152</v>
      </c>
      <c r="I190" s="12">
        <v>798.01</v>
      </c>
      <c r="J190" s="45" t="s">
        <v>208</v>
      </c>
    </row>
    <row r="191" spans="1:10" ht="16" x14ac:dyDescent="0.2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108</v>
      </c>
      <c r="H191" s="11" t="s">
        <v>153</v>
      </c>
      <c r="I191" s="12">
        <v>728.76</v>
      </c>
      <c r="J191" s="45" t="s">
        <v>208</v>
      </c>
    </row>
    <row r="192" spans="1:10" ht="16" x14ac:dyDescent="0.2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102</v>
      </c>
      <c r="H192" s="11" t="s">
        <v>153</v>
      </c>
      <c r="I192" s="12">
        <v>378.03</v>
      </c>
      <c r="J192" s="45" t="s">
        <v>208</v>
      </c>
    </row>
    <row r="193" spans="1:10" ht="32" x14ac:dyDescent="0.2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121</v>
      </c>
      <c r="H193" s="11" t="s">
        <v>153</v>
      </c>
      <c r="I193" s="12">
        <v>25.03</v>
      </c>
      <c r="J193" s="45" t="s">
        <v>208</v>
      </c>
    </row>
    <row r="194" spans="1:10" ht="16" x14ac:dyDescent="0.2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109</v>
      </c>
      <c r="H194" s="11" t="s">
        <v>152</v>
      </c>
      <c r="I194" s="12">
        <v>108.39</v>
      </c>
      <c r="J194" s="45" t="s">
        <v>208</v>
      </c>
    </row>
    <row r="195" spans="1:10" ht="16" x14ac:dyDescent="0.2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109</v>
      </c>
      <c r="H195" s="11" t="s">
        <v>153</v>
      </c>
      <c r="I195" s="12">
        <v>293.14</v>
      </c>
      <c r="J195" s="45" t="s">
        <v>208</v>
      </c>
    </row>
    <row r="196" spans="1:10" ht="16" x14ac:dyDescent="0.2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109</v>
      </c>
      <c r="H196" s="11" t="s">
        <v>154</v>
      </c>
      <c r="I196" s="12">
        <v>56.71</v>
      </c>
      <c r="J196" s="45" t="s">
        <v>208</v>
      </c>
    </row>
    <row r="197" spans="1:10" ht="32" x14ac:dyDescent="0.2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132</v>
      </c>
      <c r="H197" s="11" t="s">
        <v>153</v>
      </c>
      <c r="I197" s="12">
        <v>1391.5</v>
      </c>
      <c r="J197" s="45" t="s">
        <v>208</v>
      </c>
    </row>
    <row r="198" spans="1:10" ht="32" x14ac:dyDescent="0.2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132</v>
      </c>
      <c r="H198" s="11" t="s">
        <v>154</v>
      </c>
      <c r="I198" s="12">
        <v>60.15</v>
      </c>
      <c r="J198" s="45" t="s">
        <v>208</v>
      </c>
    </row>
    <row r="199" spans="1:10" ht="16" x14ac:dyDescent="0.2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93</v>
      </c>
      <c r="H199" s="11" t="s">
        <v>152</v>
      </c>
      <c r="I199" s="12">
        <v>791.02</v>
      </c>
      <c r="J199" s="45" t="s">
        <v>208</v>
      </c>
    </row>
    <row r="200" spans="1:10" ht="16" x14ac:dyDescent="0.2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93</v>
      </c>
      <c r="H200" s="11" t="s">
        <v>153</v>
      </c>
      <c r="I200" s="12">
        <v>1354.56</v>
      </c>
      <c r="J200" s="45" t="s">
        <v>208</v>
      </c>
    </row>
    <row r="201" spans="1:10" ht="16" x14ac:dyDescent="0.2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93</v>
      </c>
      <c r="H201" s="11" t="s">
        <v>154</v>
      </c>
      <c r="I201" s="12">
        <v>427.76</v>
      </c>
      <c r="J201" s="45" t="s">
        <v>208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11" bestFit="1" customWidth="1"/>
    <col min="3" max="17" width="35.5" bestFit="1" customWidth="1"/>
  </cols>
  <sheetData>
    <row r="3" spans="1:17" x14ac:dyDescent="0.2">
      <c r="C3" s="34" t="s">
        <v>84</v>
      </c>
      <c r="D3" s="34" t="s">
        <v>191</v>
      </c>
    </row>
    <row r="4" spans="1:17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202010</v>
      </c>
      <c r="H4" s="42">
        <v>202011</v>
      </c>
      <c r="I4" s="42">
        <v>202011</v>
      </c>
      <c r="J4" s="42">
        <v>202011</v>
      </c>
      <c r="K4" s="42">
        <v>202011</v>
      </c>
      <c r="L4" s="42">
        <v>202011</v>
      </c>
      <c r="M4" s="42">
        <v>202012</v>
      </c>
      <c r="N4" s="42">
        <v>202012</v>
      </c>
      <c r="O4" s="42">
        <v>202012</v>
      </c>
      <c r="P4" s="42">
        <v>202012</v>
      </c>
      <c r="Q4" s="42">
        <v>202012</v>
      </c>
    </row>
    <row r="5" spans="1:17" x14ac:dyDescent="0.2">
      <c r="A5" s="34" t="s">
        <v>184</v>
      </c>
      <c r="B5" s="34" t="s">
        <v>0</v>
      </c>
      <c r="C5" t="s">
        <v>195</v>
      </c>
      <c r="D5" t="s">
        <v>190</v>
      </c>
      <c r="E5" t="s">
        <v>192</v>
      </c>
      <c r="F5" t="s">
        <v>193</v>
      </c>
      <c r="G5" t="s">
        <v>194</v>
      </c>
      <c r="H5" t="s">
        <v>195</v>
      </c>
      <c r="I5" t="s">
        <v>190</v>
      </c>
      <c r="J5" t="s">
        <v>192</v>
      </c>
      <c r="K5" t="s">
        <v>193</v>
      </c>
      <c r="L5" t="s">
        <v>194</v>
      </c>
      <c r="M5" t="s">
        <v>195</v>
      </c>
      <c r="N5" t="s">
        <v>190</v>
      </c>
      <c r="O5" t="s">
        <v>192</v>
      </c>
      <c r="P5" t="s">
        <v>193</v>
      </c>
      <c r="Q5" t="s">
        <v>194</v>
      </c>
    </row>
    <row r="6" spans="1:17" x14ac:dyDescent="0.2">
      <c r="A6" t="s">
        <v>34</v>
      </c>
      <c r="B6" t="s">
        <v>35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">
      <c r="A7" t="s">
        <v>34</v>
      </c>
      <c r="B7" t="s">
        <v>36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">
      <c r="A8" t="s">
        <v>34</v>
      </c>
      <c r="B8" t="s">
        <v>37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">
      <c r="A9" t="s">
        <v>34</v>
      </c>
      <c r="B9" t="s">
        <v>40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">
      <c r="A10" t="s">
        <v>34</v>
      </c>
      <c r="B10" t="s">
        <v>42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">
      <c r="A11" t="s">
        <v>34</v>
      </c>
      <c r="B11" t="s">
        <v>43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">
      <c r="A12" t="s">
        <v>34</v>
      </c>
      <c r="B12" t="s">
        <v>44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">
      <c r="A13" t="s">
        <v>34</v>
      </c>
      <c r="B13" t="s">
        <v>45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">
      <c r="A14" t="s">
        <v>34</v>
      </c>
      <c r="B14" t="s">
        <v>46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">
      <c r="A15" t="s">
        <v>34</v>
      </c>
      <c r="B15" t="s">
        <v>47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">
      <c r="A16" t="s">
        <v>34</v>
      </c>
      <c r="B16" t="s">
        <v>48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">
      <c r="A17" t="s">
        <v>34</v>
      </c>
      <c r="B17" t="s">
        <v>49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">
      <c r="A18" t="s">
        <v>34</v>
      </c>
      <c r="B18" t="s">
        <v>50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">
      <c r="A19" t="s">
        <v>34</v>
      </c>
      <c r="B19" t="s">
        <v>51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">
      <c r="A20" t="s">
        <v>34</v>
      </c>
      <c r="B20" t="s">
        <v>52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">
      <c r="A21" t="s">
        <v>34</v>
      </c>
      <c r="B21" t="s">
        <v>53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">
      <c r="A22" t="s">
        <v>34</v>
      </c>
      <c r="B22" t="s">
        <v>54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">
      <c r="A23" t="s">
        <v>34</v>
      </c>
      <c r="B23" t="s">
        <v>55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">
      <c r="A24" t="s">
        <v>34</v>
      </c>
      <c r="B24" t="s">
        <v>56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">
      <c r="A25" t="s">
        <v>34</v>
      </c>
      <c r="B25" t="s">
        <v>57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">
      <c r="A26" t="s">
        <v>34</v>
      </c>
      <c r="B26" t="s">
        <v>58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">
      <c r="A27" t="s">
        <v>34</v>
      </c>
      <c r="B27" t="s">
        <v>60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">
      <c r="A28" t="s">
        <v>34</v>
      </c>
      <c r="B28" t="s">
        <v>61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">
      <c r="A29" t="s">
        <v>34</v>
      </c>
      <c r="B29" t="s">
        <v>62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">
      <c r="A30" t="s">
        <v>34</v>
      </c>
      <c r="B30" t="s">
        <v>63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">
      <c r="A31" t="s">
        <v>34</v>
      </c>
      <c r="B31" t="s">
        <v>64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">
      <c r="A32" t="s">
        <v>34</v>
      </c>
      <c r="B32" t="s">
        <v>65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">
      <c r="A33" t="s">
        <v>34</v>
      </c>
      <c r="B33" t="s">
        <v>67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">
      <c r="A34" t="s">
        <v>34</v>
      </c>
      <c r="B34" t="s">
        <v>68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">
      <c r="A35" t="s">
        <v>34</v>
      </c>
      <c r="B35" t="s">
        <v>69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">
      <c r="A36" t="s">
        <v>34</v>
      </c>
      <c r="B36" t="s">
        <v>70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">
      <c r="A37" t="s">
        <v>75</v>
      </c>
      <c r="B37" t="s">
        <v>76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">
      <c r="A38" t="s">
        <v>75</v>
      </c>
      <c r="B38" t="s">
        <v>35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">
      <c r="A39" t="s">
        <v>75</v>
      </c>
      <c r="B39" t="s">
        <v>36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">
      <c r="A40" t="s">
        <v>75</v>
      </c>
      <c r="B40" t="s">
        <v>37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">
      <c r="A41" t="s">
        <v>75</v>
      </c>
      <c r="B41" t="s">
        <v>40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">
      <c r="A42" t="s">
        <v>75</v>
      </c>
      <c r="B42" t="s">
        <v>41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">
      <c r="A43" t="s">
        <v>75</v>
      </c>
      <c r="B43" t="s">
        <v>42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">
      <c r="A44" t="s">
        <v>75</v>
      </c>
      <c r="B44" t="s">
        <v>43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">
      <c r="A45" t="s">
        <v>75</v>
      </c>
      <c r="B45" t="s">
        <v>44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">
      <c r="A46" t="s">
        <v>75</v>
      </c>
      <c r="B46" t="s">
        <v>45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">
      <c r="A47" t="s">
        <v>75</v>
      </c>
      <c r="B47" t="s">
        <v>46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">
      <c r="A48" t="s">
        <v>75</v>
      </c>
      <c r="B48" t="s">
        <v>47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">
      <c r="A49" t="s">
        <v>75</v>
      </c>
      <c r="B49" t="s">
        <v>48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">
      <c r="A50" t="s">
        <v>75</v>
      </c>
      <c r="B50" t="s">
        <v>49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">
      <c r="A51" t="s">
        <v>75</v>
      </c>
      <c r="B51" t="s">
        <v>50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">
      <c r="A52" t="s">
        <v>75</v>
      </c>
      <c r="B52" t="s">
        <v>51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">
      <c r="A53" t="s">
        <v>75</v>
      </c>
      <c r="B53" t="s">
        <v>52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">
      <c r="A54" t="s">
        <v>75</v>
      </c>
      <c r="B54" t="s">
        <v>53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">
      <c r="A55" t="s">
        <v>75</v>
      </c>
      <c r="B55" t="s">
        <v>54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">
      <c r="A56" t="s">
        <v>75</v>
      </c>
      <c r="B56" t="s">
        <v>55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">
      <c r="A57" t="s">
        <v>75</v>
      </c>
      <c r="B57" t="s">
        <v>56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">
      <c r="A58" t="s">
        <v>75</v>
      </c>
      <c r="B58" t="s">
        <v>57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">
      <c r="A59" t="s">
        <v>75</v>
      </c>
      <c r="B59" t="s">
        <v>58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">
      <c r="A60" t="s">
        <v>75</v>
      </c>
      <c r="B60" t="s">
        <v>59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">
      <c r="A61" t="s">
        <v>75</v>
      </c>
      <c r="B61" t="s">
        <v>60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">
      <c r="A62" t="s">
        <v>75</v>
      </c>
      <c r="B62" t="s">
        <v>61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">
      <c r="A63" t="s">
        <v>75</v>
      </c>
      <c r="B63" t="s">
        <v>62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">
      <c r="A64" t="s">
        <v>75</v>
      </c>
      <c r="B64" t="s">
        <v>63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">
      <c r="A65" t="s">
        <v>75</v>
      </c>
      <c r="B65" t="s">
        <v>64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">
      <c r="A66" t="s">
        <v>75</v>
      </c>
      <c r="B66" t="s">
        <v>65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">
      <c r="A67" t="s">
        <v>75</v>
      </c>
      <c r="B67" t="s">
        <v>66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">
      <c r="A68" t="s">
        <v>75</v>
      </c>
      <c r="B68" t="s">
        <v>67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">
      <c r="A69" t="s">
        <v>75</v>
      </c>
      <c r="B69" t="s">
        <v>68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">
      <c r="A70" t="s">
        <v>75</v>
      </c>
      <c r="B70" t="s">
        <v>69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">
      <c r="A71" t="s">
        <v>75</v>
      </c>
      <c r="B71" t="s">
        <v>70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4" width="30.83203125" bestFit="1" customWidth="1"/>
  </cols>
  <sheetData>
    <row r="3" spans="1:14" x14ac:dyDescent="0.2">
      <c r="C3" s="34" t="s">
        <v>84</v>
      </c>
      <c r="D3" s="34" t="s">
        <v>191</v>
      </c>
    </row>
    <row r="4" spans="1:14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202011</v>
      </c>
      <c r="H4" s="42">
        <v>202011</v>
      </c>
      <c r="I4" s="42">
        <v>202011</v>
      </c>
      <c r="J4" s="42">
        <v>202011</v>
      </c>
      <c r="K4" s="42">
        <v>202012</v>
      </c>
      <c r="L4" s="42">
        <v>202012</v>
      </c>
      <c r="M4" s="42">
        <v>202012</v>
      </c>
      <c r="N4" s="42">
        <v>202012</v>
      </c>
    </row>
    <row r="5" spans="1:14" x14ac:dyDescent="0.2">
      <c r="A5" s="34" t="s">
        <v>133</v>
      </c>
      <c r="B5" s="34" t="s">
        <v>196</v>
      </c>
      <c r="C5" t="s">
        <v>197</v>
      </c>
      <c r="D5" t="s">
        <v>198</v>
      </c>
      <c r="E5" t="s">
        <v>199</v>
      </c>
      <c r="F5" t="s">
        <v>200</v>
      </c>
      <c r="G5" t="s">
        <v>197</v>
      </c>
      <c r="H5" t="s">
        <v>198</v>
      </c>
      <c r="I5" t="s">
        <v>199</v>
      </c>
      <c r="J5" t="s">
        <v>200</v>
      </c>
      <c r="K5" t="s">
        <v>197</v>
      </c>
      <c r="L5" t="s">
        <v>198</v>
      </c>
      <c r="M5" t="s">
        <v>199</v>
      </c>
      <c r="N5" t="s">
        <v>200</v>
      </c>
    </row>
    <row r="6" spans="1:14" x14ac:dyDescent="0.2">
      <c r="A6" t="s">
        <v>34</v>
      </c>
      <c r="B6" t="s">
        <v>35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">
      <c r="A7" t="s">
        <v>34</v>
      </c>
      <c r="B7" t="s">
        <v>36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">
      <c r="A8" t="s">
        <v>34</v>
      </c>
      <c r="B8" t="s">
        <v>40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">
      <c r="A9" t="s">
        <v>34</v>
      </c>
      <c r="B9" t="s">
        <v>51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34</v>
      </c>
      <c r="B10" t="s">
        <v>55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">
      <c r="A11" t="s">
        <v>34</v>
      </c>
      <c r="B11" t="s">
        <v>56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">
      <c r="A12" t="s">
        <v>34</v>
      </c>
      <c r="B12" t="s">
        <v>57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">
      <c r="A13" t="s">
        <v>34</v>
      </c>
      <c r="B13" t="s">
        <v>64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">
      <c r="A14" t="s">
        <v>75</v>
      </c>
      <c r="B14" t="s">
        <v>35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">
      <c r="A15" t="s">
        <v>75</v>
      </c>
      <c r="B15" t="s">
        <v>36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">
      <c r="A16" t="s">
        <v>75</v>
      </c>
      <c r="B16" t="s">
        <v>37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">
      <c r="A17" t="s">
        <v>75</v>
      </c>
      <c r="B17" t="s">
        <v>40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">
      <c r="A18" t="s">
        <v>75</v>
      </c>
      <c r="B18" t="s">
        <v>42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">
      <c r="A19" t="s">
        <v>75</v>
      </c>
      <c r="B19" t="s">
        <v>43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">
      <c r="A20" t="s">
        <v>75</v>
      </c>
      <c r="B20" t="s">
        <v>44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">
      <c r="A21" t="s">
        <v>75</v>
      </c>
      <c r="B21" t="s">
        <v>45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">
      <c r="A22" t="s">
        <v>75</v>
      </c>
      <c r="B22" t="s">
        <v>46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">
      <c r="A23" t="s">
        <v>75</v>
      </c>
      <c r="B23" t="s">
        <v>47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">
      <c r="A24" t="s">
        <v>75</v>
      </c>
      <c r="B24" t="s">
        <v>48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">
      <c r="A25" t="s">
        <v>75</v>
      </c>
      <c r="B25" t="s">
        <v>49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">
      <c r="A26" t="s">
        <v>75</v>
      </c>
      <c r="B26" t="s">
        <v>50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">
      <c r="A27" t="s">
        <v>75</v>
      </c>
      <c r="B27" t="s">
        <v>51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">
      <c r="A28" t="s">
        <v>75</v>
      </c>
      <c r="B28" t="s">
        <v>52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">
      <c r="A29" t="s">
        <v>75</v>
      </c>
      <c r="B29" t="s">
        <v>53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">
      <c r="A30" t="s">
        <v>75</v>
      </c>
      <c r="B30" t="s">
        <v>54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">
      <c r="A31" t="s">
        <v>75</v>
      </c>
      <c r="B31" t="s">
        <v>55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">
      <c r="A32" t="s">
        <v>75</v>
      </c>
      <c r="B32" t="s">
        <v>56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">
      <c r="A33" t="s">
        <v>75</v>
      </c>
      <c r="B33" t="s">
        <v>57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">
      <c r="A34" t="s">
        <v>75</v>
      </c>
      <c r="B34" t="s">
        <v>58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">
      <c r="A35" t="s">
        <v>75</v>
      </c>
      <c r="B35" t="s">
        <v>60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">
      <c r="A36" t="s">
        <v>75</v>
      </c>
      <c r="B36" t="s">
        <v>61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">
      <c r="A37" t="s">
        <v>75</v>
      </c>
      <c r="B37" t="s">
        <v>62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">
      <c r="A38" t="s">
        <v>75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75</v>
      </c>
      <c r="B39" t="s">
        <v>64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">
      <c r="A40" t="s">
        <v>75</v>
      </c>
      <c r="B40" t="s">
        <v>65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">
      <c r="A41" t="s">
        <v>75</v>
      </c>
      <c r="B41" t="s">
        <v>66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">
      <c r="A42" t="s">
        <v>75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">
      <c r="A43" t="s">
        <v>75</v>
      </c>
      <c r="B43" t="s">
        <v>68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">
      <c r="A44" t="s">
        <v>75</v>
      </c>
      <c r="B44" t="s">
        <v>69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">
      <c r="A45" t="s">
        <v>75</v>
      </c>
      <c r="B45" t="s">
        <v>70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baseColWidth="10" defaultColWidth="8.83203125" defaultRowHeight="15" x14ac:dyDescent="0.2"/>
  <cols>
    <col min="2" max="2" width="13.83203125" customWidth="1"/>
    <col min="3" max="3" width="10" customWidth="1"/>
    <col min="4" max="4" width="13.83203125" customWidth="1"/>
  </cols>
  <sheetData>
    <row r="1" spans="2:19" x14ac:dyDescent="0.2">
      <c r="D1" s="16"/>
      <c r="L1" s="38" t="s">
        <v>84</v>
      </c>
      <c r="M1" s="38" t="s">
        <v>78</v>
      </c>
      <c r="N1" s="38" t="s">
        <v>196</v>
      </c>
      <c r="O1" s="38" t="s">
        <v>133</v>
      </c>
      <c r="P1" s="38" t="s">
        <v>128</v>
      </c>
      <c r="Q1" s="38" t="s">
        <v>129</v>
      </c>
      <c r="R1" s="38" t="s">
        <v>130</v>
      </c>
      <c r="S1" s="38" t="s">
        <v>131</v>
      </c>
    </row>
    <row r="2" spans="2:19" ht="32" x14ac:dyDescent="0.2">
      <c r="B2" s="38" t="s">
        <v>84</v>
      </c>
      <c r="C2" s="38" t="s">
        <v>0</v>
      </c>
      <c r="D2" s="38" t="s">
        <v>184</v>
      </c>
      <c r="E2" s="38" t="s">
        <v>185</v>
      </c>
      <c r="F2" s="38" t="s">
        <v>186</v>
      </c>
      <c r="G2" s="38" t="s">
        <v>187</v>
      </c>
      <c r="H2" s="38" t="s">
        <v>188</v>
      </c>
      <c r="I2" s="38" t="s">
        <v>189</v>
      </c>
      <c r="L2" s="39">
        <v>202010</v>
      </c>
      <c r="M2" s="40" t="s">
        <v>104</v>
      </c>
      <c r="N2" s="40" t="str">
        <f>LEFT(M2,5)</f>
        <v>98901</v>
      </c>
      <c r="O2" s="40" t="str">
        <f>RIGHT(M2,3)</f>
        <v>COM</v>
      </c>
      <c r="P2" s="41">
        <v>17.559999999999999</v>
      </c>
      <c r="Q2" s="41">
        <v>33.340000000000003</v>
      </c>
      <c r="R2" s="41">
        <v>236.83</v>
      </c>
      <c r="S2" s="41">
        <v>287.73</v>
      </c>
    </row>
    <row r="3" spans="2:19" ht="16" x14ac:dyDescent="0.2">
      <c r="B3" s="39">
        <v>202010</v>
      </c>
      <c r="C3" s="40" t="s">
        <v>35</v>
      </c>
      <c r="D3" s="40" t="s">
        <v>34</v>
      </c>
      <c r="E3" s="41">
        <v>171</v>
      </c>
      <c r="F3" s="41">
        <v>46328.75</v>
      </c>
      <c r="G3" s="41">
        <v>19103.26999999999</v>
      </c>
      <c r="H3" s="41">
        <v>63397.820000000007</v>
      </c>
      <c r="I3" s="41">
        <v>128829.84000000003</v>
      </c>
      <c r="L3" s="39">
        <v>202010</v>
      </c>
      <c r="M3" s="40" t="s">
        <v>87</v>
      </c>
      <c r="N3" s="40" t="str">
        <f t="shared" ref="N3:N66" si="0">LEFT(M3,5)</f>
        <v>98901</v>
      </c>
      <c r="O3" s="40" t="str">
        <f t="shared" ref="O3:O66" si="1">RIGHT(M3,3)</f>
        <v>RES</v>
      </c>
      <c r="P3" s="41">
        <v>17724.21</v>
      </c>
      <c r="Q3" s="41">
        <v>14934.98</v>
      </c>
      <c r="R3" s="41">
        <v>74742.549999999988</v>
      </c>
      <c r="S3" s="41">
        <v>107401.73999999996</v>
      </c>
    </row>
    <row r="4" spans="2:19" ht="32" x14ac:dyDescent="0.2">
      <c r="B4" s="39">
        <v>202010</v>
      </c>
      <c r="C4" s="40" t="s">
        <v>36</v>
      </c>
      <c r="D4" s="40" t="s">
        <v>34</v>
      </c>
      <c r="E4" s="41">
        <v>195</v>
      </c>
      <c r="F4" s="41">
        <v>48036.000000000015</v>
      </c>
      <c r="G4" s="41">
        <v>26816.670000000006</v>
      </c>
      <c r="H4" s="41">
        <v>74774.799999999988</v>
      </c>
      <c r="I4" s="41">
        <v>149627.47000000006</v>
      </c>
      <c r="L4" s="39">
        <v>202010</v>
      </c>
      <c r="M4" s="40" t="s">
        <v>116</v>
      </c>
      <c r="N4" s="40" t="str">
        <f t="shared" si="0"/>
        <v>98902</v>
      </c>
      <c r="O4" s="40" t="str">
        <f t="shared" si="1"/>
        <v>COM</v>
      </c>
      <c r="P4" s="41">
        <v>79.41</v>
      </c>
      <c r="Q4" s="41">
        <v>80.19</v>
      </c>
      <c r="R4" s="41">
        <v>548.70000000000005</v>
      </c>
      <c r="S4" s="41">
        <v>708.3</v>
      </c>
    </row>
    <row r="5" spans="2:19" ht="16" x14ac:dyDescent="0.2">
      <c r="B5" s="39">
        <v>202010</v>
      </c>
      <c r="C5" s="40" t="s">
        <v>37</v>
      </c>
      <c r="D5" s="40" t="s">
        <v>34</v>
      </c>
      <c r="E5" s="41">
        <v>107</v>
      </c>
      <c r="F5" s="41">
        <v>16698.88</v>
      </c>
      <c r="G5" s="41">
        <v>13362.459999999997</v>
      </c>
      <c r="H5" s="41">
        <v>41505.12999999999</v>
      </c>
      <c r="I5" s="41">
        <v>71566.469999999958</v>
      </c>
      <c r="L5" s="39">
        <v>202010</v>
      </c>
      <c r="M5" s="40" t="s">
        <v>88</v>
      </c>
      <c r="N5" s="40" t="str">
        <f t="shared" si="0"/>
        <v>98902</v>
      </c>
      <c r="O5" s="40" t="str">
        <f t="shared" si="1"/>
        <v>RES</v>
      </c>
      <c r="P5" s="41">
        <v>24174.940000000024</v>
      </c>
      <c r="Q5" s="41">
        <v>23422.789999999994</v>
      </c>
      <c r="R5" s="41">
        <v>84889.230000000025</v>
      </c>
      <c r="S5" s="41">
        <v>132486.95999999996</v>
      </c>
    </row>
    <row r="6" spans="2:19" ht="16" x14ac:dyDescent="0.2">
      <c r="B6" s="39">
        <v>202010</v>
      </c>
      <c r="C6" s="40" t="s">
        <v>40</v>
      </c>
      <c r="D6" s="40" t="s">
        <v>34</v>
      </c>
      <c r="E6" s="41">
        <v>112</v>
      </c>
      <c r="F6" s="41">
        <v>22292.28999999999</v>
      </c>
      <c r="G6" s="41">
        <v>8298.2999999999975</v>
      </c>
      <c r="H6" s="41">
        <v>16546.32</v>
      </c>
      <c r="I6" s="41">
        <v>47136.909999999996</v>
      </c>
      <c r="L6" s="39">
        <v>202010</v>
      </c>
      <c r="M6" s="40" t="s">
        <v>89</v>
      </c>
      <c r="N6" s="40" t="str">
        <f t="shared" si="0"/>
        <v>98903</v>
      </c>
      <c r="O6" s="40" t="str">
        <f t="shared" si="1"/>
        <v>RES</v>
      </c>
      <c r="P6" s="41">
        <v>9541.5499999999975</v>
      </c>
      <c r="Q6" s="41">
        <v>7497.2</v>
      </c>
      <c r="R6" s="41">
        <v>29702.059999999994</v>
      </c>
      <c r="S6" s="41">
        <v>46740.809999999976</v>
      </c>
    </row>
    <row r="7" spans="2:19" ht="32" x14ac:dyDescent="0.2">
      <c r="B7" s="39">
        <v>202010</v>
      </c>
      <c r="C7" s="40" t="s">
        <v>42</v>
      </c>
      <c r="D7" s="40" t="s">
        <v>34</v>
      </c>
      <c r="E7" s="41">
        <v>2</v>
      </c>
      <c r="F7" s="41">
        <v>94</v>
      </c>
      <c r="G7" s="41">
        <v>115.57</v>
      </c>
      <c r="H7" s="41">
        <v>229.07999999999998</v>
      </c>
      <c r="I7" s="41">
        <v>438.65</v>
      </c>
      <c r="L7" s="39">
        <v>202010</v>
      </c>
      <c r="M7" s="40" t="s">
        <v>117</v>
      </c>
      <c r="N7" s="40" t="str">
        <f t="shared" si="0"/>
        <v>98908</v>
      </c>
      <c r="O7" s="40" t="str">
        <f t="shared" si="1"/>
        <v>COM</v>
      </c>
      <c r="P7" s="41">
        <v>46.22</v>
      </c>
      <c r="Q7" s="41">
        <v>50.18</v>
      </c>
      <c r="R7" s="41">
        <v>304.45</v>
      </c>
      <c r="S7" s="41">
        <v>400.84999999999997</v>
      </c>
    </row>
    <row r="8" spans="2:19" ht="16" x14ac:dyDescent="0.2">
      <c r="B8" s="39">
        <v>202010</v>
      </c>
      <c r="C8" s="40" t="s">
        <v>43</v>
      </c>
      <c r="D8" s="40" t="s">
        <v>34</v>
      </c>
      <c r="E8" s="41">
        <v>18</v>
      </c>
      <c r="F8" s="41">
        <v>10786.149999999998</v>
      </c>
      <c r="G8" s="41">
        <v>59.66</v>
      </c>
      <c r="H8" s="41">
        <v>424.36</v>
      </c>
      <c r="I8" s="41">
        <v>11270.17</v>
      </c>
      <c r="L8" s="39">
        <v>202010</v>
      </c>
      <c r="M8" s="40" t="s">
        <v>90</v>
      </c>
      <c r="N8" s="40" t="str">
        <f t="shared" si="0"/>
        <v>98908</v>
      </c>
      <c r="O8" s="40" t="str">
        <f t="shared" si="1"/>
        <v>RES</v>
      </c>
      <c r="P8" s="41">
        <v>7850.4699999999993</v>
      </c>
      <c r="Q8" s="41">
        <v>5886.7000000000016</v>
      </c>
      <c r="R8" s="41">
        <v>22388.280000000002</v>
      </c>
      <c r="S8" s="41">
        <v>36125.449999999997</v>
      </c>
    </row>
    <row r="9" spans="2:19" ht="16" x14ac:dyDescent="0.2">
      <c r="B9" s="39">
        <v>202010</v>
      </c>
      <c r="C9" s="40" t="s">
        <v>44</v>
      </c>
      <c r="D9" s="40" t="s">
        <v>34</v>
      </c>
      <c r="E9" s="41">
        <v>40</v>
      </c>
      <c r="F9" s="41">
        <v>6383.1399999999994</v>
      </c>
      <c r="G9" s="41">
        <v>4786.26</v>
      </c>
      <c r="H9" s="41">
        <v>14992.820000000003</v>
      </c>
      <c r="I9" s="41">
        <v>26162.219999999998</v>
      </c>
      <c r="L9" s="39">
        <v>202010</v>
      </c>
      <c r="M9" s="40" t="s">
        <v>118</v>
      </c>
      <c r="N9" s="40" t="str">
        <f t="shared" si="0"/>
        <v>98921</v>
      </c>
      <c r="O9" s="40" t="str">
        <f t="shared" si="1"/>
        <v>RES</v>
      </c>
      <c r="P9" s="41">
        <v>1585.09</v>
      </c>
      <c r="Q9" s="41">
        <v>1372.33</v>
      </c>
      <c r="R9" s="41">
        <v>4908.55</v>
      </c>
      <c r="S9" s="41">
        <v>7865.97</v>
      </c>
    </row>
    <row r="10" spans="2:19" ht="16" x14ac:dyDescent="0.2">
      <c r="B10" s="39">
        <v>202010</v>
      </c>
      <c r="C10" s="40" t="s">
        <v>45</v>
      </c>
      <c r="D10" s="40" t="s">
        <v>34</v>
      </c>
      <c r="E10" s="41">
        <v>20</v>
      </c>
      <c r="F10" s="41">
        <v>8264.74</v>
      </c>
      <c r="G10" s="41">
        <v>917.29000000000019</v>
      </c>
      <c r="H10" s="41">
        <v>5572.09</v>
      </c>
      <c r="I10" s="41">
        <v>14754.12</v>
      </c>
      <c r="L10" s="39">
        <v>202010</v>
      </c>
      <c r="M10" s="40" t="s">
        <v>111</v>
      </c>
      <c r="N10" s="40" t="str">
        <f t="shared" si="0"/>
        <v>98923</v>
      </c>
      <c r="O10" s="40" t="str">
        <f t="shared" si="1"/>
        <v>RES</v>
      </c>
      <c r="P10" s="41">
        <v>465.09</v>
      </c>
      <c r="Q10" s="41">
        <v>203.32000000000002</v>
      </c>
      <c r="R10" s="41">
        <v>188.07</v>
      </c>
      <c r="S10" s="41">
        <v>856.48</v>
      </c>
    </row>
    <row r="11" spans="2:19" ht="16" x14ac:dyDescent="0.2">
      <c r="B11" s="39">
        <v>202010</v>
      </c>
      <c r="C11" s="40" t="s">
        <v>46</v>
      </c>
      <c r="D11" s="40" t="s">
        <v>34</v>
      </c>
      <c r="E11" s="41">
        <v>8</v>
      </c>
      <c r="F11" s="41">
        <v>3251.88</v>
      </c>
      <c r="G11" s="41">
        <v>846.93000000000006</v>
      </c>
      <c r="H11" s="41">
        <v>2869.04</v>
      </c>
      <c r="I11" s="41">
        <v>6967.8499999999995</v>
      </c>
      <c r="L11" s="39">
        <v>202010</v>
      </c>
      <c r="M11" s="40" t="s">
        <v>96</v>
      </c>
      <c r="N11" s="40" t="str">
        <f t="shared" si="0"/>
        <v>98930</v>
      </c>
      <c r="O11" s="40" t="str">
        <f t="shared" si="1"/>
        <v>RES</v>
      </c>
      <c r="P11" s="41">
        <v>7685.45</v>
      </c>
      <c r="Q11" s="41">
        <v>5979.6400000000021</v>
      </c>
      <c r="R11" s="41">
        <v>15927.730000000003</v>
      </c>
      <c r="S11" s="41">
        <v>29592.819999999989</v>
      </c>
    </row>
    <row r="12" spans="2:19" ht="16" x14ac:dyDescent="0.2">
      <c r="B12" s="39">
        <v>202010</v>
      </c>
      <c r="C12" s="40" t="s">
        <v>47</v>
      </c>
      <c r="D12" s="40" t="s">
        <v>34</v>
      </c>
      <c r="E12" s="41">
        <v>3</v>
      </c>
      <c r="F12" s="41">
        <v>180.51</v>
      </c>
      <c r="G12" s="41">
        <v>95.940000000000012</v>
      </c>
      <c r="H12" s="41">
        <v>1413.14</v>
      </c>
      <c r="I12" s="41">
        <v>1689.59</v>
      </c>
      <c r="L12" s="39">
        <v>202010</v>
      </c>
      <c r="M12" s="40" t="s">
        <v>94</v>
      </c>
      <c r="N12" s="40" t="str">
        <f t="shared" si="0"/>
        <v>98932</v>
      </c>
      <c r="O12" s="40" t="str">
        <f t="shared" si="1"/>
        <v>RES</v>
      </c>
      <c r="P12" s="41">
        <v>4638.97</v>
      </c>
      <c r="Q12" s="41">
        <v>4228.7399999999989</v>
      </c>
      <c r="R12" s="41">
        <v>12002.640000000001</v>
      </c>
      <c r="S12" s="41">
        <v>20870.350000000002</v>
      </c>
    </row>
    <row r="13" spans="2:19" ht="16" x14ac:dyDescent="0.2">
      <c r="B13" s="39">
        <v>202010</v>
      </c>
      <c r="C13" s="40" t="s">
        <v>48</v>
      </c>
      <c r="D13" s="40" t="s">
        <v>34</v>
      </c>
      <c r="E13" s="41">
        <v>24</v>
      </c>
      <c r="F13" s="41">
        <v>11480.58</v>
      </c>
      <c r="G13" s="41">
        <v>3202.63</v>
      </c>
      <c r="H13" s="41">
        <v>9604.369999999999</v>
      </c>
      <c r="I13" s="41">
        <v>24287.579999999994</v>
      </c>
      <c r="L13" s="39">
        <v>202010</v>
      </c>
      <c r="M13" s="40" t="s">
        <v>95</v>
      </c>
      <c r="N13" s="40" t="str">
        <f t="shared" si="0"/>
        <v>98933</v>
      </c>
      <c r="O13" s="40" t="str">
        <f t="shared" si="1"/>
        <v>RES</v>
      </c>
      <c r="P13" s="41">
        <v>773.53</v>
      </c>
      <c r="Q13" s="41">
        <v>608.24</v>
      </c>
      <c r="R13" s="41">
        <v>3182.08</v>
      </c>
      <c r="S13" s="41">
        <v>4563.8500000000004</v>
      </c>
    </row>
    <row r="14" spans="2:19" ht="16" x14ac:dyDescent="0.2">
      <c r="B14" s="39">
        <v>202010</v>
      </c>
      <c r="C14" s="40" t="s">
        <v>49</v>
      </c>
      <c r="D14" s="40" t="s">
        <v>34</v>
      </c>
      <c r="E14" s="41">
        <v>36</v>
      </c>
      <c r="F14" s="41">
        <v>5817.09</v>
      </c>
      <c r="G14" s="41">
        <v>1514.26</v>
      </c>
      <c r="H14" s="41">
        <v>2642.57</v>
      </c>
      <c r="I14" s="41">
        <v>9973.92</v>
      </c>
      <c r="L14" s="39">
        <v>202010</v>
      </c>
      <c r="M14" s="40" t="s">
        <v>97</v>
      </c>
      <c r="N14" s="40" t="str">
        <f t="shared" si="0"/>
        <v>98935</v>
      </c>
      <c r="O14" s="40" t="str">
        <f t="shared" si="1"/>
        <v>RES</v>
      </c>
      <c r="P14" s="41">
        <v>3114.889999999999</v>
      </c>
      <c r="Q14" s="41">
        <v>2208.85</v>
      </c>
      <c r="R14" s="41">
        <v>6017.7300000000005</v>
      </c>
      <c r="S14" s="41">
        <v>11341.470000000001</v>
      </c>
    </row>
    <row r="15" spans="2:19" ht="16" x14ac:dyDescent="0.2">
      <c r="B15" s="39">
        <v>202010</v>
      </c>
      <c r="C15" s="40" t="s">
        <v>50</v>
      </c>
      <c r="D15" s="40" t="s">
        <v>34</v>
      </c>
      <c r="E15" s="41">
        <v>21</v>
      </c>
      <c r="F15" s="41">
        <v>34302.410000000003</v>
      </c>
      <c r="G15" s="41">
        <v>26450.880000000001</v>
      </c>
      <c r="H15" s="41">
        <v>5615.89</v>
      </c>
      <c r="I15" s="41">
        <v>66369.179999999993</v>
      </c>
      <c r="L15" s="39">
        <v>202010</v>
      </c>
      <c r="M15" s="40" t="s">
        <v>98</v>
      </c>
      <c r="N15" s="40" t="str">
        <f t="shared" si="0"/>
        <v>98936</v>
      </c>
      <c r="O15" s="40" t="str">
        <f t="shared" si="1"/>
        <v>RES</v>
      </c>
      <c r="P15" s="41">
        <v>1143.3900000000001</v>
      </c>
      <c r="Q15" s="41">
        <v>551.17999999999995</v>
      </c>
      <c r="R15" s="41">
        <v>2163.4699999999998</v>
      </c>
      <c r="S15" s="41">
        <v>3858.04</v>
      </c>
    </row>
    <row r="16" spans="2:19" ht="16" x14ac:dyDescent="0.2">
      <c r="B16" s="39">
        <v>202010</v>
      </c>
      <c r="C16" s="40" t="s">
        <v>51</v>
      </c>
      <c r="D16" s="40" t="s">
        <v>34</v>
      </c>
      <c r="E16" s="41">
        <v>3</v>
      </c>
      <c r="F16" s="41">
        <v>306.49</v>
      </c>
      <c r="G16" s="41">
        <v>319.05</v>
      </c>
      <c r="H16" s="41">
        <v>100.27</v>
      </c>
      <c r="I16" s="41">
        <v>725.81</v>
      </c>
      <c r="L16" s="39">
        <v>202010</v>
      </c>
      <c r="M16" s="40" t="s">
        <v>107</v>
      </c>
      <c r="N16" s="40" t="str">
        <f t="shared" si="0"/>
        <v>98937</v>
      </c>
      <c r="O16" s="40" t="str">
        <f t="shared" si="1"/>
        <v>RES</v>
      </c>
      <c r="P16" s="41">
        <v>798.69</v>
      </c>
      <c r="Q16" s="41">
        <v>550.24</v>
      </c>
      <c r="R16" s="41">
        <v>2277.62</v>
      </c>
      <c r="S16" s="41">
        <v>3626.55</v>
      </c>
    </row>
    <row r="17" spans="2:19" ht="16" x14ac:dyDescent="0.2">
      <c r="B17" s="39">
        <v>202010</v>
      </c>
      <c r="C17" s="40" t="s">
        <v>52</v>
      </c>
      <c r="D17" s="40" t="s">
        <v>34</v>
      </c>
      <c r="E17" s="41">
        <v>58</v>
      </c>
      <c r="F17" s="41">
        <v>12180.3</v>
      </c>
      <c r="G17" s="41">
        <v>9783.119999999999</v>
      </c>
      <c r="H17" s="41">
        <v>21436.66</v>
      </c>
      <c r="I17" s="41">
        <v>43400.080000000009</v>
      </c>
      <c r="L17" s="39">
        <v>202010</v>
      </c>
      <c r="M17" s="40" t="s">
        <v>105</v>
      </c>
      <c r="N17" s="40" t="str">
        <f t="shared" si="0"/>
        <v>98938</v>
      </c>
      <c r="O17" s="40" t="str">
        <f t="shared" si="1"/>
        <v>RES</v>
      </c>
      <c r="P17" s="41">
        <v>1416.4199999999998</v>
      </c>
      <c r="Q17" s="41">
        <v>1077.1099999999999</v>
      </c>
      <c r="R17" s="41">
        <v>3639.1200000000003</v>
      </c>
      <c r="S17" s="41">
        <v>6132.6500000000005</v>
      </c>
    </row>
    <row r="18" spans="2:19" ht="16" x14ac:dyDescent="0.2">
      <c r="B18" s="39">
        <v>202010</v>
      </c>
      <c r="C18" s="40" t="s">
        <v>53</v>
      </c>
      <c r="D18" s="40" t="s">
        <v>34</v>
      </c>
      <c r="E18" s="41">
        <v>116</v>
      </c>
      <c r="F18" s="41">
        <v>28664.300000000017</v>
      </c>
      <c r="G18" s="41">
        <v>17920.740000000002</v>
      </c>
      <c r="H18" s="41">
        <v>58332.910000000011</v>
      </c>
      <c r="I18" s="41">
        <v>104917.94999999998</v>
      </c>
      <c r="L18" s="39">
        <v>202010</v>
      </c>
      <c r="M18" s="40" t="s">
        <v>119</v>
      </c>
      <c r="N18" s="40" t="str">
        <f t="shared" si="0"/>
        <v>98939</v>
      </c>
      <c r="O18" s="40" t="str">
        <f t="shared" si="1"/>
        <v>RES</v>
      </c>
      <c r="P18" s="41">
        <v>126.58000000000001</v>
      </c>
      <c r="Q18" s="41">
        <v>161.31</v>
      </c>
      <c r="R18" s="41">
        <v>962.45</v>
      </c>
      <c r="S18" s="41">
        <v>1250.3399999999999</v>
      </c>
    </row>
    <row r="19" spans="2:19" ht="16" x14ac:dyDescent="0.2">
      <c r="B19" s="39">
        <v>202010</v>
      </c>
      <c r="C19" s="40" t="s">
        <v>54</v>
      </c>
      <c r="D19" s="40" t="s">
        <v>34</v>
      </c>
      <c r="E19" s="41">
        <v>19</v>
      </c>
      <c r="F19" s="41">
        <v>5271.9499999999989</v>
      </c>
      <c r="G19" s="41">
        <v>1968.55</v>
      </c>
      <c r="H19" s="41">
        <v>3738.68</v>
      </c>
      <c r="I19" s="41">
        <v>10979.179999999998</v>
      </c>
      <c r="L19" s="39">
        <v>202010</v>
      </c>
      <c r="M19" s="40" t="s">
        <v>99</v>
      </c>
      <c r="N19" s="40" t="str">
        <f t="shared" si="0"/>
        <v>98942</v>
      </c>
      <c r="O19" s="40" t="str">
        <f t="shared" si="1"/>
        <v>RES</v>
      </c>
      <c r="P19" s="41">
        <v>3754.4300000000003</v>
      </c>
      <c r="Q19" s="41">
        <v>3149.3599999999992</v>
      </c>
      <c r="R19" s="41">
        <v>10392.719999999996</v>
      </c>
      <c r="S19" s="41">
        <v>17296.510000000002</v>
      </c>
    </row>
    <row r="20" spans="2:19" ht="16" x14ac:dyDescent="0.2">
      <c r="B20" s="39">
        <v>202010</v>
      </c>
      <c r="C20" s="40" t="s">
        <v>55</v>
      </c>
      <c r="D20" s="40" t="s">
        <v>34</v>
      </c>
      <c r="E20" s="41">
        <v>86</v>
      </c>
      <c r="F20" s="41">
        <v>15192.090000000006</v>
      </c>
      <c r="G20" s="41">
        <v>10812.270000000002</v>
      </c>
      <c r="H20" s="41">
        <v>28349.309999999998</v>
      </c>
      <c r="I20" s="41">
        <v>54353.67</v>
      </c>
      <c r="L20" s="39">
        <v>202010</v>
      </c>
      <c r="M20" s="40" t="s">
        <v>91</v>
      </c>
      <c r="N20" s="40" t="str">
        <f t="shared" si="0"/>
        <v>98944</v>
      </c>
      <c r="O20" s="40" t="str">
        <f t="shared" si="1"/>
        <v>RES</v>
      </c>
      <c r="P20" s="41">
        <v>14126.599999999993</v>
      </c>
      <c r="Q20" s="41">
        <v>11676.02</v>
      </c>
      <c r="R20" s="41">
        <v>39123.94000000001</v>
      </c>
      <c r="S20" s="41">
        <v>64926.560000000019</v>
      </c>
    </row>
    <row r="21" spans="2:19" ht="16" x14ac:dyDescent="0.2">
      <c r="B21" s="39">
        <v>202010</v>
      </c>
      <c r="C21" s="40" t="s">
        <v>56</v>
      </c>
      <c r="D21" s="40" t="s">
        <v>34</v>
      </c>
      <c r="E21" s="41">
        <v>75</v>
      </c>
      <c r="F21" s="41">
        <v>14456.65</v>
      </c>
      <c r="G21" s="41">
        <v>12586.489999999998</v>
      </c>
      <c r="H21" s="41">
        <v>26268.590000000004</v>
      </c>
      <c r="I21" s="41">
        <v>53311.73</v>
      </c>
      <c r="L21" s="39">
        <v>202010</v>
      </c>
      <c r="M21" s="40" t="s">
        <v>100</v>
      </c>
      <c r="N21" s="40" t="str">
        <f t="shared" si="0"/>
        <v>98947</v>
      </c>
      <c r="O21" s="40" t="str">
        <f t="shared" si="1"/>
        <v>RES</v>
      </c>
      <c r="P21" s="41">
        <v>1299.27</v>
      </c>
      <c r="Q21" s="41">
        <v>1025.8700000000001</v>
      </c>
      <c r="R21" s="41">
        <v>5545.83</v>
      </c>
      <c r="S21" s="41">
        <v>7870.9700000000012</v>
      </c>
    </row>
    <row r="22" spans="2:19" ht="32" x14ac:dyDescent="0.2">
      <c r="B22" s="39">
        <v>202010</v>
      </c>
      <c r="C22" s="40" t="s">
        <v>57</v>
      </c>
      <c r="D22" s="40" t="s">
        <v>34</v>
      </c>
      <c r="E22" s="41">
        <v>2</v>
      </c>
      <c r="F22" s="41">
        <v>160.59</v>
      </c>
      <c r="G22" s="41">
        <v>36.370000000000005</v>
      </c>
      <c r="H22" s="41">
        <v>387.24</v>
      </c>
      <c r="I22" s="41">
        <v>584.20000000000005</v>
      </c>
      <c r="L22" s="39">
        <v>202010</v>
      </c>
      <c r="M22" s="40" t="s">
        <v>120</v>
      </c>
      <c r="N22" s="40" t="str">
        <f t="shared" si="0"/>
        <v>98948</v>
      </c>
      <c r="O22" s="40" t="str">
        <f t="shared" si="1"/>
        <v>COM</v>
      </c>
      <c r="P22" s="41">
        <v>5521.0199999999995</v>
      </c>
      <c r="Q22" s="41">
        <v>1812.8700000000001</v>
      </c>
      <c r="R22" s="41">
        <v>2895.75</v>
      </c>
      <c r="S22" s="41">
        <v>10229.640000000001</v>
      </c>
    </row>
    <row r="23" spans="2:19" ht="16" x14ac:dyDescent="0.2">
      <c r="B23" s="39">
        <v>202010</v>
      </c>
      <c r="C23" s="40" t="s">
        <v>58</v>
      </c>
      <c r="D23" s="40" t="s">
        <v>34</v>
      </c>
      <c r="E23" s="41">
        <v>44</v>
      </c>
      <c r="F23" s="41">
        <v>5285.3900000000012</v>
      </c>
      <c r="G23" s="41">
        <v>4040.8799999999997</v>
      </c>
      <c r="H23" s="41">
        <v>15907.32</v>
      </c>
      <c r="I23" s="41">
        <v>25233.589999999989</v>
      </c>
      <c r="L23" s="39">
        <v>202010</v>
      </c>
      <c r="M23" s="40" t="s">
        <v>101</v>
      </c>
      <c r="N23" s="40" t="str">
        <f t="shared" si="0"/>
        <v>98948</v>
      </c>
      <c r="O23" s="40" t="str">
        <f t="shared" si="1"/>
        <v>RES</v>
      </c>
      <c r="P23" s="41">
        <v>13674.169999999998</v>
      </c>
      <c r="Q23" s="41">
        <v>15772.749999999987</v>
      </c>
      <c r="R23" s="41">
        <v>59150.75</v>
      </c>
      <c r="S23" s="41">
        <v>88597.670000000027</v>
      </c>
    </row>
    <row r="24" spans="2:19" ht="32" x14ac:dyDescent="0.2">
      <c r="B24" s="39">
        <v>202010</v>
      </c>
      <c r="C24" s="40" t="s">
        <v>60</v>
      </c>
      <c r="D24" s="40" t="s">
        <v>34</v>
      </c>
      <c r="E24" s="41">
        <v>23</v>
      </c>
      <c r="F24" s="41">
        <v>5784.1900000000005</v>
      </c>
      <c r="G24" s="41">
        <v>448.75000000000006</v>
      </c>
      <c r="H24" s="41">
        <v>2129.83</v>
      </c>
      <c r="I24" s="41">
        <v>8362.7699999999986</v>
      </c>
      <c r="L24" s="39">
        <v>202010</v>
      </c>
      <c r="M24" s="40" t="s">
        <v>112</v>
      </c>
      <c r="N24" s="40" t="str">
        <f t="shared" si="0"/>
        <v>98951</v>
      </c>
      <c r="O24" s="40" t="str">
        <f t="shared" si="1"/>
        <v>COM</v>
      </c>
      <c r="P24" s="41">
        <v>11.85</v>
      </c>
      <c r="Q24" s="41">
        <v>30.46</v>
      </c>
      <c r="R24" s="41">
        <v>572.58000000000004</v>
      </c>
      <c r="S24" s="41">
        <v>614.89</v>
      </c>
    </row>
    <row r="25" spans="2:19" ht="16" x14ac:dyDescent="0.2">
      <c r="B25" s="39">
        <v>202010</v>
      </c>
      <c r="C25" s="40" t="s">
        <v>61</v>
      </c>
      <c r="D25" s="40" t="s">
        <v>34</v>
      </c>
      <c r="E25" s="41">
        <v>6</v>
      </c>
      <c r="F25" s="41">
        <v>1043.24</v>
      </c>
      <c r="G25" s="41">
        <v>494.91999999999996</v>
      </c>
      <c r="H25" s="41">
        <v>1202.6300000000001</v>
      </c>
      <c r="I25" s="41">
        <v>2740.7900000000004</v>
      </c>
      <c r="L25" s="39">
        <v>202010</v>
      </c>
      <c r="M25" s="40" t="s">
        <v>106</v>
      </c>
      <c r="N25" s="40" t="str">
        <f t="shared" si="0"/>
        <v>98951</v>
      </c>
      <c r="O25" s="40" t="str">
        <f t="shared" si="1"/>
        <v>RES</v>
      </c>
      <c r="P25" s="41">
        <v>24784.839999999982</v>
      </c>
      <c r="Q25" s="41">
        <v>22097.41</v>
      </c>
      <c r="R25" s="41">
        <v>122968.34999999995</v>
      </c>
      <c r="S25" s="41">
        <v>169850.59999999992</v>
      </c>
    </row>
    <row r="26" spans="2:19" ht="32" x14ac:dyDescent="0.2">
      <c r="B26" s="39">
        <v>202010</v>
      </c>
      <c r="C26" s="40" t="s">
        <v>62</v>
      </c>
      <c r="D26" s="40" t="s">
        <v>34</v>
      </c>
      <c r="E26" s="41">
        <v>35</v>
      </c>
      <c r="F26" s="41">
        <v>5481.9100000000008</v>
      </c>
      <c r="G26" s="41">
        <v>1862.22</v>
      </c>
      <c r="H26" s="41">
        <v>10156.710000000001</v>
      </c>
      <c r="I26" s="41">
        <v>17500.839999999993</v>
      </c>
      <c r="L26" s="39">
        <v>202010</v>
      </c>
      <c r="M26" s="40" t="s">
        <v>144</v>
      </c>
      <c r="N26" s="40" t="str">
        <f t="shared" si="0"/>
        <v>98952</v>
      </c>
      <c r="O26" s="40" t="str">
        <f t="shared" si="1"/>
        <v>COM</v>
      </c>
      <c r="P26" s="41">
        <v>21.15</v>
      </c>
      <c r="Q26" s="41">
        <v>16.34</v>
      </c>
      <c r="R26" s="41">
        <v>387.24</v>
      </c>
      <c r="S26" s="41">
        <v>424.73</v>
      </c>
    </row>
    <row r="27" spans="2:19" ht="16" x14ac:dyDescent="0.2">
      <c r="B27" s="39">
        <v>202010</v>
      </c>
      <c r="C27" s="40" t="s">
        <v>63</v>
      </c>
      <c r="D27" s="40" t="s">
        <v>34</v>
      </c>
      <c r="E27" s="41">
        <v>3</v>
      </c>
      <c r="F27" s="41">
        <v>451.25</v>
      </c>
      <c r="G27" s="41">
        <v>70.34</v>
      </c>
      <c r="H27" s="41">
        <v>887.13</v>
      </c>
      <c r="I27" s="41">
        <v>1408.72</v>
      </c>
      <c r="L27" s="39">
        <v>202010</v>
      </c>
      <c r="M27" s="40" t="s">
        <v>110</v>
      </c>
      <c r="N27" s="40" t="str">
        <f t="shared" si="0"/>
        <v>98952</v>
      </c>
      <c r="O27" s="40" t="str">
        <f t="shared" si="1"/>
        <v>RES</v>
      </c>
      <c r="P27" s="41">
        <v>3313.2099999999991</v>
      </c>
      <c r="Q27" s="41">
        <v>3300.9</v>
      </c>
      <c r="R27" s="41">
        <v>14162.14</v>
      </c>
      <c r="S27" s="41">
        <v>20776.25</v>
      </c>
    </row>
    <row r="28" spans="2:19" ht="16" x14ac:dyDescent="0.2">
      <c r="B28" s="39">
        <v>202010</v>
      </c>
      <c r="C28" s="40" t="s">
        <v>64</v>
      </c>
      <c r="D28" s="40" t="s">
        <v>34</v>
      </c>
      <c r="E28" s="41">
        <v>20</v>
      </c>
      <c r="F28" s="41">
        <v>4482.67</v>
      </c>
      <c r="G28" s="41">
        <v>2876.9699999999993</v>
      </c>
      <c r="H28" s="41">
        <v>4566.1499999999996</v>
      </c>
      <c r="I28" s="41">
        <v>11925.79</v>
      </c>
      <c r="L28" s="39">
        <v>202010</v>
      </c>
      <c r="M28" s="40" t="s">
        <v>92</v>
      </c>
      <c r="N28" s="40" t="str">
        <f t="shared" si="0"/>
        <v>98953</v>
      </c>
      <c r="O28" s="40" t="str">
        <f t="shared" si="1"/>
        <v>RES</v>
      </c>
      <c r="P28" s="41">
        <v>3073.8500000000013</v>
      </c>
      <c r="Q28" s="41">
        <v>2659.95</v>
      </c>
      <c r="R28" s="41">
        <v>7513.4299999999994</v>
      </c>
      <c r="S28" s="41">
        <v>13247.229999999998</v>
      </c>
    </row>
    <row r="29" spans="2:19" ht="16" x14ac:dyDescent="0.2">
      <c r="B29" s="39">
        <v>202010</v>
      </c>
      <c r="C29" s="40" t="s">
        <v>65</v>
      </c>
      <c r="D29" s="40" t="s">
        <v>34</v>
      </c>
      <c r="E29" s="41">
        <v>5</v>
      </c>
      <c r="F29" s="41">
        <v>933.02</v>
      </c>
      <c r="G29" s="41">
        <v>92.77</v>
      </c>
      <c r="H29" s="41">
        <v>22.74</v>
      </c>
      <c r="I29" s="41">
        <v>1048.5299999999997</v>
      </c>
      <c r="L29" s="39">
        <v>202010</v>
      </c>
      <c r="M29" s="40" t="s">
        <v>114</v>
      </c>
      <c r="N29" s="40" t="str">
        <f t="shared" si="0"/>
        <v>99323</v>
      </c>
      <c r="O29" s="40" t="str">
        <f t="shared" si="1"/>
        <v>RES</v>
      </c>
      <c r="P29" s="41">
        <v>321.5</v>
      </c>
      <c r="Q29" s="41">
        <v>292.02999999999997</v>
      </c>
      <c r="R29" s="41">
        <v>1811.97</v>
      </c>
      <c r="S29" s="41">
        <v>2425.5</v>
      </c>
    </row>
    <row r="30" spans="2:19" ht="16" x14ac:dyDescent="0.2">
      <c r="B30" s="39">
        <v>202010</v>
      </c>
      <c r="C30" s="40" t="s">
        <v>67</v>
      </c>
      <c r="D30" s="40" t="s">
        <v>34</v>
      </c>
      <c r="E30" s="41">
        <v>7</v>
      </c>
      <c r="F30" s="41">
        <v>628.27</v>
      </c>
      <c r="G30" s="41">
        <v>1279.31</v>
      </c>
      <c r="H30" s="41">
        <v>9536.61</v>
      </c>
      <c r="I30" s="41">
        <v>11444.19</v>
      </c>
      <c r="L30" s="39">
        <v>202010</v>
      </c>
      <c r="M30" s="40" t="s">
        <v>108</v>
      </c>
      <c r="N30" s="40" t="str">
        <f t="shared" si="0"/>
        <v>99324</v>
      </c>
      <c r="O30" s="40" t="str">
        <f t="shared" si="1"/>
        <v>RES</v>
      </c>
      <c r="P30" s="41">
        <v>3343.1100000000015</v>
      </c>
      <c r="Q30" s="41">
        <v>3032.6699999999996</v>
      </c>
      <c r="R30" s="41">
        <v>9874.6900000000023</v>
      </c>
      <c r="S30" s="41">
        <v>16250.470000000001</v>
      </c>
    </row>
    <row r="31" spans="2:19" ht="16" x14ac:dyDescent="0.2">
      <c r="B31" s="39">
        <v>202010</v>
      </c>
      <c r="C31" s="40" t="s">
        <v>68</v>
      </c>
      <c r="D31" s="40" t="s">
        <v>34</v>
      </c>
      <c r="E31" s="41">
        <v>25</v>
      </c>
      <c r="F31" s="41">
        <v>1590.7599999999998</v>
      </c>
      <c r="G31" s="41">
        <v>1164.69</v>
      </c>
      <c r="H31" s="41">
        <v>3559.27</v>
      </c>
      <c r="I31" s="41">
        <v>6314.72</v>
      </c>
      <c r="L31" s="39">
        <v>202010</v>
      </c>
      <c r="M31" s="40" t="s">
        <v>102</v>
      </c>
      <c r="N31" s="40" t="str">
        <f t="shared" si="0"/>
        <v>99328</v>
      </c>
      <c r="O31" s="40" t="str">
        <f t="shared" si="1"/>
        <v>RES</v>
      </c>
      <c r="P31" s="41">
        <v>2586.0399999999995</v>
      </c>
      <c r="Q31" s="41">
        <v>2719.25</v>
      </c>
      <c r="R31" s="41">
        <v>12033.329999999998</v>
      </c>
      <c r="S31" s="41">
        <v>17338.62</v>
      </c>
    </row>
    <row r="32" spans="2:19" ht="16" x14ac:dyDescent="0.2">
      <c r="B32" s="39">
        <v>202010</v>
      </c>
      <c r="C32" s="40" t="s">
        <v>69</v>
      </c>
      <c r="D32" s="40" t="s">
        <v>34</v>
      </c>
      <c r="E32" s="41">
        <v>118</v>
      </c>
      <c r="F32" s="41">
        <v>24886.09999999998</v>
      </c>
      <c r="G32" s="41">
        <v>14047.86</v>
      </c>
      <c r="H32" s="41">
        <v>40116.249999999993</v>
      </c>
      <c r="I32" s="41">
        <v>79050.209999999992</v>
      </c>
      <c r="L32" s="39">
        <v>202010</v>
      </c>
      <c r="M32" s="40" t="s">
        <v>180</v>
      </c>
      <c r="N32" s="40" t="str">
        <f t="shared" si="0"/>
        <v>99329</v>
      </c>
      <c r="O32" s="40" t="str">
        <f t="shared" si="1"/>
        <v>RES</v>
      </c>
      <c r="P32" s="41">
        <v>0</v>
      </c>
      <c r="Q32" s="41">
        <v>0</v>
      </c>
      <c r="R32" s="41">
        <v>0</v>
      </c>
      <c r="S32" s="41">
        <v>0</v>
      </c>
    </row>
    <row r="33" spans="2:19" ht="32" x14ac:dyDescent="0.2">
      <c r="B33" s="39">
        <v>202010</v>
      </c>
      <c r="C33" s="40" t="s">
        <v>70</v>
      </c>
      <c r="D33" s="40" t="s">
        <v>34</v>
      </c>
      <c r="E33" s="41">
        <v>3</v>
      </c>
      <c r="F33" s="41">
        <v>181.19</v>
      </c>
      <c r="G33" s="41">
        <v>41.84</v>
      </c>
      <c r="H33" s="41">
        <v>93.05</v>
      </c>
      <c r="I33" s="41">
        <v>316.08</v>
      </c>
      <c r="L33" s="39">
        <v>202010</v>
      </c>
      <c r="M33" s="40" t="s">
        <v>121</v>
      </c>
      <c r="N33" s="40" t="str">
        <f t="shared" si="0"/>
        <v>99347</v>
      </c>
      <c r="O33" s="40" t="str">
        <f t="shared" si="1"/>
        <v>COM</v>
      </c>
      <c r="P33" s="41">
        <v>100.28</v>
      </c>
      <c r="Q33" s="41">
        <v>0</v>
      </c>
      <c r="R33" s="41">
        <v>0</v>
      </c>
      <c r="S33" s="41">
        <v>100.28</v>
      </c>
    </row>
    <row r="34" spans="2:19" ht="16" x14ac:dyDescent="0.2">
      <c r="B34" s="39">
        <v>202010</v>
      </c>
      <c r="C34" s="40" t="s">
        <v>76</v>
      </c>
      <c r="D34" s="40" t="s">
        <v>75</v>
      </c>
      <c r="E34" s="41">
        <v>2</v>
      </c>
      <c r="F34" s="41">
        <v>260</v>
      </c>
      <c r="G34" s="41">
        <v>131.72999999999999</v>
      </c>
      <c r="H34" s="41">
        <v>174.31</v>
      </c>
      <c r="I34" s="41">
        <v>566.04</v>
      </c>
      <c r="L34" s="39">
        <v>202010</v>
      </c>
      <c r="M34" s="40" t="s">
        <v>109</v>
      </c>
      <c r="N34" s="40" t="str">
        <f t="shared" si="0"/>
        <v>99347</v>
      </c>
      <c r="O34" s="40" t="str">
        <f t="shared" si="1"/>
        <v>RES</v>
      </c>
      <c r="P34" s="41">
        <v>909.50999999999988</v>
      </c>
      <c r="Q34" s="41">
        <v>696.19999999999993</v>
      </c>
      <c r="R34" s="41">
        <v>4127.8499999999995</v>
      </c>
      <c r="S34" s="41">
        <v>5733.5599999999995</v>
      </c>
    </row>
    <row r="35" spans="2:19" ht="16" x14ac:dyDescent="0.2">
      <c r="B35" s="39">
        <v>202010</v>
      </c>
      <c r="C35" s="40" t="s">
        <v>35</v>
      </c>
      <c r="D35" s="40" t="s">
        <v>75</v>
      </c>
      <c r="E35" s="41">
        <v>2175</v>
      </c>
      <c r="F35" s="41">
        <v>173009.97000000018</v>
      </c>
      <c r="G35" s="41">
        <v>120016.05000000012</v>
      </c>
      <c r="H35" s="41">
        <v>472644.39999999944</v>
      </c>
      <c r="I35" s="41">
        <v>765670.42000000167</v>
      </c>
      <c r="L35" s="39">
        <v>202010</v>
      </c>
      <c r="M35" s="40" t="s">
        <v>113</v>
      </c>
      <c r="N35" s="40" t="str">
        <f t="shared" si="0"/>
        <v>99348</v>
      </c>
      <c r="O35" s="40" t="str">
        <f t="shared" si="1"/>
        <v>RES</v>
      </c>
      <c r="P35" s="41">
        <v>364.08</v>
      </c>
      <c r="Q35" s="41">
        <v>286.29000000000002</v>
      </c>
      <c r="R35" s="41">
        <v>833.92000000000007</v>
      </c>
      <c r="S35" s="41">
        <v>1484.29</v>
      </c>
    </row>
    <row r="36" spans="2:19" ht="16" x14ac:dyDescent="0.2">
      <c r="B36" s="39">
        <v>202010</v>
      </c>
      <c r="C36" s="40" t="s">
        <v>36</v>
      </c>
      <c r="D36" s="40" t="s">
        <v>75</v>
      </c>
      <c r="E36" s="41">
        <v>3905</v>
      </c>
      <c r="F36" s="41">
        <v>264470.8000000001</v>
      </c>
      <c r="G36" s="41">
        <v>227282.79000000012</v>
      </c>
      <c r="H36" s="41">
        <v>612103.08999999939</v>
      </c>
      <c r="I36" s="41">
        <v>1103856.68</v>
      </c>
      <c r="L36" s="39">
        <v>202010</v>
      </c>
      <c r="M36" s="40" t="s">
        <v>122</v>
      </c>
      <c r="N36" s="40" t="str">
        <f t="shared" si="0"/>
        <v>99350</v>
      </c>
      <c r="O36" s="40" t="str">
        <f t="shared" si="1"/>
        <v>RES</v>
      </c>
      <c r="P36" s="41">
        <v>98.27</v>
      </c>
      <c r="Q36" s="41">
        <v>85.99</v>
      </c>
      <c r="R36" s="41">
        <v>32.4</v>
      </c>
      <c r="S36" s="41">
        <v>216.66</v>
      </c>
    </row>
    <row r="37" spans="2:19" ht="16" x14ac:dyDescent="0.2">
      <c r="B37" s="39">
        <v>202010</v>
      </c>
      <c r="C37" s="40" t="s">
        <v>37</v>
      </c>
      <c r="D37" s="40" t="s">
        <v>75</v>
      </c>
      <c r="E37" s="41">
        <v>1321</v>
      </c>
      <c r="F37" s="41">
        <v>121861.70000000019</v>
      </c>
      <c r="G37" s="41">
        <v>75724.840000000055</v>
      </c>
      <c r="H37" s="41">
        <v>295072.0999999998</v>
      </c>
      <c r="I37" s="41">
        <v>492658.6399999999</v>
      </c>
      <c r="L37" s="39">
        <v>202010</v>
      </c>
      <c r="M37" s="40" t="s">
        <v>123</v>
      </c>
      <c r="N37" s="40" t="str">
        <f t="shared" si="0"/>
        <v>99360</v>
      </c>
      <c r="O37" s="40" t="str">
        <f t="shared" si="1"/>
        <v>RES</v>
      </c>
      <c r="P37" s="41">
        <v>0</v>
      </c>
      <c r="Q37" s="41">
        <v>0</v>
      </c>
      <c r="R37" s="41">
        <v>0</v>
      </c>
      <c r="S37" s="41">
        <v>0</v>
      </c>
    </row>
    <row r="38" spans="2:19" ht="16" x14ac:dyDescent="0.2">
      <c r="B38" s="39">
        <v>202010</v>
      </c>
      <c r="C38" s="40" t="s">
        <v>40</v>
      </c>
      <c r="D38" s="40" t="s">
        <v>75</v>
      </c>
      <c r="E38" s="41">
        <v>2921</v>
      </c>
      <c r="F38" s="41">
        <v>261621.40999999986</v>
      </c>
      <c r="G38" s="41">
        <v>157946.06000000041</v>
      </c>
      <c r="H38" s="41">
        <v>377925.71999999968</v>
      </c>
      <c r="I38" s="41">
        <v>797493.18999999925</v>
      </c>
      <c r="L38" s="39">
        <v>202010</v>
      </c>
      <c r="M38" s="40" t="s">
        <v>103</v>
      </c>
      <c r="N38" s="40" t="str">
        <f t="shared" si="0"/>
        <v>99361</v>
      </c>
      <c r="O38" s="40" t="str">
        <f t="shared" si="1"/>
        <v>RES</v>
      </c>
      <c r="P38" s="41">
        <v>598.66999999999996</v>
      </c>
      <c r="Q38" s="41">
        <v>560.13</v>
      </c>
      <c r="R38" s="41">
        <v>2336.71</v>
      </c>
      <c r="S38" s="41">
        <v>3495.5099999999998</v>
      </c>
    </row>
    <row r="39" spans="2:19" ht="16" x14ac:dyDescent="0.2">
      <c r="B39" s="39">
        <v>202010</v>
      </c>
      <c r="C39" s="40" t="s">
        <v>41</v>
      </c>
      <c r="D39" s="40" t="s">
        <v>75</v>
      </c>
      <c r="E39" s="41">
        <v>1</v>
      </c>
      <c r="F39" s="41">
        <v>119.07</v>
      </c>
      <c r="G39" s="41">
        <v>39.25</v>
      </c>
      <c r="H39" s="41">
        <v>0</v>
      </c>
      <c r="I39" s="41">
        <v>158.32</v>
      </c>
      <c r="L39" s="39">
        <v>202010</v>
      </c>
      <c r="M39" s="40" t="s">
        <v>93</v>
      </c>
      <c r="N39" s="40" t="str">
        <f t="shared" si="0"/>
        <v>99362</v>
      </c>
      <c r="O39" s="40" t="str">
        <f t="shared" si="1"/>
        <v>RES</v>
      </c>
      <c r="P39" s="41">
        <v>17012.839999999993</v>
      </c>
      <c r="Q39" s="41">
        <v>13924.579999999996</v>
      </c>
      <c r="R39" s="41">
        <v>46583</v>
      </c>
      <c r="S39" s="41">
        <v>77520.419999999955</v>
      </c>
    </row>
    <row r="40" spans="2:19" ht="16" x14ac:dyDescent="0.2">
      <c r="B40" s="39">
        <v>202010</v>
      </c>
      <c r="C40" s="40" t="s">
        <v>42</v>
      </c>
      <c r="D40" s="40" t="s">
        <v>75</v>
      </c>
      <c r="E40" s="41">
        <v>75</v>
      </c>
      <c r="F40" s="41">
        <v>5743.53</v>
      </c>
      <c r="G40" s="41">
        <v>4468.13</v>
      </c>
      <c r="H40" s="41">
        <v>19485.400000000001</v>
      </c>
      <c r="I40" s="41">
        <v>29697.059999999998</v>
      </c>
      <c r="L40" s="39">
        <v>202010</v>
      </c>
      <c r="M40" s="40" t="s">
        <v>124</v>
      </c>
      <c r="N40" s="40" t="str">
        <f t="shared" si="0"/>
        <v>99363</v>
      </c>
      <c r="O40" s="40" t="str">
        <f t="shared" si="1"/>
        <v>RES</v>
      </c>
      <c r="P40" s="41">
        <v>0</v>
      </c>
      <c r="Q40" s="41">
        <v>45.47</v>
      </c>
      <c r="R40" s="41">
        <v>320.64</v>
      </c>
      <c r="S40" s="41">
        <v>366.11</v>
      </c>
    </row>
    <row r="41" spans="2:19" ht="32" x14ac:dyDescent="0.2">
      <c r="B41" s="39">
        <v>202010</v>
      </c>
      <c r="C41" s="40" t="s">
        <v>43</v>
      </c>
      <c r="D41" s="40" t="s">
        <v>75</v>
      </c>
      <c r="E41" s="41">
        <v>95</v>
      </c>
      <c r="F41" s="41">
        <v>9016.2199999999957</v>
      </c>
      <c r="G41" s="41">
        <v>5033.8500000000004</v>
      </c>
      <c r="H41" s="41">
        <v>18347.989999999994</v>
      </c>
      <c r="I41" s="41">
        <v>32398.059999999998</v>
      </c>
      <c r="L41" s="39">
        <v>202011</v>
      </c>
      <c r="M41" s="40" t="s">
        <v>104</v>
      </c>
      <c r="N41" s="40" t="str">
        <f t="shared" si="0"/>
        <v>98901</v>
      </c>
      <c r="O41" s="40" t="str">
        <f t="shared" si="1"/>
        <v>COM</v>
      </c>
      <c r="P41" s="41">
        <v>14.85</v>
      </c>
      <c r="Q41" s="41">
        <v>17.559999999999999</v>
      </c>
      <c r="R41" s="41">
        <v>270.17</v>
      </c>
      <c r="S41" s="41">
        <v>302.58</v>
      </c>
    </row>
    <row r="42" spans="2:19" ht="16" x14ac:dyDescent="0.2">
      <c r="B42" s="39">
        <v>202010</v>
      </c>
      <c r="C42" s="40" t="s">
        <v>44</v>
      </c>
      <c r="D42" s="40" t="s">
        <v>75</v>
      </c>
      <c r="E42" s="41">
        <v>750</v>
      </c>
      <c r="F42" s="41">
        <v>63246.820000000116</v>
      </c>
      <c r="G42" s="41">
        <v>42290.000000000015</v>
      </c>
      <c r="H42" s="41">
        <v>116444.84000000005</v>
      </c>
      <c r="I42" s="41">
        <v>221981.66</v>
      </c>
      <c r="L42" s="39">
        <v>202011</v>
      </c>
      <c r="M42" s="40" t="s">
        <v>87</v>
      </c>
      <c r="N42" s="40" t="str">
        <f t="shared" si="0"/>
        <v>98901</v>
      </c>
      <c r="O42" s="40" t="str">
        <f t="shared" si="1"/>
        <v>RES</v>
      </c>
      <c r="P42" s="41">
        <v>11261.61</v>
      </c>
      <c r="Q42" s="41">
        <v>14475.859999999999</v>
      </c>
      <c r="R42" s="41">
        <v>85715.689999999988</v>
      </c>
      <c r="S42" s="41">
        <v>111453.15999999992</v>
      </c>
    </row>
    <row r="43" spans="2:19" ht="32" x14ac:dyDescent="0.2">
      <c r="B43" s="39">
        <v>202010</v>
      </c>
      <c r="C43" s="40" t="s">
        <v>45</v>
      </c>
      <c r="D43" s="40" t="s">
        <v>75</v>
      </c>
      <c r="E43" s="41">
        <v>431</v>
      </c>
      <c r="F43" s="41">
        <v>36094.179999999993</v>
      </c>
      <c r="G43" s="41">
        <v>24363.160000000007</v>
      </c>
      <c r="H43" s="41">
        <v>76821.919999999998</v>
      </c>
      <c r="I43" s="41">
        <v>137279.25999999998</v>
      </c>
      <c r="L43" s="39">
        <v>202011</v>
      </c>
      <c r="M43" s="40" t="s">
        <v>116</v>
      </c>
      <c r="N43" s="40" t="str">
        <f t="shared" si="0"/>
        <v>98902</v>
      </c>
      <c r="O43" s="40" t="str">
        <f t="shared" si="1"/>
        <v>COM</v>
      </c>
      <c r="P43" s="41">
        <v>82.34</v>
      </c>
      <c r="Q43" s="41">
        <v>79.41</v>
      </c>
      <c r="R43" s="41">
        <v>628.89</v>
      </c>
      <c r="S43" s="41">
        <v>790.64</v>
      </c>
    </row>
    <row r="44" spans="2:19" ht="16" x14ac:dyDescent="0.2">
      <c r="B44" s="39">
        <v>202010</v>
      </c>
      <c r="C44" s="40" t="s">
        <v>46</v>
      </c>
      <c r="D44" s="40" t="s">
        <v>75</v>
      </c>
      <c r="E44" s="41">
        <v>56</v>
      </c>
      <c r="F44" s="41">
        <v>4852.1999999999989</v>
      </c>
      <c r="G44" s="41">
        <v>3341.85</v>
      </c>
      <c r="H44" s="41">
        <v>18024.710000000003</v>
      </c>
      <c r="I44" s="41">
        <v>26218.76</v>
      </c>
      <c r="L44" s="39">
        <v>202011</v>
      </c>
      <c r="M44" s="40" t="s">
        <v>88</v>
      </c>
      <c r="N44" s="40" t="str">
        <f t="shared" si="0"/>
        <v>98902</v>
      </c>
      <c r="O44" s="40" t="str">
        <f t="shared" si="1"/>
        <v>RES</v>
      </c>
      <c r="P44" s="41">
        <v>23729.439999999991</v>
      </c>
      <c r="Q44" s="41">
        <v>21226.800000000007</v>
      </c>
      <c r="R44" s="41">
        <v>96803.72</v>
      </c>
      <c r="S44" s="41">
        <v>141759.95999999996</v>
      </c>
    </row>
    <row r="45" spans="2:19" ht="16" x14ac:dyDescent="0.2">
      <c r="B45" s="39">
        <v>202010</v>
      </c>
      <c r="C45" s="40" t="s">
        <v>47</v>
      </c>
      <c r="D45" s="40" t="s">
        <v>75</v>
      </c>
      <c r="E45" s="41">
        <v>176</v>
      </c>
      <c r="F45" s="41">
        <v>17571.260000000002</v>
      </c>
      <c r="G45" s="41">
        <v>11710.47</v>
      </c>
      <c r="H45" s="41">
        <v>44787.42000000002</v>
      </c>
      <c r="I45" s="41">
        <v>74069.150000000038</v>
      </c>
      <c r="L45" s="39">
        <v>202011</v>
      </c>
      <c r="M45" s="40" t="s">
        <v>89</v>
      </c>
      <c r="N45" s="40" t="str">
        <f t="shared" si="0"/>
        <v>98903</v>
      </c>
      <c r="O45" s="40" t="str">
        <f t="shared" si="1"/>
        <v>RES</v>
      </c>
      <c r="P45" s="41">
        <v>10841.94000000001</v>
      </c>
      <c r="Q45" s="41">
        <v>7642.8100000000013</v>
      </c>
      <c r="R45" s="41">
        <v>37955.890000000007</v>
      </c>
      <c r="S45" s="41">
        <v>56440.63999999997</v>
      </c>
    </row>
    <row r="46" spans="2:19" ht="32" x14ac:dyDescent="0.2">
      <c r="B46" s="39">
        <v>202010</v>
      </c>
      <c r="C46" s="40" t="s">
        <v>48</v>
      </c>
      <c r="D46" s="40" t="s">
        <v>75</v>
      </c>
      <c r="E46" s="41">
        <v>378</v>
      </c>
      <c r="F46" s="41">
        <v>35199.9</v>
      </c>
      <c r="G46" s="41">
        <v>25862.859999999997</v>
      </c>
      <c r="H46" s="41">
        <v>84227.139999999985</v>
      </c>
      <c r="I46" s="41">
        <v>145289.90000000005</v>
      </c>
      <c r="L46" s="39">
        <v>202011</v>
      </c>
      <c r="M46" s="40" t="s">
        <v>117</v>
      </c>
      <c r="N46" s="40" t="str">
        <f t="shared" si="0"/>
        <v>98908</v>
      </c>
      <c r="O46" s="40" t="str">
        <f t="shared" si="1"/>
        <v>COM</v>
      </c>
      <c r="P46" s="41">
        <v>59.57</v>
      </c>
      <c r="Q46" s="41">
        <v>46.22</v>
      </c>
      <c r="R46" s="41">
        <v>354.63</v>
      </c>
      <c r="S46" s="41">
        <v>460.41999999999996</v>
      </c>
    </row>
    <row r="47" spans="2:19" ht="16" x14ac:dyDescent="0.2">
      <c r="B47" s="39">
        <v>202010</v>
      </c>
      <c r="C47" s="40" t="s">
        <v>49</v>
      </c>
      <c r="D47" s="40" t="s">
        <v>75</v>
      </c>
      <c r="E47" s="41">
        <v>294</v>
      </c>
      <c r="F47" s="41">
        <v>26791.099999999991</v>
      </c>
      <c r="G47" s="41">
        <v>15535.700000000004</v>
      </c>
      <c r="H47" s="41">
        <v>44848.189999999995</v>
      </c>
      <c r="I47" s="41">
        <v>87174.989999999991</v>
      </c>
      <c r="L47" s="39">
        <v>202011</v>
      </c>
      <c r="M47" s="40" t="s">
        <v>90</v>
      </c>
      <c r="N47" s="40" t="str">
        <f t="shared" si="0"/>
        <v>98908</v>
      </c>
      <c r="O47" s="40" t="str">
        <f t="shared" si="1"/>
        <v>RES</v>
      </c>
      <c r="P47" s="41">
        <v>5880.6099999999979</v>
      </c>
      <c r="Q47" s="41">
        <v>5623.2500000000009</v>
      </c>
      <c r="R47" s="41">
        <v>23925.440000000002</v>
      </c>
      <c r="S47" s="41">
        <v>35429.299999999988</v>
      </c>
    </row>
    <row r="48" spans="2:19" ht="16" x14ac:dyDescent="0.2">
      <c r="B48" s="39">
        <v>202010</v>
      </c>
      <c r="C48" s="40" t="s">
        <v>50</v>
      </c>
      <c r="D48" s="40" t="s">
        <v>75</v>
      </c>
      <c r="E48" s="41">
        <v>143</v>
      </c>
      <c r="F48" s="41">
        <v>16067.880000000001</v>
      </c>
      <c r="G48" s="41">
        <v>11424.430000000004</v>
      </c>
      <c r="H48" s="41">
        <v>35348.89</v>
      </c>
      <c r="I48" s="41">
        <v>62841.19999999999</v>
      </c>
      <c r="L48" s="39">
        <v>202011</v>
      </c>
      <c r="M48" s="40" t="s">
        <v>118</v>
      </c>
      <c r="N48" s="40" t="str">
        <f t="shared" si="0"/>
        <v>98921</v>
      </c>
      <c r="O48" s="40" t="str">
        <f t="shared" si="1"/>
        <v>RES</v>
      </c>
      <c r="P48" s="41">
        <v>1251.5199999999998</v>
      </c>
      <c r="Q48" s="41">
        <v>1171.68</v>
      </c>
      <c r="R48" s="41">
        <v>5579.5499999999984</v>
      </c>
      <c r="S48" s="41">
        <v>8002.75</v>
      </c>
    </row>
    <row r="49" spans="2:19" ht="16" x14ac:dyDescent="0.2">
      <c r="B49" s="39">
        <v>202010</v>
      </c>
      <c r="C49" s="40" t="s">
        <v>51</v>
      </c>
      <c r="D49" s="40" t="s">
        <v>75</v>
      </c>
      <c r="E49" s="41">
        <v>22</v>
      </c>
      <c r="F49" s="41">
        <v>1968.9699999999998</v>
      </c>
      <c r="G49" s="41">
        <v>1702.0099999999995</v>
      </c>
      <c r="H49" s="41">
        <v>8459.1999999999989</v>
      </c>
      <c r="I49" s="41">
        <v>12130.18</v>
      </c>
      <c r="L49" s="39">
        <v>202011</v>
      </c>
      <c r="M49" s="40" t="s">
        <v>111</v>
      </c>
      <c r="N49" s="40" t="str">
        <f t="shared" si="0"/>
        <v>98923</v>
      </c>
      <c r="O49" s="40" t="str">
        <f t="shared" si="1"/>
        <v>RES</v>
      </c>
      <c r="P49" s="41">
        <v>372.06</v>
      </c>
      <c r="Q49" s="41">
        <v>360.51000000000005</v>
      </c>
      <c r="R49" s="41">
        <v>348.07000000000005</v>
      </c>
      <c r="S49" s="41">
        <v>1080.6399999999999</v>
      </c>
    </row>
    <row r="50" spans="2:19" ht="16" x14ac:dyDescent="0.2">
      <c r="B50" s="39">
        <v>202010</v>
      </c>
      <c r="C50" s="40" t="s">
        <v>52</v>
      </c>
      <c r="D50" s="40" t="s">
        <v>75</v>
      </c>
      <c r="E50" s="41">
        <v>1298</v>
      </c>
      <c r="F50" s="41">
        <v>133865.34999999983</v>
      </c>
      <c r="G50" s="41">
        <v>77001.17</v>
      </c>
      <c r="H50" s="41">
        <v>220868.81000000011</v>
      </c>
      <c r="I50" s="41">
        <v>431735.3299999999</v>
      </c>
      <c r="L50" s="39">
        <v>202011</v>
      </c>
      <c r="M50" s="40" t="s">
        <v>96</v>
      </c>
      <c r="N50" s="40" t="str">
        <f t="shared" si="0"/>
        <v>98930</v>
      </c>
      <c r="O50" s="40" t="str">
        <f t="shared" si="1"/>
        <v>RES</v>
      </c>
      <c r="P50" s="41">
        <v>6120.3500000000013</v>
      </c>
      <c r="Q50" s="41">
        <v>5455.7999999999993</v>
      </c>
      <c r="R50" s="41">
        <v>17970.990000000002</v>
      </c>
      <c r="S50" s="41">
        <v>29547.139999999996</v>
      </c>
    </row>
    <row r="51" spans="2:19" ht="16" x14ac:dyDescent="0.2">
      <c r="B51" s="39">
        <v>202010</v>
      </c>
      <c r="C51" s="40" t="s">
        <v>53</v>
      </c>
      <c r="D51" s="40" t="s">
        <v>75</v>
      </c>
      <c r="E51" s="41">
        <v>1531</v>
      </c>
      <c r="F51" s="41">
        <v>131978.7200000002</v>
      </c>
      <c r="G51" s="41">
        <v>83626.530000000028</v>
      </c>
      <c r="H51" s="41">
        <v>212845.08000000013</v>
      </c>
      <c r="I51" s="41">
        <v>428450.33000000013</v>
      </c>
      <c r="L51" s="39">
        <v>202011</v>
      </c>
      <c r="M51" s="40" t="s">
        <v>94</v>
      </c>
      <c r="N51" s="40" t="str">
        <f t="shared" si="0"/>
        <v>98932</v>
      </c>
      <c r="O51" s="40" t="str">
        <f t="shared" si="1"/>
        <v>RES</v>
      </c>
      <c r="P51" s="41">
        <v>3367.5400000000004</v>
      </c>
      <c r="Q51" s="41">
        <v>3526.4300000000003</v>
      </c>
      <c r="R51" s="41">
        <v>10344.250000000004</v>
      </c>
      <c r="S51" s="41">
        <v>17238.219999999998</v>
      </c>
    </row>
    <row r="52" spans="2:19" ht="16" x14ac:dyDescent="0.2">
      <c r="B52" s="39">
        <v>202010</v>
      </c>
      <c r="C52" s="40" t="s">
        <v>54</v>
      </c>
      <c r="D52" s="40" t="s">
        <v>75</v>
      </c>
      <c r="E52" s="41">
        <v>236</v>
      </c>
      <c r="F52" s="41">
        <v>21905.179999999993</v>
      </c>
      <c r="G52" s="41">
        <v>13400.26</v>
      </c>
      <c r="H52" s="41">
        <v>50882.920000000013</v>
      </c>
      <c r="I52" s="41">
        <v>86188.360000000015</v>
      </c>
      <c r="L52" s="39">
        <v>202011</v>
      </c>
      <c r="M52" s="40" t="s">
        <v>95</v>
      </c>
      <c r="N52" s="40" t="str">
        <f t="shared" si="0"/>
        <v>98933</v>
      </c>
      <c r="O52" s="40" t="str">
        <f t="shared" si="1"/>
        <v>RES</v>
      </c>
      <c r="P52" s="41">
        <v>826.82999999999981</v>
      </c>
      <c r="Q52" s="41">
        <v>611.28</v>
      </c>
      <c r="R52" s="41">
        <v>3525.75</v>
      </c>
      <c r="S52" s="41">
        <v>4963.8600000000006</v>
      </c>
    </row>
    <row r="53" spans="2:19" ht="16" x14ac:dyDescent="0.2">
      <c r="B53" s="39">
        <v>202010</v>
      </c>
      <c r="C53" s="40" t="s">
        <v>55</v>
      </c>
      <c r="D53" s="40" t="s">
        <v>75</v>
      </c>
      <c r="E53" s="41">
        <v>743</v>
      </c>
      <c r="F53" s="41">
        <v>50212.82</v>
      </c>
      <c r="G53" s="41">
        <v>51196.250000000022</v>
      </c>
      <c r="H53" s="41">
        <v>165724.99</v>
      </c>
      <c r="I53" s="41">
        <v>267134.06</v>
      </c>
      <c r="L53" s="39">
        <v>202011</v>
      </c>
      <c r="M53" s="40" t="s">
        <v>97</v>
      </c>
      <c r="N53" s="40" t="str">
        <f t="shared" si="0"/>
        <v>98935</v>
      </c>
      <c r="O53" s="40" t="str">
        <f t="shared" si="1"/>
        <v>RES</v>
      </c>
      <c r="P53" s="41">
        <v>3295.1199999999994</v>
      </c>
      <c r="Q53" s="41">
        <v>2143.2499999999995</v>
      </c>
      <c r="R53" s="41">
        <v>8865.6700000000019</v>
      </c>
      <c r="S53" s="41">
        <v>14304.039999999997</v>
      </c>
    </row>
    <row r="54" spans="2:19" ht="16" x14ac:dyDescent="0.2">
      <c r="B54" s="39">
        <v>202010</v>
      </c>
      <c r="C54" s="40" t="s">
        <v>56</v>
      </c>
      <c r="D54" s="40" t="s">
        <v>75</v>
      </c>
      <c r="E54" s="41">
        <v>937</v>
      </c>
      <c r="F54" s="41">
        <v>95958.779999999955</v>
      </c>
      <c r="G54" s="41">
        <v>68658.09000000004</v>
      </c>
      <c r="H54" s="41">
        <v>254205.52999999971</v>
      </c>
      <c r="I54" s="41">
        <v>418822.39999999991</v>
      </c>
      <c r="L54" s="39">
        <v>202011</v>
      </c>
      <c r="M54" s="40" t="s">
        <v>98</v>
      </c>
      <c r="N54" s="40" t="str">
        <f t="shared" si="0"/>
        <v>98936</v>
      </c>
      <c r="O54" s="40" t="str">
        <f t="shared" si="1"/>
        <v>RES</v>
      </c>
      <c r="P54" s="41">
        <v>911.99</v>
      </c>
      <c r="Q54" s="41">
        <v>655.87</v>
      </c>
      <c r="R54" s="41">
        <v>2563.2099999999996</v>
      </c>
      <c r="S54" s="41">
        <v>4131.07</v>
      </c>
    </row>
    <row r="55" spans="2:19" ht="16" x14ac:dyDescent="0.2">
      <c r="B55" s="39">
        <v>202010</v>
      </c>
      <c r="C55" s="40" t="s">
        <v>57</v>
      </c>
      <c r="D55" s="40" t="s">
        <v>75</v>
      </c>
      <c r="E55" s="41">
        <v>70</v>
      </c>
      <c r="F55" s="41">
        <v>6660.9400000000014</v>
      </c>
      <c r="G55" s="41">
        <v>6039.68</v>
      </c>
      <c r="H55" s="41">
        <v>28627.86</v>
      </c>
      <c r="I55" s="41">
        <v>41328.479999999989</v>
      </c>
      <c r="L55" s="39">
        <v>202011</v>
      </c>
      <c r="M55" s="40" t="s">
        <v>107</v>
      </c>
      <c r="N55" s="40" t="str">
        <f t="shared" si="0"/>
        <v>98937</v>
      </c>
      <c r="O55" s="40" t="str">
        <f t="shared" si="1"/>
        <v>RES</v>
      </c>
      <c r="P55" s="41">
        <v>642.16000000000008</v>
      </c>
      <c r="Q55" s="41">
        <v>530.01</v>
      </c>
      <c r="R55" s="41">
        <v>1464.09</v>
      </c>
      <c r="S55" s="41">
        <v>2636.26</v>
      </c>
    </row>
    <row r="56" spans="2:19" ht="16" x14ac:dyDescent="0.2">
      <c r="B56" s="39">
        <v>202010</v>
      </c>
      <c r="C56" s="40" t="s">
        <v>58</v>
      </c>
      <c r="D56" s="40" t="s">
        <v>75</v>
      </c>
      <c r="E56" s="41">
        <v>531</v>
      </c>
      <c r="F56" s="41">
        <v>51245.319999999927</v>
      </c>
      <c r="G56" s="41">
        <v>33558.959999999999</v>
      </c>
      <c r="H56" s="41">
        <v>83869.059999999969</v>
      </c>
      <c r="I56" s="41">
        <v>168673.34000000008</v>
      </c>
      <c r="L56" s="39">
        <v>202011</v>
      </c>
      <c r="M56" s="40" t="s">
        <v>105</v>
      </c>
      <c r="N56" s="40" t="str">
        <f t="shared" si="0"/>
        <v>98938</v>
      </c>
      <c r="O56" s="40" t="str">
        <f t="shared" si="1"/>
        <v>RES</v>
      </c>
      <c r="P56" s="41">
        <v>1050.3700000000001</v>
      </c>
      <c r="Q56" s="41">
        <v>676.81000000000006</v>
      </c>
      <c r="R56" s="41">
        <v>3254.4399999999996</v>
      </c>
      <c r="S56" s="41">
        <v>4981.619999999999</v>
      </c>
    </row>
    <row r="57" spans="2:19" ht="16" x14ac:dyDescent="0.2">
      <c r="B57" s="39">
        <v>202010</v>
      </c>
      <c r="C57" s="40" t="s">
        <v>59</v>
      </c>
      <c r="D57" s="40" t="s">
        <v>75</v>
      </c>
      <c r="E57" s="41">
        <v>1</v>
      </c>
      <c r="F57" s="41">
        <v>86.85</v>
      </c>
      <c r="G57" s="41">
        <v>185.01</v>
      </c>
      <c r="H57" s="41">
        <v>679.43</v>
      </c>
      <c r="I57" s="41">
        <v>951.29</v>
      </c>
      <c r="L57" s="39">
        <v>202011</v>
      </c>
      <c r="M57" s="40" t="s">
        <v>119</v>
      </c>
      <c r="N57" s="40" t="str">
        <f t="shared" si="0"/>
        <v>98939</v>
      </c>
      <c r="O57" s="40" t="str">
        <f t="shared" si="1"/>
        <v>RES</v>
      </c>
      <c r="P57" s="41">
        <v>117.67</v>
      </c>
      <c r="Q57" s="41">
        <v>126.58000000000001</v>
      </c>
      <c r="R57" s="41">
        <v>573.76</v>
      </c>
      <c r="S57" s="41">
        <v>818.01</v>
      </c>
    </row>
    <row r="58" spans="2:19" ht="16" x14ac:dyDescent="0.2">
      <c r="B58" s="39">
        <v>202010</v>
      </c>
      <c r="C58" s="40" t="s">
        <v>60</v>
      </c>
      <c r="D58" s="40" t="s">
        <v>75</v>
      </c>
      <c r="E58" s="41">
        <v>208</v>
      </c>
      <c r="F58" s="41">
        <v>19575.720000000005</v>
      </c>
      <c r="G58" s="41">
        <v>13228.749999999998</v>
      </c>
      <c r="H58" s="41">
        <v>24537.329999999994</v>
      </c>
      <c r="I58" s="41">
        <v>57341.799999999996</v>
      </c>
      <c r="L58" s="39">
        <v>202011</v>
      </c>
      <c r="M58" s="40" t="s">
        <v>99</v>
      </c>
      <c r="N58" s="40" t="str">
        <f t="shared" si="0"/>
        <v>98942</v>
      </c>
      <c r="O58" s="40" t="str">
        <f t="shared" si="1"/>
        <v>RES</v>
      </c>
      <c r="P58" s="41">
        <v>2541.87</v>
      </c>
      <c r="Q58" s="41">
        <v>2809.4900000000002</v>
      </c>
      <c r="R58" s="41">
        <v>12041.699999999999</v>
      </c>
      <c r="S58" s="41">
        <v>17393.060000000001</v>
      </c>
    </row>
    <row r="59" spans="2:19" ht="16" x14ac:dyDescent="0.2">
      <c r="B59" s="39">
        <v>202010</v>
      </c>
      <c r="C59" s="40" t="s">
        <v>61</v>
      </c>
      <c r="D59" s="40" t="s">
        <v>75</v>
      </c>
      <c r="E59" s="41">
        <v>490</v>
      </c>
      <c r="F59" s="41">
        <v>35621.029999999977</v>
      </c>
      <c r="G59" s="41">
        <v>22046.950000000012</v>
      </c>
      <c r="H59" s="41">
        <v>44996.209999999985</v>
      </c>
      <c r="I59" s="41">
        <v>102664.18999999994</v>
      </c>
      <c r="L59" s="39">
        <v>202011</v>
      </c>
      <c r="M59" s="40" t="s">
        <v>91</v>
      </c>
      <c r="N59" s="40" t="str">
        <f t="shared" si="0"/>
        <v>98944</v>
      </c>
      <c r="O59" s="40" t="str">
        <f t="shared" si="1"/>
        <v>RES</v>
      </c>
      <c r="P59" s="41">
        <v>11272.8</v>
      </c>
      <c r="Q59" s="41">
        <v>10610.969999999998</v>
      </c>
      <c r="R59" s="41">
        <v>43155.63</v>
      </c>
      <c r="S59" s="41">
        <v>65039.4</v>
      </c>
    </row>
    <row r="60" spans="2:19" ht="16" x14ac:dyDescent="0.2">
      <c r="B60" s="39">
        <v>202010</v>
      </c>
      <c r="C60" s="40" t="s">
        <v>62</v>
      </c>
      <c r="D60" s="40" t="s">
        <v>75</v>
      </c>
      <c r="E60" s="41">
        <v>336</v>
      </c>
      <c r="F60" s="41">
        <v>23013.860000000015</v>
      </c>
      <c r="G60" s="41">
        <v>18240.900000000012</v>
      </c>
      <c r="H60" s="41">
        <v>56986.040000000008</v>
      </c>
      <c r="I60" s="41">
        <v>98240.800000000032</v>
      </c>
      <c r="L60" s="39">
        <v>202011</v>
      </c>
      <c r="M60" s="40" t="s">
        <v>100</v>
      </c>
      <c r="N60" s="40" t="str">
        <f t="shared" si="0"/>
        <v>98947</v>
      </c>
      <c r="O60" s="40" t="str">
        <f t="shared" si="1"/>
        <v>RES</v>
      </c>
      <c r="P60" s="41">
        <v>1141.82</v>
      </c>
      <c r="Q60" s="41">
        <v>1045.24</v>
      </c>
      <c r="R60" s="41">
        <v>5301.71</v>
      </c>
      <c r="S60" s="41">
        <v>7488.77</v>
      </c>
    </row>
    <row r="61" spans="2:19" ht="32" x14ac:dyDescent="0.2">
      <c r="B61" s="39">
        <v>202010</v>
      </c>
      <c r="C61" s="40" t="s">
        <v>63</v>
      </c>
      <c r="D61" s="40" t="s">
        <v>75</v>
      </c>
      <c r="E61" s="41">
        <v>15</v>
      </c>
      <c r="F61" s="41">
        <v>1325.4</v>
      </c>
      <c r="G61" s="41">
        <v>680.51</v>
      </c>
      <c r="H61" s="41">
        <v>1632.3000000000002</v>
      </c>
      <c r="I61" s="41">
        <v>3638.2099999999996</v>
      </c>
      <c r="L61" s="39">
        <v>202011</v>
      </c>
      <c r="M61" s="40" t="s">
        <v>120</v>
      </c>
      <c r="N61" s="40" t="str">
        <f t="shared" si="0"/>
        <v>98948</v>
      </c>
      <c r="O61" s="40" t="str">
        <f t="shared" si="1"/>
        <v>COM</v>
      </c>
      <c r="P61" s="41">
        <v>2726.35</v>
      </c>
      <c r="Q61" s="41">
        <v>4196.8099999999995</v>
      </c>
      <c r="R61" s="41">
        <v>5145.59</v>
      </c>
      <c r="S61" s="41">
        <v>12068.75</v>
      </c>
    </row>
    <row r="62" spans="2:19" ht="16" x14ac:dyDescent="0.2">
      <c r="B62" s="39">
        <v>202010</v>
      </c>
      <c r="C62" s="40" t="s">
        <v>64</v>
      </c>
      <c r="D62" s="40" t="s">
        <v>75</v>
      </c>
      <c r="E62" s="41">
        <v>121</v>
      </c>
      <c r="F62" s="41">
        <v>11195.130000000006</v>
      </c>
      <c r="G62" s="41">
        <v>6619.5199999999986</v>
      </c>
      <c r="H62" s="41">
        <v>31279.280000000013</v>
      </c>
      <c r="I62" s="41">
        <v>49093.93</v>
      </c>
      <c r="L62" s="39">
        <v>202011</v>
      </c>
      <c r="M62" s="40" t="s">
        <v>101</v>
      </c>
      <c r="N62" s="40" t="str">
        <f t="shared" si="0"/>
        <v>98948</v>
      </c>
      <c r="O62" s="40" t="str">
        <f t="shared" si="1"/>
        <v>RES</v>
      </c>
      <c r="P62" s="41">
        <v>18835.89000000001</v>
      </c>
      <c r="Q62" s="41">
        <v>14113.05</v>
      </c>
      <c r="R62" s="41">
        <v>69666.569999999992</v>
      </c>
      <c r="S62" s="41">
        <v>102615.51000000004</v>
      </c>
    </row>
    <row r="63" spans="2:19" ht="32" x14ac:dyDescent="0.2">
      <c r="B63" s="39">
        <v>202010</v>
      </c>
      <c r="C63" s="40" t="s">
        <v>65</v>
      </c>
      <c r="D63" s="40" t="s">
        <v>75</v>
      </c>
      <c r="E63" s="41">
        <v>40</v>
      </c>
      <c r="F63" s="41">
        <v>3612.5399999999986</v>
      </c>
      <c r="G63" s="41">
        <v>1992.2000000000003</v>
      </c>
      <c r="H63" s="41">
        <v>5875.2199999999993</v>
      </c>
      <c r="I63" s="41">
        <v>11479.960000000001</v>
      </c>
      <c r="L63" s="39">
        <v>202011</v>
      </c>
      <c r="M63" s="40" t="s">
        <v>112</v>
      </c>
      <c r="N63" s="40" t="str">
        <f t="shared" si="0"/>
        <v>98951</v>
      </c>
      <c r="O63" s="40" t="str">
        <f t="shared" si="1"/>
        <v>COM</v>
      </c>
      <c r="P63" s="41">
        <v>282.52000000000004</v>
      </c>
      <c r="Q63" s="41">
        <v>11.85</v>
      </c>
      <c r="R63" s="41">
        <v>603.04</v>
      </c>
      <c r="S63" s="41">
        <v>897.41000000000008</v>
      </c>
    </row>
    <row r="64" spans="2:19" ht="16" x14ac:dyDescent="0.2">
      <c r="B64" s="39">
        <v>202010</v>
      </c>
      <c r="C64" s="40" t="s">
        <v>66</v>
      </c>
      <c r="D64" s="40" t="s">
        <v>75</v>
      </c>
      <c r="E64" s="41">
        <v>6</v>
      </c>
      <c r="F64" s="41">
        <v>725.36999999999989</v>
      </c>
      <c r="G64" s="41">
        <v>551.17999999999995</v>
      </c>
      <c r="H64" s="41">
        <v>1037.53</v>
      </c>
      <c r="I64" s="41">
        <v>2314.08</v>
      </c>
      <c r="L64" s="39">
        <v>202011</v>
      </c>
      <c r="M64" s="40" t="s">
        <v>106</v>
      </c>
      <c r="N64" s="40" t="str">
        <f t="shared" si="0"/>
        <v>98951</v>
      </c>
      <c r="O64" s="40" t="str">
        <f t="shared" si="1"/>
        <v>RES</v>
      </c>
      <c r="P64" s="41">
        <v>19572.460000000003</v>
      </c>
      <c r="Q64" s="41">
        <v>19788.89999999998</v>
      </c>
      <c r="R64" s="41">
        <v>131011.47999999997</v>
      </c>
      <c r="S64" s="41">
        <v>170372.84000000003</v>
      </c>
    </row>
    <row r="65" spans="2:19" ht="32" x14ac:dyDescent="0.2">
      <c r="B65" s="39">
        <v>202010</v>
      </c>
      <c r="C65" s="40" t="s">
        <v>67</v>
      </c>
      <c r="D65" s="40" t="s">
        <v>75</v>
      </c>
      <c r="E65" s="41">
        <v>54</v>
      </c>
      <c r="F65" s="41">
        <v>1888.8899999999999</v>
      </c>
      <c r="G65" s="41">
        <v>5639.7599999999993</v>
      </c>
      <c r="H65" s="41">
        <v>9835.92</v>
      </c>
      <c r="I65" s="41">
        <v>17364.570000000003</v>
      </c>
      <c r="L65" s="39">
        <v>202011</v>
      </c>
      <c r="M65" s="40" t="s">
        <v>144</v>
      </c>
      <c r="N65" s="40" t="str">
        <f t="shared" si="0"/>
        <v>98952</v>
      </c>
      <c r="O65" s="40" t="str">
        <f t="shared" si="1"/>
        <v>COM</v>
      </c>
      <c r="P65" s="41">
        <v>35.39</v>
      </c>
      <c r="Q65" s="41">
        <v>21.15</v>
      </c>
      <c r="R65" s="41">
        <v>403.58</v>
      </c>
      <c r="S65" s="41">
        <v>460.12</v>
      </c>
    </row>
    <row r="66" spans="2:19" ht="16" x14ac:dyDescent="0.2">
      <c r="B66" s="39">
        <v>202010</v>
      </c>
      <c r="C66" s="40" t="s">
        <v>68</v>
      </c>
      <c r="D66" s="40" t="s">
        <v>75</v>
      </c>
      <c r="E66" s="41">
        <v>102</v>
      </c>
      <c r="F66" s="41">
        <v>8133.4599999999982</v>
      </c>
      <c r="G66" s="41">
        <v>5384.7199999999984</v>
      </c>
      <c r="H66" s="41">
        <v>19272.310000000001</v>
      </c>
      <c r="I66" s="41">
        <v>32790.489999999991</v>
      </c>
      <c r="L66" s="39">
        <v>202011</v>
      </c>
      <c r="M66" s="40" t="s">
        <v>110</v>
      </c>
      <c r="N66" s="40" t="str">
        <f t="shared" si="0"/>
        <v>98952</v>
      </c>
      <c r="O66" s="40" t="str">
        <f t="shared" si="1"/>
        <v>RES</v>
      </c>
      <c r="P66" s="41">
        <v>2339.56</v>
      </c>
      <c r="Q66" s="41">
        <v>2584.9</v>
      </c>
      <c r="R66" s="41">
        <v>15078.490000000002</v>
      </c>
      <c r="S66" s="41">
        <v>20002.95</v>
      </c>
    </row>
    <row r="67" spans="2:19" ht="16" x14ac:dyDescent="0.2">
      <c r="B67" s="39">
        <v>202010</v>
      </c>
      <c r="C67" s="40" t="s">
        <v>69</v>
      </c>
      <c r="D67" s="40" t="s">
        <v>75</v>
      </c>
      <c r="E67" s="41">
        <v>2246</v>
      </c>
      <c r="F67" s="41">
        <v>177511.1300000003</v>
      </c>
      <c r="G67" s="41">
        <v>105231.83000000003</v>
      </c>
      <c r="H67" s="41">
        <v>261297.57999999987</v>
      </c>
      <c r="I67" s="41">
        <v>544040.53999999922</v>
      </c>
      <c r="L67" s="39">
        <v>202011</v>
      </c>
      <c r="M67" s="40" t="s">
        <v>92</v>
      </c>
      <c r="N67" s="40" t="str">
        <f t="shared" ref="N67:N119" si="2">LEFT(M67,5)</f>
        <v>98953</v>
      </c>
      <c r="O67" s="40" t="str">
        <f t="shared" ref="O67:O119" si="3">RIGHT(M67,3)</f>
        <v>RES</v>
      </c>
      <c r="P67" s="41">
        <v>2360.35</v>
      </c>
      <c r="Q67" s="41">
        <v>2266.2399999999998</v>
      </c>
      <c r="R67" s="41">
        <v>8197.9500000000007</v>
      </c>
      <c r="S67" s="41">
        <v>12824.539999999995</v>
      </c>
    </row>
    <row r="68" spans="2:19" ht="16" x14ac:dyDescent="0.2">
      <c r="B68" s="39">
        <v>202010</v>
      </c>
      <c r="C68" s="40" t="s">
        <v>70</v>
      </c>
      <c r="D68" s="40" t="s">
        <v>75</v>
      </c>
      <c r="E68" s="41">
        <v>7</v>
      </c>
      <c r="F68" s="41">
        <v>0</v>
      </c>
      <c r="G68" s="41">
        <v>538.11999999999989</v>
      </c>
      <c r="H68" s="41">
        <v>1779.5</v>
      </c>
      <c r="I68" s="41">
        <v>2317.62</v>
      </c>
      <c r="L68" s="39">
        <v>202011</v>
      </c>
      <c r="M68" s="40" t="s">
        <v>114</v>
      </c>
      <c r="N68" s="40" t="str">
        <f t="shared" si="2"/>
        <v>99323</v>
      </c>
      <c r="O68" s="40" t="str">
        <f t="shared" si="3"/>
        <v>RES</v>
      </c>
      <c r="P68" s="41">
        <v>509.10999999999996</v>
      </c>
      <c r="Q68" s="41">
        <v>321.5</v>
      </c>
      <c r="R68" s="41">
        <v>2100.08</v>
      </c>
      <c r="S68" s="41">
        <v>2930.6900000000005</v>
      </c>
    </row>
    <row r="69" spans="2:19" ht="16" x14ac:dyDescent="0.2">
      <c r="B69" s="39">
        <v>202011</v>
      </c>
      <c r="C69" s="40" t="s">
        <v>76</v>
      </c>
      <c r="D69" s="40" t="s">
        <v>75</v>
      </c>
      <c r="E69" s="41">
        <v>3</v>
      </c>
      <c r="F69" s="41">
        <v>243.81</v>
      </c>
      <c r="G69" s="41">
        <v>190.02</v>
      </c>
      <c r="H69" s="41">
        <v>80.02</v>
      </c>
      <c r="I69" s="41">
        <v>513.84999999999991</v>
      </c>
      <c r="L69" s="39">
        <v>202011</v>
      </c>
      <c r="M69" s="40" t="s">
        <v>108</v>
      </c>
      <c r="N69" s="40" t="str">
        <f t="shared" si="2"/>
        <v>99324</v>
      </c>
      <c r="O69" s="40" t="str">
        <f t="shared" si="3"/>
        <v>RES</v>
      </c>
      <c r="P69" s="41">
        <v>2798.389999999999</v>
      </c>
      <c r="Q69" s="41">
        <v>2504.86</v>
      </c>
      <c r="R69" s="41">
        <v>11357.62</v>
      </c>
      <c r="S69" s="41">
        <v>16660.869999999995</v>
      </c>
    </row>
    <row r="70" spans="2:19" ht="16" x14ac:dyDescent="0.2">
      <c r="B70" s="39">
        <v>202011</v>
      </c>
      <c r="C70" s="40" t="s">
        <v>35</v>
      </c>
      <c r="D70" s="40" t="s">
        <v>34</v>
      </c>
      <c r="E70" s="41">
        <v>169</v>
      </c>
      <c r="F70" s="41">
        <v>44038.130000000026</v>
      </c>
      <c r="G70" s="41">
        <v>18326.52</v>
      </c>
      <c r="H70" s="41">
        <v>81156.280000000013</v>
      </c>
      <c r="I70" s="41">
        <v>143520.92999999991</v>
      </c>
      <c r="L70" s="39">
        <v>202011</v>
      </c>
      <c r="M70" s="40" t="s">
        <v>102</v>
      </c>
      <c r="N70" s="40" t="str">
        <f t="shared" si="2"/>
        <v>99328</v>
      </c>
      <c r="O70" s="40" t="str">
        <f t="shared" si="3"/>
        <v>RES</v>
      </c>
      <c r="P70" s="41">
        <v>1826.8399999999995</v>
      </c>
      <c r="Q70" s="41">
        <v>1620.9499999999998</v>
      </c>
      <c r="R70" s="41">
        <v>12361.339999999998</v>
      </c>
      <c r="S70" s="41">
        <v>15809.129999999997</v>
      </c>
    </row>
    <row r="71" spans="2:19" ht="16" x14ac:dyDescent="0.2">
      <c r="B71" s="39">
        <v>202011</v>
      </c>
      <c r="C71" s="40" t="s">
        <v>35</v>
      </c>
      <c r="D71" s="40" t="s">
        <v>75</v>
      </c>
      <c r="E71" s="41">
        <v>2170</v>
      </c>
      <c r="F71" s="41">
        <v>113567.25000000009</v>
      </c>
      <c r="G71" s="41">
        <v>123437.62999999999</v>
      </c>
      <c r="H71" s="41">
        <v>558638.24000000046</v>
      </c>
      <c r="I71" s="41">
        <v>795643.12000000011</v>
      </c>
      <c r="L71" s="39">
        <v>202011</v>
      </c>
      <c r="M71" s="40" t="s">
        <v>180</v>
      </c>
      <c r="N71" s="40" t="str">
        <f t="shared" si="2"/>
        <v>99329</v>
      </c>
      <c r="O71" s="40" t="str">
        <f t="shared" si="3"/>
        <v>RES</v>
      </c>
      <c r="P71" s="41">
        <v>0</v>
      </c>
      <c r="Q71" s="41">
        <v>0</v>
      </c>
      <c r="R71" s="41">
        <v>0</v>
      </c>
      <c r="S71" s="41">
        <v>0</v>
      </c>
    </row>
    <row r="72" spans="2:19" ht="32" x14ac:dyDescent="0.2">
      <c r="B72" s="39">
        <v>202011</v>
      </c>
      <c r="C72" s="40" t="s">
        <v>36</v>
      </c>
      <c r="D72" s="40" t="s">
        <v>34</v>
      </c>
      <c r="E72" s="41">
        <v>191</v>
      </c>
      <c r="F72" s="41">
        <v>46614.429999999971</v>
      </c>
      <c r="G72" s="41">
        <v>22713.83</v>
      </c>
      <c r="H72" s="41">
        <v>79876.420000000013</v>
      </c>
      <c r="I72" s="41">
        <v>149204.68000000008</v>
      </c>
      <c r="L72" s="39">
        <v>202011</v>
      </c>
      <c r="M72" s="40" t="s">
        <v>121</v>
      </c>
      <c r="N72" s="40" t="str">
        <f t="shared" si="2"/>
        <v>99347</v>
      </c>
      <c r="O72" s="40" t="str">
        <f t="shared" si="3"/>
        <v>COM</v>
      </c>
      <c r="P72" s="41">
        <v>95.330000000000013</v>
      </c>
      <c r="Q72" s="41">
        <v>0</v>
      </c>
      <c r="R72" s="41">
        <v>0</v>
      </c>
      <c r="S72" s="41">
        <v>95.330000000000013</v>
      </c>
    </row>
    <row r="73" spans="2:19" ht="16" x14ac:dyDescent="0.2">
      <c r="B73" s="39">
        <v>202011</v>
      </c>
      <c r="C73" s="40" t="s">
        <v>36</v>
      </c>
      <c r="D73" s="40" t="s">
        <v>75</v>
      </c>
      <c r="E73" s="41">
        <v>4113</v>
      </c>
      <c r="F73" s="41">
        <v>251721.7299999996</v>
      </c>
      <c r="G73" s="41">
        <v>207405.43000000028</v>
      </c>
      <c r="H73" s="41">
        <v>708523.56000000017</v>
      </c>
      <c r="I73" s="41">
        <v>1167650.7200000035</v>
      </c>
      <c r="L73" s="39">
        <v>202011</v>
      </c>
      <c r="M73" s="40" t="s">
        <v>109</v>
      </c>
      <c r="N73" s="40" t="str">
        <f t="shared" si="2"/>
        <v>99347</v>
      </c>
      <c r="O73" s="40" t="str">
        <f t="shared" si="3"/>
        <v>RES</v>
      </c>
      <c r="P73" s="41">
        <v>700.77</v>
      </c>
      <c r="Q73" s="41">
        <v>601.04999999999995</v>
      </c>
      <c r="R73" s="41">
        <v>3077.45</v>
      </c>
      <c r="S73" s="41">
        <v>4379.2699999999995</v>
      </c>
    </row>
    <row r="74" spans="2:19" ht="16" x14ac:dyDescent="0.2">
      <c r="B74" s="39">
        <v>202011</v>
      </c>
      <c r="C74" s="40" t="s">
        <v>37</v>
      </c>
      <c r="D74" s="40" t="s">
        <v>34</v>
      </c>
      <c r="E74" s="41">
        <v>162</v>
      </c>
      <c r="F74" s="41">
        <v>41463.760000000002</v>
      </c>
      <c r="G74" s="41">
        <v>15371.429999999998</v>
      </c>
      <c r="H74" s="41">
        <v>47568.77</v>
      </c>
      <c r="I74" s="41">
        <v>104403.96000000002</v>
      </c>
      <c r="L74" s="39">
        <v>202011</v>
      </c>
      <c r="M74" s="40" t="s">
        <v>113</v>
      </c>
      <c r="N74" s="40" t="str">
        <f t="shared" si="2"/>
        <v>99348</v>
      </c>
      <c r="O74" s="40" t="str">
        <f t="shared" si="3"/>
        <v>RES</v>
      </c>
      <c r="P74" s="41">
        <v>292.59000000000003</v>
      </c>
      <c r="Q74" s="41">
        <v>317.21999999999997</v>
      </c>
      <c r="R74" s="41">
        <v>967.07</v>
      </c>
      <c r="S74" s="41">
        <v>1576.8799999999999</v>
      </c>
    </row>
    <row r="75" spans="2:19" ht="16" x14ac:dyDescent="0.2">
      <c r="B75" s="39">
        <v>202011</v>
      </c>
      <c r="C75" s="40" t="s">
        <v>37</v>
      </c>
      <c r="D75" s="40" t="s">
        <v>75</v>
      </c>
      <c r="E75" s="41">
        <v>1506</v>
      </c>
      <c r="F75" s="41">
        <v>127734.90999999993</v>
      </c>
      <c r="G75" s="41">
        <v>75750.560000000085</v>
      </c>
      <c r="H75" s="41">
        <v>347061.92000000016</v>
      </c>
      <c r="I75" s="41">
        <v>550547.39000000025</v>
      </c>
      <c r="L75" s="39">
        <v>202011</v>
      </c>
      <c r="M75" s="40" t="s">
        <v>122</v>
      </c>
      <c r="N75" s="40" t="str">
        <f t="shared" si="2"/>
        <v>99350</v>
      </c>
      <c r="O75" s="40" t="str">
        <f t="shared" si="3"/>
        <v>RES</v>
      </c>
      <c r="P75" s="41">
        <v>85.100000000000009</v>
      </c>
      <c r="Q75" s="41">
        <v>67.22</v>
      </c>
      <c r="R75" s="41">
        <v>216.66</v>
      </c>
      <c r="S75" s="41">
        <v>368.97999999999996</v>
      </c>
    </row>
    <row r="76" spans="2:19" ht="16" x14ac:dyDescent="0.2">
      <c r="B76" s="39">
        <v>202011</v>
      </c>
      <c r="C76" s="40" t="s">
        <v>40</v>
      </c>
      <c r="D76" s="40" t="s">
        <v>34</v>
      </c>
      <c r="E76" s="41">
        <v>106</v>
      </c>
      <c r="F76" s="41">
        <v>20962.140000000003</v>
      </c>
      <c r="G76" s="41">
        <v>6375.300000000002</v>
      </c>
      <c r="H76" s="41">
        <v>18074.890000000003</v>
      </c>
      <c r="I76" s="41">
        <v>45412.330000000009</v>
      </c>
      <c r="L76" s="39">
        <v>202011</v>
      </c>
      <c r="M76" s="40" t="s">
        <v>123</v>
      </c>
      <c r="N76" s="40" t="str">
        <f t="shared" si="2"/>
        <v>99360</v>
      </c>
      <c r="O76" s="40" t="str">
        <f t="shared" si="3"/>
        <v>RES</v>
      </c>
      <c r="P76" s="41">
        <v>192.36</v>
      </c>
      <c r="Q76" s="41">
        <v>53.91</v>
      </c>
      <c r="R76" s="41">
        <v>0</v>
      </c>
      <c r="S76" s="41">
        <v>246.26999999999998</v>
      </c>
    </row>
    <row r="77" spans="2:19" ht="16" x14ac:dyDescent="0.2">
      <c r="B77" s="39">
        <v>202011</v>
      </c>
      <c r="C77" s="40" t="s">
        <v>40</v>
      </c>
      <c r="D77" s="40" t="s">
        <v>75</v>
      </c>
      <c r="E77" s="41">
        <v>2557</v>
      </c>
      <c r="F77" s="41">
        <v>185637.37999999951</v>
      </c>
      <c r="G77" s="41">
        <v>139187.3899999999</v>
      </c>
      <c r="H77" s="41">
        <v>416954.06999999972</v>
      </c>
      <c r="I77" s="41">
        <v>741778.83999999915</v>
      </c>
      <c r="L77" s="39">
        <v>202011</v>
      </c>
      <c r="M77" s="40" t="s">
        <v>103</v>
      </c>
      <c r="N77" s="40" t="str">
        <f t="shared" si="2"/>
        <v>99361</v>
      </c>
      <c r="O77" s="40" t="str">
        <f t="shared" si="3"/>
        <v>RES</v>
      </c>
      <c r="P77" s="41">
        <v>429.94</v>
      </c>
      <c r="Q77" s="41">
        <v>558.87</v>
      </c>
      <c r="R77" s="41">
        <v>2756.5600000000004</v>
      </c>
      <c r="S77" s="41">
        <v>3745.37</v>
      </c>
    </row>
    <row r="78" spans="2:19" ht="16" x14ac:dyDescent="0.2">
      <c r="B78" s="39">
        <v>202011</v>
      </c>
      <c r="C78" s="40" t="s">
        <v>42</v>
      </c>
      <c r="D78" s="40" t="s">
        <v>34</v>
      </c>
      <c r="E78" s="41">
        <v>2</v>
      </c>
      <c r="F78" s="41">
        <v>100.96000000000001</v>
      </c>
      <c r="G78" s="41">
        <v>82.45</v>
      </c>
      <c r="H78" s="41">
        <v>214.76</v>
      </c>
      <c r="I78" s="41">
        <v>398.17</v>
      </c>
      <c r="L78" s="39">
        <v>202011</v>
      </c>
      <c r="M78" s="40" t="s">
        <v>93</v>
      </c>
      <c r="N78" s="40" t="str">
        <f t="shared" si="2"/>
        <v>99362</v>
      </c>
      <c r="O78" s="40" t="str">
        <f t="shared" si="3"/>
        <v>RES</v>
      </c>
      <c r="P78" s="41">
        <v>14053.130000000001</v>
      </c>
      <c r="Q78" s="41">
        <v>14250.79000000001</v>
      </c>
      <c r="R78" s="41">
        <v>62767.349999999962</v>
      </c>
      <c r="S78" s="41">
        <v>91071.27</v>
      </c>
    </row>
    <row r="79" spans="2:19" ht="16" x14ac:dyDescent="0.2">
      <c r="B79" s="39">
        <v>202011</v>
      </c>
      <c r="C79" s="40" t="s">
        <v>42</v>
      </c>
      <c r="D79" s="40" t="s">
        <v>75</v>
      </c>
      <c r="E79" s="41">
        <v>68</v>
      </c>
      <c r="F79" s="41">
        <v>3865.6399999999994</v>
      </c>
      <c r="G79" s="41">
        <v>3411.4000000000005</v>
      </c>
      <c r="H79" s="41">
        <v>20934.53</v>
      </c>
      <c r="I79" s="41">
        <v>28211.569999999996</v>
      </c>
      <c r="L79" s="39">
        <v>202011</v>
      </c>
      <c r="M79" s="40" t="s">
        <v>124</v>
      </c>
      <c r="N79" s="40" t="str">
        <f t="shared" si="2"/>
        <v>99363</v>
      </c>
      <c r="O79" s="40" t="str">
        <f t="shared" si="3"/>
        <v>RES</v>
      </c>
      <c r="P79" s="41">
        <v>84.92</v>
      </c>
      <c r="Q79" s="41">
        <v>50.56</v>
      </c>
      <c r="R79" s="41">
        <v>366.11</v>
      </c>
      <c r="S79" s="41">
        <v>501.59</v>
      </c>
    </row>
    <row r="80" spans="2:19" ht="32" x14ac:dyDescent="0.2">
      <c r="B80" s="39">
        <v>202011</v>
      </c>
      <c r="C80" s="40" t="s">
        <v>43</v>
      </c>
      <c r="D80" s="40" t="s">
        <v>34</v>
      </c>
      <c r="E80" s="41">
        <v>5</v>
      </c>
      <c r="F80" s="41">
        <v>72.509999999999991</v>
      </c>
      <c r="G80" s="41">
        <v>63.56</v>
      </c>
      <c r="H80" s="41">
        <v>451.12</v>
      </c>
      <c r="I80" s="41">
        <v>587.18999999999994</v>
      </c>
      <c r="L80" s="39">
        <v>202012</v>
      </c>
      <c r="M80" s="40" t="s">
        <v>104</v>
      </c>
      <c r="N80" s="40" t="str">
        <f t="shared" si="2"/>
        <v>98901</v>
      </c>
      <c r="O80" s="40" t="str">
        <f t="shared" si="3"/>
        <v>COM</v>
      </c>
      <c r="P80" s="41">
        <v>53.83</v>
      </c>
      <c r="Q80" s="41">
        <v>14.85</v>
      </c>
      <c r="R80" s="41">
        <v>287.73</v>
      </c>
      <c r="S80" s="41">
        <v>356.41</v>
      </c>
    </row>
    <row r="81" spans="2:19" ht="16" x14ac:dyDescent="0.2">
      <c r="B81" s="39">
        <v>202011</v>
      </c>
      <c r="C81" s="40" t="s">
        <v>43</v>
      </c>
      <c r="D81" s="40" t="s">
        <v>75</v>
      </c>
      <c r="E81" s="41">
        <v>87</v>
      </c>
      <c r="F81" s="41">
        <v>6317.22</v>
      </c>
      <c r="G81" s="41">
        <v>4924.9700000000012</v>
      </c>
      <c r="H81" s="41">
        <v>16641.039999999997</v>
      </c>
      <c r="I81" s="41">
        <v>27883.230000000003</v>
      </c>
      <c r="L81" s="39">
        <v>202012</v>
      </c>
      <c r="M81" s="40" t="s">
        <v>87</v>
      </c>
      <c r="N81" s="40" t="str">
        <f t="shared" si="2"/>
        <v>98901</v>
      </c>
      <c r="O81" s="40" t="str">
        <f t="shared" si="3"/>
        <v>RES</v>
      </c>
      <c r="P81" s="41">
        <v>26609.290000000005</v>
      </c>
      <c r="Q81" s="41">
        <v>14739.840000000007</v>
      </c>
      <c r="R81" s="41">
        <v>86848.399999999965</v>
      </c>
      <c r="S81" s="41">
        <v>128197.53000000001</v>
      </c>
    </row>
    <row r="82" spans="2:19" ht="32" x14ac:dyDescent="0.2">
      <c r="B82" s="39">
        <v>202011</v>
      </c>
      <c r="C82" s="40" t="s">
        <v>44</v>
      </c>
      <c r="D82" s="40" t="s">
        <v>34</v>
      </c>
      <c r="E82" s="41">
        <v>32</v>
      </c>
      <c r="F82" s="41">
        <v>4425.5599999999995</v>
      </c>
      <c r="G82" s="41">
        <v>4365.54</v>
      </c>
      <c r="H82" s="41">
        <v>17583.609999999997</v>
      </c>
      <c r="I82" s="41">
        <v>26374.710000000003</v>
      </c>
      <c r="L82" s="39">
        <v>202012</v>
      </c>
      <c r="M82" s="40" t="s">
        <v>116</v>
      </c>
      <c r="N82" s="40" t="str">
        <f t="shared" si="2"/>
        <v>98902</v>
      </c>
      <c r="O82" s="40" t="str">
        <f t="shared" si="3"/>
        <v>COM</v>
      </c>
      <c r="P82" s="41">
        <v>184.35</v>
      </c>
      <c r="Q82" s="41">
        <v>82.34</v>
      </c>
      <c r="R82" s="41">
        <v>708.3</v>
      </c>
      <c r="S82" s="41">
        <v>974.99</v>
      </c>
    </row>
    <row r="83" spans="2:19" ht="16" x14ac:dyDescent="0.2">
      <c r="B83" s="39">
        <v>202011</v>
      </c>
      <c r="C83" s="40" t="s">
        <v>44</v>
      </c>
      <c r="D83" s="40" t="s">
        <v>75</v>
      </c>
      <c r="E83" s="41">
        <v>664</v>
      </c>
      <c r="F83" s="41">
        <v>48411.580000000016</v>
      </c>
      <c r="G83" s="41">
        <v>36224.190000000017</v>
      </c>
      <c r="H83" s="41">
        <v>133642.93000000005</v>
      </c>
      <c r="I83" s="41">
        <v>218278.69999999998</v>
      </c>
      <c r="L83" s="39">
        <v>202012</v>
      </c>
      <c r="M83" s="40" t="s">
        <v>88</v>
      </c>
      <c r="N83" s="40" t="str">
        <f t="shared" si="2"/>
        <v>98902</v>
      </c>
      <c r="O83" s="40" t="str">
        <f t="shared" si="3"/>
        <v>RES</v>
      </c>
      <c r="P83" s="41">
        <v>38190.289999999964</v>
      </c>
      <c r="Q83" s="41">
        <v>16218.28000000001</v>
      </c>
      <c r="R83" s="41">
        <v>99953.480000000025</v>
      </c>
      <c r="S83" s="41">
        <v>154362.04999999984</v>
      </c>
    </row>
    <row r="84" spans="2:19" ht="16" x14ac:dyDescent="0.2">
      <c r="B84" s="39">
        <v>202011</v>
      </c>
      <c r="C84" s="40" t="s">
        <v>45</v>
      </c>
      <c r="D84" s="40" t="s">
        <v>34</v>
      </c>
      <c r="E84" s="41">
        <v>15</v>
      </c>
      <c r="F84" s="41">
        <v>4859.2099999999991</v>
      </c>
      <c r="G84" s="41">
        <v>644.61</v>
      </c>
      <c r="H84" s="41">
        <v>5824.23</v>
      </c>
      <c r="I84" s="41">
        <v>11328.050000000001</v>
      </c>
      <c r="L84" s="39">
        <v>202012</v>
      </c>
      <c r="M84" s="40" t="s">
        <v>89</v>
      </c>
      <c r="N84" s="40" t="str">
        <f t="shared" si="2"/>
        <v>98903</v>
      </c>
      <c r="O84" s="40" t="str">
        <f t="shared" si="3"/>
        <v>RES</v>
      </c>
      <c r="P84" s="41">
        <v>20283.559999999994</v>
      </c>
      <c r="Q84" s="41">
        <v>7676.0999999999976</v>
      </c>
      <c r="R84" s="41">
        <v>39103.909999999996</v>
      </c>
      <c r="S84" s="41">
        <v>67063.569999999992</v>
      </c>
    </row>
    <row r="85" spans="2:19" ht="32" x14ac:dyDescent="0.2">
      <c r="B85" s="39">
        <v>202011</v>
      </c>
      <c r="C85" s="40" t="s">
        <v>45</v>
      </c>
      <c r="D85" s="40" t="s">
        <v>75</v>
      </c>
      <c r="E85" s="41">
        <v>398</v>
      </c>
      <c r="F85" s="41">
        <v>25411.469999999983</v>
      </c>
      <c r="G85" s="41">
        <v>21096.390000000007</v>
      </c>
      <c r="H85" s="41">
        <v>78171.190000000017</v>
      </c>
      <c r="I85" s="41">
        <v>124679.04999999996</v>
      </c>
      <c r="L85" s="39">
        <v>202012</v>
      </c>
      <c r="M85" s="40" t="s">
        <v>117</v>
      </c>
      <c r="N85" s="40" t="str">
        <f t="shared" si="2"/>
        <v>98908</v>
      </c>
      <c r="O85" s="40" t="str">
        <f t="shared" si="3"/>
        <v>COM</v>
      </c>
      <c r="P85" s="41">
        <v>111.77</v>
      </c>
      <c r="Q85" s="41">
        <v>59.57</v>
      </c>
      <c r="R85" s="41">
        <v>400.84999999999997</v>
      </c>
      <c r="S85" s="41">
        <v>572.19000000000005</v>
      </c>
    </row>
    <row r="86" spans="2:19" ht="16" x14ac:dyDescent="0.2">
      <c r="B86" s="39">
        <v>202011</v>
      </c>
      <c r="C86" s="40" t="s">
        <v>46</v>
      </c>
      <c r="D86" s="40" t="s">
        <v>34</v>
      </c>
      <c r="E86" s="41">
        <v>5</v>
      </c>
      <c r="F86" s="41">
        <v>1433.48</v>
      </c>
      <c r="G86" s="41">
        <v>688.2</v>
      </c>
      <c r="H86" s="41">
        <v>3122.8199999999997</v>
      </c>
      <c r="I86" s="41">
        <v>5244.5</v>
      </c>
      <c r="L86" s="39">
        <v>202012</v>
      </c>
      <c r="M86" s="40" t="s">
        <v>90</v>
      </c>
      <c r="N86" s="40" t="str">
        <f t="shared" si="2"/>
        <v>98908</v>
      </c>
      <c r="O86" s="40" t="str">
        <f t="shared" si="3"/>
        <v>RES</v>
      </c>
      <c r="P86" s="41">
        <v>9979.24</v>
      </c>
      <c r="Q86" s="41">
        <v>3828.4699999999993</v>
      </c>
      <c r="R86" s="41">
        <v>24507.449999999993</v>
      </c>
      <c r="S86" s="41">
        <v>38315.160000000003</v>
      </c>
    </row>
    <row r="87" spans="2:19" ht="16" x14ac:dyDescent="0.2">
      <c r="B87" s="39">
        <v>202011</v>
      </c>
      <c r="C87" s="40" t="s">
        <v>46</v>
      </c>
      <c r="D87" s="40" t="s">
        <v>75</v>
      </c>
      <c r="E87" s="41">
        <v>45</v>
      </c>
      <c r="F87" s="41">
        <v>3095.59</v>
      </c>
      <c r="G87" s="41">
        <v>2730.95</v>
      </c>
      <c r="H87" s="41">
        <v>17871.239999999998</v>
      </c>
      <c r="I87" s="41">
        <v>23697.78</v>
      </c>
      <c r="L87" s="39">
        <v>202012</v>
      </c>
      <c r="M87" s="40" t="s">
        <v>118</v>
      </c>
      <c r="N87" s="40" t="str">
        <f t="shared" si="2"/>
        <v>98921</v>
      </c>
      <c r="O87" s="40" t="str">
        <f t="shared" si="3"/>
        <v>RES</v>
      </c>
      <c r="P87" s="41">
        <v>2717.0099999999998</v>
      </c>
      <c r="Q87" s="41">
        <v>1039.5199999999998</v>
      </c>
      <c r="R87" s="41">
        <v>5623.8100000000013</v>
      </c>
      <c r="S87" s="41">
        <v>9380.34</v>
      </c>
    </row>
    <row r="88" spans="2:19" ht="16" x14ac:dyDescent="0.2">
      <c r="B88" s="39">
        <v>202011</v>
      </c>
      <c r="C88" s="40" t="s">
        <v>47</v>
      </c>
      <c r="D88" s="40" t="s">
        <v>34</v>
      </c>
      <c r="E88" s="41">
        <v>8</v>
      </c>
      <c r="F88" s="41">
        <v>1225.19</v>
      </c>
      <c r="G88" s="41">
        <v>173.14</v>
      </c>
      <c r="H88" s="41">
        <v>1501.25</v>
      </c>
      <c r="I88" s="41">
        <v>2899.58</v>
      </c>
      <c r="L88" s="39">
        <v>202012</v>
      </c>
      <c r="M88" s="40" t="s">
        <v>111</v>
      </c>
      <c r="N88" s="40" t="str">
        <f t="shared" si="2"/>
        <v>98923</v>
      </c>
      <c r="O88" s="40" t="str">
        <f t="shared" si="3"/>
        <v>RES</v>
      </c>
      <c r="P88" s="41">
        <v>419.3</v>
      </c>
      <c r="Q88" s="41">
        <v>218.34</v>
      </c>
      <c r="R88" s="41">
        <v>353.38</v>
      </c>
      <c r="S88" s="41">
        <v>991.02</v>
      </c>
    </row>
    <row r="89" spans="2:19" ht="16" x14ac:dyDescent="0.2">
      <c r="B89" s="39">
        <v>202011</v>
      </c>
      <c r="C89" s="40" t="s">
        <v>47</v>
      </c>
      <c r="D89" s="40" t="s">
        <v>75</v>
      </c>
      <c r="E89" s="41">
        <v>240</v>
      </c>
      <c r="F89" s="41">
        <v>21234.709999999995</v>
      </c>
      <c r="G89" s="41">
        <v>11883.399999999994</v>
      </c>
      <c r="H89" s="41">
        <v>58089.17</v>
      </c>
      <c r="I89" s="41">
        <v>91207.280000000042</v>
      </c>
      <c r="L89" s="39">
        <v>202012</v>
      </c>
      <c r="M89" s="40" t="s">
        <v>96</v>
      </c>
      <c r="N89" s="40" t="str">
        <f t="shared" si="2"/>
        <v>98930</v>
      </c>
      <c r="O89" s="40" t="str">
        <f t="shared" si="3"/>
        <v>RES</v>
      </c>
      <c r="P89" s="41">
        <v>2412.4699999999998</v>
      </c>
      <c r="Q89" s="41">
        <v>7564.3799999999983</v>
      </c>
      <c r="R89" s="41">
        <v>20767.139999999992</v>
      </c>
      <c r="S89" s="41">
        <v>30743.990000000009</v>
      </c>
    </row>
    <row r="90" spans="2:19" ht="16" x14ac:dyDescent="0.2">
      <c r="B90" s="39">
        <v>202011</v>
      </c>
      <c r="C90" s="40" t="s">
        <v>48</v>
      </c>
      <c r="D90" s="40" t="s">
        <v>34</v>
      </c>
      <c r="E90" s="41">
        <v>17</v>
      </c>
      <c r="F90" s="41">
        <v>8551.4500000000007</v>
      </c>
      <c r="G90" s="41">
        <v>3268.28</v>
      </c>
      <c r="H90" s="41">
        <v>6747.2199999999993</v>
      </c>
      <c r="I90" s="41">
        <v>18566.949999999997</v>
      </c>
      <c r="L90" s="39">
        <v>202012</v>
      </c>
      <c r="M90" s="40" t="s">
        <v>94</v>
      </c>
      <c r="N90" s="40" t="str">
        <f t="shared" si="2"/>
        <v>98932</v>
      </c>
      <c r="O90" s="40" t="str">
        <f t="shared" si="3"/>
        <v>RES</v>
      </c>
      <c r="P90" s="41">
        <v>5580.0399999999991</v>
      </c>
      <c r="Q90" s="41">
        <v>2209.36</v>
      </c>
      <c r="R90" s="41">
        <v>9051.1400000000012</v>
      </c>
      <c r="S90" s="41">
        <v>16840.540000000005</v>
      </c>
    </row>
    <row r="91" spans="2:19" ht="16" x14ac:dyDescent="0.2">
      <c r="B91" s="39">
        <v>202011</v>
      </c>
      <c r="C91" s="40" t="s">
        <v>48</v>
      </c>
      <c r="D91" s="40" t="s">
        <v>75</v>
      </c>
      <c r="E91" s="41">
        <v>335</v>
      </c>
      <c r="F91" s="41">
        <v>25841.480000000003</v>
      </c>
      <c r="G91" s="41">
        <v>20488.250000000004</v>
      </c>
      <c r="H91" s="41">
        <v>92223.5</v>
      </c>
      <c r="I91" s="41">
        <v>138553.22999999992</v>
      </c>
      <c r="L91" s="39">
        <v>202012</v>
      </c>
      <c r="M91" s="40" t="s">
        <v>95</v>
      </c>
      <c r="N91" s="40" t="str">
        <f t="shared" si="2"/>
        <v>98933</v>
      </c>
      <c r="O91" s="40" t="str">
        <f t="shared" si="3"/>
        <v>RES</v>
      </c>
      <c r="P91" s="41">
        <v>1132.77</v>
      </c>
      <c r="Q91" s="41">
        <v>697.68999999999994</v>
      </c>
      <c r="R91" s="41">
        <v>4072.2400000000002</v>
      </c>
      <c r="S91" s="41">
        <v>5902.6999999999989</v>
      </c>
    </row>
    <row r="92" spans="2:19" ht="16" x14ac:dyDescent="0.2">
      <c r="B92" s="39">
        <v>202011</v>
      </c>
      <c r="C92" s="40" t="s">
        <v>49</v>
      </c>
      <c r="D92" s="40" t="s">
        <v>34</v>
      </c>
      <c r="E92" s="41">
        <v>30</v>
      </c>
      <c r="F92" s="41">
        <v>3054.4400000000005</v>
      </c>
      <c r="G92" s="41">
        <v>1915.2900000000002</v>
      </c>
      <c r="H92" s="41">
        <v>3575.3599999999997</v>
      </c>
      <c r="I92" s="41">
        <v>8545.09</v>
      </c>
      <c r="L92" s="39">
        <v>202012</v>
      </c>
      <c r="M92" s="40" t="s">
        <v>97</v>
      </c>
      <c r="N92" s="40" t="str">
        <f t="shared" si="2"/>
        <v>98935</v>
      </c>
      <c r="O92" s="40" t="str">
        <f t="shared" si="3"/>
        <v>RES</v>
      </c>
      <c r="P92" s="41">
        <v>6761.4199999999992</v>
      </c>
      <c r="Q92" s="41">
        <v>2238.33</v>
      </c>
      <c r="R92" s="41">
        <v>9052.6200000000008</v>
      </c>
      <c r="S92" s="41">
        <v>18052.369999999995</v>
      </c>
    </row>
    <row r="93" spans="2:19" ht="16" x14ac:dyDescent="0.2">
      <c r="B93" s="39">
        <v>202011</v>
      </c>
      <c r="C93" s="40" t="s">
        <v>49</v>
      </c>
      <c r="D93" s="40" t="s">
        <v>75</v>
      </c>
      <c r="E93" s="41">
        <v>258</v>
      </c>
      <c r="F93" s="41">
        <v>19245.550000000007</v>
      </c>
      <c r="G93" s="41">
        <v>14914.099999999995</v>
      </c>
      <c r="H93" s="41">
        <v>42998.170000000006</v>
      </c>
      <c r="I93" s="41">
        <v>77157.820000000022</v>
      </c>
      <c r="L93" s="39">
        <v>202012</v>
      </c>
      <c r="M93" s="40" t="s">
        <v>98</v>
      </c>
      <c r="N93" s="40" t="str">
        <f t="shared" si="2"/>
        <v>98936</v>
      </c>
      <c r="O93" s="40" t="str">
        <f t="shared" si="3"/>
        <v>RES</v>
      </c>
      <c r="P93" s="41">
        <v>0</v>
      </c>
      <c r="Q93" s="41">
        <v>769.32</v>
      </c>
      <c r="R93" s="41">
        <v>2510.02</v>
      </c>
      <c r="S93" s="41">
        <v>3279.3399999999997</v>
      </c>
    </row>
    <row r="94" spans="2:19" ht="16" x14ac:dyDescent="0.2">
      <c r="B94" s="39">
        <v>202011</v>
      </c>
      <c r="C94" s="40" t="s">
        <v>50</v>
      </c>
      <c r="D94" s="40" t="s">
        <v>34</v>
      </c>
      <c r="E94" s="41">
        <v>21</v>
      </c>
      <c r="F94" s="41">
        <v>29849.54</v>
      </c>
      <c r="G94" s="41">
        <v>4618.8300000000008</v>
      </c>
      <c r="H94" s="41">
        <v>5583.17</v>
      </c>
      <c r="I94" s="41">
        <v>40051.54</v>
      </c>
      <c r="L94" s="39">
        <v>202012</v>
      </c>
      <c r="M94" s="40" t="s">
        <v>107</v>
      </c>
      <c r="N94" s="40" t="str">
        <f t="shared" si="2"/>
        <v>98937</v>
      </c>
      <c r="O94" s="40" t="str">
        <f t="shared" si="3"/>
        <v>RES</v>
      </c>
      <c r="P94" s="41">
        <v>1279.57</v>
      </c>
      <c r="Q94" s="41">
        <v>604.04</v>
      </c>
      <c r="R94" s="41">
        <v>1994.1000000000001</v>
      </c>
      <c r="S94" s="41">
        <v>3877.71</v>
      </c>
    </row>
    <row r="95" spans="2:19" ht="16" x14ac:dyDescent="0.2">
      <c r="B95" s="39">
        <v>202011</v>
      </c>
      <c r="C95" s="40" t="s">
        <v>50</v>
      </c>
      <c r="D95" s="40" t="s">
        <v>75</v>
      </c>
      <c r="E95" s="41">
        <v>131</v>
      </c>
      <c r="F95" s="41">
        <v>11310.149999999996</v>
      </c>
      <c r="G95" s="41">
        <v>9113.0999999999985</v>
      </c>
      <c r="H95" s="41">
        <v>38212.379999999997</v>
      </c>
      <c r="I95" s="41">
        <v>58635.630000000026</v>
      </c>
      <c r="L95" s="39">
        <v>202012</v>
      </c>
      <c r="M95" s="40" t="s">
        <v>105</v>
      </c>
      <c r="N95" s="40" t="str">
        <f t="shared" si="2"/>
        <v>98938</v>
      </c>
      <c r="O95" s="40" t="str">
        <f t="shared" si="3"/>
        <v>RES</v>
      </c>
      <c r="P95" s="41">
        <v>2371.6800000000003</v>
      </c>
      <c r="Q95" s="41">
        <v>756.62000000000012</v>
      </c>
      <c r="R95" s="41">
        <v>3497.92</v>
      </c>
      <c r="S95" s="41">
        <v>6626.2199999999993</v>
      </c>
    </row>
    <row r="96" spans="2:19" ht="32" x14ac:dyDescent="0.2">
      <c r="B96" s="39">
        <v>202011</v>
      </c>
      <c r="C96" s="40" t="s">
        <v>51</v>
      </c>
      <c r="D96" s="40" t="s">
        <v>34</v>
      </c>
      <c r="E96" s="41">
        <v>1</v>
      </c>
      <c r="F96" s="41">
        <v>125.74</v>
      </c>
      <c r="G96" s="41">
        <v>134.57</v>
      </c>
      <c r="H96" s="41">
        <v>215.02</v>
      </c>
      <c r="I96" s="41">
        <v>475.33</v>
      </c>
      <c r="L96" s="39">
        <v>202012</v>
      </c>
      <c r="M96" s="40" t="s">
        <v>79</v>
      </c>
      <c r="N96" s="40" t="str">
        <f t="shared" si="2"/>
        <v>98939</v>
      </c>
      <c r="O96" s="40" t="str">
        <f t="shared" si="3"/>
        <v>COM</v>
      </c>
      <c r="P96" s="41">
        <v>0</v>
      </c>
      <c r="Q96" s="41">
        <v>0</v>
      </c>
      <c r="R96" s="41">
        <v>0</v>
      </c>
      <c r="S96" s="41">
        <v>0</v>
      </c>
    </row>
    <row r="97" spans="2:19" ht="16" x14ac:dyDescent="0.2">
      <c r="B97" s="39">
        <v>202011</v>
      </c>
      <c r="C97" s="40" t="s">
        <v>51</v>
      </c>
      <c r="D97" s="40" t="s">
        <v>75</v>
      </c>
      <c r="E97" s="41">
        <v>20</v>
      </c>
      <c r="F97" s="41">
        <v>1765.61</v>
      </c>
      <c r="G97" s="41">
        <v>1491.1899999999998</v>
      </c>
      <c r="H97" s="41">
        <v>8297.23</v>
      </c>
      <c r="I97" s="41">
        <v>11554.03</v>
      </c>
      <c r="L97" s="39">
        <v>202012</v>
      </c>
      <c r="M97" s="40" t="s">
        <v>119</v>
      </c>
      <c r="N97" s="40" t="str">
        <f t="shared" si="2"/>
        <v>98939</v>
      </c>
      <c r="O97" s="40" t="str">
        <f t="shared" si="3"/>
        <v>RES</v>
      </c>
      <c r="P97" s="41">
        <v>0</v>
      </c>
      <c r="Q97" s="41">
        <v>283.95999999999998</v>
      </c>
      <c r="R97" s="41">
        <v>350.34</v>
      </c>
      <c r="S97" s="41">
        <v>634.29999999999995</v>
      </c>
    </row>
    <row r="98" spans="2:19" ht="16" x14ac:dyDescent="0.2">
      <c r="B98" s="39">
        <v>202011</v>
      </c>
      <c r="C98" s="40" t="s">
        <v>52</v>
      </c>
      <c r="D98" s="40" t="s">
        <v>34</v>
      </c>
      <c r="E98" s="41">
        <v>63</v>
      </c>
      <c r="F98" s="41">
        <v>52894.820000000014</v>
      </c>
      <c r="G98" s="41">
        <v>8398.2999999999975</v>
      </c>
      <c r="H98" s="41">
        <v>24354.1</v>
      </c>
      <c r="I98" s="41">
        <v>85647.219999999972</v>
      </c>
      <c r="L98" s="39">
        <v>202012</v>
      </c>
      <c r="M98" s="40" t="s">
        <v>99</v>
      </c>
      <c r="N98" s="40" t="str">
        <f t="shared" si="2"/>
        <v>98942</v>
      </c>
      <c r="O98" s="40" t="str">
        <f t="shared" si="3"/>
        <v>RES</v>
      </c>
      <c r="P98" s="41">
        <v>3151.59</v>
      </c>
      <c r="Q98" s="41">
        <v>1945.2599999999993</v>
      </c>
      <c r="R98" s="41">
        <v>13649.099999999997</v>
      </c>
      <c r="S98" s="41">
        <v>18745.95</v>
      </c>
    </row>
    <row r="99" spans="2:19" ht="16" x14ac:dyDescent="0.2">
      <c r="B99" s="39">
        <v>202011</v>
      </c>
      <c r="C99" s="40" t="s">
        <v>52</v>
      </c>
      <c r="D99" s="40" t="s">
        <v>75</v>
      </c>
      <c r="E99" s="41">
        <v>1076</v>
      </c>
      <c r="F99" s="41">
        <v>82705.520000000033</v>
      </c>
      <c r="G99" s="41">
        <v>69707.85000000002</v>
      </c>
      <c r="H99" s="41">
        <v>236135.28999999998</v>
      </c>
      <c r="I99" s="41">
        <v>388548.65999999945</v>
      </c>
      <c r="L99" s="39">
        <v>202012</v>
      </c>
      <c r="M99" s="40" t="s">
        <v>91</v>
      </c>
      <c r="N99" s="40" t="str">
        <f t="shared" si="2"/>
        <v>98944</v>
      </c>
      <c r="O99" s="40" t="str">
        <f t="shared" si="3"/>
        <v>RES</v>
      </c>
      <c r="P99" s="41">
        <v>17037.169999999998</v>
      </c>
      <c r="Q99" s="41">
        <v>7898.3899999999967</v>
      </c>
      <c r="R99" s="41">
        <v>43794.14999999998</v>
      </c>
      <c r="S99" s="41">
        <v>68729.710000000021</v>
      </c>
    </row>
    <row r="100" spans="2:19" ht="16" x14ac:dyDescent="0.2">
      <c r="B100" s="39">
        <v>202011</v>
      </c>
      <c r="C100" s="40" t="s">
        <v>53</v>
      </c>
      <c r="D100" s="40" t="s">
        <v>34</v>
      </c>
      <c r="E100" s="41">
        <v>116</v>
      </c>
      <c r="F100" s="41">
        <v>26300.420000000009</v>
      </c>
      <c r="G100" s="41">
        <v>18654.450000000008</v>
      </c>
      <c r="H100" s="41">
        <v>70179.19</v>
      </c>
      <c r="I100" s="41">
        <v>115134.06000000007</v>
      </c>
      <c r="L100" s="39">
        <v>202012</v>
      </c>
      <c r="M100" s="40" t="s">
        <v>100</v>
      </c>
      <c r="N100" s="40" t="str">
        <f t="shared" si="2"/>
        <v>98947</v>
      </c>
      <c r="O100" s="40" t="str">
        <f t="shared" si="3"/>
        <v>RES</v>
      </c>
      <c r="P100" s="41">
        <v>1521.2099999999996</v>
      </c>
      <c r="Q100" s="41">
        <v>955.94</v>
      </c>
      <c r="R100" s="41">
        <v>6052.5199999999995</v>
      </c>
      <c r="S100" s="41">
        <v>8529.67</v>
      </c>
    </row>
    <row r="101" spans="2:19" ht="32" x14ac:dyDescent="0.2">
      <c r="B101" s="39">
        <v>202011</v>
      </c>
      <c r="C101" s="40" t="s">
        <v>53</v>
      </c>
      <c r="D101" s="40" t="s">
        <v>75</v>
      </c>
      <c r="E101" s="41">
        <v>1354</v>
      </c>
      <c r="F101" s="41">
        <v>86259.770000000048</v>
      </c>
      <c r="G101" s="41">
        <v>75700.089999999938</v>
      </c>
      <c r="H101" s="41">
        <v>235883.47000000006</v>
      </c>
      <c r="I101" s="41">
        <v>397843.33000000042</v>
      </c>
      <c r="L101" s="39">
        <v>202012</v>
      </c>
      <c r="M101" s="40" t="s">
        <v>120</v>
      </c>
      <c r="N101" s="40" t="str">
        <f t="shared" si="2"/>
        <v>98948</v>
      </c>
      <c r="O101" s="40" t="str">
        <f t="shared" si="3"/>
        <v>COM</v>
      </c>
      <c r="P101" s="41">
        <v>5188.2799999999988</v>
      </c>
      <c r="Q101" s="41">
        <v>3608.29</v>
      </c>
      <c r="R101" s="41">
        <v>6553.9</v>
      </c>
      <c r="S101" s="41">
        <v>15350.470000000003</v>
      </c>
    </row>
    <row r="102" spans="2:19" ht="16" x14ac:dyDescent="0.2">
      <c r="B102" s="39">
        <v>202011</v>
      </c>
      <c r="C102" s="40" t="s">
        <v>54</v>
      </c>
      <c r="D102" s="40" t="s">
        <v>34</v>
      </c>
      <c r="E102" s="41">
        <v>13</v>
      </c>
      <c r="F102" s="41">
        <v>1791.42</v>
      </c>
      <c r="G102" s="41">
        <v>2074.87</v>
      </c>
      <c r="H102" s="41">
        <v>4235.09</v>
      </c>
      <c r="I102" s="41">
        <v>8101.38</v>
      </c>
      <c r="L102" s="39">
        <v>202012</v>
      </c>
      <c r="M102" s="40" t="s">
        <v>101</v>
      </c>
      <c r="N102" s="40" t="str">
        <f t="shared" si="2"/>
        <v>98948</v>
      </c>
      <c r="O102" s="40" t="str">
        <f t="shared" si="3"/>
        <v>RES</v>
      </c>
      <c r="P102" s="41">
        <v>32902.47</v>
      </c>
      <c r="Q102" s="41">
        <v>13498.68</v>
      </c>
      <c r="R102" s="41">
        <v>71458.190000000031</v>
      </c>
      <c r="S102" s="41">
        <v>117859.34</v>
      </c>
    </row>
    <row r="103" spans="2:19" ht="32" x14ac:dyDescent="0.2">
      <c r="B103" s="39">
        <v>202011</v>
      </c>
      <c r="C103" s="40" t="s">
        <v>54</v>
      </c>
      <c r="D103" s="40" t="s">
        <v>75</v>
      </c>
      <c r="E103" s="41">
        <v>214</v>
      </c>
      <c r="F103" s="41">
        <v>16062.289999999997</v>
      </c>
      <c r="G103" s="41">
        <v>12760.259999999998</v>
      </c>
      <c r="H103" s="41">
        <v>52378.58</v>
      </c>
      <c r="I103" s="41">
        <v>81201.129999999976</v>
      </c>
      <c r="L103" s="39">
        <v>202012</v>
      </c>
      <c r="M103" s="40" t="s">
        <v>112</v>
      </c>
      <c r="N103" s="40" t="str">
        <f t="shared" si="2"/>
        <v>98951</v>
      </c>
      <c r="O103" s="40" t="str">
        <f t="shared" si="3"/>
        <v>COM</v>
      </c>
      <c r="P103" s="41">
        <v>417.96000000000004</v>
      </c>
      <c r="Q103" s="41">
        <v>113.69</v>
      </c>
      <c r="R103" s="41">
        <v>614.89</v>
      </c>
      <c r="S103" s="41">
        <v>1146.54</v>
      </c>
    </row>
    <row r="104" spans="2:19" ht="16" x14ac:dyDescent="0.2">
      <c r="B104" s="39">
        <v>202011</v>
      </c>
      <c r="C104" s="40" t="s">
        <v>55</v>
      </c>
      <c r="D104" s="40" t="s">
        <v>34</v>
      </c>
      <c r="E104" s="41">
        <v>115</v>
      </c>
      <c r="F104" s="41">
        <v>16836.060000000009</v>
      </c>
      <c r="G104" s="41">
        <v>15620.499999999996</v>
      </c>
      <c r="H104" s="41">
        <v>36435.929999999993</v>
      </c>
      <c r="I104" s="41">
        <v>68892.49000000002</v>
      </c>
      <c r="L104" s="39">
        <v>202012</v>
      </c>
      <c r="M104" s="40" t="s">
        <v>106</v>
      </c>
      <c r="N104" s="40" t="str">
        <f t="shared" si="2"/>
        <v>98951</v>
      </c>
      <c r="O104" s="40" t="str">
        <f t="shared" si="3"/>
        <v>RES</v>
      </c>
      <c r="P104" s="41">
        <v>19350.419999999991</v>
      </c>
      <c r="Q104" s="41">
        <v>19277.689999999999</v>
      </c>
      <c r="R104" s="41">
        <v>142248.97999999992</v>
      </c>
      <c r="S104" s="41">
        <v>180877.09000000008</v>
      </c>
    </row>
    <row r="105" spans="2:19" ht="32" x14ac:dyDescent="0.2">
      <c r="B105" s="39">
        <v>202011</v>
      </c>
      <c r="C105" s="40" t="s">
        <v>55</v>
      </c>
      <c r="D105" s="40" t="s">
        <v>75</v>
      </c>
      <c r="E105" s="41">
        <v>921</v>
      </c>
      <c r="F105" s="41">
        <v>73212.950000000026</v>
      </c>
      <c r="G105" s="41">
        <v>47544.420000000006</v>
      </c>
      <c r="H105" s="41">
        <v>191171.98000000004</v>
      </c>
      <c r="I105" s="41">
        <v>311929.34999999998</v>
      </c>
      <c r="L105" s="39">
        <v>202012</v>
      </c>
      <c r="M105" s="40" t="s">
        <v>144</v>
      </c>
      <c r="N105" s="40" t="str">
        <f t="shared" si="2"/>
        <v>98952</v>
      </c>
      <c r="O105" s="40" t="str">
        <f t="shared" si="3"/>
        <v>COM</v>
      </c>
      <c r="P105" s="41">
        <v>111.91</v>
      </c>
      <c r="Q105" s="41">
        <v>35.39</v>
      </c>
      <c r="R105" s="41">
        <v>263.3</v>
      </c>
      <c r="S105" s="41">
        <v>410.6</v>
      </c>
    </row>
    <row r="106" spans="2:19" ht="16" x14ac:dyDescent="0.2">
      <c r="B106" s="39">
        <v>202011</v>
      </c>
      <c r="C106" s="40" t="s">
        <v>56</v>
      </c>
      <c r="D106" s="40" t="s">
        <v>34</v>
      </c>
      <c r="E106" s="41">
        <v>70</v>
      </c>
      <c r="F106" s="41">
        <v>15220.210000000003</v>
      </c>
      <c r="G106" s="41">
        <v>6193.47</v>
      </c>
      <c r="H106" s="41">
        <v>9419.19</v>
      </c>
      <c r="I106" s="41">
        <v>30832.869999999995</v>
      </c>
      <c r="L106" s="39">
        <v>202012</v>
      </c>
      <c r="M106" s="40" t="s">
        <v>110</v>
      </c>
      <c r="N106" s="40" t="str">
        <f t="shared" si="2"/>
        <v>98952</v>
      </c>
      <c r="O106" s="40" t="str">
        <f t="shared" si="3"/>
        <v>RES</v>
      </c>
      <c r="P106" s="41">
        <v>3946.3900000000003</v>
      </c>
      <c r="Q106" s="41">
        <v>2134.9900000000002</v>
      </c>
      <c r="R106" s="41">
        <v>16112.55</v>
      </c>
      <c r="S106" s="41">
        <v>22193.93</v>
      </c>
    </row>
    <row r="107" spans="2:19" ht="16" x14ac:dyDescent="0.2">
      <c r="B107" s="39">
        <v>202011</v>
      </c>
      <c r="C107" s="40" t="s">
        <v>56</v>
      </c>
      <c r="D107" s="40" t="s">
        <v>75</v>
      </c>
      <c r="E107" s="41">
        <v>844</v>
      </c>
      <c r="F107" s="41">
        <v>69474.129999999932</v>
      </c>
      <c r="G107" s="41">
        <v>64389.489999999983</v>
      </c>
      <c r="H107" s="41">
        <v>274327.51000000013</v>
      </c>
      <c r="I107" s="41">
        <v>408191.13000000047</v>
      </c>
      <c r="L107" s="39">
        <v>202012</v>
      </c>
      <c r="M107" s="40" t="s">
        <v>92</v>
      </c>
      <c r="N107" s="40" t="str">
        <f t="shared" si="2"/>
        <v>98953</v>
      </c>
      <c r="O107" s="40" t="str">
        <f t="shared" si="3"/>
        <v>RES</v>
      </c>
      <c r="P107" s="41">
        <v>4513.6899999999996</v>
      </c>
      <c r="Q107" s="41">
        <v>1787.3699999999997</v>
      </c>
      <c r="R107" s="41">
        <v>8860.51</v>
      </c>
      <c r="S107" s="41">
        <v>15161.570000000005</v>
      </c>
    </row>
    <row r="108" spans="2:19" ht="16" x14ac:dyDescent="0.2">
      <c r="B108" s="39">
        <v>202011</v>
      </c>
      <c r="C108" s="40" t="s">
        <v>57</v>
      </c>
      <c r="D108" s="40" t="s">
        <v>34</v>
      </c>
      <c r="E108" s="41">
        <v>2</v>
      </c>
      <c r="F108" s="41">
        <v>132.41</v>
      </c>
      <c r="G108" s="41">
        <v>21.15</v>
      </c>
      <c r="H108" s="41">
        <v>403.58</v>
      </c>
      <c r="I108" s="41">
        <v>557.14</v>
      </c>
      <c r="L108" s="39">
        <v>202012</v>
      </c>
      <c r="M108" s="40" t="s">
        <v>114</v>
      </c>
      <c r="N108" s="40" t="str">
        <f t="shared" si="2"/>
        <v>99323</v>
      </c>
      <c r="O108" s="40" t="str">
        <f t="shared" si="3"/>
        <v>RES</v>
      </c>
      <c r="P108" s="41">
        <v>530.6</v>
      </c>
      <c r="Q108" s="41">
        <v>341.14</v>
      </c>
      <c r="R108" s="41">
        <v>2036.21</v>
      </c>
      <c r="S108" s="41">
        <v>2907.9500000000003</v>
      </c>
    </row>
    <row r="109" spans="2:19" ht="16" x14ac:dyDescent="0.2">
      <c r="B109" s="39">
        <v>202011</v>
      </c>
      <c r="C109" s="40" t="s">
        <v>57</v>
      </c>
      <c r="D109" s="40" t="s">
        <v>75</v>
      </c>
      <c r="E109" s="41">
        <v>64</v>
      </c>
      <c r="F109" s="41">
        <v>4867.4399999999996</v>
      </c>
      <c r="G109" s="41">
        <v>5075.0600000000013</v>
      </c>
      <c r="H109" s="41">
        <v>30641.82</v>
      </c>
      <c r="I109" s="41">
        <v>40584.320000000029</v>
      </c>
      <c r="L109" s="39">
        <v>202012</v>
      </c>
      <c r="M109" s="40" t="s">
        <v>108</v>
      </c>
      <c r="N109" s="40" t="str">
        <f t="shared" si="2"/>
        <v>99324</v>
      </c>
      <c r="O109" s="40" t="str">
        <f t="shared" si="3"/>
        <v>RES</v>
      </c>
      <c r="P109" s="41">
        <v>3277.1500000000005</v>
      </c>
      <c r="Q109" s="41">
        <v>2117.92</v>
      </c>
      <c r="R109" s="41">
        <v>12107.95</v>
      </c>
      <c r="S109" s="41">
        <v>17503.02</v>
      </c>
    </row>
    <row r="110" spans="2:19" ht="16" x14ac:dyDescent="0.2">
      <c r="B110" s="39">
        <v>202011</v>
      </c>
      <c r="C110" s="40" t="s">
        <v>58</v>
      </c>
      <c r="D110" s="40" t="s">
        <v>34</v>
      </c>
      <c r="E110" s="41">
        <v>47</v>
      </c>
      <c r="F110" s="41">
        <v>4881.3100000000013</v>
      </c>
      <c r="G110" s="41">
        <v>4127.0200000000013</v>
      </c>
      <c r="H110" s="41">
        <v>16241.88</v>
      </c>
      <c r="I110" s="41">
        <v>25250.209999999992</v>
      </c>
      <c r="L110" s="39">
        <v>202012</v>
      </c>
      <c r="M110" s="40" t="s">
        <v>102</v>
      </c>
      <c r="N110" s="40" t="str">
        <f t="shared" si="2"/>
        <v>99328</v>
      </c>
      <c r="O110" s="40" t="str">
        <f t="shared" si="3"/>
        <v>RES</v>
      </c>
      <c r="P110" s="41">
        <v>4037.8300000000004</v>
      </c>
      <c r="Q110" s="41">
        <v>1525.7999999999993</v>
      </c>
      <c r="R110" s="41">
        <v>12136.98</v>
      </c>
      <c r="S110" s="41">
        <v>17700.61</v>
      </c>
    </row>
    <row r="111" spans="2:19" ht="16" x14ac:dyDescent="0.2">
      <c r="B111" s="39">
        <v>202011</v>
      </c>
      <c r="C111" s="40" t="s">
        <v>58</v>
      </c>
      <c r="D111" s="40" t="s">
        <v>75</v>
      </c>
      <c r="E111" s="41">
        <v>494</v>
      </c>
      <c r="F111" s="41">
        <v>38612.619999999959</v>
      </c>
      <c r="G111" s="41">
        <v>28896.570000000011</v>
      </c>
      <c r="H111" s="41">
        <v>91124.709999999992</v>
      </c>
      <c r="I111" s="41">
        <v>158633.90000000008</v>
      </c>
      <c r="L111" s="39">
        <v>202012</v>
      </c>
      <c r="M111" s="40" t="s">
        <v>180</v>
      </c>
      <c r="N111" s="40" t="str">
        <f t="shared" si="2"/>
        <v>99329</v>
      </c>
      <c r="O111" s="40" t="str">
        <f t="shared" si="3"/>
        <v>RES</v>
      </c>
      <c r="P111" s="41">
        <v>0</v>
      </c>
      <c r="Q111" s="41">
        <v>0</v>
      </c>
      <c r="R111" s="41">
        <v>0</v>
      </c>
      <c r="S111" s="41">
        <v>0</v>
      </c>
    </row>
    <row r="112" spans="2:19" ht="32" x14ac:dyDescent="0.2">
      <c r="B112" s="39">
        <v>202011</v>
      </c>
      <c r="C112" s="40" t="s">
        <v>59</v>
      </c>
      <c r="D112" s="40" t="s">
        <v>75</v>
      </c>
      <c r="E112" s="41">
        <v>1</v>
      </c>
      <c r="F112" s="41">
        <v>99.16</v>
      </c>
      <c r="G112" s="41">
        <v>86.85</v>
      </c>
      <c r="H112" s="41">
        <v>214.44</v>
      </c>
      <c r="I112" s="41">
        <v>400.45</v>
      </c>
      <c r="L112" s="39">
        <v>202012</v>
      </c>
      <c r="M112" s="40" t="s">
        <v>121</v>
      </c>
      <c r="N112" s="40" t="str">
        <f t="shared" si="2"/>
        <v>99347</v>
      </c>
      <c r="O112" s="40" t="str">
        <f t="shared" si="3"/>
        <v>COM</v>
      </c>
      <c r="P112" s="41">
        <v>305.81</v>
      </c>
      <c r="Q112" s="41">
        <v>46.45</v>
      </c>
      <c r="R112" s="41">
        <v>0</v>
      </c>
      <c r="S112" s="41">
        <v>352.26</v>
      </c>
    </row>
    <row r="113" spans="2:19" ht="16" x14ac:dyDescent="0.2">
      <c r="B113" s="39">
        <v>202011</v>
      </c>
      <c r="C113" s="40" t="s">
        <v>60</v>
      </c>
      <c r="D113" s="40" t="s">
        <v>34</v>
      </c>
      <c r="E113" s="41">
        <v>14</v>
      </c>
      <c r="F113" s="41">
        <v>1837.5400000000002</v>
      </c>
      <c r="G113" s="41">
        <v>350.28</v>
      </c>
      <c r="H113" s="41">
        <v>2475.75</v>
      </c>
      <c r="I113" s="41">
        <v>4663.57</v>
      </c>
      <c r="L113" s="39">
        <v>202012</v>
      </c>
      <c r="M113" s="40" t="s">
        <v>109</v>
      </c>
      <c r="N113" s="40" t="str">
        <f t="shared" si="2"/>
        <v>99347</v>
      </c>
      <c r="O113" s="40" t="str">
        <f t="shared" si="3"/>
        <v>RES</v>
      </c>
      <c r="P113" s="41">
        <v>1054.52</v>
      </c>
      <c r="Q113" s="41">
        <v>576.54</v>
      </c>
      <c r="R113" s="41">
        <v>2740.11</v>
      </c>
      <c r="S113" s="41">
        <v>4371.17</v>
      </c>
    </row>
    <row r="114" spans="2:19" ht="16" x14ac:dyDescent="0.2">
      <c r="B114" s="39">
        <v>202011</v>
      </c>
      <c r="C114" s="40" t="s">
        <v>60</v>
      </c>
      <c r="D114" s="40" t="s">
        <v>75</v>
      </c>
      <c r="E114" s="41">
        <v>168</v>
      </c>
      <c r="F114" s="41">
        <v>14930.739999999994</v>
      </c>
      <c r="G114" s="41">
        <v>8925.4699999999975</v>
      </c>
      <c r="H114" s="41">
        <v>26848.139999999992</v>
      </c>
      <c r="I114" s="41">
        <v>50704.349999999991</v>
      </c>
      <c r="L114" s="39">
        <v>202012</v>
      </c>
      <c r="M114" s="40" t="s">
        <v>113</v>
      </c>
      <c r="N114" s="40" t="str">
        <f t="shared" si="2"/>
        <v>99348</v>
      </c>
      <c r="O114" s="40" t="str">
        <f t="shared" si="3"/>
        <v>RES</v>
      </c>
      <c r="P114" s="41">
        <v>573.78</v>
      </c>
      <c r="Q114" s="41">
        <v>292.59000000000003</v>
      </c>
      <c r="R114" s="41">
        <v>1284.29</v>
      </c>
      <c r="S114" s="41">
        <v>2150.66</v>
      </c>
    </row>
    <row r="115" spans="2:19" ht="16" x14ac:dyDescent="0.2">
      <c r="B115" s="39">
        <v>202011</v>
      </c>
      <c r="C115" s="40" t="s">
        <v>61</v>
      </c>
      <c r="D115" s="40" t="s">
        <v>34</v>
      </c>
      <c r="E115" s="41">
        <v>7</v>
      </c>
      <c r="F115" s="41">
        <v>1912.21</v>
      </c>
      <c r="G115" s="41">
        <v>192.82</v>
      </c>
      <c r="H115" s="41">
        <v>669.92</v>
      </c>
      <c r="I115" s="41">
        <v>2774.9500000000003</v>
      </c>
      <c r="L115" s="39">
        <v>202012</v>
      </c>
      <c r="M115" s="40" t="s">
        <v>122</v>
      </c>
      <c r="N115" s="40" t="str">
        <f t="shared" si="2"/>
        <v>99350</v>
      </c>
      <c r="O115" s="40" t="str">
        <f t="shared" si="3"/>
        <v>RES</v>
      </c>
      <c r="P115" s="41">
        <v>245.09</v>
      </c>
      <c r="Q115" s="41">
        <v>3.7</v>
      </c>
      <c r="R115" s="41">
        <v>0</v>
      </c>
      <c r="S115" s="41">
        <v>248.79</v>
      </c>
    </row>
    <row r="116" spans="2:19" ht="16" x14ac:dyDescent="0.2">
      <c r="B116" s="39">
        <v>202011</v>
      </c>
      <c r="C116" s="40" t="s">
        <v>61</v>
      </c>
      <c r="D116" s="40" t="s">
        <v>75</v>
      </c>
      <c r="E116" s="41">
        <v>387</v>
      </c>
      <c r="F116" s="41">
        <v>22401.620000000003</v>
      </c>
      <c r="G116" s="41">
        <v>19719.909999999993</v>
      </c>
      <c r="H116" s="41">
        <v>49259.549999999981</v>
      </c>
      <c r="I116" s="41">
        <v>91381.079999999987</v>
      </c>
      <c r="L116" s="39">
        <v>202012</v>
      </c>
      <c r="M116" s="40" t="s">
        <v>123</v>
      </c>
      <c r="N116" s="40" t="str">
        <f t="shared" si="2"/>
        <v>99360</v>
      </c>
      <c r="O116" s="40" t="str">
        <f t="shared" si="3"/>
        <v>RES</v>
      </c>
      <c r="P116" s="41">
        <v>494.29</v>
      </c>
      <c r="Q116" s="41">
        <v>192.36</v>
      </c>
      <c r="R116" s="41">
        <v>53.91</v>
      </c>
      <c r="S116" s="41">
        <v>740.56</v>
      </c>
    </row>
    <row r="117" spans="2:19" ht="16" x14ac:dyDescent="0.2">
      <c r="B117" s="39">
        <v>202011</v>
      </c>
      <c r="C117" s="40" t="s">
        <v>62</v>
      </c>
      <c r="D117" s="40" t="s">
        <v>34</v>
      </c>
      <c r="E117" s="41">
        <v>35</v>
      </c>
      <c r="F117" s="41">
        <v>5081.55</v>
      </c>
      <c r="G117" s="41">
        <v>2155.4100000000003</v>
      </c>
      <c r="H117" s="41">
        <v>11425.809999999998</v>
      </c>
      <c r="I117" s="41">
        <v>18662.770000000004</v>
      </c>
      <c r="L117" s="39">
        <v>202012</v>
      </c>
      <c r="M117" s="40" t="s">
        <v>103</v>
      </c>
      <c r="N117" s="40" t="str">
        <f t="shared" si="2"/>
        <v>99361</v>
      </c>
      <c r="O117" s="40" t="str">
        <f t="shared" si="3"/>
        <v>RES</v>
      </c>
      <c r="P117" s="41">
        <v>729.44999999999993</v>
      </c>
      <c r="Q117" s="41">
        <v>429.94</v>
      </c>
      <c r="R117" s="41">
        <v>3281.16</v>
      </c>
      <c r="S117" s="41">
        <v>4440.55</v>
      </c>
    </row>
    <row r="118" spans="2:19" ht="16" x14ac:dyDescent="0.2">
      <c r="B118" s="39">
        <v>202011</v>
      </c>
      <c r="C118" s="40" t="s">
        <v>62</v>
      </c>
      <c r="D118" s="40" t="s">
        <v>75</v>
      </c>
      <c r="E118" s="41">
        <v>253</v>
      </c>
      <c r="F118" s="41">
        <v>17823.669999999995</v>
      </c>
      <c r="G118" s="41">
        <v>11450.51</v>
      </c>
      <c r="H118" s="41">
        <v>59277.200000000004</v>
      </c>
      <c r="I118" s="41">
        <v>88551.379999999976</v>
      </c>
      <c r="L118" s="39">
        <v>202012</v>
      </c>
      <c r="M118" s="40" t="s">
        <v>93</v>
      </c>
      <c r="N118" s="40" t="str">
        <f t="shared" si="2"/>
        <v>99362</v>
      </c>
      <c r="O118" s="40" t="str">
        <f t="shared" si="3"/>
        <v>RES</v>
      </c>
      <c r="P118" s="41">
        <v>27438.060000000009</v>
      </c>
      <c r="Q118" s="41">
        <v>14711.320000000005</v>
      </c>
      <c r="R118" s="41">
        <v>65982.839999999953</v>
      </c>
      <c r="S118" s="41">
        <v>108132.22000000015</v>
      </c>
    </row>
    <row r="119" spans="2:19" ht="16" x14ac:dyDescent="0.2">
      <c r="B119" s="39">
        <v>202011</v>
      </c>
      <c r="C119" s="40" t="s">
        <v>63</v>
      </c>
      <c r="D119" s="40" t="s">
        <v>34</v>
      </c>
      <c r="E119" s="41">
        <v>2</v>
      </c>
      <c r="F119" s="41">
        <v>263.61</v>
      </c>
      <c r="G119" s="41">
        <v>110.09</v>
      </c>
      <c r="H119" s="41">
        <v>957.47</v>
      </c>
      <c r="I119" s="41">
        <v>1331.17</v>
      </c>
      <c r="L119" s="39">
        <v>202012</v>
      </c>
      <c r="M119" s="40" t="s">
        <v>124</v>
      </c>
      <c r="N119" s="40" t="str">
        <f t="shared" si="2"/>
        <v>99363</v>
      </c>
      <c r="O119" s="40" t="str">
        <f t="shared" si="3"/>
        <v>RES</v>
      </c>
      <c r="P119" s="41">
        <v>212.55</v>
      </c>
      <c r="Q119" s="41">
        <v>84.92</v>
      </c>
      <c r="R119" s="41">
        <v>416.67</v>
      </c>
      <c r="S119" s="41">
        <v>714.14</v>
      </c>
    </row>
    <row r="120" spans="2:19" ht="16" x14ac:dyDescent="0.2">
      <c r="B120" s="39">
        <v>202011</v>
      </c>
      <c r="C120" s="40" t="s">
        <v>63</v>
      </c>
      <c r="D120" s="40" t="s">
        <v>75</v>
      </c>
      <c r="E120" s="41">
        <v>15</v>
      </c>
      <c r="F120" s="41">
        <v>834.35</v>
      </c>
      <c r="G120" s="41">
        <v>746.2</v>
      </c>
      <c r="H120" s="41">
        <v>1780.8</v>
      </c>
      <c r="I120" s="41">
        <v>3361.3499999999995</v>
      </c>
    </row>
    <row r="121" spans="2:19" ht="16" x14ac:dyDescent="0.2">
      <c r="B121" s="39">
        <v>202011</v>
      </c>
      <c r="C121" s="40" t="s">
        <v>64</v>
      </c>
      <c r="D121" s="40" t="s">
        <v>34</v>
      </c>
      <c r="E121" s="41">
        <v>18</v>
      </c>
      <c r="F121" s="41">
        <v>3209.76</v>
      </c>
      <c r="G121" s="41">
        <v>2919.43</v>
      </c>
      <c r="H121" s="41">
        <v>3962.6099999999997</v>
      </c>
      <c r="I121" s="41">
        <v>10091.799999999997</v>
      </c>
    </row>
    <row r="122" spans="2:19" ht="16" x14ac:dyDescent="0.2">
      <c r="B122" s="39">
        <v>202011</v>
      </c>
      <c r="C122" s="40" t="s">
        <v>64</v>
      </c>
      <c r="D122" s="40" t="s">
        <v>75</v>
      </c>
      <c r="E122" s="41">
        <v>112</v>
      </c>
      <c r="F122" s="41">
        <v>8396.1</v>
      </c>
      <c r="G122" s="41">
        <v>6534.2999999999984</v>
      </c>
      <c r="H122" s="41">
        <v>30993.42</v>
      </c>
      <c r="I122" s="41">
        <v>45923.820000000007</v>
      </c>
    </row>
    <row r="123" spans="2:19" ht="16" x14ac:dyDescent="0.2">
      <c r="B123" s="39">
        <v>202011</v>
      </c>
      <c r="C123" s="40" t="s">
        <v>65</v>
      </c>
      <c r="D123" s="40" t="s">
        <v>34</v>
      </c>
      <c r="E123" s="41">
        <v>3</v>
      </c>
      <c r="F123" s="41">
        <v>917.14999999999986</v>
      </c>
      <c r="G123" s="41">
        <v>84.26</v>
      </c>
      <c r="H123" s="41">
        <v>0</v>
      </c>
      <c r="I123" s="41">
        <v>1001.4099999999999</v>
      </c>
    </row>
    <row r="124" spans="2:19" ht="16" x14ac:dyDescent="0.2">
      <c r="B124" s="39">
        <v>202011</v>
      </c>
      <c r="C124" s="40" t="s">
        <v>65</v>
      </c>
      <c r="D124" s="40" t="s">
        <v>75</v>
      </c>
      <c r="E124" s="41">
        <v>32</v>
      </c>
      <c r="F124" s="41">
        <v>2021.4099999999999</v>
      </c>
      <c r="G124" s="41">
        <v>2202.1</v>
      </c>
      <c r="H124" s="41">
        <v>7080.1199999999981</v>
      </c>
      <c r="I124" s="41">
        <v>11303.63</v>
      </c>
    </row>
    <row r="125" spans="2:19" ht="16" x14ac:dyDescent="0.2">
      <c r="B125" s="39">
        <v>202011</v>
      </c>
      <c r="C125" s="40" t="s">
        <v>66</v>
      </c>
      <c r="D125" s="40" t="s">
        <v>75</v>
      </c>
      <c r="E125" s="41">
        <v>12</v>
      </c>
      <c r="F125" s="41">
        <v>790.53000000000009</v>
      </c>
      <c r="G125" s="41">
        <v>307.87</v>
      </c>
      <c r="H125" s="41">
        <v>1671.2</v>
      </c>
      <c r="I125" s="41">
        <v>2769.6</v>
      </c>
    </row>
    <row r="126" spans="2:19" ht="16" x14ac:dyDescent="0.2">
      <c r="B126" s="39">
        <v>202011</v>
      </c>
      <c r="C126" s="40" t="s">
        <v>67</v>
      </c>
      <c r="D126" s="40" t="s">
        <v>34</v>
      </c>
      <c r="E126" s="41">
        <v>16</v>
      </c>
      <c r="F126" s="41">
        <v>8020.5</v>
      </c>
      <c r="G126" s="41">
        <v>1764.1100000000001</v>
      </c>
      <c r="H126" s="41">
        <v>10165.189999999999</v>
      </c>
      <c r="I126" s="41">
        <v>19949.800000000003</v>
      </c>
    </row>
    <row r="127" spans="2:19" ht="16" x14ac:dyDescent="0.2">
      <c r="B127" s="39">
        <v>202011</v>
      </c>
      <c r="C127" s="40" t="s">
        <v>67</v>
      </c>
      <c r="D127" s="40" t="s">
        <v>75</v>
      </c>
      <c r="E127" s="41">
        <v>67</v>
      </c>
      <c r="F127" s="41">
        <v>6670.7800000000016</v>
      </c>
      <c r="G127" s="41">
        <v>4754.95</v>
      </c>
      <c r="H127" s="41">
        <v>11966.599999999999</v>
      </c>
      <c r="I127" s="41">
        <v>23392.329999999991</v>
      </c>
    </row>
    <row r="128" spans="2:19" ht="16" x14ac:dyDescent="0.2">
      <c r="B128" s="39">
        <v>202011</v>
      </c>
      <c r="C128" s="40" t="s">
        <v>68</v>
      </c>
      <c r="D128" s="40" t="s">
        <v>34</v>
      </c>
      <c r="E128" s="41">
        <v>11</v>
      </c>
      <c r="F128" s="41">
        <v>1378.02</v>
      </c>
      <c r="G128" s="41">
        <v>743.99000000000012</v>
      </c>
      <c r="H128" s="41">
        <v>4098.13</v>
      </c>
      <c r="I128" s="41">
        <v>6220.1399999999994</v>
      </c>
    </row>
    <row r="129" spans="2:9" ht="16" x14ac:dyDescent="0.2">
      <c r="B129" s="39">
        <v>202011</v>
      </c>
      <c r="C129" s="40" t="s">
        <v>68</v>
      </c>
      <c r="D129" s="40" t="s">
        <v>75</v>
      </c>
      <c r="E129" s="41">
        <v>84</v>
      </c>
      <c r="F129" s="41">
        <v>6052.3799999999983</v>
      </c>
      <c r="G129" s="41">
        <v>4832.2999999999984</v>
      </c>
      <c r="H129" s="41">
        <v>20596.150000000005</v>
      </c>
      <c r="I129" s="41">
        <v>31480.829999999991</v>
      </c>
    </row>
    <row r="130" spans="2:9" ht="16" x14ac:dyDescent="0.2">
      <c r="B130" s="39">
        <v>202011</v>
      </c>
      <c r="C130" s="40" t="s">
        <v>69</v>
      </c>
      <c r="D130" s="40" t="s">
        <v>34</v>
      </c>
      <c r="E130" s="41">
        <v>156</v>
      </c>
      <c r="F130" s="41">
        <v>24479.909999999996</v>
      </c>
      <c r="G130" s="41">
        <v>28205.84</v>
      </c>
      <c r="H130" s="41">
        <v>53938.52</v>
      </c>
      <c r="I130" s="41">
        <v>106624.26999999997</v>
      </c>
    </row>
    <row r="131" spans="2:9" ht="16" x14ac:dyDescent="0.2">
      <c r="B131" s="39">
        <v>202011</v>
      </c>
      <c r="C131" s="40" t="s">
        <v>69</v>
      </c>
      <c r="D131" s="40" t="s">
        <v>75</v>
      </c>
      <c r="E131" s="41">
        <v>2486</v>
      </c>
      <c r="F131" s="41">
        <v>134847.80000000031</v>
      </c>
      <c r="G131" s="41">
        <v>111213.18999999997</v>
      </c>
      <c r="H131" s="41">
        <v>349226.2300000001</v>
      </c>
      <c r="I131" s="41">
        <v>595287.22000000044</v>
      </c>
    </row>
    <row r="132" spans="2:9" ht="16" x14ac:dyDescent="0.2">
      <c r="B132" s="39">
        <v>202011</v>
      </c>
      <c r="C132" s="40" t="s">
        <v>70</v>
      </c>
      <c r="D132" s="40" t="s">
        <v>34</v>
      </c>
      <c r="E132" s="41">
        <v>1</v>
      </c>
      <c r="F132" s="41">
        <v>43.65</v>
      </c>
      <c r="G132" s="41">
        <v>46.73</v>
      </c>
      <c r="H132" s="41">
        <v>134.88999999999999</v>
      </c>
      <c r="I132" s="41">
        <v>225.27</v>
      </c>
    </row>
    <row r="133" spans="2:9" ht="16" x14ac:dyDescent="0.2">
      <c r="B133" s="39">
        <v>202011</v>
      </c>
      <c r="C133" s="40" t="s">
        <v>70</v>
      </c>
      <c r="D133" s="40" t="s">
        <v>75</v>
      </c>
      <c r="E133" s="41">
        <v>16</v>
      </c>
      <c r="F133" s="41">
        <v>1212.05</v>
      </c>
      <c r="G133" s="41">
        <v>855.39</v>
      </c>
      <c r="H133" s="41">
        <v>1910.33</v>
      </c>
      <c r="I133" s="41">
        <v>3977.7700000000004</v>
      </c>
    </row>
    <row r="134" spans="2:9" ht="16" x14ac:dyDescent="0.2">
      <c r="B134" s="39">
        <v>202012</v>
      </c>
      <c r="C134" s="40" t="s">
        <v>76</v>
      </c>
      <c r="D134" s="40" t="s">
        <v>75</v>
      </c>
      <c r="E134" s="41">
        <v>2</v>
      </c>
      <c r="F134" s="41">
        <v>177.74</v>
      </c>
      <c r="G134" s="41">
        <v>175.57</v>
      </c>
      <c r="H134" s="41">
        <v>206.33</v>
      </c>
      <c r="I134" s="41">
        <v>559.64</v>
      </c>
    </row>
    <row r="135" spans="2:9" ht="16" x14ac:dyDescent="0.2">
      <c r="B135" s="39">
        <v>202012</v>
      </c>
      <c r="C135" s="40" t="s">
        <v>35</v>
      </c>
      <c r="D135" s="40" t="s">
        <v>34</v>
      </c>
      <c r="E135" s="41">
        <v>204</v>
      </c>
      <c r="F135" s="41">
        <v>64602.309999999976</v>
      </c>
      <c r="G135" s="41">
        <v>20489.439999999991</v>
      </c>
      <c r="H135" s="41">
        <v>82732.100000000049</v>
      </c>
      <c r="I135" s="41">
        <v>167823.85000000009</v>
      </c>
    </row>
    <row r="136" spans="2:9" ht="16" x14ac:dyDescent="0.2">
      <c r="B136" s="39">
        <v>202012</v>
      </c>
      <c r="C136" s="40" t="s">
        <v>35</v>
      </c>
      <c r="D136" s="40" t="s">
        <v>75</v>
      </c>
      <c r="E136" s="41">
        <v>2654</v>
      </c>
      <c r="F136" s="41">
        <v>248038.7999999997</v>
      </c>
      <c r="G136" s="41">
        <v>145225.39000000001</v>
      </c>
      <c r="H136" s="41">
        <v>576363.00000000023</v>
      </c>
      <c r="I136" s="41">
        <v>969627.18999999948</v>
      </c>
    </row>
    <row r="137" spans="2:9" ht="16" x14ac:dyDescent="0.2">
      <c r="B137" s="39">
        <v>202012</v>
      </c>
      <c r="C137" s="40" t="s">
        <v>36</v>
      </c>
      <c r="D137" s="40" t="s">
        <v>34</v>
      </c>
      <c r="E137" s="41">
        <v>192</v>
      </c>
      <c r="F137" s="41">
        <v>41639.870000000003</v>
      </c>
      <c r="G137" s="41">
        <v>19486.430000000004</v>
      </c>
      <c r="H137" s="41">
        <v>80070.469999999972</v>
      </c>
      <c r="I137" s="41">
        <v>141196.77000000008</v>
      </c>
    </row>
    <row r="138" spans="2:9" ht="16" x14ac:dyDescent="0.2">
      <c r="B138" s="39">
        <v>202012</v>
      </c>
      <c r="C138" s="40" t="s">
        <v>36</v>
      </c>
      <c r="D138" s="40" t="s">
        <v>75</v>
      </c>
      <c r="E138" s="41">
        <v>4337</v>
      </c>
      <c r="F138" s="41">
        <v>434290.41000000027</v>
      </c>
      <c r="G138" s="41">
        <v>155373.2600000001</v>
      </c>
      <c r="H138" s="41">
        <v>746345.87999999907</v>
      </c>
      <c r="I138" s="41">
        <v>1336009.5499999956</v>
      </c>
    </row>
    <row r="139" spans="2:9" ht="16" x14ac:dyDescent="0.2">
      <c r="B139" s="39">
        <v>202012</v>
      </c>
      <c r="C139" s="40" t="s">
        <v>37</v>
      </c>
      <c r="D139" s="40" t="s">
        <v>34</v>
      </c>
      <c r="E139" s="41">
        <v>186</v>
      </c>
      <c r="F139" s="41">
        <v>76163.579999999973</v>
      </c>
      <c r="G139" s="41">
        <v>13319.810000000005</v>
      </c>
      <c r="H139" s="41">
        <v>52745.360000000008</v>
      </c>
      <c r="I139" s="41">
        <v>142228.75000000003</v>
      </c>
    </row>
    <row r="140" spans="2:9" ht="16" x14ac:dyDescent="0.2">
      <c r="B140" s="39">
        <v>202012</v>
      </c>
      <c r="C140" s="40" t="s">
        <v>37</v>
      </c>
      <c r="D140" s="40" t="s">
        <v>75</v>
      </c>
      <c r="E140" s="41">
        <v>1678</v>
      </c>
      <c r="F140" s="41">
        <v>229666.44000000021</v>
      </c>
      <c r="G140" s="41">
        <v>69401.989999999918</v>
      </c>
      <c r="H140" s="41">
        <v>350333.53000000009</v>
      </c>
      <c r="I140" s="41">
        <v>649401.95999999892</v>
      </c>
    </row>
    <row r="141" spans="2:9" ht="16" x14ac:dyDescent="0.2">
      <c r="B141" s="39">
        <v>202012</v>
      </c>
      <c r="C141" s="40" t="s">
        <v>40</v>
      </c>
      <c r="D141" s="40" t="s">
        <v>34</v>
      </c>
      <c r="E141" s="41">
        <v>99</v>
      </c>
      <c r="F141" s="41">
        <v>19424.25</v>
      </c>
      <c r="G141" s="41">
        <v>5544.51</v>
      </c>
      <c r="H141" s="41">
        <v>20027.689999999995</v>
      </c>
      <c r="I141" s="41">
        <v>44996.45</v>
      </c>
    </row>
    <row r="142" spans="2:9" ht="16" x14ac:dyDescent="0.2">
      <c r="B142" s="39">
        <v>202012</v>
      </c>
      <c r="C142" s="40" t="s">
        <v>40</v>
      </c>
      <c r="D142" s="40" t="s">
        <v>75</v>
      </c>
      <c r="E142" s="41">
        <v>2738</v>
      </c>
      <c r="F142" s="41">
        <v>280818.84999999928</v>
      </c>
      <c r="G142" s="41">
        <v>99089.469999999943</v>
      </c>
      <c r="H142" s="41">
        <v>443248.13</v>
      </c>
      <c r="I142" s="41">
        <v>823156.4499999996</v>
      </c>
    </row>
    <row r="143" spans="2:9" ht="16" x14ac:dyDescent="0.2">
      <c r="B143" s="39">
        <v>202012</v>
      </c>
      <c r="C143" s="40" t="s">
        <v>41</v>
      </c>
      <c r="D143" s="40" t="s">
        <v>75</v>
      </c>
      <c r="E143" s="41">
        <v>1</v>
      </c>
      <c r="F143" s="41">
        <v>104.45</v>
      </c>
      <c r="G143" s="41">
        <v>0</v>
      </c>
      <c r="H143" s="41">
        <v>0</v>
      </c>
      <c r="I143" s="41">
        <v>104.45</v>
      </c>
    </row>
    <row r="144" spans="2:9" ht="16" x14ac:dyDescent="0.2">
      <c r="B144" s="39">
        <v>202012</v>
      </c>
      <c r="C144" s="40" t="s">
        <v>42</v>
      </c>
      <c r="D144" s="40" t="s">
        <v>34</v>
      </c>
      <c r="E144" s="41">
        <v>2</v>
      </c>
      <c r="F144" s="41">
        <v>216.78</v>
      </c>
      <c r="G144" s="41">
        <v>51.26</v>
      </c>
      <c r="H144" s="41">
        <v>297.20999999999998</v>
      </c>
      <c r="I144" s="41">
        <v>565.25</v>
      </c>
    </row>
    <row r="145" spans="2:9" ht="16" x14ac:dyDescent="0.2">
      <c r="B145" s="39">
        <v>202012</v>
      </c>
      <c r="C145" s="40" t="s">
        <v>42</v>
      </c>
      <c r="D145" s="40" t="s">
        <v>75</v>
      </c>
      <c r="E145" s="41">
        <v>74</v>
      </c>
      <c r="F145" s="41">
        <v>8468.4500000000007</v>
      </c>
      <c r="G145" s="41">
        <v>2608.23</v>
      </c>
      <c r="H145" s="41">
        <v>21603.459999999995</v>
      </c>
      <c r="I145" s="41">
        <v>32680.14</v>
      </c>
    </row>
    <row r="146" spans="2:9" ht="16" x14ac:dyDescent="0.2">
      <c r="B146" s="39">
        <v>202012</v>
      </c>
      <c r="C146" s="40" t="s">
        <v>43</v>
      </c>
      <c r="D146" s="40" t="s">
        <v>34</v>
      </c>
      <c r="E146" s="41">
        <v>20</v>
      </c>
      <c r="F146" s="41">
        <v>12804.3</v>
      </c>
      <c r="G146" s="41">
        <v>46.12</v>
      </c>
      <c r="H146" s="41">
        <v>454.42999999999995</v>
      </c>
      <c r="I146" s="41">
        <v>13304.849999999999</v>
      </c>
    </row>
    <row r="147" spans="2:9" ht="16" x14ac:dyDescent="0.2">
      <c r="B147" s="39">
        <v>202012</v>
      </c>
      <c r="C147" s="40" t="s">
        <v>43</v>
      </c>
      <c r="D147" s="40" t="s">
        <v>75</v>
      </c>
      <c r="E147" s="41">
        <v>81</v>
      </c>
      <c r="F147" s="41">
        <v>9627.6299999999974</v>
      </c>
      <c r="G147" s="41">
        <v>3056.9900000000007</v>
      </c>
      <c r="H147" s="41">
        <v>15848.389999999998</v>
      </c>
      <c r="I147" s="41">
        <v>28533.010000000006</v>
      </c>
    </row>
    <row r="148" spans="2:9" ht="16" x14ac:dyDescent="0.2">
      <c r="B148" s="39">
        <v>202012</v>
      </c>
      <c r="C148" s="40" t="s">
        <v>44</v>
      </c>
      <c r="D148" s="40" t="s">
        <v>34</v>
      </c>
      <c r="E148" s="41">
        <v>36</v>
      </c>
      <c r="F148" s="41">
        <v>2522.7900000000004</v>
      </c>
      <c r="G148" s="41">
        <v>3888.4799999999996</v>
      </c>
      <c r="H148" s="41">
        <v>16077.8</v>
      </c>
      <c r="I148" s="41">
        <v>22489.07</v>
      </c>
    </row>
    <row r="149" spans="2:9" ht="16" x14ac:dyDescent="0.2">
      <c r="B149" s="39">
        <v>202012</v>
      </c>
      <c r="C149" s="40" t="s">
        <v>44</v>
      </c>
      <c r="D149" s="40" t="s">
        <v>75</v>
      </c>
      <c r="E149" s="41">
        <v>663</v>
      </c>
      <c r="F149" s="41">
        <v>23701.32</v>
      </c>
      <c r="G149" s="41">
        <v>51475.569999999985</v>
      </c>
      <c r="H149" s="41">
        <v>155090.88999999987</v>
      </c>
      <c r="I149" s="41">
        <v>230267.78</v>
      </c>
    </row>
    <row r="150" spans="2:9" ht="16" x14ac:dyDescent="0.2">
      <c r="B150" s="39">
        <v>202012</v>
      </c>
      <c r="C150" s="40" t="s">
        <v>45</v>
      </c>
      <c r="D150" s="40" t="s">
        <v>34</v>
      </c>
      <c r="E150" s="41">
        <v>31</v>
      </c>
      <c r="F150" s="41">
        <v>23068.950000000004</v>
      </c>
      <c r="G150" s="41">
        <v>548.15000000000009</v>
      </c>
      <c r="H150" s="41">
        <v>6468.84</v>
      </c>
      <c r="I150" s="41">
        <v>30085.940000000002</v>
      </c>
    </row>
    <row r="151" spans="2:9" ht="16" x14ac:dyDescent="0.2">
      <c r="B151" s="39">
        <v>202012</v>
      </c>
      <c r="C151" s="40" t="s">
        <v>45</v>
      </c>
      <c r="D151" s="40" t="s">
        <v>75</v>
      </c>
      <c r="E151" s="41">
        <v>424</v>
      </c>
      <c r="F151" s="41">
        <v>45561.600000000028</v>
      </c>
      <c r="G151" s="41">
        <v>15500.550000000001</v>
      </c>
      <c r="H151" s="41">
        <v>79731.250000000029</v>
      </c>
      <c r="I151" s="41">
        <v>140793.40000000008</v>
      </c>
    </row>
    <row r="152" spans="2:9" ht="16" x14ac:dyDescent="0.2">
      <c r="B152" s="39">
        <v>202012</v>
      </c>
      <c r="C152" s="40" t="s">
        <v>46</v>
      </c>
      <c r="D152" s="40" t="s">
        <v>34</v>
      </c>
      <c r="E152" s="41">
        <v>6</v>
      </c>
      <c r="F152" s="41">
        <v>2094.9500000000003</v>
      </c>
      <c r="G152" s="41">
        <v>252.78</v>
      </c>
      <c r="H152" s="41">
        <v>2750.83</v>
      </c>
      <c r="I152" s="41">
        <v>5098.5599999999995</v>
      </c>
    </row>
    <row r="153" spans="2:9" ht="16" x14ac:dyDescent="0.2">
      <c r="B153" s="39">
        <v>202012</v>
      </c>
      <c r="C153" s="40" t="s">
        <v>46</v>
      </c>
      <c r="D153" s="40" t="s">
        <v>75</v>
      </c>
      <c r="E153" s="41">
        <v>42</v>
      </c>
      <c r="F153" s="41">
        <v>4649.1100000000006</v>
      </c>
      <c r="G153" s="41">
        <v>2357.329999999999</v>
      </c>
      <c r="H153" s="41">
        <v>19510.64</v>
      </c>
      <c r="I153" s="41">
        <v>26517.079999999994</v>
      </c>
    </row>
    <row r="154" spans="2:9" ht="16" x14ac:dyDescent="0.2">
      <c r="B154" s="39">
        <v>202012</v>
      </c>
      <c r="C154" s="40" t="s">
        <v>47</v>
      </c>
      <c r="D154" s="40" t="s">
        <v>34</v>
      </c>
      <c r="E154" s="41">
        <v>7</v>
      </c>
      <c r="F154" s="41">
        <v>1427.02</v>
      </c>
      <c r="G154" s="41">
        <v>95.27</v>
      </c>
      <c r="H154" s="41">
        <v>1581.41</v>
      </c>
      <c r="I154" s="41">
        <v>3103.7000000000003</v>
      </c>
    </row>
    <row r="155" spans="2:9" ht="16" x14ac:dyDescent="0.2">
      <c r="B155" s="39">
        <v>202012</v>
      </c>
      <c r="C155" s="40" t="s">
        <v>47</v>
      </c>
      <c r="D155" s="40" t="s">
        <v>75</v>
      </c>
      <c r="E155" s="41">
        <v>298</v>
      </c>
      <c r="F155" s="41">
        <v>46631.32999999998</v>
      </c>
      <c r="G155" s="41">
        <v>12062.239999999998</v>
      </c>
      <c r="H155" s="41">
        <v>60271.800000000039</v>
      </c>
      <c r="I155" s="41">
        <v>118965.37000000001</v>
      </c>
    </row>
    <row r="156" spans="2:9" ht="16" x14ac:dyDescent="0.2">
      <c r="B156" s="39">
        <v>202012</v>
      </c>
      <c r="C156" s="40" t="s">
        <v>48</v>
      </c>
      <c r="D156" s="40" t="s">
        <v>34</v>
      </c>
      <c r="E156" s="41">
        <v>23</v>
      </c>
      <c r="F156" s="41">
        <v>825.90000000000009</v>
      </c>
      <c r="G156" s="41">
        <v>7281.56</v>
      </c>
      <c r="H156" s="41">
        <v>12158.49</v>
      </c>
      <c r="I156" s="41">
        <v>20265.949999999997</v>
      </c>
    </row>
    <row r="157" spans="2:9" ht="16" x14ac:dyDescent="0.2">
      <c r="B157" s="39">
        <v>202012</v>
      </c>
      <c r="C157" s="40" t="s">
        <v>48</v>
      </c>
      <c r="D157" s="40" t="s">
        <v>75</v>
      </c>
      <c r="E157" s="41">
        <v>320</v>
      </c>
      <c r="F157" s="41">
        <v>273.51</v>
      </c>
      <c r="G157" s="41">
        <v>28370.210000000014</v>
      </c>
      <c r="H157" s="41">
        <v>111837.60999999999</v>
      </c>
      <c r="I157" s="41">
        <v>140481.32999999996</v>
      </c>
    </row>
    <row r="158" spans="2:9" ht="16" x14ac:dyDescent="0.2">
      <c r="B158" s="39">
        <v>202012</v>
      </c>
      <c r="C158" s="40" t="s">
        <v>49</v>
      </c>
      <c r="D158" s="40" t="s">
        <v>34</v>
      </c>
      <c r="E158" s="41">
        <v>21</v>
      </c>
      <c r="F158" s="41">
        <v>3211.1699999999996</v>
      </c>
      <c r="G158" s="41">
        <v>1332.1</v>
      </c>
      <c r="H158" s="41">
        <v>4151.99</v>
      </c>
      <c r="I158" s="41">
        <v>8695.26</v>
      </c>
    </row>
    <row r="159" spans="2:9" ht="16" x14ac:dyDescent="0.2">
      <c r="B159" s="39">
        <v>202012</v>
      </c>
      <c r="C159" s="40" t="s">
        <v>49</v>
      </c>
      <c r="D159" s="40" t="s">
        <v>75</v>
      </c>
      <c r="E159" s="41">
        <v>261</v>
      </c>
      <c r="F159" s="41">
        <v>27034.559999999994</v>
      </c>
      <c r="G159" s="41">
        <v>10372.669999999995</v>
      </c>
      <c r="H159" s="41">
        <v>45429.51999999999</v>
      </c>
      <c r="I159" s="41">
        <v>82836.749999999956</v>
      </c>
    </row>
    <row r="160" spans="2:9" ht="16" x14ac:dyDescent="0.2">
      <c r="B160" s="39">
        <v>202012</v>
      </c>
      <c r="C160" s="40" t="s">
        <v>50</v>
      </c>
      <c r="D160" s="40" t="s">
        <v>34</v>
      </c>
      <c r="E160" s="41">
        <v>30</v>
      </c>
      <c r="F160" s="41">
        <v>46323.08</v>
      </c>
      <c r="G160" s="41">
        <v>85.23</v>
      </c>
      <c r="H160" s="41">
        <v>251.11</v>
      </c>
      <c r="I160" s="41">
        <v>46659.420000000006</v>
      </c>
    </row>
    <row r="161" spans="2:9" ht="16" x14ac:dyDescent="0.2">
      <c r="B161" s="39">
        <v>202012</v>
      </c>
      <c r="C161" s="40" t="s">
        <v>50</v>
      </c>
      <c r="D161" s="40" t="s">
        <v>75</v>
      </c>
      <c r="E161" s="41">
        <v>139</v>
      </c>
      <c r="F161" s="41">
        <v>21836.569999999992</v>
      </c>
      <c r="G161" s="41">
        <v>6606.0700000000015</v>
      </c>
      <c r="H161" s="41">
        <v>37297.909999999996</v>
      </c>
      <c r="I161" s="41">
        <v>65740.549999999988</v>
      </c>
    </row>
    <row r="162" spans="2:9" ht="16" x14ac:dyDescent="0.2">
      <c r="B162" s="39">
        <v>202012</v>
      </c>
      <c r="C162" s="40" t="s">
        <v>51</v>
      </c>
      <c r="D162" s="40" t="s">
        <v>34</v>
      </c>
      <c r="E162" s="41">
        <v>2</v>
      </c>
      <c r="F162" s="41">
        <v>0</v>
      </c>
      <c r="G162" s="41">
        <v>304.99</v>
      </c>
      <c r="H162" s="41">
        <v>475.33</v>
      </c>
      <c r="I162" s="41">
        <v>780.31999999999994</v>
      </c>
    </row>
    <row r="163" spans="2:9" ht="16" x14ac:dyDescent="0.2">
      <c r="B163" s="39">
        <v>202012</v>
      </c>
      <c r="C163" s="40" t="s">
        <v>51</v>
      </c>
      <c r="D163" s="40" t="s">
        <v>75</v>
      </c>
      <c r="E163" s="41">
        <v>23</v>
      </c>
      <c r="F163" s="41">
        <v>128.35</v>
      </c>
      <c r="G163" s="41">
        <v>3561.2500000000005</v>
      </c>
      <c r="H163" s="41">
        <v>9341.2200000000012</v>
      </c>
      <c r="I163" s="41">
        <v>13030.82</v>
      </c>
    </row>
    <row r="164" spans="2:9" ht="16" x14ac:dyDescent="0.2">
      <c r="B164" s="39">
        <v>202012</v>
      </c>
      <c r="C164" s="40" t="s">
        <v>52</v>
      </c>
      <c r="D164" s="40" t="s">
        <v>34</v>
      </c>
      <c r="E164" s="41">
        <v>64</v>
      </c>
      <c r="F164" s="41">
        <v>9651.0199999999986</v>
      </c>
      <c r="G164" s="41">
        <v>7151.2800000000034</v>
      </c>
      <c r="H164" s="41">
        <v>26763.51</v>
      </c>
      <c r="I164" s="41">
        <v>43565.81</v>
      </c>
    </row>
    <row r="165" spans="2:9" ht="16" x14ac:dyDescent="0.2">
      <c r="B165" s="39">
        <v>202012</v>
      </c>
      <c r="C165" s="40" t="s">
        <v>52</v>
      </c>
      <c r="D165" s="40" t="s">
        <v>75</v>
      </c>
      <c r="E165" s="41">
        <v>1033</v>
      </c>
      <c r="F165" s="41">
        <v>95354.980000000025</v>
      </c>
      <c r="G165" s="41">
        <v>47895.330000000038</v>
      </c>
      <c r="H165" s="41">
        <v>260365.60000000006</v>
      </c>
      <c r="I165" s="41">
        <v>403615.91000000021</v>
      </c>
    </row>
    <row r="166" spans="2:9" ht="16" x14ac:dyDescent="0.2">
      <c r="B166" s="39">
        <v>202012</v>
      </c>
      <c r="C166" s="40" t="s">
        <v>53</v>
      </c>
      <c r="D166" s="40" t="s">
        <v>34</v>
      </c>
      <c r="E166" s="41">
        <v>121</v>
      </c>
      <c r="F166" s="41">
        <v>37834.970000000023</v>
      </c>
      <c r="G166" s="41">
        <v>15618.369999999995</v>
      </c>
      <c r="H166" s="41">
        <v>71959.740000000005</v>
      </c>
      <c r="I166" s="41">
        <v>125413.07999999994</v>
      </c>
    </row>
    <row r="167" spans="2:9" ht="16" x14ac:dyDescent="0.2">
      <c r="B167" s="39">
        <v>202012</v>
      </c>
      <c r="C167" s="40" t="s">
        <v>53</v>
      </c>
      <c r="D167" s="40" t="s">
        <v>75</v>
      </c>
      <c r="E167" s="41">
        <v>1350</v>
      </c>
      <c r="F167" s="41">
        <v>125793.26000000004</v>
      </c>
      <c r="G167" s="41">
        <v>53507.560000000027</v>
      </c>
      <c r="H167" s="41">
        <v>245838.37000000032</v>
      </c>
      <c r="I167" s="41">
        <v>425139.19000000018</v>
      </c>
    </row>
    <row r="168" spans="2:9" ht="16" x14ac:dyDescent="0.2">
      <c r="B168" s="39">
        <v>202012</v>
      </c>
      <c r="C168" s="40" t="s">
        <v>54</v>
      </c>
      <c r="D168" s="40" t="s">
        <v>34</v>
      </c>
      <c r="E168" s="41">
        <v>14</v>
      </c>
      <c r="F168" s="41">
        <v>7759.1799999999994</v>
      </c>
      <c r="G168" s="41">
        <v>1212.2200000000003</v>
      </c>
      <c r="H168" s="41">
        <v>3974.02</v>
      </c>
      <c r="I168" s="41">
        <v>12945.42</v>
      </c>
    </row>
    <row r="169" spans="2:9" ht="16" x14ac:dyDescent="0.2">
      <c r="B169" s="39">
        <v>202012</v>
      </c>
      <c r="C169" s="40" t="s">
        <v>54</v>
      </c>
      <c r="D169" s="40" t="s">
        <v>75</v>
      </c>
      <c r="E169" s="41">
        <v>205</v>
      </c>
      <c r="F169" s="41">
        <v>23587.050000000003</v>
      </c>
      <c r="G169" s="41">
        <v>8536.5700000000033</v>
      </c>
      <c r="H169" s="41">
        <v>55241.630000000019</v>
      </c>
      <c r="I169" s="41">
        <v>87365.249999999971</v>
      </c>
    </row>
    <row r="170" spans="2:9" ht="16" x14ac:dyDescent="0.2">
      <c r="B170" s="39">
        <v>202012</v>
      </c>
      <c r="C170" s="40" t="s">
        <v>55</v>
      </c>
      <c r="D170" s="40" t="s">
        <v>34</v>
      </c>
      <c r="E170" s="41">
        <v>109</v>
      </c>
      <c r="F170" s="41">
        <v>48434.05999999999</v>
      </c>
      <c r="G170" s="41">
        <v>14093.740000000005</v>
      </c>
      <c r="H170" s="41">
        <v>44439.97</v>
      </c>
      <c r="I170" s="41">
        <v>106967.76999999996</v>
      </c>
    </row>
    <row r="171" spans="2:9" ht="16" x14ac:dyDescent="0.2">
      <c r="B171" s="39">
        <v>202012</v>
      </c>
      <c r="C171" s="40" t="s">
        <v>55</v>
      </c>
      <c r="D171" s="40" t="s">
        <v>75</v>
      </c>
      <c r="E171" s="41">
        <v>1028</v>
      </c>
      <c r="F171" s="41">
        <v>133931.91999999987</v>
      </c>
      <c r="G171" s="41">
        <v>43514.409999999996</v>
      </c>
      <c r="H171" s="41">
        <v>197814.63999999996</v>
      </c>
      <c r="I171" s="41">
        <v>375260.97000000044</v>
      </c>
    </row>
    <row r="172" spans="2:9" ht="16" x14ac:dyDescent="0.2">
      <c r="B172" s="39">
        <v>202012</v>
      </c>
      <c r="C172" s="40" t="s">
        <v>56</v>
      </c>
      <c r="D172" s="40" t="s">
        <v>34</v>
      </c>
      <c r="E172" s="41">
        <v>80</v>
      </c>
      <c r="F172" s="41">
        <v>12038.720000000001</v>
      </c>
      <c r="G172" s="41">
        <v>6995.3099999999986</v>
      </c>
      <c r="H172" s="41">
        <v>11957.06</v>
      </c>
      <c r="I172" s="41">
        <v>30991.089999999993</v>
      </c>
    </row>
    <row r="173" spans="2:9" ht="16" x14ac:dyDescent="0.2">
      <c r="B173" s="39">
        <v>202012</v>
      </c>
      <c r="C173" s="40" t="s">
        <v>56</v>
      </c>
      <c r="D173" s="40" t="s">
        <v>75</v>
      </c>
      <c r="E173" s="41">
        <v>875</v>
      </c>
      <c r="F173" s="41">
        <v>81826.11000000003</v>
      </c>
      <c r="G173" s="41">
        <v>59348.619999999915</v>
      </c>
      <c r="H173" s="41">
        <v>305584.55999999994</v>
      </c>
      <c r="I173" s="41">
        <v>446759.28999999975</v>
      </c>
    </row>
    <row r="174" spans="2:9" ht="16" x14ac:dyDescent="0.2">
      <c r="B174" s="39">
        <v>202012</v>
      </c>
      <c r="C174" s="40" t="s">
        <v>57</v>
      </c>
      <c r="D174" s="40" t="s">
        <v>34</v>
      </c>
      <c r="E174" s="41">
        <v>1</v>
      </c>
      <c r="F174" s="41">
        <v>111.91</v>
      </c>
      <c r="G174" s="41">
        <v>35.39</v>
      </c>
      <c r="H174" s="41">
        <v>263.3</v>
      </c>
      <c r="I174" s="41">
        <v>410.6</v>
      </c>
    </row>
    <row r="175" spans="2:9" ht="16" x14ac:dyDescent="0.2">
      <c r="B175" s="39">
        <v>202012</v>
      </c>
      <c r="C175" s="40" t="s">
        <v>57</v>
      </c>
      <c r="D175" s="40" t="s">
        <v>75</v>
      </c>
      <c r="E175" s="41">
        <v>62</v>
      </c>
      <c r="F175" s="41">
        <v>7980.7699999999977</v>
      </c>
      <c r="G175" s="41">
        <v>3543.1599999999985</v>
      </c>
      <c r="H175" s="41">
        <v>30681.019999999997</v>
      </c>
      <c r="I175" s="41">
        <v>42204.950000000004</v>
      </c>
    </row>
    <row r="176" spans="2:9" ht="16" x14ac:dyDescent="0.2">
      <c r="B176" s="39">
        <v>202012</v>
      </c>
      <c r="C176" s="40" t="s">
        <v>58</v>
      </c>
      <c r="D176" s="40" t="s">
        <v>34</v>
      </c>
      <c r="E176" s="41">
        <v>56</v>
      </c>
      <c r="F176" s="41">
        <v>6822.8499999999985</v>
      </c>
      <c r="G176" s="41">
        <v>2841.2800000000007</v>
      </c>
      <c r="H176" s="41">
        <v>16527.740000000002</v>
      </c>
      <c r="I176" s="41">
        <v>26191.870000000003</v>
      </c>
    </row>
    <row r="177" spans="2:9" ht="16" x14ac:dyDescent="0.2">
      <c r="B177" s="39">
        <v>202012</v>
      </c>
      <c r="C177" s="40" t="s">
        <v>58</v>
      </c>
      <c r="D177" s="40" t="s">
        <v>75</v>
      </c>
      <c r="E177" s="41">
        <v>506</v>
      </c>
      <c r="F177" s="41">
        <v>63408.520000000055</v>
      </c>
      <c r="G177" s="41">
        <v>20729.589999999997</v>
      </c>
      <c r="H177" s="41">
        <v>98167.510000000009</v>
      </c>
      <c r="I177" s="41">
        <v>182305.62000000014</v>
      </c>
    </row>
    <row r="178" spans="2:9" ht="16" x14ac:dyDescent="0.2">
      <c r="B178" s="39">
        <v>202012</v>
      </c>
      <c r="C178" s="40" t="s">
        <v>60</v>
      </c>
      <c r="D178" s="40" t="s">
        <v>34</v>
      </c>
      <c r="E178" s="41">
        <v>17</v>
      </c>
      <c r="F178" s="41">
        <v>11461.429999999998</v>
      </c>
      <c r="G178" s="41">
        <v>910.01999999999987</v>
      </c>
      <c r="H178" s="41">
        <v>2770.6400000000003</v>
      </c>
      <c r="I178" s="41">
        <v>15142.09</v>
      </c>
    </row>
    <row r="179" spans="2:9" ht="16" x14ac:dyDescent="0.2">
      <c r="B179" s="39">
        <v>202012</v>
      </c>
      <c r="C179" s="40" t="s">
        <v>60</v>
      </c>
      <c r="D179" s="40" t="s">
        <v>75</v>
      </c>
      <c r="E179" s="41">
        <v>180</v>
      </c>
      <c r="F179" s="41">
        <v>21527.840000000004</v>
      </c>
      <c r="G179" s="41">
        <v>7972.4099999999971</v>
      </c>
      <c r="H179" s="41">
        <v>27515.649999999998</v>
      </c>
      <c r="I179" s="41">
        <v>57015.9</v>
      </c>
    </row>
    <row r="180" spans="2:9" ht="16" x14ac:dyDescent="0.2">
      <c r="B180" s="39">
        <v>202012</v>
      </c>
      <c r="C180" s="40" t="s">
        <v>61</v>
      </c>
      <c r="D180" s="40" t="s">
        <v>34</v>
      </c>
      <c r="E180" s="41">
        <v>6</v>
      </c>
      <c r="F180" s="41">
        <v>1746.49</v>
      </c>
      <c r="G180" s="41">
        <v>288.76000000000005</v>
      </c>
      <c r="H180" s="41">
        <v>609.23</v>
      </c>
      <c r="I180" s="41">
        <v>2644.48</v>
      </c>
    </row>
    <row r="181" spans="2:9" ht="16" x14ac:dyDescent="0.2">
      <c r="B181" s="39">
        <v>202012</v>
      </c>
      <c r="C181" s="40" t="s">
        <v>61</v>
      </c>
      <c r="D181" s="40" t="s">
        <v>75</v>
      </c>
      <c r="E181" s="41">
        <v>400</v>
      </c>
      <c r="F181" s="41">
        <v>25655.420000000006</v>
      </c>
      <c r="G181" s="41">
        <v>14041.980000000007</v>
      </c>
      <c r="H181" s="41">
        <v>55911.539999999972</v>
      </c>
      <c r="I181" s="41">
        <v>95608.940000000017</v>
      </c>
    </row>
    <row r="182" spans="2:9" ht="16" x14ac:dyDescent="0.2">
      <c r="B182" s="39">
        <v>202012</v>
      </c>
      <c r="C182" s="40" t="s">
        <v>62</v>
      </c>
      <c r="D182" s="40" t="s">
        <v>34</v>
      </c>
      <c r="E182" s="41">
        <v>51</v>
      </c>
      <c r="F182" s="41">
        <v>16671.689999999991</v>
      </c>
      <c r="G182" s="41">
        <v>1414.25</v>
      </c>
      <c r="H182" s="41">
        <v>5939.69</v>
      </c>
      <c r="I182" s="41">
        <v>24025.629999999994</v>
      </c>
    </row>
    <row r="183" spans="2:9" ht="16" x14ac:dyDescent="0.2">
      <c r="B183" s="39">
        <v>202012</v>
      </c>
      <c r="C183" s="40" t="s">
        <v>62</v>
      </c>
      <c r="D183" s="40" t="s">
        <v>75</v>
      </c>
      <c r="E183" s="41">
        <v>302</v>
      </c>
      <c r="F183" s="41">
        <v>38371.090000000018</v>
      </c>
      <c r="G183" s="41">
        <v>10789.93</v>
      </c>
      <c r="H183" s="41">
        <v>60712.679999999978</v>
      </c>
      <c r="I183" s="41">
        <v>109873.70000000006</v>
      </c>
    </row>
    <row r="184" spans="2:9" ht="16" x14ac:dyDescent="0.2">
      <c r="B184" s="39">
        <v>202012</v>
      </c>
      <c r="C184" s="40" t="s">
        <v>63</v>
      </c>
      <c r="D184" s="40" t="s">
        <v>34</v>
      </c>
      <c r="E184" s="41">
        <v>2</v>
      </c>
      <c r="F184" s="41">
        <v>393.37</v>
      </c>
      <c r="G184" s="41">
        <v>263.61</v>
      </c>
      <c r="H184" s="41">
        <v>1067.04</v>
      </c>
      <c r="I184" s="41">
        <v>1724.02</v>
      </c>
    </row>
    <row r="185" spans="2:9" ht="16" x14ac:dyDescent="0.2">
      <c r="B185" s="39">
        <v>202012</v>
      </c>
      <c r="C185" s="40" t="s">
        <v>63</v>
      </c>
      <c r="D185" s="40" t="s">
        <v>75</v>
      </c>
      <c r="E185" s="41">
        <v>14</v>
      </c>
      <c r="F185" s="41">
        <v>1509.1099999999997</v>
      </c>
      <c r="G185" s="41">
        <v>558.51</v>
      </c>
      <c r="H185" s="41">
        <v>1242.3699999999999</v>
      </c>
      <c r="I185" s="41">
        <v>3309.9899999999993</v>
      </c>
    </row>
    <row r="186" spans="2:9" ht="16" x14ac:dyDescent="0.2">
      <c r="B186" s="39">
        <v>202012</v>
      </c>
      <c r="C186" s="40" t="s">
        <v>64</v>
      </c>
      <c r="D186" s="40" t="s">
        <v>34</v>
      </c>
      <c r="E186" s="41">
        <v>13</v>
      </c>
      <c r="F186" s="41">
        <v>3410.4900000000002</v>
      </c>
      <c r="G186" s="41">
        <v>2963.04</v>
      </c>
      <c r="H186" s="41">
        <v>4558.01</v>
      </c>
      <c r="I186" s="41">
        <v>10931.539999999999</v>
      </c>
    </row>
    <row r="187" spans="2:9" ht="16" x14ac:dyDescent="0.2">
      <c r="B187" s="39">
        <v>202012</v>
      </c>
      <c r="C187" s="40" t="s">
        <v>64</v>
      </c>
      <c r="D187" s="40" t="s">
        <v>75</v>
      </c>
      <c r="E187" s="41">
        <v>101</v>
      </c>
      <c r="F187" s="41">
        <v>11216.61</v>
      </c>
      <c r="G187" s="41">
        <v>5459.2199999999993</v>
      </c>
      <c r="H187" s="41">
        <v>33311.049999999996</v>
      </c>
      <c r="I187" s="41">
        <v>49986.87999999999</v>
      </c>
    </row>
    <row r="188" spans="2:9" ht="16" x14ac:dyDescent="0.2">
      <c r="B188" s="39">
        <v>202012</v>
      </c>
      <c r="C188" s="40" t="s">
        <v>65</v>
      </c>
      <c r="D188" s="40" t="s">
        <v>34</v>
      </c>
      <c r="E188" s="41">
        <v>4</v>
      </c>
      <c r="F188" s="41">
        <v>794.07</v>
      </c>
      <c r="G188" s="41">
        <v>267.56</v>
      </c>
      <c r="H188" s="41">
        <v>84.26</v>
      </c>
      <c r="I188" s="41">
        <v>1145.8899999999999</v>
      </c>
    </row>
    <row r="189" spans="2:9" ht="16" x14ac:dyDescent="0.2">
      <c r="B189" s="39">
        <v>202012</v>
      </c>
      <c r="C189" s="40" t="s">
        <v>65</v>
      </c>
      <c r="D189" s="40" t="s">
        <v>75</v>
      </c>
      <c r="E189" s="41">
        <v>35</v>
      </c>
      <c r="F189" s="41">
        <v>3967.2</v>
      </c>
      <c r="G189" s="41">
        <v>1573.2599999999995</v>
      </c>
      <c r="H189" s="41">
        <v>7906.9399999999987</v>
      </c>
      <c r="I189" s="41">
        <v>13447.400000000001</v>
      </c>
    </row>
    <row r="190" spans="2:9" ht="16" x14ac:dyDescent="0.2">
      <c r="B190" s="39">
        <v>202012</v>
      </c>
      <c r="C190" s="40" t="s">
        <v>66</v>
      </c>
      <c r="D190" s="40" t="s">
        <v>75</v>
      </c>
      <c r="E190" s="41">
        <v>11</v>
      </c>
      <c r="F190" s="41">
        <v>1837.4399999999996</v>
      </c>
      <c r="G190" s="41">
        <v>291.27999999999997</v>
      </c>
      <c r="H190" s="41">
        <v>1597.54</v>
      </c>
      <c r="I190" s="41">
        <v>3726.26</v>
      </c>
    </row>
    <row r="191" spans="2:9" ht="16" x14ac:dyDescent="0.2">
      <c r="B191" s="39">
        <v>202012</v>
      </c>
      <c r="C191" s="40" t="s">
        <v>67</v>
      </c>
      <c r="D191" s="40" t="s">
        <v>34</v>
      </c>
      <c r="E191" s="41">
        <v>13</v>
      </c>
      <c r="F191" s="41">
        <v>3215.15</v>
      </c>
      <c r="G191" s="41">
        <v>1256.6399999999999</v>
      </c>
      <c r="H191" s="41">
        <v>3955.3799999999997</v>
      </c>
      <c r="I191" s="41">
        <v>8427.17</v>
      </c>
    </row>
    <row r="192" spans="2:9" ht="16" x14ac:dyDescent="0.2">
      <c r="B192" s="39">
        <v>202012</v>
      </c>
      <c r="C192" s="40" t="s">
        <v>67</v>
      </c>
      <c r="D192" s="40" t="s">
        <v>75</v>
      </c>
      <c r="E192" s="41">
        <v>86</v>
      </c>
      <c r="F192" s="41">
        <v>13160.009999999998</v>
      </c>
      <c r="G192" s="41">
        <v>3927.1000000000008</v>
      </c>
      <c r="H192" s="41">
        <v>12584.140000000001</v>
      </c>
      <c r="I192" s="41">
        <v>29671.250000000004</v>
      </c>
    </row>
    <row r="193" spans="2:9" ht="16" x14ac:dyDescent="0.2">
      <c r="B193" s="39">
        <v>202012</v>
      </c>
      <c r="C193" s="40" t="s">
        <v>68</v>
      </c>
      <c r="D193" s="40" t="s">
        <v>34</v>
      </c>
      <c r="E193" s="41">
        <v>10</v>
      </c>
      <c r="F193" s="41">
        <v>1213.21</v>
      </c>
      <c r="G193" s="41">
        <v>599.35</v>
      </c>
      <c r="H193" s="41">
        <v>4681.53</v>
      </c>
      <c r="I193" s="41">
        <v>6494.09</v>
      </c>
    </row>
    <row r="194" spans="2:9" ht="16" x14ac:dyDescent="0.2">
      <c r="B194" s="39">
        <v>202012</v>
      </c>
      <c r="C194" s="40" t="s">
        <v>68</v>
      </c>
      <c r="D194" s="40" t="s">
        <v>75</v>
      </c>
      <c r="E194" s="41">
        <v>90</v>
      </c>
      <c r="F194" s="41">
        <v>10325.189999999997</v>
      </c>
      <c r="G194" s="41">
        <v>3473.0299999999993</v>
      </c>
      <c r="H194" s="41">
        <v>22147.040000000001</v>
      </c>
      <c r="I194" s="41">
        <v>35945.260000000009</v>
      </c>
    </row>
    <row r="195" spans="2:9" ht="16" x14ac:dyDescent="0.2">
      <c r="B195" s="39">
        <v>202012</v>
      </c>
      <c r="C195" s="40" t="s">
        <v>69</v>
      </c>
      <c r="D195" s="40" t="s">
        <v>34</v>
      </c>
      <c r="E195" s="41">
        <v>225</v>
      </c>
      <c r="F195" s="41">
        <v>121889.2499999999</v>
      </c>
      <c r="G195" s="41">
        <v>15044.86</v>
      </c>
      <c r="H195" s="41">
        <v>49985.420000000006</v>
      </c>
      <c r="I195" s="41">
        <v>186919.52999999991</v>
      </c>
    </row>
    <row r="196" spans="2:9" ht="16" x14ac:dyDescent="0.2">
      <c r="B196" s="39">
        <v>202012</v>
      </c>
      <c r="C196" s="40" t="s">
        <v>69</v>
      </c>
      <c r="D196" s="40" t="s">
        <v>75</v>
      </c>
      <c r="E196" s="41">
        <v>2867</v>
      </c>
      <c r="F196" s="41">
        <v>225860.34999999963</v>
      </c>
      <c r="G196" s="41">
        <v>112324.15000000024</v>
      </c>
      <c r="H196" s="41">
        <v>377056.67000000092</v>
      </c>
      <c r="I196" s="41">
        <v>715241.1699999983</v>
      </c>
    </row>
    <row r="197" spans="2:9" ht="16" x14ac:dyDescent="0.2">
      <c r="B197" s="39">
        <v>202012</v>
      </c>
      <c r="C197" s="40" t="s">
        <v>70</v>
      </c>
      <c r="D197" s="40" t="s">
        <v>34</v>
      </c>
      <c r="E197" s="41">
        <v>3</v>
      </c>
      <c r="F197" s="41">
        <v>375.69</v>
      </c>
      <c r="G197" s="41">
        <v>43.65</v>
      </c>
      <c r="H197" s="41">
        <v>181.62</v>
      </c>
      <c r="I197" s="41">
        <v>600.96</v>
      </c>
    </row>
    <row r="198" spans="2:9" ht="16" x14ac:dyDescent="0.2">
      <c r="B198" s="39">
        <v>202012</v>
      </c>
      <c r="C198" s="40" t="s">
        <v>70</v>
      </c>
      <c r="D198" s="40" t="s">
        <v>75</v>
      </c>
      <c r="E198" s="41">
        <v>19</v>
      </c>
      <c r="F198" s="41">
        <v>2850.9300000000003</v>
      </c>
      <c r="G198" s="41">
        <v>529.46</v>
      </c>
      <c r="H198" s="41">
        <v>1975.12</v>
      </c>
      <c r="I198" s="41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2023-10-31T07:00:00+00:00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2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0EE32-9742-4BE2-B198-2CB18080874E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34EDD3F-1A4A-4157-8583-F0A6C803B90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A023B8D-E737-4C59-9F2B-73858F355D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595EBB9-0AC1-4BFD-A0C5-69B8D19E99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2023_Q3</vt:lpstr>
      <vt:lpstr>2. Disconnections 2023_Q3</vt:lpstr>
      <vt:lpstr>3. Fees 2023_Q3</vt:lpstr>
      <vt:lpstr>4. Payment Arrangements 2023_Q3</vt:lpstr>
      <vt:lpstr>5. Medical Certificates 2023_Q3</vt:lpstr>
      <vt:lpstr>6. Deposits 2023_Q3</vt:lpstr>
      <vt:lpstr>DEP_WKSHT</vt:lpstr>
      <vt:lpstr>7. Bill Assistance 2023_Q3</vt:lpstr>
      <vt:lpstr>BA_WRKSHT</vt:lpstr>
      <vt:lpstr>8.ARREARS NEW 2023_Q3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2024-07-19T19:23:08Z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