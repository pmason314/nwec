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3 Data/PSE/"/>
    </mc:Choice>
  </mc:AlternateContent>
  <xr:revisionPtr revIDLastSave="0" documentId="13_ncr:1_{A1C9EED9-B824-CF46-B984-AEAEB5FB9EEC}" xr6:coauthVersionLast="47" xr6:coauthVersionMax="47" xr10:uidLastSave="{00000000-0000-0000-0000-000000000000}"/>
  <bookViews>
    <workbookView xWindow="28800" yWindow="480" windowWidth="38400" windowHeight="21120" tabRatio="859" activeTab="1" xr2:uid="{00000000-000D-0000-FFFF-FFFF00000000}"/>
  </bookViews>
  <sheets>
    <sheet name="1. General 2023" sheetId="7" r:id="rId1"/>
    <sheet name="2. Disconnections 2023" sheetId="6" r:id="rId2"/>
    <sheet name="3. Fees 2023" sheetId="5" r:id="rId3"/>
    <sheet name="4. Payment Arrangements 2023" sheetId="1" r:id="rId4"/>
    <sheet name="5. Medical Certificates 2023" sheetId="3" r:id="rId5"/>
    <sheet name="6. Deposits 2023" sheetId="8" r:id="rId6"/>
    <sheet name="7. Bill Assistance 2023" sheetId="4" r:id="rId7"/>
    <sheet name="8. Past Due Balances 2023" sheetId="9" r:id="rId8"/>
  </sheets>
  <definedNames>
    <definedName name="_xlnm._FilterDatabase" localSheetId="3" hidden="1">'4. Payment Arrangements 2023'!$S$10:$W$315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42" i="6" l="1"/>
  <c r="V480" i="9"/>
  <c r="W257" i="9"/>
  <c r="W258" i="9"/>
  <c r="W259" i="9"/>
  <c r="W260" i="9"/>
  <c r="W261" i="9"/>
  <c r="AM70" i="9"/>
  <c r="AM18" i="9"/>
  <c r="AN26" i="9" s="1"/>
  <c r="AM19" i="9"/>
  <c r="AM20" i="9"/>
  <c r="AM21" i="9"/>
  <c r="AM22" i="9"/>
  <c r="AM23" i="9"/>
  <c r="AM24" i="9"/>
  <c r="AM25" i="9"/>
  <c r="AM26" i="9"/>
  <c r="AM27" i="9"/>
  <c r="AM28" i="9"/>
  <c r="AM29" i="9"/>
  <c r="AM30" i="9"/>
  <c r="AM31" i="9"/>
  <c r="AM32" i="9"/>
  <c r="AM33" i="9"/>
  <c r="AM34" i="9"/>
  <c r="AM35" i="9"/>
  <c r="AM36" i="9"/>
  <c r="AM37" i="9"/>
  <c r="AM38" i="9"/>
  <c r="AM39"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143" i="9"/>
  <c r="AM144" i="9"/>
  <c r="AM145" i="9"/>
  <c r="AM146" i="9"/>
  <c r="AM147" i="9"/>
  <c r="AM148" i="9"/>
  <c r="AM149" i="9"/>
  <c r="AM150" i="9"/>
  <c r="AM151" i="9"/>
  <c r="AM152" i="9"/>
  <c r="AM153" i="9"/>
  <c r="AM154" i="9"/>
  <c r="AM155" i="9"/>
  <c r="AM156" i="9"/>
  <c r="AM157" i="9"/>
  <c r="AM158" i="9"/>
  <c r="AM159" i="9"/>
  <c r="AM160" i="9"/>
  <c r="AM161" i="9"/>
  <c r="AM162" i="9"/>
  <c r="AM163" i="9"/>
  <c r="AM164" i="9"/>
  <c r="AM165" i="9"/>
  <c r="AM166" i="9"/>
  <c r="AM167" i="9"/>
  <c r="AM168" i="9"/>
  <c r="AM169" i="9"/>
  <c r="AM170" i="9"/>
  <c r="AM171" i="9"/>
  <c r="AM172" i="9"/>
  <c r="AM173" i="9"/>
  <c r="AM174" i="9"/>
  <c r="AM175" i="9"/>
  <c r="AM176" i="9"/>
  <c r="AM177" i="9"/>
  <c r="AM178" i="9"/>
  <c r="AM179" i="9"/>
  <c r="AM180" i="9"/>
  <c r="AM181" i="9"/>
  <c r="AM182" i="9"/>
  <c r="AM183" i="9"/>
  <c r="AM184" i="9"/>
  <c r="AM185" i="9"/>
  <c r="AM186" i="9"/>
  <c r="AM187" i="9"/>
  <c r="AM188" i="9"/>
  <c r="AM189" i="9"/>
  <c r="AM190" i="9"/>
  <c r="AM191" i="9"/>
  <c r="AM192" i="9"/>
  <c r="AM193" i="9"/>
  <c r="AM194" i="9"/>
  <c r="AM195" i="9"/>
  <c r="AM196" i="9"/>
  <c r="AM197" i="9"/>
  <c r="AM198" i="9"/>
  <c r="AM199" i="9"/>
  <c r="AM200" i="9"/>
  <c r="AM201" i="9"/>
  <c r="AM202" i="9"/>
  <c r="AM203" i="9"/>
  <c r="AM204" i="9"/>
  <c r="AM205" i="9"/>
  <c r="AM206" i="9"/>
  <c r="AM207" i="9"/>
  <c r="AM208" i="9"/>
  <c r="AM209" i="9"/>
  <c r="AM210" i="9"/>
  <c r="AM211" i="9"/>
  <c r="AM212" i="9"/>
  <c r="AM213" i="9"/>
  <c r="AM214" i="9"/>
  <c r="AM215" i="9"/>
  <c r="AM216" i="9"/>
  <c r="AM217" i="9"/>
  <c r="AM218" i="9"/>
  <c r="AM219" i="9"/>
  <c r="AM220" i="9"/>
  <c r="AM221" i="9"/>
  <c r="AM222" i="9"/>
  <c r="AM223" i="9"/>
  <c r="AM224" i="9"/>
  <c r="AM225" i="9"/>
  <c r="AM226" i="9"/>
  <c r="AM227" i="9"/>
  <c r="AM228" i="9"/>
  <c r="AM229" i="9"/>
  <c r="AM230" i="9"/>
  <c r="AM231" i="9"/>
  <c r="AM232" i="9"/>
  <c r="AM233" i="9"/>
  <c r="AM234" i="9"/>
  <c r="AM235" i="9"/>
  <c r="AM236" i="9"/>
  <c r="AM237" i="9"/>
  <c r="AM238" i="9"/>
  <c r="AM239" i="9"/>
  <c r="AM17" i="9"/>
  <c r="AN22" i="9" s="1"/>
  <c r="V253" i="9"/>
  <c r="V254" i="9"/>
  <c r="V255" i="9"/>
  <c r="V256" i="9"/>
  <c r="V257" i="9"/>
  <c r="V258" i="9"/>
  <c r="V259" i="9"/>
  <c r="V260" i="9"/>
  <c r="V261" i="9"/>
  <c r="V262" i="9"/>
  <c r="V263" i="9"/>
  <c r="V264" i="9"/>
  <c r="V265" i="9"/>
  <c r="V266" i="9"/>
  <c r="V267" i="9"/>
  <c r="V268" i="9"/>
  <c r="V269" i="9"/>
  <c r="V270" i="9"/>
  <c r="V271" i="9"/>
  <c r="V272" i="9"/>
  <c r="V273" i="9"/>
  <c r="V274" i="9"/>
  <c r="V275" i="9"/>
  <c r="V276" i="9"/>
  <c r="V277" i="9"/>
  <c r="V278" i="9"/>
  <c r="V279" i="9"/>
  <c r="V280" i="9"/>
  <c r="V281" i="9"/>
  <c r="V282" i="9"/>
  <c r="V283" i="9"/>
  <c r="V284" i="9"/>
  <c r="V285" i="9"/>
  <c r="V286" i="9"/>
  <c r="V287" i="9"/>
  <c r="V288" i="9"/>
  <c r="V289" i="9"/>
  <c r="V290" i="9"/>
  <c r="V291" i="9"/>
  <c r="V292" i="9"/>
  <c r="V293" i="9"/>
  <c r="V294" i="9"/>
  <c r="V295" i="9"/>
  <c r="V296" i="9"/>
  <c r="V297" i="9"/>
  <c r="V298" i="9"/>
  <c r="V299" i="9"/>
  <c r="V300" i="9"/>
  <c r="V301" i="9"/>
  <c r="V302" i="9"/>
  <c r="V303" i="9"/>
  <c r="V304" i="9"/>
  <c r="V305" i="9"/>
  <c r="V306" i="9"/>
  <c r="V307" i="9"/>
  <c r="V308" i="9"/>
  <c r="V309" i="9"/>
  <c r="V310" i="9"/>
  <c r="V311" i="9"/>
  <c r="V312" i="9"/>
  <c r="V313" i="9"/>
  <c r="V314" i="9"/>
  <c r="V315" i="9"/>
  <c r="V316" i="9"/>
  <c r="V317" i="9"/>
  <c r="V318" i="9"/>
  <c r="V319" i="9"/>
  <c r="V320" i="9"/>
  <c r="V321" i="9"/>
  <c r="V322" i="9"/>
  <c r="V323" i="9"/>
  <c r="V324" i="9"/>
  <c r="V325" i="9"/>
  <c r="V326" i="9"/>
  <c r="V327" i="9"/>
  <c r="V328" i="9"/>
  <c r="V329" i="9"/>
  <c r="V330" i="9"/>
  <c r="V331" i="9"/>
  <c r="V332" i="9"/>
  <c r="V333" i="9"/>
  <c r="V334" i="9"/>
  <c r="V335" i="9"/>
  <c r="V336" i="9"/>
  <c r="V337" i="9"/>
  <c r="V338" i="9"/>
  <c r="V339" i="9"/>
  <c r="V340" i="9"/>
  <c r="V341" i="9"/>
  <c r="V342" i="9"/>
  <c r="V343" i="9"/>
  <c r="V344" i="9"/>
  <c r="V345" i="9"/>
  <c r="V346" i="9"/>
  <c r="V347" i="9"/>
  <c r="V348" i="9"/>
  <c r="V349" i="9"/>
  <c r="V350" i="9"/>
  <c r="V351" i="9"/>
  <c r="V352" i="9"/>
  <c r="V353" i="9"/>
  <c r="V354" i="9"/>
  <c r="V355" i="9"/>
  <c r="V356" i="9"/>
  <c r="V357" i="9"/>
  <c r="V358" i="9"/>
  <c r="V359" i="9"/>
  <c r="V360" i="9"/>
  <c r="V361" i="9"/>
  <c r="V362" i="9"/>
  <c r="V363" i="9"/>
  <c r="V364" i="9"/>
  <c r="V365" i="9"/>
  <c r="V366" i="9"/>
  <c r="V367" i="9"/>
  <c r="V368" i="9"/>
  <c r="V369" i="9"/>
  <c r="V370" i="9"/>
  <c r="V371" i="9"/>
  <c r="V372" i="9"/>
  <c r="V373" i="9"/>
  <c r="V374" i="9"/>
  <c r="V375" i="9"/>
  <c r="V376" i="9"/>
  <c r="V377" i="9"/>
  <c r="V378" i="9"/>
  <c r="V379" i="9"/>
  <c r="V380" i="9"/>
  <c r="V381" i="9"/>
  <c r="V382" i="9"/>
  <c r="V383" i="9"/>
  <c r="V384" i="9"/>
  <c r="V385" i="9"/>
  <c r="V386" i="9"/>
  <c r="V387" i="9"/>
  <c r="V388" i="9"/>
  <c r="V389" i="9"/>
  <c r="V390" i="9"/>
  <c r="V391" i="9"/>
  <c r="V392" i="9"/>
  <c r="V393" i="9"/>
  <c r="V394" i="9"/>
  <c r="V395" i="9"/>
  <c r="V396" i="9"/>
  <c r="V397" i="9"/>
  <c r="V398" i="9"/>
  <c r="V399" i="9"/>
  <c r="V400" i="9"/>
  <c r="V401" i="9"/>
  <c r="V402" i="9"/>
  <c r="V403" i="9"/>
  <c r="V404" i="9"/>
  <c r="V405" i="9"/>
  <c r="V406" i="9"/>
  <c r="V407" i="9"/>
  <c r="V408" i="9"/>
  <c r="V409" i="9"/>
  <c r="V410" i="9"/>
  <c r="V411" i="9"/>
  <c r="V412" i="9"/>
  <c r="V413" i="9"/>
  <c r="V414" i="9"/>
  <c r="V415" i="9"/>
  <c r="V416" i="9"/>
  <c r="V417" i="9"/>
  <c r="V418" i="9"/>
  <c r="V419" i="9"/>
  <c r="V420" i="9"/>
  <c r="V421" i="9"/>
  <c r="V422" i="9"/>
  <c r="V423" i="9"/>
  <c r="V424" i="9"/>
  <c r="V425" i="9"/>
  <c r="V426" i="9"/>
  <c r="V427" i="9"/>
  <c r="V428" i="9"/>
  <c r="V429" i="9"/>
  <c r="V430" i="9"/>
  <c r="V431" i="9"/>
  <c r="V432" i="9"/>
  <c r="V433" i="9"/>
  <c r="V434" i="9"/>
  <c r="V435" i="9"/>
  <c r="V436" i="9"/>
  <c r="V437" i="9"/>
  <c r="V438" i="9"/>
  <c r="V439" i="9"/>
  <c r="V440" i="9"/>
  <c r="V441" i="9"/>
  <c r="V442" i="9"/>
  <c r="V443" i="9"/>
  <c r="V444" i="9"/>
  <c r="V445" i="9"/>
  <c r="V446" i="9"/>
  <c r="V447" i="9"/>
  <c r="V448" i="9"/>
  <c r="V449" i="9"/>
  <c r="V450" i="9"/>
  <c r="V451" i="9"/>
  <c r="V452" i="9"/>
  <c r="V453" i="9"/>
  <c r="V454" i="9"/>
  <c r="V455" i="9"/>
  <c r="V456" i="9"/>
  <c r="V457" i="9"/>
  <c r="V458" i="9"/>
  <c r="V459" i="9"/>
  <c r="V460" i="9"/>
  <c r="V461" i="9"/>
  <c r="V462" i="9"/>
  <c r="V463" i="9"/>
  <c r="V464" i="9"/>
  <c r="V465" i="9"/>
  <c r="V466" i="9"/>
  <c r="V467" i="9"/>
  <c r="V468" i="9"/>
  <c r="V469" i="9"/>
  <c r="V470" i="9"/>
  <c r="V471" i="9"/>
  <c r="V472" i="9"/>
  <c r="V473" i="9"/>
  <c r="V474" i="9"/>
  <c r="V475" i="9"/>
  <c r="V476" i="9"/>
  <c r="V477" i="9"/>
  <c r="V478" i="9"/>
  <c r="V479" i="9"/>
  <c r="V252" i="9"/>
  <c r="AB240" i="9"/>
  <c r="AC240" i="9"/>
  <c r="AD240" i="9"/>
  <c r="AE240" i="9"/>
  <c r="AF240" i="9"/>
  <c r="AG240" i="9"/>
  <c r="AH240" i="9"/>
  <c r="AI240" i="9"/>
  <c r="AJ240" i="9"/>
  <c r="AK240" i="9"/>
  <c r="AN33" i="9" s="1"/>
  <c r="AL240" i="9"/>
  <c r="AA240" i="9"/>
  <c r="AM240" i="9" l="1"/>
  <c r="W252" i="9"/>
  <c r="AN21" i="9"/>
  <c r="AN25" i="9"/>
  <c r="AN19" i="9"/>
  <c r="AN24" i="9"/>
  <c r="AN20" i="9"/>
  <c r="W254" i="9"/>
  <c r="AN18" i="9"/>
  <c r="AN23" i="9"/>
  <c r="AN17" i="9"/>
  <c r="W253" i="9"/>
  <c r="W256" i="9"/>
  <c r="W255" i="9"/>
  <c r="V481" i="9"/>
  <c r="C398" i="1"/>
  <c r="BO189" i="9"/>
  <c r="BP189" i="9"/>
  <c r="BN189" i="9"/>
  <c r="BI395" i="9"/>
  <c r="BJ395" i="9"/>
  <c r="BH395" i="9"/>
  <c r="BC395" i="9"/>
  <c r="BD395" i="9"/>
  <c r="BB395" i="9"/>
  <c r="M481" i="9"/>
  <c r="K481" i="9"/>
  <c r="L481" i="9"/>
  <c r="N481" i="9"/>
  <c r="O481" i="9"/>
  <c r="P481" i="9"/>
  <c r="Q481" i="9"/>
  <c r="R481" i="9"/>
  <c r="S481" i="9"/>
  <c r="T481" i="9"/>
  <c r="W266" i="9" s="1"/>
  <c r="U481" i="9"/>
  <c r="J481" i="9"/>
  <c r="W268" i="9" l="1"/>
  <c r="AN35" i="9"/>
  <c r="W265" i="9"/>
  <c r="AN32" i="9"/>
  <c r="E224" i="4"/>
  <c r="D224" i="4"/>
  <c r="C224" i="4"/>
  <c r="D398" i="1"/>
  <c r="E398" i="1"/>
  <c r="P442" i="6"/>
  <c r="Q442" i="6"/>
  <c r="D238" i="6"/>
  <c r="E238" i="6"/>
  <c r="C238" i="6"/>
  <c r="E480" i="9" l="1"/>
  <c r="F480" i="9"/>
  <c r="D480" i="9"/>
  <c r="G675" i="7"/>
  <c r="I675" i="7"/>
  <c r="E675" i="7"/>
</calcChain>
</file>

<file path=xl/sharedStrings.xml><?xml version="1.0" encoding="utf-8"?>
<sst xmlns="http://schemas.openxmlformats.org/spreadsheetml/2006/main" count="9525" uniqueCount="365">
  <si>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</si>
  <si>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</si>
  <si>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</si>
  <si>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</si>
  <si>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</si>
  <si>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</si>
  <si>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</si>
  <si>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</si>
  <si>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</si>
  <si>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</si>
  <si>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</si>
  <si>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</si>
  <si>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</si>
  <si>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</si>
  <si>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</si>
  <si>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</si>
  <si>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</si>
  <si>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</si>
  <si>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</si>
  <si>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</si>
  <si>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</si>
  <si>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</si>
  <si>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</si>
  <si>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</si>
  <si>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</si>
  <si>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</si>
  <si>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</si>
  <si>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</si>
  <si>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</si>
  <si>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</si>
  <si>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</si>
  <si>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</si>
  <si>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</si>
  <si>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</si>
  <si>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</si>
  <si>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</si>
  <si>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</si>
  <si>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</si>
  <si>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</si>
  <si>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</si>
  <si>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</si>
  <si>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</si>
  <si>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</si>
  <si>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</si>
  <si>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</si>
  <si>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</si>
  <si>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</si>
  <si>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</si>
  <si>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</si>
  <si>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</si>
  <si>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</si>
  <si>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</si>
  <si>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</si>
  <si>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</si>
  <si>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</si>
  <si>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</si>
  <si>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</si>
  <si>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</si>
  <si>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</si>
  <si>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</si>
  <si>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</si>
  <si>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</si>
  <si>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</si>
  <si>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</si>
  <si>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</si>
  <si>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</si>
  <si>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</si>
  <si>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</si>
  <si>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</si>
  <si>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</si>
  <si>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</si>
  <si>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</si>
  <si>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c) "known low-income" is defined as customers who have received energy assistance in the last two years (between September 2018 to present).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</si>
  <si>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</si>
  <si>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</si>
  <si>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</si>
  <si>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</si>
  <si>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</si>
  <si>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</si>
  <si>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</si>
  <si>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</si>
  <si>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</si>
  <si>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</si>
  <si>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</si>
  <si>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</si>
  <si>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</si>
  <si>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</si>
  <si>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</si>
  <si>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</si>
  <si>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</si>
  <si>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</si>
  <si>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</si>
  <si>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</si>
  <si>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</si>
  <si>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</si>
  <si>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</si>
  <si>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</si>
  <si>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</si>
  <si>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</si>
  <si>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</si>
  <si>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</si>
  <si>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</si>
  <si>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</si>
  <si>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</si>
  <si>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</si>
  <si>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</si>
  <si>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</si>
  <si>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</si>
  <si>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</si>
  <si>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</si>
  <si>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</si>
  <si>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</si>
  <si>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</si>
  <si>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</si>
  <si>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</si>
  <si>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</si>
  <si>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</si>
  <si>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</si>
  <si>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</si>
  <si>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</si>
  <si>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</si>
  <si>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</si>
  <si>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</si>
  <si>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</si>
  <si>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</si>
  <si>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</si>
  <si>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</si>
  <si>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</si>
  <si>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</si>
  <si>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</si>
  <si>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</si>
  <si>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</si>
  <si>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</si>
  <si>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</si>
  <si>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</si>
  <si>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</si>
  <si>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</si>
  <si>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</si>
  <si>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</si>
  <si>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</si>
  <si>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</si>
  <si>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</si>
  <si>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</si>
  <si>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</si>
  <si>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</si>
  <si>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</si>
  <si>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</si>
  <si>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</si>
  <si>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</si>
  <si>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</si>
  <si>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</si>
  <si>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</si>
  <si>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</si>
  <si>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</si>
  <si>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</si>
  <si>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</si>
  <si>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</si>
  <si>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</si>
  <si>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</si>
  <si>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</si>
  <si>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</si>
  <si>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</si>
  <si>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</si>
  <si>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</si>
  <si>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</si>
  <si>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</si>
  <si>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</si>
  <si>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</si>
  <si>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</si>
  <si>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</si>
  <si>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</si>
  <si>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</si>
  <si>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</si>
  <si>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</si>
  <si>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</si>
  <si>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</si>
  <si>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</si>
  <si>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</si>
  <si>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</si>
  <si>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</si>
  <si>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</si>
  <si>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</si>
  <si>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</si>
  <si>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</si>
  <si>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</si>
  <si>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</si>
  <si>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</si>
  <si>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</si>
  <si>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</si>
  <si>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</si>
  <si>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</si>
  <si>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</si>
  <si>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</si>
  <si>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</si>
  <si>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</si>
  <si>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</si>
  <si>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</si>
  <si>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</si>
  <si>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US/98352</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</si>
  <si>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</si>
  <si>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</si>
  <si>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</si>
  <si>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</si>
  <si>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</si>
  <si>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</si>
  <si>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</si>
  <si>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</si>
  <si>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</si>
  <si>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</si>
  <si>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</si>
  <si>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</si>
  <si>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</si>
  <si>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</si>
  <si>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</si>
  <si>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</si>
  <si>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</si>
  <si>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</si>
  <si>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</si>
  <si>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</si>
  <si>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</si>
  <si>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</si>
  <si>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</si>
  <si>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</si>
  <si>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</si>
  <si>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</si>
  <si>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</si>
  <si>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</si>
  <si>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</si>
  <si>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</si>
  <si>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</si>
  <si>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</si>
  <si>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</si>
  <si>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</si>
  <si>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</si>
  <si>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</si>
  <si>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</si>
  <si>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</si>
  <si>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</si>
  <si>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</si>
  <si>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</si>
  <si>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</si>
  <si>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</si>
  <si>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</si>
  <si>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</si>
  <si>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</si>
  <si>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</si>
  <si>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</si>
  <si>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</si>
  <si>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</si>
  <si>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</si>
  <si>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</si>
  <si>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</si>
  <si>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</si>
  <si>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</si>
  <si>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</si>
  <si>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</si>
  <si>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</si>
  <si>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</si>
  <si>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</si>
  <si>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</si>
  <si>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</si>
  <si>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</si>
  <si>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</si>
  <si>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</si>
  <si>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</si>
  <si>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</si>
  <si>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</si>
  <si>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</si>
  <si>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</si>
  <si>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</si>
  <si>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</si>
  <si>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</si>
  <si>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</si>
  <si>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</si>
  <si>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</si>
  <si>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</si>
  <si>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</si>
  <si>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</si>
  <si>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</si>
  <si>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</si>
  <si>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</si>
  <si>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</si>
  <si>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</si>
  <si>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</si>
  <si>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</si>
  <si>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</si>
  <si>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</si>
  <si>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</si>
  <si>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</si>
  <si>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</si>
  <si>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</si>
  <si>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</si>
  <si>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</si>
  <si>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</si>
  <si>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</si>
  <si>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</si>
  <si>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</si>
  <si>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</si>
  <si>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</si>
  <si>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</si>
  <si>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</si>
  <si>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</si>
  <si>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</si>
  <si>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</si>
  <si>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</si>
  <si>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</si>
  <si>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</si>
  <si>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</si>
  <si>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</si>
  <si>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</si>
  <si>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</si>
  <si>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</si>
  <si>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</si>
  <si>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</si>
  <si>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</si>
  <si>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</si>
  <si>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</si>
  <si>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</si>
  <si>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</si>
  <si>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</si>
  <si>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</si>
  <si>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</si>
  <si>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</si>
  <si>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</si>
  <si>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</si>
  <si>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</si>
  <si>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</si>
  <si>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</si>
  <si>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</si>
  <si>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</si>
  <si>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</si>
  <si>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</si>
  <si>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</si>
  <si>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</si>
  <si>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Lighting</t>
  </si>
  <si>
    <t>#/#</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</si>
  <si>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</si>
  <si>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</si>
  <si>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</si>
  <si>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</si>
  <si>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</si>
  <si>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US/98181</t>
  </si>
  <si>
    <t>Commerce credits (Federal COVID-19 Arrearage Relief) are included in the December 2022 numbers.</t>
  </si>
  <si>
    <t>General 2023</t>
  </si>
  <si>
    <t>kWh</t>
  </si>
  <si>
    <t>Therms</t>
  </si>
  <si>
    <t>Fees 2023</t>
  </si>
  <si>
    <t>Medical Certificates 2023</t>
  </si>
  <si>
    <t>Enrollment in medical payment arrangements has declined extensively since the beginning of the pandemic.  No customers completed medical payment arrangements during the months of January, February, and March of 2023.</t>
  </si>
  <si>
    <t>Enrollment in medical payment arrangements has declined extensively since the beginning of the pandemic.  No customers enrolled in new medical payment arrangements during the months of January, February, and March 2023.</t>
  </si>
  <si>
    <t>Enrollment in medical payment arrangements has declined extensively since the beginning of the pandemic.  No customers renegotiated medical payment arrangements during the months of January, February, and March 2023.</t>
  </si>
  <si>
    <t>Payment Arrangements 2023</t>
  </si>
  <si>
    <t xml:space="preserve">Commercial / Industrial          </t>
  </si>
  <si>
    <t xml:space="preserve">Residential                      </t>
  </si>
  <si>
    <t xml:space="preserve">                   </t>
  </si>
  <si>
    <t>Deposits 2023</t>
  </si>
  <si>
    <t>Bill Assistance 2023</t>
  </si>
  <si>
    <t>Past Due Balances 2023</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</si>
  <si>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</si>
  <si>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Disconnections 2023</t>
  </si>
  <si>
    <t/>
  </si>
  <si>
    <t>Non-Consumption</t>
  </si>
  <si>
    <t>TOTAL</t>
  </si>
  <si>
    <t>Top 5 Arrears</t>
  </si>
  <si>
    <t>Total Arrears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</si>
</sst>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_(* #,##0_);_(* \(#,##0\);_(* &quot;-&quot;??_);_(@_)"/>
  </numFmts>
  <fonts count="12"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sz val="10"/>
      <color theme="0" tint="-0.34998626667073579"/>
      <name val="Calibri"/>
      <family val="2"/>
      <scheme val="minor"/>
    </font>
    <font>
      <b/>
      <sz val="11"/>
      <color theme="1"/>
      <name val="Calibri"/>
      <family val="2"/>
      <scheme val="minor"/>
    </font>
    <font>
      <sz val="10"/>
      <color theme="2"/>
      <name val="Calibri"/>
      <family val="2"/>
      <scheme val="minor"/>
    </font>
  </fonts>
  <fills count="10">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
      <patternFill patternType="solid">
        <fgColor theme="7" tint="0.79998168889431442"/>
        <bgColor indexed="64"/>
      </patternFill>
    </fill>
    <fill>
      <patternFill patternType="solid">
        <fgColor rgb="FFFFFF00"/>
        <bgColor indexed="64"/>
      </patternFill>
    </fill>
  </fills>
  <borders count="20">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
      <left style="medium">
        <color indexed="64"/>
      </left>
      <right style="medium">
        <color indexed="64"/>
      </right>
      <top/>
      <bottom style="dashed">
        <color indexed="64"/>
      </bottom>
      <diagonal/>
    </border>
    <border>
      <left style="medium">
        <color auto="1"/>
      </left>
      <right style="medium">
        <color auto="1"/>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24">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5" fillId="0" borderId="15" xfId="0" applyFont="1" applyBorder="1"/>
    <xf numFmtId="0" fontId="4" fillId="5" borderId="7" xfId="0" applyFont="1" applyFill="1" applyBorder="1" applyAlignment="1">
      <alignment horizontal="center" vertical="top"/>
    </xf>
    <xf numFmtId="0" fontId="5" fillId="0" borderId="14" xfId="0" applyFont="1" applyBorder="1" applyAlignment="1">
      <alignment vertical="center"/>
    </xf>
    <xf numFmtId="0" fontId="5" fillId="0" borderId="15" xfId="0" applyFont="1" applyBorder="1" applyAlignment="1">
      <alignment vertical="center"/>
    </xf>
    <xf numFmtId="0" fontId="5" fillId="3" borderId="8" xfId="0" quotePrefix="1" applyFont="1" applyFill="1" applyBorder="1" applyAlignment="1">
      <alignment horizontal="left"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8" xfId="0" applyFont="1" applyFill="1" applyBorder="1" applyAlignment="1">
      <alignment vertical="center"/>
    </xf>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0" fontId="5" fillId="5" borderId="16" xfId="0" quotePrefix="1" applyFont="1" applyFill="1" applyBorder="1" applyAlignment="1">
      <alignment horizontal="left" vertical="top"/>
    </xf>
    <xf numFmtId="0" fontId="5" fillId="0" borderId="14" xfId="0" applyFont="1" applyBorder="1"/>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5" fillId="5" borderId="17" xfId="0" quotePrefix="1" applyFont="1" applyFill="1" applyBorder="1" applyAlignment="1">
      <alignment horizontal="left" vertical="top"/>
    </xf>
    <xf numFmtId="0" fontId="5" fillId="0" borderId="17" xfId="0" applyFont="1" applyBorder="1" applyAlignment="1">
      <alignment vertical="center"/>
    </xf>
    <xf numFmtId="0" fontId="5" fillId="5" borderId="15" xfId="0" applyFont="1" applyFill="1" applyBorder="1" applyAlignment="1">
      <alignment horizontal="right"/>
    </xf>
    <xf numFmtId="0" fontId="5" fillId="5" borderId="14" xfId="0" quotePrefix="1" applyFont="1" applyFill="1" applyBorder="1" applyAlignment="1">
      <alignment horizontal="right" vertical="center"/>
    </xf>
    <xf numFmtId="0" fontId="5" fillId="5" borderId="15" xfId="0" applyFont="1" applyFill="1" applyBorder="1" applyAlignment="1">
      <alignment horizontal="right" vertical="center"/>
    </xf>
    <xf numFmtId="0" fontId="5" fillId="5" borderId="15" xfId="0" quotePrefix="1" applyFont="1" applyFill="1" applyBorder="1" applyAlignment="1">
      <alignment horizontal="right" vertical="center"/>
    </xf>
    <xf numFmtId="44" fontId="5" fillId="3" borderId="0" xfId="2" applyFont="1" applyFill="1" applyBorder="1"/>
    <xf numFmtId="44" fontId="5" fillId="3" borderId="0" xfId="2" applyFont="1" applyFill="1" applyBorder="1" applyAlignment="1">
      <alignment vertical="center"/>
    </xf>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5" borderId="17" xfId="0" applyFont="1" applyFill="1" applyBorder="1" applyAlignment="1">
      <alignment horizontal="right"/>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3" fontId="5" fillId="0" borderId="15" xfId="0" applyNumberFormat="1"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17" fontId="4" fillId="5" borderId="7" xfId="0" applyNumberFormat="1" applyFont="1" applyFill="1" applyBorder="1" applyAlignment="1">
      <alignment horizontal="center" vertical="center"/>
    </xf>
    <xf numFmtId="0" fontId="5" fillId="3" borderId="15" xfId="0" applyFont="1" applyFill="1" applyBorder="1" applyAlignment="1">
      <alignment vertical="center"/>
    </xf>
    <xf numFmtId="0" fontId="5" fillId="3" borderId="16" xfId="0" applyFont="1" applyFill="1" applyBorder="1" applyAlignment="1">
      <alignment vertical="center"/>
    </xf>
    <xf numFmtId="0" fontId="5" fillId="5" borderId="14" xfId="0" quotePrefix="1" applyFont="1" applyFill="1" applyBorder="1" applyAlignment="1">
      <alignment horizontal="right" vertical="top"/>
    </xf>
    <xf numFmtId="0" fontId="5" fillId="5" borderId="15" xfId="0" quotePrefix="1" applyFont="1" applyFill="1" applyBorder="1" applyAlignment="1">
      <alignment horizontal="right" vertical="top"/>
    </xf>
    <xf numFmtId="0" fontId="5" fillId="3" borderId="15" xfId="0" applyFont="1" applyFill="1" applyBorder="1"/>
    <xf numFmtId="0" fontId="3" fillId="5" borderId="15" xfId="0" applyFont="1" applyFill="1" applyBorder="1" applyAlignment="1">
      <alignment horizontal="right"/>
    </xf>
    <xf numFmtId="0" fontId="5" fillId="3" borderId="14" xfId="0" applyFont="1" applyFill="1" applyBorder="1" applyAlignment="1">
      <alignment vertical="center"/>
    </xf>
    <xf numFmtId="0" fontId="5" fillId="5" borderId="17" xfId="0" quotePrefix="1" applyFont="1" applyFill="1" applyBorder="1" applyAlignment="1">
      <alignment horizontal="right" vertical="top"/>
    </xf>
    <xf numFmtId="0" fontId="5" fillId="0" borderId="17" xfId="0" applyFont="1" applyBorder="1"/>
    <xf numFmtId="0" fontId="3" fillId="3" borderId="8" xfId="0" applyFont="1" applyFill="1" applyBorder="1"/>
    <xf numFmtId="3" fontId="5" fillId="3" borderId="8" xfId="0" applyNumberFormat="1" applyFont="1" applyFill="1" applyBorder="1" applyAlignment="1">
      <alignment vertical="center"/>
    </xf>
    <xf numFmtId="3" fontId="5" fillId="3" borderId="0" xfId="0" applyNumberFormat="1" applyFont="1" applyFill="1" applyAlignment="1">
      <alignment vertical="center"/>
    </xf>
    <xf numFmtId="0" fontId="5" fillId="5" borderId="18" xfId="0" quotePrefix="1" applyFont="1" applyFill="1" applyBorder="1" applyAlignment="1">
      <alignment horizontal="right" vertical="top"/>
    </xf>
    <xf numFmtId="0" fontId="5" fillId="5" borderId="18" xfId="0" quotePrefix="1" applyFont="1" applyFill="1" applyBorder="1" applyAlignment="1">
      <alignment horizontal="left" vertical="top"/>
    </xf>
    <xf numFmtId="0" fontId="5" fillId="0" borderId="18" xfId="0" applyFont="1" applyBorder="1"/>
    <xf numFmtId="0" fontId="5" fillId="0" borderId="18" xfId="0" applyFont="1" applyBorder="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3" borderId="8" xfId="0" applyFont="1" applyFill="1" applyBorder="1" applyAlignment="1">
      <alignment vertical="center" wrapText="1"/>
    </xf>
    <xf numFmtId="0" fontId="5" fillId="3" borderId="8" xfId="0" quotePrefix="1" applyFont="1" applyFill="1" applyBorder="1" applyAlignment="1">
      <alignment horizontal="right" vertical="top"/>
    </xf>
    <xf numFmtId="0" fontId="5" fillId="3" borderId="0" xfId="0" quotePrefix="1" applyFont="1" applyFill="1" applyAlignment="1">
      <alignment horizontal="right" vertical="top"/>
    </xf>
    <xf numFmtId="0" fontId="3" fillId="5" borderId="17" xfId="0" applyFont="1" applyFill="1" applyBorder="1" applyAlignment="1">
      <alignment horizontal="right"/>
    </xf>
    <xf numFmtId="0" fontId="3" fillId="5" borderId="17" xfId="0" applyFont="1" applyFill="1" applyBorder="1"/>
    <xf numFmtId="0" fontId="3" fillId="3" borderId="17" xfId="0" applyFont="1" applyFill="1" applyBorder="1"/>
    <xf numFmtId="0" fontId="3" fillId="3" borderId="8" xfId="0" applyFont="1" applyFill="1" applyBorder="1" applyAlignment="1">
      <alignment horizontal="right"/>
    </xf>
    <xf numFmtId="0" fontId="3" fillId="3" borderId="0" xfId="0" applyFont="1" applyFill="1" applyAlignment="1">
      <alignment horizontal="right"/>
    </xf>
    <xf numFmtId="0" fontId="5" fillId="5" borderId="17" xfId="0" applyFont="1" applyFill="1" applyBorder="1" applyAlignment="1">
      <alignment horizontal="right" vertical="center"/>
    </xf>
    <xf numFmtId="3" fontId="5" fillId="0" borderId="17" xfId="0" applyNumberFormat="1" applyFont="1" applyBorder="1" applyAlignment="1">
      <alignment vertical="center"/>
    </xf>
    <xf numFmtId="0" fontId="5" fillId="3" borderId="8" xfId="0" applyFont="1" applyFill="1" applyBorder="1"/>
    <xf numFmtId="43" fontId="0" fillId="3" borderId="0" xfId="0" applyNumberFormat="1" applyFill="1" applyAlignment="1">
      <alignment vertical="top"/>
    </xf>
    <xf numFmtId="0" fontId="5" fillId="5" borderId="17" xfId="0" applyFont="1" applyFill="1" applyBorder="1"/>
    <xf numFmtId="42" fontId="5" fillId="0" borderId="17" xfId="2" applyNumberFormat="1" applyFont="1" applyBorder="1"/>
    <xf numFmtId="42" fontId="5" fillId="3" borderId="0" xfId="2" applyNumberFormat="1" applyFont="1" applyFill="1" applyBorder="1"/>
    <xf numFmtId="42" fontId="3" fillId="3" borderId="16" xfId="2" applyNumberFormat="1" applyFont="1" applyFill="1" applyBorder="1"/>
    <xf numFmtId="0" fontId="3" fillId="3" borderId="16" xfId="0"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164" fontId="3" fillId="3" borderId="16" xfId="0" applyNumberFormat="1" applyFont="1" applyFill="1" applyBorder="1"/>
    <xf numFmtId="0" fontId="3" fillId="0" borderId="17" xfId="0" applyFont="1" applyBorder="1"/>
    <xf numFmtId="0" fontId="3" fillId="5" borderId="16" xfId="0" applyFont="1" applyFill="1" applyBorder="1" applyAlignment="1">
      <alignment horizontal="right"/>
    </xf>
    <xf numFmtId="0" fontId="5" fillId="3" borderId="17" xfId="0" applyFont="1" applyFill="1" applyBorder="1" applyAlignment="1">
      <alignment vertical="center"/>
    </xf>
    <xf numFmtId="3" fontId="3" fillId="0" borderId="17" xfId="0" applyNumberFormat="1" applyFont="1" applyBorder="1"/>
    <xf numFmtId="3" fontId="3" fillId="3" borderId="15" xfId="0" applyNumberFormat="1" applyFont="1" applyFill="1" applyBorder="1"/>
    <xf numFmtId="42" fontId="3" fillId="3" borderId="0" xfId="0" applyNumberFormat="1" applyFont="1" applyFill="1"/>
    <xf numFmtId="44" fontId="5" fillId="0" borderId="7" xfId="2" applyFont="1" applyBorder="1" applyAlignment="1">
      <alignment vertical="top"/>
    </xf>
    <xf numFmtId="0" fontId="5" fillId="5" borderId="16" xfId="0" quotePrefix="1" applyFont="1" applyFill="1" applyBorder="1" applyAlignment="1">
      <alignment vertical="top"/>
    </xf>
    <xf numFmtId="3" fontId="5" fillId="0" borderId="16" xfId="0" applyNumberFormat="1" applyFont="1" applyBorder="1" applyAlignment="1">
      <alignment vertical="center"/>
    </xf>
    <xf numFmtId="0" fontId="3" fillId="5" borderId="13" xfId="0" applyFont="1" applyFill="1" applyBorder="1" applyAlignment="1">
      <alignment vertical="center" wrapText="1"/>
    </xf>
    <xf numFmtId="0" fontId="3" fillId="0" borderId="13" xfId="0" applyFont="1" applyBorder="1" applyAlignment="1">
      <alignment vertical="center" wrapText="1"/>
    </xf>
    <xf numFmtId="0" fontId="5" fillId="5" borderId="17" xfId="0" quotePrefix="1" applyFont="1" applyFill="1" applyBorder="1" applyAlignment="1">
      <alignment horizontal="right" vertical="center"/>
    </xf>
    <xf numFmtId="0" fontId="5" fillId="3" borderId="8" xfId="0" applyFont="1" applyFill="1" applyBorder="1" applyAlignment="1">
      <alignment horizontal="right" vertical="center"/>
    </xf>
    <xf numFmtId="42" fontId="5" fillId="3" borderId="15" xfId="2" applyNumberFormat="1" applyFont="1" applyFill="1" applyBorder="1"/>
    <xf numFmtId="42" fontId="3" fillId="3" borderId="15" xfId="2" applyNumberFormat="1" applyFont="1" applyFill="1" applyBorder="1"/>
    <xf numFmtId="42" fontId="3" fillId="3" borderId="17" xfId="2" applyNumberFormat="1" applyFont="1" applyFill="1" applyBorder="1"/>
    <xf numFmtId="164" fontId="3" fillId="3" borderId="17" xfId="0" applyNumberFormat="1" applyFont="1" applyFill="1" applyBorder="1"/>
    <xf numFmtId="0" fontId="5" fillId="5" borderId="15" xfId="0" quotePrefix="1" applyFont="1" applyFill="1" applyBorder="1" applyAlignment="1">
      <alignment horizontal="right"/>
    </xf>
    <xf numFmtId="0" fontId="5" fillId="5" borderId="16" xfId="0" quotePrefix="1" applyFont="1" applyFill="1" applyBorder="1" applyAlignment="1">
      <alignment horizontal="right"/>
    </xf>
    <xf numFmtId="0" fontId="5" fillId="5" borderId="16" xfId="0" quotePrefix="1" applyFont="1" applyFill="1" applyBorder="1" applyAlignment="1">
      <alignment horizontal="right" vertical="center"/>
    </xf>
    <xf numFmtId="0" fontId="9" fillId="5" borderId="14" xfId="0" quotePrefix="1" applyFont="1" applyFill="1" applyBorder="1" applyAlignment="1">
      <alignment vertical="top"/>
    </xf>
    <xf numFmtId="0" fontId="9" fillId="5" borderId="14" xfId="0" quotePrefix="1" applyFont="1" applyFill="1" applyBorder="1" applyAlignment="1">
      <alignment horizontal="left" vertical="top"/>
    </xf>
    <xf numFmtId="3" fontId="9" fillId="0" borderId="14" xfId="0" applyNumberFormat="1" applyFont="1" applyBorder="1" applyAlignment="1">
      <alignment vertical="center"/>
    </xf>
    <xf numFmtId="0" fontId="9" fillId="5" borderId="15" xfId="0" applyFont="1" applyFill="1" applyBorder="1"/>
    <xf numFmtId="0" fontId="9" fillId="5" borderId="15" xfId="0" quotePrefix="1" applyFont="1" applyFill="1" applyBorder="1" applyAlignment="1">
      <alignment vertical="top"/>
    </xf>
    <xf numFmtId="0" fontId="9" fillId="5" borderId="15" xfId="0" quotePrefix="1" applyFont="1" applyFill="1" applyBorder="1" applyAlignment="1">
      <alignment horizontal="left" vertical="top"/>
    </xf>
    <xf numFmtId="3" fontId="9" fillId="0" borderId="15" xfId="0" applyNumberFormat="1" applyFont="1" applyBorder="1" applyAlignment="1">
      <alignment vertical="center"/>
    </xf>
    <xf numFmtId="0" fontId="10" fillId="8" borderId="1" xfId="0" applyFont="1" applyFill="1" applyBorder="1"/>
    <xf numFmtId="0" fontId="10" fillId="8" borderId="2" xfId="0" applyFont="1" applyFill="1" applyBorder="1"/>
    <xf numFmtId="3" fontId="10" fillId="8" borderId="2" xfId="0" applyNumberFormat="1" applyFont="1" applyFill="1" applyBorder="1"/>
    <xf numFmtId="0" fontId="7" fillId="8" borderId="1" xfId="0" applyFont="1" applyFill="1" applyBorder="1" applyAlignment="1">
      <alignment horizontal="right"/>
    </xf>
    <xf numFmtId="0" fontId="7" fillId="8" borderId="2" xfId="0" quotePrefix="1" applyFont="1" applyFill="1" applyBorder="1" applyAlignment="1">
      <alignment horizontal="left" vertical="top"/>
    </xf>
    <xf numFmtId="3" fontId="7" fillId="8" borderId="2" xfId="0" applyNumberFormat="1" applyFont="1" applyFill="1" applyBorder="1" applyAlignment="1">
      <alignment vertical="center"/>
    </xf>
    <xf numFmtId="165" fontId="7" fillId="8" borderId="2" xfId="1" applyNumberFormat="1" applyFont="1" applyFill="1" applyBorder="1" applyAlignment="1">
      <alignment vertical="center"/>
    </xf>
    <xf numFmtId="0" fontId="4" fillId="8" borderId="1" xfId="0" applyFont="1" applyFill="1" applyBorder="1" applyAlignment="1">
      <alignment horizontal="right"/>
    </xf>
    <xf numFmtId="0" fontId="4" fillId="8" borderId="2" xfId="0" applyFont="1" applyFill="1" applyBorder="1"/>
    <xf numFmtId="165" fontId="4" fillId="8" borderId="2" xfId="1" applyNumberFormat="1" applyFont="1" applyFill="1" applyBorder="1"/>
    <xf numFmtId="0" fontId="4" fillId="8" borderId="1" xfId="0" applyFont="1" applyFill="1" applyBorder="1"/>
    <xf numFmtId="165" fontId="4" fillId="8" borderId="3" xfId="1" applyNumberFormat="1" applyFont="1" applyFill="1" applyBorder="1"/>
    <xf numFmtId="0" fontId="7" fillId="8" borderId="1" xfId="0" applyFont="1" applyFill="1" applyBorder="1"/>
    <xf numFmtId="0" fontId="7" fillId="8" borderId="2" xfId="0" applyFont="1" applyFill="1" applyBorder="1"/>
    <xf numFmtId="42" fontId="7" fillId="8" borderId="2" xfId="2" applyNumberFormat="1" applyFont="1" applyFill="1" applyBorder="1"/>
    <xf numFmtId="0" fontId="7" fillId="8" borderId="1" xfId="0" quotePrefix="1" applyFont="1" applyFill="1" applyBorder="1" applyAlignment="1">
      <alignment vertical="top"/>
    </xf>
    <xf numFmtId="0" fontId="7" fillId="8" borderId="2" xfId="0" quotePrefix="1" applyFont="1" applyFill="1" applyBorder="1" applyAlignment="1">
      <alignment vertical="top"/>
    </xf>
    <xf numFmtId="42" fontId="10" fillId="8" borderId="2" xfId="0" applyNumberFormat="1" applyFont="1" applyFill="1" applyBorder="1"/>
    <xf numFmtId="0" fontId="4" fillId="5" borderId="0" xfId="0" applyFont="1" applyFill="1" applyAlignment="1">
      <alignment horizontal="left" vertical="center"/>
    </xf>
    <xf numFmtId="42" fontId="5" fillId="0" borderId="0" xfId="2" applyNumberFormat="1" applyFont="1" applyBorder="1"/>
    <xf numFmtId="42" fontId="7" fillId="8" borderId="0" xfId="2" applyNumberFormat="1" applyFont="1" applyFill="1" applyBorder="1"/>
    <xf numFmtId="0" fontId="11" fillId="5" borderId="14" xfId="0" applyFont="1" applyFill="1" applyBorder="1"/>
    <xf numFmtId="42" fontId="11" fillId="0" borderId="14" xfId="2" applyNumberFormat="1" applyFont="1" applyBorder="1"/>
    <xf numFmtId="0" fontId="11" fillId="5" borderId="15" xfId="0" applyFont="1" applyFill="1" applyBorder="1"/>
    <xf numFmtId="42" fontId="11" fillId="0" borderId="15" xfId="2" applyNumberFormat="1" applyFont="1" applyBorder="1"/>
    <xf numFmtId="42" fontId="5" fillId="9" borderId="15" xfId="2" applyNumberFormat="1" applyFont="1" applyFill="1" applyBorder="1"/>
    <xf numFmtId="0" fontId="5" fillId="9" borderId="15" xfId="0" applyFont="1" applyFill="1" applyBorder="1"/>
    <xf numFmtId="42" fontId="3" fillId="3" borderId="0" xfId="2" applyNumberFormat="1" applyFont="1" applyFill="1" applyBorder="1"/>
    <xf numFmtId="9" fontId="5" fillId="0" borderId="0" xfId="3" applyFont="1" applyBorder="1"/>
    <xf numFmtId="42" fontId="10" fillId="8" borderId="3" xfId="0" applyNumberFormat="1" applyFont="1" applyFill="1" applyBorder="1"/>
    <xf numFmtId="42" fontId="11" fillId="0" borderId="0" xfId="2" applyNumberFormat="1" applyFont="1" applyBorder="1"/>
    <xf numFmtId="42" fontId="5" fillId="9" borderId="0" xfId="2" applyNumberFormat="1" applyFont="1" applyFill="1" applyBorder="1"/>
    <xf numFmtId="42" fontId="5" fillId="0" borderId="15" xfId="2" applyNumberFormat="1" applyFont="1" applyFill="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4" fillId="9" borderId="6" xfId="0" applyFont="1" applyFill="1" applyBorder="1" applyAlignment="1">
      <alignment horizontal="center" vertical="center"/>
    </xf>
    <xf numFmtId="0" fontId="4" fillId="9" borderId="6" xfId="0" applyFont="1" applyFill="1" applyBorder="1" applyAlignment="1">
      <alignment horizontal="center" vertical="center" wrapText="1"/>
    </xf>
    <xf numFmtId="0" fontId="4" fillId="9" borderId="19" xfId="0" applyFont="1" applyFill="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5"/>
  <sheetViews>
    <sheetView zoomScale="139" zoomScaleNormal="100" workbookViewId="0">
      <selection activeCell="J675" sqref="J675"/>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80" t="s">
        <v>0</v>
      </c>
      <c r="B1" s="181"/>
      <c r="C1" s="181"/>
      <c r="D1" s="181"/>
      <c r="E1" s="181"/>
      <c r="F1" s="181"/>
      <c r="G1" s="181"/>
      <c r="H1" s="181"/>
      <c r="I1" s="181"/>
      <c r="J1" s="181"/>
      <c r="K1" s="181"/>
      <c r="L1" s="181"/>
      <c r="M1" s="181"/>
      <c r="N1" s="181"/>
      <c r="O1" s="182"/>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75" t="s">
        <v>343</v>
      </c>
      <c r="B9" s="176"/>
      <c r="C9" s="176"/>
      <c r="D9" s="177"/>
      <c r="E9" s="178">
        <v>44957</v>
      </c>
      <c r="F9" s="179"/>
      <c r="G9" s="178">
        <v>44985</v>
      </c>
      <c r="H9" s="179"/>
      <c r="I9" s="178">
        <v>45016</v>
      </c>
      <c r="J9" s="179"/>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135" t="s">
        <v>84</v>
      </c>
      <c r="B11" s="135" t="s">
        <v>83</v>
      </c>
      <c r="C11" s="136" t="s">
        <v>333</v>
      </c>
      <c r="D11" s="136" t="s">
        <v>344</v>
      </c>
      <c r="E11" s="137">
        <v>1992</v>
      </c>
      <c r="F11" s="137">
        <v>34932168.777999997</v>
      </c>
      <c r="G11" s="137">
        <v>1997</v>
      </c>
      <c r="H11" s="137">
        <v>36863273.314999998</v>
      </c>
      <c r="I11" s="137">
        <v>2003</v>
      </c>
      <c r="J11" s="137">
        <v>33903591.149000004</v>
      </c>
    </row>
    <row r="12" spans="1:15" x14ac:dyDescent="0.2">
      <c r="A12" s="138" t="s">
        <v>84</v>
      </c>
      <c r="B12" s="139" t="s">
        <v>257</v>
      </c>
      <c r="C12" s="140" t="s">
        <v>333</v>
      </c>
      <c r="D12" s="140" t="s">
        <v>345</v>
      </c>
      <c r="E12" s="141">
        <v>974</v>
      </c>
      <c r="F12" s="141">
        <v>1820838.1600000001</v>
      </c>
      <c r="G12" s="141">
        <v>977</v>
      </c>
      <c r="H12" s="141">
        <v>2469246.6</v>
      </c>
      <c r="I12" s="141">
        <v>979</v>
      </c>
      <c r="J12" s="141">
        <v>785127.85399999993</v>
      </c>
    </row>
    <row r="13" spans="1:15" x14ac:dyDescent="0.2">
      <c r="A13" s="139" t="s">
        <v>85</v>
      </c>
      <c r="B13" s="139" t="s">
        <v>83</v>
      </c>
      <c r="C13" s="140" t="s">
        <v>333</v>
      </c>
      <c r="D13" s="140" t="s">
        <v>344</v>
      </c>
      <c r="E13" s="141">
        <v>2158</v>
      </c>
      <c r="F13" s="141">
        <v>15113173.182</v>
      </c>
      <c r="G13" s="141">
        <v>2157</v>
      </c>
      <c r="H13" s="141">
        <v>14789084.357999999</v>
      </c>
      <c r="I13" s="141">
        <v>2161</v>
      </c>
      <c r="J13" s="141">
        <v>15749184.895000001</v>
      </c>
    </row>
    <row r="14" spans="1:15" x14ac:dyDescent="0.2">
      <c r="A14" s="138" t="s">
        <v>85</v>
      </c>
      <c r="B14" s="139" t="s">
        <v>257</v>
      </c>
      <c r="C14" s="140" t="s">
        <v>333</v>
      </c>
      <c r="D14" s="140" t="s">
        <v>345</v>
      </c>
      <c r="E14" s="141">
        <v>1003</v>
      </c>
      <c r="F14" s="141">
        <v>658702.37199999997</v>
      </c>
      <c r="G14" s="141">
        <v>995</v>
      </c>
      <c r="H14" s="141">
        <v>588419.09600000002</v>
      </c>
      <c r="I14" s="141">
        <v>998</v>
      </c>
      <c r="J14" s="141">
        <v>579647.10499999998</v>
      </c>
    </row>
    <row r="15" spans="1:15" x14ac:dyDescent="0.2">
      <c r="A15" s="139" t="s">
        <v>86</v>
      </c>
      <c r="B15" s="139" t="s">
        <v>83</v>
      </c>
      <c r="C15" s="140" t="s">
        <v>333</v>
      </c>
      <c r="D15" s="140" t="s">
        <v>344</v>
      </c>
      <c r="E15" s="141">
        <v>3081</v>
      </c>
      <c r="F15" s="141">
        <v>17290912.658</v>
      </c>
      <c r="G15" s="141">
        <v>3078</v>
      </c>
      <c r="H15" s="141">
        <v>16494955.244999999</v>
      </c>
      <c r="I15" s="141">
        <v>3083</v>
      </c>
      <c r="J15" s="141">
        <v>17624639.853</v>
      </c>
    </row>
    <row r="16" spans="1:15" x14ac:dyDescent="0.2">
      <c r="A16" s="138" t="s">
        <v>86</v>
      </c>
      <c r="B16" s="139" t="s">
        <v>257</v>
      </c>
      <c r="C16" s="140" t="s">
        <v>333</v>
      </c>
      <c r="D16" s="140" t="s">
        <v>345</v>
      </c>
      <c r="E16" s="141">
        <v>933</v>
      </c>
      <c r="F16" s="141">
        <v>720506.821</v>
      </c>
      <c r="G16" s="141">
        <v>941</v>
      </c>
      <c r="H16" s="141">
        <v>634945.19800000009</v>
      </c>
      <c r="I16" s="141">
        <v>942</v>
      </c>
      <c r="J16" s="141">
        <v>641210.43199999991</v>
      </c>
    </row>
    <row r="17" spans="1:10" x14ac:dyDescent="0.2">
      <c r="A17" s="139" t="s">
        <v>87</v>
      </c>
      <c r="B17" s="139" t="s">
        <v>83</v>
      </c>
      <c r="C17" s="140" t="s">
        <v>333</v>
      </c>
      <c r="D17" s="140" t="s">
        <v>344</v>
      </c>
      <c r="E17" s="141">
        <v>2198</v>
      </c>
      <c r="F17" s="141">
        <v>49035689.822999999</v>
      </c>
      <c r="G17" s="141">
        <v>2208</v>
      </c>
      <c r="H17" s="141">
        <v>47026314.299999997</v>
      </c>
      <c r="I17" s="141">
        <v>2199</v>
      </c>
      <c r="J17" s="141">
        <v>44717842.850000001</v>
      </c>
    </row>
    <row r="18" spans="1:10" x14ac:dyDescent="0.2">
      <c r="A18" s="138" t="s">
        <v>87</v>
      </c>
      <c r="B18" s="139" t="s">
        <v>257</v>
      </c>
      <c r="C18" s="140" t="s">
        <v>333</v>
      </c>
      <c r="D18" s="140" t="s">
        <v>345</v>
      </c>
      <c r="E18" s="141">
        <v>594</v>
      </c>
      <c r="F18" s="141">
        <v>1002555.225</v>
      </c>
      <c r="G18" s="141">
        <v>593</v>
      </c>
      <c r="H18" s="141">
        <v>947105.71700000006</v>
      </c>
      <c r="I18" s="141">
        <v>589</v>
      </c>
      <c r="J18" s="141">
        <v>841669.71899999992</v>
      </c>
    </row>
    <row r="19" spans="1:10" x14ac:dyDescent="0.2">
      <c r="A19" s="139" t="s">
        <v>88</v>
      </c>
      <c r="B19" s="139" t="s">
        <v>83</v>
      </c>
      <c r="C19" s="140" t="s">
        <v>333</v>
      </c>
      <c r="D19" s="140" t="s">
        <v>344</v>
      </c>
      <c r="E19" s="141">
        <v>1938</v>
      </c>
      <c r="F19" s="141">
        <v>19446236.067000002</v>
      </c>
      <c r="G19" s="141">
        <v>1948</v>
      </c>
      <c r="H19" s="141">
        <v>18605558.368999999</v>
      </c>
      <c r="I19" s="141">
        <v>1942</v>
      </c>
      <c r="J19" s="141">
        <v>18790394.853999998</v>
      </c>
    </row>
    <row r="20" spans="1:10" x14ac:dyDescent="0.2">
      <c r="A20" s="138" t="s">
        <v>88</v>
      </c>
      <c r="B20" s="139" t="s">
        <v>257</v>
      </c>
      <c r="C20" s="140" t="s">
        <v>333</v>
      </c>
      <c r="D20" s="140" t="s">
        <v>345</v>
      </c>
      <c r="E20" s="141">
        <v>787</v>
      </c>
      <c r="F20" s="141">
        <v>606982.93700000003</v>
      </c>
      <c r="G20" s="141">
        <v>789</v>
      </c>
      <c r="H20" s="141">
        <v>741351.00899999996</v>
      </c>
      <c r="I20" s="141">
        <v>790</v>
      </c>
      <c r="J20" s="141">
        <v>464196.61199999996</v>
      </c>
    </row>
    <row r="21" spans="1:10" x14ac:dyDescent="0.2">
      <c r="A21" s="139" t="s">
        <v>89</v>
      </c>
      <c r="B21" s="139" t="s">
        <v>83</v>
      </c>
      <c r="C21" s="140" t="s">
        <v>333</v>
      </c>
      <c r="D21" s="140" t="s">
        <v>344</v>
      </c>
      <c r="E21" s="141">
        <v>1327</v>
      </c>
      <c r="F21" s="141">
        <v>7743552.4709999999</v>
      </c>
      <c r="G21" s="141">
        <v>1326</v>
      </c>
      <c r="H21" s="141">
        <v>8263247.0990000004</v>
      </c>
      <c r="I21" s="141">
        <v>1325</v>
      </c>
      <c r="J21" s="141">
        <v>9226955.3129999992</v>
      </c>
    </row>
    <row r="22" spans="1:10" x14ac:dyDescent="0.2">
      <c r="A22" s="138" t="s">
        <v>89</v>
      </c>
      <c r="B22" s="139" t="s">
        <v>257</v>
      </c>
      <c r="C22" s="140" t="s">
        <v>333</v>
      </c>
      <c r="D22" s="140" t="s">
        <v>345</v>
      </c>
      <c r="E22" s="141">
        <v>237</v>
      </c>
      <c r="F22" s="141">
        <v>157897.49800000002</v>
      </c>
      <c r="G22" s="141">
        <v>237</v>
      </c>
      <c r="H22" s="141">
        <v>156338.58900000001</v>
      </c>
      <c r="I22" s="141">
        <v>237</v>
      </c>
      <c r="J22" s="141">
        <v>157802.204</v>
      </c>
    </row>
    <row r="23" spans="1:10" x14ac:dyDescent="0.2">
      <c r="A23" s="139" t="s">
        <v>90</v>
      </c>
      <c r="B23" s="139" t="s">
        <v>83</v>
      </c>
      <c r="C23" s="140" t="s">
        <v>333</v>
      </c>
      <c r="D23" s="140" t="s">
        <v>344</v>
      </c>
      <c r="E23" s="141">
        <v>1237</v>
      </c>
      <c r="F23" s="141">
        <v>11941206.969000001</v>
      </c>
      <c r="G23" s="141">
        <v>1237</v>
      </c>
      <c r="H23" s="141">
        <v>7948670.7570000002</v>
      </c>
      <c r="I23" s="141">
        <v>1234</v>
      </c>
      <c r="J23" s="141">
        <v>10828588.419</v>
      </c>
    </row>
    <row r="24" spans="1:10" x14ac:dyDescent="0.2">
      <c r="A24" s="138" t="s">
        <v>90</v>
      </c>
      <c r="B24" s="139" t="s">
        <v>257</v>
      </c>
      <c r="C24" s="140" t="s">
        <v>333</v>
      </c>
      <c r="D24" s="140" t="s">
        <v>345</v>
      </c>
      <c r="E24" s="141">
        <v>386</v>
      </c>
      <c r="F24" s="141">
        <v>341214.79200000002</v>
      </c>
      <c r="G24" s="141">
        <v>386</v>
      </c>
      <c r="H24" s="141">
        <v>301669.49599999998</v>
      </c>
      <c r="I24" s="141">
        <v>387</v>
      </c>
      <c r="J24" s="141">
        <v>410637.83199999999</v>
      </c>
    </row>
    <row r="25" spans="1:10" x14ac:dyDescent="0.2">
      <c r="A25" s="139" t="s">
        <v>91</v>
      </c>
      <c r="B25" s="139" t="s">
        <v>83</v>
      </c>
      <c r="C25" s="140" t="s">
        <v>333</v>
      </c>
      <c r="D25" s="140" t="s">
        <v>344</v>
      </c>
      <c r="E25" s="141">
        <v>624</v>
      </c>
      <c r="F25" s="141">
        <v>6742483.2929999996</v>
      </c>
      <c r="G25" s="141">
        <v>624</v>
      </c>
      <c r="H25" s="141">
        <v>6887575.9179999996</v>
      </c>
      <c r="I25" s="141">
        <v>623</v>
      </c>
      <c r="J25" s="141">
        <v>4543322.4109999994</v>
      </c>
    </row>
    <row r="26" spans="1:10" x14ac:dyDescent="0.2">
      <c r="A26" s="138" t="s">
        <v>91</v>
      </c>
      <c r="B26" s="139" t="s">
        <v>257</v>
      </c>
      <c r="C26" s="140" t="s">
        <v>333</v>
      </c>
      <c r="D26" s="140" t="s">
        <v>345</v>
      </c>
      <c r="E26" s="141">
        <v>168</v>
      </c>
      <c r="F26" s="141">
        <v>100727.936</v>
      </c>
      <c r="G26" s="141">
        <v>167</v>
      </c>
      <c r="H26" s="141">
        <v>104889.62300000001</v>
      </c>
      <c r="I26" s="141">
        <v>168</v>
      </c>
      <c r="J26" s="141">
        <v>99145.073000000004</v>
      </c>
    </row>
    <row r="27" spans="1:10" x14ac:dyDescent="0.2">
      <c r="A27" s="139" t="s">
        <v>92</v>
      </c>
      <c r="B27" s="139" t="s">
        <v>83</v>
      </c>
      <c r="C27" s="140" t="s">
        <v>333</v>
      </c>
      <c r="D27" s="140" t="s">
        <v>344</v>
      </c>
      <c r="E27" s="141">
        <v>382</v>
      </c>
      <c r="F27" s="141">
        <v>769165.98499999999</v>
      </c>
      <c r="G27" s="141">
        <v>374</v>
      </c>
      <c r="H27" s="141">
        <v>664618.005</v>
      </c>
      <c r="I27" s="141">
        <v>377</v>
      </c>
      <c r="J27" s="141">
        <v>708805.34100000001</v>
      </c>
    </row>
    <row r="28" spans="1:10" x14ac:dyDescent="0.2">
      <c r="A28" s="138" t="s">
        <v>92</v>
      </c>
      <c r="B28" s="139" t="s">
        <v>257</v>
      </c>
      <c r="C28" s="140" t="s">
        <v>333</v>
      </c>
      <c r="D28" s="140" t="s">
        <v>345</v>
      </c>
      <c r="E28" s="141">
        <v>59</v>
      </c>
      <c r="F28" s="141">
        <v>20992.025000000001</v>
      </c>
      <c r="G28" s="141">
        <v>59</v>
      </c>
      <c r="H28" s="141">
        <v>15834.192000000001</v>
      </c>
      <c r="I28" s="141">
        <v>59</v>
      </c>
      <c r="J28" s="141">
        <v>24728.571</v>
      </c>
    </row>
    <row r="29" spans="1:10" x14ac:dyDescent="0.2">
      <c r="A29" s="139" t="s">
        <v>93</v>
      </c>
      <c r="B29" s="139" t="s">
        <v>83</v>
      </c>
      <c r="C29" s="140" t="s">
        <v>333</v>
      </c>
      <c r="D29" s="140" t="s">
        <v>344</v>
      </c>
      <c r="E29" s="141">
        <v>1260</v>
      </c>
      <c r="F29" s="141">
        <v>14642420.005999999</v>
      </c>
      <c r="G29" s="141">
        <v>1264</v>
      </c>
      <c r="H29" s="141">
        <v>15885936.999</v>
      </c>
      <c r="I29" s="141">
        <v>1274</v>
      </c>
      <c r="J29" s="141">
        <v>13342051.767999999</v>
      </c>
    </row>
    <row r="30" spans="1:10" x14ac:dyDescent="0.2">
      <c r="A30" s="138" t="s">
        <v>93</v>
      </c>
      <c r="B30" s="139" t="s">
        <v>257</v>
      </c>
      <c r="C30" s="140" t="s">
        <v>333</v>
      </c>
      <c r="D30" s="140" t="s">
        <v>345</v>
      </c>
      <c r="E30" s="141">
        <v>389</v>
      </c>
      <c r="F30" s="141">
        <v>279658.23200000002</v>
      </c>
      <c r="G30" s="141">
        <v>389</v>
      </c>
      <c r="H30" s="141">
        <v>269048.03700000001</v>
      </c>
      <c r="I30" s="141">
        <v>391</v>
      </c>
      <c r="J30" s="141">
        <v>289688.18300000002</v>
      </c>
    </row>
    <row r="31" spans="1:10" x14ac:dyDescent="0.2">
      <c r="A31" s="139" t="s">
        <v>258</v>
      </c>
      <c r="B31" s="139" t="s">
        <v>257</v>
      </c>
      <c r="C31" s="140" t="s">
        <v>333</v>
      </c>
      <c r="D31" s="140" t="s">
        <v>345</v>
      </c>
      <c r="E31" s="141">
        <v>522</v>
      </c>
      <c r="F31" s="141">
        <v>324030.04399999999</v>
      </c>
      <c r="G31" s="141">
        <v>519</v>
      </c>
      <c r="H31" s="141">
        <v>287345.41700000002</v>
      </c>
      <c r="I31" s="141">
        <v>519</v>
      </c>
      <c r="J31" s="141">
        <v>317743.777</v>
      </c>
    </row>
    <row r="32" spans="1:10" x14ac:dyDescent="0.2">
      <c r="A32" s="139" t="s">
        <v>94</v>
      </c>
      <c r="B32" s="139" t="s">
        <v>83</v>
      </c>
      <c r="C32" s="140" t="s">
        <v>333</v>
      </c>
      <c r="D32" s="140" t="s">
        <v>344</v>
      </c>
      <c r="E32" s="141">
        <v>7</v>
      </c>
      <c r="F32" s="141">
        <v>9014</v>
      </c>
      <c r="G32" s="141">
        <v>7</v>
      </c>
      <c r="H32" s="141">
        <v>11886</v>
      </c>
      <c r="I32" s="141">
        <v>7</v>
      </c>
      <c r="J32" s="141">
        <v>9800</v>
      </c>
    </row>
    <row r="33" spans="1:10" x14ac:dyDescent="0.2">
      <c r="A33" s="139" t="s">
        <v>95</v>
      </c>
      <c r="B33" s="139" t="s">
        <v>83</v>
      </c>
      <c r="C33" s="140" t="s">
        <v>333</v>
      </c>
      <c r="D33" s="140" t="s">
        <v>344</v>
      </c>
      <c r="E33" s="141">
        <v>404</v>
      </c>
      <c r="F33" s="141">
        <v>1959737.4040000001</v>
      </c>
      <c r="G33" s="141">
        <v>403</v>
      </c>
      <c r="H33" s="141">
        <v>1743027.0889999999</v>
      </c>
      <c r="I33" s="141">
        <v>405</v>
      </c>
      <c r="J33" s="141">
        <v>1556462.7930000001</v>
      </c>
    </row>
    <row r="34" spans="1:10" x14ac:dyDescent="0.2">
      <c r="A34" s="138" t="s">
        <v>95</v>
      </c>
      <c r="B34" s="139" t="s">
        <v>257</v>
      </c>
      <c r="C34" s="140" t="s">
        <v>333</v>
      </c>
      <c r="D34" s="140" t="s">
        <v>345</v>
      </c>
      <c r="E34" s="141">
        <v>22</v>
      </c>
      <c r="F34" s="141">
        <v>6827.268</v>
      </c>
      <c r="G34" s="141">
        <v>22</v>
      </c>
      <c r="H34" s="141">
        <v>5562.5680000000002</v>
      </c>
      <c r="I34" s="141">
        <v>22</v>
      </c>
      <c r="J34" s="141">
        <v>5945.5249999999996</v>
      </c>
    </row>
    <row r="35" spans="1:10" x14ac:dyDescent="0.2">
      <c r="A35" s="139" t="s">
        <v>96</v>
      </c>
      <c r="B35" s="139" t="s">
        <v>83</v>
      </c>
      <c r="C35" s="140" t="s">
        <v>333</v>
      </c>
      <c r="D35" s="140" t="s">
        <v>344</v>
      </c>
      <c r="E35" s="141">
        <v>592</v>
      </c>
      <c r="F35" s="141">
        <v>2028043.2830000001</v>
      </c>
      <c r="G35" s="141">
        <v>612</v>
      </c>
      <c r="H35" s="141">
        <v>1976510.47</v>
      </c>
      <c r="I35" s="141">
        <v>624</v>
      </c>
      <c r="J35" s="141">
        <v>1864398.0519999999</v>
      </c>
    </row>
    <row r="36" spans="1:10" x14ac:dyDescent="0.2">
      <c r="A36" s="138" t="s">
        <v>96</v>
      </c>
      <c r="B36" s="139" t="s">
        <v>257</v>
      </c>
      <c r="C36" s="140" t="s">
        <v>333</v>
      </c>
      <c r="D36" s="140" t="s">
        <v>345</v>
      </c>
      <c r="E36" s="141">
        <v>108</v>
      </c>
      <c r="F36" s="141">
        <v>37926.016000000003</v>
      </c>
      <c r="G36" s="141">
        <v>108</v>
      </c>
      <c r="H36" s="141">
        <v>37493.737999999998</v>
      </c>
      <c r="I36" s="141">
        <v>108</v>
      </c>
      <c r="J36" s="141">
        <v>28994.959000000003</v>
      </c>
    </row>
    <row r="37" spans="1:10" x14ac:dyDescent="0.2">
      <c r="A37" s="139" t="s">
        <v>259</v>
      </c>
      <c r="B37" s="139" t="s">
        <v>257</v>
      </c>
      <c r="C37" s="140" t="s">
        <v>333</v>
      </c>
      <c r="D37" s="140" t="s">
        <v>345</v>
      </c>
      <c r="E37" s="141">
        <v>306</v>
      </c>
      <c r="F37" s="141">
        <v>195519.52500000002</v>
      </c>
      <c r="G37" s="141">
        <v>306</v>
      </c>
      <c r="H37" s="141">
        <v>175100.47700000001</v>
      </c>
      <c r="I37" s="141">
        <v>305</v>
      </c>
      <c r="J37" s="141">
        <v>177181.28800000003</v>
      </c>
    </row>
    <row r="38" spans="1:10" x14ac:dyDescent="0.2">
      <c r="A38" s="139" t="s">
        <v>260</v>
      </c>
      <c r="B38" s="139" t="s">
        <v>257</v>
      </c>
      <c r="C38" s="140" t="s">
        <v>333</v>
      </c>
      <c r="D38" s="140" t="s">
        <v>345</v>
      </c>
      <c r="E38" s="141">
        <v>357</v>
      </c>
      <c r="F38" s="141">
        <v>517322.17700000003</v>
      </c>
      <c r="G38" s="141">
        <v>357</v>
      </c>
      <c r="H38" s="141">
        <v>431669.42099999997</v>
      </c>
      <c r="I38" s="141">
        <v>357</v>
      </c>
      <c r="J38" s="141">
        <v>494991.81799999997</v>
      </c>
    </row>
    <row r="39" spans="1:10" x14ac:dyDescent="0.2">
      <c r="A39" s="139" t="s">
        <v>97</v>
      </c>
      <c r="B39" s="139" t="s">
        <v>83</v>
      </c>
      <c r="C39" s="140" t="s">
        <v>333</v>
      </c>
      <c r="D39" s="140" t="s">
        <v>344</v>
      </c>
      <c r="E39" s="141">
        <v>1620</v>
      </c>
      <c r="F39" s="141">
        <v>6793258.1049999995</v>
      </c>
      <c r="G39" s="141">
        <v>1616</v>
      </c>
      <c r="H39" s="141">
        <v>6888597.5750000002</v>
      </c>
      <c r="I39" s="141">
        <v>1628</v>
      </c>
      <c r="J39" s="141">
        <v>7471685.8590000002</v>
      </c>
    </row>
    <row r="40" spans="1:10" x14ac:dyDescent="0.2">
      <c r="A40" s="139" t="s">
        <v>98</v>
      </c>
      <c r="B40" s="139" t="s">
        <v>83</v>
      </c>
      <c r="C40" s="140" t="s">
        <v>333</v>
      </c>
      <c r="D40" s="140" t="s">
        <v>344</v>
      </c>
      <c r="E40" s="141">
        <v>970</v>
      </c>
      <c r="F40" s="141">
        <v>5520980.0599999996</v>
      </c>
      <c r="G40" s="141">
        <v>963</v>
      </c>
      <c r="H40" s="141">
        <v>3123362.23</v>
      </c>
      <c r="I40" s="141">
        <v>969</v>
      </c>
      <c r="J40" s="141">
        <v>5919764.5710000005</v>
      </c>
    </row>
    <row r="41" spans="1:10" x14ac:dyDescent="0.2">
      <c r="A41" s="138" t="s">
        <v>98</v>
      </c>
      <c r="B41" s="139" t="s">
        <v>257</v>
      </c>
      <c r="C41" s="140" t="s">
        <v>333</v>
      </c>
      <c r="D41" s="140" t="s">
        <v>345</v>
      </c>
      <c r="E41" s="141">
        <v>196</v>
      </c>
      <c r="F41" s="141">
        <v>139614.622</v>
      </c>
      <c r="G41" s="141">
        <v>195</v>
      </c>
      <c r="H41" s="141">
        <v>117444.53</v>
      </c>
      <c r="I41" s="141">
        <v>196</v>
      </c>
      <c r="J41" s="141">
        <v>127079.27499999999</v>
      </c>
    </row>
    <row r="42" spans="1:10" x14ac:dyDescent="0.2">
      <c r="A42" s="139" t="s">
        <v>99</v>
      </c>
      <c r="B42" s="139" t="s">
        <v>83</v>
      </c>
      <c r="C42" s="140" t="s">
        <v>333</v>
      </c>
      <c r="D42" s="140" t="s">
        <v>344</v>
      </c>
      <c r="E42" s="141">
        <v>321</v>
      </c>
      <c r="F42" s="141">
        <v>966951.13399999996</v>
      </c>
      <c r="G42" s="141">
        <v>321</v>
      </c>
      <c r="H42" s="141">
        <v>777450.84199999995</v>
      </c>
      <c r="I42" s="141">
        <v>319</v>
      </c>
      <c r="J42" s="141">
        <v>795189.09199999995</v>
      </c>
    </row>
    <row r="43" spans="1:10" x14ac:dyDescent="0.2">
      <c r="A43" s="138" t="s">
        <v>99</v>
      </c>
      <c r="B43" s="139" t="s">
        <v>257</v>
      </c>
      <c r="C43" s="140" t="s">
        <v>333</v>
      </c>
      <c r="D43" s="140" t="s">
        <v>345</v>
      </c>
      <c r="E43" s="141">
        <v>49</v>
      </c>
      <c r="F43" s="141">
        <v>24376.911</v>
      </c>
      <c r="G43" s="141">
        <v>50</v>
      </c>
      <c r="H43" s="141">
        <v>16612.578000000001</v>
      </c>
      <c r="I43" s="141">
        <v>50</v>
      </c>
      <c r="J43" s="141">
        <v>19171.275000000001</v>
      </c>
    </row>
    <row r="44" spans="1:10" x14ac:dyDescent="0.2">
      <c r="A44" s="139" t="s">
        <v>261</v>
      </c>
      <c r="B44" s="139" t="s">
        <v>257</v>
      </c>
      <c r="C44" s="140" t="s">
        <v>333</v>
      </c>
      <c r="D44" s="140" t="s">
        <v>345</v>
      </c>
      <c r="E44" s="141">
        <v>276</v>
      </c>
      <c r="F44" s="141">
        <v>236291.34499999997</v>
      </c>
      <c r="G44" s="141">
        <v>275</v>
      </c>
      <c r="H44" s="141">
        <v>266853.92300000001</v>
      </c>
      <c r="I44" s="141">
        <v>275</v>
      </c>
      <c r="J44" s="141">
        <v>183592.288</v>
      </c>
    </row>
    <row r="45" spans="1:10" x14ac:dyDescent="0.2">
      <c r="A45" s="139" t="s">
        <v>100</v>
      </c>
      <c r="B45" s="139" t="s">
        <v>83</v>
      </c>
      <c r="C45" s="140" t="s">
        <v>333</v>
      </c>
      <c r="D45" s="140" t="s">
        <v>344</v>
      </c>
      <c r="E45" s="141">
        <v>2005</v>
      </c>
      <c r="F45" s="141">
        <v>13386504.828</v>
      </c>
      <c r="G45" s="141">
        <v>2008</v>
      </c>
      <c r="H45" s="141">
        <v>12637799.268999999</v>
      </c>
      <c r="I45" s="141">
        <v>2009</v>
      </c>
      <c r="J45" s="141">
        <v>12100392.880999999</v>
      </c>
    </row>
    <row r="46" spans="1:10" x14ac:dyDescent="0.2">
      <c r="A46" s="138" t="s">
        <v>100</v>
      </c>
      <c r="B46" s="139" t="s">
        <v>257</v>
      </c>
      <c r="C46" s="140" t="s">
        <v>333</v>
      </c>
      <c r="D46" s="140" t="s">
        <v>345</v>
      </c>
      <c r="E46" s="141">
        <v>530</v>
      </c>
      <c r="F46" s="141">
        <v>517969.83200000005</v>
      </c>
      <c r="G46" s="141">
        <v>531</v>
      </c>
      <c r="H46" s="141">
        <v>515584.35</v>
      </c>
      <c r="I46" s="141">
        <v>531</v>
      </c>
      <c r="J46" s="141">
        <v>418995.35600000003</v>
      </c>
    </row>
    <row r="47" spans="1:10" x14ac:dyDescent="0.2">
      <c r="A47" s="139" t="s">
        <v>101</v>
      </c>
      <c r="B47" s="139" t="s">
        <v>83</v>
      </c>
      <c r="C47" s="140" t="s">
        <v>333</v>
      </c>
      <c r="D47" s="140" t="s">
        <v>344</v>
      </c>
      <c r="E47" s="141">
        <v>735</v>
      </c>
      <c r="F47" s="141">
        <v>2765571.747</v>
      </c>
      <c r="G47" s="141">
        <v>729</v>
      </c>
      <c r="H47" s="141">
        <v>2853099.4380000001</v>
      </c>
      <c r="I47" s="141">
        <v>728</v>
      </c>
      <c r="J47" s="141">
        <v>2778184.392</v>
      </c>
    </row>
    <row r="48" spans="1:10" x14ac:dyDescent="0.2">
      <c r="A48" s="138" t="s">
        <v>101</v>
      </c>
      <c r="B48" s="139" t="s">
        <v>257</v>
      </c>
      <c r="C48" s="140" t="s">
        <v>333</v>
      </c>
      <c r="D48" s="140" t="s">
        <v>345</v>
      </c>
      <c r="E48" s="141">
        <v>196</v>
      </c>
      <c r="F48" s="141">
        <v>143550.114</v>
      </c>
      <c r="G48" s="141">
        <v>195</v>
      </c>
      <c r="H48" s="141">
        <v>143357.28600000002</v>
      </c>
      <c r="I48" s="141">
        <v>195</v>
      </c>
      <c r="J48" s="141">
        <v>148550.715</v>
      </c>
    </row>
    <row r="49" spans="1:10" x14ac:dyDescent="0.2">
      <c r="A49" s="139" t="s">
        <v>102</v>
      </c>
      <c r="B49" s="139" t="s">
        <v>83</v>
      </c>
      <c r="C49" s="140" t="s">
        <v>333</v>
      </c>
      <c r="D49" s="140" t="s">
        <v>344</v>
      </c>
      <c r="E49" s="141">
        <v>1113</v>
      </c>
      <c r="F49" s="141">
        <v>7354568.2170000002</v>
      </c>
      <c r="G49" s="141">
        <v>1109</v>
      </c>
      <c r="H49" s="141">
        <v>6384123.9680000003</v>
      </c>
      <c r="I49" s="141">
        <v>1112</v>
      </c>
      <c r="J49" s="141">
        <v>8056958.9819999998</v>
      </c>
    </row>
    <row r="50" spans="1:10" x14ac:dyDescent="0.2">
      <c r="A50" s="138" t="s">
        <v>102</v>
      </c>
      <c r="B50" s="139" t="s">
        <v>257</v>
      </c>
      <c r="C50" s="140" t="s">
        <v>333</v>
      </c>
      <c r="D50" s="140" t="s">
        <v>345</v>
      </c>
      <c r="E50" s="141">
        <v>210</v>
      </c>
      <c r="F50" s="141">
        <v>183777.421</v>
      </c>
      <c r="G50" s="141">
        <v>207</v>
      </c>
      <c r="H50" s="141">
        <v>166463.16099999999</v>
      </c>
      <c r="I50" s="141">
        <v>209</v>
      </c>
      <c r="J50" s="141">
        <v>206370.769</v>
      </c>
    </row>
    <row r="51" spans="1:10" x14ac:dyDescent="0.2">
      <c r="A51" s="139" t="s">
        <v>103</v>
      </c>
      <c r="B51" s="139" t="s">
        <v>83</v>
      </c>
      <c r="C51" s="140" t="s">
        <v>333</v>
      </c>
      <c r="D51" s="140" t="s">
        <v>344</v>
      </c>
      <c r="E51" s="141">
        <v>1150</v>
      </c>
      <c r="F51" s="141">
        <v>5049085.6459999997</v>
      </c>
      <c r="G51" s="141">
        <v>1154</v>
      </c>
      <c r="H51" s="141">
        <v>4510866.5870000003</v>
      </c>
      <c r="I51" s="141">
        <v>1157</v>
      </c>
      <c r="J51" s="141">
        <v>4901484.7379999999</v>
      </c>
    </row>
    <row r="52" spans="1:10" x14ac:dyDescent="0.2">
      <c r="A52" s="138" t="s">
        <v>103</v>
      </c>
      <c r="B52" s="139" t="s">
        <v>257</v>
      </c>
      <c r="C52" s="140" t="s">
        <v>333</v>
      </c>
      <c r="D52" s="140" t="s">
        <v>345</v>
      </c>
      <c r="E52" s="141">
        <v>362</v>
      </c>
      <c r="F52" s="141">
        <v>196200.057</v>
      </c>
      <c r="G52" s="141">
        <v>362</v>
      </c>
      <c r="H52" s="141">
        <v>192379.39600000001</v>
      </c>
      <c r="I52" s="141">
        <v>359</v>
      </c>
      <c r="J52" s="141">
        <v>196719.86000000002</v>
      </c>
    </row>
    <row r="53" spans="1:10" x14ac:dyDescent="0.2">
      <c r="A53" s="139" t="s">
        <v>104</v>
      </c>
      <c r="B53" s="139" t="s">
        <v>83</v>
      </c>
      <c r="C53" s="140" t="s">
        <v>333</v>
      </c>
      <c r="D53" s="140" t="s">
        <v>344</v>
      </c>
      <c r="E53" s="141">
        <v>1133</v>
      </c>
      <c r="F53" s="141">
        <v>5415985.04</v>
      </c>
      <c r="G53" s="141">
        <v>1136</v>
      </c>
      <c r="H53" s="141">
        <v>5302514.284</v>
      </c>
      <c r="I53" s="141">
        <v>1139</v>
      </c>
      <c r="J53" s="141">
        <v>6386238.3080000002</v>
      </c>
    </row>
    <row r="54" spans="1:10" x14ac:dyDescent="0.2">
      <c r="A54" s="138" t="s">
        <v>104</v>
      </c>
      <c r="B54" s="139" t="s">
        <v>257</v>
      </c>
      <c r="C54" s="140" t="s">
        <v>333</v>
      </c>
      <c r="D54" s="140" t="s">
        <v>345</v>
      </c>
      <c r="E54" s="141">
        <v>395</v>
      </c>
      <c r="F54" s="141">
        <v>211244.565</v>
      </c>
      <c r="G54" s="141">
        <v>394</v>
      </c>
      <c r="H54" s="141">
        <v>242953.35100000002</v>
      </c>
      <c r="I54" s="141">
        <v>395</v>
      </c>
      <c r="J54" s="141">
        <v>231317.18999999997</v>
      </c>
    </row>
    <row r="55" spans="1:10" x14ac:dyDescent="0.2">
      <c r="A55" s="139" t="s">
        <v>105</v>
      </c>
      <c r="B55" s="139" t="s">
        <v>83</v>
      </c>
      <c r="C55" s="140" t="s">
        <v>333</v>
      </c>
      <c r="D55" s="140" t="s">
        <v>344</v>
      </c>
      <c r="E55" s="141">
        <v>4528</v>
      </c>
      <c r="F55" s="141">
        <v>57768682.517999992</v>
      </c>
      <c r="G55" s="141">
        <v>4529</v>
      </c>
      <c r="H55" s="141">
        <v>51626533.700999998</v>
      </c>
      <c r="I55" s="141">
        <v>4526</v>
      </c>
      <c r="J55" s="141">
        <v>54552784.699999996</v>
      </c>
    </row>
    <row r="56" spans="1:10" x14ac:dyDescent="0.2">
      <c r="A56" s="138" t="s">
        <v>105</v>
      </c>
      <c r="B56" s="139" t="s">
        <v>257</v>
      </c>
      <c r="C56" s="140" t="s">
        <v>333</v>
      </c>
      <c r="D56" s="140" t="s">
        <v>345</v>
      </c>
      <c r="E56" s="141">
        <v>2379</v>
      </c>
      <c r="F56" s="141">
        <v>2469880.8609999996</v>
      </c>
      <c r="G56" s="141">
        <v>2378</v>
      </c>
      <c r="H56" s="141">
        <v>3282667.8140000002</v>
      </c>
      <c r="I56" s="141">
        <v>2382</v>
      </c>
      <c r="J56" s="141">
        <v>1692308.1510000001</v>
      </c>
    </row>
    <row r="57" spans="1:10" x14ac:dyDescent="0.2">
      <c r="A57" s="139" t="s">
        <v>106</v>
      </c>
      <c r="B57" s="139" t="s">
        <v>83</v>
      </c>
      <c r="C57" s="140" t="s">
        <v>333</v>
      </c>
      <c r="D57" s="140" t="s">
        <v>344</v>
      </c>
      <c r="E57" s="141">
        <v>2187</v>
      </c>
      <c r="F57" s="141">
        <v>12819332.021</v>
      </c>
      <c r="G57" s="141">
        <v>2206</v>
      </c>
      <c r="H57" s="141">
        <v>12109467.416999999</v>
      </c>
      <c r="I57" s="141">
        <v>2195</v>
      </c>
      <c r="J57" s="141">
        <v>14379071.405999999</v>
      </c>
    </row>
    <row r="58" spans="1:10" x14ac:dyDescent="0.2">
      <c r="A58" s="138" t="s">
        <v>106</v>
      </c>
      <c r="B58" s="139" t="s">
        <v>257</v>
      </c>
      <c r="C58" s="140" t="s">
        <v>333</v>
      </c>
      <c r="D58" s="140" t="s">
        <v>345</v>
      </c>
      <c r="E58" s="141">
        <v>676</v>
      </c>
      <c r="F58" s="141">
        <v>365373.21799999999</v>
      </c>
      <c r="G58" s="141">
        <v>676</v>
      </c>
      <c r="H58" s="141">
        <v>350128.93799999997</v>
      </c>
      <c r="I58" s="141">
        <v>680</v>
      </c>
      <c r="J58" s="141">
        <v>404970.989</v>
      </c>
    </row>
    <row r="59" spans="1:10" x14ac:dyDescent="0.2">
      <c r="A59" s="139" t="s">
        <v>107</v>
      </c>
      <c r="B59" s="139" t="s">
        <v>83</v>
      </c>
      <c r="C59" s="140" t="s">
        <v>333</v>
      </c>
      <c r="D59" s="140" t="s">
        <v>344</v>
      </c>
      <c r="E59" s="141">
        <v>1793</v>
      </c>
      <c r="F59" s="141">
        <v>13699108.118000001</v>
      </c>
      <c r="G59" s="141">
        <v>1796</v>
      </c>
      <c r="H59" s="141">
        <v>12339457.516000001</v>
      </c>
      <c r="I59" s="141">
        <v>1796</v>
      </c>
      <c r="J59" s="141">
        <v>15485662.706</v>
      </c>
    </row>
    <row r="60" spans="1:10" x14ac:dyDescent="0.2">
      <c r="A60" s="138" t="s">
        <v>107</v>
      </c>
      <c r="B60" s="139" t="s">
        <v>257</v>
      </c>
      <c r="C60" s="140" t="s">
        <v>333</v>
      </c>
      <c r="D60" s="140" t="s">
        <v>345</v>
      </c>
      <c r="E60" s="141">
        <v>674</v>
      </c>
      <c r="F60" s="141">
        <v>497309.07900000009</v>
      </c>
      <c r="G60" s="141">
        <v>678</v>
      </c>
      <c r="H60" s="141">
        <v>435210.35399999999</v>
      </c>
      <c r="I60" s="141">
        <v>678</v>
      </c>
      <c r="J60" s="141">
        <v>449832.69900000002</v>
      </c>
    </row>
    <row r="61" spans="1:10" x14ac:dyDescent="0.2">
      <c r="A61" s="139" t="s">
        <v>262</v>
      </c>
      <c r="B61" s="139" t="s">
        <v>257</v>
      </c>
      <c r="C61" s="140" t="s">
        <v>333</v>
      </c>
      <c r="D61" s="140" t="s">
        <v>345</v>
      </c>
      <c r="E61" s="141">
        <v>824</v>
      </c>
      <c r="F61" s="141">
        <v>687117.03999999992</v>
      </c>
      <c r="G61" s="141">
        <v>827</v>
      </c>
      <c r="H61" s="141">
        <v>680114.02600000007</v>
      </c>
      <c r="I61" s="141">
        <v>825</v>
      </c>
      <c r="J61" s="141">
        <v>522308.98900000006</v>
      </c>
    </row>
    <row r="62" spans="1:10" x14ac:dyDescent="0.2">
      <c r="A62" s="139" t="s">
        <v>263</v>
      </c>
      <c r="B62" s="139" t="s">
        <v>257</v>
      </c>
      <c r="C62" s="140" t="s">
        <v>333</v>
      </c>
      <c r="D62" s="140" t="s">
        <v>345</v>
      </c>
      <c r="E62" s="141">
        <v>448</v>
      </c>
      <c r="F62" s="141">
        <v>371636.25999999995</v>
      </c>
      <c r="G62" s="141">
        <v>451</v>
      </c>
      <c r="H62" s="141">
        <v>281733.41000000003</v>
      </c>
      <c r="I62" s="141">
        <v>456</v>
      </c>
      <c r="J62" s="141">
        <v>278475.446</v>
      </c>
    </row>
    <row r="63" spans="1:10" x14ac:dyDescent="0.2">
      <c r="A63" s="139" t="s">
        <v>108</v>
      </c>
      <c r="B63" s="139" t="s">
        <v>83</v>
      </c>
      <c r="C63" s="140" t="s">
        <v>333</v>
      </c>
      <c r="D63" s="140" t="s">
        <v>344</v>
      </c>
      <c r="E63" s="141">
        <v>1360</v>
      </c>
      <c r="F63" s="141">
        <v>7112680.6950000003</v>
      </c>
      <c r="G63" s="141">
        <v>1364</v>
      </c>
      <c r="H63" s="141">
        <v>8094213.9399999995</v>
      </c>
      <c r="I63" s="141">
        <v>1365</v>
      </c>
      <c r="J63" s="141">
        <v>5148596.7010000004</v>
      </c>
    </row>
    <row r="64" spans="1:10" x14ac:dyDescent="0.2">
      <c r="A64" s="138" t="s">
        <v>108</v>
      </c>
      <c r="B64" s="139" t="s">
        <v>257</v>
      </c>
      <c r="C64" s="140" t="s">
        <v>333</v>
      </c>
      <c r="D64" s="140" t="s">
        <v>345</v>
      </c>
      <c r="E64" s="141">
        <v>271</v>
      </c>
      <c r="F64" s="141">
        <v>172917.24100000001</v>
      </c>
      <c r="G64" s="141">
        <v>272</v>
      </c>
      <c r="H64" s="141">
        <v>110525.561</v>
      </c>
      <c r="I64" s="141">
        <v>274</v>
      </c>
      <c r="J64" s="141">
        <v>112002.86200000001</v>
      </c>
    </row>
    <row r="65" spans="1:10" x14ac:dyDescent="0.2">
      <c r="A65" s="139" t="s">
        <v>109</v>
      </c>
      <c r="B65" s="139" t="s">
        <v>83</v>
      </c>
      <c r="C65" s="140" t="s">
        <v>333</v>
      </c>
      <c r="D65" s="140" t="s">
        <v>344</v>
      </c>
      <c r="E65" s="141">
        <v>113</v>
      </c>
      <c r="F65" s="141">
        <v>730755.01899999997</v>
      </c>
      <c r="G65" s="141">
        <v>113</v>
      </c>
      <c r="H65" s="141">
        <v>739863.02</v>
      </c>
      <c r="I65" s="141">
        <v>112</v>
      </c>
      <c r="J65" s="141">
        <v>763422.48499999999</v>
      </c>
    </row>
    <row r="66" spans="1:10" x14ac:dyDescent="0.2">
      <c r="A66" s="138" t="s">
        <v>109</v>
      </c>
      <c r="B66" s="139" t="s">
        <v>257</v>
      </c>
      <c r="C66" s="140" t="s">
        <v>333</v>
      </c>
      <c r="D66" s="140" t="s">
        <v>345</v>
      </c>
      <c r="E66" s="141">
        <v>10</v>
      </c>
      <c r="F66" s="141">
        <v>15401.47</v>
      </c>
      <c r="G66" s="141">
        <v>10</v>
      </c>
      <c r="H66" s="141">
        <v>16750.809000000001</v>
      </c>
      <c r="I66" s="141">
        <v>10</v>
      </c>
      <c r="J66" s="141">
        <v>21223.406999999999</v>
      </c>
    </row>
    <row r="67" spans="1:10" x14ac:dyDescent="0.2">
      <c r="A67" s="139" t="s">
        <v>110</v>
      </c>
      <c r="B67" s="139" t="s">
        <v>83</v>
      </c>
      <c r="C67" s="140" t="s">
        <v>333</v>
      </c>
      <c r="D67" s="140" t="s">
        <v>344</v>
      </c>
      <c r="E67" s="141">
        <v>702</v>
      </c>
      <c r="F67" s="141">
        <v>4940119.5329999998</v>
      </c>
      <c r="G67" s="141">
        <v>700</v>
      </c>
      <c r="H67" s="141">
        <v>4116676.6409999998</v>
      </c>
      <c r="I67" s="141">
        <v>695</v>
      </c>
      <c r="J67" s="141">
        <v>4505734.21</v>
      </c>
    </row>
    <row r="68" spans="1:10" x14ac:dyDescent="0.2">
      <c r="A68" s="138" t="s">
        <v>110</v>
      </c>
      <c r="B68" s="139" t="s">
        <v>257</v>
      </c>
      <c r="C68" s="140" t="s">
        <v>333</v>
      </c>
      <c r="D68" s="140" t="s">
        <v>345</v>
      </c>
      <c r="E68" s="141">
        <v>187</v>
      </c>
      <c r="F68" s="141">
        <v>242137.41899999999</v>
      </c>
      <c r="G68" s="141">
        <v>183</v>
      </c>
      <c r="H68" s="141">
        <v>201799.36800000002</v>
      </c>
      <c r="I68" s="141">
        <v>183</v>
      </c>
      <c r="J68" s="141">
        <v>231330.37699999998</v>
      </c>
    </row>
    <row r="69" spans="1:10" x14ac:dyDescent="0.2">
      <c r="A69" s="139" t="s">
        <v>111</v>
      </c>
      <c r="B69" s="139" t="s">
        <v>83</v>
      </c>
      <c r="C69" s="140" t="s">
        <v>333</v>
      </c>
      <c r="D69" s="140" t="s">
        <v>344</v>
      </c>
      <c r="E69" s="141">
        <v>1273</v>
      </c>
      <c r="F69" s="141">
        <v>8847805.7009999994</v>
      </c>
      <c r="G69" s="141">
        <v>1276</v>
      </c>
      <c r="H69" s="141">
        <v>5410896.1720000003</v>
      </c>
      <c r="I69" s="141">
        <v>1279</v>
      </c>
      <c r="J69" s="141">
        <v>5801412.432</v>
      </c>
    </row>
    <row r="70" spans="1:10" x14ac:dyDescent="0.2">
      <c r="A70" s="138" t="s">
        <v>111</v>
      </c>
      <c r="B70" s="139" t="s">
        <v>257</v>
      </c>
      <c r="C70" s="140" t="s">
        <v>333</v>
      </c>
      <c r="D70" s="140" t="s">
        <v>345</v>
      </c>
      <c r="E70" s="141">
        <v>333</v>
      </c>
      <c r="F70" s="141">
        <v>240167.24400000001</v>
      </c>
      <c r="G70" s="141">
        <v>336</v>
      </c>
      <c r="H70" s="141">
        <v>208547.99899999998</v>
      </c>
      <c r="I70" s="141">
        <v>335</v>
      </c>
      <c r="J70" s="141">
        <v>199633.71</v>
      </c>
    </row>
    <row r="71" spans="1:10" x14ac:dyDescent="0.2">
      <c r="A71" s="139" t="s">
        <v>264</v>
      </c>
      <c r="B71" s="139" t="s">
        <v>257</v>
      </c>
      <c r="C71" s="140" t="s">
        <v>333</v>
      </c>
      <c r="D71" s="140" t="s">
        <v>345</v>
      </c>
      <c r="E71" s="141">
        <v>269</v>
      </c>
      <c r="F71" s="141">
        <v>163973.576</v>
      </c>
      <c r="G71" s="141">
        <v>269</v>
      </c>
      <c r="H71" s="141">
        <v>169576.785</v>
      </c>
      <c r="I71" s="141">
        <v>269</v>
      </c>
      <c r="J71" s="141">
        <v>169962.264</v>
      </c>
    </row>
    <row r="72" spans="1:10" x14ac:dyDescent="0.2">
      <c r="A72" s="139" t="s">
        <v>112</v>
      </c>
      <c r="B72" s="139" t="s">
        <v>83</v>
      </c>
      <c r="C72" s="140" t="s">
        <v>333</v>
      </c>
      <c r="D72" s="140" t="s">
        <v>344</v>
      </c>
      <c r="E72" s="141">
        <v>538</v>
      </c>
      <c r="F72" s="141">
        <v>1924622.675</v>
      </c>
      <c r="G72" s="141">
        <v>533</v>
      </c>
      <c r="H72" s="141">
        <v>1837579.6569999999</v>
      </c>
      <c r="I72" s="141">
        <v>533</v>
      </c>
      <c r="J72" s="141">
        <v>2408520.3319999999</v>
      </c>
    </row>
    <row r="73" spans="1:10" x14ac:dyDescent="0.2">
      <c r="A73" s="138" t="s">
        <v>112</v>
      </c>
      <c r="B73" s="139" t="s">
        <v>257</v>
      </c>
      <c r="C73" s="140" t="s">
        <v>333</v>
      </c>
      <c r="D73" s="140" t="s">
        <v>345</v>
      </c>
      <c r="E73" s="141">
        <v>272</v>
      </c>
      <c r="F73" s="141">
        <v>133620.247</v>
      </c>
      <c r="G73" s="141">
        <v>271</v>
      </c>
      <c r="H73" s="141">
        <v>99585.641000000003</v>
      </c>
      <c r="I73" s="141">
        <v>272</v>
      </c>
      <c r="J73" s="141">
        <v>115692.645</v>
      </c>
    </row>
    <row r="74" spans="1:10" x14ac:dyDescent="0.2">
      <c r="A74" s="139" t="s">
        <v>113</v>
      </c>
      <c r="B74" s="139" t="s">
        <v>83</v>
      </c>
      <c r="C74" s="140" t="s">
        <v>333</v>
      </c>
      <c r="D74" s="140" t="s">
        <v>344</v>
      </c>
      <c r="E74" s="141">
        <v>388</v>
      </c>
      <c r="F74" s="141">
        <v>1550911.8729999999</v>
      </c>
      <c r="G74" s="141">
        <v>386</v>
      </c>
      <c r="H74" s="141">
        <v>1409829.5360000001</v>
      </c>
      <c r="I74" s="141">
        <v>388</v>
      </c>
      <c r="J74" s="141">
        <v>1506877.933</v>
      </c>
    </row>
    <row r="75" spans="1:10" x14ac:dyDescent="0.2">
      <c r="A75" s="138" t="s">
        <v>113</v>
      </c>
      <c r="B75" s="139" t="s">
        <v>257</v>
      </c>
      <c r="C75" s="140" t="s">
        <v>333</v>
      </c>
      <c r="D75" s="140" t="s">
        <v>345</v>
      </c>
      <c r="E75" s="141">
        <v>135</v>
      </c>
      <c r="F75" s="141">
        <v>67533.173999999999</v>
      </c>
      <c r="G75" s="141">
        <v>136</v>
      </c>
      <c r="H75" s="141">
        <v>62229.334000000003</v>
      </c>
      <c r="I75" s="141">
        <v>137</v>
      </c>
      <c r="J75" s="141">
        <v>68669.866999999998</v>
      </c>
    </row>
    <row r="76" spans="1:10" x14ac:dyDescent="0.2">
      <c r="A76" s="139" t="s">
        <v>114</v>
      </c>
      <c r="B76" s="139" t="s">
        <v>83</v>
      </c>
      <c r="C76" s="140" t="s">
        <v>333</v>
      </c>
      <c r="D76" s="140" t="s">
        <v>344</v>
      </c>
      <c r="E76" s="141">
        <v>72</v>
      </c>
      <c r="F76" s="141">
        <v>239790.603</v>
      </c>
      <c r="G76" s="141">
        <v>72</v>
      </c>
      <c r="H76" s="141">
        <v>280263.16599999997</v>
      </c>
      <c r="I76" s="141">
        <v>71</v>
      </c>
      <c r="J76" s="141">
        <v>299930.16599999997</v>
      </c>
    </row>
    <row r="77" spans="1:10" x14ac:dyDescent="0.2">
      <c r="A77" s="139" t="s">
        <v>115</v>
      </c>
      <c r="B77" s="139" t="s">
        <v>83</v>
      </c>
      <c r="C77" s="140" t="s">
        <v>333</v>
      </c>
      <c r="D77" s="140" t="s">
        <v>344</v>
      </c>
      <c r="E77" s="141">
        <v>295</v>
      </c>
      <c r="F77" s="141">
        <v>930218.56599999999</v>
      </c>
      <c r="G77" s="141">
        <v>297</v>
      </c>
      <c r="H77" s="141">
        <v>834108.66599999997</v>
      </c>
      <c r="I77" s="141">
        <v>295</v>
      </c>
      <c r="J77" s="141">
        <v>1637660.3330000001</v>
      </c>
    </row>
    <row r="78" spans="1:10" x14ac:dyDescent="0.2">
      <c r="A78" s="138" t="s">
        <v>115</v>
      </c>
      <c r="B78" s="139" t="s">
        <v>257</v>
      </c>
      <c r="C78" s="140" t="s">
        <v>333</v>
      </c>
      <c r="D78" s="140" t="s">
        <v>345</v>
      </c>
      <c r="E78" s="141">
        <v>1</v>
      </c>
      <c r="F78" s="141">
        <v>5575.9139999999998</v>
      </c>
      <c r="G78" s="141">
        <v>1</v>
      </c>
      <c r="H78" s="141">
        <v>5779.7330000000002</v>
      </c>
      <c r="I78" s="141">
        <v>1</v>
      </c>
      <c r="J78" s="141">
        <v>8375.5409999999993</v>
      </c>
    </row>
    <row r="79" spans="1:10" x14ac:dyDescent="0.2">
      <c r="A79" s="139" t="s">
        <v>116</v>
      </c>
      <c r="B79" s="139" t="s">
        <v>83</v>
      </c>
      <c r="C79" s="140" t="s">
        <v>333</v>
      </c>
      <c r="D79" s="140" t="s">
        <v>344</v>
      </c>
      <c r="E79" s="141">
        <v>3878</v>
      </c>
      <c r="F79" s="141">
        <v>68750277.557999998</v>
      </c>
      <c r="G79" s="141">
        <v>3869</v>
      </c>
      <c r="H79" s="141">
        <v>82538968.634000003</v>
      </c>
      <c r="I79" s="141">
        <v>3873</v>
      </c>
      <c r="J79" s="141">
        <v>48973465.815000005</v>
      </c>
    </row>
    <row r="80" spans="1:10" x14ac:dyDescent="0.2">
      <c r="A80" s="138" t="s">
        <v>116</v>
      </c>
      <c r="B80" s="139" t="s">
        <v>257</v>
      </c>
      <c r="C80" s="140" t="s">
        <v>333</v>
      </c>
      <c r="D80" s="140" t="s">
        <v>345</v>
      </c>
      <c r="E80" s="141">
        <v>1580</v>
      </c>
      <c r="F80" s="141">
        <v>1289709.673</v>
      </c>
      <c r="G80" s="141">
        <v>1586</v>
      </c>
      <c r="H80" s="141">
        <v>1377604.3470000003</v>
      </c>
      <c r="I80" s="141">
        <v>1584</v>
      </c>
      <c r="J80" s="141">
        <v>1294056.3359999999</v>
      </c>
    </row>
    <row r="81" spans="1:10" x14ac:dyDescent="0.2">
      <c r="A81" s="139" t="s">
        <v>117</v>
      </c>
      <c r="B81" s="139" t="s">
        <v>83</v>
      </c>
      <c r="C81" s="140" t="s">
        <v>333</v>
      </c>
      <c r="D81" s="140" t="s">
        <v>344</v>
      </c>
      <c r="E81" s="141">
        <v>664</v>
      </c>
      <c r="F81" s="141">
        <v>11855989.75</v>
      </c>
      <c r="G81" s="141">
        <v>664</v>
      </c>
      <c r="H81" s="141">
        <v>9242886.9560000002</v>
      </c>
      <c r="I81" s="141">
        <v>661</v>
      </c>
      <c r="J81" s="141">
        <v>11452517.85</v>
      </c>
    </row>
    <row r="82" spans="1:10" x14ac:dyDescent="0.2">
      <c r="A82" s="138" t="s">
        <v>117</v>
      </c>
      <c r="B82" s="139" t="s">
        <v>257</v>
      </c>
      <c r="C82" s="140" t="s">
        <v>333</v>
      </c>
      <c r="D82" s="140" t="s">
        <v>345</v>
      </c>
      <c r="E82" s="141">
        <v>140</v>
      </c>
      <c r="F82" s="141">
        <v>115589.47200000001</v>
      </c>
      <c r="G82" s="141">
        <v>140</v>
      </c>
      <c r="H82" s="141">
        <v>78725.741000000009</v>
      </c>
      <c r="I82" s="141">
        <v>139</v>
      </c>
      <c r="J82" s="141">
        <v>119385.38099999999</v>
      </c>
    </row>
    <row r="83" spans="1:10" x14ac:dyDescent="0.2">
      <c r="A83" s="139" t="s">
        <v>118</v>
      </c>
      <c r="B83" s="139" t="s">
        <v>83</v>
      </c>
      <c r="C83" s="140" t="s">
        <v>333</v>
      </c>
      <c r="D83" s="140" t="s">
        <v>344</v>
      </c>
      <c r="E83" s="141">
        <v>825</v>
      </c>
      <c r="F83" s="141">
        <v>15293299.286000002</v>
      </c>
      <c r="G83" s="141">
        <v>826</v>
      </c>
      <c r="H83" s="141">
        <v>16098107.307</v>
      </c>
      <c r="I83" s="141">
        <v>821</v>
      </c>
      <c r="J83" s="141">
        <v>14103576.938999999</v>
      </c>
    </row>
    <row r="84" spans="1:10" x14ac:dyDescent="0.2">
      <c r="A84" s="138" t="s">
        <v>118</v>
      </c>
      <c r="B84" s="139" t="s">
        <v>257</v>
      </c>
      <c r="C84" s="140" t="s">
        <v>333</v>
      </c>
      <c r="D84" s="140" t="s">
        <v>345</v>
      </c>
      <c r="E84" s="141">
        <v>140</v>
      </c>
      <c r="F84" s="141">
        <v>716223.28200000001</v>
      </c>
      <c r="G84" s="141">
        <v>139</v>
      </c>
      <c r="H84" s="141">
        <v>628028.77799999993</v>
      </c>
      <c r="I84" s="141">
        <v>138</v>
      </c>
      <c r="J84" s="141">
        <v>609482.77</v>
      </c>
    </row>
    <row r="85" spans="1:10" x14ac:dyDescent="0.2">
      <c r="A85" s="139" t="s">
        <v>119</v>
      </c>
      <c r="B85" s="139" t="s">
        <v>83</v>
      </c>
      <c r="C85" s="140" t="s">
        <v>333</v>
      </c>
      <c r="D85" s="140" t="s">
        <v>344</v>
      </c>
      <c r="E85" s="141">
        <v>937</v>
      </c>
      <c r="F85" s="141">
        <v>5914658.6969999997</v>
      </c>
      <c r="G85" s="141">
        <v>941</v>
      </c>
      <c r="H85" s="141">
        <v>4447277.5269999998</v>
      </c>
      <c r="I85" s="141">
        <v>939</v>
      </c>
      <c r="J85" s="141">
        <v>4838227.0599999996</v>
      </c>
    </row>
    <row r="86" spans="1:10" x14ac:dyDescent="0.2">
      <c r="A86" s="138" t="s">
        <v>119</v>
      </c>
      <c r="B86" s="139" t="s">
        <v>257</v>
      </c>
      <c r="C86" s="140" t="s">
        <v>333</v>
      </c>
      <c r="D86" s="140" t="s">
        <v>345</v>
      </c>
      <c r="E86" s="141">
        <v>221</v>
      </c>
      <c r="F86" s="141">
        <v>139720.48699999999</v>
      </c>
      <c r="G86" s="141">
        <v>221</v>
      </c>
      <c r="H86" s="141">
        <v>140629.93000000002</v>
      </c>
      <c r="I86" s="141">
        <v>220</v>
      </c>
      <c r="J86" s="141">
        <v>123838.815</v>
      </c>
    </row>
    <row r="87" spans="1:10" x14ac:dyDescent="0.2">
      <c r="A87" s="139" t="s">
        <v>120</v>
      </c>
      <c r="B87" s="139" t="s">
        <v>83</v>
      </c>
      <c r="C87" s="140" t="s">
        <v>333</v>
      </c>
      <c r="D87" s="140" t="s">
        <v>344</v>
      </c>
      <c r="E87" s="141">
        <v>1889</v>
      </c>
      <c r="F87" s="141">
        <v>23641029.232000001</v>
      </c>
      <c r="G87" s="141">
        <v>1889</v>
      </c>
      <c r="H87" s="141">
        <v>25905892.119000003</v>
      </c>
      <c r="I87" s="141">
        <v>1891</v>
      </c>
      <c r="J87" s="141">
        <v>23057930.800000001</v>
      </c>
    </row>
    <row r="88" spans="1:10" x14ac:dyDescent="0.2">
      <c r="A88" s="138" t="s">
        <v>120</v>
      </c>
      <c r="B88" s="139" t="s">
        <v>257</v>
      </c>
      <c r="C88" s="140" t="s">
        <v>333</v>
      </c>
      <c r="D88" s="140" t="s">
        <v>345</v>
      </c>
      <c r="E88" s="141">
        <v>996</v>
      </c>
      <c r="F88" s="141">
        <v>1087015.99</v>
      </c>
      <c r="G88" s="141">
        <v>999</v>
      </c>
      <c r="H88" s="141">
        <v>1306688.0279999999</v>
      </c>
      <c r="I88" s="141">
        <v>1001</v>
      </c>
      <c r="J88" s="141">
        <v>899995.47199999995</v>
      </c>
    </row>
    <row r="89" spans="1:10" x14ac:dyDescent="0.2">
      <c r="A89" s="139" t="s">
        <v>121</v>
      </c>
      <c r="B89" s="139" t="s">
        <v>83</v>
      </c>
      <c r="C89" s="140" t="s">
        <v>333</v>
      </c>
      <c r="D89" s="140" t="s">
        <v>344</v>
      </c>
      <c r="E89" s="141">
        <v>984</v>
      </c>
      <c r="F89" s="141">
        <v>3814267.0929999999</v>
      </c>
      <c r="G89" s="141">
        <v>980</v>
      </c>
      <c r="H89" s="141">
        <v>4706781.2309999997</v>
      </c>
      <c r="I89" s="141">
        <v>970</v>
      </c>
      <c r="J89" s="141">
        <v>3029929.753</v>
      </c>
    </row>
    <row r="90" spans="1:10" x14ac:dyDescent="0.2">
      <c r="A90" s="138" t="s">
        <v>121</v>
      </c>
      <c r="B90" s="139" t="s">
        <v>257</v>
      </c>
      <c r="C90" s="140" t="s">
        <v>333</v>
      </c>
      <c r="D90" s="140" t="s">
        <v>345</v>
      </c>
      <c r="E90" s="141">
        <v>134</v>
      </c>
      <c r="F90" s="141">
        <v>117816.75900000001</v>
      </c>
      <c r="G90" s="141">
        <v>134</v>
      </c>
      <c r="H90" s="141">
        <v>87070.1</v>
      </c>
      <c r="I90" s="141">
        <v>133</v>
      </c>
      <c r="J90" s="141">
        <v>133712.15400000001</v>
      </c>
    </row>
    <row r="91" spans="1:10" x14ac:dyDescent="0.2">
      <c r="A91" s="139" t="s">
        <v>122</v>
      </c>
      <c r="B91" s="139" t="s">
        <v>83</v>
      </c>
      <c r="C91" s="140" t="s">
        <v>333</v>
      </c>
      <c r="D91" s="140" t="s">
        <v>344</v>
      </c>
      <c r="E91" s="141">
        <v>1030</v>
      </c>
      <c r="F91" s="141">
        <v>3946870.0359999998</v>
      </c>
      <c r="G91" s="141">
        <v>1027</v>
      </c>
      <c r="H91" s="141">
        <v>4027779.852</v>
      </c>
      <c r="I91" s="141">
        <v>1026</v>
      </c>
      <c r="J91" s="141">
        <v>4110042.5049999999</v>
      </c>
    </row>
    <row r="92" spans="1:10" x14ac:dyDescent="0.2">
      <c r="A92" s="138" t="s">
        <v>122</v>
      </c>
      <c r="B92" s="139" t="s">
        <v>257</v>
      </c>
      <c r="C92" s="140" t="s">
        <v>333</v>
      </c>
      <c r="D92" s="140" t="s">
        <v>345</v>
      </c>
      <c r="E92" s="141">
        <v>214</v>
      </c>
      <c r="F92" s="141">
        <v>190566.21899999998</v>
      </c>
      <c r="G92" s="141">
        <v>214</v>
      </c>
      <c r="H92" s="141">
        <v>141608.08099999998</v>
      </c>
      <c r="I92" s="141">
        <v>214</v>
      </c>
      <c r="J92" s="141">
        <v>215911.02799999999</v>
      </c>
    </row>
    <row r="93" spans="1:10" x14ac:dyDescent="0.2">
      <c r="A93" s="139" t="s">
        <v>123</v>
      </c>
      <c r="B93" s="139" t="s">
        <v>83</v>
      </c>
      <c r="C93" s="140" t="s">
        <v>333</v>
      </c>
      <c r="D93" s="140" t="s">
        <v>344</v>
      </c>
      <c r="E93" s="141">
        <v>669</v>
      </c>
      <c r="F93" s="141">
        <v>4903380.0219999999</v>
      </c>
      <c r="G93" s="141">
        <v>671</v>
      </c>
      <c r="H93" s="141">
        <v>3190856.7569999998</v>
      </c>
      <c r="I93" s="141">
        <v>666</v>
      </c>
      <c r="J93" s="141">
        <v>3815673.4239999996</v>
      </c>
    </row>
    <row r="94" spans="1:10" x14ac:dyDescent="0.2">
      <c r="A94" s="138" t="s">
        <v>123</v>
      </c>
      <c r="B94" s="139" t="s">
        <v>257</v>
      </c>
      <c r="C94" s="140" t="s">
        <v>333</v>
      </c>
      <c r="D94" s="140" t="s">
        <v>345</v>
      </c>
      <c r="E94" s="141">
        <v>251</v>
      </c>
      <c r="F94" s="141">
        <v>206196.24100000001</v>
      </c>
      <c r="G94" s="141">
        <v>253</v>
      </c>
      <c r="H94" s="141">
        <v>141942.86200000002</v>
      </c>
      <c r="I94" s="141">
        <v>253</v>
      </c>
      <c r="J94" s="141">
        <v>167524.462</v>
      </c>
    </row>
    <row r="95" spans="1:10" x14ac:dyDescent="0.2">
      <c r="A95" s="139" t="s">
        <v>124</v>
      </c>
      <c r="B95" s="139" t="s">
        <v>83</v>
      </c>
      <c r="C95" s="140" t="s">
        <v>333</v>
      </c>
      <c r="D95" s="140" t="s">
        <v>344</v>
      </c>
      <c r="E95" s="141">
        <v>120</v>
      </c>
      <c r="F95" s="141">
        <v>2182354.1749999998</v>
      </c>
      <c r="G95" s="141">
        <v>121</v>
      </c>
      <c r="H95" s="141">
        <v>1085292.8259999999</v>
      </c>
      <c r="I95" s="141">
        <v>118</v>
      </c>
      <c r="J95" s="141">
        <v>2078023.263</v>
      </c>
    </row>
    <row r="96" spans="1:10" x14ac:dyDescent="0.2">
      <c r="A96" s="139" t="s">
        <v>125</v>
      </c>
      <c r="B96" s="139" t="s">
        <v>83</v>
      </c>
      <c r="C96" s="140" t="s">
        <v>333</v>
      </c>
      <c r="D96" s="140" t="s">
        <v>344</v>
      </c>
      <c r="E96" s="141">
        <v>1060</v>
      </c>
      <c r="F96" s="141">
        <v>2598911.034</v>
      </c>
      <c r="G96" s="141">
        <v>1056</v>
      </c>
      <c r="H96" s="141">
        <v>2413877.392</v>
      </c>
      <c r="I96" s="141">
        <v>1056</v>
      </c>
      <c r="J96" s="141">
        <v>2420276.4410000001</v>
      </c>
    </row>
    <row r="97" spans="1:10" x14ac:dyDescent="0.2">
      <c r="A97" s="138" t="s">
        <v>125</v>
      </c>
      <c r="B97" s="139" t="s">
        <v>257</v>
      </c>
      <c r="C97" s="140" t="s">
        <v>333</v>
      </c>
      <c r="D97" s="140" t="s">
        <v>345</v>
      </c>
      <c r="E97" s="141">
        <v>155</v>
      </c>
      <c r="F97" s="141">
        <v>62041.383000000002</v>
      </c>
      <c r="G97" s="141">
        <v>156</v>
      </c>
      <c r="H97" s="141">
        <v>61524.608</v>
      </c>
      <c r="I97" s="141">
        <v>155</v>
      </c>
      <c r="J97" s="141">
        <v>60119.411999999997</v>
      </c>
    </row>
    <row r="98" spans="1:10" x14ac:dyDescent="0.2">
      <c r="A98" s="139" t="s">
        <v>126</v>
      </c>
      <c r="B98" s="139" t="s">
        <v>83</v>
      </c>
      <c r="C98" s="140" t="s">
        <v>333</v>
      </c>
      <c r="D98" s="140" t="s">
        <v>344</v>
      </c>
      <c r="E98" s="141">
        <v>1703</v>
      </c>
      <c r="F98" s="141">
        <v>8720303.2149999999</v>
      </c>
      <c r="G98" s="141">
        <v>1690</v>
      </c>
      <c r="H98" s="141">
        <v>9599247.8539999984</v>
      </c>
      <c r="I98" s="141">
        <v>1686</v>
      </c>
      <c r="J98" s="141">
        <v>9315366.0649999995</v>
      </c>
    </row>
    <row r="99" spans="1:10" x14ac:dyDescent="0.2">
      <c r="A99" s="138" t="s">
        <v>126</v>
      </c>
      <c r="B99" s="139" t="s">
        <v>257</v>
      </c>
      <c r="C99" s="140" t="s">
        <v>333</v>
      </c>
      <c r="D99" s="140" t="s">
        <v>345</v>
      </c>
      <c r="E99" s="141">
        <v>901</v>
      </c>
      <c r="F99" s="141">
        <v>797282.34399999992</v>
      </c>
      <c r="G99" s="141">
        <v>895</v>
      </c>
      <c r="H99" s="141">
        <v>1065785.32</v>
      </c>
      <c r="I99" s="141">
        <v>895</v>
      </c>
      <c r="J99" s="141">
        <v>667662.48899999994</v>
      </c>
    </row>
    <row r="100" spans="1:10" x14ac:dyDescent="0.2">
      <c r="A100" s="139" t="s">
        <v>127</v>
      </c>
      <c r="B100" s="139" t="s">
        <v>83</v>
      </c>
      <c r="C100" s="140" t="s">
        <v>333</v>
      </c>
      <c r="D100" s="140" t="s">
        <v>344</v>
      </c>
      <c r="E100" s="141">
        <v>550</v>
      </c>
      <c r="F100" s="141">
        <v>2574215.2999999998</v>
      </c>
      <c r="G100" s="141">
        <v>549</v>
      </c>
      <c r="H100" s="141">
        <v>2260162.1329999999</v>
      </c>
      <c r="I100" s="141">
        <v>552</v>
      </c>
      <c r="J100" s="141">
        <v>2796673.196</v>
      </c>
    </row>
    <row r="101" spans="1:10" x14ac:dyDescent="0.2">
      <c r="A101" s="138" t="s">
        <v>127</v>
      </c>
      <c r="B101" s="139" t="s">
        <v>257</v>
      </c>
      <c r="C101" s="140" t="s">
        <v>333</v>
      </c>
      <c r="D101" s="140" t="s">
        <v>345</v>
      </c>
      <c r="E101" s="141">
        <v>111</v>
      </c>
      <c r="F101" s="141">
        <v>85889.2</v>
      </c>
      <c r="G101" s="141">
        <v>111</v>
      </c>
      <c r="H101" s="141">
        <v>72683.039999999994</v>
      </c>
      <c r="I101" s="141">
        <v>111</v>
      </c>
      <c r="J101" s="141">
        <v>100079.016</v>
      </c>
    </row>
    <row r="102" spans="1:10" x14ac:dyDescent="0.2">
      <c r="A102" s="139" t="s">
        <v>128</v>
      </c>
      <c r="B102" s="139" t="s">
        <v>83</v>
      </c>
      <c r="C102" s="140" t="s">
        <v>333</v>
      </c>
      <c r="D102" s="140" t="s">
        <v>344</v>
      </c>
      <c r="E102" s="141">
        <v>492</v>
      </c>
      <c r="F102" s="141">
        <v>2164873.4569999999</v>
      </c>
      <c r="G102" s="141">
        <v>492</v>
      </c>
      <c r="H102" s="141">
        <v>1684387.9909999999</v>
      </c>
      <c r="I102" s="141">
        <v>487</v>
      </c>
      <c r="J102" s="141">
        <v>1625838.318</v>
      </c>
    </row>
    <row r="103" spans="1:10" x14ac:dyDescent="0.2">
      <c r="A103" s="138" t="s">
        <v>128</v>
      </c>
      <c r="B103" s="139" t="s">
        <v>257</v>
      </c>
      <c r="C103" s="140" t="s">
        <v>333</v>
      </c>
      <c r="D103" s="140" t="s">
        <v>345</v>
      </c>
      <c r="E103" s="141">
        <v>74</v>
      </c>
      <c r="F103" s="141">
        <v>90734.455000000002</v>
      </c>
      <c r="G103" s="141">
        <v>73</v>
      </c>
      <c r="H103" s="141">
        <v>78280.837</v>
      </c>
      <c r="I103" s="141">
        <v>73</v>
      </c>
      <c r="J103" s="141">
        <v>77798.972999999998</v>
      </c>
    </row>
    <row r="104" spans="1:10" x14ac:dyDescent="0.2">
      <c r="A104" s="139" t="s">
        <v>129</v>
      </c>
      <c r="B104" s="139" t="s">
        <v>83</v>
      </c>
      <c r="C104" s="140" t="s">
        <v>333</v>
      </c>
      <c r="D104" s="140" t="s">
        <v>344</v>
      </c>
      <c r="E104" s="141">
        <v>303</v>
      </c>
      <c r="F104" s="141">
        <v>898942.80599999998</v>
      </c>
      <c r="G104" s="141">
        <v>304</v>
      </c>
      <c r="H104" s="141">
        <v>902438.37699999998</v>
      </c>
      <c r="I104" s="141">
        <v>305</v>
      </c>
      <c r="J104" s="141">
        <v>908765.35699999996</v>
      </c>
    </row>
    <row r="105" spans="1:10" x14ac:dyDescent="0.2">
      <c r="A105" s="138" t="s">
        <v>129</v>
      </c>
      <c r="B105" s="139" t="s">
        <v>257</v>
      </c>
      <c r="C105" s="140" t="s">
        <v>333</v>
      </c>
      <c r="D105" s="140" t="s">
        <v>345</v>
      </c>
      <c r="E105" s="141">
        <v>32</v>
      </c>
      <c r="F105" s="141">
        <v>38270.591</v>
      </c>
      <c r="G105" s="141">
        <v>32</v>
      </c>
      <c r="H105" s="141">
        <v>28890.517</v>
      </c>
      <c r="I105" s="141">
        <v>32</v>
      </c>
      <c r="J105" s="141">
        <v>31777.024000000001</v>
      </c>
    </row>
    <row r="106" spans="1:10" x14ac:dyDescent="0.2">
      <c r="A106" s="139" t="s">
        <v>265</v>
      </c>
      <c r="B106" s="139" t="s">
        <v>257</v>
      </c>
      <c r="C106" s="140" t="s">
        <v>333</v>
      </c>
      <c r="D106" s="140" t="s">
        <v>345</v>
      </c>
      <c r="E106" s="141">
        <v>307</v>
      </c>
      <c r="F106" s="141">
        <v>172770.93100000001</v>
      </c>
      <c r="G106" s="141">
        <v>308</v>
      </c>
      <c r="H106" s="141">
        <v>174132.26400000002</v>
      </c>
      <c r="I106" s="141">
        <v>309</v>
      </c>
      <c r="J106" s="141">
        <v>174518.29200000002</v>
      </c>
    </row>
    <row r="107" spans="1:10" x14ac:dyDescent="0.2">
      <c r="A107" s="139" t="s">
        <v>130</v>
      </c>
      <c r="B107" s="139" t="s">
        <v>83</v>
      </c>
      <c r="C107" s="140" t="s">
        <v>333</v>
      </c>
      <c r="D107" s="140" t="s">
        <v>344</v>
      </c>
      <c r="E107" s="141">
        <v>1541</v>
      </c>
      <c r="F107" s="141">
        <v>6085345.2220000001</v>
      </c>
      <c r="G107" s="141">
        <v>1538</v>
      </c>
      <c r="H107" s="141">
        <v>5114607.0520000001</v>
      </c>
      <c r="I107" s="141">
        <v>1544</v>
      </c>
      <c r="J107" s="141">
        <v>7754684.2520000003</v>
      </c>
    </row>
    <row r="108" spans="1:10" x14ac:dyDescent="0.2">
      <c r="A108" s="138" t="s">
        <v>130</v>
      </c>
      <c r="B108" s="139" t="s">
        <v>257</v>
      </c>
      <c r="C108" s="140" t="s">
        <v>333</v>
      </c>
      <c r="D108" s="140" t="s">
        <v>345</v>
      </c>
      <c r="E108" s="141">
        <v>186</v>
      </c>
      <c r="F108" s="141">
        <v>172571.38200000001</v>
      </c>
      <c r="G108" s="141">
        <v>185</v>
      </c>
      <c r="H108" s="141">
        <v>154166.052</v>
      </c>
      <c r="I108" s="141">
        <v>185</v>
      </c>
      <c r="J108" s="141">
        <v>165275.48500000002</v>
      </c>
    </row>
    <row r="109" spans="1:10" x14ac:dyDescent="0.2">
      <c r="A109" s="139" t="s">
        <v>266</v>
      </c>
      <c r="B109" s="139" t="s">
        <v>257</v>
      </c>
      <c r="C109" s="140" t="s">
        <v>333</v>
      </c>
      <c r="D109" s="140" t="s">
        <v>345</v>
      </c>
      <c r="E109" s="141">
        <v>399</v>
      </c>
      <c r="F109" s="141">
        <v>2585970.3249999997</v>
      </c>
      <c r="G109" s="141">
        <v>398</v>
      </c>
      <c r="H109" s="141">
        <v>3564348.1630000002</v>
      </c>
      <c r="I109" s="141">
        <v>400</v>
      </c>
      <c r="J109" s="141">
        <v>921136.68400000001</v>
      </c>
    </row>
    <row r="110" spans="1:10" x14ac:dyDescent="0.2">
      <c r="A110" s="139" t="s">
        <v>267</v>
      </c>
      <c r="B110" s="139" t="s">
        <v>257</v>
      </c>
      <c r="C110" s="140" t="s">
        <v>333</v>
      </c>
      <c r="D110" s="140" t="s">
        <v>345</v>
      </c>
      <c r="E110" s="141">
        <v>551</v>
      </c>
      <c r="F110" s="141">
        <v>336179.45799999998</v>
      </c>
      <c r="G110" s="141">
        <v>551</v>
      </c>
      <c r="H110" s="141">
        <v>349969.924</v>
      </c>
      <c r="I110" s="141">
        <v>551</v>
      </c>
      <c r="J110" s="141">
        <v>337748.45399999997</v>
      </c>
    </row>
    <row r="111" spans="1:10" x14ac:dyDescent="0.2">
      <c r="A111" s="139" t="s">
        <v>268</v>
      </c>
      <c r="B111" s="139" t="s">
        <v>257</v>
      </c>
      <c r="C111" s="140" t="s">
        <v>333</v>
      </c>
      <c r="D111" s="140" t="s">
        <v>345</v>
      </c>
      <c r="E111" s="141">
        <v>991</v>
      </c>
      <c r="F111" s="141">
        <v>502804.973</v>
      </c>
      <c r="G111" s="141">
        <v>994</v>
      </c>
      <c r="H111" s="141">
        <v>435877.84499999997</v>
      </c>
      <c r="I111" s="141">
        <v>996</v>
      </c>
      <c r="J111" s="141">
        <v>472143.66499999998</v>
      </c>
    </row>
    <row r="112" spans="1:10" x14ac:dyDescent="0.2">
      <c r="A112" s="139" t="s">
        <v>269</v>
      </c>
      <c r="B112" s="139" t="s">
        <v>257</v>
      </c>
      <c r="C112" s="140" t="s">
        <v>333</v>
      </c>
      <c r="D112" s="140" t="s">
        <v>345</v>
      </c>
      <c r="E112" s="141">
        <v>473</v>
      </c>
      <c r="F112" s="141">
        <v>606592.24199999997</v>
      </c>
      <c r="G112" s="141">
        <v>471</v>
      </c>
      <c r="H112" s="141">
        <v>557184.24599999993</v>
      </c>
      <c r="I112" s="141">
        <v>473</v>
      </c>
      <c r="J112" s="141">
        <v>578895.64400000009</v>
      </c>
    </row>
    <row r="113" spans="1:10" x14ac:dyDescent="0.2">
      <c r="A113" s="139" t="s">
        <v>270</v>
      </c>
      <c r="B113" s="139" t="s">
        <v>257</v>
      </c>
      <c r="C113" s="140" t="s">
        <v>333</v>
      </c>
      <c r="D113" s="140" t="s">
        <v>345</v>
      </c>
      <c r="E113" s="141">
        <v>819</v>
      </c>
      <c r="F113" s="141">
        <v>786745.94</v>
      </c>
      <c r="G113" s="141">
        <v>821</v>
      </c>
      <c r="H113" s="141">
        <v>865474.58600000001</v>
      </c>
      <c r="I113" s="141">
        <v>820</v>
      </c>
      <c r="J113" s="141">
        <v>613832.69100000011</v>
      </c>
    </row>
    <row r="114" spans="1:10" x14ac:dyDescent="0.2">
      <c r="A114" s="139" t="s">
        <v>271</v>
      </c>
      <c r="B114" s="139" t="s">
        <v>257</v>
      </c>
      <c r="C114" s="140" t="s">
        <v>333</v>
      </c>
      <c r="D114" s="140" t="s">
        <v>345</v>
      </c>
      <c r="E114" s="141">
        <v>301</v>
      </c>
      <c r="F114" s="141">
        <v>1142453.5189999999</v>
      </c>
      <c r="G114" s="141">
        <v>302</v>
      </c>
      <c r="H114" s="141">
        <v>2065315.0310000002</v>
      </c>
      <c r="I114" s="141">
        <v>298</v>
      </c>
      <c r="J114" s="141">
        <v>189051.54699999996</v>
      </c>
    </row>
    <row r="115" spans="1:10" x14ac:dyDescent="0.2">
      <c r="A115" s="139" t="s">
        <v>272</v>
      </c>
      <c r="B115" s="139" t="s">
        <v>257</v>
      </c>
      <c r="C115" s="140" t="s">
        <v>333</v>
      </c>
      <c r="D115" s="140" t="s">
        <v>345</v>
      </c>
      <c r="E115" s="141">
        <v>763</v>
      </c>
      <c r="F115" s="141">
        <v>439497.70799999998</v>
      </c>
      <c r="G115" s="141">
        <v>763</v>
      </c>
      <c r="H115" s="141">
        <v>402928.13</v>
      </c>
      <c r="I115" s="141">
        <v>762</v>
      </c>
      <c r="J115" s="141">
        <v>395204.94399999996</v>
      </c>
    </row>
    <row r="116" spans="1:10" x14ac:dyDescent="0.2">
      <c r="A116" s="139" t="s">
        <v>273</v>
      </c>
      <c r="B116" s="139" t="s">
        <v>257</v>
      </c>
      <c r="C116" s="140" t="s">
        <v>333</v>
      </c>
      <c r="D116" s="140" t="s">
        <v>345</v>
      </c>
      <c r="E116" s="141">
        <v>1325</v>
      </c>
      <c r="F116" s="141">
        <v>2125576.9919999996</v>
      </c>
      <c r="G116" s="141">
        <v>1328</v>
      </c>
      <c r="H116" s="141">
        <v>2364536.2450000001</v>
      </c>
      <c r="I116" s="141">
        <v>1329</v>
      </c>
      <c r="J116" s="141">
        <v>1748299.6079999998</v>
      </c>
    </row>
    <row r="117" spans="1:10" x14ac:dyDescent="0.2">
      <c r="A117" s="139" t="s">
        <v>274</v>
      </c>
      <c r="B117" s="139" t="s">
        <v>257</v>
      </c>
      <c r="C117" s="140" t="s">
        <v>333</v>
      </c>
      <c r="D117" s="140" t="s">
        <v>345</v>
      </c>
      <c r="E117" s="141">
        <v>808</v>
      </c>
      <c r="F117" s="141">
        <v>1084548.912</v>
      </c>
      <c r="G117" s="141">
        <v>809</v>
      </c>
      <c r="H117" s="141">
        <v>1049185.23</v>
      </c>
      <c r="I117" s="141">
        <v>809</v>
      </c>
      <c r="J117" s="141">
        <v>1009784.0700000001</v>
      </c>
    </row>
    <row r="118" spans="1:10" x14ac:dyDescent="0.2">
      <c r="A118" s="139" t="s">
        <v>131</v>
      </c>
      <c r="B118" s="139" t="s">
        <v>83</v>
      </c>
      <c r="C118" s="140" t="s">
        <v>333</v>
      </c>
      <c r="D118" s="140" t="s">
        <v>344</v>
      </c>
      <c r="E118" s="141">
        <v>1802</v>
      </c>
      <c r="F118" s="141">
        <v>7328519.699</v>
      </c>
      <c r="G118" s="141">
        <v>1798</v>
      </c>
      <c r="H118" s="141">
        <v>5859547.7769999998</v>
      </c>
      <c r="I118" s="141">
        <v>1795</v>
      </c>
      <c r="J118" s="141">
        <v>6260998.415</v>
      </c>
    </row>
    <row r="119" spans="1:10" x14ac:dyDescent="0.2">
      <c r="A119" s="139" t="s">
        <v>275</v>
      </c>
      <c r="B119" s="139" t="s">
        <v>257</v>
      </c>
      <c r="C119" s="140" t="s">
        <v>333</v>
      </c>
      <c r="D119" s="140" t="s">
        <v>345</v>
      </c>
      <c r="E119" s="141">
        <v>342</v>
      </c>
      <c r="F119" s="141">
        <v>375330.14399999997</v>
      </c>
      <c r="G119" s="141">
        <v>342</v>
      </c>
      <c r="H119" s="141">
        <v>379500.77</v>
      </c>
      <c r="I119" s="141">
        <v>341</v>
      </c>
      <c r="J119" s="141">
        <v>276771.54399999999</v>
      </c>
    </row>
    <row r="120" spans="1:10" x14ac:dyDescent="0.2">
      <c r="A120" s="139" t="s">
        <v>276</v>
      </c>
      <c r="B120" s="139" t="s">
        <v>257</v>
      </c>
      <c r="C120" s="140" t="s">
        <v>333</v>
      </c>
      <c r="D120" s="140" t="s">
        <v>345</v>
      </c>
      <c r="E120" s="141">
        <v>488</v>
      </c>
      <c r="F120" s="141">
        <v>350566.58499999996</v>
      </c>
      <c r="G120" s="141">
        <v>493</v>
      </c>
      <c r="H120" s="141">
        <v>326337.85499999998</v>
      </c>
      <c r="I120" s="141">
        <v>493</v>
      </c>
      <c r="J120" s="141">
        <v>378142.42700000003</v>
      </c>
    </row>
    <row r="121" spans="1:10" x14ac:dyDescent="0.2">
      <c r="A121" s="139" t="s">
        <v>277</v>
      </c>
      <c r="B121" s="139" t="s">
        <v>257</v>
      </c>
      <c r="C121" s="140" t="s">
        <v>333</v>
      </c>
      <c r="D121" s="140" t="s">
        <v>345</v>
      </c>
      <c r="E121" s="141">
        <v>364</v>
      </c>
      <c r="F121" s="141">
        <v>210505.31</v>
      </c>
      <c r="G121" s="141">
        <v>364</v>
      </c>
      <c r="H121" s="141">
        <v>210869.02600000001</v>
      </c>
      <c r="I121" s="141">
        <v>361</v>
      </c>
      <c r="J121" s="141">
        <v>222999.65100000001</v>
      </c>
    </row>
    <row r="122" spans="1:10" x14ac:dyDescent="0.2">
      <c r="A122" s="139" t="s">
        <v>278</v>
      </c>
      <c r="B122" s="139" t="s">
        <v>257</v>
      </c>
      <c r="C122" s="140" t="s">
        <v>333</v>
      </c>
      <c r="D122" s="140" t="s">
        <v>345</v>
      </c>
      <c r="E122" s="141">
        <v>247</v>
      </c>
      <c r="F122" s="141">
        <v>158671.125</v>
      </c>
      <c r="G122" s="141">
        <v>247</v>
      </c>
      <c r="H122" s="141">
        <v>136810.16099999999</v>
      </c>
      <c r="I122" s="141">
        <v>248</v>
      </c>
      <c r="J122" s="141">
        <v>138517.56</v>
      </c>
    </row>
    <row r="123" spans="1:10" x14ac:dyDescent="0.2">
      <c r="A123" s="139" t="s">
        <v>279</v>
      </c>
      <c r="B123" s="139" t="s">
        <v>257</v>
      </c>
      <c r="C123" s="140" t="s">
        <v>333</v>
      </c>
      <c r="D123" s="140" t="s">
        <v>345</v>
      </c>
      <c r="E123" s="141">
        <v>510</v>
      </c>
      <c r="F123" s="141">
        <v>316684.27399999998</v>
      </c>
      <c r="G123" s="141">
        <v>510</v>
      </c>
      <c r="H123" s="141">
        <v>339493.92800000007</v>
      </c>
      <c r="I123" s="141">
        <v>515</v>
      </c>
      <c r="J123" s="141">
        <v>274245.23300000001</v>
      </c>
    </row>
    <row r="124" spans="1:10" x14ac:dyDescent="0.2">
      <c r="A124" s="139" t="s">
        <v>280</v>
      </c>
      <c r="B124" s="139" t="s">
        <v>257</v>
      </c>
      <c r="C124" s="140" t="s">
        <v>333</v>
      </c>
      <c r="D124" s="140" t="s">
        <v>345</v>
      </c>
      <c r="E124" s="141">
        <v>482</v>
      </c>
      <c r="F124" s="141">
        <v>404508.13999999996</v>
      </c>
      <c r="G124" s="141">
        <v>479</v>
      </c>
      <c r="H124" s="141">
        <v>413313.67300000001</v>
      </c>
      <c r="I124" s="141">
        <v>480</v>
      </c>
      <c r="J124" s="141">
        <v>403421.46100000001</v>
      </c>
    </row>
    <row r="125" spans="1:10" x14ac:dyDescent="0.2">
      <c r="A125" s="139" t="s">
        <v>281</v>
      </c>
      <c r="B125" s="139" t="s">
        <v>257</v>
      </c>
      <c r="C125" s="140" t="s">
        <v>333</v>
      </c>
      <c r="D125" s="140" t="s">
        <v>345</v>
      </c>
      <c r="E125" s="141">
        <v>397</v>
      </c>
      <c r="F125" s="141">
        <v>592307.179</v>
      </c>
      <c r="G125" s="141">
        <v>396</v>
      </c>
      <c r="H125" s="141">
        <v>668592.39599999995</v>
      </c>
      <c r="I125" s="141">
        <v>394</v>
      </c>
      <c r="J125" s="141">
        <v>466187.364</v>
      </c>
    </row>
    <row r="126" spans="1:10" x14ac:dyDescent="0.2">
      <c r="A126" s="139" t="s">
        <v>282</v>
      </c>
      <c r="B126" s="139" t="s">
        <v>257</v>
      </c>
      <c r="C126" s="140" t="s">
        <v>333</v>
      </c>
      <c r="D126" s="140" t="s">
        <v>345</v>
      </c>
      <c r="E126" s="141">
        <v>839</v>
      </c>
      <c r="F126" s="141">
        <v>740512.62</v>
      </c>
      <c r="G126" s="141">
        <v>844</v>
      </c>
      <c r="H126" s="141">
        <v>776404.63399999996</v>
      </c>
      <c r="I126" s="141">
        <v>847</v>
      </c>
      <c r="J126" s="141">
        <v>635122.12699999998</v>
      </c>
    </row>
    <row r="127" spans="1:10" x14ac:dyDescent="0.2">
      <c r="A127" s="139" t="s">
        <v>283</v>
      </c>
      <c r="B127" s="139" t="s">
        <v>257</v>
      </c>
      <c r="C127" s="140" t="s">
        <v>333</v>
      </c>
      <c r="D127" s="140" t="s">
        <v>345</v>
      </c>
      <c r="E127" s="141">
        <v>383</v>
      </c>
      <c r="F127" s="141">
        <v>302740.15000000002</v>
      </c>
      <c r="G127" s="141">
        <v>380</v>
      </c>
      <c r="H127" s="141">
        <v>299521.451</v>
      </c>
      <c r="I127" s="141">
        <v>380</v>
      </c>
      <c r="J127" s="141">
        <v>306741.59000000003</v>
      </c>
    </row>
    <row r="128" spans="1:10" x14ac:dyDescent="0.2">
      <c r="A128" s="139" t="s">
        <v>284</v>
      </c>
      <c r="B128" s="139" t="s">
        <v>257</v>
      </c>
      <c r="C128" s="140" t="s">
        <v>333</v>
      </c>
      <c r="D128" s="140" t="s">
        <v>345</v>
      </c>
      <c r="E128" s="141">
        <v>196</v>
      </c>
      <c r="F128" s="141">
        <v>168459.98599999998</v>
      </c>
      <c r="G128" s="141">
        <v>196</v>
      </c>
      <c r="H128" s="141">
        <v>149512.71099999998</v>
      </c>
      <c r="I128" s="141">
        <v>196</v>
      </c>
      <c r="J128" s="141">
        <v>163350.63700000002</v>
      </c>
    </row>
    <row r="129" spans="1:10" x14ac:dyDescent="0.2">
      <c r="A129" s="139" t="s">
        <v>285</v>
      </c>
      <c r="B129" s="139" t="s">
        <v>257</v>
      </c>
      <c r="C129" s="140" t="s">
        <v>333</v>
      </c>
      <c r="D129" s="140" t="s">
        <v>345</v>
      </c>
      <c r="E129" s="141">
        <v>694</v>
      </c>
      <c r="F129" s="141">
        <v>684483.87600000005</v>
      </c>
      <c r="G129" s="141">
        <v>695</v>
      </c>
      <c r="H129" s="141">
        <v>672593.87899999996</v>
      </c>
      <c r="I129" s="141">
        <v>695</v>
      </c>
      <c r="J129" s="141">
        <v>664777.96799999999</v>
      </c>
    </row>
    <row r="130" spans="1:10" x14ac:dyDescent="0.2">
      <c r="A130" s="139" t="s">
        <v>286</v>
      </c>
      <c r="B130" s="139" t="s">
        <v>257</v>
      </c>
      <c r="C130" s="140" t="s">
        <v>333</v>
      </c>
      <c r="D130" s="140" t="s">
        <v>345</v>
      </c>
      <c r="E130" s="141">
        <v>761</v>
      </c>
      <c r="F130" s="141">
        <v>3840619.8820000002</v>
      </c>
      <c r="G130" s="141">
        <v>767</v>
      </c>
      <c r="H130" s="141">
        <v>5470852.2980000004</v>
      </c>
      <c r="I130" s="141">
        <v>770</v>
      </c>
      <c r="J130" s="141">
        <v>1502870.5759999999</v>
      </c>
    </row>
    <row r="131" spans="1:10" x14ac:dyDescent="0.2">
      <c r="A131" s="139" t="s">
        <v>287</v>
      </c>
      <c r="B131" s="139" t="s">
        <v>257</v>
      </c>
      <c r="C131" s="140" t="s">
        <v>333</v>
      </c>
      <c r="D131" s="140" t="s">
        <v>345</v>
      </c>
      <c r="E131" s="141">
        <v>92</v>
      </c>
      <c r="F131" s="141">
        <v>47410.667000000001</v>
      </c>
      <c r="G131" s="141">
        <v>92</v>
      </c>
      <c r="H131" s="141">
        <v>42463.787000000004</v>
      </c>
      <c r="I131" s="141">
        <v>92</v>
      </c>
      <c r="J131" s="141">
        <v>48620.675999999999</v>
      </c>
    </row>
    <row r="132" spans="1:10" x14ac:dyDescent="0.2">
      <c r="A132" s="139" t="s">
        <v>288</v>
      </c>
      <c r="B132" s="139" t="s">
        <v>257</v>
      </c>
      <c r="C132" s="140" t="s">
        <v>333</v>
      </c>
      <c r="D132" s="140" t="s">
        <v>345</v>
      </c>
      <c r="E132" s="141">
        <v>484</v>
      </c>
      <c r="F132" s="141">
        <v>342470.78599999996</v>
      </c>
      <c r="G132" s="141">
        <v>479</v>
      </c>
      <c r="H132" s="141">
        <v>392285.12399999995</v>
      </c>
      <c r="I132" s="141">
        <v>480</v>
      </c>
      <c r="J132" s="141">
        <v>277204.21100000001</v>
      </c>
    </row>
    <row r="133" spans="1:10" x14ac:dyDescent="0.2">
      <c r="A133" s="139" t="s">
        <v>289</v>
      </c>
      <c r="B133" s="139" t="s">
        <v>257</v>
      </c>
      <c r="C133" s="140" t="s">
        <v>333</v>
      </c>
      <c r="D133" s="140" t="s">
        <v>345</v>
      </c>
      <c r="E133" s="141">
        <v>160</v>
      </c>
      <c r="F133" s="141">
        <v>105079.175</v>
      </c>
      <c r="G133" s="141">
        <v>160</v>
      </c>
      <c r="H133" s="141">
        <v>102050.52800000001</v>
      </c>
      <c r="I133" s="141">
        <v>158</v>
      </c>
      <c r="J133" s="141">
        <v>108628.98700000001</v>
      </c>
    </row>
    <row r="134" spans="1:10" x14ac:dyDescent="0.2">
      <c r="A134" s="139" t="s">
        <v>132</v>
      </c>
      <c r="B134" s="139" t="s">
        <v>83</v>
      </c>
      <c r="C134" s="140" t="s">
        <v>333</v>
      </c>
      <c r="D134" s="140" t="s">
        <v>344</v>
      </c>
      <c r="E134" s="141">
        <v>506</v>
      </c>
      <c r="F134" s="141">
        <v>2634722.1599999997</v>
      </c>
      <c r="G134" s="141">
        <v>503</v>
      </c>
      <c r="H134" s="141">
        <v>2268590.9190000002</v>
      </c>
      <c r="I134" s="141">
        <v>503</v>
      </c>
      <c r="J134" s="141">
        <v>2556697.09</v>
      </c>
    </row>
    <row r="135" spans="1:10" x14ac:dyDescent="0.2">
      <c r="A135" s="138" t="s">
        <v>132</v>
      </c>
      <c r="B135" s="139" t="s">
        <v>257</v>
      </c>
      <c r="C135" s="140" t="s">
        <v>333</v>
      </c>
      <c r="D135" s="140" t="s">
        <v>345</v>
      </c>
      <c r="E135" s="141">
        <v>362</v>
      </c>
      <c r="F135" s="141">
        <v>161116.89000000001</v>
      </c>
      <c r="G135" s="141">
        <v>362</v>
      </c>
      <c r="H135" s="141">
        <v>154099.82800000001</v>
      </c>
      <c r="I135" s="141">
        <v>362</v>
      </c>
      <c r="J135" s="141">
        <v>148261.976</v>
      </c>
    </row>
    <row r="136" spans="1:10" x14ac:dyDescent="0.2">
      <c r="A136" s="140" t="s">
        <v>290</v>
      </c>
      <c r="B136" s="140" t="s">
        <v>257</v>
      </c>
      <c r="C136" s="140" t="s">
        <v>333</v>
      </c>
      <c r="D136" s="140" t="s">
        <v>345</v>
      </c>
      <c r="E136" s="141">
        <v>5</v>
      </c>
      <c r="F136" s="141">
        <v>7375.4369999999999</v>
      </c>
      <c r="G136" s="141">
        <v>5</v>
      </c>
      <c r="H136" s="141">
        <v>13643.06</v>
      </c>
      <c r="I136" s="141">
        <v>5</v>
      </c>
      <c r="J136" s="141">
        <v>12594.998</v>
      </c>
    </row>
    <row r="137" spans="1:10" x14ac:dyDescent="0.2">
      <c r="A137" s="139" t="s">
        <v>133</v>
      </c>
      <c r="B137" s="139" t="s">
        <v>83</v>
      </c>
      <c r="C137" s="140" t="s">
        <v>333</v>
      </c>
      <c r="D137" s="140" t="s">
        <v>344</v>
      </c>
      <c r="E137" s="141">
        <v>7</v>
      </c>
      <c r="F137" s="141">
        <v>7558.2</v>
      </c>
      <c r="G137" s="141">
        <v>6</v>
      </c>
      <c r="H137" s="141">
        <v>7597.5330000000004</v>
      </c>
      <c r="I137" s="141">
        <v>6</v>
      </c>
      <c r="J137" s="141">
        <v>7383</v>
      </c>
    </row>
    <row r="138" spans="1:10" x14ac:dyDescent="0.2">
      <c r="A138" s="138" t="s">
        <v>133</v>
      </c>
      <c r="B138" s="139" t="s">
        <v>257</v>
      </c>
      <c r="C138" s="140" t="s">
        <v>333</v>
      </c>
      <c r="D138" s="140" t="s">
        <v>345</v>
      </c>
      <c r="E138" s="141">
        <v>282</v>
      </c>
      <c r="F138" s="141">
        <v>298662.98399999994</v>
      </c>
      <c r="G138" s="141">
        <v>283</v>
      </c>
      <c r="H138" s="141">
        <v>316248.53700000001</v>
      </c>
      <c r="I138" s="141">
        <v>284</v>
      </c>
      <c r="J138" s="141">
        <v>213717.39600000001</v>
      </c>
    </row>
    <row r="139" spans="1:10" x14ac:dyDescent="0.2">
      <c r="A139" s="139" t="s">
        <v>134</v>
      </c>
      <c r="B139" s="140" t="s">
        <v>83</v>
      </c>
      <c r="C139" s="140" t="s">
        <v>333</v>
      </c>
      <c r="D139" s="140" t="s">
        <v>344</v>
      </c>
      <c r="E139" s="141">
        <v>2</v>
      </c>
      <c r="F139" s="141">
        <v>491000</v>
      </c>
      <c r="G139" s="141">
        <v>2</v>
      </c>
      <c r="H139" s="141">
        <v>244780</v>
      </c>
      <c r="I139" s="141">
        <v>2</v>
      </c>
      <c r="J139" s="141">
        <v>236980</v>
      </c>
    </row>
    <row r="140" spans="1:10" x14ac:dyDescent="0.2">
      <c r="A140" s="138" t="s">
        <v>134</v>
      </c>
      <c r="B140" s="140" t="s">
        <v>257</v>
      </c>
      <c r="C140" s="140" t="s">
        <v>333</v>
      </c>
      <c r="D140" s="140" t="s">
        <v>345</v>
      </c>
      <c r="E140" s="141">
        <v>37</v>
      </c>
      <c r="F140" s="141">
        <v>556735.60499999998</v>
      </c>
      <c r="G140" s="141">
        <v>37</v>
      </c>
      <c r="H140" s="141">
        <v>507002.44099999999</v>
      </c>
      <c r="I140" s="141">
        <v>37</v>
      </c>
      <c r="J140" s="141">
        <v>552099.52399999998</v>
      </c>
    </row>
    <row r="141" spans="1:10" x14ac:dyDescent="0.2">
      <c r="A141" s="140" t="s">
        <v>291</v>
      </c>
      <c r="B141" s="140" t="s">
        <v>257</v>
      </c>
      <c r="C141" s="140" t="s">
        <v>333</v>
      </c>
      <c r="D141" s="140" t="s">
        <v>345</v>
      </c>
      <c r="E141" s="141">
        <v>1</v>
      </c>
      <c r="F141" s="141">
        <v>7068.8689999999997</v>
      </c>
      <c r="G141" s="141">
        <v>1</v>
      </c>
      <c r="H141" s="141">
        <v>4823.1130000000003</v>
      </c>
      <c r="I141" s="141">
        <v>1</v>
      </c>
      <c r="J141" s="141"/>
    </row>
    <row r="142" spans="1:10" x14ac:dyDescent="0.2">
      <c r="A142" s="139" t="s">
        <v>135</v>
      </c>
      <c r="B142" s="139" t="s">
        <v>83</v>
      </c>
      <c r="C142" s="140" t="s">
        <v>333</v>
      </c>
      <c r="D142" s="140" t="s">
        <v>344</v>
      </c>
      <c r="E142" s="141">
        <v>82</v>
      </c>
      <c r="F142" s="141">
        <v>503923.33299999998</v>
      </c>
      <c r="G142" s="141">
        <v>83</v>
      </c>
      <c r="H142" s="141">
        <v>467904.43</v>
      </c>
      <c r="I142" s="141">
        <v>81</v>
      </c>
      <c r="J142" s="141">
        <v>465863.56699999998</v>
      </c>
    </row>
    <row r="143" spans="1:10" x14ac:dyDescent="0.2">
      <c r="A143" s="138" t="s">
        <v>135</v>
      </c>
      <c r="B143" s="139" t="s">
        <v>257</v>
      </c>
      <c r="C143" s="140" t="s">
        <v>333</v>
      </c>
      <c r="D143" s="140" t="s">
        <v>345</v>
      </c>
      <c r="E143" s="141">
        <v>444</v>
      </c>
      <c r="F143" s="141">
        <v>227988.6</v>
      </c>
      <c r="G143" s="141">
        <v>443</v>
      </c>
      <c r="H143" s="141">
        <v>201344.11299999998</v>
      </c>
      <c r="I143" s="141">
        <v>441</v>
      </c>
      <c r="J143" s="141">
        <v>220270.72</v>
      </c>
    </row>
    <row r="144" spans="1:10" x14ac:dyDescent="0.2">
      <c r="A144" s="139" t="s">
        <v>136</v>
      </c>
      <c r="B144" s="139" t="s">
        <v>83</v>
      </c>
      <c r="C144" s="140" t="s">
        <v>333</v>
      </c>
      <c r="D144" s="140" t="s">
        <v>344</v>
      </c>
      <c r="E144" s="141">
        <v>233</v>
      </c>
      <c r="F144" s="141">
        <v>800440</v>
      </c>
      <c r="G144" s="141">
        <v>234</v>
      </c>
      <c r="H144" s="141">
        <v>768471</v>
      </c>
      <c r="I144" s="141">
        <v>236</v>
      </c>
      <c r="J144" s="141">
        <v>681131</v>
      </c>
    </row>
    <row r="145" spans="1:10" x14ac:dyDescent="0.2">
      <c r="A145" s="138" t="s">
        <v>136</v>
      </c>
      <c r="B145" s="139" t="s">
        <v>257</v>
      </c>
      <c r="C145" s="140" t="s">
        <v>333</v>
      </c>
      <c r="D145" s="140" t="s">
        <v>345</v>
      </c>
      <c r="E145" s="141">
        <v>553</v>
      </c>
      <c r="F145" s="141">
        <v>486961.27099999995</v>
      </c>
      <c r="G145" s="141">
        <v>550</v>
      </c>
      <c r="H145" s="141">
        <v>476266.60200000001</v>
      </c>
      <c r="I145" s="141">
        <v>552</v>
      </c>
      <c r="J145" s="141">
        <v>437577.73</v>
      </c>
    </row>
    <row r="146" spans="1:10" x14ac:dyDescent="0.2">
      <c r="A146" s="139" t="s">
        <v>292</v>
      </c>
      <c r="B146" s="139" t="s">
        <v>257</v>
      </c>
      <c r="C146" s="140" t="s">
        <v>333</v>
      </c>
      <c r="D146" s="140" t="s">
        <v>345</v>
      </c>
      <c r="E146" s="141">
        <v>65</v>
      </c>
      <c r="F146" s="141">
        <v>43236.826000000001</v>
      </c>
      <c r="G146" s="141">
        <v>67</v>
      </c>
      <c r="H146" s="141">
        <v>59740.87</v>
      </c>
      <c r="I146" s="141">
        <v>67</v>
      </c>
      <c r="J146" s="141">
        <v>50095.436000000002</v>
      </c>
    </row>
    <row r="147" spans="1:10" x14ac:dyDescent="0.2">
      <c r="A147" s="139" t="s">
        <v>137</v>
      </c>
      <c r="B147" s="140" t="s">
        <v>83</v>
      </c>
      <c r="C147" s="140" t="s">
        <v>333</v>
      </c>
      <c r="D147" s="140" t="s">
        <v>344</v>
      </c>
      <c r="E147" s="141">
        <v>1</v>
      </c>
      <c r="F147" s="141">
        <v>242</v>
      </c>
      <c r="G147" s="141">
        <v>1</v>
      </c>
      <c r="H147" s="141">
        <v>238</v>
      </c>
      <c r="I147" s="141">
        <v>1</v>
      </c>
      <c r="J147" s="141">
        <v>244</v>
      </c>
    </row>
    <row r="148" spans="1:10" x14ac:dyDescent="0.2">
      <c r="A148" s="138" t="s">
        <v>137</v>
      </c>
      <c r="B148" s="139" t="s">
        <v>257</v>
      </c>
      <c r="C148" s="140" t="s">
        <v>333</v>
      </c>
      <c r="D148" s="140" t="s">
        <v>345</v>
      </c>
      <c r="E148" s="141">
        <v>94</v>
      </c>
      <c r="F148" s="141">
        <v>184085.06099999999</v>
      </c>
      <c r="G148" s="141">
        <v>94</v>
      </c>
      <c r="H148" s="141">
        <v>274113.212</v>
      </c>
      <c r="I148" s="141">
        <v>93</v>
      </c>
      <c r="J148" s="141">
        <v>51078.780999999995</v>
      </c>
    </row>
    <row r="149" spans="1:10" x14ac:dyDescent="0.2">
      <c r="A149" s="140" t="s">
        <v>341</v>
      </c>
      <c r="B149" s="140" t="s">
        <v>257</v>
      </c>
      <c r="C149" s="140" t="s">
        <v>333</v>
      </c>
      <c r="D149" s="140" t="s">
        <v>345</v>
      </c>
      <c r="E149" s="141">
        <v>1</v>
      </c>
      <c r="F149" s="141">
        <v>225.94900000000001</v>
      </c>
      <c r="G149" s="141">
        <v>1</v>
      </c>
      <c r="H149" s="141">
        <v>243.47900000000001</v>
      </c>
      <c r="I149" s="141">
        <v>1</v>
      </c>
      <c r="J149" s="141">
        <v>222.77799999999999</v>
      </c>
    </row>
    <row r="150" spans="1:10" x14ac:dyDescent="0.2">
      <c r="A150" s="139" t="s">
        <v>138</v>
      </c>
      <c r="B150" s="139" t="s">
        <v>83</v>
      </c>
      <c r="C150" s="140" t="s">
        <v>333</v>
      </c>
      <c r="D150" s="140" t="s">
        <v>344</v>
      </c>
      <c r="E150" s="141">
        <v>2132</v>
      </c>
      <c r="F150" s="141">
        <v>26230425.098000001</v>
      </c>
      <c r="G150" s="141">
        <v>2135</v>
      </c>
      <c r="H150" s="141">
        <v>22936594.677000001</v>
      </c>
      <c r="I150" s="141">
        <v>2132</v>
      </c>
      <c r="J150" s="141">
        <v>28278120.131999999</v>
      </c>
    </row>
    <row r="151" spans="1:10" x14ac:dyDescent="0.2">
      <c r="A151" s="138" t="s">
        <v>138</v>
      </c>
      <c r="B151" s="139" t="s">
        <v>257</v>
      </c>
      <c r="C151" s="140" t="s">
        <v>333</v>
      </c>
      <c r="D151" s="140" t="s">
        <v>345</v>
      </c>
      <c r="E151" s="141">
        <v>1078</v>
      </c>
      <c r="F151" s="141">
        <v>1259971.324</v>
      </c>
      <c r="G151" s="141">
        <v>1076</v>
      </c>
      <c r="H151" s="141">
        <v>1098911.855</v>
      </c>
      <c r="I151" s="141">
        <v>1076</v>
      </c>
      <c r="J151" s="141">
        <v>1010316.2139999999</v>
      </c>
    </row>
    <row r="152" spans="1:10" x14ac:dyDescent="0.2">
      <c r="A152" s="140" t="s">
        <v>293</v>
      </c>
      <c r="B152" s="140" t="s">
        <v>257</v>
      </c>
      <c r="C152" s="140" t="s">
        <v>333</v>
      </c>
      <c r="D152" s="140" t="s">
        <v>345</v>
      </c>
      <c r="E152" s="141">
        <v>6</v>
      </c>
      <c r="F152" s="141">
        <v>1889099.243</v>
      </c>
      <c r="G152" s="141">
        <v>6</v>
      </c>
      <c r="H152" s="141">
        <v>3149553.4959999998</v>
      </c>
      <c r="I152" s="141">
        <v>6</v>
      </c>
      <c r="J152" s="141">
        <v>12903.017</v>
      </c>
    </row>
    <row r="153" spans="1:10" x14ac:dyDescent="0.2">
      <c r="A153" s="139" t="s">
        <v>139</v>
      </c>
      <c r="B153" s="139" t="s">
        <v>83</v>
      </c>
      <c r="C153" s="140" t="s">
        <v>333</v>
      </c>
      <c r="D153" s="140" t="s">
        <v>344</v>
      </c>
      <c r="E153" s="141">
        <v>1359</v>
      </c>
      <c r="F153" s="141">
        <v>8670372.6970000006</v>
      </c>
      <c r="G153" s="141">
        <v>1362</v>
      </c>
      <c r="H153" s="141">
        <v>7762816.2769999998</v>
      </c>
      <c r="I153" s="141">
        <v>1359</v>
      </c>
      <c r="J153" s="141">
        <v>8469636.1659999993</v>
      </c>
    </row>
    <row r="154" spans="1:10" x14ac:dyDescent="0.2">
      <c r="A154" s="139" t="s">
        <v>139</v>
      </c>
      <c r="B154" s="139" t="s">
        <v>257</v>
      </c>
      <c r="C154" s="140" t="s">
        <v>333</v>
      </c>
      <c r="D154" s="140" t="s">
        <v>345</v>
      </c>
      <c r="E154" s="141">
        <v>407</v>
      </c>
      <c r="F154" s="141">
        <v>401528.12999999995</v>
      </c>
      <c r="G154" s="141">
        <v>408</v>
      </c>
      <c r="H154" s="141">
        <v>349578.51500000001</v>
      </c>
      <c r="I154" s="141">
        <v>408</v>
      </c>
      <c r="J154" s="141">
        <v>399728.46</v>
      </c>
    </row>
    <row r="155" spans="1:10" x14ac:dyDescent="0.2">
      <c r="A155" s="138" t="s">
        <v>294</v>
      </c>
      <c r="B155" s="139" t="s">
        <v>257</v>
      </c>
      <c r="C155" s="140" t="s">
        <v>333</v>
      </c>
      <c r="D155" s="140" t="s">
        <v>345</v>
      </c>
      <c r="E155" s="141">
        <v>275</v>
      </c>
      <c r="F155" s="141">
        <v>126139.481</v>
      </c>
      <c r="G155" s="141">
        <v>277</v>
      </c>
      <c r="H155" s="141">
        <v>105329.853</v>
      </c>
      <c r="I155" s="141">
        <v>277</v>
      </c>
      <c r="J155" s="141">
        <v>115383.71799999999</v>
      </c>
    </row>
    <row r="156" spans="1:10" x14ac:dyDescent="0.2">
      <c r="A156" s="139" t="s">
        <v>295</v>
      </c>
      <c r="B156" s="139" t="s">
        <v>257</v>
      </c>
      <c r="C156" s="140" t="s">
        <v>333</v>
      </c>
      <c r="D156" s="140" t="s">
        <v>345</v>
      </c>
      <c r="E156" s="141">
        <v>974</v>
      </c>
      <c r="F156" s="141">
        <v>1101659.0719999999</v>
      </c>
      <c r="G156" s="141">
        <v>977</v>
      </c>
      <c r="H156" s="141">
        <v>1349704.6699999997</v>
      </c>
      <c r="I156" s="141">
        <v>976</v>
      </c>
      <c r="J156" s="141">
        <v>1097701.7609999999</v>
      </c>
    </row>
    <row r="157" spans="1:10" x14ac:dyDescent="0.2">
      <c r="A157" s="139" t="s">
        <v>296</v>
      </c>
      <c r="B157" s="139" t="s">
        <v>257</v>
      </c>
      <c r="C157" s="140" t="s">
        <v>333</v>
      </c>
      <c r="D157" s="140" t="s">
        <v>345</v>
      </c>
      <c r="E157" s="141">
        <v>529</v>
      </c>
      <c r="F157" s="141">
        <v>883782.75000000012</v>
      </c>
      <c r="G157" s="141">
        <v>531</v>
      </c>
      <c r="H157" s="141">
        <v>915379.86300000001</v>
      </c>
      <c r="I157" s="141">
        <v>532</v>
      </c>
      <c r="J157" s="141">
        <v>716546.51799999992</v>
      </c>
    </row>
    <row r="158" spans="1:10" x14ac:dyDescent="0.2">
      <c r="A158" s="139" t="s">
        <v>297</v>
      </c>
      <c r="B158" s="139" t="s">
        <v>257</v>
      </c>
      <c r="C158" s="140" t="s">
        <v>333</v>
      </c>
      <c r="D158" s="140" t="s">
        <v>345</v>
      </c>
      <c r="E158" s="141">
        <v>681</v>
      </c>
      <c r="F158" s="141">
        <v>2171558.7209999999</v>
      </c>
      <c r="G158" s="141">
        <v>676</v>
      </c>
      <c r="H158" s="141">
        <v>2121400.6770000001</v>
      </c>
      <c r="I158" s="141">
        <v>675</v>
      </c>
      <c r="J158" s="141">
        <v>1895573.317</v>
      </c>
    </row>
    <row r="159" spans="1:10" x14ac:dyDescent="0.2">
      <c r="A159" s="139" t="s">
        <v>298</v>
      </c>
      <c r="B159" s="139" t="s">
        <v>257</v>
      </c>
      <c r="C159" s="140" t="s">
        <v>333</v>
      </c>
      <c r="D159" s="140" t="s">
        <v>345</v>
      </c>
      <c r="E159" s="141">
        <v>599</v>
      </c>
      <c r="F159" s="141">
        <v>339925.41499999998</v>
      </c>
      <c r="G159" s="141">
        <v>600</v>
      </c>
      <c r="H159" s="141">
        <v>331089.45500000002</v>
      </c>
      <c r="I159" s="141">
        <v>603</v>
      </c>
      <c r="J159" s="141">
        <v>309619.53700000001</v>
      </c>
    </row>
    <row r="160" spans="1:10" x14ac:dyDescent="0.2">
      <c r="A160" s="140" t="s">
        <v>140</v>
      </c>
      <c r="B160" s="140" t="s">
        <v>83</v>
      </c>
      <c r="C160" s="140" t="s">
        <v>333</v>
      </c>
      <c r="D160" s="140" t="s">
        <v>344</v>
      </c>
      <c r="E160" s="141">
        <v>73</v>
      </c>
      <c r="F160" s="141">
        <v>369819.99800000002</v>
      </c>
      <c r="G160" s="141">
        <v>73</v>
      </c>
      <c r="H160" s="141">
        <v>190949.66699999999</v>
      </c>
      <c r="I160" s="141">
        <v>71</v>
      </c>
      <c r="J160" s="141">
        <v>296010.81800000003</v>
      </c>
    </row>
    <row r="161" spans="1:10" x14ac:dyDescent="0.2">
      <c r="A161" s="138" t="s">
        <v>141</v>
      </c>
      <c r="B161" s="138" t="s">
        <v>83</v>
      </c>
      <c r="C161" s="140" t="s">
        <v>333</v>
      </c>
      <c r="D161" s="140" t="s">
        <v>344</v>
      </c>
      <c r="E161" s="141">
        <v>1971</v>
      </c>
      <c r="F161" s="141">
        <v>67378177.597000003</v>
      </c>
      <c r="G161" s="141">
        <v>1971</v>
      </c>
      <c r="H161" s="141">
        <v>66577414.046000004</v>
      </c>
      <c r="I161" s="141">
        <v>1969</v>
      </c>
      <c r="J161" s="141">
        <v>56157347.502000004</v>
      </c>
    </row>
    <row r="162" spans="1:10" x14ac:dyDescent="0.2">
      <c r="A162" s="138" t="s">
        <v>299</v>
      </c>
      <c r="B162" s="138" t="s">
        <v>257</v>
      </c>
      <c r="C162" s="140" t="s">
        <v>333</v>
      </c>
      <c r="D162" s="140" t="s">
        <v>345</v>
      </c>
      <c r="E162" s="141">
        <v>130</v>
      </c>
      <c r="F162" s="141">
        <v>139969.66999999998</v>
      </c>
      <c r="G162" s="141">
        <v>130</v>
      </c>
      <c r="H162" s="141">
        <v>116128.32799999999</v>
      </c>
      <c r="I162" s="141">
        <v>130</v>
      </c>
      <c r="J162" s="141">
        <v>113339.93</v>
      </c>
    </row>
    <row r="163" spans="1:10" x14ac:dyDescent="0.2">
      <c r="A163" s="138" t="s">
        <v>142</v>
      </c>
      <c r="B163" s="138" t="s">
        <v>83</v>
      </c>
      <c r="C163" s="140" t="s">
        <v>333</v>
      </c>
      <c r="D163" s="140" t="s">
        <v>344</v>
      </c>
      <c r="E163" s="141">
        <v>30</v>
      </c>
      <c r="F163" s="141">
        <v>15129</v>
      </c>
      <c r="G163" s="141">
        <v>28</v>
      </c>
      <c r="H163" s="141">
        <v>46968</v>
      </c>
      <c r="I163" s="141">
        <v>29</v>
      </c>
      <c r="J163" s="141">
        <v>18554</v>
      </c>
    </row>
    <row r="164" spans="1:10" x14ac:dyDescent="0.2">
      <c r="A164" s="138" t="s">
        <v>143</v>
      </c>
      <c r="B164" s="138" t="s">
        <v>83</v>
      </c>
      <c r="C164" s="140" t="s">
        <v>333</v>
      </c>
      <c r="D164" s="140" t="s">
        <v>344</v>
      </c>
      <c r="E164" s="141">
        <v>3688</v>
      </c>
      <c r="F164" s="141">
        <v>22559583.158999998</v>
      </c>
      <c r="G164" s="141">
        <v>3686</v>
      </c>
      <c r="H164" s="141">
        <v>25590984.846000001</v>
      </c>
      <c r="I164" s="141">
        <v>3681</v>
      </c>
      <c r="J164" s="141">
        <v>19158324.921</v>
      </c>
    </row>
    <row r="165" spans="1:10" x14ac:dyDescent="0.2">
      <c r="A165" s="138" t="s">
        <v>144</v>
      </c>
      <c r="B165" s="138" t="s">
        <v>83</v>
      </c>
      <c r="C165" s="140" t="s">
        <v>333</v>
      </c>
      <c r="D165" s="140" t="s">
        <v>344</v>
      </c>
      <c r="E165" s="141">
        <v>3535</v>
      </c>
      <c r="F165" s="141">
        <v>18617567.006999999</v>
      </c>
      <c r="G165" s="141">
        <v>3535</v>
      </c>
      <c r="H165" s="141">
        <v>18131024.949999999</v>
      </c>
      <c r="I165" s="141">
        <v>3575</v>
      </c>
      <c r="J165" s="141">
        <v>15918365.641999999</v>
      </c>
    </row>
    <row r="166" spans="1:10" x14ac:dyDescent="0.2">
      <c r="A166" s="138" t="s">
        <v>145</v>
      </c>
      <c r="B166" s="138" t="s">
        <v>83</v>
      </c>
      <c r="C166" s="140" t="s">
        <v>333</v>
      </c>
      <c r="D166" s="140" t="s">
        <v>344</v>
      </c>
      <c r="E166" s="141">
        <v>1321</v>
      </c>
      <c r="F166" s="141">
        <v>3949348.6179999998</v>
      </c>
      <c r="G166" s="141">
        <v>1322</v>
      </c>
      <c r="H166" s="141">
        <v>3889503.3510000003</v>
      </c>
      <c r="I166" s="141">
        <v>1316</v>
      </c>
      <c r="J166" s="141">
        <v>3848772.6159999999</v>
      </c>
    </row>
    <row r="167" spans="1:10" x14ac:dyDescent="0.2">
      <c r="A167" s="138" t="s">
        <v>146</v>
      </c>
      <c r="B167" s="138" t="s">
        <v>83</v>
      </c>
      <c r="C167" s="140" t="s">
        <v>333</v>
      </c>
      <c r="D167" s="140" t="s">
        <v>344</v>
      </c>
      <c r="E167" s="141">
        <v>629</v>
      </c>
      <c r="F167" s="141">
        <v>3251150.906</v>
      </c>
      <c r="G167" s="141">
        <v>632</v>
      </c>
      <c r="H167" s="141">
        <v>1773237.6680000001</v>
      </c>
      <c r="I167" s="141">
        <v>635</v>
      </c>
      <c r="J167" s="141">
        <v>2629071.8790000002</v>
      </c>
    </row>
    <row r="168" spans="1:10" x14ac:dyDescent="0.2">
      <c r="A168" s="138" t="s">
        <v>147</v>
      </c>
      <c r="B168" s="138" t="s">
        <v>83</v>
      </c>
      <c r="C168" s="140" t="s">
        <v>333</v>
      </c>
      <c r="D168" s="140" t="s">
        <v>344</v>
      </c>
      <c r="E168" s="141">
        <v>432</v>
      </c>
      <c r="F168" s="141">
        <v>1752787.8130000001</v>
      </c>
      <c r="G168" s="141">
        <v>433</v>
      </c>
      <c r="H168" s="141">
        <v>1279474.7509999999</v>
      </c>
      <c r="I168" s="141">
        <v>433</v>
      </c>
      <c r="J168" s="141">
        <v>1611755.7560000001</v>
      </c>
    </row>
    <row r="169" spans="1:10" x14ac:dyDescent="0.2">
      <c r="A169" s="138" t="s">
        <v>148</v>
      </c>
      <c r="B169" s="138" t="s">
        <v>83</v>
      </c>
      <c r="C169" s="140" t="s">
        <v>333</v>
      </c>
      <c r="D169" s="140" t="s">
        <v>344</v>
      </c>
      <c r="E169" s="141">
        <v>1798</v>
      </c>
      <c r="F169" s="141">
        <v>12523732.890000001</v>
      </c>
      <c r="G169" s="141">
        <v>1801</v>
      </c>
      <c r="H169" s="141">
        <v>10991306.219000001</v>
      </c>
      <c r="I169" s="141">
        <v>1802</v>
      </c>
      <c r="J169" s="141">
        <v>14806084.458000001</v>
      </c>
    </row>
    <row r="170" spans="1:10" x14ac:dyDescent="0.2">
      <c r="A170" s="138" t="s">
        <v>149</v>
      </c>
      <c r="B170" s="138" t="s">
        <v>83</v>
      </c>
      <c r="C170" s="140" t="s">
        <v>333</v>
      </c>
      <c r="D170" s="140" t="s">
        <v>344</v>
      </c>
      <c r="E170" s="141">
        <v>27</v>
      </c>
      <c r="F170" s="141">
        <v>29989</v>
      </c>
      <c r="G170" s="141">
        <v>28</v>
      </c>
      <c r="H170" s="141">
        <v>75129.399999999994</v>
      </c>
      <c r="I170" s="141">
        <v>27</v>
      </c>
      <c r="J170" s="141">
        <v>28237</v>
      </c>
    </row>
    <row r="171" spans="1:10" x14ac:dyDescent="0.2">
      <c r="A171" s="138" t="s">
        <v>150</v>
      </c>
      <c r="B171" s="138" t="s">
        <v>83</v>
      </c>
      <c r="C171" s="140" t="s">
        <v>333</v>
      </c>
      <c r="D171" s="140" t="s">
        <v>344</v>
      </c>
      <c r="E171" s="141">
        <v>584</v>
      </c>
      <c r="F171" s="141">
        <v>920987.29399999999</v>
      </c>
      <c r="G171" s="141">
        <v>585</v>
      </c>
      <c r="H171" s="141">
        <v>801465.71600000001</v>
      </c>
      <c r="I171" s="141">
        <v>585</v>
      </c>
      <c r="J171" s="141">
        <v>789400.772</v>
      </c>
    </row>
    <row r="172" spans="1:10" x14ac:dyDescent="0.2">
      <c r="A172" s="138" t="s">
        <v>151</v>
      </c>
      <c r="B172" s="138" t="s">
        <v>83</v>
      </c>
      <c r="C172" s="140" t="s">
        <v>333</v>
      </c>
      <c r="D172" s="140" t="s">
        <v>344</v>
      </c>
      <c r="E172" s="141">
        <v>366</v>
      </c>
      <c r="F172" s="141">
        <v>695022.62699999998</v>
      </c>
      <c r="G172" s="141">
        <v>365</v>
      </c>
      <c r="H172" s="141">
        <v>1347351.105</v>
      </c>
      <c r="I172" s="141">
        <v>367</v>
      </c>
      <c r="J172" s="141">
        <v>1151925.852</v>
      </c>
    </row>
    <row r="173" spans="1:10" x14ac:dyDescent="0.2">
      <c r="A173" s="138" t="s">
        <v>152</v>
      </c>
      <c r="B173" s="138" t="s">
        <v>83</v>
      </c>
      <c r="C173" s="140" t="s">
        <v>333</v>
      </c>
      <c r="D173" s="140" t="s">
        <v>344</v>
      </c>
      <c r="E173" s="141">
        <v>23</v>
      </c>
      <c r="F173" s="141">
        <v>139447.16</v>
      </c>
      <c r="G173" s="141">
        <v>23</v>
      </c>
      <c r="H173" s="141">
        <v>150095.24</v>
      </c>
      <c r="I173" s="141">
        <v>23</v>
      </c>
      <c r="J173" s="141">
        <v>121207</v>
      </c>
    </row>
    <row r="174" spans="1:10" x14ac:dyDescent="0.2">
      <c r="A174" s="138" t="s">
        <v>153</v>
      </c>
      <c r="B174" s="138" t="s">
        <v>83</v>
      </c>
      <c r="C174" s="140" t="s">
        <v>333</v>
      </c>
      <c r="D174" s="140" t="s">
        <v>344</v>
      </c>
      <c r="E174" s="141">
        <v>733</v>
      </c>
      <c r="F174" s="141">
        <v>2816297.3140000002</v>
      </c>
      <c r="G174" s="141">
        <v>729</v>
      </c>
      <c r="H174" s="141">
        <v>1886236.899</v>
      </c>
      <c r="I174" s="141">
        <v>734</v>
      </c>
      <c r="J174" s="141">
        <v>2468739.0090000001</v>
      </c>
    </row>
    <row r="175" spans="1:10" x14ac:dyDescent="0.2">
      <c r="A175" s="138" t="s">
        <v>154</v>
      </c>
      <c r="B175" s="138" t="s">
        <v>83</v>
      </c>
      <c r="C175" s="140" t="s">
        <v>333</v>
      </c>
      <c r="D175" s="140" t="s">
        <v>344</v>
      </c>
      <c r="E175" s="141">
        <v>237</v>
      </c>
      <c r="F175" s="141">
        <v>809007.65800000005</v>
      </c>
      <c r="G175" s="141">
        <v>238</v>
      </c>
      <c r="H175" s="141">
        <v>648416.98899999994</v>
      </c>
      <c r="I175" s="141">
        <v>239</v>
      </c>
      <c r="J175" s="141">
        <v>609451.06599999999</v>
      </c>
    </row>
    <row r="176" spans="1:10" x14ac:dyDescent="0.2">
      <c r="A176" s="138" t="s">
        <v>155</v>
      </c>
      <c r="B176" s="138" t="s">
        <v>83</v>
      </c>
      <c r="C176" s="140" t="s">
        <v>333</v>
      </c>
      <c r="D176" s="140" t="s">
        <v>344</v>
      </c>
      <c r="E176" s="141">
        <v>379</v>
      </c>
      <c r="F176" s="141">
        <v>2089800.2790000001</v>
      </c>
      <c r="G176" s="141">
        <v>378</v>
      </c>
      <c r="H176" s="141">
        <v>2556052.5950000002</v>
      </c>
      <c r="I176" s="141">
        <v>380</v>
      </c>
      <c r="J176" s="141">
        <v>1111736.2239999999</v>
      </c>
    </row>
    <row r="177" spans="1:10" x14ac:dyDescent="0.2">
      <c r="A177" s="138" t="s">
        <v>156</v>
      </c>
      <c r="B177" s="138" t="s">
        <v>83</v>
      </c>
      <c r="C177" s="140" t="s">
        <v>333</v>
      </c>
      <c r="D177" s="140" t="s">
        <v>344</v>
      </c>
      <c r="E177" s="141">
        <v>674</v>
      </c>
      <c r="F177" s="141">
        <v>3586586.2170000002</v>
      </c>
      <c r="G177" s="141">
        <v>678</v>
      </c>
      <c r="H177" s="141">
        <v>3612248.2480000001</v>
      </c>
      <c r="I177" s="141">
        <v>677</v>
      </c>
      <c r="J177" s="141">
        <v>3506319.8650000002</v>
      </c>
    </row>
    <row r="178" spans="1:10" x14ac:dyDescent="0.2">
      <c r="A178" s="138" t="s">
        <v>157</v>
      </c>
      <c r="B178" s="138" t="s">
        <v>83</v>
      </c>
      <c r="C178" s="140" t="s">
        <v>333</v>
      </c>
      <c r="D178" s="140" t="s">
        <v>344</v>
      </c>
      <c r="E178" s="141">
        <v>1972</v>
      </c>
      <c r="F178" s="141">
        <v>85599656.157999992</v>
      </c>
      <c r="G178" s="141">
        <v>1975</v>
      </c>
      <c r="H178" s="141">
        <v>83593404.824000001</v>
      </c>
      <c r="I178" s="141">
        <v>1974</v>
      </c>
      <c r="J178" s="141">
        <v>75324678.405000001</v>
      </c>
    </row>
    <row r="179" spans="1:10" x14ac:dyDescent="0.2">
      <c r="A179" s="138" t="s">
        <v>158</v>
      </c>
      <c r="B179" s="138" t="s">
        <v>83</v>
      </c>
      <c r="C179" s="140" t="s">
        <v>333</v>
      </c>
      <c r="D179" s="140" t="s">
        <v>344</v>
      </c>
      <c r="E179" s="141">
        <v>565</v>
      </c>
      <c r="F179" s="141">
        <v>1223867.6000000001</v>
      </c>
      <c r="G179" s="141">
        <v>564</v>
      </c>
      <c r="H179" s="141">
        <v>1316106.227</v>
      </c>
      <c r="I179" s="141">
        <v>567</v>
      </c>
      <c r="J179" s="141">
        <v>1151278.787</v>
      </c>
    </row>
    <row r="180" spans="1:10" x14ac:dyDescent="0.2">
      <c r="A180" s="139" t="s">
        <v>300</v>
      </c>
      <c r="B180" s="139" t="s">
        <v>257</v>
      </c>
      <c r="C180" s="140" t="s">
        <v>333</v>
      </c>
      <c r="D180" s="140" t="s">
        <v>345</v>
      </c>
      <c r="E180" s="141">
        <v>24</v>
      </c>
      <c r="F180" s="141">
        <v>11233.51</v>
      </c>
      <c r="G180" s="141">
        <v>24</v>
      </c>
      <c r="H180" s="141">
        <v>10856.112999999999</v>
      </c>
      <c r="I180" s="141">
        <v>24</v>
      </c>
      <c r="J180" s="141">
        <v>10635.629000000001</v>
      </c>
    </row>
    <row r="181" spans="1:10" x14ac:dyDescent="0.2">
      <c r="A181" s="139" t="s">
        <v>301</v>
      </c>
      <c r="B181" s="140" t="s">
        <v>257</v>
      </c>
      <c r="C181" s="140" t="s">
        <v>333</v>
      </c>
      <c r="D181" s="140" t="s">
        <v>345</v>
      </c>
      <c r="E181" s="141">
        <v>57</v>
      </c>
      <c r="F181" s="141">
        <v>40993.648000000001</v>
      </c>
      <c r="G181" s="141">
        <v>57</v>
      </c>
      <c r="H181" s="141">
        <v>36158.582000000002</v>
      </c>
      <c r="I181" s="141">
        <v>58</v>
      </c>
      <c r="J181" s="141">
        <v>48312.421000000002</v>
      </c>
    </row>
    <row r="182" spans="1:10" x14ac:dyDescent="0.2">
      <c r="A182" s="138" t="s">
        <v>159</v>
      </c>
      <c r="B182" s="138" t="s">
        <v>83</v>
      </c>
      <c r="C182" s="140" t="s">
        <v>333</v>
      </c>
      <c r="D182" s="140" t="s">
        <v>344</v>
      </c>
      <c r="E182" s="141">
        <v>237</v>
      </c>
      <c r="F182" s="141">
        <v>352419.87199999997</v>
      </c>
      <c r="G182" s="141">
        <v>239</v>
      </c>
      <c r="H182" s="141">
        <v>152082.98699999999</v>
      </c>
      <c r="I182" s="141">
        <v>239</v>
      </c>
      <c r="J182" s="141">
        <v>230539.818</v>
      </c>
    </row>
    <row r="183" spans="1:10" x14ac:dyDescent="0.2">
      <c r="A183" s="138" t="s">
        <v>160</v>
      </c>
      <c r="B183" s="138" t="s">
        <v>83</v>
      </c>
      <c r="C183" s="140" t="s">
        <v>333</v>
      </c>
      <c r="D183" s="140" t="s">
        <v>344</v>
      </c>
      <c r="E183" s="141">
        <v>29</v>
      </c>
      <c r="F183" s="141">
        <v>889511</v>
      </c>
      <c r="G183" s="141">
        <v>29</v>
      </c>
      <c r="H183" s="141">
        <v>1833400.254</v>
      </c>
      <c r="I183" s="141">
        <v>28</v>
      </c>
      <c r="J183" s="141">
        <v>30948</v>
      </c>
    </row>
    <row r="184" spans="1:10" x14ac:dyDescent="0.2">
      <c r="A184" s="138" t="s">
        <v>161</v>
      </c>
      <c r="B184" s="138" t="s">
        <v>83</v>
      </c>
      <c r="C184" s="140" t="s">
        <v>333</v>
      </c>
      <c r="D184" s="140" t="s">
        <v>344</v>
      </c>
      <c r="E184" s="141">
        <v>536</v>
      </c>
      <c r="F184" s="141">
        <v>1693884.53</v>
      </c>
      <c r="G184" s="141">
        <v>539</v>
      </c>
      <c r="H184" s="141">
        <v>1431470.0079999999</v>
      </c>
      <c r="I184" s="141">
        <v>542</v>
      </c>
      <c r="J184" s="141">
        <v>1466623.365</v>
      </c>
    </row>
    <row r="185" spans="1:10" x14ac:dyDescent="0.2">
      <c r="A185" s="138" t="s">
        <v>302</v>
      </c>
      <c r="B185" s="138" t="s">
        <v>257</v>
      </c>
      <c r="C185" s="140" t="s">
        <v>333</v>
      </c>
      <c r="D185" s="140" t="s">
        <v>345</v>
      </c>
      <c r="E185" s="141">
        <v>261</v>
      </c>
      <c r="F185" s="141">
        <v>195874.807</v>
      </c>
      <c r="G185" s="141">
        <v>263</v>
      </c>
      <c r="H185" s="141">
        <v>171293.55999999997</v>
      </c>
      <c r="I185" s="141">
        <v>265</v>
      </c>
      <c r="J185" s="141">
        <v>159195.492</v>
      </c>
    </row>
    <row r="186" spans="1:10" x14ac:dyDescent="0.2">
      <c r="A186" s="138" t="s">
        <v>162</v>
      </c>
      <c r="B186" s="138" t="s">
        <v>83</v>
      </c>
      <c r="C186" s="140" t="s">
        <v>333</v>
      </c>
      <c r="D186" s="140" t="s">
        <v>344</v>
      </c>
      <c r="E186" s="141">
        <v>695</v>
      </c>
      <c r="F186" s="141">
        <v>2198116.915</v>
      </c>
      <c r="G186" s="141">
        <v>693</v>
      </c>
      <c r="H186" s="141">
        <v>1786207.943</v>
      </c>
      <c r="I186" s="141">
        <v>694</v>
      </c>
      <c r="J186" s="141">
        <v>1627803.4909999999</v>
      </c>
    </row>
    <row r="187" spans="1:10" x14ac:dyDescent="0.2">
      <c r="A187" s="138" t="s">
        <v>163</v>
      </c>
      <c r="B187" s="138" t="s">
        <v>83</v>
      </c>
      <c r="C187" s="140" t="s">
        <v>333</v>
      </c>
      <c r="D187" s="140" t="s">
        <v>344</v>
      </c>
      <c r="E187" s="141">
        <v>140</v>
      </c>
      <c r="F187" s="141">
        <v>142159.85800000001</v>
      </c>
      <c r="G187" s="141">
        <v>140</v>
      </c>
      <c r="H187" s="141">
        <v>106924.133</v>
      </c>
      <c r="I187" s="141">
        <v>141</v>
      </c>
      <c r="J187" s="141">
        <v>141153.49299999999</v>
      </c>
    </row>
    <row r="188" spans="1:10" x14ac:dyDescent="0.2">
      <c r="A188" s="138" t="s">
        <v>164</v>
      </c>
      <c r="B188" s="138" t="s">
        <v>83</v>
      </c>
      <c r="C188" s="140" t="s">
        <v>333</v>
      </c>
      <c r="D188" s="140" t="s">
        <v>344</v>
      </c>
      <c r="E188" s="141">
        <v>36</v>
      </c>
      <c r="F188" s="141">
        <v>61526</v>
      </c>
      <c r="G188" s="141">
        <v>36</v>
      </c>
      <c r="H188" s="141">
        <v>96774</v>
      </c>
      <c r="I188" s="141">
        <v>36</v>
      </c>
      <c r="J188" s="141">
        <v>56191</v>
      </c>
    </row>
    <row r="189" spans="1:10" x14ac:dyDescent="0.2">
      <c r="A189" s="138" t="s">
        <v>165</v>
      </c>
      <c r="B189" s="138" t="s">
        <v>83</v>
      </c>
      <c r="C189" s="140" t="s">
        <v>333</v>
      </c>
      <c r="D189" s="140" t="s">
        <v>344</v>
      </c>
      <c r="E189" s="141">
        <v>1747</v>
      </c>
      <c r="F189" s="141">
        <v>12228780.434</v>
      </c>
      <c r="G189" s="141">
        <v>1749</v>
      </c>
      <c r="H189" s="141">
        <v>9258922.5999999996</v>
      </c>
      <c r="I189" s="141">
        <v>1745</v>
      </c>
      <c r="J189" s="141">
        <v>9435376.2850000001</v>
      </c>
    </row>
    <row r="190" spans="1:10" x14ac:dyDescent="0.2">
      <c r="A190" s="138" t="s">
        <v>166</v>
      </c>
      <c r="B190" s="138" t="s">
        <v>83</v>
      </c>
      <c r="C190" s="140" t="s">
        <v>333</v>
      </c>
      <c r="D190" s="140" t="s">
        <v>344</v>
      </c>
      <c r="E190" s="141">
        <v>152</v>
      </c>
      <c r="F190" s="141">
        <v>412230.56199999998</v>
      </c>
      <c r="G190" s="141">
        <v>153</v>
      </c>
      <c r="H190" s="141">
        <v>312727.96000000002</v>
      </c>
      <c r="I190" s="141">
        <v>153</v>
      </c>
      <c r="J190" s="141">
        <v>401219.64</v>
      </c>
    </row>
    <row r="191" spans="1:10" x14ac:dyDescent="0.2">
      <c r="A191" s="138" t="s">
        <v>167</v>
      </c>
      <c r="B191" s="138" t="s">
        <v>83</v>
      </c>
      <c r="C191" s="140" t="s">
        <v>333</v>
      </c>
      <c r="D191" s="140" t="s">
        <v>344</v>
      </c>
      <c r="E191" s="141">
        <v>58</v>
      </c>
      <c r="F191" s="141">
        <v>408936.28</v>
      </c>
      <c r="G191" s="141">
        <v>58</v>
      </c>
      <c r="H191" s="141">
        <v>160580</v>
      </c>
      <c r="I191" s="141">
        <v>59</v>
      </c>
      <c r="J191" s="141">
        <v>297026.19799999997</v>
      </c>
    </row>
    <row r="192" spans="1:10" x14ac:dyDescent="0.2">
      <c r="A192" s="138" t="s">
        <v>303</v>
      </c>
      <c r="B192" s="138" t="s">
        <v>257</v>
      </c>
      <c r="C192" s="140" t="s">
        <v>333</v>
      </c>
      <c r="D192" s="140" t="s">
        <v>345</v>
      </c>
      <c r="E192" s="141">
        <v>554</v>
      </c>
      <c r="F192" s="141">
        <v>314906.51</v>
      </c>
      <c r="G192" s="141">
        <v>553</v>
      </c>
      <c r="H192" s="141">
        <v>245650.302</v>
      </c>
      <c r="I192" s="141">
        <v>554</v>
      </c>
      <c r="J192" s="141">
        <v>251491.49300000002</v>
      </c>
    </row>
    <row r="193" spans="1:10" x14ac:dyDescent="0.2">
      <c r="A193" s="138" t="s">
        <v>304</v>
      </c>
      <c r="B193" s="138" t="s">
        <v>257</v>
      </c>
      <c r="C193" s="140" t="s">
        <v>333</v>
      </c>
      <c r="D193" s="140" t="s">
        <v>345</v>
      </c>
      <c r="E193" s="141">
        <v>532</v>
      </c>
      <c r="F193" s="141">
        <v>612720.48699999996</v>
      </c>
      <c r="G193" s="141">
        <v>532</v>
      </c>
      <c r="H193" s="141">
        <v>582431.57700000005</v>
      </c>
      <c r="I193" s="141">
        <v>532</v>
      </c>
      <c r="J193" s="141">
        <v>483186.53700000001</v>
      </c>
    </row>
    <row r="194" spans="1:10" x14ac:dyDescent="0.2">
      <c r="A194" s="138" t="s">
        <v>168</v>
      </c>
      <c r="B194" s="138" t="s">
        <v>83</v>
      </c>
      <c r="C194" s="140" t="s">
        <v>333</v>
      </c>
      <c r="D194" s="140" t="s">
        <v>344</v>
      </c>
      <c r="E194" s="141">
        <v>5</v>
      </c>
      <c r="F194" s="141">
        <v>649</v>
      </c>
      <c r="G194" s="141">
        <v>5</v>
      </c>
      <c r="H194" s="141">
        <v>546</v>
      </c>
      <c r="I194" s="141">
        <v>5</v>
      </c>
      <c r="J194" s="141">
        <v>548</v>
      </c>
    </row>
    <row r="195" spans="1:10" x14ac:dyDescent="0.2">
      <c r="A195" s="138" t="s">
        <v>168</v>
      </c>
      <c r="B195" s="138" t="s">
        <v>257</v>
      </c>
      <c r="C195" s="140" t="s">
        <v>333</v>
      </c>
      <c r="D195" s="140" t="s">
        <v>345</v>
      </c>
      <c r="E195" s="141">
        <v>633</v>
      </c>
      <c r="F195" s="141">
        <v>635970.35600000003</v>
      </c>
      <c r="G195" s="141">
        <v>633</v>
      </c>
      <c r="H195" s="141">
        <v>602737.50399999996</v>
      </c>
      <c r="I195" s="141">
        <v>631</v>
      </c>
      <c r="J195" s="141">
        <v>560336.875</v>
      </c>
    </row>
    <row r="196" spans="1:10" x14ac:dyDescent="0.2">
      <c r="A196" s="138" t="s">
        <v>169</v>
      </c>
      <c r="B196" s="138" t="s">
        <v>83</v>
      </c>
      <c r="C196" s="140" t="s">
        <v>333</v>
      </c>
      <c r="D196" s="140" t="s">
        <v>344</v>
      </c>
      <c r="E196" s="141">
        <v>2416</v>
      </c>
      <c r="F196" s="141">
        <v>17379680.142999999</v>
      </c>
      <c r="G196" s="141">
        <v>2415</v>
      </c>
      <c r="H196" s="141">
        <v>16547782.960000001</v>
      </c>
      <c r="I196" s="141">
        <v>2418</v>
      </c>
      <c r="J196" s="141">
        <v>14360052.166999999</v>
      </c>
    </row>
    <row r="197" spans="1:10" x14ac:dyDescent="0.2">
      <c r="A197" s="138" t="s">
        <v>170</v>
      </c>
      <c r="B197" s="138" t="s">
        <v>83</v>
      </c>
      <c r="C197" s="140" t="s">
        <v>333</v>
      </c>
      <c r="D197" s="140" t="s">
        <v>344</v>
      </c>
      <c r="E197" s="141">
        <v>790</v>
      </c>
      <c r="F197" s="141">
        <v>4304942.8509999998</v>
      </c>
      <c r="G197" s="141">
        <v>792</v>
      </c>
      <c r="H197" s="141">
        <v>3130134.6189999999</v>
      </c>
      <c r="I197" s="141">
        <v>790</v>
      </c>
      <c r="J197" s="141">
        <v>3317379.5150000001</v>
      </c>
    </row>
    <row r="198" spans="1:10" x14ac:dyDescent="0.2">
      <c r="A198" s="138" t="s">
        <v>305</v>
      </c>
      <c r="B198" s="138" t="s">
        <v>257</v>
      </c>
      <c r="C198" s="140" t="s">
        <v>333</v>
      </c>
      <c r="D198" s="140" t="s">
        <v>345</v>
      </c>
      <c r="E198" s="141">
        <v>465</v>
      </c>
      <c r="F198" s="141">
        <v>341945.08400000003</v>
      </c>
      <c r="G198" s="141">
        <v>469</v>
      </c>
      <c r="H198" s="141">
        <v>312533.82299999997</v>
      </c>
      <c r="I198" s="141">
        <v>476</v>
      </c>
      <c r="J198" s="141">
        <v>308023.30199999997</v>
      </c>
    </row>
    <row r="199" spans="1:10" x14ac:dyDescent="0.2">
      <c r="A199" s="138" t="s">
        <v>171</v>
      </c>
      <c r="B199" s="138" t="s">
        <v>83</v>
      </c>
      <c r="C199" s="140" t="s">
        <v>333</v>
      </c>
      <c r="D199" s="140" t="s">
        <v>344</v>
      </c>
      <c r="E199" s="141">
        <v>75</v>
      </c>
      <c r="F199" s="141">
        <v>133147.24</v>
      </c>
      <c r="G199" s="141">
        <v>78</v>
      </c>
      <c r="H199" s="141">
        <v>142745.67199999999</v>
      </c>
      <c r="I199" s="141">
        <v>80</v>
      </c>
      <c r="J199" s="141">
        <v>118313</v>
      </c>
    </row>
    <row r="200" spans="1:10" x14ac:dyDescent="0.2">
      <c r="A200" s="138" t="s">
        <v>172</v>
      </c>
      <c r="B200" s="138" t="s">
        <v>83</v>
      </c>
      <c r="C200" s="140" t="s">
        <v>333</v>
      </c>
      <c r="D200" s="140" t="s">
        <v>344</v>
      </c>
      <c r="E200" s="141">
        <v>2224</v>
      </c>
      <c r="F200" s="141">
        <v>12698777.310000001</v>
      </c>
      <c r="G200" s="141">
        <v>2227</v>
      </c>
      <c r="H200" s="141">
        <v>11116126.537</v>
      </c>
      <c r="I200" s="141">
        <v>2224</v>
      </c>
      <c r="J200" s="141">
        <v>11612721.954</v>
      </c>
    </row>
    <row r="201" spans="1:10" x14ac:dyDescent="0.2">
      <c r="A201" s="138" t="s">
        <v>173</v>
      </c>
      <c r="B201" s="138" t="s">
        <v>83</v>
      </c>
      <c r="C201" s="140" t="s">
        <v>333</v>
      </c>
      <c r="D201" s="140" t="s">
        <v>344</v>
      </c>
      <c r="E201" s="141">
        <v>1</v>
      </c>
      <c r="F201" s="141">
        <v>27960</v>
      </c>
      <c r="G201" s="141">
        <v>1</v>
      </c>
      <c r="H201" s="141">
        <v>26160</v>
      </c>
      <c r="I201" s="141">
        <v>1</v>
      </c>
      <c r="J201" s="141">
        <v>24840</v>
      </c>
    </row>
    <row r="202" spans="1:10" x14ac:dyDescent="0.2">
      <c r="A202" s="139" t="s">
        <v>174</v>
      </c>
      <c r="B202" s="139" t="s">
        <v>83</v>
      </c>
      <c r="C202" s="140" t="s">
        <v>333</v>
      </c>
      <c r="D202" s="140" t="s">
        <v>344</v>
      </c>
      <c r="E202" s="141">
        <v>190</v>
      </c>
      <c r="F202" s="141">
        <v>480835.19300000003</v>
      </c>
      <c r="G202" s="141">
        <v>191</v>
      </c>
      <c r="H202" s="141">
        <v>378389.75</v>
      </c>
      <c r="I202" s="141">
        <v>192</v>
      </c>
      <c r="J202" s="141">
        <v>562369.12899999996</v>
      </c>
    </row>
    <row r="203" spans="1:10" x14ac:dyDescent="0.2">
      <c r="A203" s="140" t="s">
        <v>175</v>
      </c>
      <c r="B203" s="140" t="s">
        <v>83</v>
      </c>
      <c r="C203" s="140" t="s">
        <v>333</v>
      </c>
      <c r="D203" s="140" t="s">
        <v>344</v>
      </c>
      <c r="E203" s="141">
        <v>67</v>
      </c>
      <c r="F203" s="141">
        <v>149313.5</v>
      </c>
      <c r="G203" s="141">
        <v>70</v>
      </c>
      <c r="H203" s="141">
        <v>69382</v>
      </c>
      <c r="I203" s="141">
        <v>70</v>
      </c>
      <c r="J203" s="141">
        <v>128923</v>
      </c>
    </row>
    <row r="204" spans="1:10" x14ac:dyDescent="0.2">
      <c r="A204" s="138" t="s">
        <v>176</v>
      </c>
      <c r="B204" s="138" t="s">
        <v>83</v>
      </c>
      <c r="C204" s="140" t="s">
        <v>333</v>
      </c>
      <c r="D204" s="140" t="s">
        <v>344</v>
      </c>
      <c r="E204" s="141">
        <v>1424</v>
      </c>
      <c r="F204" s="141">
        <v>4990474.2479999997</v>
      </c>
      <c r="G204" s="141">
        <v>1421</v>
      </c>
      <c r="H204" s="141">
        <v>5041526.7350000003</v>
      </c>
      <c r="I204" s="141">
        <v>1417</v>
      </c>
      <c r="J204" s="141">
        <v>4774224.9029999999</v>
      </c>
    </row>
    <row r="205" spans="1:10" x14ac:dyDescent="0.2">
      <c r="A205" s="138" t="s">
        <v>177</v>
      </c>
      <c r="B205" s="138" t="s">
        <v>83</v>
      </c>
      <c r="C205" s="140" t="s">
        <v>333</v>
      </c>
      <c r="D205" s="140" t="s">
        <v>344</v>
      </c>
      <c r="E205" s="141">
        <v>90</v>
      </c>
      <c r="F205" s="141">
        <v>187573.43100000001</v>
      </c>
      <c r="G205" s="141">
        <v>90</v>
      </c>
      <c r="H205" s="141">
        <v>177159</v>
      </c>
      <c r="I205" s="141">
        <v>90</v>
      </c>
      <c r="J205" s="141">
        <v>237638.5</v>
      </c>
    </row>
    <row r="206" spans="1:10" x14ac:dyDescent="0.2">
      <c r="A206" s="138" t="s">
        <v>306</v>
      </c>
      <c r="B206" s="138" t="s">
        <v>257</v>
      </c>
      <c r="C206" s="140" t="s">
        <v>333</v>
      </c>
      <c r="D206" s="140" t="s">
        <v>345</v>
      </c>
      <c r="E206" s="141">
        <v>419</v>
      </c>
      <c r="F206" s="141">
        <v>209517.73400000003</v>
      </c>
      <c r="G206" s="141">
        <v>419</v>
      </c>
      <c r="H206" s="141">
        <v>175834.09899999999</v>
      </c>
      <c r="I206" s="141">
        <v>418</v>
      </c>
      <c r="J206" s="141">
        <v>180837.633</v>
      </c>
    </row>
    <row r="207" spans="1:10" x14ac:dyDescent="0.2">
      <c r="A207" s="138" t="s">
        <v>178</v>
      </c>
      <c r="B207" s="138" t="s">
        <v>83</v>
      </c>
      <c r="C207" s="140" t="s">
        <v>333</v>
      </c>
      <c r="D207" s="140" t="s">
        <v>344</v>
      </c>
      <c r="E207" s="141">
        <v>7</v>
      </c>
      <c r="F207" s="141">
        <v>1357</v>
      </c>
      <c r="G207" s="141">
        <v>7</v>
      </c>
      <c r="H207" s="141">
        <v>15435</v>
      </c>
      <c r="I207" s="141">
        <v>7</v>
      </c>
      <c r="J207" s="141">
        <v>162</v>
      </c>
    </row>
    <row r="208" spans="1:10" x14ac:dyDescent="0.2">
      <c r="A208" s="138" t="s">
        <v>178</v>
      </c>
      <c r="B208" s="138" t="s">
        <v>257</v>
      </c>
      <c r="C208" s="140" t="s">
        <v>333</v>
      </c>
      <c r="D208" s="140" t="s">
        <v>345</v>
      </c>
      <c r="E208" s="141">
        <v>1</v>
      </c>
      <c r="F208" s="141">
        <v>168.83500000000001</v>
      </c>
      <c r="G208" s="141">
        <v>1</v>
      </c>
      <c r="H208" s="141">
        <v>217.41800000000001</v>
      </c>
      <c r="I208" s="141">
        <v>1</v>
      </c>
      <c r="J208" s="141">
        <v>222.84800000000001</v>
      </c>
    </row>
    <row r="209" spans="1:10" x14ac:dyDescent="0.2">
      <c r="A209" s="138" t="s">
        <v>307</v>
      </c>
      <c r="B209" s="138" t="s">
        <v>257</v>
      </c>
      <c r="C209" s="140" t="s">
        <v>333</v>
      </c>
      <c r="D209" s="140" t="s">
        <v>345</v>
      </c>
      <c r="E209" s="141">
        <v>63</v>
      </c>
      <c r="F209" s="141">
        <v>133456.16899999999</v>
      </c>
      <c r="G209" s="141">
        <v>62</v>
      </c>
      <c r="H209" s="141">
        <v>96843.61</v>
      </c>
      <c r="I209" s="141">
        <v>62</v>
      </c>
      <c r="J209" s="141">
        <v>88405.001000000004</v>
      </c>
    </row>
    <row r="210" spans="1:10" x14ac:dyDescent="0.2">
      <c r="A210" s="138" t="s">
        <v>179</v>
      </c>
      <c r="B210" s="138" t="s">
        <v>83</v>
      </c>
      <c r="C210" s="140" t="s">
        <v>333</v>
      </c>
      <c r="D210" s="140" t="s">
        <v>344</v>
      </c>
      <c r="E210" s="141">
        <v>172</v>
      </c>
      <c r="F210" s="141">
        <v>359242.45</v>
      </c>
      <c r="G210" s="141">
        <v>171</v>
      </c>
      <c r="H210" s="141">
        <v>752795.06900000002</v>
      </c>
      <c r="I210" s="141">
        <v>174</v>
      </c>
      <c r="J210" s="141">
        <v>505289.16600000003</v>
      </c>
    </row>
    <row r="211" spans="1:10" x14ac:dyDescent="0.2">
      <c r="A211" s="138" t="s">
        <v>308</v>
      </c>
      <c r="B211" s="138" t="s">
        <v>257</v>
      </c>
      <c r="C211" s="140" t="s">
        <v>333</v>
      </c>
      <c r="D211" s="140" t="s">
        <v>345</v>
      </c>
      <c r="E211" s="141">
        <v>141</v>
      </c>
      <c r="F211" s="141">
        <v>173817.79499999998</v>
      </c>
      <c r="G211" s="141">
        <v>141</v>
      </c>
      <c r="H211" s="141">
        <v>229712.155</v>
      </c>
      <c r="I211" s="141">
        <v>141</v>
      </c>
      <c r="J211" s="141">
        <v>65505.127</v>
      </c>
    </row>
    <row r="212" spans="1:10" x14ac:dyDescent="0.2">
      <c r="A212" s="138" t="s">
        <v>180</v>
      </c>
      <c r="B212" s="138" t="s">
        <v>83</v>
      </c>
      <c r="C212" s="140" t="s">
        <v>333</v>
      </c>
      <c r="D212" s="140" t="s">
        <v>344</v>
      </c>
      <c r="E212" s="141">
        <v>955</v>
      </c>
      <c r="F212" s="141">
        <v>3800279.9160000002</v>
      </c>
      <c r="G212" s="141">
        <v>956</v>
      </c>
      <c r="H212" s="141">
        <v>3321982.7050000001</v>
      </c>
      <c r="I212" s="141">
        <v>954</v>
      </c>
      <c r="J212" s="141">
        <v>4514313.852</v>
      </c>
    </row>
    <row r="213" spans="1:10" x14ac:dyDescent="0.2">
      <c r="A213" s="139" t="s">
        <v>181</v>
      </c>
      <c r="B213" s="139" t="s">
        <v>83</v>
      </c>
      <c r="C213" s="140" t="s">
        <v>333</v>
      </c>
      <c r="D213" s="140" t="s">
        <v>344</v>
      </c>
      <c r="E213" s="141">
        <v>679</v>
      </c>
      <c r="F213" s="141">
        <v>3060638.3</v>
      </c>
      <c r="G213" s="141">
        <v>685</v>
      </c>
      <c r="H213" s="141">
        <v>2386065.6869999999</v>
      </c>
      <c r="I213" s="141">
        <v>689</v>
      </c>
      <c r="J213" s="141">
        <v>3174787.202</v>
      </c>
    </row>
    <row r="214" spans="1:10" x14ac:dyDescent="0.2">
      <c r="A214" s="139" t="s">
        <v>182</v>
      </c>
      <c r="B214" s="139" t="s">
        <v>83</v>
      </c>
      <c r="C214" s="140" t="s">
        <v>333</v>
      </c>
      <c r="D214" s="140" t="s">
        <v>344</v>
      </c>
      <c r="E214" s="141">
        <v>1886</v>
      </c>
      <c r="F214" s="141">
        <v>7677979.1090000002</v>
      </c>
      <c r="G214" s="141">
        <v>1905</v>
      </c>
      <c r="H214" s="141">
        <v>8333097.2580000004</v>
      </c>
      <c r="I214" s="141">
        <v>1899</v>
      </c>
      <c r="J214" s="141">
        <v>8087913.4409999996</v>
      </c>
    </row>
    <row r="215" spans="1:10" x14ac:dyDescent="0.2">
      <c r="A215" s="139" t="s">
        <v>183</v>
      </c>
      <c r="B215" s="139" t="s">
        <v>83</v>
      </c>
      <c r="C215" s="140" t="s">
        <v>333</v>
      </c>
      <c r="D215" s="140" t="s">
        <v>344</v>
      </c>
      <c r="E215" s="141">
        <v>2</v>
      </c>
      <c r="F215" s="141">
        <v>7596</v>
      </c>
      <c r="G215" s="141">
        <v>2</v>
      </c>
      <c r="H215" s="141">
        <v>7482</v>
      </c>
      <c r="I215" s="141">
        <v>2</v>
      </c>
      <c r="J215" s="141">
        <v>7195</v>
      </c>
    </row>
    <row r="216" spans="1:10" x14ac:dyDescent="0.2">
      <c r="A216" s="138" t="s">
        <v>184</v>
      </c>
      <c r="B216" s="138" t="s">
        <v>83</v>
      </c>
      <c r="C216" s="140" t="s">
        <v>333</v>
      </c>
      <c r="D216" s="140" t="s">
        <v>344</v>
      </c>
      <c r="E216" s="141">
        <v>907</v>
      </c>
      <c r="F216" s="141">
        <v>2371284.7400000002</v>
      </c>
      <c r="G216" s="141">
        <v>914</v>
      </c>
      <c r="H216" s="141">
        <v>3715947.1370000001</v>
      </c>
      <c r="I216" s="141">
        <v>928</v>
      </c>
      <c r="J216" s="141">
        <v>2473792.5639999998</v>
      </c>
    </row>
    <row r="217" spans="1:10" x14ac:dyDescent="0.2">
      <c r="A217" s="138" t="s">
        <v>184</v>
      </c>
      <c r="B217" s="138" t="s">
        <v>257</v>
      </c>
      <c r="C217" s="140" t="s">
        <v>333</v>
      </c>
      <c r="D217" s="140" t="s">
        <v>345</v>
      </c>
      <c r="E217" s="141">
        <v>170</v>
      </c>
      <c r="F217" s="141">
        <v>153876.946</v>
      </c>
      <c r="G217" s="141">
        <v>170</v>
      </c>
      <c r="H217" s="141">
        <v>86951.335000000006</v>
      </c>
      <c r="I217" s="141">
        <v>170</v>
      </c>
      <c r="J217" s="141">
        <v>149559.43599999999</v>
      </c>
    </row>
    <row r="218" spans="1:10" x14ac:dyDescent="0.2">
      <c r="A218" s="139" t="s">
        <v>185</v>
      </c>
      <c r="B218" s="139" t="s">
        <v>83</v>
      </c>
      <c r="C218" s="140" t="s">
        <v>333</v>
      </c>
      <c r="D218" s="140" t="s">
        <v>344</v>
      </c>
      <c r="E218" s="141">
        <v>1</v>
      </c>
      <c r="F218" s="141">
        <v>60</v>
      </c>
      <c r="G218" s="141">
        <v>1</v>
      </c>
      <c r="H218" s="141">
        <v>60</v>
      </c>
      <c r="I218" s="141">
        <v>1</v>
      </c>
      <c r="J218" s="141">
        <v>60</v>
      </c>
    </row>
    <row r="219" spans="1:10" x14ac:dyDescent="0.2">
      <c r="A219" s="138" t="s">
        <v>186</v>
      </c>
      <c r="B219" s="138" t="s">
        <v>83</v>
      </c>
      <c r="C219" s="140" t="s">
        <v>333</v>
      </c>
      <c r="D219" s="140" t="s">
        <v>344</v>
      </c>
      <c r="E219" s="141">
        <v>39</v>
      </c>
      <c r="F219" s="141">
        <v>101729</v>
      </c>
      <c r="G219" s="141">
        <v>38</v>
      </c>
      <c r="H219" s="141">
        <v>61552</v>
      </c>
      <c r="I219" s="141">
        <v>39</v>
      </c>
      <c r="J219" s="141">
        <v>85623.771999999997</v>
      </c>
    </row>
    <row r="220" spans="1:10" x14ac:dyDescent="0.2">
      <c r="A220" s="138" t="s">
        <v>187</v>
      </c>
      <c r="B220" s="138" t="s">
        <v>83</v>
      </c>
      <c r="C220" s="140" t="s">
        <v>333</v>
      </c>
      <c r="D220" s="140" t="s">
        <v>344</v>
      </c>
      <c r="E220" s="141">
        <v>408</v>
      </c>
      <c r="F220" s="141">
        <v>4580655.4539999999</v>
      </c>
      <c r="G220" s="141">
        <v>406</v>
      </c>
      <c r="H220" s="141">
        <v>5196155.7880000006</v>
      </c>
      <c r="I220" s="141">
        <v>406</v>
      </c>
      <c r="J220" s="141">
        <v>3320944.7479999997</v>
      </c>
    </row>
    <row r="221" spans="1:10" x14ac:dyDescent="0.2">
      <c r="A221" s="139" t="s">
        <v>187</v>
      </c>
      <c r="B221" s="139" t="s">
        <v>257</v>
      </c>
      <c r="C221" s="140" t="s">
        <v>333</v>
      </c>
      <c r="D221" s="140" t="s">
        <v>345</v>
      </c>
      <c r="E221" s="141">
        <v>120</v>
      </c>
      <c r="F221" s="141">
        <v>154057.027</v>
      </c>
      <c r="G221" s="141">
        <v>120</v>
      </c>
      <c r="H221" s="141">
        <v>158385.111</v>
      </c>
      <c r="I221" s="141">
        <v>120</v>
      </c>
      <c r="J221" s="141">
        <v>150550.51500000001</v>
      </c>
    </row>
    <row r="222" spans="1:10" x14ac:dyDescent="0.2">
      <c r="A222" s="139" t="s">
        <v>188</v>
      </c>
      <c r="B222" s="139" t="s">
        <v>83</v>
      </c>
      <c r="C222" s="140" t="s">
        <v>333</v>
      </c>
      <c r="D222" s="140" t="s">
        <v>344</v>
      </c>
      <c r="E222" s="141">
        <v>66</v>
      </c>
      <c r="F222" s="141">
        <v>152944.24</v>
      </c>
      <c r="G222" s="141">
        <v>66</v>
      </c>
      <c r="H222" s="141">
        <v>178734.58</v>
      </c>
      <c r="I222" s="141">
        <v>67</v>
      </c>
      <c r="J222" s="141">
        <v>137649</v>
      </c>
    </row>
    <row r="223" spans="1:10" x14ac:dyDescent="0.2">
      <c r="A223" s="138" t="s">
        <v>189</v>
      </c>
      <c r="B223" s="139" t="s">
        <v>83</v>
      </c>
      <c r="C223" s="140" t="s">
        <v>333</v>
      </c>
      <c r="D223" s="140" t="s">
        <v>344</v>
      </c>
      <c r="E223" s="141">
        <v>2</v>
      </c>
      <c r="F223" s="141">
        <v>2363</v>
      </c>
      <c r="G223" s="141">
        <v>2</v>
      </c>
      <c r="H223" s="141"/>
      <c r="I223" s="141">
        <v>2</v>
      </c>
      <c r="J223" s="141">
        <v>1660</v>
      </c>
    </row>
    <row r="224" spans="1:10" x14ac:dyDescent="0.2">
      <c r="A224" s="139" t="s">
        <v>190</v>
      </c>
      <c r="B224" s="139" t="s">
        <v>83</v>
      </c>
      <c r="C224" s="140" t="s">
        <v>333</v>
      </c>
      <c r="D224" s="140" t="s">
        <v>344</v>
      </c>
      <c r="E224" s="141">
        <v>24</v>
      </c>
      <c r="F224" s="141">
        <v>16754</v>
      </c>
      <c r="G224" s="141">
        <v>25</v>
      </c>
      <c r="H224" s="141">
        <v>17780</v>
      </c>
      <c r="I224" s="141">
        <v>24</v>
      </c>
      <c r="J224" s="141">
        <v>16829</v>
      </c>
    </row>
    <row r="225" spans="1:10" x14ac:dyDescent="0.2">
      <c r="A225" s="139" t="s">
        <v>190</v>
      </c>
      <c r="B225" s="139" t="s">
        <v>257</v>
      </c>
      <c r="C225" s="140" t="s">
        <v>333</v>
      </c>
      <c r="D225" s="140" t="s">
        <v>345</v>
      </c>
      <c r="E225" s="141">
        <v>150</v>
      </c>
      <c r="F225" s="141">
        <v>180970.60699999999</v>
      </c>
      <c r="G225" s="141">
        <v>151</v>
      </c>
      <c r="H225" s="141">
        <v>223251.46599999999</v>
      </c>
      <c r="I225" s="141">
        <v>151</v>
      </c>
      <c r="J225" s="141">
        <v>114118.675</v>
      </c>
    </row>
    <row r="226" spans="1:10" x14ac:dyDescent="0.2">
      <c r="A226" s="139" t="s">
        <v>309</v>
      </c>
      <c r="B226" s="139" t="s">
        <v>257</v>
      </c>
      <c r="C226" s="140" t="s">
        <v>333</v>
      </c>
      <c r="D226" s="140" t="s">
        <v>345</v>
      </c>
      <c r="E226" s="141">
        <v>498</v>
      </c>
      <c r="F226" s="141">
        <v>209888.111</v>
      </c>
      <c r="G226" s="141">
        <v>500</v>
      </c>
      <c r="H226" s="141">
        <v>190195.29799999998</v>
      </c>
      <c r="I226" s="141">
        <v>500</v>
      </c>
      <c r="J226" s="141">
        <v>205733.288</v>
      </c>
    </row>
    <row r="227" spans="1:10" x14ac:dyDescent="0.2">
      <c r="A227" s="138" t="s">
        <v>191</v>
      </c>
      <c r="B227" s="139" t="s">
        <v>83</v>
      </c>
      <c r="C227" s="140" t="s">
        <v>333</v>
      </c>
      <c r="D227" s="140" t="s">
        <v>344</v>
      </c>
      <c r="E227" s="141">
        <v>502</v>
      </c>
      <c r="F227" s="141">
        <v>3184673.1310000001</v>
      </c>
      <c r="G227" s="141">
        <v>508</v>
      </c>
      <c r="H227" s="141">
        <v>3098696.125</v>
      </c>
      <c r="I227" s="141">
        <v>504</v>
      </c>
      <c r="J227" s="141">
        <v>3340356.4840000002</v>
      </c>
    </row>
    <row r="228" spans="1:10" x14ac:dyDescent="0.2">
      <c r="A228" s="139" t="s">
        <v>192</v>
      </c>
      <c r="B228" s="139" t="s">
        <v>83</v>
      </c>
      <c r="C228" s="140" t="s">
        <v>333</v>
      </c>
      <c r="D228" s="140" t="s">
        <v>344</v>
      </c>
      <c r="E228" s="141">
        <v>467</v>
      </c>
      <c r="F228" s="141">
        <v>925821.83700000006</v>
      </c>
      <c r="G228" s="141">
        <v>474</v>
      </c>
      <c r="H228" s="141">
        <v>769387.60100000002</v>
      </c>
      <c r="I228" s="141">
        <v>479</v>
      </c>
      <c r="J228" s="141">
        <v>1151047.8289999999</v>
      </c>
    </row>
    <row r="229" spans="1:10" x14ac:dyDescent="0.2">
      <c r="A229" s="139" t="s">
        <v>192</v>
      </c>
      <c r="B229" s="139" t="s">
        <v>257</v>
      </c>
      <c r="C229" s="140" t="s">
        <v>333</v>
      </c>
      <c r="D229" s="140" t="s">
        <v>345</v>
      </c>
      <c r="E229" s="141">
        <v>102</v>
      </c>
      <c r="F229" s="141">
        <v>53218.353999999999</v>
      </c>
      <c r="G229" s="141">
        <v>102</v>
      </c>
      <c r="H229" s="141">
        <v>46546.834999999999</v>
      </c>
      <c r="I229" s="141">
        <v>102</v>
      </c>
      <c r="J229" s="141">
        <v>58920.273999999998</v>
      </c>
    </row>
    <row r="230" spans="1:10" x14ac:dyDescent="0.2">
      <c r="A230" s="139" t="s">
        <v>193</v>
      </c>
      <c r="B230" s="139" t="s">
        <v>83</v>
      </c>
      <c r="C230" s="140" t="s">
        <v>333</v>
      </c>
      <c r="D230" s="140" t="s">
        <v>344</v>
      </c>
      <c r="E230" s="141">
        <v>127</v>
      </c>
      <c r="F230" s="141">
        <v>110714.57399999999</v>
      </c>
      <c r="G230" s="141">
        <v>128</v>
      </c>
      <c r="H230" s="141">
        <v>109741.845</v>
      </c>
      <c r="I230" s="141">
        <v>127</v>
      </c>
      <c r="J230" s="141">
        <v>99240.581000000006</v>
      </c>
    </row>
    <row r="231" spans="1:10" x14ac:dyDescent="0.2">
      <c r="A231" s="138" t="s">
        <v>194</v>
      </c>
      <c r="B231" s="139" t="s">
        <v>83</v>
      </c>
      <c r="C231" s="140" t="s">
        <v>333</v>
      </c>
      <c r="D231" s="140" t="s">
        <v>344</v>
      </c>
      <c r="E231" s="141">
        <v>80</v>
      </c>
      <c r="F231" s="141">
        <v>77193</v>
      </c>
      <c r="G231" s="141">
        <v>80</v>
      </c>
      <c r="H231" s="141">
        <v>84761</v>
      </c>
      <c r="I231" s="141">
        <v>80</v>
      </c>
      <c r="J231" s="141">
        <v>68487</v>
      </c>
    </row>
    <row r="232" spans="1:10" x14ac:dyDescent="0.2">
      <c r="A232" s="139" t="s">
        <v>195</v>
      </c>
      <c r="B232" s="139" t="s">
        <v>83</v>
      </c>
      <c r="C232" s="140" t="s">
        <v>333</v>
      </c>
      <c r="D232" s="140" t="s">
        <v>344</v>
      </c>
      <c r="E232" s="141">
        <v>4</v>
      </c>
      <c r="F232" s="141">
        <v>104713.7</v>
      </c>
      <c r="G232" s="141">
        <v>4</v>
      </c>
      <c r="H232" s="141">
        <v>143150.42000000001</v>
      </c>
      <c r="I232" s="141">
        <v>4</v>
      </c>
      <c r="J232" s="141">
        <v>10466.080000000002</v>
      </c>
    </row>
    <row r="233" spans="1:10" x14ac:dyDescent="0.2">
      <c r="A233" s="139" t="s">
        <v>196</v>
      </c>
      <c r="B233" s="139" t="s">
        <v>83</v>
      </c>
      <c r="C233" s="140" t="s">
        <v>333</v>
      </c>
      <c r="D233" s="140" t="s">
        <v>344</v>
      </c>
      <c r="E233" s="141">
        <v>29</v>
      </c>
      <c r="F233" s="141">
        <v>59790</v>
      </c>
      <c r="G233" s="141">
        <v>28</v>
      </c>
      <c r="H233" s="141">
        <v>54284</v>
      </c>
      <c r="I233" s="141">
        <v>28</v>
      </c>
      <c r="J233" s="141">
        <v>53364.766000000003</v>
      </c>
    </row>
    <row r="234" spans="1:10" x14ac:dyDescent="0.2">
      <c r="A234" s="139" t="s">
        <v>197</v>
      </c>
      <c r="B234" s="139" t="s">
        <v>83</v>
      </c>
      <c r="C234" s="140" t="s">
        <v>333</v>
      </c>
      <c r="D234" s="140" t="s">
        <v>344</v>
      </c>
      <c r="E234" s="141">
        <v>854</v>
      </c>
      <c r="F234" s="141">
        <v>2441081.0789999999</v>
      </c>
      <c r="G234" s="141">
        <v>855</v>
      </c>
      <c r="H234" s="141">
        <v>3275629.3119999999</v>
      </c>
      <c r="I234" s="141">
        <v>852</v>
      </c>
      <c r="J234" s="141">
        <v>2878368.2459999998</v>
      </c>
    </row>
    <row r="235" spans="1:10" x14ac:dyDescent="0.2">
      <c r="A235" s="139" t="s">
        <v>198</v>
      </c>
      <c r="B235" s="139" t="s">
        <v>83</v>
      </c>
      <c r="C235" s="140" t="s">
        <v>333</v>
      </c>
      <c r="D235" s="140" t="s">
        <v>344</v>
      </c>
      <c r="E235" s="141">
        <v>4</v>
      </c>
      <c r="F235" s="141">
        <v>459860</v>
      </c>
      <c r="G235" s="141">
        <v>4</v>
      </c>
      <c r="H235" s="141">
        <v>388460</v>
      </c>
      <c r="I235" s="141">
        <v>4</v>
      </c>
      <c r="J235" s="141">
        <v>422120</v>
      </c>
    </row>
    <row r="236" spans="1:10" x14ac:dyDescent="0.2">
      <c r="A236" s="138" t="s">
        <v>198</v>
      </c>
      <c r="B236" s="138" t="s">
        <v>257</v>
      </c>
      <c r="C236" s="140" t="s">
        <v>333</v>
      </c>
      <c r="D236" s="140" t="s">
        <v>345</v>
      </c>
      <c r="E236" s="141">
        <v>1</v>
      </c>
      <c r="F236" s="141">
        <v>9297.3829999999998</v>
      </c>
      <c r="G236" s="141">
        <v>1</v>
      </c>
      <c r="H236" s="141">
        <v>8394.8490000000002</v>
      </c>
      <c r="I236" s="141">
        <v>1</v>
      </c>
      <c r="J236" s="141">
        <v>8628.6360000000004</v>
      </c>
    </row>
    <row r="237" spans="1:10" x14ac:dyDescent="0.2">
      <c r="A237" s="139" t="s">
        <v>199</v>
      </c>
      <c r="B237" s="139" t="s">
        <v>83</v>
      </c>
      <c r="C237" s="140" t="s">
        <v>333</v>
      </c>
      <c r="D237" s="140" t="s">
        <v>344</v>
      </c>
      <c r="E237" s="141">
        <v>8</v>
      </c>
      <c r="F237" s="141">
        <v>17094</v>
      </c>
      <c r="G237" s="141">
        <v>8</v>
      </c>
      <c r="H237" s="141">
        <v>13576</v>
      </c>
      <c r="I237" s="141">
        <v>8</v>
      </c>
      <c r="J237" s="141">
        <v>13196.467000000001</v>
      </c>
    </row>
    <row r="238" spans="1:10" x14ac:dyDescent="0.2">
      <c r="A238" s="139" t="s">
        <v>200</v>
      </c>
      <c r="B238" s="140" t="s">
        <v>83</v>
      </c>
      <c r="C238" s="140" t="s">
        <v>333</v>
      </c>
      <c r="D238" s="140" t="s">
        <v>344</v>
      </c>
      <c r="E238" s="141">
        <v>13</v>
      </c>
      <c r="F238" s="141">
        <v>34159</v>
      </c>
      <c r="G238" s="141">
        <v>13</v>
      </c>
      <c r="H238" s="141">
        <v>32229</v>
      </c>
      <c r="I238" s="141">
        <v>13</v>
      </c>
      <c r="J238" s="141">
        <v>34594</v>
      </c>
    </row>
    <row r="239" spans="1:10" x14ac:dyDescent="0.2">
      <c r="A239" s="139" t="s">
        <v>200</v>
      </c>
      <c r="B239" s="139" t="s">
        <v>257</v>
      </c>
      <c r="C239" s="140" t="s">
        <v>333</v>
      </c>
      <c r="D239" s="140" t="s">
        <v>345</v>
      </c>
      <c r="E239" s="141">
        <v>70</v>
      </c>
      <c r="F239" s="141">
        <v>43139.197999999997</v>
      </c>
      <c r="G239" s="141">
        <v>71</v>
      </c>
      <c r="H239" s="141">
        <v>36593.034</v>
      </c>
      <c r="I239" s="141">
        <v>71</v>
      </c>
      <c r="J239" s="141">
        <v>40272.264999999999</v>
      </c>
    </row>
    <row r="240" spans="1:10" x14ac:dyDescent="0.2">
      <c r="A240" s="139" t="s">
        <v>201</v>
      </c>
      <c r="B240" s="139" t="s">
        <v>83</v>
      </c>
      <c r="C240" s="140" t="s">
        <v>333</v>
      </c>
      <c r="D240" s="140" t="s">
        <v>344</v>
      </c>
      <c r="E240" s="141">
        <v>281</v>
      </c>
      <c r="F240" s="141">
        <v>270770.679</v>
      </c>
      <c r="G240" s="141">
        <v>282</v>
      </c>
      <c r="H240" s="141">
        <v>278604</v>
      </c>
      <c r="I240" s="141">
        <v>283</v>
      </c>
      <c r="J240" s="141">
        <v>281401.30099999998</v>
      </c>
    </row>
    <row r="241" spans="1:10" x14ac:dyDescent="0.2">
      <c r="A241" s="138" t="s">
        <v>202</v>
      </c>
      <c r="B241" s="139" t="s">
        <v>83</v>
      </c>
      <c r="C241" s="140" t="s">
        <v>333</v>
      </c>
      <c r="D241" s="140" t="s">
        <v>344</v>
      </c>
      <c r="E241" s="141">
        <v>473</v>
      </c>
      <c r="F241" s="141">
        <v>2616562.8229999999</v>
      </c>
      <c r="G241" s="141">
        <v>468</v>
      </c>
      <c r="H241" s="141">
        <v>2470866.5520000001</v>
      </c>
      <c r="I241" s="141">
        <v>467</v>
      </c>
      <c r="J241" s="141">
        <v>2942357.73</v>
      </c>
    </row>
    <row r="242" spans="1:10" x14ac:dyDescent="0.2">
      <c r="A242" s="139" t="s">
        <v>202</v>
      </c>
      <c r="B242" s="139" t="s">
        <v>257</v>
      </c>
      <c r="C242" s="140" t="s">
        <v>333</v>
      </c>
      <c r="D242" s="140" t="s">
        <v>345</v>
      </c>
      <c r="E242" s="141">
        <v>103</v>
      </c>
      <c r="F242" s="141">
        <v>144861.53399999999</v>
      </c>
      <c r="G242" s="141">
        <v>102</v>
      </c>
      <c r="H242" s="141">
        <v>199417.098</v>
      </c>
      <c r="I242" s="141">
        <v>102</v>
      </c>
      <c r="J242" s="141">
        <v>94716.451000000001</v>
      </c>
    </row>
    <row r="243" spans="1:10" x14ac:dyDescent="0.2">
      <c r="A243" s="139" t="s">
        <v>203</v>
      </c>
      <c r="B243" s="139" t="s">
        <v>83</v>
      </c>
      <c r="C243" s="140" t="s">
        <v>333</v>
      </c>
      <c r="D243" s="140" t="s">
        <v>344</v>
      </c>
      <c r="E243" s="141">
        <v>5</v>
      </c>
      <c r="F243" s="141">
        <v>6311</v>
      </c>
      <c r="G243" s="141">
        <v>5</v>
      </c>
      <c r="H243" s="141">
        <v>7702</v>
      </c>
      <c r="I243" s="141">
        <v>5</v>
      </c>
      <c r="J243" s="141">
        <v>8318</v>
      </c>
    </row>
    <row r="244" spans="1:10" x14ac:dyDescent="0.2">
      <c r="A244" s="138" t="s">
        <v>204</v>
      </c>
      <c r="B244" s="139" t="s">
        <v>83</v>
      </c>
      <c r="C244" s="140" t="s">
        <v>333</v>
      </c>
      <c r="D244" s="140" t="s">
        <v>344</v>
      </c>
      <c r="E244" s="141">
        <v>1638</v>
      </c>
      <c r="F244" s="141">
        <v>8410976.7870000005</v>
      </c>
      <c r="G244" s="141">
        <v>1633</v>
      </c>
      <c r="H244" s="141">
        <v>8317725.1500000004</v>
      </c>
      <c r="I244" s="141">
        <v>1637</v>
      </c>
      <c r="J244" s="141">
        <v>8368476.335</v>
      </c>
    </row>
    <row r="245" spans="1:10" x14ac:dyDescent="0.2">
      <c r="A245" s="140" t="s">
        <v>205</v>
      </c>
      <c r="B245" s="140" t="s">
        <v>83</v>
      </c>
      <c r="C245" s="140" t="s">
        <v>333</v>
      </c>
      <c r="D245" s="140" t="s">
        <v>344</v>
      </c>
      <c r="E245" s="141">
        <v>1342</v>
      </c>
      <c r="F245" s="141">
        <v>3211085.33</v>
      </c>
      <c r="G245" s="141">
        <v>1368</v>
      </c>
      <c r="H245" s="141">
        <v>2719342.1690000002</v>
      </c>
      <c r="I245" s="141">
        <v>1380</v>
      </c>
      <c r="J245" s="141">
        <v>2823491.2859999998</v>
      </c>
    </row>
    <row r="246" spans="1:10" x14ac:dyDescent="0.2">
      <c r="A246" s="138" t="s">
        <v>206</v>
      </c>
      <c r="B246" s="138" t="s">
        <v>83</v>
      </c>
      <c r="C246" s="140" t="s">
        <v>333</v>
      </c>
      <c r="D246" s="140" t="s">
        <v>344</v>
      </c>
      <c r="E246" s="141">
        <v>2427</v>
      </c>
      <c r="F246" s="141">
        <v>10693357.804</v>
      </c>
      <c r="G246" s="141">
        <v>2427</v>
      </c>
      <c r="H246" s="141">
        <v>11151402.364</v>
      </c>
      <c r="I246" s="141">
        <v>2446</v>
      </c>
      <c r="J246" s="141">
        <v>8375722.3039999995</v>
      </c>
    </row>
    <row r="247" spans="1:10" x14ac:dyDescent="0.2">
      <c r="A247" s="138" t="s">
        <v>207</v>
      </c>
      <c r="B247" s="138" t="s">
        <v>83</v>
      </c>
      <c r="C247" s="140" t="s">
        <v>333</v>
      </c>
      <c r="D247" s="140" t="s">
        <v>344</v>
      </c>
      <c r="E247" s="141">
        <v>1350</v>
      </c>
      <c r="F247" s="141">
        <v>7898762.3190000001</v>
      </c>
      <c r="G247" s="141">
        <v>1342</v>
      </c>
      <c r="H247" s="141">
        <v>9275157.3220000006</v>
      </c>
      <c r="I247" s="141">
        <v>1346</v>
      </c>
      <c r="J247" s="141">
        <v>7091710.9399999995</v>
      </c>
    </row>
    <row r="248" spans="1:10" x14ac:dyDescent="0.2">
      <c r="A248" s="138" t="s">
        <v>207</v>
      </c>
      <c r="B248" s="138" t="s">
        <v>257</v>
      </c>
      <c r="C248" s="140" t="s">
        <v>333</v>
      </c>
      <c r="D248" s="140" t="s">
        <v>345</v>
      </c>
      <c r="E248" s="141">
        <v>597</v>
      </c>
      <c r="F248" s="141">
        <v>362465.63</v>
      </c>
      <c r="G248" s="141">
        <v>593</v>
      </c>
      <c r="H248" s="141">
        <v>327704.46000000002</v>
      </c>
      <c r="I248" s="141">
        <v>594</v>
      </c>
      <c r="J248" s="141">
        <v>340539.98</v>
      </c>
    </row>
    <row r="249" spans="1:10" x14ac:dyDescent="0.2">
      <c r="A249" s="138" t="s">
        <v>208</v>
      </c>
      <c r="B249" s="138" t="s">
        <v>83</v>
      </c>
      <c r="C249" s="140" t="s">
        <v>333</v>
      </c>
      <c r="D249" s="140" t="s">
        <v>344</v>
      </c>
      <c r="E249" s="141">
        <v>1516</v>
      </c>
      <c r="F249" s="141">
        <v>6569848.8899999997</v>
      </c>
      <c r="G249" s="141">
        <v>1515</v>
      </c>
      <c r="H249" s="141">
        <v>6240115.9839999992</v>
      </c>
      <c r="I249" s="141">
        <v>1516</v>
      </c>
      <c r="J249" s="141">
        <v>5758050.5559999999</v>
      </c>
    </row>
    <row r="250" spans="1:10" x14ac:dyDescent="0.2">
      <c r="A250" s="138" t="s">
        <v>208</v>
      </c>
      <c r="B250" s="138" t="s">
        <v>257</v>
      </c>
      <c r="C250" s="140" t="s">
        <v>333</v>
      </c>
      <c r="D250" s="140" t="s">
        <v>345</v>
      </c>
      <c r="E250" s="141">
        <v>442</v>
      </c>
      <c r="F250" s="141">
        <v>386872.05900000001</v>
      </c>
      <c r="G250" s="141">
        <v>442</v>
      </c>
      <c r="H250" s="141">
        <v>362386.71299999999</v>
      </c>
      <c r="I250" s="141">
        <v>442</v>
      </c>
      <c r="J250" s="141">
        <v>416059.27899999998</v>
      </c>
    </row>
    <row r="251" spans="1:10" x14ac:dyDescent="0.2">
      <c r="A251" s="138" t="s">
        <v>209</v>
      </c>
      <c r="B251" s="138" t="s">
        <v>83</v>
      </c>
      <c r="C251" s="140" t="s">
        <v>333</v>
      </c>
      <c r="D251" s="140" t="s">
        <v>344</v>
      </c>
      <c r="E251" s="141">
        <v>1256</v>
      </c>
      <c r="F251" s="141">
        <v>5777136.3899999997</v>
      </c>
      <c r="G251" s="141">
        <v>1257</v>
      </c>
      <c r="H251" s="141">
        <v>5604347.8059999999</v>
      </c>
      <c r="I251" s="141">
        <v>1253</v>
      </c>
      <c r="J251" s="141">
        <v>5927593.8049999997</v>
      </c>
    </row>
    <row r="252" spans="1:10" x14ac:dyDescent="0.2">
      <c r="A252" s="138" t="s">
        <v>209</v>
      </c>
      <c r="B252" s="138" t="s">
        <v>257</v>
      </c>
      <c r="C252" s="140" t="s">
        <v>333</v>
      </c>
      <c r="D252" s="140" t="s">
        <v>345</v>
      </c>
      <c r="E252" s="141">
        <v>473</v>
      </c>
      <c r="F252" s="141">
        <v>261406.66099999999</v>
      </c>
      <c r="G252" s="141">
        <v>473</v>
      </c>
      <c r="H252" s="141">
        <v>257902.008</v>
      </c>
      <c r="I252" s="141">
        <v>472</v>
      </c>
      <c r="J252" s="141">
        <v>239922.655</v>
      </c>
    </row>
    <row r="253" spans="1:10" x14ac:dyDescent="0.2">
      <c r="A253" s="138" t="s">
        <v>210</v>
      </c>
      <c r="B253" s="138" t="s">
        <v>83</v>
      </c>
      <c r="C253" s="140" t="s">
        <v>333</v>
      </c>
      <c r="D253" s="140" t="s">
        <v>344</v>
      </c>
      <c r="E253" s="141">
        <v>1260</v>
      </c>
      <c r="F253" s="141">
        <v>8122255.5240000002</v>
      </c>
      <c r="G253" s="141">
        <v>1260</v>
      </c>
      <c r="H253" s="141">
        <v>11993775.337000001</v>
      </c>
      <c r="I253" s="141">
        <v>1258</v>
      </c>
      <c r="J253" s="141">
        <v>10721123.694000002</v>
      </c>
    </row>
    <row r="254" spans="1:10" x14ac:dyDescent="0.2">
      <c r="A254" s="138" t="s">
        <v>210</v>
      </c>
      <c r="B254" s="138" t="s">
        <v>257</v>
      </c>
      <c r="C254" s="140" t="s">
        <v>333</v>
      </c>
      <c r="D254" s="140" t="s">
        <v>345</v>
      </c>
      <c r="E254" s="141">
        <v>303</v>
      </c>
      <c r="F254" s="141">
        <v>176767.29</v>
      </c>
      <c r="G254" s="141">
        <v>305</v>
      </c>
      <c r="H254" s="141">
        <v>166098</v>
      </c>
      <c r="I254" s="141">
        <v>305</v>
      </c>
      <c r="J254" s="141">
        <v>235780.07500000001</v>
      </c>
    </row>
    <row r="255" spans="1:10" x14ac:dyDescent="0.2">
      <c r="A255" s="138" t="s">
        <v>211</v>
      </c>
      <c r="B255" s="138" t="s">
        <v>83</v>
      </c>
      <c r="C255" s="140" t="s">
        <v>333</v>
      </c>
      <c r="D255" s="140" t="s">
        <v>344</v>
      </c>
      <c r="E255" s="141">
        <v>609</v>
      </c>
      <c r="F255" s="141">
        <v>9790137.3110000007</v>
      </c>
      <c r="G255" s="141">
        <v>611</v>
      </c>
      <c r="H255" s="141">
        <v>11191139.805</v>
      </c>
      <c r="I255" s="141">
        <v>610</v>
      </c>
      <c r="J255" s="141">
        <v>10773668.136</v>
      </c>
    </row>
    <row r="256" spans="1:10" x14ac:dyDescent="0.2">
      <c r="A256" s="138" t="s">
        <v>211</v>
      </c>
      <c r="B256" s="138" t="s">
        <v>257</v>
      </c>
      <c r="C256" s="140" t="s">
        <v>333</v>
      </c>
      <c r="D256" s="140" t="s">
        <v>345</v>
      </c>
      <c r="E256" s="141">
        <v>295</v>
      </c>
      <c r="F256" s="141">
        <v>567806.39800000004</v>
      </c>
      <c r="G256" s="141">
        <v>296</v>
      </c>
      <c r="H256" s="141">
        <v>964105.57200000004</v>
      </c>
      <c r="I256" s="141">
        <v>295</v>
      </c>
      <c r="J256" s="141">
        <v>194191.595</v>
      </c>
    </row>
    <row r="257" spans="1:10" x14ac:dyDescent="0.2">
      <c r="A257" s="138" t="s">
        <v>212</v>
      </c>
      <c r="B257" s="138" t="s">
        <v>83</v>
      </c>
      <c r="C257" s="140" t="s">
        <v>333</v>
      </c>
      <c r="D257" s="140" t="s">
        <v>344</v>
      </c>
      <c r="E257" s="141">
        <v>318</v>
      </c>
      <c r="F257" s="141">
        <v>285780.08</v>
      </c>
      <c r="G257" s="141">
        <v>322</v>
      </c>
      <c r="H257" s="141">
        <v>375166.78</v>
      </c>
      <c r="I257" s="141">
        <v>321</v>
      </c>
      <c r="J257" s="141">
        <v>321529.78000000003</v>
      </c>
    </row>
    <row r="258" spans="1:10" x14ac:dyDescent="0.2">
      <c r="A258" s="138" t="s">
        <v>213</v>
      </c>
      <c r="B258" s="138" t="s">
        <v>83</v>
      </c>
      <c r="C258" s="140" t="s">
        <v>333</v>
      </c>
      <c r="D258" s="140" t="s">
        <v>344</v>
      </c>
      <c r="E258" s="141">
        <v>1503</v>
      </c>
      <c r="F258" s="141">
        <v>11206346.307</v>
      </c>
      <c r="G258" s="141">
        <v>1499</v>
      </c>
      <c r="H258" s="141">
        <v>9221955.2550000008</v>
      </c>
      <c r="I258" s="141">
        <v>1506</v>
      </c>
      <c r="J258" s="141">
        <v>9296901.5800000001</v>
      </c>
    </row>
    <row r="259" spans="1:10" x14ac:dyDescent="0.2">
      <c r="A259" s="138" t="s">
        <v>214</v>
      </c>
      <c r="B259" s="138" t="s">
        <v>83</v>
      </c>
      <c r="C259" s="140" t="s">
        <v>333</v>
      </c>
      <c r="D259" s="140" t="s">
        <v>344</v>
      </c>
      <c r="E259" s="141">
        <v>56</v>
      </c>
      <c r="F259" s="141">
        <v>349054.7</v>
      </c>
      <c r="G259" s="141">
        <v>57</v>
      </c>
      <c r="H259" s="141">
        <v>248078.967</v>
      </c>
      <c r="I259" s="141">
        <v>57</v>
      </c>
      <c r="J259" s="141">
        <v>265476.56599999999</v>
      </c>
    </row>
    <row r="260" spans="1:10" x14ac:dyDescent="0.2">
      <c r="A260" s="138" t="s">
        <v>215</v>
      </c>
      <c r="B260" s="138" t="s">
        <v>83</v>
      </c>
      <c r="C260" s="140" t="s">
        <v>333</v>
      </c>
      <c r="D260" s="140" t="s">
        <v>344</v>
      </c>
      <c r="E260" s="141">
        <v>88</v>
      </c>
      <c r="F260" s="141">
        <v>120490.08</v>
      </c>
      <c r="G260" s="141">
        <v>89</v>
      </c>
      <c r="H260" s="141">
        <v>110742.39999999999</v>
      </c>
      <c r="I260" s="141">
        <v>91</v>
      </c>
      <c r="J260" s="141">
        <v>122408.52</v>
      </c>
    </row>
    <row r="261" spans="1:10" x14ac:dyDescent="0.2">
      <c r="A261" s="138" t="s">
        <v>215</v>
      </c>
      <c r="B261" s="138" t="s">
        <v>257</v>
      </c>
      <c r="C261" s="140" t="s">
        <v>333</v>
      </c>
      <c r="D261" s="140" t="s">
        <v>345</v>
      </c>
      <c r="E261" s="141">
        <v>188</v>
      </c>
      <c r="F261" s="141">
        <v>145799.158</v>
      </c>
      <c r="G261" s="141">
        <v>188</v>
      </c>
      <c r="H261" s="141">
        <v>111488.235</v>
      </c>
      <c r="I261" s="141">
        <v>188</v>
      </c>
      <c r="J261" s="141">
        <v>172280.989</v>
      </c>
    </row>
    <row r="262" spans="1:10" x14ac:dyDescent="0.2">
      <c r="A262" s="138" t="s">
        <v>216</v>
      </c>
      <c r="B262" s="138" t="s">
        <v>83</v>
      </c>
      <c r="C262" s="140" t="s">
        <v>333</v>
      </c>
      <c r="D262" s="140" t="s">
        <v>344</v>
      </c>
      <c r="E262" s="141">
        <v>2</v>
      </c>
      <c r="F262" s="141">
        <v>181</v>
      </c>
      <c r="G262" s="141">
        <v>2</v>
      </c>
      <c r="H262" s="141">
        <v>157</v>
      </c>
      <c r="I262" s="141">
        <v>2</v>
      </c>
      <c r="J262" s="141">
        <v>149</v>
      </c>
    </row>
    <row r="263" spans="1:10" x14ac:dyDescent="0.2">
      <c r="A263" s="138" t="s">
        <v>216</v>
      </c>
      <c r="B263" s="138" t="s">
        <v>257</v>
      </c>
      <c r="C263" s="140" t="s">
        <v>333</v>
      </c>
      <c r="D263" s="140" t="s">
        <v>345</v>
      </c>
      <c r="E263" s="141">
        <v>25</v>
      </c>
      <c r="F263" s="141">
        <v>11401.145</v>
      </c>
      <c r="G263" s="141">
        <v>25</v>
      </c>
      <c r="H263" s="141">
        <v>10720.284</v>
      </c>
      <c r="I263" s="141">
        <v>25</v>
      </c>
      <c r="J263" s="141">
        <v>10641.438</v>
      </c>
    </row>
    <row r="264" spans="1:10" x14ac:dyDescent="0.2">
      <c r="A264" s="138" t="s">
        <v>217</v>
      </c>
      <c r="B264" s="138" t="s">
        <v>83</v>
      </c>
      <c r="C264" s="140" t="s">
        <v>333</v>
      </c>
      <c r="D264" s="140" t="s">
        <v>344</v>
      </c>
      <c r="E264" s="141">
        <v>1372</v>
      </c>
      <c r="F264" s="141">
        <v>12184019.835999999</v>
      </c>
      <c r="G264" s="141">
        <v>1370</v>
      </c>
      <c r="H264" s="141">
        <v>17413200.568999998</v>
      </c>
      <c r="I264" s="141">
        <v>1373</v>
      </c>
      <c r="J264" s="141">
        <v>10973842.112</v>
      </c>
    </row>
    <row r="265" spans="1:10" x14ac:dyDescent="0.2">
      <c r="A265" s="138" t="s">
        <v>217</v>
      </c>
      <c r="B265" s="138" t="s">
        <v>257</v>
      </c>
      <c r="C265" s="140" t="s">
        <v>333</v>
      </c>
      <c r="D265" s="140" t="s">
        <v>345</v>
      </c>
      <c r="E265" s="141">
        <v>589</v>
      </c>
      <c r="F265" s="141">
        <v>907277.47199999995</v>
      </c>
      <c r="G265" s="141">
        <v>590</v>
      </c>
      <c r="H265" s="141">
        <v>964839.88299999991</v>
      </c>
      <c r="I265" s="141">
        <v>590</v>
      </c>
      <c r="J265" s="141">
        <v>819797.83499999996</v>
      </c>
    </row>
    <row r="266" spans="1:10" x14ac:dyDescent="0.2">
      <c r="A266" s="138" t="s">
        <v>218</v>
      </c>
      <c r="B266" s="138" t="s">
        <v>83</v>
      </c>
      <c r="C266" s="140" t="s">
        <v>333</v>
      </c>
      <c r="D266" s="140" t="s">
        <v>344</v>
      </c>
      <c r="E266" s="141">
        <v>1547</v>
      </c>
      <c r="F266" s="141">
        <v>6679693.5920000002</v>
      </c>
      <c r="G266" s="141">
        <v>1550</v>
      </c>
      <c r="H266" s="141">
        <v>5753165.1050000004</v>
      </c>
      <c r="I266" s="141">
        <v>1564</v>
      </c>
      <c r="J266" s="141">
        <v>7472988.4819999998</v>
      </c>
    </row>
    <row r="267" spans="1:10" x14ac:dyDescent="0.2">
      <c r="A267" s="138" t="s">
        <v>218</v>
      </c>
      <c r="B267" s="138" t="s">
        <v>257</v>
      </c>
      <c r="C267" s="140" t="s">
        <v>333</v>
      </c>
      <c r="D267" s="140" t="s">
        <v>345</v>
      </c>
      <c r="E267" s="141">
        <v>345</v>
      </c>
      <c r="F267" s="141">
        <v>220584.06299999999</v>
      </c>
      <c r="G267" s="141">
        <v>345</v>
      </c>
      <c r="H267" s="141">
        <v>186140.74299999999</v>
      </c>
      <c r="I267" s="141">
        <v>347</v>
      </c>
      <c r="J267" s="141">
        <v>228769.64499999999</v>
      </c>
    </row>
    <row r="268" spans="1:10" x14ac:dyDescent="0.2">
      <c r="A268" s="138" t="s">
        <v>219</v>
      </c>
      <c r="B268" s="138" t="s">
        <v>83</v>
      </c>
      <c r="C268" s="140" t="s">
        <v>333</v>
      </c>
      <c r="D268" s="140" t="s">
        <v>344</v>
      </c>
      <c r="E268" s="141">
        <v>118</v>
      </c>
      <c r="F268" s="141">
        <v>771248</v>
      </c>
      <c r="G268" s="141">
        <v>119</v>
      </c>
      <c r="H268" s="141">
        <v>711505</v>
      </c>
      <c r="I268" s="141">
        <v>118</v>
      </c>
      <c r="J268" s="141">
        <v>736743</v>
      </c>
    </row>
    <row r="269" spans="1:10" x14ac:dyDescent="0.2">
      <c r="A269" s="138" t="s">
        <v>220</v>
      </c>
      <c r="B269" s="138" t="s">
        <v>83</v>
      </c>
      <c r="C269" s="140" t="s">
        <v>333</v>
      </c>
      <c r="D269" s="140" t="s">
        <v>344</v>
      </c>
      <c r="E269" s="141">
        <v>1</v>
      </c>
      <c r="F269" s="141">
        <v>17605</v>
      </c>
      <c r="G269" s="141">
        <v>1</v>
      </c>
      <c r="H269" s="141">
        <v>14005</v>
      </c>
      <c r="I269" s="141">
        <v>1</v>
      </c>
      <c r="J269" s="141">
        <v>15365</v>
      </c>
    </row>
    <row r="270" spans="1:10" x14ac:dyDescent="0.2">
      <c r="A270" s="139" t="s">
        <v>221</v>
      </c>
      <c r="B270" s="139" t="s">
        <v>83</v>
      </c>
      <c r="C270" s="140" t="s">
        <v>333</v>
      </c>
      <c r="D270" s="140" t="s">
        <v>344</v>
      </c>
      <c r="E270" s="141">
        <v>43</v>
      </c>
      <c r="F270" s="141">
        <v>323053.7</v>
      </c>
      <c r="G270" s="141">
        <v>43</v>
      </c>
      <c r="H270" s="141">
        <v>124971.167</v>
      </c>
      <c r="I270" s="141">
        <v>43</v>
      </c>
      <c r="J270" s="141">
        <v>668917.03399999999</v>
      </c>
    </row>
    <row r="271" spans="1:10" x14ac:dyDescent="0.2">
      <c r="A271" s="140" t="s">
        <v>310</v>
      </c>
      <c r="B271" s="140" t="s">
        <v>257</v>
      </c>
      <c r="C271" s="140" t="s">
        <v>333</v>
      </c>
      <c r="D271" s="140" t="s">
        <v>345</v>
      </c>
      <c r="E271" s="141">
        <v>390</v>
      </c>
      <c r="F271" s="141">
        <v>378925.08299999998</v>
      </c>
      <c r="G271" s="141">
        <v>394</v>
      </c>
      <c r="H271" s="141">
        <v>355480.60399999999</v>
      </c>
      <c r="I271" s="141">
        <v>397</v>
      </c>
      <c r="J271" s="141">
        <v>409056.52599999995</v>
      </c>
    </row>
    <row r="272" spans="1:10" x14ac:dyDescent="0.2">
      <c r="A272" s="138" t="s">
        <v>311</v>
      </c>
      <c r="B272" s="138" t="s">
        <v>257</v>
      </c>
      <c r="C272" s="140" t="s">
        <v>333</v>
      </c>
      <c r="D272" s="140" t="s">
        <v>345</v>
      </c>
      <c r="E272" s="141">
        <v>190</v>
      </c>
      <c r="F272" s="141">
        <v>183976.58900000001</v>
      </c>
      <c r="G272" s="141">
        <v>190</v>
      </c>
      <c r="H272" s="141">
        <v>121518.04300000001</v>
      </c>
      <c r="I272" s="141">
        <v>191</v>
      </c>
      <c r="J272" s="141">
        <v>144149.69500000001</v>
      </c>
    </row>
    <row r="273" spans="1:10" x14ac:dyDescent="0.2">
      <c r="A273" s="138" t="s">
        <v>312</v>
      </c>
      <c r="B273" s="138" t="s">
        <v>257</v>
      </c>
      <c r="C273" s="140" t="s">
        <v>333</v>
      </c>
      <c r="D273" s="140" t="s">
        <v>345</v>
      </c>
      <c r="E273" s="141">
        <v>213</v>
      </c>
      <c r="F273" s="141">
        <v>212599.62599999999</v>
      </c>
      <c r="G273" s="141">
        <v>213</v>
      </c>
      <c r="H273" s="141">
        <v>173456.43700000001</v>
      </c>
      <c r="I273" s="141">
        <v>214</v>
      </c>
      <c r="J273" s="141">
        <v>181497.98499999999</v>
      </c>
    </row>
    <row r="274" spans="1:10" x14ac:dyDescent="0.2">
      <c r="A274" s="138" t="s">
        <v>313</v>
      </c>
      <c r="B274" s="138" t="s">
        <v>257</v>
      </c>
      <c r="C274" s="140" t="s">
        <v>333</v>
      </c>
      <c r="D274" s="140" t="s">
        <v>345</v>
      </c>
      <c r="E274" s="141">
        <v>376</v>
      </c>
      <c r="F274" s="141">
        <v>520004.12700000004</v>
      </c>
      <c r="G274" s="141">
        <v>376</v>
      </c>
      <c r="H274" s="141">
        <v>596215.30199999991</v>
      </c>
      <c r="I274" s="141">
        <v>376</v>
      </c>
      <c r="J274" s="141">
        <v>348320.26199999999</v>
      </c>
    </row>
    <row r="275" spans="1:10" x14ac:dyDescent="0.2">
      <c r="A275" s="138" t="s">
        <v>314</v>
      </c>
      <c r="B275" s="138" t="s">
        <v>257</v>
      </c>
      <c r="C275" s="140" t="s">
        <v>333</v>
      </c>
      <c r="D275" s="140" t="s">
        <v>345</v>
      </c>
      <c r="E275" s="141">
        <v>284</v>
      </c>
      <c r="F275" s="141">
        <v>221683.351</v>
      </c>
      <c r="G275" s="141">
        <v>285</v>
      </c>
      <c r="H275" s="141">
        <v>165497.01199999999</v>
      </c>
      <c r="I275" s="141">
        <v>284</v>
      </c>
      <c r="J275" s="141">
        <v>166843.10699999999</v>
      </c>
    </row>
    <row r="276" spans="1:10" x14ac:dyDescent="0.2">
      <c r="A276" s="138" t="s">
        <v>315</v>
      </c>
      <c r="B276" s="138" t="s">
        <v>257</v>
      </c>
      <c r="C276" s="140" t="s">
        <v>333</v>
      </c>
      <c r="D276" s="140" t="s">
        <v>345</v>
      </c>
      <c r="E276" s="141">
        <v>165</v>
      </c>
      <c r="F276" s="141">
        <v>147331.13099999999</v>
      </c>
      <c r="G276" s="141">
        <v>165</v>
      </c>
      <c r="H276" s="141">
        <v>119093.43</v>
      </c>
      <c r="I276" s="141">
        <v>166</v>
      </c>
      <c r="J276" s="141">
        <v>196420.45600000001</v>
      </c>
    </row>
    <row r="277" spans="1:10" x14ac:dyDescent="0.2">
      <c r="A277" s="138" t="s">
        <v>316</v>
      </c>
      <c r="B277" s="138" t="s">
        <v>257</v>
      </c>
      <c r="C277" s="140" t="s">
        <v>333</v>
      </c>
      <c r="D277" s="140" t="s">
        <v>345</v>
      </c>
      <c r="E277" s="141">
        <v>200</v>
      </c>
      <c r="F277" s="141">
        <v>142080.68400000001</v>
      </c>
      <c r="G277" s="141">
        <v>200</v>
      </c>
      <c r="H277" s="141">
        <v>126448.719</v>
      </c>
      <c r="I277" s="141">
        <v>199</v>
      </c>
      <c r="J277" s="141">
        <v>133216.18</v>
      </c>
    </row>
    <row r="278" spans="1:10" x14ac:dyDescent="0.2">
      <c r="A278" s="138" t="s">
        <v>317</v>
      </c>
      <c r="B278" s="138" t="s">
        <v>257</v>
      </c>
      <c r="C278" s="140" t="s">
        <v>333</v>
      </c>
      <c r="D278" s="140" t="s">
        <v>345</v>
      </c>
      <c r="E278" s="141">
        <v>856</v>
      </c>
      <c r="F278" s="141">
        <v>906048.446</v>
      </c>
      <c r="G278" s="141">
        <v>856</v>
      </c>
      <c r="H278" s="141">
        <v>861409.93699999992</v>
      </c>
      <c r="I278" s="141">
        <v>856</v>
      </c>
      <c r="J278" s="141">
        <v>517071.48800000001</v>
      </c>
    </row>
    <row r="279" spans="1:10" x14ac:dyDescent="0.2">
      <c r="A279" s="138" t="s">
        <v>318</v>
      </c>
      <c r="B279" s="138" t="s">
        <v>257</v>
      </c>
      <c r="C279" s="140" t="s">
        <v>333</v>
      </c>
      <c r="D279" s="140" t="s">
        <v>345</v>
      </c>
      <c r="E279" s="141">
        <v>1</v>
      </c>
      <c r="F279" s="141">
        <v>10686.885</v>
      </c>
      <c r="G279" s="141">
        <v>1</v>
      </c>
      <c r="H279" s="141">
        <v>0</v>
      </c>
      <c r="I279" s="141">
        <v>1</v>
      </c>
      <c r="J279" s="141">
        <v>6886.415</v>
      </c>
    </row>
    <row r="280" spans="1:10" x14ac:dyDescent="0.2">
      <c r="A280" s="139" t="s">
        <v>319</v>
      </c>
      <c r="B280" s="139" t="s">
        <v>257</v>
      </c>
      <c r="C280" s="140" t="s">
        <v>333</v>
      </c>
      <c r="D280" s="140" t="s">
        <v>345</v>
      </c>
      <c r="E280" s="141">
        <v>18</v>
      </c>
      <c r="F280" s="141">
        <v>67605.953999999998</v>
      </c>
      <c r="G280" s="141">
        <v>18</v>
      </c>
      <c r="H280" s="141">
        <v>63834.400000000001</v>
      </c>
      <c r="I280" s="141">
        <v>18</v>
      </c>
      <c r="J280" s="141">
        <v>65165.635000000002</v>
      </c>
    </row>
    <row r="281" spans="1:10" x14ac:dyDescent="0.2">
      <c r="A281" s="138" t="s">
        <v>320</v>
      </c>
      <c r="B281" s="138" t="s">
        <v>257</v>
      </c>
      <c r="C281" s="140" t="s">
        <v>333</v>
      </c>
      <c r="D281" s="140" t="s">
        <v>345</v>
      </c>
      <c r="E281" s="141">
        <v>125</v>
      </c>
      <c r="F281" s="141">
        <v>93787.298999999999</v>
      </c>
      <c r="G281" s="141">
        <v>126</v>
      </c>
      <c r="H281" s="141">
        <v>60553.103999999999</v>
      </c>
      <c r="I281" s="141">
        <v>124</v>
      </c>
      <c r="J281" s="141">
        <v>64153.076999999997</v>
      </c>
    </row>
    <row r="282" spans="1:10" x14ac:dyDescent="0.2">
      <c r="A282" s="140" t="s">
        <v>321</v>
      </c>
      <c r="B282" s="140" t="s">
        <v>257</v>
      </c>
      <c r="C282" s="140" t="s">
        <v>333</v>
      </c>
      <c r="D282" s="140" t="s">
        <v>345</v>
      </c>
      <c r="E282" s="141">
        <v>267</v>
      </c>
      <c r="F282" s="141">
        <v>4910314.1610000003</v>
      </c>
      <c r="G282" s="141">
        <v>267</v>
      </c>
      <c r="H282" s="141">
        <v>5313612.9059999995</v>
      </c>
      <c r="I282" s="141">
        <v>263</v>
      </c>
      <c r="J282" s="141">
        <v>-1935328.0550000002</v>
      </c>
    </row>
    <row r="283" spans="1:10" x14ac:dyDescent="0.2">
      <c r="A283" s="139" t="s">
        <v>322</v>
      </c>
      <c r="B283" s="139" t="s">
        <v>257</v>
      </c>
      <c r="C283" s="140" t="s">
        <v>333</v>
      </c>
      <c r="D283" s="140" t="s">
        <v>345</v>
      </c>
      <c r="E283" s="141">
        <v>57</v>
      </c>
      <c r="F283" s="141">
        <v>197466.51699999999</v>
      </c>
      <c r="G283" s="141">
        <v>57</v>
      </c>
      <c r="H283" s="141">
        <v>199451.48800000001</v>
      </c>
      <c r="I283" s="141">
        <v>57</v>
      </c>
      <c r="J283" s="141">
        <v>208425.56999999998</v>
      </c>
    </row>
    <row r="284" spans="1:10" x14ac:dyDescent="0.2">
      <c r="A284" s="139" t="s">
        <v>222</v>
      </c>
      <c r="B284" s="140" t="s">
        <v>83</v>
      </c>
      <c r="C284" s="140" t="s">
        <v>333</v>
      </c>
      <c r="D284" s="140" t="s">
        <v>344</v>
      </c>
      <c r="E284" s="141">
        <v>98</v>
      </c>
      <c r="F284" s="141">
        <v>904764</v>
      </c>
      <c r="G284" s="141">
        <v>97</v>
      </c>
      <c r="H284" s="141">
        <v>1280057</v>
      </c>
      <c r="I284" s="141">
        <v>97</v>
      </c>
      <c r="J284" s="141">
        <v>1312414</v>
      </c>
    </row>
    <row r="285" spans="1:10" x14ac:dyDescent="0.2">
      <c r="A285" s="138" t="s">
        <v>222</v>
      </c>
      <c r="B285" s="138" t="s">
        <v>257</v>
      </c>
      <c r="C285" s="140" t="s">
        <v>333</v>
      </c>
      <c r="D285" s="140" t="s">
        <v>345</v>
      </c>
      <c r="E285" s="141">
        <v>508</v>
      </c>
      <c r="F285" s="141">
        <v>526923.15399999998</v>
      </c>
      <c r="G285" s="141">
        <v>507</v>
      </c>
      <c r="H285" s="141">
        <v>521142.85100000002</v>
      </c>
      <c r="I285" s="141">
        <v>511</v>
      </c>
      <c r="J285" s="141">
        <v>474402.64199999999</v>
      </c>
    </row>
    <row r="286" spans="1:10" x14ac:dyDescent="0.2">
      <c r="A286" s="138" t="s">
        <v>223</v>
      </c>
      <c r="B286" s="138" t="s">
        <v>83</v>
      </c>
      <c r="C286" s="140" t="s">
        <v>333</v>
      </c>
      <c r="D286" s="140" t="s">
        <v>344</v>
      </c>
      <c r="E286" s="141">
        <v>72</v>
      </c>
      <c r="F286" s="141">
        <v>696868.29799999995</v>
      </c>
      <c r="G286" s="141">
        <v>72</v>
      </c>
      <c r="H286" s="141">
        <v>683673.772</v>
      </c>
      <c r="I286" s="141">
        <v>72</v>
      </c>
      <c r="J286" s="141">
        <v>640972.81499999994</v>
      </c>
    </row>
    <row r="287" spans="1:10" x14ac:dyDescent="0.2">
      <c r="A287" s="138" t="s">
        <v>223</v>
      </c>
      <c r="B287" s="139" t="s">
        <v>257</v>
      </c>
      <c r="C287" s="140" t="s">
        <v>333</v>
      </c>
      <c r="D287" s="140" t="s">
        <v>345</v>
      </c>
      <c r="E287" s="141">
        <v>48</v>
      </c>
      <c r="F287" s="141">
        <v>23687.564999999999</v>
      </c>
      <c r="G287" s="141">
        <v>48</v>
      </c>
      <c r="H287" s="141">
        <v>21980.272000000001</v>
      </c>
      <c r="I287" s="141">
        <v>48</v>
      </c>
      <c r="J287" s="141">
        <v>24033.214</v>
      </c>
    </row>
    <row r="288" spans="1:10" x14ac:dyDescent="0.2">
      <c r="A288" s="138" t="s">
        <v>224</v>
      </c>
      <c r="B288" s="138" t="s">
        <v>83</v>
      </c>
      <c r="C288" s="140" t="s">
        <v>333</v>
      </c>
      <c r="D288" s="140" t="s">
        <v>344</v>
      </c>
      <c r="E288" s="141">
        <v>4</v>
      </c>
      <c r="F288" s="141">
        <v>7761</v>
      </c>
      <c r="G288" s="141">
        <v>4</v>
      </c>
      <c r="H288" s="141">
        <v>7065</v>
      </c>
      <c r="I288" s="141">
        <v>4</v>
      </c>
      <c r="J288" s="141">
        <v>7145</v>
      </c>
    </row>
    <row r="289" spans="1:10" x14ac:dyDescent="0.2">
      <c r="A289" s="139" t="s">
        <v>224</v>
      </c>
      <c r="B289" s="140" t="s">
        <v>257</v>
      </c>
      <c r="C289" s="140" t="s">
        <v>333</v>
      </c>
      <c r="D289" s="140" t="s">
        <v>345</v>
      </c>
      <c r="E289" s="141">
        <v>634</v>
      </c>
      <c r="F289" s="141">
        <v>1218959.227</v>
      </c>
      <c r="G289" s="141">
        <v>632</v>
      </c>
      <c r="H289" s="141">
        <v>1018451.3230000001</v>
      </c>
      <c r="I289" s="141">
        <v>632</v>
      </c>
      <c r="J289" s="141">
        <v>1073698.824</v>
      </c>
    </row>
    <row r="290" spans="1:10" x14ac:dyDescent="0.2">
      <c r="A290" s="139" t="s">
        <v>323</v>
      </c>
      <c r="B290" s="140" t="s">
        <v>257</v>
      </c>
      <c r="C290" s="140" t="s">
        <v>333</v>
      </c>
      <c r="D290" s="140" t="s">
        <v>345</v>
      </c>
      <c r="E290" s="141">
        <v>45</v>
      </c>
      <c r="F290" s="141">
        <v>369644.473</v>
      </c>
      <c r="G290" s="141">
        <v>45</v>
      </c>
      <c r="H290" s="141">
        <v>295097.12899999996</v>
      </c>
      <c r="I290" s="141">
        <v>45</v>
      </c>
      <c r="J290" s="141">
        <v>325156.61700000003</v>
      </c>
    </row>
    <row r="291" spans="1:10" x14ac:dyDescent="0.2">
      <c r="A291" s="138" t="s">
        <v>225</v>
      </c>
      <c r="B291" s="138" t="s">
        <v>83</v>
      </c>
      <c r="C291" s="140" t="s">
        <v>333</v>
      </c>
      <c r="D291" s="140" t="s">
        <v>344</v>
      </c>
      <c r="E291" s="141">
        <v>119</v>
      </c>
      <c r="F291" s="141">
        <v>271619.25599999999</v>
      </c>
      <c r="G291" s="141">
        <v>117</v>
      </c>
      <c r="H291" s="141">
        <v>620544.14399999997</v>
      </c>
      <c r="I291" s="141">
        <v>120</v>
      </c>
      <c r="J291" s="141">
        <v>340899.52</v>
      </c>
    </row>
    <row r="292" spans="1:10" x14ac:dyDescent="0.2">
      <c r="A292" s="138" t="s">
        <v>225</v>
      </c>
      <c r="B292" s="138" t="s">
        <v>257</v>
      </c>
      <c r="C292" s="140" t="s">
        <v>333</v>
      </c>
      <c r="D292" s="140" t="s">
        <v>345</v>
      </c>
      <c r="E292" s="141">
        <v>13</v>
      </c>
      <c r="F292" s="141">
        <v>29468.688999999998</v>
      </c>
      <c r="G292" s="141">
        <v>13</v>
      </c>
      <c r="H292" s="141">
        <v>24548.800999999999</v>
      </c>
      <c r="I292" s="141">
        <v>13</v>
      </c>
      <c r="J292" s="141">
        <v>24093.314999999999</v>
      </c>
    </row>
    <row r="293" spans="1:10" x14ac:dyDescent="0.2">
      <c r="A293" s="138" t="s">
        <v>324</v>
      </c>
      <c r="B293" s="138" t="s">
        <v>257</v>
      </c>
      <c r="C293" s="140" t="s">
        <v>333</v>
      </c>
      <c r="D293" s="140" t="s">
        <v>345</v>
      </c>
      <c r="E293" s="141">
        <v>10</v>
      </c>
      <c r="F293" s="141">
        <v>7615.1239999999998</v>
      </c>
      <c r="G293" s="141">
        <v>10</v>
      </c>
      <c r="H293" s="141">
        <v>7311.902</v>
      </c>
      <c r="I293" s="141">
        <v>10</v>
      </c>
      <c r="J293" s="141">
        <v>4068.1439999999998</v>
      </c>
    </row>
    <row r="294" spans="1:10" x14ac:dyDescent="0.2">
      <c r="A294" s="138" t="s">
        <v>325</v>
      </c>
      <c r="B294" s="138" t="s">
        <v>257</v>
      </c>
      <c r="C294" s="140" t="s">
        <v>333</v>
      </c>
      <c r="D294" s="140" t="s">
        <v>345</v>
      </c>
      <c r="E294" s="141">
        <v>450</v>
      </c>
      <c r="F294" s="141">
        <v>243254.769</v>
      </c>
      <c r="G294" s="141">
        <v>457</v>
      </c>
      <c r="H294" s="141">
        <v>223928.875</v>
      </c>
      <c r="I294" s="141">
        <v>457</v>
      </c>
      <c r="J294" s="141">
        <v>232538.74299999999</v>
      </c>
    </row>
    <row r="295" spans="1:10" x14ac:dyDescent="0.2">
      <c r="A295" s="138" t="s">
        <v>226</v>
      </c>
      <c r="B295" s="138" t="s">
        <v>83</v>
      </c>
      <c r="C295" s="140" t="s">
        <v>333</v>
      </c>
      <c r="D295" s="140" t="s">
        <v>344</v>
      </c>
      <c r="E295" s="141">
        <v>5</v>
      </c>
      <c r="F295" s="141">
        <v>49578</v>
      </c>
      <c r="G295" s="141">
        <v>5</v>
      </c>
      <c r="H295" s="141">
        <v>49476</v>
      </c>
      <c r="I295" s="141">
        <v>8</v>
      </c>
      <c r="J295" s="141">
        <v>61026</v>
      </c>
    </row>
    <row r="296" spans="1:10" x14ac:dyDescent="0.2">
      <c r="A296" s="138" t="s">
        <v>226</v>
      </c>
      <c r="B296" s="138" t="s">
        <v>257</v>
      </c>
      <c r="C296" s="140" t="s">
        <v>333</v>
      </c>
      <c r="D296" s="140" t="s">
        <v>345</v>
      </c>
      <c r="E296" s="141">
        <v>120</v>
      </c>
      <c r="F296" s="141">
        <v>60109.436999999998</v>
      </c>
      <c r="G296" s="141">
        <v>120</v>
      </c>
      <c r="H296" s="141">
        <v>57429.751999999993</v>
      </c>
      <c r="I296" s="141">
        <v>121</v>
      </c>
      <c r="J296" s="141">
        <v>59276.058000000005</v>
      </c>
    </row>
    <row r="297" spans="1:10" x14ac:dyDescent="0.2">
      <c r="A297" s="138" t="s">
        <v>227</v>
      </c>
      <c r="B297" s="138" t="s">
        <v>83</v>
      </c>
      <c r="C297" s="140" t="s">
        <v>333</v>
      </c>
      <c r="D297" s="140" t="s">
        <v>344</v>
      </c>
      <c r="E297" s="141">
        <v>137</v>
      </c>
      <c r="F297" s="141">
        <v>426115.85</v>
      </c>
      <c r="G297" s="141">
        <v>139</v>
      </c>
      <c r="H297" s="141">
        <v>445279.16</v>
      </c>
      <c r="I297" s="141">
        <v>138</v>
      </c>
      <c r="J297" s="141">
        <v>504439.63</v>
      </c>
    </row>
    <row r="298" spans="1:10" x14ac:dyDescent="0.2">
      <c r="A298" s="138" t="s">
        <v>227</v>
      </c>
      <c r="B298" s="138" t="s">
        <v>257</v>
      </c>
      <c r="C298" s="140" t="s">
        <v>333</v>
      </c>
      <c r="D298" s="140" t="s">
        <v>345</v>
      </c>
      <c r="E298" s="141">
        <v>63</v>
      </c>
      <c r="F298" s="141">
        <v>446859.42599999998</v>
      </c>
      <c r="G298" s="141">
        <v>64</v>
      </c>
      <c r="H298" s="141">
        <v>422440.95699999999</v>
      </c>
      <c r="I298" s="141">
        <v>64</v>
      </c>
      <c r="J298" s="141">
        <v>406734.658</v>
      </c>
    </row>
    <row r="299" spans="1:10" x14ac:dyDescent="0.2">
      <c r="A299" s="138" t="s">
        <v>326</v>
      </c>
      <c r="B299" s="138" t="s">
        <v>257</v>
      </c>
      <c r="C299" s="140" t="s">
        <v>333</v>
      </c>
      <c r="D299" s="140" t="s">
        <v>345</v>
      </c>
      <c r="E299" s="141">
        <v>15</v>
      </c>
      <c r="F299" s="141">
        <v>74050.104000000007</v>
      </c>
      <c r="G299" s="141">
        <v>15</v>
      </c>
      <c r="H299" s="141">
        <v>74575.362999999998</v>
      </c>
      <c r="I299" s="141">
        <v>15</v>
      </c>
      <c r="J299" s="141">
        <v>76471.786999999997</v>
      </c>
    </row>
    <row r="300" spans="1:10" x14ac:dyDescent="0.2">
      <c r="A300" s="138" t="s">
        <v>327</v>
      </c>
      <c r="B300" s="139" t="s">
        <v>257</v>
      </c>
      <c r="C300" s="140" t="s">
        <v>333</v>
      </c>
      <c r="D300" s="140" t="s">
        <v>345</v>
      </c>
      <c r="E300" s="141">
        <v>55</v>
      </c>
      <c r="F300" s="141">
        <v>52415.283000000003</v>
      </c>
      <c r="G300" s="141">
        <v>55</v>
      </c>
      <c r="H300" s="141">
        <v>46405.656000000003</v>
      </c>
      <c r="I300" s="141">
        <v>55</v>
      </c>
      <c r="J300" s="141">
        <v>39534.614999999998</v>
      </c>
    </row>
    <row r="301" spans="1:10" x14ac:dyDescent="0.2">
      <c r="A301" s="140" t="s">
        <v>328</v>
      </c>
      <c r="B301" s="140" t="s">
        <v>257</v>
      </c>
      <c r="C301" s="140" t="s">
        <v>333</v>
      </c>
      <c r="D301" s="140" t="s">
        <v>345</v>
      </c>
      <c r="E301" s="141">
        <v>316</v>
      </c>
      <c r="F301" s="141">
        <v>166895.611</v>
      </c>
      <c r="G301" s="141">
        <v>317</v>
      </c>
      <c r="H301" s="141">
        <v>229779.90099999998</v>
      </c>
      <c r="I301" s="141">
        <v>314</v>
      </c>
      <c r="J301" s="141">
        <v>144247.304</v>
      </c>
    </row>
    <row r="302" spans="1:10" x14ac:dyDescent="0.2">
      <c r="A302" s="138" t="s">
        <v>329</v>
      </c>
      <c r="B302" s="138" t="s">
        <v>257</v>
      </c>
      <c r="C302" s="140" t="s">
        <v>333</v>
      </c>
      <c r="D302" s="140" t="s">
        <v>345</v>
      </c>
      <c r="E302" s="141">
        <v>60</v>
      </c>
      <c r="F302" s="141">
        <v>52506.184999999998</v>
      </c>
      <c r="G302" s="141">
        <v>60</v>
      </c>
      <c r="H302" s="141">
        <v>235998.973</v>
      </c>
      <c r="I302" s="141">
        <v>60</v>
      </c>
      <c r="J302" s="141">
        <v>110460.29</v>
      </c>
    </row>
    <row r="303" spans="1:10" x14ac:dyDescent="0.2">
      <c r="A303" s="138" t="s">
        <v>228</v>
      </c>
      <c r="B303" s="138" t="s">
        <v>83</v>
      </c>
      <c r="C303" s="140" t="s">
        <v>333</v>
      </c>
      <c r="D303" s="140" t="s">
        <v>344</v>
      </c>
      <c r="E303" s="141">
        <v>2</v>
      </c>
      <c r="F303" s="141">
        <v>4636</v>
      </c>
      <c r="G303" s="141">
        <v>2</v>
      </c>
      <c r="H303" s="141">
        <v>4835</v>
      </c>
      <c r="I303" s="141">
        <v>2</v>
      </c>
      <c r="J303" s="141">
        <v>4092</v>
      </c>
    </row>
    <row r="304" spans="1:10" x14ac:dyDescent="0.2">
      <c r="A304" s="139" t="s">
        <v>229</v>
      </c>
      <c r="B304" s="139" t="s">
        <v>83</v>
      </c>
      <c r="C304" s="140" t="s">
        <v>333</v>
      </c>
      <c r="D304" s="140" t="s">
        <v>344</v>
      </c>
      <c r="E304" s="141">
        <v>1</v>
      </c>
      <c r="F304" s="141">
        <v>30</v>
      </c>
      <c r="G304" s="141">
        <v>1</v>
      </c>
      <c r="H304" s="141">
        <v>39</v>
      </c>
      <c r="I304" s="141">
        <v>1</v>
      </c>
      <c r="J304" s="141">
        <v>35</v>
      </c>
    </row>
    <row r="305" spans="1:10" x14ac:dyDescent="0.2">
      <c r="A305" s="138" t="s">
        <v>230</v>
      </c>
      <c r="B305" s="138" t="s">
        <v>83</v>
      </c>
      <c r="C305" s="140" t="s">
        <v>333</v>
      </c>
      <c r="D305" s="140" t="s">
        <v>344</v>
      </c>
      <c r="E305" s="141">
        <v>537</v>
      </c>
      <c r="F305" s="141">
        <v>1216061.99</v>
      </c>
      <c r="G305" s="141">
        <v>537</v>
      </c>
      <c r="H305" s="141">
        <v>1306542.618</v>
      </c>
      <c r="I305" s="141">
        <v>539</v>
      </c>
      <c r="J305" s="141">
        <v>1242969.9839999999</v>
      </c>
    </row>
    <row r="306" spans="1:10" x14ac:dyDescent="0.2">
      <c r="A306" s="140" t="s">
        <v>230</v>
      </c>
      <c r="B306" s="140" t="s">
        <v>257</v>
      </c>
      <c r="C306" s="140" t="s">
        <v>333</v>
      </c>
      <c r="D306" s="140" t="s">
        <v>345</v>
      </c>
      <c r="E306" s="141">
        <v>223</v>
      </c>
      <c r="F306" s="141">
        <v>354833.08100000001</v>
      </c>
      <c r="G306" s="141">
        <v>223</v>
      </c>
      <c r="H306" s="141">
        <v>265101.93599999999</v>
      </c>
      <c r="I306" s="141">
        <v>225</v>
      </c>
      <c r="J306" s="141">
        <v>463192.33299999998</v>
      </c>
    </row>
    <row r="307" spans="1:10" x14ac:dyDescent="0.2">
      <c r="A307" s="138" t="s">
        <v>231</v>
      </c>
      <c r="B307" s="138" t="s">
        <v>83</v>
      </c>
      <c r="C307" s="140" t="s">
        <v>333</v>
      </c>
      <c r="D307" s="140" t="s">
        <v>344</v>
      </c>
      <c r="E307" s="141">
        <v>85</v>
      </c>
      <c r="F307" s="141">
        <v>370766</v>
      </c>
      <c r="G307" s="141">
        <v>84</v>
      </c>
      <c r="H307" s="141">
        <v>234882</v>
      </c>
      <c r="I307" s="141">
        <v>84</v>
      </c>
      <c r="J307" s="141">
        <v>244159</v>
      </c>
    </row>
    <row r="308" spans="1:10" x14ac:dyDescent="0.2">
      <c r="A308" s="138" t="s">
        <v>231</v>
      </c>
      <c r="B308" s="138" t="s">
        <v>257</v>
      </c>
      <c r="C308" s="140" t="s">
        <v>333</v>
      </c>
      <c r="D308" s="140" t="s">
        <v>345</v>
      </c>
      <c r="E308" s="141">
        <v>1064</v>
      </c>
      <c r="F308" s="141">
        <v>788417.07599999988</v>
      </c>
      <c r="G308" s="141">
        <v>1064</v>
      </c>
      <c r="H308" s="141">
        <v>981911.32400000002</v>
      </c>
      <c r="I308" s="141">
        <v>1066</v>
      </c>
      <c r="J308" s="141">
        <v>709456.78799999994</v>
      </c>
    </row>
    <row r="309" spans="1:10" x14ac:dyDescent="0.2">
      <c r="A309" s="138" t="s">
        <v>232</v>
      </c>
      <c r="B309" s="138" t="s">
        <v>83</v>
      </c>
      <c r="C309" s="140" t="s">
        <v>333</v>
      </c>
      <c r="D309" s="140" t="s">
        <v>344</v>
      </c>
      <c r="E309" s="141">
        <v>3068</v>
      </c>
      <c r="F309" s="141">
        <v>25612567.221999999</v>
      </c>
      <c r="G309" s="141">
        <v>3067</v>
      </c>
      <c r="H309" s="141">
        <v>27201529.044</v>
      </c>
      <c r="I309" s="141">
        <v>3069</v>
      </c>
      <c r="J309" s="141">
        <v>32805954.971000001</v>
      </c>
    </row>
    <row r="310" spans="1:10" x14ac:dyDescent="0.2">
      <c r="A310" s="138" t="s">
        <v>232</v>
      </c>
      <c r="B310" s="138" t="s">
        <v>257</v>
      </c>
      <c r="C310" s="140" t="s">
        <v>333</v>
      </c>
      <c r="D310" s="140" t="s">
        <v>345</v>
      </c>
      <c r="E310" s="141">
        <v>1070</v>
      </c>
      <c r="F310" s="141">
        <v>847070.85599999991</v>
      </c>
      <c r="G310" s="141">
        <v>1069</v>
      </c>
      <c r="H310" s="141">
        <v>887032.32799999998</v>
      </c>
      <c r="I310" s="141">
        <v>1072</v>
      </c>
      <c r="J310" s="141">
        <v>829693.78500000003</v>
      </c>
    </row>
    <row r="311" spans="1:10" x14ac:dyDescent="0.2">
      <c r="A311" s="138" t="s">
        <v>233</v>
      </c>
      <c r="B311" s="138" t="s">
        <v>83</v>
      </c>
      <c r="C311" s="140" t="s">
        <v>333</v>
      </c>
      <c r="D311" s="140" t="s">
        <v>344</v>
      </c>
      <c r="E311" s="141">
        <v>2204</v>
      </c>
      <c r="F311" s="141">
        <v>9538023.1950000003</v>
      </c>
      <c r="G311" s="141">
        <v>2209</v>
      </c>
      <c r="H311" s="141">
        <v>8898420.9210000001</v>
      </c>
      <c r="I311" s="141">
        <v>2213</v>
      </c>
      <c r="J311" s="141">
        <v>9141869.1600000001</v>
      </c>
    </row>
    <row r="312" spans="1:10" x14ac:dyDescent="0.2">
      <c r="A312" s="138" t="s">
        <v>233</v>
      </c>
      <c r="B312" s="138" t="s">
        <v>257</v>
      </c>
      <c r="C312" s="140" t="s">
        <v>333</v>
      </c>
      <c r="D312" s="140" t="s">
        <v>345</v>
      </c>
      <c r="E312" s="141">
        <v>491</v>
      </c>
      <c r="F312" s="141">
        <v>259589.74300000002</v>
      </c>
      <c r="G312" s="141">
        <v>490</v>
      </c>
      <c r="H312" s="141">
        <v>254989.89799999999</v>
      </c>
      <c r="I312" s="141">
        <v>494</v>
      </c>
      <c r="J312" s="141">
        <v>252573.77499999999</v>
      </c>
    </row>
    <row r="313" spans="1:10" x14ac:dyDescent="0.2">
      <c r="A313" s="138" t="s">
        <v>234</v>
      </c>
      <c r="B313" s="138" t="s">
        <v>83</v>
      </c>
      <c r="C313" s="140" t="s">
        <v>333</v>
      </c>
      <c r="D313" s="140" t="s">
        <v>344</v>
      </c>
      <c r="E313" s="141">
        <v>1633</v>
      </c>
      <c r="F313" s="141">
        <v>12815039.943</v>
      </c>
      <c r="G313" s="141">
        <v>1634</v>
      </c>
      <c r="H313" s="141">
        <v>9549756.0649999995</v>
      </c>
      <c r="I313" s="141">
        <v>1632</v>
      </c>
      <c r="J313" s="141">
        <v>10138951.93</v>
      </c>
    </row>
    <row r="314" spans="1:10" x14ac:dyDescent="0.2">
      <c r="A314" s="138" t="s">
        <v>234</v>
      </c>
      <c r="B314" s="138" t="s">
        <v>257</v>
      </c>
      <c r="C314" s="140" t="s">
        <v>333</v>
      </c>
      <c r="D314" s="140" t="s">
        <v>345</v>
      </c>
      <c r="E314" s="141">
        <v>609</v>
      </c>
      <c r="F314" s="141">
        <v>346889.74800000002</v>
      </c>
      <c r="G314" s="141">
        <v>610</v>
      </c>
      <c r="H314" s="141">
        <v>325623.07100000005</v>
      </c>
      <c r="I314" s="141">
        <v>604</v>
      </c>
      <c r="J314" s="141">
        <v>311671.35799999995</v>
      </c>
    </row>
    <row r="315" spans="1:10" x14ac:dyDescent="0.2">
      <c r="A315" s="138" t="s">
        <v>235</v>
      </c>
      <c r="B315" s="138" t="s">
        <v>83</v>
      </c>
      <c r="C315" s="140" t="s">
        <v>333</v>
      </c>
      <c r="D315" s="140" t="s">
        <v>344</v>
      </c>
      <c r="E315" s="141">
        <v>3</v>
      </c>
      <c r="F315" s="141">
        <v>3350155</v>
      </c>
      <c r="G315" s="141">
        <v>3</v>
      </c>
      <c r="H315" s="141">
        <v>1103235</v>
      </c>
      <c r="I315" s="141">
        <v>3</v>
      </c>
      <c r="J315" s="141">
        <v>1106235</v>
      </c>
    </row>
    <row r="316" spans="1:10" x14ac:dyDescent="0.2">
      <c r="A316" s="138" t="s">
        <v>235</v>
      </c>
      <c r="B316" s="139" t="s">
        <v>257</v>
      </c>
      <c r="C316" s="140" t="s">
        <v>333</v>
      </c>
      <c r="D316" s="140" t="s">
        <v>345</v>
      </c>
      <c r="E316" s="141">
        <v>1</v>
      </c>
      <c r="F316" s="141">
        <v>97344.256999999998</v>
      </c>
      <c r="G316" s="141">
        <v>1</v>
      </c>
      <c r="H316" s="141">
        <v>80674.205000000002</v>
      </c>
      <c r="I316" s="141">
        <v>1</v>
      </c>
      <c r="J316" s="141">
        <v>90572.97</v>
      </c>
    </row>
    <row r="317" spans="1:10" x14ac:dyDescent="0.2">
      <c r="A317" s="138" t="s">
        <v>236</v>
      </c>
      <c r="B317" s="138" t="s">
        <v>83</v>
      </c>
      <c r="C317" s="140" t="s">
        <v>333</v>
      </c>
      <c r="D317" s="140" t="s">
        <v>344</v>
      </c>
      <c r="E317" s="141">
        <v>1199</v>
      </c>
      <c r="F317" s="141">
        <v>5385957.8480000002</v>
      </c>
      <c r="G317" s="141">
        <v>1199</v>
      </c>
      <c r="H317" s="141">
        <v>5486996.6840000004</v>
      </c>
      <c r="I317" s="141">
        <v>1196</v>
      </c>
      <c r="J317" s="141">
        <v>5610215.6950000003</v>
      </c>
    </row>
    <row r="318" spans="1:10" x14ac:dyDescent="0.2">
      <c r="A318" s="138" t="s">
        <v>236</v>
      </c>
      <c r="B318" s="140" t="s">
        <v>257</v>
      </c>
      <c r="C318" s="140" t="s">
        <v>333</v>
      </c>
      <c r="D318" s="140" t="s">
        <v>345</v>
      </c>
      <c r="E318" s="141">
        <v>336</v>
      </c>
      <c r="F318" s="141">
        <v>216097.58100000001</v>
      </c>
      <c r="G318" s="141">
        <v>337</v>
      </c>
      <c r="H318" s="141">
        <v>225891.55499999999</v>
      </c>
      <c r="I318" s="141">
        <v>336</v>
      </c>
      <c r="J318" s="141">
        <v>212728.283</v>
      </c>
    </row>
    <row r="319" spans="1:10" x14ac:dyDescent="0.2">
      <c r="A319" s="138" t="s">
        <v>237</v>
      </c>
      <c r="B319" s="138" t="s">
        <v>83</v>
      </c>
      <c r="C319" s="140" t="s">
        <v>333</v>
      </c>
      <c r="D319" s="140" t="s">
        <v>344</v>
      </c>
      <c r="E319" s="141">
        <v>1968</v>
      </c>
      <c r="F319" s="141">
        <v>17437687.447000001</v>
      </c>
      <c r="G319" s="141">
        <v>1975</v>
      </c>
      <c r="H319" s="141">
        <v>15814840.807</v>
      </c>
      <c r="I319" s="141">
        <v>1969</v>
      </c>
      <c r="J319" s="141">
        <v>15477337.879000001</v>
      </c>
    </row>
    <row r="320" spans="1:10" x14ac:dyDescent="0.2">
      <c r="A320" s="138" t="s">
        <v>237</v>
      </c>
      <c r="B320" s="138" t="s">
        <v>257</v>
      </c>
      <c r="C320" s="140" t="s">
        <v>333</v>
      </c>
      <c r="D320" s="140" t="s">
        <v>345</v>
      </c>
      <c r="E320" s="141">
        <v>398</v>
      </c>
      <c r="F320" s="141">
        <v>346049.283</v>
      </c>
      <c r="G320" s="141">
        <v>399</v>
      </c>
      <c r="H320" s="141">
        <v>459540.55700000003</v>
      </c>
      <c r="I320" s="141">
        <v>399</v>
      </c>
      <c r="J320" s="141">
        <v>248984.052</v>
      </c>
    </row>
    <row r="321" spans="1:10" x14ac:dyDescent="0.2">
      <c r="A321" s="138" t="s">
        <v>238</v>
      </c>
      <c r="B321" s="138" t="s">
        <v>83</v>
      </c>
      <c r="C321" s="140" t="s">
        <v>333</v>
      </c>
      <c r="D321" s="140" t="s">
        <v>344</v>
      </c>
      <c r="E321" s="141">
        <v>954</v>
      </c>
      <c r="F321" s="141">
        <v>4470348.9380000001</v>
      </c>
      <c r="G321" s="141">
        <v>954</v>
      </c>
      <c r="H321" s="141">
        <v>2727095.8810000001</v>
      </c>
      <c r="I321" s="141">
        <v>960</v>
      </c>
      <c r="J321" s="141">
        <v>2698591.4470000002</v>
      </c>
    </row>
    <row r="322" spans="1:10" x14ac:dyDescent="0.2">
      <c r="A322" s="138" t="s">
        <v>238</v>
      </c>
      <c r="B322" s="138" t="s">
        <v>257</v>
      </c>
      <c r="C322" s="140" t="s">
        <v>333</v>
      </c>
      <c r="D322" s="140" t="s">
        <v>345</v>
      </c>
      <c r="E322" s="141">
        <v>60</v>
      </c>
      <c r="F322" s="141">
        <v>53998.720000000001</v>
      </c>
      <c r="G322" s="141">
        <v>60</v>
      </c>
      <c r="H322" s="141">
        <v>51001.322</v>
      </c>
      <c r="I322" s="141">
        <v>60</v>
      </c>
      <c r="J322" s="141">
        <v>34608.139000000003</v>
      </c>
    </row>
    <row r="323" spans="1:10" x14ac:dyDescent="0.2">
      <c r="A323" s="138" t="s">
        <v>239</v>
      </c>
      <c r="B323" s="138" t="s">
        <v>83</v>
      </c>
      <c r="C323" s="140" t="s">
        <v>333</v>
      </c>
      <c r="D323" s="140" t="s">
        <v>344</v>
      </c>
      <c r="E323" s="141">
        <v>1848</v>
      </c>
      <c r="F323" s="141">
        <v>14763728.287</v>
      </c>
      <c r="G323" s="141">
        <v>1852</v>
      </c>
      <c r="H323" s="141">
        <v>11594033.098999999</v>
      </c>
      <c r="I323" s="141">
        <v>1863</v>
      </c>
      <c r="J323" s="141">
        <v>14165300.079</v>
      </c>
    </row>
    <row r="324" spans="1:10" x14ac:dyDescent="0.2">
      <c r="A324" s="138" t="s">
        <v>239</v>
      </c>
      <c r="B324" s="138" t="s">
        <v>257</v>
      </c>
      <c r="C324" s="140" t="s">
        <v>333</v>
      </c>
      <c r="D324" s="140" t="s">
        <v>345</v>
      </c>
      <c r="E324" s="141">
        <v>673</v>
      </c>
      <c r="F324" s="141">
        <v>549545.304</v>
      </c>
      <c r="G324" s="141">
        <v>677</v>
      </c>
      <c r="H324" s="141">
        <v>403932.78099999996</v>
      </c>
      <c r="I324" s="141">
        <v>676</v>
      </c>
      <c r="J324" s="141">
        <v>435866.90500000003</v>
      </c>
    </row>
    <row r="325" spans="1:10" x14ac:dyDescent="0.2">
      <c r="A325" s="138" t="s">
        <v>240</v>
      </c>
      <c r="B325" s="138" t="s">
        <v>83</v>
      </c>
      <c r="C325" s="140" t="s">
        <v>333</v>
      </c>
      <c r="D325" s="140" t="s">
        <v>344</v>
      </c>
      <c r="E325" s="141">
        <v>33</v>
      </c>
      <c r="F325" s="141">
        <v>182</v>
      </c>
      <c r="G325" s="141">
        <v>33</v>
      </c>
      <c r="H325" s="141">
        <v>97581</v>
      </c>
      <c r="I325" s="141">
        <v>33</v>
      </c>
      <c r="J325" s="141">
        <v>167</v>
      </c>
    </row>
    <row r="326" spans="1:10" x14ac:dyDescent="0.2">
      <c r="A326" s="138" t="s">
        <v>241</v>
      </c>
      <c r="B326" s="138" t="s">
        <v>83</v>
      </c>
      <c r="C326" s="140" t="s">
        <v>333</v>
      </c>
      <c r="D326" s="140" t="s">
        <v>344</v>
      </c>
      <c r="E326" s="141">
        <v>129</v>
      </c>
      <c r="F326" s="141">
        <v>1326638.952</v>
      </c>
      <c r="G326" s="141">
        <v>128</v>
      </c>
      <c r="H326" s="141">
        <v>1217724.8759999999</v>
      </c>
      <c r="I326" s="141">
        <v>126</v>
      </c>
      <c r="J326" s="141">
        <v>1225571.361</v>
      </c>
    </row>
    <row r="327" spans="1:10" x14ac:dyDescent="0.2">
      <c r="A327" s="138" t="s">
        <v>241</v>
      </c>
      <c r="B327" s="138" t="s">
        <v>257</v>
      </c>
      <c r="C327" s="140" t="s">
        <v>333</v>
      </c>
      <c r="D327" s="140" t="s">
        <v>345</v>
      </c>
      <c r="E327" s="141">
        <v>470</v>
      </c>
      <c r="F327" s="141">
        <v>379374.511</v>
      </c>
      <c r="G327" s="141">
        <v>470</v>
      </c>
      <c r="H327" s="141">
        <v>442214.071</v>
      </c>
      <c r="I327" s="141">
        <v>473</v>
      </c>
      <c r="J327" s="141">
        <v>329300.80699999997</v>
      </c>
    </row>
    <row r="328" spans="1:10" x14ac:dyDescent="0.2">
      <c r="A328" s="138" t="s">
        <v>330</v>
      </c>
      <c r="B328" s="138" t="s">
        <v>257</v>
      </c>
      <c r="C328" s="140" t="s">
        <v>333</v>
      </c>
      <c r="D328" s="140" t="s">
        <v>345</v>
      </c>
      <c r="E328" s="141">
        <v>314</v>
      </c>
      <c r="F328" s="141">
        <v>553126.84600000002</v>
      </c>
      <c r="G328" s="141">
        <v>314</v>
      </c>
      <c r="H328" s="141">
        <v>725407.70900000003</v>
      </c>
      <c r="I328" s="141">
        <v>314</v>
      </c>
      <c r="J328" s="141">
        <v>461006.03399999999</v>
      </c>
    </row>
    <row r="329" spans="1:10" x14ac:dyDescent="0.2">
      <c r="A329" s="138" t="s">
        <v>242</v>
      </c>
      <c r="B329" s="138" t="s">
        <v>83</v>
      </c>
      <c r="C329" s="140" t="s">
        <v>333</v>
      </c>
      <c r="D329" s="140" t="s">
        <v>344</v>
      </c>
      <c r="E329" s="141">
        <v>31</v>
      </c>
      <c r="F329" s="141">
        <v>97769</v>
      </c>
      <c r="G329" s="141">
        <v>31</v>
      </c>
      <c r="H329" s="141">
        <v>93513</v>
      </c>
      <c r="I329" s="141">
        <v>32</v>
      </c>
      <c r="J329" s="141">
        <v>94020</v>
      </c>
    </row>
    <row r="330" spans="1:10" x14ac:dyDescent="0.2">
      <c r="A330" s="138" t="s">
        <v>243</v>
      </c>
      <c r="B330" s="138" t="s">
        <v>83</v>
      </c>
      <c r="C330" s="140" t="s">
        <v>333</v>
      </c>
      <c r="D330" s="140" t="s">
        <v>344</v>
      </c>
      <c r="E330" s="141">
        <v>6</v>
      </c>
      <c r="F330" s="141">
        <v>27590</v>
      </c>
      <c r="G330" s="141">
        <v>6</v>
      </c>
      <c r="H330" s="141">
        <v>23645</v>
      </c>
      <c r="I330" s="141">
        <v>6</v>
      </c>
      <c r="J330" s="141">
        <v>23113</v>
      </c>
    </row>
    <row r="331" spans="1:10" x14ac:dyDescent="0.2">
      <c r="A331" s="138" t="s">
        <v>244</v>
      </c>
      <c r="B331" s="138" t="s">
        <v>83</v>
      </c>
      <c r="C331" s="140" t="s">
        <v>333</v>
      </c>
      <c r="D331" s="140" t="s">
        <v>344</v>
      </c>
      <c r="E331" s="141">
        <v>306</v>
      </c>
      <c r="F331" s="141">
        <v>2205047.0469999998</v>
      </c>
      <c r="G331" s="141">
        <v>304</v>
      </c>
      <c r="H331" s="141">
        <v>2939225.102</v>
      </c>
      <c r="I331" s="141">
        <v>305</v>
      </c>
      <c r="J331" s="141">
        <v>1018751.858</v>
      </c>
    </row>
    <row r="332" spans="1:10" x14ac:dyDescent="0.2">
      <c r="A332" s="138" t="s">
        <v>244</v>
      </c>
      <c r="B332" s="138" t="s">
        <v>257</v>
      </c>
      <c r="C332" s="140" t="s">
        <v>333</v>
      </c>
      <c r="D332" s="140" t="s">
        <v>345</v>
      </c>
      <c r="E332" s="141">
        <v>32</v>
      </c>
      <c r="F332" s="141">
        <v>10331.405000000001</v>
      </c>
      <c r="G332" s="141">
        <v>32</v>
      </c>
      <c r="H332" s="141">
        <v>8782.5910000000003</v>
      </c>
      <c r="I332" s="141">
        <v>31</v>
      </c>
      <c r="J332" s="141">
        <v>10328.075000000001</v>
      </c>
    </row>
    <row r="333" spans="1:10" x14ac:dyDescent="0.2">
      <c r="A333" s="138" t="s">
        <v>245</v>
      </c>
      <c r="B333" s="138" t="s">
        <v>83</v>
      </c>
      <c r="C333" s="140" t="s">
        <v>333</v>
      </c>
      <c r="D333" s="140" t="s">
        <v>344</v>
      </c>
      <c r="E333" s="141">
        <v>715</v>
      </c>
      <c r="F333" s="141">
        <v>4599435.398</v>
      </c>
      <c r="G333" s="141">
        <v>717</v>
      </c>
      <c r="H333" s="141">
        <v>4688858</v>
      </c>
      <c r="I333" s="141">
        <v>718</v>
      </c>
      <c r="J333" s="141">
        <v>4082151</v>
      </c>
    </row>
    <row r="334" spans="1:10" x14ac:dyDescent="0.2">
      <c r="A334" s="138" t="s">
        <v>245</v>
      </c>
      <c r="B334" s="138" t="s">
        <v>257</v>
      </c>
      <c r="C334" s="140" t="s">
        <v>333</v>
      </c>
      <c r="D334" s="140" t="s">
        <v>345</v>
      </c>
      <c r="E334" s="141">
        <v>5</v>
      </c>
      <c r="F334" s="141">
        <v>6729.9560000000001</v>
      </c>
      <c r="G334" s="141">
        <v>5</v>
      </c>
      <c r="H334" s="141">
        <v>7510.7650000000003</v>
      </c>
      <c r="I334" s="141">
        <v>5</v>
      </c>
      <c r="J334" s="141">
        <v>3233.71</v>
      </c>
    </row>
    <row r="335" spans="1:10" x14ac:dyDescent="0.2">
      <c r="A335" s="138" t="s">
        <v>246</v>
      </c>
      <c r="B335" s="138" t="s">
        <v>83</v>
      </c>
      <c r="C335" s="140" t="s">
        <v>333</v>
      </c>
      <c r="D335" s="140" t="s">
        <v>344</v>
      </c>
      <c r="E335" s="141">
        <v>341</v>
      </c>
      <c r="F335" s="141">
        <v>1427862.139</v>
      </c>
      <c r="G335" s="141">
        <v>338</v>
      </c>
      <c r="H335" s="141">
        <v>1405405.287</v>
      </c>
      <c r="I335" s="141">
        <v>332</v>
      </c>
      <c r="J335" s="141">
        <v>1516331.8330000001</v>
      </c>
    </row>
    <row r="336" spans="1:10" x14ac:dyDescent="0.2">
      <c r="A336" s="138" t="s">
        <v>247</v>
      </c>
      <c r="B336" s="138" t="s">
        <v>83</v>
      </c>
      <c r="C336" s="140" t="s">
        <v>333</v>
      </c>
      <c r="D336" s="140" t="s">
        <v>344</v>
      </c>
      <c r="E336" s="141">
        <v>575</v>
      </c>
      <c r="F336" s="141">
        <v>1377425.1470000001</v>
      </c>
      <c r="G336" s="141">
        <v>570</v>
      </c>
      <c r="H336" s="141">
        <v>730536.96600000001</v>
      </c>
      <c r="I336" s="141">
        <v>568</v>
      </c>
      <c r="J336" s="141">
        <v>1578290.601</v>
      </c>
    </row>
    <row r="337" spans="1:10" x14ac:dyDescent="0.2">
      <c r="A337" s="138" t="s">
        <v>331</v>
      </c>
      <c r="B337" s="138" t="s">
        <v>257</v>
      </c>
      <c r="C337" s="140" t="s">
        <v>333</v>
      </c>
      <c r="D337" s="140" t="s">
        <v>345</v>
      </c>
      <c r="E337" s="141">
        <v>24</v>
      </c>
      <c r="F337" s="141">
        <v>16038.651</v>
      </c>
      <c r="G337" s="141">
        <v>24</v>
      </c>
      <c r="H337" s="141">
        <v>17430.543000000001</v>
      </c>
      <c r="I337" s="141">
        <v>24</v>
      </c>
      <c r="J337" s="141">
        <v>13639.996999999999</v>
      </c>
    </row>
    <row r="338" spans="1:10" x14ac:dyDescent="0.2">
      <c r="A338" s="138" t="s">
        <v>332</v>
      </c>
      <c r="B338" s="138" t="s">
        <v>257</v>
      </c>
      <c r="C338" s="140" t="s">
        <v>333</v>
      </c>
      <c r="D338" s="140" t="s">
        <v>345</v>
      </c>
      <c r="E338" s="141">
        <v>31</v>
      </c>
      <c r="F338" s="141">
        <v>76118.782000000007</v>
      </c>
      <c r="G338" s="141">
        <v>31</v>
      </c>
      <c r="H338" s="141">
        <v>16361.279</v>
      </c>
      <c r="I338" s="141">
        <v>31</v>
      </c>
      <c r="J338" s="141">
        <v>45471.919000000002</v>
      </c>
    </row>
    <row r="339" spans="1:10" x14ac:dyDescent="0.2">
      <c r="A339" s="138" t="s">
        <v>248</v>
      </c>
      <c r="B339" s="138" t="s">
        <v>83</v>
      </c>
      <c r="C339" s="140" t="s">
        <v>333</v>
      </c>
      <c r="D339" s="140" t="s">
        <v>344</v>
      </c>
      <c r="E339" s="141">
        <v>1314</v>
      </c>
      <c r="F339" s="141">
        <v>3981712.426</v>
      </c>
      <c r="G339" s="141">
        <v>1328</v>
      </c>
      <c r="H339" s="141">
        <v>4083712.7439999999</v>
      </c>
      <c r="I339" s="141">
        <v>1327</v>
      </c>
      <c r="J339" s="141">
        <v>4226211.2990000006</v>
      </c>
    </row>
    <row r="340" spans="1:10" x14ac:dyDescent="0.2">
      <c r="A340" s="138" t="s">
        <v>248</v>
      </c>
      <c r="B340" s="138" t="s">
        <v>257</v>
      </c>
      <c r="C340" s="140" t="s">
        <v>333</v>
      </c>
      <c r="D340" s="140" t="s">
        <v>345</v>
      </c>
      <c r="E340" s="141">
        <v>230</v>
      </c>
      <c r="F340" s="141">
        <v>148547.48499999999</v>
      </c>
      <c r="G340" s="141">
        <v>231</v>
      </c>
      <c r="H340" s="141">
        <v>150432.34700000001</v>
      </c>
      <c r="I340" s="141">
        <v>231</v>
      </c>
      <c r="J340" s="141">
        <v>144636.288</v>
      </c>
    </row>
    <row r="341" spans="1:10" x14ac:dyDescent="0.2">
      <c r="A341" s="138" t="s">
        <v>249</v>
      </c>
      <c r="B341" s="138" t="s">
        <v>83</v>
      </c>
      <c r="C341" s="140" t="s">
        <v>333</v>
      </c>
      <c r="D341" s="140" t="s">
        <v>344</v>
      </c>
      <c r="E341" s="141">
        <v>1142</v>
      </c>
      <c r="F341" s="141">
        <v>4023055.5780000002</v>
      </c>
      <c r="G341" s="141">
        <v>1131</v>
      </c>
      <c r="H341" s="141">
        <v>4278399.2510000002</v>
      </c>
      <c r="I341" s="141">
        <v>1116</v>
      </c>
      <c r="J341" s="141">
        <v>3589361.648</v>
      </c>
    </row>
    <row r="342" spans="1:10" x14ac:dyDescent="0.2">
      <c r="A342" s="138" t="s">
        <v>249</v>
      </c>
      <c r="B342" s="138" t="s">
        <v>257</v>
      </c>
      <c r="C342" s="140" t="s">
        <v>333</v>
      </c>
      <c r="D342" s="140" t="s">
        <v>345</v>
      </c>
      <c r="E342" s="141">
        <v>130</v>
      </c>
      <c r="F342" s="141">
        <v>137691.81200000001</v>
      </c>
      <c r="G342" s="141">
        <v>129</v>
      </c>
      <c r="H342" s="141">
        <v>69156.014999999999</v>
      </c>
      <c r="I342" s="141">
        <v>130</v>
      </c>
      <c r="J342" s="141">
        <v>70211.627999999997</v>
      </c>
    </row>
    <row r="343" spans="1:10" x14ac:dyDescent="0.2">
      <c r="A343" s="138" t="s">
        <v>250</v>
      </c>
      <c r="B343" s="138" t="s">
        <v>83</v>
      </c>
      <c r="C343" s="140" t="s">
        <v>333</v>
      </c>
      <c r="D343" s="140" t="s">
        <v>344</v>
      </c>
      <c r="E343" s="141">
        <v>179</v>
      </c>
      <c r="F343" s="141">
        <v>405325.95299999998</v>
      </c>
      <c r="G343" s="141">
        <v>179</v>
      </c>
      <c r="H343" s="141">
        <v>366315.70299999998</v>
      </c>
      <c r="I343" s="141">
        <v>182</v>
      </c>
      <c r="J343" s="141">
        <v>393825.83</v>
      </c>
    </row>
    <row r="344" spans="1:10" x14ac:dyDescent="0.2">
      <c r="A344" s="138" t="s">
        <v>251</v>
      </c>
      <c r="B344" s="138" t="s">
        <v>83</v>
      </c>
      <c r="C344" s="140" t="s">
        <v>333</v>
      </c>
      <c r="D344" s="140" t="s">
        <v>344</v>
      </c>
      <c r="E344" s="141">
        <v>977</v>
      </c>
      <c r="F344" s="141">
        <v>1631586.155</v>
      </c>
      <c r="G344" s="141">
        <v>974</v>
      </c>
      <c r="H344" s="141">
        <v>1402486.0520000001</v>
      </c>
      <c r="I344" s="141">
        <v>972</v>
      </c>
      <c r="J344" s="141">
        <v>1250600.385</v>
      </c>
    </row>
    <row r="345" spans="1:10" x14ac:dyDescent="0.2">
      <c r="A345" s="138" t="s">
        <v>251</v>
      </c>
      <c r="B345" s="138" t="s">
        <v>257</v>
      </c>
      <c r="C345" s="140" t="s">
        <v>333</v>
      </c>
      <c r="D345" s="140" t="s">
        <v>345</v>
      </c>
      <c r="E345" s="141">
        <v>19</v>
      </c>
      <c r="F345" s="141">
        <v>25618.213000000003</v>
      </c>
      <c r="G345" s="141">
        <v>19</v>
      </c>
      <c r="H345" s="141">
        <v>18988.392</v>
      </c>
      <c r="I345" s="141">
        <v>20</v>
      </c>
      <c r="J345" s="141">
        <v>24605.429</v>
      </c>
    </row>
    <row r="346" spans="1:10" x14ac:dyDescent="0.2">
      <c r="A346" s="138" t="s">
        <v>252</v>
      </c>
      <c r="B346" s="138" t="s">
        <v>83</v>
      </c>
      <c r="C346" s="140" t="s">
        <v>333</v>
      </c>
      <c r="D346" s="140" t="s">
        <v>344</v>
      </c>
      <c r="E346" s="141">
        <v>88</v>
      </c>
      <c r="F346" s="141">
        <v>368260.62400000001</v>
      </c>
      <c r="G346" s="141">
        <v>86</v>
      </c>
      <c r="H346" s="141">
        <v>370409.83299999998</v>
      </c>
      <c r="I346" s="141">
        <v>85</v>
      </c>
      <c r="J346" s="141">
        <v>280500.83299999998</v>
      </c>
    </row>
    <row r="347" spans="1:10" x14ac:dyDescent="0.2">
      <c r="A347" s="138" t="s">
        <v>252</v>
      </c>
      <c r="B347" s="138" t="s">
        <v>257</v>
      </c>
      <c r="C347" s="140" t="s">
        <v>333</v>
      </c>
      <c r="D347" s="140" t="s">
        <v>345</v>
      </c>
      <c r="E347" s="141">
        <v>28</v>
      </c>
      <c r="F347" s="141">
        <v>8359.7819999999992</v>
      </c>
      <c r="G347" s="141">
        <v>28</v>
      </c>
      <c r="H347" s="141">
        <v>9476.732</v>
      </c>
      <c r="I347" s="141">
        <v>29</v>
      </c>
      <c r="J347" s="141">
        <v>7125.134</v>
      </c>
    </row>
    <row r="348" spans="1:10" x14ac:dyDescent="0.2">
      <c r="A348" s="138" t="s">
        <v>253</v>
      </c>
      <c r="B348" s="138" t="s">
        <v>83</v>
      </c>
      <c r="C348" s="140" t="s">
        <v>333</v>
      </c>
      <c r="D348" s="140" t="s">
        <v>344</v>
      </c>
      <c r="E348" s="141">
        <v>189</v>
      </c>
      <c r="F348" s="141">
        <v>314113.98599999998</v>
      </c>
      <c r="G348" s="141">
        <v>189</v>
      </c>
      <c r="H348" s="141">
        <v>186338.23699999999</v>
      </c>
      <c r="I348" s="141">
        <v>189</v>
      </c>
      <c r="J348" s="141">
        <v>175063.09899999999</v>
      </c>
    </row>
    <row r="349" spans="1:10" x14ac:dyDescent="0.2">
      <c r="A349" s="138" t="s">
        <v>254</v>
      </c>
      <c r="B349" s="138" t="s">
        <v>83</v>
      </c>
      <c r="C349" s="140" t="s">
        <v>333</v>
      </c>
      <c r="D349" s="140" t="s">
        <v>344</v>
      </c>
      <c r="E349" s="141">
        <v>147</v>
      </c>
      <c r="F349" s="141">
        <v>456469.4</v>
      </c>
      <c r="G349" s="141">
        <v>145</v>
      </c>
      <c r="H349" s="141">
        <v>377725</v>
      </c>
      <c r="I349" s="141">
        <v>147</v>
      </c>
      <c r="J349" s="141">
        <v>372519.8</v>
      </c>
    </row>
    <row r="350" spans="1:10" x14ac:dyDescent="0.2">
      <c r="A350" s="138" t="s">
        <v>254</v>
      </c>
      <c r="B350" s="138" t="s">
        <v>257</v>
      </c>
      <c r="C350" s="140" t="s">
        <v>333</v>
      </c>
      <c r="D350" s="140" t="s">
        <v>345</v>
      </c>
      <c r="E350" s="141">
        <v>2</v>
      </c>
      <c r="F350" s="141">
        <v>28453.22</v>
      </c>
      <c r="G350" s="141">
        <v>2</v>
      </c>
      <c r="H350" s="141">
        <v>13423.799000000001</v>
      </c>
      <c r="I350" s="141">
        <v>2</v>
      </c>
      <c r="J350" s="141">
        <v>10628.739</v>
      </c>
    </row>
    <row r="351" spans="1:10" x14ac:dyDescent="0.2">
      <c r="A351" s="139" t="s">
        <v>255</v>
      </c>
      <c r="B351" s="139" t="s">
        <v>83</v>
      </c>
      <c r="C351" s="140" t="s">
        <v>333</v>
      </c>
      <c r="D351" s="140" t="s">
        <v>344</v>
      </c>
      <c r="E351" s="141">
        <v>28</v>
      </c>
      <c r="F351" s="141">
        <v>45160.932999999997</v>
      </c>
      <c r="G351" s="141">
        <v>28</v>
      </c>
      <c r="H351" s="141">
        <v>35978</v>
      </c>
      <c r="I351" s="141">
        <v>28</v>
      </c>
      <c r="J351" s="141">
        <v>34092.033000000003</v>
      </c>
    </row>
    <row r="352" spans="1:10" x14ac:dyDescent="0.2">
      <c r="A352" s="138" t="s">
        <v>256</v>
      </c>
      <c r="B352" s="140" t="s">
        <v>83</v>
      </c>
      <c r="C352" s="140" t="s">
        <v>333</v>
      </c>
      <c r="D352" s="140" t="s">
        <v>344</v>
      </c>
      <c r="E352" s="141">
        <v>110</v>
      </c>
      <c r="F352" s="141">
        <v>253005.171</v>
      </c>
      <c r="G352" s="141">
        <v>110</v>
      </c>
      <c r="H352" s="141">
        <v>217676.533</v>
      </c>
      <c r="I352" s="141">
        <v>110</v>
      </c>
      <c r="J352" s="141">
        <v>234773.61</v>
      </c>
    </row>
    <row r="353" spans="1:10" x14ac:dyDescent="0.2">
      <c r="A353" s="138" t="s">
        <v>256</v>
      </c>
      <c r="B353" s="138" t="s">
        <v>257</v>
      </c>
      <c r="C353" s="140" t="s">
        <v>333</v>
      </c>
      <c r="D353" s="140" t="s">
        <v>345</v>
      </c>
      <c r="E353" s="141">
        <v>5</v>
      </c>
      <c r="F353" s="141">
        <v>7067.8440000000001</v>
      </c>
      <c r="G353" s="141">
        <v>5</v>
      </c>
      <c r="H353" s="141">
        <v>4754.7780000000002</v>
      </c>
      <c r="I353" s="141">
        <v>5</v>
      </c>
      <c r="J353" s="141">
        <v>4572.1289999999999</v>
      </c>
    </row>
    <row r="354" spans="1:10" x14ac:dyDescent="0.2">
      <c r="A354" s="71" t="s">
        <v>84</v>
      </c>
      <c r="B354" s="71" t="s">
        <v>83</v>
      </c>
      <c r="C354" s="60" t="s">
        <v>10</v>
      </c>
      <c r="D354" s="60" t="s">
        <v>344</v>
      </c>
      <c r="E354" s="45">
        <v>12743</v>
      </c>
      <c r="F354" s="45">
        <v>16278174.961999999</v>
      </c>
      <c r="G354" s="45">
        <v>12747</v>
      </c>
      <c r="H354" s="45">
        <v>14934421.322000001</v>
      </c>
      <c r="I354" s="45">
        <v>12749</v>
      </c>
      <c r="J354" s="45">
        <v>15527090.187000001</v>
      </c>
    </row>
    <row r="355" spans="1:10" x14ac:dyDescent="0.2">
      <c r="A355" s="71" t="s">
        <v>84</v>
      </c>
      <c r="B355" s="71" t="s">
        <v>257</v>
      </c>
      <c r="C355" s="60" t="s">
        <v>10</v>
      </c>
      <c r="D355" s="60" t="s">
        <v>345</v>
      </c>
      <c r="E355" s="45">
        <v>8421</v>
      </c>
      <c r="F355" s="45">
        <v>988821.44200000004</v>
      </c>
      <c r="G355" s="45">
        <v>8428</v>
      </c>
      <c r="H355" s="45">
        <v>920997.973</v>
      </c>
      <c r="I355" s="45">
        <v>8429</v>
      </c>
      <c r="J355" s="45">
        <v>1028402.481</v>
      </c>
    </row>
    <row r="356" spans="1:10" x14ac:dyDescent="0.2">
      <c r="A356" s="71" t="s">
        <v>85</v>
      </c>
      <c r="B356" s="71" t="s">
        <v>83</v>
      </c>
      <c r="C356" s="60" t="s">
        <v>10</v>
      </c>
      <c r="D356" s="60" t="s">
        <v>344</v>
      </c>
      <c r="E356" s="45">
        <v>14200</v>
      </c>
      <c r="F356" s="45">
        <v>17374014.495000001</v>
      </c>
      <c r="G356" s="45">
        <v>14194</v>
      </c>
      <c r="H356" s="45">
        <v>15163339.15</v>
      </c>
      <c r="I356" s="45">
        <v>14187</v>
      </c>
      <c r="J356" s="45">
        <v>15897022.441</v>
      </c>
    </row>
    <row r="357" spans="1:10" x14ac:dyDescent="0.2">
      <c r="A357" s="71" t="s">
        <v>85</v>
      </c>
      <c r="B357" s="71" t="s">
        <v>257</v>
      </c>
      <c r="C357" s="60" t="s">
        <v>10</v>
      </c>
      <c r="D357" s="60" t="s">
        <v>345</v>
      </c>
      <c r="E357" s="45">
        <v>5419</v>
      </c>
      <c r="F357" s="45">
        <v>559350.68599999999</v>
      </c>
      <c r="G357" s="45">
        <v>5418</v>
      </c>
      <c r="H357" s="45">
        <v>474011.11900000001</v>
      </c>
      <c r="I357" s="45">
        <v>5411</v>
      </c>
      <c r="J357" s="45">
        <v>524179.18800000002</v>
      </c>
    </row>
    <row r="358" spans="1:10" x14ac:dyDescent="0.2">
      <c r="A358" s="71" t="s">
        <v>86</v>
      </c>
      <c r="B358" s="71" t="s">
        <v>83</v>
      </c>
      <c r="C358" s="60" t="s">
        <v>10</v>
      </c>
      <c r="D358" s="60" t="s">
        <v>344</v>
      </c>
      <c r="E358" s="45">
        <v>19708</v>
      </c>
      <c r="F358" s="45">
        <v>22303551.691</v>
      </c>
      <c r="G358" s="45">
        <v>19783</v>
      </c>
      <c r="H358" s="45">
        <v>20759616.947999999</v>
      </c>
      <c r="I358" s="45">
        <v>19789</v>
      </c>
      <c r="J358" s="45">
        <v>22355128.712000001</v>
      </c>
    </row>
    <row r="359" spans="1:10" x14ac:dyDescent="0.2">
      <c r="A359" s="71" t="s">
        <v>86</v>
      </c>
      <c r="B359" s="71" t="s">
        <v>257</v>
      </c>
      <c r="C359" s="60" t="s">
        <v>10</v>
      </c>
      <c r="D359" s="60" t="s">
        <v>345</v>
      </c>
      <c r="E359" s="45">
        <v>6953</v>
      </c>
      <c r="F359" s="45">
        <v>821253.951</v>
      </c>
      <c r="G359" s="45">
        <v>6961</v>
      </c>
      <c r="H359" s="45">
        <v>781353.51300000004</v>
      </c>
      <c r="I359" s="45">
        <v>6965</v>
      </c>
      <c r="J359" s="45">
        <v>871681.44700000004</v>
      </c>
    </row>
    <row r="360" spans="1:10" x14ac:dyDescent="0.2">
      <c r="A360" s="71" t="s">
        <v>87</v>
      </c>
      <c r="B360" s="71" t="s">
        <v>83</v>
      </c>
      <c r="C360" s="60" t="s">
        <v>10</v>
      </c>
      <c r="D360" s="60" t="s">
        <v>344</v>
      </c>
      <c r="E360" s="45">
        <v>19084</v>
      </c>
      <c r="F360" s="45">
        <v>18574808.171</v>
      </c>
      <c r="G360" s="45">
        <v>19087</v>
      </c>
      <c r="H360" s="45">
        <v>16669802.268999999</v>
      </c>
      <c r="I360" s="45">
        <v>19079</v>
      </c>
      <c r="J360" s="45">
        <v>17198738.868999999</v>
      </c>
    </row>
    <row r="361" spans="1:10" x14ac:dyDescent="0.2">
      <c r="A361" s="71" t="s">
        <v>87</v>
      </c>
      <c r="B361" s="71" t="s">
        <v>257</v>
      </c>
      <c r="C361" s="60" t="s">
        <v>10</v>
      </c>
      <c r="D361" s="60" t="s">
        <v>345</v>
      </c>
      <c r="E361" s="45">
        <v>6155</v>
      </c>
      <c r="F361" s="45">
        <v>979451.571</v>
      </c>
      <c r="G361" s="45">
        <v>6157</v>
      </c>
      <c r="H361" s="45">
        <v>923873.67500000005</v>
      </c>
      <c r="I361" s="45">
        <v>6152</v>
      </c>
      <c r="J361" s="45">
        <v>985261.35600000003</v>
      </c>
    </row>
    <row r="362" spans="1:10" x14ac:dyDescent="0.2">
      <c r="A362" s="71" t="s">
        <v>88</v>
      </c>
      <c r="B362" s="71" t="s">
        <v>83</v>
      </c>
      <c r="C362" s="60" t="s">
        <v>10</v>
      </c>
      <c r="D362" s="60" t="s">
        <v>344</v>
      </c>
      <c r="E362" s="45">
        <v>9008</v>
      </c>
      <c r="F362" s="45">
        <v>9366067.5360000003</v>
      </c>
      <c r="G362" s="45">
        <v>9002</v>
      </c>
      <c r="H362" s="45">
        <v>8654808.9890000001</v>
      </c>
      <c r="I362" s="45">
        <v>9015</v>
      </c>
      <c r="J362" s="45">
        <v>8604869.0659999996</v>
      </c>
    </row>
    <row r="363" spans="1:10" x14ac:dyDescent="0.2">
      <c r="A363" s="71" t="s">
        <v>88</v>
      </c>
      <c r="B363" s="71" t="s">
        <v>257</v>
      </c>
      <c r="C363" s="60" t="s">
        <v>10</v>
      </c>
      <c r="D363" s="60" t="s">
        <v>345</v>
      </c>
      <c r="E363" s="45">
        <v>4334</v>
      </c>
      <c r="F363" s="45">
        <v>594859.86600000004</v>
      </c>
      <c r="G363" s="45">
        <v>4336</v>
      </c>
      <c r="H363" s="45">
        <v>596355.97400000005</v>
      </c>
      <c r="I363" s="45">
        <v>4336</v>
      </c>
      <c r="J363" s="45">
        <v>600825.14800000004</v>
      </c>
    </row>
    <row r="364" spans="1:10" x14ac:dyDescent="0.2">
      <c r="A364" s="71" t="s">
        <v>89</v>
      </c>
      <c r="B364" s="71" t="s">
        <v>83</v>
      </c>
      <c r="C364" s="60" t="s">
        <v>10</v>
      </c>
      <c r="D364" s="60" t="s">
        <v>344</v>
      </c>
      <c r="E364" s="45">
        <v>14752</v>
      </c>
      <c r="F364" s="45">
        <v>14833958.083000001</v>
      </c>
      <c r="G364" s="45">
        <v>14760</v>
      </c>
      <c r="H364" s="45">
        <v>14459816.056</v>
      </c>
      <c r="I364" s="45">
        <v>14763</v>
      </c>
      <c r="J364" s="45">
        <v>14671384.672</v>
      </c>
    </row>
    <row r="365" spans="1:10" x14ac:dyDescent="0.2">
      <c r="A365" s="71" t="s">
        <v>89</v>
      </c>
      <c r="B365" s="71" t="s">
        <v>257</v>
      </c>
      <c r="C365" s="60" t="s">
        <v>10</v>
      </c>
      <c r="D365" s="60" t="s">
        <v>345</v>
      </c>
      <c r="E365" s="45">
        <v>12039</v>
      </c>
      <c r="F365" s="45">
        <v>1618349.179</v>
      </c>
      <c r="G365" s="45">
        <v>12044</v>
      </c>
      <c r="H365" s="45">
        <v>1782753.493</v>
      </c>
      <c r="I365" s="45">
        <v>12049</v>
      </c>
      <c r="J365" s="45">
        <v>1707135.325</v>
      </c>
    </row>
    <row r="366" spans="1:10" x14ac:dyDescent="0.2">
      <c r="A366" s="71" t="s">
        <v>90</v>
      </c>
      <c r="B366" s="71" t="s">
        <v>83</v>
      </c>
      <c r="C366" s="60" t="s">
        <v>10</v>
      </c>
      <c r="D366" s="60" t="s">
        <v>344</v>
      </c>
      <c r="E366" s="45">
        <v>12372</v>
      </c>
      <c r="F366" s="45">
        <v>11624324.67</v>
      </c>
      <c r="G366" s="45">
        <v>12374</v>
      </c>
      <c r="H366" s="45">
        <v>11026014.541999999</v>
      </c>
      <c r="I366" s="45">
        <v>12371</v>
      </c>
      <c r="J366" s="45">
        <v>11163668.768999999</v>
      </c>
    </row>
    <row r="367" spans="1:10" x14ac:dyDescent="0.2">
      <c r="A367" s="71" t="s">
        <v>90</v>
      </c>
      <c r="B367" s="71" t="s">
        <v>257</v>
      </c>
      <c r="C367" s="60" t="s">
        <v>10</v>
      </c>
      <c r="D367" s="60" t="s">
        <v>345</v>
      </c>
      <c r="E367" s="45">
        <v>3901</v>
      </c>
      <c r="F367" s="45">
        <v>432944.36</v>
      </c>
      <c r="G367" s="45">
        <v>3903</v>
      </c>
      <c r="H367" s="45">
        <v>443683.63500000001</v>
      </c>
      <c r="I367" s="45">
        <v>3904</v>
      </c>
      <c r="J367" s="45">
        <v>422262.49</v>
      </c>
    </row>
    <row r="368" spans="1:10" x14ac:dyDescent="0.2">
      <c r="A368" s="71" t="s">
        <v>91</v>
      </c>
      <c r="B368" s="71" t="s">
        <v>83</v>
      </c>
      <c r="C368" s="60" t="s">
        <v>10</v>
      </c>
      <c r="D368" s="60" t="s">
        <v>344</v>
      </c>
      <c r="E368" s="45">
        <v>9590</v>
      </c>
      <c r="F368" s="45">
        <v>9396623.0639999993</v>
      </c>
      <c r="G368" s="45">
        <v>9592</v>
      </c>
      <c r="H368" s="45">
        <v>8698132.7039999999</v>
      </c>
      <c r="I368" s="45">
        <v>9595</v>
      </c>
      <c r="J368" s="45">
        <v>8547096.625</v>
      </c>
    </row>
    <row r="369" spans="1:10" x14ac:dyDescent="0.2">
      <c r="A369" s="71" t="s">
        <v>91</v>
      </c>
      <c r="B369" s="71" t="s">
        <v>257</v>
      </c>
      <c r="C369" s="60" t="s">
        <v>10</v>
      </c>
      <c r="D369" s="60" t="s">
        <v>345</v>
      </c>
      <c r="E369" s="45">
        <v>7746</v>
      </c>
      <c r="F369" s="45">
        <v>910758.79099999997</v>
      </c>
      <c r="G369" s="45">
        <v>7751</v>
      </c>
      <c r="H369" s="45">
        <v>936255.11</v>
      </c>
      <c r="I369" s="45">
        <v>7751</v>
      </c>
      <c r="J369" s="45">
        <v>894580.39399999997</v>
      </c>
    </row>
    <row r="370" spans="1:10" x14ac:dyDescent="0.2">
      <c r="A370" s="71" t="s">
        <v>92</v>
      </c>
      <c r="B370" s="71" t="s">
        <v>83</v>
      </c>
      <c r="C370" s="60" t="s">
        <v>10</v>
      </c>
      <c r="D370" s="60" t="s">
        <v>344</v>
      </c>
      <c r="E370" s="45">
        <v>3290</v>
      </c>
      <c r="F370" s="45">
        <v>4693442.4510000004</v>
      </c>
      <c r="G370" s="45">
        <v>3303</v>
      </c>
      <c r="H370" s="45">
        <v>3355312.4049999998</v>
      </c>
      <c r="I370" s="45">
        <v>3311</v>
      </c>
      <c r="J370" s="45">
        <v>3960127.3250000002</v>
      </c>
    </row>
    <row r="371" spans="1:10" x14ac:dyDescent="0.2">
      <c r="A371" s="71" t="s">
        <v>92</v>
      </c>
      <c r="B371" s="71" t="s">
        <v>257</v>
      </c>
      <c r="C371" s="60" t="s">
        <v>10</v>
      </c>
      <c r="D371" s="60" t="s">
        <v>345</v>
      </c>
      <c r="E371" s="45">
        <v>2371</v>
      </c>
      <c r="F371" s="45">
        <v>311084.91899999999</v>
      </c>
      <c r="G371" s="45">
        <v>2382</v>
      </c>
      <c r="H371" s="45">
        <v>233010.76699999999</v>
      </c>
      <c r="I371" s="45">
        <v>2397</v>
      </c>
      <c r="J371" s="45">
        <v>256085.96100000001</v>
      </c>
    </row>
    <row r="372" spans="1:10" x14ac:dyDescent="0.2">
      <c r="A372" s="71" t="s">
        <v>93</v>
      </c>
      <c r="B372" s="71" t="s">
        <v>83</v>
      </c>
      <c r="C372" s="60" t="s">
        <v>10</v>
      </c>
      <c r="D372" s="60" t="s">
        <v>344</v>
      </c>
      <c r="E372" s="45">
        <v>11898</v>
      </c>
      <c r="F372" s="45">
        <v>11418868.845000001</v>
      </c>
      <c r="G372" s="45">
        <v>11907</v>
      </c>
      <c r="H372" s="45">
        <v>10994199.597999999</v>
      </c>
      <c r="I372" s="45">
        <v>11975</v>
      </c>
      <c r="J372" s="45">
        <v>11148890.631999999</v>
      </c>
    </row>
    <row r="373" spans="1:10" x14ac:dyDescent="0.2">
      <c r="A373" s="71" t="s">
        <v>93</v>
      </c>
      <c r="B373" s="71" t="s">
        <v>257</v>
      </c>
      <c r="C373" s="60" t="s">
        <v>10</v>
      </c>
      <c r="D373" s="60" t="s">
        <v>345</v>
      </c>
      <c r="E373" s="45">
        <v>6379</v>
      </c>
      <c r="F373" s="45">
        <v>709190.08200000005</v>
      </c>
      <c r="G373" s="45">
        <v>6383</v>
      </c>
      <c r="H373" s="45">
        <v>685782.978</v>
      </c>
      <c r="I373" s="45">
        <v>6395</v>
      </c>
      <c r="J373" s="45">
        <v>736215.52099999995</v>
      </c>
    </row>
    <row r="374" spans="1:10" x14ac:dyDescent="0.2">
      <c r="A374" s="71" t="s">
        <v>258</v>
      </c>
      <c r="B374" s="71" t="s">
        <v>257</v>
      </c>
      <c r="C374" s="60" t="s">
        <v>10</v>
      </c>
      <c r="D374" s="60" t="s">
        <v>345</v>
      </c>
      <c r="E374" s="45">
        <v>18328</v>
      </c>
      <c r="F374" s="45">
        <v>2196561.8960000002</v>
      </c>
      <c r="G374" s="45">
        <v>18348</v>
      </c>
      <c r="H374" s="45">
        <v>1982498.3910000001</v>
      </c>
      <c r="I374" s="45">
        <v>18376</v>
      </c>
      <c r="J374" s="45">
        <v>2212963.2590000001</v>
      </c>
    </row>
    <row r="375" spans="1:10" x14ac:dyDescent="0.2">
      <c r="A375" s="71" t="s">
        <v>94</v>
      </c>
      <c r="B375" s="71" t="s">
        <v>83</v>
      </c>
      <c r="C375" s="60" t="s">
        <v>10</v>
      </c>
      <c r="D375" s="60" t="s">
        <v>344</v>
      </c>
      <c r="E375" s="45">
        <v>1</v>
      </c>
      <c r="F375" s="45">
        <v>1896</v>
      </c>
      <c r="G375" s="45">
        <v>1</v>
      </c>
      <c r="H375" s="45">
        <v>1612</v>
      </c>
      <c r="I375" s="45">
        <v>1</v>
      </c>
      <c r="J375" s="45">
        <v>1161</v>
      </c>
    </row>
    <row r="376" spans="1:10" x14ac:dyDescent="0.2">
      <c r="A376" s="71" t="s">
        <v>95</v>
      </c>
      <c r="B376" s="71" t="s">
        <v>83</v>
      </c>
      <c r="C376" s="60" t="s">
        <v>10</v>
      </c>
      <c r="D376" s="60" t="s">
        <v>344</v>
      </c>
      <c r="E376" s="45">
        <v>2710</v>
      </c>
      <c r="F376" s="45">
        <v>5377050.6409999998</v>
      </c>
      <c r="G376" s="45">
        <v>2714</v>
      </c>
      <c r="H376" s="45">
        <v>4649106.0599999996</v>
      </c>
      <c r="I376" s="45">
        <v>2713</v>
      </c>
      <c r="J376" s="45">
        <v>4697458.3509999998</v>
      </c>
    </row>
    <row r="377" spans="1:10" x14ac:dyDescent="0.2">
      <c r="A377" s="71" t="s">
        <v>95</v>
      </c>
      <c r="B377" s="71" t="s">
        <v>257</v>
      </c>
      <c r="C377" s="60" t="s">
        <v>10</v>
      </c>
      <c r="D377" s="60" t="s">
        <v>345</v>
      </c>
      <c r="E377" s="45">
        <v>1008</v>
      </c>
      <c r="F377" s="45">
        <v>147555.57999999999</v>
      </c>
      <c r="G377" s="45">
        <v>1009</v>
      </c>
      <c r="H377" s="45">
        <v>125076.795</v>
      </c>
      <c r="I377" s="45">
        <v>1009</v>
      </c>
      <c r="J377" s="45">
        <v>130581.27</v>
      </c>
    </row>
    <row r="378" spans="1:10" x14ac:dyDescent="0.2">
      <c r="A378" s="71" t="s">
        <v>96</v>
      </c>
      <c r="B378" s="71" t="s">
        <v>83</v>
      </c>
      <c r="C378" s="60" t="s">
        <v>10</v>
      </c>
      <c r="D378" s="60" t="s">
        <v>344</v>
      </c>
      <c r="E378" s="45">
        <v>4662</v>
      </c>
      <c r="F378" s="45">
        <v>7821403.9939999999</v>
      </c>
      <c r="G378" s="45">
        <v>4671</v>
      </c>
      <c r="H378" s="45">
        <v>6466408.7570000002</v>
      </c>
      <c r="I378" s="45">
        <v>4682</v>
      </c>
      <c r="J378" s="45">
        <v>6569197.074</v>
      </c>
    </row>
    <row r="379" spans="1:10" x14ac:dyDescent="0.2">
      <c r="A379" s="71" t="s">
        <v>96</v>
      </c>
      <c r="B379" s="71" t="s">
        <v>257</v>
      </c>
      <c r="C379" s="60" t="s">
        <v>10</v>
      </c>
      <c r="D379" s="60" t="s">
        <v>345</v>
      </c>
      <c r="E379" s="45">
        <v>2555</v>
      </c>
      <c r="F379" s="45">
        <v>329107.15500000003</v>
      </c>
      <c r="G379" s="45">
        <v>2564</v>
      </c>
      <c r="H379" s="45">
        <v>272304.21999999997</v>
      </c>
      <c r="I379" s="45">
        <v>2572</v>
      </c>
      <c r="J379" s="45">
        <v>297147.51400000002</v>
      </c>
    </row>
    <row r="380" spans="1:10" x14ac:dyDescent="0.2">
      <c r="A380" s="71" t="s">
        <v>259</v>
      </c>
      <c r="B380" s="71" t="s">
        <v>257</v>
      </c>
      <c r="C380" s="60" t="s">
        <v>10</v>
      </c>
      <c r="D380" s="60" t="s">
        <v>345</v>
      </c>
      <c r="E380" s="45">
        <v>5484</v>
      </c>
      <c r="F380" s="45">
        <v>732945.13100000005</v>
      </c>
      <c r="G380" s="45">
        <v>5485</v>
      </c>
      <c r="H380" s="45">
        <v>649968.38699999999</v>
      </c>
      <c r="I380" s="45">
        <v>5489</v>
      </c>
      <c r="J380" s="45">
        <v>680963.20600000001</v>
      </c>
    </row>
    <row r="381" spans="1:10" x14ac:dyDescent="0.2">
      <c r="A381" s="71" t="s">
        <v>260</v>
      </c>
      <c r="B381" s="71" t="s">
        <v>257</v>
      </c>
      <c r="C381" s="60" t="s">
        <v>10</v>
      </c>
      <c r="D381" s="60" t="s">
        <v>345</v>
      </c>
      <c r="E381" s="45">
        <v>9058</v>
      </c>
      <c r="F381" s="45">
        <v>1015369.3</v>
      </c>
      <c r="G381" s="45">
        <v>9088</v>
      </c>
      <c r="H381" s="45">
        <v>959267.67</v>
      </c>
      <c r="I381" s="45">
        <v>9097</v>
      </c>
      <c r="J381" s="45">
        <v>1074651.68</v>
      </c>
    </row>
    <row r="382" spans="1:10" x14ac:dyDescent="0.2">
      <c r="A382" s="71" t="s">
        <v>97</v>
      </c>
      <c r="B382" s="71" t="s">
        <v>83</v>
      </c>
      <c r="C382" s="60" t="s">
        <v>10</v>
      </c>
      <c r="D382" s="60" t="s">
        <v>344</v>
      </c>
      <c r="E382" s="45">
        <v>9922</v>
      </c>
      <c r="F382" s="45">
        <v>15504233.58</v>
      </c>
      <c r="G382" s="45">
        <v>9931</v>
      </c>
      <c r="H382" s="45">
        <v>14754441.149</v>
      </c>
      <c r="I382" s="45">
        <v>9934</v>
      </c>
      <c r="J382" s="45">
        <v>14091425.114</v>
      </c>
    </row>
    <row r="383" spans="1:10" x14ac:dyDescent="0.2">
      <c r="A383" s="71" t="s">
        <v>98</v>
      </c>
      <c r="B383" s="71" t="s">
        <v>83</v>
      </c>
      <c r="C383" s="60" t="s">
        <v>10</v>
      </c>
      <c r="D383" s="60" t="s">
        <v>344</v>
      </c>
      <c r="E383" s="45">
        <v>18130</v>
      </c>
      <c r="F383" s="45">
        <v>20479227.344000001</v>
      </c>
      <c r="G383" s="45">
        <v>18126</v>
      </c>
      <c r="H383" s="45">
        <v>17276311.901999999</v>
      </c>
      <c r="I383" s="45">
        <v>18118</v>
      </c>
      <c r="J383" s="45">
        <v>18681859.612</v>
      </c>
    </row>
    <row r="384" spans="1:10" x14ac:dyDescent="0.2">
      <c r="A384" s="71" t="s">
        <v>98</v>
      </c>
      <c r="B384" s="71" t="s">
        <v>257</v>
      </c>
      <c r="C384" s="60" t="s">
        <v>10</v>
      </c>
      <c r="D384" s="60" t="s">
        <v>345</v>
      </c>
      <c r="E384" s="45">
        <v>11809</v>
      </c>
      <c r="F384" s="45">
        <v>1533930.926</v>
      </c>
      <c r="G384" s="45">
        <v>11805</v>
      </c>
      <c r="H384" s="45">
        <v>1360388.0220000001</v>
      </c>
      <c r="I384" s="45">
        <v>11806</v>
      </c>
      <c r="J384" s="45">
        <v>1509551.3259999999</v>
      </c>
    </row>
    <row r="385" spans="1:10" x14ac:dyDescent="0.2">
      <c r="A385" s="71" t="s">
        <v>99</v>
      </c>
      <c r="B385" s="71" t="s">
        <v>83</v>
      </c>
      <c r="C385" s="60" t="s">
        <v>10</v>
      </c>
      <c r="D385" s="60" t="s">
        <v>344</v>
      </c>
      <c r="E385" s="45">
        <v>1992</v>
      </c>
      <c r="F385" s="45">
        <v>4071907.656</v>
      </c>
      <c r="G385" s="45">
        <v>1996</v>
      </c>
      <c r="H385" s="45">
        <v>3201653.68</v>
      </c>
      <c r="I385" s="45">
        <v>1997</v>
      </c>
      <c r="J385" s="45">
        <v>3352278</v>
      </c>
    </row>
    <row r="386" spans="1:10" x14ac:dyDescent="0.2">
      <c r="A386" s="71" t="s">
        <v>99</v>
      </c>
      <c r="B386" s="71" t="s">
        <v>257</v>
      </c>
      <c r="C386" s="60" t="s">
        <v>10</v>
      </c>
      <c r="D386" s="60" t="s">
        <v>345</v>
      </c>
      <c r="E386" s="45">
        <v>956</v>
      </c>
      <c r="F386" s="45">
        <v>154045.38</v>
      </c>
      <c r="G386" s="45">
        <v>957</v>
      </c>
      <c r="H386" s="45">
        <v>114859.83</v>
      </c>
      <c r="I386" s="45">
        <v>957</v>
      </c>
      <c r="J386" s="45">
        <v>127220.61199999999</v>
      </c>
    </row>
    <row r="387" spans="1:10" x14ac:dyDescent="0.2">
      <c r="A387" s="71" t="s">
        <v>261</v>
      </c>
      <c r="B387" s="71" t="s">
        <v>257</v>
      </c>
      <c r="C387" s="60" t="s">
        <v>10</v>
      </c>
      <c r="D387" s="60" t="s">
        <v>345</v>
      </c>
      <c r="E387" s="45">
        <v>9071</v>
      </c>
      <c r="F387" s="45">
        <v>1100718.051</v>
      </c>
      <c r="G387" s="45">
        <v>9087</v>
      </c>
      <c r="H387" s="45">
        <v>1025597.894</v>
      </c>
      <c r="I387" s="45">
        <v>9092</v>
      </c>
      <c r="J387" s="45">
        <v>1016666.672</v>
      </c>
    </row>
    <row r="388" spans="1:10" x14ac:dyDescent="0.2">
      <c r="A388" s="71" t="s">
        <v>100</v>
      </c>
      <c r="B388" s="71" t="s">
        <v>83</v>
      </c>
      <c r="C388" s="60" t="s">
        <v>10</v>
      </c>
      <c r="D388" s="60" t="s">
        <v>344</v>
      </c>
      <c r="E388" s="45">
        <v>12098</v>
      </c>
      <c r="F388" s="45">
        <v>14845943.369999999</v>
      </c>
      <c r="G388" s="45">
        <v>12096</v>
      </c>
      <c r="H388" s="45">
        <v>14252443.595000001</v>
      </c>
      <c r="I388" s="45">
        <v>12092</v>
      </c>
      <c r="J388" s="45">
        <v>13428326.256999999</v>
      </c>
    </row>
    <row r="389" spans="1:10" x14ac:dyDescent="0.2">
      <c r="A389" s="71" t="s">
        <v>100</v>
      </c>
      <c r="B389" s="71" t="s">
        <v>257</v>
      </c>
      <c r="C389" s="60" t="s">
        <v>10</v>
      </c>
      <c r="D389" s="60" t="s">
        <v>345</v>
      </c>
      <c r="E389" s="45">
        <v>6430</v>
      </c>
      <c r="F389" s="45">
        <v>869745.77</v>
      </c>
      <c r="G389" s="45">
        <v>6428</v>
      </c>
      <c r="H389" s="45">
        <v>804887.45299999998</v>
      </c>
      <c r="I389" s="45">
        <v>6429</v>
      </c>
      <c r="J389" s="45">
        <v>788481.85600000003</v>
      </c>
    </row>
    <row r="390" spans="1:10" x14ac:dyDescent="0.2">
      <c r="A390" s="71" t="s">
        <v>101</v>
      </c>
      <c r="B390" s="71" t="s">
        <v>83</v>
      </c>
      <c r="C390" s="60" t="s">
        <v>10</v>
      </c>
      <c r="D390" s="60" t="s">
        <v>344</v>
      </c>
      <c r="E390" s="45">
        <v>9590</v>
      </c>
      <c r="F390" s="45">
        <v>10485885.021</v>
      </c>
      <c r="G390" s="45">
        <v>9618</v>
      </c>
      <c r="H390" s="45">
        <v>10150429.169</v>
      </c>
      <c r="I390" s="45">
        <v>9617</v>
      </c>
      <c r="J390" s="45">
        <v>10091134.780999999</v>
      </c>
    </row>
    <row r="391" spans="1:10" x14ac:dyDescent="0.2">
      <c r="A391" s="71" t="s">
        <v>101</v>
      </c>
      <c r="B391" s="71" t="s">
        <v>257</v>
      </c>
      <c r="C391" s="60" t="s">
        <v>10</v>
      </c>
      <c r="D391" s="60" t="s">
        <v>345</v>
      </c>
      <c r="E391" s="45">
        <v>6050</v>
      </c>
      <c r="F391" s="45">
        <v>707204.62399999995</v>
      </c>
      <c r="G391" s="45">
        <v>6052</v>
      </c>
      <c r="H391" s="45">
        <v>687075.59</v>
      </c>
      <c r="I391" s="45">
        <v>6048</v>
      </c>
      <c r="J391" s="45">
        <v>726983.12399999995</v>
      </c>
    </row>
    <row r="392" spans="1:10" x14ac:dyDescent="0.2">
      <c r="A392" s="71" t="s">
        <v>102</v>
      </c>
      <c r="B392" s="71" t="s">
        <v>83</v>
      </c>
      <c r="C392" s="60" t="s">
        <v>10</v>
      </c>
      <c r="D392" s="60" t="s">
        <v>344</v>
      </c>
      <c r="E392" s="45">
        <v>12213</v>
      </c>
      <c r="F392" s="45">
        <v>11371259.111</v>
      </c>
      <c r="G392" s="45">
        <v>12215</v>
      </c>
      <c r="H392" s="45">
        <v>10737628.025</v>
      </c>
      <c r="I392" s="45">
        <v>12215</v>
      </c>
      <c r="J392" s="45">
        <v>10112998.671</v>
      </c>
    </row>
    <row r="393" spans="1:10" x14ac:dyDescent="0.2">
      <c r="A393" s="71" t="s">
        <v>102</v>
      </c>
      <c r="B393" s="71" t="s">
        <v>257</v>
      </c>
      <c r="C393" s="60" t="s">
        <v>10</v>
      </c>
      <c r="D393" s="60" t="s">
        <v>345</v>
      </c>
      <c r="E393" s="45">
        <v>8733</v>
      </c>
      <c r="F393" s="45">
        <v>1067520.7890000001</v>
      </c>
      <c r="G393" s="45">
        <v>8731</v>
      </c>
      <c r="H393" s="45">
        <v>948716.076</v>
      </c>
      <c r="I393" s="45">
        <v>8739</v>
      </c>
      <c r="J393" s="45">
        <v>968682.228</v>
      </c>
    </row>
    <row r="394" spans="1:10" x14ac:dyDescent="0.2">
      <c r="A394" s="71" t="s">
        <v>103</v>
      </c>
      <c r="B394" s="71" t="s">
        <v>83</v>
      </c>
      <c r="C394" s="60" t="s">
        <v>10</v>
      </c>
      <c r="D394" s="60" t="s">
        <v>344</v>
      </c>
      <c r="E394" s="45">
        <v>13273</v>
      </c>
      <c r="F394" s="45">
        <v>13646410.918</v>
      </c>
      <c r="G394" s="45">
        <v>13272</v>
      </c>
      <c r="H394" s="45">
        <v>13474254.075999999</v>
      </c>
      <c r="I394" s="45">
        <v>13270</v>
      </c>
      <c r="J394" s="45">
        <v>13034154.941</v>
      </c>
    </row>
    <row r="395" spans="1:10" x14ac:dyDescent="0.2">
      <c r="A395" s="71" t="s">
        <v>103</v>
      </c>
      <c r="B395" s="71" t="s">
        <v>257</v>
      </c>
      <c r="C395" s="60" t="s">
        <v>10</v>
      </c>
      <c r="D395" s="60" t="s">
        <v>345</v>
      </c>
      <c r="E395" s="45">
        <v>6518</v>
      </c>
      <c r="F395" s="45">
        <v>750115.17799999996</v>
      </c>
      <c r="G395" s="45">
        <v>6522</v>
      </c>
      <c r="H395" s="45">
        <v>751672.12899999996</v>
      </c>
      <c r="I395" s="45">
        <v>6518</v>
      </c>
      <c r="J395" s="45">
        <v>709368.06799999997</v>
      </c>
    </row>
    <row r="396" spans="1:10" x14ac:dyDescent="0.2">
      <c r="A396" s="71" t="s">
        <v>104</v>
      </c>
      <c r="B396" s="71" t="s">
        <v>83</v>
      </c>
      <c r="C396" s="60" t="s">
        <v>10</v>
      </c>
      <c r="D396" s="60" t="s">
        <v>344</v>
      </c>
      <c r="E396" s="45">
        <v>14706</v>
      </c>
      <c r="F396" s="45">
        <v>14867447.876</v>
      </c>
      <c r="G396" s="45">
        <v>14707</v>
      </c>
      <c r="H396" s="45">
        <v>15679594.377</v>
      </c>
      <c r="I396" s="45">
        <v>14709</v>
      </c>
      <c r="J396" s="45">
        <v>14500119.273</v>
      </c>
    </row>
    <row r="397" spans="1:10" x14ac:dyDescent="0.2">
      <c r="A397" s="71" t="s">
        <v>104</v>
      </c>
      <c r="B397" s="71" t="s">
        <v>257</v>
      </c>
      <c r="C397" s="60" t="s">
        <v>10</v>
      </c>
      <c r="D397" s="60" t="s">
        <v>345</v>
      </c>
      <c r="E397" s="45">
        <v>9014</v>
      </c>
      <c r="F397" s="45">
        <v>970263.15</v>
      </c>
      <c r="G397" s="45">
        <v>9020</v>
      </c>
      <c r="H397" s="45">
        <v>1120233.4439999999</v>
      </c>
      <c r="I397" s="45">
        <v>9020</v>
      </c>
      <c r="J397" s="45">
        <v>942439.72699999996</v>
      </c>
    </row>
    <row r="398" spans="1:10" x14ac:dyDescent="0.2">
      <c r="A398" s="71" t="s">
        <v>105</v>
      </c>
      <c r="B398" s="71" t="s">
        <v>83</v>
      </c>
      <c r="C398" s="60" t="s">
        <v>10</v>
      </c>
      <c r="D398" s="60" t="s">
        <v>344</v>
      </c>
      <c r="E398" s="45">
        <v>16049</v>
      </c>
      <c r="F398" s="45">
        <v>15643561.805</v>
      </c>
      <c r="G398" s="45">
        <v>16057</v>
      </c>
      <c r="H398" s="45">
        <v>14608369.801999999</v>
      </c>
      <c r="I398" s="45">
        <v>16188</v>
      </c>
      <c r="J398" s="45">
        <v>16231184.736</v>
      </c>
    </row>
    <row r="399" spans="1:10" x14ac:dyDescent="0.2">
      <c r="A399" s="71" t="s">
        <v>105</v>
      </c>
      <c r="B399" s="71" t="s">
        <v>257</v>
      </c>
      <c r="C399" s="60" t="s">
        <v>10</v>
      </c>
      <c r="D399" s="60" t="s">
        <v>345</v>
      </c>
      <c r="E399" s="45">
        <v>4822</v>
      </c>
      <c r="F399" s="45">
        <v>512141.30900000001</v>
      </c>
      <c r="G399" s="45">
        <v>4821</v>
      </c>
      <c r="H399" s="45">
        <v>477635.79</v>
      </c>
      <c r="I399" s="45">
        <v>4818</v>
      </c>
      <c r="J399" s="45">
        <v>529922.76300000004</v>
      </c>
    </row>
    <row r="400" spans="1:10" x14ac:dyDescent="0.2">
      <c r="A400" s="71" t="s">
        <v>106</v>
      </c>
      <c r="B400" s="71" t="s">
        <v>83</v>
      </c>
      <c r="C400" s="60" t="s">
        <v>10</v>
      </c>
      <c r="D400" s="60" t="s">
        <v>344</v>
      </c>
      <c r="E400" s="45">
        <v>18384</v>
      </c>
      <c r="F400" s="45">
        <v>17755776.761999998</v>
      </c>
      <c r="G400" s="45">
        <v>18388</v>
      </c>
      <c r="H400" s="45">
        <v>15625530.591</v>
      </c>
      <c r="I400" s="45">
        <v>18560</v>
      </c>
      <c r="J400" s="45">
        <v>17177917.515999999</v>
      </c>
    </row>
    <row r="401" spans="1:10" x14ac:dyDescent="0.2">
      <c r="A401" s="71" t="s">
        <v>106</v>
      </c>
      <c r="B401" s="71" t="s">
        <v>257</v>
      </c>
      <c r="C401" s="60" t="s">
        <v>10</v>
      </c>
      <c r="D401" s="60" t="s">
        <v>345</v>
      </c>
      <c r="E401" s="45">
        <v>11391</v>
      </c>
      <c r="F401" s="45">
        <v>1366805.6270000001</v>
      </c>
      <c r="G401" s="45">
        <v>11397</v>
      </c>
      <c r="H401" s="45">
        <v>1250672.206</v>
      </c>
      <c r="I401" s="45">
        <v>11407</v>
      </c>
      <c r="J401" s="45">
        <v>1392301.327</v>
      </c>
    </row>
    <row r="402" spans="1:10" x14ac:dyDescent="0.2">
      <c r="A402" s="71" t="s">
        <v>107</v>
      </c>
      <c r="B402" s="71" t="s">
        <v>83</v>
      </c>
      <c r="C402" s="60" t="s">
        <v>10</v>
      </c>
      <c r="D402" s="60" t="s">
        <v>344</v>
      </c>
      <c r="E402" s="45">
        <v>23239</v>
      </c>
      <c r="F402" s="45">
        <v>23242588.429000001</v>
      </c>
      <c r="G402" s="45">
        <v>23245</v>
      </c>
      <c r="H402" s="45">
        <v>19934455.486000001</v>
      </c>
      <c r="I402" s="45">
        <v>23248</v>
      </c>
      <c r="J402" s="45">
        <v>21616973.445</v>
      </c>
    </row>
    <row r="403" spans="1:10" x14ac:dyDescent="0.2">
      <c r="A403" s="71" t="s">
        <v>107</v>
      </c>
      <c r="B403" s="71" t="s">
        <v>257</v>
      </c>
      <c r="C403" s="60" t="s">
        <v>10</v>
      </c>
      <c r="D403" s="60" t="s">
        <v>345</v>
      </c>
      <c r="E403" s="45">
        <v>12192</v>
      </c>
      <c r="F403" s="45">
        <v>1488896.777</v>
      </c>
      <c r="G403" s="45">
        <v>12198</v>
      </c>
      <c r="H403" s="45">
        <v>1302970.0989999999</v>
      </c>
      <c r="I403" s="45">
        <v>12201</v>
      </c>
      <c r="J403" s="45">
        <v>1481657.5930000001</v>
      </c>
    </row>
    <row r="404" spans="1:10" x14ac:dyDescent="0.2">
      <c r="A404" s="71" t="s">
        <v>262</v>
      </c>
      <c r="B404" s="71" t="s">
        <v>257</v>
      </c>
      <c r="C404" s="60" t="s">
        <v>10</v>
      </c>
      <c r="D404" s="60" t="s">
        <v>345</v>
      </c>
      <c r="E404" s="45">
        <v>8565</v>
      </c>
      <c r="F404" s="45">
        <v>912923.54099999997</v>
      </c>
      <c r="G404" s="45">
        <v>8577</v>
      </c>
      <c r="H404" s="45">
        <v>859526.22400000005</v>
      </c>
      <c r="I404" s="45">
        <v>8577</v>
      </c>
      <c r="J404" s="45">
        <v>941857.81900000002</v>
      </c>
    </row>
    <row r="405" spans="1:10" x14ac:dyDescent="0.2">
      <c r="A405" s="71" t="s">
        <v>263</v>
      </c>
      <c r="B405" s="71" t="s">
        <v>257</v>
      </c>
      <c r="C405" s="60" t="s">
        <v>10</v>
      </c>
      <c r="D405" s="60" t="s">
        <v>345</v>
      </c>
      <c r="E405" s="45">
        <v>5992</v>
      </c>
      <c r="F405" s="45">
        <v>694743.50399999996</v>
      </c>
      <c r="G405" s="45">
        <v>6002</v>
      </c>
      <c r="H405" s="45">
        <v>657421.64399999997</v>
      </c>
      <c r="I405" s="45">
        <v>6007</v>
      </c>
      <c r="J405" s="45">
        <v>662540.49199999997</v>
      </c>
    </row>
    <row r="406" spans="1:10" x14ac:dyDescent="0.2">
      <c r="A406" s="71" t="s">
        <v>108</v>
      </c>
      <c r="B406" s="71" t="s">
        <v>83</v>
      </c>
      <c r="C406" s="60" t="s">
        <v>10</v>
      </c>
      <c r="D406" s="60" t="s">
        <v>344</v>
      </c>
      <c r="E406" s="45">
        <v>13205</v>
      </c>
      <c r="F406" s="45">
        <v>18609540.403000001</v>
      </c>
      <c r="G406" s="45">
        <v>13200</v>
      </c>
      <c r="H406" s="45">
        <v>15067752.949999999</v>
      </c>
      <c r="I406" s="45">
        <v>13198</v>
      </c>
      <c r="J406" s="45">
        <v>15315019.458000001</v>
      </c>
    </row>
    <row r="407" spans="1:10" x14ac:dyDescent="0.2">
      <c r="A407" s="71" t="s">
        <v>108</v>
      </c>
      <c r="B407" s="71" t="s">
        <v>257</v>
      </c>
      <c r="C407" s="60" t="s">
        <v>10</v>
      </c>
      <c r="D407" s="60" t="s">
        <v>345</v>
      </c>
      <c r="E407" s="45">
        <v>8932</v>
      </c>
      <c r="F407" s="45">
        <v>1279748.629</v>
      </c>
      <c r="G407" s="45">
        <v>8931</v>
      </c>
      <c r="H407" s="45">
        <v>972393.01100000006</v>
      </c>
      <c r="I407" s="45">
        <v>8933</v>
      </c>
      <c r="J407" s="45">
        <v>1048887.0689999999</v>
      </c>
    </row>
    <row r="408" spans="1:10" x14ac:dyDescent="0.2">
      <c r="A408" s="71" t="s">
        <v>109</v>
      </c>
      <c r="B408" s="71" t="s">
        <v>83</v>
      </c>
      <c r="C408" s="60" t="s">
        <v>10</v>
      </c>
      <c r="D408" s="60" t="s">
        <v>344</v>
      </c>
      <c r="E408" s="45">
        <v>1132</v>
      </c>
      <c r="F408" s="45">
        <v>2698228.6290000002</v>
      </c>
      <c r="G408" s="45">
        <v>1137</v>
      </c>
      <c r="H408" s="45">
        <v>2176463.551</v>
      </c>
      <c r="I408" s="45">
        <v>1136</v>
      </c>
      <c r="J408" s="45">
        <v>2492083.0589999999</v>
      </c>
    </row>
    <row r="409" spans="1:10" x14ac:dyDescent="0.2">
      <c r="A409" s="71" t="s">
        <v>109</v>
      </c>
      <c r="B409" s="71" t="s">
        <v>257</v>
      </c>
      <c r="C409" s="60" t="s">
        <v>10</v>
      </c>
      <c r="D409" s="60" t="s">
        <v>345</v>
      </c>
      <c r="E409" s="45">
        <v>1113</v>
      </c>
      <c r="F409" s="45">
        <v>250021.31599999999</v>
      </c>
      <c r="G409" s="45">
        <v>1114</v>
      </c>
      <c r="H409" s="45">
        <v>228894.63500000001</v>
      </c>
      <c r="I409" s="45">
        <v>1116</v>
      </c>
      <c r="J409" s="45">
        <v>245982.22</v>
      </c>
    </row>
    <row r="410" spans="1:10" x14ac:dyDescent="0.2">
      <c r="A410" s="71" t="s">
        <v>110</v>
      </c>
      <c r="B410" s="71" t="s">
        <v>83</v>
      </c>
      <c r="C410" s="60" t="s">
        <v>10</v>
      </c>
      <c r="D410" s="60" t="s">
        <v>344</v>
      </c>
      <c r="E410" s="45">
        <v>10021</v>
      </c>
      <c r="F410" s="45">
        <v>12190451.471999999</v>
      </c>
      <c r="G410" s="45">
        <v>10016</v>
      </c>
      <c r="H410" s="45">
        <v>11063510.338</v>
      </c>
      <c r="I410" s="45">
        <v>10020</v>
      </c>
      <c r="J410" s="45">
        <v>10420329.583000001</v>
      </c>
    </row>
    <row r="411" spans="1:10" x14ac:dyDescent="0.2">
      <c r="A411" s="71" t="s">
        <v>110</v>
      </c>
      <c r="B411" s="71" t="s">
        <v>257</v>
      </c>
      <c r="C411" s="60" t="s">
        <v>10</v>
      </c>
      <c r="D411" s="60" t="s">
        <v>345</v>
      </c>
      <c r="E411" s="45">
        <v>6978</v>
      </c>
      <c r="F411" s="45">
        <v>1104036.696</v>
      </c>
      <c r="G411" s="45">
        <v>6976</v>
      </c>
      <c r="H411" s="45">
        <v>1080835.46</v>
      </c>
      <c r="I411" s="45">
        <v>6981</v>
      </c>
      <c r="J411" s="45">
        <v>1038225.341</v>
      </c>
    </row>
    <row r="412" spans="1:10" x14ac:dyDescent="0.2">
      <c r="A412" s="71" t="s">
        <v>111</v>
      </c>
      <c r="B412" s="71" t="s">
        <v>83</v>
      </c>
      <c r="C412" s="60" t="s">
        <v>10</v>
      </c>
      <c r="D412" s="60" t="s">
        <v>344</v>
      </c>
      <c r="E412" s="45">
        <v>17686</v>
      </c>
      <c r="F412" s="45">
        <v>23634159.405000001</v>
      </c>
      <c r="G412" s="45">
        <v>17690</v>
      </c>
      <c r="H412" s="45">
        <v>20650336.173</v>
      </c>
      <c r="I412" s="45">
        <v>17716</v>
      </c>
      <c r="J412" s="45">
        <v>20888680.699000001</v>
      </c>
    </row>
    <row r="413" spans="1:10" x14ac:dyDescent="0.2">
      <c r="A413" s="71" t="s">
        <v>111</v>
      </c>
      <c r="B413" s="71" t="s">
        <v>257</v>
      </c>
      <c r="C413" s="60" t="s">
        <v>10</v>
      </c>
      <c r="D413" s="60" t="s">
        <v>345</v>
      </c>
      <c r="E413" s="45">
        <v>11937</v>
      </c>
      <c r="F413" s="45">
        <v>1571635.003</v>
      </c>
      <c r="G413" s="45">
        <v>11944</v>
      </c>
      <c r="H413" s="45">
        <v>1335443.1329999999</v>
      </c>
      <c r="I413" s="45">
        <v>11940</v>
      </c>
      <c r="J413" s="45">
        <v>1380394.216</v>
      </c>
    </row>
    <row r="414" spans="1:10" x14ac:dyDescent="0.2">
      <c r="A414" s="71" t="s">
        <v>264</v>
      </c>
      <c r="B414" s="71" t="s">
        <v>257</v>
      </c>
      <c r="C414" s="60" t="s">
        <v>10</v>
      </c>
      <c r="D414" s="60" t="s">
        <v>345</v>
      </c>
      <c r="E414" s="45">
        <v>3927</v>
      </c>
      <c r="F414" s="45">
        <v>385215.94300000003</v>
      </c>
      <c r="G414" s="45">
        <v>3931</v>
      </c>
      <c r="H414" s="45">
        <v>362211.67599999998</v>
      </c>
      <c r="I414" s="45">
        <v>3929</v>
      </c>
      <c r="J414" s="45">
        <v>398638.76</v>
      </c>
    </row>
    <row r="415" spans="1:10" x14ac:dyDescent="0.2">
      <c r="A415" s="71" t="s">
        <v>112</v>
      </c>
      <c r="B415" s="71" t="s">
        <v>83</v>
      </c>
      <c r="C415" s="60" t="s">
        <v>10</v>
      </c>
      <c r="D415" s="60" t="s">
        <v>344</v>
      </c>
      <c r="E415" s="45">
        <v>4396</v>
      </c>
      <c r="F415" s="45">
        <v>6939324.8550000004</v>
      </c>
      <c r="G415" s="45">
        <v>4394</v>
      </c>
      <c r="H415" s="45">
        <v>5872770.602</v>
      </c>
      <c r="I415" s="45">
        <v>4401</v>
      </c>
      <c r="J415" s="45">
        <v>6544871.3080000002</v>
      </c>
    </row>
    <row r="416" spans="1:10" x14ac:dyDescent="0.2">
      <c r="A416" s="71" t="s">
        <v>112</v>
      </c>
      <c r="B416" s="71" t="s">
        <v>257</v>
      </c>
      <c r="C416" s="60" t="s">
        <v>10</v>
      </c>
      <c r="D416" s="60" t="s">
        <v>345</v>
      </c>
      <c r="E416" s="45">
        <v>3297</v>
      </c>
      <c r="F416" s="45">
        <v>501770.891</v>
      </c>
      <c r="G416" s="45">
        <v>3297</v>
      </c>
      <c r="H416" s="45">
        <v>374349.42800000001</v>
      </c>
      <c r="I416" s="45">
        <v>3298</v>
      </c>
      <c r="J416" s="45">
        <v>439781.34899999999</v>
      </c>
    </row>
    <row r="417" spans="1:10" x14ac:dyDescent="0.2">
      <c r="A417" s="71" t="s">
        <v>113</v>
      </c>
      <c r="B417" s="71" t="s">
        <v>83</v>
      </c>
      <c r="C417" s="60" t="s">
        <v>10</v>
      </c>
      <c r="D417" s="60" t="s">
        <v>344</v>
      </c>
      <c r="E417" s="45">
        <v>2421</v>
      </c>
      <c r="F417" s="45">
        <v>2982223.801</v>
      </c>
      <c r="G417" s="45">
        <v>2423</v>
      </c>
      <c r="H417" s="45">
        <v>2604268.0269999998</v>
      </c>
      <c r="I417" s="45">
        <v>2422</v>
      </c>
      <c r="J417" s="45">
        <v>2623331.6290000002</v>
      </c>
    </row>
    <row r="418" spans="1:10" x14ac:dyDescent="0.2">
      <c r="A418" s="71" t="s">
        <v>113</v>
      </c>
      <c r="B418" s="71" t="s">
        <v>257</v>
      </c>
      <c r="C418" s="60" t="s">
        <v>10</v>
      </c>
      <c r="D418" s="60" t="s">
        <v>345</v>
      </c>
      <c r="E418" s="45">
        <v>1179</v>
      </c>
      <c r="F418" s="45">
        <v>122468.94500000001</v>
      </c>
      <c r="G418" s="45">
        <v>1180</v>
      </c>
      <c r="H418" s="45">
        <v>105205.36900000001</v>
      </c>
      <c r="I418" s="45">
        <v>1179</v>
      </c>
      <c r="J418" s="45">
        <v>113777.196</v>
      </c>
    </row>
    <row r="419" spans="1:10" x14ac:dyDescent="0.2">
      <c r="A419" s="71" t="s">
        <v>114</v>
      </c>
      <c r="B419" s="71" t="s">
        <v>83</v>
      </c>
      <c r="C419" s="60" t="s">
        <v>10</v>
      </c>
      <c r="D419" s="60" t="s">
        <v>344</v>
      </c>
      <c r="E419" s="45">
        <v>151</v>
      </c>
      <c r="F419" s="45">
        <v>424597</v>
      </c>
      <c r="G419" s="45">
        <v>151</v>
      </c>
      <c r="H419" s="45">
        <v>338641</v>
      </c>
      <c r="I419" s="45">
        <v>151</v>
      </c>
      <c r="J419" s="45">
        <v>349718.44</v>
      </c>
    </row>
    <row r="420" spans="1:10" x14ac:dyDescent="0.2">
      <c r="A420" s="71" t="s">
        <v>115</v>
      </c>
      <c r="B420" s="71" t="s">
        <v>83</v>
      </c>
      <c r="C420" s="60" t="s">
        <v>10</v>
      </c>
      <c r="D420" s="60" t="s">
        <v>344</v>
      </c>
      <c r="E420" s="45">
        <v>1436</v>
      </c>
      <c r="F420" s="45">
        <v>3342346.949</v>
      </c>
      <c r="G420" s="45">
        <v>1438</v>
      </c>
      <c r="H420" s="45">
        <v>2798468.7940000002</v>
      </c>
      <c r="I420" s="45">
        <v>1439</v>
      </c>
      <c r="J420" s="45">
        <v>2883342.0219999999</v>
      </c>
    </row>
    <row r="421" spans="1:10" x14ac:dyDescent="0.2">
      <c r="A421" s="71" t="s">
        <v>115</v>
      </c>
      <c r="B421" s="71" t="s">
        <v>257</v>
      </c>
      <c r="C421" s="60" t="s">
        <v>10</v>
      </c>
      <c r="D421" s="60" t="s">
        <v>345</v>
      </c>
      <c r="E421" s="45">
        <v>7</v>
      </c>
      <c r="F421" s="45">
        <v>1073.248</v>
      </c>
      <c r="G421" s="45">
        <v>7</v>
      </c>
      <c r="H421" s="45">
        <v>864.65899999999999</v>
      </c>
      <c r="I421" s="45">
        <v>7</v>
      </c>
      <c r="J421" s="45">
        <v>1004.568</v>
      </c>
    </row>
    <row r="422" spans="1:10" x14ac:dyDescent="0.2">
      <c r="A422" s="71" t="s">
        <v>116</v>
      </c>
      <c r="B422" s="71" t="s">
        <v>83</v>
      </c>
      <c r="C422" s="60" t="s">
        <v>10</v>
      </c>
      <c r="D422" s="60" t="s">
        <v>344</v>
      </c>
      <c r="E422" s="45">
        <v>34556</v>
      </c>
      <c r="F422" s="45">
        <v>31205755.090999998</v>
      </c>
      <c r="G422" s="45">
        <v>34559</v>
      </c>
      <c r="H422" s="45">
        <v>27837513.936999999</v>
      </c>
      <c r="I422" s="45">
        <v>34756</v>
      </c>
      <c r="J422" s="45">
        <v>30082537.232999999</v>
      </c>
    </row>
    <row r="423" spans="1:10" x14ac:dyDescent="0.2">
      <c r="A423" s="71" t="s">
        <v>116</v>
      </c>
      <c r="B423" s="71" t="s">
        <v>257</v>
      </c>
      <c r="C423" s="60" t="s">
        <v>10</v>
      </c>
      <c r="D423" s="60" t="s">
        <v>345</v>
      </c>
      <c r="E423" s="45">
        <v>14473</v>
      </c>
      <c r="F423" s="45">
        <v>1828968.496</v>
      </c>
      <c r="G423" s="45">
        <v>14476</v>
      </c>
      <c r="H423" s="45">
        <v>1677918.5179999999</v>
      </c>
      <c r="I423" s="45">
        <v>14476</v>
      </c>
      <c r="J423" s="45">
        <v>1864379.571</v>
      </c>
    </row>
    <row r="424" spans="1:10" x14ac:dyDescent="0.2">
      <c r="A424" s="71" t="s">
        <v>117</v>
      </c>
      <c r="B424" s="71" t="s">
        <v>83</v>
      </c>
      <c r="C424" s="60" t="s">
        <v>10</v>
      </c>
      <c r="D424" s="60" t="s">
        <v>344</v>
      </c>
      <c r="E424" s="45">
        <v>7300</v>
      </c>
      <c r="F424" s="45">
        <v>8336504.4189999998</v>
      </c>
      <c r="G424" s="45">
        <v>7303</v>
      </c>
      <c r="H424" s="45">
        <v>8146137.4160000002</v>
      </c>
      <c r="I424" s="45">
        <v>7303</v>
      </c>
      <c r="J424" s="45">
        <v>7864698.585</v>
      </c>
    </row>
    <row r="425" spans="1:10" x14ac:dyDescent="0.2">
      <c r="A425" s="71" t="s">
        <v>117</v>
      </c>
      <c r="B425" s="71" t="s">
        <v>257</v>
      </c>
      <c r="C425" s="60" t="s">
        <v>10</v>
      </c>
      <c r="D425" s="60" t="s">
        <v>345</v>
      </c>
      <c r="E425" s="45">
        <v>6647</v>
      </c>
      <c r="F425" s="45">
        <v>1021254.365</v>
      </c>
      <c r="G425" s="45">
        <v>6644</v>
      </c>
      <c r="H425" s="45">
        <v>915996.21699999995</v>
      </c>
      <c r="I425" s="45">
        <v>6648</v>
      </c>
      <c r="J425" s="45">
        <v>990512.84199999995</v>
      </c>
    </row>
    <row r="426" spans="1:10" x14ac:dyDescent="0.2">
      <c r="A426" s="71" t="s">
        <v>118</v>
      </c>
      <c r="B426" s="71" t="s">
        <v>83</v>
      </c>
      <c r="C426" s="60" t="s">
        <v>10</v>
      </c>
      <c r="D426" s="60" t="s">
        <v>344</v>
      </c>
      <c r="E426" s="45">
        <v>9785</v>
      </c>
      <c r="F426" s="45">
        <v>9343303.3399999999</v>
      </c>
      <c r="G426" s="45">
        <v>9787</v>
      </c>
      <c r="H426" s="45">
        <v>9453801.818</v>
      </c>
      <c r="I426" s="45">
        <v>9784</v>
      </c>
      <c r="J426" s="45">
        <v>8622106.1239999998</v>
      </c>
    </row>
    <row r="427" spans="1:10" x14ac:dyDescent="0.2">
      <c r="A427" s="71" t="s">
        <v>118</v>
      </c>
      <c r="B427" s="71" t="s">
        <v>257</v>
      </c>
      <c r="C427" s="60" t="s">
        <v>10</v>
      </c>
      <c r="D427" s="60" t="s">
        <v>345</v>
      </c>
      <c r="E427" s="45">
        <v>4740</v>
      </c>
      <c r="F427" s="45">
        <v>490555.016</v>
      </c>
      <c r="G427" s="45">
        <v>4746</v>
      </c>
      <c r="H427" s="45">
        <v>528907.27800000005</v>
      </c>
      <c r="I427" s="45">
        <v>4747</v>
      </c>
      <c r="J427" s="45">
        <v>445503.467</v>
      </c>
    </row>
    <row r="428" spans="1:10" x14ac:dyDescent="0.2">
      <c r="A428" s="71" t="s">
        <v>119</v>
      </c>
      <c r="B428" s="71" t="s">
        <v>83</v>
      </c>
      <c r="C428" s="60" t="s">
        <v>10</v>
      </c>
      <c r="D428" s="60" t="s">
        <v>344</v>
      </c>
      <c r="E428" s="45">
        <v>14694</v>
      </c>
      <c r="F428" s="45">
        <v>13404916.038000001</v>
      </c>
      <c r="G428" s="45">
        <v>14709</v>
      </c>
      <c r="H428" s="45">
        <v>14582205.062999999</v>
      </c>
      <c r="I428" s="45">
        <v>14721</v>
      </c>
      <c r="J428" s="45">
        <v>12778925.063999999</v>
      </c>
    </row>
    <row r="429" spans="1:10" x14ac:dyDescent="0.2">
      <c r="A429" s="71" t="s">
        <v>119</v>
      </c>
      <c r="B429" s="71" t="s">
        <v>257</v>
      </c>
      <c r="C429" s="60" t="s">
        <v>10</v>
      </c>
      <c r="D429" s="60" t="s">
        <v>345</v>
      </c>
      <c r="E429" s="45">
        <v>8192</v>
      </c>
      <c r="F429" s="45">
        <v>827493.83400000003</v>
      </c>
      <c r="G429" s="45">
        <v>8199</v>
      </c>
      <c r="H429" s="45">
        <v>974680.52800000005</v>
      </c>
      <c r="I429" s="45">
        <v>8200</v>
      </c>
      <c r="J429" s="45">
        <v>778461.69</v>
      </c>
    </row>
    <row r="430" spans="1:10" x14ac:dyDescent="0.2">
      <c r="A430" s="71" t="s">
        <v>120</v>
      </c>
      <c r="B430" s="71" t="s">
        <v>83</v>
      </c>
      <c r="C430" s="60" t="s">
        <v>10</v>
      </c>
      <c r="D430" s="60" t="s">
        <v>344</v>
      </c>
      <c r="E430" s="45">
        <v>6194</v>
      </c>
      <c r="F430" s="45">
        <v>4958902.1720000003</v>
      </c>
      <c r="G430" s="45">
        <v>6201</v>
      </c>
      <c r="H430" s="45">
        <v>5432915.2319999998</v>
      </c>
      <c r="I430" s="45">
        <v>6191</v>
      </c>
      <c r="J430" s="45">
        <v>4594740.3370000003</v>
      </c>
    </row>
    <row r="431" spans="1:10" x14ac:dyDescent="0.2">
      <c r="A431" s="71" t="s">
        <v>120</v>
      </c>
      <c r="B431" s="71" t="s">
        <v>257</v>
      </c>
      <c r="C431" s="60" t="s">
        <v>10</v>
      </c>
      <c r="D431" s="60" t="s">
        <v>345</v>
      </c>
      <c r="E431" s="45">
        <v>1596</v>
      </c>
      <c r="F431" s="45">
        <v>139621.51300000001</v>
      </c>
      <c r="G431" s="45">
        <v>1599</v>
      </c>
      <c r="H431" s="45">
        <v>164886.851</v>
      </c>
      <c r="I431" s="45">
        <v>1596</v>
      </c>
      <c r="J431" s="45">
        <v>128522.88</v>
      </c>
    </row>
    <row r="432" spans="1:10" x14ac:dyDescent="0.2">
      <c r="A432" s="71" t="s">
        <v>121</v>
      </c>
      <c r="B432" s="71" t="s">
        <v>83</v>
      </c>
      <c r="C432" s="60" t="s">
        <v>10</v>
      </c>
      <c r="D432" s="60" t="s">
        <v>344</v>
      </c>
      <c r="E432" s="45">
        <v>16389</v>
      </c>
      <c r="F432" s="45">
        <v>18196997.813000001</v>
      </c>
      <c r="G432" s="45">
        <v>16388</v>
      </c>
      <c r="H432" s="45">
        <v>16990845.515999999</v>
      </c>
      <c r="I432" s="45">
        <v>16402</v>
      </c>
      <c r="J432" s="45">
        <v>15912684.4</v>
      </c>
    </row>
    <row r="433" spans="1:10" x14ac:dyDescent="0.2">
      <c r="A433" s="71" t="s">
        <v>121</v>
      </c>
      <c r="B433" s="71" t="s">
        <v>257</v>
      </c>
      <c r="C433" s="60" t="s">
        <v>10</v>
      </c>
      <c r="D433" s="60" t="s">
        <v>345</v>
      </c>
      <c r="E433" s="45">
        <v>10520</v>
      </c>
      <c r="F433" s="45">
        <v>1252152.2379999999</v>
      </c>
      <c r="G433" s="45">
        <v>10534</v>
      </c>
      <c r="H433" s="45">
        <v>1264858.4010000001</v>
      </c>
      <c r="I433" s="45">
        <v>10533</v>
      </c>
      <c r="J433" s="45">
        <v>1075330.1359999999</v>
      </c>
    </row>
    <row r="434" spans="1:10" x14ac:dyDescent="0.2">
      <c r="A434" s="71" t="s">
        <v>122</v>
      </c>
      <c r="B434" s="71" t="s">
        <v>83</v>
      </c>
      <c r="C434" s="60" t="s">
        <v>10</v>
      </c>
      <c r="D434" s="60" t="s">
        <v>344</v>
      </c>
      <c r="E434" s="45">
        <v>15371</v>
      </c>
      <c r="F434" s="45">
        <v>16147914.126</v>
      </c>
      <c r="G434" s="45">
        <v>15379</v>
      </c>
      <c r="H434" s="45">
        <v>16141356.213</v>
      </c>
      <c r="I434" s="45">
        <v>15387</v>
      </c>
      <c r="J434" s="45">
        <v>14703836.961999999</v>
      </c>
    </row>
    <row r="435" spans="1:10" x14ac:dyDescent="0.2">
      <c r="A435" s="71" t="s">
        <v>122</v>
      </c>
      <c r="B435" s="71" t="s">
        <v>257</v>
      </c>
      <c r="C435" s="60" t="s">
        <v>10</v>
      </c>
      <c r="D435" s="60" t="s">
        <v>345</v>
      </c>
      <c r="E435" s="45">
        <v>10482</v>
      </c>
      <c r="F435" s="45">
        <v>1239832.1980000001</v>
      </c>
      <c r="G435" s="45">
        <v>10490</v>
      </c>
      <c r="H435" s="45">
        <v>1353344.148</v>
      </c>
      <c r="I435" s="45">
        <v>10498</v>
      </c>
      <c r="J435" s="45">
        <v>1117497.2</v>
      </c>
    </row>
    <row r="436" spans="1:10" x14ac:dyDescent="0.2">
      <c r="A436" s="71" t="s">
        <v>123</v>
      </c>
      <c r="B436" s="71" t="s">
        <v>83</v>
      </c>
      <c r="C436" s="60" t="s">
        <v>10</v>
      </c>
      <c r="D436" s="60" t="s">
        <v>344</v>
      </c>
      <c r="E436" s="45">
        <v>5637</v>
      </c>
      <c r="F436" s="45">
        <v>6810001.2999999998</v>
      </c>
      <c r="G436" s="45">
        <v>5638</v>
      </c>
      <c r="H436" s="45">
        <v>5301409.55</v>
      </c>
      <c r="I436" s="45">
        <v>5637</v>
      </c>
      <c r="J436" s="45">
        <v>5589016.6140000001</v>
      </c>
    </row>
    <row r="437" spans="1:10" x14ac:dyDescent="0.2">
      <c r="A437" s="71" t="s">
        <v>123</v>
      </c>
      <c r="B437" s="71" t="s">
        <v>257</v>
      </c>
      <c r="C437" s="60" t="s">
        <v>10</v>
      </c>
      <c r="D437" s="60" t="s">
        <v>345</v>
      </c>
      <c r="E437" s="45">
        <v>4345</v>
      </c>
      <c r="F437" s="45">
        <v>611837.06999999995</v>
      </c>
      <c r="G437" s="45">
        <v>4347</v>
      </c>
      <c r="H437" s="45">
        <v>426071.39399999997</v>
      </c>
      <c r="I437" s="45">
        <v>4348</v>
      </c>
      <c r="J437" s="45">
        <v>481886.59399999998</v>
      </c>
    </row>
    <row r="438" spans="1:10" x14ac:dyDescent="0.2">
      <c r="A438" s="71" t="s">
        <v>124</v>
      </c>
      <c r="B438" s="71" t="s">
        <v>83</v>
      </c>
      <c r="C438" s="60" t="s">
        <v>10</v>
      </c>
      <c r="D438" s="60" t="s">
        <v>344</v>
      </c>
      <c r="E438" s="45">
        <v>888</v>
      </c>
      <c r="F438" s="45">
        <v>1592178.1510000001</v>
      </c>
      <c r="G438" s="45">
        <v>889</v>
      </c>
      <c r="H438" s="45">
        <v>764469.33299999998</v>
      </c>
      <c r="I438" s="45">
        <v>891</v>
      </c>
      <c r="J438" s="45">
        <v>1567920.254</v>
      </c>
    </row>
    <row r="439" spans="1:10" x14ac:dyDescent="0.2">
      <c r="A439" s="71" t="s">
        <v>125</v>
      </c>
      <c r="B439" s="71" t="s">
        <v>83</v>
      </c>
      <c r="C439" s="60" t="s">
        <v>10</v>
      </c>
      <c r="D439" s="60" t="s">
        <v>344</v>
      </c>
      <c r="E439" s="45">
        <v>5524</v>
      </c>
      <c r="F439" s="45">
        <v>8865011.5820000004</v>
      </c>
      <c r="G439" s="45">
        <v>5531</v>
      </c>
      <c r="H439" s="45">
        <v>9125571.9189999998</v>
      </c>
      <c r="I439" s="45">
        <v>5528</v>
      </c>
      <c r="J439" s="45">
        <v>7900423.8250000002</v>
      </c>
    </row>
    <row r="440" spans="1:10" x14ac:dyDescent="0.2">
      <c r="A440" s="71" t="s">
        <v>125</v>
      </c>
      <c r="B440" s="71" t="s">
        <v>257</v>
      </c>
      <c r="C440" s="60" t="s">
        <v>10</v>
      </c>
      <c r="D440" s="60" t="s">
        <v>345</v>
      </c>
      <c r="E440" s="45">
        <v>1443</v>
      </c>
      <c r="F440" s="45">
        <v>136359.49</v>
      </c>
      <c r="G440" s="45">
        <v>1443</v>
      </c>
      <c r="H440" s="45">
        <v>147582.193</v>
      </c>
      <c r="I440" s="45">
        <v>1443</v>
      </c>
      <c r="J440" s="45">
        <v>120819.181</v>
      </c>
    </row>
    <row r="441" spans="1:10" x14ac:dyDescent="0.2">
      <c r="A441" s="71" t="s">
        <v>126</v>
      </c>
      <c r="B441" s="71" t="s">
        <v>83</v>
      </c>
      <c r="C441" s="60" t="s">
        <v>10</v>
      </c>
      <c r="D441" s="60" t="s">
        <v>344</v>
      </c>
      <c r="E441" s="45">
        <v>9058</v>
      </c>
      <c r="F441" s="45">
        <v>9852443.693</v>
      </c>
      <c r="G441" s="45">
        <v>9058</v>
      </c>
      <c r="H441" s="45">
        <v>9212845.0649999995</v>
      </c>
      <c r="I441" s="45">
        <v>9063</v>
      </c>
      <c r="J441" s="45">
        <v>9664454.1710000001</v>
      </c>
    </row>
    <row r="442" spans="1:10" x14ac:dyDescent="0.2">
      <c r="A442" s="71" t="s">
        <v>126</v>
      </c>
      <c r="B442" s="71" t="s">
        <v>257</v>
      </c>
      <c r="C442" s="60" t="s">
        <v>10</v>
      </c>
      <c r="D442" s="60" t="s">
        <v>345</v>
      </c>
      <c r="E442" s="45">
        <v>6411</v>
      </c>
      <c r="F442" s="45">
        <v>961454.51</v>
      </c>
      <c r="G442" s="45">
        <v>6411</v>
      </c>
      <c r="H442" s="45">
        <v>887482.13600000006</v>
      </c>
      <c r="I442" s="45">
        <v>6415</v>
      </c>
      <c r="J442" s="45">
        <v>1013261.868</v>
      </c>
    </row>
    <row r="443" spans="1:10" x14ac:dyDescent="0.2">
      <c r="A443" s="71" t="s">
        <v>127</v>
      </c>
      <c r="B443" s="71" t="s">
        <v>83</v>
      </c>
      <c r="C443" s="60" t="s">
        <v>10</v>
      </c>
      <c r="D443" s="60" t="s">
        <v>344</v>
      </c>
      <c r="E443" s="45">
        <v>10399</v>
      </c>
      <c r="F443" s="45">
        <v>10760059.380000001</v>
      </c>
      <c r="G443" s="45">
        <v>10396</v>
      </c>
      <c r="H443" s="45">
        <v>9990744.5720000006</v>
      </c>
      <c r="I443" s="45">
        <v>10406</v>
      </c>
      <c r="J443" s="45">
        <v>9338466.6830000002</v>
      </c>
    </row>
    <row r="444" spans="1:10" x14ac:dyDescent="0.2">
      <c r="A444" s="71" t="s">
        <v>127</v>
      </c>
      <c r="B444" s="71" t="s">
        <v>257</v>
      </c>
      <c r="C444" s="60" t="s">
        <v>10</v>
      </c>
      <c r="D444" s="60" t="s">
        <v>345</v>
      </c>
      <c r="E444" s="45">
        <v>9578</v>
      </c>
      <c r="F444" s="45">
        <v>1550976.5830000001</v>
      </c>
      <c r="G444" s="45">
        <v>9578</v>
      </c>
      <c r="H444" s="45">
        <v>1347148.5959999999</v>
      </c>
      <c r="I444" s="45">
        <v>9586</v>
      </c>
      <c r="J444" s="45">
        <v>1415209.9129999999</v>
      </c>
    </row>
    <row r="445" spans="1:10" x14ac:dyDescent="0.2">
      <c r="A445" s="71" t="s">
        <v>128</v>
      </c>
      <c r="B445" s="71" t="s">
        <v>83</v>
      </c>
      <c r="C445" s="60" t="s">
        <v>10</v>
      </c>
      <c r="D445" s="60" t="s">
        <v>344</v>
      </c>
      <c r="E445" s="45">
        <v>8558</v>
      </c>
      <c r="F445" s="45">
        <v>9769757.4069999997</v>
      </c>
      <c r="G445" s="45">
        <v>8566</v>
      </c>
      <c r="H445" s="45">
        <v>8861866.7249999996</v>
      </c>
      <c r="I445" s="45">
        <v>8568</v>
      </c>
      <c r="J445" s="45">
        <v>8289058.6749999998</v>
      </c>
    </row>
    <row r="446" spans="1:10" x14ac:dyDescent="0.2">
      <c r="A446" s="71" t="s">
        <v>128</v>
      </c>
      <c r="B446" s="71" t="s">
        <v>257</v>
      </c>
      <c r="C446" s="60" t="s">
        <v>10</v>
      </c>
      <c r="D446" s="60" t="s">
        <v>345</v>
      </c>
      <c r="E446" s="45">
        <v>7862</v>
      </c>
      <c r="F446" s="45">
        <v>1361106.9720000001</v>
      </c>
      <c r="G446" s="45">
        <v>7873</v>
      </c>
      <c r="H446" s="45">
        <v>1185318.179</v>
      </c>
      <c r="I446" s="45">
        <v>7874</v>
      </c>
      <c r="J446" s="45">
        <v>1225009.7549999999</v>
      </c>
    </row>
    <row r="447" spans="1:10" x14ac:dyDescent="0.2">
      <c r="A447" s="71" t="s">
        <v>129</v>
      </c>
      <c r="B447" s="71" t="s">
        <v>83</v>
      </c>
      <c r="C447" s="60" t="s">
        <v>10</v>
      </c>
      <c r="D447" s="60" t="s">
        <v>344</v>
      </c>
      <c r="E447" s="45">
        <v>4356</v>
      </c>
      <c r="F447" s="45">
        <v>6824658.1660000002</v>
      </c>
      <c r="G447" s="45">
        <v>4355</v>
      </c>
      <c r="H447" s="45">
        <v>6029655.0700000003</v>
      </c>
      <c r="I447" s="45">
        <v>4356</v>
      </c>
      <c r="J447" s="45">
        <v>6519756.8909999998</v>
      </c>
    </row>
    <row r="448" spans="1:10" x14ac:dyDescent="0.2">
      <c r="A448" s="71" t="s">
        <v>129</v>
      </c>
      <c r="B448" s="71" t="s">
        <v>257</v>
      </c>
      <c r="C448" s="60" t="s">
        <v>10</v>
      </c>
      <c r="D448" s="60" t="s">
        <v>345</v>
      </c>
      <c r="E448" s="45">
        <v>3884</v>
      </c>
      <c r="F448" s="45">
        <v>722994.69499999995</v>
      </c>
      <c r="G448" s="45">
        <v>3886</v>
      </c>
      <c r="H448" s="45">
        <v>606258.07900000003</v>
      </c>
      <c r="I448" s="45">
        <v>3887</v>
      </c>
      <c r="J448" s="45">
        <v>728906.98600000003</v>
      </c>
    </row>
    <row r="449" spans="1:10" x14ac:dyDescent="0.2">
      <c r="A449" s="71" t="s">
        <v>265</v>
      </c>
      <c r="B449" s="71" t="s">
        <v>257</v>
      </c>
      <c r="C449" s="60" t="s">
        <v>10</v>
      </c>
      <c r="D449" s="60" t="s">
        <v>345</v>
      </c>
      <c r="E449" s="45">
        <v>7100</v>
      </c>
      <c r="F449" s="45">
        <v>686411.37600000005</v>
      </c>
      <c r="G449" s="45">
        <v>7125</v>
      </c>
      <c r="H449" s="45">
        <v>673571.16700000002</v>
      </c>
      <c r="I449" s="45">
        <v>7141</v>
      </c>
      <c r="J449" s="45">
        <v>680937.46699999995</v>
      </c>
    </row>
    <row r="450" spans="1:10" x14ac:dyDescent="0.2">
      <c r="A450" s="71" t="s">
        <v>130</v>
      </c>
      <c r="B450" s="71" t="s">
        <v>83</v>
      </c>
      <c r="C450" s="60" t="s">
        <v>10</v>
      </c>
      <c r="D450" s="60" t="s">
        <v>344</v>
      </c>
      <c r="E450" s="45">
        <v>17439</v>
      </c>
      <c r="F450" s="45">
        <v>23175326.368999999</v>
      </c>
      <c r="G450" s="45">
        <v>17434</v>
      </c>
      <c r="H450" s="45">
        <v>19988739.316</v>
      </c>
      <c r="I450" s="45">
        <v>17435</v>
      </c>
      <c r="J450" s="45">
        <v>20803522.581</v>
      </c>
    </row>
    <row r="451" spans="1:10" x14ac:dyDescent="0.2">
      <c r="A451" s="71" t="s">
        <v>130</v>
      </c>
      <c r="B451" s="71" t="s">
        <v>257</v>
      </c>
      <c r="C451" s="60" t="s">
        <v>10</v>
      </c>
      <c r="D451" s="60" t="s">
        <v>345</v>
      </c>
      <c r="E451" s="45">
        <v>9932</v>
      </c>
      <c r="F451" s="45">
        <v>1319749.683</v>
      </c>
      <c r="G451" s="45">
        <v>9932</v>
      </c>
      <c r="H451" s="45">
        <v>1099247.7960000001</v>
      </c>
      <c r="I451" s="45">
        <v>9935</v>
      </c>
      <c r="J451" s="45">
        <v>1228135.375</v>
      </c>
    </row>
    <row r="452" spans="1:10" x14ac:dyDescent="0.2">
      <c r="A452" s="71" t="s">
        <v>266</v>
      </c>
      <c r="B452" s="71" t="s">
        <v>257</v>
      </c>
      <c r="C452" s="60" t="s">
        <v>10</v>
      </c>
      <c r="D452" s="60" t="s">
        <v>345</v>
      </c>
      <c r="E452" s="45">
        <v>135</v>
      </c>
      <c r="F452" s="45">
        <v>3080.3069999999998</v>
      </c>
      <c r="G452" s="45">
        <v>135</v>
      </c>
      <c r="H452" s="45">
        <v>2538.4740000000002</v>
      </c>
      <c r="I452" s="45">
        <v>135</v>
      </c>
      <c r="J452" s="45">
        <v>2316.9160000000002</v>
      </c>
    </row>
    <row r="453" spans="1:10" x14ac:dyDescent="0.2">
      <c r="A453" s="71" t="s">
        <v>267</v>
      </c>
      <c r="B453" s="71" t="s">
        <v>257</v>
      </c>
      <c r="C453" s="60" t="s">
        <v>10</v>
      </c>
      <c r="D453" s="60" t="s">
        <v>345</v>
      </c>
      <c r="E453" s="45">
        <v>3501</v>
      </c>
      <c r="F453" s="45">
        <v>302796.12300000002</v>
      </c>
      <c r="G453" s="45">
        <v>3516</v>
      </c>
      <c r="H453" s="45">
        <v>277332.16200000001</v>
      </c>
      <c r="I453" s="45">
        <v>3512</v>
      </c>
      <c r="J453" s="45">
        <v>284150.38099999999</v>
      </c>
    </row>
    <row r="454" spans="1:10" x14ac:dyDescent="0.2">
      <c r="A454" s="71" t="s">
        <v>268</v>
      </c>
      <c r="B454" s="71" t="s">
        <v>257</v>
      </c>
      <c r="C454" s="60" t="s">
        <v>10</v>
      </c>
      <c r="D454" s="60" t="s">
        <v>345</v>
      </c>
      <c r="E454" s="45">
        <v>12139</v>
      </c>
      <c r="F454" s="45">
        <v>980301.39099999995</v>
      </c>
      <c r="G454" s="45">
        <v>12151</v>
      </c>
      <c r="H454" s="45">
        <v>910694.36</v>
      </c>
      <c r="I454" s="45">
        <v>12161</v>
      </c>
      <c r="J454" s="45">
        <v>947379.91200000001</v>
      </c>
    </row>
    <row r="455" spans="1:10" x14ac:dyDescent="0.2">
      <c r="A455" s="71" t="s">
        <v>269</v>
      </c>
      <c r="B455" s="71" t="s">
        <v>257</v>
      </c>
      <c r="C455" s="60" t="s">
        <v>10</v>
      </c>
      <c r="D455" s="60" t="s">
        <v>345</v>
      </c>
      <c r="E455" s="45">
        <v>137</v>
      </c>
      <c r="F455" s="45">
        <v>6856.2640000000001</v>
      </c>
      <c r="G455" s="45">
        <v>138</v>
      </c>
      <c r="H455" s="45">
        <v>5763.0020000000004</v>
      </c>
      <c r="I455" s="45">
        <v>138</v>
      </c>
      <c r="J455" s="45">
        <v>6188.643</v>
      </c>
    </row>
    <row r="456" spans="1:10" x14ac:dyDescent="0.2">
      <c r="A456" s="71" t="s">
        <v>270</v>
      </c>
      <c r="B456" s="71" t="s">
        <v>257</v>
      </c>
      <c r="C456" s="60" t="s">
        <v>10</v>
      </c>
      <c r="D456" s="60" t="s">
        <v>345</v>
      </c>
      <c r="E456" s="45">
        <v>6409</v>
      </c>
      <c r="F456" s="45">
        <v>732706.26199999999</v>
      </c>
      <c r="G456" s="45">
        <v>6449</v>
      </c>
      <c r="H456" s="45">
        <v>641514.86</v>
      </c>
      <c r="I456" s="45">
        <v>6459</v>
      </c>
      <c r="J456" s="45">
        <v>699168.255</v>
      </c>
    </row>
    <row r="457" spans="1:10" x14ac:dyDescent="0.2">
      <c r="A457" s="71" t="s">
        <v>271</v>
      </c>
      <c r="B457" s="71" t="s">
        <v>257</v>
      </c>
      <c r="C457" s="60" t="s">
        <v>10</v>
      </c>
      <c r="D457" s="60" t="s">
        <v>345</v>
      </c>
      <c r="E457" s="45">
        <v>4478</v>
      </c>
      <c r="F457" s="45">
        <v>340890.06900000002</v>
      </c>
      <c r="G457" s="45">
        <v>4487</v>
      </c>
      <c r="H457" s="45">
        <v>318278.908</v>
      </c>
      <c r="I457" s="45">
        <v>4492</v>
      </c>
      <c r="J457" s="45">
        <v>361293.36499999999</v>
      </c>
    </row>
    <row r="458" spans="1:10" x14ac:dyDescent="0.2">
      <c r="A458" s="71" t="s">
        <v>272</v>
      </c>
      <c r="B458" s="71" t="s">
        <v>257</v>
      </c>
      <c r="C458" s="60" t="s">
        <v>10</v>
      </c>
      <c r="D458" s="60" t="s">
        <v>345</v>
      </c>
      <c r="E458" s="45">
        <v>5453</v>
      </c>
      <c r="F458" s="45">
        <v>364290.79200000002</v>
      </c>
      <c r="G458" s="45">
        <v>5469</v>
      </c>
      <c r="H458" s="45">
        <v>334568.27</v>
      </c>
      <c r="I458" s="45">
        <v>5489</v>
      </c>
      <c r="J458" s="45">
        <v>327661.20500000002</v>
      </c>
    </row>
    <row r="459" spans="1:10" x14ac:dyDescent="0.2">
      <c r="A459" s="71" t="s">
        <v>273</v>
      </c>
      <c r="B459" s="71" t="s">
        <v>257</v>
      </c>
      <c r="C459" s="60" t="s">
        <v>10</v>
      </c>
      <c r="D459" s="60" t="s">
        <v>345</v>
      </c>
      <c r="E459" s="45">
        <v>4654</v>
      </c>
      <c r="F459" s="45">
        <v>387040.19400000002</v>
      </c>
      <c r="G459" s="45">
        <v>4656</v>
      </c>
      <c r="H459" s="45">
        <v>366863.38</v>
      </c>
      <c r="I459" s="45">
        <v>4652</v>
      </c>
      <c r="J459" s="45">
        <v>356696.098</v>
      </c>
    </row>
    <row r="460" spans="1:10" x14ac:dyDescent="0.2">
      <c r="A460" s="71" t="s">
        <v>274</v>
      </c>
      <c r="B460" s="71" t="s">
        <v>257</v>
      </c>
      <c r="C460" s="60" t="s">
        <v>10</v>
      </c>
      <c r="D460" s="60" t="s">
        <v>345</v>
      </c>
      <c r="E460" s="45">
        <v>3242</v>
      </c>
      <c r="F460" s="45">
        <v>241972.38800000001</v>
      </c>
      <c r="G460" s="45">
        <v>3240</v>
      </c>
      <c r="H460" s="45">
        <v>276404.88299999997</v>
      </c>
      <c r="I460" s="45">
        <v>3245</v>
      </c>
      <c r="J460" s="45">
        <v>233916.28400000001</v>
      </c>
    </row>
    <row r="461" spans="1:10" x14ac:dyDescent="0.2">
      <c r="A461" s="71" t="s">
        <v>131</v>
      </c>
      <c r="B461" s="71" t="s">
        <v>83</v>
      </c>
      <c r="C461" s="60" t="s">
        <v>10</v>
      </c>
      <c r="D461" s="60" t="s">
        <v>344</v>
      </c>
      <c r="E461" s="45">
        <v>11155</v>
      </c>
      <c r="F461" s="45">
        <v>23670643.353</v>
      </c>
      <c r="G461" s="45">
        <v>11159</v>
      </c>
      <c r="H461" s="45">
        <v>21287144.745999999</v>
      </c>
      <c r="I461" s="45">
        <v>11164</v>
      </c>
      <c r="J461" s="45">
        <v>21558966.809999999</v>
      </c>
    </row>
    <row r="462" spans="1:10" x14ac:dyDescent="0.2">
      <c r="A462" s="71" t="s">
        <v>275</v>
      </c>
      <c r="B462" s="71" t="s">
        <v>257</v>
      </c>
      <c r="C462" s="60" t="s">
        <v>10</v>
      </c>
      <c r="D462" s="60" t="s">
        <v>345</v>
      </c>
      <c r="E462" s="45">
        <v>6287</v>
      </c>
      <c r="F462" s="45">
        <v>933400.16700000002</v>
      </c>
      <c r="G462" s="45">
        <v>6295</v>
      </c>
      <c r="H462" s="45">
        <v>661938.50199999998</v>
      </c>
      <c r="I462" s="45">
        <v>6304</v>
      </c>
      <c r="J462" s="45">
        <v>756095.27599999995</v>
      </c>
    </row>
    <row r="463" spans="1:10" x14ac:dyDescent="0.2">
      <c r="A463" s="71" t="s">
        <v>276</v>
      </c>
      <c r="B463" s="71" t="s">
        <v>257</v>
      </c>
      <c r="C463" s="60" t="s">
        <v>10</v>
      </c>
      <c r="D463" s="60" t="s">
        <v>345</v>
      </c>
      <c r="E463" s="45">
        <v>11756</v>
      </c>
      <c r="F463" s="45">
        <v>1231379.068</v>
      </c>
      <c r="G463" s="45">
        <v>11785</v>
      </c>
      <c r="H463" s="45">
        <v>1063301.3219999999</v>
      </c>
      <c r="I463" s="45">
        <v>11814</v>
      </c>
      <c r="J463" s="45">
        <v>1184663.763</v>
      </c>
    </row>
    <row r="464" spans="1:10" x14ac:dyDescent="0.2">
      <c r="A464" s="71" t="s">
        <v>277</v>
      </c>
      <c r="B464" s="71" t="s">
        <v>257</v>
      </c>
      <c r="C464" s="60" t="s">
        <v>10</v>
      </c>
      <c r="D464" s="60" t="s">
        <v>345</v>
      </c>
      <c r="E464" s="45">
        <v>6348</v>
      </c>
      <c r="F464" s="45">
        <v>584584.103</v>
      </c>
      <c r="G464" s="45">
        <v>6358</v>
      </c>
      <c r="H464" s="45">
        <v>553814.29</v>
      </c>
      <c r="I464" s="45">
        <v>6365</v>
      </c>
      <c r="J464" s="45">
        <v>607929.80099999998</v>
      </c>
    </row>
    <row r="465" spans="1:10" x14ac:dyDescent="0.2">
      <c r="A465" s="71" t="s">
        <v>278</v>
      </c>
      <c r="B465" s="71" t="s">
        <v>257</v>
      </c>
      <c r="C465" s="60" t="s">
        <v>10</v>
      </c>
      <c r="D465" s="60" t="s">
        <v>345</v>
      </c>
      <c r="E465" s="45">
        <v>9645</v>
      </c>
      <c r="F465" s="45">
        <v>825840.28</v>
      </c>
      <c r="G465" s="45">
        <v>9648</v>
      </c>
      <c r="H465" s="45">
        <v>752988.73199999996</v>
      </c>
      <c r="I465" s="45">
        <v>9651</v>
      </c>
      <c r="J465" s="45">
        <v>846182.08100000001</v>
      </c>
    </row>
    <row r="466" spans="1:10" x14ac:dyDescent="0.2">
      <c r="A466" s="71" t="s">
        <v>279</v>
      </c>
      <c r="B466" s="71" t="s">
        <v>257</v>
      </c>
      <c r="C466" s="60" t="s">
        <v>10</v>
      </c>
      <c r="D466" s="60" t="s">
        <v>345</v>
      </c>
      <c r="E466" s="45">
        <v>9048</v>
      </c>
      <c r="F466" s="45">
        <v>810651.76</v>
      </c>
      <c r="G466" s="45">
        <v>9053</v>
      </c>
      <c r="H466" s="45">
        <v>834889.80799999996</v>
      </c>
      <c r="I466" s="45">
        <v>9058</v>
      </c>
      <c r="J466" s="45">
        <v>727632.48600000003</v>
      </c>
    </row>
    <row r="467" spans="1:10" x14ac:dyDescent="0.2">
      <c r="A467" s="71" t="s">
        <v>280</v>
      </c>
      <c r="B467" s="71" t="s">
        <v>257</v>
      </c>
      <c r="C467" s="60" t="s">
        <v>10</v>
      </c>
      <c r="D467" s="60" t="s">
        <v>345</v>
      </c>
      <c r="E467" s="45">
        <v>4532</v>
      </c>
      <c r="F467" s="45">
        <v>372707.853</v>
      </c>
      <c r="G467" s="45">
        <v>4538</v>
      </c>
      <c r="H467" s="45">
        <v>396405.14600000001</v>
      </c>
      <c r="I467" s="45">
        <v>4550</v>
      </c>
      <c r="J467" s="45">
        <v>382672.96500000003</v>
      </c>
    </row>
    <row r="468" spans="1:10" x14ac:dyDescent="0.2">
      <c r="A468" s="71" t="s">
        <v>281</v>
      </c>
      <c r="B468" s="71" t="s">
        <v>257</v>
      </c>
      <c r="C468" s="60" t="s">
        <v>10</v>
      </c>
      <c r="D468" s="60" t="s">
        <v>345</v>
      </c>
      <c r="E468" s="45">
        <v>351</v>
      </c>
      <c r="F468" s="45">
        <v>8430.2039999999997</v>
      </c>
      <c r="G468" s="45">
        <v>349</v>
      </c>
      <c r="H468" s="45">
        <v>6141.96</v>
      </c>
      <c r="I468" s="45">
        <v>349</v>
      </c>
      <c r="J468" s="45">
        <v>5161.174</v>
      </c>
    </row>
    <row r="469" spans="1:10" x14ac:dyDescent="0.2">
      <c r="A469" s="71" t="s">
        <v>282</v>
      </c>
      <c r="B469" s="71" t="s">
        <v>257</v>
      </c>
      <c r="C469" s="60" t="s">
        <v>10</v>
      </c>
      <c r="D469" s="60" t="s">
        <v>345</v>
      </c>
      <c r="E469" s="45">
        <v>7201</v>
      </c>
      <c r="F469" s="45">
        <v>628803.67799999996</v>
      </c>
      <c r="G469" s="45">
        <v>7229</v>
      </c>
      <c r="H469" s="45">
        <v>483896.533</v>
      </c>
      <c r="I469" s="45">
        <v>7229</v>
      </c>
      <c r="J469" s="45">
        <v>529037.51699999999</v>
      </c>
    </row>
    <row r="470" spans="1:10" x14ac:dyDescent="0.2">
      <c r="A470" s="71" t="s">
        <v>283</v>
      </c>
      <c r="B470" s="71" t="s">
        <v>257</v>
      </c>
      <c r="C470" s="60" t="s">
        <v>10</v>
      </c>
      <c r="D470" s="60" t="s">
        <v>345</v>
      </c>
      <c r="E470" s="45">
        <v>6261</v>
      </c>
      <c r="F470" s="45">
        <v>632664.48400000005</v>
      </c>
      <c r="G470" s="45">
        <v>6263</v>
      </c>
      <c r="H470" s="45">
        <v>571276.58299999998</v>
      </c>
      <c r="I470" s="45">
        <v>6264</v>
      </c>
      <c r="J470" s="45">
        <v>651225.64500000002</v>
      </c>
    </row>
    <row r="471" spans="1:10" x14ac:dyDescent="0.2">
      <c r="A471" s="71" t="s">
        <v>284</v>
      </c>
      <c r="B471" s="71" t="s">
        <v>257</v>
      </c>
      <c r="C471" s="60" t="s">
        <v>10</v>
      </c>
      <c r="D471" s="60" t="s">
        <v>345</v>
      </c>
      <c r="E471" s="45">
        <v>5208</v>
      </c>
      <c r="F471" s="45">
        <v>434509.022</v>
      </c>
      <c r="G471" s="45">
        <v>5221</v>
      </c>
      <c r="H471" s="45">
        <v>389669.17499999999</v>
      </c>
      <c r="I471" s="45">
        <v>5220</v>
      </c>
      <c r="J471" s="45">
        <v>431756.44699999999</v>
      </c>
    </row>
    <row r="472" spans="1:10" x14ac:dyDescent="0.2">
      <c r="A472" s="71" t="s">
        <v>285</v>
      </c>
      <c r="B472" s="71" t="s">
        <v>257</v>
      </c>
      <c r="C472" s="60" t="s">
        <v>10</v>
      </c>
      <c r="D472" s="60" t="s">
        <v>345</v>
      </c>
      <c r="E472" s="45">
        <v>8216</v>
      </c>
      <c r="F472" s="45">
        <v>840613.16799999995</v>
      </c>
      <c r="G472" s="45">
        <v>8238</v>
      </c>
      <c r="H472" s="45">
        <v>758842.51500000001</v>
      </c>
      <c r="I472" s="45">
        <v>8245</v>
      </c>
      <c r="J472" s="45">
        <v>837079.54799999995</v>
      </c>
    </row>
    <row r="473" spans="1:10" x14ac:dyDescent="0.2">
      <c r="A473" s="71" t="s">
        <v>286</v>
      </c>
      <c r="B473" s="71" t="s">
        <v>257</v>
      </c>
      <c r="C473" s="60" t="s">
        <v>10</v>
      </c>
      <c r="D473" s="60" t="s">
        <v>345</v>
      </c>
      <c r="E473" s="45">
        <v>38</v>
      </c>
      <c r="F473" s="45">
        <v>2998.9009999999998</v>
      </c>
      <c r="G473" s="45">
        <v>38</v>
      </c>
      <c r="H473" s="45">
        <v>2626.3209999999999</v>
      </c>
      <c r="I473" s="45">
        <v>38</v>
      </c>
      <c r="J473" s="45">
        <v>2458.337</v>
      </c>
    </row>
    <row r="474" spans="1:10" x14ac:dyDescent="0.2">
      <c r="A474" s="71" t="s">
        <v>287</v>
      </c>
      <c r="B474" s="71" t="s">
        <v>257</v>
      </c>
      <c r="C474" s="60" t="s">
        <v>10</v>
      </c>
      <c r="D474" s="60" t="s">
        <v>345</v>
      </c>
      <c r="E474" s="45">
        <v>4617</v>
      </c>
      <c r="F474" s="45">
        <v>464481.22600000002</v>
      </c>
      <c r="G474" s="45">
        <v>4618</v>
      </c>
      <c r="H474" s="45">
        <v>399618.42</v>
      </c>
      <c r="I474" s="45">
        <v>4625</v>
      </c>
      <c r="J474" s="45">
        <v>449827.39899999998</v>
      </c>
    </row>
    <row r="475" spans="1:10" x14ac:dyDescent="0.2">
      <c r="A475" s="71" t="s">
        <v>288</v>
      </c>
      <c r="B475" s="71" t="s">
        <v>257</v>
      </c>
      <c r="C475" s="60" t="s">
        <v>10</v>
      </c>
      <c r="D475" s="60" t="s">
        <v>345</v>
      </c>
      <c r="E475" s="45">
        <v>6954</v>
      </c>
      <c r="F475" s="45">
        <v>653932.36699999997</v>
      </c>
      <c r="G475" s="45">
        <v>6986</v>
      </c>
      <c r="H475" s="45">
        <v>559947.397</v>
      </c>
      <c r="I475" s="45">
        <v>6985</v>
      </c>
      <c r="J475" s="45">
        <v>605405.39099999995</v>
      </c>
    </row>
    <row r="476" spans="1:10" x14ac:dyDescent="0.2">
      <c r="A476" s="71" t="s">
        <v>289</v>
      </c>
      <c r="B476" s="71" t="s">
        <v>257</v>
      </c>
      <c r="C476" s="60" t="s">
        <v>10</v>
      </c>
      <c r="D476" s="60" t="s">
        <v>345</v>
      </c>
      <c r="E476" s="45">
        <v>4949</v>
      </c>
      <c r="F476" s="45">
        <v>496857.45600000001</v>
      </c>
      <c r="G476" s="45">
        <v>4968</v>
      </c>
      <c r="H476" s="45">
        <v>458398.63799999998</v>
      </c>
      <c r="I476" s="45">
        <v>4965</v>
      </c>
      <c r="J476" s="45">
        <v>499326.7</v>
      </c>
    </row>
    <row r="477" spans="1:10" x14ac:dyDescent="0.2">
      <c r="A477" s="71" t="s">
        <v>132</v>
      </c>
      <c r="B477" s="71" t="s">
        <v>83</v>
      </c>
      <c r="C477" s="60" t="s">
        <v>10</v>
      </c>
      <c r="D477" s="60" t="s">
        <v>344</v>
      </c>
      <c r="E477" s="45">
        <v>2863</v>
      </c>
      <c r="F477" s="45">
        <v>3202884.375</v>
      </c>
      <c r="G477" s="45">
        <v>2860</v>
      </c>
      <c r="H477" s="45">
        <v>2827794.7429999998</v>
      </c>
      <c r="I477" s="45">
        <v>2861</v>
      </c>
      <c r="J477" s="45">
        <v>2735192.548</v>
      </c>
    </row>
    <row r="478" spans="1:10" x14ac:dyDescent="0.2">
      <c r="A478" s="71" t="s">
        <v>132</v>
      </c>
      <c r="B478" s="71" t="s">
        <v>257</v>
      </c>
      <c r="C478" s="60" t="s">
        <v>10</v>
      </c>
      <c r="D478" s="60" t="s">
        <v>345</v>
      </c>
      <c r="E478" s="45">
        <v>1469</v>
      </c>
      <c r="F478" s="45">
        <v>153521.47899999999</v>
      </c>
      <c r="G478" s="45">
        <v>1470</v>
      </c>
      <c r="H478" s="45">
        <v>144126.20199999999</v>
      </c>
      <c r="I478" s="45">
        <v>1470</v>
      </c>
      <c r="J478" s="45">
        <v>140776.87100000001</v>
      </c>
    </row>
    <row r="479" spans="1:10" x14ac:dyDescent="0.2">
      <c r="A479" s="71" t="s">
        <v>133</v>
      </c>
      <c r="B479" s="71" t="s">
        <v>83</v>
      </c>
      <c r="C479" s="60" t="s">
        <v>10</v>
      </c>
      <c r="D479" s="60" t="s">
        <v>344</v>
      </c>
      <c r="E479" s="45">
        <v>81</v>
      </c>
      <c r="F479" s="45">
        <v>90566</v>
      </c>
      <c r="G479" s="45">
        <v>83</v>
      </c>
      <c r="H479" s="45">
        <v>103255</v>
      </c>
      <c r="I479" s="45">
        <v>83</v>
      </c>
      <c r="J479" s="45">
        <v>86951</v>
      </c>
    </row>
    <row r="480" spans="1:10" x14ac:dyDescent="0.2">
      <c r="A480" s="71" t="s">
        <v>133</v>
      </c>
      <c r="B480" s="71" t="s">
        <v>257</v>
      </c>
      <c r="C480" s="60" t="s">
        <v>10</v>
      </c>
      <c r="D480" s="60" t="s">
        <v>345</v>
      </c>
      <c r="E480" s="45">
        <v>7364</v>
      </c>
      <c r="F480" s="45">
        <v>840028.35800000001</v>
      </c>
      <c r="G480" s="45">
        <v>7362</v>
      </c>
      <c r="H480" s="45">
        <v>780348.10499999998</v>
      </c>
      <c r="I480" s="45">
        <v>7367</v>
      </c>
      <c r="J480" s="45">
        <v>891654.31</v>
      </c>
    </row>
    <row r="481" spans="1:10" x14ac:dyDescent="0.2">
      <c r="A481" s="71" t="s">
        <v>135</v>
      </c>
      <c r="B481" s="71" t="s">
        <v>83</v>
      </c>
      <c r="C481" s="60" t="s">
        <v>10</v>
      </c>
      <c r="D481" s="60" t="s">
        <v>344</v>
      </c>
      <c r="E481" s="45">
        <v>2317</v>
      </c>
      <c r="F481" s="45">
        <v>3181332.625</v>
      </c>
      <c r="G481" s="45">
        <v>2317</v>
      </c>
      <c r="H481" s="45">
        <v>2826804.9139999999</v>
      </c>
      <c r="I481" s="45">
        <v>2317</v>
      </c>
      <c r="J481" s="45">
        <v>2649695.4780000001</v>
      </c>
    </row>
    <row r="482" spans="1:10" x14ac:dyDescent="0.2">
      <c r="A482" s="71" t="s">
        <v>135</v>
      </c>
      <c r="B482" s="71" t="s">
        <v>257</v>
      </c>
      <c r="C482" s="60" t="s">
        <v>10</v>
      </c>
      <c r="D482" s="60" t="s">
        <v>345</v>
      </c>
      <c r="E482" s="45">
        <v>5433</v>
      </c>
      <c r="F482" s="45">
        <v>635262.64599999995</v>
      </c>
      <c r="G482" s="45">
        <v>5435</v>
      </c>
      <c r="H482" s="45">
        <v>599154.99600000004</v>
      </c>
      <c r="I482" s="45">
        <v>5451</v>
      </c>
      <c r="J482" s="45">
        <v>577998.84400000004</v>
      </c>
    </row>
    <row r="483" spans="1:10" x14ac:dyDescent="0.2">
      <c r="A483" s="71" t="s">
        <v>136</v>
      </c>
      <c r="B483" s="71" t="s">
        <v>83</v>
      </c>
      <c r="C483" s="60" t="s">
        <v>10</v>
      </c>
      <c r="D483" s="60" t="s">
        <v>344</v>
      </c>
      <c r="E483" s="45">
        <v>524</v>
      </c>
      <c r="F483" s="45">
        <v>609835.36399999994</v>
      </c>
      <c r="G483" s="45">
        <v>524</v>
      </c>
      <c r="H483" s="45">
        <v>554623.74699999997</v>
      </c>
      <c r="I483" s="45">
        <v>524</v>
      </c>
      <c r="J483" s="45">
        <v>529086.77500000002</v>
      </c>
    </row>
    <row r="484" spans="1:10" x14ac:dyDescent="0.2">
      <c r="A484" s="71" t="s">
        <v>136</v>
      </c>
      <c r="B484" s="71" t="s">
        <v>257</v>
      </c>
      <c r="C484" s="60" t="s">
        <v>10</v>
      </c>
      <c r="D484" s="60" t="s">
        <v>345</v>
      </c>
      <c r="E484" s="45">
        <v>5074</v>
      </c>
      <c r="F484" s="45">
        <v>524993.13500000001</v>
      </c>
      <c r="G484" s="45">
        <v>5083</v>
      </c>
      <c r="H484" s="45">
        <v>504890.71799999999</v>
      </c>
      <c r="I484" s="45">
        <v>5085</v>
      </c>
      <c r="J484" s="45">
        <v>510793.92599999998</v>
      </c>
    </row>
    <row r="485" spans="1:10" x14ac:dyDescent="0.2">
      <c r="A485" s="71" t="s">
        <v>292</v>
      </c>
      <c r="B485" s="71" t="s">
        <v>257</v>
      </c>
      <c r="C485" s="60" t="s">
        <v>10</v>
      </c>
      <c r="D485" s="60" t="s">
        <v>345</v>
      </c>
      <c r="E485" s="45">
        <v>6150</v>
      </c>
      <c r="F485" s="45">
        <v>833401.304</v>
      </c>
      <c r="G485" s="45">
        <v>6158</v>
      </c>
      <c r="H485" s="45">
        <v>764885.90099999995</v>
      </c>
      <c r="I485" s="45">
        <v>6157</v>
      </c>
      <c r="J485" s="45">
        <v>828485.73600000003</v>
      </c>
    </row>
    <row r="486" spans="1:10" x14ac:dyDescent="0.2">
      <c r="A486" s="71" t="s">
        <v>137</v>
      </c>
      <c r="B486" s="71" t="s">
        <v>257</v>
      </c>
      <c r="C486" s="60" t="s">
        <v>10</v>
      </c>
      <c r="D486" s="60" t="s">
        <v>345</v>
      </c>
      <c r="E486" s="45">
        <v>4385</v>
      </c>
      <c r="F486" s="45">
        <v>428142.201</v>
      </c>
      <c r="G486" s="45">
        <v>4393</v>
      </c>
      <c r="H486" s="45">
        <v>450867.11700000003</v>
      </c>
      <c r="I486" s="45">
        <v>4392</v>
      </c>
      <c r="J486" s="45">
        <v>412546.261</v>
      </c>
    </row>
    <row r="487" spans="1:10" x14ac:dyDescent="0.2">
      <c r="A487" s="71" t="s">
        <v>138</v>
      </c>
      <c r="B487" s="71" t="s">
        <v>83</v>
      </c>
      <c r="C487" s="60" t="s">
        <v>10</v>
      </c>
      <c r="D487" s="60" t="s">
        <v>344</v>
      </c>
      <c r="E487" s="45">
        <v>8196</v>
      </c>
      <c r="F487" s="45">
        <v>8873008.0020000003</v>
      </c>
      <c r="G487" s="45">
        <v>8201</v>
      </c>
      <c r="H487" s="45">
        <v>8018364.6840000004</v>
      </c>
      <c r="I487" s="45">
        <v>8196</v>
      </c>
      <c r="J487" s="45">
        <v>7746814.8540000003</v>
      </c>
    </row>
    <row r="488" spans="1:10" x14ac:dyDescent="0.2">
      <c r="A488" s="71" t="s">
        <v>138</v>
      </c>
      <c r="B488" s="71" t="s">
        <v>257</v>
      </c>
      <c r="C488" s="60" t="s">
        <v>10</v>
      </c>
      <c r="D488" s="60" t="s">
        <v>345</v>
      </c>
      <c r="E488" s="45">
        <v>3382</v>
      </c>
      <c r="F488" s="45">
        <v>363533.49400000001</v>
      </c>
      <c r="G488" s="45">
        <v>3384</v>
      </c>
      <c r="H488" s="45">
        <v>343683.57799999998</v>
      </c>
      <c r="I488" s="45">
        <v>3386</v>
      </c>
      <c r="J488" s="45">
        <v>327452.68</v>
      </c>
    </row>
    <row r="489" spans="1:10" x14ac:dyDescent="0.2">
      <c r="A489" s="71" t="s">
        <v>139</v>
      </c>
      <c r="B489" s="71" t="s">
        <v>83</v>
      </c>
      <c r="C489" s="60" t="s">
        <v>10</v>
      </c>
      <c r="D489" s="60" t="s">
        <v>344</v>
      </c>
      <c r="E489" s="45">
        <v>14759</v>
      </c>
      <c r="F489" s="45">
        <v>16181490.547</v>
      </c>
      <c r="G489" s="45">
        <v>14756</v>
      </c>
      <c r="H489" s="45">
        <v>14573694.07</v>
      </c>
      <c r="I489" s="45">
        <v>14760</v>
      </c>
      <c r="J489" s="45">
        <v>15855819.673</v>
      </c>
    </row>
    <row r="490" spans="1:10" x14ac:dyDescent="0.2">
      <c r="A490" s="71" t="s">
        <v>139</v>
      </c>
      <c r="B490" s="71" t="s">
        <v>257</v>
      </c>
      <c r="C490" s="60" t="s">
        <v>10</v>
      </c>
      <c r="D490" s="60" t="s">
        <v>345</v>
      </c>
      <c r="E490" s="45">
        <v>6431</v>
      </c>
      <c r="F490" s="45">
        <v>641565.66099999996</v>
      </c>
      <c r="G490" s="45">
        <v>6433</v>
      </c>
      <c r="H490" s="45">
        <v>602196.70400000003</v>
      </c>
      <c r="I490" s="45">
        <v>6432</v>
      </c>
      <c r="J490" s="45">
        <v>657972.98300000001</v>
      </c>
    </row>
    <row r="491" spans="1:10" x14ac:dyDescent="0.2">
      <c r="A491" s="71" t="s">
        <v>294</v>
      </c>
      <c r="B491" s="71" t="s">
        <v>257</v>
      </c>
      <c r="C491" s="60" t="s">
        <v>10</v>
      </c>
      <c r="D491" s="60" t="s">
        <v>345</v>
      </c>
      <c r="E491" s="45">
        <v>5636</v>
      </c>
      <c r="F491" s="45">
        <v>554958.02099999995</v>
      </c>
      <c r="G491" s="45">
        <v>5633</v>
      </c>
      <c r="H491" s="45">
        <v>550775.79700000002</v>
      </c>
      <c r="I491" s="45">
        <v>5640</v>
      </c>
      <c r="J491" s="45">
        <v>527488.35499999998</v>
      </c>
    </row>
    <row r="492" spans="1:10" x14ac:dyDescent="0.2">
      <c r="A492" s="71" t="s">
        <v>295</v>
      </c>
      <c r="B492" s="71" t="s">
        <v>257</v>
      </c>
      <c r="C492" s="60" t="s">
        <v>10</v>
      </c>
      <c r="D492" s="60" t="s">
        <v>345</v>
      </c>
      <c r="E492" s="45">
        <v>5143</v>
      </c>
      <c r="F492" s="45">
        <v>451619.24900000001</v>
      </c>
      <c r="G492" s="45">
        <v>5148</v>
      </c>
      <c r="H492" s="45">
        <v>453350.66700000002</v>
      </c>
      <c r="I492" s="45">
        <v>5148</v>
      </c>
      <c r="J492" s="45">
        <v>384628.24099999998</v>
      </c>
    </row>
    <row r="493" spans="1:10" x14ac:dyDescent="0.2">
      <c r="A493" s="71" t="s">
        <v>296</v>
      </c>
      <c r="B493" s="71" t="s">
        <v>257</v>
      </c>
      <c r="C493" s="60" t="s">
        <v>10</v>
      </c>
      <c r="D493" s="60" t="s">
        <v>345</v>
      </c>
      <c r="E493" s="45">
        <v>6278</v>
      </c>
      <c r="F493" s="45">
        <v>622109.103</v>
      </c>
      <c r="G493" s="45">
        <v>6293</v>
      </c>
      <c r="H493" s="45">
        <v>715888.348</v>
      </c>
      <c r="I493" s="45">
        <v>6291</v>
      </c>
      <c r="J493" s="45">
        <v>600318.82400000002</v>
      </c>
    </row>
    <row r="494" spans="1:10" x14ac:dyDescent="0.2">
      <c r="A494" s="71" t="s">
        <v>297</v>
      </c>
      <c r="B494" s="71" t="s">
        <v>257</v>
      </c>
      <c r="C494" s="60" t="s">
        <v>10</v>
      </c>
      <c r="D494" s="60" t="s">
        <v>345</v>
      </c>
      <c r="E494" s="45">
        <v>4080</v>
      </c>
      <c r="F494" s="45">
        <v>299334.97499999998</v>
      </c>
      <c r="G494" s="45">
        <v>4076</v>
      </c>
      <c r="H494" s="45">
        <v>317350.71500000003</v>
      </c>
      <c r="I494" s="45">
        <v>4084</v>
      </c>
      <c r="J494" s="45">
        <v>310643.69500000001</v>
      </c>
    </row>
    <row r="495" spans="1:10" x14ac:dyDescent="0.2">
      <c r="A495" s="71" t="s">
        <v>298</v>
      </c>
      <c r="B495" s="71" t="s">
        <v>257</v>
      </c>
      <c r="C495" s="60" t="s">
        <v>10</v>
      </c>
      <c r="D495" s="60" t="s">
        <v>345</v>
      </c>
      <c r="E495" s="45">
        <v>11394</v>
      </c>
      <c r="F495" s="45">
        <v>1217089.4979999999</v>
      </c>
      <c r="G495" s="45">
        <v>11398</v>
      </c>
      <c r="H495" s="45">
        <v>1246921.79</v>
      </c>
      <c r="I495" s="45">
        <v>11406</v>
      </c>
      <c r="J495" s="45">
        <v>1244406.703</v>
      </c>
    </row>
    <row r="496" spans="1:10" x14ac:dyDescent="0.2">
      <c r="A496" s="92" t="s">
        <v>140</v>
      </c>
      <c r="B496" s="92" t="s">
        <v>83</v>
      </c>
      <c r="C496" s="60" t="s">
        <v>10</v>
      </c>
      <c r="D496" s="60" t="s">
        <v>344</v>
      </c>
      <c r="E496" s="45">
        <v>263</v>
      </c>
      <c r="F496" s="45">
        <v>476250.94099999999</v>
      </c>
      <c r="G496" s="45">
        <v>262</v>
      </c>
      <c r="H496" s="45">
        <v>286792.18800000002</v>
      </c>
      <c r="I496" s="45">
        <v>262</v>
      </c>
      <c r="J496" s="45">
        <v>400978.59700000001</v>
      </c>
    </row>
    <row r="497" spans="1:10" x14ac:dyDescent="0.2">
      <c r="A497" s="92" t="s">
        <v>141</v>
      </c>
      <c r="B497" s="92" t="s">
        <v>83</v>
      </c>
      <c r="C497" s="60" t="s">
        <v>10</v>
      </c>
      <c r="D497" s="60" t="s">
        <v>344</v>
      </c>
      <c r="E497" s="45">
        <v>11013</v>
      </c>
      <c r="F497" s="45">
        <v>11429373.308</v>
      </c>
      <c r="G497" s="45">
        <v>11028</v>
      </c>
      <c r="H497" s="45">
        <v>10909037.702</v>
      </c>
      <c r="I497" s="45">
        <v>11024</v>
      </c>
      <c r="J497" s="45">
        <v>9765697.0460000001</v>
      </c>
    </row>
    <row r="498" spans="1:10" x14ac:dyDescent="0.2">
      <c r="A498" s="92" t="s">
        <v>299</v>
      </c>
      <c r="B498" s="92" t="s">
        <v>257</v>
      </c>
      <c r="C498" s="60" t="s">
        <v>10</v>
      </c>
      <c r="D498" s="60" t="s">
        <v>345</v>
      </c>
      <c r="E498" s="45">
        <v>324</v>
      </c>
      <c r="F498" s="45">
        <v>30613.233</v>
      </c>
      <c r="G498" s="45">
        <v>324</v>
      </c>
      <c r="H498" s="45">
        <v>21829.415000000001</v>
      </c>
      <c r="I498" s="45">
        <v>325</v>
      </c>
      <c r="J498" s="45">
        <v>26453.097000000002</v>
      </c>
    </row>
    <row r="499" spans="1:10" x14ac:dyDescent="0.2">
      <c r="A499" s="92" t="s">
        <v>142</v>
      </c>
      <c r="B499" s="92" t="s">
        <v>83</v>
      </c>
      <c r="C499" s="60" t="s">
        <v>10</v>
      </c>
      <c r="D499" s="60" t="s">
        <v>344</v>
      </c>
      <c r="E499" s="45">
        <v>252</v>
      </c>
      <c r="F499" s="45">
        <v>194210</v>
      </c>
      <c r="G499" s="45">
        <v>252</v>
      </c>
      <c r="H499" s="45">
        <v>451155.71899999998</v>
      </c>
      <c r="I499" s="45">
        <v>251</v>
      </c>
      <c r="J499" s="45">
        <v>214784.64600000001</v>
      </c>
    </row>
    <row r="500" spans="1:10" x14ac:dyDescent="0.2">
      <c r="A500" s="92" t="s">
        <v>143</v>
      </c>
      <c r="B500" s="92" t="s">
        <v>83</v>
      </c>
      <c r="C500" s="60" t="s">
        <v>10</v>
      </c>
      <c r="D500" s="60" t="s">
        <v>344</v>
      </c>
      <c r="E500" s="45">
        <v>21022</v>
      </c>
      <c r="F500" s="45">
        <v>19632631.476</v>
      </c>
      <c r="G500" s="45">
        <v>21085</v>
      </c>
      <c r="H500" s="45">
        <v>16679373.301000001</v>
      </c>
      <c r="I500" s="45">
        <v>21088</v>
      </c>
      <c r="J500" s="45">
        <v>17585489.146000002</v>
      </c>
    </row>
    <row r="501" spans="1:10" x14ac:dyDescent="0.2">
      <c r="A501" s="92" t="s">
        <v>144</v>
      </c>
      <c r="B501" s="92" t="s">
        <v>83</v>
      </c>
      <c r="C501" s="60" t="s">
        <v>10</v>
      </c>
      <c r="D501" s="60" t="s">
        <v>344</v>
      </c>
      <c r="E501" s="45">
        <v>20494</v>
      </c>
      <c r="F501" s="45">
        <v>23682983.539000001</v>
      </c>
      <c r="G501" s="45">
        <v>20517</v>
      </c>
      <c r="H501" s="45">
        <v>20131909.475000001</v>
      </c>
      <c r="I501" s="45">
        <v>20524</v>
      </c>
      <c r="J501" s="45">
        <v>20356425.225000001</v>
      </c>
    </row>
    <row r="502" spans="1:10" x14ac:dyDescent="0.2">
      <c r="A502" s="92" t="s">
        <v>145</v>
      </c>
      <c r="B502" s="92" t="s">
        <v>83</v>
      </c>
      <c r="C502" s="60" t="s">
        <v>10</v>
      </c>
      <c r="D502" s="60" t="s">
        <v>344</v>
      </c>
      <c r="E502" s="45">
        <v>14807</v>
      </c>
      <c r="F502" s="45">
        <v>16641848.357000001</v>
      </c>
      <c r="G502" s="45">
        <v>14816</v>
      </c>
      <c r="H502" s="45">
        <v>15088454.289999999</v>
      </c>
      <c r="I502" s="45">
        <v>14822</v>
      </c>
      <c r="J502" s="45">
        <v>15383241.779999999</v>
      </c>
    </row>
    <row r="503" spans="1:10" x14ac:dyDescent="0.2">
      <c r="A503" s="92" t="s">
        <v>146</v>
      </c>
      <c r="B503" s="92" t="s">
        <v>83</v>
      </c>
      <c r="C503" s="60" t="s">
        <v>10</v>
      </c>
      <c r="D503" s="60" t="s">
        <v>344</v>
      </c>
      <c r="E503" s="45">
        <v>6684</v>
      </c>
      <c r="F503" s="45">
        <v>8516871.4440000001</v>
      </c>
      <c r="G503" s="45">
        <v>6699</v>
      </c>
      <c r="H503" s="45">
        <v>7553993.0999999996</v>
      </c>
      <c r="I503" s="45">
        <v>6698</v>
      </c>
      <c r="J503" s="45">
        <v>6898450.9670000002</v>
      </c>
    </row>
    <row r="504" spans="1:10" x14ac:dyDescent="0.2">
      <c r="A504" s="92" t="s">
        <v>147</v>
      </c>
      <c r="B504" s="92" t="s">
        <v>83</v>
      </c>
      <c r="C504" s="60" t="s">
        <v>10</v>
      </c>
      <c r="D504" s="60" t="s">
        <v>344</v>
      </c>
      <c r="E504" s="45">
        <v>1806</v>
      </c>
      <c r="F504" s="45">
        <v>3522342.0630000001</v>
      </c>
      <c r="G504" s="45">
        <v>1807</v>
      </c>
      <c r="H504" s="45">
        <v>2642250.6170000001</v>
      </c>
      <c r="I504" s="45">
        <v>1808</v>
      </c>
      <c r="J504" s="45">
        <v>3189070.7570000002</v>
      </c>
    </row>
    <row r="505" spans="1:10" x14ac:dyDescent="0.2">
      <c r="A505" s="92" t="s">
        <v>148</v>
      </c>
      <c r="B505" s="92" t="s">
        <v>83</v>
      </c>
      <c r="C505" s="60" t="s">
        <v>10</v>
      </c>
      <c r="D505" s="60" t="s">
        <v>344</v>
      </c>
      <c r="E505" s="45">
        <v>6317</v>
      </c>
      <c r="F505" s="45">
        <v>7106838.6160000004</v>
      </c>
      <c r="G505" s="45">
        <v>6316</v>
      </c>
      <c r="H505" s="45">
        <v>6155486.1500000004</v>
      </c>
      <c r="I505" s="45">
        <v>6308</v>
      </c>
      <c r="J505" s="45">
        <v>6067835.4919999996</v>
      </c>
    </row>
    <row r="506" spans="1:10" x14ac:dyDescent="0.2">
      <c r="A506" s="92" t="s">
        <v>149</v>
      </c>
      <c r="B506" s="92" t="s">
        <v>83</v>
      </c>
      <c r="C506" s="60" t="s">
        <v>10</v>
      </c>
      <c r="D506" s="60" t="s">
        <v>344</v>
      </c>
      <c r="E506" s="45">
        <v>124</v>
      </c>
      <c r="F506" s="45">
        <v>117505</v>
      </c>
      <c r="G506" s="45">
        <v>124</v>
      </c>
      <c r="H506" s="45">
        <v>282814</v>
      </c>
      <c r="I506" s="45">
        <v>124</v>
      </c>
      <c r="J506" s="45">
        <v>118570</v>
      </c>
    </row>
    <row r="507" spans="1:10" x14ac:dyDescent="0.2">
      <c r="A507" s="92" t="s">
        <v>150</v>
      </c>
      <c r="B507" s="92" t="s">
        <v>83</v>
      </c>
      <c r="C507" s="60" t="s">
        <v>10</v>
      </c>
      <c r="D507" s="60" t="s">
        <v>344</v>
      </c>
      <c r="E507" s="45">
        <v>3529</v>
      </c>
      <c r="F507" s="45">
        <v>5632767.9780000001</v>
      </c>
      <c r="G507" s="45">
        <v>3532</v>
      </c>
      <c r="H507" s="45">
        <v>5024389.0070000002</v>
      </c>
      <c r="I507" s="45">
        <v>3534</v>
      </c>
      <c r="J507" s="45">
        <v>5216053.7089999998</v>
      </c>
    </row>
    <row r="508" spans="1:10" x14ac:dyDescent="0.2">
      <c r="A508" s="92" t="s">
        <v>151</v>
      </c>
      <c r="B508" s="92" t="s">
        <v>83</v>
      </c>
      <c r="C508" s="60" t="s">
        <v>10</v>
      </c>
      <c r="D508" s="60" t="s">
        <v>344</v>
      </c>
      <c r="E508" s="45">
        <v>2093</v>
      </c>
      <c r="F508" s="45">
        <v>2994283.0669999998</v>
      </c>
      <c r="G508" s="45">
        <v>2091</v>
      </c>
      <c r="H508" s="45">
        <v>3260283.7390000001</v>
      </c>
      <c r="I508" s="45">
        <v>2095</v>
      </c>
      <c r="J508" s="45">
        <v>2626670.92</v>
      </c>
    </row>
    <row r="509" spans="1:10" x14ac:dyDescent="0.2">
      <c r="A509" s="92" t="s">
        <v>152</v>
      </c>
      <c r="B509" s="92" t="s">
        <v>83</v>
      </c>
      <c r="C509" s="60" t="s">
        <v>10</v>
      </c>
      <c r="D509" s="60" t="s">
        <v>344</v>
      </c>
      <c r="E509" s="45">
        <v>28</v>
      </c>
      <c r="F509" s="45"/>
      <c r="G509" s="45">
        <v>28</v>
      </c>
      <c r="H509" s="45">
        <v>102648.26700000001</v>
      </c>
      <c r="I509" s="45">
        <v>28</v>
      </c>
      <c r="J509" s="45"/>
    </row>
    <row r="510" spans="1:10" x14ac:dyDescent="0.2">
      <c r="A510" s="92" t="s">
        <v>153</v>
      </c>
      <c r="B510" s="92" t="s">
        <v>83</v>
      </c>
      <c r="C510" s="60" t="s">
        <v>10</v>
      </c>
      <c r="D510" s="60" t="s">
        <v>344</v>
      </c>
      <c r="E510" s="45">
        <v>4180</v>
      </c>
      <c r="F510" s="45">
        <v>6315945.4510000004</v>
      </c>
      <c r="G510" s="45">
        <v>4184</v>
      </c>
      <c r="H510" s="45">
        <v>5704571.4009999996</v>
      </c>
      <c r="I510" s="45">
        <v>4189</v>
      </c>
      <c r="J510" s="45">
        <v>5563120.3679999998</v>
      </c>
    </row>
    <row r="511" spans="1:10" x14ac:dyDescent="0.2">
      <c r="A511" s="92" t="s">
        <v>154</v>
      </c>
      <c r="B511" s="92" t="s">
        <v>83</v>
      </c>
      <c r="C511" s="60" t="s">
        <v>10</v>
      </c>
      <c r="D511" s="60" t="s">
        <v>344</v>
      </c>
      <c r="E511" s="45">
        <v>1201</v>
      </c>
      <c r="F511" s="45">
        <v>2434945.54</v>
      </c>
      <c r="G511" s="45">
        <v>1201</v>
      </c>
      <c r="H511" s="45">
        <v>1872873.111</v>
      </c>
      <c r="I511" s="45">
        <v>1200</v>
      </c>
      <c r="J511" s="45">
        <v>1995270.0530000001</v>
      </c>
    </row>
    <row r="512" spans="1:10" x14ac:dyDescent="0.2">
      <c r="A512" s="92" t="s">
        <v>155</v>
      </c>
      <c r="B512" s="92" t="s">
        <v>83</v>
      </c>
      <c r="C512" s="60" t="s">
        <v>10</v>
      </c>
      <c r="D512" s="60" t="s">
        <v>344</v>
      </c>
      <c r="E512" s="45">
        <v>2088</v>
      </c>
      <c r="F512" s="45">
        <v>2627020.5869999998</v>
      </c>
      <c r="G512" s="45">
        <v>2086</v>
      </c>
      <c r="H512" s="45">
        <v>3237469.9040000001</v>
      </c>
      <c r="I512" s="45">
        <v>2091</v>
      </c>
      <c r="J512" s="45">
        <v>2273134.5950000002</v>
      </c>
    </row>
    <row r="513" spans="1:10" x14ac:dyDescent="0.2">
      <c r="A513" s="92" t="s">
        <v>156</v>
      </c>
      <c r="B513" s="92" t="s">
        <v>83</v>
      </c>
      <c r="C513" s="60" t="s">
        <v>10</v>
      </c>
      <c r="D513" s="60" t="s">
        <v>344</v>
      </c>
      <c r="E513" s="45">
        <v>3182</v>
      </c>
      <c r="F513" s="45">
        <v>4222203.409</v>
      </c>
      <c r="G513" s="45">
        <v>3186</v>
      </c>
      <c r="H513" s="45">
        <v>4774971.6689999998</v>
      </c>
      <c r="I513" s="45">
        <v>3185</v>
      </c>
      <c r="J513" s="45">
        <v>3612384.091</v>
      </c>
    </row>
    <row r="514" spans="1:10" x14ac:dyDescent="0.2">
      <c r="A514" s="92" t="s">
        <v>157</v>
      </c>
      <c r="B514" s="92" t="s">
        <v>83</v>
      </c>
      <c r="C514" s="60" t="s">
        <v>10</v>
      </c>
      <c r="D514" s="60" t="s">
        <v>344</v>
      </c>
      <c r="E514" s="45">
        <v>10481</v>
      </c>
      <c r="F514" s="45">
        <v>14689245.384</v>
      </c>
      <c r="G514" s="45">
        <v>10486</v>
      </c>
      <c r="H514" s="45">
        <v>11339329.491</v>
      </c>
      <c r="I514" s="45">
        <v>10525</v>
      </c>
      <c r="J514" s="45">
        <v>11731163.875</v>
      </c>
    </row>
    <row r="515" spans="1:10" x14ac:dyDescent="0.2">
      <c r="A515" s="92" t="s">
        <v>158</v>
      </c>
      <c r="B515" s="92" t="s">
        <v>83</v>
      </c>
      <c r="C515" s="60" t="s">
        <v>10</v>
      </c>
      <c r="D515" s="60" t="s">
        <v>344</v>
      </c>
      <c r="E515" s="45">
        <v>3264</v>
      </c>
      <c r="F515" s="45">
        <v>5047245.6770000001</v>
      </c>
      <c r="G515" s="45">
        <v>3271</v>
      </c>
      <c r="H515" s="45">
        <v>4565014.9730000002</v>
      </c>
      <c r="I515" s="45">
        <v>3271</v>
      </c>
      <c r="J515" s="45">
        <v>4764841.1399999997</v>
      </c>
    </row>
    <row r="516" spans="1:10" x14ac:dyDescent="0.2">
      <c r="A516" s="71" t="s">
        <v>300</v>
      </c>
      <c r="B516" s="71" t="s">
        <v>83</v>
      </c>
      <c r="C516" s="60" t="s">
        <v>10</v>
      </c>
      <c r="D516" s="60" t="s">
        <v>344</v>
      </c>
      <c r="E516" s="45">
        <v>1</v>
      </c>
      <c r="F516" s="45"/>
      <c r="G516" s="45">
        <v>1</v>
      </c>
      <c r="H516" s="45">
        <v>1359</v>
      </c>
      <c r="I516" s="45">
        <v>1</v>
      </c>
      <c r="J516" s="45"/>
    </row>
    <row r="517" spans="1:10" x14ac:dyDescent="0.2">
      <c r="A517" s="71" t="s">
        <v>300</v>
      </c>
      <c r="B517" s="71" t="s">
        <v>257</v>
      </c>
      <c r="C517" s="60" t="s">
        <v>10</v>
      </c>
      <c r="D517" s="60" t="s">
        <v>345</v>
      </c>
      <c r="E517" s="45">
        <v>411</v>
      </c>
      <c r="F517" s="45">
        <v>43790.911999999997</v>
      </c>
      <c r="G517" s="45">
        <v>412</v>
      </c>
      <c r="H517" s="45">
        <v>34278.315999999999</v>
      </c>
      <c r="I517" s="45">
        <v>412</v>
      </c>
      <c r="J517" s="45">
        <v>37075.438000000002</v>
      </c>
    </row>
    <row r="518" spans="1:10" x14ac:dyDescent="0.2">
      <c r="A518" s="71" t="s">
        <v>301</v>
      </c>
      <c r="B518" s="92" t="s">
        <v>257</v>
      </c>
      <c r="C518" s="60" t="s">
        <v>10</v>
      </c>
      <c r="D518" s="60" t="s">
        <v>345</v>
      </c>
      <c r="E518" s="45">
        <v>1211</v>
      </c>
      <c r="F518" s="45">
        <v>135858.462</v>
      </c>
      <c r="G518" s="45">
        <v>1209</v>
      </c>
      <c r="H518" s="45">
        <v>111234.541</v>
      </c>
      <c r="I518" s="45">
        <v>1212</v>
      </c>
      <c r="J518" s="45">
        <v>129090.542</v>
      </c>
    </row>
    <row r="519" spans="1:10" x14ac:dyDescent="0.2">
      <c r="A519" s="92" t="s">
        <v>159</v>
      </c>
      <c r="B519" s="92" t="s">
        <v>83</v>
      </c>
      <c r="C519" s="60" t="s">
        <v>10</v>
      </c>
      <c r="D519" s="60" t="s">
        <v>344</v>
      </c>
      <c r="E519" s="45">
        <v>1443</v>
      </c>
      <c r="F519" s="45">
        <v>2489235.4130000002</v>
      </c>
      <c r="G519" s="45">
        <v>1446</v>
      </c>
      <c r="H519" s="45">
        <v>1715053.548</v>
      </c>
      <c r="I519" s="45">
        <v>1446</v>
      </c>
      <c r="J519" s="45">
        <v>2320262.1710000001</v>
      </c>
    </row>
    <row r="520" spans="1:10" x14ac:dyDescent="0.2">
      <c r="A520" s="92" t="s">
        <v>160</v>
      </c>
      <c r="B520" s="92" t="s">
        <v>83</v>
      </c>
      <c r="C520" s="60" t="s">
        <v>10</v>
      </c>
      <c r="D520" s="60" t="s">
        <v>344</v>
      </c>
      <c r="E520" s="45">
        <v>87</v>
      </c>
      <c r="F520" s="45">
        <v>5029</v>
      </c>
      <c r="G520" s="45">
        <v>89</v>
      </c>
      <c r="H520" s="45">
        <v>271801</v>
      </c>
      <c r="I520" s="45">
        <v>91</v>
      </c>
      <c r="J520" s="45">
        <v>41936</v>
      </c>
    </row>
    <row r="521" spans="1:10" x14ac:dyDescent="0.2">
      <c r="A521" s="92" t="s">
        <v>161</v>
      </c>
      <c r="B521" s="92" t="s">
        <v>83</v>
      </c>
      <c r="C521" s="60" t="s">
        <v>10</v>
      </c>
      <c r="D521" s="60" t="s">
        <v>344</v>
      </c>
      <c r="E521" s="45">
        <v>2175</v>
      </c>
      <c r="F521" s="45">
        <v>3796296.074</v>
      </c>
      <c r="G521" s="45">
        <v>2177</v>
      </c>
      <c r="H521" s="45">
        <v>2667921.4249999998</v>
      </c>
      <c r="I521" s="45">
        <v>2179</v>
      </c>
      <c r="J521" s="45">
        <v>3388752.2710000002</v>
      </c>
    </row>
    <row r="522" spans="1:10" x14ac:dyDescent="0.2">
      <c r="A522" s="92" t="s">
        <v>302</v>
      </c>
      <c r="B522" s="92" t="s">
        <v>257</v>
      </c>
      <c r="C522" s="60" t="s">
        <v>10</v>
      </c>
      <c r="D522" s="60" t="s">
        <v>345</v>
      </c>
      <c r="E522" s="45">
        <v>10765</v>
      </c>
      <c r="F522" s="45">
        <v>1268564.629</v>
      </c>
      <c r="G522" s="45">
        <v>10787</v>
      </c>
      <c r="H522" s="45">
        <v>1083358.9820000001</v>
      </c>
      <c r="I522" s="45">
        <v>10817</v>
      </c>
      <c r="J522" s="45">
        <v>1133149.0430000001</v>
      </c>
    </row>
    <row r="523" spans="1:10" x14ac:dyDescent="0.2">
      <c r="A523" s="92" t="s">
        <v>162</v>
      </c>
      <c r="B523" s="92" t="s">
        <v>83</v>
      </c>
      <c r="C523" s="60" t="s">
        <v>10</v>
      </c>
      <c r="D523" s="60" t="s">
        <v>344</v>
      </c>
      <c r="E523" s="45">
        <v>3505</v>
      </c>
      <c r="F523" s="45">
        <v>5345065.0329999998</v>
      </c>
      <c r="G523" s="45">
        <v>3507</v>
      </c>
      <c r="H523" s="45">
        <v>4953931.2050000001</v>
      </c>
      <c r="I523" s="45">
        <v>3512</v>
      </c>
      <c r="J523" s="45">
        <v>4833359.1100000003</v>
      </c>
    </row>
    <row r="524" spans="1:10" x14ac:dyDescent="0.2">
      <c r="A524" s="92" t="s">
        <v>163</v>
      </c>
      <c r="B524" s="92" t="s">
        <v>83</v>
      </c>
      <c r="C524" s="60" t="s">
        <v>10</v>
      </c>
      <c r="D524" s="60" t="s">
        <v>344</v>
      </c>
      <c r="E524" s="45">
        <v>811</v>
      </c>
      <c r="F524" s="45">
        <v>976182.51399999997</v>
      </c>
      <c r="G524" s="45">
        <v>811</v>
      </c>
      <c r="H524" s="45">
        <v>771196.49199999997</v>
      </c>
      <c r="I524" s="45">
        <v>812</v>
      </c>
      <c r="J524" s="45">
        <v>805231.74899999995</v>
      </c>
    </row>
    <row r="525" spans="1:10" x14ac:dyDescent="0.2">
      <c r="A525" s="92" t="s">
        <v>164</v>
      </c>
      <c r="B525" s="92" t="s">
        <v>83</v>
      </c>
      <c r="C525" s="60" t="s">
        <v>10</v>
      </c>
      <c r="D525" s="60" t="s">
        <v>344</v>
      </c>
      <c r="E525" s="45">
        <v>156</v>
      </c>
      <c r="F525" s="45">
        <v>6839</v>
      </c>
      <c r="G525" s="45">
        <v>156</v>
      </c>
      <c r="H525" s="45">
        <v>420725</v>
      </c>
      <c r="I525" s="45">
        <v>156</v>
      </c>
      <c r="J525" s="45">
        <v>7103</v>
      </c>
    </row>
    <row r="526" spans="1:10" x14ac:dyDescent="0.2">
      <c r="A526" s="92" t="s">
        <v>165</v>
      </c>
      <c r="B526" s="92" t="s">
        <v>83</v>
      </c>
      <c r="C526" s="60" t="s">
        <v>10</v>
      </c>
      <c r="D526" s="60" t="s">
        <v>344</v>
      </c>
      <c r="E526" s="45">
        <v>8811</v>
      </c>
      <c r="F526" s="45">
        <v>10949593.305</v>
      </c>
      <c r="G526" s="45">
        <v>8810</v>
      </c>
      <c r="H526" s="45">
        <v>7969238.9510000004</v>
      </c>
      <c r="I526" s="45">
        <v>8816</v>
      </c>
      <c r="J526" s="45">
        <v>8235972.858</v>
      </c>
    </row>
    <row r="527" spans="1:10" x14ac:dyDescent="0.2">
      <c r="A527" s="92" t="s">
        <v>166</v>
      </c>
      <c r="B527" s="92" t="s">
        <v>83</v>
      </c>
      <c r="C527" s="60" t="s">
        <v>10</v>
      </c>
      <c r="D527" s="60" t="s">
        <v>344</v>
      </c>
      <c r="E527" s="45">
        <v>1871</v>
      </c>
      <c r="F527" s="45">
        <v>3161638.2689999999</v>
      </c>
      <c r="G527" s="45">
        <v>1874</v>
      </c>
      <c r="H527" s="45">
        <v>2565462.2409999999</v>
      </c>
      <c r="I527" s="45">
        <v>1874</v>
      </c>
      <c r="J527" s="45">
        <v>2707688.3539999998</v>
      </c>
    </row>
    <row r="528" spans="1:10" x14ac:dyDescent="0.2">
      <c r="A528" s="92" t="s">
        <v>167</v>
      </c>
      <c r="B528" s="92" t="s">
        <v>83</v>
      </c>
      <c r="C528" s="60" t="s">
        <v>10</v>
      </c>
      <c r="D528" s="60" t="s">
        <v>344</v>
      </c>
      <c r="E528" s="45">
        <v>226</v>
      </c>
      <c r="F528" s="45">
        <v>592347.53700000001</v>
      </c>
      <c r="G528" s="45">
        <v>226</v>
      </c>
      <c r="H528" s="45">
        <v>22564</v>
      </c>
      <c r="I528" s="45">
        <v>225</v>
      </c>
      <c r="J528" s="45">
        <v>480155.087</v>
      </c>
    </row>
    <row r="529" spans="1:10" x14ac:dyDescent="0.2">
      <c r="A529" s="92" t="s">
        <v>303</v>
      </c>
      <c r="B529" s="92" t="s">
        <v>257</v>
      </c>
      <c r="C529" s="60" t="s">
        <v>10</v>
      </c>
      <c r="D529" s="60" t="s">
        <v>345</v>
      </c>
      <c r="E529" s="45">
        <v>11238</v>
      </c>
      <c r="F529" s="45">
        <v>1346581.591</v>
      </c>
      <c r="G529" s="45">
        <v>11308</v>
      </c>
      <c r="H529" s="45">
        <v>1018806.838</v>
      </c>
      <c r="I529" s="45">
        <v>11324</v>
      </c>
      <c r="J529" s="45">
        <v>1110555.4879999999</v>
      </c>
    </row>
    <row r="530" spans="1:10" x14ac:dyDescent="0.2">
      <c r="A530" s="92" t="s">
        <v>304</v>
      </c>
      <c r="B530" s="92" t="s">
        <v>257</v>
      </c>
      <c r="C530" s="60" t="s">
        <v>10</v>
      </c>
      <c r="D530" s="60" t="s">
        <v>345</v>
      </c>
      <c r="E530" s="45">
        <v>2960</v>
      </c>
      <c r="F530" s="45">
        <v>374278.68699999998</v>
      </c>
      <c r="G530" s="45">
        <v>2969</v>
      </c>
      <c r="H530" s="45">
        <v>286408.89199999999</v>
      </c>
      <c r="I530" s="45">
        <v>2971</v>
      </c>
      <c r="J530" s="45">
        <v>311765.21999999997</v>
      </c>
    </row>
    <row r="531" spans="1:10" x14ac:dyDescent="0.2">
      <c r="A531" s="92" t="s">
        <v>168</v>
      </c>
      <c r="B531" s="92" t="s">
        <v>83</v>
      </c>
      <c r="C531" s="60" t="s">
        <v>10</v>
      </c>
      <c r="D531" s="60" t="s">
        <v>344</v>
      </c>
      <c r="E531" s="45">
        <v>3</v>
      </c>
      <c r="F531" s="45">
        <v>6391</v>
      </c>
      <c r="G531" s="45">
        <v>3</v>
      </c>
      <c r="H531" s="45">
        <v>5358</v>
      </c>
      <c r="I531" s="45">
        <v>3</v>
      </c>
      <c r="J531" s="45">
        <v>5096.8999999999996</v>
      </c>
    </row>
    <row r="532" spans="1:10" x14ac:dyDescent="0.2">
      <c r="A532" s="92" t="s">
        <v>168</v>
      </c>
      <c r="B532" s="92" t="s">
        <v>257</v>
      </c>
      <c r="C532" s="60" t="s">
        <v>10</v>
      </c>
      <c r="D532" s="60" t="s">
        <v>345</v>
      </c>
      <c r="E532" s="45">
        <v>4458</v>
      </c>
      <c r="F532" s="45">
        <v>524532.85199999996</v>
      </c>
      <c r="G532" s="45">
        <v>4460</v>
      </c>
      <c r="H532" s="45">
        <v>454821.40399999998</v>
      </c>
      <c r="I532" s="45">
        <v>4464</v>
      </c>
      <c r="J532" s="45">
        <v>464029.01299999998</v>
      </c>
    </row>
    <row r="533" spans="1:10" x14ac:dyDescent="0.2">
      <c r="A533" s="71" t="s">
        <v>169</v>
      </c>
      <c r="B533" s="92" t="s">
        <v>83</v>
      </c>
      <c r="C533" s="60" t="s">
        <v>10</v>
      </c>
      <c r="D533" s="60" t="s">
        <v>344</v>
      </c>
      <c r="E533" s="45">
        <v>11507</v>
      </c>
      <c r="F533" s="45">
        <v>14499958.243000001</v>
      </c>
      <c r="G533" s="45">
        <v>11576</v>
      </c>
      <c r="H533" s="45">
        <v>11688397.92</v>
      </c>
      <c r="I533" s="45">
        <v>11578</v>
      </c>
      <c r="J533" s="45">
        <v>12178741.348999999</v>
      </c>
    </row>
    <row r="534" spans="1:10" x14ac:dyDescent="0.2">
      <c r="A534" s="92" t="s">
        <v>170</v>
      </c>
      <c r="B534" s="92" t="s">
        <v>83</v>
      </c>
      <c r="C534" s="60" t="s">
        <v>10</v>
      </c>
      <c r="D534" s="60" t="s">
        <v>344</v>
      </c>
      <c r="E534" s="45">
        <v>7835</v>
      </c>
      <c r="F534" s="45">
        <v>10264645.142999999</v>
      </c>
      <c r="G534" s="45">
        <v>7839</v>
      </c>
      <c r="H534" s="45">
        <v>7809858.2949999999</v>
      </c>
      <c r="I534" s="45">
        <v>7842</v>
      </c>
      <c r="J534" s="45">
        <v>8979598.6620000005</v>
      </c>
    </row>
    <row r="535" spans="1:10" x14ac:dyDescent="0.2">
      <c r="A535" s="92" t="s">
        <v>305</v>
      </c>
      <c r="B535" s="92" t="s">
        <v>257</v>
      </c>
      <c r="C535" s="60" t="s">
        <v>10</v>
      </c>
      <c r="D535" s="60" t="s">
        <v>345</v>
      </c>
      <c r="E535" s="45">
        <v>5425</v>
      </c>
      <c r="F535" s="45">
        <v>685093.40099999995</v>
      </c>
      <c r="G535" s="45">
        <v>5428</v>
      </c>
      <c r="H535" s="45">
        <v>674753.84</v>
      </c>
      <c r="I535" s="45">
        <v>5429</v>
      </c>
      <c r="J535" s="45">
        <v>641667.36600000004</v>
      </c>
    </row>
    <row r="536" spans="1:10" x14ac:dyDescent="0.2">
      <c r="A536" s="92" t="s">
        <v>171</v>
      </c>
      <c r="B536" s="92" t="s">
        <v>83</v>
      </c>
      <c r="C536" s="60" t="s">
        <v>10</v>
      </c>
      <c r="D536" s="60" t="s">
        <v>344</v>
      </c>
      <c r="E536" s="45">
        <v>539</v>
      </c>
      <c r="F536" s="45">
        <v>449301.17099999997</v>
      </c>
      <c r="G536" s="45">
        <v>539</v>
      </c>
      <c r="H536" s="45">
        <v>475838.06800000003</v>
      </c>
      <c r="I536" s="45">
        <v>539</v>
      </c>
      <c r="J536" s="45">
        <v>403148.03700000001</v>
      </c>
    </row>
    <row r="537" spans="1:10" x14ac:dyDescent="0.2">
      <c r="A537" s="92" t="s">
        <v>172</v>
      </c>
      <c r="B537" s="92" t="s">
        <v>83</v>
      </c>
      <c r="C537" s="60" t="s">
        <v>10</v>
      </c>
      <c r="D537" s="60" t="s">
        <v>344</v>
      </c>
      <c r="E537" s="45">
        <v>17183</v>
      </c>
      <c r="F537" s="45">
        <v>23108815.855</v>
      </c>
      <c r="G537" s="45">
        <v>17171</v>
      </c>
      <c r="H537" s="45">
        <v>20137231.182999998</v>
      </c>
      <c r="I537" s="45">
        <v>17174</v>
      </c>
      <c r="J537" s="45">
        <v>20636379.673</v>
      </c>
    </row>
    <row r="538" spans="1:10" x14ac:dyDescent="0.2">
      <c r="A538" s="71" t="s">
        <v>174</v>
      </c>
      <c r="B538" s="71" t="s">
        <v>83</v>
      </c>
      <c r="C538" s="60" t="s">
        <v>10</v>
      </c>
      <c r="D538" s="60" t="s">
        <v>344</v>
      </c>
      <c r="E538" s="45">
        <v>2125</v>
      </c>
      <c r="F538" s="45">
        <v>2359686.4160000002</v>
      </c>
      <c r="G538" s="45">
        <v>2123</v>
      </c>
      <c r="H538" s="45">
        <v>1765200.5889999999</v>
      </c>
      <c r="I538" s="45">
        <v>2122</v>
      </c>
      <c r="J538" s="45">
        <v>1870908.0179999999</v>
      </c>
    </row>
    <row r="539" spans="1:10" x14ac:dyDescent="0.2">
      <c r="A539" s="92" t="s">
        <v>175</v>
      </c>
      <c r="B539" s="92" t="s">
        <v>83</v>
      </c>
      <c r="C539" s="60" t="s">
        <v>10</v>
      </c>
      <c r="D539" s="60" t="s">
        <v>344</v>
      </c>
      <c r="E539" s="45">
        <v>225</v>
      </c>
      <c r="F539" s="45">
        <v>467196.625</v>
      </c>
      <c r="G539" s="45">
        <v>225</v>
      </c>
      <c r="H539" s="45">
        <v>152998.03099999999</v>
      </c>
      <c r="I539" s="45">
        <v>225</v>
      </c>
      <c r="J539" s="45">
        <v>387143.45799999998</v>
      </c>
    </row>
    <row r="540" spans="1:10" x14ac:dyDescent="0.2">
      <c r="A540" s="92" t="s">
        <v>176</v>
      </c>
      <c r="B540" s="92" t="s">
        <v>83</v>
      </c>
      <c r="C540" s="60" t="s">
        <v>10</v>
      </c>
      <c r="D540" s="60" t="s">
        <v>344</v>
      </c>
      <c r="E540" s="45">
        <v>10722</v>
      </c>
      <c r="F540" s="45">
        <v>14750425.611</v>
      </c>
      <c r="G540" s="45">
        <v>10728</v>
      </c>
      <c r="H540" s="45">
        <v>13471104.816</v>
      </c>
      <c r="I540" s="45">
        <v>10732</v>
      </c>
      <c r="J540" s="45">
        <v>13810436.550000001</v>
      </c>
    </row>
    <row r="541" spans="1:10" x14ac:dyDescent="0.2">
      <c r="A541" s="92" t="s">
        <v>177</v>
      </c>
      <c r="B541" s="92" t="s">
        <v>83</v>
      </c>
      <c r="C541" s="60" t="s">
        <v>10</v>
      </c>
      <c r="D541" s="60" t="s">
        <v>344</v>
      </c>
      <c r="E541" s="45">
        <v>373</v>
      </c>
      <c r="F541" s="45">
        <v>578912.56200000003</v>
      </c>
      <c r="G541" s="45">
        <v>373</v>
      </c>
      <c r="H541" s="45">
        <v>351346</v>
      </c>
      <c r="I541" s="45">
        <v>370</v>
      </c>
      <c r="J541" s="45">
        <v>655273.37800000003</v>
      </c>
    </row>
    <row r="542" spans="1:10" x14ac:dyDescent="0.2">
      <c r="A542" s="92" t="s">
        <v>306</v>
      </c>
      <c r="B542" s="92" t="s">
        <v>257</v>
      </c>
      <c r="C542" s="60" t="s">
        <v>10</v>
      </c>
      <c r="D542" s="60" t="s">
        <v>345</v>
      </c>
      <c r="E542" s="45">
        <v>2917</v>
      </c>
      <c r="F542" s="45">
        <v>357814.462</v>
      </c>
      <c r="G542" s="45">
        <v>2919</v>
      </c>
      <c r="H542" s="45">
        <v>303017.37400000001</v>
      </c>
      <c r="I542" s="45">
        <v>2917</v>
      </c>
      <c r="J542" s="45">
        <v>312234.7</v>
      </c>
    </row>
    <row r="543" spans="1:10" x14ac:dyDescent="0.2">
      <c r="A543" s="92" t="s">
        <v>178</v>
      </c>
      <c r="B543" s="92" t="s">
        <v>83</v>
      </c>
      <c r="C543" s="60" t="s">
        <v>10</v>
      </c>
      <c r="D543" s="60" t="s">
        <v>344</v>
      </c>
      <c r="E543" s="45">
        <v>28</v>
      </c>
      <c r="F543" s="45">
        <v>5482</v>
      </c>
      <c r="G543" s="45">
        <v>28</v>
      </c>
      <c r="H543" s="45">
        <v>126241</v>
      </c>
      <c r="I543" s="45">
        <v>28</v>
      </c>
      <c r="J543" s="45">
        <v>5872</v>
      </c>
    </row>
    <row r="544" spans="1:10" x14ac:dyDescent="0.2">
      <c r="A544" s="92" t="s">
        <v>178</v>
      </c>
      <c r="B544" s="92" t="s">
        <v>257</v>
      </c>
      <c r="C544" s="60" t="s">
        <v>10</v>
      </c>
      <c r="D544" s="60" t="s">
        <v>345</v>
      </c>
      <c r="E544" s="45">
        <v>484</v>
      </c>
      <c r="F544" s="45">
        <v>66659.165999999997</v>
      </c>
      <c r="G544" s="45">
        <v>485</v>
      </c>
      <c r="H544" s="45">
        <v>57301.214</v>
      </c>
      <c r="I544" s="45">
        <v>487</v>
      </c>
      <c r="J544" s="45">
        <v>60318.300999999999</v>
      </c>
    </row>
    <row r="545" spans="1:10" x14ac:dyDescent="0.2">
      <c r="A545" s="71" t="s">
        <v>307</v>
      </c>
      <c r="B545" s="92" t="s">
        <v>257</v>
      </c>
      <c r="C545" s="60" t="s">
        <v>10</v>
      </c>
      <c r="D545" s="60" t="s">
        <v>345</v>
      </c>
      <c r="E545" s="45">
        <v>1583</v>
      </c>
      <c r="F545" s="45">
        <v>126737.564</v>
      </c>
      <c r="G545" s="45">
        <v>1591</v>
      </c>
      <c r="H545" s="45">
        <v>107825.823</v>
      </c>
      <c r="I545" s="45">
        <v>1594</v>
      </c>
      <c r="J545" s="45">
        <v>113312.868</v>
      </c>
    </row>
    <row r="546" spans="1:10" x14ac:dyDescent="0.2">
      <c r="A546" s="92" t="s">
        <v>179</v>
      </c>
      <c r="B546" s="92" t="s">
        <v>83</v>
      </c>
      <c r="C546" s="60" t="s">
        <v>10</v>
      </c>
      <c r="D546" s="60" t="s">
        <v>344</v>
      </c>
      <c r="E546" s="45">
        <v>464</v>
      </c>
      <c r="F546" s="45">
        <v>785972.42599999998</v>
      </c>
      <c r="G546" s="45">
        <v>465</v>
      </c>
      <c r="H546" s="45">
        <v>688480.59</v>
      </c>
      <c r="I546" s="45">
        <v>462</v>
      </c>
      <c r="J546" s="45">
        <v>686550.19400000002</v>
      </c>
    </row>
    <row r="547" spans="1:10" x14ac:dyDescent="0.2">
      <c r="A547" s="92" t="s">
        <v>308</v>
      </c>
      <c r="B547" s="92" t="s">
        <v>257</v>
      </c>
      <c r="C547" s="60" t="s">
        <v>10</v>
      </c>
      <c r="D547" s="60" t="s">
        <v>345</v>
      </c>
      <c r="E547" s="45">
        <v>6480</v>
      </c>
      <c r="F547" s="45">
        <v>944394.74300000002</v>
      </c>
      <c r="G547" s="45">
        <v>6478</v>
      </c>
      <c r="H547" s="45">
        <v>825357.92099999997</v>
      </c>
      <c r="I547" s="45">
        <v>6485</v>
      </c>
      <c r="J547" s="45">
        <v>909527.79500000004</v>
      </c>
    </row>
    <row r="548" spans="1:10" x14ac:dyDescent="0.2">
      <c r="A548" s="71" t="s">
        <v>180</v>
      </c>
      <c r="B548" s="60" t="s">
        <v>83</v>
      </c>
      <c r="C548" s="60" t="s">
        <v>10</v>
      </c>
      <c r="D548" s="60" t="s">
        <v>344</v>
      </c>
      <c r="E548" s="45">
        <v>9455</v>
      </c>
      <c r="F548" s="45">
        <v>11683644.988</v>
      </c>
      <c r="G548" s="45">
        <v>9471</v>
      </c>
      <c r="H548" s="45">
        <v>9541293.1339999996</v>
      </c>
      <c r="I548" s="45">
        <v>9463</v>
      </c>
      <c r="J548" s="45">
        <v>9893032.2660000008</v>
      </c>
    </row>
    <row r="549" spans="1:10" x14ac:dyDescent="0.2">
      <c r="A549" s="71" t="s">
        <v>181</v>
      </c>
      <c r="B549" s="71" t="s">
        <v>83</v>
      </c>
      <c r="C549" s="60" t="s">
        <v>10</v>
      </c>
      <c r="D549" s="60" t="s">
        <v>344</v>
      </c>
      <c r="E549" s="45">
        <v>10941</v>
      </c>
      <c r="F549" s="45">
        <v>14964726.445</v>
      </c>
      <c r="G549" s="45">
        <v>10952</v>
      </c>
      <c r="H549" s="45">
        <v>12143255.215</v>
      </c>
      <c r="I549" s="45">
        <v>10955</v>
      </c>
      <c r="J549" s="45">
        <v>12713143.197000001</v>
      </c>
    </row>
    <row r="550" spans="1:10" x14ac:dyDescent="0.2">
      <c r="A550" s="71" t="s">
        <v>182</v>
      </c>
      <c r="B550" s="71" t="s">
        <v>83</v>
      </c>
      <c r="C550" s="60" t="s">
        <v>10</v>
      </c>
      <c r="D550" s="60" t="s">
        <v>344</v>
      </c>
      <c r="E550" s="45">
        <v>14666</v>
      </c>
      <c r="F550" s="45">
        <v>20373720.688999999</v>
      </c>
      <c r="G550" s="45">
        <v>14679</v>
      </c>
      <c r="H550" s="45">
        <v>17631081.364999998</v>
      </c>
      <c r="I550" s="45">
        <v>14677</v>
      </c>
      <c r="J550" s="45">
        <v>18752342.385000002</v>
      </c>
    </row>
    <row r="551" spans="1:10" x14ac:dyDescent="0.2">
      <c r="A551" s="92" t="s">
        <v>184</v>
      </c>
      <c r="B551" s="92" t="s">
        <v>83</v>
      </c>
      <c r="C551" s="60" t="s">
        <v>10</v>
      </c>
      <c r="D551" s="60" t="s">
        <v>344</v>
      </c>
      <c r="E551" s="45">
        <v>6509</v>
      </c>
      <c r="F551" s="45">
        <v>9856021.8770000003</v>
      </c>
      <c r="G551" s="45">
        <v>6515</v>
      </c>
      <c r="H551" s="45">
        <v>9919448.0199999996</v>
      </c>
      <c r="I551" s="45">
        <v>6518</v>
      </c>
      <c r="J551" s="45">
        <v>8732785.8890000004</v>
      </c>
    </row>
    <row r="552" spans="1:10" x14ac:dyDescent="0.2">
      <c r="A552" s="60" t="s">
        <v>184</v>
      </c>
      <c r="B552" s="60" t="s">
        <v>257</v>
      </c>
      <c r="C552" s="60" t="s">
        <v>10</v>
      </c>
      <c r="D552" s="60" t="s">
        <v>345</v>
      </c>
      <c r="E552" s="45">
        <v>3133</v>
      </c>
      <c r="F552" s="45">
        <v>318761.37199999997</v>
      </c>
      <c r="G552" s="45">
        <v>3132</v>
      </c>
      <c r="H552" s="45">
        <v>312964.98100000003</v>
      </c>
      <c r="I552" s="45">
        <v>3136</v>
      </c>
      <c r="J552" s="45">
        <v>301132.28200000001</v>
      </c>
    </row>
    <row r="553" spans="1:10" x14ac:dyDescent="0.2">
      <c r="A553" s="71" t="s">
        <v>186</v>
      </c>
      <c r="B553" s="92" t="s">
        <v>83</v>
      </c>
      <c r="C553" s="60" t="s">
        <v>10</v>
      </c>
      <c r="D553" s="60" t="s">
        <v>344</v>
      </c>
      <c r="E553" s="45">
        <v>339</v>
      </c>
      <c r="F553" s="45">
        <v>1196810.077</v>
      </c>
      <c r="G553" s="45">
        <v>339</v>
      </c>
      <c r="H553" s="45">
        <v>19310.653999999999</v>
      </c>
      <c r="I553" s="45">
        <v>340</v>
      </c>
      <c r="J553" s="45">
        <v>1136396.0290000001</v>
      </c>
    </row>
    <row r="554" spans="1:10" x14ac:dyDescent="0.2">
      <c r="A554" s="60" t="s">
        <v>187</v>
      </c>
      <c r="B554" s="60" t="s">
        <v>83</v>
      </c>
      <c r="C554" s="60" t="s">
        <v>10</v>
      </c>
      <c r="D554" s="60" t="s">
        <v>344</v>
      </c>
      <c r="E554" s="45">
        <v>3631</v>
      </c>
      <c r="F554" s="45">
        <v>3102136.8089999999</v>
      </c>
      <c r="G554" s="45">
        <v>3635</v>
      </c>
      <c r="H554" s="45">
        <v>3145950.7540000002</v>
      </c>
      <c r="I554" s="45">
        <v>3632</v>
      </c>
      <c r="J554" s="45">
        <v>2885321.5279999999</v>
      </c>
    </row>
    <row r="555" spans="1:10" x14ac:dyDescent="0.2">
      <c r="A555" s="71" t="s">
        <v>187</v>
      </c>
      <c r="B555" s="71" t="s">
        <v>257</v>
      </c>
      <c r="C555" s="60" t="s">
        <v>10</v>
      </c>
      <c r="D555" s="60" t="s">
        <v>345</v>
      </c>
      <c r="E555" s="45">
        <v>2914</v>
      </c>
      <c r="F555" s="45">
        <v>267038.26699999999</v>
      </c>
      <c r="G555" s="45">
        <v>2916</v>
      </c>
      <c r="H555" s="45">
        <v>260271.48199999999</v>
      </c>
      <c r="I555" s="45">
        <v>2916</v>
      </c>
      <c r="J555" s="45">
        <v>258165.682</v>
      </c>
    </row>
    <row r="556" spans="1:10" x14ac:dyDescent="0.2">
      <c r="A556" s="71" t="s">
        <v>188</v>
      </c>
      <c r="B556" s="71" t="s">
        <v>83</v>
      </c>
      <c r="C556" s="60" t="s">
        <v>10</v>
      </c>
      <c r="D556" s="60" t="s">
        <v>344</v>
      </c>
      <c r="E556" s="45">
        <v>359</v>
      </c>
      <c r="F556" s="45">
        <v>826786.92599999998</v>
      </c>
      <c r="G556" s="45">
        <v>360</v>
      </c>
      <c r="H556" s="45">
        <v>520086</v>
      </c>
      <c r="I556" s="45">
        <v>360</v>
      </c>
      <c r="J556" s="45">
        <v>799696.81099999999</v>
      </c>
    </row>
    <row r="557" spans="1:10" x14ac:dyDescent="0.2">
      <c r="A557" s="71" t="s">
        <v>189</v>
      </c>
      <c r="B557" s="71" t="s">
        <v>83</v>
      </c>
      <c r="C557" s="60" t="s">
        <v>10</v>
      </c>
      <c r="D557" s="60" t="s">
        <v>344</v>
      </c>
      <c r="E557" s="45">
        <v>29</v>
      </c>
      <c r="F557" s="45">
        <v>61114.953000000001</v>
      </c>
      <c r="G557" s="45">
        <v>29</v>
      </c>
      <c r="H557" s="45">
        <v>21520</v>
      </c>
      <c r="I557" s="45">
        <v>29</v>
      </c>
      <c r="J557" s="45">
        <v>80539.86</v>
      </c>
    </row>
    <row r="558" spans="1:10" x14ac:dyDescent="0.2">
      <c r="A558" s="71" t="s">
        <v>190</v>
      </c>
      <c r="B558" s="71" t="s">
        <v>83</v>
      </c>
      <c r="C558" s="60" t="s">
        <v>10</v>
      </c>
      <c r="D558" s="60" t="s">
        <v>344</v>
      </c>
      <c r="E558" s="45">
        <v>312</v>
      </c>
      <c r="F558" s="45">
        <v>521238.09</v>
      </c>
      <c r="G558" s="45">
        <v>312</v>
      </c>
      <c r="H558" s="45">
        <v>517632.16700000002</v>
      </c>
      <c r="I558" s="45">
        <v>313</v>
      </c>
      <c r="J558" s="45">
        <v>510255</v>
      </c>
    </row>
    <row r="559" spans="1:10" x14ac:dyDescent="0.2">
      <c r="A559" s="71" t="s">
        <v>190</v>
      </c>
      <c r="B559" s="71" t="s">
        <v>257</v>
      </c>
      <c r="C559" s="60" t="s">
        <v>10</v>
      </c>
      <c r="D559" s="60" t="s">
        <v>345</v>
      </c>
      <c r="E559" s="45">
        <v>4922</v>
      </c>
      <c r="F559" s="45">
        <v>626965.37399999995</v>
      </c>
      <c r="G559" s="45">
        <v>4924</v>
      </c>
      <c r="H559" s="45">
        <v>584204.09600000002</v>
      </c>
      <c r="I559" s="45">
        <v>4925</v>
      </c>
      <c r="J559" s="45">
        <v>667605.39599999995</v>
      </c>
    </row>
    <row r="560" spans="1:10" x14ac:dyDescent="0.2">
      <c r="A560" s="71" t="s">
        <v>309</v>
      </c>
      <c r="B560" s="71" t="s">
        <v>257</v>
      </c>
      <c r="C560" s="60" t="s">
        <v>10</v>
      </c>
      <c r="D560" s="60" t="s">
        <v>345</v>
      </c>
      <c r="E560" s="45">
        <v>6630</v>
      </c>
      <c r="F560" s="45">
        <v>822191.77899999998</v>
      </c>
      <c r="G560" s="45">
        <v>6640</v>
      </c>
      <c r="H560" s="45">
        <v>752223.41899999999</v>
      </c>
      <c r="I560" s="45">
        <v>6640</v>
      </c>
      <c r="J560" s="45">
        <v>833721.07</v>
      </c>
    </row>
    <row r="561" spans="1:10" x14ac:dyDescent="0.2">
      <c r="A561" s="71" t="s">
        <v>191</v>
      </c>
      <c r="B561" s="71" t="s">
        <v>83</v>
      </c>
      <c r="C561" s="60" t="s">
        <v>10</v>
      </c>
      <c r="D561" s="60" t="s">
        <v>344</v>
      </c>
      <c r="E561" s="45">
        <v>3719</v>
      </c>
      <c r="F561" s="45">
        <v>3344827.96</v>
      </c>
      <c r="G561" s="45">
        <v>3715</v>
      </c>
      <c r="H561" s="45">
        <v>3294110.4109999998</v>
      </c>
      <c r="I561" s="45">
        <v>3714</v>
      </c>
      <c r="J561" s="45">
        <v>3065018.7429999998</v>
      </c>
    </row>
    <row r="562" spans="1:10" x14ac:dyDescent="0.2">
      <c r="A562" s="71" t="s">
        <v>192</v>
      </c>
      <c r="B562" s="71" t="s">
        <v>83</v>
      </c>
      <c r="C562" s="60" t="s">
        <v>10</v>
      </c>
      <c r="D562" s="60" t="s">
        <v>344</v>
      </c>
      <c r="E562" s="45">
        <v>3878</v>
      </c>
      <c r="F562" s="45">
        <v>8179761.7699999996</v>
      </c>
      <c r="G562" s="45">
        <v>3886</v>
      </c>
      <c r="H562" s="45">
        <v>8104792.0449999999</v>
      </c>
      <c r="I562" s="45">
        <v>3888</v>
      </c>
      <c r="J562" s="45">
        <v>8347717.7939999998</v>
      </c>
    </row>
    <row r="563" spans="1:10" x14ac:dyDescent="0.2">
      <c r="A563" s="71" t="s">
        <v>192</v>
      </c>
      <c r="B563" s="71" t="s">
        <v>257</v>
      </c>
      <c r="C563" s="60" t="s">
        <v>10</v>
      </c>
      <c r="D563" s="60" t="s">
        <v>345</v>
      </c>
      <c r="E563" s="45">
        <v>2957</v>
      </c>
      <c r="F563" s="45">
        <v>324286.86200000002</v>
      </c>
      <c r="G563" s="45">
        <v>2961</v>
      </c>
      <c r="H563" s="45">
        <v>296086.913</v>
      </c>
      <c r="I563" s="45">
        <v>2970</v>
      </c>
      <c r="J563" s="45">
        <v>341414.25599999999</v>
      </c>
    </row>
    <row r="564" spans="1:10" x14ac:dyDescent="0.2">
      <c r="A564" s="71" t="s">
        <v>193</v>
      </c>
      <c r="B564" s="71" t="s">
        <v>83</v>
      </c>
      <c r="C564" s="60" t="s">
        <v>10</v>
      </c>
      <c r="D564" s="60" t="s">
        <v>344</v>
      </c>
      <c r="E564" s="45">
        <v>1603</v>
      </c>
      <c r="F564" s="45">
        <v>2835042.216</v>
      </c>
      <c r="G564" s="45">
        <v>1602</v>
      </c>
      <c r="H564" s="45">
        <v>2628930.9709999999</v>
      </c>
      <c r="I564" s="45">
        <v>1602</v>
      </c>
      <c r="J564" s="45">
        <v>2535757.767</v>
      </c>
    </row>
    <row r="565" spans="1:10" x14ac:dyDescent="0.2">
      <c r="A565" s="71" t="s">
        <v>194</v>
      </c>
      <c r="B565" s="71" t="s">
        <v>83</v>
      </c>
      <c r="C565" s="60" t="s">
        <v>10</v>
      </c>
      <c r="D565" s="60" t="s">
        <v>344</v>
      </c>
      <c r="E565" s="45">
        <v>804</v>
      </c>
      <c r="F565" s="45">
        <v>1448704.933</v>
      </c>
      <c r="G565" s="45">
        <v>804</v>
      </c>
      <c r="H565" s="45">
        <v>1370795.004</v>
      </c>
      <c r="I565" s="45">
        <v>804</v>
      </c>
      <c r="J565" s="45">
        <v>1303481.273</v>
      </c>
    </row>
    <row r="566" spans="1:10" x14ac:dyDescent="0.2">
      <c r="A566" s="71" t="s">
        <v>195</v>
      </c>
      <c r="B566" s="71" t="s">
        <v>83</v>
      </c>
      <c r="C566" s="60" t="s">
        <v>10</v>
      </c>
      <c r="D566" s="60" t="s">
        <v>344</v>
      </c>
      <c r="E566" s="45">
        <v>1</v>
      </c>
      <c r="F566" s="45">
        <v>3977</v>
      </c>
      <c r="G566" s="45">
        <v>1</v>
      </c>
      <c r="H566" s="45"/>
      <c r="I566" s="45">
        <v>1</v>
      </c>
      <c r="J566" s="45">
        <v>3357</v>
      </c>
    </row>
    <row r="567" spans="1:10" x14ac:dyDescent="0.2">
      <c r="A567" s="71" t="s">
        <v>196</v>
      </c>
      <c r="B567" s="71" t="s">
        <v>83</v>
      </c>
      <c r="C567" s="60" t="s">
        <v>10</v>
      </c>
      <c r="D567" s="60" t="s">
        <v>344</v>
      </c>
      <c r="E567" s="45">
        <v>202</v>
      </c>
      <c r="F567" s="45">
        <v>252340</v>
      </c>
      <c r="G567" s="45">
        <v>202</v>
      </c>
      <c r="H567" s="45">
        <v>219482.06200000001</v>
      </c>
      <c r="I567" s="45">
        <v>202</v>
      </c>
      <c r="J567" s="45">
        <v>217437</v>
      </c>
    </row>
    <row r="568" spans="1:10" x14ac:dyDescent="0.2">
      <c r="A568" s="71" t="s">
        <v>197</v>
      </c>
      <c r="B568" s="71" t="s">
        <v>83</v>
      </c>
      <c r="C568" s="60" t="s">
        <v>10</v>
      </c>
      <c r="D568" s="60" t="s">
        <v>344</v>
      </c>
      <c r="E568" s="45">
        <v>4586</v>
      </c>
      <c r="F568" s="45">
        <v>8465464.9330000002</v>
      </c>
      <c r="G568" s="45">
        <v>4587</v>
      </c>
      <c r="H568" s="45">
        <v>8194037.2779999999</v>
      </c>
      <c r="I568" s="45">
        <v>4588</v>
      </c>
      <c r="J568" s="45">
        <v>7625135.0520000001</v>
      </c>
    </row>
    <row r="569" spans="1:10" x14ac:dyDescent="0.2">
      <c r="A569" s="71" t="s">
        <v>199</v>
      </c>
      <c r="B569" s="71" t="s">
        <v>83</v>
      </c>
      <c r="C569" s="60" t="s">
        <v>10</v>
      </c>
      <c r="D569" s="60" t="s">
        <v>344</v>
      </c>
      <c r="E569" s="45">
        <v>8</v>
      </c>
      <c r="F569" s="45">
        <v>13581</v>
      </c>
      <c r="G569" s="45">
        <v>8</v>
      </c>
      <c r="H569" s="45">
        <v>13159</v>
      </c>
      <c r="I569" s="45">
        <v>8</v>
      </c>
      <c r="J569" s="45">
        <v>11958</v>
      </c>
    </row>
    <row r="570" spans="1:10" x14ac:dyDescent="0.2">
      <c r="A570" s="71" t="s">
        <v>200</v>
      </c>
      <c r="B570" s="60" t="s">
        <v>83</v>
      </c>
      <c r="C570" s="60" t="s">
        <v>10</v>
      </c>
      <c r="D570" s="60" t="s">
        <v>344</v>
      </c>
      <c r="E570" s="45">
        <v>23</v>
      </c>
      <c r="F570" s="45">
        <v>47379</v>
      </c>
      <c r="G570" s="45">
        <v>23</v>
      </c>
      <c r="H570" s="45">
        <v>43832</v>
      </c>
      <c r="I570" s="45">
        <v>23</v>
      </c>
      <c r="J570" s="45">
        <v>47557</v>
      </c>
    </row>
    <row r="571" spans="1:10" x14ac:dyDescent="0.2">
      <c r="A571" s="71" t="s">
        <v>200</v>
      </c>
      <c r="B571" s="71" t="s">
        <v>257</v>
      </c>
      <c r="C571" s="60" t="s">
        <v>10</v>
      </c>
      <c r="D571" s="60" t="s">
        <v>345</v>
      </c>
      <c r="E571" s="45">
        <v>1380</v>
      </c>
      <c r="F571" s="45">
        <v>124720.606</v>
      </c>
      <c r="G571" s="45">
        <v>1382</v>
      </c>
      <c r="H571" s="45">
        <v>120930.504</v>
      </c>
      <c r="I571" s="45">
        <v>1382</v>
      </c>
      <c r="J571" s="45">
        <v>129720.673</v>
      </c>
    </row>
    <row r="572" spans="1:10" x14ac:dyDescent="0.2">
      <c r="A572" s="71" t="s">
        <v>201</v>
      </c>
      <c r="B572" s="71" t="s">
        <v>83</v>
      </c>
      <c r="C572" s="60" t="s">
        <v>10</v>
      </c>
      <c r="D572" s="60" t="s">
        <v>344</v>
      </c>
      <c r="E572" s="45">
        <v>2016</v>
      </c>
      <c r="F572" s="45">
        <v>3757053.0430000001</v>
      </c>
      <c r="G572" s="45">
        <v>2018</v>
      </c>
      <c r="H572" s="45">
        <v>4092195.8679999998</v>
      </c>
      <c r="I572" s="45">
        <v>2023</v>
      </c>
      <c r="J572" s="45">
        <v>3887320.9730000002</v>
      </c>
    </row>
    <row r="573" spans="1:10" x14ac:dyDescent="0.2">
      <c r="A573" s="71" t="s">
        <v>202</v>
      </c>
      <c r="B573" s="71" t="s">
        <v>83</v>
      </c>
      <c r="C573" s="60" t="s">
        <v>10</v>
      </c>
      <c r="D573" s="60" t="s">
        <v>344</v>
      </c>
      <c r="E573" s="45">
        <v>5255</v>
      </c>
      <c r="F573" s="45">
        <v>6869340.2609999999</v>
      </c>
      <c r="G573" s="45">
        <v>5256</v>
      </c>
      <c r="H573" s="45">
        <v>6342733.642</v>
      </c>
      <c r="I573" s="45">
        <v>5251</v>
      </c>
      <c r="J573" s="45">
        <v>6540648.0269999998</v>
      </c>
    </row>
    <row r="574" spans="1:10" x14ac:dyDescent="0.2">
      <c r="A574" s="71" t="s">
        <v>202</v>
      </c>
      <c r="B574" s="71" t="s">
        <v>257</v>
      </c>
      <c r="C574" s="60" t="s">
        <v>10</v>
      </c>
      <c r="D574" s="60" t="s">
        <v>345</v>
      </c>
      <c r="E574" s="45">
        <v>3474</v>
      </c>
      <c r="F574" s="45">
        <v>370485.30200000003</v>
      </c>
      <c r="G574" s="45">
        <v>3474</v>
      </c>
      <c r="H574" s="45">
        <v>340953.62300000002</v>
      </c>
      <c r="I574" s="45">
        <v>3474</v>
      </c>
      <c r="J574" s="45">
        <v>387145.20299999998</v>
      </c>
    </row>
    <row r="575" spans="1:10" x14ac:dyDescent="0.2">
      <c r="A575" s="71" t="s">
        <v>203</v>
      </c>
      <c r="B575" s="71" t="s">
        <v>83</v>
      </c>
      <c r="C575" s="60" t="s">
        <v>10</v>
      </c>
      <c r="D575" s="60" t="s">
        <v>344</v>
      </c>
      <c r="E575" s="45">
        <v>7</v>
      </c>
      <c r="F575" s="45">
        <v>13929</v>
      </c>
      <c r="G575" s="45">
        <v>7</v>
      </c>
      <c r="H575" s="45">
        <v>11969</v>
      </c>
      <c r="I575" s="45">
        <v>7</v>
      </c>
      <c r="J575" s="45">
        <v>13856</v>
      </c>
    </row>
    <row r="576" spans="1:10" x14ac:dyDescent="0.2">
      <c r="A576" s="71" t="s">
        <v>204</v>
      </c>
      <c r="B576" s="71" t="s">
        <v>83</v>
      </c>
      <c r="C576" s="60" t="s">
        <v>10</v>
      </c>
      <c r="D576" s="60" t="s">
        <v>344</v>
      </c>
      <c r="E576" s="45">
        <v>14985</v>
      </c>
      <c r="F576" s="45">
        <v>19512876.598999999</v>
      </c>
      <c r="G576" s="45">
        <v>15000</v>
      </c>
      <c r="H576" s="45">
        <v>18794341.295000002</v>
      </c>
      <c r="I576" s="45">
        <v>15006</v>
      </c>
      <c r="J576" s="45">
        <v>18368426.100000001</v>
      </c>
    </row>
    <row r="577" spans="1:10" x14ac:dyDescent="0.2">
      <c r="A577" s="92" t="s">
        <v>205</v>
      </c>
      <c r="B577" s="92" t="s">
        <v>83</v>
      </c>
      <c r="C577" s="60" t="s">
        <v>10</v>
      </c>
      <c r="D577" s="60" t="s">
        <v>344</v>
      </c>
      <c r="E577" s="45">
        <v>12503</v>
      </c>
      <c r="F577" s="45">
        <v>20935314.085000001</v>
      </c>
      <c r="G577" s="45">
        <v>12514</v>
      </c>
      <c r="H577" s="45">
        <v>20181019.541000001</v>
      </c>
      <c r="I577" s="45">
        <v>12530</v>
      </c>
      <c r="J577" s="45">
        <v>20551191.989</v>
      </c>
    </row>
    <row r="578" spans="1:10" x14ac:dyDescent="0.2">
      <c r="A578" s="92" t="s">
        <v>206</v>
      </c>
      <c r="B578" s="92" t="s">
        <v>83</v>
      </c>
      <c r="C578" s="60" t="s">
        <v>10</v>
      </c>
      <c r="D578" s="60" t="s">
        <v>344</v>
      </c>
      <c r="E578" s="45">
        <v>13560</v>
      </c>
      <c r="F578" s="45">
        <v>23827805.776999999</v>
      </c>
      <c r="G578" s="45">
        <v>13570</v>
      </c>
      <c r="H578" s="45">
        <v>19809273.498</v>
      </c>
      <c r="I578" s="45">
        <v>13580</v>
      </c>
      <c r="J578" s="45">
        <v>22556405.210000001</v>
      </c>
    </row>
    <row r="579" spans="1:10" x14ac:dyDescent="0.2">
      <c r="A579" s="92" t="s">
        <v>207</v>
      </c>
      <c r="B579" s="92" t="s">
        <v>83</v>
      </c>
      <c r="C579" s="60" t="s">
        <v>10</v>
      </c>
      <c r="D579" s="60" t="s">
        <v>344</v>
      </c>
      <c r="E579" s="45">
        <v>9872</v>
      </c>
      <c r="F579" s="45">
        <v>11591324.885</v>
      </c>
      <c r="G579" s="45">
        <v>9873</v>
      </c>
      <c r="H579" s="45">
        <v>10302759.983999999</v>
      </c>
      <c r="I579" s="45">
        <v>9871</v>
      </c>
      <c r="J579" s="45">
        <v>11295595.528999999</v>
      </c>
    </row>
    <row r="580" spans="1:10" x14ac:dyDescent="0.2">
      <c r="A580" s="92" t="s">
        <v>207</v>
      </c>
      <c r="B580" s="92" t="s">
        <v>257</v>
      </c>
      <c r="C580" s="60" t="s">
        <v>10</v>
      </c>
      <c r="D580" s="60" t="s">
        <v>345</v>
      </c>
      <c r="E580" s="45">
        <v>6479</v>
      </c>
      <c r="F580" s="45">
        <v>662931.56599999999</v>
      </c>
      <c r="G580" s="45">
        <v>6485</v>
      </c>
      <c r="H580" s="45">
        <v>632427.37300000002</v>
      </c>
      <c r="I580" s="45">
        <v>6486</v>
      </c>
      <c r="J580" s="45">
        <v>693935.505</v>
      </c>
    </row>
    <row r="581" spans="1:10" x14ac:dyDescent="0.2">
      <c r="A581" s="71" t="s">
        <v>208</v>
      </c>
      <c r="B581" s="92" t="s">
        <v>83</v>
      </c>
      <c r="C581" s="60" t="s">
        <v>10</v>
      </c>
      <c r="D581" s="60" t="s">
        <v>344</v>
      </c>
      <c r="E581" s="45">
        <v>11254</v>
      </c>
      <c r="F581" s="45">
        <v>14488941.546</v>
      </c>
      <c r="G581" s="45">
        <v>11296</v>
      </c>
      <c r="H581" s="45">
        <v>12743814.441</v>
      </c>
      <c r="I581" s="45">
        <v>11371</v>
      </c>
      <c r="J581" s="45">
        <v>13121593.797</v>
      </c>
    </row>
    <row r="582" spans="1:10" x14ac:dyDescent="0.2">
      <c r="A582" s="92" t="s">
        <v>208</v>
      </c>
      <c r="B582" s="92" t="s">
        <v>257</v>
      </c>
      <c r="C582" s="60" t="s">
        <v>10</v>
      </c>
      <c r="D582" s="60" t="s">
        <v>345</v>
      </c>
      <c r="E582" s="45">
        <v>5321</v>
      </c>
      <c r="F582" s="45">
        <v>582917.397</v>
      </c>
      <c r="G582" s="45">
        <v>5325</v>
      </c>
      <c r="H582" s="45">
        <v>527707.45400000003</v>
      </c>
      <c r="I582" s="45">
        <v>5333</v>
      </c>
      <c r="J582" s="45">
        <v>563330.48600000003</v>
      </c>
    </row>
    <row r="583" spans="1:10" x14ac:dyDescent="0.2">
      <c r="A583" s="71" t="s">
        <v>209</v>
      </c>
      <c r="B583" s="92" t="s">
        <v>83</v>
      </c>
      <c r="C583" s="60" t="s">
        <v>10</v>
      </c>
      <c r="D583" s="60" t="s">
        <v>344</v>
      </c>
      <c r="E583" s="45">
        <v>7632</v>
      </c>
      <c r="F583" s="45">
        <v>9129229.1380000003</v>
      </c>
      <c r="G583" s="45">
        <v>7633</v>
      </c>
      <c r="H583" s="45">
        <v>8704449.2819999997</v>
      </c>
      <c r="I583" s="45">
        <v>7631</v>
      </c>
      <c r="J583" s="45">
        <v>9067619.6150000002</v>
      </c>
    </row>
    <row r="584" spans="1:10" x14ac:dyDescent="0.2">
      <c r="A584" s="92" t="s">
        <v>209</v>
      </c>
      <c r="B584" s="92" t="s">
        <v>257</v>
      </c>
      <c r="C584" s="60" t="s">
        <v>10</v>
      </c>
      <c r="D584" s="60" t="s">
        <v>345</v>
      </c>
      <c r="E584" s="45">
        <v>5423</v>
      </c>
      <c r="F584" s="45">
        <v>585757.56799999997</v>
      </c>
      <c r="G584" s="45">
        <v>5422</v>
      </c>
      <c r="H584" s="45">
        <v>545209.429</v>
      </c>
      <c r="I584" s="45">
        <v>5423</v>
      </c>
      <c r="J584" s="45">
        <v>593590.85100000002</v>
      </c>
    </row>
    <row r="585" spans="1:10" x14ac:dyDescent="0.2">
      <c r="A585" s="71" t="s">
        <v>210</v>
      </c>
      <c r="B585" s="92" t="s">
        <v>83</v>
      </c>
      <c r="C585" s="60" t="s">
        <v>10</v>
      </c>
      <c r="D585" s="60" t="s">
        <v>344</v>
      </c>
      <c r="E585" s="45">
        <v>16632</v>
      </c>
      <c r="F585" s="45">
        <v>20151396.785</v>
      </c>
      <c r="G585" s="45">
        <v>16668</v>
      </c>
      <c r="H585" s="45">
        <v>19125663.271000002</v>
      </c>
      <c r="I585" s="45">
        <v>16751</v>
      </c>
      <c r="J585" s="45">
        <v>19456031.655000001</v>
      </c>
    </row>
    <row r="586" spans="1:10" x14ac:dyDescent="0.2">
      <c r="A586" s="92" t="s">
        <v>210</v>
      </c>
      <c r="B586" s="92" t="s">
        <v>257</v>
      </c>
      <c r="C586" s="60" t="s">
        <v>10</v>
      </c>
      <c r="D586" s="60" t="s">
        <v>345</v>
      </c>
      <c r="E586" s="45">
        <v>11478</v>
      </c>
      <c r="F586" s="45">
        <v>1229585.547</v>
      </c>
      <c r="G586" s="45">
        <v>11510</v>
      </c>
      <c r="H586" s="45">
        <v>1189889.764</v>
      </c>
      <c r="I586" s="45">
        <v>11529</v>
      </c>
      <c r="J586" s="45">
        <v>1294058.679</v>
      </c>
    </row>
    <row r="587" spans="1:10" x14ac:dyDescent="0.2">
      <c r="A587" s="71" t="s">
        <v>211</v>
      </c>
      <c r="B587" s="92" t="s">
        <v>83</v>
      </c>
      <c r="C587" s="60" t="s">
        <v>10</v>
      </c>
      <c r="D587" s="60" t="s">
        <v>344</v>
      </c>
      <c r="E587" s="45">
        <v>6243</v>
      </c>
      <c r="F587" s="45">
        <v>6614263.3150000004</v>
      </c>
      <c r="G587" s="45">
        <v>6242</v>
      </c>
      <c r="H587" s="45">
        <v>6377465.7189999996</v>
      </c>
      <c r="I587" s="45">
        <v>6243</v>
      </c>
      <c r="J587" s="45">
        <v>6443159.159</v>
      </c>
    </row>
    <row r="588" spans="1:10" x14ac:dyDescent="0.2">
      <c r="A588" s="92" t="s">
        <v>211</v>
      </c>
      <c r="B588" s="92" t="s">
        <v>257</v>
      </c>
      <c r="C588" s="60" t="s">
        <v>10</v>
      </c>
      <c r="D588" s="60" t="s">
        <v>345</v>
      </c>
      <c r="E588" s="45">
        <v>7543</v>
      </c>
      <c r="F588" s="45">
        <v>836274.93400000001</v>
      </c>
      <c r="G588" s="45">
        <v>7543</v>
      </c>
      <c r="H588" s="45">
        <v>794420.49399999995</v>
      </c>
      <c r="I588" s="45">
        <v>7541</v>
      </c>
      <c r="J588" s="45">
        <v>885346.83200000005</v>
      </c>
    </row>
    <row r="589" spans="1:10" x14ac:dyDescent="0.2">
      <c r="A589" s="71" t="s">
        <v>212</v>
      </c>
      <c r="B589" s="92" t="s">
        <v>83</v>
      </c>
      <c r="C589" s="60" t="s">
        <v>10</v>
      </c>
      <c r="D589" s="60" t="s">
        <v>344</v>
      </c>
      <c r="E589" s="45">
        <v>2328</v>
      </c>
      <c r="F589" s="45">
        <v>2795931.4509999999</v>
      </c>
      <c r="G589" s="45">
        <v>2328</v>
      </c>
      <c r="H589" s="45">
        <v>6027086.3310000002</v>
      </c>
      <c r="I589" s="45">
        <v>2327</v>
      </c>
      <c r="J589" s="45">
        <v>2667049.9</v>
      </c>
    </row>
    <row r="590" spans="1:10" x14ac:dyDescent="0.2">
      <c r="A590" s="92" t="s">
        <v>213</v>
      </c>
      <c r="B590" s="92" t="s">
        <v>83</v>
      </c>
      <c r="C590" s="60" t="s">
        <v>10</v>
      </c>
      <c r="D590" s="60" t="s">
        <v>344</v>
      </c>
      <c r="E590" s="45">
        <v>8961</v>
      </c>
      <c r="F590" s="45">
        <v>10608173.886</v>
      </c>
      <c r="G590" s="45">
        <v>8972</v>
      </c>
      <c r="H590" s="45">
        <v>9825955.7949999999</v>
      </c>
      <c r="I590" s="45">
        <v>9069</v>
      </c>
      <c r="J590" s="45">
        <v>9614884.0109999999</v>
      </c>
    </row>
    <row r="591" spans="1:10" x14ac:dyDescent="0.2">
      <c r="A591" s="92" t="s">
        <v>214</v>
      </c>
      <c r="B591" s="92" t="s">
        <v>83</v>
      </c>
      <c r="C591" s="60" t="s">
        <v>10</v>
      </c>
      <c r="D591" s="60" t="s">
        <v>344</v>
      </c>
      <c r="E591" s="45">
        <v>137</v>
      </c>
      <c r="F591" s="45">
        <v>280550</v>
      </c>
      <c r="G591" s="45">
        <v>137</v>
      </c>
      <c r="H591" s="45">
        <v>263365</v>
      </c>
      <c r="I591" s="45">
        <v>137</v>
      </c>
      <c r="J591" s="45">
        <v>263554</v>
      </c>
    </row>
    <row r="592" spans="1:10" x14ac:dyDescent="0.2">
      <c r="A592" s="92" t="s">
        <v>215</v>
      </c>
      <c r="B592" s="92" t="s">
        <v>83</v>
      </c>
      <c r="C592" s="60" t="s">
        <v>10</v>
      </c>
      <c r="D592" s="60" t="s">
        <v>344</v>
      </c>
      <c r="E592" s="45">
        <v>1407</v>
      </c>
      <c r="F592" s="45">
        <v>2601675.4989999998</v>
      </c>
      <c r="G592" s="45">
        <v>1408</v>
      </c>
      <c r="H592" s="45">
        <v>2300726.3969999999</v>
      </c>
      <c r="I592" s="45">
        <v>1406</v>
      </c>
      <c r="J592" s="45">
        <v>2339956.9920000001</v>
      </c>
    </row>
    <row r="593" spans="1:10" x14ac:dyDescent="0.2">
      <c r="A593" s="92" t="s">
        <v>215</v>
      </c>
      <c r="B593" s="92" t="s">
        <v>257</v>
      </c>
      <c r="C593" s="60" t="s">
        <v>10</v>
      </c>
      <c r="D593" s="60" t="s">
        <v>345</v>
      </c>
      <c r="E593" s="45">
        <v>8084</v>
      </c>
      <c r="F593" s="45">
        <v>930078.04799999995</v>
      </c>
      <c r="G593" s="45">
        <v>8084</v>
      </c>
      <c r="H593" s="45">
        <v>775666.62600000005</v>
      </c>
      <c r="I593" s="45">
        <v>8086</v>
      </c>
      <c r="J593" s="45">
        <v>845171.34499999997</v>
      </c>
    </row>
    <row r="594" spans="1:10" x14ac:dyDescent="0.2">
      <c r="A594" s="71" t="s">
        <v>216</v>
      </c>
      <c r="B594" s="92" t="s">
        <v>83</v>
      </c>
      <c r="C594" s="60" t="s">
        <v>10</v>
      </c>
      <c r="D594" s="60" t="s">
        <v>344</v>
      </c>
      <c r="E594" s="45">
        <v>61</v>
      </c>
      <c r="F594" s="45">
        <v>88438.459000000003</v>
      </c>
      <c r="G594" s="45">
        <v>62</v>
      </c>
      <c r="H594" s="45">
        <v>78849.540999999997</v>
      </c>
      <c r="I594" s="45">
        <v>62</v>
      </c>
      <c r="J594" s="45">
        <v>81183</v>
      </c>
    </row>
    <row r="595" spans="1:10" x14ac:dyDescent="0.2">
      <c r="A595" s="92" t="s">
        <v>216</v>
      </c>
      <c r="B595" s="92" t="s">
        <v>257</v>
      </c>
      <c r="C595" s="60" t="s">
        <v>10</v>
      </c>
      <c r="D595" s="60" t="s">
        <v>345</v>
      </c>
      <c r="E595" s="45">
        <v>1642</v>
      </c>
      <c r="F595" s="45">
        <v>182348.37599999999</v>
      </c>
      <c r="G595" s="45">
        <v>1644</v>
      </c>
      <c r="H595" s="45">
        <v>167682.29300000001</v>
      </c>
      <c r="I595" s="45">
        <v>1648</v>
      </c>
      <c r="J595" s="45">
        <v>172807.611</v>
      </c>
    </row>
    <row r="596" spans="1:10" x14ac:dyDescent="0.2">
      <c r="A596" s="71" t="s">
        <v>217</v>
      </c>
      <c r="B596" s="92" t="s">
        <v>83</v>
      </c>
      <c r="C596" s="60" t="s">
        <v>10</v>
      </c>
      <c r="D596" s="60" t="s">
        <v>344</v>
      </c>
      <c r="E596" s="45">
        <v>4898</v>
      </c>
      <c r="F596" s="45">
        <v>5791388.8600000003</v>
      </c>
      <c r="G596" s="45">
        <v>4898</v>
      </c>
      <c r="H596" s="45">
        <v>5198770.7609999999</v>
      </c>
      <c r="I596" s="45">
        <v>4892</v>
      </c>
      <c r="J596" s="45">
        <v>4975380.5619999999</v>
      </c>
    </row>
    <row r="597" spans="1:10" x14ac:dyDescent="0.2">
      <c r="A597" s="92" t="s">
        <v>217</v>
      </c>
      <c r="B597" s="92" t="s">
        <v>257</v>
      </c>
      <c r="C597" s="60" t="s">
        <v>10</v>
      </c>
      <c r="D597" s="60" t="s">
        <v>345</v>
      </c>
      <c r="E597" s="45">
        <v>2502</v>
      </c>
      <c r="F597" s="45">
        <v>242238.67499999999</v>
      </c>
      <c r="G597" s="45">
        <v>2500</v>
      </c>
      <c r="H597" s="45">
        <v>224676.253</v>
      </c>
      <c r="I597" s="45">
        <v>2502</v>
      </c>
      <c r="J597" s="45">
        <v>222443.041</v>
      </c>
    </row>
    <row r="598" spans="1:10" x14ac:dyDescent="0.2">
      <c r="A598" s="71" t="s">
        <v>218</v>
      </c>
      <c r="B598" s="92" t="s">
        <v>83</v>
      </c>
      <c r="C598" s="60" t="s">
        <v>10</v>
      </c>
      <c r="D598" s="60" t="s">
        <v>344</v>
      </c>
      <c r="E598" s="45">
        <v>21812</v>
      </c>
      <c r="F598" s="45">
        <v>30578452.287999999</v>
      </c>
      <c r="G598" s="45">
        <v>21838</v>
      </c>
      <c r="H598" s="45">
        <v>26129869.765999999</v>
      </c>
      <c r="I598" s="45">
        <v>21851</v>
      </c>
      <c r="J598" s="45">
        <v>26963010.726</v>
      </c>
    </row>
    <row r="599" spans="1:10" x14ac:dyDescent="0.2">
      <c r="A599" s="92" t="s">
        <v>218</v>
      </c>
      <c r="B599" s="92" t="s">
        <v>257</v>
      </c>
      <c r="C599" s="60" t="s">
        <v>10</v>
      </c>
      <c r="D599" s="60" t="s">
        <v>345</v>
      </c>
      <c r="E599" s="45">
        <v>14622</v>
      </c>
      <c r="F599" s="45">
        <v>1639797.273</v>
      </c>
      <c r="G599" s="45">
        <v>14634</v>
      </c>
      <c r="H599" s="45">
        <v>1513882.675</v>
      </c>
      <c r="I599" s="45">
        <v>14651</v>
      </c>
      <c r="J599" s="45">
        <v>1584970.8060000001</v>
      </c>
    </row>
    <row r="600" spans="1:10" x14ac:dyDescent="0.2">
      <c r="A600" s="71" t="s">
        <v>219</v>
      </c>
      <c r="B600" s="92" t="s">
        <v>83</v>
      </c>
      <c r="C600" s="60" t="s">
        <v>10</v>
      </c>
      <c r="D600" s="60" t="s">
        <v>344</v>
      </c>
      <c r="E600" s="45">
        <v>1363</v>
      </c>
      <c r="F600" s="45">
        <v>2592797.8790000002</v>
      </c>
      <c r="G600" s="45">
        <v>1362</v>
      </c>
      <c r="H600" s="45">
        <v>2226497.426</v>
      </c>
      <c r="I600" s="45">
        <v>1364</v>
      </c>
      <c r="J600" s="45">
        <v>2402578.7740000002</v>
      </c>
    </row>
    <row r="601" spans="1:10" x14ac:dyDescent="0.2">
      <c r="A601" s="71" t="s">
        <v>221</v>
      </c>
      <c r="B601" s="71" t="s">
        <v>83</v>
      </c>
      <c r="C601" s="60" t="s">
        <v>10</v>
      </c>
      <c r="D601" s="60" t="s">
        <v>344</v>
      </c>
      <c r="E601" s="45">
        <v>227</v>
      </c>
      <c r="F601" s="45">
        <v>71397</v>
      </c>
      <c r="G601" s="45">
        <v>227</v>
      </c>
      <c r="H601" s="45">
        <v>760821.55</v>
      </c>
      <c r="I601" s="45">
        <v>227</v>
      </c>
      <c r="J601" s="45">
        <v>37583.546000000002</v>
      </c>
    </row>
    <row r="602" spans="1:10" x14ac:dyDescent="0.2">
      <c r="A602" s="92" t="s">
        <v>310</v>
      </c>
      <c r="B602" s="92" t="s">
        <v>257</v>
      </c>
      <c r="C602" s="60" t="s">
        <v>10</v>
      </c>
      <c r="D602" s="60" t="s">
        <v>345</v>
      </c>
      <c r="E602" s="45">
        <v>187</v>
      </c>
      <c r="F602" s="45">
        <v>16893.374</v>
      </c>
      <c r="G602" s="45">
        <v>186</v>
      </c>
      <c r="H602" s="45">
        <v>13098.806</v>
      </c>
      <c r="I602" s="45">
        <v>189</v>
      </c>
      <c r="J602" s="45">
        <v>16301.146000000001</v>
      </c>
    </row>
    <row r="603" spans="1:10" x14ac:dyDescent="0.2">
      <c r="A603" s="92" t="s">
        <v>311</v>
      </c>
      <c r="B603" s="92" t="s">
        <v>257</v>
      </c>
      <c r="C603" s="60" t="s">
        <v>10</v>
      </c>
      <c r="D603" s="60" t="s">
        <v>345</v>
      </c>
      <c r="E603" s="45">
        <v>1651</v>
      </c>
      <c r="F603" s="45">
        <v>233163.68900000001</v>
      </c>
      <c r="G603" s="45">
        <v>1651</v>
      </c>
      <c r="H603" s="45">
        <v>171418.141</v>
      </c>
      <c r="I603" s="45">
        <v>1645</v>
      </c>
      <c r="J603" s="45">
        <v>197869.171</v>
      </c>
    </row>
    <row r="604" spans="1:10" x14ac:dyDescent="0.2">
      <c r="A604" s="92" t="s">
        <v>312</v>
      </c>
      <c r="B604" s="92" t="s">
        <v>257</v>
      </c>
      <c r="C604" s="60" t="s">
        <v>10</v>
      </c>
      <c r="D604" s="60" t="s">
        <v>345</v>
      </c>
      <c r="E604" s="45">
        <v>3835</v>
      </c>
      <c r="F604" s="45">
        <v>400718.80800000002</v>
      </c>
      <c r="G604" s="45">
        <v>3823</v>
      </c>
      <c r="H604" s="45">
        <v>334682.94900000002</v>
      </c>
      <c r="I604" s="45">
        <v>3829</v>
      </c>
      <c r="J604" s="45">
        <v>363634.98800000001</v>
      </c>
    </row>
    <row r="605" spans="1:10" x14ac:dyDescent="0.2">
      <c r="A605" s="92" t="s">
        <v>313</v>
      </c>
      <c r="B605" s="92" t="s">
        <v>257</v>
      </c>
      <c r="C605" s="60" t="s">
        <v>10</v>
      </c>
      <c r="D605" s="60" t="s">
        <v>345</v>
      </c>
      <c r="E605" s="45">
        <v>4283</v>
      </c>
      <c r="F605" s="45">
        <v>429224.85200000001</v>
      </c>
      <c r="G605" s="45">
        <v>4281</v>
      </c>
      <c r="H605" s="45">
        <v>382564.022</v>
      </c>
      <c r="I605" s="45">
        <v>4275</v>
      </c>
      <c r="J605" s="45">
        <v>400144.54599999997</v>
      </c>
    </row>
    <row r="606" spans="1:10" x14ac:dyDescent="0.2">
      <c r="A606" s="92" t="s">
        <v>314</v>
      </c>
      <c r="B606" s="92" t="s">
        <v>257</v>
      </c>
      <c r="C606" s="60" t="s">
        <v>10</v>
      </c>
      <c r="D606" s="60" t="s">
        <v>345</v>
      </c>
      <c r="E606" s="45">
        <v>5043</v>
      </c>
      <c r="F606" s="45">
        <v>606468.34</v>
      </c>
      <c r="G606" s="45">
        <v>5038</v>
      </c>
      <c r="H606" s="45">
        <v>528302.76300000004</v>
      </c>
      <c r="I606" s="45">
        <v>5038</v>
      </c>
      <c r="J606" s="45">
        <v>574211.29099999997</v>
      </c>
    </row>
    <row r="607" spans="1:10" x14ac:dyDescent="0.2">
      <c r="A607" s="92" t="s">
        <v>315</v>
      </c>
      <c r="B607" s="92" t="s">
        <v>257</v>
      </c>
      <c r="C607" s="60" t="s">
        <v>10</v>
      </c>
      <c r="D607" s="60" t="s">
        <v>345</v>
      </c>
      <c r="E607" s="45">
        <v>5128</v>
      </c>
      <c r="F607" s="45">
        <v>601757.86300000001</v>
      </c>
      <c r="G607" s="45">
        <v>5130</v>
      </c>
      <c r="H607" s="45">
        <v>504224.04100000003</v>
      </c>
      <c r="I607" s="45">
        <v>5129</v>
      </c>
      <c r="J607" s="45">
        <v>535872.25199999998</v>
      </c>
    </row>
    <row r="608" spans="1:10" x14ac:dyDescent="0.2">
      <c r="A608" s="92" t="s">
        <v>316</v>
      </c>
      <c r="B608" s="92" t="s">
        <v>257</v>
      </c>
      <c r="C608" s="60" t="s">
        <v>10</v>
      </c>
      <c r="D608" s="60" t="s">
        <v>345</v>
      </c>
      <c r="E608" s="45">
        <v>3627</v>
      </c>
      <c r="F608" s="45">
        <v>406402.12900000002</v>
      </c>
      <c r="G608" s="45">
        <v>3627</v>
      </c>
      <c r="H608" s="45">
        <v>334637.99200000003</v>
      </c>
      <c r="I608" s="45">
        <v>3625</v>
      </c>
      <c r="J608" s="45">
        <v>377566.723</v>
      </c>
    </row>
    <row r="609" spans="1:10" x14ac:dyDescent="0.2">
      <c r="A609" s="92" t="s">
        <v>317</v>
      </c>
      <c r="B609" s="92" t="s">
        <v>257</v>
      </c>
      <c r="C609" s="60" t="s">
        <v>10</v>
      </c>
      <c r="D609" s="60" t="s">
        <v>345</v>
      </c>
      <c r="E609" s="45">
        <v>3015</v>
      </c>
      <c r="F609" s="45">
        <v>251428.636</v>
      </c>
      <c r="G609" s="45">
        <v>3018</v>
      </c>
      <c r="H609" s="45">
        <v>265865.36300000001</v>
      </c>
      <c r="I609" s="45">
        <v>3018</v>
      </c>
      <c r="J609" s="45">
        <v>245229.62299999999</v>
      </c>
    </row>
    <row r="610" spans="1:10" x14ac:dyDescent="0.2">
      <c r="A610" s="60" t="s">
        <v>320</v>
      </c>
      <c r="B610" s="60" t="s">
        <v>257</v>
      </c>
      <c r="C610" s="60" t="s">
        <v>10</v>
      </c>
      <c r="D610" s="60" t="s">
        <v>345</v>
      </c>
      <c r="E610" s="45">
        <v>1962</v>
      </c>
      <c r="F610" s="45">
        <v>214141.728</v>
      </c>
      <c r="G610" s="45">
        <v>1965</v>
      </c>
      <c r="H610" s="45">
        <v>165726.40599999999</v>
      </c>
      <c r="I610" s="45">
        <v>1961</v>
      </c>
      <c r="J610" s="45">
        <v>185048.88200000001</v>
      </c>
    </row>
    <row r="611" spans="1:10" x14ac:dyDescent="0.2">
      <c r="A611" s="92" t="s">
        <v>321</v>
      </c>
      <c r="B611" s="92" t="s">
        <v>257</v>
      </c>
      <c r="C611" s="60" t="s">
        <v>10</v>
      </c>
      <c r="D611" s="60" t="s">
        <v>345</v>
      </c>
      <c r="E611" s="45">
        <v>4</v>
      </c>
      <c r="F611" s="45">
        <v>786.21400000000006</v>
      </c>
      <c r="G611" s="45">
        <v>4</v>
      </c>
      <c r="H611" s="45">
        <v>213.084</v>
      </c>
      <c r="I611" s="45">
        <v>4</v>
      </c>
      <c r="J611" s="45">
        <v>266.18299999999999</v>
      </c>
    </row>
    <row r="612" spans="1:10" x14ac:dyDescent="0.2">
      <c r="A612" s="71" t="s">
        <v>322</v>
      </c>
      <c r="B612" s="71" t="s">
        <v>83</v>
      </c>
      <c r="C612" s="60" t="s">
        <v>10</v>
      </c>
      <c r="D612" s="60" t="s">
        <v>344</v>
      </c>
      <c r="E612" s="45">
        <v>12</v>
      </c>
      <c r="F612" s="45">
        <v>23857</v>
      </c>
      <c r="G612" s="45">
        <v>12</v>
      </c>
      <c r="H612" s="45">
        <v>23148</v>
      </c>
      <c r="I612" s="45">
        <v>12</v>
      </c>
      <c r="J612" s="45">
        <v>24175</v>
      </c>
    </row>
    <row r="613" spans="1:10" x14ac:dyDescent="0.2">
      <c r="A613" s="71" t="s">
        <v>322</v>
      </c>
      <c r="B613" s="71" t="s">
        <v>257</v>
      </c>
      <c r="C613" s="60" t="s">
        <v>10</v>
      </c>
      <c r="D613" s="60" t="s">
        <v>345</v>
      </c>
      <c r="E613" s="45">
        <v>4888</v>
      </c>
      <c r="F613" s="45">
        <v>622878.79399999999</v>
      </c>
      <c r="G613" s="45">
        <v>4888</v>
      </c>
      <c r="H613" s="45">
        <v>539349.94499999995</v>
      </c>
      <c r="I613" s="45">
        <v>4891</v>
      </c>
      <c r="J613" s="45">
        <v>597599.96299999999</v>
      </c>
    </row>
    <row r="614" spans="1:10" x14ac:dyDescent="0.2">
      <c r="A614" s="71" t="s">
        <v>222</v>
      </c>
      <c r="B614" s="92" t="s">
        <v>83</v>
      </c>
      <c r="C614" s="60" t="s">
        <v>10</v>
      </c>
      <c r="D614" s="60" t="s">
        <v>344</v>
      </c>
      <c r="E614" s="45">
        <v>106</v>
      </c>
      <c r="F614" s="45">
        <v>215468.83300000001</v>
      </c>
      <c r="G614" s="45">
        <v>106</v>
      </c>
      <c r="H614" s="45">
        <v>197347</v>
      </c>
      <c r="I614" s="45">
        <v>106</v>
      </c>
      <c r="J614" s="45">
        <v>214376</v>
      </c>
    </row>
    <row r="615" spans="1:10" x14ac:dyDescent="0.2">
      <c r="A615" s="92" t="s">
        <v>222</v>
      </c>
      <c r="B615" s="92" t="s">
        <v>257</v>
      </c>
      <c r="C615" s="60" t="s">
        <v>10</v>
      </c>
      <c r="D615" s="60" t="s">
        <v>345</v>
      </c>
      <c r="E615" s="45">
        <v>1518</v>
      </c>
      <c r="F615" s="45">
        <v>156241.40900000001</v>
      </c>
      <c r="G615" s="45">
        <v>1518</v>
      </c>
      <c r="H615" s="45">
        <v>140923.087</v>
      </c>
      <c r="I615" s="45">
        <v>1519</v>
      </c>
      <c r="J615" s="45">
        <v>152584.973</v>
      </c>
    </row>
    <row r="616" spans="1:10" x14ac:dyDescent="0.2">
      <c r="A616" s="71" t="s">
        <v>224</v>
      </c>
      <c r="B616" s="60" t="s">
        <v>257</v>
      </c>
      <c r="C616" s="60" t="s">
        <v>10</v>
      </c>
      <c r="D616" s="60" t="s">
        <v>345</v>
      </c>
      <c r="E616" s="45">
        <v>4093</v>
      </c>
      <c r="F616" s="45">
        <v>416860.22600000002</v>
      </c>
      <c r="G616" s="45">
        <v>4093</v>
      </c>
      <c r="H616" s="45">
        <v>377425.97399999999</v>
      </c>
      <c r="I616" s="45">
        <v>4093</v>
      </c>
      <c r="J616" s="45">
        <v>418663.83199999999</v>
      </c>
    </row>
    <row r="617" spans="1:10" x14ac:dyDescent="0.2">
      <c r="A617" s="71" t="s">
        <v>323</v>
      </c>
      <c r="B617" s="92" t="s">
        <v>257</v>
      </c>
      <c r="C617" s="60" t="s">
        <v>10</v>
      </c>
      <c r="D617" s="60" t="s">
        <v>345</v>
      </c>
      <c r="E617" s="45">
        <v>1</v>
      </c>
      <c r="F617" s="45">
        <v>678.86900000000003</v>
      </c>
      <c r="G617" s="45">
        <v>1</v>
      </c>
      <c r="H617" s="45">
        <v>669.30600000000004</v>
      </c>
      <c r="I617" s="45">
        <v>1</v>
      </c>
      <c r="J617" s="45">
        <v>600.60500000000002</v>
      </c>
    </row>
    <row r="618" spans="1:10" x14ac:dyDescent="0.2">
      <c r="A618" s="92" t="s">
        <v>225</v>
      </c>
      <c r="B618" s="92" t="s">
        <v>83</v>
      </c>
      <c r="C618" s="60" t="s">
        <v>10</v>
      </c>
      <c r="D618" s="60" t="s">
        <v>344</v>
      </c>
      <c r="E618" s="45">
        <v>1041</v>
      </c>
      <c r="F618" s="45">
        <v>1324749.362</v>
      </c>
      <c r="G618" s="45">
        <v>1042</v>
      </c>
      <c r="H618" s="45">
        <v>1289177.57</v>
      </c>
      <c r="I618" s="45">
        <v>1040</v>
      </c>
      <c r="J618" s="45">
        <v>1229634.1470000001</v>
      </c>
    </row>
    <row r="619" spans="1:10" x14ac:dyDescent="0.2">
      <c r="A619" s="92" t="s">
        <v>225</v>
      </c>
      <c r="B619" s="92" t="s">
        <v>257</v>
      </c>
      <c r="C619" s="60" t="s">
        <v>10</v>
      </c>
      <c r="D619" s="60" t="s">
        <v>345</v>
      </c>
      <c r="E619" s="45">
        <v>100</v>
      </c>
      <c r="F619" s="45">
        <v>13899.635</v>
      </c>
      <c r="G619" s="45">
        <v>100</v>
      </c>
      <c r="H619" s="45">
        <v>13061.875</v>
      </c>
      <c r="I619" s="45">
        <v>100</v>
      </c>
      <c r="J619" s="45">
        <v>12778.447</v>
      </c>
    </row>
    <row r="620" spans="1:10" x14ac:dyDescent="0.2">
      <c r="A620" s="71" t="s">
        <v>324</v>
      </c>
      <c r="B620" s="92" t="s">
        <v>257</v>
      </c>
      <c r="C620" s="60" t="s">
        <v>10</v>
      </c>
      <c r="D620" s="60" t="s">
        <v>345</v>
      </c>
      <c r="E620" s="45">
        <v>504</v>
      </c>
      <c r="F620" s="45">
        <v>60767.44</v>
      </c>
      <c r="G620" s="45">
        <v>504</v>
      </c>
      <c r="H620" s="45">
        <v>55939.091999999997</v>
      </c>
      <c r="I620" s="45">
        <v>504</v>
      </c>
      <c r="J620" s="45">
        <v>50569.330999999998</v>
      </c>
    </row>
    <row r="621" spans="1:10" x14ac:dyDescent="0.2">
      <c r="A621" s="92" t="s">
        <v>325</v>
      </c>
      <c r="B621" s="92" t="s">
        <v>257</v>
      </c>
      <c r="C621" s="60" t="s">
        <v>10</v>
      </c>
      <c r="D621" s="60" t="s">
        <v>345</v>
      </c>
      <c r="E621" s="45">
        <v>2819</v>
      </c>
      <c r="F621" s="45">
        <v>288490.26500000001</v>
      </c>
      <c r="G621" s="45">
        <v>2823</v>
      </c>
      <c r="H621" s="45">
        <v>263215.04700000002</v>
      </c>
      <c r="I621" s="45">
        <v>2820</v>
      </c>
      <c r="J621" s="45">
        <v>269440.19900000002</v>
      </c>
    </row>
    <row r="622" spans="1:10" x14ac:dyDescent="0.2">
      <c r="A622" s="92" t="s">
        <v>226</v>
      </c>
      <c r="B622" s="92" t="s">
        <v>83</v>
      </c>
      <c r="C622" s="60" t="s">
        <v>10</v>
      </c>
      <c r="D622" s="60" t="s">
        <v>344</v>
      </c>
      <c r="E622" s="45">
        <v>96</v>
      </c>
      <c r="F622" s="45">
        <v>126533.909</v>
      </c>
      <c r="G622" s="45">
        <v>96</v>
      </c>
      <c r="H622" s="45">
        <v>115076</v>
      </c>
      <c r="I622" s="45">
        <v>96</v>
      </c>
      <c r="J622" s="45">
        <v>122125</v>
      </c>
    </row>
    <row r="623" spans="1:10" x14ac:dyDescent="0.2">
      <c r="A623" s="92" t="s">
        <v>226</v>
      </c>
      <c r="B623" s="92" t="s">
        <v>257</v>
      </c>
      <c r="C623" s="60" t="s">
        <v>10</v>
      </c>
      <c r="D623" s="60" t="s">
        <v>345</v>
      </c>
      <c r="E623" s="45">
        <v>4628</v>
      </c>
      <c r="F623" s="45">
        <v>509857.864</v>
      </c>
      <c r="G623" s="45">
        <v>4619</v>
      </c>
      <c r="H623" s="45">
        <v>458260.098</v>
      </c>
      <c r="I623" s="45">
        <v>4622</v>
      </c>
      <c r="J623" s="45">
        <v>490555.049</v>
      </c>
    </row>
    <row r="624" spans="1:10" x14ac:dyDescent="0.2">
      <c r="A624" s="71" t="s">
        <v>227</v>
      </c>
      <c r="B624" s="92" t="s">
        <v>83</v>
      </c>
      <c r="C624" s="60" t="s">
        <v>10</v>
      </c>
      <c r="D624" s="60" t="s">
        <v>344</v>
      </c>
      <c r="E624" s="45">
        <v>1106</v>
      </c>
      <c r="F624" s="45">
        <v>1326483.477</v>
      </c>
      <c r="G624" s="45">
        <v>1102</v>
      </c>
      <c r="H624" s="45">
        <v>1242435.0120000001</v>
      </c>
      <c r="I624" s="45">
        <v>1130</v>
      </c>
      <c r="J624" s="45">
        <v>1356861.567</v>
      </c>
    </row>
    <row r="625" spans="1:10" x14ac:dyDescent="0.2">
      <c r="A625" s="92" t="s">
        <v>227</v>
      </c>
      <c r="B625" s="92" t="s">
        <v>257</v>
      </c>
      <c r="C625" s="60" t="s">
        <v>10</v>
      </c>
      <c r="D625" s="60" t="s">
        <v>345</v>
      </c>
      <c r="E625" s="45">
        <v>815</v>
      </c>
      <c r="F625" s="45">
        <v>89810.596999999994</v>
      </c>
      <c r="G625" s="45">
        <v>816</v>
      </c>
      <c r="H625" s="45">
        <v>79184.135999999999</v>
      </c>
      <c r="I625" s="45">
        <v>816</v>
      </c>
      <c r="J625" s="45">
        <v>86871.993000000002</v>
      </c>
    </row>
    <row r="626" spans="1:10" x14ac:dyDescent="0.2">
      <c r="A626" s="71" t="s">
        <v>327</v>
      </c>
      <c r="B626" s="71" t="s">
        <v>257</v>
      </c>
      <c r="C626" s="60" t="s">
        <v>10</v>
      </c>
      <c r="D626" s="60" t="s">
        <v>345</v>
      </c>
      <c r="E626" s="45">
        <v>1021</v>
      </c>
      <c r="F626" s="45">
        <v>118675.344</v>
      </c>
      <c r="G626" s="45">
        <v>1021</v>
      </c>
      <c r="H626" s="45">
        <v>102190.136</v>
      </c>
      <c r="I626" s="45">
        <v>1022</v>
      </c>
      <c r="J626" s="45">
        <v>110657.83199999999</v>
      </c>
    </row>
    <row r="627" spans="1:10" x14ac:dyDescent="0.2">
      <c r="A627" s="92" t="s">
        <v>328</v>
      </c>
      <c r="B627" s="92" t="s">
        <v>257</v>
      </c>
      <c r="C627" s="60" t="s">
        <v>10</v>
      </c>
      <c r="D627" s="60" t="s">
        <v>345</v>
      </c>
      <c r="E627" s="45">
        <v>5293</v>
      </c>
      <c r="F627" s="45">
        <v>557940.28</v>
      </c>
      <c r="G627" s="45">
        <v>5300</v>
      </c>
      <c r="H627" s="45">
        <v>628221.71799999999</v>
      </c>
      <c r="I627" s="45">
        <v>5297</v>
      </c>
      <c r="J627" s="45">
        <v>539441.603</v>
      </c>
    </row>
    <row r="628" spans="1:10" x14ac:dyDescent="0.2">
      <c r="A628" s="92" t="s">
        <v>329</v>
      </c>
      <c r="B628" s="92" t="s">
        <v>257</v>
      </c>
      <c r="C628" s="60" t="s">
        <v>10</v>
      </c>
      <c r="D628" s="60" t="s">
        <v>345</v>
      </c>
      <c r="E628" s="45">
        <v>3098</v>
      </c>
      <c r="F628" s="45">
        <v>360119.016</v>
      </c>
      <c r="G628" s="45">
        <v>3101</v>
      </c>
      <c r="H628" s="45">
        <v>376266.18099999998</v>
      </c>
      <c r="I628" s="45">
        <v>3101</v>
      </c>
      <c r="J628" s="45">
        <v>351673.57299999997</v>
      </c>
    </row>
    <row r="629" spans="1:10" x14ac:dyDescent="0.2">
      <c r="A629" s="60" t="s">
        <v>230</v>
      </c>
      <c r="B629" s="60" t="s">
        <v>83</v>
      </c>
      <c r="C629" s="60" t="s">
        <v>10</v>
      </c>
      <c r="D629" s="60" t="s">
        <v>344</v>
      </c>
      <c r="E629" s="45">
        <v>7787</v>
      </c>
      <c r="F629" s="45">
        <v>9296009.5800000001</v>
      </c>
      <c r="G629" s="45">
        <v>7792</v>
      </c>
      <c r="H629" s="45">
        <v>8896137.4959999993</v>
      </c>
      <c r="I629" s="45">
        <v>7789</v>
      </c>
      <c r="J629" s="45">
        <v>8749498.4409999996</v>
      </c>
    </row>
    <row r="630" spans="1:10" x14ac:dyDescent="0.2">
      <c r="A630" s="92" t="s">
        <v>230</v>
      </c>
      <c r="B630" s="92" t="s">
        <v>257</v>
      </c>
      <c r="C630" s="60" t="s">
        <v>10</v>
      </c>
      <c r="D630" s="60" t="s">
        <v>345</v>
      </c>
      <c r="E630" s="45">
        <v>7360</v>
      </c>
      <c r="F630" s="45">
        <v>867900.82</v>
      </c>
      <c r="G630" s="45">
        <v>7361</v>
      </c>
      <c r="H630" s="45">
        <v>818663.93</v>
      </c>
      <c r="I630" s="45">
        <v>7361</v>
      </c>
      <c r="J630" s="45">
        <v>841785.25199999998</v>
      </c>
    </row>
    <row r="631" spans="1:10" x14ac:dyDescent="0.2">
      <c r="A631" s="71" t="s">
        <v>231</v>
      </c>
      <c r="B631" s="92" t="s">
        <v>83</v>
      </c>
      <c r="C631" s="60" t="s">
        <v>10</v>
      </c>
      <c r="D631" s="60" t="s">
        <v>344</v>
      </c>
      <c r="E631" s="45">
        <v>618</v>
      </c>
      <c r="F631" s="45">
        <v>1025775.9129999999</v>
      </c>
      <c r="G631" s="45">
        <v>617</v>
      </c>
      <c r="H631" s="45">
        <v>910537.83900000004</v>
      </c>
      <c r="I631" s="45">
        <v>617</v>
      </c>
      <c r="J631" s="45">
        <v>911423.30200000003</v>
      </c>
    </row>
    <row r="632" spans="1:10" x14ac:dyDescent="0.2">
      <c r="A632" s="92" t="s">
        <v>231</v>
      </c>
      <c r="B632" s="92" t="s">
        <v>257</v>
      </c>
      <c r="C632" s="60" t="s">
        <v>10</v>
      </c>
      <c r="D632" s="60" t="s">
        <v>345</v>
      </c>
      <c r="E632" s="45">
        <v>3910</v>
      </c>
      <c r="F632" s="45">
        <v>463154.32900000003</v>
      </c>
      <c r="G632" s="45">
        <v>3906</v>
      </c>
      <c r="H632" s="45">
        <v>423229.701</v>
      </c>
      <c r="I632" s="45">
        <v>3905</v>
      </c>
      <c r="J632" s="45">
        <v>455218.28600000002</v>
      </c>
    </row>
    <row r="633" spans="1:10" x14ac:dyDescent="0.2">
      <c r="A633" s="71" t="s">
        <v>232</v>
      </c>
      <c r="B633" s="92" t="s">
        <v>83</v>
      </c>
      <c r="C633" s="60" t="s">
        <v>10</v>
      </c>
      <c r="D633" s="60" t="s">
        <v>344</v>
      </c>
      <c r="E633" s="45">
        <v>20416</v>
      </c>
      <c r="F633" s="45">
        <v>22230012.125999998</v>
      </c>
      <c r="G633" s="45">
        <v>20425</v>
      </c>
      <c r="H633" s="45">
        <v>19595194.548</v>
      </c>
      <c r="I633" s="45">
        <v>20419</v>
      </c>
      <c r="J633" s="45">
        <v>20876833.138999999</v>
      </c>
    </row>
    <row r="634" spans="1:10" x14ac:dyDescent="0.2">
      <c r="A634" s="92" t="s">
        <v>232</v>
      </c>
      <c r="B634" s="92" t="s">
        <v>257</v>
      </c>
      <c r="C634" s="60" t="s">
        <v>10</v>
      </c>
      <c r="D634" s="60" t="s">
        <v>345</v>
      </c>
      <c r="E634" s="45">
        <v>11331</v>
      </c>
      <c r="F634" s="45">
        <v>1226682.554</v>
      </c>
      <c r="G634" s="45">
        <v>11333</v>
      </c>
      <c r="H634" s="45">
        <v>1062190.257</v>
      </c>
      <c r="I634" s="45">
        <v>11336</v>
      </c>
      <c r="J634" s="45">
        <v>1197133.03</v>
      </c>
    </row>
    <row r="635" spans="1:10" x14ac:dyDescent="0.2">
      <c r="A635" s="71" t="s">
        <v>233</v>
      </c>
      <c r="B635" s="92" t="s">
        <v>83</v>
      </c>
      <c r="C635" s="60" t="s">
        <v>10</v>
      </c>
      <c r="D635" s="60" t="s">
        <v>344</v>
      </c>
      <c r="E635" s="45">
        <v>15833</v>
      </c>
      <c r="F635" s="45">
        <v>19810520.614999998</v>
      </c>
      <c r="G635" s="45">
        <v>15837</v>
      </c>
      <c r="H635" s="45">
        <v>18649201.866</v>
      </c>
      <c r="I635" s="45">
        <v>15830</v>
      </c>
      <c r="J635" s="45">
        <v>17807344.989999998</v>
      </c>
    </row>
    <row r="636" spans="1:10" x14ac:dyDescent="0.2">
      <c r="A636" s="92" t="s">
        <v>233</v>
      </c>
      <c r="B636" s="92" t="s">
        <v>257</v>
      </c>
      <c r="C636" s="60" t="s">
        <v>10</v>
      </c>
      <c r="D636" s="60" t="s">
        <v>345</v>
      </c>
      <c r="E636" s="45">
        <v>5731</v>
      </c>
      <c r="F636" s="45">
        <v>569398.64399999997</v>
      </c>
      <c r="G636" s="45">
        <v>5729</v>
      </c>
      <c r="H636" s="45">
        <v>578683.71400000004</v>
      </c>
      <c r="I636" s="45">
        <v>5729</v>
      </c>
      <c r="J636" s="45">
        <v>516466.82</v>
      </c>
    </row>
    <row r="637" spans="1:10" x14ac:dyDescent="0.2">
      <c r="A637" s="71" t="s">
        <v>234</v>
      </c>
      <c r="B637" s="92" t="s">
        <v>83</v>
      </c>
      <c r="C637" s="60" t="s">
        <v>10</v>
      </c>
      <c r="D637" s="60" t="s">
        <v>344</v>
      </c>
      <c r="E637" s="45">
        <v>16077</v>
      </c>
      <c r="F637" s="45">
        <v>18633889.311999999</v>
      </c>
      <c r="G637" s="45">
        <v>16079</v>
      </c>
      <c r="H637" s="45">
        <v>15593579.912</v>
      </c>
      <c r="I637" s="45">
        <v>16099</v>
      </c>
      <c r="J637" s="45">
        <v>16304270.381999999</v>
      </c>
    </row>
    <row r="638" spans="1:10" x14ac:dyDescent="0.2">
      <c r="A638" s="92" t="s">
        <v>234</v>
      </c>
      <c r="B638" s="92" t="s">
        <v>257</v>
      </c>
      <c r="C638" s="60" t="s">
        <v>10</v>
      </c>
      <c r="D638" s="60" t="s">
        <v>345</v>
      </c>
      <c r="E638" s="45">
        <v>9464</v>
      </c>
      <c r="F638" s="45">
        <v>1005390.502</v>
      </c>
      <c r="G638" s="45">
        <v>9465</v>
      </c>
      <c r="H638" s="45">
        <v>832719.94799999997</v>
      </c>
      <c r="I638" s="45">
        <v>9468</v>
      </c>
      <c r="J638" s="45">
        <v>902106.28300000005</v>
      </c>
    </row>
    <row r="639" spans="1:10" x14ac:dyDescent="0.2">
      <c r="A639" s="92" t="s">
        <v>236</v>
      </c>
      <c r="B639" s="60" t="s">
        <v>83</v>
      </c>
      <c r="C639" s="60" t="s">
        <v>10</v>
      </c>
      <c r="D639" s="60" t="s">
        <v>344</v>
      </c>
      <c r="E639" s="45">
        <v>8512</v>
      </c>
      <c r="F639" s="45">
        <v>11328481.399</v>
      </c>
      <c r="G639" s="45">
        <v>8518</v>
      </c>
      <c r="H639" s="45">
        <v>11250369.975</v>
      </c>
      <c r="I639" s="45">
        <v>8515</v>
      </c>
      <c r="J639" s="45">
        <v>10717044.404999999</v>
      </c>
    </row>
    <row r="640" spans="1:10" x14ac:dyDescent="0.2">
      <c r="A640" s="92" t="s">
        <v>236</v>
      </c>
      <c r="B640" s="92" t="s">
        <v>257</v>
      </c>
      <c r="C640" s="60" t="s">
        <v>10</v>
      </c>
      <c r="D640" s="60" t="s">
        <v>345</v>
      </c>
      <c r="E640" s="45">
        <v>3248</v>
      </c>
      <c r="F640" s="45">
        <v>296818.94</v>
      </c>
      <c r="G640" s="45">
        <v>3245</v>
      </c>
      <c r="H640" s="45">
        <v>285499.92599999998</v>
      </c>
      <c r="I640" s="45">
        <v>3242</v>
      </c>
      <c r="J640" s="45">
        <v>286637.63199999998</v>
      </c>
    </row>
    <row r="641" spans="1:10" x14ac:dyDescent="0.2">
      <c r="A641" s="71" t="s">
        <v>237</v>
      </c>
      <c r="B641" s="92" t="s">
        <v>83</v>
      </c>
      <c r="C641" s="60" t="s">
        <v>10</v>
      </c>
      <c r="D641" s="60" t="s">
        <v>344</v>
      </c>
      <c r="E641" s="45">
        <v>13264</v>
      </c>
      <c r="F641" s="45">
        <v>18041022.993999999</v>
      </c>
      <c r="G641" s="45">
        <v>13268</v>
      </c>
      <c r="H641" s="45">
        <v>17020997.739</v>
      </c>
      <c r="I641" s="45">
        <v>13272</v>
      </c>
      <c r="J641" s="45">
        <v>18459367.228999998</v>
      </c>
    </row>
    <row r="642" spans="1:10" x14ac:dyDescent="0.2">
      <c r="A642" s="92" t="s">
        <v>237</v>
      </c>
      <c r="B642" s="92" t="s">
        <v>257</v>
      </c>
      <c r="C642" s="60" t="s">
        <v>10</v>
      </c>
      <c r="D642" s="60" t="s">
        <v>345</v>
      </c>
      <c r="E642" s="45">
        <v>4989</v>
      </c>
      <c r="F642" s="45">
        <v>457448.40500000003</v>
      </c>
      <c r="G642" s="45">
        <v>4994</v>
      </c>
      <c r="H642" s="45">
        <v>490864.853</v>
      </c>
      <c r="I642" s="45">
        <v>4994</v>
      </c>
      <c r="J642" s="45">
        <v>495093.228</v>
      </c>
    </row>
    <row r="643" spans="1:10" x14ac:dyDescent="0.2">
      <c r="A643" s="71" t="s">
        <v>238</v>
      </c>
      <c r="B643" s="92" t="s">
        <v>83</v>
      </c>
      <c r="C643" s="60" t="s">
        <v>10</v>
      </c>
      <c r="D643" s="60" t="s">
        <v>344</v>
      </c>
      <c r="E643" s="45">
        <v>14114</v>
      </c>
      <c r="F643" s="45">
        <v>20393594.884</v>
      </c>
      <c r="G643" s="45">
        <v>14135</v>
      </c>
      <c r="H643" s="45">
        <v>16072420.800000001</v>
      </c>
      <c r="I643" s="45">
        <v>14141</v>
      </c>
      <c r="J643" s="45">
        <v>17372913.438000001</v>
      </c>
    </row>
    <row r="644" spans="1:10" x14ac:dyDescent="0.2">
      <c r="A644" s="92" t="s">
        <v>238</v>
      </c>
      <c r="B644" s="92" t="s">
        <v>257</v>
      </c>
      <c r="C644" s="60" t="s">
        <v>10</v>
      </c>
      <c r="D644" s="60" t="s">
        <v>345</v>
      </c>
      <c r="E644" s="45">
        <v>7463</v>
      </c>
      <c r="F644" s="45">
        <v>869256.36300000001</v>
      </c>
      <c r="G644" s="45">
        <v>7470</v>
      </c>
      <c r="H644" s="45">
        <v>703328.19799999997</v>
      </c>
      <c r="I644" s="45">
        <v>7477</v>
      </c>
      <c r="J644" s="45">
        <v>759549.48800000001</v>
      </c>
    </row>
    <row r="645" spans="1:10" x14ac:dyDescent="0.2">
      <c r="A645" s="71" t="s">
        <v>239</v>
      </c>
      <c r="B645" s="92" t="s">
        <v>83</v>
      </c>
      <c r="C645" s="60" t="s">
        <v>10</v>
      </c>
      <c r="D645" s="60" t="s">
        <v>344</v>
      </c>
      <c r="E645" s="45">
        <v>12607</v>
      </c>
      <c r="F645" s="45">
        <v>14996247.407</v>
      </c>
      <c r="G645" s="45">
        <v>12707</v>
      </c>
      <c r="H645" s="45">
        <v>12650576.08</v>
      </c>
      <c r="I645" s="45">
        <v>12734</v>
      </c>
      <c r="J645" s="45">
        <v>12837006.098999999</v>
      </c>
    </row>
    <row r="646" spans="1:10" x14ac:dyDescent="0.2">
      <c r="A646" s="92" t="s">
        <v>239</v>
      </c>
      <c r="B646" s="92" t="s">
        <v>257</v>
      </c>
      <c r="C646" s="60" t="s">
        <v>10</v>
      </c>
      <c r="D646" s="60" t="s">
        <v>345</v>
      </c>
      <c r="E646" s="45">
        <v>7406</v>
      </c>
      <c r="F646" s="45">
        <v>810065.46400000004</v>
      </c>
      <c r="G646" s="45">
        <v>7409</v>
      </c>
      <c r="H646" s="45">
        <v>646323.49699999997</v>
      </c>
      <c r="I646" s="45">
        <v>7407</v>
      </c>
      <c r="J646" s="45">
        <v>696130.81200000003</v>
      </c>
    </row>
    <row r="647" spans="1:10" x14ac:dyDescent="0.2">
      <c r="A647" s="71" t="s">
        <v>240</v>
      </c>
      <c r="B647" s="92" t="s">
        <v>83</v>
      </c>
      <c r="C647" s="60" t="s">
        <v>10</v>
      </c>
      <c r="D647" s="60" t="s">
        <v>344</v>
      </c>
      <c r="E647" s="45">
        <v>266</v>
      </c>
      <c r="F647" s="45">
        <v>4954</v>
      </c>
      <c r="G647" s="45">
        <v>268</v>
      </c>
      <c r="H647" s="45">
        <v>900120</v>
      </c>
      <c r="I647" s="45">
        <v>268</v>
      </c>
      <c r="J647" s="45">
        <v>12827</v>
      </c>
    </row>
    <row r="648" spans="1:10" x14ac:dyDescent="0.2">
      <c r="A648" s="92" t="s">
        <v>241</v>
      </c>
      <c r="B648" s="92" t="s">
        <v>83</v>
      </c>
      <c r="C648" s="60" t="s">
        <v>10</v>
      </c>
      <c r="D648" s="60" t="s">
        <v>344</v>
      </c>
      <c r="E648" s="45">
        <v>758</v>
      </c>
      <c r="F648" s="45">
        <v>1249835.08</v>
      </c>
      <c r="G648" s="45">
        <v>760</v>
      </c>
      <c r="H648" s="45">
        <v>1600513.3419999999</v>
      </c>
      <c r="I648" s="45">
        <v>761</v>
      </c>
      <c r="J648" s="45">
        <v>1094885.193</v>
      </c>
    </row>
    <row r="649" spans="1:10" x14ac:dyDescent="0.2">
      <c r="A649" s="92" t="s">
        <v>241</v>
      </c>
      <c r="B649" s="92" t="s">
        <v>257</v>
      </c>
      <c r="C649" s="60" t="s">
        <v>10</v>
      </c>
      <c r="D649" s="60" t="s">
        <v>345</v>
      </c>
      <c r="E649" s="45">
        <v>2051</v>
      </c>
      <c r="F649" s="45">
        <v>183925.50399999999</v>
      </c>
      <c r="G649" s="45">
        <v>2054</v>
      </c>
      <c r="H649" s="45">
        <v>175402.65900000001</v>
      </c>
      <c r="I649" s="45">
        <v>2053</v>
      </c>
      <c r="J649" s="45">
        <v>194001.55</v>
      </c>
    </row>
    <row r="650" spans="1:10" x14ac:dyDescent="0.2">
      <c r="A650" s="71" t="s">
        <v>330</v>
      </c>
      <c r="B650" s="92" t="s">
        <v>257</v>
      </c>
      <c r="C650" s="60" t="s">
        <v>10</v>
      </c>
      <c r="D650" s="60" t="s">
        <v>345</v>
      </c>
      <c r="E650" s="45">
        <v>1165</v>
      </c>
      <c r="F650" s="45">
        <v>114918.57399999999</v>
      </c>
      <c r="G650" s="45">
        <v>1165</v>
      </c>
      <c r="H650" s="45">
        <v>109387.42200000001</v>
      </c>
      <c r="I650" s="45">
        <v>1166</v>
      </c>
      <c r="J650" s="45">
        <v>119823.734</v>
      </c>
    </row>
    <row r="651" spans="1:10" x14ac:dyDescent="0.2">
      <c r="A651" s="92" t="s">
        <v>242</v>
      </c>
      <c r="B651" s="92" t="s">
        <v>83</v>
      </c>
      <c r="C651" s="60" t="s">
        <v>10</v>
      </c>
      <c r="D651" s="60" t="s">
        <v>344</v>
      </c>
      <c r="E651" s="45">
        <v>105</v>
      </c>
      <c r="F651" s="45">
        <v>215579</v>
      </c>
      <c r="G651" s="45">
        <v>105</v>
      </c>
      <c r="H651" s="45">
        <v>184851</v>
      </c>
      <c r="I651" s="45">
        <v>105</v>
      </c>
      <c r="J651" s="45">
        <v>188888</v>
      </c>
    </row>
    <row r="652" spans="1:10" x14ac:dyDescent="0.2">
      <c r="A652" s="92" t="s">
        <v>243</v>
      </c>
      <c r="B652" s="92" t="s">
        <v>83</v>
      </c>
      <c r="C652" s="60" t="s">
        <v>10</v>
      </c>
      <c r="D652" s="60" t="s">
        <v>344</v>
      </c>
      <c r="E652" s="45">
        <v>8</v>
      </c>
      <c r="F652" s="45"/>
      <c r="G652" s="45">
        <v>8</v>
      </c>
      <c r="H652" s="45">
        <v>39732</v>
      </c>
      <c r="I652" s="45">
        <v>8</v>
      </c>
      <c r="J652" s="45"/>
    </row>
    <row r="653" spans="1:10" x14ac:dyDescent="0.2">
      <c r="A653" s="92" t="s">
        <v>244</v>
      </c>
      <c r="B653" s="92" t="s">
        <v>83</v>
      </c>
      <c r="C653" s="60" t="s">
        <v>10</v>
      </c>
      <c r="D653" s="60" t="s">
        <v>344</v>
      </c>
      <c r="E653" s="45">
        <v>2197</v>
      </c>
      <c r="F653" s="45">
        <v>4211388.318</v>
      </c>
      <c r="G653" s="45">
        <v>2198</v>
      </c>
      <c r="H653" s="45">
        <v>3739884.1329999999</v>
      </c>
      <c r="I653" s="45">
        <v>2200</v>
      </c>
      <c r="J653" s="45">
        <v>4072756.56</v>
      </c>
    </row>
    <row r="654" spans="1:10" x14ac:dyDescent="0.2">
      <c r="A654" s="92" t="s">
        <v>244</v>
      </c>
      <c r="B654" s="92" t="s">
        <v>257</v>
      </c>
      <c r="C654" s="60" t="s">
        <v>10</v>
      </c>
      <c r="D654" s="60" t="s">
        <v>345</v>
      </c>
      <c r="E654" s="45">
        <v>265</v>
      </c>
      <c r="F654" s="45">
        <v>22710.688999999998</v>
      </c>
      <c r="G654" s="45">
        <v>265</v>
      </c>
      <c r="H654" s="45">
        <v>20491.341</v>
      </c>
      <c r="I654" s="45">
        <v>269</v>
      </c>
      <c r="J654" s="45">
        <v>21692.367999999999</v>
      </c>
    </row>
    <row r="655" spans="1:10" x14ac:dyDescent="0.2">
      <c r="A655" s="71" t="s">
        <v>245</v>
      </c>
      <c r="B655" s="92" t="s">
        <v>83</v>
      </c>
      <c r="C655" s="60" t="s">
        <v>10</v>
      </c>
      <c r="D655" s="60" t="s">
        <v>344</v>
      </c>
      <c r="E655" s="45">
        <v>4914</v>
      </c>
      <c r="F655" s="45">
        <v>9815001.9330000002</v>
      </c>
      <c r="G655" s="45">
        <v>4917</v>
      </c>
      <c r="H655" s="45">
        <v>9433296.5030000005</v>
      </c>
      <c r="I655" s="45">
        <v>4916</v>
      </c>
      <c r="J655" s="45">
        <v>8861077.7809999995</v>
      </c>
    </row>
    <row r="656" spans="1:10" x14ac:dyDescent="0.2">
      <c r="A656" s="92" t="s">
        <v>245</v>
      </c>
      <c r="B656" s="92" t="s">
        <v>257</v>
      </c>
      <c r="C656" s="60" t="s">
        <v>10</v>
      </c>
      <c r="D656" s="60" t="s">
        <v>345</v>
      </c>
      <c r="E656" s="45">
        <v>2</v>
      </c>
      <c r="F656" s="45">
        <v>180.61699999999999</v>
      </c>
      <c r="G656" s="45">
        <v>2</v>
      </c>
      <c r="H656" s="45">
        <v>167.21899999999999</v>
      </c>
      <c r="I656" s="45">
        <v>2</v>
      </c>
      <c r="J656" s="45">
        <v>171.798</v>
      </c>
    </row>
    <row r="657" spans="1:10" x14ac:dyDescent="0.2">
      <c r="A657" s="71" t="s">
        <v>246</v>
      </c>
      <c r="B657" s="92" t="s">
        <v>83</v>
      </c>
      <c r="C657" s="60" t="s">
        <v>10</v>
      </c>
      <c r="D657" s="60" t="s">
        <v>344</v>
      </c>
      <c r="E657" s="45">
        <v>2239</v>
      </c>
      <c r="F657" s="45">
        <v>5127633.0870000003</v>
      </c>
      <c r="G657" s="45">
        <v>2242</v>
      </c>
      <c r="H657" s="45">
        <v>4604646.3380000005</v>
      </c>
      <c r="I657" s="45">
        <v>2246</v>
      </c>
      <c r="J657" s="45">
        <v>4784714.2180000003</v>
      </c>
    </row>
    <row r="658" spans="1:10" x14ac:dyDescent="0.2">
      <c r="A658" s="92" t="s">
        <v>247</v>
      </c>
      <c r="B658" s="92" t="s">
        <v>83</v>
      </c>
      <c r="C658" s="60" t="s">
        <v>10</v>
      </c>
      <c r="D658" s="60" t="s">
        <v>344</v>
      </c>
      <c r="E658" s="45">
        <v>3350</v>
      </c>
      <c r="F658" s="45">
        <v>6730322.2889999999</v>
      </c>
      <c r="G658" s="45">
        <v>3356</v>
      </c>
      <c r="H658" s="45">
        <v>6038059.0140000004</v>
      </c>
      <c r="I658" s="45">
        <v>3355</v>
      </c>
      <c r="J658" s="45">
        <v>6559952.3640000001</v>
      </c>
    </row>
    <row r="659" spans="1:10" x14ac:dyDescent="0.2">
      <c r="A659" s="92" t="s">
        <v>331</v>
      </c>
      <c r="B659" s="92" t="s">
        <v>257</v>
      </c>
      <c r="C659" s="60" t="s">
        <v>10</v>
      </c>
      <c r="D659" s="60" t="s">
        <v>345</v>
      </c>
      <c r="E659" s="45">
        <v>83</v>
      </c>
      <c r="F659" s="45">
        <v>7344.4489999999996</v>
      </c>
      <c r="G659" s="45">
        <v>83</v>
      </c>
      <c r="H659" s="45">
        <v>6922.9859999999999</v>
      </c>
      <c r="I659" s="45">
        <v>83</v>
      </c>
      <c r="J659" s="45">
        <v>7265.7389999999996</v>
      </c>
    </row>
    <row r="660" spans="1:10" x14ac:dyDescent="0.2">
      <c r="A660" s="92" t="s">
        <v>332</v>
      </c>
      <c r="B660" s="92" t="s">
        <v>257</v>
      </c>
      <c r="C660" s="60" t="s">
        <v>10</v>
      </c>
      <c r="D660" s="60" t="s">
        <v>345</v>
      </c>
      <c r="E660" s="45">
        <v>124</v>
      </c>
      <c r="F660" s="45">
        <v>10923.829</v>
      </c>
      <c r="G660" s="45">
        <v>124</v>
      </c>
      <c r="H660" s="45">
        <v>9741.6970000000001</v>
      </c>
      <c r="I660" s="45">
        <v>124</v>
      </c>
      <c r="J660" s="45">
        <v>11502.877</v>
      </c>
    </row>
    <row r="661" spans="1:10" x14ac:dyDescent="0.2">
      <c r="A661" s="92" t="s">
        <v>248</v>
      </c>
      <c r="B661" s="92" t="s">
        <v>83</v>
      </c>
      <c r="C661" s="60" t="s">
        <v>10</v>
      </c>
      <c r="D661" s="60" t="s">
        <v>344</v>
      </c>
      <c r="E661" s="45">
        <v>9987</v>
      </c>
      <c r="F661" s="45">
        <v>16239288.005000001</v>
      </c>
      <c r="G661" s="45">
        <v>10028</v>
      </c>
      <c r="H661" s="45">
        <v>15836015.172</v>
      </c>
      <c r="I661" s="45">
        <v>10041</v>
      </c>
      <c r="J661" s="45">
        <v>15543491.475</v>
      </c>
    </row>
    <row r="662" spans="1:10" x14ac:dyDescent="0.2">
      <c r="A662" s="92" t="s">
        <v>248</v>
      </c>
      <c r="B662" s="92" t="s">
        <v>257</v>
      </c>
      <c r="C662" s="60" t="s">
        <v>10</v>
      </c>
      <c r="D662" s="60" t="s">
        <v>345</v>
      </c>
      <c r="E662" s="45">
        <v>2411</v>
      </c>
      <c r="F662" s="45">
        <v>240791.351</v>
      </c>
      <c r="G662" s="45">
        <v>2410</v>
      </c>
      <c r="H662" s="45">
        <v>219743.31299999999</v>
      </c>
      <c r="I662" s="45">
        <v>2414</v>
      </c>
      <c r="J662" s="45">
        <v>227040.15599999999</v>
      </c>
    </row>
    <row r="663" spans="1:10" x14ac:dyDescent="0.2">
      <c r="A663" s="71" t="s">
        <v>249</v>
      </c>
      <c r="B663" s="92" t="s">
        <v>83</v>
      </c>
      <c r="C663" s="60" t="s">
        <v>10</v>
      </c>
      <c r="D663" s="60" t="s">
        <v>344</v>
      </c>
      <c r="E663" s="45">
        <v>4902</v>
      </c>
      <c r="F663" s="45">
        <v>11049308.969000001</v>
      </c>
      <c r="G663" s="45">
        <v>4947</v>
      </c>
      <c r="H663" s="45">
        <v>6853220.6150000002</v>
      </c>
      <c r="I663" s="45">
        <v>4959</v>
      </c>
      <c r="J663" s="45">
        <v>9750938.3509999998</v>
      </c>
    </row>
    <row r="664" spans="1:10" x14ac:dyDescent="0.2">
      <c r="A664" s="92" t="s">
        <v>249</v>
      </c>
      <c r="B664" s="92" t="s">
        <v>257</v>
      </c>
      <c r="C664" s="60" t="s">
        <v>10</v>
      </c>
      <c r="D664" s="60" t="s">
        <v>345</v>
      </c>
      <c r="E664" s="45">
        <v>1326</v>
      </c>
      <c r="F664" s="45">
        <v>249356.65900000001</v>
      </c>
      <c r="G664" s="45">
        <v>1334</v>
      </c>
      <c r="H664" s="45">
        <v>249259.098</v>
      </c>
      <c r="I664" s="45">
        <v>1342</v>
      </c>
      <c r="J664" s="45">
        <v>246736.62400000001</v>
      </c>
    </row>
    <row r="665" spans="1:10" x14ac:dyDescent="0.2">
      <c r="A665" s="71" t="s">
        <v>250</v>
      </c>
      <c r="B665" s="92" t="s">
        <v>83</v>
      </c>
      <c r="C665" s="60" t="s">
        <v>10</v>
      </c>
      <c r="D665" s="60" t="s">
        <v>344</v>
      </c>
      <c r="E665" s="45">
        <v>759</v>
      </c>
      <c r="F665" s="45">
        <v>1215477.7220000001</v>
      </c>
      <c r="G665" s="45">
        <v>758</v>
      </c>
      <c r="H665" s="45">
        <v>1030661.848</v>
      </c>
      <c r="I665" s="45">
        <v>758</v>
      </c>
      <c r="J665" s="45">
        <v>1008105.66</v>
      </c>
    </row>
    <row r="666" spans="1:10" x14ac:dyDescent="0.2">
      <c r="A666" s="92" t="s">
        <v>251</v>
      </c>
      <c r="B666" s="92" t="s">
        <v>83</v>
      </c>
      <c r="C666" s="60" t="s">
        <v>10</v>
      </c>
      <c r="D666" s="60" t="s">
        <v>344</v>
      </c>
      <c r="E666" s="45">
        <v>3178</v>
      </c>
      <c r="F666" s="45">
        <v>7149762.7189999996</v>
      </c>
      <c r="G666" s="45">
        <v>3178</v>
      </c>
      <c r="H666" s="45">
        <v>7311652.8650000002</v>
      </c>
      <c r="I666" s="45">
        <v>3182</v>
      </c>
      <c r="J666" s="45">
        <v>5149133.3059999999</v>
      </c>
    </row>
    <row r="667" spans="1:10" x14ac:dyDescent="0.2">
      <c r="A667" s="92" t="s">
        <v>251</v>
      </c>
      <c r="B667" s="92" t="s">
        <v>257</v>
      </c>
      <c r="C667" s="60" t="s">
        <v>10</v>
      </c>
      <c r="D667" s="60" t="s">
        <v>345</v>
      </c>
      <c r="E667" s="45">
        <v>595</v>
      </c>
      <c r="F667" s="45">
        <v>88323.085000000006</v>
      </c>
      <c r="G667" s="45">
        <v>597</v>
      </c>
      <c r="H667" s="45">
        <v>68945.733999999997</v>
      </c>
      <c r="I667" s="45">
        <v>597</v>
      </c>
      <c r="J667" s="45">
        <v>63335.260999999999</v>
      </c>
    </row>
    <row r="668" spans="1:10" x14ac:dyDescent="0.2">
      <c r="A668" s="71" t="s">
        <v>252</v>
      </c>
      <c r="B668" s="92" t="s">
        <v>83</v>
      </c>
      <c r="C668" s="60" t="s">
        <v>10</v>
      </c>
      <c r="D668" s="60" t="s">
        <v>344</v>
      </c>
      <c r="E668" s="45">
        <v>461</v>
      </c>
      <c r="F668" s="45">
        <v>882006.59600000002</v>
      </c>
      <c r="G668" s="45">
        <v>461</v>
      </c>
      <c r="H668" s="45">
        <v>765124.19</v>
      </c>
      <c r="I668" s="45">
        <v>461</v>
      </c>
      <c r="J668" s="45">
        <v>664565.85199999996</v>
      </c>
    </row>
    <row r="669" spans="1:10" x14ac:dyDescent="0.2">
      <c r="A669" s="92" t="s">
        <v>252</v>
      </c>
      <c r="B669" s="92" t="s">
        <v>257</v>
      </c>
      <c r="C669" s="60" t="s">
        <v>10</v>
      </c>
      <c r="D669" s="60" t="s">
        <v>345</v>
      </c>
      <c r="E669" s="45">
        <v>180</v>
      </c>
      <c r="F669" s="45">
        <v>17457.648000000001</v>
      </c>
      <c r="G669" s="45">
        <v>180</v>
      </c>
      <c r="H669" s="45">
        <v>14899.401</v>
      </c>
      <c r="I669" s="45">
        <v>180</v>
      </c>
      <c r="J669" s="45">
        <v>15300.896000000001</v>
      </c>
    </row>
    <row r="670" spans="1:10" x14ac:dyDescent="0.2">
      <c r="A670" s="71" t="s">
        <v>253</v>
      </c>
      <c r="B670" s="92" t="s">
        <v>83</v>
      </c>
      <c r="C670" s="60" t="s">
        <v>10</v>
      </c>
      <c r="D670" s="60" t="s">
        <v>344</v>
      </c>
      <c r="E670" s="45">
        <v>1295</v>
      </c>
      <c r="F670" s="45">
        <v>2560362.8969999999</v>
      </c>
      <c r="G670" s="45">
        <v>1296</v>
      </c>
      <c r="H670" s="45">
        <v>1910885.737</v>
      </c>
      <c r="I670" s="45">
        <v>1296</v>
      </c>
      <c r="J670" s="45">
        <v>2060182.1470000001</v>
      </c>
    </row>
    <row r="671" spans="1:10" x14ac:dyDescent="0.2">
      <c r="A671" s="92" t="s">
        <v>254</v>
      </c>
      <c r="B671" s="92" t="s">
        <v>83</v>
      </c>
      <c r="C671" s="60" t="s">
        <v>10</v>
      </c>
      <c r="D671" s="60" t="s">
        <v>344</v>
      </c>
      <c r="E671" s="45">
        <v>700</v>
      </c>
      <c r="F671" s="45">
        <v>1346326.8640000001</v>
      </c>
      <c r="G671" s="45">
        <v>701</v>
      </c>
      <c r="H671" s="45">
        <v>1059119.69</v>
      </c>
      <c r="I671" s="45">
        <v>701</v>
      </c>
      <c r="J671" s="45">
        <v>1056172.52</v>
      </c>
    </row>
    <row r="672" spans="1:10" x14ac:dyDescent="0.2">
      <c r="A672" s="71" t="s">
        <v>255</v>
      </c>
      <c r="B672" s="71" t="s">
        <v>83</v>
      </c>
      <c r="C672" s="60" t="s">
        <v>10</v>
      </c>
      <c r="D672" s="60" t="s">
        <v>344</v>
      </c>
      <c r="E672" s="45">
        <v>293</v>
      </c>
      <c r="F672" s="45">
        <v>583448</v>
      </c>
      <c r="G672" s="45">
        <v>293</v>
      </c>
      <c r="H672" s="45">
        <v>489685</v>
      </c>
      <c r="I672" s="45">
        <v>292</v>
      </c>
      <c r="J672" s="45">
        <v>455383</v>
      </c>
    </row>
    <row r="673" spans="1:10" x14ac:dyDescent="0.2">
      <c r="A673" s="92" t="s">
        <v>256</v>
      </c>
      <c r="B673" s="92" t="s">
        <v>83</v>
      </c>
      <c r="C673" s="60" t="s">
        <v>10</v>
      </c>
      <c r="D673" s="60" t="s">
        <v>344</v>
      </c>
      <c r="E673" s="45">
        <v>228</v>
      </c>
      <c r="F673" s="45">
        <v>580295.77300000004</v>
      </c>
      <c r="G673" s="45">
        <v>229</v>
      </c>
      <c r="H673" s="45">
        <v>376554.22700000001</v>
      </c>
      <c r="I673" s="45">
        <v>229</v>
      </c>
      <c r="J673" s="45">
        <v>423684</v>
      </c>
    </row>
    <row r="674" spans="1:10" ht="16" thickBot="1" x14ac:dyDescent="0.25">
      <c r="A674" s="122" t="s">
        <v>256</v>
      </c>
      <c r="B674" s="122" t="s">
        <v>257</v>
      </c>
      <c r="C674" s="46" t="s">
        <v>10</v>
      </c>
      <c r="D674" s="46" t="s">
        <v>345</v>
      </c>
      <c r="E674" s="123">
        <v>55</v>
      </c>
      <c r="F674" s="123">
        <v>7353.2920000000004</v>
      </c>
      <c r="G674" s="123">
        <v>55</v>
      </c>
      <c r="H674" s="123">
        <v>5320.5479999999998</v>
      </c>
      <c r="I674" s="123">
        <v>55</v>
      </c>
      <c r="J674" s="123">
        <v>4888.6319999999996</v>
      </c>
    </row>
    <row r="675" spans="1:10" ht="16" thickBot="1" x14ac:dyDescent="0.25">
      <c r="A675" s="142" t="s">
        <v>362</v>
      </c>
      <c r="B675" s="143"/>
      <c r="C675" s="143"/>
      <c r="D675" s="143"/>
      <c r="E675" s="144">
        <f>SUM(E354:E674)</f>
        <v>1885949</v>
      </c>
      <c r="F675" s="144"/>
      <c r="G675" s="144">
        <f t="shared" ref="G675:I675" si="0">SUM(G354:G674)</f>
        <v>1887621</v>
      </c>
      <c r="H675" s="144"/>
      <c r="I675" s="144">
        <f t="shared" si="0"/>
        <v>1889199</v>
      </c>
      <c r="J675" s="144"/>
    </row>
  </sheetData>
  <sortState xmlns:xlrd2="http://schemas.microsoft.com/office/spreadsheetml/2017/richdata2" ref="A12:J674">
    <sortCondition ref="C12:C674"/>
  </sortState>
  <mergeCells count="5">
    <mergeCell ref="A9:D9"/>
    <mergeCell ref="E9:F9"/>
    <mergeCell ref="G9:H9"/>
    <mergeCell ref="I9:J9"/>
    <mergeCell ref="A1:O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3"/>
  <sheetViews>
    <sheetView tabSelected="1" zoomScale="118" workbookViewId="0">
      <selection activeCell="O443" sqref="O443"/>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80" t="s">
        <v>0</v>
      </c>
      <c r="B1" s="181"/>
      <c r="C1" s="181"/>
      <c r="D1" s="181"/>
      <c r="E1" s="181"/>
      <c r="F1" s="181"/>
      <c r="G1" s="181"/>
      <c r="H1" s="181"/>
      <c r="I1" s="181"/>
      <c r="J1" s="181"/>
      <c r="K1" s="181"/>
      <c r="L1" s="26"/>
      <c r="M1" s="27"/>
      <c r="N1" s="27"/>
      <c r="O1" s="27"/>
      <c r="P1" s="27"/>
      <c r="Q1" s="27"/>
      <c r="R1" s="31"/>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80</v>
      </c>
      <c r="C4" s="3"/>
      <c r="D4" s="3"/>
      <c r="E4" s="3"/>
      <c r="F4" s="4"/>
      <c r="G4" s="3"/>
      <c r="H4" s="3"/>
      <c r="I4" s="3"/>
      <c r="J4" s="3"/>
      <c r="K4" s="3"/>
      <c r="L4" s="4"/>
      <c r="M4" s="3"/>
      <c r="N4" s="3"/>
      <c r="O4" s="3"/>
      <c r="P4" s="3"/>
      <c r="Q4" s="3"/>
      <c r="R4" s="4"/>
    </row>
    <row r="5" spans="1:23" x14ac:dyDescent="0.2">
      <c r="A5" s="5">
        <v>4</v>
      </c>
      <c r="B5" s="2" t="s">
        <v>31</v>
      </c>
      <c r="C5" s="2"/>
      <c r="D5" s="2"/>
      <c r="E5" s="2"/>
      <c r="F5" s="29"/>
      <c r="G5" s="3"/>
      <c r="H5" s="3"/>
      <c r="I5" s="3"/>
      <c r="J5" s="3"/>
      <c r="K5" s="3"/>
      <c r="L5" s="4"/>
      <c r="M5" s="3"/>
      <c r="N5" s="3"/>
      <c r="O5" s="3"/>
      <c r="P5" s="3"/>
      <c r="Q5" s="3"/>
      <c r="R5" s="4"/>
    </row>
    <row r="6" spans="1:23" x14ac:dyDescent="0.2">
      <c r="A6" s="3">
        <v>5</v>
      </c>
      <c r="B6" s="28" t="s">
        <v>5</v>
      </c>
      <c r="C6" s="2"/>
      <c r="D6" s="2"/>
      <c r="E6" s="2"/>
      <c r="F6" s="29"/>
      <c r="G6" s="3"/>
      <c r="H6" s="3"/>
      <c r="I6" s="3"/>
      <c r="J6" s="3"/>
      <c r="K6" s="3"/>
      <c r="L6" s="4"/>
      <c r="M6" s="3"/>
      <c r="N6" s="3"/>
      <c r="O6" s="3"/>
      <c r="P6" s="3"/>
      <c r="Q6" s="3"/>
      <c r="R6" s="4"/>
    </row>
    <row r="7" spans="1:23" x14ac:dyDescent="0.2">
      <c r="A7" s="3">
        <v>6</v>
      </c>
      <c r="B7" s="22" t="s">
        <v>77</v>
      </c>
      <c r="C7" s="2"/>
      <c r="D7" s="2"/>
      <c r="E7" s="2"/>
      <c r="F7" s="29"/>
      <c r="G7" s="3"/>
      <c r="H7" s="3"/>
      <c r="I7" s="3"/>
      <c r="J7" s="3"/>
      <c r="K7" s="3"/>
      <c r="L7" s="4"/>
      <c r="M7" s="3"/>
      <c r="N7" s="3"/>
      <c r="O7" s="3"/>
      <c r="P7" s="3"/>
      <c r="Q7" s="3"/>
      <c r="R7" s="4"/>
    </row>
    <row r="8" spans="1:23" ht="16" thickBot="1" x14ac:dyDescent="0.25"/>
    <row r="9" spans="1:23" ht="90" customHeight="1" thickBot="1" x14ac:dyDescent="0.25">
      <c r="A9" s="186" t="s">
        <v>359</v>
      </c>
      <c r="B9" s="186"/>
      <c r="C9" s="183" t="s">
        <v>32</v>
      </c>
      <c r="D9" s="184"/>
      <c r="E9" s="184"/>
      <c r="F9" s="30"/>
      <c r="G9" s="187" t="s">
        <v>340</v>
      </c>
      <c r="H9" s="188"/>
      <c r="I9" s="188"/>
      <c r="J9" s="188"/>
      <c r="K9" s="189"/>
      <c r="M9" s="183" t="s">
        <v>78</v>
      </c>
      <c r="N9" s="184"/>
      <c r="O9" s="184"/>
      <c r="P9" s="184"/>
      <c r="Q9" s="185"/>
      <c r="S9" s="183" t="s">
        <v>79</v>
      </c>
      <c r="T9" s="184"/>
      <c r="U9" s="184"/>
      <c r="V9" s="184"/>
      <c r="W9" s="185"/>
    </row>
    <row r="10" spans="1:23" ht="16" thickBot="1" x14ac:dyDescent="0.25">
      <c r="A10" s="7" t="s">
        <v>8</v>
      </c>
      <c r="B10" s="7" t="s">
        <v>9</v>
      </c>
      <c r="C10" s="74">
        <v>44957</v>
      </c>
      <c r="D10" s="74">
        <v>44985</v>
      </c>
      <c r="E10" s="74">
        <v>45016</v>
      </c>
      <c r="G10" s="7" t="s">
        <v>8</v>
      </c>
      <c r="H10" s="7" t="s">
        <v>9</v>
      </c>
      <c r="I10" s="74">
        <v>44957</v>
      </c>
      <c r="J10" s="74">
        <v>44985</v>
      </c>
      <c r="K10" s="74">
        <v>45016</v>
      </c>
      <c r="M10" s="7" t="s">
        <v>8</v>
      </c>
      <c r="N10" s="7" t="s">
        <v>9</v>
      </c>
      <c r="O10" s="74">
        <v>44957</v>
      </c>
      <c r="P10" s="74">
        <v>44985</v>
      </c>
      <c r="Q10" s="74">
        <v>45016</v>
      </c>
      <c r="S10" s="7" t="s">
        <v>8</v>
      </c>
      <c r="T10" s="7" t="s">
        <v>9</v>
      </c>
      <c r="U10" s="74">
        <v>44957</v>
      </c>
      <c r="V10" s="74">
        <v>44985</v>
      </c>
      <c r="W10" s="74">
        <v>45016</v>
      </c>
    </row>
    <row r="11" spans="1:23" ht="15" customHeight="1" x14ac:dyDescent="0.2">
      <c r="A11" s="12">
        <v>98001</v>
      </c>
      <c r="B11" s="12" t="s">
        <v>10</v>
      </c>
      <c r="C11" s="13">
        <v>6</v>
      </c>
      <c r="D11" s="13">
        <v>3</v>
      </c>
      <c r="E11" s="13">
        <v>8</v>
      </c>
      <c r="G11" s="91">
        <v>98001</v>
      </c>
      <c r="H11" s="91" t="s">
        <v>10</v>
      </c>
      <c r="I11" s="110">
        <v>14.333333333333334</v>
      </c>
      <c r="J11" s="110">
        <v>0</v>
      </c>
      <c r="K11" s="110">
        <v>4.2857142857142856</v>
      </c>
      <c r="M11" s="12">
        <v>98001</v>
      </c>
      <c r="N11" s="12" t="s">
        <v>333</v>
      </c>
      <c r="O11" s="13">
        <v>24</v>
      </c>
      <c r="P11" s="13">
        <v>23</v>
      </c>
      <c r="Q11" s="13">
        <v>37</v>
      </c>
      <c r="S11" s="12">
        <v>98001</v>
      </c>
      <c r="T11" s="12" t="s">
        <v>333</v>
      </c>
      <c r="U11" s="13">
        <v>17</v>
      </c>
      <c r="V11" s="13">
        <v>12</v>
      </c>
      <c r="W11" s="13">
        <v>27</v>
      </c>
    </row>
    <row r="12" spans="1:23" x14ac:dyDescent="0.2">
      <c r="A12" s="14">
        <v>98002</v>
      </c>
      <c r="B12" s="14" t="s">
        <v>333</v>
      </c>
      <c r="C12" s="15">
        <v>2</v>
      </c>
      <c r="D12" s="15"/>
      <c r="E12" s="15">
        <v>2</v>
      </c>
      <c r="G12" s="71">
        <v>98002</v>
      </c>
      <c r="H12" s="92" t="s">
        <v>333</v>
      </c>
      <c r="I12" s="111">
        <v>2</v>
      </c>
      <c r="J12" s="111"/>
      <c r="K12" s="111">
        <v>23</v>
      </c>
      <c r="M12" s="14">
        <v>98002</v>
      </c>
      <c r="N12" s="14" t="s">
        <v>333</v>
      </c>
      <c r="O12" s="15">
        <v>19</v>
      </c>
      <c r="P12" s="15">
        <v>24</v>
      </c>
      <c r="Q12" s="15">
        <v>35</v>
      </c>
      <c r="S12" s="14">
        <v>98001</v>
      </c>
      <c r="T12" s="14" t="s">
        <v>10</v>
      </c>
      <c r="U12" s="15">
        <v>164</v>
      </c>
      <c r="V12" s="15">
        <v>129</v>
      </c>
      <c r="W12" s="15">
        <v>201</v>
      </c>
    </row>
    <row r="13" spans="1:23" x14ac:dyDescent="0.2">
      <c r="A13" s="14">
        <v>98003</v>
      </c>
      <c r="B13" s="14" t="s">
        <v>333</v>
      </c>
      <c r="C13" s="15">
        <v>1</v>
      </c>
      <c r="D13" s="15"/>
      <c r="E13" s="15"/>
      <c r="G13" s="71">
        <v>98002</v>
      </c>
      <c r="H13" s="92" t="s">
        <v>10</v>
      </c>
      <c r="I13" s="111">
        <v>5.5</v>
      </c>
      <c r="J13" s="111">
        <v>5.583333333333333</v>
      </c>
      <c r="K13" s="111">
        <v>3.3</v>
      </c>
      <c r="M13" s="14">
        <v>98003</v>
      </c>
      <c r="N13" s="14" t="s">
        <v>333</v>
      </c>
      <c r="O13" s="15">
        <v>34</v>
      </c>
      <c r="P13" s="15">
        <v>22</v>
      </c>
      <c r="Q13" s="15">
        <v>33</v>
      </c>
      <c r="S13" s="14">
        <v>98002</v>
      </c>
      <c r="T13" s="14" t="s">
        <v>333</v>
      </c>
      <c r="U13" s="15">
        <v>23</v>
      </c>
      <c r="V13" s="15">
        <v>17</v>
      </c>
      <c r="W13" s="15">
        <v>19</v>
      </c>
    </row>
    <row r="14" spans="1:23" x14ac:dyDescent="0.2">
      <c r="A14" s="14">
        <v>98004</v>
      </c>
      <c r="B14" s="14" t="s">
        <v>333</v>
      </c>
      <c r="C14" s="15"/>
      <c r="D14" s="15"/>
      <c r="E14" s="15">
        <v>2</v>
      </c>
      <c r="G14" s="71">
        <v>98003</v>
      </c>
      <c r="H14" s="92" t="s">
        <v>10</v>
      </c>
      <c r="I14" s="111">
        <v>10.3</v>
      </c>
      <c r="J14" s="111">
        <v>7.7142857142857144</v>
      </c>
      <c r="K14" s="111">
        <v>3.2962962962962963</v>
      </c>
      <c r="M14" s="14">
        <v>98004</v>
      </c>
      <c r="N14" s="14" t="s">
        <v>333</v>
      </c>
      <c r="O14" s="15">
        <v>26</v>
      </c>
      <c r="P14" s="15">
        <v>20</v>
      </c>
      <c r="Q14" s="15">
        <v>31</v>
      </c>
      <c r="S14" s="14">
        <v>98002</v>
      </c>
      <c r="T14" s="14" t="s">
        <v>10</v>
      </c>
      <c r="U14" s="15">
        <v>382</v>
      </c>
      <c r="V14" s="15">
        <v>268</v>
      </c>
      <c r="W14" s="15">
        <v>407</v>
      </c>
    </row>
    <row r="15" spans="1:23" x14ac:dyDescent="0.2">
      <c r="A15" s="14">
        <v>98005</v>
      </c>
      <c r="B15" s="14" t="s">
        <v>333</v>
      </c>
      <c r="C15" s="15">
        <v>1</v>
      </c>
      <c r="D15" s="15"/>
      <c r="E15" s="15">
        <v>1</v>
      </c>
      <c r="G15" s="71">
        <v>98004</v>
      </c>
      <c r="H15" s="92" t="s">
        <v>333</v>
      </c>
      <c r="I15" s="111"/>
      <c r="J15" s="111"/>
      <c r="K15" s="111">
        <v>9.5</v>
      </c>
      <c r="M15" s="14">
        <v>98005</v>
      </c>
      <c r="N15" s="14" t="s">
        <v>333</v>
      </c>
      <c r="O15" s="15">
        <v>13</v>
      </c>
      <c r="P15" s="15">
        <v>10</v>
      </c>
      <c r="Q15" s="15">
        <v>14</v>
      </c>
      <c r="S15" s="14">
        <v>98003</v>
      </c>
      <c r="T15" s="14" t="s">
        <v>333</v>
      </c>
      <c r="U15" s="15">
        <v>20</v>
      </c>
      <c r="V15" s="15">
        <v>21</v>
      </c>
      <c r="W15" s="15">
        <v>20</v>
      </c>
    </row>
    <row r="16" spans="1:23" x14ac:dyDescent="0.2">
      <c r="A16" s="14">
        <v>98006</v>
      </c>
      <c r="B16" s="14" t="s">
        <v>333</v>
      </c>
      <c r="C16" s="15"/>
      <c r="D16" s="15"/>
      <c r="E16" s="15">
        <v>2</v>
      </c>
      <c r="G16" s="71">
        <v>98004</v>
      </c>
      <c r="H16" s="92" t="s">
        <v>10</v>
      </c>
      <c r="I16" s="111">
        <v>7</v>
      </c>
      <c r="J16" s="111">
        <v>2</v>
      </c>
      <c r="K16" s="111">
        <v>6.5</v>
      </c>
      <c r="M16" s="14">
        <v>98006</v>
      </c>
      <c r="N16" s="14" t="s">
        <v>333</v>
      </c>
      <c r="O16" s="15">
        <v>8</v>
      </c>
      <c r="P16" s="15">
        <v>6</v>
      </c>
      <c r="Q16" s="15">
        <v>8</v>
      </c>
      <c r="S16" s="14">
        <v>98003</v>
      </c>
      <c r="T16" s="14" t="s">
        <v>10</v>
      </c>
      <c r="U16" s="15">
        <v>465</v>
      </c>
      <c r="V16" s="15">
        <v>275</v>
      </c>
      <c r="W16" s="15">
        <v>422</v>
      </c>
    </row>
    <row r="17" spans="1:23" x14ac:dyDescent="0.2">
      <c r="A17" s="14">
        <v>98010</v>
      </c>
      <c r="B17" s="14" t="s">
        <v>333</v>
      </c>
      <c r="C17" s="15"/>
      <c r="D17" s="15"/>
      <c r="E17" s="15">
        <v>1</v>
      </c>
      <c r="G17" s="71">
        <v>98005</v>
      </c>
      <c r="H17" s="92" t="s">
        <v>333</v>
      </c>
      <c r="I17" s="111">
        <v>64</v>
      </c>
      <c r="J17" s="111"/>
      <c r="K17" s="111">
        <v>7</v>
      </c>
      <c r="M17" s="14">
        <v>98007</v>
      </c>
      <c r="N17" s="14" t="s">
        <v>333</v>
      </c>
      <c r="O17" s="15">
        <v>6</v>
      </c>
      <c r="P17" s="15">
        <v>5</v>
      </c>
      <c r="Q17" s="15">
        <v>7</v>
      </c>
      <c r="S17" s="14">
        <v>98004</v>
      </c>
      <c r="T17" s="14" t="s">
        <v>333</v>
      </c>
      <c r="U17" s="15">
        <v>19</v>
      </c>
      <c r="V17" s="15">
        <v>14</v>
      </c>
      <c r="W17" s="15">
        <v>12</v>
      </c>
    </row>
    <row r="18" spans="1:23" x14ac:dyDescent="0.2">
      <c r="A18" s="14">
        <v>98023</v>
      </c>
      <c r="B18" s="14" t="s">
        <v>333</v>
      </c>
      <c r="C18" s="15"/>
      <c r="D18" s="15">
        <v>1</v>
      </c>
      <c r="E18" s="15">
        <v>1</v>
      </c>
      <c r="G18" s="71">
        <v>98005</v>
      </c>
      <c r="H18" s="92" t="s">
        <v>10</v>
      </c>
      <c r="I18" s="111"/>
      <c r="J18" s="111">
        <v>7</v>
      </c>
      <c r="K18" s="111"/>
      <c r="M18" s="14">
        <v>98008</v>
      </c>
      <c r="N18" s="14" t="s">
        <v>333</v>
      </c>
      <c r="O18" s="15">
        <v>6</v>
      </c>
      <c r="P18" s="15">
        <v>8</v>
      </c>
      <c r="Q18" s="15">
        <v>2</v>
      </c>
      <c r="S18" s="14">
        <v>98004</v>
      </c>
      <c r="T18" s="14" t="s">
        <v>10</v>
      </c>
      <c r="U18" s="15">
        <v>94</v>
      </c>
      <c r="V18" s="15">
        <v>84</v>
      </c>
      <c r="W18" s="15">
        <v>102</v>
      </c>
    </row>
    <row r="19" spans="1:23" x14ac:dyDescent="0.2">
      <c r="A19" s="14">
        <v>98030</v>
      </c>
      <c r="B19" s="14" t="s">
        <v>333</v>
      </c>
      <c r="C19" s="15"/>
      <c r="D19" s="15"/>
      <c r="E19" s="15">
        <v>1</v>
      </c>
      <c r="G19" s="71">
        <v>98006</v>
      </c>
      <c r="H19" s="92" t="s">
        <v>333</v>
      </c>
      <c r="I19" s="111"/>
      <c r="J19" s="111"/>
      <c r="K19" s="111">
        <v>2</v>
      </c>
      <c r="M19" s="14">
        <v>98010</v>
      </c>
      <c r="N19" s="14" t="s">
        <v>333</v>
      </c>
      <c r="O19" s="15">
        <v>2</v>
      </c>
      <c r="P19" s="15">
        <v>4</v>
      </c>
      <c r="Q19" s="15">
        <v>4</v>
      </c>
      <c r="S19" s="14">
        <v>98005</v>
      </c>
      <c r="T19" s="14" t="s">
        <v>333</v>
      </c>
      <c r="U19" s="15">
        <v>10</v>
      </c>
      <c r="V19" s="15">
        <v>6</v>
      </c>
      <c r="W19" s="15">
        <v>9</v>
      </c>
    </row>
    <row r="20" spans="1:23" x14ac:dyDescent="0.2">
      <c r="A20" s="14">
        <v>98032</v>
      </c>
      <c r="B20" s="14" t="s">
        <v>333</v>
      </c>
      <c r="C20" s="15">
        <v>3</v>
      </c>
      <c r="D20" s="15">
        <v>1</v>
      </c>
      <c r="E20" s="15">
        <v>6</v>
      </c>
      <c r="G20" s="71">
        <v>98006</v>
      </c>
      <c r="H20" s="92" t="s">
        <v>10</v>
      </c>
      <c r="I20" s="111"/>
      <c r="J20" s="111">
        <v>0</v>
      </c>
      <c r="K20" s="111">
        <v>0</v>
      </c>
      <c r="M20" s="14">
        <v>98011</v>
      </c>
      <c r="N20" s="14" t="s">
        <v>333</v>
      </c>
      <c r="O20" s="15">
        <v>10</v>
      </c>
      <c r="P20" s="15">
        <v>10</v>
      </c>
      <c r="Q20" s="15">
        <v>17</v>
      </c>
      <c r="S20" s="14">
        <v>98005</v>
      </c>
      <c r="T20" s="14" t="s">
        <v>10</v>
      </c>
      <c r="U20" s="15">
        <v>54</v>
      </c>
      <c r="V20" s="15">
        <v>42</v>
      </c>
      <c r="W20" s="15">
        <v>58</v>
      </c>
    </row>
    <row r="21" spans="1:23" x14ac:dyDescent="0.2">
      <c r="A21" s="14">
        <v>98033</v>
      </c>
      <c r="B21" s="14" t="s">
        <v>333</v>
      </c>
      <c r="C21" s="15"/>
      <c r="D21" s="15">
        <v>1</v>
      </c>
      <c r="E21" s="15"/>
      <c r="G21" s="71">
        <v>98007</v>
      </c>
      <c r="H21" s="92" t="s">
        <v>10</v>
      </c>
      <c r="I21" s="111">
        <v>5.4285714285714288</v>
      </c>
      <c r="J21" s="111">
        <v>0.75</v>
      </c>
      <c r="K21" s="111">
        <v>3</v>
      </c>
      <c r="M21" s="14">
        <v>98012</v>
      </c>
      <c r="N21" s="14" t="s">
        <v>333</v>
      </c>
      <c r="O21" s="15">
        <v>2</v>
      </c>
      <c r="P21" s="15">
        <v>2</v>
      </c>
      <c r="Q21" s="15">
        <v>5</v>
      </c>
      <c r="S21" s="14">
        <v>98006</v>
      </c>
      <c r="T21" s="14" t="s">
        <v>333</v>
      </c>
      <c r="U21" s="15">
        <v>5</v>
      </c>
      <c r="V21" s="15">
        <v>4</v>
      </c>
      <c r="W21" s="15">
        <v>7</v>
      </c>
    </row>
    <row r="22" spans="1:23" x14ac:dyDescent="0.2">
      <c r="A22" s="14">
        <v>98034</v>
      </c>
      <c r="B22" s="14" t="s">
        <v>333</v>
      </c>
      <c r="C22" s="15"/>
      <c r="D22" s="15">
        <v>1</v>
      </c>
      <c r="E22" s="15">
        <v>1</v>
      </c>
      <c r="G22" s="71">
        <v>98008</v>
      </c>
      <c r="H22" s="92" t="s">
        <v>10</v>
      </c>
      <c r="I22" s="111">
        <v>12</v>
      </c>
      <c r="J22" s="111">
        <v>14</v>
      </c>
      <c r="K22" s="111">
        <v>0</v>
      </c>
      <c r="M22" s="14">
        <v>98014</v>
      </c>
      <c r="N22" s="14" t="s">
        <v>333</v>
      </c>
      <c r="O22" s="15">
        <v>4</v>
      </c>
      <c r="P22" s="15">
        <v>3</v>
      </c>
      <c r="Q22" s="15">
        <v>4</v>
      </c>
      <c r="S22" s="14">
        <v>98006</v>
      </c>
      <c r="T22" s="14" t="s">
        <v>10</v>
      </c>
      <c r="U22" s="15">
        <v>72</v>
      </c>
      <c r="V22" s="15">
        <v>32</v>
      </c>
      <c r="W22" s="15">
        <v>65</v>
      </c>
    </row>
    <row r="23" spans="1:23" x14ac:dyDescent="0.2">
      <c r="A23" s="14">
        <v>98047</v>
      </c>
      <c r="B23" s="14" t="s">
        <v>333</v>
      </c>
      <c r="C23" s="15"/>
      <c r="D23" s="15"/>
      <c r="E23" s="15">
        <v>1</v>
      </c>
      <c r="G23" s="71">
        <v>98011</v>
      </c>
      <c r="H23" s="92" t="s">
        <v>10</v>
      </c>
      <c r="I23" s="111"/>
      <c r="J23" s="111">
        <v>2</v>
      </c>
      <c r="K23" s="111"/>
      <c r="M23" s="14">
        <v>98019</v>
      </c>
      <c r="N23" s="14" t="s">
        <v>333</v>
      </c>
      <c r="O23" s="15">
        <v>1</v>
      </c>
      <c r="P23" s="15">
        <v>5</v>
      </c>
      <c r="Q23" s="15">
        <v>6</v>
      </c>
      <c r="S23" s="14">
        <v>98007</v>
      </c>
      <c r="T23" s="14" t="s">
        <v>333</v>
      </c>
      <c r="U23" s="15">
        <v>2</v>
      </c>
      <c r="V23" s="15">
        <v>5</v>
      </c>
      <c r="W23" s="15">
        <v>4</v>
      </c>
    </row>
    <row r="24" spans="1:23" x14ac:dyDescent="0.2">
      <c r="A24" s="14">
        <v>98052</v>
      </c>
      <c r="B24" s="14" t="s">
        <v>333</v>
      </c>
      <c r="C24" s="15"/>
      <c r="D24" s="15">
        <v>1</v>
      </c>
      <c r="E24" s="15"/>
      <c r="G24" s="71">
        <v>98022</v>
      </c>
      <c r="H24" s="92" t="s">
        <v>10</v>
      </c>
      <c r="I24" s="111"/>
      <c r="J24" s="111">
        <v>0</v>
      </c>
      <c r="K24" s="111"/>
      <c r="M24" s="14">
        <v>98020</v>
      </c>
      <c r="N24" s="14" t="s">
        <v>333</v>
      </c>
      <c r="O24" s="15">
        <v>1</v>
      </c>
      <c r="P24" s="15"/>
      <c r="Q24" s="15">
        <v>1</v>
      </c>
      <c r="S24" s="14">
        <v>98007</v>
      </c>
      <c r="T24" s="14" t="s">
        <v>10</v>
      </c>
      <c r="U24" s="15">
        <v>90</v>
      </c>
      <c r="V24" s="15">
        <v>80</v>
      </c>
      <c r="W24" s="15">
        <v>88</v>
      </c>
    </row>
    <row r="25" spans="1:23" x14ac:dyDescent="0.2">
      <c r="A25" s="14">
        <v>98056</v>
      </c>
      <c r="B25" s="14" t="s">
        <v>333</v>
      </c>
      <c r="C25" s="15"/>
      <c r="D25" s="15"/>
      <c r="E25" s="15">
        <v>1</v>
      </c>
      <c r="G25" s="71">
        <v>98023</v>
      </c>
      <c r="H25" s="92" t="s">
        <v>333</v>
      </c>
      <c r="I25" s="111"/>
      <c r="J25" s="111">
        <v>1</v>
      </c>
      <c r="K25" s="111"/>
      <c r="M25" s="14">
        <v>98021</v>
      </c>
      <c r="N25" s="14" t="s">
        <v>333</v>
      </c>
      <c r="O25" s="15">
        <v>2</v>
      </c>
      <c r="P25" s="15">
        <v>3</v>
      </c>
      <c r="Q25" s="15">
        <v>7</v>
      </c>
      <c r="S25" s="14">
        <v>98008</v>
      </c>
      <c r="T25" s="14" t="s">
        <v>333</v>
      </c>
      <c r="U25" s="15">
        <v>4</v>
      </c>
      <c r="V25" s="15">
        <v>4</v>
      </c>
      <c r="W25" s="15">
        <v>3</v>
      </c>
    </row>
    <row r="26" spans="1:23" x14ac:dyDescent="0.2">
      <c r="A26" s="14">
        <v>98057</v>
      </c>
      <c r="B26" s="14" t="s">
        <v>333</v>
      </c>
      <c r="C26" s="15"/>
      <c r="D26" s="15"/>
      <c r="E26" s="15">
        <v>1</v>
      </c>
      <c r="G26" s="71">
        <v>98023</v>
      </c>
      <c r="H26" s="92" t="s">
        <v>10</v>
      </c>
      <c r="I26" s="111">
        <v>16</v>
      </c>
      <c r="J26" s="111">
        <v>6.8571428571428568</v>
      </c>
      <c r="K26" s="111">
        <v>3.3</v>
      </c>
      <c r="M26" s="14">
        <v>98022</v>
      </c>
      <c r="N26" s="14" t="s">
        <v>333</v>
      </c>
      <c r="O26" s="15">
        <v>13</v>
      </c>
      <c r="P26" s="15">
        <v>14</v>
      </c>
      <c r="Q26" s="15">
        <v>15</v>
      </c>
      <c r="S26" s="14">
        <v>98008</v>
      </c>
      <c r="T26" s="14" t="s">
        <v>10</v>
      </c>
      <c r="U26" s="15">
        <v>39</v>
      </c>
      <c r="V26" s="15">
        <v>22</v>
      </c>
      <c r="W26" s="15">
        <v>47</v>
      </c>
    </row>
    <row r="27" spans="1:23" x14ac:dyDescent="0.2">
      <c r="A27" s="14">
        <v>98070</v>
      </c>
      <c r="B27" s="14" t="s">
        <v>333</v>
      </c>
      <c r="C27" s="15"/>
      <c r="D27" s="15"/>
      <c r="E27" s="15">
        <v>1</v>
      </c>
      <c r="G27" s="71">
        <v>98027</v>
      </c>
      <c r="H27" s="92" t="s">
        <v>10</v>
      </c>
      <c r="I27" s="111">
        <v>4</v>
      </c>
      <c r="J27" s="111">
        <v>0</v>
      </c>
      <c r="K27" s="111">
        <v>0</v>
      </c>
      <c r="M27" s="14">
        <v>98023</v>
      </c>
      <c r="N27" s="14" t="s">
        <v>333</v>
      </c>
      <c r="O27" s="15">
        <v>6</v>
      </c>
      <c r="P27" s="15">
        <v>4</v>
      </c>
      <c r="Q27" s="15">
        <v>3</v>
      </c>
      <c r="S27" s="14">
        <v>98010</v>
      </c>
      <c r="T27" s="14" t="s">
        <v>333</v>
      </c>
      <c r="U27" s="15">
        <v>2</v>
      </c>
      <c r="V27" s="15">
        <v>3</v>
      </c>
      <c r="W27" s="15">
        <v>2</v>
      </c>
    </row>
    <row r="28" spans="1:23" x14ac:dyDescent="0.2">
      <c r="A28" s="14">
        <v>98107</v>
      </c>
      <c r="B28" s="14" t="s">
        <v>333</v>
      </c>
      <c r="C28" s="15">
        <v>2</v>
      </c>
      <c r="D28" s="15">
        <v>1</v>
      </c>
      <c r="E28" s="15"/>
      <c r="G28" s="71">
        <v>98029</v>
      </c>
      <c r="H28" s="92" t="s">
        <v>10</v>
      </c>
      <c r="I28" s="111"/>
      <c r="J28" s="111"/>
      <c r="K28" s="111">
        <v>2</v>
      </c>
      <c r="M28" s="14">
        <v>98024</v>
      </c>
      <c r="N28" s="14" t="s">
        <v>333</v>
      </c>
      <c r="O28" s="15">
        <v>1</v>
      </c>
      <c r="P28" s="15">
        <v>2</v>
      </c>
      <c r="Q28" s="15">
        <v>2</v>
      </c>
      <c r="S28" s="14">
        <v>98010</v>
      </c>
      <c r="T28" s="14" t="s">
        <v>10</v>
      </c>
      <c r="U28" s="15">
        <v>25</v>
      </c>
      <c r="V28" s="15">
        <v>25</v>
      </c>
      <c r="W28" s="15">
        <v>27</v>
      </c>
    </row>
    <row r="29" spans="1:23" x14ac:dyDescent="0.2">
      <c r="A29" s="14">
        <v>98108</v>
      </c>
      <c r="B29" s="14" t="s">
        <v>333</v>
      </c>
      <c r="C29" s="15"/>
      <c r="D29" s="15"/>
      <c r="E29" s="15">
        <v>3</v>
      </c>
      <c r="G29" s="71">
        <v>98030</v>
      </c>
      <c r="H29" s="92" t="s">
        <v>10</v>
      </c>
      <c r="I29" s="111">
        <v>3.9</v>
      </c>
      <c r="J29" s="111">
        <v>4.5999999999999996</v>
      </c>
      <c r="K29" s="111">
        <v>2.6315789473684212</v>
      </c>
      <c r="M29" s="14">
        <v>98026</v>
      </c>
      <c r="N29" s="14" t="s">
        <v>333</v>
      </c>
      <c r="O29" s="15">
        <v>2</v>
      </c>
      <c r="P29" s="15">
        <v>2</v>
      </c>
      <c r="Q29" s="15">
        <v>1</v>
      </c>
      <c r="S29" s="14">
        <v>98011</v>
      </c>
      <c r="T29" s="14" t="s">
        <v>333</v>
      </c>
      <c r="U29" s="15">
        <v>1</v>
      </c>
      <c r="V29" s="15">
        <v>5</v>
      </c>
      <c r="W29" s="15">
        <v>4</v>
      </c>
    </row>
    <row r="30" spans="1:23" x14ac:dyDescent="0.2">
      <c r="A30" s="14">
        <v>98116</v>
      </c>
      <c r="B30" s="14" t="s">
        <v>333</v>
      </c>
      <c r="C30" s="15"/>
      <c r="D30" s="15"/>
      <c r="E30" s="15">
        <v>1</v>
      </c>
      <c r="G30" s="71">
        <v>98031</v>
      </c>
      <c r="H30" s="92" t="s">
        <v>10</v>
      </c>
      <c r="I30" s="111">
        <v>9.6</v>
      </c>
      <c r="J30" s="111">
        <v>7</v>
      </c>
      <c r="K30" s="111">
        <v>4</v>
      </c>
      <c r="M30" s="14">
        <v>98027</v>
      </c>
      <c r="N30" s="14" t="s">
        <v>333</v>
      </c>
      <c r="O30" s="15">
        <v>16</v>
      </c>
      <c r="P30" s="15">
        <v>20</v>
      </c>
      <c r="Q30" s="15">
        <v>13</v>
      </c>
      <c r="S30" s="14">
        <v>98011</v>
      </c>
      <c r="T30" s="14" t="s">
        <v>10</v>
      </c>
      <c r="U30" s="15">
        <v>71</v>
      </c>
      <c r="V30" s="15">
        <v>62</v>
      </c>
      <c r="W30" s="15">
        <v>75</v>
      </c>
    </row>
    <row r="31" spans="1:23" x14ac:dyDescent="0.2">
      <c r="A31" s="14">
        <v>98118</v>
      </c>
      <c r="B31" s="14" t="s">
        <v>333</v>
      </c>
      <c r="C31" s="15"/>
      <c r="D31" s="15"/>
      <c r="E31" s="15">
        <v>4</v>
      </c>
      <c r="G31" s="71">
        <v>98032</v>
      </c>
      <c r="H31" s="92" t="s">
        <v>333</v>
      </c>
      <c r="I31" s="111">
        <v>3</v>
      </c>
      <c r="J31" s="111"/>
      <c r="K31" s="111">
        <v>2.6666666666666665</v>
      </c>
      <c r="M31" s="14">
        <v>98028</v>
      </c>
      <c r="N31" s="14" t="s">
        <v>333</v>
      </c>
      <c r="O31" s="15">
        <v>4</v>
      </c>
      <c r="P31" s="15">
        <v>4</v>
      </c>
      <c r="Q31" s="15">
        <v>8</v>
      </c>
      <c r="S31" s="14">
        <v>98012</v>
      </c>
      <c r="T31" s="14" t="s">
        <v>333</v>
      </c>
      <c r="U31" s="15">
        <v>2</v>
      </c>
      <c r="V31" s="15">
        <v>2</v>
      </c>
      <c r="W31" s="15">
        <v>4</v>
      </c>
    </row>
    <row r="32" spans="1:23" x14ac:dyDescent="0.2">
      <c r="A32" s="14">
        <v>98125</v>
      </c>
      <c r="B32" s="14" t="s">
        <v>333</v>
      </c>
      <c r="C32" s="15"/>
      <c r="D32" s="15">
        <v>1</v>
      </c>
      <c r="E32" s="15"/>
      <c r="G32" s="71">
        <v>98032</v>
      </c>
      <c r="H32" s="92" t="s">
        <v>10</v>
      </c>
      <c r="I32" s="111">
        <v>2.25</v>
      </c>
      <c r="J32" s="111">
        <v>7.2</v>
      </c>
      <c r="K32" s="111">
        <v>3.7</v>
      </c>
      <c r="M32" s="14">
        <v>98029</v>
      </c>
      <c r="N32" s="14" t="s">
        <v>333</v>
      </c>
      <c r="O32" s="15">
        <v>1</v>
      </c>
      <c r="P32" s="15">
        <v>3</v>
      </c>
      <c r="Q32" s="15">
        <v>3</v>
      </c>
      <c r="S32" s="14">
        <v>98012</v>
      </c>
      <c r="T32" s="14" t="s">
        <v>10</v>
      </c>
      <c r="U32" s="15">
        <v>34</v>
      </c>
      <c r="V32" s="15">
        <v>44</v>
      </c>
      <c r="W32" s="15">
        <v>60</v>
      </c>
    </row>
    <row r="33" spans="1:23" x14ac:dyDescent="0.2">
      <c r="A33" s="14">
        <v>98126</v>
      </c>
      <c r="B33" s="14" t="s">
        <v>333</v>
      </c>
      <c r="C33" s="15"/>
      <c r="D33" s="15"/>
      <c r="E33" s="15">
        <v>1</v>
      </c>
      <c r="G33" s="71">
        <v>98033</v>
      </c>
      <c r="H33" s="92" t="s">
        <v>333</v>
      </c>
      <c r="I33" s="111"/>
      <c r="J33" s="111">
        <v>7</v>
      </c>
      <c r="K33" s="111"/>
      <c r="M33" s="14">
        <v>98030</v>
      </c>
      <c r="N33" s="14" t="s">
        <v>333</v>
      </c>
      <c r="O33" s="15">
        <v>11</v>
      </c>
      <c r="P33" s="15">
        <v>11</v>
      </c>
      <c r="Q33" s="15">
        <v>10</v>
      </c>
      <c r="S33" s="14">
        <v>98014</v>
      </c>
      <c r="T33" s="14" t="s">
        <v>333</v>
      </c>
      <c r="U33" s="15">
        <v>4</v>
      </c>
      <c r="V33" s="15">
        <v>1</v>
      </c>
      <c r="W33" s="15">
        <v>3</v>
      </c>
    </row>
    <row r="34" spans="1:23" x14ac:dyDescent="0.2">
      <c r="A34" s="14">
        <v>98144</v>
      </c>
      <c r="B34" s="14" t="s">
        <v>333</v>
      </c>
      <c r="C34" s="51"/>
      <c r="D34" s="51"/>
      <c r="E34" s="51">
        <v>3</v>
      </c>
      <c r="G34" s="71">
        <v>98033</v>
      </c>
      <c r="H34" s="92" t="s">
        <v>10</v>
      </c>
      <c r="I34" s="111">
        <v>35.333333333333336</v>
      </c>
      <c r="J34" s="111">
        <v>0.25</v>
      </c>
      <c r="K34" s="111">
        <v>8.3333333333333339</v>
      </c>
      <c r="M34" s="14">
        <v>98031</v>
      </c>
      <c r="N34" s="14" t="s">
        <v>333</v>
      </c>
      <c r="O34" s="15">
        <v>10</v>
      </c>
      <c r="P34" s="15">
        <v>15</v>
      </c>
      <c r="Q34" s="15">
        <v>11</v>
      </c>
      <c r="S34" s="14">
        <v>98014</v>
      </c>
      <c r="T34" s="14" t="s">
        <v>10</v>
      </c>
      <c r="U34" s="15">
        <v>22</v>
      </c>
      <c r="V34" s="15">
        <v>19</v>
      </c>
      <c r="W34" s="15">
        <v>18</v>
      </c>
    </row>
    <row r="35" spans="1:23" x14ac:dyDescent="0.2">
      <c r="A35" s="14">
        <v>98166</v>
      </c>
      <c r="B35" s="14" t="s">
        <v>333</v>
      </c>
      <c r="C35" s="51"/>
      <c r="D35" s="51"/>
      <c r="E35" s="51">
        <v>2</v>
      </c>
      <c r="G35" s="71">
        <v>98034</v>
      </c>
      <c r="H35" s="92" t="s">
        <v>333</v>
      </c>
      <c r="I35" s="111"/>
      <c r="J35" s="111">
        <v>0</v>
      </c>
      <c r="K35" s="111"/>
      <c r="M35" s="14">
        <v>98032</v>
      </c>
      <c r="N35" s="14" t="s">
        <v>333</v>
      </c>
      <c r="O35" s="15">
        <v>58</v>
      </c>
      <c r="P35" s="15">
        <v>60</v>
      </c>
      <c r="Q35" s="15">
        <v>60</v>
      </c>
      <c r="S35" s="14">
        <v>98019</v>
      </c>
      <c r="T35" s="14" t="s">
        <v>333</v>
      </c>
      <c r="U35" s="15">
        <v>4</v>
      </c>
      <c r="V35" s="15">
        <v>3</v>
      </c>
      <c r="W35" s="15">
        <v>2</v>
      </c>
    </row>
    <row r="36" spans="1:23" x14ac:dyDescent="0.2">
      <c r="A36" s="14">
        <v>98168</v>
      </c>
      <c r="B36" s="14" t="s">
        <v>333</v>
      </c>
      <c r="C36" s="51"/>
      <c r="D36" s="51"/>
      <c r="E36" s="51">
        <v>1</v>
      </c>
      <c r="G36" s="71">
        <v>98034</v>
      </c>
      <c r="H36" s="92" t="s">
        <v>10</v>
      </c>
      <c r="I36" s="111">
        <v>0.25</v>
      </c>
      <c r="J36" s="111"/>
      <c r="K36" s="111">
        <v>2.5</v>
      </c>
      <c r="M36" s="14">
        <v>98033</v>
      </c>
      <c r="N36" s="14" t="s">
        <v>333</v>
      </c>
      <c r="O36" s="15">
        <v>16</v>
      </c>
      <c r="P36" s="15">
        <v>11</v>
      </c>
      <c r="Q36" s="15">
        <v>25</v>
      </c>
      <c r="S36" s="14">
        <v>98019</v>
      </c>
      <c r="T36" s="14" t="s">
        <v>10</v>
      </c>
      <c r="U36" s="15">
        <v>33</v>
      </c>
      <c r="V36" s="15">
        <v>19</v>
      </c>
      <c r="W36" s="15">
        <v>38</v>
      </c>
    </row>
    <row r="37" spans="1:23" x14ac:dyDescent="0.2">
      <c r="A37" s="14">
        <v>98188</v>
      </c>
      <c r="B37" s="14" t="s">
        <v>333</v>
      </c>
      <c r="C37" s="51"/>
      <c r="D37" s="51"/>
      <c r="E37" s="51">
        <v>2</v>
      </c>
      <c r="G37" s="71">
        <v>98037</v>
      </c>
      <c r="H37" s="92" t="s">
        <v>10</v>
      </c>
      <c r="I37" s="111"/>
      <c r="J37" s="111"/>
      <c r="K37" s="111">
        <v>0</v>
      </c>
      <c r="M37" s="14">
        <v>98034</v>
      </c>
      <c r="N37" s="14" t="s">
        <v>333</v>
      </c>
      <c r="O37" s="15">
        <v>34</v>
      </c>
      <c r="P37" s="15">
        <v>23</v>
      </c>
      <c r="Q37" s="15">
        <v>21</v>
      </c>
      <c r="S37" s="14">
        <v>98020</v>
      </c>
      <c r="T37" s="14" t="s">
        <v>10</v>
      </c>
      <c r="U37" s="15">
        <v>9</v>
      </c>
      <c r="V37" s="15">
        <v>11</v>
      </c>
      <c r="W37" s="15">
        <v>10</v>
      </c>
    </row>
    <row r="38" spans="1:23" x14ac:dyDescent="0.2">
      <c r="A38" s="14">
        <v>98198</v>
      </c>
      <c r="B38" s="14" t="s">
        <v>333</v>
      </c>
      <c r="C38" s="51"/>
      <c r="D38" s="51">
        <v>1</v>
      </c>
      <c r="E38" s="51">
        <v>2</v>
      </c>
      <c r="G38" s="71">
        <v>98038</v>
      </c>
      <c r="H38" s="92" t="s">
        <v>10</v>
      </c>
      <c r="I38" s="111"/>
      <c r="J38" s="111"/>
      <c r="K38" s="111">
        <v>0.5</v>
      </c>
      <c r="M38" s="14">
        <v>98036</v>
      </c>
      <c r="N38" s="14" t="s">
        <v>333</v>
      </c>
      <c r="O38" s="15">
        <v>10</v>
      </c>
      <c r="P38" s="15">
        <v>4</v>
      </c>
      <c r="Q38" s="15">
        <v>14</v>
      </c>
      <c r="S38" s="14">
        <v>98021</v>
      </c>
      <c r="T38" s="14" t="s">
        <v>333</v>
      </c>
      <c r="U38" s="15">
        <v>1</v>
      </c>
      <c r="V38" s="15">
        <v>2</v>
      </c>
      <c r="W38" s="15">
        <v>4</v>
      </c>
    </row>
    <row r="39" spans="1:23" x14ac:dyDescent="0.2">
      <c r="A39" s="14">
        <v>98201</v>
      </c>
      <c r="B39" s="14" t="s">
        <v>333</v>
      </c>
      <c r="C39" s="51"/>
      <c r="D39" s="51">
        <v>1</v>
      </c>
      <c r="E39" s="51"/>
      <c r="G39" s="71">
        <v>98042</v>
      </c>
      <c r="H39" s="92" t="s">
        <v>10</v>
      </c>
      <c r="I39" s="112">
        <v>0</v>
      </c>
      <c r="J39" s="112">
        <v>0</v>
      </c>
      <c r="K39" s="112">
        <v>0.46153846153846156</v>
      </c>
      <c r="M39" s="14">
        <v>98037</v>
      </c>
      <c r="N39" s="14" t="s">
        <v>333</v>
      </c>
      <c r="O39" s="15">
        <v>1</v>
      </c>
      <c r="P39" s="15">
        <v>2</v>
      </c>
      <c r="Q39" s="15">
        <v>2</v>
      </c>
      <c r="S39" s="14">
        <v>98021</v>
      </c>
      <c r="T39" s="14" t="s">
        <v>10</v>
      </c>
      <c r="U39" s="15">
        <v>18</v>
      </c>
      <c r="V39" s="15">
        <v>14</v>
      </c>
      <c r="W39" s="15">
        <v>23</v>
      </c>
    </row>
    <row r="40" spans="1:23" x14ac:dyDescent="0.2">
      <c r="A40" s="14">
        <v>98204</v>
      </c>
      <c r="B40" s="14" t="s">
        <v>333</v>
      </c>
      <c r="C40" s="51"/>
      <c r="D40" s="51"/>
      <c r="E40" s="51">
        <v>1</v>
      </c>
      <c r="G40" s="71">
        <v>98047</v>
      </c>
      <c r="H40" s="92" t="s">
        <v>333</v>
      </c>
      <c r="I40" s="112"/>
      <c r="J40" s="112"/>
      <c r="K40" s="112">
        <v>1</v>
      </c>
      <c r="M40" s="14">
        <v>98038</v>
      </c>
      <c r="N40" s="14" t="s">
        <v>333</v>
      </c>
      <c r="O40" s="15">
        <v>9</v>
      </c>
      <c r="P40" s="15">
        <v>13</v>
      </c>
      <c r="Q40" s="15">
        <v>12</v>
      </c>
      <c r="S40" s="14">
        <v>98022</v>
      </c>
      <c r="T40" s="14" t="s">
        <v>333</v>
      </c>
      <c r="U40" s="15">
        <v>12</v>
      </c>
      <c r="V40" s="15">
        <v>9</v>
      </c>
      <c r="W40" s="15">
        <v>12</v>
      </c>
    </row>
    <row r="41" spans="1:23" x14ac:dyDescent="0.2">
      <c r="A41" s="14">
        <v>98223</v>
      </c>
      <c r="B41" s="14" t="s">
        <v>333</v>
      </c>
      <c r="C41" s="51"/>
      <c r="D41" s="51">
        <v>1</v>
      </c>
      <c r="E41" s="51"/>
      <c r="G41" s="71">
        <v>98047</v>
      </c>
      <c r="H41" s="92" t="s">
        <v>10</v>
      </c>
      <c r="I41" s="112"/>
      <c r="J41" s="112">
        <v>5</v>
      </c>
      <c r="K41" s="112"/>
      <c r="M41" s="14">
        <v>98040</v>
      </c>
      <c r="N41" s="14" t="s">
        <v>333</v>
      </c>
      <c r="O41" s="15">
        <v>4</v>
      </c>
      <c r="P41" s="15">
        <v>10</v>
      </c>
      <c r="Q41" s="15">
        <v>8</v>
      </c>
      <c r="S41" s="14">
        <v>98022</v>
      </c>
      <c r="T41" s="14" t="s">
        <v>10</v>
      </c>
      <c r="U41" s="15">
        <v>77</v>
      </c>
      <c r="V41" s="15">
        <v>61</v>
      </c>
      <c r="W41" s="15">
        <v>87</v>
      </c>
    </row>
    <row r="42" spans="1:23" x14ac:dyDescent="0.2">
      <c r="A42" s="14">
        <v>98225</v>
      </c>
      <c r="B42" s="14" t="s">
        <v>333</v>
      </c>
      <c r="C42" s="51">
        <v>1</v>
      </c>
      <c r="D42" s="51">
        <v>1</v>
      </c>
      <c r="E42" s="51">
        <v>2</v>
      </c>
      <c r="G42" s="14">
        <v>98052</v>
      </c>
      <c r="H42" s="14" t="s">
        <v>333</v>
      </c>
      <c r="I42" s="113"/>
      <c r="J42" s="113">
        <v>7</v>
      </c>
      <c r="K42" s="113"/>
      <c r="M42" s="14">
        <v>98042</v>
      </c>
      <c r="N42" s="14" t="s">
        <v>333</v>
      </c>
      <c r="O42" s="15">
        <v>12</v>
      </c>
      <c r="P42" s="15">
        <v>9</v>
      </c>
      <c r="Q42" s="15">
        <v>9</v>
      </c>
      <c r="S42" s="14">
        <v>98023</v>
      </c>
      <c r="T42" s="14" t="s">
        <v>333</v>
      </c>
      <c r="U42" s="15">
        <v>4</v>
      </c>
      <c r="V42" s="15">
        <v>4</v>
      </c>
      <c r="W42" s="15">
        <v>2</v>
      </c>
    </row>
    <row r="43" spans="1:23" x14ac:dyDescent="0.2">
      <c r="A43" s="14">
        <v>98226</v>
      </c>
      <c r="B43" s="14" t="s">
        <v>333</v>
      </c>
      <c r="C43" s="51">
        <v>2</v>
      </c>
      <c r="D43" s="51">
        <v>1</v>
      </c>
      <c r="E43" s="51">
        <v>4</v>
      </c>
      <c r="G43" s="14">
        <v>98052</v>
      </c>
      <c r="H43" s="14" t="s">
        <v>10</v>
      </c>
      <c r="I43" s="113">
        <v>1</v>
      </c>
      <c r="J43" s="113">
        <v>0</v>
      </c>
      <c r="K43" s="113">
        <v>5.166666666666667</v>
      </c>
      <c r="M43" s="14">
        <v>98043</v>
      </c>
      <c r="N43" s="14" t="s">
        <v>333</v>
      </c>
      <c r="O43" s="15">
        <v>3</v>
      </c>
      <c r="P43" s="15">
        <v>4</v>
      </c>
      <c r="Q43" s="15">
        <v>3</v>
      </c>
      <c r="S43" s="14">
        <v>98023</v>
      </c>
      <c r="T43" s="14" t="s">
        <v>10</v>
      </c>
      <c r="U43" s="15">
        <v>336</v>
      </c>
      <c r="V43" s="15">
        <v>235</v>
      </c>
      <c r="W43" s="15">
        <v>293</v>
      </c>
    </row>
    <row r="44" spans="1:23" x14ac:dyDescent="0.2">
      <c r="A44" s="14">
        <v>98229</v>
      </c>
      <c r="B44" s="14" t="s">
        <v>333</v>
      </c>
      <c r="C44" s="51"/>
      <c r="D44" s="51"/>
      <c r="E44" s="51">
        <v>1</v>
      </c>
      <c r="G44" s="14">
        <v>98055</v>
      </c>
      <c r="H44" s="14" t="s">
        <v>10</v>
      </c>
      <c r="I44" s="113">
        <v>15.5</v>
      </c>
      <c r="J44" s="113"/>
      <c r="K44" s="113">
        <v>0.14285714285714285</v>
      </c>
      <c r="M44" s="14">
        <v>98045</v>
      </c>
      <c r="N44" s="14" t="s">
        <v>333</v>
      </c>
      <c r="O44" s="15">
        <v>5</v>
      </c>
      <c r="P44" s="15">
        <v>5</v>
      </c>
      <c r="Q44" s="15">
        <v>5</v>
      </c>
      <c r="S44" s="14">
        <v>98024</v>
      </c>
      <c r="T44" s="14" t="s">
        <v>333</v>
      </c>
      <c r="U44" s="15">
        <v>1</v>
      </c>
      <c r="V44" s="15">
        <v>3</v>
      </c>
      <c r="W44" s="15"/>
    </row>
    <row r="45" spans="1:23" x14ac:dyDescent="0.2">
      <c r="A45" s="14">
        <v>98230</v>
      </c>
      <c r="B45" s="14" t="s">
        <v>333</v>
      </c>
      <c r="C45" s="51"/>
      <c r="D45" s="51">
        <v>1</v>
      </c>
      <c r="E45" s="51"/>
      <c r="G45" s="14">
        <v>98056</v>
      </c>
      <c r="H45" s="14" t="s">
        <v>333</v>
      </c>
      <c r="I45" s="113"/>
      <c r="J45" s="113"/>
      <c r="K45" s="113">
        <v>20</v>
      </c>
      <c r="M45" s="14">
        <v>98047</v>
      </c>
      <c r="N45" s="14" t="s">
        <v>333</v>
      </c>
      <c r="O45" s="15">
        <v>7</v>
      </c>
      <c r="P45" s="15">
        <v>5</v>
      </c>
      <c r="Q45" s="15">
        <v>10</v>
      </c>
      <c r="S45" s="14">
        <v>98024</v>
      </c>
      <c r="T45" s="14" t="s">
        <v>10</v>
      </c>
      <c r="U45" s="15">
        <v>22</v>
      </c>
      <c r="V45" s="15">
        <v>17</v>
      </c>
      <c r="W45" s="15">
        <v>21</v>
      </c>
    </row>
    <row r="46" spans="1:23" x14ac:dyDescent="0.2">
      <c r="A46" s="14">
        <v>98236</v>
      </c>
      <c r="B46" s="14" t="s">
        <v>333</v>
      </c>
      <c r="C46" s="51">
        <v>1</v>
      </c>
      <c r="D46" s="51"/>
      <c r="E46" s="51"/>
      <c r="G46" s="14">
        <v>98056</v>
      </c>
      <c r="H46" s="14" t="s">
        <v>10</v>
      </c>
      <c r="I46" s="113">
        <v>0.25</v>
      </c>
      <c r="J46" s="113">
        <v>0</v>
      </c>
      <c r="K46" s="113">
        <v>1.2727272727272727</v>
      </c>
      <c r="M46" s="14">
        <v>98051</v>
      </c>
      <c r="N46" s="14" t="s">
        <v>333</v>
      </c>
      <c r="O46" s="15"/>
      <c r="P46" s="15">
        <v>1</v>
      </c>
      <c r="Q46" s="15">
        <v>3</v>
      </c>
      <c r="S46" s="14">
        <v>98026</v>
      </c>
      <c r="T46" s="14" t="s">
        <v>333</v>
      </c>
      <c r="U46" s="15">
        <v>1</v>
      </c>
      <c r="V46" s="15">
        <v>1</v>
      </c>
      <c r="W46" s="15"/>
    </row>
    <row r="47" spans="1:23" x14ac:dyDescent="0.2">
      <c r="A47" s="14">
        <v>98237</v>
      </c>
      <c r="B47" s="14" t="s">
        <v>333</v>
      </c>
      <c r="C47" s="51">
        <v>1</v>
      </c>
      <c r="D47" s="51"/>
      <c r="E47" s="51"/>
      <c r="G47" s="14">
        <v>98057</v>
      </c>
      <c r="H47" s="14" t="s">
        <v>333</v>
      </c>
      <c r="I47" s="113"/>
      <c r="J47" s="113"/>
      <c r="K47" s="113">
        <v>25</v>
      </c>
      <c r="M47" s="14">
        <v>98052</v>
      </c>
      <c r="N47" s="14" t="s">
        <v>333</v>
      </c>
      <c r="O47" s="15">
        <v>60</v>
      </c>
      <c r="P47" s="15">
        <v>48</v>
      </c>
      <c r="Q47" s="15">
        <v>52</v>
      </c>
      <c r="S47" s="14">
        <v>98026</v>
      </c>
      <c r="T47" s="14" t="s">
        <v>10</v>
      </c>
      <c r="U47" s="15">
        <v>10</v>
      </c>
      <c r="V47" s="15">
        <v>13</v>
      </c>
      <c r="W47" s="15">
        <v>20</v>
      </c>
    </row>
    <row r="48" spans="1:23" x14ac:dyDescent="0.2">
      <c r="A48" s="14">
        <v>98247</v>
      </c>
      <c r="B48" s="14" t="s">
        <v>333</v>
      </c>
      <c r="C48" s="51"/>
      <c r="D48" s="51">
        <v>2</v>
      </c>
      <c r="E48" s="51"/>
      <c r="G48" s="14">
        <v>98057</v>
      </c>
      <c r="H48" s="14" t="s">
        <v>10</v>
      </c>
      <c r="I48" s="113">
        <v>2</v>
      </c>
      <c r="J48" s="113">
        <v>0</v>
      </c>
      <c r="K48" s="113">
        <v>0</v>
      </c>
      <c r="M48" s="14">
        <v>98053</v>
      </c>
      <c r="N48" s="14" t="s">
        <v>333</v>
      </c>
      <c r="O48" s="15">
        <v>8</v>
      </c>
      <c r="P48" s="15">
        <v>6</v>
      </c>
      <c r="Q48" s="15">
        <v>6</v>
      </c>
      <c r="S48" s="14">
        <v>98027</v>
      </c>
      <c r="T48" s="14" t="s">
        <v>333</v>
      </c>
      <c r="U48" s="15">
        <v>13</v>
      </c>
      <c r="V48" s="15">
        <v>11</v>
      </c>
      <c r="W48" s="15">
        <v>10</v>
      </c>
    </row>
    <row r="49" spans="1:23" x14ac:dyDescent="0.2">
      <c r="A49" s="14">
        <v>98248</v>
      </c>
      <c r="B49" s="14" t="s">
        <v>333</v>
      </c>
      <c r="C49" s="51">
        <v>3</v>
      </c>
      <c r="D49" s="51">
        <v>1</v>
      </c>
      <c r="E49" s="51">
        <v>4</v>
      </c>
      <c r="G49" s="14">
        <v>98058</v>
      </c>
      <c r="H49" s="14" t="s">
        <v>10</v>
      </c>
      <c r="I49" s="113">
        <v>39</v>
      </c>
      <c r="J49" s="113"/>
      <c r="K49" s="113">
        <v>1.3333333333333333</v>
      </c>
      <c r="M49" s="14">
        <v>98055</v>
      </c>
      <c r="N49" s="14" t="s">
        <v>333</v>
      </c>
      <c r="O49" s="15">
        <v>4</v>
      </c>
      <c r="P49" s="15">
        <v>5</v>
      </c>
      <c r="Q49" s="15">
        <v>5</v>
      </c>
      <c r="S49" s="14">
        <v>98027</v>
      </c>
      <c r="T49" s="14" t="s">
        <v>10</v>
      </c>
      <c r="U49" s="15">
        <v>75</v>
      </c>
      <c r="V49" s="15">
        <v>65</v>
      </c>
      <c r="W49" s="15">
        <v>74</v>
      </c>
    </row>
    <row r="50" spans="1:23" x14ac:dyDescent="0.2">
      <c r="A50" s="14">
        <v>98264</v>
      </c>
      <c r="B50" s="14" t="s">
        <v>333</v>
      </c>
      <c r="C50" s="51">
        <v>3</v>
      </c>
      <c r="D50" s="51"/>
      <c r="E50" s="51"/>
      <c r="G50" s="14">
        <v>98059</v>
      </c>
      <c r="H50" s="14" t="s">
        <v>10</v>
      </c>
      <c r="I50" s="113">
        <v>0</v>
      </c>
      <c r="J50" s="113">
        <v>18.5</v>
      </c>
      <c r="K50" s="113">
        <v>0</v>
      </c>
      <c r="M50" s="14">
        <v>98056</v>
      </c>
      <c r="N50" s="14" t="s">
        <v>333</v>
      </c>
      <c r="O50" s="15">
        <v>13</v>
      </c>
      <c r="P50" s="15">
        <v>9</v>
      </c>
      <c r="Q50" s="15">
        <v>8</v>
      </c>
      <c r="S50" s="14">
        <v>98028</v>
      </c>
      <c r="T50" s="14" t="s">
        <v>333</v>
      </c>
      <c r="U50" s="15">
        <v>1</v>
      </c>
      <c r="V50" s="15">
        <v>2</v>
      </c>
      <c r="W50" s="15">
        <v>3</v>
      </c>
    </row>
    <row r="51" spans="1:23" x14ac:dyDescent="0.2">
      <c r="A51" s="14">
        <v>98270</v>
      </c>
      <c r="B51" s="14" t="s">
        <v>333</v>
      </c>
      <c r="C51" s="51"/>
      <c r="D51" s="51">
        <v>1</v>
      </c>
      <c r="E51" s="51"/>
      <c r="G51" s="14">
        <v>98065</v>
      </c>
      <c r="H51" s="14" t="s">
        <v>10</v>
      </c>
      <c r="I51" s="113"/>
      <c r="J51" s="113"/>
      <c r="K51" s="113">
        <v>7</v>
      </c>
      <c r="M51" s="14">
        <v>98057</v>
      </c>
      <c r="N51" s="14" t="s">
        <v>333</v>
      </c>
      <c r="O51" s="15">
        <v>21</v>
      </c>
      <c r="P51" s="15">
        <v>25</v>
      </c>
      <c r="Q51" s="15">
        <v>32</v>
      </c>
      <c r="S51" s="14">
        <v>98028</v>
      </c>
      <c r="T51" s="14" t="s">
        <v>10</v>
      </c>
      <c r="U51" s="15">
        <v>44</v>
      </c>
      <c r="V51" s="15">
        <v>52</v>
      </c>
      <c r="W51" s="15">
        <v>83</v>
      </c>
    </row>
    <row r="52" spans="1:23" x14ac:dyDescent="0.2">
      <c r="A52" s="14">
        <v>98273</v>
      </c>
      <c r="B52" s="14" t="s">
        <v>333</v>
      </c>
      <c r="C52" s="51">
        <v>4</v>
      </c>
      <c r="D52" s="51">
        <v>1</v>
      </c>
      <c r="E52" s="51"/>
      <c r="G52" s="14">
        <v>98070</v>
      </c>
      <c r="H52" s="14" t="s">
        <v>10</v>
      </c>
      <c r="I52" s="113">
        <v>0</v>
      </c>
      <c r="J52" s="113"/>
      <c r="K52" s="113"/>
      <c r="M52" s="14">
        <v>98058</v>
      </c>
      <c r="N52" s="14" t="s">
        <v>333</v>
      </c>
      <c r="O52" s="15">
        <v>5</v>
      </c>
      <c r="P52" s="15">
        <v>5</v>
      </c>
      <c r="Q52" s="15">
        <v>6</v>
      </c>
      <c r="S52" s="14">
        <v>98029</v>
      </c>
      <c r="T52" s="14" t="s">
        <v>333</v>
      </c>
      <c r="U52" s="15">
        <v>2</v>
      </c>
      <c r="V52" s="15">
        <v>2</v>
      </c>
      <c r="W52" s="15">
        <v>1</v>
      </c>
    </row>
    <row r="53" spans="1:23" x14ac:dyDescent="0.2">
      <c r="A53" s="14">
        <v>98277</v>
      </c>
      <c r="B53" s="14" t="s">
        <v>333</v>
      </c>
      <c r="C53" s="51">
        <v>2</v>
      </c>
      <c r="D53" s="51"/>
      <c r="E53" s="51"/>
      <c r="G53" s="14">
        <v>98072</v>
      </c>
      <c r="H53" s="14" t="s">
        <v>10</v>
      </c>
      <c r="I53" s="113"/>
      <c r="J53" s="113">
        <v>0</v>
      </c>
      <c r="K53" s="113"/>
      <c r="M53" s="14">
        <v>98059</v>
      </c>
      <c r="N53" s="14" t="s">
        <v>333</v>
      </c>
      <c r="O53" s="15">
        <v>6</v>
      </c>
      <c r="P53" s="15">
        <v>5</v>
      </c>
      <c r="Q53" s="15">
        <v>6</v>
      </c>
      <c r="S53" s="14">
        <v>98029</v>
      </c>
      <c r="T53" s="14" t="s">
        <v>10</v>
      </c>
      <c r="U53" s="15">
        <v>73</v>
      </c>
      <c r="V53" s="15">
        <v>50</v>
      </c>
      <c r="W53" s="15">
        <v>59</v>
      </c>
    </row>
    <row r="54" spans="1:23" x14ac:dyDescent="0.2">
      <c r="A54" s="14">
        <v>98283</v>
      </c>
      <c r="B54" s="14" t="s">
        <v>333</v>
      </c>
      <c r="C54" s="51">
        <v>1</v>
      </c>
      <c r="D54" s="51"/>
      <c r="E54" s="51">
        <v>1</v>
      </c>
      <c r="G54" s="14">
        <v>98074</v>
      </c>
      <c r="H54" s="14" t="s">
        <v>10</v>
      </c>
      <c r="I54" s="113">
        <v>0</v>
      </c>
      <c r="J54" s="113"/>
      <c r="K54" s="113"/>
      <c r="M54" s="14">
        <v>98065</v>
      </c>
      <c r="N54" s="14" t="s">
        <v>333</v>
      </c>
      <c r="O54" s="15">
        <v>4</v>
      </c>
      <c r="P54" s="15">
        <v>3</v>
      </c>
      <c r="Q54" s="15">
        <v>2</v>
      </c>
      <c r="S54" s="14">
        <v>98030</v>
      </c>
      <c r="T54" s="14" t="s">
        <v>333</v>
      </c>
      <c r="U54" s="15">
        <v>6</v>
      </c>
      <c r="V54" s="15">
        <v>6</v>
      </c>
      <c r="W54" s="15">
        <v>9</v>
      </c>
    </row>
    <row r="55" spans="1:23" x14ac:dyDescent="0.2">
      <c r="A55" s="14">
        <v>98311</v>
      </c>
      <c r="B55" s="14" t="s">
        <v>333</v>
      </c>
      <c r="C55" s="51"/>
      <c r="D55" s="51"/>
      <c r="E55" s="51">
        <v>1</v>
      </c>
      <c r="G55" s="14">
        <v>98075</v>
      </c>
      <c r="H55" s="14" t="s">
        <v>10</v>
      </c>
      <c r="I55" s="113"/>
      <c r="J55" s="113"/>
      <c r="K55" s="113">
        <v>1.5</v>
      </c>
      <c r="M55" s="14">
        <v>98068</v>
      </c>
      <c r="N55" s="14" t="s">
        <v>333</v>
      </c>
      <c r="O55" s="15">
        <v>5</v>
      </c>
      <c r="P55" s="15">
        <v>3</v>
      </c>
      <c r="Q55" s="15">
        <v>1</v>
      </c>
      <c r="S55" s="14">
        <v>98030</v>
      </c>
      <c r="T55" s="14" t="s">
        <v>10</v>
      </c>
      <c r="U55" s="15">
        <v>299</v>
      </c>
      <c r="V55" s="15">
        <v>136</v>
      </c>
      <c r="W55" s="15">
        <v>212</v>
      </c>
    </row>
    <row r="56" spans="1:23" x14ac:dyDescent="0.2">
      <c r="A56" s="14">
        <v>98337</v>
      </c>
      <c r="B56" s="14" t="s">
        <v>333</v>
      </c>
      <c r="C56" s="51">
        <v>1</v>
      </c>
      <c r="D56" s="51"/>
      <c r="E56" s="51">
        <v>1</v>
      </c>
      <c r="G56" s="14">
        <v>98087</v>
      </c>
      <c r="H56" s="14" t="s">
        <v>10</v>
      </c>
      <c r="I56" s="113"/>
      <c r="J56" s="113">
        <v>4</v>
      </c>
      <c r="K56" s="113"/>
      <c r="M56" s="14">
        <v>98070</v>
      </c>
      <c r="N56" s="14" t="s">
        <v>333</v>
      </c>
      <c r="O56" s="15">
        <v>10</v>
      </c>
      <c r="P56" s="15">
        <v>10</v>
      </c>
      <c r="Q56" s="15">
        <v>10</v>
      </c>
      <c r="S56" s="14">
        <v>98031</v>
      </c>
      <c r="T56" s="14" t="s">
        <v>333</v>
      </c>
      <c r="U56" s="15">
        <v>8</v>
      </c>
      <c r="V56" s="15">
        <v>8</v>
      </c>
      <c r="W56" s="15">
        <v>11</v>
      </c>
    </row>
    <row r="57" spans="1:23" x14ac:dyDescent="0.2">
      <c r="A57" s="14">
        <v>98338</v>
      </c>
      <c r="B57" s="14" t="s">
        <v>333</v>
      </c>
      <c r="C57" s="51">
        <v>1</v>
      </c>
      <c r="D57" s="51">
        <v>1</v>
      </c>
      <c r="E57" s="51"/>
      <c r="G57" s="14">
        <v>98092</v>
      </c>
      <c r="H57" s="14" t="s">
        <v>10</v>
      </c>
      <c r="I57" s="113">
        <v>1.5</v>
      </c>
      <c r="J57" s="113">
        <v>3.8888888888888888</v>
      </c>
      <c r="K57" s="113">
        <v>3.75</v>
      </c>
      <c r="M57" s="14">
        <v>98072</v>
      </c>
      <c r="N57" s="14" t="s">
        <v>333</v>
      </c>
      <c r="O57" s="15">
        <v>14</v>
      </c>
      <c r="P57" s="15">
        <v>13</v>
      </c>
      <c r="Q57" s="15">
        <v>25</v>
      </c>
      <c r="S57" s="14">
        <v>98031</v>
      </c>
      <c r="T57" s="14" t="s">
        <v>10</v>
      </c>
      <c r="U57" s="15">
        <v>203</v>
      </c>
      <c r="V57" s="15">
        <v>107</v>
      </c>
      <c r="W57" s="15">
        <v>167</v>
      </c>
    </row>
    <row r="58" spans="1:23" x14ac:dyDescent="0.2">
      <c r="A58" s="14">
        <v>98354</v>
      </c>
      <c r="B58" s="14" t="s">
        <v>333</v>
      </c>
      <c r="C58" s="51"/>
      <c r="D58" s="51">
        <v>1</v>
      </c>
      <c r="E58" s="51"/>
      <c r="G58" s="14">
        <v>98102</v>
      </c>
      <c r="H58" s="14" t="s">
        <v>10</v>
      </c>
      <c r="I58" s="113"/>
      <c r="J58" s="113">
        <v>1</v>
      </c>
      <c r="K58" s="113"/>
      <c r="M58" s="14">
        <v>98074</v>
      </c>
      <c r="N58" s="14" t="s">
        <v>333</v>
      </c>
      <c r="O58" s="15">
        <v>4</v>
      </c>
      <c r="P58" s="15">
        <v>4</v>
      </c>
      <c r="Q58" s="15">
        <v>1</v>
      </c>
      <c r="S58" s="14">
        <v>98032</v>
      </c>
      <c r="T58" s="14" t="s">
        <v>333</v>
      </c>
      <c r="U58" s="15">
        <v>35</v>
      </c>
      <c r="V58" s="15">
        <v>33</v>
      </c>
      <c r="W58" s="15">
        <v>54</v>
      </c>
    </row>
    <row r="59" spans="1:23" x14ac:dyDescent="0.2">
      <c r="A59" s="14">
        <v>98370</v>
      </c>
      <c r="B59" s="14" t="s">
        <v>333</v>
      </c>
      <c r="C59" s="51"/>
      <c r="D59" s="51"/>
      <c r="E59" s="51">
        <v>1</v>
      </c>
      <c r="G59" s="14">
        <v>98103</v>
      </c>
      <c r="H59" s="14" t="s">
        <v>10</v>
      </c>
      <c r="I59" s="113"/>
      <c r="J59" s="113"/>
      <c r="K59" s="113">
        <v>0</v>
      </c>
      <c r="M59" s="14">
        <v>98075</v>
      </c>
      <c r="N59" s="14" t="s">
        <v>333</v>
      </c>
      <c r="O59" s="15">
        <v>1</v>
      </c>
      <c r="P59" s="15">
        <v>2</v>
      </c>
      <c r="Q59" s="15"/>
      <c r="S59" s="14">
        <v>98032</v>
      </c>
      <c r="T59" s="14" t="s">
        <v>10</v>
      </c>
      <c r="U59" s="15">
        <v>313</v>
      </c>
      <c r="V59" s="15">
        <v>207</v>
      </c>
      <c r="W59" s="15">
        <v>270</v>
      </c>
    </row>
    <row r="60" spans="1:23" x14ac:dyDescent="0.2">
      <c r="A60" s="14">
        <v>98373</v>
      </c>
      <c r="B60" s="14" t="s">
        <v>333</v>
      </c>
      <c r="C60" s="51"/>
      <c r="D60" s="51"/>
      <c r="E60" s="51">
        <v>2</v>
      </c>
      <c r="G60" s="14">
        <v>98105</v>
      </c>
      <c r="H60" s="14" t="s">
        <v>10</v>
      </c>
      <c r="I60" s="113"/>
      <c r="J60" s="113">
        <v>19</v>
      </c>
      <c r="K60" s="113"/>
      <c r="M60" s="14">
        <v>98077</v>
      </c>
      <c r="N60" s="14" t="s">
        <v>333</v>
      </c>
      <c r="O60" s="15"/>
      <c r="P60" s="15">
        <v>3</v>
      </c>
      <c r="Q60" s="15">
        <v>1</v>
      </c>
      <c r="S60" s="14">
        <v>98033</v>
      </c>
      <c r="T60" s="14" t="s">
        <v>333</v>
      </c>
      <c r="U60" s="15">
        <v>10</v>
      </c>
      <c r="V60" s="15">
        <v>11</v>
      </c>
      <c r="W60" s="15">
        <v>15</v>
      </c>
    </row>
    <row r="61" spans="1:23" x14ac:dyDescent="0.2">
      <c r="A61" s="14">
        <v>98390</v>
      </c>
      <c r="B61" s="14" t="s">
        <v>333</v>
      </c>
      <c r="C61" s="51"/>
      <c r="D61" s="51"/>
      <c r="E61" s="51">
        <v>1</v>
      </c>
      <c r="G61" s="14">
        <v>98106</v>
      </c>
      <c r="H61" s="14" t="s">
        <v>10</v>
      </c>
      <c r="I61" s="113"/>
      <c r="J61" s="113">
        <v>23.666666666666668</v>
      </c>
      <c r="K61" s="113">
        <v>4</v>
      </c>
      <c r="M61" s="14">
        <v>98087</v>
      </c>
      <c r="N61" s="14" t="s">
        <v>333</v>
      </c>
      <c r="O61" s="15">
        <v>3</v>
      </c>
      <c r="P61" s="15">
        <v>3</v>
      </c>
      <c r="Q61" s="15">
        <v>3</v>
      </c>
      <c r="S61" s="14">
        <v>98033</v>
      </c>
      <c r="T61" s="14" t="s">
        <v>10</v>
      </c>
      <c r="U61" s="15">
        <v>80</v>
      </c>
      <c r="V61" s="15">
        <v>71</v>
      </c>
      <c r="W61" s="15">
        <v>60</v>
      </c>
    </row>
    <row r="62" spans="1:23" x14ac:dyDescent="0.2">
      <c r="A62" s="14">
        <v>98391</v>
      </c>
      <c r="B62" s="14" t="s">
        <v>333</v>
      </c>
      <c r="C62" s="51"/>
      <c r="D62" s="51">
        <v>1</v>
      </c>
      <c r="E62" s="51">
        <v>1</v>
      </c>
      <c r="G62" s="14">
        <v>98107</v>
      </c>
      <c r="H62" s="14" t="s">
        <v>333</v>
      </c>
      <c r="I62" s="113">
        <v>34</v>
      </c>
      <c r="J62" s="113">
        <v>1</v>
      </c>
      <c r="K62" s="113"/>
      <c r="M62" s="14">
        <v>98092</v>
      </c>
      <c r="N62" s="14" t="s">
        <v>333</v>
      </c>
      <c r="O62" s="15">
        <v>5</v>
      </c>
      <c r="P62" s="15">
        <v>12</v>
      </c>
      <c r="Q62" s="15">
        <v>12</v>
      </c>
      <c r="S62" s="14">
        <v>98034</v>
      </c>
      <c r="T62" s="14" t="s">
        <v>333</v>
      </c>
      <c r="U62" s="15">
        <v>17</v>
      </c>
      <c r="V62" s="15">
        <v>26</v>
      </c>
      <c r="W62" s="15">
        <v>15</v>
      </c>
    </row>
    <row r="63" spans="1:23" x14ac:dyDescent="0.2">
      <c r="A63" s="14">
        <v>98402</v>
      </c>
      <c r="B63" s="14" t="s">
        <v>333</v>
      </c>
      <c r="C63" s="51"/>
      <c r="D63" s="51">
        <v>1</v>
      </c>
      <c r="E63" s="51"/>
      <c r="G63" s="14">
        <v>98108</v>
      </c>
      <c r="H63" s="14" t="s">
        <v>10</v>
      </c>
      <c r="I63" s="113">
        <v>0</v>
      </c>
      <c r="J63" s="113"/>
      <c r="K63" s="113">
        <v>25</v>
      </c>
      <c r="M63" s="14">
        <v>98101</v>
      </c>
      <c r="N63" s="14" t="s">
        <v>333</v>
      </c>
      <c r="O63" s="15">
        <v>11</v>
      </c>
      <c r="P63" s="15">
        <v>8</v>
      </c>
      <c r="Q63" s="15">
        <v>9</v>
      </c>
      <c r="S63" s="14">
        <v>98034</v>
      </c>
      <c r="T63" s="14" t="s">
        <v>10</v>
      </c>
      <c r="U63" s="15">
        <v>185</v>
      </c>
      <c r="V63" s="15">
        <v>125</v>
      </c>
      <c r="W63" s="15">
        <v>188</v>
      </c>
    </row>
    <row r="64" spans="1:23" x14ac:dyDescent="0.2">
      <c r="A64" s="14">
        <v>98404</v>
      </c>
      <c r="B64" s="14" t="s">
        <v>333</v>
      </c>
      <c r="C64" s="51">
        <v>1</v>
      </c>
      <c r="D64" s="51"/>
      <c r="E64" s="51"/>
      <c r="G64" s="14">
        <v>98109</v>
      </c>
      <c r="H64" s="14" t="s">
        <v>10</v>
      </c>
      <c r="I64" s="113"/>
      <c r="J64" s="113">
        <v>7</v>
      </c>
      <c r="K64" s="113"/>
      <c r="M64" s="14">
        <v>98102</v>
      </c>
      <c r="N64" s="14" t="s">
        <v>333</v>
      </c>
      <c r="O64" s="15">
        <v>13</v>
      </c>
      <c r="P64" s="15">
        <v>8</v>
      </c>
      <c r="Q64" s="15">
        <v>8</v>
      </c>
      <c r="S64" s="14">
        <v>98036</v>
      </c>
      <c r="T64" s="14" t="s">
        <v>333</v>
      </c>
      <c r="U64" s="15">
        <v>4</v>
      </c>
      <c r="V64" s="15">
        <v>5</v>
      </c>
      <c r="W64" s="15">
        <v>10</v>
      </c>
    </row>
    <row r="65" spans="1:23" x14ac:dyDescent="0.2">
      <c r="A65" s="14">
        <v>98408</v>
      </c>
      <c r="B65" s="14" t="s">
        <v>333</v>
      </c>
      <c r="C65" s="51"/>
      <c r="D65" s="51"/>
      <c r="E65" s="51">
        <v>1</v>
      </c>
      <c r="G65" s="14">
        <v>98110</v>
      </c>
      <c r="H65" s="14" t="s">
        <v>10</v>
      </c>
      <c r="I65" s="113"/>
      <c r="J65" s="113">
        <v>1</v>
      </c>
      <c r="K65" s="113">
        <v>0</v>
      </c>
      <c r="M65" s="14">
        <v>98103</v>
      </c>
      <c r="N65" s="14" t="s">
        <v>333</v>
      </c>
      <c r="O65" s="15">
        <v>9</v>
      </c>
      <c r="P65" s="15">
        <v>14</v>
      </c>
      <c r="Q65" s="15">
        <v>11</v>
      </c>
      <c r="S65" s="14">
        <v>98036</v>
      </c>
      <c r="T65" s="14" t="s">
        <v>10</v>
      </c>
      <c r="U65" s="15">
        <v>31</v>
      </c>
      <c r="V65" s="15">
        <v>33</v>
      </c>
      <c r="W65" s="15">
        <v>30</v>
      </c>
    </row>
    <row r="66" spans="1:23" x14ac:dyDescent="0.2">
      <c r="A66" s="14">
        <v>98418</v>
      </c>
      <c r="B66" s="14" t="s">
        <v>333</v>
      </c>
      <c r="C66" s="51">
        <v>1</v>
      </c>
      <c r="D66" s="51">
        <v>1</v>
      </c>
      <c r="E66" s="51"/>
      <c r="G66" s="14">
        <v>98116</v>
      </c>
      <c r="H66" s="14" t="s">
        <v>333</v>
      </c>
      <c r="I66" s="113"/>
      <c r="J66" s="113"/>
      <c r="K66" s="113">
        <v>3</v>
      </c>
      <c r="M66" s="14">
        <v>98104</v>
      </c>
      <c r="N66" s="14" t="s">
        <v>333</v>
      </c>
      <c r="O66" s="15">
        <v>13</v>
      </c>
      <c r="P66" s="15">
        <v>15</v>
      </c>
      <c r="Q66" s="15">
        <v>16</v>
      </c>
      <c r="S66" s="14">
        <v>98037</v>
      </c>
      <c r="T66" s="14" t="s">
        <v>333</v>
      </c>
      <c r="U66" s="15">
        <v>1</v>
      </c>
      <c r="V66" s="15"/>
      <c r="W66" s="15"/>
    </row>
    <row r="67" spans="1:23" x14ac:dyDescent="0.2">
      <c r="A67" s="14">
        <v>98421</v>
      </c>
      <c r="B67" s="14" t="s">
        <v>333</v>
      </c>
      <c r="C67" s="51"/>
      <c r="D67" s="51">
        <v>1</v>
      </c>
      <c r="E67" s="51"/>
      <c r="G67" s="14">
        <v>98117</v>
      </c>
      <c r="H67" s="14" t="s">
        <v>10</v>
      </c>
      <c r="I67" s="113">
        <v>2.5</v>
      </c>
      <c r="J67" s="113">
        <v>2.5</v>
      </c>
      <c r="K67" s="113"/>
      <c r="M67" s="14">
        <v>98105</v>
      </c>
      <c r="N67" s="14" t="s">
        <v>333</v>
      </c>
      <c r="O67" s="15">
        <v>17</v>
      </c>
      <c r="P67" s="15">
        <v>10</v>
      </c>
      <c r="Q67" s="15">
        <v>16</v>
      </c>
      <c r="S67" s="14">
        <v>98037</v>
      </c>
      <c r="T67" s="14" t="s">
        <v>10</v>
      </c>
      <c r="U67" s="15">
        <v>26</v>
      </c>
      <c r="V67" s="15">
        <v>18</v>
      </c>
      <c r="W67" s="15">
        <v>24</v>
      </c>
    </row>
    <row r="68" spans="1:23" x14ac:dyDescent="0.2">
      <c r="A68" s="14">
        <v>98424</v>
      </c>
      <c r="B68" s="14" t="s">
        <v>333</v>
      </c>
      <c r="C68" s="51"/>
      <c r="D68" s="51">
        <v>1</v>
      </c>
      <c r="E68" s="51">
        <v>1</v>
      </c>
      <c r="G68" s="14">
        <v>98118</v>
      </c>
      <c r="H68" s="14" t="s">
        <v>333</v>
      </c>
      <c r="I68" s="113"/>
      <c r="J68" s="113"/>
      <c r="K68" s="113">
        <v>1.5</v>
      </c>
      <c r="M68" s="14">
        <v>98106</v>
      </c>
      <c r="N68" s="14" t="s">
        <v>333</v>
      </c>
      <c r="O68" s="15">
        <v>5</v>
      </c>
      <c r="P68" s="15">
        <v>1</v>
      </c>
      <c r="Q68" s="15">
        <v>10</v>
      </c>
      <c r="S68" s="14">
        <v>98038</v>
      </c>
      <c r="T68" s="14" t="s">
        <v>333</v>
      </c>
      <c r="U68" s="15">
        <v>7</v>
      </c>
      <c r="V68" s="15">
        <v>9</v>
      </c>
      <c r="W68" s="15">
        <v>12</v>
      </c>
    </row>
    <row r="69" spans="1:23" x14ac:dyDescent="0.2">
      <c r="A69" s="14">
        <v>98503</v>
      </c>
      <c r="B69" s="14" t="s">
        <v>333</v>
      </c>
      <c r="C69" s="51"/>
      <c r="D69" s="51"/>
      <c r="E69" s="51">
        <v>3</v>
      </c>
      <c r="G69" s="14">
        <v>98122</v>
      </c>
      <c r="H69" s="14" t="s">
        <v>10</v>
      </c>
      <c r="I69" s="113"/>
      <c r="J69" s="113"/>
      <c r="K69" s="113">
        <v>8</v>
      </c>
      <c r="M69" s="14">
        <v>98107</v>
      </c>
      <c r="N69" s="14" t="s">
        <v>333</v>
      </c>
      <c r="O69" s="15">
        <v>8</v>
      </c>
      <c r="P69" s="15">
        <v>11</v>
      </c>
      <c r="Q69" s="15">
        <v>11</v>
      </c>
      <c r="S69" s="14">
        <v>98038</v>
      </c>
      <c r="T69" s="14" t="s">
        <v>10</v>
      </c>
      <c r="U69" s="15">
        <v>97</v>
      </c>
      <c r="V69" s="15">
        <v>91</v>
      </c>
      <c r="W69" s="15">
        <v>118</v>
      </c>
    </row>
    <row r="70" spans="1:23" x14ac:dyDescent="0.2">
      <c r="A70" s="14">
        <v>98506</v>
      </c>
      <c r="B70" s="14" t="s">
        <v>333</v>
      </c>
      <c r="C70" s="51"/>
      <c r="D70" s="51"/>
      <c r="E70" s="51">
        <v>2</v>
      </c>
      <c r="G70" s="14">
        <v>98126</v>
      </c>
      <c r="H70" s="14" t="s">
        <v>333</v>
      </c>
      <c r="I70" s="113"/>
      <c r="J70" s="113"/>
      <c r="K70" s="113">
        <v>1</v>
      </c>
      <c r="M70" s="14">
        <v>98108</v>
      </c>
      <c r="N70" s="14" t="s">
        <v>333</v>
      </c>
      <c r="O70" s="15">
        <v>15</v>
      </c>
      <c r="P70" s="15">
        <v>21</v>
      </c>
      <c r="Q70" s="15">
        <v>35</v>
      </c>
      <c r="S70" s="14">
        <v>98039</v>
      </c>
      <c r="T70" s="14" t="s">
        <v>10</v>
      </c>
      <c r="U70" s="15">
        <v>5</v>
      </c>
      <c r="V70" s="15">
        <v>4</v>
      </c>
      <c r="W70" s="15">
        <v>10</v>
      </c>
    </row>
    <row r="71" spans="1:23" x14ac:dyDescent="0.2">
      <c r="A71" s="14">
        <v>98512</v>
      </c>
      <c r="B71" s="14" t="s">
        <v>333</v>
      </c>
      <c r="C71" s="51">
        <v>1</v>
      </c>
      <c r="D71" s="51"/>
      <c r="E71" s="51"/>
      <c r="G71" s="14">
        <v>98126</v>
      </c>
      <c r="H71" s="14" t="s">
        <v>10</v>
      </c>
      <c r="I71" s="113">
        <v>1</v>
      </c>
      <c r="J71" s="113"/>
      <c r="K71" s="113">
        <v>1</v>
      </c>
      <c r="M71" s="14">
        <v>98109</v>
      </c>
      <c r="N71" s="14" t="s">
        <v>333</v>
      </c>
      <c r="O71" s="15">
        <v>13</v>
      </c>
      <c r="P71" s="15">
        <v>6</v>
      </c>
      <c r="Q71" s="15">
        <v>10</v>
      </c>
      <c r="S71" s="14">
        <v>98040</v>
      </c>
      <c r="T71" s="14" t="s">
        <v>333</v>
      </c>
      <c r="U71" s="15">
        <v>4</v>
      </c>
      <c r="V71" s="15">
        <v>4</v>
      </c>
      <c r="W71" s="15">
        <v>6</v>
      </c>
    </row>
    <row r="72" spans="1:23" x14ac:dyDescent="0.2">
      <c r="A72" s="14">
        <v>98513</v>
      </c>
      <c r="B72" s="14" t="s">
        <v>333</v>
      </c>
      <c r="C72" s="51">
        <v>1</v>
      </c>
      <c r="D72" s="51"/>
      <c r="E72" s="51"/>
      <c r="G72" s="14">
        <v>98133</v>
      </c>
      <c r="H72" s="14" t="s">
        <v>10</v>
      </c>
      <c r="I72" s="113"/>
      <c r="J72" s="113">
        <v>7.5</v>
      </c>
      <c r="K72" s="113"/>
      <c r="M72" s="14">
        <v>98110</v>
      </c>
      <c r="N72" s="14" t="s">
        <v>333</v>
      </c>
      <c r="O72" s="15">
        <v>5</v>
      </c>
      <c r="P72" s="15">
        <v>4</v>
      </c>
      <c r="Q72" s="15">
        <v>7</v>
      </c>
      <c r="S72" s="14">
        <v>98040</v>
      </c>
      <c r="T72" s="14" t="s">
        <v>10</v>
      </c>
      <c r="U72" s="15">
        <v>25</v>
      </c>
      <c r="V72" s="15">
        <v>21</v>
      </c>
      <c r="W72" s="15">
        <v>25</v>
      </c>
    </row>
    <row r="73" spans="1:23" x14ac:dyDescent="0.2">
      <c r="A73" s="14">
        <v>98516</v>
      </c>
      <c r="B73" s="14" t="s">
        <v>333</v>
      </c>
      <c r="C73" s="51"/>
      <c r="D73" s="51"/>
      <c r="E73" s="51">
        <v>1</v>
      </c>
      <c r="G73" s="14">
        <v>98136</v>
      </c>
      <c r="H73" s="14" t="s">
        <v>10</v>
      </c>
      <c r="I73" s="113"/>
      <c r="J73" s="113"/>
      <c r="K73" s="113">
        <v>23</v>
      </c>
      <c r="M73" s="14">
        <v>98112</v>
      </c>
      <c r="N73" s="14" t="s">
        <v>333</v>
      </c>
      <c r="O73" s="15">
        <v>3</v>
      </c>
      <c r="P73" s="15">
        <v>5</v>
      </c>
      <c r="Q73" s="15">
        <v>1</v>
      </c>
      <c r="S73" s="14">
        <v>98042</v>
      </c>
      <c r="T73" s="14" t="s">
        <v>333</v>
      </c>
      <c r="U73" s="15">
        <v>7</v>
      </c>
      <c r="V73" s="15">
        <v>3</v>
      </c>
      <c r="W73" s="15">
        <v>9</v>
      </c>
    </row>
    <row r="74" spans="1:23" x14ac:dyDescent="0.2">
      <c r="A74" s="14">
        <v>98589</v>
      </c>
      <c r="B74" s="14" t="s">
        <v>333</v>
      </c>
      <c r="C74" s="51">
        <v>1</v>
      </c>
      <c r="D74" s="51"/>
      <c r="E74" s="51"/>
      <c r="G74" s="14">
        <v>98144</v>
      </c>
      <c r="H74" s="14" t="s">
        <v>333</v>
      </c>
      <c r="I74" s="113"/>
      <c r="J74" s="113"/>
      <c r="K74" s="113">
        <v>12</v>
      </c>
      <c r="M74" s="14">
        <v>98115</v>
      </c>
      <c r="N74" s="14" t="s">
        <v>333</v>
      </c>
      <c r="O74" s="15">
        <v>8</v>
      </c>
      <c r="P74" s="15">
        <v>9</v>
      </c>
      <c r="Q74" s="15">
        <v>9</v>
      </c>
      <c r="S74" s="14">
        <v>98042</v>
      </c>
      <c r="T74" s="14" t="s">
        <v>10</v>
      </c>
      <c r="U74" s="15">
        <v>195</v>
      </c>
      <c r="V74" s="15">
        <v>145</v>
      </c>
      <c r="W74" s="15">
        <v>180</v>
      </c>
    </row>
    <row r="75" spans="1:23" x14ac:dyDescent="0.2">
      <c r="A75" s="14">
        <v>98926</v>
      </c>
      <c r="B75" s="14" t="s">
        <v>333</v>
      </c>
      <c r="C75" s="51"/>
      <c r="D75" s="51"/>
      <c r="E75" s="51">
        <v>2</v>
      </c>
      <c r="G75" s="14">
        <v>98144</v>
      </c>
      <c r="H75" s="14" t="s">
        <v>10</v>
      </c>
      <c r="I75" s="113"/>
      <c r="J75" s="113"/>
      <c r="K75" s="113">
        <v>24</v>
      </c>
      <c r="M75" s="14">
        <v>98116</v>
      </c>
      <c r="N75" s="14" t="s">
        <v>333</v>
      </c>
      <c r="O75" s="15">
        <v>6</v>
      </c>
      <c r="P75" s="15">
        <v>8</v>
      </c>
      <c r="Q75" s="15">
        <v>5</v>
      </c>
      <c r="S75" s="14">
        <v>98043</v>
      </c>
      <c r="T75" s="14" t="s">
        <v>333</v>
      </c>
      <c r="U75" s="15">
        <v>2</v>
      </c>
      <c r="V75" s="15">
        <v>1</v>
      </c>
      <c r="W75" s="15">
        <v>2</v>
      </c>
    </row>
    <row r="76" spans="1:23" x14ac:dyDescent="0.2">
      <c r="A76" s="14" t="s">
        <v>360</v>
      </c>
      <c r="B76" s="14" t="s">
        <v>333</v>
      </c>
      <c r="C76" s="51">
        <v>1</v>
      </c>
      <c r="D76" s="51">
        <v>1</v>
      </c>
      <c r="E76" s="51">
        <v>1</v>
      </c>
      <c r="G76" s="14">
        <v>98146</v>
      </c>
      <c r="H76" s="14" t="s">
        <v>10</v>
      </c>
      <c r="I76" s="113">
        <v>1</v>
      </c>
      <c r="J76" s="113"/>
      <c r="K76" s="113"/>
      <c r="M76" s="14">
        <v>98117</v>
      </c>
      <c r="N76" s="14" t="s">
        <v>333</v>
      </c>
      <c r="O76" s="15"/>
      <c r="P76" s="15">
        <v>2</v>
      </c>
      <c r="Q76" s="15">
        <v>3</v>
      </c>
      <c r="S76" s="14">
        <v>98043</v>
      </c>
      <c r="T76" s="14" t="s">
        <v>10</v>
      </c>
      <c r="U76" s="15">
        <v>10</v>
      </c>
      <c r="V76" s="15">
        <v>17</v>
      </c>
      <c r="W76" s="15">
        <v>30</v>
      </c>
    </row>
    <row r="77" spans="1:23" x14ac:dyDescent="0.2">
      <c r="A77" s="14"/>
      <c r="B77" s="14" t="s">
        <v>361</v>
      </c>
      <c r="C77" s="51"/>
      <c r="D77" s="51">
        <v>1</v>
      </c>
      <c r="E77" s="51">
        <v>1</v>
      </c>
      <c r="G77" s="14">
        <v>98148</v>
      </c>
      <c r="H77" s="14" t="s">
        <v>10</v>
      </c>
      <c r="I77" s="113"/>
      <c r="J77" s="113"/>
      <c r="K77" s="113">
        <v>1.2857142857142858</v>
      </c>
      <c r="M77" s="14">
        <v>98118</v>
      </c>
      <c r="N77" s="14" t="s">
        <v>333</v>
      </c>
      <c r="O77" s="15">
        <v>12</v>
      </c>
      <c r="P77" s="15">
        <v>15</v>
      </c>
      <c r="Q77" s="15">
        <v>9</v>
      </c>
      <c r="S77" s="14">
        <v>98045</v>
      </c>
      <c r="T77" s="14" t="s">
        <v>333</v>
      </c>
      <c r="U77" s="15">
        <v>3</v>
      </c>
      <c r="V77" s="15">
        <v>5</v>
      </c>
      <c r="W77" s="15">
        <v>5</v>
      </c>
    </row>
    <row r="78" spans="1:23" x14ac:dyDescent="0.2">
      <c r="A78" s="14">
        <v>98002</v>
      </c>
      <c r="B78" s="14" t="s">
        <v>10</v>
      </c>
      <c r="C78" s="15">
        <v>9</v>
      </c>
      <c r="D78" s="15">
        <v>14</v>
      </c>
      <c r="E78" s="15">
        <v>11</v>
      </c>
      <c r="G78" s="14">
        <v>98166</v>
      </c>
      <c r="H78" s="14" t="s">
        <v>10</v>
      </c>
      <c r="I78" s="113">
        <v>0</v>
      </c>
      <c r="J78" s="113"/>
      <c r="K78" s="113">
        <v>7.75</v>
      </c>
      <c r="M78" s="14">
        <v>98119</v>
      </c>
      <c r="N78" s="14" t="s">
        <v>333</v>
      </c>
      <c r="O78" s="15">
        <v>4</v>
      </c>
      <c r="P78" s="15">
        <v>5</v>
      </c>
      <c r="Q78" s="15">
        <v>5</v>
      </c>
      <c r="S78" s="14">
        <v>98045</v>
      </c>
      <c r="T78" s="14" t="s">
        <v>10</v>
      </c>
      <c r="U78" s="15">
        <v>35</v>
      </c>
      <c r="V78" s="15">
        <v>27</v>
      </c>
      <c r="W78" s="15">
        <v>28</v>
      </c>
    </row>
    <row r="79" spans="1:23" x14ac:dyDescent="0.2">
      <c r="A79" s="14">
        <v>98003</v>
      </c>
      <c r="B79" s="14" t="s">
        <v>10</v>
      </c>
      <c r="C79" s="15">
        <v>12</v>
      </c>
      <c r="D79" s="15">
        <v>9</v>
      </c>
      <c r="E79" s="15">
        <v>29</v>
      </c>
      <c r="G79" s="14">
        <v>98168</v>
      </c>
      <c r="H79" s="14" t="s">
        <v>333</v>
      </c>
      <c r="I79" s="113"/>
      <c r="J79" s="113"/>
      <c r="K79" s="113">
        <v>0</v>
      </c>
      <c r="M79" s="14">
        <v>98121</v>
      </c>
      <c r="N79" s="14" t="s">
        <v>333</v>
      </c>
      <c r="O79" s="15">
        <v>9</v>
      </c>
      <c r="P79" s="15">
        <v>10</v>
      </c>
      <c r="Q79" s="15">
        <v>9</v>
      </c>
      <c r="S79" s="14">
        <v>98047</v>
      </c>
      <c r="T79" s="14" t="s">
        <v>333</v>
      </c>
      <c r="U79" s="15">
        <v>5</v>
      </c>
      <c r="V79" s="15">
        <v>4</v>
      </c>
      <c r="W79" s="15">
        <v>8</v>
      </c>
    </row>
    <row r="80" spans="1:23" x14ac:dyDescent="0.2">
      <c r="A80" s="14">
        <v>98004</v>
      </c>
      <c r="B80" s="14" t="s">
        <v>10</v>
      </c>
      <c r="C80" s="15">
        <v>3</v>
      </c>
      <c r="D80" s="15">
        <v>3</v>
      </c>
      <c r="E80" s="15">
        <v>8</v>
      </c>
      <c r="G80" s="14">
        <v>98168</v>
      </c>
      <c r="H80" s="14" t="s">
        <v>10</v>
      </c>
      <c r="I80" s="113"/>
      <c r="J80" s="113"/>
      <c r="K80" s="113">
        <v>1</v>
      </c>
      <c r="M80" s="14">
        <v>98122</v>
      </c>
      <c r="N80" s="14" t="s">
        <v>333</v>
      </c>
      <c r="O80" s="15">
        <v>8</v>
      </c>
      <c r="P80" s="15">
        <v>10</v>
      </c>
      <c r="Q80" s="15">
        <v>7</v>
      </c>
      <c r="S80" s="14">
        <v>98047</v>
      </c>
      <c r="T80" s="14" t="s">
        <v>10</v>
      </c>
      <c r="U80" s="15">
        <v>46</v>
      </c>
      <c r="V80" s="15">
        <v>38</v>
      </c>
      <c r="W80" s="15">
        <v>68</v>
      </c>
    </row>
    <row r="81" spans="1:23" x14ac:dyDescent="0.2">
      <c r="A81" s="14">
        <v>98005</v>
      </c>
      <c r="B81" s="14" t="s">
        <v>10</v>
      </c>
      <c r="C81" s="15"/>
      <c r="D81" s="15">
        <v>4</v>
      </c>
      <c r="E81" s="15">
        <v>1</v>
      </c>
      <c r="G81" s="14">
        <v>98177</v>
      </c>
      <c r="H81" s="14" t="s">
        <v>10</v>
      </c>
      <c r="I81" s="113">
        <v>3</v>
      </c>
      <c r="J81" s="113">
        <v>1</v>
      </c>
      <c r="K81" s="113"/>
      <c r="M81" s="14">
        <v>98125</v>
      </c>
      <c r="N81" s="14" t="s">
        <v>333</v>
      </c>
      <c r="O81" s="15">
        <v>7</v>
      </c>
      <c r="P81" s="15">
        <v>6</v>
      </c>
      <c r="Q81" s="15">
        <v>3</v>
      </c>
      <c r="S81" s="14">
        <v>98050</v>
      </c>
      <c r="T81" s="14" t="s">
        <v>10</v>
      </c>
      <c r="U81" s="15"/>
      <c r="V81" s="15">
        <v>1</v>
      </c>
      <c r="W81" s="15">
        <v>1</v>
      </c>
    </row>
    <row r="82" spans="1:23" x14ac:dyDescent="0.2">
      <c r="A82" s="14">
        <v>98006</v>
      </c>
      <c r="B82" s="14" t="s">
        <v>10</v>
      </c>
      <c r="C82" s="15"/>
      <c r="D82" s="15">
        <v>1</v>
      </c>
      <c r="E82" s="15">
        <v>7</v>
      </c>
      <c r="G82" s="14">
        <v>98178</v>
      </c>
      <c r="H82" s="14" t="s">
        <v>10</v>
      </c>
      <c r="I82" s="113"/>
      <c r="J82" s="113"/>
      <c r="K82" s="113">
        <v>2</v>
      </c>
      <c r="M82" s="14">
        <v>98126</v>
      </c>
      <c r="N82" s="14" t="s">
        <v>333</v>
      </c>
      <c r="O82" s="15">
        <v>3</v>
      </c>
      <c r="P82" s="15">
        <v>2</v>
      </c>
      <c r="Q82" s="15">
        <v>5</v>
      </c>
      <c r="S82" s="14">
        <v>98051</v>
      </c>
      <c r="T82" s="14" t="s">
        <v>333</v>
      </c>
      <c r="U82" s="15"/>
      <c r="V82" s="15"/>
      <c r="W82" s="15">
        <v>1</v>
      </c>
    </row>
    <row r="83" spans="1:23" x14ac:dyDescent="0.2">
      <c r="A83" s="14">
        <v>98007</v>
      </c>
      <c r="B83" s="14" t="s">
        <v>10</v>
      </c>
      <c r="C83" s="15">
        <v>7</v>
      </c>
      <c r="D83" s="15">
        <v>4</v>
      </c>
      <c r="E83" s="15">
        <v>7</v>
      </c>
      <c r="G83" s="14">
        <v>98188</v>
      </c>
      <c r="H83" s="14" t="s">
        <v>333</v>
      </c>
      <c r="I83" s="113"/>
      <c r="J83" s="113"/>
      <c r="K83" s="113">
        <v>0.5</v>
      </c>
      <c r="M83" s="14">
        <v>98133</v>
      </c>
      <c r="N83" s="14" t="s">
        <v>333</v>
      </c>
      <c r="O83" s="15">
        <v>10</v>
      </c>
      <c r="P83" s="15">
        <v>9</v>
      </c>
      <c r="Q83" s="15">
        <v>9</v>
      </c>
      <c r="S83" s="14">
        <v>98051</v>
      </c>
      <c r="T83" s="14" t="s">
        <v>10</v>
      </c>
      <c r="U83" s="15">
        <v>11</v>
      </c>
      <c r="V83" s="15">
        <v>8</v>
      </c>
      <c r="W83" s="15">
        <v>14</v>
      </c>
    </row>
    <row r="84" spans="1:23" x14ac:dyDescent="0.2">
      <c r="A84" s="14">
        <v>98008</v>
      </c>
      <c r="B84" s="14" t="s">
        <v>10</v>
      </c>
      <c r="C84" s="15">
        <v>2</v>
      </c>
      <c r="D84" s="15">
        <v>1</v>
      </c>
      <c r="E84" s="15">
        <v>1</v>
      </c>
      <c r="G84" s="14">
        <v>98188</v>
      </c>
      <c r="H84" s="14" t="s">
        <v>10</v>
      </c>
      <c r="I84" s="113">
        <v>9.5</v>
      </c>
      <c r="J84" s="113">
        <v>15</v>
      </c>
      <c r="K84" s="113">
        <v>0.75</v>
      </c>
      <c r="M84" s="14">
        <v>98134</v>
      </c>
      <c r="N84" s="14" t="s">
        <v>333</v>
      </c>
      <c r="O84" s="15">
        <v>12</v>
      </c>
      <c r="P84" s="15">
        <v>12</v>
      </c>
      <c r="Q84" s="15">
        <v>11</v>
      </c>
      <c r="S84" s="14">
        <v>98052</v>
      </c>
      <c r="T84" s="14" t="s">
        <v>333</v>
      </c>
      <c r="U84" s="15">
        <v>37</v>
      </c>
      <c r="V84" s="15">
        <v>29</v>
      </c>
      <c r="W84" s="15">
        <v>29</v>
      </c>
    </row>
    <row r="85" spans="1:23" x14ac:dyDescent="0.2">
      <c r="A85" s="14">
        <v>98011</v>
      </c>
      <c r="B85" s="14" t="s">
        <v>10</v>
      </c>
      <c r="C85" s="15"/>
      <c r="D85" s="15">
        <v>1</v>
      </c>
      <c r="E85" s="15"/>
      <c r="G85" s="14">
        <v>98198</v>
      </c>
      <c r="H85" s="14" t="s">
        <v>333</v>
      </c>
      <c r="I85" s="113"/>
      <c r="J85" s="113">
        <v>0</v>
      </c>
      <c r="K85" s="113">
        <v>5.666666666666667</v>
      </c>
      <c r="M85" s="14">
        <v>98136</v>
      </c>
      <c r="N85" s="14" t="s">
        <v>333</v>
      </c>
      <c r="O85" s="15">
        <v>3</v>
      </c>
      <c r="P85" s="15"/>
      <c r="Q85" s="15">
        <v>1</v>
      </c>
      <c r="S85" s="14">
        <v>98052</v>
      </c>
      <c r="T85" s="14" t="s">
        <v>10</v>
      </c>
      <c r="U85" s="15">
        <v>180</v>
      </c>
      <c r="V85" s="15">
        <v>114</v>
      </c>
      <c r="W85" s="15">
        <v>159</v>
      </c>
    </row>
    <row r="86" spans="1:23" x14ac:dyDescent="0.2">
      <c r="A86" s="14">
        <v>98022</v>
      </c>
      <c r="B86" s="14" t="s">
        <v>10</v>
      </c>
      <c r="C86" s="15"/>
      <c r="D86" s="15">
        <v>1</v>
      </c>
      <c r="E86" s="15"/>
      <c r="G86" s="14">
        <v>98198</v>
      </c>
      <c r="H86" s="14" t="s">
        <v>10</v>
      </c>
      <c r="I86" s="113">
        <v>1.75</v>
      </c>
      <c r="J86" s="113">
        <v>13.857142857142858</v>
      </c>
      <c r="K86" s="113">
        <v>0.625</v>
      </c>
      <c r="M86" s="14">
        <v>98144</v>
      </c>
      <c r="N86" s="14" t="s">
        <v>333</v>
      </c>
      <c r="O86" s="15">
        <v>9</v>
      </c>
      <c r="P86" s="15">
        <v>11</v>
      </c>
      <c r="Q86" s="15">
        <v>17</v>
      </c>
      <c r="S86" s="14">
        <v>98053</v>
      </c>
      <c r="T86" s="14" t="s">
        <v>333</v>
      </c>
      <c r="U86" s="15">
        <v>4</v>
      </c>
      <c r="V86" s="15">
        <v>4</v>
      </c>
      <c r="W86" s="15">
        <v>4</v>
      </c>
    </row>
    <row r="87" spans="1:23" x14ac:dyDescent="0.2">
      <c r="A87" s="14">
        <v>98023</v>
      </c>
      <c r="B87" s="14" t="s">
        <v>10</v>
      </c>
      <c r="C87" s="15">
        <v>11</v>
      </c>
      <c r="D87" s="15">
        <v>16</v>
      </c>
      <c r="E87" s="15">
        <v>20</v>
      </c>
      <c r="G87" s="14">
        <v>98199</v>
      </c>
      <c r="H87" s="14" t="s">
        <v>10</v>
      </c>
      <c r="I87" s="113"/>
      <c r="J87" s="113">
        <v>5</v>
      </c>
      <c r="K87" s="113"/>
      <c r="M87" s="14">
        <v>98146</v>
      </c>
      <c r="N87" s="14" t="s">
        <v>333</v>
      </c>
      <c r="O87" s="15">
        <v>6</v>
      </c>
      <c r="P87" s="15">
        <v>2</v>
      </c>
      <c r="Q87" s="15">
        <v>2</v>
      </c>
      <c r="S87" s="14">
        <v>98053</v>
      </c>
      <c r="T87" s="14" t="s">
        <v>10</v>
      </c>
      <c r="U87" s="15">
        <v>33</v>
      </c>
      <c r="V87" s="15">
        <v>28</v>
      </c>
      <c r="W87" s="15">
        <v>26</v>
      </c>
    </row>
    <row r="88" spans="1:23" x14ac:dyDescent="0.2">
      <c r="A88" s="14">
        <v>98026</v>
      </c>
      <c r="B88" s="14" t="s">
        <v>10</v>
      </c>
      <c r="C88" s="15"/>
      <c r="D88" s="15"/>
      <c r="E88" s="15">
        <v>1</v>
      </c>
      <c r="G88" s="14">
        <v>98203</v>
      </c>
      <c r="H88" s="14" t="s">
        <v>10</v>
      </c>
      <c r="I88" s="113"/>
      <c r="J88" s="113">
        <v>3.5</v>
      </c>
      <c r="K88" s="113">
        <v>1</v>
      </c>
      <c r="M88" s="14">
        <v>98148</v>
      </c>
      <c r="N88" s="14" t="s">
        <v>333</v>
      </c>
      <c r="O88" s="15">
        <v>1</v>
      </c>
      <c r="P88" s="15">
        <v>5</v>
      </c>
      <c r="Q88" s="15">
        <v>12</v>
      </c>
      <c r="S88" s="14">
        <v>98055</v>
      </c>
      <c r="T88" s="14" t="s">
        <v>333</v>
      </c>
      <c r="U88" s="15">
        <v>4</v>
      </c>
      <c r="V88" s="15">
        <v>3</v>
      </c>
      <c r="W88" s="15">
        <v>4</v>
      </c>
    </row>
    <row r="89" spans="1:23" x14ac:dyDescent="0.2">
      <c r="A89" s="14">
        <v>98027</v>
      </c>
      <c r="B89" s="14" t="s">
        <v>10</v>
      </c>
      <c r="C89" s="15">
        <v>3</v>
      </c>
      <c r="D89" s="15">
        <v>2</v>
      </c>
      <c r="E89" s="15">
        <v>2</v>
      </c>
      <c r="G89" s="14">
        <v>98221</v>
      </c>
      <c r="H89" s="14" t="s">
        <v>10</v>
      </c>
      <c r="I89" s="113">
        <v>0</v>
      </c>
      <c r="J89" s="113"/>
      <c r="K89" s="113">
        <v>0</v>
      </c>
      <c r="M89" s="14">
        <v>98155</v>
      </c>
      <c r="N89" s="14" t="s">
        <v>333</v>
      </c>
      <c r="O89" s="15">
        <v>2</v>
      </c>
      <c r="P89" s="15">
        <v>4</v>
      </c>
      <c r="Q89" s="15">
        <v>4</v>
      </c>
      <c r="S89" s="14">
        <v>98055</v>
      </c>
      <c r="T89" s="14" t="s">
        <v>10</v>
      </c>
      <c r="U89" s="15">
        <v>161</v>
      </c>
      <c r="V89" s="15">
        <v>130</v>
      </c>
      <c r="W89" s="15">
        <v>181</v>
      </c>
    </row>
    <row r="90" spans="1:23" x14ac:dyDescent="0.2">
      <c r="A90" s="14">
        <v>98029</v>
      </c>
      <c r="B90" s="14" t="s">
        <v>10</v>
      </c>
      <c r="C90" s="15"/>
      <c r="D90" s="15"/>
      <c r="E90" s="15">
        <v>5</v>
      </c>
      <c r="G90" s="14">
        <v>98223</v>
      </c>
      <c r="H90" s="14" t="s">
        <v>333</v>
      </c>
      <c r="I90" s="113"/>
      <c r="J90" s="113">
        <v>5</v>
      </c>
      <c r="K90" s="113"/>
      <c r="M90" s="14">
        <v>98166</v>
      </c>
      <c r="N90" s="14" t="s">
        <v>333</v>
      </c>
      <c r="O90" s="15">
        <v>7</v>
      </c>
      <c r="P90" s="15">
        <v>6</v>
      </c>
      <c r="Q90" s="15">
        <v>9</v>
      </c>
      <c r="S90" s="14">
        <v>98056</v>
      </c>
      <c r="T90" s="14" t="s">
        <v>333</v>
      </c>
      <c r="U90" s="15">
        <v>8</v>
      </c>
      <c r="V90" s="15">
        <v>4</v>
      </c>
      <c r="W90" s="15">
        <v>5</v>
      </c>
    </row>
    <row r="91" spans="1:23" x14ac:dyDescent="0.2">
      <c r="A91" s="14">
        <v>98030</v>
      </c>
      <c r="B91" s="14" t="s">
        <v>10</v>
      </c>
      <c r="C91" s="15">
        <v>10</v>
      </c>
      <c r="D91" s="15">
        <v>6</v>
      </c>
      <c r="E91" s="15">
        <v>20</v>
      </c>
      <c r="G91" s="14">
        <v>98225</v>
      </c>
      <c r="H91" s="14" t="s">
        <v>333</v>
      </c>
      <c r="I91" s="113">
        <v>43</v>
      </c>
      <c r="J91" s="113"/>
      <c r="K91" s="113">
        <v>1</v>
      </c>
      <c r="M91" s="14">
        <v>98168</v>
      </c>
      <c r="N91" s="14" t="s">
        <v>333</v>
      </c>
      <c r="O91" s="15">
        <v>6</v>
      </c>
      <c r="P91" s="15">
        <v>11</v>
      </c>
      <c r="Q91" s="15">
        <v>11</v>
      </c>
      <c r="S91" s="14">
        <v>98056</v>
      </c>
      <c r="T91" s="14" t="s">
        <v>10</v>
      </c>
      <c r="U91" s="15">
        <v>178</v>
      </c>
      <c r="V91" s="15">
        <v>93</v>
      </c>
      <c r="W91" s="15">
        <v>154</v>
      </c>
    </row>
    <row r="92" spans="1:23" x14ac:dyDescent="0.2">
      <c r="A92" s="14">
        <v>98031</v>
      </c>
      <c r="B92" s="14" t="s">
        <v>10</v>
      </c>
      <c r="C92" s="15">
        <v>10</v>
      </c>
      <c r="D92" s="15">
        <v>5</v>
      </c>
      <c r="E92" s="15">
        <v>10</v>
      </c>
      <c r="G92" s="14">
        <v>98225</v>
      </c>
      <c r="H92" s="14" t="s">
        <v>10</v>
      </c>
      <c r="I92" s="113">
        <v>0</v>
      </c>
      <c r="J92" s="113">
        <v>0.4</v>
      </c>
      <c r="K92" s="113">
        <v>9</v>
      </c>
      <c r="M92" s="14">
        <v>98177</v>
      </c>
      <c r="N92" s="14" t="s">
        <v>333</v>
      </c>
      <c r="O92" s="15">
        <v>1</v>
      </c>
      <c r="P92" s="15">
        <v>3</v>
      </c>
      <c r="Q92" s="15"/>
      <c r="S92" s="14">
        <v>98057</v>
      </c>
      <c r="T92" s="14" t="s">
        <v>333</v>
      </c>
      <c r="U92" s="15">
        <v>16</v>
      </c>
      <c r="V92" s="15">
        <v>14</v>
      </c>
      <c r="W92" s="15">
        <v>15</v>
      </c>
    </row>
    <row r="93" spans="1:23" x14ac:dyDescent="0.2">
      <c r="A93" s="14">
        <v>98032</v>
      </c>
      <c r="B93" s="14" t="s">
        <v>10</v>
      </c>
      <c r="C93" s="15">
        <v>8</v>
      </c>
      <c r="D93" s="15">
        <v>7</v>
      </c>
      <c r="E93" s="15">
        <v>25</v>
      </c>
      <c r="G93" s="14">
        <v>98226</v>
      </c>
      <c r="H93" s="14" t="s">
        <v>333</v>
      </c>
      <c r="I93" s="113">
        <v>0</v>
      </c>
      <c r="J93" s="113">
        <v>23</v>
      </c>
      <c r="K93" s="113">
        <v>7.333333333333333</v>
      </c>
      <c r="M93" s="14">
        <v>98178</v>
      </c>
      <c r="N93" s="14" t="s">
        <v>333</v>
      </c>
      <c r="O93" s="15">
        <v>1</v>
      </c>
      <c r="P93" s="15">
        <v>3</v>
      </c>
      <c r="Q93" s="15">
        <v>1</v>
      </c>
      <c r="S93" s="14">
        <v>98057</v>
      </c>
      <c r="T93" s="14" t="s">
        <v>10</v>
      </c>
      <c r="U93" s="15">
        <v>108</v>
      </c>
      <c r="V93" s="15">
        <v>59</v>
      </c>
      <c r="W93" s="15">
        <v>109</v>
      </c>
    </row>
    <row r="94" spans="1:23" x14ac:dyDescent="0.2">
      <c r="A94" s="14">
        <v>98033</v>
      </c>
      <c r="B94" s="14" t="s">
        <v>10</v>
      </c>
      <c r="C94" s="15">
        <v>3</v>
      </c>
      <c r="D94" s="15">
        <v>4</v>
      </c>
      <c r="E94" s="15">
        <v>3</v>
      </c>
      <c r="G94" s="14">
        <v>98226</v>
      </c>
      <c r="H94" s="14" t="s">
        <v>10</v>
      </c>
      <c r="I94" s="113">
        <v>3.1666666666666665</v>
      </c>
      <c r="J94" s="113">
        <v>0</v>
      </c>
      <c r="K94" s="113">
        <v>5</v>
      </c>
      <c r="M94" s="14">
        <v>98188</v>
      </c>
      <c r="N94" s="14" t="s">
        <v>333</v>
      </c>
      <c r="O94" s="15">
        <v>21</v>
      </c>
      <c r="P94" s="15">
        <v>16</v>
      </c>
      <c r="Q94" s="15">
        <v>25</v>
      </c>
      <c r="S94" s="14">
        <v>98058</v>
      </c>
      <c r="T94" s="14" t="s">
        <v>333</v>
      </c>
      <c r="U94" s="15">
        <v>4</v>
      </c>
      <c r="V94" s="15">
        <v>5</v>
      </c>
      <c r="W94" s="15">
        <v>3</v>
      </c>
    </row>
    <row r="95" spans="1:23" x14ac:dyDescent="0.2">
      <c r="A95" s="14">
        <v>98034</v>
      </c>
      <c r="B95" s="14" t="s">
        <v>10</v>
      </c>
      <c r="C95" s="15">
        <v>4</v>
      </c>
      <c r="D95" s="15"/>
      <c r="E95" s="15">
        <v>5</v>
      </c>
      <c r="G95" s="14">
        <v>98229</v>
      </c>
      <c r="H95" s="14" t="s">
        <v>333</v>
      </c>
      <c r="I95" s="113"/>
      <c r="J95" s="113"/>
      <c r="K95" s="113">
        <v>27</v>
      </c>
      <c r="M95" s="14">
        <v>98198</v>
      </c>
      <c r="N95" s="14" t="s">
        <v>333</v>
      </c>
      <c r="O95" s="15">
        <v>8</v>
      </c>
      <c r="P95" s="15">
        <v>8</v>
      </c>
      <c r="Q95" s="15">
        <v>24</v>
      </c>
      <c r="S95" s="14">
        <v>98058</v>
      </c>
      <c r="T95" s="14" t="s">
        <v>10</v>
      </c>
      <c r="U95" s="15">
        <v>195</v>
      </c>
      <c r="V95" s="15">
        <v>144</v>
      </c>
      <c r="W95" s="15">
        <v>217</v>
      </c>
    </row>
    <row r="96" spans="1:23" x14ac:dyDescent="0.2">
      <c r="A96" s="14">
        <v>98037</v>
      </c>
      <c r="B96" s="14" t="s">
        <v>10</v>
      </c>
      <c r="C96" s="15"/>
      <c r="D96" s="15"/>
      <c r="E96" s="15">
        <v>2</v>
      </c>
      <c r="G96" s="14">
        <v>98229</v>
      </c>
      <c r="H96" s="14" t="s">
        <v>10</v>
      </c>
      <c r="I96" s="113">
        <v>3.5</v>
      </c>
      <c r="J96" s="113">
        <v>1.75</v>
      </c>
      <c r="K96" s="113">
        <v>0</v>
      </c>
      <c r="M96" s="14">
        <v>98199</v>
      </c>
      <c r="N96" s="14" t="s">
        <v>333</v>
      </c>
      <c r="O96" s="15">
        <v>2</v>
      </c>
      <c r="P96" s="15">
        <v>4</v>
      </c>
      <c r="Q96" s="15">
        <v>2</v>
      </c>
      <c r="S96" s="14">
        <v>98059</v>
      </c>
      <c r="T96" s="14" t="s">
        <v>333</v>
      </c>
      <c r="U96" s="15">
        <v>5</v>
      </c>
      <c r="V96" s="15">
        <v>2</v>
      </c>
      <c r="W96" s="15">
        <v>5</v>
      </c>
    </row>
    <row r="97" spans="1:23" x14ac:dyDescent="0.2">
      <c r="A97" s="14">
        <v>98038</v>
      </c>
      <c r="B97" s="14" t="s">
        <v>10</v>
      </c>
      <c r="C97" s="15"/>
      <c r="D97" s="15"/>
      <c r="E97" s="15">
        <v>2</v>
      </c>
      <c r="G97" s="14">
        <v>98230</v>
      </c>
      <c r="H97" s="14" t="s">
        <v>10</v>
      </c>
      <c r="I97" s="113">
        <v>0</v>
      </c>
      <c r="J97" s="113">
        <v>0</v>
      </c>
      <c r="K97" s="113">
        <v>33</v>
      </c>
      <c r="M97" s="14">
        <v>98201</v>
      </c>
      <c r="N97" s="14" t="s">
        <v>333</v>
      </c>
      <c r="O97" s="15">
        <v>7</v>
      </c>
      <c r="P97" s="15">
        <v>5</v>
      </c>
      <c r="Q97" s="15">
        <v>10</v>
      </c>
      <c r="S97" s="14">
        <v>98059</v>
      </c>
      <c r="T97" s="14" t="s">
        <v>10</v>
      </c>
      <c r="U97" s="15">
        <v>126</v>
      </c>
      <c r="V97" s="15">
        <v>70</v>
      </c>
      <c r="W97" s="15">
        <v>124</v>
      </c>
    </row>
    <row r="98" spans="1:23" x14ac:dyDescent="0.2">
      <c r="A98" s="14">
        <v>98042</v>
      </c>
      <c r="B98" s="14" t="s">
        <v>10</v>
      </c>
      <c r="C98" s="15">
        <v>2</v>
      </c>
      <c r="D98" s="15">
        <v>3</v>
      </c>
      <c r="E98" s="15">
        <v>15</v>
      </c>
      <c r="G98" s="14">
        <v>98233</v>
      </c>
      <c r="H98" s="14" t="s">
        <v>10</v>
      </c>
      <c r="I98" s="113"/>
      <c r="J98" s="113">
        <v>0</v>
      </c>
      <c r="K98" s="113">
        <v>9.5</v>
      </c>
      <c r="M98" s="14">
        <v>98203</v>
      </c>
      <c r="N98" s="14" t="s">
        <v>333</v>
      </c>
      <c r="O98" s="15">
        <v>4</v>
      </c>
      <c r="P98" s="15">
        <v>7</v>
      </c>
      <c r="Q98" s="15">
        <v>9</v>
      </c>
      <c r="S98" s="14">
        <v>98065</v>
      </c>
      <c r="T98" s="14" t="s">
        <v>333</v>
      </c>
      <c r="U98" s="15">
        <v>2</v>
      </c>
      <c r="V98" s="15">
        <v>1</v>
      </c>
      <c r="W98" s="15">
        <v>2</v>
      </c>
    </row>
    <row r="99" spans="1:23" x14ac:dyDescent="0.2">
      <c r="A99" s="14">
        <v>98043</v>
      </c>
      <c r="B99" s="14" t="s">
        <v>10</v>
      </c>
      <c r="C99" s="15"/>
      <c r="D99" s="15"/>
      <c r="E99" s="15">
        <v>1</v>
      </c>
      <c r="G99" s="14">
        <v>98236</v>
      </c>
      <c r="H99" s="14" t="s">
        <v>10</v>
      </c>
      <c r="I99" s="113">
        <v>2.5</v>
      </c>
      <c r="J99" s="113">
        <v>0.5</v>
      </c>
      <c r="K99" s="113">
        <v>0</v>
      </c>
      <c r="M99" s="14">
        <v>98204</v>
      </c>
      <c r="N99" s="14" t="s">
        <v>333</v>
      </c>
      <c r="O99" s="15">
        <v>12</v>
      </c>
      <c r="P99" s="15">
        <v>9</v>
      </c>
      <c r="Q99" s="15">
        <v>15</v>
      </c>
      <c r="S99" s="14">
        <v>98065</v>
      </c>
      <c r="T99" s="14" t="s">
        <v>10</v>
      </c>
      <c r="U99" s="15">
        <v>31</v>
      </c>
      <c r="V99" s="15">
        <v>24</v>
      </c>
      <c r="W99" s="15">
        <v>31</v>
      </c>
    </row>
    <row r="100" spans="1:23" x14ac:dyDescent="0.2">
      <c r="A100" s="14">
        <v>98047</v>
      </c>
      <c r="B100" s="14" t="s">
        <v>10</v>
      </c>
      <c r="C100" s="15"/>
      <c r="D100" s="15">
        <v>1</v>
      </c>
      <c r="E100" s="15"/>
      <c r="G100" s="14">
        <v>98237</v>
      </c>
      <c r="H100" s="14" t="s">
        <v>333</v>
      </c>
      <c r="I100" s="113">
        <v>0</v>
      </c>
      <c r="J100" s="113"/>
      <c r="K100" s="113"/>
      <c r="M100" s="14">
        <v>98208</v>
      </c>
      <c r="N100" s="14" t="s">
        <v>333</v>
      </c>
      <c r="O100" s="15">
        <v>3</v>
      </c>
      <c r="P100" s="15">
        <v>4</v>
      </c>
      <c r="Q100" s="15">
        <v>3</v>
      </c>
      <c r="S100" s="14">
        <v>98068</v>
      </c>
      <c r="T100" s="14" t="s">
        <v>333</v>
      </c>
      <c r="U100" s="15">
        <v>4</v>
      </c>
      <c r="V100" s="15">
        <v>1</v>
      </c>
      <c r="W100" s="15">
        <v>4</v>
      </c>
    </row>
    <row r="101" spans="1:23" x14ac:dyDescent="0.2">
      <c r="A101" s="14">
        <v>98052</v>
      </c>
      <c r="B101" s="14" t="s">
        <v>10</v>
      </c>
      <c r="C101" s="15">
        <v>2</v>
      </c>
      <c r="D101" s="15">
        <v>7</v>
      </c>
      <c r="E101" s="15">
        <v>7</v>
      </c>
      <c r="G101" s="14">
        <v>98237</v>
      </c>
      <c r="H101" s="14" t="s">
        <v>10</v>
      </c>
      <c r="I101" s="113">
        <v>73</v>
      </c>
      <c r="J101" s="113">
        <v>2.5</v>
      </c>
      <c r="K101" s="113"/>
      <c r="M101" s="14">
        <v>98220</v>
      </c>
      <c r="N101" s="14" t="s">
        <v>333</v>
      </c>
      <c r="O101" s="15"/>
      <c r="P101" s="15">
        <v>1</v>
      </c>
      <c r="Q101" s="15"/>
      <c r="S101" s="14">
        <v>98068</v>
      </c>
      <c r="T101" s="14" t="s">
        <v>10</v>
      </c>
      <c r="U101" s="15">
        <v>3</v>
      </c>
      <c r="V101" s="15">
        <v>3</v>
      </c>
      <c r="W101" s="15">
        <v>4</v>
      </c>
    </row>
    <row r="102" spans="1:23" x14ac:dyDescent="0.2">
      <c r="A102" s="14">
        <v>98055</v>
      </c>
      <c r="B102" s="14" t="s">
        <v>10</v>
      </c>
      <c r="C102" s="15">
        <v>2</v>
      </c>
      <c r="D102" s="15">
        <v>1</v>
      </c>
      <c r="E102" s="15">
        <v>8</v>
      </c>
      <c r="G102" s="14">
        <v>98239</v>
      </c>
      <c r="H102" s="14" t="s">
        <v>10</v>
      </c>
      <c r="I102" s="113">
        <v>0</v>
      </c>
      <c r="J102" s="113"/>
      <c r="K102" s="113">
        <v>0</v>
      </c>
      <c r="M102" s="14">
        <v>98221</v>
      </c>
      <c r="N102" s="14" t="s">
        <v>333</v>
      </c>
      <c r="O102" s="15">
        <v>13</v>
      </c>
      <c r="P102" s="15">
        <v>21</v>
      </c>
      <c r="Q102" s="15">
        <v>15</v>
      </c>
      <c r="S102" s="14">
        <v>98070</v>
      </c>
      <c r="T102" s="14" t="s">
        <v>333</v>
      </c>
      <c r="U102" s="15">
        <v>6</v>
      </c>
      <c r="V102" s="15">
        <v>4</v>
      </c>
      <c r="W102" s="15">
        <v>9</v>
      </c>
    </row>
    <row r="103" spans="1:23" x14ac:dyDescent="0.2">
      <c r="A103" s="14">
        <v>98056</v>
      </c>
      <c r="B103" s="14" t="s">
        <v>10</v>
      </c>
      <c r="C103" s="15">
        <v>5</v>
      </c>
      <c r="D103" s="15">
        <v>2</v>
      </c>
      <c r="E103" s="15">
        <v>14</v>
      </c>
      <c r="G103" s="14">
        <v>98240</v>
      </c>
      <c r="H103" s="14" t="s">
        <v>10</v>
      </c>
      <c r="I103" s="113"/>
      <c r="J103" s="113"/>
      <c r="K103" s="113">
        <v>0</v>
      </c>
      <c r="M103" s="14">
        <v>98223</v>
      </c>
      <c r="N103" s="14" t="s">
        <v>333</v>
      </c>
      <c r="O103" s="15">
        <v>1</v>
      </c>
      <c r="P103" s="15">
        <v>1</v>
      </c>
      <c r="Q103" s="15"/>
      <c r="S103" s="14">
        <v>98070</v>
      </c>
      <c r="T103" s="14" t="s">
        <v>10</v>
      </c>
      <c r="U103" s="15">
        <v>28</v>
      </c>
      <c r="V103" s="15">
        <v>20</v>
      </c>
      <c r="W103" s="15">
        <v>41</v>
      </c>
    </row>
    <row r="104" spans="1:23" x14ac:dyDescent="0.2">
      <c r="A104" s="14">
        <v>98057</v>
      </c>
      <c r="B104" s="14" t="s">
        <v>10</v>
      </c>
      <c r="C104" s="15">
        <v>5</v>
      </c>
      <c r="D104" s="15">
        <v>1</v>
      </c>
      <c r="E104" s="15">
        <v>5</v>
      </c>
      <c r="G104" s="14">
        <v>98244</v>
      </c>
      <c r="H104" s="14" t="s">
        <v>10</v>
      </c>
      <c r="I104" s="113"/>
      <c r="J104" s="113">
        <v>13</v>
      </c>
      <c r="K104" s="113"/>
      <c r="M104" s="14">
        <v>98225</v>
      </c>
      <c r="N104" s="14" t="s">
        <v>333</v>
      </c>
      <c r="O104" s="15">
        <v>18</v>
      </c>
      <c r="P104" s="15">
        <v>20</v>
      </c>
      <c r="Q104" s="15">
        <v>22</v>
      </c>
      <c r="S104" s="14">
        <v>98072</v>
      </c>
      <c r="T104" s="14" t="s">
        <v>333</v>
      </c>
      <c r="U104" s="15">
        <v>6</v>
      </c>
      <c r="V104" s="15">
        <v>13</v>
      </c>
      <c r="W104" s="15">
        <v>18</v>
      </c>
    </row>
    <row r="105" spans="1:23" x14ac:dyDescent="0.2">
      <c r="A105" s="14">
        <v>98058</v>
      </c>
      <c r="B105" s="14" t="s">
        <v>10</v>
      </c>
      <c r="C105" s="15">
        <v>3</v>
      </c>
      <c r="D105" s="15"/>
      <c r="E105" s="15">
        <v>4</v>
      </c>
      <c r="G105" s="14">
        <v>98247</v>
      </c>
      <c r="H105" s="14" t="s">
        <v>333</v>
      </c>
      <c r="I105" s="113"/>
      <c r="J105" s="113">
        <v>1</v>
      </c>
      <c r="K105" s="113"/>
      <c r="M105" s="14">
        <v>98226</v>
      </c>
      <c r="N105" s="14" t="s">
        <v>333</v>
      </c>
      <c r="O105" s="15">
        <v>32</v>
      </c>
      <c r="P105" s="15">
        <v>23</v>
      </c>
      <c r="Q105" s="15">
        <v>33</v>
      </c>
      <c r="S105" s="14">
        <v>98072</v>
      </c>
      <c r="T105" s="14" t="s">
        <v>10</v>
      </c>
      <c r="U105" s="15">
        <v>46</v>
      </c>
      <c r="V105" s="15">
        <v>41</v>
      </c>
      <c r="W105" s="15">
        <v>58</v>
      </c>
    </row>
    <row r="106" spans="1:23" x14ac:dyDescent="0.2">
      <c r="A106" s="14">
        <v>98059</v>
      </c>
      <c r="B106" s="14" t="s">
        <v>10</v>
      </c>
      <c r="C106" s="15">
        <v>1</v>
      </c>
      <c r="D106" s="15">
        <v>2</v>
      </c>
      <c r="E106" s="15">
        <v>3</v>
      </c>
      <c r="G106" s="14">
        <v>98247</v>
      </c>
      <c r="H106" s="14" t="s">
        <v>10</v>
      </c>
      <c r="I106" s="113">
        <v>13.5</v>
      </c>
      <c r="J106" s="113">
        <v>0</v>
      </c>
      <c r="K106" s="113">
        <v>0</v>
      </c>
      <c r="M106" s="14">
        <v>98229</v>
      </c>
      <c r="N106" s="14" t="s">
        <v>333</v>
      </c>
      <c r="O106" s="15">
        <v>3</v>
      </c>
      <c r="P106" s="15">
        <v>6</v>
      </c>
      <c r="Q106" s="15">
        <v>4</v>
      </c>
      <c r="S106" s="14">
        <v>98074</v>
      </c>
      <c r="T106" s="14" t="s">
        <v>333</v>
      </c>
      <c r="U106" s="15">
        <v>2</v>
      </c>
      <c r="V106" s="15">
        <v>6</v>
      </c>
      <c r="W106" s="15"/>
    </row>
    <row r="107" spans="1:23" x14ac:dyDescent="0.2">
      <c r="A107" s="14">
        <v>98065</v>
      </c>
      <c r="B107" s="14" t="s">
        <v>10</v>
      </c>
      <c r="C107" s="15"/>
      <c r="D107" s="15"/>
      <c r="E107" s="15">
        <v>2</v>
      </c>
      <c r="G107" s="14">
        <v>98248</v>
      </c>
      <c r="H107" s="14" t="s">
        <v>333</v>
      </c>
      <c r="I107" s="113"/>
      <c r="J107" s="113">
        <v>0</v>
      </c>
      <c r="K107" s="113">
        <v>32</v>
      </c>
      <c r="M107" s="14">
        <v>98230</v>
      </c>
      <c r="N107" s="14" t="s">
        <v>333</v>
      </c>
      <c r="O107" s="15">
        <v>3</v>
      </c>
      <c r="P107" s="15">
        <v>2</v>
      </c>
      <c r="Q107" s="15">
        <v>8</v>
      </c>
      <c r="S107" s="14">
        <v>98074</v>
      </c>
      <c r="T107" s="14" t="s">
        <v>10</v>
      </c>
      <c r="U107" s="15">
        <v>22</v>
      </c>
      <c r="V107" s="15">
        <v>23</v>
      </c>
      <c r="W107" s="15">
        <v>21</v>
      </c>
    </row>
    <row r="108" spans="1:23" x14ac:dyDescent="0.2">
      <c r="A108" s="14">
        <v>98070</v>
      </c>
      <c r="B108" s="14" t="s">
        <v>10</v>
      </c>
      <c r="C108" s="15">
        <v>2</v>
      </c>
      <c r="D108" s="15"/>
      <c r="E108" s="15"/>
      <c r="G108" s="14">
        <v>98248</v>
      </c>
      <c r="H108" s="14" t="s">
        <v>10</v>
      </c>
      <c r="I108" s="113">
        <v>0.5</v>
      </c>
      <c r="J108" s="113">
        <v>1.6</v>
      </c>
      <c r="K108" s="113">
        <v>3.75</v>
      </c>
      <c r="M108" s="14">
        <v>98232</v>
      </c>
      <c r="N108" s="14" t="s">
        <v>333</v>
      </c>
      <c r="O108" s="15">
        <v>1</v>
      </c>
      <c r="P108" s="15">
        <v>1</v>
      </c>
      <c r="Q108" s="15">
        <v>2</v>
      </c>
      <c r="S108" s="14">
        <v>98075</v>
      </c>
      <c r="T108" s="14" t="s">
        <v>333</v>
      </c>
      <c r="U108" s="15">
        <v>1</v>
      </c>
      <c r="V108" s="15">
        <v>1</v>
      </c>
      <c r="W108" s="15">
        <v>1</v>
      </c>
    </row>
    <row r="109" spans="1:23" x14ac:dyDescent="0.2">
      <c r="A109" s="14">
        <v>98072</v>
      </c>
      <c r="B109" s="14" t="s">
        <v>10</v>
      </c>
      <c r="C109" s="15"/>
      <c r="D109" s="15">
        <v>1</v>
      </c>
      <c r="E109" s="15"/>
      <c r="G109" s="14">
        <v>98249</v>
      </c>
      <c r="H109" s="14" t="s">
        <v>10</v>
      </c>
      <c r="I109" s="113">
        <v>0</v>
      </c>
      <c r="J109" s="113"/>
      <c r="K109" s="113">
        <v>1.6666666666666667</v>
      </c>
      <c r="M109" s="14">
        <v>98233</v>
      </c>
      <c r="N109" s="14" t="s">
        <v>333</v>
      </c>
      <c r="O109" s="15">
        <v>4</v>
      </c>
      <c r="P109" s="15">
        <v>5</v>
      </c>
      <c r="Q109" s="15">
        <v>4</v>
      </c>
      <c r="S109" s="14">
        <v>98075</v>
      </c>
      <c r="T109" s="14" t="s">
        <v>10</v>
      </c>
      <c r="U109" s="15">
        <v>20</v>
      </c>
      <c r="V109" s="15">
        <v>23</v>
      </c>
      <c r="W109" s="15">
        <v>18</v>
      </c>
    </row>
    <row r="110" spans="1:23" x14ac:dyDescent="0.2">
      <c r="A110" s="14">
        <v>98074</v>
      </c>
      <c r="B110" s="14" t="s">
        <v>10</v>
      </c>
      <c r="C110" s="15">
        <v>2</v>
      </c>
      <c r="D110" s="15"/>
      <c r="E110" s="15"/>
      <c r="G110" s="14">
        <v>98253</v>
      </c>
      <c r="H110" s="14" t="s">
        <v>10</v>
      </c>
      <c r="I110" s="113"/>
      <c r="J110" s="113"/>
      <c r="K110" s="113">
        <v>0</v>
      </c>
      <c r="M110" s="14">
        <v>98236</v>
      </c>
      <c r="N110" s="14" t="s">
        <v>333</v>
      </c>
      <c r="O110" s="15">
        <v>1</v>
      </c>
      <c r="P110" s="15">
        <v>1</v>
      </c>
      <c r="Q110" s="15">
        <v>1</v>
      </c>
      <c r="S110" s="14">
        <v>98077</v>
      </c>
      <c r="T110" s="14" t="s">
        <v>333</v>
      </c>
      <c r="U110" s="15">
        <v>1</v>
      </c>
      <c r="V110" s="15">
        <v>1</v>
      </c>
      <c r="W110" s="15">
        <v>2</v>
      </c>
    </row>
    <row r="111" spans="1:23" x14ac:dyDescent="0.2">
      <c r="A111" s="14">
        <v>98075</v>
      </c>
      <c r="B111" s="14" t="s">
        <v>10</v>
      </c>
      <c r="C111" s="15"/>
      <c r="D111" s="15"/>
      <c r="E111" s="15">
        <v>2</v>
      </c>
      <c r="G111" s="14">
        <v>98257</v>
      </c>
      <c r="H111" s="14" t="s">
        <v>10</v>
      </c>
      <c r="I111" s="113">
        <v>0</v>
      </c>
      <c r="J111" s="113">
        <v>0</v>
      </c>
      <c r="K111" s="113">
        <v>0</v>
      </c>
      <c r="M111" s="14">
        <v>98237</v>
      </c>
      <c r="N111" s="14" t="s">
        <v>333</v>
      </c>
      <c r="O111" s="15">
        <v>2</v>
      </c>
      <c r="P111" s="15">
        <v>2</v>
      </c>
      <c r="Q111" s="15">
        <v>2</v>
      </c>
      <c r="S111" s="14">
        <v>98077</v>
      </c>
      <c r="T111" s="14" t="s">
        <v>10</v>
      </c>
      <c r="U111" s="15">
        <v>14</v>
      </c>
      <c r="V111" s="15">
        <v>11</v>
      </c>
      <c r="W111" s="15">
        <v>17</v>
      </c>
    </row>
    <row r="112" spans="1:23" x14ac:dyDescent="0.2">
      <c r="A112" s="14">
        <v>98087</v>
      </c>
      <c r="B112" s="14" t="s">
        <v>10</v>
      </c>
      <c r="C112" s="15">
        <v>1</v>
      </c>
      <c r="D112" s="15">
        <v>1</v>
      </c>
      <c r="E112" s="15"/>
      <c r="G112" s="14">
        <v>98258</v>
      </c>
      <c r="H112" s="14" t="s">
        <v>10</v>
      </c>
      <c r="I112" s="113"/>
      <c r="J112" s="113"/>
      <c r="K112" s="113">
        <v>0</v>
      </c>
      <c r="M112" s="14">
        <v>98238</v>
      </c>
      <c r="N112" s="14" t="s">
        <v>333</v>
      </c>
      <c r="O112" s="15"/>
      <c r="P112" s="15"/>
      <c r="Q112" s="15">
        <v>1</v>
      </c>
      <c r="S112" s="14">
        <v>98087</v>
      </c>
      <c r="T112" s="14" t="s">
        <v>333</v>
      </c>
      <c r="U112" s="15">
        <v>1</v>
      </c>
      <c r="V112" s="15">
        <v>4</v>
      </c>
      <c r="W112" s="15">
        <v>2</v>
      </c>
    </row>
    <row r="113" spans="1:23" x14ac:dyDescent="0.2">
      <c r="A113" s="14">
        <v>98092</v>
      </c>
      <c r="B113" s="14" t="s">
        <v>10</v>
      </c>
      <c r="C113" s="15">
        <v>2</v>
      </c>
      <c r="D113" s="15">
        <v>9</v>
      </c>
      <c r="E113" s="15">
        <v>20</v>
      </c>
      <c r="G113" s="14">
        <v>98260</v>
      </c>
      <c r="H113" s="14" t="s">
        <v>10</v>
      </c>
      <c r="I113" s="113"/>
      <c r="J113" s="113"/>
      <c r="K113" s="113">
        <v>0</v>
      </c>
      <c r="M113" s="14">
        <v>98239</v>
      </c>
      <c r="N113" s="14" t="s">
        <v>333</v>
      </c>
      <c r="O113" s="15">
        <v>1</v>
      </c>
      <c r="P113" s="15"/>
      <c r="Q113" s="15">
        <v>2</v>
      </c>
      <c r="S113" s="14">
        <v>98087</v>
      </c>
      <c r="T113" s="14" t="s">
        <v>10</v>
      </c>
      <c r="U113" s="15">
        <v>18</v>
      </c>
      <c r="V113" s="15">
        <v>16</v>
      </c>
      <c r="W113" s="15">
        <v>34</v>
      </c>
    </row>
    <row r="114" spans="1:23" x14ac:dyDescent="0.2">
      <c r="A114" s="14">
        <v>98102</v>
      </c>
      <c r="B114" s="14" t="s">
        <v>10</v>
      </c>
      <c r="C114" s="15"/>
      <c r="D114" s="15">
        <v>1</v>
      </c>
      <c r="E114" s="15"/>
      <c r="G114" s="14">
        <v>98262</v>
      </c>
      <c r="H114" s="14" t="s">
        <v>10</v>
      </c>
      <c r="I114" s="113"/>
      <c r="J114" s="113">
        <v>1</v>
      </c>
      <c r="K114" s="113"/>
      <c r="M114" s="14">
        <v>98240</v>
      </c>
      <c r="N114" s="14" t="s">
        <v>333</v>
      </c>
      <c r="O114" s="15">
        <v>1</v>
      </c>
      <c r="P114" s="15"/>
      <c r="Q114" s="15">
        <v>1</v>
      </c>
      <c r="S114" s="14">
        <v>98092</v>
      </c>
      <c r="T114" s="14" t="s">
        <v>333</v>
      </c>
      <c r="U114" s="15">
        <v>12</v>
      </c>
      <c r="V114" s="15">
        <v>10</v>
      </c>
      <c r="W114" s="15">
        <v>4</v>
      </c>
    </row>
    <row r="115" spans="1:23" x14ac:dyDescent="0.2">
      <c r="A115" s="14">
        <v>98103</v>
      </c>
      <c r="B115" s="14" t="s">
        <v>10</v>
      </c>
      <c r="C115" s="15"/>
      <c r="D115" s="15">
        <v>2</v>
      </c>
      <c r="E115" s="15">
        <v>2</v>
      </c>
      <c r="G115" s="14">
        <v>98264</v>
      </c>
      <c r="H115" s="14" t="s">
        <v>333</v>
      </c>
      <c r="I115" s="113">
        <v>42</v>
      </c>
      <c r="J115" s="113"/>
      <c r="K115" s="113"/>
      <c r="M115" s="14">
        <v>98244</v>
      </c>
      <c r="N115" s="14" t="s">
        <v>333</v>
      </c>
      <c r="O115" s="15">
        <v>1</v>
      </c>
      <c r="P115" s="15">
        <v>1</v>
      </c>
      <c r="Q115" s="15"/>
      <c r="S115" s="14">
        <v>98092</v>
      </c>
      <c r="T115" s="14" t="s">
        <v>10</v>
      </c>
      <c r="U115" s="15">
        <v>279</v>
      </c>
      <c r="V115" s="15">
        <v>197</v>
      </c>
      <c r="W115" s="15">
        <v>305</v>
      </c>
    </row>
    <row r="116" spans="1:23" x14ac:dyDescent="0.2">
      <c r="A116" s="14">
        <v>98105</v>
      </c>
      <c r="B116" s="14" t="s">
        <v>10</v>
      </c>
      <c r="C116" s="15"/>
      <c r="D116" s="15">
        <v>2</v>
      </c>
      <c r="E116" s="15"/>
      <c r="G116" s="14">
        <v>98264</v>
      </c>
      <c r="H116" s="14" t="s">
        <v>10</v>
      </c>
      <c r="I116" s="113">
        <v>0.75</v>
      </c>
      <c r="J116" s="113">
        <v>9.6666666666666661</v>
      </c>
      <c r="K116" s="113">
        <v>9.5</v>
      </c>
      <c r="M116" s="14">
        <v>98247</v>
      </c>
      <c r="N116" s="14" t="s">
        <v>333</v>
      </c>
      <c r="O116" s="15">
        <v>5</v>
      </c>
      <c r="P116" s="15">
        <v>1</v>
      </c>
      <c r="Q116" s="15">
        <v>3</v>
      </c>
      <c r="S116" s="14">
        <v>98101</v>
      </c>
      <c r="T116" s="14" t="s">
        <v>333</v>
      </c>
      <c r="U116" s="15">
        <v>4</v>
      </c>
      <c r="V116" s="15">
        <v>5</v>
      </c>
      <c r="W116" s="15">
        <v>4</v>
      </c>
    </row>
    <row r="117" spans="1:23" x14ac:dyDescent="0.2">
      <c r="A117" s="14">
        <v>98106</v>
      </c>
      <c r="B117" s="14" t="s">
        <v>10</v>
      </c>
      <c r="C117" s="15"/>
      <c r="D117" s="15">
        <v>3</v>
      </c>
      <c r="E117" s="15">
        <v>1</v>
      </c>
      <c r="G117" s="14">
        <v>98266</v>
      </c>
      <c r="H117" s="14" t="s">
        <v>10</v>
      </c>
      <c r="I117" s="113"/>
      <c r="J117" s="113"/>
      <c r="K117" s="113">
        <v>0.5</v>
      </c>
      <c r="M117" s="14">
        <v>98248</v>
      </c>
      <c r="N117" s="14" t="s">
        <v>333</v>
      </c>
      <c r="O117" s="15">
        <v>16</v>
      </c>
      <c r="P117" s="15">
        <v>14</v>
      </c>
      <c r="Q117" s="15">
        <v>16</v>
      </c>
      <c r="S117" s="14">
        <v>98101</v>
      </c>
      <c r="T117" s="14" t="s">
        <v>10</v>
      </c>
      <c r="U117" s="15">
        <v>3</v>
      </c>
      <c r="V117" s="15">
        <v>2</v>
      </c>
      <c r="W117" s="15">
        <v>2</v>
      </c>
    </row>
    <row r="118" spans="1:23" x14ac:dyDescent="0.2">
      <c r="A118" s="14">
        <v>98108</v>
      </c>
      <c r="B118" s="14" t="s">
        <v>10</v>
      </c>
      <c r="C118" s="15">
        <v>2</v>
      </c>
      <c r="D118" s="15"/>
      <c r="E118" s="15">
        <v>5</v>
      </c>
      <c r="G118" s="14">
        <v>98270</v>
      </c>
      <c r="H118" s="14" t="s">
        <v>10</v>
      </c>
      <c r="I118" s="113"/>
      <c r="J118" s="113">
        <v>0.33333333333333331</v>
      </c>
      <c r="K118" s="113">
        <v>2.5</v>
      </c>
      <c r="M118" s="14">
        <v>98249</v>
      </c>
      <c r="N118" s="14" t="s">
        <v>333</v>
      </c>
      <c r="O118" s="15">
        <v>3</v>
      </c>
      <c r="P118" s="15">
        <v>2</v>
      </c>
      <c r="Q118" s="15">
        <v>1</v>
      </c>
      <c r="S118" s="14">
        <v>98102</v>
      </c>
      <c r="T118" s="14" t="s">
        <v>333</v>
      </c>
      <c r="U118" s="15">
        <v>8</v>
      </c>
      <c r="V118" s="15">
        <v>5</v>
      </c>
      <c r="W118" s="15">
        <v>6</v>
      </c>
    </row>
    <row r="119" spans="1:23" x14ac:dyDescent="0.2">
      <c r="A119" s="14">
        <v>98109</v>
      </c>
      <c r="B119" s="14" t="s">
        <v>10</v>
      </c>
      <c r="C119" s="15"/>
      <c r="D119" s="15">
        <v>1</v>
      </c>
      <c r="E119" s="15"/>
      <c r="G119" s="14">
        <v>98271</v>
      </c>
      <c r="H119" s="14" t="s">
        <v>10</v>
      </c>
      <c r="I119" s="113"/>
      <c r="J119" s="113">
        <v>0</v>
      </c>
      <c r="K119" s="113"/>
      <c r="M119" s="14">
        <v>98252</v>
      </c>
      <c r="N119" s="14" t="s">
        <v>333</v>
      </c>
      <c r="O119" s="15"/>
      <c r="P119" s="15"/>
      <c r="Q119" s="15">
        <v>1</v>
      </c>
      <c r="S119" s="14">
        <v>98102</v>
      </c>
      <c r="T119" s="14" t="s">
        <v>10</v>
      </c>
      <c r="U119" s="15">
        <v>8</v>
      </c>
      <c r="V119" s="15">
        <v>3</v>
      </c>
      <c r="W119" s="15">
        <v>8</v>
      </c>
    </row>
    <row r="120" spans="1:23" x14ac:dyDescent="0.2">
      <c r="A120" s="14">
        <v>98110</v>
      </c>
      <c r="B120" s="14" t="s">
        <v>10</v>
      </c>
      <c r="C120" s="15"/>
      <c r="D120" s="15">
        <v>2</v>
      </c>
      <c r="E120" s="15">
        <v>1</v>
      </c>
      <c r="G120" s="14">
        <v>98273</v>
      </c>
      <c r="H120" s="14" t="s">
        <v>333</v>
      </c>
      <c r="I120" s="113">
        <v>3.25</v>
      </c>
      <c r="J120" s="113"/>
      <c r="K120" s="113"/>
      <c r="M120" s="14">
        <v>98255</v>
      </c>
      <c r="N120" s="14" t="s">
        <v>333</v>
      </c>
      <c r="O120" s="15"/>
      <c r="P120" s="15">
        <v>1</v>
      </c>
      <c r="Q120" s="15">
        <v>2</v>
      </c>
      <c r="S120" s="14">
        <v>98103</v>
      </c>
      <c r="T120" s="14" t="s">
        <v>333</v>
      </c>
      <c r="U120" s="15">
        <v>4</v>
      </c>
      <c r="V120" s="15">
        <v>6</v>
      </c>
      <c r="W120" s="15">
        <v>6</v>
      </c>
    </row>
    <row r="121" spans="1:23" x14ac:dyDescent="0.2">
      <c r="A121" s="14">
        <v>98112</v>
      </c>
      <c r="B121" s="14" t="s">
        <v>10</v>
      </c>
      <c r="C121" s="15"/>
      <c r="D121" s="15">
        <v>1</v>
      </c>
      <c r="E121" s="15"/>
      <c r="G121" s="14">
        <v>98273</v>
      </c>
      <c r="H121" s="14" t="s">
        <v>10</v>
      </c>
      <c r="I121" s="113">
        <v>0</v>
      </c>
      <c r="J121" s="113">
        <v>0</v>
      </c>
      <c r="K121" s="113">
        <v>1</v>
      </c>
      <c r="M121" s="14">
        <v>98257</v>
      </c>
      <c r="N121" s="14" t="s">
        <v>333</v>
      </c>
      <c r="O121" s="15">
        <v>1</v>
      </c>
      <c r="P121" s="15">
        <v>1</v>
      </c>
      <c r="Q121" s="15">
        <v>3</v>
      </c>
      <c r="S121" s="14">
        <v>98103</v>
      </c>
      <c r="T121" s="14" t="s">
        <v>10</v>
      </c>
      <c r="U121" s="15">
        <v>37</v>
      </c>
      <c r="V121" s="15">
        <v>30</v>
      </c>
      <c r="W121" s="15">
        <v>22</v>
      </c>
    </row>
    <row r="122" spans="1:23" x14ac:dyDescent="0.2">
      <c r="A122" s="14">
        <v>98115</v>
      </c>
      <c r="B122" s="14" t="s">
        <v>10</v>
      </c>
      <c r="C122" s="15"/>
      <c r="D122" s="15">
        <v>1</v>
      </c>
      <c r="E122" s="15"/>
      <c r="G122" s="14">
        <v>98274</v>
      </c>
      <c r="H122" s="14" t="s">
        <v>10</v>
      </c>
      <c r="I122" s="113">
        <v>0</v>
      </c>
      <c r="J122" s="113">
        <v>2.5</v>
      </c>
      <c r="K122" s="113">
        <v>0</v>
      </c>
      <c r="M122" s="14">
        <v>98258</v>
      </c>
      <c r="N122" s="14" t="s">
        <v>333</v>
      </c>
      <c r="O122" s="15">
        <v>1</v>
      </c>
      <c r="P122" s="15">
        <v>1</v>
      </c>
      <c r="Q122" s="15">
        <v>3</v>
      </c>
      <c r="S122" s="14">
        <v>98104</v>
      </c>
      <c r="T122" s="14" t="s">
        <v>333</v>
      </c>
      <c r="U122" s="15">
        <v>11</v>
      </c>
      <c r="V122" s="15">
        <v>10</v>
      </c>
      <c r="W122" s="15">
        <v>17</v>
      </c>
    </row>
    <row r="123" spans="1:23" x14ac:dyDescent="0.2">
      <c r="A123" s="14">
        <v>98116</v>
      </c>
      <c r="B123" s="14" t="s">
        <v>10</v>
      </c>
      <c r="C123" s="15"/>
      <c r="D123" s="15"/>
      <c r="E123" s="15">
        <v>2</v>
      </c>
      <c r="G123" s="14">
        <v>98277</v>
      </c>
      <c r="H123" s="14" t="s">
        <v>333</v>
      </c>
      <c r="I123" s="113">
        <v>4</v>
      </c>
      <c r="J123" s="113"/>
      <c r="K123" s="113"/>
      <c r="M123" s="14">
        <v>98260</v>
      </c>
      <c r="N123" s="14" t="s">
        <v>333</v>
      </c>
      <c r="O123" s="15">
        <v>3</v>
      </c>
      <c r="P123" s="15">
        <v>2</v>
      </c>
      <c r="Q123" s="15">
        <v>1</v>
      </c>
      <c r="S123" s="14">
        <v>98104</v>
      </c>
      <c r="T123" s="14" t="s">
        <v>10</v>
      </c>
      <c r="U123" s="15"/>
      <c r="V123" s="15">
        <v>4</v>
      </c>
      <c r="W123" s="15">
        <v>4</v>
      </c>
    </row>
    <row r="124" spans="1:23" x14ac:dyDescent="0.2">
      <c r="A124" s="14">
        <v>98117</v>
      </c>
      <c r="B124" s="14" t="s">
        <v>10</v>
      </c>
      <c r="C124" s="15">
        <v>2</v>
      </c>
      <c r="D124" s="15">
        <v>2</v>
      </c>
      <c r="E124" s="15"/>
      <c r="G124" s="14">
        <v>98277</v>
      </c>
      <c r="H124" s="14" t="s">
        <v>10</v>
      </c>
      <c r="I124" s="113">
        <v>0</v>
      </c>
      <c r="J124" s="113">
        <v>0.6</v>
      </c>
      <c r="K124" s="113">
        <v>4.1538461538461542</v>
      </c>
      <c r="M124" s="14">
        <v>98263</v>
      </c>
      <c r="N124" s="14" t="s">
        <v>333</v>
      </c>
      <c r="O124" s="15">
        <v>2</v>
      </c>
      <c r="P124" s="15"/>
      <c r="Q124" s="15"/>
      <c r="S124" s="14">
        <v>98105</v>
      </c>
      <c r="T124" s="14" t="s">
        <v>333</v>
      </c>
      <c r="U124" s="15">
        <v>12</v>
      </c>
      <c r="V124" s="15">
        <v>7</v>
      </c>
      <c r="W124" s="15">
        <v>10</v>
      </c>
    </row>
    <row r="125" spans="1:23" x14ac:dyDescent="0.2">
      <c r="A125" s="14">
        <v>98118</v>
      </c>
      <c r="B125" s="14" t="s">
        <v>10</v>
      </c>
      <c r="C125" s="15">
        <v>1</v>
      </c>
      <c r="D125" s="15"/>
      <c r="E125" s="15">
        <v>2</v>
      </c>
      <c r="G125" s="14">
        <v>98283</v>
      </c>
      <c r="H125" s="14" t="s">
        <v>333</v>
      </c>
      <c r="I125" s="113"/>
      <c r="J125" s="113"/>
      <c r="K125" s="113">
        <v>1</v>
      </c>
      <c r="M125" s="14">
        <v>98264</v>
      </c>
      <c r="N125" s="14" t="s">
        <v>333</v>
      </c>
      <c r="O125" s="15">
        <v>4</v>
      </c>
      <c r="P125" s="15">
        <v>8</v>
      </c>
      <c r="Q125" s="15">
        <v>12</v>
      </c>
      <c r="S125" s="14">
        <v>98105</v>
      </c>
      <c r="T125" s="14" t="s">
        <v>10</v>
      </c>
      <c r="U125" s="15">
        <v>23</v>
      </c>
      <c r="V125" s="15">
        <v>21</v>
      </c>
      <c r="W125" s="15">
        <v>27</v>
      </c>
    </row>
    <row r="126" spans="1:23" x14ac:dyDescent="0.2">
      <c r="A126" s="14">
        <v>98122</v>
      </c>
      <c r="B126" s="14" t="s">
        <v>10</v>
      </c>
      <c r="C126" s="15"/>
      <c r="D126" s="15"/>
      <c r="E126" s="15">
        <v>2</v>
      </c>
      <c r="G126" s="14">
        <v>98284</v>
      </c>
      <c r="H126" s="14" t="s">
        <v>10</v>
      </c>
      <c r="I126" s="113">
        <v>0</v>
      </c>
      <c r="J126" s="113">
        <v>0</v>
      </c>
      <c r="K126" s="113">
        <v>1.25</v>
      </c>
      <c r="M126" s="14">
        <v>98270</v>
      </c>
      <c r="N126" s="14" t="s">
        <v>333</v>
      </c>
      <c r="O126" s="15">
        <v>6</v>
      </c>
      <c r="P126" s="15">
        <v>7</v>
      </c>
      <c r="Q126" s="15">
        <v>10</v>
      </c>
      <c r="S126" s="14">
        <v>98106</v>
      </c>
      <c r="T126" s="14" t="s">
        <v>333</v>
      </c>
      <c r="U126" s="15">
        <v>1</v>
      </c>
      <c r="V126" s="15">
        <v>5</v>
      </c>
      <c r="W126" s="15">
        <v>4</v>
      </c>
    </row>
    <row r="127" spans="1:23" x14ac:dyDescent="0.2">
      <c r="A127" s="14">
        <v>98126</v>
      </c>
      <c r="B127" s="14" t="s">
        <v>10</v>
      </c>
      <c r="C127" s="51">
        <v>3</v>
      </c>
      <c r="D127" s="51"/>
      <c r="E127" s="51">
        <v>3</v>
      </c>
      <c r="G127" s="14">
        <v>98310</v>
      </c>
      <c r="H127" s="14" t="s">
        <v>10</v>
      </c>
      <c r="I127" s="113">
        <v>0.44444444444444442</v>
      </c>
      <c r="J127" s="113">
        <v>0</v>
      </c>
      <c r="K127" s="113">
        <v>2.4285714285714284</v>
      </c>
      <c r="M127" s="14">
        <v>98271</v>
      </c>
      <c r="N127" s="14" t="s">
        <v>333</v>
      </c>
      <c r="O127" s="15">
        <v>2</v>
      </c>
      <c r="P127" s="15">
        <v>2</v>
      </c>
      <c r="Q127" s="15">
        <v>2</v>
      </c>
      <c r="S127" s="14">
        <v>98106</v>
      </c>
      <c r="T127" s="14" t="s">
        <v>10</v>
      </c>
      <c r="U127" s="15">
        <v>23</v>
      </c>
      <c r="V127" s="15">
        <v>13</v>
      </c>
      <c r="W127" s="15">
        <v>22</v>
      </c>
    </row>
    <row r="128" spans="1:23" x14ac:dyDescent="0.2">
      <c r="A128" s="14">
        <v>98133</v>
      </c>
      <c r="B128" s="14" t="s">
        <v>10</v>
      </c>
      <c r="C128" s="51"/>
      <c r="D128" s="51">
        <v>2</v>
      </c>
      <c r="E128" s="51"/>
      <c r="G128" s="14">
        <v>98311</v>
      </c>
      <c r="H128" s="14" t="s">
        <v>333</v>
      </c>
      <c r="I128" s="113"/>
      <c r="J128" s="113"/>
      <c r="K128" s="113">
        <v>0</v>
      </c>
      <c r="M128" s="14">
        <v>98272</v>
      </c>
      <c r="N128" s="14" t="s">
        <v>333</v>
      </c>
      <c r="O128" s="15">
        <v>7</v>
      </c>
      <c r="P128" s="15">
        <v>5</v>
      </c>
      <c r="Q128" s="15">
        <v>8</v>
      </c>
      <c r="S128" s="14">
        <v>98107</v>
      </c>
      <c r="T128" s="14" t="s">
        <v>333</v>
      </c>
      <c r="U128" s="15">
        <v>5</v>
      </c>
      <c r="V128" s="15">
        <v>9</v>
      </c>
      <c r="W128" s="15">
        <v>4</v>
      </c>
    </row>
    <row r="129" spans="1:23" x14ac:dyDescent="0.2">
      <c r="A129" s="14">
        <v>98136</v>
      </c>
      <c r="B129" s="14" t="s">
        <v>10</v>
      </c>
      <c r="C129" s="51"/>
      <c r="D129" s="51"/>
      <c r="E129" s="51">
        <v>1</v>
      </c>
      <c r="G129" s="14">
        <v>98311</v>
      </c>
      <c r="H129" s="14" t="s">
        <v>10</v>
      </c>
      <c r="I129" s="113">
        <v>22.8</v>
      </c>
      <c r="J129" s="113"/>
      <c r="K129" s="113">
        <v>1.7777777777777777</v>
      </c>
      <c r="M129" s="14">
        <v>98273</v>
      </c>
      <c r="N129" s="14" t="s">
        <v>333</v>
      </c>
      <c r="O129" s="15">
        <v>11</v>
      </c>
      <c r="P129" s="15">
        <v>13</v>
      </c>
      <c r="Q129" s="15">
        <v>9</v>
      </c>
      <c r="S129" s="14">
        <v>98107</v>
      </c>
      <c r="T129" s="14" t="s">
        <v>10</v>
      </c>
      <c r="U129" s="15">
        <v>13</v>
      </c>
      <c r="V129" s="15">
        <v>12</v>
      </c>
      <c r="W129" s="15">
        <v>14</v>
      </c>
    </row>
    <row r="130" spans="1:23" x14ac:dyDescent="0.2">
      <c r="A130" s="14">
        <v>98144</v>
      </c>
      <c r="B130" s="14" t="s">
        <v>10</v>
      </c>
      <c r="C130" s="51"/>
      <c r="D130" s="51"/>
      <c r="E130" s="51">
        <v>5</v>
      </c>
      <c r="G130" s="14">
        <v>98312</v>
      </c>
      <c r="H130" s="14" t="s">
        <v>10</v>
      </c>
      <c r="I130" s="113">
        <v>8.8333333333333339</v>
      </c>
      <c r="J130" s="113">
        <v>1.75</v>
      </c>
      <c r="K130" s="113">
        <v>5.5555555555555554</v>
      </c>
      <c r="M130" s="14">
        <v>98274</v>
      </c>
      <c r="N130" s="14" t="s">
        <v>333</v>
      </c>
      <c r="O130" s="15">
        <v>8</v>
      </c>
      <c r="P130" s="15">
        <v>4</v>
      </c>
      <c r="Q130" s="15">
        <v>2</v>
      </c>
      <c r="S130" s="14">
        <v>98108</v>
      </c>
      <c r="T130" s="14" t="s">
        <v>333</v>
      </c>
      <c r="U130" s="15">
        <v>12</v>
      </c>
      <c r="V130" s="15">
        <v>17</v>
      </c>
      <c r="W130" s="15">
        <v>14</v>
      </c>
    </row>
    <row r="131" spans="1:23" x14ac:dyDescent="0.2">
      <c r="A131" s="14">
        <v>98146</v>
      </c>
      <c r="B131" s="14" t="s">
        <v>10</v>
      </c>
      <c r="C131" s="51">
        <v>2</v>
      </c>
      <c r="D131" s="51"/>
      <c r="E131" s="51">
        <v>3</v>
      </c>
      <c r="G131" s="14">
        <v>98321</v>
      </c>
      <c r="H131" s="14" t="s">
        <v>10</v>
      </c>
      <c r="I131" s="113">
        <v>0</v>
      </c>
      <c r="J131" s="113"/>
      <c r="K131" s="113">
        <v>4</v>
      </c>
      <c r="M131" s="14">
        <v>98275</v>
      </c>
      <c r="N131" s="14" t="s">
        <v>333</v>
      </c>
      <c r="O131" s="15">
        <v>3</v>
      </c>
      <c r="P131" s="15">
        <v>3</v>
      </c>
      <c r="Q131" s="15">
        <v>3</v>
      </c>
      <c r="S131" s="14">
        <v>98108</v>
      </c>
      <c r="T131" s="14" t="s">
        <v>10</v>
      </c>
      <c r="U131" s="15">
        <v>36</v>
      </c>
      <c r="V131" s="15">
        <v>20</v>
      </c>
      <c r="W131" s="15">
        <v>48</v>
      </c>
    </row>
    <row r="132" spans="1:23" x14ac:dyDescent="0.2">
      <c r="A132" s="14">
        <v>98148</v>
      </c>
      <c r="B132" s="14" t="s">
        <v>10</v>
      </c>
      <c r="C132" s="51"/>
      <c r="D132" s="51"/>
      <c r="E132" s="51">
        <v>7</v>
      </c>
      <c r="G132" s="14">
        <v>98327</v>
      </c>
      <c r="H132" s="14" t="s">
        <v>10</v>
      </c>
      <c r="I132" s="113"/>
      <c r="J132" s="113">
        <v>17.25</v>
      </c>
      <c r="K132" s="113"/>
      <c r="M132" s="14">
        <v>98276</v>
      </c>
      <c r="N132" s="14" t="s">
        <v>333</v>
      </c>
      <c r="O132" s="15"/>
      <c r="P132" s="15">
        <v>1</v>
      </c>
      <c r="Q132" s="15">
        <v>1</v>
      </c>
      <c r="S132" s="14">
        <v>98109</v>
      </c>
      <c r="T132" s="14" t="s">
        <v>333</v>
      </c>
      <c r="U132" s="15">
        <v>6</v>
      </c>
      <c r="V132" s="15">
        <v>2</v>
      </c>
      <c r="W132" s="15">
        <v>7</v>
      </c>
    </row>
    <row r="133" spans="1:23" x14ac:dyDescent="0.2">
      <c r="A133" s="14">
        <v>98166</v>
      </c>
      <c r="B133" s="14" t="s">
        <v>10</v>
      </c>
      <c r="C133" s="51">
        <v>1</v>
      </c>
      <c r="D133" s="51"/>
      <c r="E133" s="51">
        <v>6</v>
      </c>
      <c r="G133" s="14">
        <v>98328</v>
      </c>
      <c r="H133" s="14" t="s">
        <v>10</v>
      </c>
      <c r="I133" s="113">
        <v>0</v>
      </c>
      <c r="J133" s="113"/>
      <c r="K133" s="113"/>
      <c r="M133" s="14">
        <v>98277</v>
      </c>
      <c r="N133" s="14" t="s">
        <v>333</v>
      </c>
      <c r="O133" s="15">
        <v>9</v>
      </c>
      <c r="P133" s="15">
        <v>11</v>
      </c>
      <c r="Q133" s="15">
        <v>10</v>
      </c>
      <c r="S133" s="14">
        <v>98109</v>
      </c>
      <c r="T133" s="14" t="s">
        <v>10</v>
      </c>
      <c r="U133" s="15">
        <v>9</v>
      </c>
      <c r="V133" s="15">
        <v>8</v>
      </c>
      <c r="W133" s="15">
        <v>9</v>
      </c>
    </row>
    <row r="134" spans="1:23" x14ac:dyDescent="0.2">
      <c r="A134" s="14">
        <v>98168</v>
      </c>
      <c r="B134" s="14" t="s">
        <v>10</v>
      </c>
      <c r="C134" s="51">
        <v>1</v>
      </c>
      <c r="D134" s="51"/>
      <c r="E134" s="51">
        <v>3</v>
      </c>
      <c r="G134" s="14">
        <v>98332</v>
      </c>
      <c r="H134" s="14" t="s">
        <v>10</v>
      </c>
      <c r="I134" s="113"/>
      <c r="J134" s="113"/>
      <c r="K134" s="113">
        <v>2</v>
      </c>
      <c r="M134" s="14">
        <v>98281</v>
      </c>
      <c r="N134" s="14" t="s">
        <v>333</v>
      </c>
      <c r="O134" s="15"/>
      <c r="P134" s="15">
        <v>1</v>
      </c>
      <c r="Q134" s="15">
        <v>1</v>
      </c>
      <c r="S134" s="14">
        <v>98110</v>
      </c>
      <c r="T134" s="14" t="s">
        <v>333</v>
      </c>
      <c r="U134" s="15">
        <v>5</v>
      </c>
      <c r="V134" s="15">
        <v>2</v>
      </c>
      <c r="W134" s="15">
        <v>4</v>
      </c>
    </row>
    <row r="135" spans="1:23" x14ac:dyDescent="0.2">
      <c r="A135" s="14">
        <v>98177</v>
      </c>
      <c r="B135" s="14" t="s">
        <v>10</v>
      </c>
      <c r="C135" s="51">
        <v>1</v>
      </c>
      <c r="D135" s="51">
        <v>2</v>
      </c>
      <c r="E135" s="51"/>
      <c r="G135" s="14">
        <v>98335</v>
      </c>
      <c r="H135" s="14" t="s">
        <v>10</v>
      </c>
      <c r="I135" s="113"/>
      <c r="J135" s="113">
        <v>0</v>
      </c>
      <c r="K135" s="113"/>
      <c r="M135" s="14">
        <v>98283</v>
      </c>
      <c r="N135" s="14" t="s">
        <v>333</v>
      </c>
      <c r="O135" s="15">
        <v>3</v>
      </c>
      <c r="P135" s="15"/>
      <c r="Q135" s="15">
        <v>5</v>
      </c>
      <c r="S135" s="14">
        <v>98110</v>
      </c>
      <c r="T135" s="14" t="s">
        <v>10</v>
      </c>
      <c r="U135" s="15">
        <v>26</v>
      </c>
      <c r="V135" s="15">
        <v>24</v>
      </c>
      <c r="W135" s="15">
        <v>33</v>
      </c>
    </row>
    <row r="136" spans="1:23" x14ac:dyDescent="0.2">
      <c r="A136" s="14">
        <v>98178</v>
      </c>
      <c r="B136" s="14" t="s">
        <v>10</v>
      </c>
      <c r="C136" s="51"/>
      <c r="D136" s="51"/>
      <c r="E136" s="51">
        <v>4</v>
      </c>
      <c r="G136" s="14">
        <v>98337</v>
      </c>
      <c r="H136" s="14" t="s">
        <v>10</v>
      </c>
      <c r="I136" s="113">
        <v>1</v>
      </c>
      <c r="J136" s="113">
        <v>0</v>
      </c>
      <c r="K136" s="113"/>
      <c r="M136" s="14">
        <v>98284</v>
      </c>
      <c r="N136" s="14" t="s">
        <v>333</v>
      </c>
      <c r="O136" s="15">
        <v>6</v>
      </c>
      <c r="P136" s="15">
        <v>4</v>
      </c>
      <c r="Q136" s="15">
        <v>9</v>
      </c>
      <c r="S136" s="14">
        <v>98112</v>
      </c>
      <c r="T136" s="14" t="s">
        <v>333</v>
      </c>
      <c r="U136" s="15">
        <v>2</v>
      </c>
      <c r="V136" s="15">
        <v>1</v>
      </c>
      <c r="W136" s="15">
        <v>1</v>
      </c>
    </row>
    <row r="137" spans="1:23" x14ac:dyDescent="0.2">
      <c r="A137" s="14">
        <v>98188</v>
      </c>
      <c r="B137" s="14" t="s">
        <v>10</v>
      </c>
      <c r="C137" s="51">
        <v>6</v>
      </c>
      <c r="D137" s="51">
        <v>7</v>
      </c>
      <c r="E137" s="51">
        <v>7</v>
      </c>
      <c r="G137" s="14">
        <v>98338</v>
      </c>
      <c r="H137" s="14" t="s">
        <v>333</v>
      </c>
      <c r="I137" s="113">
        <v>34</v>
      </c>
      <c r="J137" s="113">
        <v>0</v>
      </c>
      <c r="K137" s="113"/>
      <c r="M137" s="14">
        <v>98288</v>
      </c>
      <c r="N137" s="14" t="s">
        <v>333</v>
      </c>
      <c r="O137" s="15">
        <v>1</v>
      </c>
      <c r="P137" s="15"/>
      <c r="Q137" s="15">
        <v>1</v>
      </c>
      <c r="S137" s="14">
        <v>98112</v>
      </c>
      <c r="T137" s="14" t="s">
        <v>10</v>
      </c>
      <c r="U137" s="15">
        <v>10</v>
      </c>
      <c r="V137" s="15">
        <v>17</v>
      </c>
      <c r="W137" s="15">
        <v>17</v>
      </c>
    </row>
    <row r="138" spans="1:23" x14ac:dyDescent="0.2">
      <c r="A138" s="14">
        <v>98198</v>
      </c>
      <c r="B138" s="14" t="s">
        <v>10</v>
      </c>
      <c r="C138" s="51">
        <v>5</v>
      </c>
      <c r="D138" s="51">
        <v>8</v>
      </c>
      <c r="E138" s="51">
        <v>19</v>
      </c>
      <c r="G138" s="14">
        <v>98338</v>
      </c>
      <c r="H138" s="14" t="s">
        <v>10</v>
      </c>
      <c r="I138" s="113">
        <v>0</v>
      </c>
      <c r="J138" s="113">
        <v>0</v>
      </c>
      <c r="K138" s="113">
        <v>0</v>
      </c>
      <c r="M138" s="14">
        <v>98290</v>
      </c>
      <c r="N138" s="14" t="s">
        <v>333</v>
      </c>
      <c r="O138" s="15">
        <v>2</v>
      </c>
      <c r="P138" s="15">
        <v>2</v>
      </c>
      <c r="Q138" s="15">
        <v>4</v>
      </c>
      <c r="S138" s="14">
        <v>98115</v>
      </c>
      <c r="T138" s="14" t="s">
        <v>333</v>
      </c>
      <c r="U138" s="15">
        <v>7</v>
      </c>
      <c r="V138" s="15">
        <v>9</v>
      </c>
      <c r="W138" s="15">
        <v>5</v>
      </c>
    </row>
    <row r="139" spans="1:23" x14ac:dyDescent="0.2">
      <c r="A139" s="14">
        <v>98199</v>
      </c>
      <c r="B139" s="14" t="s">
        <v>10</v>
      </c>
      <c r="C139" s="51"/>
      <c r="D139" s="51">
        <v>1</v>
      </c>
      <c r="E139" s="51"/>
      <c r="G139" s="14">
        <v>98346</v>
      </c>
      <c r="H139" s="14" t="s">
        <v>10</v>
      </c>
      <c r="I139" s="113">
        <v>0</v>
      </c>
      <c r="J139" s="113">
        <v>10</v>
      </c>
      <c r="K139" s="113">
        <v>5.5</v>
      </c>
      <c r="M139" s="14">
        <v>98292</v>
      </c>
      <c r="N139" s="14" t="s">
        <v>333</v>
      </c>
      <c r="O139" s="15">
        <v>1</v>
      </c>
      <c r="P139" s="15"/>
      <c r="Q139" s="15"/>
      <c r="S139" s="14">
        <v>98115</v>
      </c>
      <c r="T139" s="14" t="s">
        <v>10</v>
      </c>
      <c r="U139" s="15">
        <v>34</v>
      </c>
      <c r="V139" s="15">
        <v>31</v>
      </c>
      <c r="W139" s="15">
        <v>47</v>
      </c>
    </row>
    <row r="140" spans="1:23" x14ac:dyDescent="0.2">
      <c r="A140" s="14">
        <v>98201</v>
      </c>
      <c r="B140" s="14" t="s">
        <v>10</v>
      </c>
      <c r="C140" s="51"/>
      <c r="D140" s="51"/>
      <c r="E140" s="51">
        <v>3</v>
      </c>
      <c r="G140" s="14">
        <v>98359</v>
      </c>
      <c r="H140" s="14" t="s">
        <v>10</v>
      </c>
      <c r="I140" s="113">
        <v>0</v>
      </c>
      <c r="J140" s="113">
        <v>0</v>
      </c>
      <c r="K140" s="113">
        <v>5</v>
      </c>
      <c r="M140" s="14">
        <v>98295</v>
      </c>
      <c r="N140" s="14" t="s">
        <v>333</v>
      </c>
      <c r="O140" s="15">
        <v>1</v>
      </c>
      <c r="P140" s="15"/>
      <c r="Q140" s="15">
        <v>1</v>
      </c>
      <c r="S140" s="14">
        <v>98116</v>
      </c>
      <c r="T140" s="14" t="s">
        <v>333</v>
      </c>
      <c r="U140" s="15">
        <v>5</v>
      </c>
      <c r="V140" s="15">
        <v>8</v>
      </c>
      <c r="W140" s="15">
        <v>3</v>
      </c>
    </row>
    <row r="141" spans="1:23" x14ac:dyDescent="0.2">
      <c r="A141" s="14">
        <v>98203</v>
      </c>
      <c r="B141" s="14" t="s">
        <v>10</v>
      </c>
      <c r="C141" s="51"/>
      <c r="D141" s="51">
        <v>2</v>
      </c>
      <c r="E141" s="51">
        <v>7</v>
      </c>
      <c r="G141" s="14">
        <v>98360</v>
      </c>
      <c r="H141" s="14" t="s">
        <v>10</v>
      </c>
      <c r="I141" s="113">
        <v>0</v>
      </c>
      <c r="J141" s="113">
        <v>0</v>
      </c>
      <c r="K141" s="113">
        <v>0</v>
      </c>
      <c r="M141" s="14">
        <v>98296</v>
      </c>
      <c r="N141" s="14" t="s">
        <v>333</v>
      </c>
      <c r="O141" s="15"/>
      <c r="P141" s="15">
        <v>2</v>
      </c>
      <c r="Q141" s="15">
        <v>1</v>
      </c>
      <c r="S141" s="14">
        <v>98116</v>
      </c>
      <c r="T141" s="14" t="s">
        <v>10</v>
      </c>
      <c r="U141" s="15">
        <v>17</v>
      </c>
      <c r="V141" s="15">
        <v>15</v>
      </c>
      <c r="W141" s="15">
        <v>19</v>
      </c>
    </row>
    <row r="142" spans="1:23" x14ac:dyDescent="0.2">
      <c r="A142" s="14">
        <v>98208</v>
      </c>
      <c r="B142" s="14" t="s">
        <v>10</v>
      </c>
      <c r="C142" s="51"/>
      <c r="D142" s="51"/>
      <c r="E142" s="51">
        <v>1</v>
      </c>
      <c r="G142" s="14">
        <v>98366</v>
      </c>
      <c r="H142" s="14" t="s">
        <v>10</v>
      </c>
      <c r="I142" s="113"/>
      <c r="J142" s="113">
        <v>0</v>
      </c>
      <c r="K142" s="113">
        <v>0</v>
      </c>
      <c r="M142" s="14">
        <v>98310</v>
      </c>
      <c r="N142" s="14" t="s">
        <v>333</v>
      </c>
      <c r="O142" s="15">
        <v>3</v>
      </c>
      <c r="P142" s="15">
        <v>8</v>
      </c>
      <c r="Q142" s="15">
        <v>7</v>
      </c>
      <c r="S142" s="14">
        <v>98117</v>
      </c>
      <c r="T142" s="14" t="s">
        <v>333</v>
      </c>
      <c r="U142" s="15">
        <v>1</v>
      </c>
      <c r="V142" s="15"/>
      <c r="W142" s="15">
        <v>1</v>
      </c>
    </row>
    <row r="143" spans="1:23" x14ac:dyDescent="0.2">
      <c r="A143" s="14">
        <v>98221</v>
      </c>
      <c r="B143" s="14" t="s">
        <v>10</v>
      </c>
      <c r="C143" s="51">
        <v>1</v>
      </c>
      <c r="D143" s="51"/>
      <c r="E143" s="51">
        <v>2</v>
      </c>
      <c r="G143" s="14">
        <v>98367</v>
      </c>
      <c r="H143" s="14" t="s">
        <v>10</v>
      </c>
      <c r="I143" s="113">
        <v>0.1</v>
      </c>
      <c r="J143" s="113">
        <v>0</v>
      </c>
      <c r="K143" s="113">
        <v>0</v>
      </c>
      <c r="M143" s="14">
        <v>98311</v>
      </c>
      <c r="N143" s="14" t="s">
        <v>333</v>
      </c>
      <c r="O143" s="15">
        <v>4</v>
      </c>
      <c r="P143" s="15">
        <v>2</v>
      </c>
      <c r="Q143" s="15">
        <v>5</v>
      </c>
      <c r="S143" s="14">
        <v>98117</v>
      </c>
      <c r="T143" s="14" t="s">
        <v>10</v>
      </c>
      <c r="U143" s="15">
        <v>17</v>
      </c>
      <c r="V143" s="15">
        <v>17</v>
      </c>
      <c r="W143" s="15">
        <v>17</v>
      </c>
    </row>
    <row r="144" spans="1:23" x14ac:dyDescent="0.2">
      <c r="A144" s="14">
        <v>98225</v>
      </c>
      <c r="B144" s="14" t="s">
        <v>10</v>
      </c>
      <c r="C144" s="51">
        <v>3</v>
      </c>
      <c r="D144" s="51">
        <v>5</v>
      </c>
      <c r="E144" s="51">
        <v>1</v>
      </c>
      <c r="G144" s="14">
        <v>98370</v>
      </c>
      <c r="H144" s="14" t="s">
        <v>10</v>
      </c>
      <c r="I144" s="113">
        <v>6.8</v>
      </c>
      <c r="J144" s="113">
        <v>7.833333333333333</v>
      </c>
      <c r="K144" s="113">
        <v>0</v>
      </c>
      <c r="M144" s="14">
        <v>98312</v>
      </c>
      <c r="N144" s="14" t="s">
        <v>333</v>
      </c>
      <c r="O144" s="15">
        <v>9</v>
      </c>
      <c r="P144" s="15">
        <v>4</v>
      </c>
      <c r="Q144" s="15">
        <v>8</v>
      </c>
      <c r="S144" s="14">
        <v>98118</v>
      </c>
      <c r="T144" s="14" t="s">
        <v>333</v>
      </c>
      <c r="U144" s="15">
        <v>12</v>
      </c>
      <c r="V144" s="15">
        <v>4</v>
      </c>
      <c r="W144" s="15">
        <v>13</v>
      </c>
    </row>
    <row r="145" spans="1:23" x14ac:dyDescent="0.2">
      <c r="A145" s="14">
        <v>98226</v>
      </c>
      <c r="B145" s="14" t="s">
        <v>10</v>
      </c>
      <c r="C145" s="51">
        <v>7</v>
      </c>
      <c r="D145" s="51">
        <v>2</v>
      </c>
      <c r="E145" s="51">
        <v>10</v>
      </c>
      <c r="G145" s="14">
        <v>98371</v>
      </c>
      <c r="H145" s="14" t="s">
        <v>10</v>
      </c>
      <c r="I145" s="113">
        <v>3.25</v>
      </c>
      <c r="J145" s="113">
        <v>5.5</v>
      </c>
      <c r="K145" s="113">
        <v>0</v>
      </c>
      <c r="M145" s="14">
        <v>98321</v>
      </c>
      <c r="N145" s="14" t="s">
        <v>333</v>
      </c>
      <c r="O145" s="15">
        <v>6</v>
      </c>
      <c r="P145" s="15">
        <v>5</v>
      </c>
      <c r="Q145" s="15">
        <v>5</v>
      </c>
      <c r="S145" s="14">
        <v>98118</v>
      </c>
      <c r="T145" s="14" t="s">
        <v>10</v>
      </c>
      <c r="U145" s="15">
        <v>50</v>
      </c>
      <c r="V145" s="15">
        <v>30</v>
      </c>
      <c r="W145" s="15">
        <v>61</v>
      </c>
    </row>
    <row r="146" spans="1:23" x14ac:dyDescent="0.2">
      <c r="A146" s="14">
        <v>98229</v>
      </c>
      <c r="B146" s="14" t="s">
        <v>10</v>
      </c>
      <c r="C146" s="51">
        <v>2</v>
      </c>
      <c r="D146" s="51">
        <v>5</v>
      </c>
      <c r="E146" s="51">
        <v>5</v>
      </c>
      <c r="G146" s="14">
        <v>98372</v>
      </c>
      <c r="H146" s="14" t="s">
        <v>10</v>
      </c>
      <c r="I146" s="113">
        <v>15.333333333333334</v>
      </c>
      <c r="J146" s="113">
        <v>11</v>
      </c>
      <c r="K146" s="113">
        <v>0.42857142857142855</v>
      </c>
      <c r="M146" s="14">
        <v>98323</v>
      </c>
      <c r="N146" s="14" t="s">
        <v>333</v>
      </c>
      <c r="O146" s="15">
        <v>4</v>
      </c>
      <c r="P146" s="15">
        <v>1</v>
      </c>
      <c r="Q146" s="15">
        <v>1</v>
      </c>
      <c r="S146" s="14">
        <v>98119</v>
      </c>
      <c r="T146" s="14" t="s">
        <v>333</v>
      </c>
      <c r="U146" s="15"/>
      <c r="V146" s="15">
        <v>4</v>
      </c>
      <c r="W146" s="15">
        <v>2</v>
      </c>
    </row>
    <row r="147" spans="1:23" x14ac:dyDescent="0.2">
      <c r="A147" s="14">
        <v>98230</v>
      </c>
      <c r="B147" s="14" t="s">
        <v>10</v>
      </c>
      <c r="C147" s="51">
        <v>1</v>
      </c>
      <c r="D147" s="51">
        <v>1</v>
      </c>
      <c r="E147" s="51">
        <v>1</v>
      </c>
      <c r="G147" s="14">
        <v>98373</v>
      </c>
      <c r="H147" s="14" t="s">
        <v>333</v>
      </c>
      <c r="I147" s="113"/>
      <c r="J147" s="113"/>
      <c r="K147" s="113">
        <v>1</v>
      </c>
      <c r="M147" s="14">
        <v>98327</v>
      </c>
      <c r="N147" s="14" t="s">
        <v>333</v>
      </c>
      <c r="O147" s="15">
        <v>3</v>
      </c>
      <c r="P147" s="15">
        <v>4</v>
      </c>
      <c r="Q147" s="15">
        <v>5</v>
      </c>
      <c r="S147" s="14">
        <v>98119</v>
      </c>
      <c r="T147" s="14" t="s">
        <v>10</v>
      </c>
      <c r="U147" s="15">
        <v>5</v>
      </c>
      <c r="V147" s="15">
        <v>5</v>
      </c>
      <c r="W147" s="15">
        <v>19</v>
      </c>
    </row>
    <row r="148" spans="1:23" x14ac:dyDescent="0.2">
      <c r="A148" s="14">
        <v>98232</v>
      </c>
      <c r="B148" s="14" t="s">
        <v>10</v>
      </c>
      <c r="C148" s="51">
        <v>1</v>
      </c>
      <c r="D148" s="51"/>
      <c r="E148" s="51">
        <v>1</v>
      </c>
      <c r="G148" s="14">
        <v>98373</v>
      </c>
      <c r="H148" s="14" t="s">
        <v>10</v>
      </c>
      <c r="I148" s="113">
        <v>0.83333333333333337</v>
      </c>
      <c r="J148" s="113">
        <v>3.5</v>
      </c>
      <c r="K148" s="113">
        <v>0</v>
      </c>
      <c r="M148" s="14">
        <v>98328</v>
      </c>
      <c r="N148" s="14" t="s">
        <v>333</v>
      </c>
      <c r="O148" s="15"/>
      <c r="P148" s="15">
        <v>1</v>
      </c>
      <c r="Q148" s="15"/>
      <c r="S148" s="14">
        <v>98121</v>
      </c>
      <c r="T148" s="14" t="s">
        <v>333</v>
      </c>
      <c r="U148" s="15">
        <v>7</v>
      </c>
      <c r="V148" s="15">
        <v>5</v>
      </c>
      <c r="W148" s="15">
        <v>9</v>
      </c>
    </row>
    <row r="149" spans="1:23" x14ac:dyDescent="0.2">
      <c r="A149" s="14">
        <v>98233</v>
      </c>
      <c r="B149" s="14" t="s">
        <v>10</v>
      </c>
      <c r="C149" s="51"/>
      <c r="D149" s="51">
        <v>2</v>
      </c>
      <c r="E149" s="51">
        <v>2</v>
      </c>
      <c r="G149" s="14">
        <v>98374</v>
      </c>
      <c r="H149" s="14" t="s">
        <v>10</v>
      </c>
      <c r="I149" s="113">
        <v>4.4000000000000004</v>
      </c>
      <c r="J149" s="113">
        <v>9.125</v>
      </c>
      <c r="K149" s="113">
        <v>0.375</v>
      </c>
      <c r="M149" s="14">
        <v>98332</v>
      </c>
      <c r="N149" s="14" t="s">
        <v>333</v>
      </c>
      <c r="O149" s="15">
        <v>1</v>
      </c>
      <c r="P149" s="15"/>
      <c r="Q149" s="15">
        <v>1</v>
      </c>
      <c r="S149" s="14">
        <v>98121</v>
      </c>
      <c r="T149" s="14" t="s">
        <v>10</v>
      </c>
      <c r="U149" s="15">
        <v>2</v>
      </c>
      <c r="V149" s="15">
        <v>5</v>
      </c>
      <c r="W149" s="15">
        <v>2</v>
      </c>
    </row>
    <row r="150" spans="1:23" x14ac:dyDescent="0.2">
      <c r="A150" s="14">
        <v>98236</v>
      </c>
      <c r="B150" s="14" t="s">
        <v>10</v>
      </c>
      <c r="C150" s="51">
        <v>2</v>
      </c>
      <c r="D150" s="51">
        <v>2</v>
      </c>
      <c r="E150" s="51">
        <v>2</v>
      </c>
      <c r="G150" s="14">
        <v>98375</v>
      </c>
      <c r="H150" s="14" t="s">
        <v>10</v>
      </c>
      <c r="I150" s="113">
        <v>0</v>
      </c>
      <c r="J150" s="113">
        <v>17.8</v>
      </c>
      <c r="K150" s="113">
        <v>16.333333333333332</v>
      </c>
      <c r="M150" s="14">
        <v>98335</v>
      </c>
      <c r="N150" s="14" t="s">
        <v>333</v>
      </c>
      <c r="O150" s="15">
        <v>3</v>
      </c>
      <c r="P150" s="15">
        <v>2</v>
      </c>
      <c r="Q150" s="15">
        <v>5</v>
      </c>
      <c r="S150" s="14">
        <v>98122</v>
      </c>
      <c r="T150" s="14" t="s">
        <v>333</v>
      </c>
      <c r="U150" s="15">
        <v>8</v>
      </c>
      <c r="V150" s="15">
        <v>8</v>
      </c>
      <c r="W150" s="15">
        <v>2</v>
      </c>
    </row>
    <row r="151" spans="1:23" x14ac:dyDescent="0.2">
      <c r="A151" s="14">
        <v>98237</v>
      </c>
      <c r="B151" s="14" t="s">
        <v>10</v>
      </c>
      <c r="C151" s="51">
        <v>1</v>
      </c>
      <c r="D151" s="51">
        <v>2</v>
      </c>
      <c r="E151" s="51"/>
      <c r="G151" s="14">
        <v>98380</v>
      </c>
      <c r="H151" s="14" t="s">
        <v>10</v>
      </c>
      <c r="I151" s="113"/>
      <c r="J151" s="113">
        <v>0</v>
      </c>
      <c r="K151" s="113">
        <v>1</v>
      </c>
      <c r="M151" s="14">
        <v>98337</v>
      </c>
      <c r="N151" s="14" t="s">
        <v>333</v>
      </c>
      <c r="O151" s="15">
        <v>7</v>
      </c>
      <c r="P151" s="15">
        <v>3</v>
      </c>
      <c r="Q151" s="15">
        <v>4</v>
      </c>
      <c r="S151" s="14">
        <v>98122</v>
      </c>
      <c r="T151" s="14" t="s">
        <v>10</v>
      </c>
      <c r="U151" s="15">
        <v>31</v>
      </c>
      <c r="V151" s="15">
        <v>31</v>
      </c>
      <c r="W151" s="15">
        <v>38</v>
      </c>
    </row>
    <row r="152" spans="1:23" x14ac:dyDescent="0.2">
      <c r="A152" s="14">
        <v>98239</v>
      </c>
      <c r="B152" s="14" t="s">
        <v>10</v>
      </c>
      <c r="C152" s="51">
        <v>2</v>
      </c>
      <c r="D152" s="51">
        <v>1</v>
      </c>
      <c r="E152" s="51">
        <v>1</v>
      </c>
      <c r="G152" s="14">
        <v>98383</v>
      </c>
      <c r="H152" s="14" t="s">
        <v>10</v>
      </c>
      <c r="I152" s="113">
        <v>1.5</v>
      </c>
      <c r="J152" s="113">
        <v>49</v>
      </c>
      <c r="K152" s="113">
        <v>10</v>
      </c>
      <c r="M152" s="14">
        <v>98338</v>
      </c>
      <c r="N152" s="14" t="s">
        <v>333</v>
      </c>
      <c r="O152" s="15">
        <v>5</v>
      </c>
      <c r="P152" s="15">
        <v>7</v>
      </c>
      <c r="Q152" s="15">
        <v>3</v>
      </c>
      <c r="S152" s="14">
        <v>98125</v>
      </c>
      <c r="T152" s="14" t="s">
        <v>333</v>
      </c>
      <c r="U152" s="15">
        <v>1</v>
      </c>
      <c r="V152" s="15">
        <v>6</v>
      </c>
      <c r="W152" s="15">
        <v>4</v>
      </c>
    </row>
    <row r="153" spans="1:23" x14ac:dyDescent="0.2">
      <c r="A153" s="14">
        <v>98240</v>
      </c>
      <c r="B153" s="14" t="s">
        <v>10</v>
      </c>
      <c r="C153" s="51"/>
      <c r="D153" s="51"/>
      <c r="E153" s="51">
        <v>1</v>
      </c>
      <c r="G153" s="14">
        <v>98387</v>
      </c>
      <c r="H153" s="14" t="s">
        <v>10</v>
      </c>
      <c r="I153" s="113">
        <v>34.5</v>
      </c>
      <c r="J153" s="113">
        <v>2.3333333333333335</v>
      </c>
      <c r="K153" s="113">
        <v>0</v>
      </c>
      <c r="M153" s="14">
        <v>98340</v>
      </c>
      <c r="N153" s="14" t="s">
        <v>333</v>
      </c>
      <c r="O153" s="15"/>
      <c r="P153" s="15"/>
      <c r="Q153" s="15">
        <v>1</v>
      </c>
      <c r="S153" s="14">
        <v>98125</v>
      </c>
      <c r="T153" s="14" t="s">
        <v>10</v>
      </c>
      <c r="U153" s="15">
        <v>16</v>
      </c>
      <c r="V153" s="15">
        <v>17</v>
      </c>
      <c r="W153" s="15">
        <v>29</v>
      </c>
    </row>
    <row r="154" spans="1:23" x14ac:dyDescent="0.2">
      <c r="A154" s="14">
        <v>98244</v>
      </c>
      <c r="B154" s="14" t="s">
        <v>10</v>
      </c>
      <c r="C154" s="51"/>
      <c r="D154" s="51">
        <v>3</v>
      </c>
      <c r="E154" s="51">
        <v>1</v>
      </c>
      <c r="G154" s="14">
        <v>98388</v>
      </c>
      <c r="H154" s="14" t="s">
        <v>10</v>
      </c>
      <c r="I154" s="113">
        <v>20</v>
      </c>
      <c r="J154" s="113"/>
      <c r="K154" s="113"/>
      <c r="M154" s="14">
        <v>98346</v>
      </c>
      <c r="N154" s="14" t="s">
        <v>333</v>
      </c>
      <c r="O154" s="15">
        <v>1</v>
      </c>
      <c r="P154" s="15">
        <v>2</v>
      </c>
      <c r="Q154" s="15">
        <v>3</v>
      </c>
      <c r="S154" s="14">
        <v>98126</v>
      </c>
      <c r="T154" s="14" t="s">
        <v>333</v>
      </c>
      <c r="U154" s="15">
        <v>1</v>
      </c>
      <c r="V154" s="15">
        <v>3</v>
      </c>
      <c r="W154" s="15">
        <v>5</v>
      </c>
    </row>
    <row r="155" spans="1:23" x14ac:dyDescent="0.2">
      <c r="A155" s="14">
        <v>98247</v>
      </c>
      <c r="B155" s="14" t="s">
        <v>10</v>
      </c>
      <c r="C155" s="51">
        <v>2</v>
      </c>
      <c r="D155" s="51">
        <v>1</v>
      </c>
      <c r="E155" s="51">
        <v>1</v>
      </c>
      <c r="G155" s="14">
        <v>98390</v>
      </c>
      <c r="H155" s="14" t="s">
        <v>333</v>
      </c>
      <c r="I155" s="113"/>
      <c r="J155" s="113"/>
      <c r="K155" s="113">
        <v>1</v>
      </c>
      <c r="M155" s="14">
        <v>98354</v>
      </c>
      <c r="N155" s="14" t="s">
        <v>333</v>
      </c>
      <c r="O155" s="15">
        <v>3</v>
      </c>
      <c r="P155" s="15">
        <v>2</v>
      </c>
      <c r="Q155" s="15">
        <v>2</v>
      </c>
      <c r="S155" s="14">
        <v>98126</v>
      </c>
      <c r="T155" s="14" t="s">
        <v>10</v>
      </c>
      <c r="U155" s="15">
        <v>17</v>
      </c>
      <c r="V155" s="15">
        <v>21</v>
      </c>
      <c r="W155" s="15">
        <v>37</v>
      </c>
    </row>
    <row r="156" spans="1:23" x14ac:dyDescent="0.2">
      <c r="A156" s="14">
        <v>98248</v>
      </c>
      <c r="B156" s="14" t="s">
        <v>10</v>
      </c>
      <c r="C156" s="51">
        <v>2</v>
      </c>
      <c r="D156" s="51">
        <v>7</v>
      </c>
      <c r="E156" s="51">
        <v>5</v>
      </c>
      <c r="G156" s="14">
        <v>98390</v>
      </c>
      <c r="H156" s="14" t="s">
        <v>10</v>
      </c>
      <c r="I156" s="113">
        <v>0</v>
      </c>
      <c r="J156" s="113">
        <v>0</v>
      </c>
      <c r="K156" s="113">
        <v>0.5</v>
      </c>
      <c r="M156" s="14">
        <v>98359</v>
      </c>
      <c r="N156" s="14" t="s">
        <v>333</v>
      </c>
      <c r="O156" s="15"/>
      <c r="P156" s="15"/>
      <c r="Q156" s="15">
        <v>1</v>
      </c>
      <c r="S156" s="14">
        <v>98133</v>
      </c>
      <c r="T156" s="14" t="s">
        <v>333</v>
      </c>
      <c r="U156" s="15">
        <v>5</v>
      </c>
      <c r="V156" s="15">
        <v>3</v>
      </c>
      <c r="W156" s="15">
        <v>7</v>
      </c>
    </row>
    <row r="157" spans="1:23" x14ac:dyDescent="0.2">
      <c r="A157" s="14">
        <v>98249</v>
      </c>
      <c r="B157" s="14" t="s">
        <v>10</v>
      </c>
      <c r="C157" s="51">
        <v>2</v>
      </c>
      <c r="D157" s="51"/>
      <c r="E157" s="51">
        <v>3</v>
      </c>
      <c r="G157" s="14">
        <v>98391</v>
      </c>
      <c r="H157" s="14" t="s">
        <v>333</v>
      </c>
      <c r="I157" s="113"/>
      <c r="J157" s="113">
        <v>5</v>
      </c>
      <c r="K157" s="113">
        <v>2</v>
      </c>
      <c r="M157" s="14">
        <v>98360</v>
      </c>
      <c r="N157" s="14" t="s">
        <v>333</v>
      </c>
      <c r="O157" s="15">
        <v>2</v>
      </c>
      <c r="P157" s="15">
        <v>3</v>
      </c>
      <c r="Q157" s="15"/>
      <c r="S157" s="14">
        <v>98133</v>
      </c>
      <c r="T157" s="14" t="s">
        <v>10</v>
      </c>
      <c r="U157" s="15">
        <v>26</v>
      </c>
      <c r="V157" s="15">
        <v>27</v>
      </c>
      <c r="W157" s="15">
        <v>29</v>
      </c>
    </row>
    <row r="158" spans="1:23" x14ac:dyDescent="0.2">
      <c r="A158" s="14">
        <v>98253</v>
      </c>
      <c r="B158" s="14" t="s">
        <v>10</v>
      </c>
      <c r="C158" s="51"/>
      <c r="D158" s="51"/>
      <c r="E158" s="51">
        <v>1</v>
      </c>
      <c r="G158" s="14">
        <v>98391</v>
      </c>
      <c r="H158" s="14" t="s">
        <v>10</v>
      </c>
      <c r="I158" s="113">
        <v>0</v>
      </c>
      <c r="J158" s="113">
        <v>0.66666666666666663</v>
      </c>
      <c r="K158" s="113">
        <v>2.0909090909090908</v>
      </c>
      <c r="M158" s="14">
        <v>98366</v>
      </c>
      <c r="N158" s="14" t="s">
        <v>333</v>
      </c>
      <c r="O158" s="15">
        <v>10</v>
      </c>
      <c r="P158" s="15">
        <v>4</v>
      </c>
      <c r="Q158" s="15">
        <v>10</v>
      </c>
      <c r="S158" s="14">
        <v>98134</v>
      </c>
      <c r="T158" s="14" t="s">
        <v>333</v>
      </c>
      <c r="U158" s="15">
        <v>6</v>
      </c>
      <c r="V158" s="15">
        <v>7</v>
      </c>
      <c r="W158" s="15">
        <v>6</v>
      </c>
    </row>
    <row r="159" spans="1:23" x14ac:dyDescent="0.2">
      <c r="A159" s="14">
        <v>98257</v>
      </c>
      <c r="B159" s="14" t="s">
        <v>10</v>
      </c>
      <c r="C159" s="51">
        <v>1</v>
      </c>
      <c r="D159" s="51">
        <v>1</v>
      </c>
      <c r="E159" s="51">
        <v>1</v>
      </c>
      <c r="G159" s="14">
        <v>98402</v>
      </c>
      <c r="H159" s="14" t="s">
        <v>333</v>
      </c>
      <c r="I159" s="113"/>
      <c r="J159" s="113">
        <v>1</v>
      </c>
      <c r="K159" s="113"/>
      <c r="M159" s="14">
        <v>98367</v>
      </c>
      <c r="N159" s="14" t="s">
        <v>333</v>
      </c>
      <c r="O159" s="15">
        <v>3</v>
      </c>
      <c r="P159" s="15">
        <v>2</v>
      </c>
      <c r="Q159" s="15">
        <v>3</v>
      </c>
      <c r="S159" s="14">
        <v>98134</v>
      </c>
      <c r="T159" s="14" t="s">
        <v>10</v>
      </c>
      <c r="U159" s="15">
        <v>1</v>
      </c>
      <c r="V159" s="15">
        <v>2</v>
      </c>
      <c r="W159" s="15">
        <v>1</v>
      </c>
    </row>
    <row r="160" spans="1:23" x14ac:dyDescent="0.2">
      <c r="A160" s="14">
        <v>98258</v>
      </c>
      <c r="B160" s="14" t="s">
        <v>10</v>
      </c>
      <c r="C160" s="51"/>
      <c r="D160" s="51"/>
      <c r="E160" s="51">
        <v>1</v>
      </c>
      <c r="G160" s="14">
        <v>98404</v>
      </c>
      <c r="H160" s="14" t="s">
        <v>10</v>
      </c>
      <c r="I160" s="113"/>
      <c r="J160" s="113">
        <v>1</v>
      </c>
      <c r="K160" s="113"/>
      <c r="M160" s="14">
        <v>98370</v>
      </c>
      <c r="N160" s="14" t="s">
        <v>333</v>
      </c>
      <c r="O160" s="15">
        <v>10</v>
      </c>
      <c r="P160" s="15">
        <v>8</v>
      </c>
      <c r="Q160" s="15">
        <v>11</v>
      </c>
      <c r="S160" s="14">
        <v>98136</v>
      </c>
      <c r="T160" s="14" t="s">
        <v>333</v>
      </c>
      <c r="U160" s="15">
        <v>2</v>
      </c>
      <c r="V160" s="15">
        <v>1</v>
      </c>
      <c r="W160" s="15">
        <v>1</v>
      </c>
    </row>
    <row r="161" spans="1:23" x14ac:dyDescent="0.2">
      <c r="A161" s="14">
        <v>98260</v>
      </c>
      <c r="B161" s="14" t="s">
        <v>10</v>
      </c>
      <c r="C161" s="51"/>
      <c r="D161" s="51">
        <v>1</v>
      </c>
      <c r="E161" s="51">
        <v>1</v>
      </c>
      <c r="G161" s="14">
        <v>98405</v>
      </c>
      <c r="H161" s="14" t="s">
        <v>10</v>
      </c>
      <c r="I161" s="113">
        <v>20.5</v>
      </c>
      <c r="J161" s="113">
        <v>0</v>
      </c>
      <c r="K161" s="113">
        <v>0</v>
      </c>
      <c r="M161" s="14">
        <v>98371</v>
      </c>
      <c r="N161" s="14" t="s">
        <v>333</v>
      </c>
      <c r="O161" s="15">
        <v>3</v>
      </c>
      <c r="P161" s="15">
        <v>6</v>
      </c>
      <c r="Q161" s="15">
        <v>12</v>
      </c>
      <c r="S161" s="14">
        <v>98136</v>
      </c>
      <c r="T161" s="14" t="s">
        <v>10</v>
      </c>
      <c r="U161" s="15">
        <v>11</v>
      </c>
      <c r="V161" s="15">
        <v>13</v>
      </c>
      <c r="W161" s="15">
        <v>15</v>
      </c>
    </row>
    <row r="162" spans="1:23" x14ac:dyDescent="0.2">
      <c r="A162" s="14">
        <v>98262</v>
      </c>
      <c r="B162" s="14" t="s">
        <v>10</v>
      </c>
      <c r="C162" s="51"/>
      <c r="D162" s="51">
        <v>1</v>
      </c>
      <c r="E162" s="51"/>
      <c r="G162" s="14">
        <v>98406</v>
      </c>
      <c r="H162" s="14" t="s">
        <v>10</v>
      </c>
      <c r="I162" s="113">
        <v>0</v>
      </c>
      <c r="J162" s="113"/>
      <c r="K162" s="113">
        <v>9.5</v>
      </c>
      <c r="M162" s="14">
        <v>98372</v>
      </c>
      <c r="N162" s="14" t="s">
        <v>333</v>
      </c>
      <c r="O162" s="15">
        <v>9</v>
      </c>
      <c r="P162" s="15">
        <v>6</v>
      </c>
      <c r="Q162" s="15">
        <v>14</v>
      </c>
      <c r="S162" s="14">
        <v>98144</v>
      </c>
      <c r="T162" s="14" t="s">
        <v>333</v>
      </c>
      <c r="U162" s="15">
        <v>7</v>
      </c>
      <c r="V162" s="15">
        <v>9</v>
      </c>
      <c r="W162" s="15">
        <v>13</v>
      </c>
    </row>
    <row r="163" spans="1:23" x14ac:dyDescent="0.2">
      <c r="A163" s="14">
        <v>98264</v>
      </c>
      <c r="B163" s="14" t="s">
        <v>10</v>
      </c>
      <c r="C163" s="51">
        <v>4</v>
      </c>
      <c r="D163" s="51">
        <v>3</v>
      </c>
      <c r="E163" s="51">
        <v>2</v>
      </c>
      <c r="G163" s="14">
        <v>98407</v>
      </c>
      <c r="H163" s="14" t="s">
        <v>10</v>
      </c>
      <c r="I163" s="113"/>
      <c r="J163" s="113"/>
      <c r="K163" s="113">
        <v>18</v>
      </c>
      <c r="M163" s="14">
        <v>98373</v>
      </c>
      <c r="N163" s="14" t="s">
        <v>333</v>
      </c>
      <c r="O163" s="15">
        <v>5</v>
      </c>
      <c r="P163" s="15">
        <v>6</v>
      </c>
      <c r="Q163" s="15">
        <v>11</v>
      </c>
      <c r="S163" s="14">
        <v>98144</v>
      </c>
      <c r="T163" s="14" t="s">
        <v>10</v>
      </c>
      <c r="U163" s="15">
        <v>24</v>
      </c>
      <c r="V163" s="15">
        <v>29</v>
      </c>
      <c r="W163" s="15">
        <v>33</v>
      </c>
    </row>
    <row r="164" spans="1:23" x14ac:dyDescent="0.2">
      <c r="A164" s="14">
        <v>98266</v>
      </c>
      <c r="B164" s="14" t="s">
        <v>10</v>
      </c>
      <c r="C164" s="51"/>
      <c r="D164" s="51"/>
      <c r="E164" s="51">
        <v>2</v>
      </c>
      <c r="G164" s="14">
        <v>98408</v>
      </c>
      <c r="H164" s="14" t="s">
        <v>10</v>
      </c>
      <c r="I164" s="113"/>
      <c r="J164" s="113">
        <v>10</v>
      </c>
      <c r="K164" s="113">
        <v>7</v>
      </c>
      <c r="M164" s="14">
        <v>98374</v>
      </c>
      <c r="N164" s="14" t="s">
        <v>333</v>
      </c>
      <c r="O164" s="15">
        <v>5</v>
      </c>
      <c r="P164" s="15">
        <v>2</v>
      </c>
      <c r="Q164" s="15">
        <v>6</v>
      </c>
      <c r="S164" s="14">
        <v>98146</v>
      </c>
      <c r="T164" s="14" t="s">
        <v>333</v>
      </c>
      <c r="U164" s="15">
        <v>3</v>
      </c>
      <c r="V164" s="15">
        <v>1</v>
      </c>
      <c r="W164" s="15">
        <v>3</v>
      </c>
    </row>
    <row r="165" spans="1:23" x14ac:dyDescent="0.2">
      <c r="A165" s="14">
        <v>98267</v>
      </c>
      <c r="B165" s="14" t="s">
        <v>10</v>
      </c>
      <c r="C165" s="51"/>
      <c r="D165" s="51"/>
      <c r="E165" s="51">
        <v>1</v>
      </c>
      <c r="G165" s="14">
        <v>98418</v>
      </c>
      <c r="H165" s="14" t="s">
        <v>333</v>
      </c>
      <c r="I165" s="113">
        <v>6</v>
      </c>
      <c r="J165" s="113"/>
      <c r="K165" s="113"/>
      <c r="M165" s="14">
        <v>98375</v>
      </c>
      <c r="N165" s="14" t="s">
        <v>333</v>
      </c>
      <c r="O165" s="15"/>
      <c r="P165" s="15">
        <v>3</v>
      </c>
      <c r="Q165" s="15">
        <v>3</v>
      </c>
      <c r="S165" s="14">
        <v>98146</v>
      </c>
      <c r="T165" s="14" t="s">
        <v>10</v>
      </c>
      <c r="U165" s="15">
        <v>24</v>
      </c>
      <c r="V165" s="15">
        <v>15</v>
      </c>
      <c r="W165" s="15">
        <v>26</v>
      </c>
    </row>
    <row r="166" spans="1:23" x14ac:dyDescent="0.2">
      <c r="A166" s="14">
        <v>98270</v>
      </c>
      <c r="B166" s="14" t="s">
        <v>10</v>
      </c>
      <c r="C166" s="51"/>
      <c r="D166" s="51">
        <v>4</v>
      </c>
      <c r="E166" s="51">
        <v>3</v>
      </c>
      <c r="G166" s="14">
        <v>98418</v>
      </c>
      <c r="H166" s="14" t="s">
        <v>10</v>
      </c>
      <c r="I166" s="113">
        <v>12</v>
      </c>
      <c r="J166" s="113">
        <v>38</v>
      </c>
      <c r="K166" s="113"/>
      <c r="M166" s="14">
        <v>98380</v>
      </c>
      <c r="N166" s="14" t="s">
        <v>333</v>
      </c>
      <c r="O166" s="15"/>
      <c r="P166" s="15"/>
      <c r="Q166" s="15">
        <v>1</v>
      </c>
      <c r="S166" s="14">
        <v>98148</v>
      </c>
      <c r="T166" s="14" t="s">
        <v>333</v>
      </c>
      <c r="U166" s="15">
        <v>1</v>
      </c>
      <c r="V166" s="15">
        <v>1</v>
      </c>
      <c r="W166" s="15">
        <v>8</v>
      </c>
    </row>
    <row r="167" spans="1:23" x14ac:dyDescent="0.2">
      <c r="A167" s="14">
        <v>98271</v>
      </c>
      <c r="B167" s="14" t="s">
        <v>10</v>
      </c>
      <c r="C167" s="51"/>
      <c r="D167" s="51">
        <v>2</v>
      </c>
      <c r="E167" s="51"/>
      <c r="G167" s="14">
        <v>98422</v>
      </c>
      <c r="H167" s="14" t="s">
        <v>10</v>
      </c>
      <c r="I167" s="113"/>
      <c r="J167" s="113"/>
      <c r="K167" s="113">
        <v>2</v>
      </c>
      <c r="M167" s="14">
        <v>98383</v>
      </c>
      <c r="N167" s="14" t="s">
        <v>333</v>
      </c>
      <c r="O167" s="15">
        <v>5</v>
      </c>
      <c r="P167" s="15">
        <v>3</v>
      </c>
      <c r="Q167" s="15">
        <v>9</v>
      </c>
      <c r="S167" s="14">
        <v>98148</v>
      </c>
      <c r="T167" s="14" t="s">
        <v>10</v>
      </c>
      <c r="U167" s="15">
        <v>60</v>
      </c>
      <c r="V167" s="15">
        <v>44</v>
      </c>
      <c r="W167" s="15">
        <v>53</v>
      </c>
    </row>
    <row r="168" spans="1:23" x14ac:dyDescent="0.2">
      <c r="A168" s="14">
        <v>98273</v>
      </c>
      <c r="B168" s="14" t="s">
        <v>10</v>
      </c>
      <c r="C168" s="51">
        <v>2</v>
      </c>
      <c r="D168" s="51">
        <v>2</v>
      </c>
      <c r="E168" s="51">
        <v>1</v>
      </c>
      <c r="G168" s="14">
        <v>98424</v>
      </c>
      <c r="H168" s="14" t="s">
        <v>10</v>
      </c>
      <c r="I168" s="113"/>
      <c r="J168" s="113">
        <v>0</v>
      </c>
      <c r="K168" s="113"/>
      <c r="M168" s="14">
        <v>98387</v>
      </c>
      <c r="N168" s="14" t="s">
        <v>333</v>
      </c>
      <c r="O168" s="15">
        <v>5</v>
      </c>
      <c r="P168" s="15">
        <v>2</v>
      </c>
      <c r="Q168" s="15">
        <v>3</v>
      </c>
      <c r="S168" s="14">
        <v>98155</v>
      </c>
      <c r="T168" s="14" t="s">
        <v>333</v>
      </c>
      <c r="U168" s="15">
        <v>2</v>
      </c>
      <c r="V168" s="15">
        <v>3</v>
      </c>
      <c r="W168" s="15">
        <v>4</v>
      </c>
    </row>
    <row r="169" spans="1:23" x14ac:dyDescent="0.2">
      <c r="A169" s="14">
        <v>98274</v>
      </c>
      <c r="B169" s="14" t="s">
        <v>10</v>
      </c>
      <c r="C169" s="51">
        <v>2</v>
      </c>
      <c r="D169" s="51">
        <v>2</v>
      </c>
      <c r="E169" s="51">
        <v>1</v>
      </c>
      <c r="G169" s="14">
        <v>98439</v>
      </c>
      <c r="H169" s="14" t="s">
        <v>10</v>
      </c>
      <c r="I169" s="113">
        <v>1</v>
      </c>
      <c r="J169" s="113">
        <v>12</v>
      </c>
      <c r="K169" s="113">
        <v>0.66666666666666663</v>
      </c>
      <c r="M169" s="14">
        <v>98388</v>
      </c>
      <c r="N169" s="14" t="s">
        <v>333</v>
      </c>
      <c r="O169" s="15"/>
      <c r="P169" s="15"/>
      <c r="Q169" s="15">
        <v>1</v>
      </c>
      <c r="S169" s="14">
        <v>98155</v>
      </c>
      <c r="T169" s="14" t="s">
        <v>10</v>
      </c>
      <c r="U169" s="15">
        <v>27</v>
      </c>
      <c r="V169" s="15">
        <v>20</v>
      </c>
      <c r="W169" s="15">
        <v>30</v>
      </c>
    </row>
    <row r="170" spans="1:23" x14ac:dyDescent="0.2">
      <c r="A170" s="14">
        <v>98277</v>
      </c>
      <c r="B170" s="14" t="s">
        <v>10</v>
      </c>
      <c r="C170" s="51">
        <v>3</v>
      </c>
      <c r="D170" s="51">
        <v>11</v>
      </c>
      <c r="E170" s="51">
        <v>14</v>
      </c>
      <c r="G170" s="14">
        <v>98444</v>
      </c>
      <c r="H170" s="14" t="s">
        <v>10</v>
      </c>
      <c r="I170" s="113"/>
      <c r="J170" s="113">
        <v>1.5</v>
      </c>
      <c r="K170" s="113"/>
      <c r="M170" s="14">
        <v>98390</v>
      </c>
      <c r="N170" s="14" t="s">
        <v>333</v>
      </c>
      <c r="O170" s="15">
        <v>8</v>
      </c>
      <c r="P170" s="15">
        <v>11</v>
      </c>
      <c r="Q170" s="15">
        <v>21</v>
      </c>
      <c r="S170" s="14">
        <v>98166</v>
      </c>
      <c r="T170" s="14" t="s">
        <v>333</v>
      </c>
      <c r="U170" s="15">
        <v>5</v>
      </c>
      <c r="V170" s="15">
        <v>5</v>
      </c>
      <c r="W170" s="15">
        <v>10</v>
      </c>
    </row>
    <row r="171" spans="1:23" x14ac:dyDescent="0.2">
      <c r="A171" s="14">
        <v>98284</v>
      </c>
      <c r="B171" s="14" t="s">
        <v>10</v>
      </c>
      <c r="C171" s="51">
        <v>7</v>
      </c>
      <c r="D171" s="51">
        <v>4</v>
      </c>
      <c r="E171" s="51">
        <v>9</v>
      </c>
      <c r="G171" s="14">
        <v>98445</v>
      </c>
      <c r="H171" s="14" t="s">
        <v>10</v>
      </c>
      <c r="I171" s="113">
        <v>2</v>
      </c>
      <c r="J171" s="113"/>
      <c r="K171" s="113"/>
      <c r="M171" s="14">
        <v>98391</v>
      </c>
      <c r="N171" s="14" t="s">
        <v>333</v>
      </c>
      <c r="O171" s="15">
        <v>12</v>
      </c>
      <c r="P171" s="15">
        <v>13</v>
      </c>
      <c r="Q171" s="15">
        <v>8</v>
      </c>
      <c r="S171" s="14">
        <v>98166</v>
      </c>
      <c r="T171" s="14" t="s">
        <v>10</v>
      </c>
      <c r="U171" s="15">
        <v>45</v>
      </c>
      <c r="V171" s="15">
        <v>42</v>
      </c>
      <c r="W171" s="15">
        <v>50</v>
      </c>
    </row>
    <row r="172" spans="1:23" x14ac:dyDescent="0.2">
      <c r="A172" s="14">
        <v>98310</v>
      </c>
      <c r="B172" s="14" t="s">
        <v>10</v>
      </c>
      <c r="C172" s="51">
        <v>9</v>
      </c>
      <c r="D172" s="51">
        <v>2</v>
      </c>
      <c r="E172" s="51">
        <v>7</v>
      </c>
      <c r="G172" s="14">
        <v>98446</v>
      </c>
      <c r="H172" s="14" t="s">
        <v>10</v>
      </c>
      <c r="I172" s="113">
        <v>0</v>
      </c>
      <c r="J172" s="113">
        <v>0</v>
      </c>
      <c r="K172" s="113"/>
      <c r="M172" s="14">
        <v>98392</v>
      </c>
      <c r="N172" s="14" t="s">
        <v>333</v>
      </c>
      <c r="O172" s="15">
        <v>1</v>
      </c>
      <c r="P172" s="15">
        <v>1</v>
      </c>
      <c r="Q172" s="15"/>
      <c r="S172" s="14">
        <v>98168</v>
      </c>
      <c r="T172" s="14" t="s">
        <v>333</v>
      </c>
      <c r="U172" s="15">
        <v>3</v>
      </c>
      <c r="V172" s="15">
        <v>7</v>
      </c>
      <c r="W172" s="15">
        <v>9</v>
      </c>
    </row>
    <row r="173" spans="1:23" x14ac:dyDescent="0.2">
      <c r="A173" s="14">
        <v>98311</v>
      </c>
      <c r="B173" s="14" t="s">
        <v>10</v>
      </c>
      <c r="C173" s="51">
        <v>5</v>
      </c>
      <c r="D173" s="51"/>
      <c r="E173" s="51">
        <v>11</v>
      </c>
      <c r="G173" s="14">
        <v>98467</v>
      </c>
      <c r="H173" s="14" t="s">
        <v>10</v>
      </c>
      <c r="I173" s="113">
        <v>3</v>
      </c>
      <c r="J173" s="113"/>
      <c r="K173" s="113"/>
      <c r="M173" s="14">
        <v>98402</v>
      </c>
      <c r="N173" s="14" t="s">
        <v>333</v>
      </c>
      <c r="O173" s="15">
        <v>3</v>
      </c>
      <c r="P173" s="15">
        <v>3</v>
      </c>
      <c r="Q173" s="15">
        <v>4</v>
      </c>
      <c r="S173" s="14">
        <v>98168</v>
      </c>
      <c r="T173" s="14" t="s">
        <v>10</v>
      </c>
      <c r="U173" s="15">
        <v>35</v>
      </c>
      <c r="V173" s="15">
        <v>34</v>
      </c>
      <c r="W173" s="15">
        <v>49</v>
      </c>
    </row>
    <row r="174" spans="1:23" x14ac:dyDescent="0.2">
      <c r="A174" s="14">
        <v>98312</v>
      </c>
      <c r="B174" s="14" t="s">
        <v>10</v>
      </c>
      <c r="C174" s="51">
        <v>6</v>
      </c>
      <c r="D174" s="51">
        <v>4</v>
      </c>
      <c r="E174" s="51">
        <v>9</v>
      </c>
      <c r="G174" s="14">
        <v>98498</v>
      </c>
      <c r="H174" s="14" t="s">
        <v>10</v>
      </c>
      <c r="I174" s="113">
        <v>0</v>
      </c>
      <c r="J174" s="113">
        <v>0</v>
      </c>
      <c r="K174" s="113">
        <v>0.5</v>
      </c>
      <c r="M174" s="14">
        <v>98403</v>
      </c>
      <c r="N174" s="14" t="s">
        <v>333</v>
      </c>
      <c r="O174" s="15">
        <v>2</v>
      </c>
      <c r="P174" s="15">
        <v>2</v>
      </c>
      <c r="Q174" s="15">
        <v>3</v>
      </c>
      <c r="S174" s="14">
        <v>98177</v>
      </c>
      <c r="T174" s="14" t="s">
        <v>333</v>
      </c>
      <c r="U174" s="15"/>
      <c r="V174" s="15"/>
      <c r="W174" s="15">
        <v>2</v>
      </c>
    </row>
    <row r="175" spans="1:23" x14ac:dyDescent="0.2">
      <c r="A175" s="14">
        <v>98321</v>
      </c>
      <c r="B175" s="14" t="s">
        <v>10</v>
      </c>
      <c r="C175" s="51">
        <v>2</v>
      </c>
      <c r="D175" s="51"/>
      <c r="E175" s="51">
        <v>3</v>
      </c>
      <c r="G175" s="97">
        <v>98499</v>
      </c>
      <c r="H175" s="97" t="s">
        <v>10</v>
      </c>
      <c r="I175" s="131">
        <v>5</v>
      </c>
      <c r="J175" s="131">
        <v>1</v>
      </c>
      <c r="K175" s="131">
        <v>1</v>
      </c>
      <c r="M175" s="14">
        <v>98404</v>
      </c>
      <c r="N175" s="14" t="s">
        <v>333</v>
      </c>
      <c r="O175" s="15">
        <v>9</v>
      </c>
      <c r="P175" s="15">
        <v>3</v>
      </c>
      <c r="Q175" s="15">
        <v>7</v>
      </c>
      <c r="S175" s="14">
        <v>98177</v>
      </c>
      <c r="T175" s="14" t="s">
        <v>10</v>
      </c>
      <c r="U175" s="15">
        <v>14</v>
      </c>
      <c r="V175" s="15">
        <v>15</v>
      </c>
      <c r="W175" s="15">
        <v>29</v>
      </c>
    </row>
    <row r="176" spans="1:23" x14ac:dyDescent="0.2">
      <c r="A176" s="14">
        <v>98327</v>
      </c>
      <c r="B176" s="14" t="s">
        <v>10</v>
      </c>
      <c r="C176" s="51"/>
      <c r="D176" s="51">
        <v>4</v>
      </c>
      <c r="E176" s="51"/>
      <c r="G176" s="14">
        <v>98501</v>
      </c>
      <c r="H176" s="14" t="s">
        <v>10</v>
      </c>
      <c r="I176" s="113">
        <v>0.8</v>
      </c>
      <c r="J176" s="113">
        <v>1</v>
      </c>
      <c r="K176" s="113">
        <v>3.25</v>
      </c>
      <c r="M176" s="14">
        <v>98405</v>
      </c>
      <c r="N176" s="14" t="s">
        <v>333</v>
      </c>
      <c r="O176" s="15">
        <v>3</v>
      </c>
      <c r="P176" s="15">
        <v>4</v>
      </c>
      <c r="Q176" s="15">
        <v>4</v>
      </c>
      <c r="S176" s="14">
        <v>98178</v>
      </c>
      <c r="T176" s="14" t="s">
        <v>333</v>
      </c>
      <c r="U176" s="15">
        <v>1</v>
      </c>
      <c r="V176" s="15">
        <v>1</v>
      </c>
      <c r="W176" s="15">
        <v>2</v>
      </c>
    </row>
    <row r="177" spans="1:23" x14ac:dyDescent="0.2">
      <c r="A177" s="14">
        <v>98328</v>
      </c>
      <c r="B177" s="14" t="s">
        <v>10</v>
      </c>
      <c r="C177" s="51">
        <v>1</v>
      </c>
      <c r="D177" s="51"/>
      <c r="E177" s="51"/>
      <c r="G177" s="14">
        <v>98502</v>
      </c>
      <c r="H177" s="14" t="s">
        <v>10</v>
      </c>
      <c r="I177" s="113">
        <v>5</v>
      </c>
      <c r="J177" s="113">
        <v>28.666666666666668</v>
      </c>
      <c r="K177" s="113">
        <v>5.166666666666667</v>
      </c>
      <c r="M177" s="14">
        <v>98406</v>
      </c>
      <c r="N177" s="14" t="s">
        <v>333</v>
      </c>
      <c r="O177" s="15">
        <v>1</v>
      </c>
      <c r="P177" s="15">
        <v>2</v>
      </c>
      <c r="Q177" s="15">
        <v>1</v>
      </c>
      <c r="S177" s="14">
        <v>98178</v>
      </c>
      <c r="T177" s="14" t="s">
        <v>10</v>
      </c>
      <c r="U177" s="15">
        <v>28</v>
      </c>
      <c r="V177" s="15">
        <v>13</v>
      </c>
      <c r="W177" s="15">
        <v>33</v>
      </c>
    </row>
    <row r="178" spans="1:23" x14ac:dyDescent="0.2">
      <c r="A178" s="14">
        <v>98332</v>
      </c>
      <c r="B178" s="14" t="s">
        <v>10</v>
      </c>
      <c r="C178" s="51"/>
      <c r="D178" s="51"/>
      <c r="E178" s="51">
        <v>2</v>
      </c>
      <c r="G178" s="14">
        <v>98503</v>
      </c>
      <c r="H178" s="14" t="s">
        <v>333</v>
      </c>
      <c r="I178" s="113"/>
      <c r="J178" s="113"/>
      <c r="K178" s="113">
        <v>0</v>
      </c>
      <c r="M178" s="14">
        <v>98407</v>
      </c>
      <c r="N178" s="14" t="s">
        <v>333</v>
      </c>
      <c r="O178" s="15">
        <v>2</v>
      </c>
      <c r="P178" s="15">
        <v>2</v>
      </c>
      <c r="Q178" s="15">
        <v>4</v>
      </c>
      <c r="S178" s="14">
        <v>98188</v>
      </c>
      <c r="T178" s="14" t="s">
        <v>333</v>
      </c>
      <c r="U178" s="15">
        <v>11</v>
      </c>
      <c r="V178" s="15">
        <v>13</v>
      </c>
      <c r="W178" s="15">
        <v>10</v>
      </c>
    </row>
    <row r="179" spans="1:23" x14ac:dyDescent="0.2">
      <c r="A179" s="14">
        <v>98335</v>
      </c>
      <c r="B179" s="14" t="s">
        <v>10</v>
      </c>
      <c r="C179" s="51"/>
      <c r="D179" s="51">
        <v>1</v>
      </c>
      <c r="E179" s="51"/>
      <c r="G179" s="14">
        <v>98503</v>
      </c>
      <c r="H179" s="14" t="s">
        <v>10</v>
      </c>
      <c r="I179" s="113">
        <v>0</v>
      </c>
      <c r="J179" s="113">
        <v>2.6666666666666665</v>
      </c>
      <c r="K179" s="113">
        <v>0</v>
      </c>
      <c r="M179" s="14">
        <v>98408</v>
      </c>
      <c r="N179" s="14" t="s">
        <v>333</v>
      </c>
      <c r="O179" s="15">
        <v>2</v>
      </c>
      <c r="P179" s="15">
        <v>2</v>
      </c>
      <c r="Q179" s="15">
        <v>1</v>
      </c>
      <c r="S179" s="14">
        <v>98188</v>
      </c>
      <c r="T179" s="14" t="s">
        <v>10</v>
      </c>
      <c r="U179" s="15">
        <v>167</v>
      </c>
      <c r="V179" s="15">
        <v>82</v>
      </c>
      <c r="W179" s="15">
        <v>149</v>
      </c>
    </row>
    <row r="180" spans="1:23" x14ac:dyDescent="0.2">
      <c r="A180" s="14">
        <v>98337</v>
      </c>
      <c r="B180" s="14" t="s">
        <v>10</v>
      </c>
      <c r="C180" s="51">
        <v>2</v>
      </c>
      <c r="D180" s="51">
        <v>3</v>
      </c>
      <c r="E180" s="51"/>
      <c r="G180" s="14">
        <v>98506</v>
      </c>
      <c r="H180" s="14" t="s">
        <v>10</v>
      </c>
      <c r="I180" s="113">
        <v>1.5</v>
      </c>
      <c r="J180" s="113"/>
      <c r="K180" s="113"/>
      <c r="M180" s="14">
        <v>98409</v>
      </c>
      <c r="N180" s="14" t="s">
        <v>333</v>
      </c>
      <c r="O180" s="15">
        <v>11</v>
      </c>
      <c r="P180" s="15">
        <v>4</v>
      </c>
      <c r="Q180" s="15">
        <v>11</v>
      </c>
      <c r="S180" s="14">
        <v>98198</v>
      </c>
      <c r="T180" s="14" t="s">
        <v>333</v>
      </c>
      <c r="U180" s="15">
        <v>6</v>
      </c>
      <c r="V180" s="15">
        <v>8</v>
      </c>
      <c r="W180" s="15">
        <v>11</v>
      </c>
    </row>
    <row r="181" spans="1:23" x14ac:dyDescent="0.2">
      <c r="A181" s="14">
        <v>98338</v>
      </c>
      <c r="B181" s="14" t="s">
        <v>10</v>
      </c>
      <c r="C181" s="51">
        <v>3</v>
      </c>
      <c r="D181" s="51">
        <v>2</v>
      </c>
      <c r="E181" s="51">
        <v>1</v>
      </c>
      <c r="G181" s="14">
        <v>98512</v>
      </c>
      <c r="H181" s="14" t="s">
        <v>333</v>
      </c>
      <c r="I181" s="113">
        <v>8</v>
      </c>
      <c r="J181" s="113"/>
      <c r="K181" s="113"/>
      <c r="M181" s="14">
        <v>98418</v>
      </c>
      <c r="N181" s="14" t="s">
        <v>333</v>
      </c>
      <c r="O181" s="15">
        <v>1</v>
      </c>
      <c r="P181" s="15">
        <v>3</v>
      </c>
      <c r="Q181" s="15"/>
      <c r="S181" s="14">
        <v>98198</v>
      </c>
      <c r="T181" s="14" t="s">
        <v>10</v>
      </c>
      <c r="U181" s="15">
        <v>256</v>
      </c>
      <c r="V181" s="15">
        <v>173</v>
      </c>
      <c r="W181" s="15">
        <v>206</v>
      </c>
    </row>
    <row r="182" spans="1:23" x14ac:dyDescent="0.2">
      <c r="A182" s="14">
        <v>98346</v>
      </c>
      <c r="B182" s="14" t="s">
        <v>10</v>
      </c>
      <c r="C182" s="51">
        <v>4</v>
      </c>
      <c r="D182" s="51">
        <v>5</v>
      </c>
      <c r="E182" s="51">
        <v>2</v>
      </c>
      <c r="G182" s="14">
        <v>98512</v>
      </c>
      <c r="H182" s="14" t="s">
        <v>10</v>
      </c>
      <c r="I182" s="113">
        <v>8</v>
      </c>
      <c r="J182" s="113"/>
      <c r="K182" s="113">
        <v>0</v>
      </c>
      <c r="M182" s="14">
        <v>98421</v>
      </c>
      <c r="N182" s="14" t="s">
        <v>333</v>
      </c>
      <c r="O182" s="15">
        <v>5</v>
      </c>
      <c r="P182" s="15">
        <v>6</v>
      </c>
      <c r="Q182" s="15">
        <v>11</v>
      </c>
      <c r="S182" s="14">
        <v>98199</v>
      </c>
      <c r="T182" s="14" t="s">
        <v>333</v>
      </c>
      <c r="U182" s="15">
        <v>2</v>
      </c>
      <c r="V182" s="15">
        <v>1</v>
      </c>
      <c r="W182" s="15">
        <v>1</v>
      </c>
    </row>
    <row r="183" spans="1:23" x14ac:dyDescent="0.2">
      <c r="A183" s="14">
        <v>98354</v>
      </c>
      <c r="B183" s="14" t="s">
        <v>10</v>
      </c>
      <c r="C183" s="51"/>
      <c r="D183" s="51">
        <v>1</v>
      </c>
      <c r="E183" s="51">
        <v>1</v>
      </c>
      <c r="G183" s="14">
        <v>98513</v>
      </c>
      <c r="H183" s="14" t="s">
        <v>333</v>
      </c>
      <c r="I183" s="113">
        <v>0</v>
      </c>
      <c r="J183" s="113"/>
      <c r="K183" s="113"/>
      <c r="M183" s="14">
        <v>98422</v>
      </c>
      <c r="N183" s="14" t="s">
        <v>333</v>
      </c>
      <c r="O183" s="15">
        <v>2</v>
      </c>
      <c r="P183" s="15">
        <v>2</v>
      </c>
      <c r="Q183" s="15">
        <v>2</v>
      </c>
      <c r="S183" s="14">
        <v>98199</v>
      </c>
      <c r="T183" s="14" t="s">
        <v>10</v>
      </c>
      <c r="U183" s="15">
        <v>12</v>
      </c>
      <c r="V183" s="15">
        <v>11</v>
      </c>
      <c r="W183" s="15">
        <v>15</v>
      </c>
    </row>
    <row r="184" spans="1:23" x14ac:dyDescent="0.2">
      <c r="A184" s="14">
        <v>98359</v>
      </c>
      <c r="B184" s="14" t="s">
        <v>10</v>
      </c>
      <c r="C184" s="51">
        <v>1</v>
      </c>
      <c r="D184" s="51">
        <v>1</v>
      </c>
      <c r="E184" s="51">
        <v>1</v>
      </c>
      <c r="G184" s="14">
        <v>98513</v>
      </c>
      <c r="H184" s="14" t="s">
        <v>10</v>
      </c>
      <c r="I184" s="113">
        <v>0</v>
      </c>
      <c r="J184" s="113">
        <v>14.25</v>
      </c>
      <c r="K184" s="113">
        <v>0</v>
      </c>
      <c r="M184" s="14">
        <v>98424</v>
      </c>
      <c r="N184" s="14" t="s">
        <v>333</v>
      </c>
      <c r="O184" s="15">
        <v>4</v>
      </c>
      <c r="P184" s="15">
        <v>9</v>
      </c>
      <c r="Q184" s="15">
        <v>11</v>
      </c>
      <c r="S184" s="14">
        <v>98201</v>
      </c>
      <c r="T184" s="14" t="s">
        <v>333</v>
      </c>
      <c r="U184" s="15">
        <v>5</v>
      </c>
      <c r="V184" s="15">
        <v>4</v>
      </c>
      <c r="W184" s="15">
        <v>6</v>
      </c>
    </row>
    <row r="185" spans="1:23" x14ac:dyDescent="0.2">
      <c r="A185" s="14">
        <v>98360</v>
      </c>
      <c r="B185" s="14" t="s">
        <v>10</v>
      </c>
      <c r="C185" s="51">
        <v>1</v>
      </c>
      <c r="D185" s="51">
        <v>2</v>
      </c>
      <c r="E185" s="51">
        <v>2</v>
      </c>
      <c r="G185" s="14">
        <v>98516</v>
      </c>
      <c r="H185" s="14" t="s">
        <v>10</v>
      </c>
      <c r="I185" s="113">
        <v>8.1999999999999993</v>
      </c>
      <c r="J185" s="113">
        <v>0</v>
      </c>
      <c r="K185" s="113">
        <v>0</v>
      </c>
      <c r="M185" s="14">
        <v>98433</v>
      </c>
      <c r="N185" s="14" t="s">
        <v>333</v>
      </c>
      <c r="O185" s="15">
        <v>5</v>
      </c>
      <c r="P185" s="15">
        <v>8</v>
      </c>
      <c r="Q185" s="15">
        <v>1</v>
      </c>
      <c r="S185" s="14">
        <v>98201</v>
      </c>
      <c r="T185" s="14" t="s">
        <v>10</v>
      </c>
      <c r="U185" s="15">
        <v>25</v>
      </c>
      <c r="V185" s="15">
        <v>25</v>
      </c>
      <c r="W185" s="15">
        <v>37</v>
      </c>
    </row>
    <row r="186" spans="1:23" x14ac:dyDescent="0.2">
      <c r="A186" s="14">
        <v>98366</v>
      </c>
      <c r="B186" s="14" t="s">
        <v>10</v>
      </c>
      <c r="C186" s="51"/>
      <c r="D186" s="51">
        <v>3</v>
      </c>
      <c r="E186" s="51">
        <v>11</v>
      </c>
      <c r="G186" s="14">
        <v>98530</v>
      </c>
      <c r="H186" s="14" t="s">
        <v>10</v>
      </c>
      <c r="I186" s="113"/>
      <c r="J186" s="113"/>
      <c r="K186" s="113">
        <v>0</v>
      </c>
      <c r="M186" s="14">
        <v>98438</v>
      </c>
      <c r="N186" s="14" t="s">
        <v>333</v>
      </c>
      <c r="O186" s="15">
        <v>1</v>
      </c>
      <c r="P186" s="15"/>
      <c r="Q186" s="15"/>
      <c r="S186" s="14">
        <v>98203</v>
      </c>
      <c r="T186" s="14" t="s">
        <v>333</v>
      </c>
      <c r="U186" s="15">
        <v>3</v>
      </c>
      <c r="V186" s="15">
        <v>2</v>
      </c>
      <c r="W186" s="15">
        <v>9</v>
      </c>
    </row>
    <row r="187" spans="1:23" x14ac:dyDescent="0.2">
      <c r="A187" s="14">
        <v>98367</v>
      </c>
      <c r="B187" s="14" t="s">
        <v>10</v>
      </c>
      <c r="C187" s="51">
        <v>10</v>
      </c>
      <c r="D187" s="51">
        <v>4</v>
      </c>
      <c r="E187" s="51">
        <v>2</v>
      </c>
      <c r="G187" s="14">
        <v>98576</v>
      </c>
      <c r="H187" s="14" t="s">
        <v>10</v>
      </c>
      <c r="I187" s="113"/>
      <c r="J187" s="113">
        <v>13.333333333333334</v>
      </c>
      <c r="K187" s="113">
        <v>0</v>
      </c>
      <c r="M187" s="14">
        <v>98439</v>
      </c>
      <c r="N187" s="14" t="s">
        <v>333</v>
      </c>
      <c r="O187" s="15"/>
      <c r="P187" s="15">
        <v>2</v>
      </c>
      <c r="Q187" s="15">
        <v>1</v>
      </c>
      <c r="S187" s="14">
        <v>98203</v>
      </c>
      <c r="T187" s="14" t="s">
        <v>10</v>
      </c>
      <c r="U187" s="15">
        <v>36</v>
      </c>
      <c r="V187" s="15">
        <v>14</v>
      </c>
      <c r="W187" s="15">
        <v>46</v>
      </c>
    </row>
    <row r="188" spans="1:23" x14ac:dyDescent="0.2">
      <c r="A188" s="14">
        <v>98370</v>
      </c>
      <c r="B188" s="14" t="s">
        <v>10</v>
      </c>
      <c r="C188" s="51">
        <v>6</v>
      </c>
      <c r="D188" s="51">
        <v>6</v>
      </c>
      <c r="E188" s="51">
        <v>4</v>
      </c>
      <c r="G188" s="14">
        <v>98579</v>
      </c>
      <c r="H188" s="14" t="s">
        <v>10</v>
      </c>
      <c r="I188" s="113">
        <v>0</v>
      </c>
      <c r="J188" s="113">
        <v>2</v>
      </c>
      <c r="K188" s="113">
        <v>16</v>
      </c>
      <c r="M188" s="14">
        <v>98444</v>
      </c>
      <c r="N188" s="14" t="s">
        <v>333</v>
      </c>
      <c r="O188" s="15">
        <v>5</v>
      </c>
      <c r="P188" s="15">
        <v>6</v>
      </c>
      <c r="Q188" s="15">
        <v>3</v>
      </c>
      <c r="S188" s="14">
        <v>98204</v>
      </c>
      <c r="T188" s="14" t="s">
        <v>333</v>
      </c>
      <c r="U188" s="15">
        <v>8</v>
      </c>
      <c r="V188" s="15">
        <v>2</v>
      </c>
      <c r="W188" s="15">
        <v>13</v>
      </c>
    </row>
    <row r="189" spans="1:23" x14ac:dyDescent="0.2">
      <c r="A189" s="14">
        <v>98371</v>
      </c>
      <c r="B189" s="14" t="s">
        <v>10</v>
      </c>
      <c r="C189" s="51">
        <v>4</v>
      </c>
      <c r="D189" s="51">
        <v>2</v>
      </c>
      <c r="E189" s="51">
        <v>4</v>
      </c>
      <c r="G189" s="14">
        <v>98580</v>
      </c>
      <c r="H189" s="14" t="s">
        <v>10</v>
      </c>
      <c r="I189" s="113"/>
      <c r="J189" s="113">
        <v>0</v>
      </c>
      <c r="K189" s="113"/>
      <c r="M189" s="14">
        <v>98445</v>
      </c>
      <c r="N189" s="14" t="s">
        <v>333</v>
      </c>
      <c r="O189" s="15">
        <v>1</v>
      </c>
      <c r="P189" s="15">
        <v>1</v>
      </c>
      <c r="Q189" s="15">
        <v>1</v>
      </c>
      <c r="S189" s="14">
        <v>98204</v>
      </c>
      <c r="T189" s="14" t="s">
        <v>10</v>
      </c>
      <c r="U189" s="15">
        <v>27</v>
      </c>
      <c r="V189" s="15">
        <v>12</v>
      </c>
      <c r="W189" s="15">
        <v>23</v>
      </c>
    </row>
    <row r="190" spans="1:23" x14ac:dyDescent="0.2">
      <c r="A190" s="14">
        <v>98372</v>
      </c>
      <c r="B190" s="14" t="s">
        <v>10</v>
      </c>
      <c r="C190" s="51">
        <v>4</v>
      </c>
      <c r="D190" s="51">
        <v>5</v>
      </c>
      <c r="E190" s="51">
        <v>9</v>
      </c>
      <c r="G190" s="14">
        <v>98589</v>
      </c>
      <c r="H190" s="14" t="s">
        <v>10</v>
      </c>
      <c r="I190" s="113"/>
      <c r="J190" s="113">
        <v>0</v>
      </c>
      <c r="K190" s="113"/>
      <c r="M190" s="14">
        <v>98446</v>
      </c>
      <c r="N190" s="14" t="s">
        <v>333</v>
      </c>
      <c r="O190" s="15">
        <v>1</v>
      </c>
      <c r="P190" s="15">
        <v>1</v>
      </c>
      <c r="Q190" s="15">
        <v>1</v>
      </c>
      <c r="S190" s="14">
        <v>98208</v>
      </c>
      <c r="T190" s="14" t="s">
        <v>333</v>
      </c>
      <c r="U190" s="15">
        <v>1</v>
      </c>
      <c r="V190" s="15">
        <v>2</v>
      </c>
      <c r="W190" s="15">
        <v>4</v>
      </c>
    </row>
    <row r="191" spans="1:23" x14ac:dyDescent="0.2">
      <c r="A191" s="14">
        <v>98373</v>
      </c>
      <c r="B191" s="14" t="s">
        <v>10</v>
      </c>
      <c r="C191" s="51">
        <v>6</v>
      </c>
      <c r="D191" s="51">
        <v>8</v>
      </c>
      <c r="E191" s="51">
        <v>7</v>
      </c>
      <c r="G191" s="14">
        <v>98597</v>
      </c>
      <c r="H191" s="14" t="s">
        <v>10</v>
      </c>
      <c r="I191" s="113"/>
      <c r="J191" s="113">
        <v>13.4</v>
      </c>
      <c r="K191" s="113">
        <v>1.375</v>
      </c>
      <c r="M191" s="14">
        <v>98465</v>
      </c>
      <c r="N191" s="14" t="s">
        <v>333</v>
      </c>
      <c r="O191" s="15">
        <v>1</v>
      </c>
      <c r="P191" s="15"/>
      <c r="Q191" s="15">
        <v>1</v>
      </c>
      <c r="S191" s="14">
        <v>98208</v>
      </c>
      <c r="T191" s="14" t="s">
        <v>10</v>
      </c>
      <c r="U191" s="15">
        <v>33</v>
      </c>
      <c r="V191" s="15">
        <v>23</v>
      </c>
      <c r="W191" s="15">
        <v>44</v>
      </c>
    </row>
    <row r="192" spans="1:23" x14ac:dyDescent="0.2">
      <c r="A192" s="14">
        <v>98374</v>
      </c>
      <c r="B192" s="14" t="s">
        <v>10</v>
      </c>
      <c r="C192" s="51">
        <v>5</v>
      </c>
      <c r="D192" s="51">
        <v>9</v>
      </c>
      <c r="E192" s="51">
        <v>9</v>
      </c>
      <c r="G192" s="14">
        <v>98922</v>
      </c>
      <c r="H192" s="14" t="s">
        <v>10</v>
      </c>
      <c r="I192" s="113"/>
      <c r="J192" s="113"/>
      <c r="K192" s="113">
        <v>0.6</v>
      </c>
      <c r="M192" s="14">
        <v>98466</v>
      </c>
      <c r="N192" s="14" t="s">
        <v>333</v>
      </c>
      <c r="O192" s="15"/>
      <c r="P192" s="15">
        <v>2</v>
      </c>
      <c r="Q192" s="15">
        <v>2</v>
      </c>
      <c r="S192" s="14">
        <v>98220</v>
      </c>
      <c r="T192" s="14" t="s">
        <v>333</v>
      </c>
      <c r="U192" s="15"/>
      <c r="V192" s="15"/>
      <c r="W192" s="15">
        <v>1</v>
      </c>
    </row>
    <row r="193" spans="1:23" x14ac:dyDescent="0.2">
      <c r="A193" s="14">
        <v>98375</v>
      </c>
      <c r="B193" s="14" t="s">
        <v>10</v>
      </c>
      <c r="C193" s="51">
        <v>3</v>
      </c>
      <c r="D193" s="51">
        <v>6</v>
      </c>
      <c r="E193" s="51">
        <v>6</v>
      </c>
      <c r="G193" s="14">
        <v>98925</v>
      </c>
      <c r="H193" s="14" t="s">
        <v>10</v>
      </c>
      <c r="I193" s="113"/>
      <c r="J193" s="113"/>
      <c r="K193" s="113">
        <v>5</v>
      </c>
      <c r="M193" s="14">
        <v>98467</v>
      </c>
      <c r="N193" s="14" t="s">
        <v>333</v>
      </c>
      <c r="O193" s="15"/>
      <c r="P193" s="15">
        <v>1</v>
      </c>
      <c r="Q193" s="15"/>
      <c r="S193" s="14">
        <v>98220</v>
      </c>
      <c r="T193" s="14" t="s">
        <v>10</v>
      </c>
      <c r="U193" s="15">
        <v>4</v>
      </c>
      <c r="V193" s="15">
        <v>1</v>
      </c>
      <c r="W193" s="15">
        <v>1</v>
      </c>
    </row>
    <row r="194" spans="1:23" x14ac:dyDescent="0.2">
      <c r="A194" s="14">
        <v>98380</v>
      </c>
      <c r="B194" s="14" t="s">
        <v>10</v>
      </c>
      <c r="C194" s="51"/>
      <c r="D194" s="51">
        <v>2</v>
      </c>
      <c r="E194" s="51">
        <v>1</v>
      </c>
      <c r="G194" s="14">
        <v>98926</v>
      </c>
      <c r="H194" s="14" t="s">
        <v>333</v>
      </c>
      <c r="I194" s="113"/>
      <c r="J194" s="113"/>
      <c r="K194" s="113">
        <v>1</v>
      </c>
      <c r="M194" s="14">
        <v>98498</v>
      </c>
      <c r="N194" s="14" t="s">
        <v>333</v>
      </c>
      <c r="O194" s="15">
        <v>7</v>
      </c>
      <c r="P194" s="15">
        <v>4</v>
      </c>
      <c r="Q194" s="15">
        <v>5</v>
      </c>
      <c r="S194" s="14">
        <v>98221</v>
      </c>
      <c r="T194" s="14" t="s">
        <v>333</v>
      </c>
      <c r="U194" s="15">
        <v>9</v>
      </c>
      <c r="V194" s="15">
        <v>9</v>
      </c>
      <c r="W194" s="15">
        <v>9</v>
      </c>
    </row>
    <row r="195" spans="1:23" x14ac:dyDescent="0.2">
      <c r="A195" s="14">
        <v>98383</v>
      </c>
      <c r="B195" s="14" t="s">
        <v>10</v>
      </c>
      <c r="C195" s="51">
        <v>2</v>
      </c>
      <c r="D195" s="51">
        <v>1</v>
      </c>
      <c r="E195" s="51">
        <v>2</v>
      </c>
      <c r="G195" s="14">
        <v>98926</v>
      </c>
      <c r="H195" s="14" t="s">
        <v>10</v>
      </c>
      <c r="I195" s="113"/>
      <c r="J195" s="113"/>
      <c r="K195" s="113">
        <v>1.5</v>
      </c>
      <c r="M195" s="14">
        <v>98499</v>
      </c>
      <c r="N195" s="14" t="s">
        <v>333</v>
      </c>
      <c r="O195" s="15">
        <v>9</v>
      </c>
      <c r="P195" s="15">
        <v>4</v>
      </c>
      <c r="Q195" s="15">
        <v>13</v>
      </c>
      <c r="S195" s="14">
        <v>98221</v>
      </c>
      <c r="T195" s="14" t="s">
        <v>10</v>
      </c>
      <c r="U195" s="15">
        <v>36</v>
      </c>
      <c r="V195" s="15">
        <v>21</v>
      </c>
      <c r="W195" s="15">
        <v>42</v>
      </c>
    </row>
    <row r="196" spans="1:23" x14ac:dyDescent="0.2">
      <c r="A196" s="14">
        <v>98387</v>
      </c>
      <c r="B196" s="14" t="s">
        <v>10</v>
      </c>
      <c r="C196" s="51">
        <v>5</v>
      </c>
      <c r="D196" s="51">
        <v>3</v>
      </c>
      <c r="E196" s="51">
        <v>2</v>
      </c>
      <c r="G196" s="14" t="s">
        <v>360</v>
      </c>
      <c r="H196" s="14" t="s">
        <v>333</v>
      </c>
      <c r="I196" s="113">
        <v>0</v>
      </c>
      <c r="J196" s="113">
        <v>0</v>
      </c>
      <c r="K196" s="113">
        <v>23</v>
      </c>
      <c r="M196" s="14">
        <v>98501</v>
      </c>
      <c r="N196" s="14" t="s">
        <v>333</v>
      </c>
      <c r="O196" s="15">
        <v>21</v>
      </c>
      <c r="P196" s="15">
        <v>18</v>
      </c>
      <c r="Q196" s="15">
        <v>19</v>
      </c>
      <c r="S196" s="14">
        <v>98223</v>
      </c>
      <c r="T196" s="14" t="s">
        <v>333</v>
      </c>
      <c r="U196" s="15"/>
      <c r="V196" s="15">
        <v>1</v>
      </c>
      <c r="W196" s="15"/>
    </row>
    <row r="197" spans="1:23" x14ac:dyDescent="0.2">
      <c r="A197" s="14">
        <v>98388</v>
      </c>
      <c r="B197" s="14" t="s">
        <v>10</v>
      </c>
      <c r="C197" s="51">
        <v>1</v>
      </c>
      <c r="D197" s="51"/>
      <c r="E197" s="51"/>
      <c r="G197" s="14"/>
      <c r="H197" s="14" t="s">
        <v>361</v>
      </c>
      <c r="I197" s="113"/>
      <c r="J197" s="113">
        <v>0</v>
      </c>
      <c r="K197" s="113">
        <v>0</v>
      </c>
      <c r="M197" s="14">
        <v>98502</v>
      </c>
      <c r="N197" s="14" t="s">
        <v>333</v>
      </c>
      <c r="O197" s="15">
        <v>6</v>
      </c>
      <c r="P197" s="15">
        <v>8</v>
      </c>
      <c r="Q197" s="15">
        <v>8</v>
      </c>
      <c r="S197" s="14">
        <v>98223</v>
      </c>
      <c r="T197" s="14" t="s">
        <v>10</v>
      </c>
      <c r="U197" s="15">
        <v>1</v>
      </c>
      <c r="V197" s="15">
        <v>3</v>
      </c>
      <c r="W197" s="15">
        <v>3</v>
      </c>
    </row>
    <row r="198" spans="1:23" ht="16" thickBot="1" x14ac:dyDescent="0.25">
      <c r="A198" s="14">
        <v>98390</v>
      </c>
      <c r="B198" s="14" t="s">
        <v>10</v>
      </c>
      <c r="C198" s="51">
        <v>2</v>
      </c>
      <c r="D198" s="51">
        <v>2</v>
      </c>
      <c r="E198" s="51">
        <v>2</v>
      </c>
      <c r="G198" s="16"/>
      <c r="H198" s="16"/>
      <c r="I198" s="114"/>
      <c r="J198" s="114">
        <v>0.38095238095238093</v>
      </c>
      <c r="K198" s="114"/>
      <c r="M198" s="14">
        <v>98503</v>
      </c>
      <c r="N198" s="14" t="s">
        <v>333</v>
      </c>
      <c r="O198" s="15">
        <v>6</v>
      </c>
      <c r="P198" s="15">
        <v>10</v>
      </c>
      <c r="Q198" s="15">
        <v>8</v>
      </c>
      <c r="S198" s="14">
        <v>98224</v>
      </c>
      <c r="T198" s="14" t="s">
        <v>10</v>
      </c>
      <c r="U198" s="15">
        <v>3</v>
      </c>
      <c r="V198" s="15">
        <v>4</v>
      </c>
      <c r="W198" s="15">
        <v>3</v>
      </c>
    </row>
    <row r="199" spans="1:23" x14ac:dyDescent="0.2">
      <c r="A199" s="14">
        <v>98391</v>
      </c>
      <c r="B199" s="14" t="s">
        <v>10</v>
      </c>
      <c r="C199" s="51">
        <v>2</v>
      </c>
      <c r="D199" s="51">
        <v>8</v>
      </c>
      <c r="E199" s="51">
        <v>13</v>
      </c>
      <c r="M199" s="14">
        <v>98506</v>
      </c>
      <c r="N199" s="14" t="s">
        <v>333</v>
      </c>
      <c r="O199" s="15">
        <v>7</v>
      </c>
      <c r="P199" s="15">
        <v>6</v>
      </c>
      <c r="Q199" s="15">
        <v>13</v>
      </c>
      <c r="S199" s="14">
        <v>98225</v>
      </c>
      <c r="T199" s="14" t="s">
        <v>333</v>
      </c>
      <c r="U199" s="15">
        <v>14</v>
      </c>
      <c r="V199" s="15">
        <v>11</v>
      </c>
      <c r="W199" s="15">
        <v>25</v>
      </c>
    </row>
    <row r="200" spans="1:23" x14ac:dyDescent="0.2">
      <c r="A200" s="14">
        <v>98392</v>
      </c>
      <c r="B200" s="14" t="s">
        <v>10</v>
      </c>
      <c r="C200" s="51"/>
      <c r="D200" s="51">
        <v>1</v>
      </c>
      <c r="E200" s="51"/>
      <c r="M200" s="14">
        <v>98512</v>
      </c>
      <c r="N200" s="14" t="s">
        <v>333</v>
      </c>
      <c r="O200" s="15">
        <v>13</v>
      </c>
      <c r="P200" s="15">
        <v>4</v>
      </c>
      <c r="Q200" s="15">
        <v>11</v>
      </c>
      <c r="S200" s="14">
        <v>98225</v>
      </c>
      <c r="T200" s="14" t="s">
        <v>10</v>
      </c>
      <c r="U200" s="15">
        <v>134</v>
      </c>
      <c r="V200" s="15">
        <v>77</v>
      </c>
      <c r="W200" s="15">
        <v>160</v>
      </c>
    </row>
    <row r="201" spans="1:23" x14ac:dyDescent="0.2">
      <c r="A201" s="14">
        <v>98403</v>
      </c>
      <c r="B201" s="14" t="s">
        <v>10</v>
      </c>
      <c r="C201" s="51"/>
      <c r="D201" s="51"/>
      <c r="E201" s="51">
        <v>1</v>
      </c>
      <c r="M201" s="14">
        <v>98513</v>
      </c>
      <c r="N201" s="14" t="s">
        <v>333</v>
      </c>
      <c r="O201" s="15">
        <v>6</v>
      </c>
      <c r="P201" s="15">
        <v>4</v>
      </c>
      <c r="Q201" s="15">
        <v>8</v>
      </c>
      <c r="S201" s="14">
        <v>98226</v>
      </c>
      <c r="T201" s="14" t="s">
        <v>333</v>
      </c>
      <c r="U201" s="15">
        <v>19</v>
      </c>
      <c r="V201" s="15">
        <v>12</v>
      </c>
      <c r="W201" s="15">
        <v>30</v>
      </c>
    </row>
    <row r="202" spans="1:23" x14ac:dyDescent="0.2">
      <c r="A202" s="14">
        <v>98404</v>
      </c>
      <c r="B202" s="14" t="s">
        <v>10</v>
      </c>
      <c r="C202" s="51"/>
      <c r="D202" s="51">
        <v>3</v>
      </c>
      <c r="E202" s="51">
        <v>2</v>
      </c>
      <c r="M202" s="14">
        <v>98516</v>
      </c>
      <c r="N202" s="14" t="s">
        <v>333</v>
      </c>
      <c r="O202" s="15">
        <v>6</v>
      </c>
      <c r="P202" s="15">
        <v>15</v>
      </c>
      <c r="Q202" s="15">
        <v>18</v>
      </c>
      <c r="S202" s="14">
        <v>98226</v>
      </c>
      <c r="T202" s="14" t="s">
        <v>10</v>
      </c>
      <c r="U202" s="15">
        <v>160</v>
      </c>
      <c r="V202" s="15">
        <v>117</v>
      </c>
      <c r="W202" s="15">
        <v>195</v>
      </c>
    </row>
    <row r="203" spans="1:23" x14ac:dyDescent="0.2">
      <c r="A203" s="97">
        <v>98405</v>
      </c>
      <c r="B203" s="97" t="s">
        <v>10</v>
      </c>
      <c r="C203" s="98">
        <v>3</v>
      </c>
      <c r="D203" s="98">
        <v>2</v>
      </c>
      <c r="E203" s="98">
        <v>3</v>
      </c>
      <c r="M203" s="14">
        <v>98531</v>
      </c>
      <c r="N203" s="14" t="s">
        <v>333</v>
      </c>
      <c r="O203" s="15">
        <v>3</v>
      </c>
      <c r="P203" s="15">
        <v>1</v>
      </c>
      <c r="Q203" s="15">
        <v>5</v>
      </c>
      <c r="S203" s="14">
        <v>98229</v>
      </c>
      <c r="T203" s="14" t="s">
        <v>333</v>
      </c>
      <c r="U203" s="15">
        <v>3</v>
      </c>
      <c r="V203" s="15">
        <v>3</v>
      </c>
      <c r="W203" s="15">
        <v>6</v>
      </c>
    </row>
    <row r="204" spans="1:23" x14ac:dyDescent="0.2">
      <c r="A204" s="14">
        <v>98406</v>
      </c>
      <c r="B204" s="14" t="s">
        <v>10</v>
      </c>
      <c r="C204" s="51">
        <v>1</v>
      </c>
      <c r="D204" s="51"/>
      <c r="E204" s="51">
        <v>2</v>
      </c>
      <c r="M204" s="14">
        <v>98532</v>
      </c>
      <c r="N204" s="14" t="s">
        <v>333</v>
      </c>
      <c r="O204" s="15">
        <v>3</v>
      </c>
      <c r="P204" s="15">
        <v>3</v>
      </c>
      <c r="Q204" s="15">
        <v>5</v>
      </c>
      <c r="S204" s="14">
        <v>98229</v>
      </c>
      <c r="T204" s="14" t="s">
        <v>10</v>
      </c>
      <c r="U204" s="15">
        <v>85</v>
      </c>
      <c r="V204" s="15">
        <v>44</v>
      </c>
      <c r="W204" s="15">
        <v>111</v>
      </c>
    </row>
    <row r="205" spans="1:23" x14ac:dyDescent="0.2">
      <c r="A205" s="14">
        <v>98407</v>
      </c>
      <c r="B205" s="14" t="s">
        <v>10</v>
      </c>
      <c r="C205" s="51"/>
      <c r="D205" s="51"/>
      <c r="E205" s="51">
        <v>1</v>
      </c>
      <c r="M205" s="14">
        <v>98576</v>
      </c>
      <c r="N205" s="14" t="s">
        <v>333</v>
      </c>
      <c r="O205" s="15">
        <v>1</v>
      </c>
      <c r="P205" s="15">
        <v>1</v>
      </c>
      <c r="Q205" s="15">
        <v>3</v>
      </c>
      <c r="S205" s="14">
        <v>98230</v>
      </c>
      <c r="T205" s="14" t="s">
        <v>333</v>
      </c>
      <c r="U205" s="15">
        <v>4</v>
      </c>
      <c r="V205" s="15">
        <v>2</v>
      </c>
      <c r="W205" s="15">
        <v>6</v>
      </c>
    </row>
    <row r="206" spans="1:23" x14ac:dyDescent="0.2">
      <c r="A206" s="14">
        <v>98408</v>
      </c>
      <c r="B206" s="14" t="s">
        <v>10</v>
      </c>
      <c r="C206" s="51">
        <v>2</v>
      </c>
      <c r="D206" s="51">
        <v>2</v>
      </c>
      <c r="E206" s="51">
        <v>3</v>
      </c>
      <c r="M206" s="14">
        <v>98579</v>
      </c>
      <c r="N206" s="14" t="s">
        <v>333</v>
      </c>
      <c r="O206" s="15">
        <v>6</v>
      </c>
      <c r="P206" s="15">
        <v>7</v>
      </c>
      <c r="Q206" s="15">
        <v>4</v>
      </c>
      <c r="S206" s="14">
        <v>98230</v>
      </c>
      <c r="T206" s="14" t="s">
        <v>10</v>
      </c>
      <c r="U206" s="15">
        <v>26</v>
      </c>
      <c r="V206" s="15">
        <v>28</v>
      </c>
      <c r="W206" s="15">
        <v>47</v>
      </c>
    </row>
    <row r="207" spans="1:23" x14ac:dyDescent="0.2">
      <c r="A207" s="14">
        <v>98409</v>
      </c>
      <c r="B207" s="14" t="s">
        <v>10</v>
      </c>
      <c r="C207" s="51"/>
      <c r="D207" s="51"/>
      <c r="E207" s="51">
        <v>1</v>
      </c>
      <c r="M207" s="14">
        <v>98580</v>
      </c>
      <c r="N207" s="14" t="s">
        <v>333</v>
      </c>
      <c r="O207" s="15">
        <v>2</v>
      </c>
      <c r="P207" s="15">
        <v>4</v>
      </c>
      <c r="Q207" s="15">
        <v>2</v>
      </c>
      <c r="S207" s="14">
        <v>98232</v>
      </c>
      <c r="T207" s="14" t="s">
        <v>333</v>
      </c>
      <c r="U207" s="15">
        <v>3</v>
      </c>
      <c r="V207" s="15"/>
      <c r="W207" s="15">
        <v>1</v>
      </c>
    </row>
    <row r="208" spans="1:23" x14ac:dyDescent="0.2">
      <c r="A208" s="14">
        <v>98418</v>
      </c>
      <c r="B208" s="14" t="s">
        <v>10</v>
      </c>
      <c r="C208" s="51">
        <v>1</v>
      </c>
      <c r="D208" s="51">
        <v>3</v>
      </c>
      <c r="E208" s="51">
        <v>1</v>
      </c>
      <c r="M208" s="14">
        <v>98589</v>
      </c>
      <c r="N208" s="14" t="s">
        <v>333</v>
      </c>
      <c r="O208" s="15">
        <v>8</v>
      </c>
      <c r="P208" s="15">
        <v>3</v>
      </c>
      <c r="Q208" s="15">
        <v>6</v>
      </c>
      <c r="S208" s="14">
        <v>98232</v>
      </c>
      <c r="T208" s="14" t="s">
        <v>10</v>
      </c>
      <c r="U208" s="15">
        <v>11</v>
      </c>
      <c r="V208" s="15">
        <v>8</v>
      </c>
      <c r="W208" s="15">
        <v>9</v>
      </c>
    </row>
    <row r="209" spans="1:23" x14ac:dyDescent="0.2">
      <c r="A209" s="14">
        <v>98422</v>
      </c>
      <c r="B209" s="14" t="s">
        <v>10</v>
      </c>
      <c r="C209" s="51"/>
      <c r="D209" s="51">
        <v>3</v>
      </c>
      <c r="E209" s="51">
        <v>1</v>
      </c>
      <c r="M209" s="14">
        <v>98596</v>
      </c>
      <c r="N209" s="14" t="s">
        <v>333</v>
      </c>
      <c r="O209" s="15">
        <v>2</v>
      </c>
      <c r="P209" s="15">
        <v>1</v>
      </c>
      <c r="Q209" s="15">
        <v>1</v>
      </c>
      <c r="S209" s="14">
        <v>98233</v>
      </c>
      <c r="T209" s="14" t="s">
        <v>333</v>
      </c>
      <c r="U209" s="15">
        <v>3</v>
      </c>
      <c r="V209" s="15">
        <v>5</v>
      </c>
      <c r="W209" s="15">
        <v>4</v>
      </c>
    </row>
    <row r="210" spans="1:23" x14ac:dyDescent="0.2">
      <c r="A210" s="14">
        <v>98424</v>
      </c>
      <c r="B210" s="14" t="s">
        <v>10</v>
      </c>
      <c r="C210" s="51"/>
      <c r="D210" s="51">
        <v>1</v>
      </c>
      <c r="E210" s="51"/>
      <c r="M210" s="14">
        <v>98597</v>
      </c>
      <c r="N210" s="14" t="s">
        <v>333</v>
      </c>
      <c r="O210" s="15">
        <v>9</v>
      </c>
      <c r="P210" s="15">
        <v>5</v>
      </c>
      <c r="Q210" s="15">
        <v>9</v>
      </c>
      <c r="S210" s="14">
        <v>98233</v>
      </c>
      <c r="T210" s="14" t="s">
        <v>10</v>
      </c>
      <c r="U210" s="15">
        <v>51</v>
      </c>
      <c r="V210" s="15">
        <v>38</v>
      </c>
      <c r="W210" s="15">
        <v>74</v>
      </c>
    </row>
    <row r="211" spans="1:23" x14ac:dyDescent="0.2">
      <c r="A211" s="14">
        <v>98439</v>
      </c>
      <c r="B211" s="14" t="s">
        <v>10</v>
      </c>
      <c r="C211" s="51">
        <v>3</v>
      </c>
      <c r="D211" s="51">
        <v>3</v>
      </c>
      <c r="E211" s="51">
        <v>3</v>
      </c>
      <c r="M211" s="14">
        <v>98922</v>
      </c>
      <c r="N211" s="14" t="s">
        <v>333</v>
      </c>
      <c r="O211" s="15">
        <v>11</v>
      </c>
      <c r="P211" s="15">
        <v>10</v>
      </c>
      <c r="Q211" s="15">
        <v>10</v>
      </c>
      <c r="S211" s="14">
        <v>98235</v>
      </c>
      <c r="T211" s="14" t="s">
        <v>10</v>
      </c>
      <c r="U211" s="15">
        <v>2</v>
      </c>
      <c r="V211" s="15">
        <v>2</v>
      </c>
      <c r="W211" s="15">
        <v>2</v>
      </c>
    </row>
    <row r="212" spans="1:23" x14ac:dyDescent="0.2">
      <c r="A212" s="14">
        <v>98444</v>
      </c>
      <c r="B212" s="14" t="s">
        <v>10</v>
      </c>
      <c r="C212" s="51"/>
      <c r="D212" s="51">
        <v>3</v>
      </c>
      <c r="E212" s="51"/>
      <c r="M212" s="14">
        <v>98925</v>
      </c>
      <c r="N212" s="14" t="s">
        <v>333</v>
      </c>
      <c r="O212" s="15">
        <v>1</v>
      </c>
      <c r="P212" s="15">
        <v>1</v>
      </c>
      <c r="Q212" s="15">
        <v>1</v>
      </c>
      <c r="S212" s="14">
        <v>98236</v>
      </c>
      <c r="T212" s="14" t="s">
        <v>333</v>
      </c>
      <c r="U212" s="15">
        <v>2</v>
      </c>
      <c r="V212" s="15">
        <v>1</v>
      </c>
      <c r="W212" s="15"/>
    </row>
    <row r="213" spans="1:23" x14ac:dyDescent="0.2">
      <c r="A213" s="14">
        <v>98445</v>
      </c>
      <c r="B213" s="14" t="s">
        <v>10</v>
      </c>
      <c r="C213" s="51">
        <v>1</v>
      </c>
      <c r="D213" s="51">
        <v>2</v>
      </c>
      <c r="E213" s="51">
        <v>1</v>
      </c>
      <c r="M213" s="14">
        <v>98926</v>
      </c>
      <c r="N213" s="14" t="s">
        <v>333</v>
      </c>
      <c r="O213" s="15">
        <v>9</v>
      </c>
      <c r="P213" s="15">
        <v>10</v>
      </c>
      <c r="Q213" s="15">
        <v>13</v>
      </c>
      <c r="S213" s="14">
        <v>98236</v>
      </c>
      <c r="T213" s="14" t="s">
        <v>10</v>
      </c>
      <c r="U213" s="15">
        <v>17</v>
      </c>
      <c r="V213" s="15">
        <v>10</v>
      </c>
      <c r="W213" s="15">
        <v>15</v>
      </c>
    </row>
    <row r="214" spans="1:23" x14ac:dyDescent="0.2">
      <c r="A214" s="14">
        <v>98446</v>
      </c>
      <c r="B214" s="14" t="s">
        <v>10</v>
      </c>
      <c r="C214" s="51">
        <v>1</v>
      </c>
      <c r="D214" s="51">
        <v>2</v>
      </c>
      <c r="E214" s="51"/>
      <c r="M214" s="14">
        <v>98934</v>
      </c>
      <c r="N214" s="14" t="s">
        <v>333</v>
      </c>
      <c r="O214" s="51">
        <v>2</v>
      </c>
      <c r="P214" s="51">
        <v>2</v>
      </c>
      <c r="Q214" s="51">
        <v>2</v>
      </c>
      <c r="S214" s="14">
        <v>98237</v>
      </c>
      <c r="T214" s="14" t="s">
        <v>333</v>
      </c>
      <c r="U214" s="15"/>
      <c r="V214" s="15"/>
      <c r="W214" s="15">
        <v>2</v>
      </c>
    </row>
    <row r="215" spans="1:23" x14ac:dyDescent="0.2">
      <c r="A215" s="14">
        <v>98465</v>
      </c>
      <c r="B215" s="14" t="s">
        <v>10</v>
      </c>
      <c r="C215" s="51">
        <v>1</v>
      </c>
      <c r="D215" s="51"/>
      <c r="E215" s="51"/>
      <c r="M215" s="14">
        <v>98941</v>
      </c>
      <c r="N215" s="14" t="s">
        <v>333</v>
      </c>
      <c r="O215" s="51">
        <v>2</v>
      </c>
      <c r="P215" s="51">
        <v>1</v>
      </c>
      <c r="Q215" s="51">
        <v>2</v>
      </c>
      <c r="S215" s="14">
        <v>98237</v>
      </c>
      <c r="T215" s="14" t="s">
        <v>10</v>
      </c>
      <c r="U215" s="15">
        <v>33</v>
      </c>
      <c r="V215" s="15">
        <v>11</v>
      </c>
      <c r="W215" s="15">
        <v>44</v>
      </c>
    </row>
    <row r="216" spans="1:23" x14ac:dyDescent="0.2">
      <c r="A216" s="14">
        <v>98467</v>
      </c>
      <c r="B216" s="14" t="s">
        <v>10</v>
      </c>
      <c r="C216" s="51">
        <v>1</v>
      </c>
      <c r="D216" s="51"/>
      <c r="E216" s="51"/>
      <c r="M216" s="132">
        <v>98946</v>
      </c>
      <c r="N216" s="60" t="s">
        <v>333</v>
      </c>
      <c r="O216" s="75"/>
      <c r="P216" s="75">
        <v>3</v>
      </c>
      <c r="Q216" s="75">
        <v>2</v>
      </c>
      <c r="S216" s="14">
        <v>98239</v>
      </c>
      <c r="T216" s="14" t="s">
        <v>333</v>
      </c>
      <c r="U216" s="15">
        <v>1</v>
      </c>
      <c r="V216" s="15"/>
      <c r="W216" s="15">
        <v>1</v>
      </c>
    </row>
    <row r="217" spans="1:23" x14ac:dyDescent="0.2">
      <c r="A217" s="14">
        <v>98498</v>
      </c>
      <c r="B217" s="14" t="s">
        <v>10</v>
      </c>
      <c r="C217" s="51">
        <v>2</v>
      </c>
      <c r="D217" s="51">
        <v>2</v>
      </c>
      <c r="E217" s="51">
        <v>9</v>
      </c>
      <c r="M217" s="54" t="s">
        <v>336</v>
      </c>
      <c r="N217" s="60" t="s">
        <v>333</v>
      </c>
      <c r="O217" s="75">
        <v>10</v>
      </c>
      <c r="P217" s="75">
        <v>9</v>
      </c>
      <c r="Q217" s="75">
        <v>5</v>
      </c>
      <c r="S217" s="14">
        <v>98239</v>
      </c>
      <c r="T217" s="14" t="s">
        <v>10</v>
      </c>
      <c r="U217" s="15">
        <v>24</v>
      </c>
      <c r="V217" s="15">
        <v>12</v>
      </c>
      <c r="W217" s="15">
        <v>29</v>
      </c>
    </row>
    <row r="218" spans="1:23" x14ac:dyDescent="0.2">
      <c r="A218" s="14">
        <v>98499</v>
      </c>
      <c r="B218" s="14" t="s">
        <v>10</v>
      </c>
      <c r="C218" s="51">
        <v>1</v>
      </c>
      <c r="D218" s="51">
        <v>2</v>
      </c>
      <c r="E218" s="51">
        <v>1</v>
      </c>
      <c r="M218" s="14">
        <v>98001</v>
      </c>
      <c r="N218" s="14" t="s">
        <v>10</v>
      </c>
      <c r="O218" s="15">
        <v>199</v>
      </c>
      <c r="P218" s="15">
        <v>173</v>
      </c>
      <c r="Q218" s="15">
        <v>249</v>
      </c>
      <c r="S218" s="14">
        <v>98240</v>
      </c>
      <c r="T218" s="14" t="s">
        <v>333</v>
      </c>
      <c r="U218" s="15"/>
      <c r="V218" s="15"/>
      <c r="W218" s="15">
        <v>1</v>
      </c>
    </row>
    <row r="219" spans="1:23" x14ac:dyDescent="0.2">
      <c r="A219" s="14">
        <v>98501</v>
      </c>
      <c r="B219" s="14" t="s">
        <v>10</v>
      </c>
      <c r="C219" s="51">
        <v>5</v>
      </c>
      <c r="D219" s="51">
        <v>7</v>
      </c>
      <c r="E219" s="51">
        <v>10</v>
      </c>
      <c r="M219" s="14">
        <v>98002</v>
      </c>
      <c r="N219" s="14" t="s">
        <v>10</v>
      </c>
      <c r="O219" s="15">
        <v>496</v>
      </c>
      <c r="P219" s="15">
        <v>263</v>
      </c>
      <c r="Q219" s="15">
        <v>483</v>
      </c>
      <c r="S219" s="14">
        <v>98240</v>
      </c>
      <c r="T219" s="14" t="s">
        <v>10</v>
      </c>
      <c r="U219" s="15">
        <v>10</v>
      </c>
      <c r="V219" s="15">
        <v>8</v>
      </c>
      <c r="W219" s="15">
        <v>15</v>
      </c>
    </row>
    <row r="220" spans="1:23" x14ac:dyDescent="0.2">
      <c r="A220" s="14">
        <v>98502</v>
      </c>
      <c r="B220" s="14" t="s">
        <v>10</v>
      </c>
      <c r="C220" s="51">
        <v>5</v>
      </c>
      <c r="D220" s="51">
        <v>3</v>
      </c>
      <c r="E220" s="51">
        <v>9</v>
      </c>
      <c r="M220" s="14">
        <v>98003</v>
      </c>
      <c r="N220" s="14" t="s">
        <v>10</v>
      </c>
      <c r="O220" s="15">
        <v>537</v>
      </c>
      <c r="P220" s="15">
        <v>326</v>
      </c>
      <c r="Q220" s="15">
        <v>616</v>
      </c>
      <c r="S220" s="14">
        <v>98244</v>
      </c>
      <c r="T220" s="14" t="s">
        <v>333</v>
      </c>
      <c r="U220" s="15">
        <v>1</v>
      </c>
      <c r="V220" s="15"/>
      <c r="W220" s="15"/>
    </row>
    <row r="221" spans="1:23" x14ac:dyDescent="0.2">
      <c r="A221" s="14">
        <v>98503</v>
      </c>
      <c r="B221" s="14" t="s">
        <v>10</v>
      </c>
      <c r="C221" s="51">
        <v>3</v>
      </c>
      <c r="D221" s="51">
        <v>3</v>
      </c>
      <c r="E221" s="51">
        <v>10</v>
      </c>
      <c r="M221" s="14">
        <v>98004</v>
      </c>
      <c r="N221" s="14" t="s">
        <v>10</v>
      </c>
      <c r="O221" s="15">
        <v>114</v>
      </c>
      <c r="P221" s="15">
        <v>87</v>
      </c>
      <c r="Q221" s="15">
        <v>160</v>
      </c>
      <c r="S221" s="14">
        <v>98244</v>
      </c>
      <c r="T221" s="14" t="s">
        <v>10</v>
      </c>
      <c r="U221" s="15">
        <v>18</v>
      </c>
      <c r="V221" s="15">
        <v>9</v>
      </c>
      <c r="W221" s="15">
        <v>12</v>
      </c>
    </row>
    <row r="222" spans="1:23" x14ac:dyDescent="0.2">
      <c r="A222" s="14">
        <v>98506</v>
      </c>
      <c r="B222" s="14" t="s">
        <v>10</v>
      </c>
      <c r="C222" s="51">
        <v>2</v>
      </c>
      <c r="D222" s="51"/>
      <c r="E222" s="51"/>
      <c r="M222" s="14">
        <v>98005</v>
      </c>
      <c r="N222" s="14" t="s">
        <v>10</v>
      </c>
      <c r="O222" s="15">
        <v>57</v>
      </c>
      <c r="P222" s="15">
        <v>44</v>
      </c>
      <c r="Q222" s="15">
        <v>79</v>
      </c>
      <c r="S222" s="14">
        <v>98247</v>
      </c>
      <c r="T222" s="14" t="s">
        <v>333</v>
      </c>
      <c r="U222" s="15">
        <v>2</v>
      </c>
      <c r="V222" s="15">
        <v>3</v>
      </c>
      <c r="W222" s="15">
        <v>1</v>
      </c>
    </row>
    <row r="223" spans="1:23" x14ac:dyDescent="0.2">
      <c r="A223" s="14">
        <v>98512</v>
      </c>
      <c r="B223" s="14" t="s">
        <v>10</v>
      </c>
      <c r="C223" s="51">
        <v>3</v>
      </c>
      <c r="D223" s="51"/>
      <c r="E223" s="51">
        <v>4</v>
      </c>
      <c r="M223" s="14">
        <v>98006</v>
      </c>
      <c r="N223" s="14" t="s">
        <v>10</v>
      </c>
      <c r="O223" s="15">
        <v>88</v>
      </c>
      <c r="P223" s="15">
        <v>50</v>
      </c>
      <c r="Q223" s="15">
        <v>90</v>
      </c>
      <c r="S223" s="14">
        <v>98247</v>
      </c>
      <c r="T223" s="14" t="s">
        <v>10</v>
      </c>
      <c r="U223" s="15">
        <v>18</v>
      </c>
      <c r="V223" s="15">
        <v>18</v>
      </c>
      <c r="W223" s="15">
        <v>32</v>
      </c>
    </row>
    <row r="224" spans="1:23" x14ac:dyDescent="0.2">
      <c r="A224" s="14">
        <v>98513</v>
      </c>
      <c r="B224" s="14" t="s">
        <v>10</v>
      </c>
      <c r="C224" s="51">
        <v>3</v>
      </c>
      <c r="D224" s="51">
        <v>5</v>
      </c>
      <c r="E224" s="51">
        <v>4</v>
      </c>
      <c r="M224" s="14">
        <v>98007</v>
      </c>
      <c r="N224" s="14" t="s">
        <v>10</v>
      </c>
      <c r="O224" s="15">
        <v>95</v>
      </c>
      <c r="P224" s="15">
        <v>79</v>
      </c>
      <c r="Q224" s="15">
        <v>109</v>
      </c>
      <c r="S224" s="14">
        <v>98248</v>
      </c>
      <c r="T224" s="14" t="s">
        <v>333</v>
      </c>
      <c r="U224" s="15">
        <v>13</v>
      </c>
      <c r="V224" s="15">
        <v>12</v>
      </c>
      <c r="W224" s="15">
        <v>13</v>
      </c>
    </row>
    <row r="225" spans="1:23" x14ac:dyDescent="0.2">
      <c r="A225" s="14">
        <v>98516</v>
      </c>
      <c r="B225" s="14" t="s">
        <v>10</v>
      </c>
      <c r="C225" s="51">
        <v>5</v>
      </c>
      <c r="D225" s="51">
        <v>2</v>
      </c>
      <c r="E225" s="51">
        <v>4</v>
      </c>
      <c r="M225" s="14">
        <v>98008</v>
      </c>
      <c r="N225" s="14" t="s">
        <v>10</v>
      </c>
      <c r="O225" s="15">
        <v>49</v>
      </c>
      <c r="P225" s="15">
        <v>34</v>
      </c>
      <c r="Q225" s="15">
        <v>58</v>
      </c>
      <c r="S225" s="14">
        <v>98248</v>
      </c>
      <c r="T225" s="14" t="s">
        <v>10</v>
      </c>
      <c r="U225" s="15">
        <v>87</v>
      </c>
      <c r="V225" s="15">
        <v>76</v>
      </c>
      <c r="W225" s="15">
        <v>97</v>
      </c>
    </row>
    <row r="226" spans="1:23" x14ac:dyDescent="0.2">
      <c r="A226" s="14">
        <v>98530</v>
      </c>
      <c r="B226" s="14" t="s">
        <v>10</v>
      </c>
      <c r="C226" s="51"/>
      <c r="D226" s="51"/>
      <c r="E226" s="51">
        <v>1</v>
      </c>
      <c r="M226" s="14">
        <v>98010</v>
      </c>
      <c r="N226" s="14" t="s">
        <v>10</v>
      </c>
      <c r="O226" s="15">
        <v>31</v>
      </c>
      <c r="P226" s="15">
        <v>30</v>
      </c>
      <c r="Q226" s="15">
        <v>33</v>
      </c>
      <c r="S226" s="14">
        <v>98249</v>
      </c>
      <c r="T226" s="14" t="s">
        <v>333</v>
      </c>
      <c r="U226" s="15">
        <v>1</v>
      </c>
      <c r="V226" s="15">
        <v>3</v>
      </c>
      <c r="W226" s="15">
        <v>2</v>
      </c>
    </row>
    <row r="227" spans="1:23" x14ac:dyDescent="0.2">
      <c r="A227" s="14">
        <v>98531</v>
      </c>
      <c r="B227" s="14" t="s">
        <v>10</v>
      </c>
      <c r="C227" s="51"/>
      <c r="D227" s="51"/>
      <c r="E227" s="51">
        <v>1</v>
      </c>
      <c r="M227" s="14">
        <v>98011</v>
      </c>
      <c r="N227" s="14" t="s">
        <v>10</v>
      </c>
      <c r="O227" s="15">
        <v>75</v>
      </c>
      <c r="P227" s="15">
        <v>77</v>
      </c>
      <c r="Q227" s="15">
        <v>122</v>
      </c>
      <c r="S227" s="14">
        <v>98249</v>
      </c>
      <c r="T227" s="14" t="s">
        <v>10</v>
      </c>
      <c r="U227" s="15">
        <v>15</v>
      </c>
      <c r="V227" s="15">
        <v>6</v>
      </c>
      <c r="W227" s="15">
        <v>16</v>
      </c>
    </row>
    <row r="228" spans="1:23" x14ac:dyDescent="0.2">
      <c r="A228" s="14">
        <v>98532</v>
      </c>
      <c r="B228" s="14" t="s">
        <v>10</v>
      </c>
      <c r="C228" s="51"/>
      <c r="D228" s="51">
        <v>1</v>
      </c>
      <c r="E228" s="51"/>
      <c r="M228" s="14">
        <v>98012</v>
      </c>
      <c r="N228" s="14" t="s">
        <v>10</v>
      </c>
      <c r="O228" s="15">
        <v>50</v>
      </c>
      <c r="P228" s="15">
        <v>45</v>
      </c>
      <c r="Q228" s="15">
        <v>85</v>
      </c>
      <c r="S228" s="14">
        <v>98251</v>
      </c>
      <c r="T228" s="14" t="s">
        <v>10</v>
      </c>
      <c r="U228" s="15"/>
      <c r="V228" s="15">
        <v>1</v>
      </c>
      <c r="W228" s="15">
        <v>2</v>
      </c>
    </row>
    <row r="229" spans="1:23" x14ac:dyDescent="0.2">
      <c r="A229" s="14">
        <v>98576</v>
      </c>
      <c r="B229" s="14" t="s">
        <v>10</v>
      </c>
      <c r="C229" s="51"/>
      <c r="D229" s="51">
        <v>4</v>
      </c>
      <c r="E229" s="51">
        <v>1</v>
      </c>
      <c r="M229" s="14">
        <v>98014</v>
      </c>
      <c r="N229" s="14" t="s">
        <v>10</v>
      </c>
      <c r="O229" s="15">
        <v>24</v>
      </c>
      <c r="P229" s="15">
        <v>18</v>
      </c>
      <c r="Q229" s="15">
        <v>28</v>
      </c>
      <c r="S229" s="14">
        <v>98252</v>
      </c>
      <c r="T229" s="14" t="s">
        <v>333</v>
      </c>
      <c r="U229" s="15"/>
      <c r="V229" s="15"/>
      <c r="W229" s="15">
        <v>1</v>
      </c>
    </row>
    <row r="230" spans="1:23" x14ac:dyDescent="0.2">
      <c r="A230" s="14">
        <v>98579</v>
      </c>
      <c r="B230" s="14" t="s">
        <v>10</v>
      </c>
      <c r="C230" s="51">
        <v>1</v>
      </c>
      <c r="D230" s="51">
        <v>3</v>
      </c>
      <c r="E230" s="51">
        <v>2</v>
      </c>
      <c r="M230" s="14">
        <v>98019</v>
      </c>
      <c r="N230" s="14" t="s">
        <v>10</v>
      </c>
      <c r="O230" s="15">
        <v>33</v>
      </c>
      <c r="P230" s="15">
        <v>34</v>
      </c>
      <c r="Q230" s="15">
        <v>41</v>
      </c>
      <c r="S230" s="14">
        <v>98252</v>
      </c>
      <c r="T230" s="14" t="s">
        <v>10</v>
      </c>
      <c r="U230" s="15">
        <v>7</v>
      </c>
      <c r="V230" s="15">
        <v>8</v>
      </c>
      <c r="W230" s="15">
        <v>5</v>
      </c>
    </row>
    <row r="231" spans="1:23" x14ac:dyDescent="0.2">
      <c r="A231" s="14">
        <v>98580</v>
      </c>
      <c r="B231" s="14" t="s">
        <v>10</v>
      </c>
      <c r="C231" s="51"/>
      <c r="D231" s="51">
        <v>2</v>
      </c>
      <c r="E231" s="51"/>
      <c r="M231" s="14">
        <v>98020</v>
      </c>
      <c r="N231" s="14" t="s">
        <v>10</v>
      </c>
      <c r="O231" s="15">
        <v>11</v>
      </c>
      <c r="P231" s="15">
        <v>14</v>
      </c>
      <c r="Q231" s="15">
        <v>14</v>
      </c>
      <c r="S231" s="14">
        <v>98253</v>
      </c>
      <c r="T231" s="14" t="s">
        <v>10</v>
      </c>
      <c r="U231" s="15">
        <v>2</v>
      </c>
      <c r="V231" s="15">
        <v>2</v>
      </c>
      <c r="W231" s="15">
        <v>3</v>
      </c>
    </row>
    <row r="232" spans="1:23" x14ac:dyDescent="0.2">
      <c r="A232" s="14">
        <v>98589</v>
      </c>
      <c r="B232" s="14" t="s">
        <v>10</v>
      </c>
      <c r="C232" s="51"/>
      <c r="D232" s="51">
        <v>2</v>
      </c>
      <c r="E232" s="51"/>
      <c r="M232" s="14">
        <v>98021</v>
      </c>
      <c r="N232" s="14" t="s">
        <v>10</v>
      </c>
      <c r="O232" s="15">
        <v>26</v>
      </c>
      <c r="P232" s="15">
        <v>20</v>
      </c>
      <c r="Q232" s="15">
        <v>31</v>
      </c>
      <c r="S232" s="14">
        <v>98255</v>
      </c>
      <c r="T232" s="14" t="s">
        <v>333</v>
      </c>
      <c r="U232" s="15"/>
      <c r="V232" s="15"/>
      <c r="W232" s="15">
        <v>1</v>
      </c>
    </row>
    <row r="233" spans="1:23" ht="14.25" customHeight="1" x14ac:dyDescent="0.2">
      <c r="A233" s="14">
        <v>98597</v>
      </c>
      <c r="B233" s="14" t="s">
        <v>10</v>
      </c>
      <c r="C233" s="51"/>
      <c r="D233" s="51">
        <v>5</v>
      </c>
      <c r="E233" s="51">
        <v>8</v>
      </c>
      <c r="M233" s="14">
        <v>98022</v>
      </c>
      <c r="N233" s="14" t="s">
        <v>10</v>
      </c>
      <c r="O233" s="15">
        <v>106</v>
      </c>
      <c r="P233" s="15">
        <v>72</v>
      </c>
      <c r="Q233" s="15">
        <v>115</v>
      </c>
      <c r="S233" s="14">
        <v>98255</v>
      </c>
      <c r="T233" s="14" t="s">
        <v>10</v>
      </c>
      <c r="U233" s="15">
        <v>7</v>
      </c>
      <c r="V233" s="15">
        <v>1</v>
      </c>
      <c r="W233" s="15">
        <v>6</v>
      </c>
    </row>
    <row r="234" spans="1:23" x14ac:dyDescent="0.2">
      <c r="A234" s="14">
        <v>98922</v>
      </c>
      <c r="B234" s="14" t="s">
        <v>10</v>
      </c>
      <c r="C234" s="51"/>
      <c r="D234" s="51"/>
      <c r="E234" s="51">
        <v>5</v>
      </c>
      <c r="M234" s="14">
        <v>98023</v>
      </c>
      <c r="N234" s="14" t="s">
        <v>10</v>
      </c>
      <c r="O234" s="15">
        <v>373</v>
      </c>
      <c r="P234" s="15">
        <v>286</v>
      </c>
      <c r="Q234" s="15">
        <v>525</v>
      </c>
      <c r="S234" s="14">
        <v>98257</v>
      </c>
      <c r="T234" s="14" t="s">
        <v>333</v>
      </c>
      <c r="U234" s="15"/>
      <c r="V234" s="15">
        <v>1</v>
      </c>
      <c r="W234" s="15">
        <v>3</v>
      </c>
    </row>
    <row r="235" spans="1:23" x14ac:dyDescent="0.2">
      <c r="A235" s="14">
        <v>98925</v>
      </c>
      <c r="B235" s="14" t="s">
        <v>10</v>
      </c>
      <c r="C235" s="51"/>
      <c r="D235" s="51"/>
      <c r="E235" s="51">
        <v>1</v>
      </c>
      <c r="M235" s="14">
        <v>98024</v>
      </c>
      <c r="N235" s="14" t="s">
        <v>10</v>
      </c>
      <c r="O235" s="15">
        <v>25</v>
      </c>
      <c r="P235" s="15">
        <v>23</v>
      </c>
      <c r="Q235" s="15">
        <v>24</v>
      </c>
      <c r="S235" s="14">
        <v>98257</v>
      </c>
      <c r="T235" s="14" t="s">
        <v>10</v>
      </c>
      <c r="U235" s="15">
        <v>17</v>
      </c>
      <c r="V235" s="15">
        <v>19</v>
      </c>
      <c r="W235" s="15">
        <v>17</v>
      </c>
    </row>
    <row r="236" spans="1:23" x14ac:dyDescent="0.2">
      <c r="A236" s="14">
        <v>98926</v>
      </c>
      <c r="B236" s="14" t="s">
        <v>10</v>
      </c>
      <c r="C236" s="51"/>
      <c r="D236" s="51"/>
      <c r="E236" s="51">
        <v>3</v>
      </c>
      <c r="M236" s="14">
        <v>98026</v>
      </c>
      <c r="N236" s="14" t="s">
        <v>10</v>
      </c>
      <c r="O236" s="15">
        <v>14</v>
      </c>
      <c r="P236" s="15">
        <v>15</v>
      </c>
      <c r="Q236" s="15">
        <v>26</v>
      </c>
      <c r="S236" s="14">
        <v>98258</v>
      </c>
      <c r="T236" s="14" t="s">
        <v>333</v>
      </c>
      <c r="U236" s="15">
        <v>1</v>
      </c>
      <c r="V236" s="15"/>
      <c r="W236" s="15">
        <v>3</v>
      </c>
    </row>
    <row r="237" spans="1:23" ht="16" thickBot="1" x14ac:dyDescent="0.25">
      <c r="A237" s="16"/>
      <c r="B237" s="16"/>
      <c r="C237" s="109"/>
      <c r="D237" s="109">
        <v>1</v>
      </c>
      <c r="E237" s="109"/>
      <c r="M237" s="14">
        <v>98027</v>
      </c>
      <c r="N237" s="14" t="s">
        <v>10</v>
      </c>
      <c r="O237" s="15">
        <v>81</v>
      </c>
      <c r="P237" s="15">
        <v>79</v>
      </c>
      <c r="Q237" s="15">
        <v>84</v>
      </c>
      <c r="S237" s="14">
        <v>98258</v>
      </c>
      <c r="T237" s="14" t="s">
        <v>10</v>
      </c>
      <c r="U237" s="15">
        <v>43</v>
      </c>
      <c r="V237" s="15">
        <v>36</v>
      </c>
      <c r="W237" s="15">
        <v>51</v>
      </c>
    </row>
    <row r="238" spans="1:23" ht="16" thickBot="1" x14ac:dyDescent="0.25">
      <c r="A238" s="142" t="s">
        <v>362</v>
      </c>
      <c r="B238" s="143"/>
      <c r="C238" s="143">
        <f>SUM(C78:C236,C11)</f>
        <v>312</v>
      </c>
      <c r="D238" s="143">
        <f t="shared" ref="D238:E238" si="0">SUM(D78:D236,D11)</f>
        <v>358</v>
      </c>
      <c r="E238" s="143">
        <f t="shared" si="0"/>
        <v>608</v>
      </c>
      <c r="M238" s="14">
        <v>98028</v>
      </c>
      <c r="N238" s="14" t="s">
        <v>10</v>
      </c>
      <c r="O238" s="15">
        <v>65</v>
      </c>
      <c r="P238" s="15">
        <v>53</v>
      </c>
      <c r="Q238" s="15">
        <v>116</v>
      </c>
      <c r="S238" s="14">
        <v>98260</v>
      </c>
      <c r="T238" s="14" t="s">
        <v>333</v>
      </c>
      <c r="U238" s="15">
        <v>3</v>
      </c>
      <c r="V238" s="15">
        <v>2</v>
      </c>
      <c r="W238" s="15"/>
    </row>
    <row r="239" spans="1:23" x14ac:dyDescent="0.2">
      <c r="M239" s="14">
        <v>98029</v>
      </c>
      <c r="N239" s="14" t="s">
        <v>10</v>
      </c>
      <c r="O239" s="15">
        <v>80</v>
      </c>
      <c r="P239" s="15">
        <v>68</v>
      </c>
      <c r="Q239" s="15">
        <v>73</v>
      </c>
      <c r="S239" s="14">
        <v>98260</v>
      </c>
      <c r="T239" s="14" t="s">
        <v>10</v>
      </c>
      <c r="U239" s="15">
        <v>16</v>
      </c>
      <c r="V239" s="15">
        <v>13</v>
      </c>
      <c r="W239" s="15">
        <v>13</v>
      </c>
    </row>
    <row r="240" spans="1:23" x14ac:dyDescent="0.2">
      <c r="M240" s="14">
        <v>98030</v>
      </c>
      <c r="N240" s="14" t="s">
        <v>10</v>
      </c>
      <c r="O240" s="15">
        <v>324</v>
      </c>
      <c r="P240" s="15">
        <v>162</v>
      </c>
      <c r="Q240" s="15">
        <v>306</v>
      </c>
      <c r="S240" s="14">
        <v>98262</v>
      </c>
      <c r="T240" s="14" t="s">
        <v>10</v>
      </c>
      <c r="U240" s="15">
        <v>8</v>
      </c>
      <c r="V240" s="15">
        <v>1</v>
      </c>
      <c r="W240" s="15">
        <v>4</v>
      </c>
    </row>
    <row r="241" spans="13:23" x14ac:dyDescent="0.2">
      <c r="M241" s="14">
        <v>98031</v>
      </c>
      <c r="N241" s="14" t="s">
        <v>10</v>
      </c>
      <c r="O241" s="15">
        <v>228</v>
      </c>
      <c r="P241" s="15">
        <v>142</v>
      </c>
      <c r="Q241" s="15">
        <v>250</v>
      </c>
      <c r="S241" s="14">
        <v>98263</v>
      </c>
      <c r="T241" s="14" t="s">
        <v>333</v>
      </c>
      <c r="U241" s="15">
        <v>1</v>
      </c>
      <c r="V241" s="15"/>
      <c r="W241" s="15"/>
    </row>
    <row r="242" spans="13:23" x14ac:dyDescent="0.2">
      <c r="M242" s="14">
        <v>98032</v>
      </c>
      <c r="N242" s="14" t="s">
        <v>10</v>
      </c>
      <c r="O242" s="15">
        <v>348</v>
      </c>
      <c r="P242" s="15">
        <v>225</v>
      </c>
      <c r="Q242" s="15">
        <v>404</v>
      </c>
      <c r="S242" s="14">
        <v>98263</v>
      </c>
      <c r="T242" s="14" t="s">
        <v>10</v>
      </c>
      <c r="U242" s="15">
        <v>2</v>
      </c>
      <c r="V242" s="15"/>
      <c r="W242" s="15">
        <v>3</v>
      </c>
    </row>
    <row r="243" spans="13:23" x14ac:dyDescent="0.2">
      <c r="M243" s="14">
        <v>98033</v>
      </c>
      <c r="N243" s="14" t="s">
        <v>10</v>
      </c>
      <c r="O243" s="15">
        <v>100</v>
      </c>
      <c r="P243" s="15">
        <v>80</v>
      </c>
      <c r="Q243" s="15">
        <v>98</v>
      </c>
      <c r="S243" s="14">
        <v>98264</v>
      </c>
      <c r="T243" s="14" t="s">
        <v>333</v>
      </c>
      <c r="U243" s="15">
        <v>5</v>
      </c>
      <c r="V243" s="15">
        <v>6</v>
      </c>
      <c r="W243" s="15">
        <v>6</v>
      </c>
    </row>
    <row r="244" spans="13:23" x14ac:dyDescent="0.2">
      <c r="M244" s="14">
        <v>98034</v>
      </c>
      <c r="N244" s="14" t="s">
        <v>10</v>
      </c>
      <c r="O244" s="15">
        <v>205</v>
      </c>
      <c r="P244" s="15">
        <v>160</v>
      </c>
      <c r="Q244" s="15">
        <v>275</v>
      </c>
      <c r="S244" s="14">
        <v>98264</v>
      </c>
      <c r="T244" s="14" t="s">
        <v>10</v>
      </c>
      <c r="U244" s="15">
        <v>51</v>
      </c>
      <c r="V244" s="15">
        <v>44</v>
      </c>
      <c r="W244" s="15">
        <v>51</v>
      </c>
    </row>
    <row r="245" spans="13:23" x14ac:dyDescent="0.2">
      <c r="M245" s="14">
        <v>98036</v>
      </c>
      <c r="N245" s="14" t="s">
        <v>10</v>
      </c>
      <c r="O245" s="15">
        <v>33</v>
      </c>
      <c r="P245" s="15">
        <v>33</v>
      </c>
      <c r="Q245" s="15">
        <v>48</v>
      </c>
      <c r="S245" s="14">
        <v>98266</v>
      </c>
      <c r="T245" s="14" t="s">
        <v>10</v>
      </c>
      <c r="U245" s="15">
        <v>35</v>
      </c>
      <c r="V245" s="15">
        <v>22</v>
      </c>
      <c r="W245" s="15">
        <v>47</v>
      </c>
    </row>
    <row r="246" spans="13:23" x14ac:dyDescent="0.2">
      <c r="M246" s="14">
        <v>98037</v>
      </c>
      <c r="N246" s="14" t="s">
        <v>10</v>
      </c>
      <c r="O246" s="15">
        <v>27</v>
      </c>
      <c r="P246" s="15">
        <v>21</v>
      </c>
      <c r="Q246" s="15">
        <v>33</v>
      </c>
      <c r="S246" s="14">
        <v>98267</v>
      </c>
      <c r="T246" s="14" t="s">
        <v>10</v>
      </c>
      <c r="U246" s="15">
        <v>7</v>
      </c>
      <c r="V246" s="15">
        <v>3</v>
      </c>
      <c r="W246" s="15">
        <v>4</v>
      </c>
    </row>
    <row r="247" spans="13:23" x14ac:dyDescent="0.2">
      <c r="M247" s="14">
        <v>98038</v>
      </c>
      <c r="N247" s="14" t="s">
        <v>10</v>
      </c>
      <c r="O247" s="15">
        <v>119</v>
      </c>
      <c r="P247" s="15">
        <v>113</v>
      </c>
      <c r="Q247" s="15">
        <v>152</v>
      </c>
      <c r="S247" s="14">
        <v>98270</v>
      </c>
      <c r="T247" s="14" t="s">
        <v>333</v>
      </c>
      <c r="U247" s="15">
        <v>3</v>
      </c>
      <c r="V247" s="15">
        <v>7</v>
      </c>
      <c r="W247" s="15">
        <v>10</v>
      </c>
    </row>
    <row r="248" spans="13:23" x14ac:dyDescent="0.2">
      <c r="M248" s="14">
        <v>98039</v>
      </c>
      <c r="N248" s="14" t="s">
        <v>10</v>
      </c>
      <c r="O248" s="15">
        <v>5</v>
      </c>
      <c r="P248" s="15">
        <v>8</v>
      </c>
      <c r="Q248" s="15">
        <v>8</v>
      </c>
      <c r="S248" s="14">
        <v>98270</v>
      </c>
      <c r="T248" s="14" t="s">
        <v>10</v>
      </c>
      <c r="U248" s="15">
        <v>46</v>
      </c>
      <c r="V248" s="15">
        <v>50</v>
      </c>
      <c r="W248" s="15">
        <v>60</v>
      </c>
    </row>
    <row r="249" spans="13:23" x14ac:dyDescent="0.2">
      <c r="M249" s="14">
        <v>98040</v>
      </c>
      <c r="N249" s="14" t="s">
        <v>10</v>
      </c>
      <c r="O249" s="15">
        <v>35</v>
      </c>
      <c r="P249" s="15">
        <v>29</v>
      </c>
      <c r="Q249" s="15">
        <v>41</v>
      </c>
      <c r="S249" s="14">
        <v>98271</v>
      </c>
      <c r="T249" s="14" t="s">
        <v>333</v>
      </c>
      <c r="U249" s="15">
        <v>1</v>
      </c>
      <c r="V249" s="15">
        <v>1</v>
      </c>
      <c r="W249" s="15">
        <v>1</v>
      </c>
    </row>
    <row r="250" spans="13:23" x14ac:dyDescent="0.2">
      <c r="M250" s="14">
        <v>98042</v>
      </c>
      <c r="N250" s="14" t="s">
        <v>10</v>
      </c>
      <c r="O250" s="15">
        <v>223</v>
      </c>
      <c r="P250" s="15">
        <v>174</v>
      </c>
      <c r="Q250" s="15">
        <v>255</v>
      </c>
      <c r="S250" s="14">
        <v>98271</v>
      </c>
      <c r="T250" s="14" t="s">
        <v>10</v>
      </c>
      <c r="U250" s="15">
        <v>11</v>
      </c>
      <c r="V250" s="15">
        <v>10</v>
      </c>
      <c r="W250" s="15">
        <v>9</v>
      </c>
    </row>
    <row r="251" spans="13:23" x14ac:dyDescent="0.2">
      <c r="M251" s="14">
        <v>98043</v>
      </c>
      <c r="N251" s="14" t="s">
        <v>10</v>
      </c>
      <c r="O251" s="15">
        <v>13</v>
      </c>
      <c r="P251" s="15">
        <v>18</v>
      </c>
      <c r="Q251" s="15">
        <v>44</v>
      </c>
      <c r="S251" s="14">
        <v>98272</v>
      </c>
      <c r="T251" s="14" t="s">
        <v>333</v>
      </c>
      <c r="U251" s="15">
        <v>5</v>
      </c>
      <c r="V251" s="15"/>
      <c r="W251" s="15">
        <v>7</v>
      </c>
    </row>
    <row r="252" spans="13:23" x14ac:dyDescent="0.2">
      <c r="M252" s="14">
        <v>98045</v>
      </c>
      <c r="N252" s="14" t="s">
        <v>10</v>
      </c>
      <c r="O252" s="15">
        <v>34</v>
      </c>
      <c r="P252" s="15">
        <v>38</v>
      </c>
      <c r="Q252" s="15">
        <v>41</v>
      </c>
      <c r="S252" s="14">
        <v>98272</v>
      </c>
      <c r="T252" s="14" t="s">
        <v>10</v>
      </c>
      <c r="U252" s="15">
        <v>12</v>
      </c>
      <c r="V252" s="15">
        <v>15</v>
      </c>
      <c r="W252" s="15">
        <v>25</v>
      </c>
    </row>
    <row r="253" spans="13:23" x14ac:dyDescent="0.2">
      <c r="M253" s="14">
        <v>98047</v>
      </c>
      <c r="N253" s="14" t="s">
        <v>10</v>
      </c>
      <c r="O253" s="15">
        <v>56</v>
      </c>
      <c r="P253" s="15">
        <v>46</v>
      </c>
      <c r="Q253" s="15">
        <v>64</v>
      </c>
      <c r="S253" s="14">
        <v>98273</v>
      </c>
      <c r="T253" s="14" t="s">
        <v>333</v>
      </c>
      <c r="U253" s="15">
        <v>9</v>
      </c>
      <c r="V253" s="15">
        <v>7</v>
      </c>
      <c r="W253" s="15">
        <v>9</v>
      </c>
    </row>
    <row r="254" spans="13:23" x14ac:dyDescent="0.2">
      <c r="M254" s="14">
        <v>98050</v>
      </c>
      <c r="N254" s="14" t="s">
        <v>10</v>
      </c>
      <c r="O254" s="15">
        <v>1</v>
      </c>
      <c r="P254" s="15">
        <v>1</v>
      </c>
      <c r="Q254" s="15">
        <v>1</v>
      </c>
      <c r="S254" s="14">
        <v>98273</v>
      </c>
      <c r="T254" s="14" t="s">
        <v>10</v>
      </c>
      <c r="U254" s="15">
        <v>78</v>
      </c>
      <c r="V254" s="15">
        <v>65</v>
      </c>
      <c r="W254" s="15">
        <v>94</v>
      </c>
    </row>
    <row r="255" spans="13:23" x14ac:dyDescent="0.2">
      <c r="M255" s="14">
        <v>98051</v>
      </c>
      <c r="N255" s="14" t="s">
        <v>10</v>
      </c>
      <c r="O255" s="15">
        <v>15</v>
      </c>
      <c r="P255" s="15">
        <v>12</v>
      </c>
      <c r="Q255" s="15">
        <v>18</v>
      </c>
      <c r="S255" s="14">
        <v>98274</v>
      </c>
      <c r="T255" s="14" t="s">
        <v>333</v>
      </c>
      <c r="U255" s="15">
        <v>6</v>
      </c>
      <c r="V255" s="15">
        <v>5</v>
      </c>
      <c r="W255" s="15">
        <v>2</v>
      </c>
    </row>
    <row r="256" spans="13:23" x14ac:dyDescent="0.2">
      <c r="M256" s="14">
        <v>98052</v>
      </c>
      <c r="N256" s="14" t="s">
        <v>10</v>
      </c>
      <c r="O256" s="15">
        <v>207</v>
      </c>
      <c r="P256" s="15">
        <v>134</v>
      </c>
      <c r="Q256" s="15">
        <v>224</v>
      </c>
      <c r="S256" s="14">
        <v>98274</v>
      </c>
      <c r="T256" s="14" t="s">
        <v>10</v>
      </c>
      <c r="U256" s="15">
        <v>30</v>
      </c>
      <c r="V256" s="15">
        <v>30</v>
      </c>
      <c r="W256" s="15">
        <v>41</v>
      </c>
    </row>
    <row r="257" spans="13:23" x14ac:dyDescent="0.2">
      <c r="M257" s="14">
        <v>98053</v>
      </c>
      <c r="N257" s="14" t="s">
        <v>10</v>
      </c>
      <c r="O257" s="15">
        <v>37</v>
      </c>
      <c r="P257" s="15">
        <v>37</v>
      </c>
      <c r="Q257" s="15">
        <v>37</v>
      </c>
      <c r="S257" s="14">
        <v>98275</v>
      </c>
      <c r="T257" s="14" t="s">
        <v>333</v>
      </c>
      <c r="U257" s="15">
        <v>1</v>
      </c>
      <c r="V257" s="15">
        <v>2</v>
      </c>
      <c r="W257" s="15">
        <v>2</v>
      </c>
    </row>
    <row r="258" spans="13:23" x14ac:dyDescent="0.2">
      <c r="M258" s="14">
        <v>98055</v>
      </c>
      <c r="N258" s="14" t="s">
        <v>10</v>
      </c>
      <c r="O258" s="15">
        <v>204</v>
      </c>
      <c r="P258" s="15">
        <v>161</v>
      </c>
      <c r="Q258" s="15">
        <v>223</v>
      </c>
      <c r="S258" s="14">
        <v>98275</v>
      </c>
      <c r="T258" s="14" t="s">
        <v>10</v>
      </c>
      <c r="U258" s="15">
        <v>6</v>
      </c>
      <c r="V258" s="15">
        <v>6</v>
      </c>
      <c r="W258" s="15">
        <v>6</v>
      </c>
    </row>
    <row r="259" spans="13:23" x14ac:dyDescent="0.2">
      <c r="M259" s="14">
        <v>98056</v>
      </c>
      <c r="N259" s="14" t="s">
        <v>10</v>
      </c>
      <c r="O259" s="15">
        <v>192</v>
      </c>
      <c r="P259" s="15">
        <v>127</v>
      </c>
      <c r="Q259" s="15">
        <v>209</v>
      </c>
      <c r="S259" s="14">
        <v>98276</v>
      </c>
      <c r="T259" s="14" t="s">
        <v>333</v>
      </c>
      <c r="U259" s="15">
        <v>1</v>
      </c>
      <c r="V259" s="15"/>
      <c r="W259" s="15">
        <v>1</v>
      </c>
    </row>
    <row r="260" spans="13:23" x14ac:dyDescent="0.2">
      <c r="M260" s="14">
        <v>98057</v>
      </c>
      <c r="N260" s="14" t="s">
        <v>10</v>
      </c>
      <c r="O260" s="15">
        <v>116</v>
      </c>
      <c r="P260" s="15">
        <v>71</v>
      </c>
      <c r="Q260" s="15">
        <v>135</v>
      </c>
      <c r="S260" s="14">
        <v>98276</v>
      </c>
      <c r="T260" s="14" t="s">
        <v>10</v>
      </c>
      <c r="U260" s="15">
        <v>3</v>
      </c>
      <c r="V260" s="15"/>
      <c r="W260" s="15">
        <v>5</v>
      </c>
    </row>
    <row r="261" spans="13:23" x14ac:dyDescent="0.2">
      <c r="M261" s="14">
        <v>98058</v>
      </c>
      <c r="N261" s="14" t="s">
        <v>10</v>
      </c>
      <c r="O261" s="15">
        <v>234</v>
      </c>
      <c r="P261" s="15">
        <v>186</v>
      </c>
      <c r="Q261" s="15">
        <v>256</v>
      </c>
      <c r="S261" s="14">
        <v>98277</v>
      </c>
      <c r="T261" s="14" t="s">
        <v>333</v>
      </c>
      <c r="U261" s="15">
        <v>2</v>
      </c>
      <c r="V261" s="15">
        <v>9</v>
      </c>
      <c r="W261" s="15">
        <v>2</v>
      </c>
    </row>
    <row r="262" spans="13:23" x14ac:dyDescent="0.2">
      <c r="M262" s="14">
        <v>98059</v>
      </c>
      <c r="N262" s="14" t="s">
        <v>10</v>
      </c>
      <c r="O262" s="15">
        <v>140</v>
      </c>
      <c r="P262" s="15">
        <v>86</v>
      </c>
      <c r="Q262" s="15">
        <v>156</v>
      </c>
      <c r="S262" s="14">
        <v>98277</v>
      </c>
      <c r="T262" s="14" t="s">
        <v>10</v>
      </c>
      <c r="U262" s="15">
        <v>155</v>
      </c>
      <c r="V262" s="15">
        <v>141</v>
      </c>
      <c r="W262" s="15">
        <v>149</v>
      </c>
    </row>
    <row r="263" spans="13:23" x14ac:dyDescent="0.2">
      <c r="M263" s="14">
        <v>98065</v>
      </c>
      <c r="N263" s="14" t="s">
        <v>10</v>
      </c>
      <c r="O263" s="15">
        <v>38</v>
      </c>
      <c r="P263" s="15">
        <v>28</v>
      </c>
      <c r="Q263" s="15">
        <v>38</v>
      </c>
      <c r="S263" s="14">
        <v>98281</v>
      </c>
      <c r="T263" s="14" t="s">
        <v>333</v>
      </c>
      <c r="U263" s="15">
        <v>1</v>
      </c>
      <c r="V263" s="15">
        <v>1</v>
      </c>
      <c r="W263" s="15">
        <v>1</v>
      </c>
    </row>
    <row r="264" spans="13:23" x14ac:dyDescent="0.2">
      <c r="M264" s="14">
        <v>98068</v>
      </c>
      <c r="N264" s="14" t="s">
        <v>10</v>
      </c>
      <c r="O264" s="15">
        <v>4</v>
      </c>
      <c r="P264" s="15">
        <v>4</v>
      </c>
      <c r="Q264" s="15">
        <v>5</v>
      </c>
      <c r="S264" s="14">
        <v>98281</v>
      </c>
      <c r="T264" s="14" t="s">
        <v>10</v>
      </c>
      <c r="U264" s="15">
        <v>5</v>
      </c>
      <c r="V264" s="15">
        <v>6</v>
      </c>
      <c r="W264" s="15">
        <v>11</v>
      </c>
    </row>
    <row r="265" spans="13:23" x14ac:dyDescent="0.2">
      <c r="M265" s="14">
        <v>98070</v>
      </c>
      <c r="N265" s="14" t="s">
        <v>10</v>
      </c>
      <c r="O265" s="15">
        <v>33</v>
      </c>
      <c r="P265" s="15">
        <v>28</v>
      </c>
      <c r="Q265" s="15">
        <v>51</v>
      </c>
      <c r="S265" s="14">
        <v>98283</v>
      </c>
      <c r="T265" s="14" t="s">
        <v>333</v>
      </c>
      <c r="U265" s="15">
        <v>1</v>
      </c>
      <c r="V265" s="15"/>
      <c r="W265" s="15">
        <v>5</v>
      </c>
    </row>
    <row r="266" spans="13:23" x14ac:dyDescent="0.2">
      <c r="M266" s="14">
        <v>98072</v>
      </c>
      <c r="N266" s="14" t="s">
        <v>10</v>
      </c>
      <c r="O266" s="15">
        <v>61</v>
      </c>
      <c r="P266" s="15">
        <v>44</v>
      </c>
      <c r="Q266" s="15">
        <v>73</v>
      </c>
      <c r="S266" s="14">
        <v>98283</v>
      </c>
      <c r="T266" s="14" t="s">
        <v>10</v>
      </c>
      <c r="U266" s="15">
        <v>5</v>
      </c>
      <c r="V266" s="15">
        <v>1</v>
      </c>
      <c r="W266" s="15">
        <v>2</v>
      </c>
    </row>
    <row r="267" spans="13:23" x14ac:dyDescent="0.2">
      <c r="M267" s="14">
        <v>98074</v>
      </c>
      <c r="N267" s="14" t="s">
        <v>10</v>
      </c>
      <c r="O267" s="15">
        <v>25</v>
      </c>
      <c r="P267" s="15">
        <v>35</v>
      </c>
      <c r="Q267" s="15">
        <v>33</v>
      </c>
      <c r="S267" s="14">
        <v>98284</v>
      </c>
      <c r="T267" s="14" t="s">
        <v>333</v>
      </c>
      <c r="U267" s="15">
        <v>4</v>
      </c>
      <c r="V267" s="15">
        <v>2</v>
      </c>
      <c r="W267" s="15">
        <v>4</v>
      </c>
    </row>
    <row r="268" spans="13:23" x14ac:dyDescent="0.2">
      <c r="M268" s="14">
        <v>98075</v>
      </c>
      <c r="N268" s="14" t="s">
        <v>10</v>
      </c>
      <c r="O268" s="15">
        <v>21</v>
      </c>
      <c r="P268" s="15">
        <v>29</v>
      </c>
      <c r="Q268" s="15">
        <v>31</v>
      </c>
      <c r="S268" s="14">
        <v>98284</v>
      </c>
      <c r="T268" s="14" t="s">
        <v>10</v>
      </c>
      <c r="U268" s="15">
        <v>96</v>
      </c>
      <c r="V268" s="15">
        <v>53</v>
      </c>
      <c r="W268" s="15">
        <v>115</v>
      </c>
    </row>
    <row r="269" spans="13:23" x14ac:dyDescent="0.2">
      <c r="M269" s="14">
        <v>98077</v>
      </c>
      <c r="N269" s="14" t="s">
        <v>10</v>
      </c>
      <c r="O269" s="15">
        <v>19</v>
      </c>
      <c r="P269" s="15">
        <v>16</v>
      </c>
      <c r="Q269" s="15">
        <v>22</v>
      </c>
      <c r="S269" s="14">
        <v>98288</v>
      </c>
      <c r="T269" s="14" t="s">
        <v>333</v>
      </c>
      <c r="U269" s="15"/>
      <c r="V269" s="15">
        <v>1</v>
      </c>
      <c r="W269" s="15">
        <v>1</v>
      </c>
    </row>
    <row r="270" spans="13:23" x14ac:dyDescent="0.2">
      <c r="M270" s="14">
        <v>98087</v>
      </c>
      <c r="N270" s="14" t="s">
        <v>10</v>
      </c>
      <c r="O270" s="15">
        <v>26</v>
      </c>
      <c r="P270" s="15">
        <v>23</v>
      </c>
      <c r="Q270" s="15">
        <v>40</v>
      </c>
      <c r="S270" s="14">
        <v>98288</v>
      </c>
      <c r="T270" s="14" t="s">
        <v>10</v>
      </c>
      <c r="U270" s="15">
        <v>2</v>
      </c>
      <c r="V270" s="15"/>
      <c r="W270" s="15">
        <v>2</v>
      </c>
    </row>
    <row r="271" spans="13:23" x14ac:dyDescent="0.2">
      <c r="M271" s="14">
        <v>98092</v>
      </c>
      <c r="N271" s="14" t="s">
        <v>10</v>
      </c>
      <c r="O271" s="15">
        <v>317</v>
      </c>
      <c r="P271" s="15">
        <v>259</v>
      </c>
      <c r="Q271" s="15">
        <v>346</v>
      </c>
      <c r="S271" s="14">
        <v>98290</v>
      </c>
      <c r="T271" s="14" t="s">
        <v>333</v>
      </c>
      <c r="U271" s="15">
        <v>1</v>
      </c>
      <c r="V271" s="15">
        <v>3</v>
      </c>
      <c r="W271" s="15"/>
    </row>
    <row r="272" spans="13:23" x14ac:dyDescent="0.2">
      <c r="M272" s="14">
        <v>98101</v>
      </c>
      <c r="N272" s="14" t="s">
        <v>10</v>
      </c>
      <c r="O272" s="15">
        <v>5</v>
      </c>
      <c r="P272" s="15">
        <v>2</v>
      </c>
      <c r="Q272" s="15">
        <v>1</v>
      </c>
      <c r="S272" s="14">
        <v>98290</v>
      </c>
      <c r="T272" s="14" t="s">
        <v>10</v>
      </c>
      <c r="U272" s="15">
        <v>15</v>
      </c>
      <c r="V272" s="15">
        <v>16</v>
      </c>
      <c r="W272" s="15">
        <v>14</v>
      </c>
    </row>
    <row r="273" spans="13:23" x14ac:dyDescent="0.2">
      <c r="M273" s="14">
        <v>98102</v>
      </c>
      <c r="N273" s="14" t="s">
        <v>10</v>
      </c>
      <c r="O273" s="15">
        <v>8</v>
      </c>
      <c r="P273" s="15">
        <v>5</v>
      </c>
      <c r="Q273" s="15">
        <v>12</v>
      </c>
      <c r="S273" s="14">
        <v>98292</v>
      </c>
      <c r="T273" s="14" t="s">
        <v>333</v>
      </c>
      <c r="U273" s="15">
        <v>1</v>
      </c>
      <c r="V273" s="15"/>
      <c r="W273" s="15"/>
    </row>
    <row r="274" spans="13:23" x14ac:dyDescent="0.2">
      <c r="M274" s="14">
        <v>98103</v>
      </c>
      <c r="N274" s="14" t="s">
        <v>10</v>
      </c>
      <c r="O274" s="15">
        <v>33</v>
      </c>
      <c r="P274" s="15">
        <v>46</v>
      </c>
      <c r="Q274" s="15">
        <v>38</v>
      </c>
      <c r="S274" s="14">
        <v>98292</v>
      </c>
      <c r="T274" s="14" t="s">
        <v>10</v>
      </c>
      <c r="U274" s="15">
        <v>3</v>
      </c>
      <c r="V274" s="15">
        <v>1</v>
      </c>
      <c r="W274" s="15">
        <v>1</v>
      </c>
    </row>
    <row r="275" spans="13:23" x14ac:dyDescent="0.2">
      <c r="M275" s="14">
        <v>98104</v>
      </c>
      <c r="N275" s="14" t="s">
        <v>10</v>
      </c>
      <c r="O275" s="15">
        <v>3</v>
      </c>
      <c r="P275" s="15">
        <v>1</v>
      </c>
      <c r="Q275" s="15">
        <v>4</v>
      </c>
      <c r="S275" s="14">
        <v>98294</v>
      </c>
      <c r="T275" s="14" t="s">
        <v>10</v>
      </c>
      <c r="U275" s="15">
        <v>7</v>
      </c>
      <c r="V275" s="15">
        <v>9</v>
      </c>
      <c r="W275" s="15">
        <v>9</v>
      </c>
    </row>
    <row r="276" spans="13:23" x14ac:dyDescent="0.2">
      <c r="M276" s="14">
        <v>98105</v>
      </c>
      <c r="N276" s="14" t="s">
        <v>10</v>
      </c>
      <c r="O276" s="15">
        <v>27</v>
      </c>
      <c r="P276" s="15">
        <v>22</v>
      </c>
      <c r="Q276" s="15">
        <v>33</v>
      </c>
      <c r="S276" s="14">
        <v>98295</v>
      </c>
      <c r="T276" s="14" t="s">
        <v>333</v>
      </c>
      <c r="U276" s="15">
        <v>1</v>
      </c>
      <c r="V276" s="15"/>
      <c r="W276" s="15">
        <v>1</v>
      </c>
    </row>
    <row r="277" spans="13:23" x14ac:dyDescent="0.2">
      <c r="M277" s="14">
        <v>98106</v>
      </c>
      <c r="N277" s="14" t="s">
        <v>10</v>
      </c>
      <c r="O277" s="15">
        <v>23</v>
      </c>
      <c r="P277" s="15">
        <v>22</v>
      </c>
      <c r="Q277" s="15">
        <v>24</v>
      </c>
      <c r="S277" s="14">
        <v>98295</v>
      </c>
      <c r="T277" s="14" t="s">
        <v>10</v>
      </c>
      <c r="U277" s="15">
        <v>4</v>
      </c>
      <c r="V277" s="15">
        <v>4</v>
      </c>
      <c r="W277" s="15">
        <v>8</v>
      </c>
    </row>
    <row r="278" spans="13:23" x14ac:dyDescent="0.2">
      <c r="M278" s="14">
        <v>98107</v>
      </c>
      <c r="N278" s="14" t="s">
        <v>10</v>
      </c>
      <c r="O278" s="15">
        <v>10</v>
      </c>
      <c r="P278" s="15">
        <v>15</v>
      </c>
      <c r="Q278" s="15">
        <v>17</v>
      </c>
      <c r="S278" s="14">
        <v>98296</v>
      </c>
      <c r="T278" s="14" t="s">
        <v>333</v>
      </c>
      <c r="U278" s="15">
        <v>1</v>
      </c>
      <c r="V278" s="15"/>
      <c r="W278" s="15">
        <v>2</v>
      </c>
    </row>
    <row r="279" spans="13:23" x14ac:dyDescent="0.2">
      <c r="M279" s="14">
        <v>98108</v>
      </c>
      <c r="N279" s="14" t="s">
        <v>10</v>
      </c>
      <c r="O279" s="15">
        <v>36</v>
      </c>
      <c r="P279" s="15">
        <v>30</v>
      </c>
      <c r="Q279" s="15">
        <v>56</v>
      </c>
      <c r="S279" s="14">
        <v>98296</v>
      </c>
      <c r="T279" s="14" t="s">
        <v>10</v>
      </c>
      <c r="U279" s="15">
        <v>13</v>
      </c>
      <c r="V279" s="15">
        <v>5</v>
      </c>
      <c r="W279" s="15">
        <v>11</v>
      </c>
    </row>
    <row r="280" spans="13:23" x14ac:dyDescent="0.2">
      <c r="M280" s="14">
        <v>98109</v>
      </c>
      <c r="N280" s="14" t="s">
        <v>10</v>
      </c>
      <c r="O280" s="15">
        <v>10</v>
      </c>
      <c r="P280" s="15">
        <v>10</v>
      </c>
      <c r="Q280" s="15">
        <v>10</v>
      </c>
      <c r="S280" s="14">
        <v>98310</v>
      </c>
      <c r="T280" s="14" t="s">
        <v>333</v>
      </c>
      <c r="U280" s="15">
        <v>1</v>
      </c>
      <c r="V280" s="15">
        <v>6</v>
      </c>
      <c r="W280" s="15">
        <v>5</v>
      </c>
    </row>
    <row r="281" spans="13:23" x14ac:dyDescent="0.2">
      <c r="M281" s="14">
        <v>98110</v>
      </c>
      <c r="N281" s="14" t="s">
        <v>10</v>
      </c>
      <c r="O281" s="15">
        <v>40</v>
      </c>
      <c r="P281" s="15">
        <v>26</v>
      </c>
      <c r="Q281" s="15">
        <v>41</v>
      </c>
      <c r="S281" s="14">
        <v>98310</v>
      </c>
      <c r="T281" s="14" t="s">
        <v>10</v>
      </c>
      <c r="U281" s="15">
        <v>114</v>
      </c>
      <c r="V281" s="15">
        <v>77</v>
      </c>
      <c r="W281" s="15">
        <v>107</v>
      </c>
    </row>
    <row r="282" spans="13:23" x14ac:dyDescent="0.2">
      <c r="M282" s="14">
        <v>98112</v>
      </c>
      <c r="N282" s="14" t="s">
        <v>10</v>
      </c>
      <c r="O282" s="15">
        <v>13</v>
      </c>
      <c r="P282" s="15">
        <v>20</v>
      </c>
      <c r="Q282" s="15">
        <v>24</v>
      </c>
      <c r="S282" s="14">
        <v>98311</v>
      </c>
      <c r="T282" s="14" t="s">
        <v>333</v>
      </c>
      <c r="U282" s="15">
        <v>2</v>
      </c>
      <c r="V282" s="15">
        <v>1</v>
      </c>
      <c r="W282" s="15">
        <v>4</v>
      </c>
    </row>
    <row r="283" spans="13:23" x14ac:dyDescent="0.2">
      <c r="M283" s="14">
        <v>98115</v>
      </c>
      <c r="N283" s="14" t="s">
        <v>10</v>
      </c>
      <c r="O283" s="15">
        <v>39</v>
      </c>
      <c r="P283" s="15">
        <v>31</v>
      </c>
      <c r="Q283" s="15">
        <v>54</v>
      </c>
      <c r="S283" s="14">
        <v>98311</v>
      </c>
      <c r="T283" s="14" t="s">
        <v>10</v>
      </c>
      <c r="U283" s="15">
        <v>112</v>
      </c>
      <c r="V283" s="15">
        <v>73</v>
      </c>
      <c r="W283" s="15">
        <v>84</v>
      </c>
    </row>
    <row r="284" spans="13:23" x14ac:dyDescent="0.2">
      <c r="M284" s="14">
        <v>98116</v>
      </c>
      <c r="N284" s="14" t="s">
        <v>10</v>
      </c>
      <c r="O284" s="15">
        <v>15</v>
      </c>
      <c r="P284" s="15">
        <v>15</v>
      </c>
      <c r="Q284" s="15">
        <v>23</v>
      </c>
      <c r="S284" s="14">
        <v>98312</v>
      </c>
      <c r="T284" s="14" t="s">
        <v>333</v>
      </c>
      <c r="U284" s="15">
        <v>5</v>
      </c>
      <c r="V284" s="15">
        <v>3</v>
      </c>
      <c r="W284" s="15">
        <v>7</v>
      </c>
    </row>
    <row r="285" spans="13:23" x14ac:dyDescent="0.2">
      <c r="M285" s="14">
        <v>98117</v>
      </c>
      <c r="N285" s="14" t="s">
        <v>10</v>
      </c>
      <c r="O285" s="15">
        <v>24</v>
      </c>
      <c r="P285" s="15">
        <v>14</v>
      </c>
      <c r="Q285" s="15">
        <v>25</v>
      </c>
      <c r="S285" s="14">
        <v>98312</v>
      </c>
      <c r="T285" s="14" t="s">
        <v>10</v>
      </c>
      <c r="U285" s="15">
        <v>154</v>
      </c>
      <c r="V285" s="15">
        <v>128</v>
      </c>
      <c r="W285" s="15">
        <v>161</v>
      </c>
    </row>
    <row r="286" spans="13:23" x14ac:dyDescent="0.2">
      <c r="M286" s="14">
        <v>98118</v>
      </c>
      <c r="N286" s="14" t="s">
        <v>10</v>
      </c>
      <c r="O286" s="15">
        <v>44</v>
      </c>
      <c r="P286" s="15">
        <v>46</v>
      </c>
      <c r="Q286" s="15">
        <v>75</v>
      </c>
      <c r="S286" s="14">
        <v>98321</v>
      </c>
      <c r="T286" s="14" t="s">
        <v>333</v>
      </c>
      <c r="U286" s="15">
        <v>7</v>
      </c>
      <c r="V286" s="15">
        <v>2</v>
      </c>
      <c r="W286" s="15">
        <v>3</v>
      </c>
    </row>
    <row r="287" spans="13:23" x14ac:dyDescent="0.2">
      <c r="M287" s="14">
        <v>98119</v>
      </c>
      <c r="N287" s="14" t="s">
        <v>10</v>
      </c>
      <c r="O287" s="15">
        <v>10</v>
      </c>
      <c r="P287" s="15">
        <v>6</v>
      </c>
      <c r="Q287" s="15">
        <v>23</v>
      </c>
      <c r="S287" s="14">
        <v>98321</v>
      </c>
      <c r="T287" s="14" t="s">
        <v>10</v>
      </c>
      <c r="U287" s="15">
        <v>66</v>
      </c>
      <c r="V287" s="15">
        <v>45</v>
      </c>
      <c r="W287" s="15">
        <v>54</v>
      </c>
    </row>
    <row r="288" spans="13:23" x14ac:dyDescent="0.2">
      <c r="M288" s="14">
        <v>98121</v>
      </c>
      <c r="N288" s="14" t="s">
        <v>10</v>
      </c>
      <c r="O288" s="15">
        <v>3</v>
      </c>
      <c r="P288" s="15">
        <v>5</v>
      </c>
      <c r="Q288" s="15">
        <v>3</v>
      </c>
      <c r="S288" s="14">
        <v>98323</v>
      </c>
      <c r="T288" s="14" t="s">
        <v>333</v>
      </c>
      <c r="U288" s="15">
        <v>2</v>
      </c>
      <c r="V288" s="15">
        <v>1</v>
      </c>
      <c r="W288" s="15">
        <v>1</v>
      </c>
    </row>
    <row r="289" spans="13:23" x14ac:dyDescent="0.2">
      <c r="M289" s="14">
        <v>98122</v>
      </c>
      <c r="N289" s="14" t="s">
        <v>10</v>
      </c>
      <c r="O289" s="15">
        <v>32</v>
      </c>
      <c r="P289" s="15">
        <v>36</v>
      </c>
      <c r="Q289" s="15">
        <v>42</v>
      </c>
      <c r="S289" s="14">
        <v>98323</v>
      </c>
      <c r="T289" s="14" t="s">
        <v>10</v>
      </c>
      <c r="U289" s="15">
        <v>1</v>
      </c>
      <c r="V289" s="15">
        <v>2</v>
      </c>
      <c r="W289" s="15">
        <v>2</v>
      </c>
    </row>
    <row r="290" spans="13:23" x14ac:dyDescent="0.2">
      <c r="M290" s="14">
        <v>98125</v>
      </c>
      <c r="N290" s="14" t="s">
        <v>10</v>
      </c>
      <c r="O290" s="15">
        <v>26</v>
      </c>
      <c r="P290" s="15">
        <v>21</v>
      </c>
      <c r="Q290" s="15">
        <v>26</v>
      </c>
      <c r="S290" s="14">
        <v>98327</v>
      </c>
      <c r="T290" s="14" t="s">
        <v>333</v>
      </c>
      <c r="U290" s="15"/>
      <c r="V290" s="15">
        <v>2</v>
      </c>
      <c r="W290" s="15">
        <v>2</v>
      </c>
    </row>
    <row r="291" spans="13:23" x14ac:dyDescent="0.2">
      <c r="M291" s="14">
        <v>98126</v>
      </c>
      <c r="N291" s="14" t="s">
        <v>10</v>
      </c>
      <c r="O291" s="15">
        <v>20</v>
      </c>
      <c r="P291" s="15">
        <v>22</v>
      </c>
      <c r="Q291" s="15">
        <v>53</v>
      </c>
      <c r="S291" s="14">
        <v>98327</v>
      </c>
      <c r="T291" s="14" t="s">
        <v>10</v>
      </c>
      <c r="U291" s="15">
        <v>23</v>
      </c>
      <c r="V291" s="15">
        <v>16</v>
      </c>
      <c r="W291" s="15">
        <v>20</v>
      </c>
    </row>
    <row r="292" spans="13:23" x14ac:dyDescent="0.2">
      <c r="M292" s="14">
        <v>98133</v>
      </c>
      <c r="N292" s="14" t="s">
        <v>10</v>
      </c>
      <c r="O292" s="15">
        <v>28</v>
      </c>
      <c r="P292" s="15">
        <v>32</v>
      </c>
      <c r="Q292" s="15">
        <v>50</v>
      </c>
      <c r="S292" s="14">
        <v>98328</v>
      </c>
      <c r="T292" s="14" t="s">
        <v>10</v>
      </c>
      <c r="U292" s="15">
        <v>4</v>
      </c>
      <c r="V292" s="15"/>
      <c r="W292" s="15">
        <v>1</v>
      </c>
    </row>
    <row r="293" spans="13:23" x14ac:dyDescent="0.2">
      <c r="M293" s="14">
        <v>98134</v>
      </c>
      <c r="N293" s="14" t="s">
        <v>10</v>
      </c>
      <c r="O293" s="15">
        <v>1</v>
      </c>
      <c r="P293" s="15">
        <v>2</v>
      </c>
      <c r="Q293" s="15">
        <v>1</v>
      </c>
      <c r="S293" s="14">
        <v>98332</v>
      </c>
      <c r="T293" s="14" t="s">
        <v>10</v>
      </c>
      <c r="U293" s="15">
        <v>7</v>
      </c>
      <c r="V293" s="15">
        <v>7</v>
      </c>
      <c r="W293" s="15">
        <v>12</v>
      </c>
    </row>
    <row r="294" spans="13:23" x14ac:dyDescent="0.2">
      <c r="M294" s="14">
        <v>98136</v>
      </c>
      <c r="N294" s="14" t="s">
        <v>10</v>
      </c>
      <c r="O294" s="15">
        <v>17</v>
      </c>
      <c r="P294" s="15">
        <v>14</v>
      </c>
      <c r="Q294" s="15">
        <v>22</v>
      </c>
      <c r="S294" s="14">
        <v>98335</v>
      </c>
      <c r="T294" s="14" t="s">
        <v>333</v>
      </c>
      <c r="U294" s="15">
        <v>2</v>
      </c>
      <c r="V294" s="15">
        <v>2</v>
      </c>
      <c r="W294" s="15">
        <v>2</v>
      </c>
    </row>
    <row r="295" spans="13:23" x14ac:dyDescent="0.2">
      <c r="M295" s="14">
        <v>98144</v>
      </c>
      <c r="N295" s="14" t="s">
        <v>10</v>
      </c>
      <c r="O295" s="15">
        <v>33</v>
      </c>
      <c r="P295" s="15">
        <v>34</v>
      </c>
      <c r="Q295" s="15">
        <v>29</v>
      </c>
      <c r="S295" s="14">
        <v>98335</v>
      </c>
      <c r="T295" s="14" t="s">
        <v>10</v>
      </c>
      <c r="U295" s="15">
        <v>7</v>
      </c>
      <c r="V295" s="15">
        <v>7</v>
      </c>
      <c r="W295" s="15">
        <v>9</v>
      </c>
    </row>
    <row r="296" spans="13:23" x14ac:dyDescent="0.2">
      <c r="M296" s="14">
        <v>98146</v>
      </c>
      <c r="N296" s="14" t="s">
        <v>10</v>
      </c>
      <c r="O296" s="15">
        <v>23</v>
      </c>
      <c r="P296" s="15">
        <v>15</v>
      </c>
      <c r="Q296" s="15">
        <v>44</v>
      </c>
      <c r="S296" s="14">
        <v>98337</v>
      </c>
      <c r="T296" s="14" t="s">
        <v>333</v>
      </c>
      <c r="U296" s="15">
        <v>5</v>
      </c>
      <c r="V296" s="15">
        <v>1</v>
      </c>
      <c r="W296" s="15">
        <v>5</v>
      </c>
    </row>
    <row r="297" spans="13:23" x14ac:dyDescent="0.2">
      <c r="M297" s="14">
        <v>98148</v>
      </c>
      <c r="N297" s="14" t="s">
        <v>10</v>
      </c>
      <c r="O297" s="15">
        <v>58</v>
      </c>
      <c r="P297" s="15">
        <v>47</v>
      </c>
      <c r="Q297" s="15">
        <v>81</v>
      </c>
      <c r="S297" s="14">
        <v>98337</v>
      </c>
      <c r="T297" s="14" t="s">
        <v>10</v>
      </c>
      <c r="U297" s="15">
        <v>39</v>
      </c>
      <c r="V297" s="15">
        <v>35</v>
      </c>
      <c r="W297" s="15">
        <v>38</v>
      </c>
    </row>
    <row r="298" spans="13:23" x14ac:dyDescent="0.2">
      <c r="M298" s="14">
        <v>98155</v>
      </c>
      <c r="N298" s="14" t="s">
        <v>10</v>
      </c>
      <c r="O298" s="15">
        <v>37</v>
      </c>
      <c r="P298" s="15">
        <v>34</v>
      </c>
      <c r="Q298" s="15">
        <v>35</v>
      </c>
      <c r="S298" s="14">
        <v>98338</v>
      </c>
      <c r="T298" s="14" t="s">
        <v>333</v>
      </c>
      <c r="U298" s="15">
        <v>5</v>
      </c>
      <c r="V298" s="15">
        <v>3</v>
      </c>
      <c r="W298" s="15">
        <v>4</v>
      </c>
    </row>
    <row r="299" spans="13:23" x14ac:dyDescent="0.2">
      <c r="M299" s="14">
        <v>98166</v>
      </c>
      <c r="N299" s="14" t="s">
        <v>10</v>
      </c>
      <c r="O299" s="15">
        <v>52</v>
      </c>
      <c r="P299" s="15">
        <v>44</v>
      </c>
      <c r="Q299" s="15">
        <v>66</v>
      </c>
      <c r="S299" s="14">
        <v>98338</v>
      </c>
      <c r="T299" s="14" t="s">
        <v>10</v>
      </c>
      <c r="U299" s="15">
        <v>63</v>
      </c>
      <c r="V299" s="15">
        <v>45</v>
      </c>
      <c r="W299" s="15">
        <v>70</v>
      </c>
    </row>
    <row r="300" spans="13:23" x14ac:dyDescent="0.2">
      <c r="M300" s="14">
        <v>98168</v>
      </c>
      <c r="N300" s="14" t="s">
        <v>10</v>
      </c>
      <c r="O300" s="15">
        <v>41</v>
      </c>
      <c r="P300" s="15">
        <v>36</v>
      </c>
      <c r="Q300" s="15">
        <v>71</v>
      </c>
      <c r="S300" s="14">
        <v>98340</v>
      </c>
      <c r="T300" s="14" t="s">
        <v>10</v>
      </c>
      <c r="U300" s="15">
        <v>1</v>
      </c>
      <c r="V300" s="15">
        <v>1</v>
      </c>
      <c r="W300" s="15">
        <v>6</v>
      </c>
    </row>
    <row r="301" spans="13:23" x14ac:dyDescent="0.2">
      <c r="M301" s="14">
        <v>98177</v>
      </c>
      <c r="N301" s="14" t="s">
        <v>10</v>
      </c>
      <c r="O301" s="15">
        <v>19</v>
      </c>
      <c r="P301" s="15">
        <v>21</v>
      </c>
      <c r="Q301" s="15">
        <v>35</v>
      </c>
      <c r="S301" s="14">
        <v>98342</v>
      </c>
      <c r="T301" s="14" t="s">
        <v>10</v>
      </c>
      <c r="U301" s="15">
        <v>3</v>
      </c>
      <c r="V301" s="15">
        <v>5</v>
      </c>
      <c r="W301" s="15">
        <v>4</v>
      </c>
    </row>
    <row r="302" spans="13:23" x14ac:dyDescent="0.2">
      <c r="M302" s="14">
        <v>98178</v>
      </c>
      <c r="N302" s="14" t="s">
        <v>10</v>
      </c>
      <c r="O302" s="15">
        <v>27</v>
      </c>
      <c r="P302" s="15">
        <v>18</v>
      </c>
      <c r="Q302" s="15">
        <v>34</v>
      </c>
      <c r="S302" s="14">
        <v>98345</v>
      </c>
      <c r="T302" s="14" t="s">
        <v>10</v>
      </c>
      <c r="U302" s="15">
        <v>1</v>
      </c>
      <c r="V302" s="15">
        <v>6</v>
      </c>
      <c r="W302" s="15">
        <v>1</v>
      </c>
    </row>
    <row r="303" spans="13:23" x14ac:dyDescent="0.2">
      <c r="M303" s="14">
        <v>98188</v>
      </c>
      <c r="N303" s="14" t="s">
        <v>10</v>
      </c>
      <c r="O303" s="15">
        <v>158</v>
      </c>
      <c r="P303" s="15">
        <v>99</v>
      </c>
      <c r="Q303" s="15">
        <v>180</v>
      </c>
      <c r="S303" s="14">
        <v>98346</v>
      </c>
      <c r="T303" s="14" t="s">
        <v>333</v>
      </c>
      <c r="U303" s="15">
        <v>1</v>
      </c>
      <c r="V303" s="15">
        <v>2</v>
      </c>
      <c r="W303" s="15">
        <v>2</v>
      </c>
    </row>
    <row r="304" spans="13:23" x14ac:dyDescent="0.2">
      <c r="M304" s="14">
        <v>98198</v>
      </c>
      <c r="N304" s="14" t="s">
        <v>10</v>
      </c>
      <c r="O304" s="15">
        <v>298</v>
      </c>
      <c r="P304" s="15">
        <v>156</v>
      </c>
      <c r="Q304" s="15">
        <v>309</v>
      </c>
      <c r="S304" s="14">
        <v>98346</v>
      </c>
      <c r="T304" s="14" t="s">
        <v>10</v>
      </c>
      <c r="U304" s="15">
        <v>54</v>
      </c>
      <c r="V304" s="15">
        <v>22</v>
      </c>
      <c r="W304" s="15">
        <v>52</v>
      </c>
    </row>
    <row r="305" spans="13:23" x14ac:dyDescent="0.2">
      <c r="M305" s="14">
        <v>98199</v>
      </c>
      <c r="N305" s="14" t="s">
        <v>10</v>
      </c>
      <c r="O305" s="15">
        <v>16</v>
      </c>
      <c r="P305" s="15">
        <v>7</v>
      </c>
      <c r="Q305" s="15">
        <v>20</v>
      </c>
      <c r="S305" s="14">
        <v>98354</v>
      </c>
      <c r="T305" s="14" t="s">
        <v>333</v>
      </c>
      <c r="U305" s="15">
        <v>3</v>
      </c>
      <c r="V305" s="15"/>
      <c r="W305" s="15">
        <v>2</v>
      </c>
    </row>
    <row r="306" spans="13:23" x14ac:dyDescent="0.2">
      <c r="M306" s="14">
        <v>98201</v>
      </c>
      <c r="N306" s="14" t="s">
        <v>10</v>
      </c>
      <c r="O306" s="15">
        <v>30</v>
      </c>
      <c r="P306" s="15">
        <v>27</v>
      </c>
      <c r="Q306" s="15">
        <v>45</v>
      </c>
      <c r="S306" s="14">
        <v>98354</v>
      </c>
      <c r="T306" s="14" t="s">
        <v>10</v>
      </c>
      <c r="U306" s="15">
        <v>6</v>
      </c>
      <c r="V306" s="15">
        <v>5</v>
      </c>
      <c r="W306" s="15">
        <v>4</v>
      </c>
    </row>
    <row r="307" spans="13:23" x14ac:dyDescent="0.2">
      <c r="M307" s="14">
        <v>98203</v>
      </c>
      <c r="N307" s="14" t="s">
        <v>10</v>
      </c>
      <c r="O307" s="15">
        <v>36</v>
      </c>
      <c r="P307" s="15">
        <v>31</v>
      </c>
      <c r="Q307" s="15">
        <v>37</v>
      </c>
      <c r="S307" s="14">
        <v>98359</v>
      </c>
      <c r="T307" s="14" t="s">
        <v>333</v>
      </c>
      <c r="U307" s="15">
        <v>1</v>
      </c>
      <c r="V307" s="15"/>
      <c r="W307" s="15">
        <v>1</v>
      </c>
    </row>
    <row r="308" spans="13:23" x14ac:dyDescent="0.2">
      <c r="M308" s="14">
        <v>98204</v>
      </c>
      <c r="N308" s="14" t="s">
        <v>10</v>
      </c>
      <c r="O308" s="15">
        <v>34</v>
      </c>
      <c r="P308" s="15">
        <v>17</v>
      </c>
      <c r="Q308" s="15">
        <v>33</v>
      </c>
      <c r="S308" s="14">
        <v>98359</v>
      </c>
      <c r="T308" s="14" t="s">
        <v>10</v>
      </c>
      <c r="U308" s="15">
        <v>16</v>
      </c>
      <c r="V308" s="15">
        <v>9</v>
      </c>
      <c r="W308" s="15">
        <v>12</v>
      </c>
    </row>
    <row r="309" spans="13:23" x14ac:dyDescent="0.2">
      <c r="M309" s="14">
        <v>98208</v>
      </c>
      <c r="N309" s="14" t="s">
        <v>10</v>
      </c>
      <c r="O309" s="15">
        <v>35</v>
      </c>
      <c r="P309" s="15">
        <v>32</v>
      </c>
      <c r="Q309" s="15">
        <v>56</v>
      </c>
      <c r="S309" s="14">
        <v>98360</v>
      </c>
      <c r="T309" s="14" t="s">
        <v>333</v>
      </c>
      <c r="U309" s="15">
        <v>2</v>
      </c>
      <c r="V309" s="15">
        <v>1</v>
      </c>
      <c r="W309" s="15">
        <v>3</v>
      </c>
    </row>
    <row r="310" spans="13:23" x14ac:dyDescent="0.2">
      <c r="M310" s="14">
        <v>98220</v>
      </c>
      <c r="N310" s="14" t="s">
        <v>10</v>
      </c>
      <c r="O310" s="15">
        <v>3</v>
      </c>
      <c r="P310" s="15">
        <v>1</v>
      </c>
      <c r="Q310" s="15">
        <v>2</v>
      </c>
      <c r="S310" s="14">
        <v>98360</v>
      </c>
      <c r="T310" s="14" t="s">
        <v>10</v>
      </c>
      <c r="U310" s="15">
        <v>50</v>
      </c>
      <c r="V310" s="15">
        <v>34</v>
      </c>
      <c r="W310" s="15">
        <v>54</v>
      </c>
    </row>
    <row r="311" spans="13:23" x14ac:dyDescent="0.2">
      <c r="M311" s="14">
        <v>98221</v>
      </c>
      <c r="N311" s="14" t="s">
        <v>10</v>
      </c>
      <c r="O311" s="15">
        <v>39</v>
      </c>
      <c r="P311" s="15">
        <v>30</v>
      </c>
      <c r="Q311" s="15">
        <v>47</v>
      </c>
      <c r="S311" s="14">
        <v>98366</v>
      </c>
      <c r="T311" s="14" t="s">
        <v>333</v>
      </c>
      <c r="U311" s="15">
        <v>8</v>
      </c>
      <c r="V311" s="15">
        <v>1</v>
      </c>
      <c r="W311" s="15">
        <v>8</v>
      </c>
    </row>
    <row r="312" spans="13:23" x14ac:dyDescent="0.2">
      <c r="M312" s="14">
        <v>98223</v>
      </c>
      <c r="N312" s="14" t="s">
        <v>10</v>
      </c>
      <c r="O312" s="15">
        <v>1</v>
      </c>
      <c r="P312" s="15">
        <v>4</v>
      </c>
      <c r="Q312" s="15">
        <v>4</v>
      </c>
      <c r="S312" s="14">
        <v>98366</v>
      </c>
      <c r="T312" s="14" t="s">
        <v>10</v>
      </c>
      <c r="U312" s="15">
        <v>170</v>
      </c>
      <c r="V312" s="15">
        <v>102</v>
      </c>
      <c r="W312" s="15">
        <v>171</v>
      </c>
    </row>
    <row r="313" spans="13:23" x14ac:dyDescent="0.2">
      <c r="M313" s="14">
        <v>98224</v>
      </c>
      <c r="N313" s="14" t="s">
        <v>10</v>
      </c>
      <c r="O313" s="15">
        <v>3</v>
      </c>
      <c r="P313" s="15">
        <v>2</v>
      </c>
      <c r="Q313" s="15">
        <v>4</v>
      </c>
      <c r="S313" s="14">
        <v>98367</v>
      </c>
      <c r="T313" s="14" t="s">
        <v>333</v>
      </c>
      <c r="U313" s="15">
        <v>1</v>
      </c>
      <c r="V313" s="15">
        <v>2</v>
      </c>
      <c r="W313" s="15">
        <v>1</v>
      </c>
    </row>
    <row r="314" spans="13:23" x14ac:dyDescent="0.2">
      <c r="M314" s="14">
        <v>98225</v>
      </c>
      <c r="N314" s="14" t="s">
        <v>10</v>
      </c>
      <c r="O314" s="15">
        <v>150</v>
      </c>
      <c r="P314" s="15">
        <v>106</v>
      </c>
      <c r="Q314" s="15">
        <v>180</v>
      </c>
      <c r="S314" s="14">
        <v>98367</v>
      </c>
      <c r="T314" s="14" t="s">
        <v>10</v>
      </c>
      <c r="U314" s="15">
        <v>105</v>
      </c>
      <c r="V314" s="15">
        <v>44</v>
      </c>
      <c r="W314" s="15">
        <v>78</v>
      </c>
    </row>
    <row r="315" spans="13:23" x14ac:dyDescent="0.2">
      <c r="M315" s="14">
        <v>98226</v>
      </c>
      <c r="N315" s="14" t="s">
        <v>10</v>
      </c>
      <c r="O315" s="15">
        <v>196</v>
      </c>
      <c r="P315" s="15">
        <v>151</v>
      </c>
      <c r="Q315" s="15">
        <v>227</v>
      </c>
      <c r="S315" s="14">
        <v>98370</v>
      </c>
      <c r="T315" s="14" t="s">
        <v>333</v>
      </c>
      <c r="U315" s="15">
        <v>7</v>
      </c>
      <c r="V315" s="15">
        <v>5</v>
      </c>
      <c r="W315" s="15">
        <v>7</v>
      </c>
    </row>
    <row r="316" spans="13:23" x14ac:dyDescent="0.2">
      <c r="M316" s="14">
        <v>98229</v>
      </c>
      <c r="N316" s="14" t="s">
        <v>10</v>
      </c>
      <c r="O316" s="15">
        <v>102</v>
      </c>
      <c r="P316" s="15">
        <v>81</v>
      </c>
      <c r="Q316" s="15">
        <v>102</v>
      </c>
      <c r="S316" s="14">
        <v>98370</v>
      </c>
      <c r="T316" s="14" t="s">
        <v>10</v>
      </c>
      <c r="U316" s="15">
        <v>87</v>
      </c>
      <c r="V316" s="15">
        <v>78</v>
      </c>
      <c r="W316" s="15">
        <v>68</v>
      </c>
    </row>
    <row r="317" spans="13:23" x14ac:dyDescent="0.2">
      <c r="M317" s="14">
        <v>98230</v>
      </c>
      <c r="N317" s="14" t="s">
        <v>10</v>
      </c>
      <c r="O317" s="15">
        <v>31</v>
      </c>
      <c r="P317" s="15">
        <v>39</v>
      </c>
      <c r="Q317" s="15">
        <v>60</v>
      </c>
      <c r="S317" s="14">
        <v>98371</v>
      </c>
      <c r="T317" s="14" t="s">
        <v>333</v>
      </c>
      <c r="U317" s="15">
        <v>2</v>
      </c>
      <c r="V317" s="15">
        <v>2</v>
      </c>
      <c r="W317" s="15">
        <v>3</v>
      </c>
    </row>
    <row r="318" spans="13:23" x14ac:dyDescent="0.2">
      <c r="M318" s="14">
        <v>98232</v>
      </c>
      <c r="N318" s="14" t="s">
        <v>10</v>
      </c>
      <c r="O318" s="15">
        <v>12</v>
      </c>
      <c r="P318" s="15">
        <v>9</v>
      </c>
      <c r="Q318" s="15">
        <v>14</v>
      </c>
      <c r="S318" s="14">
        <v>98371</v>
      </c>
      <c r="T318" s="14" t="s">
        <v>10</v>
      </c>
      <c r="U318" s="15">
        <v>86</v>
      </c>
      <c r="V318" s="15">
        <v>69</v>
      </c>
      <c r="W318" s="15">
        <v>89</v>
      </c>
    </row>
    <row r="319" spans="13:23" x14ac:dyDescent="0.2">
      <c r="M319" s="14">
        <v>98233</v>
      </c>
      <c r="N319" s="14" t="s">
        <v>10</v>
      </c>
      <c r="O319" s="15">
        <v>59</v>
      </c>
      <c r="P319" s="15">
        <v>61</v>
      </c>
      <c r="Q319" s="15">
        <v>67</v>
      </c>
      <c r="S319" s="14">
        <v>98372</v>
      </c>
      <c r="T319" s="14" t="s">
        <v>333</v>
      </c>
      <c r="U319" s="15">
        <v>4</v>
      </c>
      <c r="V319" s="15">
        <v>7</v>
      </c>
      <c r="W319" s="15">
        <v>7</v>
      </c>
    </row>
    <row r="320" spans="13:23" x14ac:dyDescent="0.2">
      <c r="M320" s="14">
        <v>98235</v>
      </c>
      <c r="N320" s="14" t="s">
        <v>10</v>
      </c>
      <c r="O320" s="15">
        <v>2</v>
      </c>
      <c r="P320" s="15">
        <v>2</v>
      </c>
      <c r="Q320" s="15">
        <v>3</v>
      </c>
      <c r="S320" s="14">
        <v>98372</v>
      </c>
      <c r="T320" s="14" t="s">
        <v>10</v>
      </c>
      <c r="U320" s="15">
        <v>126</v>
      </c>
      <c r="V320" s="15">
        <v>101</v>
      </c>
      <c r="W320" s="15">
        <v>114</v>
      </c>
    </row>
    <row r="321" spans="13:23" x14ac:dyDescent="0.2">
      <c r="M321" s="14">
        <v>98236</v>
      </c>
      <c r="N321" s="14" t="s">
        <v>10</v>
      </c>
      <c r="O321" s="15">
        <v>21</v>
      </c>
      <c r="P321" s="15">
        <v>11</v>
      </c>
      <c r="Q321" s="15">
        <v>23</v>
      </c>
      <c r="S321" s="14">
        <v>98373</v>
      </c>
      <c r="T321" s="14" t="s">
        <v>333</v>
      </c>
      <c r="U321" s="15">
        <v>4</v>
      </c>
      <c r="V321" s="15">
        <v>3</v>
      </c>
      <c r="W321" s="15">
        <v>8</v>
      </c>
    </row>
    <row r="322" spans="13:23" x14ac:dyDescent="0.2">
      <c r="M322" s="14">
        <v>98237</v>
      </c>
      <c r="N322" s="14" t="s">
        <v>10</v>
      </c>
      <c r="O322" s="15">
        <v>37</v>
      </c>
      <c r="P322" s="15">
        <v>16</v>
      </c>
      <c r="Q322" s="15">
        <v>54</v>
      </c>
      <c r="S322" s="14">
        <v>98373</v>
      </c>
      <c r="T322" s="14" t="s">
        <v>10</v>
      </c>
      <c r="U322" s="15">
        <v>121</v>
      </c>
      <c r="V322" s="15">
        <v>101</v>
      </c>
      <c r="W322" s="15">
        <v>98</v>
      </c>
    </row>
    <row r="323" spans="13:23" x14ac:dyDescent="0.2">
      <c r="M323" s="14">
        <v>98239</v>
      </c>
      <c r="N323" s="14" t="s">
        <v>10</v>
      </c>
      <c r="O323" s="15">
        <v>28</v>
      </c>
      <c r="P323" s="15">
        <v>18</v>
      </c>
      <c r="Q323" s="15">
        <v>42</v>
      </c>
      <c r="S323" s="14">
        <v>98374</v>
      </c>
      <c r="T323" s="14" t="s">
        <v>333</v>
      </c>
      <c r="U323" s="15">
        <v>2</v>
      </c>
      <c r="V323" s="15">
        <v>4</v>
      </c>
      <c r="W323" s="15">
        <v>5</v>
      </c>
    </row>
    <row r="324" spans="13:23" x14ac:dyDescent="0.2">
      <c r="M324" s="14">
        <v>98240</v>
      </c>
      <c r="N324" s="14" t="s">
        <v>10</v>
      </c>
      <c r="O324" s="15">
        <v>14</v>
      </c>
      <c r="P324" s="15">
        <v>8</v>
      </c>
      <c r="Q324" s="15">
        <v>20</v>
      </c>
      <c r="S324" s="14">
        <v>98374</v>
      </c>
      <c r="T324" s="14" t="s">
        <v>10</v>
      </c>
      <c r="U324" s="15">
        <v>162</v>
      </c>
      <c r="V324" s="15">
        <v>127</v>
      </c>
      <c r="W324" s="15">
        <v>169</v>
      </c>
    </row>
    <row r="325" spans="13:23" x14ac:dyDescent="0.2">
      <c r="M325" s="14">
        <v>98244</v>
      </c>
      <c r="N325" s="14" t="s">
        <v>10</v>
      </c>
      <c r="O325" s="15">
        <v>22</v>
      </c>
      <c r="P325" s="15">
        <v>7</v>
      </c>
      <c r="Q325" s="15">
        <v>28</v>
      </c>
      <c r="S325" s="14">
        <v>98375</v>
      </c>
      <c r="T325" s="14" t="s">
        <v>333</v>
      </c>
      <c r="U325" s="15">
        <v>2</v>
      </c>
      <c r="V325" s="15"/>
      <c r="W325" s="15">
        <v>3</v>
      </c>
    </row>
    <row r="326" spans="13:23" x14ac:dyDescent="0.2">
      <c r="M326" s="14">
        <v>98247</v>
      </c>
      <c r="N326" s="14" t="s">
        <v>10</v>
      </c>
      <c r="O326" s="15">
        <v>21</v>
      </c>
      <c r="P326" s="15">
        <v>28</v>
      </c>
      <c r="Q326" s="15">
        <v>42</v>
      </c>
      <c r="S326" s="14">
        <v>98375</v>
      </c>
      <c r="T326" s="14" t="s">
        <v>10</v>
      </c>
      <c r="U326" s="15">
        <v>93</v>
      </c>
      <c r="V326" s="15">
        <v>57</v>
      </c>
      <c r="W326" s="15">
        <v>108</v>
      </c>
    </row>
    <row r="327" spans="13:23" x14ac:dyDescent="0.2">
      <c r="M327" s="14">
        <v>98248</v>
      </c>
      <c r="N327" s="14" t="s">
        <v>10</v>
      </c>
      <c r="O327" s="15">
        <v>114</v>
      </c>
      <c r="P327" s="15">
        <v>85</v>
      </c>
      <c r="Q327" s="15">
        <v>118</v>
      </c>
      <c r="S327" s="14">
        <v>98380</v>
      </c>
      <c r="T327" s="14" t="s">
        <v>333</v>
      </c>
      <c r="U327" s="15"/>
      <c r="V327" s="15"/>
      <c r="W327" s="15">
        <v>1</v>
      </c>
    </row>
    <row r="328" spans="13:23" x14ac:dyDescent="0.2">
      <c r="M328" s="14">
        <v>98249</v>
      </c>
      <c r="N328" s="14" t="s">
        <v>10</v>
      </c>
      <c r="O328" s="15">
        <v>12</v>
      </c>
      <c r="P328" s="15">
        <v>9</v>
      </c>
      <c r="Q328" s="15">
        <v>30</v>
      </c>
      <c r="S328" s="14">
        <v>98380</v>
      </c>
      <c r="T328" s="14" t="s">
        <v>10</v>
      </c>
      <c r="U328" s="15">
        <v>23</v>
      </c>
      <c r="V328" s="15">
        <v>8</v>
      </c>
      <c r="W328" s="15">
        <v>20</v>
      </c>
    </row>
    <row r="329" spans="13:23" x14ac:dyDescent="0.2">
      <c r="M329" s="14">
        <v>98251</v>
      </c>
      <c r="N329" s="14" t="s">
        <v>10</v>
      </c>
      <c r="O329" s="15">
        <v>1</v>
      </c>
      <c r="P329" s="15">
        <v>3</v>
      </c>
      <c r="Q329" s="15">
        <v>3</v>
      </c>
      <c r="S329" s="14">
        <v>98383</v>
      </c>
      <c r="T329" s="14" t="s">
        <v>333</v>
      </c>
      <c r="U329" s="15">
        <v>7</v>
      </c>
      <c r="V329" s="15">
        <v>2</v>
      </c>
      <c r="W329" s="15">
        <v>6</v>
      </c>
    </row>
    <row r="330" spans="13:23" x14ac:dyDescent="0.2">
      <c r="M330" s="14">
        <v>98252</v>
      </c>
      <c r="N330" s="14" t="s">
        <v>10</v>
      </c>
      <c r="O330" s="15">
        <v>6</v>
      </c>
      <c r="P330" s="15">
        <v>10</v>
      </c>
      <c r="Q330" s="15">
        <v>8</v>
      </c>
      <c r="S330" s="14">
        <v>98383</v>
      </c>
      <c r="T330" s="14" t="s">
        <v>10</v>
      </c>
      <c r="U330" s="15">
        <v>54</v>
      </c>
      <c r="V330" s="15">
        <v>40</v>
      </c>
      <c r="W330" s="15">
        <v>51</v>
      </c>
    </row>
    <row r="331" spans="13:23" x14ac:dyDescent="0.2">
      <c r="M331" s="14">
        <v>98253</v>
      </c>
      <c r="N331" s="14" t="s">
        <v>10</v>
      </c>
      <c r="O331" s="15">
        <v>6</v>
      </c>
      <c r="P331" s="15">
        <v>5</v>
      </c>
      <c r="Q331" s="15">
        <v>4</v>
      </c>
      <c r="S331" s="14">
        <v>98385</v>
      </c>
      <c r="T331" s="14" t="s">
        <v>10</v>
      </c>
      <c r="U331" s="15">
        <v>1</v>
      </c>
      <c r="V331" s="15">
        <v>1</v>
      </c>
      <c r="W331" s="15">
        <v>2</v>
      </c>
    </row>
    <row r="332" spans="13:23" x14ac:dyDescent="0.2">
      <c r="M332" s="14">
        <v>98255</v>
      </c>
      <c r="N332" s="14" t="s">
        <v>10</v>
      </c>
      <c r="O332" s="15">
        <v>7</v>
      </c>
      <c r="P332" s="15">
        <v>2</v>
      </c>
      <c r="Q332" s="15">
        <v>11</v>
      </c>
      <c r="S332" s="14">
        <v>98387</v>
      </c>
      <c r="T332" s="14" t="s">
        <v>333</v>
      </c>
      <c r="U332" s="15">
        <v>3</v>
      </c>
      <c r="V332" s="15">
        <v>2</v>
      </c>
      <c r="W332" s="15">
        <v>3</v>
      </c>
    </row>
    <row r="333" spans="13:23" x14ac:dyDescent="0.2">
      <c r="M333" s="14">
        <v>98257</v>
      </c>
      <c r="N333" s="14" t="s">
        <v>10</v>
      </c>
      <c r="O333" s="15">
        <v>19</v>
      </c>
      <c r="P333" s="15">
        <v>14</v>
      </c>
      <c r="Q333" s="15">
        <v>20</v>
      </c>
      <c r="S333" s="14">
        <v>98387</v>
      </c>
      <c r="T333" s="14" t="s">
        <v>10</v>
      </c>
      <c r="U333" s="15">
        <v>66</v>
      </c>
      <c r="V333" s="15">
        <v>72</v>
      </c>
      <c r="W333" s="15">
        <v>98</v>
      </c>
    </row>
    <row r="334" spans="13:23" x14ac:dyDescent="0.2">
      <c r="M334" s="14">
        <v>98258</v>
      </c>
      <c r="N334" s="14" t="s">
        <v>10</v>
      </c>
      <c r="O334" s="15">
        <v>53</v>
      </c>
      <c r="P334" s="15">
        <v>49</v>
      </c>
      <c r="Q334" s="15">
        <v>72</v>
      </c>
      <c r="S334" s="14">
        <v>98388</v>
      </c>
      <c r="T334" s="14" t="s">
        <v>10</v>
      </c>
      <c r="U334" s="15">
        <v>5</v>
      </c>
      <c r="V334" s="15">
        <v>5</v>
      </c>
      <c r="W334" s="15">
        <v>9</v>
      </c>
    </row>
    <row r="335" spans="13:23" x14ac:dyDescent="0.2">
      <c r="M335" s="14">
        <v>98260</v>
      </c>
      <c r="N335" s="14" t="s">
        <v>10</v>
      </c>
      <c r="O335" s="15">
        <v>20</v>
      </c>
      <c r="P335" s="15">
        <v>8</v>
      </c>
      <c r="Q335" s="15">
        <v>26</v>
      </c>
      <c r="S335" s="14">
        <v>98390</v>
      </c>
      <c r="T335" s="14" t="s">
        <v>333</v>
      </c>
      <c r="U335" s="15">
        <v>6</v>
      </c>
      <c r="V335" s="15">
        <v>5</v>
      </c>
      <c r="W335" s="15">
        <v>10</v>
      </c>
    </row>
    <row r="336" spans="13:23" x14ac:dyDescent="0.2">
      <c r="M336" s="14">
        <v>98262</v>
      </c>
      <c r="N336" s="14" t="s">
        <v>10</v>
      </c>
      <c r="O336" s="15">
        <v>7</v>
      </c>
      <c r="P336" s="15">
        <v>1</v>
      </c>
      <c r="Q336" s="15">
        <v>4</v>
      </c>
      <c r="S336" s="14">
        <v>98390</v>
      </c>
      <c r="T336" s="14" t="s">
        <v>10</v>
      </c>
      <c r="U336" s="15">
        <v>68</v>
      </c>
      <c r="V336" s="15">
        <v>39</v>
      </c>
      <c r="W336" s="15">
        <v>57</v>
      </c>
    </row>
    <row r="337" spans="13:23" x14ac:dyDescent="0.2">
      <c r="M337" s="14">
        <v>98263</v>
      </c>
      <c r="N337" s="14" t="s">
        <v>10</v>
      </c>
      <c r="O337" s="15">
        <v>2</v>
      </c>
      <c r="P337" s="15"/>
      <c r="Q337" s="15">
        <v>5</v>
      </c>
      <c r="S337" s="14">
        <v>98391</v>
      </c>
      <c r="T337" s="14" t="s">
        <v>333</v>
      </c>
      <c r="U337" s="15">
        <v>9</v>
      </c>
      <c r="V337" s="15">
        <v>8</v>
      </c>
      <c r="W337" s="15">
        <v>4</v>
      </c>
    </row>
    <row r="338" spans="13:23" x14ac:dyDescent="0.2">
      <c r="M338" s="14">
        <v>98264</v>
      </c>
      <c r="N338" s="14" t="s">
        <v>10</v>
      </c>
      <c r="O338" s="15">
        <v>55</v>
      </c>
      <c r="P338" s="15">
        <v>46</v>
      </c>
      <c r="Q338" s="15">
        <v>65</v>
      </c>
      <c r="S338" s="14">
        <v>98391</v>
      </c>
      <c r="T338" s="14" t="s">
        <v>10</v>
      </c>
      <c r="U338" s="15">
        <v>167</v>
      </c>
      <c r="V338" s="15">
        <v>133</v>
      </c>
      <c r="W338" s="15">
        <v>170</v>
      </c>
    </row>
    <row r="339" spans="13:23" x14ac:dyDescent="0.2">
      <c r="M339" s="14">
        <v>98266</v>
      </c>
      <c r="N339" s="14" t="s">
        <v>10</v>
      </c>
      <c r="O339" s="15">
        <v>42</v>
      </c>
      <c r="P339" s="15">
        <v>25</v>
      </c>
      <c r="Q339" s="15">
        <v>51</v>
      </c>
      <c r="S339" s="14">
        <v>98392</v>
      </c>
      <c r="T339" s="14" t="s">
        <v>333</v>
      </c>
      <c r="U339" s="15">
        <v>1</v>
      </c>
      <c r="V339" s="15">
        <v>1</v>
      </c>
      <c r="W339" s="15"/>
    </row>
    <row r="340" spans="13:23" x14ac:dyDescent="0.2">
      <c r="M340" s="14">
        <v>98267</v>
      </c>
      <c r="N340" s="14" t="s">
        <v>10</v>
      </c>
      <c r="O340" s="15">
        <v>10</v>
      </c>
      <c r="P340" s="15">
        <v>1</v>
      </c>
      <c r="Q340" s="15">
        <v>5</v>
      </c>
      <c r="S340" s="14">
        <v>98392</v>
      </c>
      <c r="T340" s="14" t="s">
        <v>10</v>
      </c>
      <c r="U340" s="15">
        <v>15</v>
      </c>
      <c r="V340" s="15">
        <v>13</v>
      </c>
      <c r="W340" s="15">
        <v>13</v>
      </c>
    </row>
    <row r="341" spans="13:23" x14ac:dyDescent="0.2">
      <c r="M341" s="14">
        <v>98270</v>
      </c>
      <c r="N341" s="14" t="s">
        <v>10</v>
      </c>
      <c r="O341" s="15">
        <v>59</v>
      </c>
      <c r="P341" s="15">
        <v>64</v>
      </c>
      <c r="Q341" s="15">
        <v>69</v>
      </c>
      <c r="S341" s="14">
        <v>98396</v>
      </c>
      <c r="T341" s="14" t="s">
        <v>10</v>
      </c>
      <c r="U341" s="15">
        <v>3</v>
      </c>
      <c r="V341" s="15">
        <v>1</v>
      </c>
      <c r="W341" s="15">
        <v>1</v>
      </c>
    </row>
    <row r="342" spans="13:23" x14ac:dyDescent="0.2">
      <c r="M342" s="14">
        <v>98271</v>
      </c>
      <c r="N342" s="14" t="s">
        <v>10</v>
      </c>
      <c r="O342" s="15">
        <v>15</v>
      </c>
      <c r="P342" s="15">
        <v>11</v>
      </c>
      <c r="Q342" s="15">
        <v>11</v>
      </c>
      <c r="S342" s="14">
        <v>98402</v>
      </c>
      <c r="T342" s="14" t="s">
        <v>333</v>
      </c>
      <c r="U342" s="15">
        <v>2</v>
      </c>
      <c r="V342" s="15">
        <v>2</v>
      </c>
      <c r="W342" s="15">
        <v>2</v>
      </c>
    </row>
    <row r="343" spans="13:23" x14ac:dyDescent="0.2">
      <c r="M343" s="14">
        <v>98272</v>
      </c>
      <c r="N343" s="14" t="s">
        <v>10</v>
      </c>
      <c r="O343" s="15">
        <v>17</v>
      </c>
      <c r="P343" s="15">
        <v>16</v>
      </c>
      <c r="Q343" s="15">
        <v>31</v>
      </c>
      <c r="S343" s="14">
        <v>98402</v>
      </c>
      <c r="T343" s="14" t="s">
        <v>10</v>
      </c>
      <c r="U343" s="15">
        <v>2</v>
      </c>
      <c r="V343" s="15">
        <v>1</v>
      </c>
      <c r="W343" s="15">
        <v>1</v>
      </c>
    </row>
    <row r="344" spans="13:23" x14ac:dyDescent="0.2">
      <c r="M344" s="14">
        <v>98273</v>
      </c>
      <c r="N344" s="14" t="s">
        <v>10</v>
      </c>
      <c r="O344" s="15">
        <v>90</v>
      </c>
      <c r="P344" s="15">
        <v>93</v>
      </c>
      <c r="Q344" s="15">
        <v>103</v>
      </c>
      <c r="S344" s="14">
        <v>98403</v>
      </c>
      <c r="T344" s="14" t="s">
        <v>333</v>
      </c>
      <c r="U344" s="15">
        <v>1</v>
      </c>
      <c r="V344" s="15">
        <v>1</v>
      </c>
      <c r="W344" s="15">
        <v>2</v>
      </c>
    </row>
    <row r="345" spans="13:23" x14ac:dyDescent="0.2">
      <c r="M345" s="14">
        <v>98274</v>
      </c>
      <c r="N345" s="14" t="s">
        <v>10</v>
      </c>
      <c r="O345" s="15">
        <v>46</v>
      </c>
      <c r="P345" s="15">
        <v>35</v>
      </c>
      <c r="Q345" s="15">
        <v>46</v>
      </c>
      <c r="S345" s="14">
        <v>98403</v>
      </c>
      <c r="T345" s="14" t="s">
        <v>10</v>
      </c>
      <c r="U345" s="15">
        <v>8</v>
      </c>
      <c r="V345" s="15">
        <v>4</v>
      </c>
      <c r="W345" s="15">
        <v>7</v>
      </c>
    </row>
    <row r="346" spans="13:23" x14ac:dyDescent="0.2">
      <c r="M346" s="14">
        <v>98275</v>
      </c>
      <c r="N346" s="14" t="s">
        <v>10</v>
      </c>
      <c r="O346" s="15">
        <v>7</v>
      </c>
      <c r="P346" s="15">
        <v>7</v>
      </c>
      <c r="Q346" s="15">
        <v>8</v>
      </c>
      <c r="S346" s="14">
        <v>98404</v>
      </c>
      <c r="T346" s="14" t="s">
        <v>333</v>
      </c>
      <c r="U346" s="15">
        <v>3</v>
      </c>
      <c r="V346" s="15">
        <v>4</v>
      </c>
      <c r="W346" s="15">
        <v>4</v>
      </c>
    </row>
    <row r="347" spans="13:23" x14ac:dyDescent="0.2">
      <c r="M347" s="14">
        <v>98276</v>
      </c>
      <c r="N347" s="14" t="s">
        <v>10</v>
      </c>
      <c r="O347" s="15">
        <v>5</v>
      </c>
      <c r="P347" s="15">
        <v>1</v>
      </c>
      <c r="Q347" s="15">
        <v>7</v>
      </c>
      <c r="S347" s="14">
        <v>98404</v>
      </c>
      <c r="T347" s="14" t="s">
        <v>10</v>
      </c>
      <c r="U347" s="15">
        <v>39</v>
      </c>
      <c r="V347" s="15">
        <v>46</v>
      </c>
      <c r="W347" s="15">
        <v>36</v>
      </c>
    </row>
    <row r="348" spans="13:23" x14ac:dyDescent="0.2">
      <c r="M348" s="14">
        <v>98277</v>
      </c>
      <c r="N348" s="14" t="s">
        <v>10</v>
      </c>
      <c r="O348" s="15">
        <v>173</v>
      </c>
      <c r="P348" s="15">
        <v>159</v>
      </c>
      <c r="Q348" s="15">
        <v>175</v>
      </c>
      <c r="S348" s="14">
        <v>98405</v>
      </c>
      <c r="T348" s="14" t="s">
        <v>333</v>
      </c>
      <c r="U348" s="15">
        <v>4</v>
      </c>
      <c r="V348" s="15">
        <v>3</v>
      </c>
      <c r="W348" s="15">
        <v>3</v>
      </c>
    </row>
    <row r="349" spans="13:23" x14ac:dyDescent="0.2">
      <c r="M349" s="14">
        <v>98281</v>
      </c>
      <c r="N349" s="14" t="s">
        <v>10</v>
      </c>
      <c r="O349" s="15">
        <v>7</v>
      </c>
      <c r="P349" s="15">
        <v>7</v>
      </c>
      <c r="Q349" s="15">
        <v>13</v>
      </c>
      <c r="S349" s="14">
        <v>98405</v>
      </c>
      <c r="T349" s="14" t="s">
        <v>10</v>
      </c>
      <c r="U349" s="15">
        <v>29</v>
      </c>
      <c r="V349" s="15">
        <v>28</v>
      </c>
      <c r="W349" s="15">
        <v>39</v>
      </c>
    </row>
    <row r="350" spans="13:23" x14ac:dyDescent="0.2">
      <c r="M350" s="14">
        <v>98283</v>
      </c>
      <c r="N350" s="14" t="s">
        <v>10</v>
      </c>
      <c r="O350" s="15">
        <v>5</v>
      </c>
      <c r="P350" s="15">
        <v>1</v>
      </c>
      <c r="Q350" s="15">
        <v>2</v>
      </c>
      <c r="S350" s="14">
        <v>98406</v>
      </c>
      <c r="T350" s="14" t="s">
        <v>333</v>
      </c>
      <c r="U350" s="15"/>
      <c r="V350" s="15">
        <v>2</v>
      </c>
      <c r="W350" s="15">
        <v>1</v>
      </c>
    </row>
    <row r="351" spans="13:23" x14ac:dyDescent="0.2">
      <c r="M351" s="14">
        <v>98284</v>
      </c>
      <c r="N351" s="14" t="s">
        <v>10</v>
      </c>
      <c r="O351" s="15">
        <v>106</v>
      </c>
      <c r="P351" s="15">
        <v>64</v>
      </c>
      <c r="Q351" s="15">
        <v>168</v>
      </c>
      <c r="S351" s="14">
        <v>98406</v>
      </c>
      <c r="T351" s="14" t="s">
        <v>10</v>
      </c>
      <c r="U351" s="15">
        <v>10</v>
      </c>
      <c r="V351" s="15">
        <v>16</v>
      </c>
      <c r="W351" s="15">
        <v>23</v>
      </c>
    </row>
    <row r="352" spans="13:23" x14ac:dyDescent="0.2">
      <c r="M352" s="14">
        <v>98288</v>
      </c>
      <c r="N352" s="14" t="s">
        <v>10</v>
      </c>
      <c r="O352" s="15">
        <v>2</v>
      </c>
      <c r="P352" s="15">
        <v>2</v>
      </c>
      <c r="Q352" s="15">
        <v>1</v>
      </c>
      <c r="S352" s="14">
        <v>98407</v>
      </c>
      <c r="T352" s="14" t="s">
        <v>333</v>
      </c>
      <c r="U352" s="15">
        <v>2</v>
      </c>
      <c r="V352" s="15">
        <v>1</v>
      </c>
      <c r="W352" s="15">
        <v>2</v>
      </c>
    </row>
    <row r="353" spans="13:23" x14ac:dyDescent="0.2">
      <c r="M353" s="14">
        <v>98290</v>
      </c>
      <c r="N353" s="14" t="s">
        <v>10</v>
      </c>
      <c r="O353" s="15">
        <v>19</v>
      </c>
      <c r="P353" s="15">
        <v>16</v>
      </c>
      <c r="Q353" s="15">
        <v>15</v>
      </c>
      <c r="S353" s="14">
        <v>98407</v>
      </c>
      <c r="T353" s="14" t="s">
        <v>10</v>
      </c>
      <c r="U353" s="15">
        <v>16</v>
      </c>
      <c r="V353" s="15">
        <v>13</v>
      </c>
      <c r="W353" s="15">
        <v>14</v>
      </c>
    </row>
    <row r="354" spans="13:23" x14ac:dyDescent="0.2">
      <c r="M354" s="14">
        <v>98292</v>
      </c>
      <c r="N354" s="14" t="s">
        <v>10</v>
      </c>
      <c r="O354" s="15">
        <v>4</v>
      </c>
      <c r="P354" s="15">
        <v>1</v>
      </c>
      <c r="Q354" s="15">
        <v>1</v>
      </c>
      <c r="S354" s="14">
        <v>98408</v>
      </c>
      <c r="T354" s="14" t="s">
        <v>333</v>
      </c>
      <c r="U354" s="15">
        <v>2</v>
      </c>
      <c r="V354" s="15">
        <v>2</v>
      </c>
      <c r="W354" s="15">
        <v>1</v>
      </c>
    </row>
    <row r="355" spans="13:23" x14ac:dyDescent="0.2">
      <c r="M355" s="14">
        <v>98294</v>
      </c>
      <c r="N355" s="14" t="s">
        <v>10</v>
      </c>
      <c r="O355" s="15">
        <v>11</v>
      </c>
      <c r="P355" s="15">
        <v>6</v>
      </c>
      <c r="Q355" s="15">
        <v>11</v>
      </c>
      <c r="S355" s="14">
        <v>98408</v>
      </c>
      <c r="T355" s="14" t="s">
        <v>10</v>
      </c>
      <c r="U355" s="15">
        <v>31</v>
      </c>
      <c r="V355" s="15">
        <v>38</v>
      </c>
      <c r="W355" s="15">
        <v>42</v>
      </c>
    </row>
    <row r="356" spans="13:23" x14ac:dyDescent="0.2">
      <c r="M356" s="14">
        <v>98295</v>
      </c>
      <c r="N356" s="14" t="s">
        <v>10</v>
      </c>
      <c r="O356" s="15">
        <v>6</v>
      </c>
      <c r="P356" s="15">
        <v>3</v>
      </c>
      <c r="Q356" s="15">
        <v>16</v>
      </c>
      <c r="S356" s="14">
        <v>98409</v>
      </c>
      <c r="T356" s="14" t="s">
        <v>333</v>
      </c>
      <c r="U356" s="15">
        <v>7</v>
      </c>
      <c r="V356" s="15">
        <v>1</v>
      </c>
      <c r="W356" s="15">
        <v>5</v>
      </c>
    </row>
    <row r="357" spans="13:23" x14ac:dyDescent="0.2">
      <c r="M357" s="14">
        <v>98296</v>
      </c>
      <c r="N357" s="14" t="s">
        <v>10</v>
      </c>
      <c r="O357" s="15">
        <v>11</v>
      </c>
      <c r="P357" s="15">
        <v>9</v>
      </c>
      <c r="Q357" s="15">
        <v>18</v>
      </c>
      <c r="S357" s="14">
        <v>98409</v>
      </c>
      <c r="T357" s="14" t="s">
        <v>10</v>
      </c>
      <c r="U357" s="15">
        <v>26</v>
      </c>
      <c r="V357" s="15">
        <v>22</v>
      </c>
      <c r="W357" s="15">
        <v>33</v>
      </c>
    </row>
    <row r="358" spans="13:23" x14ac:dyDescent="0.2">
      <c r="M358" s="14">
        <v>98310</v>
      </c>
      <c r="N358" s="14" t="s">
        <v>10</v>
      </c>
      <c r="O358" s="15">
        <v>122</v>
      </c>
      <c r="P358" s="15">
        <v>102</v>
      </c>
      <c r="Q358" s="15">
        <v>124</v>
      </c>
      <c r="S358" s="14">
        <v>98418</v>
      </c>
      <c r="T358" s="14" t="s">
        <v>333</v>
      </c>
      <c r="U358" s="15"/>
      <c r="V358" s="15">
        <v>2</v>
      </c>
      <c r="W358" s="15"/>
    </row>
    <row r="359" spans="13:23" x14ac:dyDescent="0.2">
      <c r="M359" s="14">
        <v>98311</v>
      </c>
      <c r="N359" s="14" t="s">
        <v>10</v>
      </c>
      <c r="O359" s="15">
        <v>122</v>
      </c>
      <c r="P359" s="15">
        <v>89</v>
      </c>
      <c r="Q359" s="15">
        <v>95</v>
      </c>
      <c r="S359" s="14">
        <v>98418</v>
      </c>
      <c r="T359" s="14" t="s">
        <v>10</v>
      </c>
      <c r="U359" s="15">
        <v>24</v>
      </c>
      <c r="V359" s="15">
        <v>17</v>
      </c>
      <c r="W359" s="15">
        <v>24</v>
      </c>
    </row>
    <row r="360" spans="13:23" x14ac:dyDescent="0.2">
      <c r="M360" s="14">
        <v>98312</v>
      </c>
      <c r="N360" s="14" t="s">
        <v>10</v>
      </c>
      <c r="O360" s="15">
        <v>183</v>
      </c>
      <c r="P360" s="15">
        <v>150</v>
      </c>
      <c r="Q360" s="15">
        <v>191</v>
      </c>
      <c r="S360" s="14">
        <v>98421</v>
      </c>
      <c r="T360" s="14" t="s">
        <v>333</v>
      </c>
      <c r="U360" s="15">
        <v>1</v>
      </c>
      <c r="V360" s="15">
        <v>8</v>
      </c>
      <c r="W360" s="15">
        <v>2</v>
      </c>
    </row>
    <row r="361" spans="13:23" x14ac:dyDescent="0.2">
      <c r="M361" s="14">
        <v>98321</v>
      </c>
      <c r="N361" s="14" t="s">
        <v>10</v>
      </c>
      <c r="O361" s="15">
        <v>67</v>
      </c>
      <c r="P361" s="15">
        <v>62</v>
      </c>
      <c r="Q361" s="15">
        <v>76</v>
      </c>
      <c r="S361" s="14">
        <v>98421</v>
      </c>
      <c r="T361" s="14" t="s">
        <v>10</v>
      </c>
      <c r="U361" s="15"/>
      <c r="V361" s="15"/>
      <c r="W361" s="15">
        <v>1</v>
      </c>
    </row>
    <row r="362" spans="13:23" x14ac:dyDescent="0.2">
      <c r="M362" s="14">
        <v>98323</v>
      </c>
      <c r="N362" s="14" t="s">
        <v>10</v>
      </c>
      <c r="O362" s="15">
        <v>4</v>
      </c>
      <c r="P362" s="15">
        <v>4</v>
      </c>
      <c r="Q362" s="15">
        <v>4</v>
      </c>
      <c r="S362" s="14">
        <v>98422</v>
      </c>
      <c r="T362" s="14" t="s">
        <v>333</v>
      </c>
      <c r="U362" s="15">
        <v>1</v>
      </c>
      <c r="V362" s="15">
        <v>2</v>
      </c>
      <c r="W362" s="15">
        <v>2</v>
      </c>
    </row>
    <row r="363" spans="13:23" x14ac:dyDescent="0.2">
      <c r="M363" s="14">
        <v>98327</v>
      </c>
      <c r="N363" s="14" t="s">
        <v>10</v>
      </c>
      <c r="O363" s="15">
        <v>32</v>
      </c>
      <c r="P363" s="15">
        <v>21</v>
      </c>
      <c r="Q363" s="15">
        <v>33</v>
      </c>
      <c r="S363" s="14">
        <v>98422</v>
      </c>
      <c r="T363" s="14" t="s">
        <v>10</v>
      </c>
      <c r="U363" s="15">
        <v>15</v>
      </c>
      <c r="V363" s="15">
        <v>17</v>
      </c>
      <c r="W363" s="15">
        <v>14</v>
      </c>
    </row>
    <row r="364" spans="13:23" x14ac:dyDescent="0.2">
      <c r="M364" s="14">
        <v>98328</v>
      </c>
      <c r="N364" s="14" t="s">
        <v>10</v>
      </c>
      <c r="O364" s="15">
        <v>3</v>
      </c>
      <c r="P364" s="15"/>
      <c r="Q364" s="15">
        <v>3</v>
      </c>
      <c r="S364" s="14">
        <v>98424</v>
      </c>
      <c r="T364" s="14" t="s">
        <v>333</v>
      </c>
      <c r="U364" s="15">
        <v>1</v>
      </c>
      <c r="V364" s="15">
        <v>8</v>
      </c>
      <c r="W364" s="15">
        <v>4</v>
      </c>
    </row>
    <row r="365" spans="13:23" x14ac:dyDescent="0.2">
      <c r="M365" s="14">
        <v>98332</v>
      </c>
      <c r="N365" s="14" t="s">
        <v>10</v>
      </c>
      <c r="O365" s="15">
        <v>14</v>
      </c>
      <c r="P365" s="15">
        <v>12</v>
      </c>
      <c r="Q365" s="15">
        <v>13</v>
      </c>
      <c r="S365" s="14">
        <v>98424</v>
      </c>
      <c r="T365" s="14" t="s">
        <v>10</v>
      </c>
      <c r="U365" s="15">
        <v>9</v>
      </c>
      <c r="V365" s="15">
        <v>13</v>
      </c>
      <c r="W365" s="15">
        <v>13</v>
      </c>
    </row>
    <row r="366" spans="13:23" x14ac:dyDescent="0.2">
      <c r="M366" s="14">
        <v>98335</v>
      </c>
      <c r="N366" s="14" t="s">
        <v>10</v>
      </c>
      <c r="O366" s="15">
        <v>14</v>
      </c>
      <c r="P366" s="15">
        <v>12</v>
      </c>
      <c r="Q366" s="15">
        <v>21</v>
      </c>
      <c r="S366" s="14">
        <v>98433</v>
      </c>
      <c r="T366" s="14" t="s">
        <v>333</v>
      </c>
      <c r="U366" s="15">
        <v>4</v>
      </c>
      <c r="V366" s="15">
        <v>2</v>
      </c>
      <c r="W366" s="15"/>
    </row>
    <row r="367" spans="13:23" x14ac:dyDescent="0.2">
      <c r="M367" s="14">
        <v>98337</v>
      </c>
      <c r="N367" s="14" t="s">
        <v>10</v>
      </c>
      <c r="O367" s="15">
        <v>40</v>
      </c>
      <c r="P367" s="15">
        <v>41</v>
      </c>
      <c r="Q367" s="15">
        <v>41</v>
      </c>
      <c r="S367" s="14">
        <v>98439</v>
      </c>
      <c r="T367" s="14" t="s">
        <v>333</v>
      </c>
      <c r="U367" s="15"/>
      <c r="V367" s="15">
        <v>1</v>
      </c>
      <c r="W367" s="15">
        <v>2</v>
      </c>
    </row>
    <row r="368" spans="13:23" x14ac:dyDescent="0.2">
      <c r="M368" s="14">
        <v>98338</v>
      </c>
      <c r="N368" s="14" t="s">
        <v>10</v>
      </c>
      <c r="O368" s="15">
        <v>83</v>
      </c>
      <c r="P368" s="15">
        <v>61</v>
      </c>
      <c r="Q368" s="15">
        <v>92</v>
      </c>
      <c r="S368" s="14">
        <v>98439</v>
      </c>
      <c r="T368" s="14" t="s">
        <v>10</v>
      </c>
      <c r="U368" s="15">
        <v>46</v>
      </c>
      <c r="V368" s="15">
        <v>33</v>
      </c>
      <c r="W368" s="15">
        <v>36</v>
      </c>
    </row>
    <row r="369" spans="13:23" x14ac:dyDescent="0.2">
      <c r="M369" s="14">
        <v>98340</v>
      </c>
      <c r="N369" s="14" t="s">
        <v>10</v>
      </c>
      <c r="O369" s="15">
        <v>5</v>
      </c>
      <c r="P369" s="15">
        <v>1</v>
      </c>
      <c r="Q369" s="15">
        <v>8</v>
      </c>
      <c r="S369" s="14">
        <v>98443</v>
      </c>
      <c r="T369" s="14" t="s">
        <v>10</v>
      </c>
      <c r="U369" s="15">
        <v>1</v>
      </c>
      <c r="V369" s="15">
        <v>1</v>
      </c>
      <c r="W369" s="15"/>
    </row>
    <row r="370" spans="13:23" x14ac:dyDescent="0.2">
      <c r="M370" s="14">
        <v>98342</v>
      </c>
      <c r="N370" s="14" t="s">
        <v>10</v>
      </c>
      <c r="O370" s="15">
        <v>4</v>
      </c>
      <c r="P370" s="15">
        <v>5</v>
      </c>
      <c r="Q370" s="15">
        <v>6</v>
      </c>
      <c r="S370" s="14">
        <v>98444</v>
      </c>
      <c r="T370" s="14" t="s">
        <v>333</v>
      </c>
      <c r="U370" s="15">
        <v>6</v>
      </c>
      <c r="V370" s="15">
        <v>4</v>
      </c>
      <c r="W370" s="15">
        <v>3</v>
      </c>
    </row>
    <row r="371" spans="13:23" x14ac:dyDescent="0.2">
      <c r="M371" s="14">
        <v>98345</v>
      </c>
      <c r="N371" s="14" t="s">
        <v>10</v>
      </c>
      <c r="O371" s="15">
        <v>3</v>
      </c>
      <c r="P371" s="15">
        <v>4</v>
      </c>
      <c r="Q371" s="15">
        <v>2</v>
      </c>
      <c r="S371" s="14">
        <v>98444</v>
      </c>
      <c r="T371" s="14" t="s">
        <v>10</v>
      </c>
      <c r="U371" s="15">
        <v>25</v>
      </c>
      <c r="V371" s="15">
        <v>27</v>
      </c>
      <c r="W371" s="15">
        <v>38</v>
      </c>
    </row>
    <row r="372" spans="13:23" x14ac:dyDescent="0.2">
      <c r="M372" s="14">
        <v>98346</v>
      </c>
      <c r="N372" s="14" t="s">
        <v>10</v>
      </c>
      <c r="O372" s="15">
        <v>62</v>
      </c>
      <c r="P372" s="15">
        <v>27</v>
      </c>
      <c r="Q372" s="15">
        <v>59</v>
      </c>
      <c r="S372" s="14">
        <v>98445</v>
      </c>
      <c r="T372" s="14" t="s">
        <v>333</v>
      </c>
      <c r="U372" s="15">
        <v>1</v>
      </c>
      <c r="V372" s="15"/>
      <c r="W372" s="15">
        <v>1</v>
      </c>
    </row>
    <row r="373" spans="13:23" x14ac:dyDescent="0.2">
      <c r="M373" s="14">
        <v>98354</v>
      </c>
      <c r="N373" s="14" t="s">
        <v>10</v>
      </c>
      <c r="O373" s="15">
        <v>8</v>
      </c>
      <c r="P373" s="15">
        <v>5</v>
      </c>
      <c r="Q373" s="15">
        <v>6</v>
      </c>
      <c r="S373" s="14">
        <v>98445</v>
      </c>
      <c r="T373" s="14" t="s">
        <v>10</v>
      </c>
      <c r="U373" s="15">
        <v>22</v>
      </c>
      <c r="V373" s="15">
        <v>29</v>
      </c>
      <c r="W373" s="15">
        <v>36</v>
      </c>
    </row>
    <row r="374" spans="13:23" x14ac:dyDescent="0.2">
      <c r="M374" s="14">
        <v>98359</v>
      </c>
      <c r="N374" s="14" t="s">
        <v>10</v>
      </c>
      <c r="O374" s="15">
        <v>21</v>
      </c>
      <c r="P374" s="15">
        <v>9</v>
      </c>
      <c r="Q374" s="15">
        <v>18</v>
      </c>
      <c r="S374" s="14">
        <v>98446</v>
      </c>
      <c r="T374" s="14" t="s">
        <v>333</v>
      </c>
      <c r="U374" s="15"/>
      <c r="V374" s="15">
        <v>1</v>
      </c>
      <c r="W374" s="15">
        <v>1</v>
      </c>
    </row>
    <row r="375" spans="13:23" x14ac:dyDescent="0.2">
      <c r="M375" s="14">
        <v>98360</v>
      </c>
      <c r="N375" s="14" t="s">
        <v>10</v>
      </c>
      <c r="O375" s="15">
        <v>58</v>
      </c>
      <c r="P375" s="15">
        <v>58</v>
      </c>
      <c r="Q375" s="15">
        <v>79</v>
      </c>
      <c r="S375" s="14">
        <v>98446</v>
      </c>
      <c r="T375" s="14" t="s">
        <v>10</v>
      </c>
      <c r="U375" s="15">
        <v>17</v>
      </c>
      <c r="V375" s="15">
        <v>22</v>
      </c>
      <c r="W375" s="15">
        <v>24</v>
      </c>
    </row>
    <row r="376" spans="13:23" x14ac:dyDescent="0.2">
      <c r="M376" s="14">
        <v>98366</v>
      </c>
      <c r="N376" s="14" t="s">
        <v>10</v>
      </c>
      <c r="O376" s="15">
        <v>209</v>
      </c>
      <c r="P376" s="15">
        <v>125</v>
      </c>
      <c r="Q376" s="15">
        <v>217</v>
      </c>
      <c r="S376" s="14">
        <v>98465</v>
      </c>
      <c r="T376" s="14" t="s">
        <v>10</v>
      </c>
      <c r="U376" s="15">
        <v>2</v>
      </c>
      <c r="V376" s="15">
        <v>3</v>
      </c>
      <c r="W376" s="15">
        <v>8</v>
      </c>
    </row>
    <row r="377" spans="13:23" x14ac:dyDescent="0.2">
      <c r="M377" s="14">
        <v>98367</v>
      </c>
      <c r="N377" s="14" t="s">
        <v>10</v>
      </c>
      <c r="O377" s="15">
        <v>116</v>
      </c>
      <c r="P377" s="15">
        <v>69</v>
      </c>
      <c r="Q377" s="15">
        <v>112</v>
      </c>
      <c r="S377" s="14">
        <v>98466</v>
      </c>
      <c r="T377" s="14" t="s">
        <v>333</v>
      </c>
      <c r="U377" s="15"/>
      <c r="V377" s="15"/>
      <c r="W377" s="15">
        <v>1</v>
      </c>
    </row>
    <row r="378" spans="13:23" x14ac:dyDescent="0.2">
      <c r="M378" s="14">
        <v>98370</v>
      </c>
      <c r="N378" s="14" t="s">
        <v>10</v>
      </c>
      <c r="O378" s="15">
        <v>99</v>
      </c>
      <c r="P378" s="15">
        <v>89</v>
      </c>
      <c r="Q378" s="15">
        <v>98</v>
      </c>
      <c r="S378" s="14">
        <v>98466</v>
      </c>
      <c r="T378" s="14" t="s">
        <v>10</v>
      </c>
      <c r="U378" s="15">
        <v>11</v>
      </c>
      <c r="V378" s="15">
        <v>7</v>
      </c>
      <c r="W378" s="15">
        <v>12</v>
      </c>
    </row>
    <row r="379" spans="13:23" x14ac:dyDescent="0.2">
      <c r="M379" s="14">
        <v>98371</v>
      </c>
      <c r="N379" s="14" t="s">
        <v>10</v>
      </c>
      <c r="O379" s="15">
        <v>102</v>
      </c>
      <c r="P379" s="15">
        <v>79</v>
      </c>
      <c r="Q379" s="15">
        <v>158</v>
      </c>
      <c r="S379" s="14">
        <v>98467</v>
      </c>
      <c r="T379" s="14" t="s">
        <v>333</v>
      </c>
      <c r="U379" s="15"/>
      <c r="V379" s="15">
        <v>1</v>
      </c>
      <c r="W379" s="15"/>
    </row>
    <row r="380" spans="13:23" x14ac:dyDescent="0.2">
      <c r="M380" s="14">
        <v>98372</v>
      </c>
      <c r="N380" s="14" t="s">
        <v>10</v>
      </c>
      <c r="O380" s="15">
        <v>143</v>
      </c>
      <c r="P380" s="15">
        <v>125</v>
      </c>
      <c r="Q380" s="15">
        <v>186</v>
      </c>
      <c r="S380" s="14">
        <v>98467</v>
      </c>
      <c r="T380" s="14" t="s">
        <v>10</v>
      </c>
      <c r="U380" s="15">
        <v>4</v>
      </c>
      <c r="V380" s="15">
        <v>6</v>
      </c>
      <c r="W380" s="15">
        <v>10</v>
      </c>
    </row>
    <row r="381" spans="13:23" x14ac:dyDescent="0.2">
      <c r="M381" s="14">
        <v>98373</v>
      </c>
      <c r="N381" s="14" t="s">
        <v>10</v>
      </c>
      <c r="O381" s="15">
        <v>157</v>
      </c>
      <c r="P381" s="15">
        <v>94</v>
      </c>
      <c r="Q381" s="15">
        <v>156</v>
      </c>
      <c r="S381" s="14">
        <v>98498</v>
      </c>
      <c r="T381" s="14" t="s">
        <v>333</v>
      </c>
      <c r="U381" s="15">
        <v>4</v>
      </c>
      <c r="V381" s="15">
        <v>2</v>
      </c>
      <c r="W381" s="15">
        <v>3</v>
      </c>
    </row>
    <row r="382" spans="13:23" x14ac:dyDescent="0.2">
      <c r="M382" s="14">
        <v>98374</v>
      </c>
      <c r="N382" s="14" t="s">
        <v>10</v>
      </c>
      <c r="O382" s="15">
        <v>235</v>
      </c>
      <c r="P382" s="15">
        <v>149</v>
      </c>
      <c r="Q382" s="15">
        <v>276</v>
      </c>
      <c r="S382" s="14">
        <v>98498</v>
      </c>
      <c r="T382" s="14" t="s">
        <v>10</v>
      </c>
      <c r="U382" s="15">
        <v>110</v>
      </c>
      <c r="V382" s="15">
        <v>90</v>
      </c>
      <c r="W382" s="15">
        <v>115</v>
      </c>
    </row>
    <row r="383" spans="13:23" x14ac:dyDescent="0.2">
      <c r="M383" s="14">
        <v>98375</v>
      </c>
      <c r="N383" s="14" t="s">
        <v>10</v>
      </c>
      <c r="O383" s="15">
        <v>118</v>
      </c>
      <c r="P383" s="15">
        <v>85</v>
      </c>
      <c r="Q383" s="15">
        <v>145</v>
      </c>
      <c r="S383" s="14">
        <v>98499</v>
      </c>
      <c r="T383" s="14" t="s">
        <v>333</v>
      </c>
      <c r="U383" s="15">
        <v>7</v>
      </c>
      <c r="V383" s="15">
        <v>4</v>
      </c>
      <c r="W383" s="15">
        <v>8</v>
      </c>
    </row>
    <row r="384" spans="13:23" x14ac:dyDescent="0.2">
      <c r="M384" s="14">
        <v>98380</v>
      </c>
      <c r="N384" s="14" t="s">
        <v>10</v>
      </c>
      <c r="O384" s="15">
        <v>27</v>
      </c>
      <c r="P384" s="15">
        <v>11</v>
      </c>
      <c r="Q384" s="15">
        <v>36</v>
      </c>
      <c r="S384" s="14">
        <v>98499</v>
      </c>
      <c r="T384" s="14" t="s">
        <v>10</v>
      </c>
      <c r="U384" s="15">
        <v>26</v>
      </c>
      <c r="V384" s="15">
        <v>29</v>
      </c>
      <c r="W384" s="15">
        <v>26</v>
      </c>
    </row>
    <row r="385" spans="13:23" x14ac:dyDescent="0.2">
      <c r="M385" s="14">
        <v>98383</v>
      </c>
      <c r="N385" s="14" t="s">
        <v>10</v>
      </c>
      <c r="O385" s="15">
        <v>63</v>
      </c>
      <c r="P385" s="15">
        <v>43</v>
      </c>
      <c r="Q385" s="15">
        <v>66</v>
      </c>
      <c r="S385" s="14">
        <v>98501</v>
      </c>
      <c r="T385" s="14" t="s">
        <v>333</v>
      </c>
      <c r="U385" s="15">
        <v>14</v>
      </c>
      <c r="V385" s="15">
        <v>12</v>
      </c>
      <c r="W385" s="15">
        <v>11</v>
      </c>
    </row>
    <row r="386" spans="13:23" x14ac:dyDescent="0.2">
      <c r="M386" s="14">
        <v>98385</v>
      </c>
      <c r="N386" s="14" t="s">
        <v>10</v>
      </c>
      <c r="O386" s="15">
        <v>2</v>
      </c>
      <c r="P386" s="15"/>
      <c r="Q386" s="15">
        <v>2</v>
      </c>
      <c r="S386" s="14">
        <v>98501</v>
      </c>
      <c r="T386" s="14" t="s">
        <v>10</v>
      </c>
      <c r="U386" s="15">
        <v>165</v>
      </c>
      <c r="V386" s="15">
        <v>135</v>
      </c>
      <c r="W386" s="15">
        <v>169</v>
      </c>
    </row>
    <row r="387" spans="13:23" x14ac:dyDescent="0.2">
      <c r="M387" s="14">
        <v>98387</v>
      </c>
      <c r="N387" s="14" t="s">
        <v>10</v>
      </c>
      <c r="O387" s="15">
        <v>97</v>
      </c>
      <c r="P387" s="15">
        <v>83</v>
      </c>
      <c r="Q387" s="15">
        <v>111</v>
      </c>
      <c r="S387" s="14">
        <v>98502</v>
      </c>
      <c r="T387" s="14" t="s">
        <v>333</v>
      </c>
      <c r="U387" s="15">
        <v>2</v>
      </c>
      <c r="V387" s="15">
        <v>4</v>
      </c>
      <c r="W387" s="15">
        <v>3</v>
      </c>
    </row>
    <row r="388" spans="13:23" x14ac:dyDescent="0.2">
      <c r="M388" s="14">
        <v>98388</v>
      </c>
      <c r="N388" s="14" t="s">
        <v>10</v>
      </c>
      <c r="O388" s="15">
        <v>4</v>
      </c>
      <c r="P388" s="15">
        <v>5</v>
      </c>
      <c r="Q388" s="15">
        <v>9</v>
      </c>
      <c r="S388" s="14">
        <v>98502</v>
      </c>
      <c r="T388" s="14" t="s">
        <v>10</v>
      </c>
      <c r="U388" s="15">
        <v>163</v>
      </c>
      <c r="V388" s="15">
        <v>122</v>
      </c>
      <c r="W388" s="15">
        <v>144</v>
      </c>
    </row>
    <row r="389" spans="13:23" x14ac:dyDescent="0.2">
      <c r="M389" s="14">
        <v>98390</v>
      </c>
      <c r="N389" s="14" t="s">
        <v>10</v>
      </c>
      <c r="O389" s="15">
        <v>73</v>
      </c>
      <c r="P389" s="15">
        <v>49</v>
      </c>
      <c r="Q389" s="15">
        <v>97</v>
      </c>
      <c r="S389" s="14">
        <v>98503</v>
      </c>
      <c r="T389" s="14" t="s">
        <v>333</v>
      </c>
      <c r="U389" s="15">
        <v>7</v>
      </c>
      <c r="V389" s="15">
        <v>5</v>
      </c>
      <c r="W389" s="15">
        <v>7</v>
      </c>
    </row>
    <row r="390" spans="13:23" x14ac:dyDescent="0.2">
      <c r="M390" s="14">
        <v>98391</v>
      </c>
      <c r="N390" s="14" t="s">
        <v>10</v>
      </c>
      <c r="O390" s="15">
        <v>214</v>
      </c>
      <c r="P390" s="15">
        <v>157</v>
      </c>
      <c r="Q390" s="15">
        <v>310</v>
      </c>
      <c r="S390" s="14">
        <v>98503</v>
      </c>
      <c r="T390" s="14" t="s">
        <v>10</v>
      </c>
      <c r="U390" s="15">
        <v>175</v>
      </c>
      <c r="V390" s="15">
        <v>126</v>
      </c>
      <c r="W390" s="15">
        <v>186</v>
      </c>
    </row>
    <row r="391" spans="13:23" x14ac:dyDescent="0.2">
      <c r="M391" s="14">
        <v>98392</v>
      </c>
      <c r="N391" s="14" t="s">
        <v>10</v>
      </c>
      <c r="O391" s="15">
        <v>17</v>
      </c>
      <c r="P391" s="15">
        <v>14</v>
      </c>
      <c r="Q391" s="15">
        <v>18</v>
      </c>
      <c r="S391" s="14">
        <v>98506</v>
      </c>
      <c r="T391" s="14" t="s">
        <v>333</v>
      </c>
      <c r="U391" s="15">
        <v>6</v>
      </c>
      <c r="V391" s="15">
        <v>3</v>
      </c>
      <c r="W391" s="15">
        <v>11</v>
      </c>
    </row>
    <row r="392" spans="13:23" x14ac:dyDescent="0.2">
      <c r="M392" s="14">
        <v>98396</v>
      </c>
      <c r="N392" s="14" t="s">
        <v>10</v>
      </c>
      <c r="O392" s="15">
        <v>3</v>
      </c>
      <c r="P392" s="15">
        <v>2</v>
      </c>
      <c r="Q392" s="15">
        <v>2</v>
      </c>
      <c r="S392" s="14">
        <v>98506</v>
      </c>
      <c r="T392" s="14" t="s">
        <v>10</v>
      </c>
      <c r="U392" s="15">
        <v>62</v>
      </c>
      <c r="V392" s="15">
        <v>57</v>
      </c>
      <c r="W392" s="15">
        <v>72</v>
      </c>
    </row>
    <row r="393" spans="13:23" x14ac:dyDescent="0.2">
      <c r="M393" s="14">
        <v>98402</v>
      </c>
      <c r="N393" s="14" t="s">
        <v>10</v>
      </c>
      <c r="O393" s="15">
        <v>1</v>
      </c>
      <c r="P393" s="15">
        <v>1</v>
      </c>
      <c r="Q393" s="15">
        <v>1</v>
      </c>
      <c r="S393" s="14">
        <v>98512</v>
      </c>
      <c r="T393" s="14" t="s">
        <v>333</v>
      </c>
      <c r="U393" s="15">
        <v>7</v>
      </c>
      <c r="V393" s="15">
        <v>2</v>
      </c>
      <c r="W393" s="15">
        <v>5</v>
      </c>
    </row>
    <row r="394" spans="13:23" x14ac:dyDescent="0.2">
      <c r="M394" s="14">
        <v>98403</v>
      </c>
      <c r="N394" s="14" t="s">
        <v>10</v>
      </c>
      <c r="O394" s="15">
        <v>10</v>
      </c>
      <c r="P394" s="15">
        <v>6</v>
      </c>
      <c r="Q394" s="15">
        <v>11</v>
      </c>
      <c r="S394" s="14">
        <v>98512</v>
      </c>
      <c r="T394" s="14" t="s">
        <v>10</v>
      </c>
      <c r="U394" s="15">
        <v>121</v>
      </c>
      <c r="V394" s="15">
        <v>77</v>
      </c>
      <c r="W394" s="15">
        <v>115</v>
      </c>
    </row>
    <row r="395" spans="13:23" x14ac:dyDescent="0.2">
      <c r="M395" s="14">
        <v>98404</v>
      </c>
      <c r="N395" s="14" t="s">
        <v>10</v>
      </c>
      <c r="O395" s="15">
        <v>40</v>
      </c>
      <c r="P395" s="15">
        <v>50</v>
      </c>
      <c r="Q395" s="15">
        <v>47</v>
      </c>
      <c r="S395" s="14">
        <v>98513</v>
      </c>
      <c r="T395" s="14" t="s">
        <v>333</v>
      </c>
      <c r="U395" s="15">
        <v>5</v>
      </c>
      <c r="V395" s="15">
        <v>2</v>
      </c>
      <c r="W395" s="15">
        <v>5</v>
      </c>
    </row>
    <row r="396" spans="13:23" x14ac:dyDescent="0.2">
      <c r="M396" s="14">
        <v>98405</v>
      </c>
      <c r="N396" s="14" t="s">
        <v>10</v>
      </c>
      <c r="O396" s="15">
        <v>36</v>
      </c>
      <c r="P396" s="15">
        <v>32</v>
      </c>
      <c r="Q396" s="15">
        <v>50</v>
      </c>
      <c r="S396" s="14">
        <v>98513</v>
      </c>
      <c r="T396" s="14" t="s">
        <v>10</v>
      </c>
      <c r="U396" s="15">
        <v>122</v>
      </c>
      <c r="V396" s="15">
        <v>113</v>
      </c>
      <c r="W396" s="15">
        <v>137</v>
      </c>
    </row>
    <row r="397" spans="13:23" x14ac:dyDescent="0.2">
      <c r="M397" s="14">
        <v>98406</v>
      </c>
      <c r="N397" s="14" t="s">
        <v>10</v>
      </c>
      <c r="O397" s="15">
        <v>19</v>
      </c>
      <c r="P397" s="15">
        <v>25</v>
      </c>
      <c r="Q397" s="15">
        <v>20</v>
      </c>
      <c r="S397" s="14">
        <v>98516</v>
      </c>
      <c r="T397" s="14" t="s">
        <v>333</v>
      </c>
      <c r="U397" s="15">
        <v>4</v>
      </c>
      <c r="V397" s="15">
        <v>9</v>
      </c>
      <c r="W397" s="15">
        <v>12</v>
      </c>
    </row>
    <row r="398" spans="13:23" x14ac:dyDescent="0.2">
      <c r="M398" s="14">
        <v>98407</v>
      </c>
      <c r="N398" s="14" t="s">
        <v>10</v>
      </c>
      <c r="O398" s="15">
        <v>17</v>
      </c>
      <c r="P398" s="15">
        <v>16</v>
      </c>
      <c r="Q398" s="15">
        <v>21</v>
      </c>
      <c r="S398" s="14">
        <v>98516</v>
      </c>
      <c r="T398" s="14" t="s">
        <v>10</v>
      </c>
      <c r="U398" s="15">
        <v>129</v>
      </c>
      <c r="V398" s="15">
        <v>78</v>
      </c>
      <c r="W398" s="15">
        <v>110</v>
      </c>
    </row>
    <row r="399" spans="13:23" x14ac:dyDescent="0.2">
      <c r="M399" s="14">
        <v>98408</v>
      </c>
      <c r="N399" s="14" t="s">
        <v>10</v>
      </c>
      <c r="O399" s="15">
        <v>36</v>
      </c>
      <c r="P399" s="15">
        <v>40</v>
      </c>
      <c r="Q399" s="15">
        <v>52</v>
      </c>
      <c r="S399" s="14">
        <v>98530</v>
      </c>
      <c r="T399" s="14" t="s">
        <v>10</v>
      </c>
      <c r="U399" s="15">
        <v>3</v>
      </c>
      <c r="V399" s="15">
        <v>2</v>
      </c>
      <c r="W399" s="15">
        <v>10</v>
      </c>
    </row>
    <row r="400" spans="13:23" x14ac:dyDescent="0.2">
      <c r="M400" s="14">
        <v>98409</v>
      </c>
      <c r="N400" s="14" t="s">
        <v>10</v>
      </c>
      <c r="O400" s="15">
        <v>27</v>
      </c>
      <c r="P400" s="15">
        <v>21</v>
      </c>
      <c r="Q400" s="15">
        <v>39</v>
      </c>
      <c r="S400" s="14">
        <v>98531</v>
      </c>
      <c r="T400" s="14" t="s">
        <v>333</v>
      </c>
      <c r="U400" s="15">
        <v>2</v>
      </c>
      <c r="V400" s="15">
        <v>1</v>
      </c>
      <c r="W400" s="15">
        <v>3</v>
      </c>
    </row>
    <row r="401" spans="13:23" x14ac:dyDescent="0.2">
      <c r="M401" s="14">
        <v>98418</v>
      </c>
      <c r="N401" s="14" t="s">
        <v>10</v>
      </c>
      <c r="O401" s="15">
        <v>21</v>
      </c>
      <c r="P401" s="15">
        <v>17</v>
      </c>
      <c r="Q401" s="15">
        <v>28</v>
      </c>
      <c r="S401" s="14">
        <v>98531</v>
      </c>
      <c r="T401" s="14" t="s">
        <v>10</v>
      </c>
      <c r="U401" s="15">
        <v>18</v>
      </c>
      <c r="V401" s="15">
        <v>16</v>
      </c>
      <c r="W401" s="15">
        <v>23</v>
      </c>
    </row>
    <row r="402" spans="13:23" x14ac:dyDescent="0.2">
      <c r="M402" s="14">
        <v>98421</v>
      </c>
      <c r="N402" s="14" t="s">
        <v>10</v>
      </c>
      <c r="O402" s="15"/>
      <c r="P402" s="15"/>
      <c r="Q402" s="15">
        <v>1</v>
      </c>
      <c r="S402" s="14">
        <v>98532</v>
      </c>
      <c r="T402" s="14" t="s">
        <v>333</v>
      </c>
      <c r="U402" s="15">
        <v>2</v>
      </c>
      <c r="V402" s="15">
        <v>1</v>
      </c>
      <c r="W402" s="15">
        <v>2</v>
      </c>
    </row>
    <row r="403" spans="13:23" x14ac:dyDescent="0.2">
      <c r="M403" s="14">
        <v>98422</v>
      </c>
      <c r="N403" s="14" t="s">
        <v>10</v>
      </c>
      <c r="O403" s="15">
        <v>16</v>
      </c>
      <c r="P403" s="15">
        <v>17</v>
      </c>
      <c r="Q403" s="15">
        <v>25</v>
      </c>
      <c r="S403" s="14">
        <v>98532</v>
      </c>
      <c r="T403" s="14" t="s">
        <v>10</v>
      </c>
      <c r="U403" s="15">
        <v>5</v>
      </c>
      <c r="V403" s="15">
        <v>9</v>
      </c>
      <c r="W403" s="15">
        <v>8</v>
      </c>
    </row>
    <row r="404" spans="13:23" x14ac:dyDescent="0.2">
      <c r="M404" s="14">
        <v>98424</v>
      </c>
      <c r="N404" s="14" t="s">
        <v>10</v>
      </c>
      <c r="O404" s="15">
        <v>11</v>
      </c>
      <c r="P404" s="15">
        <v>18</v>
      </c>
      <c r="Q404" s="15">
        <v>18</v>
      </c>
      <c r="S404" s="14">
        <v>98558</v>
      </c>
      <c r="T404" s="14" t="s">
        <v>10</v>
      </c>
      <c r="U404" s="15">
        <v>1</v>
      </c>
      <c r="V404" s="15">
        <v>1</v>
      </c>
      <c r="W404" s="15">
        <v>3</v>
      </c>
    </row>
    <row r="405" spans="13:23" x14ac:dyDescent="0.2">
      <c r="M405" s="14">
        <v>98439</v>
      </c>
      <c r="N405" s="14" t="s">
        <v>10</v>
      </c>
      <c r="O405" s="15">
        <v>45</v>
      </c>
      <c r="P405" s="15">
        <v>38</v>
      </c>
      <c r="Q405" s="15">
        <v>41</v>
      </c>
      <c r="S405" s="14">
        <v>98576</v>
      </c>
      <c r="T405" s="14" t="s">
        <v>333</v>
      </c>
      <c r="U405" s="15"/>
      <c r="V405" s="15"/>
      <c r="W405" s="15">
        <v>3</v>
      </c>
    </row>
    <row r="406" spans="13:23" x14ac:dyDescent="0.2">
      <c r="M406" s="14">
        <v>98443</v>
      </c>
      <c r="N406" s="14" t="s">
        <v>10</v>
      </c>
      <c r="O406" s="15">
        <v>2</v>
      </c>
      <c r="P406" s="15">
        <v>1</v>
      </c>
      <c r="Q406" s="15"/>
      <c r="S406" s="14">
        <v>98576</v>
      </c>
      <c r="T406" s="14" t="s">
        <v>10</v>
      </c>
      <c r="U406" s="15">
        <v>30</v>
      </c>
      <c r="V406" s="15">
        <v>22</v>
      </c>
      <c r="W406" s="15">
        <v>15</v>
      </c>
    </row>
    <row r="407" spans="13:23" x14ac:dyDescent="0.2">
      <c r="M407" s="14">
        <v>98444</v>
      </c>
      <c r="N407" s="14" t="s">
        <v>10</v>
      </c>
      <c r="O407" s="15">
        <v>33</v>
      </c>
      <c r="P407" s="15">
        <v>35</v>
      </c>
      <c r="Q407" s="15">
        <v>37</v>
      </c>
      <c r="S407" s="14">
        <v>98579</v>
      </c>
      <c r="T407" s="14" t="s">
        <v>333</v>
      </c>
      <c r="U407" s="15">
        <v>6</v>
      </c>
      <c r="V407" s="15">
        <v>3</v>
      </c>
      <c r="W407" s="15">
        <v>3</v>
      </c>
    </row>
    <row r="408" spans="13:23" x14ac:dyDescent="0.2">
      <c r="M408" s="14">
        <v>98445</v>
      </c>
      <c r="N408" s="14" t="s">
        <v>10</v>
      </c>
      <c r="O408" s="15">
        <v>33</v>
      </c>
      <c r="P408" s="15">
        <v>44</v>
      </c>
      <c r="Q408" s="15">
        <v>41</v>
      </c>
      <c r="S408" s="14">
        <v>98579</v>
      </c>
      <c r="T408" s="14" t="s">
        <v>10</v>
      </c>
      <c r="U408" s="15">
        <v>68</v>
      </c>
      <c r="V408" s="15">
        <v>41</v>
      </c>
      <c r="W408" s="15">
        <v>63</v>
      </c>
    </row>
    <row r="409" spans="13:23" x14ac:dyDescent="0.2">
      <c r="M409" s="14">
        <v>98446</v>
      </c>
      <c r="N409" s="14" t="s">
        <v>10</v>
      </c>
      <c r="O409" s="15">
        <v>22</v>
      </c>
      <c r="P409" s="15">
        <v>26</v>
      </c>
      <c r="Q409" s="15">
        <v>37</v>
      </c>
      <c r="S409" s="14">
        <v>98580</v>
      </c>
      <c r="T409" s="14" t="s">
        <v>333</v>
      </c>
      <c r="U409" s="15">
        <v>2</v>
      </c>
      <c r="V409" s="15">
        <v>5</v>
      </c>
      <c r="W409" s="15"/>
    </row>
    <row r="410" spans="13:23" x14ac:dyDescent="0.2">
      <c r="M410" s="14">
        <v>98465</v>
      </c>
      <c r="N410" s="14" t="s">
        <v>10</v>
      </c>
      <c r="O410" s="15">
        <v>4</v>
      </c>
      <c r="P410" s="15">
        <v>3</v>
      </c>
      <c r="Q410" s="15">
        <v>7</v>
      </c>
      <c r="S410" s="14">
        <v>98580</v>
      </c>
      <c r="T410" s="14" t="s">
        <v>10</v>
      </c>
      <c r="U410" s="15">
        <v>41</v>
      </c>
      <c r="V410" s="15">
        <v>17</v>
      </c>
      <c r="W410" s="15">
        <v>48</v>
      </c>
    </row>
    <row r="411" spans="13:23" x14ac:dyDescent="0.2">
      <c r="M411" s="14">
        <v>98466</v>
      </c>
      <c r="N411" s="14" t="s">
        <v>10</v>
      </c>
      <c r="O411" s="15">
        <v>9</v>
      </c>
      <c r="P411" s="15">
        <v>11</v>
      </c>
      <c r="Q411" s="15">
        <v>17</v>
      </c>
      <c r="S411" s="14">
        <v>98589</v>
      </c>
      <c r="T411" s="14" t="s">
        <v>333</v>
      </c>
      <c r="U411" s="15">
        <v>6</v>
      </c>
      <c r="V411" s="15">
        <v>4</v>
      </c>
      <c r="W411" s="15">
        <v>2</v>
      </c>
    </row>
    <row r="412" spans="13:23" x14ac:dyDescent="0.2">
      <c r="M412" s="14">
        <v>98467</v>
      </c>
      <c r="N412" s="14" t="s">
        <v>10</v>
      </c>
      <c r="O412" s="15">
        <v>6</v>
      </c>
      <c r="P412" s="15">
        <v>9</v>
      </c>
      <c r="Q412" s="15">
        <v>11</v>
      </c>
      <c r="S412" s="14">
        <v>98589</v>
      </c>
      <c r="T412" s="14" t="s">
        <v>10</v>
      </c>
      <c r="U412" s="15">
        <v>38</v>
      </c>
      <c r="V412" s="15">
        <v>27</v>
      </c>
      <c r="W412" s="15">
        <v>26</v>
      </c>
    </row>
    <row r="413" spans="13:23" x14ac:dyDescent="0.2">
      <c r="M413" s="14">
        <v>98498</v>
      </c>
      <c r="N413" s="14" t="s">
        <v>10</v>
      </c>
      <c r="O413" s="15">
        <v>125</v>
      </c>
      <c r="P413" s="15">
        <v>101</v>
      </c>
      <c r="Q413" s="15">
        <v>147</v>
      </c>
      <c r="S413" s="14">
        <v>98591</v>
      </c>
      <c r="T413" s="14" t="s">
        <v>10</v>
      </c>
      <c r="U413" s="15"/>
      <c r="V413" s="15"/>
      <c r="W413" s="15">
        <v>3</v>
      </c>
    </row>
    <row r="414" spans="13:23" x14ac:dyDescent="0.2">
      <c r="M414" s="14">
        <v>98499</v>
      </c>
      <c r="N414" s="14" t="s">
        <v>10</v>
      </c>
      <c r="O414" s="15">
        <v>31</v>
      </c>
      <c r="P414" s="15">
        <v>27</v>
      </c>
      <c r="Q414" s="15">
        <v>43</v>
      </c>
      <c r="S414" s="14">
        <v>98596</v>
      </c>
      <c r="T414" s="14" t="s">
        <v>333</v>
      </c>
      <c r="U414" s="15">
        <v>1</v>
      </c>
      <c r="V414" s="15"/>
      <c r="W414" s="15">
        <v>1</v>
      </c>
    </row>
    <row r="415" spans="13:23" x14ac:dyDescent="0.2">
      <c r="M415" s="14">
        <v>98501</v>
      </c>
      <c r="N415" s="14" t="s">
        <v>10</v>
      </c>
      <c r="O415" s="15">
        <v>195</v>
      </c>
      <c r="P415" s="15">
        <v>159</v>
      </c>
      <c r="Q415" s="15">
        <v>214</v>
      </c>
      <c r="S415" s="14">
        <v>98596</v>
      </c>
      <c r="T415" s="14" t="s">
        <v>10</v>
      </c>
      <c r="U415" s="15">
        <v>2</v>
      </c>
      <c r="V415" s="15"/>
      <c r="W415" s="15">
        <v>1</v>
      </c>
    </row>
    <row r="416" spans="13:23" x14ac:dyDescent="0.2">
      <c r="M416" s="14">
        <v>98502</v>
      </c>
      <c r="N416" s="14" t="s">
        <v>10</v>
      </c>
      <c r="O416" s="15">
        <v>190</v>
      </c>
      <c r="P416" s="15">
        <v>126</v>
      </c>
      <c r="Q416" s="15">
        <v>173</v>
      </c>
      <c r="S416" s="14">
        <v>98597</v>
      </c>
      <c r="T416" s="14" t="s">
        <v>333</v>
      </c>
      <c r="U416" s="15">
        <v>6</v>
      </c>
      <c r="V416" s="15">
        <v>5</v>
      </c>
      <c r="W416" s="15">
        <v>6</v>
      </c>
    </row>
    <row r="417" spans="13:23" x14ac:dyDescent="0.2">
      <c r="M417" s="14">
        <v>98503</v>
      </c>
      <c r="N417" s="14" t="s">
        <v>10</v>
      </c>
      <c r="O417" s="15">
        <v>191</v>
      </c>
      <c r="P417" s="15">
        <v>177</v>
      </c>
      <c r="Q417" s="15">
        <v>234</v>
      </c>
      <c r="S417" s="14">
        <v>98597</v>
      </c>
      <c r="T417" s="14" t="s">
        <v>10</v>
      </c>
      <c r="U417" s="15">
        <v>128</v>
      </c>
      <c r="V417" s="15">
        <v>90</v>
      </c>
      <c r="W417" s="15">
        <v>146</v>
      </c>
    </row>
    <row r="418" spans="13:23" x14ac:dyDescent="0.2">
      <c r="M418" s="14">
        <v>98506</v>
      </c>
      <c r="N418" s="14" t="s">
        <v>10</v>
      </c>
      <c r="O418" s="15">
        <v>67</v>
      </c>
      <c r="P418" s="15">
        <v>71</v>
      </c>
      <c r="Q418" s="15">
        <v>86</v>
      </c>
      <c r="S418" s="14">
        <v>98922</v>
      </c>
      <c r="T418" s="14" t="s">
        <v>333</v>
      </c>
      <c r="U418" s="15">
        <v>6</v>
      </c>
      <c r="V418" s="15">
        <v>5</v>
      </c>
      <c r="W418" s="15">
        <v>4</v>
      </c>
    </row>
    <row r="419" spans="13:23" x14ac:dyDescent="0.2">
      <c r="M419" s="14">
        <v>98512</v>
      </c>
      <c r="N419" s="14" t="s">
        <v>10</v>
      </c>
      <c r="O419" s="15">
        <v>137</v>
      </c>
      <c r="P419" s="15">
        <v>116</v>
      </c>
      <c r="Q419" s="15">
        <v>150</v>
      </c>
      <c r="S419" s="14">
        <v>98922</v>
      </c>
      <c r="T419" s="14" t="s">
        <v>10</v>
      </c>
      <c r="U419" s="15">
        <v>38</v>
      </c>
      <c r="V419" s="15">
        <v>34</v>
      </c>
      <c r="W419" s="15">
        <v>66</v>
      </c>
    </row>
    <row r="420" spans="13:23" x14ac:dyDescent="0.2">
      <c r="M420" s="14">
        <v>98513</v>
      </c>
      <c r="N420" s="14" t="s">
        <v>10</v>
      </c>
      <c r="O420" s="15">
        <v>153</v>
      </c>
      <c r="P420" s="15">
        <v>126</v>
      </c>
      <c r="Q420" s="15">
        <v>183</v>
      </c>
      <c r="S420" s="97">
        <v>98925</v>
      </c>
      <c r="T420" s="97" t="s">
        <v>10</v>
      </c>
      <c r="U420" s="115">
        <v>6</v>
      </c>
      <c r="V420" s="115">
        <v>1</v>
      </c>
      <c r="W420" s="115">
        <v>13</v>
      </c>
    </row>
    <row r="421" spans="13:23" x14ac:dyDescent="0.2">
      <c r="M421" s="14">
        <v>98516</v>
      </c>
      <c r="N421" s="14" t="s">
        <v>10</v>
      </c>
      <c r="O421" s="15">
        <v>141</v>
      </c>
      <c r="P421" s="15">
        <v>91</v>
      </c>
      <c r="Q421" s="15">
        <v>117</v>
      </c>
      <c r="S421" s="57">
        <v>98926</v>
      </c>
      <c r="T421" s="60" t="s">
        <v>333</v>
      </c>
      <c r="U421" s="75">
        <v>9</v>
      </c>
      <c r="V421" s="75">
        <v>9</v>
      </c>
      <c r="W421" s="75">
        <v>11</v>
      </c>
    </row>
    <row r="422" spans="13:23" x14ac:dyDescent="0.2">
      <c r="M422" s="14">
        <v>98530</v>
      </c>
      <c r="N422" s="14" t="s">
        <v>10</v>
      </c>
      <c r="O422" s="15">
        <v>4</v>
      </c>
      <c r="P422" s="15">
        <v>3</v>
      </c>
      <c r="Q422" s="15">
        <v>13</v>
      </c>
      <c r="S422" s="57">
        <v>98926</v>
      </c>
      <c r="T422" s="60" t="s">
        <v>10</v>
      </c>
      <c r="U422" s="75">
        <v>28</v>
      </c>
      <c r="V422" s="75">
        <v>19</v>
      </c>
      <c r="W422" s="75">
        <v>29</v>
      </c>
    </row>
    <row r="423" spans="13:23" x14ac:dyDescent="0.2">
      <c r="M423" s="14">
        <v>98531</v>
      </c>
      <c r="N423" s="14" t="s">
        <v>10</v>
      </c>
      <c r="O423" s="15">
        <v>21</v>
      </c>
      <c r="P423" s="15">
        <v>19</v>
      </c>
      <c r="Q423" s="15">
        <v>36</v>
      </c>
      <c r="S423" s="101">
        <v>98934</v>
      </c>
      <c r="T423" s="52" t="s">
        <v>333</v>
      </c>
      <c r="U423" s="117">
        <v>1</v>
      </c>
      <c r="V423" s="117">
        <v>1</v>
      </c>
      <c r="W423" s="117">
        <v>2</v>
      </c>
    </row>
    <row r="424" spans="13:23" x14ac:dyDescent="0.2">
      <c r="M424" s="14">
        <v>98532</v>
      </c>
      <c r="N424" s="14" t="s">
        <v>10</v>
      </c>
      <c r="O424" s="15">
        <v>8</v>
      </c>
      <c r="P424" s="15">
        <v>8</v>
      </c>
      <c r="Q424" s="15">
        <v>11</v>
      </c>
      <c r="S424" s="57">
        <v>98934</v>
      </c>
      <c r="T424" s="60" t="s">
        <v>10</v>
      </c>
      <c r="U424" s="75">
        <v>9</v>
      </c>
      <c r="V424" s="75">
        <v>6</v>
      </c>
      <c r="W424" s="75">
        <v>10</v>
      </c>
    </row>
    <row r="425" spans="13:23" x14ac:dyDescent="0.2">
      <c r="M425" s="14">
        <v>98558</v>
      </c>
      <c r="N425" s="14" t="s">
        <v>10</v>
      </c>
      <c r="O425" s="15">
        <v>2</v>
      </c>
      <c r="P425" s="15">
        <v>2</v>
      </c>
      <c r="Q425" s="15">
        <v>1</v>
      </c>
      <c r="S425" s="56">
        <v>98940</v>
      </c>
      <c r="T425" s="60" t="s">
        <v>10</v>
      </c>
      <c r="U425" s="75">
        <v>4</v>
      </c>
      <c r="V425" s="75">
        <v>2</v>
      </c>
      <c r="W425" s="75">
        <v>5</v>
      </c>
    </row>
    <row r="426" spans="13:23" x14ac:dyDescent="0.2">
      <c r="M426" s="14">
        <v>98576</v>
      </c>
      <c r="N426" s="14" t="s">
        <v>10</v>
      </c>
      <c r="O426" s="15">
        <v>38</v>
      </c>
      <c r="P426" s="15">
        <v>21</v>
      </c>
      <c r="Q426" s="15">
        <v>27</v>
      </c>
      <c r="S426" s="57">
        <v>98941</v>
      </c>
      <c r="T426" s="60" t="s">
        <v>333</v>
      </c>
      <c r="U426" s="75">
        <v>2</v>
      </c>
      <c r="V426" s="75"/>
      <c r="W426" s="75">
        <v>2</v>
      </c>
    </row>
    <row r="427" spans="13:23" x14ac:dyDescent="0.2">
      <c r="M427" s="14">
        <v>98579</v>
      </c>
      <c r="N427" s="14" t="s">
        <v>10</v>
      </c>
      <c r="O427" s="15">
        <v>77</v>
      </c>
      <c r="P427" s="15">
        <v>46</v>
      </c>
      <c r="Q427" s="15">
        <v>74</v>
      </c>
      <c r="S427" s="56">
        <v>98941</v>
      </c>
      <c r="T427" s="60" t="s">
        <v>10</v>
      </c>
      <c r="U427" s="75">
        <v>8</v>
      </c>
      <c r="V427" s="75">
        <v>7</v>
      </c>
      <c r="W427" s="75">
        <v>10</v>
      </c>
    </row>
    <row r="428" spans="13:23" x14ac:dyDescent="0.2">
      <c r="M428" s="14">
        <v>98580</v>
      </c>
      <c r="N428" s="14" t="s">
        <v>10</v>
      </c>
      <c r="O428" s="15">
        <v>40</v>
      </c>
      <c r="P428" s="15">
        <v>31</v>
      </c>
      <c r="Q428" s="15">
        <v>53</v>
      </c>
      <c r="S428" s="57">
        <v>98943</v>
      </c>
      <c r="T428" s="60" t="s">
        <v>10</v>
      </c>
      <c r="U428" s="75">
        <v>6</v>
      </c>
      <c r="V428" s="75">
        <v>5</v>
      </c>
      <c r="W428" s="79">
        <v>10</v>
      </c>
    </row>
    <row r="429" spans="13:23" x14ac:dyDescent="0.2">
      <c r="M429" s="14">
        <v>98589</v>
      </c>
      <c r="N429" s="14" t="s">
        <v>10</v>
      </c>
      <c r="O429" s="15">
        <v>45</v>
      </c>
      <c r="P429" s="15">
        <v>30</v>
      </c>
      <c r="Q429" s="15">
        <v>56</v>
      </c>
      <c r="S429" s="56">
        <v>98946</v>
      </c>
      <c r="T429" s="60" t="s">
        <v>333</v>
      </c>
      <c r="U429" s="75">
        <v>3</v>
      </c>
      <c r="V429" s="75">
        <v>2</v>
      </c>
      <c r="W429" s="75">
        <v>2</v>
      </c>
    </row>
    <row r="430" spans="13:23" x14ac:dyDescent="0.2">
      <c r="M430" s="97">
        <v>98591</v>
      </c>
      <c r="N430" s="97" t="s">
        <v>10</v>
      </c>
      <c r="O430" s="115"/>
      <c r="P430" s="115"/>
      <c r="Q430" s="115">
        <v>3</v>
      </c>
      <c r="S430" s="57">
        <v>98946</v>
      </c>
      <c r="T430" s="60" t="s">
        <v>10</v>
      </c>
      <c r="U430" s="75">
        <v>6</v>
      </c>
      <c r="V430" s="75">
        <v>6</v>
      </c>
      <c r="W430" s="75">
        <v>6</v>
      </c>
    </row>
    <row r="431" spans="13:23" x14ac:dyDescent="0.2">
      <c r="M431" s="14">
        <v>98596</v>
      </c>
      <c r="N431" s="14" t="s">
        <v>10</v>
      </c>
      <c r="O431" s="15">
        <v>2</v>
      </c>
      <c r="P431" s="15"/>
      <c r="Q431" s="15">
        <v>2</v>
      </c>
      <c r="S431" s="56" t="s">
        <v>336</v>
      </c>
      <c r="T431" s="60" t="s">
        <v>333</v>
      </c>
      <c r="U431" s="75">
        <v>9</v>
      </c>
      <c r="V431" s="75">
        <v>7</v>
      </c>
      <c r="W431" s="75">
        <v>6</v>
      </c>
    </row>
    <row r="432" spans="13:23" ht="16" thickBot="1" x14ac:dyDescent="0.25">
      <c r="M432" s="14">
        <v>98597</v>
      </c>
      <c r="N432" s="14" t="s">
        <v>10</v>
      </c>
      <c r="O432" s="15">
        <v>165</v>
      </c>
      <c r="P432" s="15">
        <v>130</v>
      </c>
      <c r="Q432" s="15">
        <v>154</v>
      </c>
      <c r="S432" s="134" t="s">
        <v>336</v>
      </c>
      <c r="T432" s="46" t="s">
        <v>10</v>
      </c>
      <c r="U432" s="76">
        <v>13</v>
      </c>
      <c r="V432" s="76">
        <v>13</v>
      </c>
      <c r="W432" s="76">
        <v>13</v>
      </c>
    </row>
    <row r="433" spans="13:23" x14ac:dyDescent="0.2">
      <c r="M433" s="14">
        <v>98922</v>
      </c>
      <c r="N433" s="14" t="s">
        <v>10</v>
      </c>
      <c r="O433" s="15">
        <v>48</v>
      </c>
      <c r="P433" s="15">
        <v>50</v>
      </c>
      <c r="Q433" s="15">
        <v>69</v>
      </c>
      <c r="S433" s="63"/>
      <c r="T433" s="38"/>
      <c r="U433" s="43"/>
      <c r="V433" s="43"/>
      <c r="W433" s="43"/>
    </row>
    <row r="434" spans="13:23" x14ac:dyDescent="0.2">
      <c r="M434" s="14">
        <v>98925</v>
      </c>
      <c r="N434" s="14" t="s">
        <v>10</v>
      </c>
      <c r="O434" s="15">
        <v>4</v>
      </c>
      <c r="P434" s="15">
        <v>10</v>
      </c>
      <c r="Q434" s="15">
        <v>9</v>
      </c>
      <c r="S434" s="62"/>
      <c r="T434" s="38"/>
      <c r="U434" s="43"/>
      <c r="V434" s="43"/>
      <c r="W434" s="43"/>
    </row>
    <row r="435" spans="13:23" x14ac:dyDescent="0.2">
      <c r="M435" s="14">
        <v>98926</v>
      </c>
      <c r="N435" s="14" t="s">
        <v>10</v>
      </c>
      <c r="O435" s="51">
        <v>37</v>
      </c>
      <c r="P435" s="51">
        <v>24</v>
      </c>
      <c r="Q435" s="51">
        <v>45</v>
      </c>
      <c r="S435" s="63"/>
      <c r="T435" s="38"/>
      <c r="U435" s="43"/>
      <c r="V435" s="43"/>
      <c r="W435" s="43"/>
    </row>
    <row r="436" spans="13:23" x14ac:dyDescent="0.2">
      <c r="M436" s="14">
        <v>98934</v>
      </c>
      <c r="N436" s="14" t="s">
        <v>10</v>
      </c>
      <c r="O436" s="51">
        <v>12</v>
      </c>
      <c r="P436" s="51">
        <v>5</v>
      </c>
      <c r="Q436" s="51">
        <v>14</v>
      </c>
      <c r="S436" s="37"/>
      <c r="T436" s="38"/>
      <c r="U436" s="43"/>
      <c r="V436" s="43"/>
      <c r="W436" s="43"/>
    </row>
    <row r="437" spans="13:23" x14ac:dyDescent="0.2">
      <c r="M437" s="14">
        <v>98940</v>
      </c>
      <c r="N437" s="14" t="s">
        <v>10</v>
      </c>
      <c r="O437" s="51">
        <v>3</v>
      </c>
      <c r="P437" s="51">
        <v>4</v>
      </c>
      <c r="Q437" s="51">
        <v>8</v>
      </c>
      <c r="S437" s="40"/>
      <c r="T437" s="38"/>
      <c r="U437" s="43"/>
      <c r="V437" s="43"/>
      <c r="W437" s="43"/>
    </row>
    <row r="438" spans="13:23" x14ac:dyDescent="0.2">
      <c r="M438" s="132">
        <v>98941</v>
      </c>
      <c r="N438" s="60" t="s">
        <v>10</v>
      </c>
      <c r="O438" s="75">
        <v>9</v>
      </c>
      <c r="P438" s="75">
        <v>6</v>
      </c>
      <c r="Q438" s="75">
        <v>14</v>
      </c>
      <c r="S438" s="38"/>
      <c r="T438" s="38"/>
      <c r="U438" s="43"/>
      <c r="V438" s="43"/>
      <c r="W438" s="43"/>
    </row>
    <row r="439" spans="13:23" x14ac:dyDescent="0.2">
      <c r="M439" s="54">
        <v>98943</v>
      </c>
      <c r="N439" s="60" t="s">
        <v>10</v>
      </c>
      <c r="O439" s="75">
        <v>6</v>
      </c>
      <c r="P439" s="75">
        <v>7</v>
      </c>
      <c r="Q439" s="75">
        <v>10</v>
      </c>
      <c r="S439" s="37"/>
      <c r="T439" s="38"/>
      <c r="U439" s="43"/>
      <c r="V439" s="43"/>
      <c r="W439" s="43"/>
    </row>
    <row r="440" spans="13:23" x14ac:dyDescent="0.2">
      <c r="M440" s="54">
        <v>98946</v>
      </c>
      <c r="N440" s="60" t="s">
        <v>10</v>
      </c>
      <c r="O440" s="75">
        <v>3</v>
      </c>
      <c r="P440" s="75">
        <v>7</v>
      </c>
      <c r="Q440" s="75">
        <v>9</v>
      </c>
      <c r="S440" s="40"/>
      <c r="T440" s="38"/>
      <c r="U440" s="43"/>
      <c r="V440" s="43"/>
      <c r="W440" s="43"/>
    </row>
    <row r="441" spans="13:23" ht="16" thickBot="1" x14ac:dyDescent="0.25">
      <c r="M441" s="133" t="s">
        <v>336</v>
      </c>
      <c r="N441" s="46" t="s">
        <v>10</v>
      </c>
      <c r="O441" s="76">
        <v>19</v>
      </c>
      <c r="P441" s="76">
        <v>15</v>
      </c>
      <c r="Q441" s="76">
        <v>9</v>
      </c>
      <c r="S441" s="37"/>
      <c r="T441" s="38"/>
      <c r="U441" s="43"/>
      <c r="V441" s="43"/>
      <c r="W441" s="43"/>
    </row>
    <row r="442" spans="13:23" ht="16" thickBot="1" x14ac:dyDescent="0.25">
      <c r="M442" s="145" t="s">
        <v>362</v>
      </c>
      <c r="N442" s="146"/>
      <c r="O442" s="148">
        <f>SUM(O218:O441)</f>
        <v>13796</v>
      </c>
      <c r="P442" s="148">
        <f t="shared" ref="P442:Q442" si="1">SUM(P218:P441)</f>
        <v>10472</v>
      </c>
      <c r="Q442" s="148">
        <f t="shared" si="1"/>
        <v>16184</v>
      </c>
      <c r="S442" s="40"/>
      <c r="T442" s="38"/>
      <c r="U442" s="43"/>
      <c r="V442" s="43"/>
      <c r="W442" s="43"/>
    </row>
    <row r="443" spans="13:23" x14ac:dyDescent="0.2">
      <c r="M443" s="66"/>
      <c r="N443" s="38"/>
      <c r="O443" s="43"/>
      <c r="P443" s="43"/>
      <c r="Q443" s="43"/>
      <c r="S443" s="40"/>
      <c r="T443" s="38"/>
      <c r="U443" s="3"/>
      <c r="V443" s="3"/>
      <c r="W443" s="3"/>
    </row>
    <row r="444" spans="13:23" x14ac:dyDescent="0.2">
      <c r="M444" s="65"/>
      <c r="N444" s="38"/>
      <c r="O444" s="43"/>
      <c r="P444" s="43"/>
      <c r="Q444" s="43"/>
      <c r="S444" s="37"/>
      <c r="T444" s="38"/>
      <c r="U444" s="3"/>
      <c r="V444" s="3"/>
      <c r="W444" s="3"/>
    </row>
    <row r="445" spans="13:23" x14ac:dyDescent="0.2">
      <c r="M445" s="66"/>
      <c r="N445" s="38"/>
      <c r="O445" s="43"/>
      <c r="P445" s="43"/>
      <c r="Q445" s="43"/>
      <c r="S445" s="40"/>
      <c r="T445" s="38"/>
      <c r="U445" s="3"/>
      <c r="V445" s="3"/>
      <c r="W445" s="3"/>
    </row>
    <row r="446" spans="13:23" x14ac:dyDescent="0.2">
      <c r="M446" s="65"/>
      <c r="N446" s="38"/>
      <c r="O446" s="43"/>
      <c r="P446" s="43"/>
      <c r="Q446" s="43"/>
      <c r="S446" s="37"/>
      <c r="T446" s="38"/>
      <c r="U446" s="3"/>
      <c r="V446" s="3"/>
      <c r="W446" s="3"/>
    </row>
    <row r="447" spans="13:23" x14ac:dyDescent="0.2">
      <c r="M447" s="66"/>
      <c r="N447" s="38"/>
      <c r="O447" s="43"/>
      <c r="P447" s="43"/>
      <c r="Q447" s="43"/>
      <c r="S447" s="40"/>
      <c r="T447" s="38"/>
      <c r="U447" s="3"/>
      <c r="V447" s="3"/>
      <c r="W447" s="3"/>
    </row>
    <row r="448" spans="13:23" x14ac:dyDescent="0.2">
      <c r="M448" s="40"/>
      <c r="N448" s="38"/>
      <c r="O448" s="43"/>
      <c r="P448" s="43"/>
      <c r="Q448" s="43"/>
      <c r="S448" s="37"/>
      <c r="T448" s="38"/>
      <c r="U448" s="3"/>
      <c r="V448" s="3"/>
      <c r="W448" s="3"/>
    </row>
    <row r="449" spans="13:23" x14ac:dyDescent="0.2">
      <c r="M449" s="38"/>
      <c r="N449" s="38"/>
      <c r="O449" s="43"/>
      <c r="P449" s="43"/>
      <c r="Q449" s="43"/>
      <c r="S449" s="40"/>
      <c r="T449" s="38"/>
      <c r="U449" s="3"/>
      <c r="V449" s="3"/>
      <c r="W449" s="3"/>
    </row>
    <row r="450" spans="13:23" x14ac:dyDescent="0.2">
      <c r="M450" s="37"/>
      <c r="N450" s="38"/>
      <c r="O450" s="43"/>
      <c r="P450" s="43"/>
      <c r="Q450" s="43"/>
      <c r="S450" s="37"/>
      <c r="T450" s="38"/>
      <c r="U450" s="3"/>
      <c r="V450" s="3"/>
      <c r="W450" s="3"/>
    </row>
    <row r="451" spans="13:23" x14ac:dyDescent="0.2">
      <c r="M451" s="40"/>
      <c r="N451" s="38"/>
      <c r="O451" s="43"/>
      <c r="P451" s="43"/>
      <c r="Q451" s="43"/>
      <c r="S451" s="40"/>
      <c r="T451" s="38"/>
      <c r="U451" s="3"/>
      <c r="V451" s="3"/>
      <c r="W451" s="3"/>
    </row>
    <row r="452" spans="13:23" x14ac:dyDescent="0.2">
      <c r="M452" s="37"/>
      <c r="N452" s="38"/>
      <c r="O452" s="43"/>
      <c r="P452" s="43"/>
      <c r="Q452" s="43"/>
      <c r="S452" s="37"/>
      <c r="T452" s="38"/>
      <c r="U452" s="3"/>
      <c r="V452" s="3"/>
      <c r="W452" s="3"/>
    </row>
    <row r="453" spans="13:23" x14ac:dyDescent="0.2">
      <c r="M453" s="40"/>
      <c r="N453" s="38"/>
      <c r="O453" s="43"/>
      <c r="P453" s="43"/>
      <c r="Q453" s="43"/>
      <c r="S453" s="40"/>
      <c r="T453" s="38"/>
      <c r="U453" s="3"/>
      <c r="V453" s="3"/>
      <c r="W453" s="3"/>
    </row>
    <row r="454" spans="13:23" x14ac:dyDescent="0.2">
      <c r="M454" s="37"/>
      <c r="N454" s="38"/>
      <c r="O454" s="39"/>
      <c r="P454" s="39"/>
      <c r="Q454" s="39"/>
      <c r="S454" s="37"/>
      <c r="T454" s="38"/>
      <c r="U454" s="3"/>
      <c r="V454" s="3"/>
      <c r="W454" s="3"/>
    </row>
    <row r="455" spans="13:23" x14ac:dyDescent="0.2">
      <c r="M455" s="40"/>
      <c r="N455" s="38"/>
      <c r="O455" s="39"/>
      <c r="P455" s="39"/>
      <c r="Q455" s="39"/>
      <c r="S455" s="40"/>
      <c r="T455" s="38"/>
      <c r="U455" s="3"/>
      <c r="V455" s="3"/>
      <c r="W455" s="3"/>
    </row>
    <row r="456" spans="13:23" x14ac:dyDescent="0.2">
      <c r="M456" s="37"/>
      <c r="N456" s="38"/>
      <c r="O456" s="39"/>
      <c r="P456" s="39"/>
      <c r="Q456" s="39"/>
    </row>
    <row r="457" spans="13:23" x14ac:dyDescent="0.2">
      <c r="M457" s="40"/>
      <c r="N457" s="38"/>
      <c r="O457" s="39"/>
      <c r="P457" s="39"/>
      <c r="Q457" s="39"/>
    </row>
    <row r="458" spans="13:23" x14ac:dyDescent="0.2">
      <c r="M458" s="37"/>
      <c r="N458" s="38"/>
      <c r="O458" s="39"/>
      <c r="P458" s="39"/>
      <c r="Q458" s="39"/>
    </row>
    <row r="459" spans="13:23" x14ac:dyDescent="0.2">
      <c r="M459" s="40"/>
      <c r="N459" s="38"/>
      <c r="O459" s="39"/>
      <c r="P459" s="39"/>
      <c r="Q459" s="39"/>
    </row>
    <row r="460" spans="13:23" x14ac:dyDescent="0.2">
      <c r="M460" s="37"/>
      <c r="N460" s="38"/>
      <c r="O460" s="39"/>
      <c r="P460" s="39"/>
      <c r="Q460" s="39"/>
    </row>
    <row r="461" spans="13:23" x14ac:dyDescent="0.2">
      <c r="M461" s="40"/>
      <c r="N461" s="38"/>
      <c r="O461" s="39"/>
      <c r="P461" s="39"/>
      <c r="Q461" s="39"/>
    </row>
    <row r="462" spans="13:23" x14ac:dyDescent="0.2">
      <c r="M462" s="37"/>
      <c r="N462" s="38"/>
      <c r="O462" s="39"/>
      <c r="P462" s="39"/>
      <c r="Q462" s="39"/>
    </row>
    <row r="463" spans="13:23" x14ac:dyDescent="0.2">
      <c r="M463" s="40"/>
      <c r="N463" s="38"/>
      <c r="O463" s="39"/>
      <c r="P463" s="39"/>
      <c r="Q463" s="39"/>
    </row>
  </sheetData>
  <sortState xmlns:xlrd2="http://schemas.microsoft.com/office/spreadsheetml/2017/richdata2" ref="M12:Q441">
    <sortCondition ref="N12:N441"/>
  </sortState>
  <mergeCells count="6">
    <mergeCell ref="S9:W9"/>
    <mergeCell ref="A9:B9"/>
    <mergeCell ref="C9:E9"/>
    <mergeCell ref="G9:K9"/>
    <mergeCell ref="A1:K1"/>
    <mergeCell ref="M9:Q9"/>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L16" sqref="L16"/>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80" t="s">
        <v>0</v>
      </c>
      <c r="B1" s="181"/>
      <c r="C1" s="181"/>
      <c r="D1" s="181"/>
      <c r="E1" s="181"/>
      <c r="F1" s="181"/>
      <c r="G1" s="181"/>
      <c r="H1" s="182"/>
      <c r="I1" s="26"/>
      <c r="J1" s="27"/>
      <c r="K1" s="27"/>
      <c r="L1" s="27"/>
      <c r="M1" s="27"/>
      <c r="N1" s="27"/>
      <c r="O1" s="27"/>
      <c r="P1" s="27"/>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97" t="s">
        <v>346</v>
      </c>
      <c r="B5" s="197"/>
      <c r="C5" s="183" t="s">
        <v>25</v>
      </c>
      <c r="D5" s="184"/>
      <c r="E5" s="185"/>
      <c r="F5" s="183" t="s">
        <v>26</v>
      </c>
      <c r="G5" s="184"/>
      <c r="H5" s="185"/>
      <c r="J5" s="196" t="s">
        <v>27</v>
      </c>
      <c r="K5" s="196"/>
      <c r="L5" s="196"/>
      <c r="M5" s="196"/>
      <c r="N5" s="196"/>
      <c r="O5" s="196" t="s">
        <v>28</v>
      </c>
      <c r="P5" s="196"/>
      <c r="Q5" s="196"/>
      <c r="S5" s="196" t="s">
        <v>29</v>
      </c>
      <c r="T5" s="196"/>
      <c r="U5" s="196"/>
      <c r="V5" s="196"/>
      <c r="W5" s="196"/>
      <c r="X5" s="196" t="s">
        <v>30</v>
      </c>
      <c r="Y5" s="196"/>
      <c r="Z5" s="196"/>
    </row>
    <row r="6" spans="1:26" ht="16" thickBot="1" x14ac:dyDescent="0.25">
      <c r="A6" s="7" t="s">
        <v>8</v>
      </c>
      <c r="B6" s="7" t="s">
        <v>9</v>
      </c>
      <c r="C6" s="74">
        <v>44957</v>
      </c>
      <c r="D6" s="74">
        <v>44985</v>
      </c>
      <c r="E6" s="74">
        <v>45016</v>
      </c>
      <c r="F6" s="74">
        <v>44957</v>
      </c>
      <c r="G6" s="74">
        <v>44985</v>
      </c>
      <c r="H6" s="74">
        <v>45016</v>
      </c>
      <c r="J6" s="7" t="s">
        <v>8</v>
      </c>
      <c r="K6" s="7" t="s">
        <v>9</v>
      </c>
      <c r="L6" s="74">
        <v>44957</v>
      </c>
      <c r="M6" s="74">
        <v>44985</v>
      </c>
      <c r="N6" s="74">
        <v>45016</v>
      </c>
      <c r="O6" s="74">
        <v>44957</v>
      </c>
      <c r="P6" s="74">
        <v>44985</v>
      </c>
      <c r="Q6" s="74">
        <v>45016</v>
      </c>
      <c r="S6" s="7" t="s">
        <v>8</v>
      </c>
      <c r="T6" s="7" t="s">
        <v>9</v>
      </c>
      <c r="U6" s="74">
        <v>44957</v>
      </c>
      <c r="V6" s="74">
        <v>44985</v>
      </c>
      <c r="W6" s="74">
        <v>45016</v>
      </c>
      <c r="X6" s="74">
        <v>44957</v>
      </c>
      <c r="Y6" s="74">
        <v>44985</v>
      </c>
      <c r="Z6" s="74">
        <v>45016</v>
      </c>
    </row>
    <row r="7" spans="1:26" ht="15" customHeight="1" x14ac:dyDescent="0.2">
      <c r="A7" s="190" t="s">
        <v>337</v>
      </c>
      <c r="B7" s="191"/>
      <c r="C7" s="191"/>
      <c r="D7" s="191"/>
      <c r="E7" s="191"/>
      <c r="F7" s="191"/>
      <c r="G7" s="191"/>
      <c r="H7" s="192"/>
      <c r="J7" s="190" t="s">
        <v>338</v>
      </c>
      <c r="K7" s="191"/>
      <c r="L7" s="191"/>
      <c r="M7" s="191"/>
      <c r="N7" s="191"/>
      <c r="O7" s="191"/>
      <c r="P7" s="191"/>
      <c r="Q7" s="192"/>
      <c r="S7" s="190" t="s">
        <v>339</v>
      </c>
      <c r="T7" s="191"/>
      <c r="U7" s="191"/>
      <c r="V7" s="191"/>
      <c r="W7" s="191"/>
      <c r="X7" s="191"/>
      <c r="Y7" s="191"/>
      <c r="Z7" s="192"/>
    </row>
    <row r="8" spans="1:26" ht="16" thickBot="1" x14ac:dyDescent="0.25">
      <c r="A8" s="193"/>
      <c r="B8" s="194"/>
      <c r="C8" s="194"/>
      <c r="D8" s="194"/>
      <c r="E8" s="194"/>
      <c r="F8" s="194"/>
      <c r="G8" s="194"/>
      <c r="H8" s="195"/>
      <c r="J8" s="193"/>
      <c r="K8" s="194"/>
      <c r="L8" s="194"/>
      <c r="M8" s="194"/>
      <c r="N8" s="194"/>
      <c r="O8" s="194"/>
      <c r="P8" s="194"/>
      <c r="Q8" s="195"/>
      <c r="S8" s="193"/>
      <c r="T8" s="194"/>
      <c r="U8" s="194"/>
      <c r="V8" s="194"/>
      <c r="W8" s="194"/>
      <c r="X8" s="194"/>
      <c r="Y8" s="194"/>
      <c r="Z8" s="195"/>
    </row>
    <row r="14" spans="1:26" x14ac:dyDescent="0.2">
      <c r="E14" s="8" t="s">
        <v>76</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99"/>
  <sheetViews>
    <sheetView topLeftCell="A372" zoomScale="157" workbookViewId="0">
      <selection activeCell="C399" sqref="C399"/>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80" t="s">
        <v>0</v>
      </c>
      <c r="B1" s="181"/>
      <c r="C1" s="181"/>
      <c r="D1" s="181"/>
      <c r="E1" s="181"/>
      <c r="F1" s="181"/>
      <c r="G1" s="181"/>
      <c r="H1" s="181"/>
      <c r="I1" s="182"/>
    </row>
    <row r="2" spans="1:23" x14ac:dyDescent="0.2">
      <c r="A2" s="1">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3</v>
      </c>
      <c r="C4" s="3"/>
      <c r="D4" s="3"/>
      <c r="E4" s="3"/>
      <c r="F4" s="4"/>
      <c r="G4" s="3"/>
      <c r="H4" s="3"/>
      <c r="I4" s="3"/>
    </row>
    <row r="5" spans="1:23" x14ac:dyDescent="0.2">
      <c r="A5" s="5">
        <v>4</v>
      </c>
      <c r="B5" s="2" t="s">
        <v>4</v>
      </c>
      <c r="C5" s="3"/>
      <c r="D5" s="3"/>
      <c r="E5" s="3"/>
      <c r="F5" s="4"/>
      <c r="G5" s="3"/>
      <c r="H5" s="3"/>
      <c r="I5" s="3"/>
    </row>
    <row r="6" spans="1:23" x14ac:dyDescent="0.2">
      <c r="A6" s="5">
        <v>5</v>
      </c>
      <c r="B6" s="3" t="s">
        <v>5</v>
      </c>
      <c r="C6" s="3"/>
      <c r="D6" s="3"/>
      <c r="E6" s="3"/>
      <c r="F6" s="4"/>
      <c r="G6" s="3"/>
      <c r="H6" s="3"/>
      <c r="I6" s="3"/>
    </row>
    <row r="7" spans="1:23" x14ac:dyDescent="0.2">
      <c r="A7" s="3">
        <v>6</v>
      </c>
      <c r="B7" s="6" t="s">
        <v>6</v>
      </c>
      <c r="C7" s="3"/>
      <c r="D7" s="3"/>
      <c r="E7" s="3"/>
      <c r="F7" s="4"/>
      <c r="G7" s="3"/>
      <c r="H7" s="3"/>
      <c r="I7" s="3"/>
      <c r="J7"/>
    </row>
    <row r="8" spans="1:23" ht="16" thickBot="1" x14ac:dyDescent="0.25"/>
    <row r="9" spans="1:23" ht="41.25" customHeight="1" thickBot="1" x14ac:dyDescent="0.25">
      <c r="A9" s="186" t="s">
        <v>351</v>
      </c>
      <c r="B9" s="186"/>
      <c r="C9" s="183" t="s">
        <v>7</v>
      </c>
      <c r="D9" s="184"/>
      <c r="E9" s="185"/>
      <c r="G9" s="196" t="s">
        <v>11</v>
      </c>
      <c r="H9" s="196"/>
      <c r="I9" s="196"/>
      <c r="J9" s="196"/>
      <c r="K9" s="196"/>
      <c r="M9" s="196" t="s">
        <v>12</v>
      </c>
      <c r="N9" s="196"/>
      <c r="O9" s="196"/>
      <c r="P9" s="196"/>
      <c r="Q9" s="196"/>
      <c r="S9" s="196" t="s">
        <v>13</v>
      </c>
      <c r="T9" s="196"/>
      <c r="U9" s="196"/>
      <c r="V9" s="196"/>
      <c r="W9" s="196"/>
    </row>
    <row r="10" spans="1:23" ht="16" thickBot="1" x14ac:dyDescent="0.25">
      <c r="A10" s="17" t="s">
        <v>8</v>
      </c>
      <c r="B10" s="17" t="s">
        <v>9</v>
      </c>
      <c r="C10" s="74">
        <v>44957</v>
      </c>
      <c r="D10" s="74">
        <v>44985</v>
      </c>
      <c r="E10" s="74">
        <v>45016</v>
      </c>
      <c r="G10" s="17" t="s">
        <v>8</v>
      </c>
      <c r="H10" s="17" t="s">
        <v>9</v>
      </c>
      <c r="I10" s="74">
        <v>44957</v>
      </c>
      <c r="J10" s="74">
        <v>44985</v>
      </c>
      <c r="K10" s="74">
        <v>45016</v>
      </c>
      <c r="M10" s="17" t="s">
        <v>8</v>
      </c>
      <c r="N10" s="17" t="s">
        <v>9</v>
      </c>
      <c r="O10" s="74">
        <v>44957</v>
      </c>
      <c r="P10" s="74">
        <v>44985</v>
      </c>
      <c r="Q10" s="74">
        <v>45016</v>
      </c>
      <c r="S10" s="17" t="s">
        <v>8</v>
      </c>
      <c r="T10" s="17" t="s">
        <v>9</v>
      </c>
      <c r="U10" s="74">
        <v>44957</v>
      </c>
      <c r="V10" s="74">
        <v>44985</v>
      </c>
      <c r="W10" s="74">
        <v>45016</v>
      </c>
    </row>
    <row r="11" spans="1:23" x14ac:dyDescent="0.2">
      <c r="A11" s="77">
        <v>98001</v>
      </c>
      <c r="B11" s="61" t="s">
        <v>352</v>
      </c>
      <c r="C11" s="47">
        <v>8</v>
      </c>
      <c r="D11" s="34">
        <v>9</v>
      </c>
      <c r="E11" s="34">
        <v>16</v>
      </c>
      <c r="G11" s="77">
        <v>98001</v>
      </c>
      <c r="H11" s="61" t="s">
        <v>352</v>
      </c>
      <c r="I11" s="47">
        <v>2</v>
      </c>
      <c r="J11" s="34">
        <v>0</v>
      </c>
      <c r="K11" s="34">
        <v>1</v>
      </c>
      <c r="M11" s="77">
        <v>98001</v>
      </c>
      <c r="N11" s="61" t="s">
        <v>352</v>
      </c>
      <c r="O11" s="81">
        <v>10</v>
      </c>
      <c r="P11" s="81">
        <v>10</v>
      </c>
      <c r="Q11" s="81">
        <v>8</v>
      </c>
      <c r="S11" s="77">
        <v>98001</v>
      </c>
      <c r="T11" s="61" t="s">
        <v>352</v>
      </c>
      <c r="U11" s="34">
        <v>3</v>
      </c>
      <c r="V11" s="34">
        <v>2</v>
      </c>
      <c r="W11" s="34">
        <v>2</v>
      </c>
    </row>
    <row r="12" spans="1:23" x14ac:dyDescent="0.2">
      <c r="A12" s="78">
        <v>98002</v>
      </c>
      <c r="B12" s="60" t="s">
        <v>352</v>
      </c>
      <c r="C12" s="35">
        <v>12</v>
      </c>
      <c r="D12" s="35">
        <v>7</v>
      </c>
      <c r="E12" s="35">
        <v>12</v>
      </c>
      <c r="G12" s="54">
        <v>98001</v>
      </c>
      <c r="H12" s="60" t="s">
        <v>353</v>
      </c>
      <c r="I12" s="35">
        <v>16</v>
      </c>
      <c r="J12" s="35">
        <v>21</v>
      </c>
      <c r="K12" s="35">
        <v>24</v>
      </c>
      <c r="M12" s="54">
        <v>98001</v>
      </c>
      <c r="N12" s="60" t="s">
        <v>353</v>
      </c>
      <c r="O12" s="75">
        <v>157</v>
      </c>
      <c r="P12" s="75">
        <v>155</v>
      </c>
      <c r="Q12" s="75">
        <v>184</v>
      </c>
      <c r="S12" s="78">
        <v>98001</v>
      </c>
      <c r="T12" s="60" t="s">
        <v>353</v>
      </c>
      <c r="U12" s="32">
        <v>42</v>
      </c>
      <c r="V12" s="35">
        <v>41</v>
      </c>
      <c r="W12" s="32">
        <v>50</v>
      </c>
    </row>
    <row r="13" spans="1:23" x14ac:dyDescent="0.2">
      <c r="A13" s="78">
        <v>98003</v>
      </c>
      <c r="B13" s="60" t="s">
        <v>352</v>
      </c>
      <c r="C13" s="35">
        <v>18</v>
      </c>
      <c r="D13" s="35">
        <v>22</v>
      </c>
      <c r="E13" s="35">
        <v>15</v>
      </c>
      <c r="G13" s="78">
        <v>98002</v>
      </c>
      <c r="H13" s="60" t="s">
        <v>353</v>
      </c>
      <c r="I13" s="35">
        <v>31</v>
      </c>
      <c r="J13" s="35">
        <v>27</v>
      </c>
      <c r="K13" s="35">
        <v>31</v>
      </c>
      <c r="M13" s="78">
        <v>98002</v>
      </c>
      <c r="N13" s="60" t="s">
        <v>352</v>
      </c>
      <c r="O13" s="35">
        <v>4</v>
      </c>
      <c r="P13" s="35">
        <v>9</v>
      </c>
      <c r="Q13" s="35">
        <v>12</v>
      </c>
      <c r="S13" s="54">
        <v>98002</v>
      </c>
      <c r="T13" s="60" t="s">
        <v>352</v>
      </c>
      <c r="U13" s="35">
        <v>1</v>
      </c>
      <c r="V13" s="35">
        <v>5</v>
      </c>
      <c r="W13" s="35">
        <v>5</v>
      </c>
    </row>
    <row r="14" spans="1:23" x14ac:dyDescent="0.2">
      <c r="A14" s="78">
        <v>98004</v>
      </c>
      <c r="B14" s="60" t="s">
        <v>352</v>
      </c>
      <c r="C14" s="35">
        <v>6</v>
      </c>
      <c r="D14" s="35">
        <v>6</v>
      </c>
      <c r="E14" s="35">
        <v>5</v>
      </c>
      <c r="G14" s="78">
        <v>98003</v>
      </c>
      <c r="H14" s="60" t="s">
        <v>352</v>
      </c>
      <c r="I14" s="32">
        <v>1</v>
      </c>
      <c r="J14" s="35">
        <v>1</v>
      </c>
      <c r="K14" s="32">
        <v>1</v>
      </c>
      <c r="M14" s="54">
        <v>98002</v>
      </c>
      <c r="N14" s="60" t="s">
        <v>353</v>
      </c>
      <c r="O14" s="35">
        <v>220</v>
      </c>
      <c r="P14" s="35">
        <v>247</v>
      </c>
      <c r="Q14" s="35">
        <v>291</v>
      </c>
      <c r="S14" s="78">
        <v>98002</v>
      </c>
      <c r="T14" s="60" t="s">
        <v>353</v>
      </c>
      <c r="U14" s="32">
        <v>58</v>
      </c>
      <c r="V14" s="32">
        <v>78</v>
      </c>
      <c r="W14" s="35">
        <v>75</v>
      </c>
    </row>
    <row r="15" spans="1:23" x14ac:dyDescent="0.2">
      <c r="A15" s="78">
        <v>98005</v>
      </c>
      <c r="B15" s="60" t="s">
        <v>352</v>
      </c>
      <c r="C15" s="35">
        <v>5</v>
      </c>
      <c r="D15" s="35">
        <v>5</v>
      </c>
      <c r="E15" s="35">
        <v>5</v>
      </c>
      <c r="G15" s="54">
        <v>98003</v>
      </c>
      <c r="H15" s="60" t="s">
        <v>353</v>
      </c>
      <c r="I15" s="35">
        <v>35</v>
      </c>
      <c r="J15" s="35">
        <v>47</v>
      </c>
      <c r="K15" s="35">
        <v>41</v>
      </c>
      <c r="M15" s="78">
        <v>98003</v>
      </c>
      <c r="N15" s="60" t="s">
        <v>352</v>
      </c>
      <c r="O15" s="35">
        <v>11</v>
      </c>
      <c r="P15" s="35">
        <v>7</v>
      </c>
      <c r="Q15" s="35">
        <v>14</v>
      </c>
      <c r="S15" s="54">
        <v>98003</v>
      </c>
      <c r="T15" s="60" t="s">
        <v>352</v>
      </c>
      <c r="U15" s="35">
        <v>1</v>
      </c>
      <c r="V15" s="35">
        <v>5</v>
      </c>
      <c r="W15" s="35">
        <v>7</v>
      </c>
    </row>
    <row r="16" spans="1:23" x14ac:dyDescent="0.2">
      <c r="A16" s="78">
        <v>98006</v>
      </c>
      <c r="B16" s="60" t="s">
        <v>352</v>
      </c>
      <c r="C16" s="35">
        <v>1</v>
      </c>
      <c r="D16" s="35">
        <v>1</v>
      </c>
      <c r="E16" s="35">
        <v>2</v>
      </c>
      <c r="G16" s="78">
        <v>98004</v>
      </c>
      <c r="H16" s="60" t="s">
        <v>353</v>
      </c>
      <c r="I16" s="32">
        <v>6</v>
      </c>
      <c r="J16" s="35">
        <v>4</v>
      </c>
      <c r="K16" s="32">
        <v>6</v>
      </c>
      <c r="M16" s="54">
        <v>98003</v>
      </c>
      <c r="N16" s="60" t="s">
        <v>353</v>
      </c>
      <c r="O16" s="35">
        <v>297</v>
      </c>
      <c r="P16" s="35">
        <v>286</v>
      </c>
      <c r="Q16" s="35">
        <v>386</v>
      </c>
      <c r="S16" s="78">
        <v>98003</v>
      </c>
      <c r="T16" s="60" t="s">
        <v>353</v>
      </c>
      <c r="U16" s="32">
        <v>74</v>
      </c>
      <c r="V16" s="32">
        <v>74</v>
      </c>
      <c r="W16" s="35">
        <v>96</v>
      </c>
    </row>
    <row r="17" spans="1:23" x14ac:dyDescent="0.2">
      <c r="A17" s="78">
        <v>98007</v>
      </c>
      <c r="B17" s="60" t="s">
        <v>352</v>
      </c>
      <c r="C17" s="35">
        <v>2</v>
      </c>
      <c r="D17" s="35">
        <v>2</v>
      </c>
      <c r="E17" s="35">
        <v>2</v>
      </c>
      <c r="G17" s="54">
        <v>98005</v>
      </c>
      <c r="H17" s="60" t="s">
        <v>352</v>
      </c>
      <c r="I17" s="35">
        <v>0</v>
      </c>
      <c r="J17" s="35">
        <v>1</v>
      </c>
      <c r="K17" s="35">
        <v>0</v>
      </c>
      <c r="M17" s="78">
        <v>98004</v>
      </c>
      <c r="N17" s="60" t="s">
        <v>352</v>
      </c>
      <c r="O17" s="35">
        <v>1</v>
      </c>
      <c r="P17" s="35">
        <v>3</v>
      </c>
      <c r="Q17" s="32">
        <v>1</v>
      </c>
      <c r="S17" s="54">
        <v>98004</v>
      </c>
      <c r="T17" s="60" t="s">
        <v>352</v>
      </c>
      <c r="U17" s="35">
        <v>0</v>
      </c>
      <c r="V17" s="35">
        <v>2</v>
      </c>
      <c r="W17" s="35">
        <v>1</v>
      </c>
    </row>
    <row r="18" spans="1:23" x14ac:dyDescent="0.2">
      <c r="A18" s="78">
        <v>98008</v>
      </c>
      <c r="B18" s="60" t="s">
        <v>352</v>
      </c>
      <c r="C18" s="35">
        <v>2</v>
      </c>
      <c r="D18" s="35">
        <v>2</v>
      </c>
      <c r="E18" s="35">
        <v>1</v>
      </c>
      <c r="G18" s="78">
        <v>98005</v>
      </c>
      <c r="H18" s="60" t="s">
        <v>353</v>
      </c>
      <c r="I18" s="32">
        <v>1</v>
      </c>
      <c r="J18" s="35">
        <v>4</v>
      </c>
      <c r="K18" s="35">
        <v>2</v>
      </c>
      <c r="M18" s="54">
        <v>98004</v>
      </c>
      <c r="N18" s="60" t="s">
        <v>353</v>
      </c>
      <c r="O18" s="35">
        <v>37</v>
      </c>
      <c r="P18" s="35">
        <v>45</v>
      </c>
      <c r="Q18" s="35">
        <v>51</v>
      </c>
      <c r="S18" s="78">
        <v>98004</v>
      </c>
      <c r="T18" s="60" t="s">
        <v>353</v>
      </c>
      <c r="U18" s="35">
        <v>13</v>
      </c>
      <c r="V18" s="35">
        <v>10</v>
      </c>
      <c r="W18" s="35">
        <v>13</v>
      </c>
    </row>
    <row r="19" spans="1:23" x14ac:dyDescent="0.2">
      <c r="A19" s="78">
        <v>98010</v>
      </c>
      <c r="B19" s="60" t="s">
        <v>352</v>
      </c>
      <c r="C19" s="32">
        <v>1</v>
      </c>
      <c r="D19" s="35">
        <v>1</v>
      </c>
      <c r="E19" s="35">
        <v>1</v>
      </c>
      <c r="G19" s="78">
        <v>98006</v>
      </c>
      <c r="H19" s="60" t="s">
        <v>353</v>
      </c>
      <c r="I19" s="32">
        <v>3</v>
      </c>
      <c r="J19" s="35">
        <v>4</v>
      </c>
      <c r="K19" s="32">
        <v>2</v>
      </c>
      <c r="M19" s="78">
        <v>98005</v>
      </c>
      <c r="N19" s="60" t="s">
        <v>352</v>
      </c>
      <c r="O19" s="32">
        <v>2</v>
      </c>
      <c r="P19" s="35">
        <v>3</v>
      </c>
      <c r="Q19" s="35">
        <v>1</v>
      </c>
      <c r="S19" s="78">
        <v>98005</v>
      </c>
      <c r="T19" s="60" t="s">
        <v>353</v>
      </c>
      <c r="U19" s="35">
        <v>4</v>
      </c>
      <c r="V19" s="35">
        <v>5</v>
      </c>
      <c r="W19" s="35">
        <v>6</v>
      </c>
    </row>
    <row r="20" spans="1:23" x14ac:dyDescent="0.2">
      <c r="A20" s="78">
        <v>98011</v>
      </c>
      <c r="B20" s="60" t="s">
        <v>352</v>
      </c>
      <c r="C20" s="35">
        <v>1</v>
      </c>
      <c r="D20" s="35">
        <v>1</v>
      </c>
      <c r="E20" s="35">
        <v>3</v>
      </c>
      <c r="G20" s="54">
        <v>98007</v>
      </c>
      <c r="H20" s="60" t="s">
        <v>353</v>
      </c>
      <c r="I20" s="35">
        <v>4</v>
      </c>
      <c r="J20" s="35">
        <v>3</v>
      </c>
      <c r="K20" s="35">
        <v>3</v>
      </c>
      <c r="M20" s="54">
        <v>98005</v>
      </c>
      <c r="N20" s="60" t="s">
        <v>353</v>
      </c>
      <c r="O20" s="35">
        <v>24</v>
      </c>
      <c r="P20" s="35">
        <v>20</v>
      </c>
      <c r="Q20" s="35">
        <v>25</v>
      </c>
      <c r="S20" s="78">
        <v>98006</v>
      </c>
      <c r="T20" s="60" t="s">
        <v>352</v>
      </c>
      <c r="U20" s="32">
        <v>1</v>
      </c>
      <c r="V20" s="35">
        <v>1</v>
      </c>
      <c r="W20" s="35">
        <v>1</v>
      </c>
    </row>
    <row r="21" spans="1:23" x14ac:dyDescent="0.2">
      <c r="A21" s="54">
        <v>98014</v>
      </c>
      <c r="B21" s="60" t="s">
        <v>352</v>
      </c>
      <c r="C21" s="35">
        <v>2</v>
      </c>
      <c r="D21" s="35">
        <v>3</v>
      </c>
      <c r="E21" s="35">
        <v>3</v>
      </c>
      <c r="G21" s="78">
        <v>98008</v>
      </c>
      <c r="H21" s="60" t="s">
        <v>353</v>
      </c>
      <c r="I21" s="35">
        <v>1</v>
      </c>
      <c r="J21" s="35">
        <v>3</v>
      </c>
      <c r="K21" s="35">
        <v>3</v>
      </c>
      <c r="M21" s="78">
        <v>98006</v>
      </c>
      <c r="N21" s="60" t="s">
        <v>352</v>
      </c>
      <c r="O21" s="35">
        <v>1</v>
      </c>
      <c r="P21" s="35">
        <v>2</v>
      </c>
      <c r="Q21" s="35">
        <v>4</v>
      </c>
      <c r="S21" s="78">
        <v>98006</v>
      </c>
      <c r="T21" s="60" t="s">
        <v>353</v>
      </c>
      <c r="U21" s="35">
        <v>17</v>
      </c>
      <c r="V21" s="35">
        <v>13</v>
      </c>
      <c r="W21" s="35">
        <v>15</v>
      </c>
    </row>
    <row r="22" spans="1:23" x14ac:dyDescent="0.2">
      <c r="A22" s="78">
        <v>98019</v>
      </c>
      <c r="B22" s="60" t="s">
        <v>352</v>
      </c>
      <c r="C22" s="32">
        <v>2</v>
      </c>
      <c r="D22" s="35">
        <v>1</v>
      </c>
      <c r="E22" s="35">
        <v>5</v>
      </c>
      <c r="G22" s="78">
        <v>98010</v>
      </c>
      <c r="H22" s="60" t="s">
        <v>353</v>
      </c>
      <c r="I22" s="35">
        <v>4</v>
      </c>
      <c r="J22" s="35">
        <v>2</v>
      </c>
      <c r="K22" s="35">
        <v>2</v>
      </c>
      <c r="M22" s="54">
        <v>98006</v>
      </c>
      <c r="N22" s="60" t="s">
        <v>353</v>
      </c>
      <c r="O22" s="35">
        <v>47</v>
      </c>
      <c r="P22" s="35">
        <v>37</v>
      </c>
      <c r="Q22" s="35">
        <v>47</v>
      </c>
      <c r="S22" s="78">
        <v>98007</v>
      </c>
      <c r="T22" s="60" t="s">
        <v>353</v>
      </c>
      <c r="U22" s="32">
        <v>10</v>
      </c>
      <c r="V22" s="35">
        <v>10</v>
      </c>
      <c r="W22" s="32">
        <v>14</v>
      </c>
    </row>
    <row r="23" spans="1:23" x14ac:dyDescent="0.2">
      <c r="A23" s="78">
        <v>98020</v>
      </c>
      <c r="B23" s="60" t="s">
        <v>352</v>
      </c>
      <c r="C23" s="35">
        <v>2</v>
      </c>
      <c r="D23" s="35">
        <v>2</v>
      </c>
      <c r="E23" s="35">
        <v>0</v>
      </c>
      <c r="G23" s="78">
        <v>98011</v>
      </c>
      <c r="H23" s="60" t="s">
        <v>352</v>
      </c>
      <c r="I23" s="35">
        <v>0</v>
      </c>
      <c r="J23" s="35">
        <v>0</v>
      </c>
      <c r="K23" s="35">
        <v>1</v>
      </c>
      <c r="M23" s="78">
        <v>98007</v>
      </c>
      <c r="N23" s="60" t="s">
        <v>352</v>
      </c>
      <c r="O23" s="35">
        <v>1</v>
      </c>
      <c r="P23" s="35">
        <v>0</v>
      </c>
      <c r="Q23" s="35">
        <v>0</v>
      </c>
      <c r="S23" s="54">
        <v>98008</v>
      </c>
      <c r="T23" s="60" t="s">
        <v>353</v>
      </c>
      <c r="U23" s="32">
        <v>6</v>
      </c>
      <c r="V23" s="35">
        <v>10</v>
      </c>
      <c r="W23" s="35">
        <v>10</v>
      </c>
    </row>
    <row r="24" spans="1:23" x14ac:dyDescent="0.2">
      <c r="A24" s="78">
        <v>98022</v>
      </c>
      <c r="B24" s="60" t="s">
        <v>352</v>
      </c>
      <c r="C24" s="35">
        <v>6</v>
      </c>
      <c r="D24" s="35">
        <v>12</v>
      </c>
      <c r="E24" s="35">
        <v>8</v>
      </c>
      <c r="G24" s="78">
        <v>98011</v>
      </c>
      <c r="H24" s="60" t="s">
        <v>353</v>
      </c>
      <c r="I24" s="35">
        <v>11</v>
      </c>
      <c r="J24" s="35">
        <v>4</v>
      </c>
      <c r="K24" s="35">
        <v>7</v>
      </c>
      <c r="M24" s="54">
        <v>98007</v>
      </c>
      <c r="N24" s="60" t="s">
        <v>353</v>
      </c>
      <c r="O24" s="35">
        <v>51</v>
      </c>
      <c r="P24" s="35">
        <v>47</v>
      </c>
      <c r="Q24" s="35">
        <v>63</v>
      </c>
      <c r="S24" s="78">
        <v>98010</v>
      </c>
      <c r="T24" s="60" t="s">
        <v>353</v>
      </c>
      <c r="U24" s="35">
        <v>4</v>
      </c>
      <c r="V24" s="35">
        <v>7</v>
      </c>
      <c r="W24" s="35">
        <v>6</v>
      </c>
    </row>
    <row r="25" spans="1:23" x14ac:dyDescent="0.2">
      <c r="A25" s="78">
        <v>98023</v>
      </c>
      <c r="B25" s="60" t="s">
        <v>352</v>
      </c>
      <c r="C25" s="35">
        <v>1</v>
      </c>
      <c r="D25" s="35">
        <v>1</v>
      </c>
      <c r="E25" s="35">
        <v>2</v>
      </c>
      <c r="G25" s="78">
        <v>98012</v>
      </c>
      <c r="H25" s="60" t="s">
        <v>353</v>
      </c>
      <c r="I25" s="35">
        <v>2</v>
      </c>
      <c r="J25" s="35">
        <v>4</v>
      </c>
      <c r="K25" s="35">
        <v>4</v>
      </c>
      <c r="M25" s="78">
        <v>98008</v>
      </c>
      <c r="N25" s="60" t="s">
        <v>353</v>
      </c>
      <c r="O25" s="32">
        <v>20</v>
      </c>
      <c r="P25" s="35">
        <v>31</v>
      </c>
      <c r="Q25" s="32">
        <v>37</v>
      </c>
      <c r="S25" s="78">
        <v>98011</v>
      </c>
      <c r="T25" s="60" t="s">
        <v>352</v>
      </c>
      <c r="U25" s="35">
        <v>0</v>
      </c>
      <c r="V25" s="35">
        <v>0</v>
      </c>
      <c r="W25" s="32">
        <v>2</v>
      </c>
    </row>
    <row r="26" spans="1:23" x14ac:dyDescent="0.2">
      <c r="A26" s="54">
        <v>98027</v>
      </c>
      <c r="B26" s="60" t="s">
        <v>352</v>
      </c>
      <c r="C26" s="35">
        <v>3</v>
      </c>
      <c r="D26" s="35">
        <v>3</v>
      </c>
      <c r="E26" s="35">
        <v>3</v>
      </c>
      <c r="G26" s="78">
        <v>98014</v>
      </c>
      <c r="H26" s="60" t="s">
        <v>353</v>
      </c>
      <c r="I26" s="32">
        <v>0</v>
      </c>
      <c r="J26" s="35">
        <v>2</v>
      </c>
      <c r="K26" s="35">
        <v>2</v>
      </c>
      <c r="M26" s="54">
        <v>98010</v>
      </c>
      <c r="N26" s="60" t="s">
        <v>353</v>
      </c>
      <c r="O26" s="35">
        <v>21</v>
      </c>
      <c r="P26" s="35">
        <v>13</v>
      </c>
      <c r="Q26" s="35">
        <v>20</v>
      </c>
      <c r="S26" s="78">
        <v>98011</v>
      </c>
      <c r="T26" s="60" t="s">
        <v>353</v>
      </c>
      <c r="U26" s="32">
        <v>17</v>
      </c>
      <c r="V26" s="32">
        <v>23</v>
      </c>
      <c r="W26" s="35">
        <v>15</v>
      </c>
    </row>
    <row r="27" spans="1:23" x14ac:dyDescent="0.2">
      <c r="A27" s="78">
        <v>98028</v>
      </c>
      <c r="B27" s="60" t="s">
        <v>352</v>
      </c>
      <c r="C27" s="35">
        <v>1</v>
      </c>
      <c r="D27" s="35">
        <v>1</v>
      </c>
      <c r="E27" s="35">
        <v>1</v>
      </c>
      <c r="G27" s="78">
        <v>98019</v>
      </c>
      <c r="H27" s="60" t="s">
        <v>353</v>
      </c>
      <c r="I27" s="32">
        <v>1</v>
      </c>
      <c r="J27" s="32">
        <v>2</v>
      </c>
      <c r="K27" s="35">
        <v>4</v>
      </c>
      <c r="M27" s="78">
        <v>98011</v>
      </c>
      <c r="N27" s="60" t="s">
        <v>352</v>
      </c>
      <c r="O27" s="32">
        <v>1</v>
      </c>
      <c r="P27" s="32">
        <v>2</v>
      </c>
      <c r="Q27" s="35">
        <v>3</v>
      </c>
      <c r="S27" s="78">
        <v>98012</v>
      </c>
      <c r="T27" s="60" t="s">
        <v>353</v>
      </c>
      <c r="U27" s="35">
        <v>5</v>
      </c>
      <c r="V27" s="32">
        <v>5</v>
      </c>
      <c r="W27" s="32">
        <v>8</v>
      </c>
    </row>
    <row r="28" spans="1:23" x14ac:dyDescent="0.2">
      <c r="A28" s="78">
        <v>98029</v>
      </c>
      <c r="B28" s="60" t="s">
        <v>352</v>
      </c>
      <c r="C28" s="35">
        <v>2</v>
      </c>
      <c r="D28" s="35">
        <v>2</v>
      </c>
      <c r="E28" s="35">
        <v>2</v>
      </c>
      <c r="G28" s="54">
        <v>98020</v>
      </c>
      <c r="H28" s="60" t="s">
        <v>353</v>
      </c>
      <c r="I28" s="32">
        <v>1</v>
      </c>
      <c r="J28" s="35">
        <v>0</v>
      </c>
      <c r="K28" s="35">
        <v>2</v>
      </c>
      <c r="M28" s="54">
        <v>98011</v>
      </c>
      <c r="N28" s="60" t="s">
        <v>353</v>
      </c>
      <c r="O28" s="35">
        <v>55</v>
      </c>
      <c r="P28" s="35">
        <v>53</v>
      </c>
      <c r="Q28" s="35">
        <v>74</v>
      </c>
      <c r="S28" s="78">
        <v>98014</v>
      </c>
      <c r="T28" s="60" t="s">
        <v>353</v>
      </c>
      <c r="U28" s="35">
        <v>3</v>
      </c>
      <c r="V28" s="35">
        <v>3</v>
      </c>
      <c r="W28" s="35">
        <v>7</v>
      </c>
    </row>
    <row r="29" spans="1:23" x14ac:dyDescent="0.2">
      <c r="A29" s="78">
        <v>98030</v>
      </c>
      <c r="B29" s="60" t="s">
        <v>352</v>
      </c>
      <c r="C29" s="35">
        <v>7</v>
      </c>
      <c r="D29" s="35">
        <v>9</v>
      </c>
      <c r="E29" s="35">
        <v>7</v>
      </c>
      <c r="G29" s="78">
        <v>98021</v>
      </c>
      <c r="H29" s="60" t="s">
        <v>353</v>
      </c>
      <c r="I29" s="35">
        <v>0</v>
      </c>
      <c r="J29" s="32">
        <v>1</v>
      </c>
      <c r="K29" s="32">
        <v>0</v>
      </c>
      <c r="M29" s="78">
        <v>98012</v>
      </c>
      <c r="N29" s="60" t="s">
        <v>352</v>
      </c>
      <c r="O29" s="35">
        <v>0</v>
      </c>
      <c r="P29" s="35">
        <v>0</v>
      </c>
      <c r="Q29" s="32">
        <v>1</v>
      </c>
      <c r="S29" s="78">
        <v>98019</v>
      </c>
      <c r="T29" s="60" t="s">
        <v>352</v>
      </c>
      <c r="U29" s="35">
        <v>0</v>
      </c>
      <c r="V29" s="35">
        <v>2</v>
      </c>
      <c r="W29" s="35">
        <v>0</v>
      </c>
    </row>
    <row r="30" spans="1:23" x14ac:dyDescent="0.2">
      <c r="A30" s="78">
        <v>98031</v>
      </c>
      <c r="B30" s="60" t="s">
        <v>352</v>
      </c>
      <c r="C30" s="35">
        <v>7</v>
      </c>
      <c r="D30" s="35">
        <v>6</v>
      </c>
      <c r="E30" s="35">
        <v>7</v>
      </c>
      <c r="G30" s="78">
        <v>98022</v>
      </c>
      <c r="H30" s="60" t="s">
        <v>352</v>
      </c>
      <c r="I30" s="35">
        <v>0</v>
      </c>
      <c r="J30" s="32">
        <v>3</v>
      </c>
      <c r="K30" s="32">
        <v>2</v>
      </c>
      <c r="M30" s="54">
        <v>98012</v>
      </c>
      <c r="N30" s="60" t="s">
        <v>353</v>
      </c>
      <c r="O30" s="35">
        <v>41</v>
      </c>
      <c r="P30" s="35">
        <v>33</v>
      </c>
      <c r="Q30" s="35">
        <v>43</v>
      </c>
      <c r="S30" s="78">
        <v>98019</v>
      </c>
      <c r="T30" s="60" t="s">
        <v>353</v>
      </c>
      <c r="U30" s="32">
        <v>4</v>
      </c>
      <c r="V30" s="35">
        <v>12</v>
      </c>
      <c r="W30" s="32">
        <v>9</v>
      </c>
    </row>
    <row r="31" spans="1:23" x14ac:dyDescent="0.2">
      <c r="A31" s="78">
        <v>98032</v>
      </c>
      <c r="B31" s="60" t="s">
        <v>352</v>
      </c>
      <c r="C31" s="35">
        <v>34</v>
      </c>
      <c r="D31" s="35">
        <v>27</v>
      </c>
      <c r="E31" s="35">
        <v>26</v>
      </c>
      <c r="G31" s="54">
        <v>98022</v>
      </c>
      <c r="H31" s="60" t="s">
        <v>353</v>
      </c>
      <c r="I31" s="35">
        <v>13</v>
      </c>
      <c r="J31" s="35">
        <v>9</v>
      </c>
      <c r="K31" s="35">
        <v>18</v>
      </c>
      <c r="M31" s="78">
        <v>98014</v>
      </c>
      <c r="N31" s="60" t="s">
        <v>352</v>
      </c>
      <c r="O31" s="35">
        <v>2</v>
      </c>
      <c r="P31" s="32">
        <v>0</v>
      </c>
      <c r="Q31" s="32">
        <v>1</v>
      </c>
      <c r="S31" s="78">
        <v>98020</v>
      </c>
      <c r="T31" s="60" t="s">
        <v>352</v>
      </c>
      <c r="U31" s="35">
        <v>0</v>
      </c>
      <c r="V31" s="35">
        <v>0</v>
      </c>
      <c r="W31" s="32">
        <v>2</v>
      </c>
    </row>
    <row r="32" spans="1:23" x14ac:dyDescent="0.2">
      <c r="A32" s="78">
        <v>98033</v>
      </c>
      <c r="B32" s="60" t="s">
        <v>352</v>
      </c>
      <c r="C32" s="35">
        <v>1</v>
      </c>
      <c r="D32" s="35">
        <v>2</v>
      </c>
      <c r="E32" s="35">
        <v>1</v>
      </c>
      <c r="G32" s="78">
        <v>98023</v>
      </c>
      <c r="H32" s="60" t="s">
        <v>353</v>
      </c>
      <c r="I32" s="35">
        <v>23</v>
      </c>
      <c r="J32" s="35">
        <v>42</v>
      </c>
      <c r="K32" s="35">
        <v>36</v>
      </c>
      <c r="M32" s="54">
        <v>98014</v>
      </c>
      <c r="N32" s="60" t="s">
        <v>353</v>
      </c>
      <c r="O32" s="35">
        <v>15</v>
      </c>
      <c r="P32" s="35">
        <v>12</v>
      </c>
      <c r="Q32" s="35">
        <v>20</v>
      </c>
      <c r="S32" s="78">
        <v>98020</v>
      </c>
      <c r="T32" s="60" t="s">
        <v>353</v>
      </c>
      <c r="U32" s="32">
        <v>0</v>
      </c>
      <c r="V32" s="32">
        <v>1</v>
      </c>
      <c r="W32" s="35">
        <v>2</v>
      </c>
    </row>
    <row r="33" spans="1:23" x14ac:dyDescent="0.2">
      <c r="A33" s="78">
        <v>98034</v>
      </c>
      <c r="B33" s="60" t="s">
        <v>352</v>
      </c>
      <c r="C33" s="35">
        <v>2</v>
      </c>
      <c r="D33" s="35">
        <v>3</v>
      </c>
      <c r="E33" s="35">
        <v>5</v>
      </c>
      <c r="G33" s="78">
        <v>98024</v>
      </c>
      <c r="H33" s="60" t="s">
        <v>353</v>
      </c>
      <c r="I33" s="35">
        <v>0</v>
      </c>
      <c r="J33" s="35">
        <v>2</v>
      </c>
      <c r="K33" s="32">
        <v>1</v>
      </c>
      <c r="M33" s="78">
        <v>98019</v>
      </c>
      <c r="N33" s="60" t="s">
        <v>352</v>
      </c>
      <c r="O33" s="35">
        <v>0</v>
      </c>
      <c r="P33" s="35">
        <v>4</v>
      </c>
      <c r="Q33" s="35">
        <v>1</v>
      </c>
      <c r="S33" s="78">
        <v>98021</v>
      </c>
      <c r="T33" s="60" t="s">
        <v>353</v>
      </c>
      <c r="U33" s="32">
        <v>1</v>
      </c>
      <c r="V33" s="35">
        <v>4</v>
      </c>
      <c r="W33" s="35">
        <v>8</v>
      </c>
    </row>
    <row r="34" spans="1:23" x14ac:dyDescent="0.2">
      <c r="A34" s="78">
        <v>98036</v>
      </c>
      <c r="B34" s="60" t="s">
        <v>352</v>
      </c>
      <c r="C34" s="35">
        <v>3</v>
      </c>
      <c r="D34" s="35">
        <v>2</v>
      </c>
      <c r="E34" s="35">
        <v>3</v>
      </c>
      <c r="G34" s="78">
        <v>98026</v>
      </c>
      <c r="H34" s="60" t="s">
        <v>353</v>
      </c>
      <c r="I34" s="35">
        <v>2</v>
      </c>
      <c r="J34" s="32">
        <v>1</v>
      </c>
      <c r="K34" s="35">
        <v>2</v>
      </c>
      <c r="M34" s="78">
        <v>98019</v>
      </c>
      <c r="N34" s="60" t="s">
        <v>353</v>
      </c>
      <c r="O34" s="32">
        <v>19</v>
      </c>
      <c r="P34" s="35">
        <v>27</v>
      </c>
      <c r="Q34" s="35">
        <v>31</v>
      </c>
      <c r="S34" s="78">
        <v>98022</v>
      </c>
      <c r="T34" s="60" t="s">
        <v>352</v>
      </c>
      <c r="U34" s="35">
        <v>2</v>
      </c>
      <c r="V34" s="35">
        <v>1</v>
      </c>
      <c r="W34" s="35">
        <v>2</v>
      </c>
    </row>
    <row r="35" spans="1:23" x14ac:dyDescent="0.2">
      <c r="A35" s="78">
        <v>98037</v>
      </c>
      <c r="B35" s="60" t="s">
        <v>352</v>
      </c>
      <c r="C35" s="35">
        <v>1</v>
      </c>
      <c r="D35" s="35">
        <v>2</v>
      </c>
      <c r="E35" s="35">
        <v>2</v>
      </c>
      <c r="G35" s="54">
        <v>98027</v>
      </c>
      <c r="H35" s="60" t="s">
        <v>352</v>
      </c>
      <c r="I35" s="35">
        <v>1</v>
      </c>
      <c r="J35" s="35">
        <v>0</v>
      </c>
      <c r="K35" s="35">
        <v>0</v>
      </c>
      <c r="M35" s="54">
        <v>98020</v>
      </c>
      <c r="N35" s="60" t="s">
        <v>352</v>
      </c>
      <c r="O35" s="35">
        <v>0</v>
      </c>
      <c r="P35" s="35">
        <v>0</v>
      </c>
      <c r="Q35" s="35">
        <v>2</v>
      </c>
      <c r="S35" s="78">
        <v>98022</v>
      </c>
      <c r="T35" s="60" t="s">
        <v>353</v>
      </c>
      <c r="U35" s="35">
        <v>11</v>
      </c>
      <c r="V35" s="35">
        <v>11</v>
      </c>
      <c r="W35" s="35">
        <v>29</v>
      </c>
    </row>
    <row r="36" spans="1:23" x14ac:dyDescent="0.2">
      <c r="A36" s="78">
        <v>98038</v>
      </c>
      <c r="B36" s="60" t="s">
        <v>352</v>
      </c>
      <c r="C36" s="35">
        <v>2</v>
      </c>
      <c r="D36" s="35">
        <v>3</v>
      </c>
      <c r="E36" s="35">
        <v>3</v>
      </c>
      <c r="G36" s="78">
        <v>98027</v>
      </c>
      <c r="H36" s="60" t="s">
        <v>353</v>
      </c>
      <c r="I36" s="35">
        <v>2</v>
      </c>
      <c r="J36" s="32">
        <v>8</v>
      </c>
      <c r="K36" s="32">
        <v>5</v>
      </c>
      <c r="M36" s="78">
        <v>98020</v>
      </c>
      <c r="N36" s="60" t="s">
        <v>353</v>
      </c>
      <c r="O36" s="35">
        <v>8</v>
      </c>
      <c r="P36" s="32">
        <v>9</v>
      </c>
      <c r="Q36" s="32">
        <v>7</v>
      </c>
      <c r="S36" s="78">
        <v>98023</v>
      </c>
      <c r="T36" s="60" t="s">
        <v>352</v>
      </c>
      <c r="U36" s="35">
        <v>1</v>
      </c>
      <c r="V36" s="35">
        <v>0</v>
      </c>
      <c r="W36" s="35">
        <v>1</v>
      </c>
    </row>
    <row r="37" spans="1:23" x14ac:dyDescent="0.2">
      <c r="A37" s="78">
        <v>98040</v>
      </c>
      <c r="B37" s="60" t="s">
        <v>352</v>
      </c>
      <c r="C37" s="35">
        <v>2</v>
      </c>
      <c r="D37" s="35">
        <v>2</v>
      </c>
      <c r="E37" s="35">
        <v>2</v>
      </c>
      <c r="G37" s="54">
        <v>98028</v>
      </c>
      <c r="H37" s="60" t="s">
        <v>352</v>
      </c>
      <c r="I37" s="35">
        <v>1</v>
      </c>
      <c r="J37" s="35">
        <v>0</v>
      </c>
      <c r="K37" s="35">
        <v>0</v>
      </c>
      <c r="M37" s="54">
        <v>98021</v>
      </c>
      <c r="N37" s="60" t="s">
        <v>353</v>
      </c>
      <c r="O37" s="35">
        <v>13</v>
      </c>
      <c r="P37" s="35">
        <v>15</v>
      </c>
      <c r="Q37" s="32">
        <v>21</v>
      </c>
      <c r="S37" s="78">
        <v>98023</v>
      </c>
      <c r="T37" s="60" t="s">
        <v>353</v>
      </c>
      <c r="U37" s="35">
        <v>63</v>
      </c>
      <c r="V37" s="35">
        <v>100</v>
      </c>
      <c r="W37" s="35">
        <v>116</v>
      </c>
    </row>
    <row r="38" spans="1:23" x14ac:dyDescent="0.2">
      <c r="A38" s="78">
        <v>98042</v>
      </c>
      <c r="B38" s="60" t="s">
        <v>352</v>
      </c>
      <c r="C38" s="32">
        <v>2</v>
      </c>
      <c r="D38" s="35">
        <v>1</v>
      </c>
      <c r="E38" s="35">
        <v>3</v>
      </c>
      <c r="G38" s="78">
        <v>98028</v>
      </c>
      <c r="H38" s="60" t="s">
        <v>353</v>
      </c>
      <c r="I38" s="35">
        <v>3</v>
      </c>
      <c r="J38" s="35">
        <v>2</v>
      </c>
      <c r="K38" s="35">
        <v>7</v>
      </c>
      <c r="M38" s="78">
        <v>98022</v>
      </c>
      <c r="N38" s="60" t="s">
        <v>352</v>
      </c>
      <c r="O38" s="35">
        <v>7</v>
      </c>
      <c r="P38" s="35">
        <v>3</v>
      </c>
      <c r="Q38" s="35">
        <v>3</v>
      </c>
      <c r="S38" s="78">
        <v>98024</v>
      </c>
      <c r="T38" s="60" t="s">
        <v>353</v>
      </c>
      <c r="U38" s="35">
        <v>1</v>
      </c>
      <c r="V38" s="35">
        <v>1</v>
      </c>
      <c r="W38" s="35">
        <v>2</v>
      </c>
    </row>
    <row r="39" spans="1:23" x14ac:dyDescent="0.2">
      <c r="A39" s="78">
        <v>98043</v>
      </c>
      <c r="B39" s="60" t="s">
        <v>352</v>
      </c>
      <c r="C39" s="35">
        <v>0</v>
      </c>
      <c r="D39" s="35">
        <v>0</v>
      </c>
      <c r="E39" s="35">
        <v>1</v>
      </c>
      <c r="G39" s="78">
        <v>98029</v>
      </c>
      <c r="H39" s="60" t="s">
        <v>353</v>
      </c>
      <c r="I39" s="35">
        <v>5</v>
      </c>
      <c r="J39" s="35">
        <v>6</v>
      </c>
      <c r="K39" s="35">
        <v>7</v>
      </c>
      <c r="M39" s="78">
        <v>98022</v>
      </c>
      <c r="N39" s="60" t="s">
        <v>353</v>
      </c>
      <c r="O39" s="35">
        <v>48</v>
      </c>
      <c r="P39" s="32">
        <v>60</v>
      </c>
      <c r="Q39" s="35">
        <v>82</v>
      </c>
      <c r="S39" s="78">
        <v>98026</v>
      </c>
      <c r="T39" s="60" t="s">
        <v>353</v>
      </c>
      <c r="U39" s="35">
        <v>2</v>
      </c>
      <c r="V39" s="35">
        <v>5</v>
      </c>
      <c r="W39" s="35">
        <v>5</v>
      </c>
    </row>
    <row r="40" spans="1:23" x14ac:dyDescent="0.2">
      <c r="A40" s="54">
        <v>98045</v>
      </c>
      <c r="B40" s="60" t="s">
        <v>352</v>
      </c>
      <c r="C40" s="35">
        <v>0</v>
      </c>
      <c r="D40" s="35">
        <v>0</v>
      </c>
      <c r="E40" s="35">
        <v>1</v>
      </c>
      <c r="G40" s="78">
        <v>98030</v>
      </c>
      <c r="H40" s="60" t="s">
        <v>353</v>
      </c>
      <c r="I40" s="35">
        <v>25</v>
      </c>
      <c r="J40" s="35">
        <v>23</v>
      </c>
      <c r="K40" s="35">
        <v>27</v>
      </c>
      <c r="M40" s="54">
        <v>98023</v>
      </c>
      <c r="N40" s="60" t="s">
        <v>352</v>
      </c>
      <c r="O40" s="35">
        <v>1</v>
      </c>
      <c r="P40" s="35">
        <v>0</v>
      </c>
      <c r="Q40" s="35">
        <v>2</v>
      </c>
      <c r="S40" s="78">
        <v>98027</v>
      </c>
      <c r="T40" s="60" t="s">
        <v>352</v>
      </c>
      <c r="U40" s="35">
        <v>0</v>
      </c>
      <c r="V40" s="35">
        <v>1</v>
      </c>
      <c r="W40" s="32">
        <v>2</v>
      </c>
    </row>
    <row r="41" spans="1:23" x14ac:dyDescent="0.2">
      <c r="A41" s="78">
        <v>98051</v>
      </c>
      <c r="B41" s="60" t="s">
        <v>352</v>
      </c>
      <c r="C41" s="35">
        <v>1</v>
      </c>
      <c r="D41" s="35">
        <v>1</v>
      </c>
      <c r="E41" s="35">
        <v>1</v>
      </c>
      <c r="G41" s="78">
        <v>98031</v>
      </c>
      <c r="H41" s="60" t="s">
        <v>353</v>
      </c>
      <c r="I41" s="35">
        <v>25</v>
      </c>
      <c r="J41" s="32">
        <v>16</v>
      </c>
      <c r="K41" s="35">
        <v>23</v>
      </c>
      <c r="M41" s="78">
        <v>98023</v>
      </c>
      <c r="N41" s="60" t="s">
        <v>353</v>
      </c>
      <c r="O41" s="32">
        <v>286</v>
      </c>
      <c r="P41" s="35">
        <v>354</v>
      </c>
      <c r="Q41" s="32">
        <v>372</v>
      </c>
      <c r="S41" s="78">
        <v>98027</v>
      </c>
      <c r="T41" s="60" t="s">
        <v>353</v>
      </c>
      <c r="U41" s="32">
        <v>8</v>
      </c>
      <c r="V41" s="35">
        <v>8</v>
      </c>
      <c r="W41" s="35">
        <v>12</v>
      </c>
    </row>
    <row r="42" spans="1:23" x14ac:dyDescent="0.2">
      <c r="A42" s="54">
        <v>98052</v>
      </c>
      <c r="B42" s="60" t="s">
        <v>352</v>
      </c>
      <c r="C42" s="35">
        <v>5</v>
      </c>
      <c r="D42" s="35">
        <v>10</v>
      </c>
      <c r="E42" s="35">
        <v>13</v>
      </c>
      <c r="G42" s="54">
        <v>98032</v>
      </c>
      <c r="H42" s="60" t="s">
        <v>352</v>
      </c>
      <c r="I42" s="35">
        <v>3</v>
      </c>
      <c r="J42" s="35">
        <v>0</v>
      </c>
      <c r="K42" s="35">
        <v>2</v>
      </c>
      <c r="M42" s="54">
        <v>98024</v>
      </c>
      <c r="N42" s="60" t="s">
        <v>352</v>
      </c>
      <c r="O42" s="35">
        <v>0</v>
      </c>
      <c r="P42" s="35">
        <v>0</v>
      </c>
      <c r="Q42" s="35">
        <v>1</v>
      </c>
      <c r="S42" s="78">
        <v>98028</v>
      </c>
      <c r="T42" s="60" t="s">
        <v>352</v>
      </c>
      <c r="U42" s="35">
        <v>1</v>
      </c>
      <c r="V42" s="35">
        <v>0</v>
      </c>
      <c r="W42" s="35">
        <v>0</v>
      </c>
    </row>
    <row r="43" spans="1:23" x14ac:dyDescent="0.2">
      <c r="A43" s="78">
        <v>98055</v>
      </c>
      <c r="B43" s="60" t="s">
        <v>352</v>
      </c>
      <c r="C43" s="35">
        <v>1</v>
      </c>
      <c r="D43" s="35">
        <v>0</v>
      </c>
      <c r="E43" s="35">
        <v>1</v>
      </c>
      <c r="G43" s="78">
        <v>98032</v>
      </c>
      <c r="H43" s="60" t="s">
        <v>353</v>
      </c>
      <c r="I43" s="35">
        <v>23</v>
      </c>
      <c r="J43" s="35">
        <v>28</v>
      </c>
      <c r="K43" s="35">
        <v>26</v>
      </c>
      <c r="M43" s="78">
        <v>98024</v>
      </c>
      <c r="N43" s="60" t="s">
        <v>353</v>
      </c>
      <c r="O43" s="35">
        <v>6</v>
      </c>
      <c r="P43" s="35">
        <v>5</v>
      </c>
      <c r="Q43" s="35">
        <v>10</v>
      </c>
      <c r="S43" s="78">
        <v>98028</v>
      </c>
      <c r="T43" s="60" t="s">
        <v>353</v>
      </c>
      <c r="U43" s="32">
        <v>8</v>
      </c>
      <c r="V43" s="35">
        <v>8</v>
      </c>
      <c r="W43" s="32">
        <v>7</v>
      </c>
    </row>
    <row r="44" spans="1:23" x14ac:dyDescent="0.2">
      <c r="A44" s="78">
        <v>98056</v>
      </c>
      <c r="B44" s="60" t="s">
        <v>352</v>
      </c>
      <c r="C44" s="35">
        <v>4</v>
      </c>
      <c r="D44" s="35">
        <v>3</v>
      </c>
      <c r="E44" s="35">
        <v>3</v>
      </c>
      <c r="G44" s="78">
        <v>98033</v>
      </c>
      <c r="H44" s="60" t="s">
        <v>353</v>
      </c>
      <c r="I44" s="35">
        <v>4</v>
      </c>
      <c r="J44" s="35">
        <v>7</v>
      </c>
      <c r="K44" s="35">
        <v>8</v>
      </c>
      <c r="M44" s="78">
        <v>98026</v>
      </c>
      <c r="N44" s="60" t="s">
        <v>353</v>
      </c>
      <c r="O44" s="35">
        <v>17</v>
      </c>
      <c r="P44" s="35">
        <v>21</v>
      </c>
      <c r="Q44" s="35">
        <v>22</v>
      </c>
      <c r="S44" s="78">
        <v>98029</v>
      </c>
      <c r="T44" s="60" t="s">
        <v>353</v>
      </c>
      <c r="U44" s="32">
        <v>17</v>
      </c>
      <c r="V44" s="32">
        <v>15</v>
      </c>
      <c r="W44" s="35">
        <v>20</v>
      </c>
    </row>
    <row r="45" spans="1:23" x14ac:dyDescent="0.2">
      <c r="A45" s="78">
        <v>98057</v>
      </c>
      <c r="B45" s="60" t="s">
        <v>352</v>
      </c>
      <c r="C45" s="35">
        <v>17</v>
      </c>
      <c r="D45" s="35">
        <v>17</v>
      </c>
      <c r="E45" s="35">
        <v>19</v>
      </c>
      <c r="G45" s="78">
        <v>98034</v>
      </c>
      <c r="H45" s="60" t="s">
        <v>353</v>
      </c>
      <c r="I45" s="35">
        <v>13</v>
      </c>
      <c r="J45" s="35">
        <v>16</v>
      </c>
      <c r="K45" s="32">
        <v>15</v>
      </c>
      <c r="M45" s="78">
        <v>98027</v>
      </c>
      <c r="N45" s="60" t="s">
        <v>352</v>
      </c>
      <c r="O45" s="35">
        <v>1</v>
      </c>
      <c r="P45" s="35">
        <v>2</v>
      </c>
      <c r="Q45" s="35">
        <v>7</v>
      </c>
      <c r="S45" s="78">
        <v>98030</v>
      </c>
      <c r="T45" s="60" t="s">
        <v>352</v>
      </c>
      <c r="U45" s="32">
        <v>3</v>
      </c>
      <c r="V45" s="35">
        <v>1</v>
      </c>
      <c r="W45" s="32">
        <v>3</v>
      </c>
    </row>
    <row r="46" spans="1:23" x14ac:dyDescent="0.2">
      <c r="A46" s="78">
        <v>98058</v>
      </c>
      <c r="B46" s="60" t="s">
        <v>352</v>
      </c>
      <c r="C46" s="35">
        <v>0</v>
      </c>
      <c r="D46" s="35">
        <v>0</v>
      </c>
      <c r="E46" s="35">
        <v>3</v>
      </c>
      <c r="G46" s="54">
        <v>98036</v>
      </c>
      <c r="H46" s="60" t="s">
        <v>352</v>
      </c>
      <c r="I46" s="32">
        <v>0</v>
      </c>
      <c r="J46" s="35">
        <v>1</v>
      </c>
      <c r="K46" s="32">
        <v>1</v>
      </c>
      <c r="M46" s="54">
        <v>98027</v>
      </c>
      <c r="N46" s="60" t="s">
        <v>353</v>
      </c>
      <c r="O46" s="35">
        <v>38</v>
      </c>
      <c r="P46" s="35">
        <v>39</v>
      </c>
      <c r="Q46" s="35">
        <v>51</v>
      </c>
      <c r="S46" s="54">
        <v>98030</v>
      </c>
      <c r="T46" s="60" t="s">
        <v>353</v>
      </c>
      <c r="U46" s="35">
        <v>51</v>
      </c>
      <c r="V46" s="35">
        <v>45</v>
      </c>
      <c r="W46" s="35">
        <v>65</v>
      </c>
    </row>
    <row r="47" spans="1:23" x14ac:dyDescent="0.2">
      <c r="A47" s="78">
        <v>98059</v>
      </c>
      <c r="B47" s="60" t="s">
        <v>352</v>
      </c>
      <c r="C47" s="35">
        <v>3</v>
      </c>
      <c r="D47" s="35">
        <v>4</v>
      </c>
      <c r="E47" s="35">
        <v>2</v>
      </c>
      <c r="G47" s="78">
        <v>98036</v>
      </c>
      <c r="H47" s="60" t="s">
        <v>353</v>
      </c>
      <c r="I47" s="32">
        <v>2</v>
      </c>
      <c r="J47" s="32">
        <v>2</v>
      </c>
      <c r="K47" s="35">
        <v>4</v>
      </c>
      <c r="M47" s="78">
        <v>98028</v>
      </c>
      <c r="N47" s="60" t="s">
        <v>352</v>
      </c>
      <c r="O47" s="32">
        <v>2</v>
      </c>
      <c r="P47" s="35">
        <v>1</v>
      </c>
      <c r="Q47" s="35">
        <v>1</v>
      </c>
      <c r="S47" s="78">
        <v>98031</v>
      </c>
      <c r="T47" s="60" t="s">
        <v>352</v>
      </c>
      <c r="U47" s="35">
        <v>1</v>
      </c>
      <c r="V47" s="35">
        <v>1</v>
      </c>
      <c r="W47" s="35">
        <v>5</v>
      </c>
    </row>
    <row r="48" spans="1:23" x14ac:dyDescent="0.2">
      <c r="A48" s="78">
        <v>98065</v>
      </c>
      <c r="B48" s="60" t="s">
        <v>352</v>
      </c>
      <c r="C48" s="35">
        <v>1</v>
      </c>
      <c r="D48" s="35">
        <v>2</v>
      </c>
      <c r="E48" s="35">
        <v>2</v>
      </c>
      <c r="G48" s="54">
        <v>98037</v>
      </c>
      <c r="H48" s="60" t="s">
        <v>353</v>
      </c>
      <c r="I48" s="35">
        <v>0</v>
      </c>
      <c r="J48" s="32">
        <v>1</v>
      </c>
      <c r="K48" s="32">
        <v>0</v>
      </c>
      <c r="M48" s="54">
        <v>98028</v>
      </c>
      <c r="N48" s="60" t="s">
        <v>353</v>
      </c>
      <c r="O48" s="35">
        <v>39</v>
      </c>
      <c r="P48" s="35">
        <v>23</v>
      </c>
      <c r="Q48" s="35">
        <v>45</v>
      </c>
      <c r="S48" s="78">
        <v>98031</v>
      </c>
      <c r="T48" s="60" t="s">
        <v>353</v>
      </c>
      <c r="U48" s="35">
        <v>46</v>
      </c>
      <c r="V48" s="35">
        <v>47</v>
      </c>
      <c r="W48" s="35">
        <v>63</v>
      </c>
    </row>
    <row r="49" spans="1:23" x14ac:dyDescent="0.2">
      <c r="A49" s="78">
        <v>98070</v>
      </c>
      <c r="B49" s="60" t="s">
        <v>352</v>
      </c>
      <c r="C49" s="35">
        <v>8</v>
      </c>
      <c r="D49" s="35">
        <v>6</v>
      </c>
      <c r="E49" s="35">
        <v>9</v>
      </c>
      <c r="G49" s="78">
        <v>98038</v>
      </c>
      <c r="H49" s="60" t="s">
        <v>352</v>
      </c>
      <c r="I49" s="35">
        <v>0</v>
      </c>
      <c r="J49" s="35">
        <v>0</v>
      </c>
      <c r="K49" s="35">
        <v>1</v>
      </c>
      <c r="M49" s="78">
        <v>98029</v>
      </c>
      <c r="N49" s="60" t="s">
        <v>353</v>
      </c>
      <c r="O49" s="35">
        <v>52</v>
      </c>
      <c r="P49" s="35">
        <v>47</v>
      </c>
      <c r="Q49" s="35">
        <v>73</v>
      </c>
      <c r="S49" s="78">
        <v>98032</v>
      </c>
      <c r="T49" s="60" t="s">
        <v>352</v>
      </c>
      <c r="U49" s="32">
        <v>4</v>
      </c>
      <c r="V49" s="35">
        <v>6</v>
      </c>
      <c r="W49" s="32">
        <v>3</v>
      </c>
    </row>
    <row r="50" spans="1:23" x14ac:dyDescent="0.2">
      <c r="A50" s="78">
        <v>98072</v>
      </c>
      <c r="B50" s="60" t="s">
        <v>352</v>
      </c>
      <c r="C50" s="35">
        <v>13</v>
      </c>
      <c r="D50" s="35">
        <v>5</v>
      </c>
      <c r="E50" s="35">
        <v>12</v>
      </c>
      <c r="G50" s="78">
        <v>98038</v>
      </c>
      <c r="H50" s="60" t="s">
        <v>353</v>
      </c>
      <c r="I50" s="32">
        <v>4</v>
      </c>
      <c r="J50" s="35">
        <v>9</v>
      </c>
      <c r="K50" s="32">
        <v>8</v>
      </c>
      <c r="M50" s="78">
        <v>98030</v>
      </c>
      <c r="N50" s="60" t="s">
        <v>352</v>
      </c>
      <c r="O50" s="35">
        <v>7</v>
      </c>
      <c r="P50" s="35">
        <v>3</v>
      </c>
      <c r="Q50" s="35">
        <v>7</v>
      </c>
      <c r="S50" s="54">
        <v>98032</v>
      </c>
      <c r="T50" s="60" t="s">
        <v>353</v>
      </c>
      <c r="U50" s="35">
        <v>75</v>
      </c>
      <c r="V50" s="35">
        <v>62</v>
      </c>
      <c r="W50" s="35">
        <v>79</v>
      </c>
    </row>
    <row r="51" spans="1:23" x14ac:dyDescent="0.2">
      <c r="A51" s="54">
        <v>98075</v>
      </c>
      <c r="B51" s="60" t="s">
        <v>352</v>
      </c>
      <c r="C51" s="35">
        <v>0</v>
      </c>
      <c r="D51" s="35">
        <v>1</v>
      </c>
      <c r="E51" s="35">
        <v>0</v>
      </c>
      <c r="G51" s="54">
        <v>98040</v>
      </c>
      <c r="H51" s="60" t="s">
        <v>353</v>
      </c>
      <c r="I51" s="35">
        <v>4</v>
      </c>
      <c r="J51" s="35">
        <v>0</v>
      </c>
      <c r="K51" s="32">
        <v>4</v>
      </c>
      <c r="M51" s="54">
        <v>98030</v>
      </c>
      <c r="N51" s="60" t="s">
        <v>353</v>
      </c>
      <c r="O51" s="35">
        <v>194</v>
      </c>
      <c r="P51" s="35">
        <v>159</v>
      </c>
      <c r="Q51" s="35">
        <v>222</v>
      </c>
      <c r="S51" s="78">
        <v>98033</v>
      </c>
      <c r="T51" s="60" t="s">
        <v>352</v>
      </c>
      <c r="U51" s="35">
        <v>1</v>
      </c>
      <c r="V51" s="35">
        <v>0</v>
      </c>
      <c r="W51" s="35">
        <v>1</v>
      </c>
    </row>
    <row r="52" spans="1:23" x14ac:dyDescent="0.2">
      <c r="A52" s="78">
        <v>98087</v>
      </c>
      <c r="B52" s="60" t="s">
        <v>352</v>
      </c>
      <c r="C52" s="35">
        <v>0</v>
      </c>
      <c r="D52" s="32">
        <v>1</v>
      </c>
      <c r="E52" s="32">
        <v>1</v>
      </c>
      <c r="G52" s="78">
        <v>98042</v>
      </c>
      <c r="H52" s="60" t="s">
        <v>353</v>
      </c>
      <c r="I52" s="32">
        <v>24</v>
      </c>
      <c r="J52" s="35">
        <v>26</v>
      </c>
      <c r="K52" s="35">
        <v>20</v>
      </c>
      <c r="M52" s="78">
        <v>98031</v>
      </c>
      <c r="N52" s="60" t="s">
        <v>352</v>
      </c>
      <c r="O52" s="35">
        <v>4</v>
      </c>
      <c r="P52" s="35">
        <v>3</v>
      </c>
      <c r="Q52" s="35">
        <v>7</v>
      </c>
      <c r="S52" s="78">
        <v>98033</v>
      </c>
      <c r="T52" s="60" t="s">
        <v>353</v>
      </c>
      <c r="U52" s="35">
        <v>10</v>
      </c>
      <c r="V52" s="32">
        <v>11</v>
      </c>
      <c r="W52" s="32">
        <v>11</v>
      </c>
    </row>
    <row r="53" spans="1:23" x14ac:dyDescent="0.2">
      <c r="A53" s="78">
        <v>98092</v>
      </c>
      <c r="B53" s="60" t="s">
        <v>352</v>
      </c>
      <c r="C53" s="35">
        <v>4</v>
      </c>
      <c r="D53" s="35">
        <v>1</v>
      </c>
      <c r="E53" s="35">
        <v>3</v>
      </c>
      <c r="G53" s="54">
        <v>98043</v>
      </c>
      <c r="H53" s="60" t="s">
        <v>353</v>
      </c>
      <c r="I53" s="35">
        <v>2</v>
      </c>
      <c r="J53" s="35">
        <v>1</v>
      </c>
      <c r="K53" s="35">
        <v>2</v>
      </c>
      <c r="M53" s="54">
        <v>98031</v>
      </c>
      <c r="N53" s="60" t="s">
        <v>353</v>
      </c>
      <c r="O53" s="35">
        <v>189</v>
      </c>
      <c r="P53" s="35">
        <v>179</v>
      </c>
      <c r="Q53" s="35">
        <v>222</v>
      </c>
      <c r="S53" s="54">
        <v>98034</v>
      </c>
      <c r="T53" s="60" t="s">
        <v>352</v>
      </c>
      <c r="U53" s="35">
        <v>1</v>
      </c>
      <c r="V53" s="35">
        <v>1</v>
      </c>
      <c r="W53" s="35">
        <v>1</v>
      </c>
    </row>
    <row r="54" spans="1:23" x14ac:dyDescent="0.2">
      <c r="A54" s="78">
        <v>98101</v>
      </c>
      <c r="B54" s="60" t="s">
        <v>352</v>
      </c>
      <c r="C54" s="32">
        <v>1</v>
      </c>
      <c r="D54" s="35">
        <v>2</v>
      </c>
      <c r="E54" s="35">
        <v>1</v>
      </c>
      <c r="G54" s="78">
        <v>98045</v>
      </c>
      <c r="H54" s="60" t="s">
        <v>353</v>
      </c>
      <c r="I54" s="32">
        <v>5</v>
      </c>
      <c r="J54" s="32">
        <v>4</v>
      </c>
      <c r="K54" s="35">
        <v>4</v>
      </c>
      <c r="M54" s="78">
        <v>98032</v>
      </c>
      <c r="N54" s="60" t="s">
        <v>352</v>
      </c>
      <c r="O54" s="35">
        <v>13</v>
      </c>
      <c r="P54" s="35">
        <v>14</v>
      </c>
      <c r="Q54" s="35">
        <v>15</v>
      </c>
      <c r="S54" s="78">
        <v>98034</v>
      </c>
      <c r="T54" s="60" t="s">
        <v>353</v>
      </c>
      <c r="U54" s="35">
        <v>24</v>
      </c>
      <c r="V54" s="35">
        <v>37</v>
      </c>
      <c r="W54" s="35">
        <v>41</v>
      </c>
    </row>
    <row r="55" spans="1:23" x14ac:dyDescent="0.2">
      <c r="A55" s="78">
        <v>98102</v>
      </c>
      <c r="B55" s="60" t="s">
        <v>352</v>
      </c>
      <c r="C55" s="35">
        <v>2</v>
      </c>
      <c r="D55" s="35">
        <v>2</v>
      </c>
      <c r="E55" s="35">
        <v>2</v>
      </c>
      <c r="G55" s="78">
        <v>98047</v>
      </c>
      <c r="H55" s="60" t="s">
        <v>353</v>
      </c>
      <c r="I55" s="35">
        <v>5</v>
      </c>
      <c r="J55" s="35">
        <v>4</v>
      </c>
      <c r="K55" s="35">
        <v>3</v>
      </c>
      <c r="M55" s="54">
        <v>98032</v>
      </c>
      <c r="N55" s="60" t="s">
        <v>353</v>
      </c>
      <c r="O55" s="35">
        <v>252</v>
      </c>
      <c r="P55" s="35">
        <v>209</v>
      </c>
      <c r="Q55" s="35">
        <v>298</v>
      </c>
      <c r="S55" s="78">
        <v>98036</v>
      </c>
      <c r="T55" s="60" t="s">
        <v>353</v>
      </c>
      <c r="U55" s="35">
        <v>4</v>
      </c>
      <c r="V55" s="32">
        <v>5</v>
      </c>
      <c r="W55" s="32">
        <v>8</v>
      </c>
    </row>
    <row r="56" spans="1:23" x14ac:dyDescent="0.2">
      <c r="A56" s="54">
        <v>98103</v>
      </c>
      <c r="B56" s="60" t="s">
        <v>352</v>
      </c>
      <c r="C56" s="35">
        <v>3</v>
      </c>
      <c r="D56" s="35">
        <v>4</v>
      </c>
      <c r="E56" s="35">
        <v>5</v>
      </c>
      <c r="G56" s="78">
        <v>98051</v>
      </c>
      <c r="H56" s="60" t="s">
        <v>353</v>
      </c>
      <c r="I56" s="35">
        <v>1</v>
      </c>
      <c r="J56" s="35">
        <v>0</v>
      </c>
      <c r="K56" s="35">
        <v>1</v>
      </c>
      <c r="M56" s="78">
        <v>98033</v>
      </c>
      <c r="N56" s="60" t="s">
        <v>352</v>
      </c>
      <c r="O56" s="35">
        <v>1</v>
      </c>
      <c r="P56" s="35">
        <v>2</v>
      </c>
      <c r="Q56" s="32">
        <v>2</v>
      </c>
      <c r="S56" s="54">
        <v>98037</v>
      </c>
      <c r="T56" s="60" t="s">
        <v>352</v>
      </c>
      <c r="U56" s="35">
        <v>2</v>
      </c>
      <c r="V56" s="35">
        <v>1</v>
      </c>
      <c r="W56" s="35">
        <v>0</v>
      </c>
    </row>
    <row r="57" spans="1:23" x14ac:dyDescent="0.2">
      <c r="A57" s="54">
        <v>98104</v>
      </c>
      <c r="B57" s="60" t="s">
        <v>352</v>
      </c>
      <c r="C57" s="35">
        <v>2</v>
      </c>
      <c r="D57" s="35">
        <v>2</v>
      </c>
      <c r="E57" s="35">
        <v>3</v>
      </c>
      <c r="G57" s="78">
        <v>98052</v>
      </c>
      <c r="H57" s="60" t="s">
        <v>352</v>
      </c>
      <c r="I57" s="32">
        <v>1</v>
      </c>
      <c r="J57" s="35">
        <v>2</v>
      </c>
      <c r="K57" s="35">
        <v>2</v>
      </c>
      <c r="M57" s="54">
        <v>98033</v>
      </c>
      <c r="N57" s="60" t="s">
        <v>353</v>
      </c>
      <c r="O57" s="35">
        <v>47</v>
      </c>
      <c r="P57" s="35">
        <v>54</v>
      </c>
      <c r="Q57" s="35">
        <v>56</v>
      </c>
      <c r="S57" s="78">
        <v>98037</v>
      </c>
      <c r="T57" s="60" t="s">
        <v>353</v>
      </c>
      <c r="U57" s="35">
        <v>3</v>
      </c>
      <c r="V57" s="35">
        <v>3</v>
      </c>
      <c r="W57" s="35">
        <v>13</v>
      </c>
    </row>
    <row r="58" spans="1:23" x14ac:dyDescent="0.2">
      <c r="A58" s="54">
        <v>98105</v>
      </c>
      <c r="B58" s="60" t="s">
        <v>352</v>
      </c>
      <c r="C58" s="35">
        <v>2</v>
      </c>
      <c r="D58" s="35">
        <v>2</v>
      </c>
      <c r="E58" s="35">
        <v>3</v>
      </c>
      <c r="G58" s="54">
        <v>98052</v>
      </c>
      <c r="H58" s="60" t="s">
        <v>353</v>
      </c>
      <c r="I58" s="35">
        <v>12</v>
      </c>
      <c r="J58" s="35">
        <v>11</v>
      </c>
      <c r="K58" s="35">
        <v>15</v>
      </c>
      <c r="M58" s="78">
        <v>98034</v>
      </c>
      <c r="N58" s="60" t="s">
        <v>352</v>
      </c>
      <c r="O58" s="32">
        <v>3</v>
      </c>
      <c r="P58" s="35">
        <v>4</v>
      </c>
      <c r="Q58" s="35">
        <v>10</v>
      </c>
      <c r="S58" s="78">
        <v>98038</v>
      </c>
      <c r="T58" s="60" t="s">
        <v>352</v>
      </c>
      <c r="U58" s="35">
        <v>1</v>
      </c>
      <c r="V58" s="35">
        <v>0</v>
      </c>
      <c r="W58" s="32">
        <v>2</v>
      </c>
    </row>
    <row r="59" spans="1:23" x14ac:dyDescent="0.2">
      <c r="A59" s="78">
        <v>98106</v>
      </c>
      <c r="B59" s="60" t="s">
        <v>352</v>
      </c>
      <c r="C59" s="35">
        <v>1</v>
      </c>
      <c r="D59" s="35">
        <v>1</v>
      </c>
      <c r="E59" s="32">
        <v>2</v>
      </c>
      <c r="G59" s="78">
        <v>98053</v>
      </c>
      <c r="H59" s="60" t="s">
        <v>353</v>
      </c>
      <c r="I59" s="35">
        <v>2</v>
      </c>
      <c r="J59" s="35">
        <v>3</v>
      </c>
      <c r="K59" s="35">
        <v>2</v>
      </c>
      <c r="M59" s="54">
        <v>98034</v>
      </c>
      <c r="N59" s="60" t="s">
        <v>353</v>
      </c>
      <c r="O59" s="35">
        <v>102</v>
      </c>
      <c r="P59" s="35">
        <v>100</v>
      </c>
      <c r="Q59" s="35">
        <v>130</v>
      </c>
      <c r="S59" s="54">
        <v>98038</v>
      </c>
      <c r="T59" s="60" t="s">
        <v>353</v>
      </c>
      <c r="U59" s="35">
        <v>19</v>
      </c>
      <c r="V59" s="35">
        <v>28</v>
      </c>
      <c r="W59" s="35">
        <v>35</v>
      </c>
    </row>
    <row r="60" spans="1:23" x14ac:dyDescent="0.2">
      <c r="A60" s="54">
        <v>98108</v>
      </c>
      <c r="B60" s="60" t="s">
        <v>352</v>
      </c>
      <c r="C60" s="35">
        <v>2</v>
      </c>
      <c r="D60" s="35">
        <v>5</v>
      </c>
      <c r="E60" s="35">
        <v>6</v>
      </c>
      <c r="G60" s="78">
        <v>98055</v>
      </c>
      <c r="H60" s="60" t="s">
        <v>352</v>
      </c>
      <c r="I60" s="35">
        <v>1</v>
      </c>
      <c r="J60" s="35">
        <v>0</v>
      </c>
      <c r="K60" s="35">
        <v>0</v>
      </c>
      <c r="M60" s="78">
        <v>98036</v>
      </c>
      <c r="N60" s="60" t="s">
        <v>352</v>
      </c>
      <c r="O60" s="35">
        <v>0</v>
      </c>
      <c r="P60" s="35">
        <v>2</v>
      </c>
      <c r="Q60" s="32">
        <v>1</v>
      </c>
      <c r="S60" s="78">
        <v>98040</v>
      </c>
      <c r="T60" s="60" t="s">
        <v>352</v>
      </c>
      <c r="U60" s="35">
        <v>0</v>
      </c>
      <c r="V60" s="32">
        <v>0</v>
      </c>
      <c r="W60" s="35">
        <v>2</v>
      </c>
    </row>
    <row r="61" spans="1:23" x14ac:dyDescent="0.2">
      <c r="A61" s="78">
        <v>98109</v>
      </c>
      <c r="B61" s="60" t="s">
        <v>352</v>
      </c>
      <c r="C61" s="35">
        <v>1</v>
      </c>
      <c r="D61" s="35">
        <v>2</v>
      </c>
      <c r="E61" s="35">
        <v>2</v>
      </c>
      <c r="G61" s="78">
        <v>98055</v>
      </c>
      <c r="H61" s="60" t="s">
        <v>353</v>
      </c>
      <c r="I61" s="32">
        <v>17</v>
      </c>
      <c r="J61" s="32">
        <v>19</v>
      </c>
      <c r="K61" s="35">
        <v>22</v>
      </c>
      <c r="M61" s="54">
        <v>98036</v>
      </c>
      <c r="N61" s="60" t="s">
        <v>353</v>
      </c>
      <c r="O61" s="35">
        <v>25</v>
      </c>
      <c r="P61" s="35">
        <v>16</v>
      </c>
      <c r="Q61" s="35">
        <v>24</v>
      </c>
      <c r="S61" s="78">
        <v>98040</v>
      </c>
      <c r="T61" s="60" t="s">
        <v>353</v>
      </c>
      <c r="U61" s="32">
        <v>6</v>
      </c>
      <c r="V61" s="32">
        <v>3</v>
      </c>
      <c r="W61" s="35">
        <v>4</v>
      </c>
    </row>
    <row r="62" spans="1:23" x14ac:dyDescent="0.2">
      <c r="A62" s="78">
        <v>98110</v>
      </c>
      <c r="B62" s="60" t="s">
        <v>352</v>
      </c>
      <c r="C62" s="35">
        <v>1</v>
      </c>
      <c r="D62" s="35">
        <v>3</v>
      </c>
      <c r="E62" s="35">
        <v>3</v>
      </c>
      <c r="G62" s="54">
        <v>98056</v>
      </c>
      <c r="H62" s="60" t="s">
        <v>353</v>
      </c>
      <c r="I62" s="35">
        <v>16</v>
      </c>
      <c r="J62" s="35">
        <v>11</v>
      </c>
      <c r="K62" s="35">
        <v>10</v>
      </c>
      <c r="M62" s="78">
        <v>98037</v>
      </c>
      <c r="N62" s="60" t="s">
        <v>352</v>
      </c>
      <c r="O62" s="35">
        <v>2</v>
      </c>
      <c r="P62" s="32">
        <v>1</v>
      </c>
      <c r="Q62" s="32">
        <v>0</v>
      </c>
      <c r="S62" s="54">
        <v>98042</v>
      </c>
      <c r="T62" s="60" t="s">
        <v>352</v>
      </c>
      <c r="U62" s="35">
        <v>0</v>
      </c>
      <c r="V62" s="35">
        <v>0</v>
      </c>
      <c r="W62" s="35">
        <v>1</v>
      </c>
    </row>
    <row r="63" spans="1:23" x14ac:dyDescent="0.2">
      <c r="A63" s="78">
        <v>98112</v>
      </c>
      <c r="B63" s="60" t="s">
        <v>352</v>
      </c>
      <c r="C63" s="35">
        <v>1</v>
      </c>
      <c r="D63" s="32">
        <v>1</v>
      </c>
      <c r="E63" s="32">
        <v>2</v>
      </c>
      <c r="G63" s="78">
        <v>98057</v>
      </c>
      <c r="H63" s="60" t="s">
        <v>352</v>
      </c>
      <c r="I63" s="35">
        <v>0</v>
      </c>
      <c r="J63" s="35">
        <v>2</v>
      </c>
      <c r="K63" s="35">
        <v>0</v>
      </c>
      <c r="M63" s="54">
        <v>98037</v>
      </c>
      <c r="N63" s="60" t="s">
        <v>353</v>
      </c>
      <c r="O63" s="35">
        <v>15</v>
      </c>
      <c r="P63" s="35">
        <v>20</v>
      </c>
      <c r="Q63" s="35">
        <v>29</v>
      </c>
      <c r="S63" s="78">
        <v>98042</v>
      </c>
      <c r="T63" s="60" t="s">
        <v>353</v>
      </c>
      <c r="U63" s="35">
        <v>54</v>
      </c>
      <c r="V63" s="32">
        <v>53</v>
      </c>
      <c r="W63" s="32">
        <v>68</v>
      </c>
    </row>
    <row r="64" spans="1:23" x14ac:dyDescent="0.2">
      <c r="A64" s="78">
        <v>98115</v>
      </c>
      <c r="B64" s="60" t="s">
        <v>352</v>
      </c>
      <c r="C64" s="35">
        <v>3</v>
      </c>
      <c r="D64" s="35">
        <v>5</v>
      </c>
      <c r="E64" s="35">
        <v>5</v>
      </c>
      <c r="G64" s="78">
        <v>98057</v>
      </c>
      <c r="H64" s="60" t="s">
        <v>353</v>
      </c>
      <c r="I64" s="32">
        <v>8</v>
      </c>
      <c r="J64" s="32">
        <v>15</v>
      </c>
      <c r="K64" s="35">
        <v>10</v>
      </c>
      <c r="M64" s="78">
        <v>98038</v>
      </c>
      <c r="N64" s="60" t="s">
        <v>352</v>
      </c>
      <c r="O64" s="35">
        <v>3</v>
      </c>
      <c r="P64" s="35">
        <v>3</v>
      </c>
      <c r="Q64" s="35">
        <v>2</v>
      </c>
      <c r="S64" s="54">
        <v>98043</v>
      </c>
      <c r="T64" s="60" t="s">
        <v>352</v>
      </c>
      <c r="U64" s="35">
        <v>1</v>
      </c>
      <c r="V64" s="35">
        <v>1</v>
      </c>
      <c r="W64" s="35">
        <v>0</v>
      </c>
    </row>
    <row r="65" spans="1:23" x14ac:dyDescent="0.2">
      <c r="A65" s="54">
        <v>98116</v>
      </c>
      <c r="B65" s="60" t="s">
        <v>352</v>
      </c>
      <c r="C65" s="35">
        <v>0</v>
      </c>
      <c r="D65" s="35">
        <v>1</v>
      </c>
      <c r="E65" s="35">
        <v>1</v>
      </c>
      <c r="G65" s="54">
        <v>98058</v>
      </c>
      <c r="H65" s="60" t="s">
        <v>353</v>
      </c>
      <c r="I65" s="35">
        <v>14</v>
      </c>
      <c r="J65" s="35">
        <v>20</v>
      </c>
      <c r="K65" s="35">
        <v>18</v>
      </c>
      <c r="M65" s="54">
        <v>98038</v>
      </c>
      <c r="N65" s="60" t="s">
        <v>353</v>
      </c>
      <c r="O65" s="35">
        <v>84</v>
      </c>
      <c r="P65" s="35">
        <v>79</v>
      </c>
      <c r="Q65" s="35">
        <v>96</v>
      </c>
      <c r="S65" s="78">
        <v>98043</v>
      </c>
      <c r="T65" s="60" t="s">
        <v>353</v>
      </c>
      <c r="U65" s="35">
        <v>0</v>
      </c>
      <c r="V65" s="35">
        <v>1</v>
      </c>
      <c r="W65" s="32">
        <v>2</v>
      </c>
    </row>
    <row r="66" spans="1:23" x14ac:dyDescent="0.2">
      <c r="A66" s="78">
        <v>98117</v>
      </c>
      <c r="B66" s="60" t="s">
        <v>352</v>
      </c>
      <c r="C66" s="35">
        <v>1</v>
      </c>
      <c r="D66" s="35">
        <v>1</v>
      </c>
      <c r="E66" s="35">
        <v>1</v>
      </c>
      <c r="G66" s="78">
        <v>98059</v>
      </c>
      <c r="H66" s="60" t="s">
        <v>353</v>
      </c>
      <c r="I66" s="35">
        <v>8</v>
      </c>
      <c r="J66" s="35">
        <v>10</v>
      </c>
      <c r="K66" s="35">
        <v>11</v>
      </c>
      <c r="M66" s="78">
        <v>98039</v>
      </c>
      <c r="N66" s="60" t="s">
        <v>353</v>
      </c>
      <c r="O66" s="35">
        <v>2</v>
      </c>
      <c r="P66" s="32">
        <v>1</v>
      </c>
      <c r="Q66" s="32">
        <v>1</v>
      </c>
      <c r="S66" s="78">
        <v>98045</v>
      </c>
      <c r="T66" s="60" t="s">
        <v>352</v>
      </c>
      <c r="U66" s="35">
        <v>0</v>
      </c>
      <c r="V66" s="35">
        <v>1</v>
      </c>
      <c r="W66" s="35">
        <v>0</v>
      </c>
    </row>
    <row r="67" spans="1:23" x14ac:dyDescent="0.2">
      <c r="A67" s="78">
        <v>98118</v>
      </c>
      <c r="B67" s="60" t="s">
        <v>352</v>
      </c>
      <c r="C67" s="35">
        <v>5</v>
      </c>
      <c r="D67" s="35">
        <v>3</v>
      </c>
      <c r="E67" s="35">
        <v>4</v>
      </c>
      <c r="G67" s="78">
        <v>98065</v>
      </c>
      <c r="H67" s="60" t="s">
        <v>353</v>
      </c>
      <c r="I67" s="35">
        <v>1</v>
      </c>
      <c r="J67" s="32">
        <v>3</v>
      </c>
      <c r="K67" s="32">
        <v>2</v>
      </c>
      <c r="M67" s="78">
        <v>98040</v>
      </c>
      <c r="N67" s="60" t="s">
        <v>352</v>
      </c>
      <c r="O67" s="32">
        <v>0</v>
      </c>
      <c r="P67" s="35">
        <v>1</v>
      </c>
      <c r="Q67" s="32">
        <v>2</v>
      </c>
      <c r="S67" s="78">
        <v>98045</v>
      </c>
      <c r="T67" s="60" t="s">
        <v>353</v>
      </c>
      <c r="U67" s="32">
        <v>8</v>
      </c>
      <c r="V67" s="35">
        <v>12</v>
      </c>
      <c r="W67" s="35">
        <v>12</v>
      </c>
    </row>
    <row r="68" spans="1:23" x14ac:dyDescent="0.2">
      <c r="A68" s="54">
        <v>98119</v>
      </c>
      <c r="B68" s="60" t="s">
        <v>352</v>
      </c>
      <c r="C68" s="35">
        <v>1</v>
      </c>
      <c r="D68" s="35">
        <v>1</v>
      </c>
      <c r="E68" s="35">
        <v>1</v>
      </c>
      <c r="G68" s="78">
        <v>98068</v>
      </c>
      <c r="H68" s="60" t="s">
        <v>353</v>
      </c>
      <c r="I68" s="35">
        <v>0</v>
      </c>
      <c r="J68" s="32">
        <v>0</v>
      </c>
      <c r="K68" s="35">
        <v>1</v>
      </c>
      <c r="M68" s="54">
        <v>98040</v>
      </c>
      <c r="N68" s="60" t="s">
        <v>353</v>
      </c>
      <c r="O68" s="35">
        <v>14</v>
      </c>
      <c r="P68" s="35">
        <v>11</v>
      </c>
      <c r="Q68" s="35">
        <v>24</v>
      </c>
      <c r="S68" s="78">
        <v>98047</v>
      </c>
      <c r="T68" s="60" t="s">
        <v>353</v>
      </c>
      <c r="U68" s="35">
        <v>11</v>
      </c>
      <c r="V68" s="35">
        <v>15</v>
      </c>
      <c r="W68" s="35">
        <v>18</v>
      </c>
    </row>
    <row r="69" spans="1:23" x14ac:dyDescent="0.2">
      <c r="A69" s="54">
        <v>98121</v>
      </c>
      <c r="B69" s="60" t="s">
        <v>352</v>
      </c>
      <c r="C69" s="35">
        <v>0</v>
      </c>
      <c r="D69" s="35">
        <v>1</v>
      </c>
      <c r="E69" s="35">
        <v>0</v>
      </c>
      <c r="G69" s="78">
        <v>98070</v>
      </c>
      <c r="H69" s="60" t="s">
        <v>353</v>
      </c>
      <c r="I69" s="32">
        <v>2</v>
      </c>
      <c r="J69" s="35">
        <v>2</v>
      </c>
      <c r="K69" s="32">
        <v>1</v>
      </c>
      <c r="M69" s="78">
        <v>98042</v>
      </c>
      <c r="N69" s="60" t="s">
        <v>352</v>
      </c>
      <c r="O69" s="35">
        <v>0</v>
      </c>
      <c r="P69" s="35">
        <v>4</v>
      </c>
      <c r="Q69" s="35">
        <v>4</v>
      </c>
      <c r="S69" s="78">
        <v>98051</v>
      </c>
      <c r="T69" s="60" t="s">
        <v>353</v>
      </c>
      <c r="U69" s="35">
        <v>6</v>
      </c>
      <c r="V69" s="32">
        <v>2</v>
      </c>
      <c r="W69" s="32">
        <v>8</v>
      </c>
    </row>
    <row r="70" spans="1:23" x14ac:dyDescent="0.2">
      <c r="A70" s="78">
        <v>98122</v>
      </c>
      <c r="B70" s="60" t="s">
        <v>352</v>
      </c>
      <c r="C70" s="35">
        <v>0</v>
      </c>
      <c r="D70" s="35">
        <v>2</v>
      </c>
      <c r="E70" s="35">
        <v>3</v>
      </c>
      <c r="G70" s="54">
        <v>98072</v>
      </c>
      <c r="H70" s="60" t="s">
        <v>353</v>
      </c>
      <c r="I70" s="35">
        <v>3</v>
      </c>
      <c r="J70" s="32">
        <v>1</v>
      </c>
      <c r="K70" s="35">
        <v>5</v>
      </c>
      <c r="M70" s="54">
        <v>98042</v>
      </c>
      <c r="N70" s="60" t="s">
        <v>353</v>
      </c>
      <c r="O70" s="35">
        <v>182</v>
      </c>
      <c r="P70" s="35">
        <v>174</v>
      </c>
      <c r="Q70" s="35">
        <v>225</v>
      </c>
      <c r="S70" s="78">
        <v>98052</v>
      </c>
      <c r="T70" s="60" t="s">
        <v>352</v>
      </c>
      <c r="U70" s="32">
        <v>4</v>
      </c>
      <c r="V70" s="32">
        <v>1</v>
      </c>
      <c r="W70" s="35">
        <v>0</v>
      </c>
    </row>
    <row r="71" spans="1:23" x14ac:dyDescent="0.2">
      <c r="A71" s="54">
        <v>98125</v>
      </c>
      <c r="B71" s="60" t="s">
        <v>352</v>
      </c>
      <c r="C71" s="35">
        <v>2</v>
      </c>
      <c r="D71" s="35">
        <v>1</v>
      </c>
      <c r="E71" s="35">
        <v>2</v>
      </c>
      <c r="G71" s="78">
        <v>98074</v>
      </c>
      <c r="H71" s="60" t="s">
        <v>353</v>
      </c>
      <c r="I71" s="35">
        <v>3</v>
      </c>
      <c r="J71" s="35">
        <v>0</v>
      </c>
      <c r="K71" s="35">
        <v>3</v>
      </c>
      <c r="M71" s="78">
        <v>98043</v>
      </c>
      <c r="N71" s="60" t="s">
        <v>352</v>
      </c>
      <c r="O71" s="35">
        <v>1</v>
      </c>
      <c r="P71" s="35">
        <v>1</v>
      </c>
      <c r="Q71" s="35">
        <v>0</v>
      </c>
      <c r="S71" s="78">
        <v>98052</v>
      </c>
      <c r="T71" s="60" t="s">
        <v>353</v>
      </c>
      <c r="U71" s="32">
        <v>22</v>
      </c>
      <c r="V71" s="32">
        <v>20</v>
      </c>
      <c r="W71" s="35">
        <v>22</v>
      </c>
    </row>
    <row r="72" spans="1:23" x14ac:dyDescent="0.2">
      <c r="A72" s="54">
        <v>98126</v>
      </c>
      <c r="B72" s="60" t="s">
        <v>352</v>
      </c>
      <c r="C72" s="35">
        <v>1</v>
      </c>
      <c r="D72" s="35">
        <v>2</v>
      </c>
      <c r="E72" s="35">
        <v>0</v>
      </c>
      <c r="G72" s="78">
        <v>98075</v>
      </c>
      <c r="H72" s="60" t="s">
        <v>353</v>
      </c>
      <c r="I72" s="32">
        <v>3</v>
      </c>
      <c r="J72" s="35">
        <v>1</v>
      </c>
      <c r="K72" s="32">
        <v>0</v>
      </c>
      <c r="M72" s="78">
        <v>98043</v>
      </c>
      <c r="N72" s="60" t="s">
        <v>353</v>
      </c>
      <c r="O72" s="35">
        <v>9</v>
      </c>
      <c r="P72" s="35">
        <v>11</v>
      </c>
      <c r="Q72" s="35">
        <v>19</v>
      </c>
      <c r="S72" s="78">
        <v>98053</v>
      </c>
      <c r="T72" s="60" t="s">
        <v>353</v>
      </c>
      <c r="U72" s="32">
        <v>6</v>
      </c>
      <c r="V72" s="32">
        <v>6</v>
      </c>
      <c r="W72" s="35">
        <v>12</v>
      </c>
    </row>
    <row r="73" spans="1:23" x14ac:dyDescent="0.2">
      <c r="A73" s="54">
        <v>98133</v>
      </c>
      <c r="B73" s="60" t="s">
        <v>352</v>
      </c>
      <c r="C73" s="35">
        <v>0</v>
      </c>
      <c r="D73" s="35">
        <v>1</v>
      </c>
      <c r="E73" s="35">
        <v>1</v>
      </c>
      <c r="G73" s="78">
        <v>98077</v>
      </c>
      <c r="H73" s="60" t="s">
        <v>353</v>
      </c>
      <c r="I73" s="35">
        <v>2</v>
      </c>
      <c r="J73" s="35">
        <v>2</v>
      </c>
      <c r="K73" s="35">
        <v>2</v>
      </c>
      <c r="M73" s="78">
        <v>98045</v>
      </c>
      <c r="N73" s="60" t="s">
        <v>352</v>
      </c>
      <c r="O73" s="35">
        <v>1</v>
      </c>
      <c r="P73" s="35">
        <v>1</v>
      </c>
      <c r="Q73" s="35">
        <v>1</v>
      </c>
      <c r="S73" s="78">
        <v>98055</v>
      </c>
      <c r="T73" s="60" t="s">
        <v>353</v>
      </c>
      <c r="U73" s="32">
        <v>26</v>
      </c>
      <c r="V73" s="35">
        <v>41</v>
      </c>
      <c r="W73" s="35">
        <v>50</v>
      </c>
    </row>
    <row r="74" spans="1:23" x14ac:dyDescent="0.2">
      <c r="A74" s="54">
        <v>98134</v>
      </c>
      <c r="B74" s="60" t="s">
        <v>352</v>
      </c>
      <c r="C74" s="35">
        <v>1</v>
      </c>
      <c r="D74" s="35">
        <v>1</v>
      </c>
      <c r="E74" s="35">
        <v>2</v>
      </c>
      <c r="G74" s="78">
        <v>98087</v>
      </c>
      <c r="H74" s="60" t="s">
        <v>353</v>
      </c>
      <c r="I74" s="35">
        <v>1</v>
      </c>
      <c r="J74" s="35">
        <v>3</v>
      </c>
      <c r="K74" s="35">
        <v>1</v>
      </c>
      <c r="M74" s="54">
        <v>98045</v>
      </c>
      <c r="N74" s="60" t="s">
        <v>353</v>
      </c>
      <c r="O74" s="35">
        <v>27</v>
      </c>
      <c r="P74" s="35">
        <v>25</v>
      </c>
      <c r="Q74" s="35">
        <v>31</v>
      </c>
      <c r="S74" s="78">
        <v>98056</v>
      </c>
      <c r="T74" s="60" t="s">
        <v>353</v>
      </c>
      <c r="U74" s="32">
        <v>26</v>
      </c>
      <c r="V74" s="32">
        <v>40</v>
      </c>
      <c r="W74" s="35">
        <v>55</v>
      </c>
    </row>
    <row r="75" spans="1:23" x14ac:dyDescent="0.2">
      <c r="A75" s="78">
        <v>98144</v>
      </c>
      <c r="B75" s="60" t="s">
        <v>352</v>
      </c>
      <c r="C75" s="35">
        <v>1</v>
      </c>
      <c r="D75" s="35">
        <v>1</v>
      </c>
      <c r="E75" s="35">
        <v>3</v>
      </c>
      <c r="G75" s="78">
        <v>98092</v>
      </c>
      <c r="H75" s="60" t="s">
        <v>353</v>
      </c>
      <c r="I75" s="35">
        <v>23</v>
      </c>
      <c r="J75" s="35">
        <v>23</v>
      </c>
      <c r="K75" s="35">
        <v>26</v>
      </c>
      <c r="M75" s="78">
        <v>98047</v>
      </c>
      <c r="N75" s="60" t="s">
        <v>353</v>
      </c>
      <c r="O75" s="35">
        <v>39</v>
      </c>
      <c r="P75" s="32">
        <v>43</v>
      </c>
      <c r="Q75" s="35">
        <v>50</v>
      </c>
      <c r="S75" s="78">
        <v>98057</v>
      </c>
      <c r="T75" s="60" t="s">
        <v>352</v>
      </c>
      <c r="U75" s="32">
        <v>4</v>
      </c>
      <c r="V75" s="32">
        <v>2</v>
      </c>
      <c r="W75" s="35">
        <v>3</v>
      </c>
    </row>
    <row r="76" spans="1:23" x14ac:dyDescent="0.2">
      <c r="A76" s="78">
        <v>98146</v>
      </c>
      <c r="B76" s="60" t="s">
        <v>352</v>
      </c>
      <c r="C76" s="35">
        <v>0</v>
      </c>
      <c r="D76" s="35">
        <v>1</v>
      </c>
      <c r="E76" s="35">
        <v>1</v>
      </c>
      <c r="G76" s="78">
        <v>98102</v>
      </c>
      <c r="H76" s="60" t="s">
        <v>353</v>
      </c>
      <c r="I76" s="32">
        <v>0</v>
      </c>
      <c r="J76" s="35">
        <v>1</v>
      </c>
      <c r="K76" s="32">
        <v>0</v>
      </c>
      <c r="M76" s="78">
        <v>98050</v>
      </c>
      <c r="N76" s="60" t="s">
        <v>353</v>
      </c>
      <c r="O76" s="32">
        <v>0</v>
      </c>
      <c r="P76" s="35">
        <v>1</v>
      </c>
      <c r="Q76" s="32">
        <v>0</v>
      </c>
      <c r="S76" s="78">
        <v>98057</v>
      </c>
      <c r="T76" s="60" t="s">
        <v>353</v>
      </c>
      <c r="U76" s="32">
        <v>12</v>
      </c>
      <c r="V76" s="35">
        <v>6</v>
      </c>
      <c r="W76" s="32">
        <v>20</v>
      </c>
    </row>
    <row r="77" spans="1:23" x14ac:dyDescent="0.2">
      <c r="A77" s="54">
        <v>98155</v>
      </c>
      <c r="B77" s="60" t="s">
        <v>352</v>
      </c>
      <c r="C77" s="35">
        <v>0</v>
      </c>
      <c r="D77" s="35">
        <v>1</v>
      </c>
      <c r="E77" s="32">
        <v>0</v>
      </c>
      <c r="G77" s="78">
        <v>98103</v>
      </c>
      <c r="H77" s="60" t="s">
        <v>352</v>
      </c>
      <c r="I77" s="32">
        <v>0</v>
      </c>
      <c r="J77" s="35">
        <v>1</v>
      </c>
      <c r="K77" s="35">
        <v>2</v>
      </c>
      <c r="M77" s="54">
        <v>98051</v>
      </c>
      <c r="N77" s="60" t="s">
        <v>353</v>
      </c>
      <c r="O77" s="35">
        <v>15</v>
      </c>
      <c r="P77" s="35">
        <v>10</v>
      </c>
      <c r="Q77" s="35">
        <v>18</v>
      </c>
      <c r="S77" s="78">
        <v>98058</v>
      </c>
      <c r="T77" s="60" t="s">
        <v>353</v>
      </c>
      <c r="U77" s="32">
        <v>40</v>
      </c>
      <c r="V77" s="35">
        <v>44</v>
      </c>
      <c r="W77" s="32">
        <v>54</v>
      </c>
    </row>
    <row r="78" spans="1:23" x14ac:dyDescent="0.2">
      <c r="A78" s="54">
        <v>98166</v>
      </c>
      <c r="B78" s="60" t="s">
        <v>352</v>
      </c>
      <c r="C78" s="35">
        <v>2</v>
      </c>
      <c r="D78" s="35">
        <v>5</v>
      </c>
      <c r="E78" s="35">
        <v>3</v>
      </c>
      <c r="G78" s="78">
        <v>98103</v>
      </c>
      <c r="H78" s="60" t="s">
        <v>353</v>
      </c>
      <c r="I78" s="32">
        <v>1</v>
      </c>
      <c r="J78" s="35">
        <v>1</v>
      </c>
      <c r="K78" s="32">
        <v>2</v>
      </c>
      <c r="M78" s="78">
        <v>98052</v>
      </c>
      <c r="N78" s="60" t="s">
        <v>352</v>
      </c>
      <c r="O78" s="35">
        <v>10</v>
      </c>
      <c r="P78" s="35">
        <v>7</v>
      </c>
      <c r="Q78" s="35">
        <v>6</v>
      </c>
      <c r="S78" s="54">
        <v>98059</v>
      </c>
      <c r="T78" s="60" t="s">
        <v>353</v>
      </c>
      <c r="U78" s="32">
        <v>22</v>
      </c>
      <c r="V78" s="35">
        <v>24</v>
      </c>
      <c r="W78" s="35">
        <v>33</v>
      </c>
    </row>
    <row r="79" spans="1:23" x14ac:dyDescent="0.2">
      <c r="A79" s="78">
        <v>98168</v>
      </c>
      <c r="B79" s="60" t="s">
        <v>352</v>
      </c>
      <c r="C79" s="35">
        <v>3</v>
      </c>
      <c r="D79" s="35">
        <v>2</v>
      </c>
      <c r="E79" s="35">
        <v>2</v>
      </c>
      <c r="G79" s="78">
        <v>98105</v>
      </c>
      <c r="H79" s="60" t="s">
        <v>353</v>
      </c>
      <c r="I79" s="32">
        <v>2</v>
      </c>
      <c r="J79" s="35">
        <v>0</v>
      </c>
      <c r="K79" s="32">
        <v>2</v>
      </c>
      <c r="M79" s="54">
        <v>98052</v>
      </c>
      <c r="N79" s="60" t="s">
        <v>353</v>
      </c>
      <c r="O79" s="35">
        <v>88</v>
      </c>
      <c r="P79" s="35">
        <v>81</v>
      </c>
      <c r="Q79" s="35">
        <v>115</v>
      </c>
      <c r="S79" s="78">
        <v>98065</v>
      </c>
      <c r="T79" s="60" t="s">
        <v>352</v>
      </c>
      <c r="U79" s="32">
        <v>1</v>
      </c>
      <c r="V79" s="35">
        <v>0</v>
      </c>
      <c r="W79" s="32">
        <v>0</v>
      </c>
    </row>
    <row r="80" spans="1:23" x14ac:dyDescent="0.2">
      <c r="A80" s="54">
        <v>98178</v>
      </c>
      <c r="B80" s="60" t="s">
        <v>352</v>
      </c>
      <c r="C80" s="35">
        <v>1</v>
      </c>
      <c r="D80" s="35">
        <v>0</v>
      </c>
      <c r="E80" s="35">
        <v>1</v>
      </c>
      <c r="G80" s="54">
        <v>98106</v>
      </c>
      <c r="H80" s="60" t="s">
        <v>353</v>
      </c>
      <c r="I80" s="32">
        <v>1</v>
      </c>
      <c r="J80" s="35">
        <v>2</v>
      </c>
      <c r="K80" s="35">
        <v>0</v>
      </c>
      <c r="M80" s="78">
        <v>98053</v>
      </c>
      <c r="N80" s="60" t="s">
        <v>352</v>
      </c>
      <c r="O80" s="35">
        <v>0</v>
      </c>
      <c r="P80" s="32">
        <v>0</v>
      </c>
      <c r="Q80" s="32">
        <v>1</v>
      </c>
      <c r="S80" s="78">
        <v>98065</v>
      </c>
      <c r="T80" s="60" t="s">
        <v>353</v>
      </c>
      <c r="U80" s="35">
        <v>5</v>
      </c>
      <c r="V80" s="35">
        <v>13</v>
      </c>
      <c r="W80" s="32">
        <v>4</v>
      </c>
    </row>
    <row r="81" spans="1:23" x14ac:dyDescent="0.2">
      <c r="A81" s="54">
        <v>98188</v>
      </c>
      <c r="B81" s="60" t="s">
        <v>352</v>
      </c>
      <c r="C81" s="35">
        <v>8</v>
      </c>
      <c r="D81" s="35">
        <v>6</v>
      </c>
      <c r="E81" s="35">
        <v>5</v>
      </c>
      <c r="G81" s="78">
        <v>98107</v>
      </c>
      <c r="H81" s="60" t="s">
        <v>353</v>
      </c>
      <c r="I81" s="35">
        <v>1</v>
      </c>
      <c r="J81" s="32">
        <v>0</v>
      </c>
      <c r="K81" s="35">
        <v>0</v>
      </c>
      <c r="M81" s="54">
        <v>98053</v>
      </c>
      <c r="N81" s="60" t="s">
        <v>353</v>
      </c>
      <c r="O81" s="35">
        <v>18</v>
      </c>
      <c r="P81" s="35">
        <v>14</v>
      </c>
      <c r="Q81" s="35">
        <v>28</v>
      </c>
      <c r="S81" s="78">
        <v>98068</v>
      </c>
      <c r="T81" s="60" t="s">
        <v>353</v>
      </c>
      <c r="U81" s="35">
        <v>0</v>
      </c>
      <c r="V81" s="32">
        <v>0</v>
      </c>
      <c r="W81" s="32">
        <v>1</v>
      </c>
    </row>
    <row r="82" spans="1:23" x14ac:dyDescent="0.2">
      <c r="A82" s="78">
        <v>98198</v>
      </c>
      <c r="B82" s="60" t="s">
        <v>352</v>
      </c>
      <c r="C82" s="32">
        <v>8</v>
      </c>
      <c r="D82" s="35">
        <v>6</v>
      </c>
      <c r="E82" s="35">
        <v>9</v>
      </c>
      <c r="G82" s="78">
        <v>98108</v>
      </c>
      <c r="H82" s="60" t="s">
        <v>353</v>
      </c>
      <c r="I82" s="32">
        <v>0</v>
      </c>
      <c r="J82" s="35">
        <v>2</v>
      </c>
      <c r="K82" s="32">
        <v>2</v>
      </c>
      <c r="M82" s="78">
        <v>98055</v>
      </c>
      <c r="N82" s="60" t="s">
        <v>352</v>
      </c>
      <c r="O82" s="35">
        <v>0</v>
      </c>
      <c r="P82" s="35">
        <v>1</v>
      </c>
      <c r="Q82" s="35">
        <v>1</v>
      </c>
      <c r="S82" s="78">
        <v>98070</v>
      </c>
      <c r="T82" s="60" t="s">
        <v>352</v>
      </c>
      <c r="U82" s="35">
        <v>3</v>
      </c>
      <c r="V82" s="32">
        <v>1</v>
      </c>
      <c r="W82" s="35">
        <v>0</v>
      </c>
    </row>
    <row r="83" spans="1:23" x14ac:dyDescent="0.2">
      <c r="A83" s="78">
        <v>98199</v>
      </c>
      <c r="B83" s="60" t="s">
        <v>352</v>
      </c>
      <c r="C83" s="35">
        <v>0</v>
      </c>
      <c r="D83" s="35">
        <v>0</v>
      </c>
      <c r="E83" s="35">
        <v>1</v>
      </c>
      <c r="G83" s="78">
        <v>98109</v>
      </c>
      <c r="H83" s="60" t="s">
        <v>353</v>
      </c>
      <c r="I83" s="35">
        <v>0</v>
      </c>
      <c r="J83" s="32">
        <v>1</v>
      </c>
      <c r="K83" s="35">
        <v>1</v>
      </c>
      <c r="M83" s="78">
        <v>98055</v>
      </c>
      <c r="N83" s="60" t="s">
        <v>353</v>
      </c>
      <c r="O83" s="32">
        <v>116</v>
      </c>
      <c r="P83" s="35">
        <v>134</v>
      </c>
      <c r="Q83" s="35">
        <v>174</v>
      </c>
      <c r="S83" s="78">
        <v>98070</v>
      </c>
      <c r="T83" s="60" t="s">
        <v>353</v>
      </c>
      <c r="U83" s="32">
        <v>4</v>
      </c>
      <c r="V83" s="35">
        <v>6</v>
      </c>
      <c r="W83" s="35">
        <v>9</v>
      </c>
    </row>
    <row r="84" spans="1:23" x14ac:dyDescent="0.2">
      <c r="A84" s="78">
        <v>98201</v>
      </c>
      <c r="B84" s="60" t="s">
        <v>352</v>
      </c>
      <c r="C84" s="35">
        <v>5</v>
      </c>
      <c r="D84" s="35">
        <v>5</v>
      </c>
      <c r="E84" s="35">
        <v>6</v>
      </c>
      <c r="G84" s="78">
        <v>98110</v>
      </c>
      <c r="H84" s="60" t="s">
        <v>353</v>
      </c>
      <c r="I84" s="32">
        <v>2</v>
      </c>
      <c r="J84" s="32">
        <v>2</v>
      </c>
      <c r="K84" s="35">
        <v>5</v>
      </c>
      <c r="M84" s="54">
        <v>98056</v>
      </c>
      <c r="N84" s="60" t="s">
        <v>352</v>
      </c>
      <c r="O84" s="35">
        <v>1</v>
      </c>
      <c r="P84" s="35">
        <v>1</v>
      </c>
      <c r="Q84" s="35">
        <v>0</v>
      </c>
      <c r="S84" s="78">
        <v>98072</v>
      </c>
      <c r="T84" s="60" t="s">
        <v>352</v>
      </c>
      <c r="U84" s="32">
        <v>0</v>
      </c>
      <c r="V84" s="35">
        <v>2</v>
      </c>
      <c r="W84" s="32">
        <v>2</v>
      </c>
    </row>
    <row r="85" spans="1:23" x14ac:dyDescent="0.2">
      <c r="A85" s="54">
        <v>98203</v>
      </c>
      <c r="B85" s="60" t="s">
        <v>352</v>
      </c>
      <c r="C85" s="35">
        <v>2</v>
      </c>
      <c r="D85" s="35">
        <v>3</v>
      </c>
      <c r="E85" s="35">
        <v>3</v>
      </c>
      <c r="G85" s="78">
        <v>98112</v>
      </c>
      <c r="H85" s="60" t="s">
        <v>353</v>
      </c>
      <c r="I85" s="35">
        <v>0</v>
      </c>
      <c r="J85" s="35">
        <v>1</v>
      </c>
      <c r="K85" s="32">
        <v>1</v>
      </c>
      <c r="M85" s="78">
        <v>98056</v>
      </c>
      <c r="N85" s="60" t="s">
        <v>353</v>
      </c>
      <c r="O85" s="35">
        <v>132</v>
      </c>
      <c r="P85" s="35">
        <v>124</v>
      </c>
      <c r="Q85" s="35">
        <v>160</v>
      </c>
      <c r="S85" s="78">
        <v>98072</v>
      </c>
      <c r="T85" s="60" t="s">
        <v>353</v>
      </c>
      <c r="U85" s="35">
        <v>11</v>
      </c>
      <c r="V85" s="35">
        <v>6</v>
      </c>
      <c r="W85" s="32">
        <v>13</v>
      </c>
    </row>
    <row r="86" spans="1:23" x14ac:dyDescent="0.2">
      <c r="A86" s="78">
        <v>98204</v>
      </c>
      <c r="B86" s="60" t="s">
        <v>352</v>
      </c>
      <c r="C86" s="35">
        <v>0</v>
      </c>
      <c r="D86" s="35">
        <v>1</v>
      </c>
      <c r="E86" s="35">
        <v>3</v>
      </c>
      <c r="G86" s="78">
        <v>98115</v>
      </c>
      <c r="H86" s="60" t="s">
        <v>352</v>
      </c>
      <c r="I86" s="35">
        <v>1</v>
      </c>
      <c r="J86" s="35">
        <v>1</v>
      </c>
      <c r="K86" s="35">
        <v>0</v>
      </c>
      <c r="M86" s="54">
        <v>98057</v>
      </c>
      <c r="N86" s="60" t="s">
        <v>352</v>
      </c>
      <c r="O86" s="35">
        <v>8</v>
      </c>
      <c r="P86" s="35">
        <v>8</v>
      </c>
      <c r="Q86" s="35">
        <v>9</v>
      </c>
      <c r="S86" s="78">
        <v>98074</v>
      </c>
      <c r="T86" s="60" t="s">
        <v>353</v>
      </c>
      <c r="U86" s="32">
        <v>3</v>
      </c>
      <c r="V86" s="35">
        <v>3</v>
      </c>
      <c r="W86" s="32">
        <v>8</v>
      </c>
    </row>
    <row r="87" spans="1:23" x14ac:dyDescent="0.2">
      <c r="A87" s="54">
        <v>98220</v>
      </c>
      <c r="B87" s="60" t="s">
        <v>352</v>
      </c>
      <c r="C87" s="35">
        <v>1</v>
      </c>
      <c r="D87" s="35">
        <v>2</v>
      </c>
      <c r="E87" s="35">
        <v>1</v>
      </c>
      <c r="G87" s="78">
        <v>98115</v>
      </c>
      <c r="H87" s="60" t="s">
        <v>353</v>
      </c>
      <c r="I87" s="32">
        <v>2</v>
      </c>
      <c r="J87" s="35">
        <v>1</v>
      </c>
      <c r="K87" s="35">
        <v>2</v>
      </c>
      <c r="M87" s="78">
        <v>98057</v>
      </c>
      <c r="N87" s="60" t="s">
        <v>353</v>
      </c>
      <c r="O87" s="32">
        <v>73</v>
      </c>
      <c r="P87" s="35">
        <v>55</v>
      </c>
      <c r="Q87" s="32">
        <v>71</v>
      </c>
      <c r="S87" s="78">
        <v>98075</v>
      </c>
      <c r="T87" s="60" t="s">
        <v>353</v>
      </c>
      <c r="U87" s="32">
        <v>1</v>
      </c>
      <c r="V87" s="35">
        <v>4</v>
      </c>
      <c r="W87" s="35">
        <v>3</v>
      </c>
    </row>
    <row r="88" spans="1:23" x14ac:dyDescent="0.2">
      <c r="A88" s="54">
        <v>98221</v>
      </c>
      <c r="B88" s="60" t="s">
        <v>352</v>
      </c>
      <c r="C88" s="35">
        <v>8</v>
      </c>
      <c r="D88" s="35">
        <v>8</v>
      </c>
      <c r="E88" s="35">
        <v>10</v>
      </c>
      <c r="G88" s="78">
        <v>98116</v>
      </c>
      <c r="H88" s="60" t="s">
        <v>353</v>
      </c>
      <c r="I88" s="35">
        <v>1</v>
      </c>
      <c r="J88" s="35">
        <v>2</v>
      </c>
      <c r="K88" s="35">
        <v>0</v>
      </c>
      <c r="M88" s="54">
        <v>98058</v>
      </c>
      <c r="N88" s="60" t="s">
        <v>352</v>
      </c>
      <c r="O88" s="35">
        <v>0</v>
      </c>
      <c r="P88" s="35">
        <v>3</v>
      </c>
      <c r="Q88" s="35">
        <v>0</v>
      </c>
      <c r="S88" s="78">
        <v>98077</v>
      </c>
      <c r="T88" s="60" t="s">
        <v>353</v>
      </c>
      <c r="U88" s="35">
        <v>6</v>
      </c>
      <c r="V88" s="35">
        <v>5</v>
      </c>
      <c r="W88" s="35">
        <v>3</v>
      </c>
    </row>
    <row r="89" spans="1:23" x14ac:dyDescent="0.2">
      <c r="A89" s="78">
        <v>98225</v>
      </c>
      <c r="B89" s="60" t="s">
        <v>352</v>
      </c>
      <c r="C89" s="32">
        <v>15</v>
      </c>
      <c r="D89" s="35">
        <v>14</v>
      </c>
      <c r="E89" s="35">
        <v>14</v>
      </c>
      <c r="G89" s="78">
        <v>98117</v>
      </c>
      <c r="H89" s="60" t="s">
        <v>353</v>
      </c>
      <c r="I89" s="35">
        <v>2</v>
      </c>
      <c r="J89" s="35">
        <v>0</v>
      </c>
      <c r="K89" s="35">
        <v>1</v>
      </c>
      <c r="M89" s="78">
        <v>98058</v>
      </c>
      <c r="N89" s="60" t="s">
        <v>353</v>
      </c>
      <c r="O89" s="35">
        <v>167</v>
      </c>
      <c r="P89" s="35">
        <v>142</v>
      </c>
      <c r="Q89" s="35">
        <v>192</v>
      </c>
      <c r="S89" s="78">
        <v>98087</v>
      </c>
      <c r="T89" s="60" t="s">
        <v>352</v>
      </c>
      <c r="U89" s="32">
        <v>1</v>
      </c>
      <c r="V89" s="32">
        <v>0</v>
      </c>
      <c r="W89" s="35">
        <v>1</v>
      </c>
    </row>
    <row r="90" spans="1:23" x14ac:dyDescent="0.2">
      <c r="A90" s="78">
        <v>98226</v>
      </c>
      <c r="B90" s="60" t="s">
        <v>352</v>
      </c>
      <c r="C90" s="35">
        <v>20</v>
      </c>
      <c r="D90" s="35">
        <v>16</v>
      </c>
      <c r="E90" s="35">
        <v>22</v>
      </c>
      <c r="G90" s="78">
        <v>98118</v>
      </c>
      <c r="H90" s="60" t="s">
        <v>352</v>
      </c>
      <c r="I90" s="35">
        <v>0</v>
      </c>
      <c r="J90" s="35">
        <v>1</v>
      </c>
      <c r="K90" s="35">
        <v>0</v>
      </c>
      <c r="M90" s="54">
        <v>98059</v>
      </c>
      <c r="N90" s="60" t="s">
        <v>352</v>
      </c>
      <c r="O90" s="35">
        <v>1</v>
      </c>
      <c r="P90" s="35">
        <v>1</v>
      </c>
      <c r="Q90" s="35">
        <v>1</v>
      </c>
      <c r="S90" s="78">
        <v>98087</v>
      </c>
      <c r="T90" s="60" t="s">
        <v>353</v>
      </c>
      <c r="U90" s="35">
        <v>9</v>
      </c>
      <c r="V90" s="32">
        <v>6</v>
      </c>
      <c r="W90" s="35">
        <v>11</v>
      </c>
    </row>
    <row r="91" spans="1:23" x14ac:dyDescent="0.2">
      <c r="A91" s="78">
        <v>98229</v>
      </c>
      <c r="B91" s="60" t="s">
        <v>352</v>
      </c>
      <c r="C91" s="35">
        <v>2</v>
      </c>
      <c r="D91" s="35">
        <v>2</v>
      </c>
      <c r="E91" s="32">
        <v>2</v>
      </c>
      <c r="G91" s="78">
        <v>98118</v>
      </c>
      <c r="H91" s="60" t="s">
        <v>353</v>
      </c>
      <c r="I91" s="32">
        <v>1</v>
      </c>
      <c r="J91" s="35">
        <v>4</v>
      </c>
      <c r="K91" s="35">
        <v>4</v>
      </c>
      <c r="M91" s="78">
        <v>98059</v>
      </c>
      <c r="N91" s="60" t="s">
        <v>353</v>
      </c>
      <c r="O91" s="32">
        <v>104</v>
      </c>
      <c r="P91" s="35">
        <v>82</v>
      </c>
      <c r="Q91" s="35">
        <v>121</v>
      </c>
      <c r="S91" s="78">
        <v>98092</v>
      </c>
      <c r="T91" s="60" t="s">
        <v>352</v>
      </c>
      <c r="U91" s="35">
        <v>0</v>
      </c>
      <c r="V91" s="35">
        <v>0</v>
      </c>
      <c r="W91" s="35">
        <v>2</v>
      </c>
    </row>
    <row r="92" spans="1:23" x14ac:dyDescent="0.2">
      <c r="A92" s="78">
        <v>98230</v>
      </c>
      <c r="B92" s="60" t="s">
        <v>352</v>
      </c>
      <c r="C92" s="35">
        <v>3</v>
      </c>
      <c r="D92" s="35">
        <v>3</v>
      </c>
      <c r="E92" s="35">
        <v>4</v>
      </c>
      <c r="G92" s="78">
        <v>98121</v>
      </c>
      <c r="H92" s="60" t="s">
        <v>353</v>
      </c>
      <c r="I92" s="35">
        <v>1</v>
      </c>
      <c r="J92" s="32">
        <v>0</v>
      </c>
      <c r="K92" s="32">
        <v>0</v>
      </c>
      <c r="M92" s="54">
        <v>98065</v>
      </c>
      <c r="N92" s="60" t="s">
        <v>352</v>
      </c>
      <c r="O92" s="35">
        <v>3</v>
      </c>
      <c r="P92" s="35">
        <v>1</v>
      </c>
      <c r="Q92" s="35">
        <v>0</v>
      </c>
      <c r="S92" s="78">
        <v>98092</v>
      </c>
      <c r="T92" s="60" t="s">
        <v>353</v>
      </c>
      <c r="U92" s="35">
        <v>44</v>
      </c>
      <c r="V92" s="35">
        <v>57</v>
      </c>
      <c r="W92" s="35">
        <v>56</v>
      </c>
    </row>
    <row r="93" spans="1:23" x14ac:dyDescent="0.2">
      <c r="A93" s="54">
        <v>98232</v>
      </c>
      <c r="B93" s="60" t="s">
        <v>352</v>
      </c>
      <c r="C93" s="35">
        <v>2</v>
      </c>
      <c r="D93" s="35">
        <v>3</v>
      </c>
      <c r="E93" s="35">
        <v>2</v>
      </c>
      <c r="G93" s="78">
        <v>98122</v>
      </c>
      <c r="H93" s="60" t="s">
        <v>353</v>
      </c>
      <c r="I93" s="35">
        <v>1</v>
      </c>
      <c r="J93" s="32">
        <v>0</v>
      </c>
      <c r="K93" s="32">
        <v>4</v>
      </c>
      <c r="M93" s="78">
        <v>98065</v>
      </c>
      <c r="N93" s="60" t="s">
        <v>353</v>
      </c>
      <c r="O93" s="35">
        <v>20</v>
      </c>
      <c r="P93" s="35">
        <v>24</v>
      </c>
      <c r="Q93" s="35">
        <v>18</v>
      </c>
      <c r="S93" s="78">
        <v>98101</v>
      </c>
      <c r="T93" s="60" t="s">
        <v>352</v>
      </c>
      <c r="U93" s="35">
        <v>0</v>
      </c>
      <c r="V93" s="32">
        <v>0</v>
      </c>
      <c r="W93" s="32">
        <v>1</v>
      </c>
    </row>
    <row r="94" spans="1:23" x14ac:dyDescent="0.2">
      <c r="A94" s="78">
        <v>98233</v>
      </c>
      <c r="B94" s="60" t="s">
        <v>352</v>
      </c>
      <c r="C94" s="35">
        <v>2</v>
      </c>
      <c r="D94" s="35">
        <v>3</v>
      </c>
      <c r="E94" s="35">
        <v>3</v>
      </c>
      <c r="G94" s="54">
        <v>98125</v>
      </c>
      <c r="H94" s="60" t="s">
        <v>353</v>
      </c>
      <c r="I94" s="35">
        <v>0</v>
      </c>
      <c r="J94" s="35">
        <v>3</v>
      </c>
      <c r="K94" s="35">
        <v>2</v>
      </c>
      <c r="M94" s="78">
        <v>98068</v>
      </c>
      <c r="N94" s="60" t="s">
        <v>353</v>
      </c>
      <c r="O94" s="32">
        <v>1</v>
      </c>
      <c r="P94" s="35">
        <v>2</v>
      </c>
      <c r="Q94" s="35">
        <v>2</v>
      </c>
      <c r="S94" s="78">
        <v>98101</v>
      </c>
      <c r="T94" s="60" t="s">
        <v>353</v>
      </c>
      <c r="U94" s="35">
        <v>0</v>
      </c>
      <c r="V94" s="32">
        <v>0</v>
      </c>
      <c r="W94" s="35">
        <v>1</v>
      </c>
    </row>
    <row r="95" spans="1:23" x14ac:dyDescent="0.2">
      <c r="A95" s="78">
        <v>98236</v>
      </c>
      <c r="B95" s="60" t="s">
        <v>352</v>
      </c>
      <c r="C95" s="35">
        <v>1</v>
      </c>
      <c r="D95" s="35">
        <v>1</v>
      </c>
      <c r="E95" s="35">
        <v>1</v>
      </c>
      <c r="G95" s="78">
        <v>98126</v>
      </c>
      <c r="H95" s="60" t="s">
        <v>353</v>
      </c>
      <c r="I95" s="32">
        <v>1</v>
      </c>
      <c r="J95" s="35">
        <v>0</v>
      </c>
      <c r="K95" s="32">
        <v>0</v>
      </c>
      <c r="M95" s="54">
        <v>98070</v>
      </c>
      <c r="N95" s="60" t="s">
        <v>352</v>
      </c>
      <c r="O95" s="35">
        <v>3</v>
      </c>
      <c r="P95" s="35">
        <v>7</v>
      </c>
      <c r="Q95" s="35">
        <v>2</v>
      </c>
      <c r="S95" s="78">
        <v>98102</v>
      </c>
      <c r="T95" s="60" t="s">
        <v>353</v>
      </c>
      <c r="U95" s="35">
        <v>0</v>
      </c>
      <c r="V95" s="35">
        <v>0</v>
      </c>
      <c r="W95" s="35">
        <v>1</v>
      </c>
    </row>
    <row r="96" spans="1:23" x14ac:dyDescent="0.2">
      <c r="A96" s="78">
        <v>98237</v>
      </c>
      <c r="B96" s="60" t="s">
        <v>352</v>
      </c>
      <c r="C96" s="35">
        <v>0</v>
      </c>
      <c r="D96" s="35">
        <v>2</v>
      </c>
      <c r="E96" s="35">
        <v>0</v>
      </c>
      <c r="G96" s="78">
        <v>98133</v>
      </c>
      <c r="H96" s="60" t="s">
        <v>353</v>
      </c>
      <c r="I96" s="35">
        <v>0</v>
      </c>
      <c r="J96" s="32">
        <v>3</v>
      </c>
      <c r="K96" s="35">
        <v>3</v>
      </c>
      <c r="M96" s="78">
        <v>98070</v>
      </c>
      <c r="N96" s="60" t="s">
        <v>353</v>
      </c>
      <c r="O96" s="35">
        <v>22</v>
      </c>
      <c r="P96" s="35">
        <v>18</v>
      </c>
      <c r="Q96" s="32">
        <v>24</v>
      </c>
      <c r="S96" s="78">
        <v>98103</v>
      </c>
      <c r="T96" s="60" t="s">
        <v>352</v>
      </c>
      <c r="U96" s="32">
        <v>1</v>
      </c>
      <c r="V96" s="32">
        <v>0</v>
      </c>
      <c r="W96" s="35">
        <v>1</v>
      </c>
    </row>
    <row r="97" spans="1:23" x14ac:dyDescent="0.2">
      <c r="A97" s="78">
        <v>98239</v>
      </c>
      <c r="B97" s="60" t="s">
        <v>352</v>
      </c>
      <c r="C97" s="35">
        <v>0</v>
      </c>
      <c r="D97" s="35">
        <v>0</v>
      </c>
      <c r="E97" s="35">
        <v>3</v>
      </c>
      <c r="G97" s="78">
        <v>98134</v>
      </c>
      <c r="H97" s="60" t="s">
        <v>352</v>
      </c>
      <c r="I97" s="35">
        <v>0</v>
      </c>
      <c r="J97" s="32">
        <v>0</v>
      </c>
      <c r="K97" s="32">
        <v>3</v>
      </c>
      <c r="M97" s="54">
        <v>98072</v>
      </c>
      <c r="N97" s="60" t="s">
        <v>352</v>
      </c>
      <c r="O97" s="35">
        <v>2</v>
      </c>
      <c r="P97" s="35">
        <v>10</v>
      </c>
      <c r="Q97" s="35">
        <v>3</v>
      </c>
      <c r="S97" s="54">
        <v>98103</v>
      </c>
      <c r="T97" s="60" t="s">
        <v>353</v>
      </c>
      <c r="U97" s="32">
        <v>2</v>
      </c>
      <c r="V97" s="35">
        <v>1</v>
      </c>
      <c r="W97" s="35">
        <v>4</v>
      </c>
    </row>
    <row r="98" spans="1:23" x14ac:dyDescent="0.2">
      <c r="A98" s="54">
        <v>98240</v>
      </c>
      <c r="B98" s="60" t="s">
        <v>352</v>
      </c>
      <c r="C98" s="35">
        <v>2</v>
      </c>
      <c r="D98" s="35">
        <v>2</v>
      </c>
      <c r="E98" s="35">
        <v>1</v>
      </c>
      <c r="G98" s="54">
        <v>98136</v>
      </c>
      <c r="H98" s="60" t="s">
        <v>353</v>
      </c>
      <c r="I98" s="35">
        <v>0</v>
      </c>
      <c r="J98" s="35">
        <v>0</v>
      </c>
      <c r="K98" s="35">
        <v>1</v>
      </c>
      <c r="M98" s="78">
        <v>98072</v>
      </c>
      <c r="N98" s="60" t="s">
        <v>353</v>
      </c>
      <c r="O98" s="35">
        <v>30</v>
      </c>
      <c r="P98" s="35">
        <v>33</v>
      </c>
      <c r="Q98" s="35">
        <v>33</v>
      </c>
      <c r="S98" s="78">
        <v>98105</v>
      </c>
      <c r="T98" s="60" t="s">
        <v>352</v>
      </c>
      <c r="U98" s="32">
        <v>0</v>
      </c>
      <c r="V98" s="35">
        <v>2</v>
      </c>
      <c r="W98" s="32">
        <v>1</v>
      </c>
    </row>
    <row r="99" spans="1:23" x14ac:dyDescent="0.2">
      <c r="A99" s="54">
        <v>98244</v>
      </c>
      <c r="B99" s="60" t="s">
        <v>352</v>
      </c>
      <c r="C99" s="35">
        <v>3</v>
      </c>
      <c r="D99" s="35">
        <v>6</v>
      </c>
      <c r="E99" s="35">
        <v>3</v>
      </c>
      <c r="G99" s="78">
        <v>98144</v>
      </c>
      <c r="H99" s="60" t="s">
        <v>353</v>
      </c>
      <c r="I99" s="35">
        <v>0</v>
      </c>
      <c r="J99" s="35">
        <v>0</v>
      </c>
      <c r="K99" s="35">
        <v>2</v>
      </c>
      <c r="M99" s="78">
        <v>98074</v>
      </c>
      <c r="N99" s="60" t="s">
        <v>352</v>
      </c>
      <c r="O99" s="32">
        <v>0</v>
      </c>
      <c r="P99" s="32">
        <v>0</v>
      </c>
      <c r="Q99" s="35">
        <v>1</v>
      </c>
      <c r="S99" s="54">
        <v>98105</v>
      </c>
      <c r="T99" s="60" t="s">
        <v>353</v>
      </c>
      <c r="U99" s="35">
        <v>1</v>
      </c>
      <c r="V99" s="35">
        <v>0</v>
      </c>
      <c r="W99" s="35">
        <v>0</v>
      </c>
    </row>
    <row r="100" spans="1:23" x14ac:dyDescent="0.2">
      <c r="A100" s="54">
        <v>98247</v>
      </c>
      <c r="B100" s="60" t="s">
        <v>352</v>
      </c>
      <c r="C100" s="35">
        <v>1</v>
      </c>
      <c r="D100" s="35">
        <v>1</v>
      </c>
      <c r="E100" s="35">
        <v>3</v>
      </c>
      <c r="G100" s="78">
        <v>98146</v>
      </c>
      <c r="H100" s="60" t="s">
        <v>353</v>
      </c>
      <c r="I100" s="32">
        <v>0</v>
      </c>
      <c r="J100" s="32">
        <v>1</v>
      </c>
      <c r="K100" s="35">
        <v>1</v>
      </c>
      <c r="M100" s="54">
        <v>98074</v>
      </c>
      <c r="N100" s="60" t="s">
        <v>353</v>
      </c>
      <c r="O100" s="35">
        <v>13</v>
      </c>
      <c r="P100" s="35">
        <v>21</v>
      </c>
      <c r="Q100" s="35">
        <v>25</v>
      </c>
      <c r="S100" s="78">
        <v>98106</v>
      </c>
      <c r="T100" s="60" t="s">
        <v>352</v>
      </c>
      <c r="U100" s="32">
        <v>0</v>
      </c>
      <c r="V100" s="35">
        <v>2</v>
      </c>
      <c r="W100" s="35">
        <v>0</v>
      </c>
    </row>
    <row r="101" spans="1:23" x14ac:dyDescent="0.2">
      <c r="A101" s="54">
        <v>98248</v>
      </c>
      <c r="B101" s="60" t="s">
        <v>352</v>
      </c>
      <c r="C101" s="35">
        <v>16</v>
      </c>
      <c r="D101" s="35">
        <v>13</v>
      </c>
      <c r="E101" s="35">
        <v>10</v>
      </c>
      <c r="G101" s="78">
        <v>98148</v>
      </c>
      <c r="H101" s="60" t="s">
        <v>353</v>
      </c>
      <c r="I101" s="32">
        <v>6</v>
      </c>
      <c r="J101" s="32">
        <v>4</v>
      </c>
      <c r="K101" s="35">
        <v>3</v>
      </c>
      <c r="M101" s="78">
        <v>98075</v>
      </c>
      <c r="N101" s="60" t="s">
        <v>352</v>
      </c>
      <c r="O101" s="35">
        <v>1</v>
      </c>
      <c r="P101" s="35">
        <v>0</v>
      </c>
      <c r="Q101" s="35">
        <v>1</v>
      </c>
      <c r="S101" s="54">
        <v>98106</v>
      </c>
      <c r="T101" s="60" t="s">
        <v>353</v>
      </c>
      <c r="U101" s="35">
        <v>1</v>
      </c>
      <c r="V101" s="35">
        <v>2</v>
      </c>
      <c r="W101" s="35">
        <v>0</v>
      </c>
    </row>
    <row r="102" spans="1:23" x14ac:dyDescent="0.2">
      <c r="A102" s="78">
        <v>98249</v>
      </c>
      <c r="B102" s="60" t="s">
        <v>352</v>
      </c>
      <c r="C102" s="35">
        <v>1</v>
      </c>
      <c r="D102" s="35">
        <v>0</v>
      </c>
      <c r="E102" s="35">
        <v>1</v>
      </c>
      <c r="G102" s="54">
        <v>98155</v>
      </c>
      <c r="H102" s="60" t="s">
        <v>353</v>
      </c>
      <c r="I102" s="32">
        <v>0</v>
      </c>
      <c r="J102" s="35">
        <v>3</v>
      </c>
      <c r="K102" s="32">
        <v>3</v>
      </c>
      <c r="M102" s="78">
        <v>98075</v>
      </c>
      <c r="N102" s="60" t="s">
        <v>353</v>
      </c>
      <c r="O102" s="35">
        <v>16</v>
      </c>
      <c r="P102" s="35">
        <v>11</v>
      </c>
      <c r="Q102" s="35">
        <v>13</v>
      </c>
      <c r="S102" s="78">
        <v>98107</v>
      </c>
      <c r="T102" s="60" t="s">
        <v>353</v>
      </c>
      <c r="U102" s="32">
        <v>1</v>
      </c>
      <c r="V102" s="35">
        <v>0</v>
      </c>
      <c r="W102" s="32">
        <v>4</v>
      </c>
    </row>
    <row r="103" spans="1:23" x14ac:dyDescent="0.2">
      <c r="A103" s="78">
        <v>98252</v>
      </c>
      <c r="B103" s="60" t="s">
        <v>352</v>
      </c>
      <c r="C103" s="35">
        <v>1</v>
      </c>
      <c r="D103" s="35">
        <v>1</v>
      </c>
      <c r="E103" s="35">
        <v>1</v>
      </c>
      <c r="G103" s="78">
        <v>98166</v>
      </c>
      <c r="H103" s="60" t="s">
        <v>353</v>
      </c>
      <c r="I103" s="35">
        <v>0</v>
      </c>
      <c r="J103" s="35">
        <v>1</v>
      </c>
      <c r="K103" s="35">
        <v>1</v>
      </c>
      <c r="M103" s="54">
        <v>98077</v>
      </c>
      <c r="N103" s="60" t="s">
        <v>353</v>
      </c>
      <c r="O103" s="35">
        <v>15</v>
      </c>
      <c r="P103" s="35">
        <v>9</v>
      </c>
      <c r="Q103" s="35">
        <v>11</v>
      </c>
      <c r="S103" s="54">
        <v>98108</v>
      </c>
      <c r="T103" s="60" t="s">
        <v>352</v>
      </c>
      <c r="U103" s="35">
        <v>0</v>
      </c>
      <c r="V103" s="35">
        <v>0</v>
      </c>
      <c r="W103" s="35">
        <v>4</v>
      </c>
    </row>
    <row r="104" spans="1:23" x14ac:dyDescent="0.2">
      <c r="A104" s="54">
        <v>98260</v>
      </c>
      <c r="B104" s="60" t="s">
        <v>352</v>
      </c>
      <c r="C104" s="35">
        <v>0</v>
      </c>
      <c r="D104" s="35">
        <v>0</v>
      </c>
      <c r="E104" s="35">
        <v>1</v>
      </c>
      <c r="G104" s="78">
        <v>98168</v>
      </c>
      <c r="H104" s="60" t="s">
        <v>353</v>
      </c>
      <c r="I104" s="32">
        <v>2</v>
      </c>
      <c r="J104" s="32">
        <v>1</v>
      </c>
      <c r="K104" s="35">
        <v>0</v>
      </c>
      <c r="M104" s="78">
        <v>98087</v>
      </c>
      <c r="N104" s="60" t="s">
        <v>352</v>
      </c>
      <c r="O104" s="35">
        <v>1</v>
      </c>
      <c r="P104" s="32">
        <v>1</v>
      </c>
      <c r="Q104" s="32">
        <v>4</v>
      </c>
      <c r="S104" s="78">
        <v>98108</v>
      </c>
      <c r="T104" s="60" t="s">
        <v>353</v>
      </c>
      <c r="U104" s="32">
        <v>1</v>
      </c>
      <c r="V104" s="32">
        <v>2</v>
      </c>
      <c r="W104" s="35">
        <v>6</v>
      </c>
    </row>
    <row r="105" spans="1:23" x14ac:dyDescent="0.2">
      <c r="A105" s="78">
        <v>98264</v>
      </c>
      <c r="B105" s="60" t="s">
        <v>352</v>
      </c>
      <c r="C105" s="35">
        <v>4</v>
      </c>
      <c r="D105" s="35">
        <v>6</v>
      </c>
      <c r="E105" s="35">
        <v>6</v>
      </c>
      <c r="G105" s="54">
        <v>98178</v>
      </c>
      <c r="H105" s="60" t="s">
        <v>353</v>
      </c>
      <c r="I105" s="32">
        <v>0</v>
      </c>
      <c r="J105" s="35">
        <v>2</v>
      </c>
      <c r="K105" s="35">
        <v>1</v>
      </c>
      <c r="M105" s="54">
        <v>98087</v>
      </c>
      <c r="N105" s="60" t="s">
        <v>353</v>
      </c>
      <c r="O105" s="35">
        <v>23</v>
      </c>
      <c r="P105" s="35">
        <v>22</v>
      </c>
      <c r="Q105" s="35">
        <v>38</v>
      </c>
      <c r="S105" s="54">
        <v>98109</v>
      </c>
      <c r="T105" s="60" t="s">
        <v>353</v>
      </c>
      <c r="U105" s="35">
        <v>0</v>
      </c>
      <c r="V105" s="35">
        <v>0</v>
      </c>
      <c r="W105" s="35">
        <v>2</v>
      </c>
    </row>
    <row r="106" spans="1:23" x14ac:dyDescent="0.2">
      <c r="A106" s="54">
        <v>98270</v>
      </c>
      <c r="B106" s="60" t="s">
        <v>352</v>
      </c>
      <c r="C106" s="35">
        <v>3</v>
      </c>
      <c r="D106" s="35">
        <v>3</v>
      </c>
      <c r="E106" s="35">
        <v>2</v>
      </c>
      <c r="G106" s="78">
        <v>98188</v>
      </c>
      <c r="H106" s="60" t="s">
        <v>352</v>
      </c>
      <c r="I106" s="32">
        <v>0</v>
      </c>
      <c r="J106" s="35">
        <v>0</v>
      </c>
      <c r="K106" s="32">
        <v>2</v>
      </c>
      <c r="M106" s="78">
        <v>98092</v>
      </c>
      <c r="N106" s="60" t="s">
        <v>352</v>
      </c>
      <c r="O106" s="32">
        <v>2</v>
      </c>
      <c r="P106" s="35">
        <v>3</v>
      </c>
      <c r="Q106" s="32">
        <v>5</v>
      </c>
      <c r="S106" s="78">
        <v>98110</v>
      </c>
      <c r="T106" s="60" t="s">
        <v>352</v>
      </c>
      <c r="U106" s="32">
        <v>0</v>
      </c>
      <c r="V106" s="32">
        <v>1</v>
      </c>
      <c r="W106" s="35">
        <v>2</v>
      </c>
    </row>
    <row r="107" spans="1:23" x14ac:dyDescent="0.2">
      <c r="A107" s="78">
        <v>98272</v>
      </c>
      <c r="B107" s="60" t="s">
        <v>352</v>
      </c>
      <c r="C107" s="35">
        <v>0</v>
      </c>
      <c r="D107" s="35">
        <v>2</v>
      </c>
      <c r="E107" s="35">
        <v>3</v>
      </c>
      <c r="G107" s="78">
        <v>98188</v>
      </c>
      <c r="H107" s="60" t="s">
        <v>353</v>
      </c>
      <c r="I107" s="35">
        <v>11</v>
      </c>
      <c r="J107" s="35">
        <v>8</v>
      </c>
      <c r="K107" s="35">
        <v>12</v>
      </c>
      <c r="M107" s="54">
        <v>98092</v>
      </c>
      <c r="N107" s="60" t="s">
        <v>353</v>
      </c>
      <c r="O107" s="35">
        <v>188</v>
      </c>
      <c r="P107" s="32">
        <v>183</v>
      </c>
      <c r="Q107" s="35">
        <v>235</v>
      </c>
      <c r="S107" s="54">
        <v>98110</v>
      </c>
      <c r="T107" s="60" t="s">
        <v>353</v>
      </c>
      <c r="U107" s="35">
        <v>10</v>
      </c>
      <c r="V107" s="35">
        <v>9</v>
      </c>
      <c r="W107" s="35">
        <v>12</v>
      </c>
    </row>
    <row r="108" spans="1:23" x14ac:dyDescent="0.2">
      <c r="A108" s="78">
        <v>98273</v>
      </c>
      <c r="B108" s="60" t="s">
        <v>352</v>
      </c>
      <c r="C108" s="35">
        <v>14</v>
      </c>
      <c r="D108" s="35">
        <v>11</v>
      </c>
      <c r="E108" s="35">
        <v>10</v>
      </c>
      <c r="G108" s="78">
        <v>98198</v>
      </c>
      <c r="H108" s="60" t="s">
        <v>353</v>
      </c>
      <c r="I108" s="32">
        <v>21</v>
      </c>
      <c r="J108" s="35">
        <v>15</v>
      </c>
      <c r="K108" s="32">
        <v>28</v>
      </c>
      <c r="M108" s="78">
        <v>98101</v>
      </c>
      <c r="N108" s="60" t="s">
        <v>352</v>
      </c>
      <c r="O108" s="32">
        <v>1</v>
      </c>
      <c r="P108" s="32">
        <v>0</v>
      </c>
      <c r="Q108" s="35">
        <v>1</v>
      </c>
      <c r="S108" s="78">
        <v>98112</v>
      </c>
      <c r="T108" s="60" t="s">
        <v>353</v>
      </c>
      <c r="U108" s="35">
        <v>1</v>
      </c>
      <c r="V108" s="35">
        <v>1</v>
      </c>
      <c r="W108" s="35">
        <v>1</v>
      </c>
    </row>
    <row r="109" spans="1:23" x14ac:dyDescent="0.2">
      <c r="A109" s="78">
        <v>98274</v>
      </c>
      <c r="B109" s="60" t="s">
        <v>352</v>
      </c>
      <c r="C109" s="35">
        <v>4</v>
      </c>
      <c r="D109" s="35">
        <v>2</v>
      </c>
      <c r="E109" s="35">
        <v>3</v>
      </c>
      <c r="G109" s="54">
        <v>98199</v>
      </c>
      <c r="H109" s="60" t="s">
        <v>353</v>
      </c>
      <c r="I109" s="35">
        <v>0</v>
      </c>
      <c r="J109" s="35">
        <v>1</v>
      </c>
      <c r="K109" s="35">
        <v>0</v>
      </c>
      <c r="M109" s="54">
        <v>98101</v>
      </c>
      <c r="N109" s="60" t="s">
        <v>353</v>
      </c>
      <c r="O109" s="35">
        <v>0</v>
      </c>
      <c r="P109" s="35">
        <v>1</v>
      </c>
      <c r="Q109" s="35">
        <v>1</v>
      </c>
      <c r="S109" s="78">
        <v>98115</v>
      </c>
      <c r="T109" s="60" t="s">
        <v>352</v>
      </c>
      <c r="U109" s="35">
        <v>2</v>
      </c>
      <c r="V109" s="35">
        <v>1</v>
      </c>
      <c r="W109" s="35">
        <v>0</v>
      </c>
    </row>
    <row r="110" spans="1:23" x14ac:dyDescent="0.2">
      <c r="A110" s="54">
        <v>98275</v>
      </c>
      <c r="B110" s="60" t="s">
        <v>352</v>
      </c>
      <c r="C110" s="35">
        <v>1</v>
      </c>
      <c r="D110" s="35">
        <v>0</v>
      </c>
      <c r="E110" s="35">
        <v>1</v>
      </c>
      <c r="G110" s="78">
        <v>98201</v>
      </c>
      <c r="H110" s="60" t="s">
        <v>352</v>
      </c>
      <c r="I110" s="35">
        <v>0</v>
      </c>
      <c r="J110" s="35">
        <v>0</v>
      </c>
      <c r="K110" s="35">
        <v>1</v>
      </c>
      <c r="M110" s="78">
        <v>98102</v>
      </c>
      <c r="N110" s="60" t="s">
        <v>352</v>
      </c>
      <c r="O110" s="32">
        <v>1</v>
      </c>
      <c r="P110" s="32">
        <v>1</v>
      </c>
      <c r="Q110" s="35">
        <v>3</v>
      </c>
      <c r="S110" s="78">
        <v>98115</v>
      </c>
      <c r="T110" s="60" t="s">
        <v>353</v>
      </c>
      <c r="U110" s="32">
        <v>1</v>
      </c>
      <c r="V110" s="35">
        <v>1</v>
      </c>
      <c r="W110" s="32">
        <v>3</v>
      </c>
    </row>
    <row r="111" spans="1:23" x14ac:dyDescent="0.2">
      <c r="A111" s="78">
        <v>98277</v>
      </c>
      <c r="B111" s="60" t="s">
        <v>352</v>
      </c>
      <c r="C111" s="35">
        <v>20</v>
      </c>
      <c r="D111" s="35">
        <v>21</v>
      </c>
      <c r="E111" s="35">
        <v>27</v>
      </c>
      <c r="G111" s="54">
        <v>98201</v>
      </c>
      <c r="H111" s="60" t="s">
        <v>353</v>
      </c>
      <c r="I111" s="35">
        <v>0</v>
      </c>
      <c r="J111" s="35">
        <v>1</v>
      </c>
      <c r="K111" s="35">
        <v>2</v>
      </c>
      <c r="M111" s="78">
        <v>98102</v>
      </c>
      <c r="N111" s="60" t="s">
        <v>353</v>
      </c>
      <c r="O111" s="32">
        <v>1</v>
      </c>
      <c r="P111" s="35">
        <v>2</v>
      </c>
      <c r="Q111" s="32">
        <v>4</v>
      </c>
      <c r="S111" s="78">
        <v>98116</v>
      </c>
      <c r="T111" s="60" t="s">
        <v>352</v>
      </c>
      <c r="U111" s="35">
        <v>1</v>
      </c>
      <c r="V111" s="35">
        <v>0</v>
      </c>
      <c r="W111" s="35">
        <v>1</v>
      </c>
    </row>
    <row r="112" spans="1:23" x14ac:dyDescent="0.2">
      <c r="A112" s="78">
        <v>98284</v>
      </c>
      <c r="B112" s="60" t="s">
        <v>352</v>
      </c>
      <c r="C112" s="35">
        <v>7</v>
      </c>
      <c r="D112" s="35">
        <v>12</v>
      </c>
      <c r="E112" s="35">
        <v>14</v>
      </c>
      <c r="G112" s="78">
        <v>98203</v>
      </c>
      <c r="H112" s="60" t="s">
        <v>353</v>
      </c>
      <c r="I112" s="35">
        <v>2</v>
      </c>
      <c r="J112" s="35">
        <v>1</v>
      </c>
      <c r="K112" s="35">
        <v>4</v>
      </c>
      <c r="M112" s="54">
        <v>98103</v>
      </c>
      <c r="N112" s="60" t="s">
        <v>352</v>
      </c>
      <c r="O112" s="35">
        <v>2</v>
      </c>
      <c r="P112" s="35">
        <v>5</v>
      </c>
      <c r="Q112" s="35">
        <v>4</v>
      </c>
      <c r="S112" s="78">
        <v>98116</v>
      </c>
      <c r="T112" s="60" t="s">
        <v>353</v>
      </c>
      <c r="U112" s="32">
        <v>1</v>
      </c>
      <c r="V112" s="35">
        <v>2</v>
      </c>
      <c r="W112" s="35">
        <v>2</v>
      </c>
    </row>
    <row r="113" spans="1:23" x14ac:dyDescent="0.2">
      <c r="A113" s="78">
        <v>98290</v>
      </c>
      <c r="B113" s="60" t="s">
        <v>352</v>
      </c>
      <c r="C113" s="32">
        <v>0</v>
      </c>
      <c r="D113" s="35">
        <v>1</v>
      </c>
      <c r="E113" s="35">
        <v>2</v>
      </c>
      <c r="G113" s="78">
        <v>98204</v>
      </c>
      <c r="H113" s="60" t="s">
        <v>352</v>
      </c>
      <c r="I113" s="35">
        <v>0</v>
      </c>
      <c r="J113" s="35">
        <v>1</v>
      </c>
      <c r="K113" s="35">
        <v>0</v>
      </c>
      <c r="M113" s="78">
        <v>98103</v>
      </c>
      <c r="N113" s="60" t="s">
        <v>353</v>
      </c>
      <c r="O113" s="35">
        <v>6</v>
      </c>
      <c r="P113" s="35">
        <v>18</v>
      </c>
      <c r="Q113" s="32">
        <v>16</v>
      </c>
      <c r="S113" s="54">
        <v>98117</v>
      </c>
      <c r="T113" s="60" t="s">
        <v>353</v>
      </c>
      <c r="U113" s="35">
        <v>1</v>
      </c>
      <c r="V113" s="35">
        <v>1</v>
      </c>
      <c r="W113" s="32">
        <v>4</v>
      </c>
    </row>
    <row r="114" spans="1:23" x14ac:dyDescent="0.2">
      <c r="A114" s="78">
        <v>98310</v>
      </c>
      <c r="B114" s="60" t="s">
        <v>352</v>
      </c>
      <c r="C114" s="35">
        <v>5</v>
      </c>
      <c r="D114" s="35">
        <v>5</v>
      </c>
      <c r="E114" s="35">
        <v>5</v>
      </c>
      <c r="G114" s="78">
        <v>98204</v>
      </c>
      <c r="H114" s="60" t="s">
        <v>353</v>
      </c>
      <c r="I114" s="35">
        <v>0</v>
      </c>
      <c r="J114" s="35">
        <v>1</v>
      </c>
      <c r="K114" s="35">
        <v>1</v>
      </c>
      <c r="M114" s="78">
        <v>98104</v>
      </c>
      <c r="N114" s="60" t="s">
        <v>352</v>
      </c>
      <c r="O114" s="35">
        <v>0</v>
      </c>
      <c r="P114" s="35">
        <v>1</v>
      </c>
      <c r="Q114" s="32">
        <v>0</v>
      </c>
      <c r="S114" s="78">
        <v>98118</v>
      </c>
      <c r="T114" s="60" t="s">
        <v>352</v>
      </c>
      <c r="U114" s="35">
        <v>1</v>
      </c>
      <c r="V114" s="35">
        <v>2</v>
      </c>
      <c r="W114" s="35">
        <v>1</v>
      </c>
    </row>
    <row r="115" spans="1:23" x14ac:dyDescent="0.2">
      <c r="A115" s="78">
        <v>98311</v>
      </c>
      <c r="B115" s="60" t="s">
        <v>352</v>
      </c>
      <c r="C115" s="35">
        <v>1</v>
      </c>
      <c r="D115" s="35">
        <v>2</v>
      </c>
      <c r="E115" s="35">
        <v>2</v>
      </c>
      <c r="G115" s="78">
        <v>98208</v>
      </c>
      <c r="H115" s="60" t="s">
        <v>353</v>
      </c>
      <c r="I115" s="35">
        <v>1</v>
      </c>
      <c r="J115" s="35">
        <v>1</v>
      </c>
      <c r="K115" s="35">
        <v>6</v>
      </c>
      <c r="M115" s="78">
        <v>98104</v>
      </c>
      <c r="N115" s="60" t="s">
        <v>353</v>
      </c>
      <c r="O115" s="35">
        <v>0</v>
      </c>
      <c r="P115" s="32">
        <v>0</v>
      </c>
      <c r="Q115" s="35">
        <v>1</v>
      </c>
      <c r="S115" s="78">
        <v>98118</v>
      </c>
      <c r="T115" s="60" t="s">
        <v>353</v>
      </c>
      <c r="U115" s="32">
        <v>5</v>
      </c>
      <c r="V115" s="35">
        <v>7</v>
      </c>
      <c r="W115" s="35">
        <v>10</v>
      </c>
    </row>
    <row r="116" spans="1:23" x14ac:dyDescent="0.2">
      <c r="A116" s="78">
        <v>98312</v>
      </c>
      <c r="B116" s="60" t="s">
        <v>352</v>
      </c>
      <c r="C116" s="35">
        <v>8</v>
      </c>
      <c r="D116" s="35">
        <v>13</v>
      </c>
      <c r="E116" s="35">
        <v>16</v>
      </c>
      <c r="G116" s="78">
        <v>98220</v>
      </c>
      <c r="H116" s="60" t="s">
        <v>353</v>
      </c>
      <c r="I116" s="32">
        <v>1</v>
      </c>
      <c r="J116" s="35">
        <v>0</v>
      </c>
      <c r="K116" s="32">
        <v>1</v>
      </c>
      <c r="M116" s="54">
        <v>98105</v>
      </c>
      <c r="N116" s="60" t="s">
        <v>352</v>
      </c>
      <c r="O116" s="35">
        <v>1</v>
      </c>
      <c r="P116" s="35">
        <v>4</v>
      </c>
      <c r="Q116" s="35">
        <v>3</v>
      </c>
      <c r="S116" s="78">
        <v>98119</v>
      </c>
      <c r="T116" s="60" t="s">
        <v>353</v>
      </c>
      <c r="U116" s="32">
        <v>3</v>
      </c>
      <c r="V116" s="32">
        <v>2</v>
      </c>
      <c r="W116" s="35">
        <v>1</v>
      </c>
    </row>
    <row r="117" spans="1:23" x14ac:dyDescent="0.2">
      <c r="A117" s="78">
        <v>98321</v>
      </c>
      <c r="B117" s="60" t="s">
        <v>352</v>
      </c>
      <c r="C117" s="35">
        <v>5</v>
      </c>
      <c r="D117" s="32">
        <v>5</v>
      </c>
      <c r="E117" s="32">
        <v>8</v>
      </c>
      <c r="G117" s="78">
        <v>98221</v>
      </c>
      <c r="H117" s="60" t="s">
        <v>353</v>
      </c>
      <c r="I117" s="35">
        <v>5</v>
      </c>
      <c r="J117" s="35">
        <v>4</v>
      </c>
      <c r="K117" s="35">
        <v>4</v>
      </c>
      <c r="M117" s="78">
        <v>98105</v>
      </c>
      <c r="N117" s="60" t="s">
        <v>353</v>
      </c>
      <c r="O117" s="35">
        <v>3</v>
      </c>
      <c r="P117" s="32">
        <v>2</v>
      </c>
      <c r="Q117" s="35">
        <v>8</v>
      </c>
      <c r="S117" s="78">
        <v>98121</v>
      </c>
      <c r="T117" s="60" t="s">
        <v>353</v>
      </c>
      <c r="U117" s="32">
        <v>0</v>
      </c>
      <c r="V117" s="35">
        <v>1</v>
      </c>
      <c r="W117" s="35">
        <v>0</v>
      </c>
    </row>
    <row r="118" spans="1:23" x14ac:dyDescent="0.2">
      <c r="A118" s="78">
        <v>98323</v>
      </c>
      <c r="B118" s="60" t="s">
        <v>352</v>
      </c>
      <c r="C118" s="35">
        <v>0</v>
      </c>
      <c r="D118" s="35">
        <v>1</v>
      </c>
      <c r="E118" s="35">
        <v>2</v>
      </c>
      <c r="G118" s="78">
        <v>98224</v>
      </c>
      <c r="H118" s="60" t="s">
        <v>353</v>
      </c>
      <c r="I118" s="35">
        <v>0</v>
      </c>
      <c r="J118" s="35">
        <v>0</v>
      </c>
      <c r="K118" s="35">
        <v>1</v>
      </c>
      <c r="M118" s="54">
        <v>98106</v>
      </c>
      <c r="N118" s="60" t="s">
        <v>352</v>
      </c>
      <c r="O118" s="32">
        <v>2</v>
      </c>
      <c r="P118" s="35">
        <v>2</v>
      </c>
      <c r="Q118" s="35">
        <v>3</v>
      </c>
      <c r="S118" s="78">
        <v>98122</v>
      </c>
      <c r="T118" s="60" t="s">
        <v>352</v>
      </c>
      <c r="U118" s="32">
        <v>0</v>
      </c>
      <c r="V118" s="35">
        <v>1</v>
      </c>
      <c r="W118" s="35">
        <v>1</v>
      </c>
    </row>
    <row r="119" spans="1:23" x14ac:dyDescent="0.2">
      <c r="A119" s="78">
        <v>98327</v>
      </c>
      <c r="B119" s="60" t="s">
        <v>352</v>
      </c>
      <c r="C119" s="35">
        <v>0</v>
      </c>
      <c r="D119" s="35">
        <v>1</v>
      </c>
      <c r="E119" s="35">
        <v>0</v>
      </c>
      <c r="G119" s="78">
        <v>98225</v>
      </c>
      <c r="H119" s="60" t="s">
        <v>353</v>
      </c>
      <c r="I119" s="35">
        <v>11</v>
      </c>
      <c r="J119" s="35">
        <v>19</v>
      </c>
      <c r="K119" s="35">
        <v>15</v>
      </c>
      <c r="M119" s="78">
        <v>98106</v>
      </c>
      <c r="N119" s="60" t="s">
        <v>353</v>
      </c>
      <c r="O119" s="35">
        <v>5</v>
      </c>
      <c r="P119" s="35">
        <v>10</v>
      </c>
      <c r="Q119" s="35">
        <v>7</v>
      </c>
      <c r="S119" s="78">
        <v>98122</v>
      </c>
      <c r="T119" s="60" t="s">
        <v>353</v>
      </c>
      <c r="U119" s="35">
        <v>0</v>
      </c>
      <c r="V119" s="35">
        <v>2</v>
      </c>
      <c r="W119" s="35">
        <v>1</v>
      </c>
    </row>
    <row r="120" spans="1:23" x14ac:dyDescent="0.2">
      <c r="A120" s="78">
        <v>98335</v>
      </c>
      <c r="B120" s="60" t="s">
        <v>352</v>
      </c>
      <c r="C120" s="35">
        <v>0</v>
      </c>
      <c r="D120" s="35">
        <v>1</v>
      </c>
      <c r="E120" s="35">
        <v>2</v>
      </c>
      <c r="G120" s="78">
        <v>98226</v>
      </c>
      <c r="H120" s="60" t="s">
        <v>352</v>
      </c>
      <c r="I120" s="35">
        <v>3</v>
      </c>
      <c r="J120" s="35">
        <v>0</v>
      </c>
      <c r="K120" s="32">
        <v>2</v>
      </c>
      <c r="M120" s="78">
        <v>98107</v>
      </c>
      <c r="N120" s="60" t="s">
        <v>352</v>
      </c>
      <c r="O120" s="35">
        <v>0</v>
      </c>
      <c r="P120" s="32">
        <v>2</v>
      </c>
      <c r="Q120" s="32">
        <v>1</v>
      </c>
      <c r="S120" s="78">
        <v>98125</v>
      </c>
      <c r="T120" s="60" t="s">
        <v>353</v>
      </c>
      <c r="U120" s="32">
        <v>2</v>
      </c>
      <c r="V120" s="35">
        <v>3</v>
      </c>
      <c r="W120" s="35">
        <v>2</v>
      </c>
    </row>
    <row r="121" spans="1:23" x14ac:dyDescent="0.2">
      <c r="A121" s="78">
        <v>98337</v>
      </c>
      <c r="B121" s="60" t="s">
        <v>352</v>
      </c>
      <c r="C121" s="35">
        <v>2</v>
      </c>
      <c r="D121" s="35">
        <v>3</v>
      </c>
      <c r="E121" s="35">
        <v>4</v>
      </c>
      <c r="G121" s="78">
        <v>98226</v>
      </c>
      <c r="H121" s="60" t="s">
        <v>353</v>
      </c>
      <c r="I121" s="35">
        <v>20</v>
      </c>
      <c r="J121" s="32">
        <v>17</v>
      </c>
      <c r="K121" s="32">
        <v>16</v>
      </c>
      <c r="M121" s="54">
        <v>98107</v>
      </c>
      <c r="N121" s="60" t="s">
        <v>353</v>
      </c>
      <c r="O121" s="35">
        <v>6</v>
      </c>
      <c r="P121" s="32">
        <v>4</v>
      </c>
      <c r="Q121" s="35">
        <v>10</v>
      </c>
      <c r="S121" s="78">
        <v>98126</v>
      </c>
      <c r="T121" s="60" t="s">
        <v>352</v>
      </c>
      <c r="U121" s="35">
        <v>1</v>
      </c>
      <c r="V121" s="35">
        <v>0</v>
      </c>
      <c r="W121" s="32">
        <v>0</v>
      </c>
    </row>
    <row r="122" spans="1:23" x14ac:dyDescent="0.2">
      <c r="A122" s="54">
        <v>98338</v>
      </c>
      <c r="B122" s="60" t="s">
        <v>352</v>
      </c>
      <c r="C122" s="35">
        <v>0</v>
      </c>
      <c r="D122" s="35">
        <v>0</v>
      </c>
      <c r="E122" s="35">
        <v>2</v>
      </c>
      <c r="G122" s="54">
        <v>98229</v>
      </c>
      <c r="H122" s="60" t="s">
        <v>352</v>
      </c>
      <c r="I122" s="35">
        <v>1</v>
      </c>
      <c r="J122" s="35">
        <v>0</v>
      </c>
      <c r="K122" s="35">
        <v>0</v>
      </c>
      <c r="M122" s="78">
        <v>98108</v>
      </c>
      <c r="N122" s="60" t="s">
        <v>352</v>
      </c>
      <c r="O122" s="35">
        <v>7</v>
      </c>
      <c r="P122" s="35">
        <v>6</v>
      </c>
      <c r="Q122" s="35">
        <v>5</v>
      </c>
      <c r="S122" s="78">
        <v>98126</v>
      </c>
      <c r="T122" s="60" t="s">
        <v>353</v>
      </c>
      <c r="U122" s="32">
        <v>1</v>
      </c>
      <c r="V122" s="35">
        <v>0</v>
      </c>
      <c r="W122" s="35">
        <v>3</v>
      </c>
    </row>
    <row r="123" spans="1:23" x14ac:dyDescent="0.2">
      <c r="A123" s="54">
        <v>98340</v>
      </c>
      <c r="B123" s="60" t="s">
        <v>352</v>
      </c>
      <c r="C123" s="35">
        <v>2</v>
      </c>
      <c r="D123" s="35">
        <v>2</v>
      </c>
      <c r="E123" s="35">
        <v>3</v>
      </c>
      <c r="G123" s="78">
        <v>98229</v>
      </c>
      <c r="H123" s="60" t="s">
        <v>353</v>
      </c>
      <c r="I123" s="32">
        <v>13</v>
      </c>
      <c r="J123" s="32">
        <v>15</v>
      </c>
      <c r="K123" s="35">
        <v>13</v>
      </c>
      <c r="M123" s="54">
        <v>98108</v>
      </c>
      <c r="N123" s="60" t="s">
        <v>353</v>
      </c>
      <c r="O123" s="35">
        <v>7</v>
      </c>
      <c r="P123" s="35">
        <v>17</v>
      </c>
      <c r="Q123" s="35">
        <v>27</v>
      </c>
      <c r="S123" s="78">
        <v>98133</v>
      </c>
      <c r="T123" s="60" t="s">
        <v>352</v>
      </c>
      <c r="U123" s="35">
        <v>0</v>
      </c>
      <c r="V123" s="35">
        <v>1</v>
      </c>
      <c r="W123" s="32">
        <v>1</v>
      </c>
    </row>
    <row r="124" spans="1:23" x14ac:dyDescent="0.2">
      <c r="A124" s="78">
        <v>98346</v>
      </c>
      <c r="B124" s="60" t="s">
        <v>352</v>
      </c>
      <c r="C124" s="35">
        <v>2</v>
      </c>
      <c r="D124" s="35">
        <v>2</v>
      </c>
      <c r="E124" s="35">
        <v>2</v>
      </c>
      <c r="G124" s="54">
        <v>98230</v>
      </c>
      <c r="H124" s="60" t="s">
        <v>352</v>
      </c>
      <c r="I124" s="35">
        <v>0</v>
      </c>
      <c r="J124" s="35">
        <v>1</v>
      </c>
      <c r="K124" s="35">
        <v>1</v>
      </c>
      <c r="M124" s="78">
        <v>98109</v>
      </c>
      <c r="N124" s="60" t="s">
        <v>352</v>
      </c>
      <c r="O124" s="35">
        <v>1</v>
      </c>
      <c r="P124" s="35">
        <v>0</v>
      </c>
      <c r="Q124" s="35">
        <v>0</v>
      </c>
      <c r="S124" s="78">
        <v>98133</v>
      </c>
      <c r="T124" s="60" t="s">
        <v>353</v>
      </c>
      <c r="U124" s="35">
        <v>4</v>
      </c>
      <c r="V124" s="35">
        <v>3</v>
      </c>
      <c r="W124" s="35">
        <v>4</v>
      </c>
    </row>
    <row r="125" spans="1:23" x14ac:dyDescent="0.2">
      <c r="A125" s="78">
        <v>98354</v>
      </c>
      <c r="B125" s="60" t="s">
        <v>352</v>
      </c>
      <c r="C125" s="35">
        <v>0</v>
      </c>
      <c r="D125" s="35">
        <v>1</v>
      </c>
      <c r="E125" s="35">
        <v>0</v>
      </c>
      <c r="G125" s="78">
        <v>98230</v>
      </c>
      <c r="H125" s="60" t="s">
        <v>353</v>
      </c>
      <c r="I125" s="35">
        <v>7</v>
      </c>
      <c r="J125" s="35">
        <v>7</v>
      </c>
      <c r="K125" s="35">
        <v>5</v>
      </c>
      <c r="M125" s="78">
        <v>98109</v>
      </c>
      <c r="N125" s="60" t="s">
        <v>353</v>
      </c>
      <c r="O125" s="35">
        <v>4</v>
      </c>
      <c r="P125" s="35">
        <v>4</v>
      </c>
      <c r="Q125" s="35">
        <v>6</v>
      </c>
      <c r="S125" s="78">
        <v>98136</v>
      </c>
      <c r="T125" s="60" t="s">
        <v>353</v>
      </c>
      <c r="U125" s="32">
        <v>3</v>
      </c>
      <c r="V125" s="35">
        <v>5</v>
      </c>
      <c r="W125" s="35">
        <v>2</v>
      </c>
    </row>
    <row r="126" spans="1:23" x14ac:dyDescent="0.2">
      <c r="A126" s="78">
        <v>98359</v>
      </c>
      <c r="B126" s="60" t="s">
        <v>352</v>
      </c>
      <c r="C126" s="35">
        <v>3</v>
      </c>
      <c r="D126" s="32">
        <v>3</v>
      </c>
      <c r="E126" s="32">
        <v>1</v>
      </c>
      <c r="G126" s="78">
        <v>98232</v>
      </c>
      <c r="H126" s="60" t="s">
        <v>353</v>
      </c>
      <c r="I126" s="32">
        <v>2</v>
      </c>
      <c r="J126" s="32">
        <v>2</v>
      </c>
      <c r="K126" s="35">
        <v>1</v>
      </c>
      <c r="M126" s="78">
        <v>98110</v>
      </c>
      <c r="N126" s="60" t="s">
        <v>352</v>
      </c>
      <c r="O126" s="35">
        <v>0</v>
      </c>
      <c r="P126" s="32">
        <v>4</v>
      </c>
      <c r="Q126" s="35">
        <v>3</v>
      </c>
      <c r="S126" s="78">
        <v>98144</v>
      </c>
      <c r="T126" s="60" t="s">
        <v>352</v>
      </c>
      <c r="U126" s="32">
        <v>1</v>
      </c>
      <c r="V126" s="32">
        <v>0</v>
      </c>
      <c r="W126" s="35">
        <v>0</v>
      </c>
    </row>
    <row r="127" spans="1:23" x14ac:dyDescent="0.2">
      <c r="A127" s="78">
        <v>98360</v>
      </c>
      <c r="B127" s="60" t="s">
        <v>352</v>
      </c>
      <c r="C127" s="35">
        <v>2</v>
      </c>
      <c r="D127" s="35">
        <v>1</v>
      </c>
      <c r="E127" s="35">
        <v>4</v>
      </c>
      <c r="G127" s="78">
        <v>98233</v>
      </c>
      <c r="H127" s="60" t="s">
        <v>352</v>
      </c>
      <c r="I127" s="32">
        <v>1</v>
      </c>
      <c r="J127" s="35">
        <v>0</v>
      </c>
      <c r="K127" s="32">
        <v>0</v>
      </c>
      <c r="M127" s="54">
        <v>98110</v>
      </c>
      <c r="N127" s="60" t="s">
        <v>353</v>
      </c>
      <c r="O127" s="35">
        <v>30</v>
      </c>
      <c r="P127" s="35">
        <v>32</v>
      </c>
      <c r="Q127" s="35">
        <v>38</v>
      </c>
      <c r="S127" s="78">
        <v>98144</v>
      </c>
      <c r="T127" s="60" t="s">
        <v>353</v>
      </c>
      <c r="U127" s="32">
        <v>1</v>
      </c>
      <c r="V127" s="32">
        <v>2</v>
      </c>
      <c r="W127" s="35">
        <v>4</v>
      </c>
    </row>
    <row r="128" spans="1:23" x14ac:dyDescent="0.2">
      <c r="A128" s="78">
        <v>98366</v>
      </c>
      <c r="B128" s="60" t="s">
        <v>352</v>
      </c>
      <c r="C128" s="35">
        <v>1</v>
      </c>
      <c r="D128" s="35">
        <v>4</v>
      </c>
      <c r="E128" s="35">
        <v>7</v>
      </c>
      <c r="G128" s="78">
        <v>98233</v>
      </c>
      <c r="H128" s="60" t="s">
        <v>353</v>
      </c>
      <c r="I128" s="35">
        <v>3</v>
      </c>
      <c r="J128" s="35">
        <v>7</v>
      </c>
      <c r="K128" s="35">
        <v>6</v>
      </c>
      <c r="M128" s="78">
        <v>98112</v>
      </c>
      <c r="N128" s="60" t="s">
        <v>352</v>
      </c>
      <c r="O128" s="35">
        <v>0</v>
      </c>
      <c r="P128" s="35">
        <v>0</v>
      </c>
      <c r="Q128" s="32">
        <v>1</v>
      </c>
      <c r="S128" s="78">
        <v>98146</v>
      </c>
      <c r="T128" s="60" t="s">
        <v>353</v>
      </c>
      <c r="U128" s="35">
        <v>3</v>
      </c>
      <c r="V128" s="35">
        <v>3</v>
      </c>
      <c r="W128" s="35">
        <v>3</v>
      </c>
    </row>
    <row r="129" spans="1:23" x14ac:dyDescent="0.2">
      <c r="A129" s="54">
        <v>98367</v>
      </c>
      <c r="B129" s="60" t="s">
        <v>352</v>
      </c>
      <c r="C129" s="35">
        <v>2</v>
      </c>
      <c r="D129" s="35">
        <v>3</v>
      </c>
      <c r="E129" s="35">
        <v>4</v>
      </c>
      <c r="G129" s="78">
        <v>98236</v>
      </c>
      <c r="H129" s="60" t="s">
        <v>353</v>
      </c>
      <c r="I129" s="32">
        <v>2</v>
      </c>
      <c r="J129" s="35">
        <v>2</v>
      </c>
      <c r="K129" s="35">
        <v>2</v>
      </c>
      <c r="M129" s="54">
        <v>98112</v>
      </c>
      <c r="N129" s="60" t="s">
        <v>353</v>
      </c>
      <c r="O129" s="35">
        <v>9</v>
      </c>
      <c r="P129" s="35">
        <v>7</v>
      </c>
      <c r="Q129" s="35">
        <v>4</v>
      </c>
      <c r="S129" s="78">
        <v>98148</v>
      </c>
      <c r="T129" s="60" t="s">
        <v>353</v>
      </c>
      <c r="U129" s="32">
        <v>8</v>
      </c>
      <c r="V129" s="35">
        <v>12</v>
      </c>
      <c r="W129" s="32">
        <v>13</v>
      </c>
    </row>
    <row r="130" spans="1:23" x14ac:dyDescent="0.2">
      <c r="A130" s="78">
        <v>98370</v>
      </c>
      <c r="B130" s="60" t="s">
        <v>352</v>
      </c>
      <c r="C130" s="35">
        <v>7</v>
      </c>
      <c r="D130" s="35">
        <v>7</v>
      </c>
      <c r="E130" s="35">
        <v>5</v>
      </c>
      <c r="G130" s="78">
        <v>98237</v>
      </c>
      <c r="H130" s="60" t="s">
        <v>353</v>
      </c>
      <c r="I130" s="32">
        <v>11</v>
      </c>
      <c r="J130" s="35">
        <v>12</v>
      </c>
      <c r="K130" s="35">
        <v>16</v>
      </c>
      <c r="M130" s="78">
        <v>98115</v>
      </c>
      <c r="N130" s="60" t="s">
        <v>352</v>
      </c>
      <c r="O130" s="32">
        <v>3</v>
      </c>
      <c r="P130" s="35">
        <v>2</v>
      </c>
      <c r="Q130" s="32">
        <v>4</v>
      </c>
      <c r="S130" s="78">
        <v>98155</v>
      </c>
      <c r="T130" s="60" t="s">
        <v>353</v>
      </c>
      <c r="U130" s="35">
        <v>2</v>
      </c>
      <c r="V130" s="35">
        <v>10</v>
      </c>
      <c r="W130" s="35">
        <v>5</v>
      </c>
    </row>
    <row r="131" spans="1:23" x14ac:dyDescent="0.2">
      <c r="A131" s="78">
        <v>98371</v>
      </c>
      <c r="B131" s="60" t="s">
        <v>352</v>
      </c>
      <c r="C131" s="35">
        <v>3</v>
      </c>
      <c r="D131" s="35">
        <v>4</v>
      </c>
      <c r="E131" s="35">
        <v>4</v>
      </c>
      <c r="G131" s="78">
        <v>98239</v>
      </c>
      <c r="H131" s="60" t="s">
        <v>353</v>
      </c>
      <c r="I131" s="32">
        <v>2</v>
      </c>
      <c r="J131" s="35">
        <v>6</v>
      </c>
      <c r="K131" s="32">
        <v>3</v>
      </c>
      <c r="M131" s="54">
        <v>98115</v>
      </c>
      <c r="N131" s="60" t="s">
        <v>353</v>
      </c>
      <c r="O131" s="32">
        <v>10</v>
      </c>
      <c r="P131" s="32">
        <v>7</v>
      </c>
      <c r="Q131" s="35">
        <v>17</v>
      </c>
      <c r="S131" s="78">
        <v>98166</v>
      </c>
      <c r="T131" s="60" t="s">
        <v>352</v>
      </c>
      <c r="U131" s="35">
        <v>2</v>
      </c>
      <c r="V131" s="32">
        <v>0</v>
      </c>
      <c r="W131" s="32">
        <v>2</v>
      </c>
    </row>
    <row r="132" spans="1:23" x14ac:dyDescent="0.2">
      <c r="A132" s="78">
        <v>98372</v>
      </c>
      <c r="B132" s="60" t="s">
        <v>352</v>
      </c>
      <c r="C132" s="35">
        <v>2</v>
      </c>
      <c r="D132" s="35">
        <v>2</v>
      </c>
      <c r="E132" s="35">
        <v>3</v>
      </c>
      <c r="G132" s="78">
        <v>98240</v>
      </c>
      <c r="H132" s="60" t="s">
        <v>353</v>
      </c>
      <c r="I132" s="32">
        <v>0</v>
      </c>
      <c r="J132" s="32">
        <v>1</v>
      </c>
      <c r="K132" s="35">
        <v>3</v>
      </c>
      <c r="M132" s="78">
        <v>98116</v>
      </c>
      <c r="N132" s="60" t="s">
        <v>352</v>
      </c>
      <c r="O132" s="35">
        <v>2</v>
      </c>
      <c r="P132" s="32">
        <v>1</v>
      </c>
      <c r="Q132" s="32">
        <v>2</v>
      </c>
      <c r="S132" s="78">
        <v>98166</v>
      </c>
      <c r="T132" s="60" t="s">
        <v>353</v>
      </c>
      <c r="U132" s="32">
        <v>6</v>
      </c>
      <c r="V132" s="32">
        <v>5</v>
      </c>
      <c r="W132" s="35">
        <v>6</v>
      </c>
    </row>
    <row r="133" spans="1:23" x14ac:dyDescent="0.2">
      <c r="A133" s="78">
        <v>98373</v>
      </c>
      <c r="B133" s="60" t="s">
        <v>352</v>
      </c>
      <c r="C133" s="35">
        <v>10</v>
      </c>
      <c r="D133" s="35">
        <v>12</v>
      </c>
      <c r="E133" s="35">
        <v>8</v>
      </c>
      <c r="G133" s="54">
        <v>98244</v>
      </c>
      <c r="H133" s="60" t="s">
        <v>352</v>
      </c>
      <c r="I133" s="35">
        <v>0</v>
      </c>
      <c r="J133" s="35">
        <v>3</v>
      </c>
      <c r="K133" s="35">
        <v>0</v>
      </c>
      <c r="M133" s="54">
        <v>98116</v>
      </c>
      <c r="N133" s="60" t="s">
        <v>353</v>
      </c>
      <c r="O133" s="35">
        <v>6</v>
      </c>
      <c r="P133" s="35">
        <v>12</v>
      </c>
      <c r="Q133" s="35">
        <v>10</v>
      </c>
      <c r="S133" s="78">
        <v>98168</v>
      </c>
      <c r="T133" s="60" t="s">
        <v>352</v>
      </c>
      <c r="U133" s="32">
        <v>0</v>
      </c>
      <c r="V133" s="35">
        <v>0</v>
      </c>
      <c r="W133" s="32">
        <v>1</v>
      </c>
    </row>
    <row r="134" spans="1:23" x14ac:dyDescent="0.2">
      <c r="A134" s="78">
        <v>98374</v>
      </c>
      <c r="B134" s="60" t="s">
        <v>352</v>
      </c>
      <c r="C134" s="35">
        <v>2</v>
      </c>
      <c r="D134" s="35">
        <v>1</v>
      </c>
      <c r="E134" s="35">
        <v>3</v>
      </c>
      <c r="G134" s="78">
        <v>98244</v>
      </c>
      <c r="H134" s="60" t="s">
        <v>353</v>
      </c>
      <c r="I134" s="35">
        <v>2</v>
      </c>
      <c r="J134" s="35">
        <v>6</v>
      </c>
      <c r="K134" s="35">
        <v>5</v>
      </c>
      <c r="M134" s="78">
        <v>98117</v>
      </c>
      <c r="N134" s="60" t="s">
        <v>353</v>
      </c>
      <c r="O134" s="35">
        <v>5</v>
      </c>
      <c r="P134" s="35">
        <v>12</v>
      </c>
      <c r="Q134" s="35">
        <v>16</v>
      </c>
      <c r="S134" s="78">
        <v>98168</v>
      </c>
      <c r="T134" s="60" t="s">
        <v>353</v>
      </c>
      <c r="U134" s="32">
        <v>7</v>
      </c>
      <c r="V134" s="35">
        <v>9</v>
      </c>
      <c r="W134" s="35">
        <v>16</v>
      </c>
    </row>
    <row r="135" spans="1:23" x14ac:dyDescent="0.2">
      <c r="A135" s="54">
        <v>98375</v>
      </c>
      <c r="B135" s="60" t="s">
        <v>352</v>
      </c>
      <c r="C135" s="35">
        <v>2</v>
      </c>
      <c r="D135" s="35">
        <v>1</v>
      </c>
      <c r="E135" s="35">
        <v>1</v>
      </c>
      <c r="G135" s="78">
        <v>98247</v>
      </c>
      <c r="H135" s="60" t="s">
        <v>353</v>
      </c>
      <c r="I135" s="35">
        <v>4</v>
      </c>
      <c r="J135" s="32">
        <v>2</v>
      </c>
      <c r="K135" s="32">
        <v>5</v>
      </c>
      <c r="M135" s="78">
        <v>98118</v>
      </c>
      <c r="N135" s="60" t="s">
        <v>352</v>
      </c>
      <c r="O135" s="35">
        <v>1</v>
      </c>
      <c r="P135" s="35">
        <v>3</v>
      </c>
      <c r="Q135" s="35">
        <v>8</v>
      </c>
      <c r="S135" s="78">
        <v>98177</v>
      </c>
      <c r="T135" s="60" t="s">
        <v>353</v>
      </c>
      <c r="U135" s="35">
        <v>0</v>
      </c>
      <c r="V135" s="32">
        <v>2</v>
      </c>
      <c r="W135" s="32">
        <v>1</v>
      </c>
    </row>
    <row r="136" spans="1:23" x14ac:dyDescent="0.2">
      <c r="A136" s="54">
        <v>98380</v>
      </c>
      <c r="B136" s="60" t="s">
        <v>352</v>
      </c>
      <c r="C136" s="35">
        <v>1</v>
      </c>
      <c r="D136" s="35">
        <v>2</v>
      </c>
      <c r="E136" s="35">
        <v>0</v>
      </c>
      <c r="G136" s="78">
        <v>98248</v>
      </c>
      <c r="H136" s="60" t="s">
        <v>352</v>
      </c>
      <c r="I136" s="35">
        <v>0</v>
      </c>
      <c r="J136" s="35">
        <v>0</v>
      </c>
      <c r="K136" s="35">
        <v>1</v>
      </c>
      <c r="M136" s="78">
        <v>98118</v>
      </c>
      <c r="N136" s="60" t="s">
        <v>353</v>
      </c>
      <c r="O136" s="32">
        <v>24</v>
      </c>
      <c r="P136" s="35">
        <v>28</v>
      </c>
      <c r="Q136" s="35">
        <v>41</v>
      </c>
      <c r="S136" s="78">
        <v>98178</v>
      </c>
      <c r="T136" s="60" t="s">
        <v>352</v>
      </c>
      <c r="U136" s="32">
        <v>0</v>
      </c>
      <c r="V136" s="35">
        <v>1</v>
      </c>
      <c r="W136" s="32">
        <v>1</v>
      </c>
    </row>
    <row r="137" spans="1:23" x14ac:dyDescent="0.2">
      <c r="A137" s="54">
        <v>98383</v>
      </c>
      <c r="B137" s="60" t="s">
        <v>352</v>
      </c>
      <c r="C137" s="35">
        <v>0</v>
      </c>
      <c r="D137" s="35">
        <v>0</v>
      </c>
      <c r="E137" s="35">
        <v>1</v>
      </c>
      <c r="G137" s="78">
        <v>98248</v>
      </c>
      <c r="H137" s="60" t="s">
        <v>353</v>
      </c>
      <c r="I137" s="35">
        <v>4</v>
      </c>
      <c r="J137" s="32">
        <v>6</v>
      </c>
      <c r="K137" s="35">
        <v>6</v>
      </c>
      <c r="M137" s="54">
        <v>98119</v>
      </c>
      <c r="N137" s="60" t="s">
        <v>353</v>
      </c>
      <c r="O137" s="35">
        <v>4</v>
      </c>
      <c r="P137" s="35">
        <v>7</v>
      </c>
      <c r="Q137" s="35">
        <v>4</v>
      </c>
      <c r="S137" s="78">
        <v>98178</v>
      </c>
      <c r="T137" s="60" t="s">
        <v>353</v>
      </c>
      <c r="U137" s="32">
        <v>7</v>
      </c>
      <c r="V137" s="35">
        <v>5</v>
      </c>
      <c r="W137" s="32">
        <v>5</v>
      </c>
    </row>
    <row r="138" spans="1:23" x14ac:dyDescent="0.2">
      <c r="A138" s="78">
        <v>98387</v>
      </c>
      <c r="B138" s="60" t="s">
        <v>352</v>
      </c>
      <c r="C138" s="35">
        <v>1</v>
      </c>
      <c r="D138" s="35">
        <v>1</v>
      </c>
      <c r="E138" s="35">
        <v>1</v>
      </c>
      <c r="G138" s="78">
        <v>98249</v>
      </c>
      <c r="H138" s="60" t="s">
        <v>353</v>
      </c>
      <c r="I138" s="35">
        <v>0</v>
      </c>
      <c r="J138" s="35">
        <v>1</v>
      </c>
      <c r="K138" s="35">
        <v>0</v>
      </c>
      <c r="M138" s="78">
        <v>98121</v>
      </c>
      <c r="N138" s="60" t="s">
        <v>352</v>
      </c>
      <c r="O138" s="35">
        <v>1</v>
      </c>
      <c r="P138" s="35">
        <v>2</v>
      </c>
      <c r="Q138" s="32">
        <v>1</v>
      </c>
      <c r="S138" s="54">
        <v>98188</v>
      </c>
      <c r="T138" s="60" t="s">
        <v>352</v>
      </c>
      <c r="U138" s="35">
        <v>0</v>
      </c>
      <c r="V138" s="35">
        <v>2</v>
      </c>
      <c r="W138" s="35">
        <v>3</v>
      </c>
    </row>
    <row r="139" spans="1:23" x14ac:dyDescent="0.2">
      <c r="A139" s="78">
        <v>98390</v>
      </c>
      <c r="B139" s="60" t="s">
        <v>352</v>
      </c>
      <c r="C139" s="35">
        <v>8</v>
      </c>
      <c r="D139" s="35">
        <v>5</v>
      </c>
      <c r="E139" s="35">
        <v>7</v>
      </c>
      <c r="G139" s="78">
        <v>98252</v>
      </c>
      <c r="H139" s="60" t="s">
        <v>353</v>
      </c>
      <c r="I139" s="35">
        <v>0</v>
      </c>
      <c r="J139" s="35">
        <v>0</v>
      </c>
      <c r="K139" s="35">
        <v>1</v>
      </c>
      <c r="M139" s="54">
        <v>98121</v>
      </c>
      <c r="N139" s="60" t="s">
        <v>353</v>
      </c>
      <c r="O139" s="32">
        <v>2</v>
      </c>
      <c r="P139" s="35">
        <v>1</v>
      </c>
      <c r="Q139" s="32">
        <v>1</v>
      </c>
      <c r="S139" s="78">
        <v>98188</v>
      </c>
      <c r="T139" s="60" t="s">
        <v>353</v>
      </c>
      <c r="U139" s="35">
        <v>14</v>
      </c>
      <c r="V139" s="35">
        <v>20</v>
      </c>
      <c r="W139" s="35">
        <v>29</v>
      </c>
    </row>
    <row r="140" spans="1:23" x14ac:dyDescent="0.2">
      <c r="A140" s="78">
        <v>98391</v>
      </c>
      <c r="B140" s="60" t="s">
        <v>352</v>
      </c>
      <c r="C140" s="35">
        <v>2</v>
      </c>
      <c r="D140" s="35">
        <v>2</v>
      </c>
      <c r="E140" s="35">
        <v>7</v>
      </c>
      <c r="G140" s="78">
        <v>98253</v>
      </c>
      <c r="H140" s="60" t="s">
        <v>353</v>
      </c>
      <c r="I140" s="35">
        <v>0</v>
      </c>
      <c r="J140" s="35">
        <v>3</v>
      </c>
      <c r="K140" s="35">
        <v>1</v>
      </c>
      <c r="M140" s="78">
        <v>98122</v>
      </c>
      <c r="N140" s="60" t="s">
        <v>352</v>
      </c>
      <c r="O140" s="35">
        <v>2</v>
      </c>
      <c r="P140" s="35">
        <v>2</v>
      </c>
      <c r="Q140" s="35">
        <v>3</v>
      </c>
      <c r="S140" s="78">
        <v>98198</v>
      </c>
      <c r="T140" s="60" t="s">
        <v>352</v>
      </c>
      <c r="U140" s="32">
        <v>1</v>
      </c>
      <c r="V140" s="35">
        <v>0</v>
      </c>
      <c r="W140" s="32">
        <v>1</v>
      </c>
    </row>
    <row r="141" spans="1:23" x14ac:dyDescent="0.2">
      <c r="A141" s="78">
        <v>98402</v>
      </c>
      <c r="B141" s="60" t="s">
        <v>352</v>
      </c>
      <c r="C141" s="35">
        <v>1</v>
      </c>
      <c r="D141" s="35">
        <v>2</v>
      </c>
      <c r="E141" s="35">
        <v>2</v>
      </c>
      <c r="G141" s="78">
        <v>98255</v>
      </c>
      <c r="H141" s="60" t="s">
        <v>353</v>
      </c>
      <c r="I141" s="32">
        <v>0</v>
      </c>
      <c r="J141" s="32">
        <v>1</v>
      </c>
      <c r="K141" s="35">
        <v>0</v>
      </c>
      <c r="M141" s="78">
        <v>98122</v>
      </c>
      <c r="N141" s="60" t="s">
        <v>353</v>
      </c>
      <c r="O141" s="35">
        <v>12</v>
      </c>
      <c r="P141" s="32">
        <v>12</v>
      </c>
      <c r="Q141" s="32">
        <v>17</v>
      </c>
      <c r="S141" s="54">
        <v>98198</v>
      </c>
      <c r="T141" s="60" t="s">
        <v>353</v>
      </c>
      <c r="U141" s="35">
        <v>35</v>
      </c>
      <c r="V141" s="35">
        <v>45</v>
      </c>
      <c r="W141" s="35">
        <v>58</v>
      </c>
    </row>
    <row r="142" spans="1:23" x14ac:dyDescent="0.2">
      <c r="A142" s="54">
        <v>98403</v>
      </c>
      <c r="B142" s="60" t="s">
        <v>352</v>
      </c>
      <c r="C142" s="35">
        <v>1</v>
      </c>
      <c r="D142" s="35">
        <v>0</v>
      </c>
      <c r="E142" s="35">
        <v>1</v>
      </c>
      <c r="G142" s="78">
        <v>98257</v>
      </c>
      <c r="H142" s="60" t="s">
        <v>353</v>
      </c>
      <c r="I142" s="35">
        <v>4</v>
      </c>
      <c r="J142" s="35">
        <v>1</v>
      </c>
      <c r="K142" s="35">
        <v>3</v>
      </c>
      <c r="M142" s="54">
        <v>98125</v>
      </c>
      <c r="N142" s="60" t="s">
        <v>352</v>
      </c>
      <c r="O142" s="35">
        <v>0</v>
      </c>
      <c r="P142" s="35">
        <v>1</v>
      </c>
      <c r="Q142" s="35">
        <v>2</v>
      </c>
      <c r="S142" s="78">
        <v>98199</v>
      </c>
      <c r="T142" s="60" t="s">
        <v>353</v>
      </c>
      <c r="U142" s="35">
        <v>1</v>
      </c>
      <c r="V142" s="35">
        <v>1</v>
      </c>
      <c r="W142" s="35">
        <v>0</v>
      </c>
    </row>
    <row r="143" spans="1:23" x14ac:dyDescent="0.2">
      <c r="A143" s="78">
        <v>98404</v>
      </c>
      <c r="B143" s="60" t="s">
        <v>352</v>
      </c>
      <c r="C143" s="35">
        <v>0</v>
      </c>
      <c r="D143" s="35">
        <v>2</v>
      </c>
      <c r="E143" s="35">
        <v>2</v>
      </c>
      <c r="G143" s="78">
        <v>98258</v>
      </c>
      <c r="H143" s="60" t="s">
        <v>353</v>
      </c>
      <c r="I143" s="32">
        <v>7</v>
      </c>
      <c r="J143" s="32">
        <v>5</v>
      </c>
      <c r="K143" s="35">
        <v>4</v>
      </c>
      <c r="M143" s="78">
        <v>98125</v>
      </c>
      <c r="N143" s="60" t="s">
        <v>353</v>
      </c>
      <c r="O143" s="35">
        <v>6</v>
      </c>
      <c r="P143" s="32">
        <v>11</v>
      </c>
      <c r="Q143" s="35">
        <v>8</v>
      </c>
      <c r="S143" s="78">
        <v>98201</v>
      </c>
      <c r="T143" s="60" t="s">
        <v>352</v>
      </c>
      <c r="U143" s="35">
        <v>2</v>
      </c>
      <c r="V143" s="32">
        <v>1</v>
      </c>
      <c r="W143" s="32">
        <v>2</v>
      </c>
    </row>
    <row r="144" spans="1:23" x14ac:dyDescent="0.2">
      <c r="A144" s="78">
        <v>98405</v>
      </c>
      <c r="B144" s="60" t="s">
        <v>352</v>
      </c>
      <c r="C144" s="35">
        <v>3</v>
      </c>
      <c r="D144" s="35">
        <v>2</v>
      </c>
      <c r="E144" s="35">
        <v>3</v>
      </c>
      <c r="G144" s="78">
        <v>98260</v>
      </c>
      <c r="H144" s="60" t="s">
        <v>353</v>
      </c>
      <c r="I144" s="35">
        <v>1</v>
      </c>
      <c r="J144" s="35">
        <v>3</v>
      </c>
      <c r="K144" s="35">
        <v>2</v>
      </c>
      <c r="M144" s="54">
        <v>98126</v>
      </c>
      <c r="N144" s="60" t="s">
        <v>352</v>
      </c>
      <c r="O144" s="35">
        <v>1</v>
      </c>
      <c r="P144" s="32">
        <v>0</v>
      </c>
      <c r="Q144" s="35">
        <v>1</v>
      </c>
      <c r="S144" s="78">
        <v>98201</v>
      </c>
      <c r="T144" s="60" t="s">
        <v>353</v>
      </c>
      <c r="U144" s="35">
        <v>4</v>
      </c>
      <c r="V144" s="35">
        <v>10</v>
      </c>
      <c r="W144" s="35">
        <v>7</v>
      </c>
    </row>
    <row r="145" spans="1:23" x14ac:dyDescent="0.2">
      <c r="A145" s="78">
        <v>98408</v>
      </c>
      <c r="B145" s="60" t="s">
        <v>352</v>
      </c>
      <c r="C145" s="35">
        <v>5</v>
      </c>
      <c r="D145" s="35">
        <v>4</v>
      </c>
      <c r="E145" s="35">
        <v>4</v>
      </c>
      <c r="G145" s="78">
        <v>98263</v>
      </c>
      <c r="H145" s="60" t="s">
        <v>353</v>
      </c>
      <c r="I145" s="35">
        <v>1</v>
      </c>
      <c r="J145" s="32">
        <v>0</v>
      </c>
      <c r="K145" s="32">
        <v>0</v>
      </c>
      <c r="M145" s="78">
        <v>98126</v>
      </c>
      <c r="N145" s="60" t="s">
        <v>353</v>
      </c>
      <c r="O145" s="35">
        <v>8</v>
      </c>
      <c r="P145" s="32">
        <v>7</v>
      </c>
      <c r="Q145" s="32">
        <v>16</v>
      </c>
      <c r="S145" s="78">
        <v>98203</v>
      </c>
      <c r="T145" s="60" t="s">
        <v>352</v>
      </c>
      <c r="U145" s="35">
        <v>0</v>
      </c>
      <c r="V145" s="35">
        <v>1</v>
      </c>
      <c r="W145" s="35">
        <v>0</v>
      </c>
    </row>
    <row r="146" spans="1:23" x14ac:dyDescent="0.2">
      <c r="A146" s="78">
        <v>98409</v>
      </c>
      <c r="B146" s="60" t="s">
        <v>352</v>
      </c>
      <c r="C146" s="35">
        <v>4</v>
      </c>
      <c r="D146" s="35">
        <v>4</v>
      </c>
      <c r="E146" s="35">
        <v>7</v>
      </c>
      <c r="G146" s="78">
        <v>98264</v>
      </c>
      <c r="H146" s="60" t="s">
        <v>352</v>
      </c>
      <c r="I146" s="35">
        <v>0</v>
      </c>
      <c r="J146" s="32">
        <v>0</v>
      </c>
      <c r="K146" s="35">
        <v>2</v>
      </c>
      <c r="M146" s="54">
        <v>98133</v>
      </c>
      <c r="N146" s="60" t="s">
        <v>352</v>
      </c>
      <c r="O146" s="35">
        <v>1</v>
      </c>
      <c r="P146" s="35">
        <v>2</v>
      </c>
      <c r="Q146" s="35">
        <v>2</v>
      </c>
      <c r="S146" s="78">
        <v>98203</v>
      </c>
      <c r="T146" s="60" t="s">
        <v>353</v>
      </c>
      <c r="U146" s="32">
        <v>0</v>
      </c>
      <c r="V146" s="35">
        <v>1</v>
      </c>
      <c r="W146" s="32">
        <v>11</v>
      </c>
    </row>
    <row r="147" spans="1:23" x14ac:dyDescent="0.2">
      <c r="A147" s="78">
        <v>98418</v>
      </c>
      <c r="B147" s="60" t="s">
        <v>352</v>
      </c>
      <c r="C147" s="35">
        <v>1</v>
      </c>
      <c r="D147" s="35">
        <v>1</v>
      </c>
      <c r="E147" s="35">
        <v>1</v>
      </c>
      <c r="G147" s="78">
        <v>98264</v>
      </c>
      <c r="H147" s="60" t="s">
        <v>353</v>
      </c>
      <c r="I147" s="35">
        <v>10</v>
      </c>
      <c r="J147" s="35">
        <v>4</v>
      </c>
      <c r="K147" s="35">
        <v>8</v>
      </c>
      <c r="M147" s="78">
        <v>98133</v>
      </c>
      <c r="N147" s="60" t="s">
        <v>353</v>
      </c>
      <c r="O147" s="32">
        <v>12</v>
      </c>
      <c r="P147" s="35">
        <v>18</v>
      </c>
      <c r="Q147" s="35">
        <v>19</v>
      </c>
      <c r="S147" s="78">
        <v>98204</v>
      </c>
      <c r="T147" s="60" t="s">
        <v>352</v>
      </c>
      <c r="U147" s="32">
        <v>0</v>
      </c>
      <c r="V147" s="35">
        <v>1</v>
      </c>
      <c r="W147" s="32">
        <v>1</v>
      </c>
    </row>
    <row r="148" spans="1:23" x14ac:dyDescent="0.2">
      <c r="A148" s="78">
        <v>98421</v>
      </c>
      <c r="B148" s="60" t="s">
        <v>352</v>
      </c>
      <c r="C148" s="35">
        <v>5</v>
      </c>
      <c r="D148" s="35">
        <v>1</v>
      </c>
      <c r="E148" s="35">
        <v>1</v>
      </c>
      <c r="G148" s="78">
        <v>98266</v>
      </c>
      <c r="H148" s="60" t="s">
        <v>353</v>
      </c>
      <c r="I148" s="35">
        <v>3</v>
      </c>
      <c r="J148" s="35">
        <v>3</v>
      </c>
      <c r="K148" s="35">
        <v>4</v>
      </c>
      <c r="M148" s="54">
        <v>98134</v>
      </c>
      <c r="N148" s="60" t="s">
        <v>352</v>
      </c>
      <c r="O148" s="35">
        <v>0</v>
      </c>
      <c r="P148" s="35">
        <v>1</v>
      </c>
      <c r="Q148" s="35">
        <v>4</v>
      </c>
      <c r="S148" s="54">
        <v>98204</v>
      </c>
      <c r="T148" s="60" t="s">
        <v>353</v>
      </c>
      <c r="U148" s="35">
        <v>0</v>
      </c>
      <c r="V148" s="35">
        <v>2</v>
      </c>
      <c r="W148" s="35">
        <v>4</v>
      </c>
    </row>
    <row r="149" spans="1:23" x14ac:dyDescent="0.2">
      <c r="A149" s="78">
        <v>98422</v>
      </c>
      <c r="B149" s="60" t="s">
        <v>352</v>
      </c>
      <c r="C149" s="35">
        <v>1</v>
      </c>
      <c r="D149" s="35">
        <v>0</v>
      </c>
      <c r="E149" s="35">
        <v>0</v>
      </c>
      <c r="G149" s="78">
        <v>98267</v>
      </c>
      <c r="H149" s="60" t="s">
        <v>353</v>
      </c>
      <c r="I149" s="35">
        <v>2</v>
      </c>
      <c r="J149" s="32">
        <v>0</v>
      </c>
      <c r="K149" s="32">
        <v>1</v>
      </c>
      <c r="M149" s="78">
        <v>98136</v>
      </c>
      <c r="N149" s="60" t="s">
        <v>353</v>
      </c>
      <c r="O149" s="35">
        <v>4</v>
      </c>
      <c r="P149" s="35">
        <v>10</v>
      </c>
      <c r="Q149" s="35">
        <v>7</v>
      </c>
      <c r="S149" s="78">
        <v>98208</v>
      </c>
      <c r="T149" s="60" t="s">
        <v>353</v>
      </c>
      <c r="U149" s="35">
        <v>7</v>
      </c>
      <c r="V149" s="35">
        <v>5</v>
      </c>
      <c r="W149" s="35">
        <v>11</v>
      </c>
    </row>
    <row r="150" spans="1:23" x14ac:dyDescent="0.2">
      <c r="A150" s="78">
        <v>98424</v>
      </c>
      <c r="B150" s="60" t="s">
        <v>352</v>
      </c>
      <c r="C150" s="35">
        <v>2</v>
      </c>
      <c r="D150" s="35">
        <v>0</v>
      </c>
      <c r="E150" s="35">
        <v>2</v>
      </c>
      <c r="G150" s="54">
        <v>98270</v>
      </c>
      <c r="H150" s="60" t="s">
        <v>353</v>
      </c>
      <c r="I150" s="35">
        <v>5</v>
      </c>
      <c r="J150" s="35">
        <v>5</v>
      </c>
      <c r="K150" s="35">
        <v>4</v>
      </c>
      <c r="M150" s="78">
        <v>98144</v>
      </c>
      <c r="N150" s="60" t="s">
        <v>352</v>
      </c>
      <c r="O150" s="32">
        <v>2</v>
      </c>
      <c r="P150" s="35">
        <v>2</v>
      </c>
      <c r="Q150" s="35">
        <v>1</v>
      </c>
      <c r="S150" s="78">
        <v>98220</v>
      </c>
      <c r="T150" s="60" t="s">
        <v>352</v>
      </c>
      <c r="U150" s="32">
        <v>1</v>
      </c>
      <c r="V150" s="32">
        <v>0</v>
      </c>
      <c r="W150" s="35">
        <v>0</v>
      </c>
    </row>
    <row r="151" spans="1:23" x14ac:dyDescent="0.2">
      <c r="A151" s="78">
        <v>98444</v>
      </c>
      <c r="B151" s="60" t="s">
        <v>352</v>
      </c>
      <c r="C151" s="35">
        <v>0</v>
      </c>
      <c r="D151" s="35">
        <v>0</v>
      </c>
      <c r="E151" s="35">
        <v>4</v>
      </c>
      <c r="G151" s="78">
        <v>98271</v>
      </c>
      <c r="H151" s="60" t="s">
        <v>353</v>
      </c>
      <c r="I151" s="35">
        <v>0</v>
      </c>
      <c r="J151" s="32">
        <v>3</v>
      </c>
      <c r="K151" s="32">
        <v>1</v>
      </c>
      <c r="M151" s="54">
        <v>98144</v>
      </c>
      <c r="N151" s="60" t="s">
        <v>353</v>
      </c>
      <c r="O151" s="35">
        <v>9</v>
      </c>
      <c r="P151" s="35">
        <v>6</v>
      </c>
      <c r="Q151" s="35">
        <v>22</v>
      </c>
      <c r="S151" s="78">
        <v>98221</v>
      </c>
      <c r="T151" s="60" t="s">
        <v>352</v>
      </c>
      <c r="U151" s="32">
        <v>2</v>
      </c>
      <c r="V151" s="32">
        <v>3</v>
      </c>
      <c r="W151" s="35">
        <v>1</v>
      </c>
    </row>
    <row r="152" spans="1:23" x14ac:dyDescent="0.2">
      <c r="A152" s="80">
        <v>98446</v>
      </c>
      <c r="B152" s="14" t="s">
        <v>352</v>
      </c>
      <c r="C152" s="51">
        <v>0</v>
      </c>
      <c r="D152" s="51">
        <v>1</v>
      </c>
      <c r="E152" s="51">
        <v>0</v>
      </c>
      <c r="G152" s="54">
        <v>98272</v>
      </c>
      <c r="H152" s="60" t="s">
        <v>352</v>
      </c>
      <c r="I152" s="35">
        <v>0</v>
      </c>
      <c r="J152" s="35">
        <v>0</v>
      </c>
      <c r="K152" s="35">
        <v>1</v>
      </c>
      <c r="M152" s="78">
        <v>98146</v>
      </c>
      <c r="N152" s="60" t="s">
        <v>352</v>
      </c>
      <c r="O152" s="35">
        <v>1</v>
      </c>
      <c r="P152" s="35">
        <v>0</v>
      </c>
      <c r="Q152" s="35">
        <v>0</v>
      </c>
      <c r="S152" s="78">
        <v>98221</v>
      </c>
      <c r="T152" s="60" t="s">
        <v>353</v>
      </c>
      <c r="U152" s="35">
        <v>12</v>
      </c>
      <c r="V152" s="35">
        <v>12</v>
      </c>
      <c r="W152" s="35">
        <v>11</v>
      </c>
    </row>
    <row r="153" spans="1:23" x14ac:dyDescent="0.2">
      <c r="A153" s="80">
        <v>98466</v>
      </c>
      <c r="B153" s="14" t="s">
        <v>352</v>
      </c>
      <c r="C153" s="51">
        <v>2</v>
      </c>
      <c r="D153" s="51">
        <v>2</v>
      </c>
      <c r="E153" s="51">
        <v>2</v>
      </c>
      <c r="G153" s="78">
        <v>98272</v>
      </c>
      <c r="H153" s="60" t="s">
        <v>353</v>
      </c>
      <c r="I153" s="32">
        <v>1</v>
      </c>
      <c r="J153" s="35">
        <v>1</v>
      </c>
      <c r="K153" s="32">
        <v>1</v>
      </c>
      <c r="M153" s="78">
        <v>98146</v>
      </c>
      <c r="N153" s="60" t="s">
        <v>353</v>
      </c>
      <c r="O153" s="35">
        <v>15</v>
      </c>
      <c r="P153" s="32">
        <v>11</v>
      </c>
      <c r="Q153" s="32">
        <v>23</v>
      </c>
      <c r="S153" s="78">
        <v>98224</v>
      </c>
      <c r="T153" s="60" t="s">
        <v>353</v>
      </c>
      <c r="U153" s="35">
        <v>0</v>
      </c>
      <c r="V153" s="35">
        <v>1</v>
      </c>
      <c r="W153" s="32">
        <v>0</v>
      </c>
    </row>
    <row r="154" spans="1:23" x14ac:dyDescent="0.2">
      <c r="A154" s="80">
        <v>98498</v>
      </c>
      <c r="B154" s="14" t="s">
        <v>352</v>
      </c>
      <c r="C154" s="51">
        <v>4</v>
      </c>
      <c r="D154" s="51">
        <v>7</v>
      </c>
      <c r="E154" s="51">
        <v>4</v>
      </c>
      <c r="G154" s="54">
        <v>98273</v>
      </c>
      <c r="H154" s="60" t="s">
        <v>352</v>
      </c>
      <c r="I154" s="32">
        <v>1</v>
      </c>
      <c r="J154" s="35">
        <v>0</v>
      </c>
      <c r="K154" s="35">
        <v>0</v>
      </c>
      <c r="M154" s="54">
        <v>98148</v>
      </c>
      <c r="N154" s="60" t="s">
        <v>352</v>
      </c>
      <c r="O154" s="35">
        <v>0</v>
      </c>
      <c r="P154" s="35">
        <v>0</v>
      </c>
      <c r="Q154" s="35">
        <v>1</v>
      </c>
      <c r="S154" s="78">
        <v>98225</v>
      </c>
      <c r="T154" s="60" t="s">
        <v>352</v>
      </c>
      <c r="U154" s="35">
        <v>5</v>
      </c>
      <c r="V154" s="35">
        <v>1</v>
      </c>
      <c r="W154" s="35">
        <v>4</v>
      </c>
    </row>
    <row r="155" spans="1:23" x14ac:dyDescent="0.2">
      <c r="A155" s="80">
        <v>98499</v>
      </c>
      <c r="B155" s="14" t="s">
        <v>352</v>
      </c>
      <c r="C155" s="51">
        <v>6</v>
      </c>
      <c r="D155" s="51">
        <v>7</v>
      </c>
      <c r="E155" s="51">
        <v>12</v>
      </c>
      <c r="G155" s="78">
        <v>98273</v>
      </c>
      <c r="H155" s="60" t="s">
        <v>353</v>
      </c>
      <c r="I155" s="35">
        <v>10</v>
      </c>
      <c r="J155" s="35">
        <v>9</v>
      </c>
      <c r="K155" s="35">
        <v>22</v>
      </c>
      <c r="M155" s="78">
        <v>98148</v>
      </c>
      <c r="N155" s="60" t="s">
        <v>353</v>
      </c>
      <c r="O155" s="35">
        <v>33</v>
      </c>
      <c r="P155" s="35">
        <v>49</v>
      </c>
      <c r="Q155" s="32">
        <v>42</v>
      </c>
      <c r="S155" s="78">
        <v>98225</v>
      </c>
      <c r="T155" s="60" t="s">
        <v>353</v>
      </c>
      <c r="U155" s="35">
        <v>27</v>
      </c>
      <c r="V155" s="35">
        <v>26</v>
      </c>
      <c r="W155" s="35">
        <v>38</v>
      </c>
    </row>
    <row r="156" spans="1:23" x14ac:dyDescent="0.2">
      <c r="A156" s="80">
        <v>98501</v>
      </c>
      <c r="B156" s="14" t="s">
        <v>352</v>
      </c>
      <c r="C156" s="51">
        <v>11</v>
      </c>
      <c r="D156" s="51">
        <v>13</v>
      </c>
      <c r="E156" s="51">
        <v>18</v>
      </c>
      <c r="G156" s="78">
        <v>98274</v>
      </c>
      <c r="H156" s="60" t="s">
        <v>352</v>
      </c>
      <c r="I156" s="35">
        <v>0</v>
      </c>
      <c r="J156" s="35">
        <v>0</v>
      </c>
      <c r="K156" s="35">
        <v>1</v>
      </c>
      <c r="M156" s="54">
        <v>98155</v>
      </c>
      <c r="N156" s="60" t="s">
        <v>352</v>
      </c>
      <c r="O156" s="35">
        <v>2</v>
      </c>
      <c r="P156" s="35">
        <v>0</v>
      </c>
      <c r="Q156" s="35">
        <v>0</v>
      </c>
      <c r="S156" s="78">
        <v>98226</v>
      </c>
      <c r="T156" s="60" t="s">
        <v>352</v>
      </c>
      <c r="U156" s="32">
        <v>3</v>
      </c>
      <c r="V156" s="32">
        <v>6</v>
      </c>
      <c r="W156" s="35">
        <v>2</v>
      </c>
    </row>
    <row r="157" spans="1:23" x14ac:dyDescent="0.2">
      <c r="A157" s="80">
        <v>98502</v>
      </c>
      <c r="B157" s="14" t="s">
        <v>352</v>
      </c>
      <c r="C157" s="51">
        <v>7</v>
      </c>
      <c r="D157" s="51">
        <v>9</v>
      </c>
      <c r="E157" s="51">
        <v>9</v>
      </c>
      <c r="G157" s="78">
        <v>98274</v>
      </c>
      <c r="H157" s="60" t="s">
        <v>353</v>
      </c>
      <c r="I157" s="35">
        <v>12</v>
      </c>
      <c r="J157" s="35">
        <v>14</v>
      </c>
      <c r="K157" s="35">
        <v>10</v>
      </c>
      <c r="M157" s="78">
        <v>98155</v>
      </c>
      <c r="N157" s="60" t="s">
        <v>353</v>
      </c>
      <c r="O157" s="35">
        <v>17</v>
      </c>
      <c r="P157" s="32">
        <v>33</v>
      </c>
      <c r="Q157" s="32">
        <v>19</v>
      </c>
      <c r="S157" s="54">
        <v>98226</v>
      </c>
      <c r="T157" s="60" t="s">
        <v>353</v>
      </c>
      <c r="U157" s="35">
        <v>28</v>
      </c>
      <c r="V157" s="35">
        <v>21</v>
      </c>
      <c r="W157" s="35">
        <v>39</v>
      </c>
    </row>
    <row r="158" spans="1:23" x14ac:dyDescent="0.2">
      <c r="A158" s="80">
        <v>98503</v>
      </c>
      <c r="B158" s="14" t="s">
        <v>352</v>
      </c>
      <c r="C158" s="51">
        <v>8</v>
      </c>
      <c r="D158" s="51">
        <v>6</v>
      </c>
      <c r="E158" s="51">
        <v>7</v>
      </c>
      <c r="G158" s="78">
        <v>98275</v>
      </c>
      <c r="H158" s="60" t="s">
        <v>353</v>
      </c>
      <c r="I158" s="35">
        <v>1</v>
      </c>
      <c r="J158" s="32">
        <v>1</v>
      </c>
      <c r="K158" s="35">
        <v>1</v>
      </c>
      <c r="M158" s="54">
        <v>98166</v>
      </c>
      <c r="N158" s="60" t="s">
        <v>352</v>
      </c>
      <c r="O158" s="35">
        <v>4</v>
      </c>
      <c r="P158" s="35">
        <v>1</v>
      </c>
      <c r="Q158" s="35">
        <v>4</v>
      </c>
      <c r="S158" s="78">
        <v>98229</v>
      </c>
      <c r="T158" s="60" t="s">
        <v>352</v>
      </c>
      <c r="U158" s="35">
        <v>1</v>
      </c>
      <c r="V158" s="32">
        <v>1</v>
      </c>
      <c r="W158" s="32">
        <v>0</v>
      </c>
    </row>
    <row r="159" spans="1:23" x14ac:dyDescent="0.2">
      <c r="A159" s="80">
        <v>98506</v>
      </c>
      <c r="B159" s="14" t="s">
        <v>352</v>
      </c>
      <c r="C159" s="51">
        <v>5</v>
      </c>
      <c r="D159" s="51">
        <v>6</v>
      </c>
      <c r="E159" s="51">
        <v>4</v>
      </c>
      <c r="G159" s="54">
        <v>98277</v>
      </c>
      <c r="H159" s="60" t="s">
        <v>352</v>
      </c>
      <c r="I159" s="35">
        <v>2</v>
      </c>
      <c r="J159" s="35">
        <v>1</v>
      </c>
      <c r="K159" s="35">
        <v>0</v>
      </c>
      <c r="M159" s="78">
        <v>98166</v>
      </c>
      <c r="N159" s="60" t="s">
        <v>353</v>
      </c>
      <c r="O159" s="35">
        <v>25</v>
      </c>
      <c r="P159" s="32">
        <v>17</v>
      </c>
      <c r="Q159" s="35">
        <v>23</v>
      </c>
      <c r="S159" s="54">
        <v>98229</v>
      </c>
      <c r="T159" s="60" t="s">
        <v>353</v>
      </c>
      <c r="U159" s="35">
        <v>21</v>
      </c>
      <c r="V159" s="35">
        <v>19</v>
      </c>
      <c r="W159" s="35">
        <v>26</v>
      </c>
    </row>
    <row r="160" spans="1:23" x14ac:dyDescent="0.2">
      <c r="A160" s="80">
        <v>98512</v>
      </c>
      <c r="B160" s="14" t="s">
        <v>352</v>
      </c>
      <c r="C160" s="51">
        <v>8</v>
      </c>
      <c r="D160" s="51">
        <v>11</v>
      </c>
      <c r="E160" s="51">
        <v>11</v>
      </c>
      <c r="G160" s="78">
        <v>98277</v>
      </c>
      <c r="H160" s="60" t="s">
        <v>353</v>
      </c>
      <c r="I160" s="32">
        <v>6</v>
      </c>
      <c r="J160" s="35">
        <v>20</v>
      </c>
      <c r="K160" s="35">
        <v>20</v>
      </c>
      <c r="M160" s="78">
        <v>98168</v>
      </c>
      <c r="N160" s="60" t="s">
        <v>352</v>
      </c>
      <c r="O160" s="32">
        <v>0</v>
      </c>
      <c r="P160" s="35">
        <v>1</v>
      </c>
      <c r="Q160" s="35">
        <v>5</v>
      </c>
      <c r="S160" s="78">
        <v>98230</v>
      </c>
      <c r="T160" s="60" t="s">
        <v>352</v>
      </c>
      <c r="U160" s="35">
        <v>1</v>
      </c>
      <c r="V160" s="35">
        <v>0</v>
      </c>
      <c r="W160" s="35">
        <v>0</v>
      </c>
    </row>
    <row r="161" spans="1:23" x14ac:dyDescent="0.2">
      <c r="A161" s="80">
        <v>98513</v>
      </c>
      <c r="B161" s="14" t="s">
        <v>352</v>
      </c>
      <c r="C161" s="51">
        <v>1</v>
      </c>
      <c r="D161" s="51">
        <v>1</v>
      </c>
      <c r="E161" s="51">
        <v>3</v>
      </c>
      <c r="G161" s="78">
        <v>98283</v>
      </c>
      <c r="H161" s="60" t="s">
        <v>353</v>
      </c>
      <c r="I161" s="35">
        <v>1</v>
      </c>
      <c r="J161" s="35">
        <v>0</v>
      </c>
      <c r="K161" s="35">
        <v>1</v>
      </c>
      <c r="M161" s="54">
        <v>98168</v>
      </c>
      <c r="N161" s="60" t="s">
        <v>353</v>
      </c>
      <c r="O161" s="35">
        <v>46</v>
      </c>
      <c r="P161" s="35">
        <v>28</v>
      </c>
      <c r="Q161" s="35">
        <v>51</v>
      </c>
      <c r="S161" s="78">
        <v>98230</v>
      </c>
      <c r="T161" s="60" t="s">
        <v>353</v>
      </c>
      <c r="U161" s="35">
        <v>7</v>
      </c>
      <c r="V161" s="35">
        <v>10</v>
      </c>
      <c r="W161" s="35">
        <v>12</v>
      </c>
    </row>
    <row r="162" spans="1:23" x14ac:dyDescent="0.2">
      <c r="A162" s="80">
        <v>98516</v>
      </c>
      <c r="B162" s="14" t="s">
        <v>352</v>
      </c>
      <c r="C162" s="51">
        <v>6</v>
      </c>
      <c r="D162" s="51">
        <v>8</v>
      </c>
      <c r="E162" s="51">
        <v>9</v>
      </c>
      <c r="G162" s="78">
        <v>98284</v>
      </c>
      <c r="H162" s="60" t="s">
        <v>353</v>
      </c>
      <c r="I162" s="35">
        <v>15</v>
      </c>
      <c r="J162" s="32">
        <v>25</v>
      </c>
      <c r="K162" s="35">
        <v>25</v>
      </c>
      <c r="M162" s="78">
        <v>98177</v>
      </c>
      <c r="N162" s="60" t="s">
        <v>353</v>
      </c>
      <c r="O162" s="32">
        <v>5</v>
      </c>
      <c r="P162" s="35">
        <v>7</v>
      </c>
      <c r="Q162" s="35">
        <v>13</v>
      </c>
      <c r="S162" s="78">
        <v>98232</v>
      </c>
      <c r="T162" s="60" t="s">
        <v>353</v>
      </c>
      <c r="U162" s="35">
        <v>3</v>
      </c>
      <c r="V162" s="35">
        <v>4</v>
      </c>
      <c r="W162" s="35">
        <v>3</v>
      </c>
    </row>
    <row r="163" spans="1:23" x14ac:dyDescent="0.2">
      <c r="A163" s="80">
        <v>98531</v>
      </c>
      <c r="B163" s="14" t="s">
        <v>352</v>
      </c>
      <c r="C163" s="51">
        <v>3</v>
      </c>
      <c r="D163" s="51">
        <v>3</v>
      </c>
      <c r="E163" s="51">
        <v>3</v>
      </c>
      <c r="G163" s="54">
        <v>98288</v>
      </c>
      <c r="H163" s="60" t="s">
        <v>353</v>
      </c>
      <c r="I163" s="35">
        <v>0</v>
      </c>
      <c r="J163" s="35">
        <v>0</v>
      </c>
      <c r="K163" s="32">
        <v>1</v>
      </c>
      <c r="M163" s="54">
        <v>98178</v>
      </c>
      <c r="N163" s="60" t="s">
        <v>352</v>
      </c>
      <c r="O163" s="35">
        <v>0</v>
      </c>
      <c r="P163" s="35">
        <v>1</v>
      </c>
      <c r="Q163" s="35">
        <v>1</v>
      </c>
      <c r="S163" s="78">
        <v>98233</v>
      </c>
      <c r="T163" s="60" t="s">
        <v>352</v>
      </c>
      <c r="U163" s="35">
        <v>0</v>
      </c>
      <c r="V163" s="35">
        <v>1</v>
      </c>
      <c r="W163" s="35">
        <v>0</v>
      </c>
    </row>
    <row r="164" spans="1:23" x14ac:dyDescent="0.2">
      <c r="A164" s="80">
        <v>98532</v>
      </c>
      <c r="B164" s="14" t="s">
        <v>352</v>
      </c>
      <c r="C164" s="51">
        <v>1</v>
      </c>
      <c r="D164" s="51">
        <v>0</v>
      </c>
      <c r="E164" s="51">
        <v>0</v>
      </c>
      <c r="G164" s="78">
        <v>98290</v>
      </c>
      <c r="H164" s="60" t="s">
        <v>353</v>
      </c>
      <c r="I164" s="32">
        <v>0</v>
      </c>
      <c r="J164" s="32">
        <v>0</v>
      </c>
      <c r="K164" s="35">
        <v>1</v>
      </c>
      <c r="M164" s="78">
        <v>98178</v>
      </c>
      <c r="N164" s="60" t="s">
        <v>353</v>
      </c>
      <c r="O164" s="35">
        <v>23</v>
      </c>
      <c r="P164" s="35">
        <v>13</v>
      </c>
      <c r="Q164" s="35">
        <v>21</v>
      </c>
      <c r="S164" s="78">
        <v>98233</v>
      </c>
      <c r="T164" s="60" t="s">
        <v>353</v>
      </c>
      <c r="U164" s="35">
        <v>10</v>
      </c>
      <c r="V164" s="32">
        <v>12</v>
      </c>
      <c r="W164" s="32">
        <v>22</v>
      </c>
    </row>
    <row r="165" spans="1:23" x14ac:dyDescent="0.2">
      <c r="A165" s="80">
        <v>98576</v>
      </c>
      <c r="B165" s="14" t="s">
        <v>352</v>
      </c>
      <c r="C165" s="51">
        <v>1</v>
      </c>
      <c r="D165" s="51">
        <v>1</v>
      </c>
      <c r="E165" s="51">
        <v>1</v>
      </c>
      <c r="G165" s="54">
        <v>98295</v>
      </c>
      <c r="H165" s="60" t="s">
        <v>353</v>
      </c>
      <c r="I165" s="35">
        <v>1</v>
      </c>
      <c r="J165" s="35">
        <v>3</v>
      </c>
      <c r="K165" s="35">
        <v>2</v>
      </c>
      <c r="M165" s="54">
        <v>98188</v>
      </c>
      <c r="N165" s="60" t="s">
        <v>352</v>
      </c>
      <c r="O165" s="35">
        <v>3</v>
      </c>
      <c r="P165" s="35">
        <v>3</v>
      </c>
      <c r="Q165" s="35">
        <v>6</v>
      </c>
      <c r="S165" s="54">
        <v>98235</v>
      </c>
      <c r="T165" s="60" t="s">
        <v>353</v>
      </c>
      <c r="U165" s="35">
        <v>1</v>
      </c>
      <c r="V165" s="35">
        <v>0</v>
      </c>
      <c r="W165" s="35">
        <v>2</v>
      </c>
    </row>
    <row r="166" spans="1:23" x14ac:dyDescent="0.2">
      <c r="A166" s="80">
        <v>98579</v>
      </c>
      <c r="B166" s="14" t="s">
        <v>352</v>
      </c>
      <c r="C166" s="51">
        <v>4</v>
      </c>
      <c r="D166" s="51">
        <v>6</v>
      </c>
      <c r="E166" s="51">
        <v>9</v>
      </c>
      <c r="G166" s="78">
        <v>98296</v>
      </c>
      <c r="H166" s="60" t="s">
        <v>353</v>
      </c>
      <c r="I166" s="32">
        <v>0</v>
      </c>
      <c r="J166" s="32">
        <v>0</v>
      </c>
      <c r="K166" s="35">
        <v>1</v>
      </c>
      <c r="M166" s="78">
        <v>98188</v>
      </c>
      <c r="N166" s="60" t="s">
        <v>353</v>
      </c>
      <c r="O166" s="35">
        <v>86</v>
      </c>
      <c r="P166" s="35">
        <v>68</v>
      </c>
      <c r="Q166" s="32">
        <v>115</v>
      </c>
      <c r="S166" s="78">
        <v>98236</v>
      </c>
      <c r="T166" s="60" t="s">
        <v>353</v>
      </c>
      <c r="U166" s="35">
        <v>6</v>
      </c>
      <c r="V166" s="32">
        <v>4</v>
      </c>
      <c r="W166" s="32">
        <v>5</v>
      </c>
    </row>
    <row r="167" spans="1:23" x14ac:dyDescent="0.2">
      <c r="A167" s="80">
        <v>98580</v>
      </c>
      <c r="B167" s="14" t="s">
        <v>352</v>
      </c>
      <c r="C167" s="51">
        <v>7</v>
      </c>
      <c r="D167" s="51">
        <v>5</v>
      </c>
      <c r="E167" s="51">
        <v>4</v>
      </c>
      <c r="G167" s="54">
        <v>98310</v>
      </c>
      <c r="H167" s="60" t="s">
        <v>353</v>
      </c>
      <c r="I167" s="35">
        <v>16</v>
      </c>
      <c r="J167" s="35">
        <v>10</v>
      </c>
      <c r="K167" s="35">
        <v>10</v>
      </c>
      <c r="M167" s="54">
        <v>98198</v>
      </c>
      <c r="N167" s="60" t="s">
        <v>352</v>
      </c>
      <c r="O167" s="35">
        <v>2</v>
      </c>
      <c r="P167" s="35">
        <v>6</v>
      </c>
      <c r="Q167" s="35">
        <v>6</v>
      </c>
      <c r="S167" s="78">
        <v>98237</v>
      </c>
      <c r="T167" s="60" t="s">
        <v>352</v>
      </c>
      <c r="U167" s="35">
        <v>2</v>
      </c>
      <c r="V167" s="35">
        <v>0</v>
      </c>
      <c r="W167" s="35">
        <v>2</v>
      </c>
    </row>
    <row r="168" spans="1:23" x14ac:dyDescent="0.2">
      <c r="A168" s="80">
        <v>98589</v>
      </c>
      <c r="B168" s="14" t="s">
        <v>352</v>
      </c>
      <c r="C168" s="51">
        <v>4</v>
      </c>
      <c r="D168" s="51">
        <v>3</v>
      </c>
      <c r="E168" s="51">
        <v>6</v>
      </c>
      <c r="G168" s="78">
        <v>98311</v>
      </c>
      <c r="H168" s="60" t="s">
        <v>352</v>
      </c>
      <c r="I168" s="35">
        <v>0</v>
      </c>
      <c r="J168" s="35">
        <v>1</v>
      </c>
      <c r="K168" s="35">
        <v>0</v>
      </c>
      <c r="M168" s="78">
        <v>98198</v>
      </c>
      <c r="N168" s="60" t="s">
        <v>353</v>
      </c>
      <c r="O168" s="32">
        <v>163</v>
      </c>
      <c r="P168" s="35">
        <v>194</v>
      </c>
      <c r="Q168" s="35">
        <v>214</v>
      </c>
      <c r="S168" s="78">
        <v>98237</v>
      </c>
      <c r="T168" s="60" t="s">
        <v>353</v>
      </c>
      <c r="U168" s="35">
        <v>9</v>
      </c>
      <c r="V168" s="35">
        <v>8</v>
      </c>
      <c r="W168" s="35">
        <v>17</v>
      </c>
    </row>
    <row r="169" spans="1:23" x14ac:dyDescent="0.2">
      <c r="A169" s="80">
        <v>98597</v>
      </c>
      <c r="B169" s="14" t="s">
        <v>352</v>
      </c>
      <c r="C169" s="51">
        <v>5</v>
      </c>
      <c r="D169" s="51">
        <v>10</v>
      </c>
      <c r="E169" s="51">
        <v>11</v>
      </c>
      <c r="G169" s="78">
        <v>98311</v>
      </c>
      <c r="H169" s="60" t="s">
        <v>353</v>
      </c>
      <c r="I169" s="35">
        <v>13</v>
      </c>
      <c r="J169" s="35">
        <v>9</v>
      </c>
      <c r="K169" s="35">
        <v>7</v>
      </c>
      <c r="M169" s="78">
        <v>98199</v>
      </c>
      <c r="N169" s="60" t="s">
        <v>352</v>
      </c>
      <c r="O169" s="35">
        <v>0</v>
      </c>
      <c r="P169" s="35">
        <v>1</v>
      </c>
      <c r="Q169" s="32">
        <v>1</v>
      </c>
      <c r="S169" s="78">
        <v>98239</v>
      </c>
      <c r="T169" s="60" t="s">
        <v>352</v>
      </c>
      <c r="U169" s="35">
        <v>0</v>
      </c>
      <c r="V169" s="35">
        <v>1</v>
      </c>
      <c r="W169" s="32">
        <v>0</v>
      </c>
    </row>
    <row r="170" spans="1:23" x14ac:dyDescent="0.2">
      <c r="A170" s="80">
        <v>98922</v>
      </c>
      <c r="B170" s="14" t="s">
        <v>352</v>
      </c>
      <c r="C170" s="51">
        <v>1</v>
      </c>
      <c r="D170" s="51">
        <v>1</v>
      </c>
      <c r="E170" s="51">
        <v>1</v>
      </c>
      <c r="G170" s="78">
        <v>98312</v>
      </c>
      <c r="H170" s="60" t="s">
        <v>353</v>
      </c>
      <c r="I170" s="32">
        <v>22</v>
      </c>
      <c r="J170" s="35">
        <v>18</v>
      </c>
      <c r="K170" s="32">
        <v>23</v>
      </c>
      <c r="M170" s="54">
        <v>98199</v>
      </c>
      <c r="N170" s="60" t="s">
        <v>353</v>
      </c>
      <c r="O170" s="35">
        <v>7</v>
      </c>
      <c r="P170" s="35">
        <v>5</v>
      </c>
      <c r="Q170" s="35">
        <v>3</v>
      </c>
      <c r="S170" s="54">
        <v>98239</v>
      </c>
      <c r="T170" s="60" t="s">
        <v>353</v>
      </c>
      <c r="U170" s="35">
        <v>5</v>
      </c>
      <c r="V170" s="35">
        <v>10</v>
      </c>
      <c r="W170" s="35">
        <v>7</v>
      </c>
    </row>
    <row r="171" spans="1:23" x14ac:dyDescent="0.2">
      <c r="A171" s="80">
        <v>98926</v>
      </c>
      <c r="B171" s="14" t="s">
        <v>352</v>
      </c>
      <c r="C171" s="51">
        <v>7</v>
      </c>
      <c r="D171" s="51">
        <v>7</v>
      </c>
      <c r="E171" s="51">
        <v>8</v>
      </c>
      <c r="G171" s="54">
        <v>98321</v>
      </c>
      <c r="H171" s="60" t="s">
        <v>352</v>
      </c>
      <c r="I171" s="35">
        <v>1</v>
      </c>
      <c r="J171" s="35">
        <v>0</v>
      </c>
      <c r="K171" s="35">
        <v>0</v>
      </c>
      <c r="M171" s="78">
        <v>98201</v>
      </c>
      <c r="N171" s="60" t="s">
        <v>352</v>
      </c>
      <c r="O171" s="32">
        <v>2</v>
      </c>
      <c r="P171" s="35">
        <v>3</v>
      </c>
      <c r="Q171" s="32">
        <v>2</v>
      </c>
      <c r="S171" s="78">
        <v>98240</v>
      </c>
      <c r="T171" s="60" t="s">
        <v>353</v>
      </c>
      <c r="U171" s="35">
        <v>2</v>
      </c>
      <c r="V171" s="35">
        <v>3</v>
      </c>
      <c r="W171" s="35">
        <v>2</v>
      </c>
    </row>
    <row r="172" spans="1:23" x14ac:dyDescent="0.2">
      <c r="A172" s="80">
        <v>98934</v>
      </c>
      <c r="B172" s="14" t="s">
        <v>352</v>
      </c>
      <c r="C172" s="51">
        <v>0</v>
      </c>
      <c r="D172" s="51">
        <v>0</v>
      </c>
      <c r="E172" s="51">
        <v>1</v>
      </c>
      <c r="G172" s="78">
        <v>98321</v>
      </c>
      <c r="H172" s="60" t="s">
        <v>353</v>
      </c>
      <c r="I172" s="35">
        <v>15</v>
      </c>
      <c r="J172" s="35">
        <v>10</v>
      </c>
      <c r="K172" s="35">
        <v>12</v>
      </c>
      <c r="M172" s="78">
        <v>98201</v>
      </c>
      <c r="N172" s="60" t="s">
        <v>353</v>
      </c>
      <c r="O172" s="35">
        <v>26</v>
      </c>
      <c r="P172" s="35">
        <v>27</v>
      </c>
      <c r="Q172" s="35">
        <v>29</v>
      </c>
      <c r="S172" s="78">
        <v>98244</v>
      </c>
      <c r="T172" s="60" t="s">
        <v>353</v>
      </c>
      <c r="U172" s="35">
        <v>6</v>
      </c>
      <c r="V172" s="32">
        <v>8</v>
      </c>
      <c r="W172" s="35">
        <v>5</v>
      </c>
    </row>
    <row r="173" spans="1:23" x14ac:dyDescent="0.2">
      <c r="A173" s="80">
        <v>98941</v>
      </c>
      <c r="B173" s="14" t="s">
        <v>352</v>
      </c>
      <c r="C173" s="51">
        <v>3</v>
      </c>
      <c r="D173" s="51">
        <v>2</v>
      </c>
      <c r="E173" s="51">
        <v>2</v>
      </c>
      <c r="G173" s="78">
        <v>98323</v>
      </c>
      <c r="H173" s="60" t="s">
        <v>353</v>
      </c>
      <c r="I173" s="35">
        <v>2</v>
      </c>
      <c r="J173" s="35">
        <v>0</v>
      </c>
      <c r="K173" s="35">
        <v>3</v>
      </c>
      <c r="M173" s="54">
        <v>98203</v>
      </c>
      <c r="N173" s="60" t="s">
        <v>352</v>
      </c>
      <c r="O173" s="35">
        <v>4</v>
      </c>
      <c r="P173" s="35">
        <v>2</v>
      </c>
      <c r="Q173" s="35">
        <v>1</v>
      </c>
      <c r="S173" s="78">
        <v>98247</v>
      </c>
      <c r="T173" s="60" t="s">
        <v>353</v>
      </c>
      <c r="U173" s="32">
        <v>7</v>
      </c>
      <c r="V173" s="35">
        <v>5</v>
      </c>
      <c r="W173" s="35">
        <v>5</v>
      </c>
    </row>
    <row r="174" spans="1:23" x14ac:dyDescent="0.2">
      <c r="A174" s="80">
        <v>98946</v>
      </c>
      <c r="B174" s="14" t="s">
        <v>352</v>
      </c>
      <c r="C174" s="51">
        <v>1</v>
      </c>
      <c r="D174" s="51">
        <v>1</v>
      </c>
      <c r="E174" s="51">
        <v>1</v>
      </c>
      <c r="G174" s="78">
        <v>98327</v>
      </c>
      <c r="H174" s="60" t="s">
        <v>353</v>
      </c>
      <c r="I174" s="35">
        <v>1</v>
      </c>
      <c r="J174" s="35">
        <v>5</v>
      </c>
      <c r="K174" s="35">
        <v>2</v>
      </c>
      <c r="M174" s="78">
        <v>98203</v>
      </c>
      <c r="N174" s="60" t="s">
        <v>353</v>
      </c>
      <c r="O174" s="35">
        <v>15</v>
      </c>
      <c r="P174" s="35">
        <v>18</v>
      </c>
      <c r="Q174" s="35">
        <v>48</v>
      </c>
      <c r="S174" s="78">
        <v>98248</v>
      </c>
      <c r="T174" s="60" t="s">
        <v>352</v>
      </c>
      <c r="U174" s="32">
        <v>2</v>
      </c>
      <c r="V174" s="35">
        <v>0</v>
      </c>
      <c r="W174" s="32">
        <v>2</v>
      </c>
    </row>
    <row r="175" spans="1:23" x14ac:dyDescent="0.2">
      <c r="A175" s="80" t="s">
        <v>354</v>
      </c>
      <c r="B175" s="14" t="s">
        <v>352</v>
      </c>
      <c r="C175" s="51">
        <v>1</v>
      </c>
      <c r="D175" s="51">
        <v>1</v>
      </c>
      <c r="E175" s="51">
        <v>3</v>
      </c>
      <c r="G175" s="78">
        <v>98328</v>
      </c>
      <c r="H175" s="60" t="s">
        <v>353</v>
      </c>
      <c r="I175" s="35">
        <v>0</v>
      </c>
      <c r="J175" s="35">
        <v>0</v>
      </c>
      <c r="K175" s="35">
        <v>2</v>
      </c>
      <c r="M175" s="54">
        <v>98204</v>
      </c>
      <c r="N175" s="60" t="s">
        <v>352</v>
      </c>
      <c r="O175" s="35">
        <v>3</v>
      </c>
      <c r="P175" s="35">
        <v>3</v>
      </c>
      <c r="Q175" s="35">
        <v>3</v>
      </c>
      <c r="S175" s="78">
        <v>98248</v>
      </c>
      <c r="T175" s="60" t="s">
        <v>353</v>
      </c>
      <c r="U175" s="35">
        <v>6</v>
      </c>
      <c r="V175" s="32">
        <v>16</v>
      </c>
      <c r="W175" s="32">
        <v>16</v>
      </c>
    </row>
    <row r="176" spans="1:23" x14ac:dyDescent="0.2">
      <c r="A176" s="54">
        <v>98001</v>
      </c>
      <c r="B176" s="60" t="s">
        <v>353</v>
      </c>
      <c r="C176" s="35">
        <v>190</v>
      </c>
      <c r="D176" s="35">
        <v>238</v>
      </c>
      <c r="E176" s="35">
        <v>254</v>
      </c>
      <c r="G176" s="78">
        <v>98329</v>
      </c>
      <c r="H176" s="60" t="s">
        <v>353</v>
      </c>
      <c r="I176" s="32">
        <v>1</v>
      </c>
      <c r="J176" s="32">
        <v>0</v>
      </c>
      <c r="K176" s="35">
        <v>0</v>
      </c>
      <c r="M176" s="78">
        <v>98204</v>
      </c>
      <c r="N176" s="60" t="s">
        <v>353</v>
      </c>
      <c r="O176" s="35">
        <v>11</v>
      </c>
      <c r="P176" s="32">
        <v>15</v>
      </c>
      <c r="Q176" s="35">
        <v>19</v>
      </c>
      <c r="S176" s="78">
        <v>98249</v>
      </c>
      <c r="T176" s="60" t="s">
        <v>353</v>
      </c>
      <c r="U176" s="35">
        <v>2</v>
      </c>
      <c r="V176" s="32">
        <v>2</v>
      </c>
      <c r="W176" s="35">
        <v>5</v>
      </c>
    </row>
    <row r="177" spans="1:23" x14ac:dyDescent="0.2">
      <c r="A177" s="54">
        <v>98002</v>
      </c>
      <c r="B177" s="60" t="s">
        <v>353</v>
      </c>
      <c r="C177" s="35">
        <v>307</v>
      </c>
      <c r="D177" s="35">
        <v>353</v>
      </c>
      <c r="E177" s="35">
        <v>393</v>
      </c>
      <c r="G177" s="54">
        <v>98332</v>
      </c>
      <c r="H177" s="60" t="s">
        <v>353</v>
      </c>
      <c r="I177" s="35">
        <v>1</v>
      </c>
      <c r="J177" s="35">
        <v>0</v>
      </c>
      <c r="K177" s="35">
        <v>0</v>
      </c>
      <c r="M177" s="54">
        <v>98208</v>
      </c>
      <c r="N177" s="60" t="s">
        <v>352</v>
      </c>
      <c r="O177" s="35">
        <v>0</v>
      </c>
      <c r="P177" s="35">
        <v>0</v>
      </c>
      <c r="Q177" s="35">
        <v>1</v>
      </c>
      <c r="S177" s="78">
        <v>98251</v>
      </c>
      <c r="T177" s="60" t="s">
        <v>353</v>
      </c>
      <c r="U177" s="32">
        <v>0</v>
      </c>
      <c r="V177" s="35">
        <v>0</v>
      </c>
      <c r="W177" s="32">
        <v>1</v>
      </c>
    </row>
    <row r="178" spans="1:23" x14ac:dyDescent="0.2">
      <c r="A178" s="54">
        <v>98003</v>
      </c>
      <c r="B178" s="60" t="s">
        <v>353</v>
      </c>
      <c r="C178" s="35">
        <v>370</v>
      </c>
      <c r="D178" s="35">
        <v>449</v>
      </c>
      <c r="E178" s="35">
        <v>474</v>
      </c>
      <c r="G178" s="78">
        <v>98335</v>
      </c>
      <c r="H178" s="60" t="s">
        <v>352</v>
      </c>
      <c r="I178" s="35">
        <v>0</v>
      </c>
      <c r="J178" s="35">
        <v>0</v>
      </c>
      <c r="K178" s="35">
        <v>1</v>
      </c>
      <c r="M178" s="78">
        <v>98208</v>
      </c>
      <c r="N178" s="60" t="s">
        <v>353</v>
      </c>
      <c r="O178" s="32">
        <v>38</v>
      </c>
      <c r="P178" s="35">
        <v>28</v>
      </c>
      <c r="Q178" s="35">
        <v>46</v>
      </c>
      <c r="S178" s="78">
        <v>98252</v>
      </c>
      <c r="T178" s="60" t="s">
        <v>353</v>
      </c>
      <c r="U178" s="32">
        <v>2</v>
      </c>
      <c r="V178" s="32">
        <v>6</v>
      </c>
      <c r="W178" s="35">
        <v>4</v>
      </c>
    </row>
    <row r="179" spans="1:23" x14ac:dyDescent="0.2">
      <c r="A179" s="54">
        <v>98004</v>
      </c>
      <c r="B179" s="60" t="s">
        <v>353</v>
      </c>
      <c r="C179" s="35">
        <v>67</v>
      </c>
      <c r="D179" s="35">
        <v>78</v>
      </c>
      <c r="E179" s="35">
        <v>66</v>
      </c>
      <c r="G179" s="78">
        <v>98337</v>
      </c>
      <c r="H179" s="60" t="s">
        <v>353</v>
      </c>
      <c r="I179" s="35">
        <v>4</v>
      </c>
      <c r="J179" s="35">
        <v>2</v>
      </c>
      <c r="K179" s="35">
        <v>5</v>
      </c>
      <c r="M179" s="54">
        <v>98220</v>
      </c>
      <c r="N179" s="60" t="s">
        <v>352</v>
      </c>
      <c r="O179" s="35">
        <v>2</v>
      </c>
      <c r="P179" s="35">
        <v>0</v>
      </c>
      <c r="Q179" s="35">
        <v>1</v>
      </c>
      <c r="S179" s="78">
        <v>98253</v>
      </c>
      <c r="T179" s="60" t="s">
        <v>353</v>
      </c>
      <c r="U179" s="32">
        <v>1</v>
      </c>
      <c r="V179" s="32">
        <v>2</v>
      </c>
      <c r="W179" s="35">
        <v>0</v>
      </c>
    </row>
    <row r="180" spans="1:23" x14ac:dyDescent="0.2">
      <c r="A180" s="54">
        <v>98005</v>
      </c>
      <c r="B180" s="60" t="s">
        <v>353</v>
      </c>
      <c r="C180" s="35">
        <v>30</v>
      </c>
      <c r="D180" s="35">
        <v>42</v>
      </c>
      <c r="E180" s="35">
        <v>35</v>
      </c>
      <c r="G180" s="78">
        <v>98338</v>
      </c>
      <c r="H180" s="60" t="s">
        <v>353</v>
      </c>
      <c r="I180" s="32">
        <v>7</v>
      </c>
      <c r="J180" s="35">
        <v>9</v>
      </c>
      <c r="K180" s="32">
        <v>5</v>
      </c>
      <c r="M180" s="78">
        <v>98220</v>
      </c>
      <c r="N180" s="60" t="s">
        <v>353</v>
      </c>
      <c r="O180" s="35">
        <v>2</v>
      </c>
      <c r="P180" s="32">
        <v>3</v>
      </c>
      <c r="Q180" s="32">
        <v>1</v>
      </c>
      <c r="S180" s="78">
        <v>98255</v>
      </c>
      <c r="T180" s="60" t="s">
        <v>353</v>
      </c>
      <c r="U180" s="35">
        <v>1</v>
      </c>
      <c r="V180" s="35">
        <v>0</v>
      </c>
      <c r="W180" s="35">
        <v>0</v>
      </c>
    </row>
    <row r="181" spans="1:23" x14ac:dyDescent="0.2">
      <c r="A181" s="54">
        <v>98006</v>
      </c>
      <c r="B181" s="60" t="s">
        <v>353</v>
      </c>
      <c r="C181" s="35">
        <v>59</v>
      </c>
      <c r="D181" s="35">
        <v>72</v>
      </c>
      <c r="E181" s="35">
        <v>89</v>
      </c>
      <c r="G181" s="54">
        <v>98340</v>
      </c>
      <c r="H181" s="60" t="s">
        <v>353</v>
      </c>
      <c r="I181" s="35">
        <v>0</v>
      </c>
      <c r="J181" s="35">
        <v>2</v>
      </c>
      <c r="K181" s="35">
        <v>0</v>
      </c>
      <c r="M181" s="54">
        <v>98221</v>
      </c>
      <c r="N181" s="60" t="s">
        <v>352</v>
      </c>
      <c r="O181" s="35">
        <v>4</v>
      </c>
      <c r="P181" s="35">
        <v>5</v>
      </c>
      <c r="Q181" s="35">
        <v>1</v>
      </c>
      <c r="S181" s="78">
        <v>98257</v>
      </c>
      <c r="T181" s="60" t="s">
        <v>353</v>
      </c>
      <c r="U181" s="32">
        <v>3</v>
      </c>
      <c r="V181" s="35">
        <v>2</v>
      </c>
      <c r="W181" s="32">
        <v>6</v>
      </c>
    </row>
    <row r="182" spans="1:23" x14ac:dyDescent="0.2">
      <c r="A182" s="54">
        <v>98007</v>
      </c>
      <c r="B182" s="60" t="s">
        <v>353</v>
      </c>
      <c r="C182" s="35">
        <v>59</v>
      </c>
      <c r="D182" s="35">
        <v>65</v>
      </c>
      <c r="E182" s="35">
        <v>77</v>
      </c>
      <c r="G182" s="78">
        <v>98342</v>
      </c>
      <c r="H182" s="60" t="s">
        <v>353</v>
      </c>
      <c r="I182" s="35">
        <v>1</v>
      </c>
      <c r="J182" s="35">
        <v>0</v>
      </c>
      <c r="K182" s="35">
        <v>0</v>
      </c>
      <c r="M182" s="78">
        <v>98221</v>
      </c>
      <c r="N182" s="60" t="s">
        <v>353</v>
      </c>
      <c r="O182" s="35">
        <v>34</v>
      </c>
      <c r="P182" s="35">
        <v>40</v>
      </c>
      <c r="Q182" s="32">
        <v>40</v>
      </c>
      <c r="S182" s="78">
        <v>98258</v>
      </c>
      <c r="T182" s="60" t="s">
        <v>353</v>
      </c>
      <c r="U182" s="35">
        <v>10</v>
      </c>
      <c r="V182" s="35">
        <v>14</v>
      </c>
      <c r="W182" s="32">
        <v>15</v>
      </c>
    </row>
    <row r="183" spans="1:23" x14ac:dyDescent="0.2">
      <c r="A183" s="78">
        <v>98008</v>
      </c>
      <c r="B183" s="60" t="s">
        <v>353</v>
      </c>
      <c r="C183" s="35">
        <v>30</v>
      </c>
      <c r="D183" s="35">
        <v>31</v>
      </c>
      <c r="E183" s="35">
        <v>38</v>
      </c>
      <c r="G183" s="78">
        <v>98346</v>
      </c>
      <c r="H183" s="60" t="s">
        <v>352</v>
      </c>
      <c r="I183" s="35">
        <v>1</v>
      </c>
      <c r="J183" s="32">
        <v>0</v>
      </c>
      <c r="K183" s="35">
        <v>0</v>
      </c>
      <c r="M183" s="54">
        <v>98223</v>
      </c>
      <c r="N183" s="60" t="s">
        <v>353</v>
      </c>
      <c r="O183" s="35">
        <v>1</v>
      </c>
      <c r="P183" s="35">
        <v>1</v>
      </c>
      <c r="Q183" s="35">
        <v>2</v>
      </c>
      <c r="S183" s="78">
        <v>98260</v>
      </c>
      <c r="T183" s="60" t="s">
        <v>352</v>
      </c>
      <c r="U183" s="32">
        <v>1</v>
      </c>
      <c r="V183" s="35">
        <v>0</v>
      </c>
      <c r="W183" s="35">
        <v>0</v>
      </c>
    </row>
    <row r="184" spans="1:23" x14ac:dyDescent="0.2">
      <c r="A184" s="54">
        <v>98010</v>
      </c>
      <c r="B184" s="60" t="s">
        <v>353</v>
      </c>
      <c r="C184" s="35">
        <v>28</v>
      </c>
      <c r="D184" s="35">
        <v>34</v>
      </c>
      <c r="E184" s="35">
        <v>32</v>
      </c>
      <c r="G184" s="78">
        <v>98346</v>
      </c>
      <c r="H184" s="60" t="s">
        <v>353</v>
      </c>
      <c r="I184" s="35">
        <v>6</v>
      </c>
      <c r="J184" s="35">
        <v>6</v>
      </c>
      <c r="K184" s="35">
        <v>7</v>
      </c>
      <c r="M184" s="78">
        <v>98224</v>
      </c>
      <c r="N184" s="60" t="s">
        <v>353</v>
      </c>
      <c r="O184" s="35">
        <v>1</v>
      </c>
      <c r="P184" s="35">
        <v>2</v>
      </c>
      <c r="Q184" s="35">
        <v>2</v>
      </c>
      <c r="S184" s="78">
        <v>98260</v>
      </c>
      <c r="T184" s="60" t="s">
        <v>353</v>
      </c>
      <c r="U184" s="32">
        <v>2</v>
      </c>
      <c r="V184" s="35">
        <v>2</v>
      </c>
      <c r="W184" s="35">
        <v>2</v>
      </c>
    </row>
    <row r="185" spans="1:23" x14ac:dyDescent="0.2">
      <c r="A185" s="54">
        <v>98011</v>
      </c>
      <c r="B185" s="60" t="s">
        <v>353</v>
      </c>
      <c r="C185" s="35">
        <v>77</v>
      </c>
      <c r="D185" s="35">
        <v>80</v>
      </c>
      <c r="E185" s="35">
        <v>87</v>
      </c>
      <c r="G185" s="78">
        <v>98354</v>
      </c>
      <c r="H185" s="60" t="s">
        <v>353</v>
      </c>
      <c r="I185" s="35">
        <v>1</v>
      </c>
      <c r="J185" s="35">
        <v>1</v>
      </c>
      <c r="K185" s="35">
        <v>0</v>
      </c>
      <c r="M185" s="78">
        <v>98225</v>
      </c>
      <c r="N185" s="60" t="s">
        <v>352</v>
      </c>
      <c r="O185" s="35">
        <v>6</v>
      </c>
      <c r="P185" s="35">
        <v>7</v>
      </c>
      <c r="Q185" s="35">
        <v>5</v>
      </c>
      <c r="S185" s="78">
        <v>98262</v>
      </c>
      <c r="T185" s="60" t="s">
        <v>353</v>
      </c>
      <c r="U185" s="32">
        <v>0</v>
      </c>
      <c r="V185" s="35">
        <v>1</v>
      </c>
      <c r="W185" s="32">
        <v>2</v>
      </c>
    </row>
    <row r="186" spans="1:23" x14ac:dyDescent="0.2">
      <c r="A186" s="78">
        <v>98012</v>
      </c>
      <c r="B186" s="60" t="s">
        <v>353</v>
      </c>
      <c r="C186" s="35">
        <v>37</v>
      </c>
      <c r="D186" s="35">
        <v>54</v>
      </c>
      <c r="E186" s="35">
        <v>67</v>
      </c>
      <c r="G186" s="78">
        <v>98359</v>
      </c>
      <c r="H186" s="60" t="s">
        <v>352</v>
      </c>
      <c r="I186" s="35">
        <v>0</v>
      </c>
      <c r="J186" s="35">
        <v>1</v>
      </c>
      <c r="K186" s="32">
        <v>1</v>
      </c>
      <c r="M186" s="78">
        <v>98225</v>
      </c>
      <c r="N186" s="60" t="s">
        <v>353</v>
      </c>
      <c r="O186" s="35">
        <v>112</v>
      </c>
      <c r="P186" s="32">
        <v>92</v>
      </c>
      <c r="Q186" s="35">
        <v>118</v>
      </c>
      <c r="S186" s="78">
        <v>98263</v>
      </c>
      <c r="T186" s="60" t="s">
        <v>353</v>
      </c>
      <c r="U186" s="35">
        <v>0</v>
      </c>
      <c r="V186" s="32">
        <v>0</v>
      </c>
      <c r="W186" s="32">
        <v>1</v>
      </c>
    </row>
    <row r="187" spans="1:23" x14ac:dyDescent="0.2">
      <c r="A187" s="78">
        <v>98014</v>
      </c>
      <c r="B187" s="60" t="s">
        <v>353</v>
      </c>
      <c r="C187" s="35">
        <v>16</v>
      </c>
      <c r="D187" s="35">
        <v>18</v>
      </c>
      <c r="E187" s="35">
        <v>21</v>
      </c>
      <c r="G187" s="78">
        <v>98359</v>
      </c>
      <c r="H187" s="60" t="s">
        <v>353</v>
      </c>
      <c r="I187" s="35">
        <v>3</v>
      </c>
      <c r="J187" s="32">
        <v>1</v>
      </c>
      <c r="K187" s="35">
        <v>2</v>
      </c>
      <c r="M187" s="54">
        <v>98226</v>
      </c>
      <c r="N187" s="60" t="s">
        <v>352</v>
      </c>
      <c r="O187" s="35">
        <v>18</v>
      </c>
      <c r="P187" s="35">
        <v>25</v>
      </c>
      <c r="Q187" s="35">
        <v>7</v>
      </c>
      <c r="S187" s="78">
        <v>98264</v>
      </c>
      <c r="T187" s="60" t="s">
        <v>352</v>
      </c>
      <c r="U187" s="35">
        <v>1</v>
      </c>
      <c r="V187" s="35">
        <v>1</v>
      </c>
      <c r="W187" s="35">
        <v>0</v>
      </c>
    </row>
    <row r="188" spans="1:23" x14ac:dyDescent="0.2">
      <c r="A188" s="54">
        <v>98019</v>
      </c>
      <c r="B188" s="60" t="s">
        <v>353</v>
      </c>
      <c r="C188" s="35">
        <v>29</v>
      </c>
      <c r="D188" s="35">
        <v>38</v>
      </c>
      <c r="E188" s="35">
        <v>43</v>
      </c>
      <c r="G188" s="78">
        <v>98360</v>
      </c>
      <c r="H188" s="60" t="s">
        <v>352</v>
      </c>
      <c r="I188" s="32">
        <v>2</v>
      </c>
      <c r="J188" s="32">
        <v>0</v>
      </c>
      <c r="K188" s="35">
        <v>0</v>
      </c>
      <c r="M188" s="78">
        <v>98226</v>
      </c>
      <c r="N188" s="60" t="s">
        <v>353</v>
      </c>
      <c r="O188" s="35">
        <v>120</v>
      </c>
      <c r="P188" s="35">
        <v>102</v>
      </c>
      <c r="Q188" s="35">
        <v>148</v>
      </c>
      <c r="S188" s="78">
        <v>98264</v>
      </c>
      <c r="T188" s="60" t="s">
        <v>353</v>
      </c>
      <c r="U188" s="35">
        <v>9</v>
      </c>
      <c r="V188" s="35">
        <v>14</v>
      </c>
      <c r="W188" s="35">
        <v>18</v>
      </c>
    </row>
    <row r="189" spans="1:23" x14ac:dyDescent="0.2">
      <c r="A189" s="78">
        <v>98020</v>
      </c>
      <c r="B189" s="60" t="s">
        <v>353</v>
      </c>
      <c r="C189" s="35">
        <v>3</v>
      </c>
      <c r="D189" s="35">
        <v>7</v>
      </c>
      <c r="E189" s="35">
        <v>9</v>
      </c>
      <c r="G189" s="78">
        <v>98360</v>
      </c>
      <c r="H189" s="60" t="s">
        <v>353</v>
      </c>
      <c r="I189" s="35">
        <v>17</v>
      </c>
      <c r="J189" s="35">
        <v>19</v>
      </c>
      <c r="K189" s="35">
        <v>20</v>
      </c>
      <c r="M189" s="78">
        <v>98229</v>
      </c>
      <c r="N189" s="60" t="s">
        <v>352</v>
      </c>
      <c r="O189" s="35">
        <v>1</v>
      </c>
      <c r="P189" s="35">
        <v>1</v>
      </c>
      <c r="Q189" s="35">
        <v>1</v>
      </c>
      <c r="S189" s="78">
        <v>98266</v>
      </c>
      <c r="T189" s="60" t="s">
        <v>353</v>
      </c>
      <c r="U189" s="35">
        <v>4</v>
      </c>
      <c r="V189" s="35">
        <v>6</v>
      </c>
      <c r="W189" s="35">
        <v>9</v>
      </c>
    </row>
    <row r="190" spans="1:23" x14ac:dyDescent="0.2">
      <c r="A190" s="54">
        <v>98021</v>
      </c>
      <c r="B190" s="60" t="s">
        <v>353</v>
      </c>
      <c r="C190" s="35">
        <v>13</v>
      </c>
      <c r="D190" s="35">
        <v>16</v>
      </c>
      <c r="E190" s="35">
        <v>21</v>
      </c>
      <c r="G190" s="78">
        <v>98366</v>
      </c>
      <c r="H190" s="60" t="s">
        <v>353</v>
      </c>
      <c r="I190" s="35">
        <v>23</v>
      </c>
      <c r="J190" s="32">
        <v>16</v>
      </c>
      <c r="K190" s="35">
        <v>30</v>
      </c>
      <c r="M190" s="78">
        <v>98229</v>
      </c>
      <c r="N190" s="60" t="s">
        <v>353</v>
      </c>
      <c r="O190" s="35">
        <v>78</v>
      </c>
      <c r="P190" s="35">
        <v>83</v>
      </c>
      <c r="Q190" s="32">
        <v>87</v>
      </c>
      <c r="S190" s="78">
        <v>98270</v>
      </c>
      <c r="T190" s="60" t="s">
        <v>352</v>
      </c>
      <c r="U190" s="35">
        <v>1</v>
      </c>
      <c r="V190" s="35">
        <v>0</v>
      </c>
      <c r="W190" s="35">
        <v>0</v>
      </c>
    </row>
    <row r="191" spans="1:23" x14ac:dyDescent="0.2">
      <c r="A191" s="78">
        <v>98022</v>
      </c>
      <c r="B191" s="60" t="s">
        <v>353</v>
      </c>
      <c r="C191" s="35">
        <v>94</v>
      </c>
      <c r="D191" s="35">
        <v>101</v>
      </c>
      <c r="E191" s="35">
        <v>110</v>
      </c>
      <c r="G191" s="78">
        <v>98367</v>
      </c>
      <c r="H191" s="60" t="s">
        <v>352</v>
      </c>
      <c r="I191" s="35">
        <v>0</v>
      </c>
      <c r="J191" s="35">
        <v>0</v>
      </c>
      <c r="K191" s="35">
        <v>1</v>
      </c>
      <c r="M191" s="54">
        <v>98230</v>
      </c>
      <c r="N191" s="60" t="s">
        <v>352</v>
      </c>
      <c r="O191" s="35">
        <v>1</v>
      </c>
      <c r="P191" s="35">
        <v>2</v>
      </c>
      <c r="Q191" s="35">
        <v>0</v>
      </c>
      <c r="S191" s="78">
        <v>98270</v>
      </c>
      <c r="T191" s="60" t="s">
        <v>353</v>
      </c>
      <c r="U191" s="35">
        <v>16</v>
      </c>
      <c r="V191" s="32">
        <v>15</v>
      </c>
      <c r="W191" s="32">
        <v>27</v>
      </c>
    </row>
    <row r="192" spans="1:23" x14ac:dyDescent="0.2">
      <c r="A192" s="78">
        <v>98023</v>
      </c>
      <c r="B192" s="60" t="s">
        <v>353</v>
      </c>
      <c r="C192" s="35">
        <v>346</v>
      </c>
      <c r="D192" s="35">
        <v>427</v>
      </c>
      <c r="E192" s="35">
        <v>508</v>
      </c>
      <c r="G192" s="78">
        <v>98367</v>
      </c>
      <c r="H192" s="60" t="s">
        <v>353</v>
      </c>
      <c r="I192" s="35">
        <v>13</v>
      </c>
      <c r="J192" s="35">
        <v>26</v>
      </c>
      <c r="K192" s="32">
        <v>28</v>
      </c>
      <c r="M192" s="78">
        <v>98230</v>
      </c>
      <c r="N192" s="60" t="s">
        <v>353</v>
      </c>
      <c r="O192" s="35">
        <v>40</v>
      </c>
      <c r="P192" s="35">
        <v>51</v>
      </c>
      <c r="Q192" s="32">
        <v>46</v>
      </c>
      <c r="S192" s="54">
        <v>98271</v>
      </c>
      <c r="T192" s="60" t="s">
        <v>353</v>
      </c>
      <c r="U192" s="35">
        <v>2</v>
      </c>
      <c r="V192" s="35">
        <v>2</v>
      </c>
      <c r="W192" s="35">
        <v>8</v>
      </c>
    </row>
    <row r="193" spans="1:23" x14ac:dyDescent="0.2">
      <c r="A193" s="54">
        <v>98024</v>
      </c>
      <c r="B193" s="60" t="s">
        <v>353</v>
      </c>
      <c r="C193" s="35">
        <v>8</v>
      </c>
      <c r="D193" s="35">
        <v>10</v>
      </c>
      <c r="E193" s="35">
        <v>9</v>
      </c>
      <c r="G193" s="78">
        <v>98370</v>
      </c>
      <c r="H193" s="60" t="s">
        <v>352</v>
      </c>
      <c r="I193" s="35">
        <v>1</v>
      </c>
      <c r="J193" s="35">
        <v>0</v>
      </c>
      <c r="K193" s="35">
        <v>0</v>
      </c>
      <c r="M193" s="54">
        <v>98232</v>
      </c>
      <c r="N193" s="60" t="s">
        <v>352</v>
      </c>
      <c r="O193" s="35">
        <v>2</v>
      </c>
      <c r="P193" s="35">
        <v>1</v>
      </c>
      <c r="Q193" s="35">
        <v>1</v>
      </c>
      <c r="S193" s="78">
        <v>98272</v>
      </c>
      <c r="T193" s="60" t="s">
        <v>353</v>
      </c>
      <c r="U193" s="32">
        <v>2</v>
      </c>
      <c r="V193" s="32">
        <v>4</v>
      </c>
      <c r="W193" s="35">
        <v>5</v>
      </c>
    </row>
    <row r="194" spans="1:23" x14ac:dyDescent="0.2">
      <c r="A194" s="78">
        <v>98026</v>
      </c>
      <c r="B194" s="60" t="s">
        <v>353</v>
      </c>
      <c r="C194" s="35">
        <v>13</v>
      </c>
      <c r="D194" s="35">
        <v>18</v>
      </c>
      <c r="E194" s="35">
        <v>31</v>
      </c>
      <c r="G194" s="78">
        <v>98370</v>
      </c>
      <c r="H194" s="60" t="s">
        <v>353</v>
      </c>
      <c r="I194" s="35">
        <v>10</v>
      </c>
      <c r="J194" s="35">
        <v>9</v>
      </c>
      <c r="K194" s="35">
        <v>15</v>
      </c>
      <c r="M194" s="78">
        <v>98232</v>
      </c>
      <c r="N194" s="60" t="s">
        <v>353</v>
      </c>
      <c r="O194" s="35">
        <v>11</v>
      </c>
      <c r="P194" s="35">
        <v>13</v>
      </c>
      <c r="Q194" s="35">
        <v>11</v>
      </c>
      <c r="S194" s="54">
        <v>98273</v>
      </c>
      <c r="T194" s="60" t="s">
        <v>352</v>
      </c>
      <c r="U194" s="32">
        <v>1</v>
      </c>
      <c r="V194" s="35">
        <v>2</v>
      </c>
      <c r="W194" s="35">
        <v>3</v>
      </c>
    </row>
    <row r="195" spans="1:23" x14ac:dyDescent="0.2">
      <c r="A195" s="78">
        <v>98027</v>
      </c>
      <c r="B195" s="60" t="s">
        <v>353</v>
      </c>
      <c r="C195" s="35">
        <v>64</v>
      </c>
      <c r="D195" s="35">
        <v>77</v>
      </c>
      <c r="E195" s="35">
        <v>78</v>
      </c>
      <c r="G195" s="78">
        <v>98371</v>
      </c>
      <c r="H195" s="60" t="s">
        <v>352</v>
      </c>
      <c r="I195" s="35">
        <v>0</v>
      </c>
      <c r="J195" s="35">
        <v>0</v>
      </c>
      <c r="K195" s="35">
        <v>1</v>
      </c>
      <c r="M195" s="54">
        <v>98233</v>
      </c>
      <c r="N195" s="60" t="s">
        <v>352</v>
      </c>
      <c r="O195" s="35">
        <v>2</v>
      </c>
      <c r="P195" s="35">
        <v>2</v>
      </c>
      <c r="Q195" s="35">
        <v>1</v>
      </c>
      <c r="S195" s="78">
        <v>98273</v>
      </c>
      <c r="T195" s="60" t="s">
        <v>353</v>
      </c>
      <c r="U195" s="32">
        <v>20</v>
      </c>
      <c r="V195" s="32">
        <v>25</v>
      </c>
      <c r="W195" s="35">
        <v>21</v>
      </c>
    </row>
    <row r="196" spans="1:23" x14ac:dyDescent="0.2">
      <c r="A196" s="54">
        <v>98028</v>
      </c>
      <c r="B196" s="60" t="s">
        <v>353</v>
      </c>
      <c r="C196" s="35">
        <v>47</v>
      </c>
      <c r="D196" s="35">
        <v>58</v>
      </c>
      <c r="E196" s="35">
        <v>52</v>
      </c>
      <c r="G196" s="78">
        <v>98371</v>
      </c>
      <c r="H196" s="60" t="s">
        <v>353</v>
      </c>
      <c r="I196" s="35">
        <v>17</v>
      </c>
      <c r="J196" s="35">
        <v>11</v>
      </c>
      <c r="K196" s="35">
        <v>19</v>
      </c>
      <c r="M196" s="78">
        <v>98233</v>
      </c>
      <c r="N196" s="60" t="s">
        <v>353</v>
      </c>
      <c r="O196" s="35">
        <v>54</v>
      </c>
      <c r="P196" s="35">
        <v>54</v>
      </c>
      <c r="Q196" s="35">
        <v>64</v>
      </c>
      <c r="S196" s="54">
        <v>98274</v>
      </c>
      <c r="T196" s="60" t="s">
        <v>353</v>
      </c>
      <c r="U196" s="35">
        <v>7</v>
      </c>
      <c r="V196" s="35">
        <v>9</v>
      </c>
      <c r="W196" s="35">
        <v>20</v>
      </c>
    </row>
    <row r="197" spans="1:23" x14ac:dyDescent="0.2">
      <c r="A197" s="54">
        <v>98029</v>
      </c>
      <c r="B197" s="60" t="s">
        <v>353</v>
      </c>
      <c r="C197" s="35">
        <v>61</v>
      </c>
      <c r="D197" s="35">
        <v>80</v>
      </c>
      <c r="E197" s="35">
        <v>80</v>
      </c>
      <c r="G197" s="78">
        <v>98372</v>
      </c>
      <c r="H197" s="60" t="s">
        <v>353</v>
      </c>
      <c r="I197" s="32">
        <v>16</v>
      </c>
      <c r="J197" s="32">
        <v>16</v>
      </c>
      <c r="K197" s="35">
        <v>18</v>
      </c>
      <c r="M197" s="78">
        <v>98235</v>
      </c>
      <c r="N197" s="60" t="s">
        <v>353</v>
      </c>
      <c r="O197" s="35">
        <v>4</v>
      </c>
      <c r="P197" s="35">
        <v>1</v>
      </c>
      <c r="Q197" s="32">
        <v>4</v>
      </c>
      <c r="S197" s="78">
        <v>98275</v>
      </c>
      <c r="T197" s="60" t="s">
        <v>353</v>
      </c>
      <c r="U197" s="35">
        <v>1</v>
      </c>
      <c r="V197" s="35">
        <v>1</v>
      </c>
      <c r="W197" s="35">
        <v>1</v>
      </c>
    </row>
    <row r="198" spans="1:23" x14ac:dyDescent="0.2">
      <c r="A198" s="54">
        <v>98030</v>
      </c>
      <c r="B198" s="60" t="s">
        <v>353</v>
      </c>
      <c r="C198" s="35">
        <v>249</v>
      </c>
      <c r="D198" s="35">
        <v>292</v>
      </c>
      <c r="E198" s="35">
        <v>309</v>
      </c>
      <c r="G198" s="78">
        <v>98373</v>
      </c>
      <c r="H198" s="60" t="s">
        <v>353</v>
      </c>
      <c r="I198" s="32">
        <v>15</v>
      </c>
      <c r="J198" s="35">
        <v>15</v>
      </c>
      <c r="K198" s="32">
        <v>19</v>
      </c>
      <c r="M198" s="78">
        <v>98236</v>
      </c>
      <c r="N198" s="60" t="s">
        <v>353</v>
      </c>
      <c r="O198" s="35">
        <v>21</v>
      </c>
      <c r="P198" s="32">
        <v>18</v>
      </c>
      <c r="Q198" s="35">
        <v>12</v>
      </c>
      <c r="S198" s="78">
        <v>98276</v>
      </c>
      <c r="T198" s="60" t="s">
        <v>353</v>
      </c>
      <c r="U198" s="35">
        <v>4</v>
      </c>
      <c r="V198" s="35">
        <v>1</v>
      </c>
      <c r="W198" s="35">
        <v>1</v>
      </c>
    </row>
    <row r="199" spans="1:23" x14ac:dyDescent="0.2">
      <c r="A199" s="54">
        <v>98031</v>
      </c>
      <c r="B199" s="60" t="s">
        <v>353</v>
      </c>
      <c r="C199" s="35">
        <v>227</v>
      </c>
      <c r="D199" s="35">
        <v>268</v>
      </c>
      <c r="E199" s="35">
        <v>319</v>
      </c>
      <c r="G199" s="78">
        <v>98374</v>
      </c>
      <c r="H199" s="60" t="s">
        <v>353</v>
      </c>
      <c r="I199" s="35">
        <v>19</v>
      </c>
      <c r="J199" s="32">
        <v>27</v>
      </c>
      <c r="K199" s="32">
        <v>45</v>
      </c>
      <c r="M199" s="78">
        <v>98237</v>
      </c>
      <c r="N199" s="60" t="s">
        <v>352</v>
      </c>
      <c r="O199" s="35">
        <v>2</v>
      </c>
      <c r="P199" s="35">
        <v>0</v>
      </c>
      <c r="Q199" s="35">
        <v>3</v>
      </c>
      <c r="S199" s="78">
        <v>98277</v>
      </c>
      <c r="T199" s="60" t="s">
        <v>352</v>
      </c>
      <c r="U199" s="32">
        <v>5</v>
      </c>
      <c r="V199" s="35">
        <v>4</v>
      </c>
      <c r="W199" s="35">
        <v>6</v>
      </c>
    </row>
    <row r="200" spans="1:23" x14ac:dyDescent="0.2">
      <c r="A200" s="54">
        <v>98032</v>
      </c>
      <c r="B200" s="60" t="s">
        <v>353</v>
      </c>
      <c r="C200" s="35">
        <v>291</v>
      </c>
      <c r="D200" s="35">
        <v>360</v>
      </c>
      <c r="E200" s="35">
        <v>356</v>
      </c>
      <c r="G200" s="54">
        <v>98375</v>
      </c>
      <c r="H200" s="60" t="s">
        <v>352</v>
      </c>
      <c r="I200" s="35">
        <v>1</v>
      </c>
      <c r="J200" s="35">
        <v>0</v>
      </c>
      <c r="K200" s="35">
        <v>0</v>
      </c>
      <c r="M200" s="78">
        <v>98237</v>
      </c>
      <c r="N200" s="60" t="s">
        <v>353</v>
      </c>
      <c r="O200" s="35">
        <v>41</v>
      </c>
      <c r="P200" s="35">
        <v>38</v>
      </c>
      <c r="Q200" s="35">
        <v>51</v>
      </c>
      <c r="S200" s="78">
        <v>98277</v>
      </c>
      <c r="T200" s="60" t="s">
        <v>353</v>
      </c>
      <c r="U200" s="32">
        <v>26</v>
      </c>
      <c r="V200" s="35">
        <v>36</v>
      </c>
      <c r="W200" s="35">
        <v>44</v>
      </c>
    </row>
    <row r="201" spans="1:23" x14ac:dyDescent="0.2">
      <c r="A201" s="54">
        <v>98033</v>
      </c>
      <c r="B201" s="60" t="s">
        <v>353</v>
      </c>
      <c r="C201" s="35">
        <v>59</v>
      </c>
      <c r="D201" s="35">
        <v>71</v>
      </c>
      <c r="E201" s="35">
        <v>79</v>
      </c>
      <c r="G201" s="78">
        <v>98375</v>
      </c>
      <c r="H201" s="60" t="s">
        <v>353</v>
      </c>
      <c r="I201" s="35">
        <v>13</v>
      </c>
      <c r="J201" s="35">
        <v>11</v>
      </c>
      <c r="K201" s="35">
        <v>16</v>
      </c>
      <c r="M201" s="78">
        <v>98239</v>
      </c>
      <c r="N201" s="60" t="s">
        <v>352</v>
      </c>
      <c r="O201" s="35">
        <v>0</v>
      </c>
      <c r="P201" s="35">
        <v>3</v>
      </c>
      <c r="Q201" s="35">
        <v>0</v>
      </c>
      <c r="S201" s="78">
        <v>98281</v>
      </c>
      <c r="T201" s="60" t="s">
        <v>353</v>
      </c>
      <c r="U201" s="35">
        <v>0</v>
      </c>
      <c r="V201" s="35">
        <v>1</v>
      </c>
      <c r="W201" s="35">
        <v>2</v>
      </c>
    </row>
    <row r="202" spans="1:23" x14ac:dyDescent="0.2">
      <c r="A202" s="54">
        <v>98034</v>
      </c>
      <c r="B202" s="60" t="s">
        <v>353</v>
      </c>
      <c r="C202" s="35">
        <v>126</v>
      </c>
      <c r="D202" s="35">
        <v>144</v>
      </c>
      <c r="E202" s="35">
        <v>158</v>
      </c>
      <c r="G202" s="78">
        <v>98380</v>
      </c>
      <c r="H202" s="60" t="s">
        <v>352</v>
      </c>
      <c r="I202" s="35">
        <v>0</v>
      </c>
      <c r="J202" s="32">
        <v>1</v>
      </c>
      <c r="K202" s="32">
        <v>0</v>
      </c>
      <c r="M202" s="78">
        <v>98239</v>
      </c>
      <c r="N202" s="60" t="s">
        <v>353</v>
      </c>
      <c r="O202" s="32">
        <v>30</v>
      </c>
      <c r="P202" s="35">
        <v>18</v>
      </c>
      <c r="Q202" s="32">
        <v>28</v>
      </c>
      <c r="S202" s="78">
        <v>98283</v>
      </c>
      <c r="T202" s="60" t="s">
        <v>353</v>
      </c>
      <c r="U202" s="32">
        <v>0</v>
      </c>
      <c r="V202" s="35">
        <v>1</v>
      </c>
      <c r="W202" s="35">
        <v>0</v>
      </c>
    </row>
    <row r="203" spans="1:23" x14ac:dyDescent="0.2">
      <c r="A203" s="54">
        <v>98036</v>
      </c>
      <c r="B203" s="60" t="s">
        <v>353</v>
      </c>
      <c r="C203" s="35">
        <v>20</v>
      </c>
      <c r="D203" s="35">
        <v>35</v>
      </c>
      <c r="E203" s="35">
        <v>29</v>
      </c>
      <c r="G203" s="54">
        <v>98380</v>
      </c>
      <c r="H203" s="60" t="s">
        <v>353</v>
      </c>
      <c r="I203" s="35">
        <v>1</v>
      </c>
      <c r="J203" s="35">
        <v>12</v>
      </c>
      <c r="K203" s="35">
        <v>6</v>
      </c>
      <c r="M203" s="54">
        <v>98240</v>
      </c>
      <c r="N203" s="60" t="s">
        <v>352</v>
      </c>
      <c r="O203" s="35">
        <v>1</v>
      </c>
      <c r="P203" s="35">
        <v>1</v>
      </c>
      <c r="Q203" s="35">
        <v>0</v>
      </c>
      <c r="S203" s="78">
        <v>98284</v>
      </c>
      <c r="T203" s="60" t="s">
        <v>352</v>
      </c>
      <c r="U203" s="32">
        <v>4</v>
      </c>
      <c r="V203" s="35">
        <v>0</v>
      </c>
      <c r="W203" s="32">
        <v>2</v>
      </c>
    </row>
    <row r="204" spans="1:23" x14ac:dyDescent="0.2">
      <c r="A204" s="54">
        <v>98037</v>
      </c>
      <c r="B204" s="60" t="s">
        <v>353</v>
      </c>
      <c r="C204" s="35">
        <v>22</v>
      </c>
      <c r="D204" s="35">
        <v>26</v>
      </c>
      <c r="E204" s="35">
        <v>31</v>
      </c>
      <c r="G204" s="78">
        <v>98383</v>
      </c>
      <c r="H204" s="60" t="s">
        <v>353</v>
      </c>
      <c r="I204" s="35">
        <v>8</v>
      </c>
      <c r="J204" s="35">
        <v>16</v>
      </c>
      <c r="K204" s="35">
        <v>14</v>
      </c>
      <c r="M204" s="78">
        <v>98240</v>
      </c>
      <c r="N204" s="60" t="s">
        <v>353</v>
      </c>
      <c r="O204" s="35">
        <v>10</v>
      </c>
      <c r="P204" s="35">
        <v>11</v>
      </c>
      <c r="Q204" s="35">
        <v>9</v>
      </c>
      <c r="S204" s="54">
        <v>98284</v>
      </c>
      <c r="T204" s="60" t="s">
        <v>353</v>
      </c>
      <c r="U204" s="35">
        <v>31</v>
      </c>
      <c r="V204" s="35">
        <v>30</v>
      </c>
      <c r="W204" s="35">
        <v>55</v>
      </c>
    </row>
    <row r="205" spans="1:23" x14ac:dyDescent="0.2">
      <c r="A205" s="54">
        <v>98038</v>
      </c>
      <c r="B205" s="60" t="s">
        <v>353</v>
      </c>
      <c r="C205" s="35">
        <v>122</v>
      </c>
      <c r="D205" s="35">
        <v>147</v>
      </c>
      <c r="E205" s="35">
        <v>149</v>
      </c>
      <c r="G205" s="78">
        <v>98387</v>
      </c>
      <c r="H205" s="60" t="s">
        <v>352</v>
      </c>
      <c r="I205" s="35">
        <v>1</v>
      </c>
      <c r="J205" s="32">
        <v>0</v>
      </c>
      <c r="K205" s="35">
        <v>0</v>
      </c>
      <c r="M205" s="78">
        <v>98244</v>
      </c>
      <c r="N205" s="60" t="s">
        <v>352</v>
      </c>
      <c r="O205" s="32">
        <v>3</v>
      </c>
      <c r="P205" s="35">
        <v>0</v>
      </c>
      <c r="Q205" s="35">
        <v>0</v>
      </c>
      <c r="S205" s="78">
        <v>98290</v>
      </c>
      <c r="T205" s="60" t="s">
        <v>352</v>
      </c>
      <c r="U205" s="35">
        <v>0</v>
      </c>
      <c r="V205" s="35">
        <v>0</v>
      </c>
      <c r="W205" s="32">
        <v>1</v>
      </c>
    </row>
    <row r="206" spans="1:23" x14ac:dyDescent="0.2">
      <c r="A206" s="78">
        <v>98039</v>
      </c>
      <c r="B206" s="60" t="s">
        <v>353</v>
      </c>
      <c r="C206" s="35">
        <v>0</v>
      </c>
      <c r="D206" s="35">
        <v>2</v>
      </c>
      <c r="E206" s="35">
        <v>3</v>
      </c>
      <c r="G206" s="54">
        <v>98387</v>
      </c>
      <c r="H206" s="60" t="s">
        <v>353</v>
      </c>
      <c r="I206" s="35">
        <v>12</v>
      </c>
      <c r="J206" s="35">
        <v>11</v>
      </c>
      <c r="K206" s="35">
        <v>16</v>
      </c>
      <c r="M206" s="78">
        <v>98244</v>
      </c>
      <c r="N206" s="60" t="s">
        <v>353</v>
      </c>
      <c r="O206" s="35">
        <v>17</v>
      </c>
      <c r="P206" s="35">
        <v>16</v>
      </c>
      <c r="Q206" s="35">
        <v>17</v>
      </c>
      <c r="S206" s="78">
        <v>98290</v>
      </c>
      <c r="T206" s="60" t="s">
        <v>353</v>
      </c>
      <c r="U206" s="32">
        <v>2</v>
      </c>
      <c r="V206" s="32">
        <v>2</v>
      </c>
      <c r="W206" s="35">
        <v>3</v>
      </c>
    </row>
    <row r="207" spans="1:23" x14ac:dyDescent="0.2">
      <c r="A207" s="54">
        <v>98040</v>
      </c>
      <c r="B207" s="60" t="s">
        <v>353</v>
      </c>
      <c r="C207" s="35">
        <v>22</v>
      </c>
      <c r="D207" s="35">
        <v>20</v>
      </c>
      <c r="E207" s="35">
        <v>27</v>
      </c>
      <c r="G207" s="78">
        <v>98388</v>
      </c>
      <c r="H207" s="60" t="s">
        <v>353</v>
      </c>
      <c r="I207" s="35">
        <v>0</v>
      </c>
      <c r="J207" s="35">
        <v>2</v>
      </c>
      <c r="K207" s="35">
        <v>1</v>
      </c>
      <c r="M207" s="78">
        <v>98247</v>
      </c>
      <c r="N207" s="60" t="s">
        <v>352</v>
      </c>
      <c r="O207" s="35">
        <v>0</v>
      </c>
      <c r="P207" s="35">
        <v>2</v>
      </c>
      <c r="Q207" s="35">
        <v>1</v>
      </c>
      <c r="S207" s="54">
        <v>98292</v>
      </c>
      <c r="T207" s="60" t="s">
        <v>353</v>
      </c>
      <c r="U207" s="35">
        <v>1</v>
      </c>
      <c r="V207" s="35">
        <v>1</v>
      </c>
      <c r="W207" s="35">
        <v>0</v>
      </c>
    </row>
    <row r="208" spans="1:23" x14ac:dyDescent="0.2">
      <c r="A208" s="54">
        <v>98042</v>
      </c>
      <c r="B208" s="60" t="s">
        <v>353</v>
      </c>
      <c r="C208" s="35">
        <v>221</v>
      </c>
      <c r="D208" s="35">
        <v>270</v>
      </c>
      <c r="E208" s="35">
        <v>307</v>
      </c>
      <c r="G208" s="78">
        <v>98390</v>
      </c>
      <c r="H208" s="60" t="s">
        <v>352</v>
      </c>
      <c r="I208" s="32">
        <v>2</v>
      </c>
      <c r="J208" s="35">
        <v>0</v>
      </c>
      <c r="K208" s="35">
        <v>0</v>
      </c>
      <c r="M208" s="54">
        <v>98247</v>
      </c>
      <c r="N208" s="60" t="s">
        <v>353</v>
      </c>
      <c r="O208" s="35">
        <v>37</v>
      </c>
      <c r="P208" s="35">
        <v>18</v>
      </c>
      <c r="Q208" s="35">
        <v>24</v>
      </c>
      <c r="S208" s="78">
        <v>98294</v>
      </c>
      <c r="T208" s="60" t="s">
        <v>353</v>
      </c>
      <c r="U208" s="32">
        <v>1</v>
      </c>
      <c r="V208" s="35">
        <v>1</v>
      </c>
      <c r="W208" s="35">
        <v>1</v>
      </c>
    </row>
    <row r="209" spans="1:23" x14ac:dyDescent="0.2">
      <c r="A209" s="78">
        <v>98043</v>
      </c>
      <c r="B209" s="60" t="s">
        <v>353</v>
      </c>
      <c r="C209" s="35">
        <v>14</v>
      </c>
      <c r="D209" s="35">
        <v>16</v>
      </c>
      <c r="E209" s="35">
        <v>22</v>
      </c>
      <c r="G209" s="54">
        <v>98390</v>
      </c>
      <c r="H209" s="60" t="s">
        <v>353</v>
      </c>
      <c r="I209" s="35">
        <v>11</v>
      </c>
      <c r="J209" s="35">
        <v>11</v>
      </c>
      <c r="K209" s="35">
        <v>5</v>
      </c>
      <c r="M209" s="78">
        <v>98248</v>
      </c>
      <c r="N209" s="60" t="s">
        <v>352</v>
      </c>
      <c r="O209" s="35">
        <v>4</v>
      </c>
      <c r="P209" s="35">
        <v>2</v>
      </c>
      <c r="Q209" s="35">
        <v>12</v>
      </c>
      <c r="S209" s="78">
        <v>98295</v>
      </c>
      <c r="T209" s="60" t="s">
        <v>353</v>
      </c>
      <c r="U209" s="32">
        <v>4</v>
      </c>
      <c r="V209" s="35">
        <v>2</v>
      </c>
      <c r="W209" s="32">
        <v>3</v>
      </c>
    </row>
    <row r="210" spans="1:23" x14ac:dyDescent="0.2">
      <c r="A210" s="78">
        <v>98045</v>
      </c>
      <c r="B210" s="60" t="s">
        <v>353</v>
      </c>
      <c r="C210" s="32">
        <v>28</v>
      </c>
      <c r="D210" s="35">
        <v>37</v>
      </c>
      <c r="E210" s="35">
        <v>39</v>
      </c>
      <c r="G210" s="78">
        <v>98391</v>
      </c>
      <c r="H210" s="60" t="s">
        <v>352</v>
      </c>
      <c r="I210" s="35">
        <v>0</v>
      </c>
      <c r="J210" s="35">
        <v>2</v>
      </c>
      <c r="K210" s="35">
        <v>1</v>
      </c>
      <c r="M210" s="78">
        <v>98248</v>
      </c>
      <c r="N210" s="60" t="s">
        <v>353</v>
      </c>
      <c r="O210" s="35">
        <v>56</v>
      </c>
      <c r="P210" s="35">
        <v>68</v>
      </c>
      <c r="Q210" s="32">
        <v>63</v>
      </c>
      <c r="S210" s="78">
        <v>98296</v>
      </c>
      <c r="T210" s="60" t="s">
        <v>353</v>
      </c>
      <c r="U210" s="35">
        <v>1</v>
      </c>
      <c r="V210" s="32">
        <v>5</v>
      </c>
      <c r="W210" s="32">
        <v>5</v>
      </c>
    </row>
    <row r="211" spans="1:23" x14ac:dyDescent="0.2">
      <c r="A211" s="54">
        <v>98047</v>
      </c>
      <c r="B211" s="60" t="s">
        <v>353</v>
      </c>
      <c r="C211" s="35">
        <v>54</v>
      </c>
      <c r="D211" s="35">
        <v>62</v>
      </c>
      <c r="E211" s="35">
        <v>69</v>
      </c>
      <c r="G211" s="78">
        <v>98391</v>
      </c>
      <c r="H211" s="60" t="s">
        <v>353</v>
      </c>
      <c r="I211" s="32">
        <v>18</v>
      </c>
      <c r="J211" s="32">
        <v>27</v>
      </c>
      <c r="K211" s="35">
        <v>35</v>
      </c>
      <c r="M211" s="78">
        <v>98249</v>
      </c>
      <c r="N211" s="60" t="s">
        <v>352</v>
      </c>
      <c r="O211" s="32">
        <v>0</v>
      </c>
      <c r="P211" s="32">
        <v>1</v>
      </c>
      <c r="Q211" s="35">
        <v>1</v>
      </c>
      <c r="S211" s="78">
        <v>98310</v>
      </c>
      <c r="T211" s="60" t="s">
        <v>352</v>
      </c>
      <c r="U211" s="32">
        <v>0</v>
      </c>
      <c r="V211" s="35">
        <v>1</v>
      </c>
      <c r="W211" s="35">
        <v>2</v>
      </c>
    </row>
    <row r="212" spans="1:23" x14ac:dyDescent="0.2">
      <c r="A212" s="78">
        <v>98050</v>
      </c>
      <c r="B212" s="60" t="s">
        <v>353</v>
      </c>
      <c r="C212" s="35">
        <v>1</v>
      </c>
      <c r="D212" s="35">
        <v>1</v>
      </c>
      <c r="E212" s="35">
        <v>2</v>
      </c>
      <c r="G212" s="54">
        <v>98392</v>
      </c>
      <c r="H212" s="60" t="s">
        <v>353</v>
      </c>
      <c r="I212" s="35">
        <v>1</v>
      </c>
      <c r="J212" s="35">
        <v>1</v>
      </c>
      <c r="K212" s="35">
        <v>3</v>
      </c>
      <c r="M212" s="54">
        <v>98249</v>
      </c>
      <c r="N212" s="60" t="s">
        <v>353</v>
      </c>
      <c r="O212" s="35">
        <v>13</v>
      </c>
      <c r="P212" s="35">
        <v>15</v>
      </c>
      <c r="Q212" s="35">
        <v>18</v>
      </c>
      <c r="S212" s="78">
        <v>98310</v>
      </c>
      <c r="T212" s="60" t="s">
        <v>353</v>
      </c>
      <c r="U212" s="75">
        <v>21</v>
      </c>
      <c r="V212" s="75">
        <v>28</v>
      </c>
      <c r="W212" s="75">
        <v>25</v>
      </c>
    </row>
    <row r="213" spans="1:23" x14ac:dyDescent="0.2">
      <c r="A213" s="78">
        <v>98051</v>
      </c>
      <c r="B213" s="60" t="s">
        <v>353</v>
      </c>
      <c r="C213" s="35">
        <v>16</v>
      </c>
      <c r="D213" s="35">
        <v>24</v>
      </c>
      <c r="E213" s="35">
        <v>22</v>
      </c>
      <c r="G213" s="78">
        <v>98396</v>
      </c>
      <c r="H213" s="60" t="s">
        <v>353</v>
      </c>
      <c r="I213" s="35">
        <v>0</v>
      </c>
      <c r="J213" s="32">
        <v>2</v>
      </c>
      <c r="K213" s="35">
        <v>1</v>
      </c>
      <c r="M213" s="78">
        <v>98251</v>
      </c>
      <c r="N213" s="60" t="s">
        <v>353</v>
      </c>
      <c r="O213" s="32">
        <v>2</v>
      </c>
      <c r="P213" s="32">
        <v>4</v>
      </c>
      <c r="Q213" s="35">
        <v>1</v>
      </c>
      <c r="S213" s="78">
        <v>98311</v>
      </c>
      <c r="T213" s="60" t="s">
        <v>352</v>
      </c>
      <c r="U213" s="79">
        <v>2</v>
      </c>
      <c r="V213" s="79">
        <v>1</v>
      </c>
      <c r="W213" s="75">
        <v>0</v>
      </c>
    </row>
    <row r="214" spans="1:23" x14ac:dyDescent="0.2">
      <c r="A214" s="78">
        <v>98052</v>
      </c>
      <c r="B214" s="60" t="s">
        <v>353</v>
      </c>
      <c r="C214" s="35">
        <v>119</v>
      </c>
      <c r="D214" s="35">
        <v>146</v>
      </c>
      <c r="E214" s="35">
        <v>155</v>
      </c>
      <c r="G214" s="78">
        <v>98402</v>
      </c>
      <c r="H214" s="60" t="s">
        <v>353</v>
      </c>
      <c r="I214" s="35">
        <v>0</v>
      </c>
      <c r="J214" s="35">
        <v>0</v>
      </c>
      <c r="K214" s="35">
        <v>1</v>
      </c>
      <c r="M214" s="54">
        <v>98252</v>
      </c>
      <c r="N214" s="60" t="s">
        <v>352</v>
      </c>
      <c r="O214" s="35">
        <v>0</v>
      </c>
      <c r="P214" s="35">
        <v>0</v>
      </c>
      <c r="Q214" s="35">
        <v>1</v>
      </c>
      <c r="S214" s="78">
        <v>98311</v>
      </c>
      <c r="T214" s="60" t="s">
        <v>353</v>
      </c>
      <c r="U214" s="79">
        <v>20</v>
      </c>
      <c r="V214" s="79">
        <v>29</v>
      </c>
      <c r="W214" s="79">
        <v>31</v>
      </c>
    </row>
    <row r="215" spans="1:23" x14ac:dyDescent="0.2">
      <c r="A215" s="54">
        <v>98053</v>
      </c>
      <c r="B215" s="60" t="s">
        <v>353</v>
      </c>
      <c r="C215" s="35">
        <v>15</v>
      </c>
      <c r="D215" s="35">
        <v>24</v>
      </c>
      <c r="E215" s="35">
        <v>22</v>
      </c>
      <c r="G215" s="78">
        <v>98404</v>
      </c>
      <c r="H215" s="60" t="s">
        <v>353</v>
      </c>
      <c r="I215" s="35">
        <v>2</v>
      </c>
      <c r="J215" s="32">
        <v>5</v>
      </c>
      <c r="K215" s="35">
        <v>4</v>
      </c>
      <c r="M215" s="78">
        <v>98252</v>
      </c>
      <c r="N215" s="60" t="s">
        <v>353</v>
      </c>
      <c r="O215" s="35">
        <v>11</v>
      </c>
      <c r="P215" s="35">
        <v>12</v>
      </c>
      <c r="Q215" s="32">
        <v>15</v>
      </c>
      <c r="S215" s="78">
        <v>98312</v>
      </c>
      <c r="T215" s="60" t="s">
        <v>352</v>
      </c>
      <c r="U215" s="79">
        <v>1</v>
      </c>
      <c r="V215" s="79">
        <v>0</v>
      </c>
      <c r="W215" s="79">
        <v>3</v>
      </c>
    </row>
    <row r="216" spans="1:23" x14ac:dyDescent="0.2">
      <c r="A216" s="54">
        <v>98055</v>
      </c>
      <c r="B216" s="60" t="s">
        <v>353</v>
      </c>
      <c r="C216" s="35">
        <v>179</v>
      </c>
      <c r="D216" s="35">
        <v>197</v>
      </c>
      <c r="E216" s="35">
        <v>227</v>
      </c>
      <c r="G216" s="78">
        <v>98405</v>
      </c>
      <c r="H216" s="60" t="s">
        <v>353</v>
      </c>
      <c r="I216" s="35">
        <v>0</v>
      </c>
      <c r="J216" s="35">
        <v>1</v>
      </c>
      <c r="K216" s="35">
        <v>5</v>
      </c>
      <c r="M216" s="54">
        <v>98253</v>
      </c>
      <c r="N216" s="60" t="s">
        <v>353</v>
      </c>
      <c r="O216" s="35">
        <v>2</v>
      </c>
      <c r="P216" s="35">
        <v>3</v>
      </c>
      <c r="Q216" s="35">
        <v>6</v>
      </c>
      <c r="S216" s="78">
        <v>98312</v>
      </c>
      <c r="T216" s="60" t="s">
        <v>353</v>
      </c>
      <c r="U216" s="75">
        <v>36</v>
      </c>
      <c r="V216" s="79">
        <v>36</v>
      </c>
      <c r="W216" s="79">
        <v>44</v>
      </c>
    </row>
    <row r="217" spans="1:23" x14ac:dyDescent="0.2">
      <c r="A217" s="78">
        <v>98056</v>
      </c>
      <c r="B217" s="60" t="s">
        <v>353</v>
      </c>
      <c r="C217" s="35">
        <v>158</v>
      </c>
      <c r="D217" s="35">
        <v>205</v>
      </c>
      <c r="E217" s="35">
        <v>235</v>
      </c>
      <c r="G217" s="78">
        <v>98406</v>
      </c>
      <c r="H217" s="60" t="s">
        <v>353</v>
      </c>
      <c r="I217" s="35">
        <v>1</v>
      </c>
      <c r="J217" s="32">
        <v>1</v>
      </c>
      <c r="K217" s="32">
        <v>1</v>
      </c>
      <c r="M217" s="78">
        <v>98255</v>
      </c>
      <c r="N217" s="60" t="s">
        <v>352</v>
      </c>
      <c r="O217" s="35">
        <v>0</v>
      </c>
      <c r="P217" s="35">
        <v>0</v>
      </c>
      <c r="Q217" s="35">
        <v>1</v>
      </c>
      <c r="S217" s="78">
        <v>98321</v>
      </c>
      <c r="T217" s="60" t="s">
        <v>352</v>
      </c>
      <c r="U217" s="75">
        <v>0</v>
      </c>
      <c r="V217" s="75">
        <v>0</v>
      </c>
      <c r="W217" s="79">
        <v>1</v>
      </c>
    </row>
    <row r="218" spans="1:23" x14ac:dyDescent="0.2">
      <c r="A218" s="54">
        <v>98057</v>
      </c>
      <c r="B218" s="60" t="s">
        <v>353</v>
      </c>
      <c r="C218" s="35">
        <v>99</v>
      </c>
      <c r="D218" s="35">
        <v>121</v>
      </c>
      <c r="E218" s="35">
        <v>115</v>
      </c>
      <c r="G218" s="54">
        <v>98408</v>
      </c>
      <c r="H218" s="60" t="s">
        <v>353</v>
      </c>
      <c r="I218" s="35">
        <v>4</v>
      </c>
      <c r="J218" s="35">
        <v>4</v>
      </c>
      <c r="K218" s="35">
        <v>2</v>
      </c>
      <c r="M218" s="54">
        <v>98255</v>
      </c>
      <c r="N218" s="60" t="s">
        <v>353</v>
      </c>
      <c r="O218" s="35">
        <v>5</v>
      </c>
      <c r="P218" s="35">
        <v>1</v>
      </c>
      <c r="Q218" s="35">
        <v>4</v>
      </c>
      <c r="S218" s="78">
        <v>98321</v>
      </c>
      <c r="T218" s="60" t="s">
        <v>353</v>
      </c>
      <c r="U218" s="75">
        <v>16</v>
      </c>
      <c r="V218" s="79">
        <v>18</v>
      </c>
      <c r="W218" s="79">
        <v>21</v>
      </c>
    </row>
    <row r="219" spans="1:23" x14ac:dyDescent="0.2">
      <c r="A219" s="54">
        <v>98058</v>
      </c>
      <c r="B219" s="60" t="s">
        <v>353</v>
      </c>
      <c r="C219" s="35">
        <v>206</v>
      </c>
      <c r="D219" s="35">
        <v>273</v>
      </c>
      <c r="E219" s="35">
        <v>268</v>
      </c>
      <c r="G219" s="78">
        <v>98409</v>
      </c>
      <c r="H219" s="60" t="s">
        <v>352</v>
      </c>
      <c r="I219" s="35">
        <v>0</v>
      </c>
      <c r="J219" s="32">
        <v>0</v>
      </c>
      <c r="K219" s="32">
        <v>2</v>
      </c>
      <c r="M219" s="78">
        <v>98257</v>
      </c>
      <c r="N219" s="60" t="s">
        <v>353</v>
      </c>
      <c r="O219" s="35">
        <v>15</v>
      </c>
      <c r="P219" s="32">
        <v>16</v>
      </c>
      <c r="Q219" s="32">
        <v>12</v>
      </c>
      <c r="S219" s="54">
        <v>98323</v>
      </c>
      <c r="T219" s="60" t="s">
        <v>352</v>
      </c>
      <c r="U219" s="75">
        <v>0</v>
      </c>
      <c r="V219" s="75">
        <v>1</v>
      </c>
      <c r="W219" s="75">
        <v>1</v>
      </c>
    </row>
    <row r="220" spans="1:23" x14ac:dyDescent="0.2">
      <c r="A220" s="78">
        <v>98059</v>
      </c>
      <c r="B220" s="60" t="s">
        <v>353</v>
      </c>
      <c r="C220" s="35">
        <v>111</v>
      </c>
      <c r="D220" s="35">
        <v>151</v>
      </c>
      <c r="E220" s="35">
        <v>162</v>
      </c>
      <c r="G220" s="54">
        <v>98409</v>
      </c>
      <c r="H220" s="60" t="s">
        <v>353</v>
      </c>
      <c r="I220" s="35">
        <v>3</v>
      </c>
      <c r="J220" s="35">
        <v>2</v>
      </c>
      <c r="K220" s="35">
        <v>0</v>
      </c>
      <c r="M220" s="54">
        <v>98258</v>
      </c>
      <c r="N220" s="60" t="s">
        <v>353</v>
      </c>
      <c r="O220" s="35">
        <v>64</v>
      </c>
      <c r="P220" s="35">
        <v>47</v>
      </c>
      <c r="Q220" s="35">
        <v>60</v>
      </c>
      <c r="S220" s="78">
        <v>98323</v>
      </c>
      <c r="T220" s="60" t="s">
        <v>353</v>
      </c>
      <c r="U220" s="75">
        <v>0</v>
      </c>
      <c r="V220" s="75">
        <v>4</v>
      </c>
      <c r="W220" s="75">
        <v>3</v>
      </c>
    </row>
    <row r="221" spans="1:23" x14ac:dyDescent="0.2">
      <c r="A221" s="78">
        <v>98065</v>
      </c>
      <c r="B221" s="60" t="s">
        <v>353</v>
      </c>
      <c r="C221" s="35">
        <v>38</v>
      </c>
      <c r="D221" s="35">
        <v>38</v>
      </c>
      <c r="E221" s="35">
        <v>45</v>
      </c>
      <c r="G221" s="78">
        <v>98418</v>
      </c>
      <c r="H221" s="60" t="s">
        <v>353</v>
      </c>
      <c r="I221" s="35">
        <v>2</v>
      </c>
      <c r="J221" s="35">
        <v>3</v>
      </c>
      <c r="K221" s="35">
        <v>1</v>
      </c>
      <c r="M221" s="78">
        <v>98260</v>
      </c>
      <c r="N221" s="60" t="s">
        <v>352</v>
      </c>
      <c r="O221" s="35">
        <v>1</v>
      </c>
      <c r="P221" s="32">
        <v>0</v>
      </c>
      <c r="Q221" s="32">
        <v>2</v>
      </c>
      <c r="S221" s="78">
        <v>98327</v>
      </c>
      <c r="T221" s="60" t="s">
        <v>353</v>
      </c>
      <c r="U221" s="75">
        <v>9</v>
      </c>
      <c r="V221" s="75">
        <v>8</v>
      </c>
      <c r="W221" s="75">
        <v>10</v>
      </c>
    </row>
    <row r="222" spans="1:23" x14ac:dyDescent="0.2">
      <c r="A222" s="54">
        <v>98068</v>
      </c>
      <c r="B222" s="60" t="s">
        <v>353</v>
      </c>
      <c r="C222" s="35">
        <v>0</v>
      </c>
      <c r="D222" s="35">
        <v>0</v>
      </c>
      <c r="E222" s="35">
        <v>1</v>
      </c>
      <c r="G222" s="78">
        <v>98421</v>
      </c>
      <c r="H222" s="60" t="s">
        <v>352</v>
      </c>
      <c r="I222" s="35">
        <v>1</v>
      </c>
      <c r="J222" s="32">
        <v>0</v>
      </c>
      <c r="K222" s="32">
        <v>0</v>
      </c>
      <c r="M222" s="54">
        <v>98260</v>
      </c>
      <c r="N222" s="60" t="s">
        <v>353</v>
      </c>
      <c r="O222" s="35">
        <v>8</v>
      </c>
      <c r="P222" s="35">
        <v>14</v>
      </c>
      <c r="Q222" s="35">
        <v>15</v>
      </c>
      <c r="S222" s="78">
        <v>98328</v>
      </c>
      <c r="T222" s="60" t="s">
        <v>353</v>
      </c>
      <c r="U222" s="79">
        <v>1</v>
      </c>
      <c r="V222" s="75">
        <v>1</v>
      </c>
      <c r="W222" s="79">
        <v>0</v>
      </c>
    </row>
    <row r="223" spans="1:23" x14ac:dyDescent="0.2">
      <c r="A223" s="54">
        <v>98070</v>
      </c>
      <c r="B223" s="60" t="s">
        <v>353</v>
      </c>
      <c r="C223" s="35">
        <v>22</v>
      </c>
      <c r="D223" s="35">
        <v>30</v>
      </c>
      <c r="E223" s="35">
        <v>35</v>
      </c>
      <c r="G223" s="54">
        <v>98422</v>
      </c>
      <c r="H223" s="60" t="s">
        <v>353</v>
      </c>
      <c r="I223" s="35">
        <v>3</v>
      </c>
      <c r="J223" s="35">
        <v>3</v>
      </c>
      <c r="K223" s="35">
        <v>0</v>
      </c>
      <c r="M223" s="78">
        <v>98262</v>
      </c>
      <c r="N223" s="60" t="s">
        <v>353</v>
      </c>
      <c r="O223" s="32">
        <v>0</v>
      </c>
      <c r="P223" s="32">
        <v>5</v>
      </c>
      <c r="Q223" s="35">
        <v>2</v>
      </c>
      <c r="S223" s="78">
        <v>98332</v>
      </c>
      <c r="T223" s="60" t="s">
        <v>353</v>
      </c>
      <c r="U223" s="75">
        <v>1</v>
      </c>
      <c r="V223" s="75">
        <v>1</v>
      </c>
      <c r="W223" s="79">
        <v>0</v>
      </c>
    </row>
    <row r="224" spans="1:23" x14ac:dyDescent="0.2">
      <c r="A224" s="78">
        <v>98072</v>
      </c>
      <c r="B224" s="60" t="s">
        <v>353</v>
      </c>
      <c r="C224" s="35">
        <v>44</v>
      </c>
      <c r="D224" s="35">
        <v>53</v>
      </c>
      <c r="E224" s="32">
        <v>58</v>
      </c>
      <c r="G224" s="78">
        <v>98424</v>
      </c>
      <c r="H224" s="60" t="s">
        <v>352</v>
      </c>
      <c r="I224" s="35">
        <v>0</v>
      </c>
      <c r="J224" s="32">
        <v>0</v>
      </c>
      <c r="K224" s="32">
        <v>1</v>
      </c>
      <c r="M224" s="54">
        <v>98263</v>
      </c>
      <c r="N224" s="60" t="s">
        <v>352</v>
      </c>
      <c r="O224" s="35">
        <v>0</v>
      </c>
      <c r="P224" s="35">
        <v>0</v>
      </c>
      <c r="Q224" s="35">
        <v>1</v>
      </c>
      <c r="S224" s="78">
        <v>98335</v>
      </c>
      <c r="T224" s="60" t="s">
        <v>353</v>
      </c>
      <c r="U224" s="79">
        <v>0</v>
      </c>
      <c r="V224" s="79">
        <v>4</v>
      </c>
      <c r="W224" s="75">
        <v>7</v>
      </c>
    </row>
    <row r="225" spans="1:23" x14ac:dyDescent="0.2">
      <c r="A225" s="78">
        <v>98074</v>
      </c>
      <c r="B225" s="60" t="s">
        <v>353</v>
      </c>
      <c r="C225" s="35">
        <v>26</v>
      </c>
      <c r="D225" s="35">
        <v>26</v>
      </c>
      <c r="E225" s="35">
        <v>38</v>
      </c>
      <c r="G225" s="54">
        <v>98424</v>
      </c>
      <c r="H225" s="60" t="s">
        <v>353</v>
      </c>
      <c r="I225" s="35">
        <v>0</v>
      </c>
      <c r="J225" s="35">
        <v>0</v>
      </c>
      <c r="K225" s="35">
        <v>1</v>
      </c>
      <c r="M225" s="78">
        <v>98263</v>
      </c>
      <c r="N225" s="60" t="s">
        <v>353</v>
      </c>
      <c r="O225" s="35">
        <v>2</v>
      </c>
      <c r="P225" s="35">
        <v>1</v>
      </c>
      <c r="Q225" s="32">
        <v>2</v>
      </c>
      <c r="S225" s="78">
        <v>98337</v>
      </c>
      <c r="T225" s="60" t="s">
        <v>353</v>
      </c>
      <c r="U225" s="75">
        <v>2</v>
      </c>
      <c r="V225" s="75">
        <v>4</v>
      </c>
      <c r="W225" s="79">
        <v>8</v>
      </c>
    </row>
    <row r="226" spans="1:23" x14ac:dyDescent="0.2">
      <c r="A226" s="78">
        <v>98075</v>
      </c>
      <c r="B226" s="60" t="s">
        <v>353</v>
      </c>
      <c r="C226" s="35">
        <v>19</v>
      </c>
      <c r="D226" s="35">
        <v>24</v>
      </c>
      <c r="E226" s="35">
        <v>19</v>
      </c>
      <c r="G226" s="78">
        <v>98439</v>
      </c>
      <c r="H226" s="60" t="s">
        <v>353</v>
      </c>
      <c r="I226" s="32">
        <v>3</v>
      </c>
      <c r="J226" s="35">
        <v>4</v>
      </c>
      <c r="K226" s="35">
        <v>1</v>
      </c>
      <c r="M226" s="54">
        <v>98264</v>
      </c>
      <c r="N226" s="60" t="s">
        <v>352</v>
      </c>
      <c r="O226" s="35">
        <v>7</v>
      </c>
      <c r="P226" s="35">
        <v>1</v>
      </c>
      <c r="Q226" s="35">
        <v>3</v>
      </c>
      <c r="S226" s="78">
        <v>98338</v>
      </c>
      <c r="T226" s="60" t="s">
        <v>352</v>
      </c>
      <c r="U226" s="79">
        <v>0</v>
      </c>
      <c r="V226" s="79">
        <v>1</v>
      </c>
      <c r="W226" s="79">
        <v>0</v>
      </c>
    </row>
    <row r="227" spans="1:23" x14ac:dyDescent="0.2">
      <c r="A227" s="78">
        <v>98077</v>
      </c>
      <c r="B227" s="60" t="s">
        <v>353</v>
      </c>
      <c r="C227" s="35">
        <v>19</v>
      </c>
      <c r="D227" s="35">
        <v>17</v>
      </c>
      <c r="E227" s="35">
        <v>18</v>
      </c>
      <c r="G227" s="54">
        <v>98443</v>
      </c>
      <c r="H227" s="60" t="s">
        <v>353</v>
      </c>
      <c r="I227" s="35">
        <v>0</v>
      </c>
      <c r="J227" s="35">
        <v>1</v>
      </c>
      <c r="K227" s="35">
        <v>0</v>
      </c>
      <c r="M227" s="78">
        <v>98264</v>
      </c>
      <c r="N227" s="60" t="s">
        <v>353</v>
      </c>
      <c r="O227" s="35">
        <v>42</v>
      </c>
      <c r="P227" s="35">
        <v>45</v>
      </c>
      <c r="Q227" s="35">
        <v>51</v>
      </c>
      <c r="S227" s="78">
        <v>98338</v>
      </c>
      <c r="T227" s="60" t="s">
        <v>353</v>
      </c>
      <c r="U227" s="79">
        <v>15</v>
      </c>
      <c r="V227" s="79">
        <v>24</v>
      </c>
      <c r="W227" s="79">
        <v>29</v>
      </c>
    </row>
    <row r="228" spans="1:23" x14ac:dyDescent="0.2">
      <c r="A228" s="54">
        <v>98087</v>
      </c>
      <c r="B228" s="60" t="s">
        <v>353</v>
      </c>
      <c r="C228" s="35">
        <v>24</v>
      </c>
      <c r="D228" s="35">
        <v>38</v>
      </c>
      <c r="E228" s="35">
        <v>40</v>
      </c>
      <c r="G228" s="78">
        <v>98444</v>
      </c>
      <c r="H228" s="60" t="s">
        <v>353</v>
      </c>
      <c r="I228" s="35">
        <v>2</v>
      </c>
      <c r="J228" s="35">
        <v>2</v>
      </c>
      <c r="K228" s="35">
        <v>2</v>
      </c>
      <c r="M228" s="78">
        <v>98266</v>
      </c>
      <c r="N228" s="60" t="s">
        <v>352</v>
      </c>
      <c r="O228" s="32">
        <v>0</v>
      </c>
      <c r="P228" s="32">
        <v>0</v>
      </c>
      <c r="Q228" s="35">
        <v>1</v>
      </c>
      <c r="S228" s="78">
        <v>98340</v>
      </c>
      <c r="T228" s="60" t="s">
        <v>352</v>
      </c>
      <c r="U228" s="75">
        <v>0</v>
      </c>
      <c r="V228" s="79">
        <v>0</v>
      </c>
      <c r="W228" s="79">
        <v>1</v>
      </c>
    </row>
    <row r="229" spans="1:23" x14ac:dyDescent="0.2">
      <c r="A229" s="54">
        <v>98092</v>
      </c>
      <c r="B229" s="60" t="s">
        <v>353</v>
      </c>
      <c r="C229" s="35">
        <v>238</v>
      </c>
      <c r="D229" s="35">
        <v>273</v>
      </c>
      <c r="E229" s="35">
        <v>310</v>
      </c>
      <c r="G229" s="78">
        <v>98445</v>
      </c>
      <c r="H229" s="60" t="s">
        <v>353</v>
      </c>
      <c r="I229" s="32">
        <v>8</v>
      </c>
      <c r="J229" s="32">
        <v>2</v>
      </c>
      <c r="K229" s="35">
        <v>5</v>
      </c>
      <c r="M229" s="54">
        <v>98266</v>
      </c>
      <c r="N229" s="60" t="s">
        <v>353</v>
      </c>
      <c r="O229" s="35">
        <v>27</v>
      </c>
      <c r="P229" s="35">
        <v>27</v>
      </c>
      <c r="Q229" s="35">
        <v>29</v>
      </c>
      <c r="S229" s="78">
        <v>98340</v>
      </c>
      <c r="T229" s="60" t="s">
        <v>353</v>
      </c>
      <c r="U229" s="75">
        <v>1</v>
      </c>
      <c r="V229" s="79">
        <v>3</v>
      </c>
      <c r="W229" s="79">
        <v>2</v>
      </c>
    </row>
    <row r="230" spans="1:23" x14ac:dyDescent="0.2">
      <c r="A230" s="54">
        <v>98101</v>
      </c>
      <c r="B230" s="60" t="s">
        <v>353</v>
      </c>
      <c r="C230" s="35">
        <v>0</v>
      </c>
      <c r="D230" s="35">
        <v>0</v>
      </c>
      <c r="E230" s="32">
        <v>1</v>
      </c>
      <c r="G230" s="78">
        <v>98446</v>
      </c>
      <c r="H230" s="60" t="s">
        <v>353</v>
      </c>
      <c r="I230" s="35">
        <v>0</v>
      </c>
      <c r="J230" s="32">
        <v>5</v>
      </c>
      <c r="K230" s="32">
        <v>3</v>
      </c>
      <c r="M230" s="78">
        <v>98267</v>
      </c>
      <c r="N230" s="60" t="s">
        <v>353</v>
      </c>
      <c r="O230" s="35">
        <v>0</v>
      </c>
      <c r="P230" s="35">
        <v>7</v>
      </c>
      <c r="Q230" s="35">
        <v>1</v>
      </c>
      <c r="S230" s="80">
        <v>98342</v>
      </c>
      <c r="T230" s="14" t="s">
        <v>353</v>
      </c>
      <c r="U230" s="51">
        <v>2</v>
      </c>
      <c r="V230" s="51">
        <v>0</v>
      </c>
      <c r="W230" s="51">
        <v>2</v>
      </c>
    </row>
    <row r="231" spans="1:23" x14ac:dyDescent="0.2">
      <c r="A231" s="78">
        <v>98102</v>
      </c>
      <c r="B231" s="60" t="s">
        <v>353</v>
      </c>
      <c r="C231" s="35">
        <v>2</v>
      </c>
      <c r="D231" s="35">
        <v>3</v>
      </c>
      <c r="E231" s="35">
        <v>2</v>
      </c>
      <c r="G231" s="54">
        <v>98466</v>
      </c>
      <c r="H231" s="60" t="s">
        <v>353</v>
      </c>
      <c r="I231" s="32">
        <v>0</v>
      </c>
      <c r="J231" s="32">
        <v>1</v>
      </c>
      <c r="K231" s="35">
        <v>0</v>
      </c>
      <c r="M231" s="54">
        <v>98270</v>
      </c>
      <c r="N231" s="60" t="s">
        <v>352</v>
      </c>
      <c r="O231" s="35">
        <v>2</v>
      </c>
      <c r="P231" s="35">
        <v>2</v>
      </c>
      <c r="Q231" s="35">
        <v>4</v>
      </c>
      <c r="S231" s="80">
        <v>98345</v>
      </c>
      <c r="T231" s="14" t="s">
        <v>353</v>
      </c>
      <c r="U231" s="51">
        <v>0</v>
      </c>
      <c r="V231" s="51">
        <v>0</v>
      </c>
      <c r="W231" s="51">
        <v>1</v>
      </c>
    </row>
    <row r="232" spans="1:23" x14ac:dyDescent="0.2">
      <c r="A232" s="78">
        <v>98103</v>
      </c>
      <c r="B232" s="60" t="s">
        <v>353</v>
      </c>
      <c r="C232" s="35">
        <v>12</v>
      </c>
      <c r="D232" s="35">
        <v>15</v>
      </c>
      <c r="E232" s="35">
        <v>22</v>
      </c>
      <c r="G232" s="78">
        <v>98467</v>
      </c>
      <c r="H232" s="60" t="s">
        <v>353</v>
      </c>
      <c r="I232" s="32">
        <v>2</v>
      </c>
      <c r="J232" s="35">
        <v>2</v>
      </c>
      <c r="K232" s="32">
        <v>4</v>
      </c>
      <c r="M232" s="78">
        <v>98270</v>
      </c>
      <c r="N232" s="60" t="s">
        <v>353</v>
      </c>
      <c r="O232" s="32">
        <v>64</v>
      </c>
      <c r="P232" s="35">
        <v>83</v>
      </c>
      <c r="Q232" s="32">
        <v>103</v>
      </c>
      <c r="S232" s="80">
        <v>98346</v>
      </c>
      <c r="T232" s="14" t="s">
        <v>353</v>
      </c>
      <c r="U232" s="51">
        <v>6</v>
      </c>
      <c r="V232" s="51">
        <v>15</v>
      </c>
      <c r="W232" s="51">
        <v>12</v>
      </c>
    </row>
    <row r="233" spans="1:23" x14ac:dyDescent="0.2">
      <c r="A233" s="78">
        <v>98104</v>
      </c>
      <c r="B233" s="60" t="s">
        <v>353</v>
      </c>
      <c r="C233" s="35">
        <v>1</v>
      </c>
      <c r="D233" s="35">
        <v>1</v>
      </c>
      <c r="E233" s="32">
        <v>0</v>
      </c>
      <c r="G233" s="78">
        <v>98498</v>
      </c>
      <c r="H233" s="60" t="s">
        <v>352</v>
      </c>
      <c r="I233" s="32">
        <v>0</v>
      </c>
      <c r="J233" s="35">
        <v>0</v>
      </c>
      <c r="K233" s="32">
        <v>1</v>
      </c>
      <c r="M233" s="78">
        <v>98271</v>
      </c>
      <c r="N233" s="60" t="s">
        <v>353</v>
      </c>
      <c r="O233" s="35">
        <v>10</v>
      </c>
      <c r="P233" s="35">
        <v>24</v>
      </c>
      <c r="Q233" s="35">
        <v>22</v>
      </c>
      <c r="S233" s="80">
        <v>98354</v>
      </c>
      <c r="T233" s="14" t="s">
        <v>353</v>
      </c>
      <c r="U233" s="51">
        <v>1</v>
      </c>
      <c r="V233" s="51">
        <v>0</v>
      </c>
      <c r="W233" s="51">
        <v>1</v>
      </c>
    </row>
    <row r="234" spans="1:23" x14ac:dyDescent="0.2">
      <c r="A234" s="78">
        <v>98105</v>
      </c>
      <c r="B234" s="60" t="s">
        <v>353</v>
      </c>
      <c r="C234" s="35">
        <v>5</v>
      </c>
      <c r="D234" s="35">
        <v>4</v>
      </c>
      <c r="E234" s="35">
        <v>5</v>
      </c>
      <c r="G234" s="78">
        <v>98498</v>
      </c>
      <c r="H234" s="60" t="s">
        <v>353</v>
      </c>
      <c r="I234" s="35">
        <v>11</v>
      </c>
      <c r="J234" s="32">
        <v>16</v>
      </c>
      <c r="K234" s="32">
        <v>16</v>
      </c>
      <c r="M234" s="78">
        <v>98272</v>
      </c>
      <c r="N234" s="60" t="s">
        <v>352</v>
      </c>
      <c r="O234" s="35">
        <v>2</v>
      </c>
      <c r="P234" s="32">
        <v>1</v>
      </c>
      <c r="Q234" s="32">
        <v>0</v>
      </c>
      <c r="S234" s="80">
        <v>98359</v>
      </c>
      <c r="T234" s="14" t="s">
        <v>353</v>
      </c>
      <c r="U234" s="51">
        <v>3</v>
      </c>
      <c r="V234" s="51">
        <v>1</v>
      </c>
      <c r="W234" s="51">
        <v>5</v>
      </c>
    </row>
    <row r="235" spans="1:23" x14ac:dyDescent="0.2">
      <c r="A235" s="54">
        <v>98106</v>
      </c>
      <c r="B235" s="60" t="s">
        <v>353</v>
      </c>
      <c r="C235" s="35">
        <v>11</v>
      </c>
      <c r="D235" s="35">
        <v>11</v>
      </c>
      <c r="E235" s="35">
        <v>14</v>
      </c>
      <c r="G235" s="78">
        <v>98499</v>
      </c>
      <c r="H235" s="60" t="s">
        <v>352</v>
      </c>
      <c r="I235" s="32">
        <v>0</v>
      </c>
      <c r="J235" s="35">
        <v>0</v>
      </c>
      <c r="K235" s="32">
        <v>1</v>
      </c>
      <c r="M235" s="54">
        <v>98272</v>
      </c>
      <c r="N235" s="60" t="s">
        <v>353</v>
      </c>
      <c r="O235" s="35">
        <v>22</v>
      </c>
      <c r="P235" s="32">
        <v>10</v>
      </c>
      <c r="Q235" s="32">
        <v>25</v>
      </c>
      <c r="S235" s="80">
        <v>98360</v>
      </c>
      <c r="T235" s="14" t="s">
        <v>353</v>
      </c>
      <c r="U235" s="51">
        <v>19</v>
      </c>
      <c r="V235" s="51">
        <v>20</v>
      </c>
      <c r="W235" s="51">
        <v>36</v>
      </c>
    </row>
    <row r="236" spans="1:23" x14ac:dyDescent="0.2">
      <c r="A236" s="78">
        <v>98107</v>
      </c>
      <c r="B236" s="60" t="s">
        <v>353</v>
      </c>
      <c r="C236" s="32">
        <v>2</v>
      </c>
      <c r="D236" s="35">
        <v>5</v>
      </c>
      <c r="E236" s="35">
        <v>4</v>
      </c>
      <c r="G236" s="78">
        <v>98499</v>
      </c>
      <c r="H236" s="60" t="s">
        <v>353</v>
      </c>
      <c r="I236" s="32">
        <v>3</v>
      </c>
      <c r="J236" s="35">
        <v>5</v>
      </c>
      <c r="K236" s="32">
        <v>12</v>
      </c>
      <c r="M236" s="78">
        <v>98273</v>
      </c>
      <c r="N236" s="60" t="s">
        <v>352</v>
      </c>
      <c r="O236" s="35">
        <v>4</v>
      </c>
      <c r="P236" s="35">
        <v>5</v>
      </c>
      <c r="Q236" s="35">
        <v>11</v>
      </c>
      <c r="S236" s="80">
        <v>98366</v>
      </c>
      <c r="T236" s="14" t="s">
        <v>352</v>
      </c>
      <c r="U236" s="51">
        <v>1</v>
      </c>
      <c r="V236" s="51">
        <v>1</v>
      </c>
      <c r="W236" s="51">
        <v>0</v>
      </c>
    </row>
    <row r="237" spans="1:23" x14ac:dyDescent="0.2">
      <c r="A237" s="78">
        <v>98108</v>
      </c>
      <c r="B237" s="60" t="s">
        <v>353</v>
      </c>
      <c r="C237" s="35">
        <v>8</v>
      </c>
      <c r="D237" s="35">
        <v>13</v>
      </c>
      <c r="E237" s="32">
        <v>20</v>
      </c>
      <c r="G237" s="78">
        <v>98501</v>
      </c>
      <c r="H237" s="60" t="s">
        <v>352</v>
      </c>
      <c r="I237" s="35">
        <v>2</v>
      </c>
      <c r="J237" s="32">
        <v>1</v>
      </c>
      <c r="K237" s="32">
        <v>3</v>
      </c>
      <c r="M237" s="78">
        <v>98273</v>
      </c>
      <c r="N237" s="60" t="s">
        <v>353</v>
      </c>
      <c r="O237" s="35">
        <v>77</v>
      </c>
      <c r="P237" s="35">
        <v>81</v>
      </c>
      <c r="Q237" s="35">
        <v>90</v>
      </c>
      <c r="S237" s="80">
        <v>98366</v>
      </c>
      <c r="T237" s="14" t="s">
        <v>353</v>
      </c>
      <c r="U237" s="51">
        <v>48</v>
      </c>
      <c r="V237" s="51">
        <v>46</v>
      </c>
      <c r="W237" s="51">
        <v>61</v>
      </c>
    </row>
    <row r="238" spans="1:23" x14ac:dyDescent="0.2">
      <c r="A238" s="54">
        <v>98109</v>
      </c>
      <c r="B238" s="60" t="s">
        <v>353</v>
      </c>
      <c r="C238" s="35">
        <v>6</v>
      </c>
      <c r="D238" s="35">
        <v>7</v>
      </c>
      <c r="E238" s="35">
        <v>8</v>
      </c>
      <c r="G238" s="78">
        <v>98501</v>
      </c>
      <c r="H238" s="60" t="s">
        <v>353</v>
      </c>
      <c r="I238" s="32">
        <v>27</v>
      </c>
      <c r="J238" s="32">
        <v>24</v>
      </c>
      <c r="K238" s="35">
        <v>29</v>
      </c>
      <c r="M238" s="78">
        <v>98274</v>
      </c>
      <c r="N238" s="60" t="s">
        <v>352</v>
      </c>
      <c r="O238" s="35">
        <v>0</v>
      </c>
      <c r="P238" s="35">
        <v>1</v>
      </c>
      <c r="Q238" s="35">
        <v>0</v>
      </c>
      <c r="S238" s="80">
        <v>98367</v>
      </c>
      <c r="T238" s="14" t="s">
        <v>353</v>
      </c>
      <c r="U238" s="51">
        <v>22</v>
      </c>
      <c r="V238" s="51">
        <v>28</v>
      </c>
      <c r="W238" s="51">
        <v>32</v>
      </c>
    </row>
    <row r="239" spans="1:23" x14ac:dyDescent="0.2">
      <c r="A239" s="78">
        <v>98110</v>
      </c>
      <c r="B239" s="60" t="s">
        <v>353</v>
      </c>
      <c r="C239" s="35">
        <v>38</v>
      </c>
      <c r="D239" s="35">
        <v>46</v>
      </c>
      <c r="E239" s="35">
        <v>50</v>
      </c>
      <c r="G239" s="78">
        <v>98502</v>
      </c>
      <c r="H239" s="60" t="s">
        <v>353</v>
      </c>
      <c r="I239" s="35">
        <v>17</v>
      </c>
      <c r="J239" s="32">
        <v>16</v>
      </c>
      <c r="K239" s="32">
        <v>14</v>
      </c>
      <c r="M239" s="78">
        <v>98274</v>
      </c>
      <c r="N239" s="60" t="s">
        <v>353</v>
      </c>
      <c r="O239" s="35">
        <v>48</v>
      </c>
      <c r="P239" s="35">
        <v>49</v>
      </c>
      <c r="Q239" s="35">
        <v>60</v>
      </c>
      <c r="S239" s="80">
        <v>98370</v>
      </c>
      <c r="T239" s="14" t="s">
        <v>352</v>
      </c>
      <c r="U239" s="51">
        <v>1</v>
      </c>
      <c r="V239" s="51">
        <v>0</v>
      </c>
      <c r="W239" s="51">
        <v>2</v>
      </c>
    </row>
    <row r="240" spans="1:23" x14ac:dyDescent="0.2">
      <c r="A240" s="54">
        <v>98112</v>
      </c>
      <c r="B240" s="60" t="s">
        <v>353</v>
      </c>
      <c r="C240" s="35">
        <v>6</v>
      </c>
      <c r="D240" s="35">
        <v>11</v>
      </c>
      <c r="E240" s="35">
        <v>11</v>
      </c>
      <c r="G240" s="78">
        <v>98503</v>
      </c>
      <c r="H240" s="60" t="s">
        <v>352</v>
      </c>
      <c r="I240" s="32">
        <v>1</v>
      </c>
      <c r="J240" s="32">
        <v>0</v>
      </c>
      <c r="K240" s="35">
        <v>0</v>
      </c>
      <c r="M240" s="54">
        <v>98275</v>
      </c>
      <c r="N240" s="60" t="s">
        <v>352</v>
      </c>
      <c r="O240" s="35">
        <v>0</v>
      </c>
      <c r="P240" s="35">
        <v>1</v>
      </c>
      <c r="Q240" s="35">
        <v>0</v>
      </c>
      <c r="S240" s="80">
        <v>98370</v>
      </c>
      <c r="T240" s="14" t="s">
        <v>353</v>
      </c>
      <c r="U240" s="51">
        <v>20</v>
      </c>
      <c r="V240" s="51">
        <v>20</v>
      </c>
      <c r="W240" s="51">
        <v>38</v>
      </c>
    </row>
    <row r="241" spans="1:23" x14ac:dyDescent="0.2">
      <c r="A241" s="78">
        <v>98115</v>
      </c>
      <c r="B241" s="60" t="s">
        <v>353</v>
      </c>
      <c r="C241" s="35">
        <v>10</v>
      </c>
      <c r="D241" s="35">
        <v>14</v>
      </c>
      <c r="E241" s="35">
        <v>14</v>
      </c>
      <c r="G241" s="78">
        <v>98503</v>
      </c>
      <c r="H241" s="60" t="s">
        <v>353</v>
      </c>
      <c r="I241" s="32">
        <v>29</v>
      </c>
      <c r="J241" s="32">
        <v>28</v>
      </c>
      <c r="K241" s="35">
        <v>29</v>
      </c>
      <c r="M241" s="78">
        <v>98275</v>
      </c>
      <c r="N241" s="60" t="s">
        <v>353</v>
      </c>
      <c r="O241" s="35">
        <v>9</v>
      </c>
      <c r="P241" s="35">
        <v>10</v>
      </c>
      <c r="Q241" s="35">
        <v>9</v>
      </c>
      <c r="S241" s="80">
        <v>98371</v>
      </c>
      <c r="T241" s="14" t="s">
        <v>352</v>
      </c>
      <c r="U241" s="51">
        <v>1</v>
      </c>
      <c r="V241" s="51">
        <v>1</v>
      </c>
      <c r="W241" s="51">
        <v>0</v>
      </c>
    </row>
    <row r="242" spans="1:23" x14ac:dyDescent="0.2">
      <c r="A242" s="78">
        <v>98116</v>
      </c>
      <c r="B242" s="60" t="s">
        <v>353</v>
      </c>
      <c r="C242" s="35">
        <v>9</v>
      </c>
      <c r="D242" s="35">
        <v>11</v>
      </c>
      <c r="E242" s="35">
        <v>17</v>
      </c>
      <c r="G242" s="78">
        <v>98506</v>
      </c>
      <c r="H242" s="60" t="s">
        <v>352</v>
      </c>
      <c r="I242" s="75">
        <v>0</v>
      </c>
      <c r="J242" s="75">
        <v>0</v>
      </c>
      <c r="K242" s="75">
        <v>1</v>
      </c>
      <c r="M242" s="78">
        <v>98276</v>
      </c>
      <c r="N242" s="60" t="s">
        <v>353</v>
      </c>
      <c r="O242" s="35">
        <v>5</v>
      </c>
      <c r="P242" s="35">
        <v>7</v>
      </c>
      <c r="Q242" s="35">
        <v>6</v>
      </c>
      <c r="S242" s="80">
        <v>98371</v>
      </c>
      <c r="T242" s="14" t="s">
        <v>353</v>
      </c>
      <c r="U242" s="51">
        <v>25</v>
      </c>
      <c r="V242" s="51">
        <v>32</v>
      </c>
      <c r="W242" s="51">
        <v>51</v>
      </c>
    </row>
    <row r="243" spans="1:23" x14ac:dyDescent="0.2">
      <c r="A243" s="78">
        <v>98117</v>
      </c>
      <c r="B243" s="60" t="s">
        <v>353</v>
      </c>
      <c r="C243" s="35">
        <v>6</v>
      </c>
      <c r="D243" s="35">
        <v>8</v>
      </c>
      <c r="E243" s="35">
        <v>12</v>
      </c>
      <c r="G243" s="78">
        <v>98506</v>
      </c>
      <c r="H243" s="60" t="s">
        <v>353</v>
      </c>
      <c r="I243" s="75">
        <v>7</v>
      </c>
      <c r="J243" s="75">
        <v>10</v>
      </c>
      <c r="K243" s="75">
        <v>9</v>
      </c>
      <c r="M243" s="54">
        <v>98277</v>
      </c>
      <c r="N243" s="60" t="s">
        <v>352</v>
      </c>
      <c r="O243" s="35">
        <v>16</v>
      </c>
      <c r="P243" s="35">
        <v>10</v>
      </c>
      <c r="Q243" s="35">
        <v>11</v>
      </c>
      <c r="S243" s="80">
        <v>98372</v>
      </c>
      <c r="T243" s="14" t="s">
        <v>353</v>
      </c>
      <c r="U243" s="51">
        <v>36</v>
      </c>
      <c r="V243" s="51">
        <v>48</v>
      </c>
      <c r="W243" s="51">
        <v>63</v>
      </c>
    </row>
    <row r="244" spans="1:23" x14ac:dyDescent="0.2">
      <c r="A244" s="78">
        <v>98118</v>
      </c>
      <c r="B244" s="60" t="s">
        <v>353</v>
      </c>
      <c r="C244" s="35">
        <v>24</v>
      </c>
      <c r="D244" s="35">
        <v>35</v>
      </c>
      <c r="E244" s="35">
        <v>41</v>
      </c>
      <c r="G244" s="78">
        <v>98512</v>
      </c>
      <c r="H244" s="60" t="s">
        <v>352</v>
      </c>
      <c r="I244" s="75">
        <v>1</v>
      </c>
      <c r="J244" s="79">
        <v>1</v>
      </c>
      <c r="K244" s="79">
        <v>1</v>
      </c>
      <c r="M244" s="78">
        <v>98277</v>
      </c>
      <c r="N244" s="60" t="s">
        <v>353</v>
      </c>
      <c r="O244" s="35">
        <v>132</v>
      </c>
      <c r="P244" s="35">
        <v>121</v>
      </c>
      <c r="Q244" s="35">
        <v>151</v>
      </c>
      <c r="S244" s="80">
        <v>98373</v>
      </c>
      <c r="T244" s="14" t="s">
        <v>352</v>
      </c>
      <c r="U244" s="51">
        <v>1</v>
      </c>
      <c r="V244" s="51">
        <v>0</v>
      </c>
      <c r="W244" s="51">
        <v>3</v>
      </c>
    </row>
    <row r="245" spans="1:23" x14ac:dyDescent="0.2">
      <c r="A245" s="78">
        <v>98119</v>
      </c>
      <c r="B245" s="60" t="s">
        <v>353</v>
      </c>
      <c r="C245" s="35">
        <v>2</v>
      </c>
      <c r="D245" s="35">
        <v>6</v>
      </c>
      <c r="E245" s="35">
        <v>11</v>
      </c>
      <c r="G245" s="54">
        <v>98512</v>
      </c>
      <c r="H245" s="60" t="s">
        <v>353</v>
      </c>
      <c r="I245" s="75">
        <v>17</v>
      </c>
      <c r="J245" s="79">
        <v>28</v>
      </c>
      <c r="K245" s="79">
        <v>32</v>
      </c>
      <c r="M245" s="54">
        <v>98281</v>
      </c>
      <c r="N245" s="60" t="s">
        <v>353</v>
      </c>
      <c r="O245" s="35">
        <v>3</v>
      </c>
      <c r="P245" s="35">
        <v>3</v>
      </c>
      <c r="Q245" s="35">
        <v>6</v>
      </c>
      <c r="S245" s="80">
        <v>98373</v>
      </c>
      <c r="T245" s="14" t="s">
        <v>353</v>
      </c>
      <c r="U245" s="51">
        <v>48</v>
      </c>
      <c r="V245" s="51">
        <v>44</v>
      </c>
      <c r="W245" s="51">
        <v>65</v>
      </c>
    </row>
    <row r="246" spans="1:23" x14ac:dyDescent="0.2">
      <c r="A246" s="78">
        <v>98121</v>
      </c>
      <c r="B246" s="60" t="s">
        <v>353</v>
      </c>
      <c r="C246" s="35">
        <v>3</v>
      </c>
      <c r="D246" s="35">
        <v>2</v>
      </c>
      <c r="E246" s="35">
        <v>1</v>
      </c>
      <c r="G246" s="78">
        <v>98513</v>
      </c>
      <c r="H246" s="60" t="s">
        <v>353</v>
      </c>
      <c r="I246" s="75">
        <v>14</v>
      </c>
      <c r="J246" s="75">
        <v>17</v>
      </c>
      <c r="K246" s="75">
        <v>19</v>
      </c>
      <c r="M246" s="78">
        <v>98283</v>
      </c>
      <c r="N246" s="60" t="s">
        <v>353</v>
      </c>
      <c r="O246" s="35">
        <v>3</v>
      </c>
      <c r="P246" s="32">
        <v>4</v>
      </c>
      <c r="Q246" s="32">
        <v>2</v>
      </c>
      <c r="S246" s="80">
        <v>98374</v>
      </c>
      <c r="T246" s="14" t="s">
        <v>352</v>
      </c>
      <c r="U246" s="51">
        <v>0</v>
      </c>
      <c r="V246" s="51">
        <v>1</v>
      </c>
      <c r="W246" s="51">
        <v>0</v>
      </c>
    </row>
    <row r="247" spans="1:23" x14ac:dyDescent="0.2">
      <c r="A247" s="78">
        <v>98122</v>
      </c>
      <c r="B247" s="60" t="s">
        <v>353</v>
      </c>
      <c r="C247" s="35">
        <v>13</v>
      </c>
      <c r="D247" s="35">
        <v>15</v>
      </c>
      <c r="E247" s="35">
        <v>17</v>
      </c>
      <c r="G247" s="78">
        <v>98516</v>
      </c>
      <c r="H247" s="60" t="s">
        <v>353</v>
      </c>
      <c r="I247" s="79">
        <v>6</v>
      </c>
      <c r="J247" s="75">
        <v>9</v>
      </c>
      <c r="K247" s="75">
        <v>14</v>
      </c>
      <c r="M247" s="54">
        <v>98284</v>
      </c>
      <c r="N247" s="60" t="s">
        <v>352</v>
      </c>
      <c r="O247" s="35">
        <v>10</v>
      </c>
      <c r="P247" s="35">
        <v>4</v>
      </c>
      <c r="Q247" s="35">
        <v>6</v>
      </c>
      <c r="S247" s="80">
        <v>98374</v>
      </c>
      <c r="T247" s="14" t="s">
        <v>353</v>
      </c>
      <c r="U247" s="51">
        <v>66</v>
      </c>
      <c r="V247" s="51">
        <v>70</v>
      </c>
      <c r="W247" s="51">
        <v>90</v>
      </c>
    </row>
    <row r="248" spans="1:23" x14ac:dyDescent="0.2">
      <c r="A248" s="78">
        <v>98125</v>
      </c>
      <c r="B248" s="60" t="s">
        <v>353</v>
      </c>
      <c r="C248" s="35">
        <v>7</v>
      </c>
      <c r="D248" s="35">
        <v>12</v>
      </c>
      <c r="E248" s="35">
        <v>14</v>
      </c>
      <c r="G248" s="78">
        <v>98530</v>
      </c>
      <c r="H248" s="60" t="s">
        <v>353</v>
      </c>
      <c r="I248" s="75">
        <v>0</v>
      </c>
      <c r="J248" s="79">
        <v>4</v>
      </c>
      <c r="K248" s="79">
        <v>1</v>
      </c>
      <c r="M248" s="78">
        <v>98284</v>
      </c>
      <c r="N248" s="60" t="s">
        <v>353</v>
      </c>
      <c r="O248" s="35">
        <v>118</v>
      </c>
      <c r="P248" s="35">
        <v>132</v>
      </c>
      <c r="Q248" s="35">
        <v>143</v>
      </c>
      <c r="S248" s="80">
        <v>98375</v>
      </c>
      <c r="T248" s="14" t="s">
        <v>353</v>
      </c>
      <c r="U248" s="51">
        <v>41</v>
      </c>
      <c r="V248" s="51">
        <v>45</v>
      </c>
      <c r="W248" s="51">
        <v>77</v>
      </c>
    </row>
    <row r="249" spans="1:23" x14ac:dyDescent="0.2">
      <c r="A249" s="78">
        <v>98126</v>
      </c>
      <c r="B249" s="60" t="s">
        <v>353</v>
      </c>
      <c r="C249" s="35">
        <v>10</v>
      </c>
      <c r="D249" s="35">
        <v>12</v>
      </c>
      <c r="E249" s="35">
        <v>15</v>
      </c>
      <c r="G249" s="78">
        <v>98531</v>
      </c>
      <c r="H249" s="60" t="s">
        <v>353</v>
      </c>
      <c r="I249" s="79">
        <v>5</v>
      </c>
      <c r="J249" s="79">
        <v>2</v>
      </c>
      <c r="K249" s="75">
        <v>5</v>
      </c>
      <c r="M249" s="78">
        <v>98288</v>
      </c>
      <c r="N249" s="60" t="s">
        <v>353</v>
      </c>
      <c r="O249" s="32">
        <v>2</v>
      </c>
      <c r="P249" s="32">
        <v>1</v>
      </c>
      <c r="Q249" s="35">
        <v>3</v>
      </c>
      <c r="S249" s="80">
        <v>98380</v>
      </c>
      <c r="T249" s="14" t="s">
        <v>352</v>
      </c>
      <c r="U249" s="51">
        <v>0</v>
      </c>
      <c r="V249" s="51">
        <v>0</v>
      </c>
      <c r="W249" s="51">
        <v>1</v>
      </c>
    </row>
    <row r="250" spans="1:23" x14ac:dyDescent="0.2">
      <c r="A250" s="78">
        <v>98133</v>
      </c>
      <c r="B250" s="60" t="s">
        <v>353</v>
      </c>
      <c r="C250" s="35">
        <v>18</v>
      </c>
      <c r="D250" s="35">
        <v>20</v>
      </c>
      <c r="E250" s="35">
        <v>30</v>
      </c>
      <c r="G250" s="78">
        <v>98532</v>
      </c>
      <c r="H250" s="60" t="s">
        <v>352</v>
      </c>
      <c r="I250" s="79">
        <v>0</v>
      </c>
      <c r="J250" s="79">
        <v>1</v>
      </c>
      <c r="K250" s="75">
        <v>0</v>
      </c>
      <c r="M250" s="54">
        <v>98290</v>
      </c>
      <c r="N250" s="60" t="s">
        <v>352</v>
      </c>
      <c r="O250" s="35">
        <v>1</v>
      </c>
      <c r="P250" s="35">
        <v>2</v>
      </c>
      <c r="Q250" s="35">
        <v>3</v>
      </c>
      <c r="S250" s="80">
        <v>98380</v>
      </c>
      <c r="T250" s="14" t="s">
        <v>353</v>
      </c>
      <c r="U250" s="51">
        <v>3</v>
      </c>
      <c r="V250" s="51">
        <v>6</v>
      </c>
      <c r="W250" s="51">
        <v>10</v>
      </c>
    </row>
    <row r="251" spans="1:23" x14ac:dyDescent="0.2">
      <c r="A251" s="78">
        <v>98136</v>
      </c>
      <c r="B251" s="60" t="s">
        <v>353</v>
      </c>
      <c r="C251" s="35">
        <v>7</v>
      </c>
      <c r="D251" s="35">
        <v>5</v>
      </c>
      <c r="E251" s="35">
        <v>13</v>
      </c>
      <c r="G251" s="80">
        <v>98576</v>
      </c>
      <c r="H251" s="14" t="s">
        <v>353</v>
      </c>
      <c r="I251" s="51">
        <v>2</v>
      </c>
      <c r="J251" s="51">
        <v>3</v>
      </c>
      <c r="K251" s="51">
        <v>6</v>
      </c>
      <c r="M251" s="78">
        <v>98290</v>
      </c>
      <c r="N251" s="60" t="s">
        <v>353</v>
      </c>
      <c r="O251" s="35">
        <v>7</v>
      </c>
      <c r="P251" s="35">
        <v>14</v>
      </c>
      <c r="Q251" s="35">
        <v>13</v>
      </c>
      <c r="S251" s="80">
        <v>98383</v>
      </c>
      <c r="T251" s="14" t="s">
        <v>353</v>
      </c>
      <c r="U251" s="51">
        <v>15</v>
      </c>
      <c r="V251" s="51">
        <v>16</v>
      </c>
      <c r="W251" s="51">
        <v>12</v>
      </c>
    </row>
    <row r="252" spans="1:23" x14ac:dyDescent="0.2">
      <c r="A252" s="54">
        <v>98144</v>
      </c>
      <c r="B252" s="60" t="s">
        <v>353</v>
      </c>
      <c r="C252" s="35">
        <v>6</v>
      </c>
      <c r="D252" s="35">
        <v>14</v>
      </c>
      <c r="E252" s="35">
        <v>12</v>
      </c>
      <c r="G252" s="80">
        <v>98579</v>
      </c>
      <c r="H252" s="14" t="s">
        <v>353</v>
      </c>
      <c r="I252" s="51">
        <v>10</v>
      </c>
      <c r="J252" s="51">
        <v>8</v>
      </c>
      <c r="K252" s="51">
        <v>17</v>
      </c>
      <c r="M252" s="78">
        <v>98292</v>
      </c>
      <c r="N252" s="60" t="s">
        <v>353</v>
      </c>
      <c r="O252" s="35">
        <v>2</v>
      </c>
      <c r="P252" s="35">
        <v>2</v>
      </c>
      <c r="Q252" s="35">
        <v>1</v>
      </c>
      <c r="S252" s="80">
        <v>98385</v>
      </c>
      <c r="T252" s="14" t="s">
        <v>353</v>
      </c>
      <c r="U252" s="51">
        <v>1</v>
      </c>
      <c r="V252" s="51">
        <v>2</v>
      </c>
      <c r="W252" s="51">
        <v>0</v>
      </c>
    </row>
    <row r="253" spans="1:23" x14ac:dyDescent="0.2">
      <c r="A253" s="54">
        <v>98146</v>
      </c>
      <c r="B253" s="60" t="s">
        <v>353</v>
      </c>
      <c r="C253" s="35">
        <v>11</v>
      </c>
      <c r="D253" s="35">
        <v>16</v>
      </c>
      <c r="E253" s="35">
        <v>18</v>
      </c>
      <c r="G253" s="80">
        <v>98580</v>
      </c>
      <c r="H253" s="14" t="s">
        <v>352</v>
      </c>
      <c r="I253" s="51">
        <v>1</v>
      </c>
      <c r="J253" s="51">
        <v>1</v>
      </c>
      <c r="K253" s="51">
        <v>0</v>
      </c>
      <c r="M253" s="78">
        <v>98294</v>
      </c>
      <c r="N253" s="60" t="s">
        <v>353</v>
      </c>
      <c r="O253" s="35">
        <v>8</v>
      </c>
      <c r="P253" s="35">
        <v>8</v>
      </c>
      <c r="Q253" s="35">
        <v>7</v>
      </c>
      <c r="S253" s="80">
        <v>98387</v>
      </c>
      <c r="T253" s="14" t="s">
        <v>353</v>
      </c>
      <c r="U253" s="51">
        <v>28</v>
      </c>
      <c r="V253" s="51">
        <v>42</v>
      </c>
      <c r="W253" s="51">
        <v>47</v>
      </c>
    </row>
    <row r="254" spans="1:23" x14ac:dyDescent="0.2">
      <c r="A254" s="78">
        <v>98148</v>
      </c>
      <c r="B254" s="60" t="s">
        <v>353</v>
      </c>
      <c r="C254" s="35">
        <v>41</v>
      </c>
      <c r="D254" s="35">
        <v>47</v>
      </c>
      <c r="E254" s="35">
        <v>60</v>
      </c>
      <c r="G254" s="80">
        <v>98580</v>
      </c>
      <c r="H254" s="14" t="s">
        <v>353</v>
      </c>
      <c r="I254" s="51">
        <v>5</v>
      </c>
      <c r="J254" s="51">
        <v>3</v>
      </c>
      <c r="K254" s="51">
        <v>6</v>
      </c>
      <c r="M254" s="54">
        <v>98295</v>
      </c>
      <c r="N254" s="60" t="s">
        <v>353</v>
      </c>
      <c r="O254" s="35">
        <v>12</v>
      </c>
      <c r="P254" s="35">
        <v>6</v>
      </c>
      <c r="Q254" s="35">
        <v>9</v>
      </c>
      <c r="S254" s="80">
        <v>98388</v>
      </c>
      <c r="T254" s="14" t="s">
        <v>353</v>
      </c>
      <c r="U254" s="51">
        <v>0</v>
      </c>
      <c r="V254" s="51">
        <v>1</v>
      </c>
      <c r="W254" s="51">
        <v>0</v>
      </c>
    </row>
    <row r="255" spans="1:23" x14ac:dyDescent="0.2">
      <c r="A255" s="78">
        <v>98155</v>
      </c>
      <c r="B255" s="60" t="s">
        <v>353</v>
      </c>
      <c r="C255" s="35">
        <v>17</v>
      </c>
      <c r="D255" s="35">
        <v>22</v>
      </c>
      <c r="E255" s="35">
        <v>33</v>
      </c>
      <c r="G255" s="80">
        <v>98589</v>
      </c>
      <c r="H255" s="14" t="s">
        <v>353</v>
      </c>
      <c r="I255" s="51">
        <v>7</v>
      </c>
      <c r="J255" s="51">
        <v>11</v>
      </c>
      <c r="K255" s="51">
        <v>18</v>
      </c>
      <c r="M255" s="78">
        <v>98296</v>
      </c>
      <c r="N255" s="60" t="s">
        <v>353</v>
      </c>
      <c r="O255" s="35">
        <v>8</v>
      </c>
      <c r="P255" s="35">
        <v>16</v>
      </c>
      <c r="Q255" s="32">
        <v>22</v>
      </c>
      <c r="S255" s="80">
        <v>98390</v>
      </c>
      <c r="T255" s="14" t="s">
        <v>352</v>
      </c>
      <c r="U255" s="51">
        <v>0</v>
      </c>
      <c r="V255" s="51">
        <v>6</v>
      </c>
      <c r="W255" s="51">
        <v>1</v>
      </c>
    </row>
    <row r="256" spans="1:23" x14ac:dyDescent="0.2">
      <c r="A256" s="78">
        <v>98166</v>
      </c>
      <c r="B256" s="60" t="s">
        <v>353</v>
      </c>
      <c r="C256" s="35">
        <v>16</v>
      </c>
      <c r="D256" s="32">
        <v>26</v>
      </c>
      <c r="E256" s="32">
        <v>28</v>
      </c>
      <c r="G256" s="80">
        <v>98597</v>
      </c>
      <c r="H256" s="14" t="s">
        <v>353</v>
      </c>
      <c r="I256" s="51">
        <v>16</v>
      </c>
      <c r="J256" s="51">
        <v>16</v>
      </c>
      <c r="K256" s="51">
        <v>25</v>
      </c>
      <c r="M256" s="54">
        <v>98310</v>
      </c>
      <c r="N256" s="60" t="s">
        <v>352</v>
      </c>
      <c r="O256" s="35">
        <v>3</v>
      </c>
      <c r="P256" s="35">
        <v>2</v>
      </c>
      <c r="Q256" s="35">
        <v>3</v>
      </c>
      <c r="S256" s="80">
        <v>98390</v>
      </c>
      <c r="T256" s="14" t="s">
        <v>353</v>
      </c>
      <c r="U256" s="51">
        <v>25</v>
      </c>
      <c r="V256" s="51">
        <v>25</v>
      </c>
      <c r="W256" s="51">
        <v>28</v>
      </c>
    </row>
    <row r="257" spans="1:23" x14ac:dyDescent="0.2">
      <c r="A257" s="54">
        <v>98168</v>
      </c>
      <c r="B257" s="60" t="s">
        <v>353</v>
      </c>
      <c r="C257" s="35">
        <v>29</v>
      </c>
      <c r="D257" s="35">
        <v>55</v>
      </c>
      <c r="E257" s="35">
        <v>54</v>
      </c>
      <c r="G257" s="80">
        <v>98922</v>
      </c>
      <c r="H257" s="14" t="s">
        <v>353</v>
      </c>
      <c r="I257" s="51">
        <v>5</v>
      </c>
      <c r="J257" s="51">
        <v>2</v>
      </c>
      <c r="K257" s="51">
        <v>6</v>
      </c>
      <c r="M257" s="78">
        <v>98310</v>
      </c>
      <c r="N257" s="60" t="s">
        <v>353</v>
      </c>
      <c r="O257" s="32">
        <v>85</v>
      </c>
      <c r="P257" s="35">
        <v>89</v>
      </c>
      <c r="Q257" s="32">
        <v>112</v>
      </c>
      <c r="S257" s="80">
        <v>98391</v>
      </c>
      <c r="T257" s="14" t="s">
        <v>352</v>
      </c>
      <c r="U257" s="51">
        <v>1</v>
      </c>
      <c r="V257" s="51">
        <v>1</v>
      </c>
      <c r="W257" s="51">
        <v>1</v>
      </c>
    </row>
    <row r="258" spans="1:23" x14ac:dyDescent="0.2">
      <c r="A258" s="78">
        <v>98177</v>
      </c>
      <c r="B258" s="60" t="s">
        <v>353</v>
      </c>
      <c r="C258" s="35">
        <v>7</v>
      </c>
      <c r="D258" s="35">
        <v>6</v>
      </c>
      <c r="E258" s="35">
        <v>8</v>
      </c>
      <c r="G258" s="80">
        <v>98925</v>
      </c>
      <c r="H258" s="14" t="s">
        <v>353</v>
      </c>
      <c r="I258" s="51">
        <v>0</v>
      </c>
      <c r="J258" s="51">
        <v>0</v>
      </c>
      <c r="K258" s="51">
        <v>1</v>
      </c>
      <c r="M258" s="54">
        <v>98311</v>
      </c>
      <c r="N258" s="60" t="s">
        <v>352</v>
      </c>
      <c r="O258" s="35">
        <v>4</v>
      </c>
      <c r="P258" s="35">
        <v>1</v>
      </c>
      <c r="Q258" s="35">
        <v>0</v>
      </c>
      <c r="S258" s="80">
        <v>98391</v>
      </c>
      <c r="T258" s="14" t="s">
        <v>353</v>
      </c>
      <c r="U258" s="51">
        <v>74</v>
      </c>
      <c r="V258" s="51">
        <v>77</v>
      </c>
      <c r="W258" s="51">
        <v>89</v>
      </c>
    </row>
    <row r="259" spans="1:23" x14ac:dyDescent="0.2">
      <c r="A259" s="78">
        <v>98178</v>
      </c>
      <c r="B259" s="60" t="s">
        <v>353</v>
      </c>
      <c r="C259" s="35">
        <v>24</v>
      </c>
      <c r="D259" s="35">
        <v>34</v>
      </c>
      <c r="E259" s="35">
        <v>29</v>
      </c>
      <c r="G259" s="80">
        <v>98926</v>
      </c>
      <c r="H259" s="14" t="s">
        <v>353</v>
      </c>
      <c r="I259" s="51">
        <v>2</v>
      </c>
      <c r="J259" s="51">
        <v>10</v>
      </c>
      <c r="K259" s="51">
        <v>4</v>
      </c>
      <c r="M259" s="78">
        <v>98311</v>
      </c>
      <c r="N259" s="60" t="s">
        <v>353</v>
      </c>
      <c r="O259" s="35">
        <v>94</v>
      </c>
      <c r="P259" s="35">
        <v>90</v>
      </c>
      <c r="Q259" s="35">
        <v>96</v>
      </c>
      <c r="S259" s="80">
        <v>98392</v>
      </c>
      <c r="T259" s="14" t="s">
        <v>353</v>
      </c>
      <c r="U259" s="51">
        <v>5</v>
      </c>
      <c r="V259" s="51">
        <v>8</v>
      </c>
      <c r="W259" s="51">
        <v>8</v>
      </c>
    </row>
    <row r="260" spans="1:23" x14ac:dyDescent="0.2">
      <c r="A260" s="78">
        <v>98188</v>
      </c>
      <c r="B260" s="60" t="s">
        <v>353</v>
      </c>
      <c r="C260" s="35">
        <v>105</v>
      </c>
      <c r="D260" s="35">
        <v>138</v>
      </c>
      <c r="E260" s="35">
        <v>142</v>
      </c>
      <c r="G260" s="80">
        <v>98934</v>
      </c>
      <c r="H260" s="14" t="s">
        <v>352</v>
      </c>
      <c r="I260" s="51">
        <v>0</v>
      </c>
      <c r="J260" s="51">
        <v>0</v>
      </c>
      <c r="K260" s="51">
        <v>1</v>
      </c>
      <c r="M260" s="78">
        <v>98312</v>
      </c>
      <c r="N260" s="60" t="s">
        <v>352</v>
      </c>
      <c r="O260" s="35">
        <v>6</v>
      </c>
      <c r="P260" s="35">
        <v>5</v>
      </c>
      <c r="Q260" s="35">
        <v>4</v>
      </c>
      <c r="S260" s="80">
        <v>98396</v>
      </c>
      <c r="T260" s="14" t="s">
        <v>353</v>
      </c>
      <c r="U260" s="51">
        <v>1</v>
      </c>
      <c r="V260" s="51">
        <v>3</v>
      </c>
      <c r="W260" s="51">
        <v>2</v>
      </c>
    </row>
    <row r="261" spans="1:23" x14ac:dyDescent="0.2">
      <c r="A261" s="54">
        <v>98198</v>
      </c>
      <c r="B261" s="60" t="s">
        <v>353</v>
      </c>
      <c r="C261" s="35">
        <v>207</v>
      </c>
      <c r="D261" s="35">
        <v>250</v>
      </c>
      <c r="E261" s="35">
        <v>304</v>
      </c>
      <c r="G261" s="80">
        <v>98934</v>
      </c>
      <c r="H261" s="14" t="s">
        <v>353</v>
      </c>
      <c r="I261" s="51">
        <v>0</v>
      </c>
      <c r="J261" s="51">
        <v>0</v>
      </c>
      <c r="K261" s="51">
        <v>2</v>
      </c>
      <c r="M261" s="78">
        <v>98312</v>
      </c>
      <c r="N261" s="60" t="s">
        <v>353</v>
      </c>
      <c r="O261" s="35">
        <v>117</v>
      </c>
      <c r="P261" s="35">
        <v>146</v>
      </c>
      <c r="Q261" s="35">
        <v>175</v>
      </c>
      <c r="S261" s="80">
        <v>98403</v>
      </c>
      <c r="T261" s="14" t="s">
        <v>352</v>
      </c>
      <c r="U261" s="51">
        <v>0</v>
      </c>
      <c r="V261" s="51">
        <v>1</v>
      </c>
      <c r="W261" s="51">
        <v>0</v>
      </c>
    </row>
    <row r="262" spans="1:23" x14ac:dyDescent="0.2">
      <c r="A262" s="78">
        <v>98199</v>
      </c>
      <c r="B262" s="60" t="s">
        <v>353</v>
      </c>
      <c r="C262" s="35">
        <v>7</v>
      </c>
      <c r="D262" s="35">
        <v>9</v>
      </c>
      <c r="E262" s="35">
        <v>12</v>
      </c>
      <c r="G262" s="80">
        <v>98940</v>
      </c>
      <c r="H262" s="14" t="s">
        <v>353</v>
      </c>
      <c r="I262" s="51">
        <v>1</v>
      </c>
      <c r="J262" s="51">
        <v>1</v>
      </c>
      <c r="K262" s="51">
        <v>0</v>
      </c>
      <c r="M262" s="78">
        <v>98321</v>
      </c>
      <c r="N262" s="60" t="s">
        <v>352</v>
      </c>
      <c r="O262" s="32">
        <v>1</v>
      </c>
      <c r="P262" s="35">
        <v>3</v>
      </c>
      <c r="Q262" s="32">
        <v>5</v>
      </c>
      <c r="S262" s="80">
        <v>98403</v>
      </c>
      <c r="T262" s="14" t="s">
        <v>353</v>
      </c>
      <c r="U262" s="51">
        <v>3</v>
      </c>
      <c r="V262" s="51">
        <v>0</v>
      </c>
      <c r="W262" s="51">
        <v>0</v>
      </c>
    </row>
    <row r="263" spans="1:23" x14ac:dyDescent="0.2">
      <c r="A263" s="78">
        <v>98201</v>
      </c>
      <c r="B263" s="60" t="s">
        <v>353</v>
      </c>
      <c r="C263" s="35">
        <v>21</v>
      </c>
      <c r="D263" s="35">
        <v>31</v>
      </c>
      <c r="E263" s="35">
        <v>38</v>
      </c>
      <c r="G263" s="80">
        <v>98941</v>
      </c>
      <c r="H263" s="14" t="s">
        <v>352</v>
      </c>
      <c r="I263" s="51">
        <v>1</v>
      </c>
      <c r="J263" s="51">
        <v>0</v>
      </c>
      <c r="K263" s="51">
        <v>0</v>
      </c>
      <c r="M263" s="54">
        <v>98321</v>
      </c>
      <c r="N263" s="60" t="s">
        <v>353</v>
      </c>
      <c r="O263" s="35">
        <v>67</v>
      </c>
      <c r="P263" s="35">
        <v>66</v>
      </c>
      <c r="Q263" s="32">
        <v>81</v>
      </c>
      <c r="S263" s="80">
        <v>98404</v>
      </c>
      <c r="T263" s="14" t="s">
        <v>352</v>
      </c>
      <c r="U263" s="51">
        <v>0</v>
      </c>
      <c r="V263" s="51">
        <v>1</v>
      </c>
      <c r="W263" s="51">
        <v>1</v>
      </c>
    </row>
    <row r="264" spans="1:23" x14ac:dyDescent="0.2">
      <c r="A264" s="78">
        <v>98203</v>
      </c>
      <c r="B264" s="60" t="s">
        <v>353</v>
      </c>
      <c r="C264" s="35">
        <v>15</v>
      </c>
      <c r="D264" s="35">
        <v>18</v>
      </c>
      <c r="E264" s="35">
        <v>26</v>
      </c>
      <c r="G264" s="80">
        <v>98941</v>
      </c>
      <c r="H264" s="14" t="s">
        <v>353</v>
      </c>
      <c r="I264" s="51">
        <v>0</v>
      </c>
      <c r="J264" s="51">
        <v>1</v>
      </c>
      <c r="K264" s="51">
        <v>1</v>
      </c>
      <c r="M264" s="78">
        <v>98323</v>
      </c>
      <c r="N264" s="60" t="s">
        <v>352</v>
      </c>
      <c r="O264" s="35">
        <v>1</v>
      </c>
      <c r="P264" s="35">
        <v>2</v>
      </c>
      <c r="Q264" s="35">
        <v>1</v>
      </c>
      <c r="S264" s="80">
        <v>98404</v>
      </c>
      <c r="T264" s="14" t="s">
        <v>353</v>
      </c>
      <c r="U264" s="51">
        <v>5</v>
      </c>
      <c r="V264" s="51">
        <v>7</v>
      </c>
      <c r="W264" s="51">
        <v>8</v>
      </c>
    </row>
    <row r="265" spans="1:23" x14ac:dyDescent="0.2">
      <c r="A265" s="54">
        <v>98204</v>
      </c>
      <c r="B265" s="60" t="s">
        <v>353</v>
      </c>
      <c r="C265" s="35">
        <v>9</v>
      </c>
      <c r="D265" s="35">
        <v>15</v>
      </c>
      <c r="E265" s="35">
        <v>24</v>
      </c>
      <c r="G265" s="80">
        <v>98946</v>
      </c>
      <c r="H265" s="14" t="s">
        <v>353</v>
      </c>
      <c r="I265" s="51">
        <v>1</v>
      </c>
      <c r="J265" s="51">
        <v>0</v>
      </c>
      <c r="K265" s="51">
        <v>0</v>
      </c>
      <c r="M265" s="54">
        <v>98323</v>
      </c>
      <c r="N265" s="60" t="s">
        <v>353</v>
      </c>
      <c r="O265" s="35">
        <v>4</v>
      </c>
      <c r="P265" s="35">
        <v>11</v>
      </c>
      <c r="Q265" s="35">
        <v>6</v>
      </c>
      <c r="S265" s="80">
        <v>98405</v>
      </c>
      <c r="T265" s="14" t="s">
        <v>352</v>
      </c>
      <c r="U265" s="51">
        <v>0</v>
      </c>
      <c r="V265" s="51">
        <v>2</v>
      </c>
      <c r="W265" s="51">
        <v>0</v>
      </c>
    </row>
    <row r="266" spans="1:23" ht="16" thickBot="1" x14ac:dyDescent="0.25">
      <c r="A266" s="78">
        <v>98208</v>
      </c>
      <c r="B266" s="60" t="s">
        <v>353</v>
      </c>
      <c r="C266" s="32">
        <v>38</v>
      </c>
      <c r="D266" s="35">
        <v>50</v>
      </c>
      <c r="E266" s="35">
        <v>60</v>
      </c>
      <c r="G266" s="96" t="s">
        <v>354</v>
      </c>
      <c r="H266" s="97" t="s">
        <v>352</v>
      </c>
      <c r="I266" s="98">
        <v>0</v>
      </c>
      <c r="J266" s="98">
        <v>1</v>
      </c>
      <c r="K266" s="98">
        <v>0</v>
      </c>
      <c r="M266" s="78">
        <v>98327</v>
      </c>
      <c r="N266" s="60" t="s">
        <v>352</v>
      </c>
      <c r="O266" s="35">
        <v>1</v>
      </c>
      <c r="P266" s="32">
        <v>0</v>
      </c>
      <c r="Q266" s="35">
        <v>1</v>
      </c>
      <c r="S266" s="80">
        <v>98405</v>
      </c>
      <c r="T266" s="14" t="s">
        <v>353</v>
      </c>
      <c r="U266" s="51">
        <v>8</v>
      </c>
      <c r="V266" s="51">
        <v>6</v>
      </c>
      <c r="W266" s="51">
        <v>9</v>
      </c>
    </row>
    <row r="267" spans="1:23" x14ac:dyDescent="0.2">
      <c r="A267" s="78">
        <v>98220</v>
      </c>
      <c r="B267" s="60" t="s">
        <v>353</v>
      </c>
      <c r="C267" s="35">
        <v>2</v>
      </c>
      <c r="D267" s="35">
        <v>2</v>
      </c>
      <c r="E267" s="35">
        <v>2</v>
      </c>
      <c r="G267" s="99"/>
      <c r="H267" s="84"/>
      <c r="I267" s="84"/>
      <c r="J267" s="84"/>
      <c r="K267" s="84"/>
      <c r="M267" s="54">
        <v>98327</v>
      </c>
      <c r="N267" s="60" t="s">
        <v>353</v>
      </c>
      <c r="O267" s="35">
        <v>30</v>
      </c>
      <c r="P267" s="35">
        <v>28</v>
      </c>
      <c r="Q267" s="35">
        <v>38</v>
      </c>
      <c r="S267" s="80">
        <v>98406</v>
      </c>
      <c r="T267" s="14" t="s">
        <v>353</v>
      </c>
      <c r="U267" s="51">
        <v>10</v>
      </c>
      <c r="V267" s="51">
        <v>9</v>
      </c>
      <c r="W267" s="51">
        <v>11</v>
      </c>
    </row>
    <row r="268" spans="1:23" x14ac:dyDescent="0.2">
      <c r="A268" s="78">
        <v>98221</v>
      </c>
      <c r="B268" s="60" t="s">
        <v>353</v>
      </c>
      <c r="C268" s="35">
        <v>54</v>
      </c>
      <c r="D268" s="35">
        <v>55</v>
      </c>
      <c r="E268" s="35">
        <v>67</v>
      </c>
      <c r="G268" s="100"/>
      <c r="H268" s="3"/>
      <c r="I268" s="3"/>
      <c r="J268" s="3"/>
      <c r="K268" s="3"/>
      <c r="M268" s="78">
        <v>98328</v>
      </c>
      <c r="N268" s="60" t="s">
        <v>353</v>
      </c>
      <c r="O268" s="35">
        <v>1</v>
      </c>
      <c r="P268" s="32">
        <v>3</v>
      </c>
      <c r="Q268" s="35">
        <v>2</v>
      </c>
      <c r="S268" s="80">
        <v>98407</v>
      </c>
      <c r="T268" s="14" t="s">
        <v>353</v>
      </c>
      <c r="U268" s="51">
        <v>2</v>
      </c>
      <c r="V268" s="51">
        <v>1</v>
      </c>
      <c r="W268" s="51">
        <v>8</v>
      </c>
    </row>
    <row r="269" spans="1:23" x14ac:dyDescent="0.2">
      <c r="A269" s="54">
        <v>98223</v>
      </c>
      <c r="B269" s="60" t="s">
        <v>353</v>
      </c>
      <c r="C269" s="35">
        <v>1</v>
      </c>
      <c r="D269" s="35">
        <v>1</v>
      </c>
      <c r="E269" s="35">
        <v>2</v>
      </c>
      <c r="G269" s="100"/>
      <c r="H269" s="3"/>
      <c r="I269" s="3"/>
      <c r="J269" s="3"/>
      <c r="K269" s="3"/>
      <c r="M269" s="54">
        <v>98332</v>
      </c>
      <c r="N269" s="60" t="s">
        <v>353</v>
      </c>
      <c r="O269" s="35">
        <v>5</v>
      </c>
      <c r="P269" s="35">
        <v>6</v>
      </c>
      <c r="Q269" s="35">
        <v>9</v>
      </c>
      <c r="S269" s="80">
        <v>98408</v>
      </c>
      <c r="T269" s="14" t="s">
        <v>353</v>
      </c>
      <c r="U269" s="51">
        <v>11</v>
      </c>
      <c r="V269" s="51">
        <v>12</v>
      </c>
      <c r="W269" s="51">
        <v>5</v>
      </c>
    </row>
    <row r="270" spans="1:23" x14ac:dyDescent="0.2">
      <c r="A270" s="78">
        <v>98224</v>
      </c>
      <c r="B270" s="60" t="s">
        <v>353</v>
      </c>
      <c r="C270" s="35">
        <v>1</v>
      </c>
      <c r="D270" s="35">
        <v>1</v>
      </c>
      <c r="E270" s="35">
        <v>3</v>
      </c>
      <c r="G270" s="100"/>
      <c r="H270" s="3"/>
      <c r="I270" s="3"/>
      <c r="J270" s="3"/>
      <c r="K270" s="3"/>
      <c r="M270" s="78">
        <v>98335</v>
      </c>
      <c r="N270" s="60" t="s">
        <v>352</v>
      </c>
      <c r="O270" s="35">
        <v>1</v>
      </c>
      <c r="P270" s="35">
        <v>2</v>
      </c>
      <c r="Q270" s="35">
        <v>1</v>
      </c>
      <c r="S270" s="80">
        <v>98409</v>
      </c>
      <c r="T270" s="14" t="s">
        <v>352</v>
      </c>
      <c r="U270" s="51">
        <v>0</v>
      </c>
      <c r="V270" s="51">
        <v>1</v>
      </c>
      <c r="W270" s="51">
        <v>0</v>
      </c>
    </row>
    <row r="271" spans="1:23" x14ac:dyDescent="0.2">
      <c r="A271" s="78">
        <v>98225</v>
      </c>
      <c r="B271" s="60" t="s">
        <v>353</v>
      </c>
      <c r="C271" s="35">
        <v>122</v>
      </c>
      <c r="D271" s="35">
        <v>166</v>
      </c>
      <c r="E271" s="35">
        <v>164</v>
      </c>
      <c r="G271" s="100"/>
      <c r="H271" s="3"/>
      <c r="I271" s="3"/>
      <c r="J271" s="3"/>
      <c r="K271" s="3"/>
      <c r="M271" s="54">
        <v>98335</v>
      </c>
      <c r="N271" s="60" t="s">
        <v>353</v>
      </c>
      <c r="O271" s="35">
        <v>8</v>
      </c>
      <c r="P271" s="35">
        <v>10</v>
      </c>
      <c r="Q271" s="35">
        <v>20</v>
      </c>
      <c r="S271" s="80">
        <v>98409</v>
      </c>
      <c r="T271" s="14" t="s">
        <v>353</v>
      </c>
      <c r="U271" s="51">
        <v>2</v>
      </c>
      <c r="V271" s="51">
        <v>5</v>
      </c>
      <c r="W271" s="51">
        <v>8</v>
      </c>
    </row>
    <row r="272" spans="1:23" x14ac:dyDescent="0.2">
      <c r="A272" s="78">
        <v>98226</v>
      </c>
      <c r="B272" s="60" t="s">
        <v>353</v>
      </c>
      <c r="C272" s="35">
        <v>144</v>
      </c>
      <c r="D272" s="35">
        <v>182</v>
      </c>
      <c r="E272" s="32">
        <v>177</v>
      </c>
      <c r="G272" s="100"/>
      <c r="H272" s="3"/>
      <c r="I272" s="3"/>
      <c r="J272" s="3"/>
      <c r="K272" s="3"/>
      <c r="M272" s="78">
        <v>98337</v>
      </c>
      <c r="N272" s="60" t="s">
        <v>352</v>
      </c>
      <c r="O272" s="35">
        <v>1</v>
      </c>
      <c r="P272" s="32">
        <v>3</v>
      </c>
      <c r="Q272" s="35">
        <v>1</v>
      </c>
      <c r="S272" s="80">
        <v>98418</v>
      </c>
      <c r="T272" s="14" t="s">
        <v>352</v>
      </c>
      <c r="U272" s="51">
        <v>1</v>
      </c>
      <c r="V272" s="51">
        <v>0</v>
      </c>
      <c r="W272" s="51">
        <v>1</v>
      </c>
    </row>
    <row r="273" spans="1:23" x14ac:dyDescent="0.2">
      <c r="A273" s="54">
        <v>98229</v>
      </c>
      <c r="B273" s="60" t="s">
        <v>353</v>
      </c>
      <c r="C273" s="35">
        <v>112</v>
      </c>
      <c r="D273" s="35">
        <v>134</v>
      </c>
      <c r="E273" s="35">
        <v>140</v>
      </c>
      <c r="G273" s="100"/>
      <c r="H273" s="3"/>
      <c r="I273" s="3"/>
      <c r="J273" s="3"/>
      <c r="K273" s="3"/>
      <c r="M273" s="54">
        <v>98337</v>
      </c>
      <c r="N273" s="60" t="s">
        <v>353</v>
      </c>
      <c r="O273" s="35">
        <v>20</v>
      </c>
      <c r="P273" s="35">
        <v>19</v>
      </c>
      <c r="Q273" s="35">
        <v>33</v>
      </c>
      <c r="S273" s="80">
        <v>98418</v>
      </c>
      <c r="T273" s="14" t="s">
        <v>353</v>
      </c>
      <c r="U273" s="51">
        <v>4</v>
      </c>
      <c r="V273" s="51">
        <v>3</v>
      </c>
      <c r="W273" s="51">
        <v>5</v>
      </c>
    </row>
    <row r="274" spans="1:23" x14ac:dyDescent="0.2">
      <c r="A274" s="78">
        <v>98230</v>
      </c>
      <c r="B274" s="60" t="s">
        <v>353</v>
      </c>
      <c r="C274" s="35">
        <v>66</v>
      </c>
      <c r="D274" s="35">
        <v>72</v>
      </c>
      <c r="E274" s="35">
        <v>82</v>
      </c>
      <c r="G274" s="100"/>
      <c r="H274" s="3"/>
      <c r="I274" s="3"/>
      <c r="J274" s="3"/>
      <c r="K274" s="3"/>
      <c r="M274" s="78">
        <v>98338</v>
      </c>
      <c r="N274" s="60" t="s">
        <v>352</v>
      </c>
      <c r="O274" s="35">
        <v>1</v>
      </c>
      <c r="P274" s="35">
        <v>2</v>
      </c>
      <c r="Q274" s="32">
        <v>1</v>
      </c>
      <c r="S274" s="80">
        <v>98422</v>
      </c>
      <c r="T274" s="14" t="s">
        <v>353</v>
      </c>
      <c r="U274" s="51">
        <v>5</v>
      </c>
      <c r="V274" s="51">
        <v>7</v>
      </c>
      <c r="W274" s="51">
        <v>5</v>
      </c>
    </row>
    <row r="275" spans="1:23" x14ac:dyDescent="0.2">
      <c r="A275" s="78">
        <v>98232</v>
      </c>
      <c r="B275" s="60" t="s">
        <v>353</v>
      </c>
      <c r="C275" s="35">
        <v>14</v>
      </c>
      <c r="D275" s="35">
        <v>12</v>
      </c>
      <c r="E275" s="35">
        <v>20</v>
      </c>
      <c r="G275" s="100"/>
      <c r="H275" s="3"/>
      <c r="I275" s="3"/>
      <c r="J275" s="3"/>
      <c r="K275" s="3"/>
      <c r="M275" s="54">
        <v>98338</v>
      </c>
      <c r="N275" s="60" t="s">
        <v>353</v>
      </c>
      <c r="O275" s="35">
        <v>80</v>
      </c>
      <c r="P275" s="35">
        <v>93</v>
      </c>
      <c r="Q275" s="35">
        <v>84</v>
      </c>
      <c r="S275" s="80">
        <v>98424</v>
      </c>
      <c r="T275" s="14" t="s">
        <v>353</v>
      </c>
      <c r="U275" s="51">
        <v>4</v>
      </c>
      <c r="V275" s="51">
        <v>9</v>
      </c>
      <c r="W275" s="51">
        <v>10</v>
      </c>
    </row>
    <row r="276" spans="1:23" x14ac:dyDescent="0.2">
      <c r="A276" s="78">
        <v>98233</v>
      </c>
      <c r="B276" s="60" t="s">
        <v>353</v>
      </c>
      <c r="C276" s="35">
        <v>57</v>
      </c>
      <c r="D276" s="35">
        <v>72</v>
      </c>
      <c r="E276" s="35">
        <v>76</v>
      </c>
      <c r="G276" s="100"/>
      <c r="H276" s="3"/>
      <c r="I276" s="3"/>
      <c r="J276" s="3"/>
      <c r="K276" s="3"/>
      <c r="M276" s="78">
        <v>98340</v>
      </c>
      <c r="N276" s="60" t="s">
        <v>352</v>
      </c>
      <c r="O276" s="35">
        <v>0</v>
      </c>
      <c r="P276" s="35">
        <v>1</v>
      </c>
      <c r="Q276" s="35">
        <v>1</v>
      </c>
      <c r="S276" s="80">
        <v>98439</v>
      </c>
      <c r="T276" s="14" t="s">
        <v>353</v>
      </c>
      <c r="U276" s="51">
        <v>3</v>
      </c>
      <c r="V276" s="51">
        <v>5</v>
      </c>
      <c r="W276" s="51">
        <v>8</v>
      </c>
    </row>
    <row r="277" spans="1:23" x14ac:dyDescent="0.2">
      <c r="A277" s="54">
        <v>98235</v>
      </c>
      <c r="B277" s="60" t="s">
        <v>353</v>
      </c>
      <c r="C277" s="35">
        <v>3</v>
      </c>
      <c r="D277" s="35">
        <v>4</v>
      </c>
      <c r="E277" s="35">
        <v>4</v>
      </c>
      <c r="G277" s="100"/>
      <c r="H277" s="3"/>
      <c r="I277" s="3"/>
      <c r="J277" s="3"/>
      <c r="K277" s="3"/>
      <c r="M277" s="54">
        <v>98340</v>
      </c>
      <c r="N277" s="60" t="s">
        <v>353</v>
      </c>
      <c r="O277" s="35">
        <v>7</v>
      </c>
      <c r="P277" s="35">
        <v>7</v>
      </c>
      <c r="Q277" s="35">
        <v>6</v>
      </c>
      <c r="S277" s="80">
        <v>98443</v>
      </c>
      <c r="T277" s="14" t="s">
        <v>353</v>
      </c>
      <c r="U277" s="51">
        <v>1</v>
      </c>
      <c r="V277" s="51">
        <v>0</v>
      </c>
      <c r="W277" s="51">
        <v>0</v>
      </c>
    </row>
    <row r="278" spans="1:23" x14ac:dyDescent="0.2">
      <c r="A278" s="78">
        <v>98236</v>
      </c>
      <c r="B278" s="60" t="s">
        <v>353</v>
      </c>
      <c r="C278" s="35">
        <v>17</v>
      </c>
      <c r="D278" s="35">
        <v>25</v>
      </c>
      <c r="E278" s="35">
        <v>33</v>
      </c>
      <c r="G278" s="100"/>
      <c r="H278" s="3"/>
      <c r="I278" s="3"/>
      <c r="J278" s="3"/>
      <c r="K278" s="3"/>
      <c r="M278" s="78">
        <v>98342</v>
      </c>
      <c r="N278" s="60" t="s">
        <v>353</v>
      </c>
      <c r="O278" s="32">
        <v>4</v>
      </c>
      <c r="P278" s="32">
        <v>1</v>
      </c>
      <c r="Q278" s="35">
        <v>6</v>
      </c>
      <c r="S278" s="80">
        <v>98444</v>
      </c>
      <c r="T278" s="14" t="s">
        <v>352</v>
      </c>
      <c r="U278" s="51">
        <v>0</v>
      </c>
      <c r="V278" s="51">
        <v>1</v>
      </c>
      <c r="W278" s="51">
        <v>0</v>
      </c>
    </row>
    <row r="279" spans="1:23" x14ac:dyDescent="0.2">
      <c r="A279" s="54">
        <v>98237</v>
      </c>
      <c r="B279" s="60" t="s">
        <v>353</v>
      </c>
      <c r="C279" s="35">
        <v>61</v>
      </c>
      <c r="D279" s="35">
        <v>73</v>
      </c>
      <c r="E279" s="35">
        <v>77</v>
      </c>
      <c r="G279" s="100"/>
      <c r="H279" s="3"/>
      <c r="I279" s="3"/>
      <c r="J279" s="3"/>
      <c r="K279" s="3"/>
      <c r="M279" s="54">
        <v>98345</v>
      </c>
      <c r="N279" s="60" t="s">
        <v>353</v>
      </c>
      <c r="O279" s="35">
        <v>2</v>
      </c>
      <c r="P279" s="35">
        <v>6</v>
      </c>
      <c r="Q279" s="35">
        <v>3</v>
      </c>
      <c r="S279" s="80">
        <v>98444</v>
      </c>
      <c r="T279" s="14" t="s">
        <v>353</v>
      </c>
      <c r="U279" s="51">
        <v>4</v>
      </c>
      <c r="V279" s="51">
        <v>3</v>
      </c>
      <c r="W279" s="51">
        <v>9</v>
      </c>
    </row>
    <row r="280" spans="1:23" x14ac:dyDescent="0.2">
      <c r="A280" s="78">
        <v>98239</v>
      </c>
      <c r="B280" s="60" t="s">
        <v>353</v>
      </c>
      <c r="C280" s="35">
        <v>27</v>
      </c>
      <c r="D280" s="35">
        <v>39</v>
      </c>
      <c r="E280" s="35">
        <v>38</v>
      </c>
      <c r="G280" s="100"/>
      <c r="H280" s="3"/>
      <c r="I280" s="3"/>
      <c r="J280" s="3"/>
      <c r="K280" s="3"/>
      <c r="M280" s="78">
        <v>98346</v>
      </c>
      <c r="N280" s="60" t="s">
        <v>352</v>
      </c>
      <c r="O280" s="35">
        <v>0</v>
      </c>
      <c r="P280" s="32">
        <v>1</v>
      </c>
      <c r="Q280" s="32">
        <v>2</v>
      </c>
      <c r="S280" s="80">
        <v>98445</v>
      </c>
      <c r="T280" s="14" t="s">
        <v>353</v>
      </c>
      <c r="U280" s="51">
        <v>6</v>
      </c>
      <c r="V280" s="51">
        <v>18</v>
      </c>
      <c r="W280" s="51">
        <v>14</v>
      </c>
    </row>
    <row r="281" spans="1:23" x14ac:dyDescent="0.2">
      <c r="A281" s="78">
        <v>98240</v>
      </c>
      <c r="B281" s="60" t="s">
        <v>353</v>
      </c>
      <c r="C281" s="35">
        <v>16</v>
      </c>
      <c r="D281" s="35">
        <v>19</v>
      </c>
      <c r="E281" s="35">
        <v>19</v>
      </c>
      <c r="G281" s="100"/>
      <c r="H281" s="3"/>
      <c r="I281" s="3"/>
      <c r="J281" s="3"/>
      <c r="K281" s="3"/>
      <c r="M281" s="54">
        <v>98346</v>
      </c>
      <c r="N281" s="60" t="s">
        <v>353</v>
      </c>
      <c r="O281" s="35">
        <v>34</v>
      </c>
      <c r="P281" s="35">
        <v>35</v>
      </c>
      <c r="Q281" s="35">
        <v>51</v>
      </c>
      <c r="S281" s="80">
        <v>98446</v>
      </c>
      <c r="T281" s="14" t="s">
        <v>353</v>
      </c>
      <c r="U281" s="51">
        <v>9</v>
      </c>
      <c r="V281" s="51">
        <v>19</v>
      </c>
      <c r="W281" s="51">
        <v>12</v>
      </c>
    </row>
    <row r="282" spans="1:23" x14ac:dyDescent="0.2">
      <c r="A282" s="78">
        <v>98244</v>
      </c>
      <c r="B282" s="60" t="s">
        <v>353</v>
      </c>
      <c r="C282" s="32">
        <v>27</v>
      </c>
      <c r="D282" s="35">
        <v>25</v>
      </c>
      <c r="E282" s="35">
        <v>28</v>
      </c>
      <c r="G282" s="100"/>
      <c r="H282" s="3"/>
      <c r="I282" s="3"/>
      <c r="J282" s="3"/>
      <c r="K282" s="3"/>
      <c r="M282" s="78">
        <v>98354</v>
      </c>
      <c r="N282" s="60" t="s">
        <v>352</v>
      </c>
      <c r="O282" s="32">
        <v>1</v>
      </c>
      <c r="P282" s="35">
        <v>0</v>
      </c>
      <c r="Q282" s="35">
        <v>1</v>
      </c>
      <c r="S282" s="80">
        <v>98465</v>
      </c>
      <c r="T282" s="14" t="s">
        <v>353</v>
      </c>
      <c r="U282" s="51">
        <v>1</v>
      </c>
      <c r="V282" s="51">
        <v>1</v>
      </c>
      <c r="W282" s="51">
        <v>2</v>
      </c>
    </row>
    <row r="283" spans="1:23" x14ac:dyDescent="0.2">
      <c r="A283" s="78">
        <v>98247</v>
      </c>
      <c r="B283" s="60" t="s">
        <v>353</v>
      </c>
      <c r="C283" s="32">
        <v>42</v>
      </c>
      <c r="D283" s="35">
        <v>52</v>
      </c>
      <c r="E283" s="35">
        <v>52</v>
      </c>
      <c r="G283" s="100"/>
      <c r="H283" s="3"/>
      <c r="I283" s="3"/>
      <c r="J283" s="3"/>
      <c r="K283" s="3"/>
      <c r="M283" s="54">
        <v>98354</v>
      </c>
      <c r="N283" s="60" t="s">
        <v>353</v>
      </c>
      <c r="O283" s="35">
        <v>3</v>
      </c>
      <c r="P283" s="35">
        <v>9</v>
      </c>
      <c r="Q283" s="35">
        <v>3</v>
      </c>
      <c r="S283" s="80">
        <v>98466</v>
      </c>
      <c r="T283" s="14" t="s">
        <v>353</v>
      </c>
      <c r="U283" s="51">
        <v>1</v>
      </c>
      <c r="V283" s="51">
        <v>3</v>
      </c>
      <c r="W283" s="51">
        <v>7</v>
      </c>
    </row>
    <row r="284" spans="1:23" x14ac:dyDescent="0.2">
      <c r="A284" s="78">
        <v>98248</v>
      </c>
      <c r="B284" s="60" t="s">
        <v>353</v>
      </c>
      <c r="C284" s="35">
        <v>69</v>
      </c>
      <c r="D284" s="35">
        <v>78</v>
      </c>
      <c r="E284" s="35">
        <v>100</v>
      </c>
      <c r="M284" s="78">
        <v>98359</v>
      </c>
      <c r="N284" s="60" t="s">
        <v>352</v>
      </c>
      <c r="O284" s="32">
        <v>0</v>
      </c>
      <c r="P284" s="35">
        <v>1</v>
      </c>
      <c r="Q284" s="32">
        <v>0</v>
      </c>
      <c r="S284" s="80">
        <v>98467</v>
      </c>
      <c r="T284" s="14" t="s">
        <v>353</v>
      </c>
      <c r="U284" s="51">
        <v>4</v>
      </c>
      <c r="V284" s="51">
        <v>3</v>
      </c>
      <c r="W284" s="51">
        <v>5</v>
      </c>
    </row>
    <row r="285" spans="1:23" x14ac:dyDescent="0.2">
      <c r="A285" s="54">
        <v>98249</v>
      </c>
      <c r="B285" s="60" t="s">
        <v>353</v>
      </c>
      <c r="C285" s="35">
        <v>11</v>
      </c>
      <c r="D285" s="35">
        <v>20</v>
      </c>
      <c r="E285" s="35">
        <v>21</v>
      </c>
      <c r="M285" s="54">
        <v>98359</v>
      </c>
      <c r="N285" s="60" t="s">
        <v>353</v>
      </c>
      <c r="O285" s="35">
        <v>15</v>
      </c>
      <c r="P285" s="35">
        <v>12</v>
      </c>
      <c r="Q285" s="35">
        <v>16</v>
      </c>
      <c r="S285" s="80">
        <v>98498</v>
      </c>
      <c r="T285" s="14" t="s">
        <v>352</v>
      </c>
      <c r="U285" s="51">
        <v>2</v>
      </c>
      <c r="V285" s="51">
        <v>1</v>
      </c>
      <c r="W285" s="51">
        <v>0</v>
      </c>
    </row>
    <row r="286" spans="1:23" x14ac:dyDescent="0.2">
      <c r="A286" s="78">
        <v>98251</v>
      </c>
      <c r="B286" s="60" t="s">
        <v>353</v>
      </c>
      <c r="C286" s="35">
        <v>5</v>
      </c>
      <c r="D286" s="35">
        <v>6</v>
      </c>
      <c r="E286" s="35">
        <v>6</v>
      </c>
      <c r="M286" s="78">
        <v>98360</v>
      </c>
      <c r="N286" s="60" t="s">
        <v>352</v>
      </c>
      <c r="O286" s="35">
        <v>1</v>
      </c>
      <c r="P286" s="35">
        <v>3</v>
      </c>
      <c r="Q286" s="35">
        <v>0</v>
      </c>
      <c r="S286" s="80">
        <v>98498</v>
      </c>
      <c r="T286" s="14" t="s">
        <v>353</v>
      </c>
      <c r="U286" s="51">
        <v>39</v>
      </c>
      <c r="V286" s="51">
        <v>34</v>
      </c>
      <c r="W286" s="51">
        <v>37</v>
      </c>
    </row>
    <row r="287" spans="1:23" x14ac:dyDescent="0.2">
      <c r="A287" s="78">
        <v>98252</v>
      </c>
      <c r="B287" s="60" t="s">
        <v>353</v>
      </c>
      <c r="C287" s="35">
        <v>11</v>
      </c>
      <c r="D287" s="35">
        <v>14</v>
      </c>
      <c r="E287" s="35">
        <v>15</v>
      </c>
      <c r="M287" s="78">
        <v>98360</v>
      </c>
      <c r="N287" s="60" t="s">
        <v>353</v>
      </c>
      <c r="O287" s="35">
        <v>102</v>
      </c>
      <c r="P287" s="35">
        <v>78</v>
      </c>
      <c r="Q287" s="35">
        <v>103</v>
      </c>
      <c r="S287" s="80">
        <v>98499</v>
      </c>
      <c r="T287" s="14" t="s">
        <v>352</v>
      </c>
      <c r="U287" s="51">
        <v>0</v>
      </c>
      <c r="V287" s="51">
        <v>1</v>
      </c>
      <c r="W287" s="51">
        <v>2</v>
      </c>
    </row>
    <row r="288" spans="1:23" x14ac:dyDescent="0.2">
      <c r="A288" s="54">
        <v>98253</v>
      </c>
      <c r="B288" s="60" t="s">
        <v>353</v>
      </c>
      <c r="C288" s="35">
        <v>8</v>
      </c>
      <c r="D288" s="35">
        <v>8</v>
      </c>
      <c r="E288" s="35">
        <v>7</v>
      </c>
      <c r="M288" s="78">
        <v>98366</v>
      </c>
      <c r="N288" s="60" t="s">
        <v>352</v>
      </c>
      <c r="O288" s="32">
        <v>4</v>
      </c>
      <c r="P288" s="35">
        <v>5</v>
      </c>
      <c r="Q288" s="32">
        <v>0</v>
      </c>
      <c r="S288" s="80">
        <v>98499</v>
      </c>
      <c r="T288" s="14" t="s">
        <v>353</v>
      </c>
      <c r="U288" s="51">
        <v>5</v>
      </c>
      <c r="V288" s="51">
        <v>7</v>
      </c>
      <c r="W288" s="51">
        <v>8</v>
      </c>
    </row>
    <row r="289" spans="1:23" x14ac:dyDescent="0.2">
      <c r="A289" s="78">
        <v>98255</v>
      </c>
      <c r="B289" s="60" t="s">
        <v>353</v>
      </c>
      <c r="C289" s="35">
        <v>2</v>
      </c>
      <c r="D289" s="35">
        <v>6</v>
      </c>
      <c r="E289" s="35">
        <v>5</v>
      </c>
      <c r="M289" s="54">
        <v>98366</v>
      </c>
      <c r="N289" s="60" t="s">
        <v>353</v>
      </c>
      <c r="O289" s="35">
        <v>156</v>
      </c>
      <c r="P289" s="35">
        <v>152</v>
      </c>
      <c r="Q289" s="35">
        <v>189</v>
      </c>
      <c r="S289" s="80">
        <v>98501</v>
      </c>
      <c r="T289" s="14" t="s">
        <v>352</v>
      </c>
      <c r="U289" s="51">
        <v>3</v>
      </c>
      <c r="V289" s="51">
        <v>1</v>
      </c>
      <c r="W289" s="51">
        <v>1</v>
      </c>
    </row>
    <row r="290" spans="1:23" x14ac:dyDescent="0.2">
      <c r="A290" s="78">
        <v>98257</v>
      </c>
      <c r="B290" s="60" t="s">
        <v>353</v>
      </c>
      <c r="C290" s="35">
        <v>23</v>
      </c>
      <c r="D290" s="35">
        <v>22</v>
      </c>
      <c r="E290" s="35">
        <v>28</v>
      </c>
      <c r="M290" s="78">
        <v>98367</v>
      </c>
      <c r="N290" s="60" t="s">
        <v>352</v>
      </c>
      <c r="O290" s="35">
        <v>1</v>
      </c>
      <c r="P290" s="35">
        <v>2</v>
      </c>
      <c r="Q290" s="35">
        <v>1</v>
      </c>
      <c r="S290" s="80">
        <v>98501</v>
      </c>
      <c r="T290" s="14" t="s">
        <v>353</v>
      </c>
      <c r="U290" s="51">
        <v>41</v>
      </c>
      <c r="V290" s="51">
        <v>47</v>
      </c>
      <c r="W290" s="51">
        <v>70</v>
      </c>
    </row>
    <row r="291" spans="1:23" x14ac:dyDescent="0.2">
      <c r="A291" s="78">
        <v>98258</v>
      </c>
      <c r="B291" s="60" t="s">
        <v>353</v>
      </c>
      <c r="C291" s="32">
        <v>44</v>
      </c>
      <c r="D291" s="35">
        <v>76</v>
      </c>
      <c r="E291" s="35">
        <v>86</v>
      </c>
      <c r="M291" s="78">
        <v>98367</v>
      </c>
      <c r="N291" s="60" t="s">
        <v>353</v>
      </c>
      <c r="O291" s="35">
        <v>95</v>
      </c>
      <c r="P291" s="35">
        <v>112</v>
      </c>
      <c r="Q291" s="35">
        <v>117</v>
      </c>
      <c r="S291" s="80">
        <v>98502</v>
      </c>
      <c r="T291" s="14" t="s">
        <v>352</v>
      </c>
      <c r="U291" s="51">
        <v>3</v>
      </c>
      <c r="V291" s="51">
        <v>2</v>
      </c>
      <c r="W291" s="51">
        <v>1</v>
      </c>
    </row>
    <row r="292" spans="1:23" x14ac:dyDescent="0.2">
      <c r="A292" s="78">
        <v>98260</v>
      </c>
      <c r="B292" s="60" t="s">
        <v>353</v>
      </c>
      <c r="C292" s="35">
        <v>11</v>
      </c>
      <c r="D292" s="35">
        <v>15</v>
      </c>
      <c r="E292" s="35">
        <v>18</v>
      </c>
      <c r="M292" s="54">
        <v>98370</v>
      </c>
      <c r="N292" s="60" t="s">
        <v>352</v>
      </c>
      <c r="O292" s="35">
        <v>6</v>
      </c>
      <c r="P292" s="35">
        <v>0</v>
      </c>
      <c r="Q292" s="35">
        <v>8</v>
      </c>
      <c r="S292" s="80">
        <v>98502</v>
      </c>
      <c r="T292" s="14" t="s">
        <v>353</v>
      </c>
      <c r="U292" s="51">
        <v>24</v>
      </c>
      <c r="V292" s="51">
        <v>37</v>
      </c>
      <c r="W292" s="51">
        <v>51</v>
      </c>
    </row>
    <row r="293" spans="1:23" x14ac:dyDescent="0.2">
      <c r="A293" s="78">
        <v>98262</v>
      </c>
      <c r="B293" s="60" t="s">
        <v>353</v>
      </c>
      <c r="C293" s="35">
        <v>3</v>
      </c>
      <c r="D293" s="35">
        <v>3</v>
      </c>
      <c r="E293" s="35">
        <v>2</v>
      </c>
      <c r="M293" s="78">
        <v>98370</v>
      </c>
      <c r="N293" s="60" t="s">
        <v>353</v>
      </c>
      <c r="O293" s="35">
        <v>88</v>
      </c>
      <c r="P293" s="35">
        <v>91</v>
      </c>
      <c r="Q293" s="35">
        <v>107</v>
      </c>
      <c r="S293" s="80">
        <v>98503</v>
      </c>
      <c r="T293" s="14" t="s">
        <v>352</v>
      </c>
      <c r="U293" s="51">
        <v>0</v>
      </c>
      <c r="V293" s="51">
        <v>1</v>
      </c>
      <c r="W293" s="51">
        <v>0</v>
      </c>
    </row>
    <row r="294" spans="1:23" x14ac:dyDescent="0.2">
      <c r="A294" s="78">
        <v>98263</v>
      </c>
      <c r="B294" s="60" t="s">
        <v>353</v>
      </c>
      <c r="C294" s="35">
        <v>1</v>
      </c>
      <c r="D294" s="35">
        <v>2</v>
      </c>
      <c r="E294" s="35">
        <v>3</v>
      </c>
      <c r="M294" s="54">
        <v>98371</v>
      </c>
      <c r="N294" s="60" t="s">
        <v>352</v>
      </c>
      <c r="O294" s="35">
        <v>2</v>
      </c>
      <c r="P294" s="35">
        <v>1</v>
      </c>
      <c r="Q294" s="35">
        <v>2</v>
      </c>
      <c r="S294" s="80">
        <v>98503</v>
      </c>
      <c r="T294" s="14" t="s">
        <v>353</v>
      </c>
      <c r="U294" s="51">
        <v>50</v>
      </c>
      <c r="V294" s="51">
        <v>52</v>
      </c>
      <c r="W294" s="51">
        <v>81</v>
      </c>
    </row>
    <row r="295" spans="1:23" x14ac:dyDescent="0.2">
      <c r="A295" s="54">
        <v>98264</v>
      </c>
      <c r="B295" s="60" t="s">
        <v>353</v>
      </c>
      <c r="C295" s="35">
        <v>66</v>
      </c>
      <c r="D295" s="35">
        <v>62</v>
      </c>
      <c r="E295" s="35">
        <v>78</v>
      </c>
      <c r="M295" s="78">
        <v>98371</v>
      </c>
      <c r="N295" s="60" t="s">
        <v>353</v>
      </c>
      <c r="O295" s="35">
        <v>121</v>
      </c>
      <c r="P295" s="32">
        <v>116</v>
      </c>
      <c r="Q295" s="32">
        <v>145</v>
      </c>
      <c r="S295" s="80">
        <v>98506</v>
      </c>
      <c r="T295" s="14" t="s">
        <v>352</v>
      </c>
      <c r="U295" s="51">
        <v>1</v>
      </c>
      <c r="V295" s="51">
        <v>0</v>
      </c>
      <c r="W295" s="51">
        <v>1</v>
      </c>
    </row>
    <row r="296" spans="1:23" x14ac:dyDescent="0.2">
      <c r="A296" s="78">
        <v>98266</v>
      </c>
      <c r="B296" s="60" t="s">
        <v>353</v>
      </c>
      <c r="C296" s="35">
        <v>27</v>
      </c>
      <c r="D296" s="35">
        <v>43</v>
      </c>
      <c r="E296" s="35">
        <v>42</v>
      </c>
      <c r="M296" s="54">
        <v>98372</v>
      </c>
      <c r="N296" s="60" t="s">
        <v>352</v>
      </c>
      <c r="O296" s="35">
        <v>3</v>
      </c>
      <c r="P296" s="35">
        <v>1</v>
      </c>
      <c r="Q296" s="35">
        <v>2</v>
      </c>
      <c r="S296" s="80">
        <v>98506</v>
      </c>
      <c r="T296" s="14" t="s">
        <v>353</v>
      </c>
      <c r="U296" s="51">
        <v>19</v>
      </c>
      <c r="V296" s="51">
        <v>23</v>
      </c>
      <c r="W296" s="51">
        <v>24</v>
      </c>
    </row>
    <row r="297" spans="1:23" x14ac:dyDescent="0.2">
      <c r="A297" s="78">
        <v>98267</v>
      </c>
      <c r="B297" s="60" t="s">
        <v>353</v>
      </c>
      <c r="C297" s="35">
        <v>4</v>
      </c>
      <c r="D297" s="35">
        <v>2</v>
      </c>
      <c r="E297" s="35">
        <v>8</v>
      </c>
      <c r="M297" s="78">
        <v>98372</v>
      </c>
      <c r="N297" s="60" t="s">
        <v>353</v>
      </c>
      <c r="O297" s="35">
        <v>122</v>
      </c>
      <c r="P297" s="35">
        <v>153</v>
      </c>
      <c r="Q297" s="35">
        <v>172</v>
      </c>
      <c r="S297" s="80">
        <v>98512</v>
      </c>
      <c r="T297" s="14" t="s">
        <v>352</v>
      </c>
      <c r="U297" s="51">
        <v>2</v>
      </c>
      <c r="V297" s="51">
        <v>1</v>
      </c>
      <c r="W297" s="51">
        <v>4</v>
      </c>
    </row>
    <row r="298" spans="1:23" x14ac:dyDescent="0.2">
      <c r="A298" s="78">
        <v>98270</v>
      </c>
      <c r="B298" s="60" t="s">
        <v>353</v>
      </c>
      <c r="C298" s="35">
        <v>67</v>
      </c>
      <c r="D298" s="32">
        <v>84</v>
      </c>
      <c r="E298" s="32">
        <v>115</v>
      </c>
      <c r="M298" s="78">
        <v>98373</v>
      </c>
      <c r="N298" s="60" t="s">
        <v>352</v>
      </c>
      <c r="O298" s="35">
        <v>4</v>
      </c>
      <c r="P298" s="35">
        <v>0</v>
      </c>
      <c r="Q298" s="32">
        <v>3</v>
      </c>
      <c r="S298" s="80">
        <v>98512</v>
      </c>
      <c r="T298" s="14" t="s">
        <v>353</v>
      </c>
      <c r="U298" s="51">
        <v>37</v>
      </c>
      <c r="V298" s="51">
        <v>43</v>
      </c>
      <c r="W298" s="51">
        <v>53</v>
      </c>
    </row>
    <row r="299" spans="1:23" x14ac:dyDescent="0.2">
      <c r="A299" s="54">
        <v>98271</v>
      </c>
      <c r="B299" s="60" t="s">
        <v>353</v>
      </c>
      <c r="C299" s="35">
        <v>10</v>
      </c>
      <c r="D299" s="35">
        <v>16</v>
      </c>
      <c r="E299" s="35">
        <v>24</v>
      </c>
      <c r="M299" s="54">
        <v>98373</v>
      </c>
      <c r="N299" s="60" t="s">
        <v>353</v>
      </c>
      <c r="O299" s="35">
        <v>144</v>
      </c>
      <c r="P299" s="32">
        <v>144</v>
      </c>
      <c r="Q299" s="32">
        <v>172</v>
      </c>
      <c r="S299" s="80">
        <v>98513</v>
      </c>
      <c r="T299" s="14" t="s">
        <v>352</v>
      </c>
      <c r="U299" s="51">
        <v>1</v>
      </c>
      <c r="V299" s="51">
        <v>0</v>
      </c>
      <c r="W299" s="51">
        <v>0</v>
      </c>
    </row>
    <row r="300" spans="1:23" x14ac:dyDescent="0.2">
      <c r="A300" s="78">
        <v>98272</v>
      </c>
      <c r="B300" s="60" t="s">
        <v>353</v>
      </c>
      <c r="C300" s="35">
        <v>11</v>
      </c>
      <c r="D300" s="35">
        <v>27</v>
      </c>
      <c r="E300" s="35">
        <v>19</v>
      </c>
      <c r="M300" s="78">
        <v>98374</v>
      </c>
      <c r="N300" s="60" t="s">
        <v>352</v>
      </c>
      <c r="O300" s="32">
        <v>0</v>
      </c>
      <c r="P300" s="32">
        <v>2</v>
      </c>
      <c r="Q300" s="35">
        <v>3</v>
      </c>
      <c r="S300" s="80">
        <v>98513</v>
      </c>
      <c r="T300" s="14" t="s">
        <v>353</v>
      </c>
      <c r="U300" s="51">
        <v>32</v>
      </c>
      <c r="V300" s="51">
        <v>33</v>
      </c>
      <c r="W300" s="51">
        <v>54</v>
      </c>
    </row>
    <row r="301" spans="1:23" x14ac:dyDescent="0.2">
      <c r="A301" s="78">
        <v>98273</v>
      </c>
      <c r="B301" s="60" t="s">
        <v>353</v>
      </c>
      <c r="C301" s="32">
        <v>108</v>
      </c>
      <c r="D301" s="35">
        <v>128</v>
      </c>
      <c r="E301" s="35">
        <v>145</v>
      </c>
      <c r="M301" s="54">
        <v>98374</v>
      </c>
      <c r="N301" s="60" t="s">
        <v>353</v>
      </c>
      <c r="O301" s="35">
        <v>221</v>
      </c>
      <c r="P301" s="35">
        <v>255</v>
      </c>
      <c r="Q301" s="35">
        <v>280</v>
      </c>
      <c r="S301" s="80">
        <v>98516</v>
      </c>
      <c r="T301" s="14" t="s">
        <v>352</v>
      </c>
      <c r="U301" s="51">
        <v>1</v>
      </c>
      <c r="V301" s="51">
        <v>2</v>
      </c>
      <c r="W301" s="51">
        <v>1</v>
      </c>
    </row>
    <row r="302" spans="1:23" x14ac:dyDescent="0.2">
      <c r="A302" s="78">
        <v>98274</v>
      </c>
      <c r="B302" s="60" t="s">
        <v>353</v>
      </c>
      <c r="C302" s="35">
        <v>66</v>
      </c>
      <c r="D302" s="35">
        <v>77</v>
      </c>
      <c r="E302" s="35">
        <v>83</v>
      </c>
      <c r="M302" s="78">
        <v>98375</v>
      </c>
      <c r="N302" s="60" t="s">
        <v>353</v>
      </c>
      <c r="O302" s="35">
        <v>164</v>
      </c>
      <c r="P302" s="35">
        <v>157</v>
      </c>
      <c r="Q302" s="35">
        <v>192</v>
      </c>
      <c r="S302" s="80">
        <v>98516</v>
      </c>
      <c r="T302" s="14" t="s">
        <v>353</v>
      </c>
      <c r="U302" s="51">
        <v>33</v>
      </c>
      <c r="V302" s="51">
        <v>27</v>
      </c>
      <c r="W302" s="51">
        <v>33</v>
      </c>
    </row>
    <row r="303" spans="1:23" x14ac:dyDescent="0.2">
      <c r="A303" s="78">
        <v>98275</v>
      </c>
      <c r="B303" s="60" t="s">
        <v>353</v>
      </c>
      <c r="C303" s="35">
        <v>14</v>
      </c>
      <c r="D303" s="35">
        <v>13</v>
      </c>
      <c r="E303" s="35">
        <v>15</v>
      </c>
      <c r="M303" s="78">
        <v>98380</v>
      </c>
      <c r="N303" s="60" t="s">
        <v>352</v>
      </c>
      <c r="O303" s="32">
        <v>1</v>
      </c>
      <c r="P303" s="32">
        <v>0</v>
      </c>
      <c r="Q303" s="35">
        <v>2</v>
      </c>
      <c r="S303" s="80">
        <v>98530</v>
      </c>
      <c r="T303" s="14" t="s">
        <v>353</v>
      </c>
      <c r="U303" s="51">
        <v>1</v>
      </c>
      <c r="V303" s="51">
        <v>0</v>
      </c>
      <c r="W303" s="51">
        <v>2</v>
      </c>
    </row>
    <row r="304" spans="1:23" x14ac:dyDescent="0.2">
      <c r="A304" s="54">
        <v>98276</v>
      </c>
      <c r="B304" s="60" t="s">
        <v>353</v>
      </c>
      <c r="C304" s="35">
        <v>4</v>
      </c>
      <c r="D304" s="35">
        <v>7</v>
      </c>
      <c r="E304" s="35">
        <v>11</v>
      </c>
      <c r="M304" s="54">
        <v>98380</v>
      </c>
      <c r="N304" s="60" t="s">
        <v>353</v>
      </c>
      <c r="O304" s="35">
        <v>37</v>
      </c>
      <c r="P304" s="35">
        <v>34</v>
      </c>
      <c r="Q304" s="35">
        <v>42</v>
      </c>
      <c r="S304" s="80">
        <v>98531</v>
      </c>
      <c r="T304" s="14" t="s">
        <v>352</v>
      </c>
      <c r="U304" s="51">
        <v>0</v>
      </c>
      <c r="V304" s="51">
        <v>1</v>
      </c>
      <c r="W304" s="51">
        <v>0</v>
      </c>
    </row>
    <row r="305" spans="1:23" x14ac:dyDescent="0.2">
      <c r="A305" s="78">
        <v>98277</v>
      </c>
      <c r="B305" s="60" t="s">
        <v>353</v>
      </c>
      <c r="C305" s="35">
        <v>153</v>
      </c>
      <c r="D305" s="35">
        <v>192</v>
      </c>
      <c r="E305" s="35">
        <v>201</v>
      </c>
      <c r="M305" s="78">
        <v>98383</v>
      </c>
      <c r="N305" s="60" t="s">
        <v>352</v>
      </c>
      <c r="O305" s="32">
        <v>0</v>
      </c>
      <c r="P305" s="35">
        <v>1</v>
      </c>
      <c r="Q305" s="35">
        <v>1</v>
      </c>
      <c r="S305" s="80">
        <v>98531</v>
      </c>
      <c r="T305" s="14" t="s">
        <v>353</v>
      </c>
      <c r="U305" s="51">
        <v>4</v>
      </c>
      <c r="V305" s="51">
        <v>6</v>
      </c>
      <c r="W305" s="51">
        <v>5</v>
      </c>
    </row>
    <row r="306" spans="1:23" x14ac:dyDescent="0.2">
      <c r="A306" s="78">
        <v>98281</v>
      </c>
      <c r="B306" s="60" t="s">
        <v>353</v>
      </c>
      <c r="C306" s="35">
        <v>5</v>
      </c>
      <c r="D306" s="35">
        <v>6</v>
      </c>
      <c r="E306" s="35">
        <v>8</v>
      </c>
      <c r="M306" s="54">
        <v>98383</v>
      </c>
      <c r="N306" s="60" t="s">
        <v>353</v>
      </c>
      <c r="O306" s="35">
        <v>58</v>
      </c>
      <c r="P306" s="35">
        <v>65</v>
      </c>
      <c r="Q306" s="35">
        <v>79</v>
      </c>
      <c r="S306" s="80">
        <v>98532</v>
      </c>
      <c r="T306" s="14" t="s">
        <v>353</v>
      </c>
      <c r="U306" s="51">
        <v>2</v>
      </c>
      <c r="V306" s="51">
        <v>0</v>
      </c>
      <c r="W306" s="51">
        <v>1</v>
      </c>
    </row>
    <row r="307" spans="1:23" x14ac:dyDescent="0.2">
      <c r="A307" s="78">
        <v>98283</v>
      </c>
      <c r="B307" s="60" t="s">
        <v>353</v>
      </c>
      <c r="C307" s="35">
        <v>1</v>
      </c>
      <c r="D307" s="35">
        <v>2</v>
      </c>
      <c r="E307" s="35">
        <v>5</v>
      </c>
      <c r="M307" s="78">
        <v>98385</v>
      </c>
      <c r="N307" s="60" t="s">
        <v>353</v>
      </c>
      <c r="O307" s="35">
        <v>5</v>
      </c>
      <c r="P307" s="35">
        <v>3</v>
      </c>
      <c r="Q307" s="35">
        <v>0</v>
      </c>
      <c r="S307" s="80">
        <v>98558</v>
      </c>
      <c r="T307" s="14" t="s">
        <v>353</v>
      </c>
      <c r="U307" s="51">
        <v>0</v>
      </c>
      <c r="V307" s="51">
        <v>1</v>
      </c>
      <c r="W307" s="51">
        <v>1</v>
      </c>
    </row>
    <row r="308" spans="1:23" x14ac:dyDescent="0.2">
      <c r="A308" s="78">
        <v>98284</v>
      </c>
      <c r="B308" s="60" t="s">
        <v>353</v>
      </c>
      <c r="C308" s="35">
        <v>159</v>
      </c>
      <c r="D308" s="35">
        <v>196</v>
      </c>
      <c r="E308" s="35">
        <v>221</v>
      </c>
      <c r="M308" s="78">
        <v>98387</v>
      </c>
      <c r="N308" s="60" t="s">
        <v>352</v>
      </c>
      <c r="O308" s="35">
        <v>1</v>
      </c>
      <c r="P308" s="35">
        <v>0</v>
      </c>
      <c r="Q308" s="35">
        <v>1</v>
      </c>
      <c r="S308" s="80">
        <v>98576</v>
      </c>
      <c r="T308" s="14" t="s">
        <v>352</v>
      </c>
      <c r="U308" s="51">
        <v>1</v>
      </c>
      <c r="V308" s="51">
        <v>0</v>
      </c>
      <c r="W308" s="51">
        <v>0</v>
      </c>
    </row>
    <row r="309" spans="1:23" x14ac:dyDescent="0.2">
      <c r="A309" s="54">
        <v>98288</v>
      </c>
      <c r="B309" s="60" t="s">
        <v>353</v>
      </c>
      <c r="C309" s="35">
        <v>0</v>
      </c>
      <c r="D309" s="35">
        <v>2</v>
      </c>
      <c r="E309" s="35">
        <v>3</v>
      </c>
      <c r="M309" s="78">
        <v>98387</v>
      </c>
      <c r="N309" s="60" t="s">
        <v>353</v>
      </c>
      <c r="O309" s="35">
        <v>124</v>
      </c>
      <c r="P309" s="32">
        <v>153</v>
      </c>
      <c r="Q309" s="32">
        <v>170</v>
      </c>
      <c r="S309" s="80">
        <v>98576</v>
      </c>
      <c r="T309" s="14" t="s">
        <v>353</v>
      </c>
      <c r="U309" s="51">
        <v>10</v>
      </c>
      <c r="V309" s="51">
        <v>0</v>
      </c>
      <c r="W309" s="51">
        <v>6</v>
      </c>
    </row>
    <row r="310" spans="1:23" x14ac:dyDescent="0.2">
      <c r="A310" s="54">
        <v>98290</v>
      </c>
      <c r="B310" s="60" t="s">
        <v>353</v>
      </c>
      <c r="C310" s="35">
        <v>7</v>
      </c>
      <c r="D310" s="35">
        <v>7</v>
      </c>
      <c r="E310" s="35">
        <v>12</v>
      </c>
      <c r="M310" s="54">
        <v>98388</v>
      </c>
      <c r="N310" s="60" t="s">
        <v>353</v>
      </c>
      <c r="O310" s="35">
        <v>4</v>
      </c>
      <c r="P310" s="35">
        <v>1</v>
      </c>
      <c r="Q310" s="35">
        <v>8</v>
      </c>
      <c r="S310" s="96">
        <v>98579</v>
      </c>
      <c r="T310" s="97" t="s">
        <v>352</v>
      </c>
      <c r="U310" s="98">
        <v>2</v>
      </c>
      <c r="V310" s="98">
        <v>1</v>
      </c>
      <c r="W310" s="98">
        <v>1</v>
      </c>
    </row>
    <row r="311" spans="1:23" x14ac:dyDescent="0.2">
      <c r="A311" s="78">
        <v>98292</v>
      </c>
      <c r="B311" s="60" t="s">
        <v>353</v>
      </c>
      <c r="C311" s="35">
        <v>2</v>
      </c>
      <c r="D311" s="35">
        <v>2</v>
      </c>
      <c r="E311" s="35">
        <v>2</v>
      </c>
      <c r="M311" s="78">
        <v>98390</v>
      </c>
      <c r="N311" s="60" t="s">
        <v>352</v>
      </c>
      <c r="O311" s="35">
        <v>3</v>
      </c>
      <c r="P311" s="32">
        <v>7</v>
      </c>
      <c r="Q311" s="32">
        <v>3</v>
      </c>
      <c r="S311" s="80">
        <v>98579</v>
      </c>
      <c r="T311" s="14" t="s">
        <v>353</v>
      </c>
      <c r="U311" s="51">
        <v>10</v>
      </c>
      <c r="V311" s="51">
        <v>15</v>
      </c>
      <c r="W311" s="51">
        <v>26</v>
      </c>
    </row>
    <row r="312" spans="1:23" x14ac:dyDescent="0.2">
      <c r="A312" s="54">
        <v>98294</v>
      </c>
      <c r="B312" s="60" t="s">
        <v>353</v>
      </c>
      <c r="C312" s="35">
        <v>6</v>
      </c>
      <c r="D312" s="35">
        <v>13</v>
      </c>
      <c r="E312" s="35">
        <v>15</v>
      </c>
      <c r="M312" s="54">
        <v>98390</v>
      </c>
      <c r="N312" s="60" t="s">
        <v>353</v>
      </c>
      <c r="O312" s="35">
        <v>69</v>
      </c>
      <c r="P312" s="35">
        <v>72</v>
      </c>
      <c r="Q312" s="35">
        <v>77</v>
      </c>
      <c r="S312" s="80">
        <v>98580</v>
      </c>
      <c r="T312" s="14" t="s">
        <v>352</v>
      </c>
      <c r="U312" s="51">
        <v>0</v>
      </c>
      <c r="V312" s="51">
        <v>1</v>
      </c>
      <c r="W312" s="51">
        <v>0</v>
      </c>
    </row>
    <row r="313" spans="1:23" x14ac:dyDescent="0.2">
      <c r="A313" s="78">
        <v>98295</v>
      </c>
      <c r="B313" s="60" t="s">
        <v>353</v>
      </c>
      <c r="C313" s="35">
        <v>8</v>
      </c>
      <c r="D313" s="35">
        <v>10</v>
      </c>
      <c r="E313" s="35">
        <v>10</v>
      </c>
      <c r="M313" s="78">
        <v>98391</v>
      </c>
      <c r="N313" s="60" t="s">
        <v>352</v>
      </c>
      <c r="O313" s="32">
        <v>3</v>
      </c>
      <c r="P313" s="32">
        <v>9</v>
      </c>
      <c r="Q313" s="35">
        <v>3</v>
      </c>
      <c r="S313" s="96">
        <v>98580</v>
      </c>
      <c r="T313" s="97" t="s">
        <v>353</v>
      </c>
      <c r="U313" s="98">
        <v>12</v>
      </c>
      <c r="V313" s="98">
        <v>9</v>
      </c>
      <c r="W313" s="98">
        <v>19</v>
      </c>
    </row>
    <row r="314" spans="1:23" x14ac:dyDescent="0.2">
      <c r="A314" s="54">
        <v>98296</v>
      </c>
      <c r="B314" s="60" t="s">
        <v>353</v>
      </c>
      <c r="C314" s="35">
        <v>12</v>
      </c>
      <c r="D314" s="35">
        <v>16</v>
      </c>
      <c r="E314" s="35">
        <v>21</v>
      </c>
      <c r="M314" s="78">
        <v>98391</v>
      </c>
      <c r="N314" s="60" t="s">
        <v>353</v>
      </c>
      <c r="O314" s="35">
        <v>231</v>
      </c>
      <c r="P314" s="35">
        <v>232</v>
      </c>
      <c r="Q314" s="35">
        <v>282</v>
      </c>
      <c r="S314" s="80">
        <v>98589</v>
      </c>
      <c r="T314" s="14" t="s">
        <v>353</v>
      </c>
      <c r="U314" s="51">
        <v>14</v>
      </c>
      <c r="V314" s="51">
        <v>10</v>
      </c>
      <c r="W314" s="51">
        <v>21</v>
      </c>
    </row>
    <row r="315" spans="1:23" x14ac:dyDescent="0.2">
      <c r="A315" s="54">
        <v>98310</v>
      </c>
      <c r="B315" s="60" t="s">
        <v>353</v>
      </c>
      <c r="C315" s="35">
        <v>140</v>
      </c>
      <c r="D315" s="35">
        <v>146</v>
      </c>
      <c r="E315" s="35">
        <v>170</v>
      </c>
      <c r="M315" s="78">
        <v>98392</v>
      </c>
      <c r="N315" s="60" t="s">
        <v>352</v>
      </c>
      <c r="O315" s="35">
        <v>0</v>
      </c>
      <c r="P315" s="32">
        <v>0</v>
      </c>
      <c r="Q315" s="32">
        <v>1</v>
      </c>
      <c r="S315" s="80">
        <v>98597</v>
      </c>
      <c r="T315" s="14" t="s">
        <v>352</v>
      </c>
      <c r="U315" s="51">
        <v>0</v>
      </c>
      <c r="V315" s="51">
        <v>0</v>
      </c>
      <c r="W315" s="51">
        <v>3</v>
      </c>
    </row>
    <row r="316" spans="1:23" x14ac:dyDescent="0.2">
      <c r="A316" s="54">
        <v>98311</v>
      </c>
      <c r="B316" s="60" t="s">
        <v>353</v>
      </c>
      <c r="C316" s="35">
        <v>133</v>
      </c>
      <c r="D316" s="35">
        <v>166</v>
      </c>
      <c r="E316" s="35">
        <v>164</v>
      </c>
      <c r="M316" s="54">
        <v>98392</v>
      </c>
      <c r="N316" s="60" t="s">
        <v>353</v>
      </c>
      <c r="O316" s="35">
        <v>15</v>
      </c>
      <c r="P316" s="35">
        <v>18</v>
      </c>
      <c r="Q316" s="35">
        <v>17</v>
      </c>
      <c r="S316" s="14">
        <v>98597</v>
      </c>
      <c r="T316" s="14" t="s">
        <v>353</v>
      </c>
      <c r="U316" s="51">
        <v>37</v>
      </c>
      <c r="V316" s="51">
        <v>37</v>
      </c>
      <c r="W316" s="51">
        <v>58</v>
      </c>
    </row>
    <row r="317" spans="1:23" x14ac:dyDescent="0.2">
      <c r="A317" s="54">
        <v>98312</v>
      </c>
      <c r="B317" s="60" t="s">
        <v>353</v>
      </c>
      <c r="C317" s="35">
        <v>202</v>
      </c>
      <c r="D317" s="35">
        <v>214</v>
      </c>
      <c r="E317" s="35">
        <v>253</v>
      </c>
      <c r="M317" s="78">
        <v>98396</v>
      </c>
      <c r="N317" s="60" t="s">
        <v>353</v>
      </c>
      <c r="O317" s="35">
        <v>8</v>
      </c>
      <c r="P317" s="35">
        <v>6</v>
      </c>
      <c r="Q317" s="35">
        <v>5</v>
      </c>
      <c r="S317" s="14">
        <v>98922</v>
      </c>
      <c r="T317" s="14" t="s">
        <v>352</v>
      </c>
      <c r="U317" s="51">
        <v>0</v>
      </c>
      <c r="V317" s="51">
        <v>1</v>
      </c>
      <c r="W317" s="51">
        <v>1</v>
      </c>
    </row>
    <row r="318" spans="1:23" x14ac:dyDescent="0.2">
      <c r="A318" s="54">
        <v>98321</v>
      </c>
      <c r="B318" s="60" t="s">
        <v>353</v>
      </c>
      <c r="C318" s="35">
        <v>78</v>
      </c>
      <c r="D318" s="35">
        <v>100</v>
      </c>
      <c r="E318" s="35">
        <v>113</v>
      </c>
      <c r="M318" s="78">
        <v>98402</v>
      </c>
      <c r="N318" s="60" t="s">
        <v>352</v>
      </c>
      <c r="O318" s="35">
        <v>1</v>
      </c>
      <c r="P318" s="32">
        <v>0</v>
      </c>
      <c r="Q318" s="32">
        <v>1</v>
      </c>
      <c r="S318" s="14">
        <v>98922</v>
      </c>
      <c r="T318" s="14" t="s">
        <v>353</v>
      </c>
      <c r="U318" s="51">
        <v>3</v>
      </c>
      <c r="V318" s="51">
        <v>5</v>
      </c>
      <c r="W318" s="51">
        <v>12</v>
      </c>
    </row>
    <row r="319" spans="1:23" x14ac:dyDescent="0.2">
      <c r="A319" s="54">
        <v>98323</v>
      </c>
      <c r="B319" s="60" t="s">
        <v>353</v>
      </c>
      <c r="C319" s="35">
        <v>12</v>
      </c>
      <c r="D319" s="35">
        <v>11</v>
      </c>
      <c r="E319" s="35">
        <v>15</v>
      </c>
      <c r="M319" s="78">
        <v>98403</v>
      </c>
      <c r="N319" s="60" t="s">
        <v>352</v>
      </c>
      <c r="O319" s="32">
        <v>0</v>
      </c>
      <c r="P319" s="32">
        <v>1</v>
      </c>
      <c r="Q319" s="35">
        <v>0</v>
      </c>
      <c r="S319" s="14">
        <v>98925</v>
      </c>
      <c r="T319" s="14" t="s">
        <v>353</v>
      </c>
      <c r="U319" s="51">
        <v>0</v>
      </c>
      <c r="V319" s="51">
        <v>0</v>
      </c>
      <c r="W319" s="51">
        <v>1</v>
      </c>
    </row>
    <row r="320" spans="1:23" x14ac:dyDescent="0.2">
      <c r="A320" s="54">
        <v>98327</v>
      </c>
      <c r="B320" s="60" t="s">
        <v>353</v>
      </c>
      <c r="C320" s="35">
        <v>38</v>
      </c>
      <c r="D320" s="35">
        <v>45</v>
      </c>
      <c r="E320" s="35">
        <v>43</v>
      </c>
      <c r="M320" s="54">
        <v>98403</v>
      </c>
      <c r="N320" s="60" t="s">
        <v>353</v>
      </c>
      <c r="O320" s="35">
        <v>6</v>
      </c>
      <c r="P320" s="35">
        <v>4</v>
      </c>
      <c r="Q320" s="35">
        <v>2</v>
      </c>
      <c r="S320" s="14">
        <v>98926</v>
      </c>
      <c r="T320" s="14" t="s">
        <v>352</v>
      </c>
      <c r="U320" s="51">
        <v>1</v>
      </c>
      <c r="V320" s="51">
        <v>2</v>
      </c>
      <c r="W320" s="51">
        <v>1</v>
      </c>
    </row>
    <row r="321" spans="1:23" x14ac:dyDescent="0.2">
      <c r="A321" s="78">
        <v>98328</v>
      </c>
      <c r="B321" s="60" t="s">
        <v>353</v>
      </c>
      <c r="C321" s="35">
        <v>6</v>
      </c>
      <c r="D321" s="35">
        <v>4</v>
      </c>
      <c r="E321" s="35">
        <v>5</v>
      </c>
      <c r="M321" s="78">
        <v>98404</v>
      </c>
      <c r="N321" s="60" t="s">
        <v>352</v>
      </c>
      <c r="O321" s="35">
        <v>2</v>
      </c>
      <c r="P321" s="35">
        <v>1</v>
      </c>
      <c r="Q321" s="35">
        <v>1</v>
      </c>
      <c r="S321" s="14">
        <v>98926</v>
      </c>
      <c r="T321" s="14" t="s">
        <v>353</v>
      </c>
      <c r="U321" s="51">
        <v>2</v>
      </c>
      <c r="V321" s="51">
        <v>6</v>
      </c>
      <c r="W321" s="51">
        <v>11</v>
      </c>
    </row>
    <row r="322" spans="1:23" x14ac:dyDescent="0.2">
      <c r="A322" s="78">
        <v>98329</v>
      </c>
      <c r="B322" s="60" t="s">
        <v>353</v>
      </c>
      <c r="C322" s="35">
        <v>1</v>
      </c>
      <c r="D322" s="35">
        <v>0</v>
      </c>
      <c r="E322" s="35">
        <v>0</v>
      </c>
      <c r="M322" s="78">
        <v>98404</v>
      </c>
      <c r="N322" s="60" t="s">
        <v>353</v>
      </c>
      <c r="O322" s="35">
        <v>36</v>
      </c>
      <c r="P322" s="35">
        <v>30</v>
      </c>
      <c r="Q322" s="35">
        <v>41</v>
      </c>
      <c r="S322" s="14">
        <v>98934</v>
      </c>
      <c r="T322" s="14" t="s">
        <v>353</v>
      </c>
      <c r="U322" s="51">
        <v>0</v>
      </c>
      <c r="V322" s="51">
        <v>0</v>
      </c>
      <c r="W322" s="51">
        <v>2</v>
      </c>
    </row>
    <row r="323" spans="1:23" x14ac:dyDescent="0.2">
      <c r="A323" s="54">
        <v>98332</v>
      </c>
      <c r="B323" s="60" t="s">
        <v>353</v>
      </c>
      <c r="C323" s="35">
        <v>11</v>
      </c>
      <c r="D323" s="35">
        <v>7</v>
      </c>
      <c r="E323" s="35">
        <v>12</v>
      </c>
      <c r="M323" s="78">
        <v>98405</v>
      </c>
      <c r="N323" s="60" t="s">
        <v>352</v>
      </c>
      <c r="O323" s="35">
        <v>2</v>
      </c>
      <c r="P323" s="32">
        <v>2</v>
      </c>
      <c r="Q323" s="32">
        <v>1</v>
      </c>
      <c r="S323" s="14">
        <v>98940</v>
      </c>
      <c r="T323" s="14" t="s">
        <v>353</v>
      </c>
      <c r="U323" s="51">
        <v>0</v>
      </c>
      <c r="V323" s="51">
        <v>2</v>
      </c>
      <c r="W323" s="51">
        <v>1</v>
      </c>
    </row>
    <row r="324" spans="1:23" x14ac:dyDescent="0.2">
      <c r="A324" s="78">
        <v>98335</v>
      </c>
      <c r="B324" s="60" t="s">
        <v>353</v>
      </c>
      <c r="C324" s="35">
        <v>10</v>
      </c>
      <c r="D324" s="35">
        <v>11</v>
      </c>
      <c r="E324" s="35">
        <v>16</v>
      </c>
      <c r="M324" s="78">
        <v>98405</v>
      </c>
      <c r="N324" s="60" t="s">
        <v>353</v>
      </c>
      <c r="O324" s="35">
        <v>32</v>
      </c>
      <c r="P324" s="35">
        <v>24</v>
      </c>
      <c r="Q324" s="35">
        <v>29</v>
      </c>
      <c r="S324" s="14">
        <v>98941</v>
      </c>
      <c r="T324" s="14" t="s">
        <v>352</v>
      </c>
      <c r="U324" s="51">
        <v>0</v>
      </c>
      <c r="V324" s="51">
        <v>0</v>
      </c>
      <c r="W324" s="51">
        <v>1</v>
      </c>
    </row>
    <row r="325" spans="1:23" x14ac:dyDescent="0.2">
      <c r="A325" s="78">
        <v>98337</v>
      </c>
      <c r="B325" s="60" t="s">
        <v>353</v>
      </c>
      <c r="C325" s="35">
        <v>36</v>
      </c>
      <c r="D325" s="35">
        <v>41</v>
      </c>
      <c r="E325" s="35">
        <v>44</v>
      </c>
      <c r="M325" s="78">
        <v>98406</v>
      </c>
      <c r="N325" s="60" t="s">
        <v>352</v>
      </c>
      <c r="O325" s="35">
        <v>0</v>
      </c>
      <c r="P325" s="35">
        <v>0</v>
      </c>
      <c r="Q325" s="35">
        <v>1</v>
      </c>
      <c r="S325" s="14">
        <v>98941</v>
      </c>
      <c r="T325" s="14" t="s">
        <v>353</v>
      </c>
      <c r="U325" s="51">
        <v>1</v>
      </c>
      <c r="V325" s="51">
        <v>1</v>
      </c>
      <c r="W325" s="51">
        <v>2</v>
      </c>
    </row>
    <row r="326" spans="1:23" x14ac:dyDescent="0.2">
      <c r="A326" s="78">
        <v>98338</v>
      </c>
      <c r="B326" s="60" t="s">
        <v>353</v>
      </c>
      <c r="C326" s="35">
        <v>99</v>
      </c>
      <c r="D326" s="35">
        <v>109</v>
      </c>
      <c r="E326" s="32">
        <v>147</v>
      </c>
      <c r="M326" s="78">
        <v>98406</v>
      </c>
      <c r="N326" s="60" t="s">
        <v>353</v>
      </c>
      <c r="O326" s="35">
        <v>21</v>
      </c>
      <c r="P326" s="35">
        <v>21</v>
      </c>
      <c r="Q326" s="35">
        <v>34</v>
      </c>
      <c r="S326" s="14">
        <v>98943</v>
      </c>
      <c r="T326" s="14" t="s">
        <v>353</v>
      </c>
      <c r="U326" s="51">
        <v>0</v>
      </c>
      <c r="V326" s="51">
        <v>0</v>
      </c>
      <c r="W326" s="51">
        <v>2</v>
      </c>
    </row>
    <row r="327" spans="1:23" x14ac:dyDescent="0.2">
      <c r="A327" s="78">
        <v>98340</v>
      </c>
      <c r="B327" s="60" t="s">
        <v>353</v>
      </c>
      <c r="C327" s="32">
        <v>11</v>
      </c>
      <c r="D327" s="35">
        <v>10</v>
      </c>
      <c r="E327" s="35">
        <v>12</v>
      </c>
      <c r="M327" s="54">
        <v>98407</v>
      </c>
      <c r="N327" s="60" t="s">
        <v>353</v>
      </c>
      <c r="O327" s="35">
        <v>13</v>
      </c>
      <c r="P327" s="35">
        <v>8</v>
      </c>
      <c r="Q327" s="35">
        <v>24</v>
      </c>
      <c r="S327" s="14">
        <v>98946</v>
      </c>
      <c r="T327" s="14" t="s">
        <v>353</v>
      </c>
      <c r="U327" s="51">
        <v>0</v>
      </c>
      <c r="V327" s="51">
        <v>1</v>
      </c>
      <c r="W327" s="51">
        <v>1</v>
      </c>
    </row>
    <row r="328" spans="1:23" x14ac:dyDescent="0.2">
      <c r="A328" s="54">
        <v>98342</v>
      </c>
      <c r="B328" s="60" t="s">
        <v>353</v>
      </c>
      <c r="C328" s="35">
        <v>6</v>
      </c>
      <c r="D328" s="35">
        <v>8</v>
      </c>
      <c r="E328" s="35">
        <v>3</v>
      </c>
      <c r="M328" s="78">
        <v>98408</v>
      </c>
      <c r="N328" s="60" t="s">
        <v>353</v>
      </c>
      <c r="O328" s="35">
        <v>38</v>
      </c>
      <c r="P328" s="35">
        <v>31</v>
      </c>
      <c r="Q328" s="35">
        <v>39</v>
      </c>
      <c r="S328" s="14" t="s">
        <v>354</v>
      </c>
      <c r="T328" s="14" t="s">
        <v>352</v>
      </c>
      <c r="U328" s="51">
        <v>1</v>
      </c>
      <c r="V328" s="51">
        <v>2</v>
      </c>
      <c r="W328" s="51">
        <v>1</v>
      </c>
    </row>
    <row r="329" spans="1:23" ht="16" thickBot="1" x14ac:dyDescent="0.25">
      <c r="A329" s="78">
        <v>98345</v>
      </c>
      <c r="B329" s="60" t="s">
        <v>353</v>
      </c>
      <c r="C329" s="35">
        <v>7</v>
      </c>
      <c r="D329" s="35">
        <v>6</v>
      </c>
      <c r="E329" s="35">
        <v>10</v>
      </c>
      <c r="M329" s="54">
        <v>98409</v>
      </c>
      <c r="N329" s="60" t="s">
        <v>352</v>
      </c>
      <c r="O329" s="35">
        <v>1</v>
      </c>
      <c r="P329" s="35">
        <v>5</v>
      </c>
      <c r="Q329" s="35">
        <v>3</v>
      </c>
      <c r="S329" s="16" t="s">
        <v>354</v>
      </c>
      <c r="T329" s="16" t="s">
        <v>353</v>
      </c>
      <c r="U329" s="109">
        <v>1</v>
      </c>
      <c r="V329" s="109">
        <v>0</v>
      </c>
      <c r="W329" s="109">
        <v>1</v>
      </c>
    </row>
    <row r="330" spans="1:23" x14ac:dyDescent="0.2">
      <c r="A330" s="78">
        <v>98346</v>
      </c>
      <c r="B330" s="60" t="s">
        <v>353</v>
      </c>
      <c r="C330" s="32">
        <v>48</v>
      </c>
      <c r="D330" s="35">
        <v>57</v>
      </c>
      <c r="E330" s="35">
        <v>53</v>
      </c>
      <c r="M330" s="78">
        <v>98409</v>
      </c>
      <c r="N330" s="60" t="s">
        <v>353</v>
      </c>
      <c r="O330" s="35">
        <v>22</v>
      </c>
      <c r="P330" s="35">
        <v>18</v>
      </c>
      <c r="Q330" s="35">
        <v>36</v>
      </c>
    </row>
    <row r="331" spans="1:23" x14ac:dyDescent="0.2">
      <c r="A331" s="78">
        <v>98354</v>
      </c>
      <c r="B331" s="60" t="s">
        <v>353</v>
      </c>
      <c r="C331" s="35">
        <v>5</v>
      </c>
      <c r="D331" s="35">
        <v>6</v>
      </c>
      <c r="E331" s="35">
        <v>10</v>
      </c>
      <c r="M331" s="54">
        <v>98418</v>
      </c>
      <c r="N331" s="60" t="s">
        <v>352</v>
      </c>
      <c r="O331" s="35">
        <v>1</v>
      </c>
      <c r="P331" s="35">
        <v>0</v>
      </c>
      <c r="Q331" s="35">
        <v>1</v>
      </c>
    </row>
    <row r="332" spans="1:23" x14ac:dyDescent="0.2">
      <c r="A332" s="54">
        <v>98359</v>
      </c>
      <c r="B332" s="60" t="s">
        <v>353</v>
      </c>
      <c r="C332" s="35">
        <v>16</v>
      </c>
      <c r="D332" s="35">
        <v>23</v>
      </c>
      <c r="E332" s="35">
        <v>30</v>
      </c>
      <c r="M332" s="78">
        <v>98418</v>
      </c>
      <c r="N332" s="60" t="s">
        <v>353</v>
      </c>
      <c r="O332" s="35">
        <v>14</v>
      </c>
      <c r="P332" s="35">
        <v>20</v>
      </c>
      <c r="Q332" s="35">
        <v>20</v>
      </c>
    </row>
    <row r="333" spans="1:23" x14ac:dyDescent="0.2">
      <c r="A333" s="78">
        <v>98360</v>
      </c>
      <c r="B333" s="60" t="s">
        <v>353</v>
      </c>
      <c r="C333" s="35">
        <v>135</v>
      </c>
      <c r="D333" s="35">
        <v>157</v>
      </c>
      <c r="E333" s="35">
        <v>156</v>
      </c>
      <c r="M333" s="54">
        <v>98421</v>
      </c>
      <c r="N333" s="60" t="s">
        <v>352</v>
      </c>
      <c r="O333" s="35">
        <v>0</v>
      </c>
      <c r="P333" s="35">
        <v>1</v>
      </c>
      <c r="Q333" s="35">
        <v>0</v>
      </c>
    </row>
    <row r="334" spans="1:23" x14ac:dyDescent="0.2">
      <c r="A334" s="78">
        <v>98366</v>
      </c>
      <c r="B334" s="60" t="s">
        <v>353</v>
      </c>
      <c r="C334" s="32">
        <v>226</v>
      </c>
      <c r="D334" s="35">
        <v>267</v>
      </c>
      <c r="E334" s="35">
        <v>280</v>
      </c>
      <c r="M334" s="78">
        <v>98422</v>
      </c>
      <c r="N334" s="60" t="s">
        <v>353</v>
      </c>
      <c r="O334" s="35">
        <v>23</v>
      </c>
      <c r="P334" s="35">
        <v>27</v>
      </c>
      <c r="Q334" s="35">
        <v>24</v>
      </c>
    </row>
    <row r="335" spans="1:23" x14ac:dyDescent="0.2">
      <c r="A335" s="78">
        <v>98367</v>
      </c>
      <c r="B335" s="60" t="s">
        <v>353</v>
      </c>
      <c r="C335" s="35">
        <v>147</v>
      </c>
      <c r="D335" s="35">
        <v>173</v>
      </c>
      <c r="E335" s="35">
        <v>200</v>
      </c>
      <c r="M335" s="54">
        <v>98424</v>
      </c>
      <c r="N335" s="60" t="s">
        <v>352</v>
      </c>
      <c r="O335" s="35">
        <v>1</v>
      </c>
      <c r="P335" s="35">
        <v>2</v>
      </c>
      <c r="Q335" s="35">
        <v>1</v>
      </c>
    </row>
    <row r="336" spans="1:23" x14ac:dyDescent="0.2">
      <c r="A336" s="78">
        <v>98370</v>
      </c>
      <c r="B336" s="60" t="s">
        <v>353</v>
      </c>
      <c r="C336" s="35">
        <v>111</v>
      </c>
      <c r="D336" s="35">
        <v>138</v>
      </c>
      <c r="E336" s="35">
        <v>159</v>
      </c>
      <c r="M336" s="78">
        <v>98424</v>
      </c>
      <c r="N336" s="60" t="s">
        <v>353</v>
      </c>
      <c r="O336" s="35">
        <v>26</v>
      </c>
      <c r="P336" s="35">
        <v>23</v>
      </c>
      <c r="Q336" s="35">
        <v>27</v>
      </c>
    </row>
    <row r="337" spans="1:17" x14ac:dyDescent="0.2">
      <c r="A337" s="78">
        <v>98371</v>
      </c>
      <c r="B337" s="60" t="s">
        <v>353</v>
      </c>
      <c r="C337" s="35">
        <v>131</v>
      </c>
      <c r="D337" s="35">
        <v>178</v>
      </c>
      <c r="E337" s="35">
        <v>186</v>
      </c>
      <c r="M337" s="54">
        <v>98439</v>
      </c>
      <c r="N337" s="60" t="s">
        <v>353</v>
      </c>
      <c r="O337" s="35">
        <v>18</v>
      </c>
      <c r="P337" s="35">
        <v>24</v>
      </c>
      <c r="Q337" s="35">
        <v>29</v>
      </c>
    </row>
    <row r="338" spans="1:17" x14ac:dyDescent="0.2">
      <c r="A338" s="78">
        <v>98372</v>
      </c>
      <c r="B338" s="60" t="s">
        <v>353</v>
      </c>
      <c r="C338" s="35">
        <v>208</v>
      </c>
      <c r="D338" s="35">
        <v>219</v>
      </c>
      <c r="E338" s="35">
        <v>241</v>
      </c>
      <c r="M338" s="78">
        <v>98443</v>
      </c>
      <c r="N338" s="60" t="s">
        <v>353</v>
      </c>
      <c r="O338" s="35">
        <v>4</v>
      </c>
      <c r="P338" s="35">
        <v>1</v>
      </c>
      <c r="Q338" s="35">
        <v>3</v>
      </c>
    </row>
    <row r="339" spans="1:17" x14ac:dyDescent="0.2">
      <c r="A339" s="78">
        <v>98373</v>
      </c>
      <c r="B339" s="60" t="s">
        <v>353</v>
      </c>
      <c r="C339" s="35">
        <v>182</v>
      </c>
      <c r="D339" s="35">
        <v>208</v>
      </c>
      <c r="E339" s="35">
        <v>218</v>
      </c>
      <c r="M339" s="54">
        <v>98444</v>
      </c>
      <c r="N339" s="60" t="s">
        <v>352</v>
      </c>
      <c r="O339" s="35">
        <v>1</v>
      </c>
      <c r="P339" s="35">
        <v>6</v>
      </c>
      <c r="Q339" s="35">
        <v>0</v>
      </c>
    </row>
    <row r="340" spans="1:17" x14ac:dyDescent="0.2">
      <c r="A340" s="78">
        <v>98374</v>
      </c>
      <c r="B340" s="60" t="s">
        <v>353</v>
      </c>
      <c r="C340" s="32">
        <v>309</v>
      </c>
      <c r="D340" s="35">
        <v>351</v>
      </c>
      <c r="E340" s="35">
        <v>387</v>
      </c>
      <c r="M340" s="78">
        <v>98444</v>
      </c>
      <c r="N340" s="60" t="s">
        <v>353</v>
      </c>
      <c r="O340" s="35">
        <v>21</v>
      </c>
      <c r="P340" s="35">
        <v>20</v>
      </c>
      <c r="Q340" s="32">
        <v>36</v>
      </c>
    </row>
    <row r="341" spans="1:17" x14ac:dyDescent="0.2">
      <c r="A341" s="78">
        <v>98375</v>
      </c>
      <c r="B341" s="60" t="s">
        <v>353</v>
      </c>
      <c r="C341" s="35">
        <v>169</v>
      </c>
      <c r="D341" s="35">
        <v>222</v>
      </c>
      <c r="E341" s="35">
        <v>251</v>
      </c>
      <c r="M341" s="54">
        <v>98445</v>
      </c>
      <c r="N341" s="60" t="s">
        <v>353</v>
      </c>
      <c r="O341" s="35">
        <v>41</v>
      </c>
      <c r="P341" s="35">
        <v>57</v>
      </c>
      <c r="Q341" s="35">
        <v>62</v>
      </c>
    </row>
    <row r="342" spans="1:17" x14ac:dyDescent="0.2">
      <c r="A342" s="78">
        <v>98380</v>
      </c>
      <c r="B342" s="60" t="s">
        <v>353</v>
      </c>
      <c r="C342" s="35">
        <v>29</v>
      </c>
      <c r="D342" s="35">
        <v>54</v>
      </c>
      <c r="E342" s="35">
        <v>56</v>
      </c>
      <c r="M342" s="78">
        <v>98446</v>
      </c>
      <c r="N342" s="60" t="s">
        <v>352</v>
      </c>
      <c r="O342" s="35">
        <v>1</v>
      </c>
      <c r="P342" s="35">
        <v>0</v>
      </c>
      <c r="Q342" s="32">
        <v>0</v>
      </c>
    </row>
    <row r="343" spans="1:17" x14ac:dyDescent="0.2">
      <c r="A343" s="78">
        <v>98383</v>
      </c>
      <c r="B343" s="60" t="s">
        <v>353</v>
      </c>
      <c r="C343" s="35">
        <v>74</v>
      </c>
      <c r="D343" s="35">
        <v>95</v>
      </c>
      <c r="E343" s="35">
        <v>101</v>
      </c>
      <c r="M343" s="54">
        <v>98446</v>
      </c>
      <c r="N343" s="60" t="s">
        <v>353</v>
      </c>
      <c r="O343" s="35">
        <v>41</v>
      </c>
      <c r="P343" s="35">
        <v>37</v>
      </c>
      <c r="Q343" s="35">
        <v>29</v>
      </c>
    </row>
    <row r="344" spans="1:17" x14ac:dyDescent="0.2">
      <c r="A344" s="54">
        <v>98385</v>
      </c>
      <c r="B344" s="60" t="s">
        <v>353</v>
      </c>
      <c r="C344" s="35">
        <v>1</v>
      </c>
      <c r="D344" s="35">
        <v>4</v>
      </c>
      <c r="E344" s="35">
        <v>4</v>
      </c>
      <c r="M344" s="78">
        <v>98465</v>
      </c>
      <c r="N344" s="60" t="s">
        <v>353</v>
      </c>
      <c r="O344" s="35">
        <v>2</v>
      </c>
      <c r="P344" s="35">
        <v>2</v>
      </c>
      <c r="Q344" s="35">
        <v>7</v>
      </c>
    </row>
    <row r="345" spans="1:17" x14ac:dyDescent="0.2">
      <c r="A345" s="54">
        <v>98387</v>
      </c>
      <c r="B345" s="60" t="s">
        <v>353</v>
      </c>
      <c r="C345" s="35">
        <v>140</v>
      </c>
      <c r="D345" s="35">
        <v>177</v>
      </c>
      <c r="E345" s="35">
        <v>211</v>
      </c>
      <c r="M345" s="78">
        <v>98466</v>
      </c>
      <c r="N345" s="60" t="s">
        <v>353</v>
      </c>
      <c r="O345" s="32">
        <v>18</v>
      </c>
      <c r="P345" s="32">
        <v>16</v>
      </c>
      <c r="Q345" s="35">
        <v>30</v>
      </c>
    </row>
    <row r="346" spans="1:17" x14ac:dyDescent="0.2">
      <c r="A346" s="78">
        <v>98388</v>
      </c>
      <c r="B346" s="60" t="s">
        <v>353</v>
      </c>
      <c r="C346" s="35">
        <v>10</v>
      </c>
      <c r="D346" s="35">
        <v>8</v>
      </c>
      <c r="E346" s="35">
        <v>6</v>
      </c>
      <c r="M346" s="54">
        <v>98467</v>
      </c>
      <c r="N346" s="60" t="s">
        <v>352</v>
      </c>
      <c r="O346" s="35">
        <v>1</v>
      </c>
      <c r="P346" s="35">
        <v>0</v>
      </c>
      <c r="Q346" s="35">
        <v>0</v>
      </c>
    </row>
    <row r="347" spans="1:17" x14ac:dyDescent="0.2">
      <c r="A347" s="54">
        <v>98390</v>
      </c>
      <c r="B347" s="60" t="s">
        <v>353</v>
      </c>
      <c r="C347" s="35">
        <v>93</v>
      </c>
      <c r="D347" s="35">
        <v>101</v>
      </c>
      <c r="E347" s="35">
        <v>110</v>
      </c>
      <c r="M347" s="78">
        <v>98467</v>
      </c>
      <c r="N347" s="60" t="s">
        <v>353</v>
      </c>
      <c r="O347" s="32">
        <v>14</v>
      </c>
      <c r="P347" s="35">
        <v>18</v>
      </c>
      <c r="Q347" s="32">
        <v>16</v>
      </c>
    </row>
    <row r="348" spans="1:17" x14ac:dyDescent="0.2">
      <c r="A348" s="54">
        <v>98391</v>
      </c>
      <c r="B348" s="60" t="s">
        <v>353</v>
      </c>
      <c r="C348" s="35">
        <v>329</v>
      </c>
      <c r="D348" s="35">
        <v>374</v>
      </c>
      <c r="E348" s="35">
        <v>388</v>
      </c>
      <c r="M348" s="54">
        <v>98498</v>
      </c>
      <c r="N348" s="60" t="s">
        <v>352</v>
      </c>
      <c r="O348" s="35">
        <v>4</v>
      </c>
      <c r="P348" s="35">
        <v>3</v>
      </c>
      <c r="Q348" s="35">
        <v>3</v>
      </c>
    </row>
    <row r="349" spans="1:17" x14ac:dyDescent="0.2">
      <c r="A349" s="78">
        <v>98392</v>
      </c>
      <c r="B349" s="60" t="s">
        <v>353</v>
      </c>
      <c r="C349" s="35">
        <v>20</v>
      </c>
      <c r="D349" s="35">
        <v>20</v>
      </c>
      <c r="E349" s="35">
        <v>21</v>
      </c>
      <c r="M349" s="78">
        <v>98498</v>
      </c>
      <c r="N349" s="60" t="s">
        <v>353</v>
      </c>
      <c r="O349" s="35">
        <v>121</v>
      </c>
      <c r="P349" s="35">
        <v>124</v>
      </c>
      <c r="Q349" s="35">
        <v>133</v>
      </c>
    </row>
    <row r="350" spans="1:17" x14ac:dyDescent="0.2">
      <c r="A350" s="54">
        <v>98396</v>
      </c>
      <c r="B350" s="60" t="s">
        <v>353</v>
      </c>
      <c r="C350" s="35">
        <v>5</v>
      </c>
      <c r="D350" s="35">
        <v>10</v>
      </c>
      <c r="E350" s="35">
        <v>11</v>
      </c>
      <c r="M350" s="78">
        <v>98499</v>
      </c>
      <c r="N350" s="60" t="s">
        <v>352</v>
      </c>
      <c r="O350" s="35">
        <v>3</v>
      </c>
      <c r="P350" s="35">
        <v>4</v>
      </c>
      <c r="Q350" s="35">
        <v>6</v>
      </c>
    </row>
    <row r="351" spans="1:17" x14ac:dyDescent="0.2">
      <c r="A351" s="78">
        <v>98402</v>
      </c>
      <c r="B351" s="60" t="s">
        <v>353</v>
      </c>
      <c r="C351" s="35">
        <v>2</v>
      </c>
      <c r="D351" s="32">
        <v>2</v>
      </c>
      <c r="E351" s="32">
        <v>2</v>
      </c>
      <c r="M351" s="54">
        <v>98499</v>
      </c>
      <c r="N351" s="60" t="s">
        <v>353</v>
      </c>
      <c r="O351" s="35">
        <v>28</v>
      </c>
      <c r="P351" s="35">
        <v>40</v>
      </c>
      <c r="Q351" s="35">
        <v>33</v>
      </c>
    </row>
    <row r="352" spans="1:17" x14ac:dyDescent="0.2">
      <c r="A352" s="78">
        <v>98403</v>
      </c>
      <c r="B352" s="60" t="s">
        <v>353</v>
      </c>
      <c r="C352" s="35">
        <v>4</v>
      </c>
      <c r="D352" s="35">
        <v>5</v>
      </c>
      <c r="E352" s="35">
        <v>8</v>
      </c>
      <c r="M352" s="78">
        <v>98501</v>
      </c>
      <c r="N352" s="60" t="s">
        <v>352</v>
      </c>
      <c r="O352" s="35">
        <v>5</v>
      </c>
      <c r="P352" s="35">
        <v>6</v>
      </c>
      <c r="Q352" s="32">
        <v>5</v>
      </c>
    </row>
    <row r="353" spans="1:17" x14ac:dyDescent="0.2">
      <c r="A353" s="78">
        <v>98404</v>
      </c>
      <c r="B353" s="60" t="s">
        <v>353</v>
      </c>
      <c r="C353" s="35">
        <v>43</v>
      </c>
      <c r="D353" s="35">
        <v>46</v>
      </c>
      <c r="E353" s="35">
        <v>47</v>
      </c>
      <c r="M353" s="54">
        <v>98501</v>
      </c>
      <c r="N353" s="60" t="s">
        <v>353</v>
      </c>
      <c r="O353" s="35">
        <v>176</v>
      </c>
      <c r="P353" s="35">
        <v>176</v>
      </c>
      <c r="Q353" s="35">
        <v>214</v>
      </c>
    </row>
    <row r="354" spans="1:17" x14ac:dyDescent="0.2">
      <c r="A354" s="54">
        <v>98405</v>
      </c>
      <c r="B354" s="60" t="s">
        <v>353</v>
      </c>
      <c r="C354" s="35">
        <v>28</v>
      </c>
      <c r="D354" s="35">
        <v>37</v>
      </c>
      <c r="E354" s="35">
        <v>45</v>
      </c>
      <c r="M354" s="78">
        <v>98502</v>
      </c>
      <c r="N354" s="60" t="s">
        <v>352</v>
      </c>
      <c r="O354" s="35">
        <v>3</v>
      </c>
      <c r="P354" s="32">
        <v>5</v>
      </c>
      <c r="Q354" s="32">
        <v>5</v>
      </c>
    </row>
    <row r="355" spans="1:17" x14ac:dyDescent="0.2">
      <c r="A355" s="78">
        <v>98406</v>
      </c>
      <c r="B355" s="60" t="s">
        <v>353</v>
      </c>
      <c r="C355" s="35">
        <v>22</v>
      </c>
      <c r="D355" s="35">
        <v>31</v>
      </c>
      <c r="E355" s="35">
        <v>37</v>
      </c>
      <c r="M355" s="54">
        <v>98502</v>
      </c>
      <c r="N355" s="60" t="s">
        <v>353</v>
      </c>
      <c r="O355" s="35">
        <v>134</v>
      </c>
      <c r="P355" s="35">
        <v>133</v>
      </c>
      <c r="Q355" s="35">
        <v>170</v>
      </c>
    </row>
    <row r="356" spans="1:17" x14ac:dyDescent="0.2">
      <c r="A356" s="54">
        <v>98407</v>
      </c>
      <c r="B356" s="60" t="s">
        <v>353</v>
      </c>
      <c r="C356" s="35">
        <v>21</v>
      </c>
      <c r="D356" s="35">
        <v>25</v>
      </c>
      <c r="E356" s="35">
        <v>22</v>
      </c>
      <c r="M356" s="78">
        <v>98503</v>
      </c>
      <c r="N356" s="60" t="s">
        <v>352</v>
      </c>
      <c r="O356" s="35">
        <v>2</v>
      </c>
      <c r="P356" s="32">
        <v>2</v>
      </c>
      <c r="Q356" s="35">
        <v>4</v>
      </c>
    </row>
    <row r="357" spans="1:17" x14ac:dyDescent="0.2">
      <c r="A357" s="54">
        <v>98408</v>
      </c>
      <c r="B357" s="60" t="s">
        <v>353</v>
      </c>
      <c r="C357" s="35">
        <v>50</v>
      </c>
      <c r="D357" s="35">
        <v>45</v>
      </c>
      <c r="E357" s="35">
        <v>57</v>
      </c>
      <c r="M357" s="78">
        <v>98503</v>
      </c>
      <c r="N357" s="60" t="s">
        <v>353</v>
      </c>
      <c r="O357" s="35">
        <v>203</v>
      </c>
      <c r="P357" s="35">
        <v>197</v>
      </c>
      <c r="Q357" s="35">
        <v>236</v>
      </c>
    </row>
    <row r="358" spans="1:17" x14ac:dyDescent="0.2">
      <c r="A358" s="54">
        <v>98409</v>
      </c>
      <c r="B358" s="60" t="s">
        <v>353</v>
      </c>
      <c r="C358" s="35">
        <v>20</v>
      </c>
      <c r="D358" s="35">
        <v>27</v>
      </c>
      <c r="E358" s="35">
        <v>34</v>
      </c>
      <c r="M358" s="54">
        <v>98506</v>
      </c>
      <c r="N358" s="60" t="s">
        <v>352</v>
      </c>
      <c r="O358" s="35">
        <v>2</v>
      </c>
      <c r="P358" s="35">
        <v>2</v>
      </c>
      <c r="Q358" s="35">
        <v>5</v>
      </c>
    </row>
    <row r="359" spans="1:17" x14ac:dyDescent="0.2">
      <c r="A359" s="54">
        <v>98418</v>
      </c>
      <c r="B359" s="60" t="s">
        <v>353</v>
      </c>
      <c r="C359" s="35">
        <v>24</v>
      </c>
      <c r="D359" s="35">
        <v>29</v>
      </c>
      <c r="E359" s="35">
        <v>32</v>
      </c>
      <c r="M359" s="78">
        <v>98506</v>
      </c>
      <c r="N359" s="60" t="s">
        <v>353</v>
      </c>
      <c r="O359" s="35">
        <v>71</v>
      </c>
      <c r="P359" s="35">
        <v>63</v>
      </c>
      <c r="Q359" s="35">
        <v>96</v>
      </c>
    </row>
    <row r="360" spans="1:17" x14ac:dyDescent="0.2">
      <c r="A360" s="54">
        <v>98422</v>
      </c>
      <c r="B360" s="60" t="s">
        <v>353</v>
      </c>
      <c r="C360" s="35">
        <v>22</v>
      </c>
      <c r="D360" s="35">
        <v>30</v>
      </c>
      <c r="E360" s="35">
        <v>38</v>
      </c>
      <c r="M360" s="54">
        <v>98512</v>
      </c>
      <c r="N360" s="60" t="s">
        <v>352</v>
      </c>
      <c r="O360" s="35">
        <v>9</v>
      </c>
      <c r="P360" s="35">
        <v>5</v>
      </c>
      <c r="Q360" s="35">
        <v>12</v>
      </c>
    </row>
    <row r="361" spans="1:17" x14ac:dyDescent="0.2">
      <c r="A361" s="78">
        <v>98424</v>
      </c>
      <c r="B361" s="60" t="s">
        <v>353</v>
      </c>
      <c r="C361" s="35">
        <v>13</v>
      </c>
      <c r="D361" s="35">
        <v>24</v>
      </c>
      <c r="E361" s="35">
        <v>26</v>
      </c>
      <c r="M361" s="78">
        <v>98512</v>
      </c>
      <c r="N361" s="60" t="s">
        <v>353</v>
      </c>
      <c r="O361" s="32">
        <v>138</v>
      </c>
      <c r="P361" s="35">
        <v>135</v>
      </c>
      <c r="Q361" s="32">
        <v>147</v>
      </c>
    </row>
    <row r="362" spans="1:17" x14ac:dyDescent="0.2">
      <c r="A362" s="78">
        <v>98439</v>
      </c>
      <c r="B362" s="60" t="s">
        <v>353</v>
      </c>
      <c r="C362" s="35">
        <v>33</v>
      </c>
      <c r="D362" s="35">
        <v>26</v>
      </c>
      <c r="E362" s="35">
        <v>30</v>
      </c>
      <c r="M362" s="54">
        <v>98513</v>
      </c>
      <c r="N362" s="60" t="s">
        <v>352</v>
      </c>
      <c r="O362" s="32">
        <v>1</v>
      </c>
      <c r="P362" s="35">
        <v>2</v>
      </c>
      <c r="Q362" s="35">
        <v>1</v>
      </c>
    </row>
    <row r="363" spans="1:17" x14ac:dyDescent="0.2">
      <c r="A363" s="78">
        <v>98443</v>
      </c>
      <c r="B363" s="60" t="s">
        <v>353</v>
      </c>
      <c r="C363" s="35">
        <v>1</v>
      </c>
      <c r="D363" s="35">
        <v>5</v>
      </c>
      <c r="E363" s="35">
        <v>5</v>
      </c>
      <c r="M363" s="78">
        <v>98513</v>
      </c>
      <c r="N363" s="60" t="s">
        <v>353</v>
      </c>
      <c r="O363" s="35">
        <v>126</v>
      </c>
      <c r="P363" s="35">
        <v>143</v>
      </c>
      <c r="Q363" s="35">
        <v>171</v>
      </c>
    </row>
    <row r="364" spans="1:17" x14ac:dyDescent="0.2">
      <c r="A364" s="78">
        <v>98444</v>
      </c>
      <c r="B364" s="60" t="s">
        <v>353</v>
      </c>
      <c r="C364" s="75">
        <v>25</v>
      </c>
      <c r="D364" s="75">
        <v>31</v>
      </c>
      <c r="E364" s="75">
        <v>38</v>
      </c>
      <c r="M364" s="54">
        <v>98516</v>
      </c>
      <c r="N364" s="60" t="s">
        <v>352</v>
      </c>
      <c r="O364" s="35">
        <v>6</v>
      </c>
      <c r="P364" s="35">
        <v>2</v>
      </c>
      <c r="Q364" s="35">
        <v>3</v>
      </c>
    </row>
    <row r="365" spans="1:17" x14ac:dyDescent="0.2">
      <c r="A365" s="54">
        <v>98445</v>
      </c>
      <c r="B365" s="60" t="s">
        <v>353</v>
      </c>
      <c r="C365" s="79">
        <v>50</v>
      </c>
      <c r="D365" s="79">
        <v>51</v>
      </c>
      <c r="E365" s="75">
        <v>83</v>
      </c>
      <c r="M365" s="78">
        <v>98516</v>
      </c>
      <c r="N365" s="60" t="s">
        <v>353</v>
      </c>
      <c r="O365" s="35">
        <v>99</v>
      </c>
      <c r="P365" s="35">
        <v>105</v>
      </c>
      <c r="Q365" s="35">
        <v>123</v>
      </c>
    </row>
    <row r="366" spans="1:17" x14ac:dyDescent="0.2">
      <c r="A366" s="80">
        <v>98446</v>
      </c>
      <c r="B366" s="14" t="s">
        <v>353</v>
      </c>
      <c r="C366" s="51">
        <v>40</v>
      </c>
      <c r="D366" s="51">
        <v>49</v>
      </c>
      <c r="E366" s="51">
        <v>55</v>
      </c>
      <c r="M366" s="78">
        <v>98530</v>
      </c>
      <c r="N366" s="60" t="s">
        <v>353</v>
      </c>
      <c r="O366" s="32">
        <v>12</v>
      </c>
      <c r="P366" s="35">
        <v>2</v>
      </c>
      <c r="Q366" s="32">
        <v>11</v>
      </c>
    </row>
    <row r="367" spans="1:17" x14ac:dyDescent="0.2">
      <c r="A367" s="80">
        <v>98465</v>
      </c>
      <c r="B367" s="14" t="s">
        <v>353</v>
      </c>
      <c r="C367" s="51">
        <v>4</v>
      </c>
      <c r="D367" s="51">
        <v>3</v>
      </c>
      <c r="E367" s="51">
        <v>2</v>
      </c>
      <c r="M367" s="54">
        <v>98531</v>
      </c>
      <c r="N367" s="60" t="s">
        <v>352</v>
      </c>
      <c r="O367" s="32">
        <v>0</v>
      </c>
      <c r="P367" s="35">
        <v>1</v>
      </c>
      <c r="Q367" s="32">
        <v>1</v>
      </c>
    </row>
    <row r="368" spans="1:17" x14ac:dyDescent="0.2">
      <c r="A368" s="80">
        <v>98466</v>
      </c>
      <c r="B368" s="14" t="s">
        <v>353</v>
      </c>
      <c r="C368" s="51">
        <v>19</v>
      </c>
      <c r="D368" s="51">
        <v>32</v>
      </c>
      <c r="E368" s="51">
        <v>35</v>
      </c>
      <c r="M368" s="78">
        <v>98531</v>
      </c>
      <c r="N368" s="60" t="s">
        <v>353</v>
      </c>
      <c r="O368" s="35">
        <v>21</v>
      </c>
      <c r="P368" s="35">
        <v>25</v>
      </c>
      <c r="Q368" s="32">
        <v>27</v>
      </c>
    </row>
    <row r="369" spans="1:17" x14ac:dyDescent="0.2">
      <c r="A369" s="80">
        <v>98467</v>
      </c>
      <c r="B369" s="14" t="s">
        <v>353</v>
      </c>
      <c r="C369" s="51">
        <v>17</v>
      </c>
      <c r="D369" s="51">
        <v>20</v>
      </c>
      <c r="E369" s="51">
        <v>30</v>
      </c>
      <c r="M369" s="54">
        <v>98532</v>
      </c>
      <c r="N369" s="60" t="s">
        <v>352</v>
      </c>
      <c r="O369" s="35">
        <v>0</v>
      </c>
      <c r="P369" s="35">
        <v>0</v>
      </c>
      <c r="Q369" s="35">
        <v>2</v>
      </c>
    </row>
    <row r="370" spans="1:17" x14ac:dyDescent="0.2">
      <c r="A370" s="80">
        <v>98498</v>
      </c>
      <c r="B370" s="14" t="s">
        <v>353</v>
      </c>
      <c r="C370" s="51">
        <v>159</v>
      </c>
      <c r="D370" s="51">
        <v>188</v>
      </c>
      <c r="E370" s="51">
        <v>211</v>
      </c>
      <c r="M370" s="78">
        <v>98532</v>
      </c>
      <c r="N370" s="60" t="s">
        <v>353</v>
      </c>
      <c r="O370" s="35">
        <v>5</v>
      </c>
      <c r="P370" s="32">
        <v>7</v>
      </c>
      <c r="Q370" s="35">
        <v>9</v>
      </c>
    </row>
    <row r="371" spans="1:17" x14ac:dyDescent="0.2">
      <c r="A371" s="80">
        <v>98499</v>
      </c>
      <c r="B371" s="14" t="s">
        <v>353</v>
      </c>
      <c r="C371" s="51">
        <v>41</v>
      </c>
      <c r="D371" s="51">
        <v>51</v>
      </c>
      <c r="E371" s="51">
        <v>64</v>
      </c>
      <c r="M371" s="78">
        <v>98558</v>
      </c>
      <c r="N371" s="60" t="s">
        <v>353</v>
      </c>
      <c r="O371" s="32">
        <v>1</v>
      </c>
      <c r="P371" s="35">
        <v>1</v>
      </c>
      <c r="Q371" s="35">
        <v>2</v>
      </c>
    </row>
    <row r="372" spans="1:17" x14ac:dyDescent="0.2">
      <c r="A372" s="80">
        <v>98501</v>
      </c>
      <c r="B372" s="14" t="s">
        <v>353</v>
      </c>
      <c r="C372" s="51">
        <v>247</v>
      </c>
      <c r="D372" s="51">
        <v>280</v>
      </c>
      <c r="E372" s="51">
        <v>304</v>
      </c>
      <c r="M372" s="82">
        <v>98576</v>
      </c>
      <c r="N372" s="52" t="s">
        <v>352</v>
      </c>
      <c r="O372" s="83">
        <v>1</v>
      </c>
      <c r="P372" s="83">
        <v>0</v>
      </c>
      <c r="Q372" s="53">
        <v>1</v>
      </c>
    </row>
    <row r="373" spans="1:17" x14ac:dyDescent="0.2">
      <c r="A373" s="80">
        <v>98502</v>
      </c>
      <c r="B373" s="14" t="s">
        <v>353</v>
      </c>
      <c r="C373" s="51">
        <v>176</v>
      </c>
      <c r="D373" s="51">
        <v>215</v>
      </c>
      <c r="E373" s="51">
        <v>250</v>
      </c>
      <c r="M373" s="80">
        <v>98576</v>
      </c>
      <c r="N373" s="14" t="s">
        <v>353</v>
      </c>
      <c r="O373" s="51">
        <v>29</v>
      </c>
      <c r="P373" s="51">
        <v>27</v>
      </c>
      <c r="Q373" s="51">
        <v>27</v>
      </c>
    </row>
    <row r="374" spans="1:17" x14ac:dyDescent="0.2">
      <c r="A374" s="80">
        <v>98503</v>
      </c>
      <c r="B374" s="14" t="s">
        <v>353</v>
      </c>
      <c r="C374" s="51">
        <v>280</v>
      </c>
      <c r="D374" s="51">
        <v>325</v>
      </c>
      <c r="E374" s="51">
        <v>342</v>
      </c>
      <c r="M374" s="80">
        <v>98579</v>
      </c>
      <c r="N374" s="14" t="s">
        <v>352</v>
      </c>
      <c r="O374" s="51">
        <v>3</v>
      </c>
      <c r="P374" s="51">
        <v>4</v>
      </c>
      <c r="Q374" s="51">
        <v>1</v>
      </c>
    </row>
    <row r="375" spans="1:17" x14ac:dyDescent="0.2">
      <c r="A375" s="80">
        <v>98506</v>
      </c>
      <c r="B375" s="14" t="s">
        <v>353</v>
      </c>
      <c r="C375" s="51">
        <v>93</v>
      </c>
      <c r="D375" s="51">
        <v>114</v>
      </c>
      <c r="E375" s="51">
        <v>124</v>
      </c>
      <c r="M375" s="80">
        <v>98579</v>
      </c>
      <c r="N375" s="14" t="s">
        <v>353</v>
      </c>
      <c r="O375" s="51">
        <v>51</v>
      </c>
      <c r="P375" s="51">
        <v>61</v>
      </c>
      <c r="Q375" s="51">
        <v>75</v>
      </c>
    </row>
    <row r="376" spans="1:17" x14ac:dyDescent="0.2">
      <c r="A376" s="80">
        <v>98512</v>
      </c>
      <c r="B376" s="14" t="s">
        <v>353</v>
      </c>
      <c r="C376" s="51">
        <v>188</v>
      </c>
      <c r="D376" s="51">
        <v>222</v>
      </c>
      <c r="E376" s="51">
        <v>249</v>
      </c>
      <c r="M376" s="80">
        <v>98580</v>
      </c>
      <c r="N376" s="14" t="s">
        <v>352</v>
      </c>
      <c r="O376" s="51">
        <v>2</v>
      </c>
      <c r="P376" s="51">
        <v>2</v>
      </c>
      <c r="Q376" s="51">
        <v>2</v>
      </c>
    </row>
    <row r="377" spans="1:17" x14ac:dyDescent="0.2">
      <c r="A377" s="80">
        <v>98513</v>
      </c>
      <c r="B377" s="14" t="s">
        <v>353</v>
      </c>
      <c r="C377" s="51">
        <v>183</v>
      </c>
      <c r="D377" s="51">
        <v>220</v>
      </c>
      <c r="E377" s="51">
        <v>239</v>
      </c>
      <c r="M377" s="80">
        <v>98580</v>
      </c>
      <c r="N377" s="14" t="s">
        <v>353</v>
      </c>
      <c r="O377" s="51">
        <v>34</v>
      </c>
      <c r="P377" s="51">
        <v>37</v>
      </c>
      <c r="Q377" s="51">
        <v>38</v>
      </c>
    </row>
    <row r="378" spans="1:17" x14ac:dyDescent="0.2">
      <c r="A378" s="80">
        <v>98516</v>
      </c>
      <c r="B378" s="14" t="s">
        <v>353</v>
      </c>
      <c r="C378" s="51">
        <v>141</v>
      </c>
      <c r="D378" s="51">
        <v>151</v>
      </c>
      <c r="E378" s="51">
        <v>177</v>
      </c>
      <c r="M378" s="80">
        <v>98589</v>
      </c>
      <c r="N378" s="14" t="s">
        <v>352</v>
      </c>
      <c r="O378" s="51">
        <v>0</v>
      </c>
      <c r="P378" s="51">
        <v>6</v>
      </c>
      <c r="Q378" s="51">
        <v>5</v>
      </c>
    </row>
    <row r="379" spans="1:17" x14ac:dyDescent="0.2">
      <c r="A379" s="80">
        <v>98530</v>
      </c>
      <c r="B379" s="14" t="s">
        <v>353</v>
      </c>
      <c r="C379" s="51">
        <v>6</v>
      </c>
      <c r="D379" s="51">
        <v>13</v>
      </c>
      <c r="E379" s="51">
        <v>11</v>
      </c>
      <c r="M379" s="80">
        <v>98589</v>
      </c>
      <c r="N379" s="14" t="s">
        <v>353</v>
      </c>
      <c r="O379" s="51">
        <v>46</v>
      </c>
      <c r="P379" s="51">
        <v>67</v>
      </c>
      <c r="Q379" s="51">
        <v>63</v>
      </c>
    </row>
    <row r="380" spans="1:17" x14ac:dyDescent="0.2">
      <c r="A380" s="80">
        <v>98531</v>
      </c>
      <c r="B380" s="14" t="s">
        <v>353</v>
      </c>
      <c r="C380" s="51">
        <v>35</v>
      </c>
      <c r="D380" s="51">
        <v>34</v>
      </c>
      <c r="E380" s="51">
        <v>43</v>
      </c>
      <c r="M380" s="80">
        <v>98597</v>
      </c>
      <c r="N380" s="14" t="s">
        <v>352</v>
      </c>
      <c r="O380" s="51">
        <v>6</v>
      </c>
      <c r="P380" s="51">
        <v>4</v>
      </c>
      <c r="Q380" s="51">
        <v>6</v>
      </c>
    </row>
    <row r="381" spans="1:17" x14ac:dyDescent="0.2">
      <c r="A381" s="80">
        <v>98532</v>
      </c>
      <c r="B381" s="14" t="s">
        <v>353</v>
      </c>
      <c r="C381" s="51">
        <v>11</v>
      </c>
      <c r="D381" s="51">
        <v>10</v>
      </c>
      <c r="E381" s="51">
        <v>13</v>
      </c>
      <c r="M381" s="80">
        <v>98597</v>
      </c>
      <c r="N381" s="14" t="s">
        <v>353</v>
      </c>
      <c r="O381" s="51">
        <v>133</v>
      </c>
      <c r="P381" s="51">
        <v>159</v>
      </c>
      <c r="Q381" s="51">
        <v>168</v>
      </c>
    </row>
    <row r="382" spans="1:17" x14ac:dyDescent="0.2">
      <c r="A382" s="80">
        <v>98558</v>
      </c>
      <c r="B382" s="14" t="s">
        <v>353</v>
      </c>
      <c r="C382" s="51">
        <v>1</v>
      </c>
      <c r="D382" s="51">
        <v>1</v>
      </c>
      <c r="E382" s="51">
        <v>0</v>
      </c>
      <c r="M382" s="80">
        <v>98922</v>
      </c>
      <c r="N382" s="14" t="s">
        <v>352</v>
      </c>
      <c r="O382" s="51">
        <v>1</v>
      </c>
      <c r="P382" s="51">
        <v>2</v>
      </c>
      <c r="Q382" s="51">
        <v>4</v>
      </c>
    </row>
    <row r="383" spans="1:17" x14ac:dyDescent="0.2">
      <c r="A383" s="80">
        <v>98576</v>
      </c>
      <c r="B383" s="14" t="s">
        <v>353</v>
      </c>
      <c r="C383" s="51">
        <v>32</v>
      </c>
      <c r="D383" s="51">
        <v>39</v>
      </c>
      <c r="E383" s="51">
        <v>49</v>
      </c>
      <c r="M383" s="96">
        <v>98922</v>
      </c>
      <c r="N383" s="97" t="s">
        <v>353</v>
      </c>
      <c r="O383" s="98">
        <v>25</v>
      </c>
      <c r="P383" s="98">
        <v>29</v>
      </c>
      <c r="Q383" s="98">
        <v>36</v>
      </c>
    </row>
    <row r="384" spans="1:17" x14ac:dyDescent="0.2">
      <c r="A384" s="80">
        <v>98579</v>
      </c>
      <c r="B384" s="14" t="s">
        <v>353</v>
      </c>
      <c r="C384" s="51">
        <v>92</v>
      </c>
      <c r="D384" s="51">
        <v>91</v>
      </c>
      <c r="E384" s="51">
        <v>106</v>
      </c>
      <c r="M384" s="80">
        <v>98925</v>
      </c>
      <c r="N384" s="14" t="s">
        <v>353</v>
      </c>
      <c r="O384" s="51">
        <v>2</v>
      </c>
      <c r="P384" s="51">
        <v>4</v>
      </c>
      <c r="Q384" s="51">
        <v>2</v>
      </c>
    </row>
    <row r="385" spans="1:17" x14ac:dyDescent="0.2">
      <c r="A385" s="80">
        <v>98580</v>
      </c>
      <c r="B385" s="14" t="s">
        <v>353</v>
      </c>
      <c r="C385" s="51">
        <v>58</v>
      </c>
      <c r="D385" s="51">
        <v>55</v>
      </c>
      <c r="E385" s="51">
        <v>58</v>
      </c>
      <c r="M385" s="80">
        <v>98926</v>
      </c>
      <c r="N385" s="14" t="s">
        <v>352</v>
      </c>
      <c r="O385" s="51">
        <v>2</v>
      </c>
      <c r="P385" s="51">
        <v>3</v>
      </c>
      <c r="Q385" s="51">
        <v>4</v>
      </c>
    </row>
    <row r="386" spans="1:17" x14ac:dyDescent="0.2">
      <c r="A386" s="80">
        <v>98589</v>
      </c>
      <c r="B386" s="14" t="s">
        <v>353</v>
      </c>
      <c r="C386" s="51">
        <v>70</v>
      </c>
      <c r="D386" s="51">
        <v>80</v>
      </c>
      <c r="E386" s="51">
        <v>99</v>
      </c>
      <c r="M386" s="80">
        <v>98926</v>
      </c>
      <c r="N386" s="14" t="s">
        <v>353</v>
      </c>
      <c r="O386" s="51">
        <v>21</v>
      </c>
      <c r="P386" s="51">
        <v>27</v>
      </c>
      <c r="Q386" s="51">
        <v>33</v>
      </c>
    </row>
    <row r="387" spans="1:17" x14ac:dyDescent="0.2">
      <c r="A387" s="80">
        <v>98596</v>
      </c>
      <c r="B387" s="14" t="s">
        <v>353</v>
      </c>
      <c r="C387" s="51">
        <v>1</v>
      </c>
      <c r="D387" s="51">
        <v>1</v>
      </c>
      <c r="E387" s="51">
        <v>1</v>
      </c>
      <c r="M387" s="80">
        <v>98934</v>
      </c>
      <c r="N387" s="14" t="s">
        <v>352</v>
      </c>
      <c r="O387" s="51">
        <v>0</v>
      </c>
      <c r="P387" s="51">
        <v>1</v>
      </c>
      <c r="Q387" s="51">
        <v>0</v>
      </c>
    </row>
    <row r="388" spans="1:17" x14ac:dyDescent="0.2">
      <c r="A388" s="80">
        <v>98597</v>
      </c>
      <c r="B388" s="14" t="s">
        <v>353</v>
      </c>
      <c r="C388" s="51">
        <v>190</v>
      </c>
      <c r="D388" s="51">
        <v>236</v>
      </c>
      <c r="E388" s="51">
        <v>268</v>
      </c>
      <c r="M388" s="80">
        <v>98934</v>
      </c>
      <c r="N388" s="14" t="s">
        <v>353</v>
      </c>
      <c r="O388" s="51">
        <v>1</v>
      </c>
      <c r="P388" s="51">
        <v>5</v>
      </c>
      <c r="Q388" s="51">
        <v>5</v>
      </c>
    </row>
    <row r="389" spans="1:17" x14ac:dyDescent="0.2">
      <c r="A389" s="80">
        <v>98922</v>
      </c>
      <c r="B389" s="14" t="s">
        <v>353</v>
      </c>
      <c r="C389" s="51">
        <v>35</v>
      </c>
      <c r="D389" s="51">
        <v>44</v>
      </c>
      <c r="E389" s="51">
        <v>54</v>
      </c>
      <c r="M389" s="80">
        <v>98940</v>
      </c>
      <c r="N389" s="14" t="s">
        <v>353</v>
      </c>
      <c r="O389" s="51">
        <v>1</v>
      </c>
      <c r="P389" s="51">
        <v>3</v>
      </c>
      <c r="Q389" s="51">
        <v>4</v>
      </c>
    </row>
    <row r="390" spans="1:17" x14ac:dyDescent="0.2">
      <c r="A390" s="96">
        <v>98925</v>
      </c>
      <c r="B390" s="97" t="s">
        <v>353</v>
      </c>
      <c r="C390" s="98">
        <v>3</v>
      </c>
      <c r="D390" s="98">
        <v>4</v>
      </c>
      <c r="E390" s="98">
        <v>6</v>
      </c>
      <c r="M390" s="80">
        <v>98941</v>
      </c>
      <c r="N390" s="14" t="s">
        <v>352</v>
      </c>
      <c r="O390" s="51">
        <v>0</v>
      </c>
      <c r="P390" s="51">
        <v>1</v>
      </c>
      <c r="Q390" s="51">
        <v>3</v>
      </c>
    </row>
    <row r="391" spans="1:17" x14ac:dyDescent="0.2">
      <c r="A391" s="80">
        <v>98926</v>
      </c>
      <c r="B391" s="14" t="s">
        <v>353</v>
      </c>
      <c r="C391" s="51">
        <v>34</v>
      </c>
      <c r="D391" s="51">
        <v>38</v>
      </c>
      <c r="E391" s="51">
        <v>41</v>
      </c>
      <c r="M391" s="80">
        <v>98941</v>
      </c>
      <c r="N391" s="14" t="s">
        <v>353</v>
      </c>
      <c r="O391" s="51">
        <v>2</v>
      </c>
      <c r="P391" s="51">
        <v>6</v>
      </c>
      <c r="Q391" s="51">
        <v>7</v>
      </c>
    </row>
    <row r="392" spans="1:17" x14ac:dyDescent="0.2">
      <c r="A392" s="80">
        <v>98934</v>
      </c>
      <c r="B392" s="14" t="s">
        <v>353</v>
      </c>
      <c r="C392" s="51">
        <v>7</v>
      </c>
      <c r="D392" s="51">
        <v>6</v>
      </c>
      <c r="E392" s="51">
        <v>9</v>
      </c>
      <c r="M392" s="80">
        <v>98943</v>
      </c>
      <c r="N392" s="14" t="s">
        <v>353</v>
      </c>
      <c r="O392" s="51">
        <v>4</v>
      </c>
      <c r="P392" s="51">
        <v>2</v>
      </c>
      <c r="Q392" s="51">
        <v>4</v>
      </c>
    </row>
    <row r="393" spans="1:17" x14ac:dyDescent="0.2">
      <c r="A393" s="80">
        <v>98940</v>
      </c>
      <c r="B393" s="14" t="s">
        <v>353</v>
      </c>
      <c r="C393" s="51">
        <v>4</v>
      </c>
      <c r="D393" s="51">
        <v>4</v>
      </c>
      <c r="E393" s="51">
        <v>6</v>
      </c>
      <c r="M393" s="14">
        <v>98946</v>
      </c>
      <c r="N393" s="14" t="s">
        <v>353</v>
      </c>
      <c r="O393" s="51">
        <v>2</v>
      </c>
      <c r="P393" s="51">
        <v>2</v>
      </c>
      <c r="Q393" s="51">
        <v>2</v>
      </c>
    </row>
    <row r="394" spans="1:17" x14ac:dyDescent="0.2">
      <c r="A394" s="80">
        <v>98941</v>
      </c>
      <c r="B394" s="14" t="s">
        <v>353</v>
      </c>
      <c r="C394" s="51">
        <v>4</v>
      </c>
      <c r="D394" s="51">
        <v>4</v>
      </c>
      <c r="E394" s="51">
        <v>8</v>
      </c>
      <c r="M394" s="14" t="s">
        <v>354</v>
      </c>
      <c r="N394" s="14" t="s">
        <v>352</v>
      </c>
      <c r="O394" s="51">
        <v>1</v>
      </c>
      <c r="P394" s="51">
        <v>3</v>
      </c>
      <c r="Q394" s="51">
        <v>2</v>
      </c>
    </row>
    <row r="395" spans="1:17" ht="16" thickBot="1" x14ac:dyDescent="0.25">
      <c r="A395" s="80">
        <v>98943</v>
      </c>
      <c r="B395" s="14" t="s">
        <v>353</v>
      </c>
      <c r="C395" s="51">
        <v>3</v>
      </c>
      <c r="D395" s="51">
        <v>6</v>
      </c>
      <c r="E395" s="51">
        <v>4</v>
      </c>
      <c r="M395" s="16" t="s">
        <v>354</v>
      </c>
      <c r="N395" s="16" t="s">
        <v>353</v>
      </c>
      <c r="O395" s="109">
        <v>6</v>
      </c>
      <c r="P395" s="109">
        <v>2</v>
      </c>
      <c r="Q395" s="109">
        <v>3</v>
      </c>
    </row>
    <row r="396" spans="1:17" x14ac:dyDescent="0.2">
      <c r="A396" s="80">
        <v>98946</v>
      </c>
      <c r="B396" s="14" t="s">
        <v>353</v>
      </c>
      <c r="C396" s="51">
        <v>4</v>
      </c>
      <c r="D396" s="51">
        <v>4</v>
      </c>
      <c r="E396" s="51">
        <v>4</v>
      </c>
    </row>
    <row r="397" spans="1:17" ht="16" thickBot="1" x14ac:dyDescent="0.25">
      <c r="A397" s="116" t="s">
        <v>354</v>
      </c>
      <c r="B397" s="16" t="s">
        <v>353</v>
      </c>
      <c r="C397" s="109">
        <v>0</v>
      </c>
      <c r="D397" s="109">
        <v>2</v>
      </c>
      <c r="E397" s="109">
        <v>2</v>
      </c>
    </row>
    <row r="398" spans="1:17" ht="16" thickBot="1" x14ac:dyDescent="0.25">
      <c r="A398" s="149" t="s">
        <v>362</v>
      </c>
      <c r="B398" s="150"/>
      <c r="C398" s="151">
        <f>SUM(C176:C397)</f>
        <v>12888</v>
      </c>
      <c r="D398" s="151">
        <f t="shared" ref="D398:E398" si="0">SUM(D176:D397)</f>
        <v>15489</v>
      </c>
      <c r="E398" s="151">
        <f t="shared" si="0"/>
        <v>17180</v>
      </c>
    </row>
    <row r="399" spans="1:17" x14ac:dyDescent="0.2">
      <c r="A399" s="100"/>
      <c r="B399" s="3"/>
      <c r="C399" s="3"/>
      <c r="D399" s="3"/>
      <c r="E399" s="3"/>
    </row>
  </sheetData>
  <sortState xmlns:xlrd2="http://schemas.microsoft.com/office/spreadsheetml/2017/richdata2" ref="A12:E397">
    <sortCondition ref="B12:B397"/>
  </sortState>
  <mergeCells count="6">
    <mergeCell ref="M9:Q9"/>
    <mergeCell ref="S9:W9"/>
    <mergeCell ref="A1:I1"/>
    <mergeCell ref="A9:B9"/>
    <mergeCell ref="C9:E9"/>
    <mergeCell ref="G9:K9"/>
  </mergeCells>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80" t="s">
        <v>0</v>
      </c>
      <c r="B1" s="181"/>
      <c r="C1" s="181"/>
      <c r="D1" s="181"/>
      <c r="E1" s="181"/>
      <c r="F1" s="181"/>
      <c r="G1" s="181"/>
      <c r="H1" s="181"/>
      <c r="I1" s="182"/>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86" t="s">
        <v>347</v>
      </c>
      <c r="B11" s="186"/>
      <c r="C11" s="183" t="s">
        <v>14</v>
      </c>
      <c r="D11" s="184"/>
      <c r="E11" s="185"/>
      <c r="G11" s="196" t="s">
        <v>15</v>
      </c>
      <c r="H11" s="196"/>
      <c r="I11" s="196"/>
      <c r="J11" s="196"/>
      <c r="K11" s="196"/>
      <c r="M11" s="196" t="s">
        <v>16</v>
      </c>
      <c r="N11" s="196"/>
      <c r="O11" s="196"/>
      <c r="P11" s="196"/>
      <c r="Q11" s="196"/>
      <c r="S11" s="196" t="s">
        <v>17</v>
      </c>
      <c r="T11" s="196"/>
      <c r="U11" s="196"/>
      <c r="V11" s="196"/>
      <c r="W11" s="196"/>
    </row>
    <row r="12" spans="1:23" ht="16" thickBot="1" x14ac:dyDescent="0.25">
      <c r="A12" s="17" t="s">
        <v>8</v>
      </c>
      <c r="B12" s="17" t="s">
        <v>9</v>
      </c>
      <c r="C12" s="74">
        <v>44957</v>
      </c>
      <c r="D12" s="74">
        <v>44985</v>
      </c>
      <c r="E12" s="74">
        <v>45016</v>
      </c>
      <c r="G12" s="18" t="s">
        <v>8</v>
      </c>
      <c r="H12" s="18" t="s">
        <v>9</v>
      </c>
      <c r="I12" s="74">
        <v>44957</v>
      </c>
      <c r="J12" s="74">
        <v>44985</v>
      </c>
      <c r="K12" s="74">
        <v>45016</v>
      </c>
      <c r="M12" s="18" t="s">
        <v>8</v>
      </c>
      <c r="N12" s="18" t="s">
        <v>9</v>
      </c>
      <c r="O12" s="74">
        <v>44957</v>
      </c>
      <c r="P12" s="74">
        <v>44985</v>
      </c>
      <c r="Q12" s="74">
        <v>45016</v>
      </c>
      <c r="S12" s="18" t="s">
        <v>8</v>
      </c>
      <c r="T12" s="18" t="s">
        <v>9</v>
      </c>
      <c r="U12" s="74">
        <v>44957</v>
      </c>
      <c r="V12" s="74">
        <v>44985</v>
      </c>
      <c r="W12" s="74">
        <v>45016</v>
      </c>
    </row>
    <row r="13" spans="1:23" ht="16" thickBot="1" x14ac:dyDescent="0.25">
      <c r="A13" s="124">
        <v>98001</v>
      </c>
      <c r="B13" s="124" t="s">
        <v>10</v>
      </c>
      <c r="C13" s="125">
        <v>1</v>
      </c>
      <c r="D13" s="125">
        <v>1</v>
      </c>
      <c r="E13" s="125">
        <v>1</v>
      </c>
      <c r="G13" s="198" t="s">
        <v>348</v>
      </c>
      <c r="H13" s="199"/>
      <c r="I13" s="199"/>
      <c r="J13" s="199"/>
      <c r="K13" s="200"/>
      <c r="M13" s="198" t="s">
        <v>349</v>
      </c>
      <c r="N13" s="199"/>
      <c r="O13" s="199"/>
      <c r="P13" s="199"/>
      <c r="Q13" s="200"/>
      <c r="S13" s="198" t="s">
        <v>350</v>
      </c>
      <c r="T13" s="199"/>
      <c r="U13" s="199"/>
      <c r="V13" s="199"/>
      <c r="W13" s="200"/>
    </row>
    <row r="14" spans="1:23" x14ac:dyDescent="0.2">
      <c r="A14" s="93"/>
      <c r="B14" s="93"/>
      <c r="C14" s="93"/>
      <c r="D14" s="93"/>
      <c r="E14" s="93"/>
      <c r="G14" s="201"/>
      <c r="H14" s="202"/>
      <c r="I14" s="202"/>
      <c r="J14" s="202"/>
      <c r="K14" s="203"/>
      <c r="M14" s="201"/>
      <c r="N14" s="202"/>
      <c r="O14" s="202"/>
      <c r="P14" s="202"/>
      <c r="Q14" s="203"/>
      <c r="S14" s="201"/>
      <c r="T14" s="202"/>
      <c r="U14" s="202"/>
      <c r="V14" s="202"/>
      <c r="W14" s="203"/>
    </row>
    <row r="15" spans="1:23" ht="16" thickBot="1" x14ac:dyDescent="0.25">
      <c r="A15" s="21"/>
      <c r="B15" s="21"/>
      <c r="C15" s="21"/>
      <c r="D15" s="21"/>
      <c r="E15" s="21"/>
      <c r="G15" s="204"/>
      <c r="H15" s="205"/>
      <c r="I15" s="205"/>
      <c r="J15" s="205"/>
      <c r="K15" s="206"/>
      <c r="M15" s="204"/>
      <c r="N15" s="205"/>
      <c r="O15" s="205"/>
      <c r="P15" s="205"/>
      <c r="Q15" s="206"/>
      <c r="S15" s="204"/>
      <c r="T15" s="205"/>
      <c r="U15" s="205"/>
      <c r="V15" s="205"/>
      <c r="W15" s="206"/>
    </row>
  </sheetData>
  <mergeCells count="9">
    <mergeCell ref="S13:W15"/>
    <mergeCell ref="A1:I1"/>
    <mergeCell ref="A11:B11"/>
    <mergeCell ref="C11:E11"/>
    <mergeCell ref="G11:K11"/>
    <mergeCell ref="M11:Q11"/>
    <mergeCell ref="S11:W11"/>
    <mergeCell ref="G13:K15"/>
    <mergeCell ref="M13:Q15"/>
  </mergeCells>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53"/>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80" t="s">
        <v>0</v>
      </c>
      <c r="B1" s="181"/>
      <c r="C1" s="181"/>
      <c r="D1" s="181"/>
      <c r="E1" s="181"/>
      <c r="F1" s="181"/>
      <c r="G1" s="181"/>
      <c r="H1" s="181"/>
      <c r="I1" s="182"/>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8" t="s">
        <v>48</v>
      </c>
    </row>
    <row r="10" spans="1:23" x14ac:dyDescent="0.2">
      <c r="A10" s="3">
        <v>9</v>
      </c>
      <c r="B10" s="6" t="s">
        <v>5</v>
      </c>
    </row>
    <row r="11" spans="1:23" ht="16" thickBot="1" x14ac:dyDescent="0.25"/>
    <row r="12" spans="1:23" ht="30" customHeight="1" thickBot="1" x14ac:dyDescent="0.25">
      <c r="A12" s="186" t="s">
        <v>355</v>
      </c>
      <c r="B12" s="186"/>
      <c r="C12" s="183" t="s">
        <v>49</v>
      </c>
      <c r="D12" s="184"/>
      <c r="E12" s="185"/>
      <c r="G12" s="183" t="s">
        <v>50</v>
      </c>
      <c r="H12" s="184"/>
      <c r="I12" s="184"/>
      <c r="J12" s="184"/>
      <c r="K12" s="185"/>
      <c r="M12" s="183" t="s">
        <v>52</v>
      </c>
      <c r="N12" s="184"/>
      <c r="O12" s="184"/>
      <c r="P12" s="184"/>
      <c r="Q12" s="185"/>
      <c r="S12" s="183" t="s">
        <v>53</v>
      </c>
      <c r="T12" s="184"/>
      <c r="U12" s="184"/>
      <c r="V12" s="184"/>
      <c r="W12" s="185"/>
    </row>
    <row r="13" spans="1:23" ht="16" thickBot="1" x14ac:dyDescent="0.25">
      <c r="A13" s="33" t="s">
        <v>8</v>
      </c>
      <c r="B13" s="7" t="s">
        <v>9</v>
      </c>
      <c r="C13" s="74">
        <v>44957</v>
      </c>
      <c r="D13" s="74">
        <v>44985</v>
      </c>
      <c r="E13" s="74">
        <v>45016</v>
      </c>
      <c r="G13" s="33" t="s">
        <v>8</v>
      </c>
      <c r="H13" s="7" t="s">
        <v>9</v>
      </c>
      <c r="I13" s="74">
        <v>44957</v>
      </c>
      <c r="J13" s="74">
        <v>44985</v>
      </c>
      <c r="K13" s="74">
        <v>45016</v>
      </c>
      <c r="M13" s="33" t="s">
        <v>8</v>
      </c>
      <c r="N13" s="7" t="s">
        <v>9</v>
      </c>
      <c r="O13" s="74">
        <v>44957</v>
      </c>
      <c r="P13" s="74">
        <v>44985</v>
      </c>
      <c r="Q13" s="74">
        <v>45016</v>
      </c>
      <c r="S13" s="33" t="s">
        <v>8</v>
      </c>
      <c r="T13" s="7" t="s">
        <v>9</v>
      </c>
      <c r="U13" s="74">
        <v>44957</v>
      </c>
      <c r="V13" s="74">
        <v>44985</v>
      </c>
      <c r="W13" s="74">
        <v>45016</v>
      </c>
    </row>
    <row r="14" spans="1:23" x14ac:dyDescent="0.2">
      <c r="A14" s="55">
        <v>98001</v>
      </c>
      <c r="B14" s="61" t="s">
        <v>333</v>
      </c>
      <c r="C14" s="44">
        <v>3</v>
      </c>
      <c r="D14" s="44">
        <v>3</v>
      </c>
      <c r="E14" s="44">
        <v>3</v>
      </c>
      <c r="G14" s="190" t="s">
        <v>51</v>
      </c>
      <c r="H14" s="191"/>
      <c r="I14" s="191"/>
      <c r="J14" s="191"/>
      <c r="K14" s="192"/>
      <c r="M14" s="77">
        <v>98001</v>
      </c>
      <c r="N14" s="61" t="s">
        <v>333</v>
      </c>
      <c r="O14" s="34">
        <v>19</v>
      </c>
      <c r="P14" s="34">
        <v>15</v>
      </c>
      <c r="Q14" s="34">
        <v>22</v>
      </c>
      <c r="S14" s="87">
        <v>98001</v>
      </c>
      <c r="T14" s="88" t="s">
        <v>333</v>
      </c>
      <c r="U14" s="89">
        <v>1</v>
      </c>
      <c r="V14" s="89">
        <v>0</v>
      </c>
      <c r="W14" s="90">
        <v>1</v>
      </c>
    </row>
    <row r="15" spans="1:23" ht="16" thickBot="1" x14ac:dyDescent="0.25">
      <c r="A15" s="56">
        <v>98001</v>
      </c>
      <c r="B15" s="60" t="s">
        <v>10</v>
      </c>
      <c r="C15" s="45">
        <v>82</v>
      </c>
      <c r="D15" s="45">
        <v>78</v>
      </c>
      <c r="E15" s="45">
        <v>77</v>
      </c>
      <c r="G15" s="193"/>
      <c r="H15" s="194"/>
      <c r="I15" s="194"/>
      <c r="J15" s="194"/>
      <c r="K15" s="195"/>
      <c r="M15" s="54">
        <v>98001</v>
      </c>
      <c r="N15" s="60" t="s">
        <v>10</v>
      </c>
      <c r="O15" s="35">
        <v>123</v>
      </c>
      <c r="P15" s="35">
        <v>102</v>
      </c>
      <c r="Q15" s="35">
        <v>99</v>
      </c>
      <c r="S15" s="54">
        <v>98001</v>
      </c>
      <c r="T15" s="60" t="s">
        <v>10</v>
      </c>
      <c r="U15" s="35">
        <v>5</v>
      </c>
      <c r="V15" s="35">
        <v>5</v>
      </c>
      <c r="W15" s="35">
        <v>8</v>
      </c>
    </row>
    <row r="16" spans="1:23" x14ac:dyDescent="0.2">
      <c r="A16" s="57">
        <v>98002</v>
      </c>
      <c r="B16" s="60" t="s">
        <v>333</v>
      </c>
      <c r="C16" s="45">
        <v>6</v>
      </c>
      <c r="D16" s="45">
        <v>6</v>
      </c>
      <c r="E16" s="45">
        <v>6</v>
      </c>
      <c r="M16" s="78">
        <v>98002</v>
      </c>
      <c r="N16" s="60" t="s">
        <v>333</v>
      </c>
      <c r="O16" s="35">
        <v>8</v>
      </c>
      <c r="P16" s="35">
        <v>11</v>
      </c>
      <c r="Q16" s="35">
        <v>24</v>
      </c>
      <c r="S16" s="78">
        <v>98002</v>
      </c>
      <c r="T16" s="60" t="s">
        <v>333</v>
      </c>
      <c r="U16" s="32">
        <v>0</v>
      </c>
      <c r="V16" s="32">
        <v>0</v>
      </c>
      <c r="W16" s="35">
        <v>1</v>
      </c>
    </row>
    <row r="17" spans="1:23" x14ac:dyDescent="0.2">
      <c r="A17" s="56">
        <v>98002</v>
      </c>
      <c r="B17" s="60" t="s">
        <v>10</v>
      </c>
      <c r="C17" s="45">
        <v>88</v>
      </c>
      <c r="D17" s="45">
        <v>81</v>
      </c>
      <c r="E17" s="45">
        <v>72</v>
      </c>
      <c r="M17" s="54">
        <v>98002</v>
      </c>
      <c r="N17" s="60" t="s">
        <v>10</v>
      </c>
      <c r="O17" s="35">
        <v>157</v>
      </c>
      <c r="P17" s="35">
        <v>198</v>
      </c>
      <c r="Q17" s="35">
        <v>234</v>
      </c>
      <c r="S17" s="54">
        <v>98002</v>
      </c>
      <c r="T17" s="60" t="s">
        <v>10</v>
      </c>
      <c r="U17" s="35">
        <v>7</v>
      </c>
      <c r="V17" s="35">
        <v>9</v>
      </c>
      <c r="W17" s="35">
        <v>7</v>
      </c>
    </row>
    <row r="18" spans="1:23" x14ac:dyDescent="0.2">
      <c r="A18" s="57">
        <v>98003</v>
      </c>
      <c r="B18" s="60" t="s">
        <v>333</v>
      </c>
      <c r="C18" s="45">
        <v>5</v>
      </c>
      <c r="D18" s="45">
        <v>5</v>
      </c>
      <c r="E18" s="45">
        <v>4</v>
      </c>
      <c r="M18" s="78">
        <v>98003</v>
      </c>
      <c r="N18" s="60" t="s">
        <v>333</v>
      </c>
      <c r="O18" s="35">
        <v>35</v>
      </c>
      <c r="P18" s="35">
        <v>39</v>
      </c>
      <c r="Q18" s="35">
        <v>27</v>
      </c>
      <c r="S18" s="78">
        <v>98003</v>
      </c>
      <c r="T18" s="60" t="s">
        <v>333</v>
      </c>
      <c r="U18" s="32">
        <v>0</v>
      </c>
      <c r="V18" s="35">
        <v>1</v>
      </c>
      <c r="W18" s="32">
        <v>0</v>
      </c>
    </row>
    <row r="19" spans="1:23" x14ac:dyDescent="0.2">
      <c r="A19" s="56">
        <v>98003</v>
      </c>
      <c r="B19" s="60" t="s">
        <v>10</v>
      </c>
      <c r="C19" s="45">
        <v>121</v>
      </c>
      <c r="D19" s="45">
        <v>113</v>
      </c>
      <c r="E19" s="45">
        <v>105</v>
      </c>
      <c r="M19" s="54">
        <v>98003</v>
      </c>
      <c r="N19" s="60" t="s">
        <v>10</v>
      </c>
      <c r="O19" s="35">
        <v>270</v>
      </c>
      <c r="P19" s="35">
        <v>330</v>
      </c>
      <c r="Q19" s="35">
        <v>322</v>
      </c>
      <c r="S19" s="54">
        <v>98003</v>
      </c>
      <c r="T19" s="60" t="s">
        <v>10</v>
      </c>
      <c r="U19" s="35">
        <v>9</v>
      </c>
      <c r="V19" s="35">
        <v>7</v>
      </c>
      <c r="W19" s="35">
        <v>16</v>
      </c>
    </row>
    <row r="20" spans="1:23" x14ac:dyDescent="0.2">
      <c r="A20" s="57">
        <v>98004</v>
      </c>
      <c r="B20" s="60" t="s">
        <v>333</v>
      </c>
      <c r="C20" s="45">
        <v>1</v>
      </c>
      <c r="D20" s="45">
        <v>1</v>
      </c>
      <c r="E20" s="45">
        <v>1</v>
      </c>
      <c r="M20" s="78">
        <v>98004</v>
      </c>
      <c r="N20" s="60" t="s">
        <v>333</v>
      </c>
      <c r="O20" s="35">
        <v>25</v>
      </c>
      <c r="P20" s="35">
        <v>16</v>
      </c>
      <c r="Q20" s="35">
        <v>15</v>
      </c>
      <c r="S20" s="78">
        <v>98004</v>
      </c>
      <c r="T20" s="60" t="s">
        <v>10</v>
      </c>
      <c r="U20" s="32">
        <v>2</v>
      </c>
      <c r="V20" s="35">
        <v>2</v>
      </c>
      <c r="W20" s="32">
        <v>2</v>
      </c>
    </row>
    <row r="21" spans="1:23" x14ac:dyDescent="0.2">
      <c r="A21" s="56">
        <v>98004</v>
      </c>
      <c r="B21" s="60" t="s">
        <v>10</v>
      </c>
      <c r="C21" s="45">
        <v>24</v>
      </c>
      <c r="D21" s="45">
        <v>22</v>
      </c>
      <c r="E21" s="45">
        <v>20</v>
      </c>
      <c r="M21" s="54">
        <v>98004</v>
      </c>
      <c r="N21" s="60" t="s">
        <v>10</v>
      </c>
      <c r="O21" s="35">
        <v>308</v>
      </c>
      <c r="P21" s="35">
        <v>284</v>
      </c>
      <c r="Q21" s="35">
        <v>317</v>
      </c>
      <c r="S21" s="54">
        <v>98005</v>
      </c>
      <c r="T21" s="60" t="s">
        <v>333</v>
      </c>
      <c r="U21" s="35">
        <v>1</v>
      </c>
      <c r="V21" s="35">
        <v>0</v>
      </c>
      <c r="W21" s="35">
        <v>0</v>
      </c>
    </row>
    <row r="22" spans="1:23" x14ac:dyDescent="0.2">
      <c r="A22" s="57">
        <v>98005</v>
      </c>
      <c r="B22" s="60" t="s">
        <v>333</v>
      </c>
      <c r="C22" s="45">
        <v>1</v>
      </c>
      <c r="D22" s="45">
        <v>0</v>
      </c>
      <c r="E22" s="45">
        <v>0</v>
      </c>
      <c r="M22" s="78">
        <v>98005</v>
      </c>
      <c r="N22" s="60" t="s">
        <v>333</v>
      </c>
      <c r="O22" s="35">
        <v>9</v>
      </c>
      <c r="P22" s="35">
        <v>9</v>
      </c>
      <c r="Q22" s="35">
        <v>13</v>
      </c>
      <c r="S22" s="78">
        <v>98005</v>
      </c>
      <c r="T22" s="60" t="s">
        <v>10</v>
      </c>
      <c r="U22" s="35">
        <v>2</v>
      </c>
      <c r="V22" s="32">
        <v>0</v>
      </c>
      <c r="W22" s="32">
        <v>1</v>
      </c>
    </row>
    <row r="23" spans="1:23" x14ac:dyDescent="0.2">
      <c r="A23" s="56">
        <v>98005</v>
      </c>
      <c r="B23" s="60" t="s">
        <v>10</v>
      </c>
      <c r="C23" s="45">
        <v>19</v>
      </c>
      <c r="D23" s="45">
        <v>17</v>
      </c>
      <c r="E23" s="45">
        <v>17</v>
      </c>
      <c r="M23" s="54">
        <v>98005</v>
      </c>
      <c r="N23" s="60" t="s">
        <v>10</v>
      </c>
      <c r="O23" s="35">
        <v>98</v>
      </c>
      <c r="P23" s="35">
        <v>122</v>
      </c>
      <c r="Q23" s="35">
        <v>128</v>
      </c>
      <c r="S23" s="54">
        <v>98006</v>
      </c>
      <c r="T23" s="60" t="s">
        <v>10</v>
      </c>
      <c r="U23" s="35">
        <v>1</v>
      </c>
      <c r="V23" s="35">
        <v>0</v>
      </c>
      <c r="W23" s="35">
        <v>3</v>
      </c>
    </row>
    <row r="24" spans="1:23" x14ac:dyDescent="0.2">
      <c r="A24" s="57">
        <v>98006</v>
      </c>
      <c r="B24" s="60" t="s">
        <v>333</v>
      </c>
      <c r="C24" s="45">
        <v>3</v>
      </c>
      <c r="D24" s="45">
        <v>3</v>
      </c>
      <c r="E24" s="45">
        <v>3</v>
      </c>
      <c r="M24" s="78">
        <v>98006</v>
      </c>
      <c r="N24" s="60" t="s">
        <v>333</v>
      </c>
      <c r="O24" s="35">
        <v>8</v>
      </c>
      <c r="P24" s="35">
        <v>4</v>
      </c>
      <c r="Q24" s="35">
        <v>4</v>
      </c>
      <c r="S24" s="78">
        <v>98007</v>
      </c>
      <c r="T24" s="60" t="s">
        <v>333</v>
      </c>
      <c r="U24" s="35">
        <v>0</v>
      </c>
      <c r="V24" s="32">
        <v>1</v>
      </c>
      <c r="W24" s="35">
        <v>0</v>
      </c>
    </row>
    <row r="25" spans="1:23" x14ac:dyDescent="0.2">
      <c r="A25" s="56">
        <v>98006</v>
      </c>
      <c r="B25" s="60" t="s">
        <v>10</v>
      </c>
      <c r="C25" s="45">
        <v>31</v>
      </c>
      <c r="D25" s="45">
        <v>30</v>
      </c>
      <c r="E25" s="45">
        <v>30</v>
      </c>
      <c r="M25" s="54">
        <v>98006</v>
      </c>
      <c r="N25" s="60" t="s">
        <v>10</v>
      </c>
      <c r="O25" s="35">
        <v>88</v>
      </c>
      <c r="P25" s="35">
        <v>86</v>
      </c>
      <c r="Q25" s="35">
        <v>106</v>
      </c>
      <c r="S25" s="54">
        <v>98007</v>
      </c>
      <c r="T25" s="60" t="s">
        <v>10</v>
      </c>
      <c r="U25" s="35">
        <v>1</v>
      </c>
      <c r="V25" s="35">
        <v>0</v>
      </c>
      <c r="W25" s="35">
        <v>0</v>
      </c>
    </row>
    <row r="26" spans="1:23" x14ac:dyDescent="0.2">
      <c r="A26" s="57">
        <v>98007</v>
      </c>
      <c r="B26" s="60" t="s">
        <v>333</v>
      </c>
      <c r="C26" s="45">
        <v>2</v>
      </c>
      <c r="D26" s="45">
        <v>2</v>
      </c>
      <c r="E26" s="45">
        <v>1</v>
      </c>
      <c r="M26" s="78">
        <v>98007</v>
      </c>
      <c r="N26" s="60" t="s">
        <v>333</v>
      </c>
      <c r="O26" s="35">
        <v>8</v>
      </c>
      <c r="P26" s="35">
        <v>4</v>
      </c>
      <c r="Q26" s="35">
        <v>3</v>
      </c>
      <c r="S26" s="78">
        <v>98008</v>
      </c>
      <c r="T26" s="60" t="s">
        <v>10</v>
      </c>
      <c r="U26" s="32">
        <v>1</v>
      </c>
      <c r="V26" s="35">
        <v>0</v>
      </c>
      <c r="W26" s="32">
        <v>2</v>
      </c>
    </row>
    <row r="27" spans="1:23" x14ac:dyDescent="0.2">
      <c r="A27" s="56">
        <v>98007</v>
      </c>
      <c r="B27" s="60" t="s">
        <v>10</v>
      </c>
      <c r="C27" s="45">
        <v>21</v>
      </c>
      <c r="D27" s="45">
        <v>20</v>
      </c>
      <c r="E27" s="45">
        <v>20</v>
      </c>
      <c r="M27" s="54">
        <v>98007</v>
      </c>
      <c r="N27" s="60" t="s">
        <v>10</v>
      </c>
      <c r="O27" s="35">
        <v>160</v>
      </c>
      <c r="P27" s="35">
        <v>199</v>
      </c>
      <c r="Q27" s="35">
        <v>208</v>
      </c>
      <c r="S27" s="54">
        <v>98010</v>
      </c>
      <c r="T27" s="60" t="s">
        <v>10</v>
      </c>
      <c r="U27" s="35">
        <v>1</v>
      </c>
      <c r="V27" s="35">
        <v>0</v>
      </c>
      <c r="W27" s="35">
        <v>1</v>
      </c>
    </row>
    <row r="28" spans="1:23" x14ac:dyDescent="0.2">
      <c r="A28" s="57">
        <v>98008</v>
      </c>
      <c r="B28" s="60" t="s">
        <v>10</v>
      </c>
      <c r="C28" s="45">
        <v>18</v>
      </c>
      <c r="D28" s="45">
        <v>17</v>
      </c>
      <c r="E28" s="45">
        <v>17</v>
      </c>
      <c r="M28" s="78">
        <v>98008</v>
      </c>
      <c r="N28" s="60" t="s">
        <v>333</v>
      </c>
      <c r="O28" s="35">
        <v>4</v>
      </c>
      <c r="P28" s="35">
        <v>4</v>
      </c>
      <c r="Q28" s="35">
        <v>3</v>
      </c>
      <c r="S28" s="78">
        <v>98011</v>
      </c>
      <c r="T28" s="60" t="s">
        <v>10</v>
      </c>
      <c r="U28" s="32">
        <v>0</v>
      </c>
      <c r="V28" s="35">
        <v>1</v>
      </c>
      <c r="W28" s="32">
        <v>4</v>
      </c>
    </row>
    <row r="29" spans="1:23" x14ac:dyDescent="0.2">
      <c r="A29" s="56">
        <v>98010</v>
      </c>
      <c r="B29" s="60" t="s">
        <v>333</v>
      </c>
      <c r="C29" s="45">
        <v>1</v>
      </c>
      <c r="D29" s="45">
        <v>1</v>
      </c>
      <c r="E29" s="45">
        <v>1</v>
      </c>
      <c r="M29" s="54">
        <v>98008</v>
      </c>
      <c r="N29" s="60" t="s">
        <v>334</v>
      </c>
      <c r="O29" s="35">
        <v>0</v>
      </c>
      <c r="P29" s="35">
        <v>1</v>
      </c>
      <c r="Q29" s="35">
        <v>0</v>
      </c>
      <c r="S29" s="54">
        <v>98012</v>
      </c>
      <c r="T29" s="60" t="s">
        <v>10</v>
      </c>
      <c r="U29" s="35">
        <v>1</v>
      </c>
      <c r="V29" s="35">
        <v>0</v>
      </c>
      <c r="W29" s="35">
        <v>2</v>
      </c>
    </row>
    <row r="30" spans="1:23" x14ac:dyDescent="0.2">
      <c r="A30" s="57">
        <v>98010</v>
      </c>
      <c r="B30" s="60" t="s">
        <v>10</v>
      </c>
      <c r="C30" s="45">
        <v>12</v>
      </c>
      <c r="D30" s="45">
        <v>11</v>
      </c>
      <c r="E30" s="45">
        <v>11</v>
      </c>
      <c r="M30" s="78">
        <v>98008</v>
      </c>
      <c r="N30" s="60" t="s">
        <v>10</v>
      </c>
      <c r="O30" s="35">
        <v>69</v>
      </c>
      <c r="P30" s="35">
        <v>52</v>
      </c>
      <c r="Q30" s="35">
        <v>78</v>
      </c>
      <c r="S30" s="78">
        <v>98014</v>
      </c>
      <c r="T30" s="60" t="s">
        <v>10</v>
      </c>
      <c r="U30" s="35">
        <v>1</v>
      </c>
      <c r="V30" s="32">
        <v>0</v>
      </c>
      <c r="W30" s="35">
        <v>0</v>
      </c>
    </row>
    <row r="31" spans="1:23" x14ac:dyDescent="0.2">
      <c r="A31" s="56">
        <v>98011</v>
      </c>
      <c r="B31" s="60" t="s">
        <v>333</v>
      </c>
      <c r="C31" s="45">
        <v>1</v>
      </c>
      <c r="D31" s="45">
        <v>1</v>
      </c>
      <c r="E31" s="45">
        <v>1</v>
      </c>
      <c r="M31" s="54">
        <v>98010</v>
      </c>
      <c r="N31" s="60" t="s">
        <v>333</v>
      </c>
      <c r="O31" s="35">
        <v>2</v>
      </c>
      <c r="P31" s="35">
        <v>8</v>
      </c>
      <c r="Q31" s="35">
        <v>10</v>
      </c>
      <c r="S31" s="78">
        <v>98019</v>
      </c>
      <c r="T31" s="60" t="s">
        <v>10</v>
      </c>
      <c r="U31" s="35">
        <v>2</v>
      </c>
      <c r="V31" s="35">
        <v>0</v>
      </c>
      <c r="W31" s="35">
        <v>0</v>
      </c>
    </row>
    <row r="32" spans="1:23" x14ac:dyDescent="0.2">
      <c r="A32" s="57">
        <v>98011</v>
      </c>
      <c r="B32" s="60" t="s">
        <v>10</v>
      </c>
      <c r="C32" s="45">
        <v>24</v>
      </c>
      <c r="D32" s="45">
        <v>24</v>
      </c>
      <c r="E32" s="45">
        <v>23</v>
      </c>
      <c r="M32" s="78">
        <v>98010</v>
      </c>
      <c r="N32" s="60" t="s">
        <v>10</v>
      </c>
      <c r="O32" s="35">
        <v>26</v>
      </c>
      <c r="P32" s="35">
        <v>39</v>
      </c>
      <c r="Q32" s="35">
        <v>39</v>
      </c>
      <c r="S32" s="78">
        <v>98021</v>
      </c>
      <c r="T32" s="60" t="s">
        <v>10</v>
      </c>
      <c r="U32" s="35">
        <v>2</v>
      </c>
      <c r="V32" s="35">
        <v>0</v>
      </c>
      <c r="W32" s="35">
        <v>0</v>
      </c>
    </row>
    <row r="33" spans="1:23" x14ac:dyDescent="0.2">
      <c r="A33" s="56">
        <v>98012</v>
      </c>
      <c r="B33" s="60" t="s">
        <v>10</v>
      </c>
      <c r="C33" s="45">
        <v>17</v>
      </c>
      <c r="D33" s="45">
        <v>16</v>
      </c>
      <c r="E33" s="45">
        <v>16</v>
      </c>
      <c r="M33" s="54">
        <v>98011</v>
      </c>
      <c r="N33" s="60" t="s">
        <v>333</v>
      </c>
      <c r="O33" s="35">
        <v>20</v>
      </c>
      <c r="P33" s="35">
        <v>14</v>
      </c>
      <c r="Q33" s="35">
        <v>19</v>
      </c>
      <c r="S33" s="78">
        <v>98022</v>
      </c>
      <c r="T33" s="60" t="s">
        <v>10</v>
      </c>
      <c r="U33" s="35">
        <v>2</v>
      </c>
      <c r="V33" s="35">
        <v>0</v>
      </c>
      <c r="W33" s="35">
        <v>3</v>
      </c>
    </row>
    <row r="34" spans="1:23" x14ac:dyDescent="0.2">
      <c r="A34" s="57">
        <v>98014</v>
      </c>
      <c r="B34" s="60" t="s">
        <v>10</v>
      </c>
      <c r="C34" s="45">
        <v>12</v>
      </c>
      <c r="D34" s="45">
        <v>12</v>
      </c>
      <c r="E34" s="45">
        <v>12</v>
      </c>
      <c r="M34" s="78">
        <v>98011</v>
      </c>
      <c r="N34" s="60" t="s">
        <v>10</v>
      </c>
      <c r="O34" s="35">
        <v>80</v>
      </c>
      <c r="P34" s="35">
        <v>90</v>
      </c>
      <c r="Q34" s="35">
        <v>197</v>
      </c>
      <c r="S34" s="78">
        <v>98023</v>
      </c>
      <c r="T34" s="60" t="s">
        <v>333</v>
      </c>
      <c r="U34" s="35">
        <v>0</v>
      </c>
      <c r="V34" s="35">
        <v>0</v>
      </c>
      <c r="W34" s="35">
        <v>1</v>
      </c>
    </row>
    <row r="35" spans="1:23" x14ac:dyDescent="0.2">
      <c r="A35" s="56">
        <v>98019</v>
      </c>
      <c r="B35" s="60" t="s">
        <v>10</v>
      </c>
      <c r="C35" s="45">
        <v>23</v>
      </c>
      <c r="D35" s="45">
        <v>21</v>
      </c>
      <c r="E35" s="45">
        <v>20</v>
      </c>
      <c r="M35" s="54">
        <v>98012</v>
      </c>
      <c r="N35" s="60" t="s">
        <v>333</v>
      </c>
      <c r="O35" s="35">
        <v>15</v>
      </c>
      <c r="P35" s="35">
        <v>4</v>
      </c>
      <c r="Q35" s="35">
        <v>1</v>
      </c>
      <c r="S35" s="78">
        <v>98023</v>
      </c>
      <c r="T35" s="60" t="s">
        <v>10</v>
      </c>
      <c r="U35" s="32">
        <v>9</v>
      </c>
      <c r="V35" s="35">
        <v>12</v>
      </c>
      <c r="W35" s="32">
        <v>9</v>
      </c>
    </row>
    <row r="36" spans="1:23" x14ac:dyDescent="0.2">
      <c r="A36" s="57">
        <v>98020</v>
      </c>
      <c r="B36" s="60" t="s">
        <v>10</v>
      </c>
      <c r="C36" s="45">
        <v>5</v>
      </c>
      <c r="D36" s="45">
        <v>5</v>
      </c>
      <c r="E36" s="45">
        <v>5</v>
      </c>
      <c r="M36" s="78">
        <v>98012</v>
      </c>
      <c r="N36" s="60" t="s">
        <v>10</v>
      </c>
      <c r="O36" s="35">
        <v>97</v>
      </c>
      <c r="P36" s="35">
        <v>101</v>
      </c>
      <c r="Q36" s="35">
        <v>131</v>
      </c>
      <c r="S36" s="78">
        <v>98024</v>
      </c>
      <c r="T36" s="60" t="s">
        <v>10</v>
      </c>
      <c r="U36" s="35">
        <v>0</v>
      </c>
      <c r="V36" s="32">
        <v>1</v>
      </c>
      <c r="W36" s="35">
        <v>0</v>
      </c>
    </row>
    <row r="37" spans="1:23" x14ac:dyDescent="0.2">
      <c r="A37" s="57">
        <v>98021</v>
      </c>
      <c r="B37" s="60" t="s">
        <v>333</v>
      </c>
      <c r="C37" s="45">
        <v>1</v>
      </c>
      <c r="D37" s="45">
        <v>1</v>
      </c>
      <c r="E37" s="45">
        <v>1</v>
      </c>
      <c r="M37" s="54">
        <v>98014</v>
      </c>
      <c r="N37" s="60" t="s">
        <v>333</v>
      </c>
      <c r="O37" s="35">
        <v>1</v>
      </c>
      <c r="P37" s="35">
        <v>1</v>
      </c>
      <c r="Q37" s="35">
        <v>2</v>
      </c>
      <c r="S37" s="78">
        <v>98026</v>
      </c>
      <c r="T37" s="60" t="s">
        <v>10</v>
      </c>
      <c r="U37" s="35">
        <v>0</v>
      </c>
      <c r="V37" s="35">
        <v>1</v>
      </c>
      <c r="W37" s="35">
        <v>3</v>
      </c>
    </row>
    <row r="38" spans="1:23" x14ac:dyDescent="0.2">
      <c r="A38" s="57">
        <v>98021</v>
      </c>
      <c r="B38" s="60" t="s">
        <v>10</v>
      </c>
      <c r="C38" s="45">
        <v>6</v>
      </c>
      <c r="D38" s="45">
        <v>5</v>
      </c>
      <c r="E38" s="69">
        <v>5</v>
      </c>
      <c r="M38" s="78">
        <v>98014</v>
      </c>
      <c r="N38" s="60" t="s">
        <v>10</v>
      </c>
      <c r="O38" s="35">
        <v>12</v>
      </c>
      <c r="P38" s="35">
        <v>14</v>
      </c>
      <c r="Q38" s="35">
        <v>11</v>
      </c>
      <c r="S38" s="78">
        <v>98027</v>
      </c>
      <c r="T38" s="60" t="s">
        <v>10</v>
      </c>
      <c r="U38" s="35">
        <v>7</v>
      </c>
      <c r="V38" s="35">
        <v>1</v>
      </c>
      <c r="W38" s="35">
        <v>1</v>
      </c>
    </row>
    <row r="39" spans="1:23" x14ac:dyDescent="0.2">
      <c r="A39" s="56">
        <v>98022</v>
      </c>
      <c r="B39" s="60" t="s">
        <v>10</v>
      </c>
      <c r="C39" s="45">
        <v>41</v>
      </c>
      <c r="D39" s="45">
        <v>38</v>
      </c>
      <c r="E39" s="45">
        <v>38</v>
      </c>
      <c r="M39" s="54">
        <v>98019</v>
      </c>
      <c r="N39" s="60" t="s">
        <v>333</v>
      </c>
      <c r="O39" s="35">
        <v>8</v>
      </c>
      <c r="P39" s="35">
        <v>18</v>
      </c>
      <c r="Q39" s="35">
        <v>24</v>
      </c>
      <c r="S39" s="78">
        <v>98028</v>
      </c>
      <c r="T39" s="60" t="s">
        <v>10</v>
      </c>
      <c r="U39" s="32">
        <v>4</v>
      </c>
      <c r="V39" s="32">
        <v>2</v>
      </c>
      <c r="W39" s="35">
        <v>2</v>
      </c>
    </row>
    <row r="40" spans="1:23" x14ac:dyDescent="0.2">
      <c r="A40" s="57">
        <v>98023</v>
      </c>
      <c r="B40" s="60" t="s">
        <v>333</v>
      </c>
      <c r="C40" s="45">
        <v>4</v>
      </c>
      <c r="D40" s="45">
        <v>4</v>
      </c>
      <c r="E40" s="45">
        <v>4</v>
      </c>
      <c r="M40" s="78">
        <v>98019</v>
      </c>
      <c r="N40" s="60" t="s">
        <v>10</v>
      </c>
      <c r="O40" s="35">
        <v>43</v>
      </c>
      <c r="P40" s="35">
        <v>30</v>
      </c>
      <c r="Q40" s="35">
        <v>44</v>
      </c>
      <c r="S40" s="78">
        <v>98029</v>
      </c>
      <c r="T40" s="60" t="s">
        <v>10</v>
      </c>
      <c r="U40" s="35">
        <v>1</v>
      </c>
      <c r="V40" s="32">
        <v>1</v>
      </c>
      <c r="W40" s="35">
        <v>2</v>
      </c>
    </row>
    <row r="41" spans="1:23" x14ac:dyDescent="0.2">
      <c r="A41" s="56">
        <v>98023</v>
      </c>
      <c r="B41" s="60" t="s">
        <v>10</v>
      </c>
      <c r="C41" s="45">
        <v>151</v>
      </c>
      <c r="D41" s="45">
        <v>143</v>
      </c>
      <c r="E41" s="45">
        <v>134</v>
      </c>
      <c r="M41" s="54">
        <v>98020</v>
      </c>
      <c r="N41" s="60" t="s">
        <v>333</v>
      </c>
      <c r="O41" s="35">
        <v>2</v>
      </c>
      <c r="P41" s="35">
        <v>2</v>
      </c>
      <c r="Q41" s="35">
        <v>3</v>
      </c>
      <c r="S41" s="78">
        <v>98030</v>
      </c>
      <c r="T41" s="60" t="s">
        <v>333</v>
      </c>
      <c r="U41" s="35">
        <v>1</v>
      </c>
      <c r="V41" s="35">
        <v>0</v>
      </c>
      <c r="W41" s="35">
        <v>1</v>
      </c>
    </row>
    <row r="42" spans="1:23" x14ac:dyDescent="0.2">
      <c r="A42" s="57">
        <v>98024</v>
      </c>
      <c r="B42" s="60" t="s">
        <v>10</v>
      </c>
      <c r="C42" s="45">
        <v>11</v>
      </c>
      <c r="D42" s="45">
        <v>11</v>
      </c>
      <c r="E42" s="45">
        <v>10</v>
      </c>
      <c r="M42" s="78">
        <v>98020</v>
      </c>
      <c r="N42" s="60" t="s">
        <v>10</v>
      </c>
      <c r="O42" s="35">
        <v>9</v>
      </c>
      <c r="P42" s="35">
        <v>19</v>
      </c>
      <c r="Q42" s="35">
        <v>23</v>
      </c>
      <c r="S42" s="78">
        <v>98030</v>
      </c>
      <c r="T42" s="60" t="s">
        <v>10</v>
      </c>
      <c r="U42" s="35">
        <v>7</v>
      </c>
      <c r="V42" s="35">
        <v>10</v>
      </c>
      <c r="W42" s="35">
        <v>9</v>
      </c>
    </row>
    <row r="43" spans="1:23" x14ac:dyDescent="0.2">
      <c r="A43" s="56">
        <v>98026</v>
      </c>
      <c r="B43" s="60" t="s">
        <v>10</v>
      </c>
      <c r="C43" s="45">
        <v>13</v>
      </c>
      <c r="D43" s="45">
        <v>13</v>
      </c>
      <c r="E43" s="45">
        <v>12</v>
      </c>
      <c r="M43" s="54">
        <v>98021</v>
      </c>
      <c r="N43" s="60" t="s">
        <v>333</v>
      </c>
      <c r="O43" s="35">
        <v>2</v>
      </c>
      <c r="P43" s="35">
        <v>1</v>
      </c>
      <c r="Q43" s="35">
        <v>6</v>
      </c>
      <c r="S43" s="78">
        <v>98031</v>
      </c>
      <c r="T43" s="60" t="s">
        <v>10</v>
      </c>
      <c r="U43" s="32">
        <v>5</v>
      </c>
      <c r="V43" s="32">
        <v>5</v>
      </c>
      <c r="W43" s="35">
        <v>4</v>
      </c>
    </row>
    <row r="44" spans="1:23" x14ac:dyDescent="0.2">
      <c r="A44" s="57">
        <v>98027</v>
      </c>
      <c r="B44" s="60" t="s">
        <v>333</v>
      </c>
      <c r="C44" s="45">
        <v>1</v>
      </c>
      <c r="D44" s="45">
        <v>1</v>
      </c>
      <c r="E44" s="45">
        <v>1</v>
      </c>
      <c r="M44" s="78">
        <v>98021</v>
      </c>
      <c r="N44" s="60" t="s">
        <v>10</v>
      </c>
      <c r="O44" s="35">
        <v>75</v>
      </c>
      <c r="P44" s="35">
        <v>51</v>
      </c>
      <c r="Q44" s="35">
        <v>62</v>
      </c>
      <c r="S44" s="54">
        <v>98032</v>
      </c>
      <c r="T44" s="60" t="s">
        <v>333</v>
      </c>
      <c r="U44" s="35">
        <v>1</v>
      </c>
      <c r="V44" s="35">
        <v>1</v>
      </c>
      <c r="W44" s="35">
        <v>0</v>
      </c>
    </row>
    <row r="45" spans="1:23" x14ac:dyDescent="0.2">
      <c r="A45" s="56">
        <v>98027</v>
      </c>
      <c r="B45" s="60" t="s">
        <v>10</v>
      </c>
      <c r="C45" s="45">
        <v>41</v>
      </c>
      <c r="D45" s="45">
        <v>35</v>
      </c>
      <c r="E45" s="45">
        <v>34</v>
      </c>
      <c r="M45" s="54">
        <v>98022</v>
      </c>
      <c r="N45" s="60" t="s">
        <v>333</v>
      </c>
      <c r="O45" s="35">
        <v>18</v>
      </c>
      <c r="P45" s="35">
        <v>11</v>
      </c>
      <c r="Q45" s="35">
        <v>16</v>
      </c>
      <c r="S45" s="78">
        <v>98032</v>
      </c>
      <c r="T45" s="60" t="s">
        <v>10</v>
      </c>
      <c r="U45" s="32">
        <v>3</v>
      </c>
      <c r="V45" s="35">
        <v>7</v>
      </c>
      <c r="W45" s="32">
        <v>9</v>
      </c>
    </row>
    <row r="46" spans="1:23" x14ac:dyDescent="0.2">
      <c r="A46" s="57">
        <v>98028</v>
      </c>
      <c r="B46" s="60" t="s">
        <v>10</v>
      </c>
      <c r="C46" s="45">
        <v>43</v>
      </c>
      <c r="D46" s="45">
        <v>39</v>
      </c>
      <c r="E46" s="45">
        <v>37</v>
      </c>
      <c r="M46" s="78">
        <v>98022</v>
      </c>
      <c r="N46" s="60" t="s">
        <v>10</v>
      </c>
      <c r="O46" s="35">
        <v>54</v>
      </c>
      <c r="P46" s="35">
        <v>55</v>
      </c>
      <c r="Q46" s="35">
        <v>75</v>
      </c>
      <c r="S46" s="54">
        <v>98033</v>
      </c>
      <c r="T46" s="60" t="s">
        <v>10</v>
      </c>
      <c r="U46" s="35">
        <v>2</v>
      </c>
      <c r="V46" s="35">
        <v>3</v>
      </c>
      <c r="W46" s="35">
        <v>1</v>
      </c>
    </row>
    <row r="47" spans="1:23" x14ac:dyDescent="0.2">
      <c r="A47" s="57">
        <v>98029</v>
      </c>
      <c r="B47" s="60" t="s">
        <v>10</v>
      </c>
      <c r="C47" s="45">
        <v>16</v>
      </c>
      <c r="D47" s="45">
        <v>15</v>
      </c>
      <c r="E47" s="45">
        <v>14</v>
      </c>
      <c r="M47" s="54">
        <v>98023</v>
      </c>
      <c r="N47" s="60" t="s">
        <v>333</v>
      </c>
      <c r="O47" s="35">
        <v>4</v>
      </c>
      <c r="P47" s="35">
        <v>0</v>
      </c>
      <c r="Q47" s="35">
        <v>8</v>
      </c>
      <c r="S47" s="78">
        <v>98034</v>
      </c>
      <c r="T47" s="60" t="s">
        <v>333</v>
      </c>
      <c r="U47" s="32">
        <v>0</v>
      </c>
      <c r="V47" s="35">
        <v>0</v>
      </c>
      <c r="W47" s="32">
        <v>1</v>
      </c>
    </row>
    <row r="48" spans="1:23" x14ac:dyDescent="0.2">
      <c r="A48" s="56">
        <v>98030</v>
      </c>
      <c r="B48" s="60" t="s">
        <v>333</v>
      </c>
      <c r="C48" s="45">
        <v>6</v>
      </c>
      <c r="D48" s="45">
        <v>5</v>
      </c>
      <c r="E48" s="45">
        <v>5</v>
      </c>
      <c r="M48" s="78">
        <v>98023</v>
      </c>
      <c r="N48" s="60" t="s">
        <v>10</v>
      </c>
      <c r="O48" s="35">
        <v>157</v>
      </c>
      <c r="P48" s="35">
        <v>192</v>
      </c>
      <c r="Q48" s="35">
        <v>250</v>
      </c>
      <c r="S48" s="54">
        <v>98034</v>
      </c>
      <c r="T48" s="60" t="s">
        <v>10</v>
      </c>
      <c r="U48" s="35">
        <v>1</v>
      </c>
      <c r="V48" s="35">
        <v>2</v>
      </c>
      <c r="W48" s="35">
        <v>5</v>
      </c>
    </row>
    <row r="49" spans="1:23" x14ac:dyDescent="0.2">
      <c r="A49" s="57">
        <v>98030</v>
      </c>
      <c r="B49" s="60" t="s">
        <v>10</v>
      </c>
      <c r="C49" s="45">
        <v>74</v>
      </c>
      <c r="D49" s="45">
        <v>68</v>
      </c>
      <c r="E49" s="45">
        <v>59</v>
      </c>
      <c r="M49" s="78">
        <v>98024</v>
      </c>
      <c r="N49" s="60" t="s">
        <v>333</v>
      </c>
      <c r="O49" s="35">
        <v>2</v>
      </c>
      <c r="P49" s="35">
        <v>2</v>
      </c>
      <c r="Q49" s="35">
        <v>1</v>
      </c>
      <c r="S49" s="78">
        <v>98036</v>
      </c>
      <c r="T49" s="60" t="s">
        <v>10</v>
      </c>
      <c r="U49" s="35">
        <v>0</v>
      </c>
      <c r="V49" s="35">
        <v>0</v>
      </c>
      <c r="W49" s="35">
        <v>2</v>
      </c>
    </row>
    <row r="50" spans="1:23" x14ac:dyDescent="0.2">
      <c r="A50" s="56">
        <v>98031</v>
      </c>
      <c r="B50" s="60" t="s">
        <v>333</v>
      </c>
      <c r="C50" s="45">
        <v>2</v>
      </c>
      <c r="D50" s="45">
        <v>2</v>
      </c>
      <c r="E50" s="45">
        <v>2</v>
      </c>
      <c r="M50" s="54">
        <v>98024</v>
      </c>
      <c r="N50" s="60" t="s">
        <v>10</v>
      </c>
      <c r="O50" s="35">
        <v>6</v>
      </c>
      <c r="P50" s="35">
        <v>8</v>
      </c>
      <c r="Q50" s="35">
        <v>7</v>
      </c>
      <c r="S50" s="78">
        <v>98037</v>
      </c>
      <c r="T50" s="60" t="s">
        <v>10</v>
      </c>
      <c r="U50" s="35">
        <v>1</v>
      </c>
      <c r="V50" s="32">
        <v>1</v>
      </c>
      <c r="W50" s="32">
        <v>0</v>
      </c>
    </row>
    <row r="51" spans="1:23" x14ac:dyDescent="0.2">
      <c r="A51" s="57">
        <v>98031</v>
      </c>
      <c r="B51" s="60" t="s">
        <v>10</v>
      </c>
      <c r="C51" s="45">
        <v>74</v>
      </c>
      <c r="D51" s="45">
        <v>70</v>
      </c>
      <c r="E51" s="69">
        <v>65</v>
      </c>
      <c r="M51" s="78">
        <v>98026</v>
      </c>
      <c r="N51" s="60" t="s">
        <v>333</v>
      </c>
      <c r="O51" s="35">
        <v>1</v>
      </c>
      <c r="P51" s="35">
        <v>0</v>
      </c>
      <c r="Q51" s="35">
        <v>4</v>
      </c>
      <c r="S51" s="54">
        <v>98038</v>
      </c>
      <c r="T51" s="60" t="s">
        <v>10</v>
      </c>
      <c r="U51" s="35">
        <v>4</v>
      </c>
      <c r="V51" s="35">
        <v>1</v>
      </c>
      <c r="W51" s="35">
        <v>5</v>
      </c>
    </row>
    <row r="52" spans="1:23" x14ac:dyDescent="0.2">
      <c r="A52" s="56">
        <v>98032</v>
      </c>
      <c r="B52" s="60" t="s">
        <v>333</v>
      </c>
      <c r="C52" s="45">
        <v>13</v>
      </c>
      <c r="D52" s="45">
        <v>12</v>
      </c>
      <c r="E52" s="45">
        <v>11</v>
      </c>
      <c r="M52" s="54">
        <v>98026</v>
      </c>
      <c r="N52" s="60" t="s">
        <v>10</v>
      </c>
      <c r="O52" s="35">
        <v>28</v>
      </c>
      <c r="P52" s="35">
        <v>48</v>
      </c>
      <c r="Q52" s="35">
        <v>25</v>
      </c>
      <c r="S52" s="78">
        <v>98039</v>
      </c>
      <c r="T52" s="60" t="s">
        <v>10</v>
      </c>
      <c r="U52" s="32">
        <v>0</v>
      </c>
      <c r="V52" s="32">
        <v>0</v>
      </c>
      <c r="W52" s="35">
        <v>1</v>
      </c>
    </row>
    <row r="53" spans="1:23" x14ac:dyDescent="0.2">
      <c r="A53" s="57">
        <v>98032</v>
      </c>
      <c r="B53" s="60" t="s">
        <v>10</v>
      </c>
      <c r="C53" s="45">
        <v>83</v>
      </c>
      <c r="D53" s="45">
        <v>80</v>
      </c>
      <c r="E53" s="45">
        <v>73</v>
      </c>
      <c r="M53" s="78">
        <v>98027</v>
      </c>
      <c r="N53" s="60" t="s">
        <v>333</v>
      </c>
      <c r="O53" s="35">
        <v>11</v>
      </c>
      <c r="P53" s="35">
        <v>12</v>
      </c>
      <c r="Q53" s="35">
        <v>9</v>
      </c>
      <c r="S53" s="54">
        <v>98040</v>
      </c>
      <c r="T53" s="60" t="s">
        <v>10</v>
      </c>
      <c r="U53" s="35">
        <v>4</v>
      </c>
      <c r="V53" s="35">
        <v>2</v>
      </c>
      <c r="W53" s="35">
        <v>1</v>
      </c>
    </row>
    <row r="54" spans="1:23" x14ac:dyDescent="0.2">
      <c r="A54" s="56">
        <v>98033</v>
      </c>
      <c r="B54" s="60" t="s">
        <v>10</v>
      </c>
      <c r="C54" s="45">
        <v>31</v>
      </c>
      <c r="D54" s="45">
        <v>29</v>
      </c>
      <c r="E54" s="45">
        <v>26</v>
      </c>
      <c r="M54" s="54">
        <v>98027</v>
      </c>
      <c r="N54" s="60" t="s">
        <v>10</v>
      </c>
      <c r="O54" s="35">
        <v>68</v>
      </c>
      <c r="P54" s="35">
        <v>82</v>
      </c>
      <c r="Q54" s="35">
        <v>105</v>
      </c>
      <c r="S54" s="78">
        <v>98042</v>
      </c>
      <c r="T54" s="60" t="s">
        <v>10</v>
      </c>
      <c r="U54" s="35">
        <v>11</v>
      </c>
      <c r="V54" s="35">
        <v>7</v>
      </c>
      <c r="W54" s="35">
        <v>12</v>
      </c>
    </row>
    <row r="55" spans="1:23" x14ac:dyDescent="0.2">
      <c r="A55" s="57">
        <v>98034</v>
      </c>
      <c r="B55" s="60" t="s">
        <v>333</v>
      </c>
      <c r="C55" s="45">
        <v>1</v>
      </c>
      <c r="D55" s="45">
        <v>1</v>
      </c>
      <c r="E55" s="45">
        <v>1</v>
      </c>
      <c r="M55" s="78">
        <v>98028</v>
      </c>
      <c r="N55" s="60" t="s">
        <v>333</v>
      </c>
      <c r="O55" s="35">
        <v>2</v>
      </c>
      <c r="P55" s="35">
        <v>1</v>
      </c>
      <c r="Q55" s="35">
        <v>3</v>
      </c>
      <c r="S55" s="78">
        <v>98043</v>
      </c>
      <c r="T55" s="60" t="s">
        <v>10</v>
      </c>
      <c r="U55" s="35">
        <v>1</v>
      </c>
      <c r="V55" s="35">
        <v>1</v>
      </c>
      <c r="W55" s="35">
        <v>1</v>
      </c>
    </row>
    <row r="56" spans="1:23" x14ac:dyDescent="0.2">
      <c r="A56" s="56">
        <v>98034</v>
      </c>
      <c r="B56" s="60" t="s">
        <v>10</v>
      </c>
      <c r="C56" s="45">
        <v>52</v>
      </c>
      <c r="D56" s="45">
        <v>51</v>
      </c>
      <c r="E56" s="45">
        <v>50</v>
      </c>
      <c r="M56" s="54">
        <v>98028</v>
      </c>
      <c r="N56" s="60" t="s">
        <v>10</v>
      </c>
      <c r="O56" s="35">
        <v>70</v>
      </c>
      <c r="P56" s="35">
        <v>86</v>
      </c>
      <c r="Q56" s="35">
        <v>63</v>
      </c>
      <c r="S56" s="78">
        <v>98045</v>
      </c>
      <c r="T56" s="60" t="s">
        <v>10</v>
      </c>
      <c r="U56" s="35">
        <v>0</v>
      </c>
      <c r="V56" s="35">
        <v>0</v>
      </c>
      <c r="W56" s="35">
        <v>1</v>
      </c>
    </row>
    <row r="57" spans="1:23" x14ac:dyDescent="0.2">
      <c r="A57" s="57">
        <v>98036</v>
      </c>
      <c r="B57" s="60" t="s">
        <v>333</v>
      </c>
      <c r="C57" s="45">
        <v>2</v>
      </c>
      <c r="D57" s="45">
        <v>2</v>
      </c>
      <c r="E57" s="45">
        <v>2</v>
      </c>
      <c r="M57" s="78">
        <v>98029</v>
      </c>
      <c r="N57" s="60" t="s">
        <v>333</v>
      </c>
      <c r="O57" s="35">
        <v>2</v>
      </c>
      <c r="P57" s="35">
        <v>1</v>
      </c>
      <c r="Q57" s="35">
        <v>10</v>
      </c>
      <c r="S57" s="78">
        <v>98051</v>
      </c>
      <c r="T57" s="60" t="s">
        <v>10</v>
      </c>
      <c r="U57" s="32">
        <v>1</v>
      </c>
      <c r="V57" s="35">
        <v>1</v>
      </c>
      <c r="W57" s="32">
        <v>1</v>
      </c>
    </row>
    <row r="58" spans="1:23" x14ac:dyDescent="0.2">
      <c r="A58" s="56">
        <v>98036</v>
      </c>
      <c r="B58" s="60" t="s">
        <v>10</v>
      </c>
      <c r="C58" s="45">
        <v>20</v>
      </c>
      <c r="D58" s="45">
        <v>20</v>
      </c>
      <c r="E58" s="45">
        <v>20</v>
      </c>
      <c r="M58" s="54">
        <v>98029</v>
      </c>
      <c r="N58" s="60" t="s">
        <v>10</v>
      </c>
      <c r="O58" s="35">
        <v>93</v>
      </c>
      <c r="P58" s="35">
        <v>82</v>
      </c>
      <c r="Q58" s="35">
        <v>119</v>
      </c>
      <c r="S58" s="78">
        <v>98052</v>
      </c>
      <c r="T58" s="60" t="s">
        <v>333</v>
      </c>
      <c r="U58" s="35">
        <v>1</v>
      </c>
      <c r="V58" s="35">
        <v>0</v>
      </c>
      <c r="W58" s="35">
        <v>0</v>
      </c>
    </row>
    <row r="59" spans="1:23" x14ac:dyDescent="0.2">
      <c r="A59" s="57">
        <v>98037</v>
      </c>
      <c r="B59" s="60" t="s">
        <v>333</v>
      </c>
      <c r="C59" s="45">
        <v>1</v>
      </c>
      <c r="D59" s="45">
        <v>1</v>
      </c>
      <c r="E59" s="45">
        <v>1</v>
      </c>
      <c r="M59" s="78">
        <v>98030</v>
      </c>
      <c r="N59" s="60" t="s">
        <v>333</v>
      </c>
      <c r="O59" s="35">
        <v>5</v>
      </c>
      <c r="P59" s="35">
        <v>8</v>
      </c>
      <c r="Q59" s="35">
        <v>6</v>
      </c>
      <c r="S59" s="78">
        <v>98052</v>
      </c>
      <c r="T59" s="60" t="s">
        <v>10</v>
      </c>
      <c r="U59" s="35">
        <v>0</v>
      </c>
      <c r="V59" s="35">
        <v>4</v>
      </c>
      <c r="W59" s="35">
        <v>2</v>
      </c>
    </row>
    <row r="60" spans="1:23" x14ac:dyDescent="0.2">
      <c r="A60" s="56">
        <v>98037</v>
      </c>
      <c r="B60" s="60" t="s">
        <v>10</v>
      </c>
      <c r="C60" s="45">
        <v>14</v>
      </c>
      <c r="D60" s="45">
        <v>12</v>
      </c>
      <c r="E60" s="45">
        <v>11</v>
      </c>
      <c r="M60" s="54">
        <v>98030</v>
      </c>
      <c r="N60" s="60" t="s">
        <v>10</v>
      </c>
      <c r="O60" s="35">
        <v>155</v>
      </c>
      <c r="P60" s="35">
        <v>133</v>
      </c>
      <c r="Q60" s="35">
        <v>154</v>
      </c>
      <c r="S60" s="78">
        <v>98053</v>
      </c>
      <c r="T60" s="60" t="s">
        <v>10</v>
      </c>
      <c r="U60" s="35">
        <v>0</v>
      </c>
      <c r="V60" s="35">
        <v>1</v>
      </c>
      <c r="W60" s="35">
        <v>0</v>
      </c>
    </row>
    <row r="61" spans="1:23" x14ac:dyDescent="0.2">
      <c r="A61" s="57">
        <v>98038</v>
      </c>
      <c r="B61" s="60" t="s">
        <v>333</v>
      </c>
      <c r="C61" s="45">
        <v>1</v>
      </c>
      <c r="D61" s="45">
        <v>1</v>
      </c>
      <c r="E61" s="45">
        <v>1</v>
      </c>
      <c r="M61" s="78">
        <v>98031</v>
      </c>
      <c r="N61" s="60" t="s">
        <v>333</v>
      </c>
      <c r="O61" s="35">
        <v>8</v>
      </c>
      <c r="P61" s="35">
        <v>13</v>
      </c>
      <c r="Q61" s="35">
        <v>14</v>
      </c>
      <c r="S61" s="78">
        <v>98055</v>
      </c>
      <c r="T61" s="60" t="s">
        <v>10</v>
      </c>
      <c r="U61" s="35">
        <v>5</v>
      </c>
      <c r="V61" s="35">
        <v>3</v>
      </c>
      <c r="W61" s="35">
        <v>4</v>
      </c>
    </row>
    <row r="62" spans="1:23" x14ac:dyDescent="0.2">
      <c r="A62" s="56">
        <v>98038</v>
      </c>
      <c r="B62" s="60" t="s">
        <v>10</v>
      </c>
      <c r="C62" s="45">
        <v>68</v>
      </c>
      <c r="D62" s="45">
        <v>65</v>
      </c>
      <c r="E62" s="45">
        <v>64</v>
      </c>
      <c r="M62" s="54">
        <v>98031</v>
      </c>
      <c r="N62" s="60" t="s">
        <v>334</v>
      </c>
      <c r="O62" s="35">
        <v>0</v>
      </c>
      <c r="P62" s="35">
        <v>1</v>
      </c>
      <c r="Q62" s="35">
        <v>1</v>
      </c>
      <c r="S62" s="78">
        <v>98056</v>
      </c>
      <c r="T62" s="60" t="s">
        <v>333</v>
      </c>
      <c r="U62" s="35">
        <v>0</v>
      </c>
      <c r="V62" s="35">
        <v>0</v>
      </c>
      <c r="W62" s="35">
        <v>1</v>
      </c>
    </row>
    <row r="63" spans="1:23" x14ac:dyDescent="0.2">
      <c r="A63" s="57">
        <v>98039</v>
      </c>
      <c r="B63" s="60" t="s">
        <v>10</v>
      </c>
      <c r="C63" s="45">
        <v>2</v>
      </c>
      <c r="D63" s="45">
        <v>2</v>
      </c>
      <c r="E63" s="45">
        <v>2</v>
      </c>
      <c r="M63" s="78">
        <v>98031</v>
      </c>
      <c r="N63" s="60" t="s">
        <v>10</v>
      </c>
      <c r="O63" s="35">
        <v>151</v>
      </c>
      <c r="P63" s="35">
        <v>125</v>
      </c>
      <c r="Q63" s="35">
        <v>139</v>
      </c>
      <c r="S63" s="78">
        <v>98056</v>
      </c>
      <c r="T63" s="60" t="s">
        <v>10</v>
      </c>
      <c r="U63" s="32">
        <v>10</v>
      </c>
      <c r="V63" s="32">
        <v>4</v>
      </c>
      <c r="W63" s="35">
        <v>4</v>
      </c>
    </row>
    <row r="64" spans="1:23" x14ac:dyDescent="0.2">
      <c r="A64" s="56">
        <v>98040</v>
      </c>
      <c r="B64" s="60" t="s">
        <v>333</v>
      </c>
      <c r="C64" s="45">
        <v>1</v>
      </c>
      <c r="D64" s="45">
        <v>1</v>
      </c>
      <c r="E64" s="45">
        <v>1</v>
      </c>
      <c r="M64" s="54">
        <v>98032</v>
      </c>
      <c r="N64" s="60" t="s">
        <v>333</v>
      </c>
      <c r="O64" s="35">
        <v>56</v>
      </c>
      <c r="P64" s="35">
        <v>41</v>
      </c>
      <c r="Q64" s="35">
        <v>53</v>
      </c>
      <c r="S64" s="78">
        <v>98057</v>
      </c>
      <c r="T64" s="60" t="s">
        <v>333</v>
      </c>
      <c r="U64" s="35">
        <v>0</v>
      </c>
      <c r="V64" s="35">
        <v>2</v>
      </c>
      <c r="W64" s="35">
        <v>2</v>
      </c>
    </row>
    <row r="65" spans="1:23" x14ac:dyDescent="0.2">
      <c r="A65" s="57">
        <v>98040</v>
      </c>
      <c r="B65" s="60" t="s">
        <v>10</v>
      </c>
      <c r="C65" s="45">
        <v>14</v>
      </c>
      <c r="D65" s="45">
        <v>11</v>
      </c>
      <c r="E65" s="45">
        <v>9</v>
      </c>
      <c r="M65" s="78">
        <v>98032</v>
      </c>
      <c r="N65" s="60" t="s">
        <v>10</v>
      </c>
      <c r="O65" s="35">
        <v>248</v>
      </c>
      <c r="P65" s="35">
        <v>209</v>
      </c>
      <c r="Q65" s="35">
        <v>428</v>
      </c>
      <c r="S65" s="78">
        <v>98057</v>
      </c>
      <c r="T65" s="60" t="s">
        <v>10</v>
      </c>
      <c r="U65" s="32">
        <v>3</v>
      </c>
      <c r="V65" s="32">
        <v>0</v>
      </c>
      <c r="W65" s="35">
        <v>3</v>
      </c>
    </row>
    <row r="66" spans="1:23" x14ac:dyDescent="0.2">
      <c r="A66" s="56">
        <v>98042</v>
      </c>
      <c r="B66" s="60" t="s">
        <v>333</v>
      </c>
      <c r="C66" s="45">
        <v>1</v>
      </c>
      <c r="D66" s="45">
        <v>1</v>
      </c>
      <c r="E66" s="45">
        <v>1</v>
      </c>
      <c r="M66" s="54">
        <v>98033</v>
      </c>
      <c r="N66" s="60" t="s">
        <v>333</v>
      </c>
      <c r="O66" s="35">
        <v>15</v>
      </c>
      <c r="P66" s="35">
        <v>38</v>
      </c>
      <c r="Q66" s="35">
        <v>19</v>
      </c>
      <c r="S66" s="54">
        <v>98058</v>
      </c>
      <c r="T66" s="60" t="s">
        <v>333</v>
      </c>
      <c r="U66" s="35">
        <v>1</v>
      </c>
      <c r="V66" s="35">
        <v>0</v>
      </c>
      <c r="W66" s="35">
        <v>0</v>
      </c>
    </row>
    <row r="67" spans="1:23" x14ac:dyDescent="0.2">
      <c r="A67" s="57">
        <v>98042</v>
      </c>
      <c r="B67" s="60" t="s">
        <v>10</v>
      </c>
      <c r="C67" s="45">
        <v>127</v>
      </c>
      <c r="D67" s="45">
        <v>116</v>
      </c>
      <c r="E67" s="45">
        <v>109</v>
      </c>
      <c r="M67" s="78">
        <v>98033</v>
      </c>
      <c r="N67" s="60" t="s">
        <v>10</v>
      </c>
      <c r="O67" s="35">
        <v>142</v>
      </c>
      <c r="P67" s="35">
        <v>196</v>
      </c>
      <c r="Q67" s="35">
        <v>332</v>
      </c>
      <c r="S67" s="78">
        <v>98058</v>
      </c>
      <c r="T67" s="60" t="s">
        <v>10</v>
      </c>
      <c r="U67" s="32">
        <v>5</v>
      </c>
      <c r="V67" s="35">
        <v>4</v>
      </c>
      <c r="W67" s="35">
        <v>6</v>
      </c>
    </row>
    <row r="68" spans="1:23" x14ac:dyDescent="0.2">
      <c r="A68" s="56">
        <v>98043</v>
      </c>
      <c r="B68" s="60" t="s">
        <v>10</v>
      </c>
      <c r="C68" s="45">
        <v>10</v>
      </c>
      <c r="D68" s="45">
        <v>9</v>
      </c>
      <c r="E68" s="45">
        <v>8</v>
      </c>
      <c r="M68" s="54">
        <v>98034</v>
      </c>
      <c r="N68" s="60" t="s">
        <v>333</v>
      </c>
      <c r="O68" s="35">
        <v>14</v>
      </c>
      <c r="P68" s="35">
        <v>33</v>
      </c>
      <c r="Q68" s="35">
        <v>22</v>
      </c>
      <c r="S68" s="78">
        <v>98059</v>
      </c>
      <c r="T68" s="60" t="s">
        <v>10</v>
      </c>
      <c r="U68" s="35">
        <v>1</v>
      </c>
      <c r="V68" s="35">
        <v>1</v>
      </c>
      <c r="W68" s="35">
        <v>3</v>
      </c>
    </row>
    <row r="69" spans="1:23" x14ac:dyDescent="0.2">
      <c r="A69" s="57">
        <v>98045</v>
      </c>
      <c r="B69" s="60" t="s">
        <v>333</v>
      </c>
      <c r="C69" s="45">
        <v>3</v>
      </c>
      <c r="D69" s="45">
        <v>3</v>
      </c>
      <c r="E69" s="45">
        <v>3</v>
      </c>
      <c r="M69" s="78">
        <v>98034</v>
      </c>
      <c r="N69" s="60" t="s">
        <v>10</v>
      </c>
      <c r="O69" s="35">
        <v>213</v>
      </c>
      <c r="P69" s="35">
        <v>236</v>
      </c>
      <c r="Q69" s="32">
        <v>267</v>
      </c>
      <c r="S69" s="78">
        <v>98065</v>
      </c>
      <c r="T69" s="60" t="s">
        <v>10</v>
      </c>
      <c r="U69" s="32">
        <v>0</v>
      </c>
      <c r="V69" s="32">
        <v>1</v>
      </c>
      <c r="W69" s="35">
        <v>1</v>
      </c>
    </row>
    <row r="70" spans="1:23" x14ac:dyDescent="0.2">
      <c r="A70" s="56">
        <v>98045</v>
      </c>
      <c r="B70" s="60" t="s">
        <v>10</v>
      </c>
      <c r="C70" s="45">
        <v>17</v>
      </c>
      <c r="D70" s="45">
        <v>17</v>
      </c>
      <c r="E70" s="45">
        <v>17</v>
      </c>
      <c r="M70" s="54">
        <v>98036</v>
      </c>
      <c r="N70" s="60" t="s">
        <v>333</v>
      </c>
      <c r="O70" s="35">
        <v>2</v>
      </c>
      <c r="P70" s="35">
        <v>7</v>
      </c>
      <c r="Q70" s="35">
        <v>11</v>
      </c>
      <c r="S70" s="54">
        <v>98070</v>
      </c>
      <c r="T70" s="60" t="s">
        <v>10</v>
      </c>
      <c r="U70" s="35">
        <v>1</v>
      </c>
      <c r="V70" s="35">
        <v>1</v>
      </c>
      <c r="W70" s="35">
        <v>0</v>
      </c>
    </row>
    <row r="71" spans="1:23" x14ac:dyDescent="0.2">
      <c r="A71" s="57">
        <v>98047</v>
      </c>
      <c r="B71" s="60" t="s">
        <v>333</v>
      </c>
      <c r="C71" s="45">
        <v>1</v>
      </c>
      <c r="D71" s="45">
        <v>1</v>
      </c>
      <c r="E71" s="45">
        <v>1</v>
      </c>
      <c r="M71" s="78">
        <v>98036</v>
      </c>
      <c r="N71" s="60" t="s">
        <v>10</v>
      </c>
      <c r="O71" s="35">
        <v>32</v>
      </c>
      <c r="P71" s="35">
        <v>44</v>
      </c>
      <c r="Q71" s="35">
        <v>42</v>
      </c>
      <c r="S71" s="78">
        <v>98072</v>
      </c>
      <c r="T71" s="60" t="s">
        <v>10</v>
      </c>
      <c r="U71" s="35">
        <v>1</v>
      </c>
      <c r="V71" s="35">
        <v>0</v>
      </c>
      <c r="W71" s="35">
        <v>0</v>
      </c>
    </row>
    <row r="72" spans="1:23" x14ac:dyDescent="0.2">
      <c r="A72" s="57">
        <v>98047</v>
      </c>
      <c r="B72" s="60" t="s">
        <v>10</v>
      </c>
      <c r="C72" s="45">
        <v>18</v>
      </c>
      <c r="D72" s="45">
        <v>18</v>
      </c>
      <c r="E72" s="45">
        <v>18</v>
      </c>
      <c r="M72" s="54">
        <v>98037</v>
      </c>
      <c r="N72" s="60" t="s">
        <v>333</v>
      </c>
      <c r="O72" s="35">
        <v>9</v>
      </c>
      <c r="P72" s="35">
        <v>3</v>
      </c>
      <c r="Q72" s="35">
        <v>3</v>
      </c>
      <c r="S72" s="54">
        <v>98074</v>
      </c>
      <c r="T72" s="60" t="s">
        <v>10</v>
      </c>
      <c r="U72" s="35">
        <v>3</v>
      </c>
      <c r="V72" s="35">
        <v>1</v>
      </c>
      <c r="W72" s="35">
        <v>0</v>
      </c>
    </row>
    <row r="73" spans="1:23" x14ac:dyDescent="0.2">
      <c r="A73" s="56">
        <v>98051</v>
      </c>
      <c r="B73" s="60" t="s">
        <v>10</v>
      </c>
      <c r="C73" s="45">
        <v>15</v>
      </c>
      <c r="D73" s="45">
        <v>14</v>
      </c>
      <c r="E73" s="45">
        <v>13</v>
      </c>
      <c r="M73" s="78">
        <v>98037</v>
      </c>
      <c r="N73" s="60" t="s">
        <v>10</v>
      </c>
      <c r="O73" s="32">
        <v>23</v>
      </c>
      <c r="P73" s="32">
        <v>25</v>
      </c>
      <c r="Q73" s="35">
        <v>41</v>
      </c>
      <c r="S73" s="78">
        <v>98075</v>
      </c>
      <c r="T73" s="60" t="s">
        <v>10</v>
      </c>
      <c r="U73" s="35">
        <v>2</v>
      </c>
      <c r="V73" s="35">
        <v>4</v>
      </c>
      <c r="W73" s="35">
        <v>5</v>
      </c>
    </row>
    <row r="74" spans="1:23" x14ac:dyDescent="0.2">
      <c r="A74" s="57">
        <v>98052</v>
      </c>
      <c r="B74" s="60" t="s">
        <v>333</v>
      </c>
      <c r="C74" s="45">
        <v>4</v>
      </c>
      <c r="D74" s="45">
        <v>3</v>
      </c>
      <c r="E74" s="45">
        <v>3</v>
      </c>
      <c r="M74" s="54">
        <v>98038</v>
      </c>
      <c r="N74" s="60" t="s">
        <v>333</v>
      </c>
      <c r="O74" s="35">
        <v>5</v>
      </c>
      <c r="P74" s="35">
        <v>5</v>
      </c>
      <c r="Q74" s="35">
        <v>12</v>
      </c>
      <c r="S74" s="78">
        <v>98077</v>
      </c>
      <c r="T74" s="60" t="s">
        <v>10</v>
      </c>
      <c r="U74" s="32">
        <v>1</v>
      </c>
      <c r="V74" s="32">
        <v>1</v>
      </c>
      <c r="W74" s="35">
        <v>1</v>
      </c>
    </row>
    <row r="75" spans="1:23" x14ac:dyDescent="0.2">
      <c r="A75" s="56">
        <v>98052</v>
      </c>
      <c r="B75" s="60" t="s">
        <v>10</v>
      </c>
      <c r="C75" s="45">
        <v>36</v>
      </c>
      <c r="D75" s="45">
        <v>36</v>
      </c>
      <c r="E75" s="45">
        <v>32</v>
      </c>
      <c r="M75" s="78">
        <v>98038</v>
      </c>
      <c r="N75" s="60" t="s">
        <v>10</v>
      </c>
      <c r="O75" s="35">
        <v>67</v>
      </c>
      <c r="P75" s="35">
        <v>48</v>
      </c>
      <c r="Q75" s="35">
        <v>87</v>
      </c>
      <c r="S75" s="54">
        <v>98087</v>
      </c>
      <c r="T75" s="60" t="s">
        <v>10</v>
      </c>
      <c r="U75" s="35">
        <v>1</v>
      </c>
      <c r="V75" s="35">
        <v>2</v>
      </c>
      <c r="W75" s="35">
        <v>2</v>
      </c>
    </row>
    <row r="76" spans="1:23" x14ac:dyDescent="0.2">
      <c r="A76" s="57">
        <v>98053</v>
      </c>
      <c r="B76" s="60" t="s">
        <v>10</v>
      </c>
      <c r="C76" s="45">
        <v>10</v>
      </c>
      <c r="D76" s="45">
        <v>10</v>
      </c>
      <c r="E76" s="45">
        <v>9</v>
      </c>
      <c r="M76" s="54">
        <v>98039</v>
      </c>
      <c r="N76" s="60" t="s">
        <v>333</v>
      </c>
      <c r="O76" s="35">
        <v>0</v>
      </c>
      <c r="P76" s="35">
        <v>1</v>
      </c>
      <c r="Q76" s="35">
        <v>0</v>
      </c>
      <c r="S76" s="78">
        <v>98092</v>
      </c>
      <c r="T76" s="60" t="s">
        <v>10</v>
      </c>
      <c r="U76" s="35">
        <v>11</v>
      </c>
      <c r="V76" s="35">
        <v>9</v>
      </c>
      <c r="W76" s="35">
        <v>4</v>
      </c>
    </row>
    <row r="77" spans="1:23" x14ac:dyDescent="0.2">
      <c r="A77" s="56">
        <v>98055</v>
      </c>
      <c r="B77" s="60" t="s">
        <v>10</v>
      </c>
      <c r="C77" s="45">
        <v>55</v>
      </c>
      <c r="D77" s="45">
        <v>50</v>
      </c>
      <c r="E77" s="45">
        <v>46</v>
      </c>
      <c r="M77" s="78">
        <v>98039</v>
      </c>
      <c r="N77" s="60" t="s">
        <v>10</v>
      </c>
      <c r="O77" s="35">
        <v>11</v>
      </c>
      <c r="P77" s="35">
        <v>7</v>
      </c>
      <c r="Q77" s="35">
        <v>12</v>
      </c>
      <c r="S77" s="78">
        <v>98101</v>
      </c>
      <c r="T77" s="60" t="s">
        <v>333</v>
      </c>
      <c r="U77" s="32">
        <v>0</v>
      </c>
      <c r="V77" s="32">
        <v>0</v>
      </c>
      <c r="W77" s="35">
        <v>1</v>
      </c>
    </row>
    <row r="78" spans="1:23" x14ac:dyDescent="0.2">
      <c r="A78" s="57">
        <v>98056</v>
      </c>
      <c r="B78" s="60" t="s">
        <v>333</v>
      </c>
      <c r="C78" s="45">
        <v>2</v>
      </c>
      <c r="D78" s="45">
        <v>2</v>
      </c>
      <c r="E78" s="45">
        <v>2</v>
      </c>
      <c r="M78" s="54">
        <v>98040</v>
      </c>
      <c r="N78" s="60" t="s">
        <v>333</v>
      </c>
      <c r="O78" s="35">
        <v>8</v>
      </c>
      <c r="P78" s="35">
        <v>3</v>
      </c>
      <c r="Q78" s="35">
        <v>2</v>
      </c>
      <c r="S78" s="78">
        <v>98103</v>
      </c>
      <c r="T78" s="60" t="s">
        <v>333</v>
      </c>
      <c r="U78" s="35">
        <v>0</v>
      </c>
      <c r="V78" s="35">
        <v>0</v>
      </c>
      <c r="W78" s="35">
        <v>1</v>
      </c>
    </row>
    <row r="79" spans="1:23" x14ac:dyDescent="0.2">
      <c r="A79" s="56">
        <v>98056</v>
      </c>
      <c r="B79" s="60" t="s">
        <v>10</v>
      </c>
      <c r="C79" s="45">
        <v>57</v>
      </c>
      <c r="D79" s="45">
        <v>48</v>
      </c>
      <c r="E79" s="45">
        <v>45</v>
      </c>
      <c r="M79" s="78">
        <v>98040</v>
      </c>
      <c r="N79" s="60" t="s">
        <v>10</v>
      </c>
      <c r="O79" s="32">
        <v>52</v>
      </c>
      <c r="P79" s="35">
        <v>57</v>
      </c>
      <c r="Q79" s="35">
        <v>70</v>
      </c>
      <c r="S79" s="78">
        <v>98103</v>
      </c>
      <c r="T79" s="60" t="s">
        <v>10</v>
      </c>
      <c r="U79" s="35">
        <v>0</v>
      </c>
      <c r="V79" s="35">
        <v>0</v>
      </c>
      <c r="W79" s="35">
        <v>3</v>
      </c>
    </row>
    <row r="80" spans="1:23" x14ac:dyDescent="0.2">
      <c r="A80" s="57">
        <v>98057</v>
      </c>
      <c r="B80" s="60" t="s">
        <v>333</v>
      </c>
      <c r="C80" s="45">
        <v>7</v>
      </c>
      <c r="D80" s="45">
        <v>7</v>
      </c>
      <c r="E80" s="45">
        <v>7</v>
      </c>
      <c r="M80" s="54">
        <v>98042</v>
      </c>
      <c r="N80" s="60" t="s">
        <v>333</v>
      </c>
      <c r="O80" s="35">
        <v>9</v>
      </c>
      <c r="P80" s="35">
        <v>11</v>
      </c>
      <c r="Q80" s="35">
        <v>10</v>
      </c>
      <c r="S80" s="78">
        <v>98105</v>
      </c>
      <c r="T80" s="60" t="s">
        <v>333</v>
      </c>
      <c r="U80" s="35">
        <v>1</v>
      </c>
      <c r="V80" s="35">
        <v>0</v>
      </c>
      <c r="W80" s="35">
        <v>0</v>
      </c>
    </row>
    <row r="81" spans="1:23" x14ac:dyDescent="0.2">
      <c r="A81" s="56">
        <v>98057</v>
      </c>
      <c r="B81" s="60" t="s">
        <v>10</v>
      </c>
      <c r="C81" s="45">
        <v>28</v>
      </c>
      <c r="D81" s="45">
        <v>24</v>
      </c>
      <c r="E81" s="45">
        <v>24</v>
      </c>
      <c r="M81" s="78">
        <v>98042</v>
      </c>
      <c r="N81" s="60" t="s">
        <v>10</v>
      </c>
      <c r="O81" s="35">
        <v>111</v>
      </c>
      <c r="P81" s="35">
        <v>100</v>
      </c>
      <c r="Q81" s="35">
        <v>180</v>
      </c>
      <c r="S81" s="78">
        <v>98105</v>
      </c>
      <c r="T81" s="60" t="s">
        <v>10</v>
      </c>
      <c r="U81" s="35">
        <v>1</v>
      </c>
      <c r="V81" s="35">
        <v>0</v>
      </c>
      <c r="W81" s="35">
        <v>0</v>
      </c>
    </row>
    <row r="82" spans="1:23" x14ac:dyDescent="0.2">
      <c r="A82" s="57">
        <v>98058</v>
      </c>
      <c r="B82" s="60" t="s">
        <v>333</v>
      </c>
      <c r="C82" s="45">
        <v>1</v>
      </c>
      <c r="D82" s="45">
        <v>0</v>
      </c>
      <c r="E82" s="45">
        <v>0</v>
      </c>
      <c r="M82" s="54">
        <v>98043</v>
      </c>
      <c r="N82" s="60" t="s">
        <v>333</v>
      </c>
      <c r="O82" s="35">
        <v>4</v>
      </c>
      <c r="P82" s="35">
        <v>2</v>
      </c>
      <c r="Q82" s="35">
        <v>0</v>
      </c>
      <c r="S82" s="78">
        <v>98106</v>
      </c>
      <c r="T82" s="60" t="s">
        <v>10</v>
      </c>
      <c r="U82" s="35">
        <v>0</v>
      </c>
      <c r="V82" s="32">
        <v>2</v>
      </c>
      <c r="W82" s="35">
        <v>2</v>
      </c>
    </row>
    <row r="83" spans="1:23" x14ac:dyDescent="0.2">
      <c r="A83" s="57">
        <v>98058</v>
      </c>
      <c r="B83" s="60" t="s">
        <v>10</v>
      </c>
      <c r="C83" s="45">
        <v>70</v>
      </c>
      <c r="D83" s="45">
        <v>66</v>
      </c>
      <c r="E83" s="45">
        <v>62</v>
      </c>
      <c r="M83" s="78">
        <v>98043</v>
      </c>
      <c r="N83" s="60" t="s">
        <v>10</v>
      </c>
      <c r="O83" s="35">
        <v>22</v>
      </c>
      <c r="P83" s="35">
        <v>15</v>
      </c>
      <c r="Q83" s="35">
        <v>21</v>
      </c>
      <c r="S83" s="78">
        <v>98107</v>
      </c>
      <c r="T83" s="60" t="s">
        <v>333</v>
      </c>
      <c r="U83" s="35">
        <v>0</v>
      </c>
      <c r="V83" s="35">
        <v>1</v>
      </c>
      <c r="W83" s="35">
        <v>0</v>
      </c>
    </row>
    <row r="84" spans="1:23" x14ac:dyDescent="0.2">
      <c r="A84" s="56">
        <v>98059</v>
      </c>
      <c r="B84" s="60" t="s">
        <v>10</v>
      </c>
      <c r="C84" s="45">
        <v>40</v>
      </c>
      <c r="D84" s="45">
        <v>39</v>
      </c>
      <c r="E84" s="45">
        <v>39</v>
      </c>
      <c r="M84" s="54">
        <v>98045</v>
      </c>
      <c r="N84" s="60" t="s">
        <v>333</v>
      </c>
      <c r="O84" s="35">
        <v>1</v>
      </c>
      <c r="P84" s="35">
        <v>1</v>
      </c>
      <c r="Q84" s="35">
        <v>3</v>
      </c>
      <c r="S84" s="78">
        <v>98107</v>
      </c>
      <c r="T84" s="60" t="s">
        <v>10</v>
      </c>
      <c r="U84" s="35">
        <v>1</v>
      </c>
      <c r="V84" s="35">
        <v>1</v>
      </c>
      <c r="W84" s="35">
        <v>0</v>
      </c>
    </row>
    <row r="85" spans="1:23" x14ac:dyDescent="0.2">
      <c r="A85" s="57">
        <v>98065</v>
      </c>
      <c r="B85" s="60" t="s">
        <v>333</v>
      </c>
      <c r="C85" s="45">
        <v>3</v>
      </c>
      <c r="D85" s="45">
        <v>3</v>
      </c>
      <c r="E85" s="45">
        <v>3</v>
      </c>
      <c r="M85" s="78">
        <v>98045</v>
      </c>
      <c r="N85" s="60" t="s">
        <v>10</v>
      </c>
      <c r="O85" s="35">
        <v>26</v>
      </c>
      <c r="P85" s="35">
        <v>14</v>
      </c>
      <c r="Q85" s="32">
        <v>40</v>
      </c>
      <c r="S85" s="78">
        <v>98108</v>
      </c>
      <c r="T85" s="60" t="s">
        <v>333</v>
      </c>
      <c r="U85" s="35">
        <v>0</v>
      </c>
      <c r="V85" s="35">
        <v>1</v>
      </c>
      <c r="W85" s="35">
        <v>0</v>
      </c>
    </row>
    <row r="86" spans="1:23" x14ac:dyDescent="0.2">
      <c r="A86" s="56">
        <v>98065</v>
      </c>
      <c r="B86" s="60" t="s">
        <v>10</v>
      </c>
      <c r="C86" s="45">
        <v>17</v>
      </c>
      <c r="D86" s="45">
        <v>17</v>
      </c>
      <c r="E86" s="45">
        <v>17</v>
      </c>
      <c r="M86" s="54">
        <v>98047</v>
      </c>
      <c r="N86" s="60" t="s">
        <v>333</v>
      </c>
      <c r="O86" s="35">
        <v>3</v>
      </c>
      <c r="P86" s="32">
        <v>6</v>
      </c>
      <c r="Q86" s="32">
        <v>3</v>
      </c>
      <c r="S86" s="78">
        <v>98108</v>
      </c>
      <c r="T86" s="60" t="s">
        <v>10</v>
      </c>
      <c r="U86" s="35">
        <v>2</v>
      </c>
      <c r="V86" s="35">
        <v>0</v>
      </c>
      <c r="W86" s="35">
        <v>3</v>
      </c>
    </row>
    <row r="87" spans="1:23" x14ac:dyDescent="0.2">
      <c r="A87" s="57">
        <v>98068</v>
      </c>
      <c r="B87" s="60" t="s">
        <v>10</v>
      </c>
      <c r="C87" s="45">
        <v>1</v>
      </c>
      <c r="D87" s="45">
        <v>1</v>
      </c>
      <c r="E87" s="45">
        <v>1</v>
      </c>
      <c r="M87" s="78">
        <v>98047</v>
      </c>
      <c r="N87" s="60" t="s">
        <v>10</v>
      </c>
      <c r="O87" s="35">
        <v>28</v>
      </c>
      <c r="P87" s="35">
        <v>25</v>
      </c>
      <c r="Q87" s="35">
        <v>33</v>
      </c>
      <c r="S87" s="78">
        <v>98110</v>
      </c>
      <c r="T87" s="60" t="s">
        <v>10</v>
      </c>
      <c r="U87" s="35">
        <v>1</v>
      </c>
      <c r="V87" s="32">
        <v>0</v>
      </c>
      <c r="W87" s="35">
        <v>2</v>
      </c>
    </row>
    <row r="88" spans="1:23" x14ac:dyDescent="0.2">
      <c r="A88" s="57">
        <v>98070</v>
      </c>
      <c r="B88" s="60" t="s">
        <v>10</v>
      </c>
      <c r="C88" s="45">
        <v>17</v>
      </c>
      <c r="D88" s="45">
        <v>16</v>
      </c>
      <c r="E88" s="45">
        <v>14</v>
      </c>
      <c r="M88" s="54">
        <v>98050</v>
      </c>
      <c r="N88" s="60" t="s">
        <v>333</v>
      </c>
      <c r="O88" s="35">
        <v>1</v>
      </c>
      <c r="P88" s="35">
        <v>1</v>
      </c>
      <c r="Q88" s="35">
        <v>1</v>
      </c>
      <c r="S88" s="78">
        <v>98112</v>
      </c>
      <c r="T88" s="60" t="s">
        <v>10</v>
      </c>
      <c r="U88" s="35">
        <v>2</v>
      </c>
      <c r="V88" s="35">
        <v>0</v>
      </c>
      <c r="W88" s="35">
        <v>0</v>
      </c>
    </row>
    <row r="89" spans="1:23" x14ac:dyDescent="0.2">
      <c r="A89" s="56">
        <v>98072</v>
      </c>
      <c r="B89" s="60" t="s">
        <v>333</v>
      </c>
      <c r="C89" s="45">
        <v>1</v>
      </c>
      <c r="D89" s="45">
        <v>1</v>
      </c>
      <c r="E89" s="45">
        <v>1</v>
      </c>
      <c r="M89" s="78">
        <v>98050</v>
      </c>
      <c r="N89" s="60" t="s">
        <v>10</v>
      </c>
      <c r="O89" s="35">
        <v>0</v>
      </c>
      <c r="P89" s="35">
        <v>2</v>
      </c>
      <c r="Q89" s="35">
        <v>3</v>
      </c>
      <c r="S89" s="78">
        <v>98115</v>
      </c>
      <c r="T89" s="60" t="s">
        <v>333</v>
      </c>
      <c r="U89" s="35">
        <v>1</v>
      </c>
      <c r="V89" s="32">
        <v>0</v>
      </c>
      <c r="W89" s="35">
        <v>0</v>
      </c>
    </row>
    <row r="90" spans="1:23" x14ac:dyDescent="0.2">
      <c r="A90" s="57">
        <v>98072</v>
      </c>
      <c r="B90" s="60" t="s">
        <v>10</v>
      </c>
      <c r="C90" s="45">
        <v>23</v>
      </c>
      <c r="D90" s="45">
        <v>22</v>
      </c>
      <c r="E90" s="45">
        <v>22</v>
      </c>
      <c r="M90" s="54">
        <v>98051</v>
      </c>
      <c r="N90" s="60" t="s">
        <v>333</v>
      </c>
      <c r="O90" s="35">
        <v>1</v>
      </c>
      <c r="P90" s="35">
        <v>0</v>
      </c>
      <c r="Q90" s="35">
        <v>2</v>
      </c>
      <c r="S90" s="78">
        <v>98115</v>
      </c>
      <c r="T90" s="60" t="s">
        <v>10</v>
      </c>
      <c r="U90" s="35">
        <v>2</v>
      </c>
      <c r="V90" s="35">
        <v>0</v>
      </c>
      <c r="W90" s="32">
        <v>0</v>
      </c>
    </row>
    <row r="91" spans="1:23" x14ac:dyDescent="0.2">
      <c r="A91" s="56">
        <v>98074</v>
      </c>
      <c r="B91" s="60" t="s">
        <v>333</v>
      </c>
      <c r="C91" s="45">
        <v>1</v>
      </c>
      <c r="D91" s="45">
        <v>1</v>
      </c>
      <c r="E91" s="45">
        <v>1</v>
      </c>
      <c r="M91" s="78">
        <v>98051</v>
      </c>
      <c r="N91" s="60" t="s">
        <v>10</v>
      </c>
      <c r="O91" s="35">
        <v>5</v>
      </c>
      <c r="P91" s="35">
        <v>5</v>
      </c>
      <c r="Q91" s="35">
        <v>9</v>
      </c>
      <c r="S91" s="78">
        <v>98116</v>
      </c>
      <c r="T91" s="60" t="s">
        <v>333</v>
      </c>
      <c r="U91" s="32">
        <v>0</v>
      </c>
      <c r="V91" s="32">
        <v>1</v>
      </c>
      <c r="W91" s="35">
        <v>0</v>
      </c>
    </row>
    <row r="92" spans="1:23" x14ac:dyDescent="0.2">
      <c r="A92" s="57">
        <v>98074</v>
      </c>
      <c r="B92" s="60" t="s">
        <v>10</v>
      </c>
      <c r="C92" s="45">
        <v>14</v>
      </c>
      <c r="D92" s="45">
        <v>12</v>
      </c>
      <c r="E92" s="45">
        <v>11</v>
      </c>
      <c r="M92" s="54">
        <v>98052</v>
      </c>
      <c r="N92" s="60" t="s">
        <v>333</v>
      </c>
      <c r="O92" s="35">
        <v>37</v>
      </c>
      <c r="P92" s="35">
        <v>21</v>
      </c>
      <c r="Q92" s="35">
        <v>40</v>
      </c>
      <c r="S92" s="54">
        <v>98116</v>
      </c>
      <c r="T92" s="60" t="s">
        <v>10</v>
      </c>
      <c r="U92" s="35">
        <v>0</v>
      </c>
      <c r="V92" s="35">
        <v>0</v>
      </c>
      <c r="W92" s="35">
        <v>1</v>
      </c>
    </row>
    <row r="93" spans="1:23" x14ac:dyDescent="0.2">
      <c r="A93" s="56">
        <v>98075</v>
      </c>
      <c r="B93" s="60" t="s">
        <v>10</v>
      </c>
      <c r="C93" s="45">
        <v>16</v>
      </c>
      <c r="D93" s="45">
        <v>14</v>
      </c>
      <c r="E93" s="45">
        <v>10</v>
      </c>
      <c r="M93" s="78">
        <v>98052</v>
      </c>
      <c r="N93" s="60" t="s">
        <v>10</v>
      </c>
      <c r="O93" s="35">
        <v>432</v>
      </c>
      <c r="P93" s="35">
        <v>513</v>
      </c>
      <c r="Q93" s="35">
        <v>590</v>
      </c>
      <c r="S93" s="78">
        <v>98117</v>
      </c>
      <c r="T93" s="60" t="s">
        <v>10</v>
      </c>
      <c r="U93" s="32">
        <v>2</v>
      </c>
      <c r="V93" s="35">
        <v>3</v>
      </c>
      <c r="W93" s="35">
        <v>0</v>
      </c>
    </row>
    <row r="94" spans="1:23" x14ac:dyDescent="0.2">
      <c r="A94" s="57">
        <v>98077</v>
      </c>
      <c r="B94" s="60" t="s">
        <v>10</v>
      </c>
      <c r="C94" s="45">
        <v>11</v>
      </c>
      <c r="D94" s="45">
        <v>10</v>
      </c>
      <c r="E94" s="45">
        <v>9</v>
      </c>
      <c r="M94" s="54">
        <v>98053</v>
      </c>
      <c r="N94" s="60" t="s">
        <v>333</v>
      </c>
      <c r="O94" s="35">
        <v>2</v>
      </c>
      <c r="P94" s="35">
        <v>4</v>
      </c>
      <c r="Q94" s="35">
        <v>2</v>
      </c>
      <c r="S94" s="78">
        <v>98118</v>
      </c>
      <c r="T94" s="60" t="s">
        <v>333</v>
      </c>
      <c r="U94" s="35">
        <v>0</v>
      </c>
      <c r="V94" s="35">
        <v>0</v>
      </c>
      <c r="W94" s="35">
        <v>1</v>
      </c>
    </row>
    <row r="95" spans="1:23" x14ac:dyDescent="0.2">
      <c r="A95" s="56">
        <v>98087</v>
      </c>
      <c r="B95" s="60" t="s">
        <v>10</v>
      </c>
      <c r="C95" s="45">
        <v>18</v>
      </c>
      <c r="D95" s="45">
        <v>18</v>
      </c>
      <c r="E95" s="45">
        <v>16</v>
      </c>
      <c r="M95" s="78">
        <v>98053</v>
      </c>
      <c r="N95" s="60" t="s">
        <v>10</v>
      </c>
      <c r="O95" s="35">
        <v>33</v>
      </c>
      <c r="P95" s="35">
        <v>24</v>
      </c>
      <c r="Q95" s="35">
        <v>43</v>
      </c>
      <c r="S95" s="78">
        <v>98118</v>
      </c>
      <c r="T95" s="60" t="s">
        <v>10</v>
      </c>
      <c r="U95" s="32">
        <v>3</v>
      </c>
      <c r="V95" s="32">
        <v>1</v>
      </c>
      <c r="W95" s="35">
        <v>4</v>
      </c>
    </row>
    <row r="96" spans="1:23" x14ac:dyDescent="0.2">
      <c r="A96" s="57">
        <v>98092</v>
      </c>
      <c r="B96" s="60" t="s">
        <v>333</v>
      </c>
      <c r="C96" s="45">
        <v>1</v>
      </c>
      <c r="D96" s="45">
        <v>1</v>
      </c>
      <c r="E96" s="45">
        <v>1</v>
      </c>
      <c r="M96" s="54">
        <v>98055</v>
      </c>
      <c r="N96" s="60" t="s">
        <v>333</v>
      </c>
      <c r="O96" s="35">
        <v>3</v>
      </c>
      <c r="P96" s="35">
        <v>5</v>
      </c>
      <c r="Q96" s="35">
        <v>2</v>
      </c>
      <c r="S96" s="78">
        <v>98121</v>
      </c>
      <c r="T96" s="60" t="s">
        <v>10</v>
      </c>
      <c r="U96" s="35">
        <v>1</v>
      </c>
      <c r="V96" s="35">
        <v>0</v>
      </c>
      <c r="W96" s="35">
        <v>0</v>
      </c>
    </row>
    <row r="97" spans="1:23" x14ac:dyDescent="0.2">
      <c r="A97" s="56">
        <v>98092</v>
      </c>
      <c r="B97" s="60" t="s">
        <v>10</v>
      </c>
      <c r="C97" s="45">
        <v>109</v>
      </c>
      <c r="D97" s="45">
        <v>99</v>
      </c>
      <c r="E97" s="45">
        <v>91</v>
      </c>
      <c r="M97" s="78">
        <v>98055</v>
      </c>
      <c r="N97" s="60" t="s">
        <v>334</v>
      </c>
      <c r="O97" s="35">
        <v>0</v>
      </c>
      <c r="P97" s="35">
        <v>1</v>
      </c>
      <c r="Q97" s="35">
        <v>0</v>
      </c>
      <c r="S97" s="78">
        <v>98122</v>
      </c>
      <c r="T97" s="60" t="s">
        <v>10</v>
      </c>
      <c r="U97" s="32">
        <v>1</v>
      </c>
      <c r="V97" s="35">
        <v>0</v>
      </c>
      <c r="W97" s="32">
        <v>0</v>
      </c>
    </row>
    <row r="98" spans="1:23" x14ac:dyDescent="0.2">
      <c r="A98" s="57">
        <v>98101</v>
      </c>
      <c r="B98" s="60" t="s">
        <v>333</v>
      </c>
      <c r="C98" s="45">
        <v>2</v>
      </c>
      <c r="D98" s="45">
        <v>2</v>
      </c>
      <c r="E98" s="45">
        <v>2</v>
      </c>
      <c r="M98" s="54">
        <v>98055</v>
      </c>
      <c r="N98" s="60" t="s">
        <v>10</v>
      </c>
      <c r="O98" s="35">
        <v>103</v>
      </c>
      <c r="P98" s="35">
        <v>122</v>
      </c>
      <c r="Q98" s="35">
        <v>110</v>
      </c>
      <c r="S98" s="54">
        <v>98125</v>
      </c>
      <c r="T98" s="60" t="s">
        <v>10</v>
      </c>
      <c r="U98" s="32">
        <v>1</v>
      </c>
      <c r="V98" s="32">
        <v>0</v>
      </c>
      <c r="W98" s="35">
        <v>0</v>
      </c>
    </row>
    <row r="99" spans="1:23" x14ac:dyDescent="0.2">
      <c r="A99" s="56">
        <v>98102</v>
      </c>
      <c r="B99" s="60" t="s">
        <v>333</v>
      </c>
      <c r="C99" s="45">
        <v>2</v>
      </c>
      <c r="D99" s="45">
        <v>2</v>
      </c>
      <c r="E99" s="45">
        <v>2</v>
      </c>
      <c r="M99" s="78">
        <v>98056</v>
      </c>
      <c r="N99" s="60" t="s">
        <v>333</v>
      </c>
      <c r="O99" s="35">
        <v>19</v>
      </c>
      <c r="P99" s="35">
        <v>11</v>
      </c>
      <c r="Q99" s="35">
        <v>2</v>
      </c>
      <c r="S99" s="78">
        <v>98126</v>
      </c>
      <c r="T99" s="60" t="s">
        <v>10</v>
      </c>
      <c r="U99" s="35">
        <v>2</v>
      </c>
      <c r="V99" s="35">
        <v>0</v>
      </c>
      <c r="W99" s="35">
        <v>2</v>
      </c>
    </row>
    <row r="100" spans="1:23" x14ac:dyDescent="0.2">
      <c r="A100" s="57">
        <v>98102</v>
      </c>
      <c r="B100" s="60" t="s">
        <v>10</v>
      </c>
      <c r="C100" s="45">
        <v>1</v>
      </c>
      <c r="D100" s="45">
        <v>1</v>
      </c>
      <c r="E100" s="45">
        <v>1</v>
      </c>
      <c r="M100" s="54">
        <v>98056</v>
      </c>
      <c r="N100" s="60" t="s">
        <v>10</v>
      </c>
      <c r="O100" s="35">
        <v>177</v>
      </c>
      <c r="P100" s="35">
        <v>243</v>
      </c>
      <c r="Q100" s="35">
        <v>164</v>
      </c>
      <c r="S100" s="78">
        <v>98133</v>
      </c>
      <c r="T100" s="60" t="s">
        <v>10</v>
      </c>
      <c r="U100" s="32">
        <v>0</v>
      </c>
      <c r="V100" s="32">
        <v>2</v>
      </c>
      <c r="W100" s="35">
        <v>2</v>
      </c>
    </row>
    <row r="101" spans="1:23" x14ac:dyDescent="0.2">
      <c r="A101" s="57">
        <v>98103</v>
      </c>
      <c r="B101" s="60" t="s">
        <v>10</v>
      </c>
      <c r="C101" s="45">
        <v>8</v>
      </c>
      <c r="D101" s="45">
        <v>8</v>
      </c>
      <c r="E101" s="45">
        <v>8</v>
      </c>
      <c r="M101" s="78">
        <v>98057</v>
      </c>
      <c r="N101" s="60" t="s">
        <v>333</v>
      </c>
      <c r="O101" s="35">
        <v>10</v>
      </c>
      <c r="P101" s="35">
        <v>12</v>
      </c>
      <c r="Q101" s="35">
        <v>11</v>
      </c>
      <c r="S101" s="54">
        <v>98134</v>
      </c>
      <c r="T101" s="60" t="s">
        <v>333</v>
      </c>
      <c r="U101" s="35">
        <v>0</v>
      </c>
      <c r="V101" s="35">
        <v>1</v>
      </c>
      <c r="W101" s="35">
        <v>0</v>
      </c>
    </row>
    <row r="102" spans="1:23" x14ac:dyDescent="0.2">
      <c r="A102" s="56">
        <v>98104</v>
      </c>
      <c r="B102" s="60" t="s">
        <v>333</v>
      </c>
      <c r="C102" s="45">
        <v>1</v>
      </c>
      <c r="D102" s="45">
        <v>1</v>
      </c>
      <c r="E102" s="45">
        <v>1</v>
      </c>
      <c r="M102" s="54">
        <v>98057</v>
      </c>
      <c r="N102" s="60" t="s">
        <v>10</v>
      </c>
      <c r="O102" s="35">
        <v>81</v>
      </c>
      <c r="P102" s="35">
        <v>81</v>
      </c>
      <c r="Q102" s="35">
        <v>97</v>
      </c>
      <c r="S102" s="78">
        <v>98136</v>
      </c>
      <c r="T102" s="60" t="s">
        <v>10</v>
      </c>
      <c r="U102" s="32">
        <v>2</v>
      </c>
      <c r="V102" s="35">
        <v>0</v>
      </c>
      <c r="W102" s="35">
        <v>1</v>
      </c>
    </row>
    <row r="103" spans="1:23" x14ac:dyDescent="0.2">
      <c r="A103" s="57">
        <v>98104</v>
      </c>
      <c r="B103" s="60" t="s">
        <v>10</v>
      </c>
      <c r="C103" s="45">
        <v>1</v>
      </c>
      <c r="D103" s="45">
        <v>1</v>
      </c>
      <c r="E103" s="45">
        <v>1</v>
      </c>
      <c r="M103" s="78">
        <v>98058</v>
      </c>
      <c r="N103" s="60" t="s">
        <v>333</v>
      </c>
      <c r="O103" s="35">
        <v>1</v>
      </c>
      <c r="P103" s="35">
        <v>2</v>
      </c>
      <c r="Q103" s="35">
        <v>8</v>
      </c>
      <c r="S103" s="78">
        <v>98144</v>
      </c>
      <c r="T103" s="60" t="s">
        <v>10</v>
      </c>
      <c r="U103" s="35">
        <v>0</v>
      </c>
      <c r="V103" s="35">
        <v>0</v>
      </c>
      <c r="W103" s="35">
        <v>1</v>
      </c>
    </row>
    <row r="104" spans="1:23" x14ac:dyDescent="0.2">
      <c r="A104" s="56">
        <v>98105</v>
      </c>
      <c r="B104" s="60" t="s">
        <v>333</v>
      </c>
      <c r="C104" s="45">
        <v>2</v>
      </c>
      <c r="D104" s="45">
        <v>1</v>
      </c>
      <c r="E104" s="45">
        <v>1</v>
      </c>
      <c r="M104" s="54">
        <v>98058</v>
      </c>
      <c r="N104" s="60" t="s">
        <v>10</v>
      </c>
      <c r="O104" s="35">
        <v>125</v>
      </c>
      <c r="P104" s="35">
        <v>130</v>
      </c>
      <c r="Q104" s="35">
        <v>137</v>
      </c>
      <c r="S104" s="78">
        <v>98146</v>
      </c>
      <c r="T104" s="60" t="s">
        <v>10</v>
      </c>
      <c r="U104" s="35">
        <v>2</v>
      </c>
      <c r="V104" s="32">
        <v>0</v>
      </c>
      <c r="W104" s="32">
        <v>2</v>
      </c>
    </row>
    <row r="105" spans="1:23" x14ac:dyDescent="0.2">
      <c r="A105" s="57">
        <v>98105</v>
      </c>
      <c r="B105" s="60" t="s">
        <v>10</v>
      </c>
      <c r="C105" s="45">
        <v>5</v>
      </c>
      <c r="D105" s="45">
        <v>4</v>
      </c>
      <c r="E105" s="45">
        <v>4</v>
      </c>
      <c r="M105" s="78">
        <v>98059</v>
      </c>
      <c r="N105" s="60" t="s">
        <v>333</v>
      </c>
      <c r="O105" s="35">
        <v>8</v>
      </c>
      <c r="P105" s="32">
        <v>1</v>
      </c>
      <c r="Q105" s="32">
        <v>2</v>
      </c>
      <c r="S105" s="54">
        <v>98148</v>
      </c>
      <c r="T105" s="60" t="s">
        <v>10</v>
      </c>
      <c r="U105" s="35">
        <v>1</v>
      </c>
      <c r="V105" s="35">
        <v>1</v>
      </c>
      <c r="W105" s="35">
        <v>3</v>
      </c>
    </row>
    <row r="106" spans="1:23" x14ac:dyDescent="0.2">
      <c r="A106" s="56">
        <v>98106</v>
      </c>
      <c r="B106" s="60" t="s">
        <v>10</v>
      </c>
      <c r="C106" s="45">
        <v>11</v>
      </c>
      <c r="D106" s="45">
        <v>11</v>
      </c>
      <c r="E106" s="45">
        <v>9</v>
      </c>
      <c r="M106" s="54">
        <v>98059</v>
      </c>
      <c r="N106" s="60" t="s">
        <v>334</v>
      </c>
      <c r="O106" s="35">
        <v>0</v>
      </c>
      <c r="P106" s="35">
        <v>0</v>
      </c>
      <c r="Q106" s="35">
        <v>1</v>
      </c>
      <c r="S106" s="78">
        <v>98166</v>
      </c>
      <c r="T106" s="60" t="s">
        <v>10</v>
      </c>
      <c r="U106" s="35">
        <v>0</v>
      </c>
      <c r="V106" s="35">
        <v>3</v>
      </c>
      <c r="W106" s="35">
        <v>0</v>
      </c>
    </row>
    <row r="107" spans="1:23" x14ac:dyDescent="0.2">
      <c r="A107" s="57">
        <v>98107</v>
      </c>
      <c r="B107" s="60" t="s">
        <v>333</v>
      </c>
      <c r="C107" s="45">
        <v>1</v>
      </c>
      <c r="D107" s="45">
        <v>1</v>
      </c>
      <c r="E107" s="45">
        <v>0</v>
      </c>
      <c r="M107" s="78">
        <v>98059</v>
      </c>
      <c r="N107" s="60" t="s">
        <v>10</v>
      </c>
      <c r="O107" s="35">
        <v>111</v>
      </c>
      <c r="P107" s="35">
        <v>97</v>
      </c>
      <c r="Q107" s="35">
        <v>101</v>
      </c>
      <c r="S107" s="78">
        <v>98168</v>
      </c>
      <c r="T107" s="60" t="s">
        <v>10</v>
      </c>
      <c r="U107" s="35">
        <v>0</v>
      </c>
      <c r="V107" s="35">
        <v>2</v>
      </c>
      <c r="W107" s="35">
        <v>0</v>
      </c>
    </row>
    <row r="108" spans="1:23" x14ac:dyDescent="0.2">
      <c r="A108" s="57">
        <v>98107</v>
      </c>
      <c r="B108" s="60" t="s">
        <v>10</v>
      </c>
      <c r="C108" s="45">
        <v>4</v>
      </c>
      <c r="D108" s="45">
        <v>3</v>
      </c>
      <c r="E108" s="45">
        <v>2</v>
      </c>
      <c r="M108" s="54">
        <v>98065</v>
      </c>
      <c r="N108" s="60" t="s">
        <v>333</v>
      </c>
      <c r="O108" s="35">
        <v>4</v>
      </c>
      <c r="P108" s="35">
        <v>8</v>
      </c>
      <c r="Q108" s="35">
        <v>2</v>
      </c>
      <c r="S108" s="78">
        <v>98177</v>
      </c>
      <c r="T108" s="60" t="s">
        <v>10</v>
      </c>
      <c r="U108" s="35">
        <v>0</v>
      </c>
      <c r="V108" s="32">
        <v>2</v>
      </c>
      <c r="W108" s="35">
        <v>1</v>
      </c>
    </row>
    <row r="109" spans="1:23" x14ac:dyDescent="0.2">
      <c r="A109" s="57">
        <v>98108</v>
      </c>
      <c r="B109" s="60" t="s">
        <v>333</v>
      </c>
      <c r="C109" s="45">
        <v>4</v>
      </c>
      <c r="D109" s="45">
        <v>4</v>
      </c>
      <c r="E109" s="45">
        <v>4</v>
      </c>
      <c r="M109" s="78">
        <v>98065</v>
      </c>
      <c r="N109" s="60" t="s">
        <v>334</v>
      </c>
      <c r="O109" s="35">
        <v>0</v>
      </c>
      <c r="P109" s="35">
        <v>1</v>
      </c>
      <c r="Q109" s="35">
        <v>0</v>
      </c>
      <c r="S109" s="78">
        <v>98178</v>
      </c>
      <c r="T109" s="60" t="s">
        <v>10</v>
      </c>
      <c r="U109" s="35">
        <v>2</v>
      </c>
      <c r="V109" s="32">
        <v>2</v>
      </c>
      <c r="W109" s="35">
        <v>1</v>
      </c>
    </row>
    <row r="110" spans="1:23" x14ac:dyDescent="0.2">
      <c r="A110" s="57">
        <v>98108</v>
      </c>
      <c r="B110" s="60" t="s">
        <v>10</v>
      </c>
      <c r="C110" s="45">
        <v>10</v>
      </c>
      <c r="D110" s="45">
        <v>8</v>
      </c>
      <c r="E110" s="45">
        <v>8</v>
      </c>
      <c r="M110" s="54">
        <v>98065</v>
      </c>
      <c r="N110" s="60" t="s">
        <v>10</v>
      </c>
      <c r="O110" s="35">
        <v>17</v>
      </c>
      <c r="P110" s="35">
        <v>26</v>
      </c>
      <c r="Q110" s="35">
        <v>25</v>
      </c>
      <c r="S110" s="54">
        <v>98188</v>
      </c>
      <c r="T110" s="60" t="s">
        <v>10</v>
      </c>
      <c r="U110" s="35">
        <v>4</v>
      </c>
      <c r="V110" s="35">
        <v>5</v>
      </c>
      <c r="W110" s="35">
        <v>6</v>
      </c>
    </row>
    <row r="111" spans="1:23" x14ac:dyDescent="0.2">
      <c r="A111" s="56">
        <v>98109</v>
      </c>
      <c r="B111" s="60" t="s">
        <v>10</v>
      </c>
      <c r="C111" s="45">
        <v>3</v>
      </c>
      <c r="D111" s="45">
        <v>3</v>
      </c>
      <c r="E111" s="45">
        <v>3</v>
      </c>
      <c r="M111" s="78">
        <v>98068</v>
      </c>
      <c r="N111" s="60" t="s">
        <v>333</v>
      </c>
      <c r="O111" s="35">
        <v>1</v>
      </c>
      <c r="P111" s="35">
        <v>1</v>
      </c>
      <c r="Q111" s="35">
        <v>0</v>
      </c>
      <c r="S111" s="78">
        <v>98198</v>
      </c>
      <c r="T111" s="60" t="s">
        <v>333</v>
      </c>
      <c r="U111" s="35">
        <v>0</v>
      </c>
      <c r="V111" s="32">
        <v>1</v>
      </c>
      <c r="W111" s="35">
        <v>0</v>
      </c>
    </row>
    <row r="112" spans="1:23" x14ac:dyDescent="0.2">
      <c r="A112" s="57">
        <v>98110</v>
      </c>
      <c r="B112" s="60" t="s">
        <v>10</v>
      </c>
      <c r="C112" s="45">
        <v>19</v>
      </c>
      <c r="D112" s="45">
        <v>18</v>
      </c>
      <c r="E112" s="45">
        <v>18</v>
      </c>
      <c r="M112" s="54">
        <v>98068</v>
      </c>
      <c r="N112" s="60" t="s">
        <v>10</v>
      </c>
      <c r="O112" s="35">
        <v>2</v>
      </c>
      <c r="P112" s="35">
        <v>4</v>
      </c>
      <c r="Q112" s="35">
        <v>0</v>
      </c>
      <c r="S112" s="54">
        <v>98198</v>
      </c>
      <c r="T112" s="60" t="s">
        <v>10</v>
      </c>
      <c r="U112" s="35">
        <v>5</v>
      </c>
      <c r="V112" s="35">
        <v>7</v>
      </c>
      <c r="W112" s="35">
        <v>11</v>
      </c>
    </row>
    <row r="113" spans="1:23" x14ac:dyDescent="0.2">
      <c r="A113" s="57">
        <v>98112</v>
      </c>
      <c r="B113" s="60" t="s">
        <v>10</v>
      </c>
      <c r="C113" s="45">
        <v>7</v>
      </c>
      <c r="D113" s="45">
        <v>5</v>
      </c>
      <c r="E113" s="45">
        <v>5</v>
      </c>
      <c r="M113" s="78">
        <v>98070</v>
      </c>
      <c r="N113" s="60" t="s">
        <v>333</v>
      </c>
      <c r="O113" s="35">
        <v>7</v>
      </c>
      <c r="P113" s="35">
        <v>7</v>
      </c>
      <c r="Q113" s="35">
        <v>9</v>
      </c>
      <c r="S113" s="78">
        <v>98201</v>
      </c>
      <c r="T113" s="60" t="s">
        <v>10</v>
      </c>
      <c r="U113" s="35">
        <v>0</v>
      </c>
      <c r="V113" s="32">
        <v>1</v>
      </c>
      <c r="W113" s="35">
        <v>2</v>
      </c>
    </row>
    <row r="114" spans="1:23" x14ac:dyDescent="0.2">
      <c r="A114" s="56">
        <v>98115</v>
      </c>
      <c r="B114" s="60" t="s">
        <v>10</v>
      </c>
      <c r="C114" s="45">
        <v>14</v>
      </c>
      <c r="D114" s="45">
        <v>12</v>
      </c>
      <c r="E114" s="45">
        <v>12</v>
      </c>
      <c r="M114" s="54">
        <v>98070</v>
      </c>
      <c r="N114" s="60" t="s">
        <v>10</v>
      </c>
      <c r="O114" s="35">
        <v>30</v>
      </c>
      <c r="P114" s="35">
        <v>19</v>
      </c>
      <c r="Q114" s="35">
        <v>18</v>
      </c>
      <c r="S114" s="54">
        <v>98203</v>
      </c>
      <c r="T114" s="60" t="s">
        <v>10</v>
      </c>
      <c r="U114" s="35">
        <v>1</v>
      </c>
      <c r="V114" s="35">
        <v>1</v>
      </c>
      <c r="W114" s="35">
        <v>1</v>
      </c>
    </row>
    <row r="115" spans="1:23" x14ac:dyDescent="0.2">
      <c r="A115" s="57">
        <v>98116</v>
      </c>
      <c r="B115" s="60" t="s">
        <v>333</v>
      </c>
      <c r="C115" s="45">
        <v>2</v>
      </c>
      <c r="D115" s="45">
        <v>2</v>
      </c>
      <c r="E115" s="45">
        <v>2</v>
      </c>
      <c r="M115" s="78">
        <v>98072</v>
      </c>
      <c r="N115" s="60" t="s">
        <v>333</v>
      </c>
      <c r="O115" s="35">
        <v>17</v>
      </c>
      <c r="P115" s="35">
        <v>19</v>
      </c>
      <c r="Q115" s="35">
        <v>14</v>
      </c>
      <c r="S115" s="78">
        <v>98208</v>
      </c>
      <c r="T115" s="60" t="s">
        <v>10</v>
      </c>
      <c r="U115" s="35">
        <v>1</v>
      </c>
      <c r="V115" s="32">
        <v>3</v>
      </c>
      <c r="W115" s="32">
        <v>2</v>
      </c>
    </row>
    <row r="116" spans="1:23" x14ac:dyDescent="0.2">
      <c r="A116" s="56">
        <v>98116</v>
      </c>
      <c r="B116" s="60" t="s">
        <v>10</v>
      </c>
      <c r="C116" s="45">
        <v>4</v>
      </c>
      <c r="D116" s="45">
        <v>4</v>
      </c>
      <c r="E116" s="45">
        <v>4</v>
      </c>
      <c r="M116" s="54">
        <v>98072</v>
      </c>
      <c r="N116" s="60" t="s">
        <v>10</v>
      </c>
      <c r="O116" s="35">
        <v>62</v>
      </c>
      <c r="P116" s="35">
        <v>65</v>
      </c>
      <c r="Q116" s="35">
        <v>82</v>
      </c>
      <c r="S116" s="54">
        <v>98221</v>
      </c>
      <c r="T116" s="60" t="s">
        <v>10</v>
      </c>
      <c r="U116" s="35">
        <v>4</v>
      </c>
      <c r="V116" s="35">
        <v>0</v>
      </c>
      <c r="W116" s="35">
        <v>3</v>
      </c>
    </row>
    <row r="117" spans="1:23" x14ac:dyDescent="0.2">
      <c r="A117" s="57">
        <v>98117</v>
      </c>
      <c r="B117" s="60" t="s">
        <v>10</v>
      </c>
      <c r="C117" s="45">
        <v>16</v>
      </c>
      <c r="D117" s="45">
        <v>14</v>
      </c>
      <c r="E117" s="45">
        <v>12</v>
      </c>
      <c r="M117" s="78">
        <v>98074</v>
      </c>
      <c r="N117" s="60" t="s">
        <v>333</v>
      </c>
      <c r="O117" s="35">
        <v>4</v>
      </c>
      <c r="P117" s="35">
        <v>5</v>
      </c>
      <c r="Q117" s="35">
        <v>9</v>
      </c>
      <c r="S117" s="78">
        <v>98225</v>
      </c>
      <c r="T117" s="60" t="s">
        <v>333</v>
      </c>
      <c r="U117" s="32">
        <v>0</v>
      </c>
      <c r="V117" s="32">
        <v>2</v>
      </c>
      <c r="W117" s="35">
        <v>1</v>
      </c>
    </row>
    <row r="118" spans="1:23" x14ac:dyDescent="0.2">
      <c r="A118" s="56">
        <v>98118</v>
      </c>
      <c r="B118" s="60" t="s">
        <v>333</v>
      </c>
      <c r="C118" s="45">
        <v>2</v>
      </c>
      <c r="D118" s="45">
        <v>2</v>
      </c>
      <c r="E118" s="45">
        <v>2</v>
      </c>
      <c r="M118" s="54">
        <v>98074</v>
      </c>
      <c r="N118" s="60" t="s">
        <v>10</v>
      </c>
      <c r="O118" s="35">
        <v>53</v>
      </c>
      <c r="P118" s="35">
        <v>35</v>
      </c>
      <c r="Q118" s="35">
        <v>61</v>
      </c>
      <c r="S118" s="78">
        <v>98225</v>
      </c>
      <c r="T118" s="60" t="s">
        <v>10</v>
      </c>
      <c r="U118" s="35">
        <v>2</v>
      </c>
      <c r="V118" s="35">
        <v>3</v>
      </c>
      <c r="W118" s="35">
        <v>1</v>
      </c>
    </row>
    <row r="119" spans="1:23" x14ac:dyDescent="0.2">
      <c r="A119" s="57">
        <v>98118</v>
      </c>
      <c r="B119" s="60" t="s">
        <v>10</v>
      </c>
      <c r="C119" s="45">
        <v>31</v>
      </c>
      <c r="D119" s="45">
        <v>28</v>
      </c>
      <c r="E119" s="45">
        <v>27</v>
      </c>
      <c r="M119" s="78">
        <v>98075</v>
      </c>
      <c r="N119" s="60" t="s">
        <v>333</v>
      </c>
      <c r="O119" s="35">
        <v>2</v>
      </c>
      <c r="P119" s="35">
        <v>1</v>
      </c>
      <c r="Q119" s="35">
        <v>0</v>
      </c>
      <c r="S119" s="78">
        <v>98226</v>
      </c>
      <c r="T119" s="60" t="s">
        <v>333</v>
      </c>
      <c r="U119" s="35">
        <v>1</v>
      </c>
      <c r="V119" s="35">
        <v>0</v>
      </c>
      <c r="W119" s="35">
        <v>0</v>
      </c>
    </row>
    <row r="120" spans="1:23" x14ac:dyDescent="0.2">
      <c r="A120" s="56">
        <v>98119</v>
      </c>
      <c r="B120" s="60" t="s">
        <v>10</v>
      </c>
      <c r="C120" s="45">
        <v>2</v>
      </c>
      <c r="D120" s="45">
        <v>2</v>
      </c>
      <c r="E120" s="45">
        <v>2</v>
      </c>
      <c r="M120" s="54">
        <v>98075</v>
      </c>
      <c r="N120" s="60" t="s">
        <v>10</v>
      </c>
      <c r="O120" s="35">
        <v>27</v>
      </c>
      <c r="P120" s="35">
        <v>22</v>
      </c>
      <c r="Q120" s="35">
        <v>33</v>
      </c>
      <c r="S120" s="78">
        <v>98226</v>
      </c>
      <c r="T120" s="60" t="s">
        <v>10</v>
      </c>
      <c r="U120" s="35">
        <v>4</v>
      </c>
      <c r="V120" s="35">
        <v>3</v>
      </c>
      <c r="W120" s="35">
        <v>3</v>
      </c>
    </row>
    <row r="121" spans="1:23" x14ac:dyDescent="0.2">
      <c r="A121" s="57">
        <v>98121</v>
      </c>
      <c r="B121" s="60" t="s">
        <v>10</v>
      </c>
      <c r="C121" s="45">
        <v>1</v>
      </c>
      <c r="D121" s="45">
        <v>0</v>
      </c>
      <c r="E121" s="45">
        <v>0</v>
      </c>
      <c r="M121" s="78">
        <v>98077</v>
      </c>
      <c r="N121" s="60" t="s">
        <v>333</v>
      </c>
      <c r="O121" s="35">
        <v>0</v>
      </c>
      <c r="P121" s="35">
        <v>0</v>
      </c>
      <c r="Q121" s="35">
        <v>2</v>
      </c>
      <c r="S121" s="78">
        <v>98229</v>
      </c>
      <c r="T121" s="60" t="s">
        <v>10</v>
      </c>
      <c r="U121" s="32">
        <v>0</v>
      </c>
      <c r="V121" s="35">
        <v>4</v>
      </c>
      <c r="W121" s="32">
        <v>3</v>
      </c>
    </row>
    <row r="122" spans="1:23" x14ac:dyDescent="0.2">
      <c r="A122" s="56">
        <v>98122</v>
      </c>
      <c r="B122" s="60" t="s">
        <v>10</v>
      </c>
      <c r="C122" s="45">
        <v>12</v>
      </c>
      <c r="D122" s="45">
        <v>11</v>
      </c>
      <c r="E122" s="45">
        <v>11</v>
      </c>
      <c r="M122" s="54">
        <v>98077</v>
      </c>
      <c r="N122" s="60" t="s">
        <v>10</v>
      </c>
      <c r="O122" s="35">
        <v>15</v>
      </c>
      <c r="P122" s="35">
        <v>13</v>
      </c>
      <c r="Q122" s="35">
        <v>7</v>
      </c>
      <c r="S122" s="54">
        <v>98230</v>
      </c>
      <c r="T122" s="60" t="s">
        <v>10</v>
      </c>
      <c r="U122" s="35">
        <v>1</v>
      </c>
      <c r="V122" s="35">
        <v>1</v>
      </c>
      <c r="W122" s="35">
        <v>1</v>
      </c>
    </row>
    <row r="123" spans="1:23" x14ac:dyDescent="0.2">
      <c r="A123" s="57">
        <v>98125</v>
      </c>
      <c r="B123" s="60" t="s">
        <v>333</v>
      </c>
      <c r="C123" s="45">
        <v>2</v>
      </c>
      <c r="D123" s="45">
        <v>2</v>
      </c>
      <c r="E123" s="45">
        <v>2</v>
      </c>
      <c r="M123" s="78">
        <v>98087</v>
      </c>
      <c r="N123" s="60" t="s">
        <v>333</v>
      </c>
      <c r="O123" s="35">
        <v>2</v>
      </c>
      <c r="P123" s="35">
        <v>6</v>
      </c>
      <c r="Q123" s="35">
        <v>1</v>
      </c>
      <c r="S123" s="78">
        <v>98232</v>
      </c>
      <c r="T123" s="60" t="s">
        <v>10</v>
      </c>
      <c r="U123" s="35">
        <v>2</v>
      </c>
      <c r="V123" s="32">
        <v>0</v>
      </c>
      <c r="W123" s="32">
        <v>0</v>
      </c>
    </row>
    <row r="124" spans="1:23" x14ac:dyDescent="0.2">
      <c r="A124" s="56">
        <v>98125</v>
      </c>
      <c r="B124" s="60" t="s">
        <v>10</v>
      </c>
      <c r="C124" s="45">
        <v>10</v>
      </c>
      <c r="D124" s="45">
        <v>9</v>
      </c>
      <c r="E124" s="45">
        <v>9</v>
      </c>
      <c r="M124" s="54">
        <v>98087</v>
      </c>
      <c r="N124" s="60" t="s">
        <v>10</v>
      </c>
      <c r="O124" s="35">
        <v>50</v>
      </c>
      <c r="P124" s="35">
        <v>67</v>
      </c>
      <c r="Q124" s="35">
        <v>54</v>
      </c>
      <c r="S124" s="54">
        <v>98233</v>
      </c>
      <c r="T124" s="60" t="s">
        <v>10</v>
      </c>
      <c r="U124" s="35">
        <v>0</v>
      </c>
      <c r="V124" s="35">
        <v>2</v>
      </c>
      <c r="W124" s="35">
        <v>2</v>
      </c>
    </row>
    <row r="125" spans="1:23" x14ac:dyDescent="0.2">
      <c r="A125" s="57">
        <v>98126</v>
      </c>
      <c r="B125" s="60" t="s">
        <v>10</v>
      </c>
      <c r="C125" s="45">
        <v>13</v>
      </c>
      <c r="D125" s="45">
        <v>12</v>
      </c>
      <c r="E125" s="45">
        <v>12</v>
      </c>
      <c r="M125" s="78">
        <v>98092</v>
      </c>
      <c r="N125" s="60" t="s">
        <v>333</v>
      </c>
      <c r="O125" s="35">
        <v>2</v>
      </c>
      <c r="P125" s="35">
        <v>4</v>
      </c>
      <c r="Q125" s="35">
        <v>13</v>
      </c>
      <c r="S125" s="78">
        <v>98236</v>
      </c>
      <c r="T125" s="60" t="s">
        <v>10</v>
      </c>
      <c r="U125" s="35">
        <v>1</v>
      </c>
      <c r="V125" s="35">
        <v>1</v>
      </c>
      <c r="W125" s="35">
        <v>1</v>
      </c>
    </row>
    <row r="126" spans="1:23" x14ac:dyDescent="0.2">
      <c r="A126" s="56">
        <v>98133</v>
      </c>
      <c r="B126" s="60" t="s">
        <v>10</v>
      </c>
      <c r="C126" s="45">
        <v>13</v>
      </c>
      <c r="D126" s="45">
        <v>13</v>
      </c>
      <c r="E126" s="45">
        <v>13</v>
      </c>
      <c r="M126" s="54">
        <v>98092</v>
      </c>
      <c r="N126" s="60" t="s">
        <v>10</v>
      </c>
      <c r="O126" s="35">
        <v>127</v>
      </c>
      <c r="P126" s="35">
        <v>142</v>
      </c>
      <c r="Q126" s="35">
        <v>162</v>
      </c>
      <c r="S126" s="78">
        <v>98237</v>
      </c>
      <c r="T126" s="60" t="s">
        <v>10</v>
      </c>
      <c r="U126" s="35">
        <v>1</v>
      </c>
      <c r="V126" s="32">
        <v>2</v>
      </c>
      <c r="W126" s="35">
        <v>0</v>
      </c>
    </row>
    <row r="127" spans="1:23" x14ac:dyDescent="0.2">
      <c r="A127" s="57">
        <v>98134</v>
      </c>
      <c r="B127" s="60" t="s">
        <v>333</v>
      </c>
      <c r="C127" s="45">
        <v>1</v>
      </c>
      <c r="D127" s="45">
        <v>1</v>
      </c>
      <c r="E127" s="45">
        <v>0</v>
      </c>
      <c r="M127" s="78">
        <v>98101</v>
      </c>
      <c r="N127" s="60" t="s">
        <v>333</v>
      </c>
      <c r="O127" s="35">
        <v>3</v>
      </c>
      <c r="P127" s="35">
        <v>1</v>
      </c>
      <c r="Q127" s="35">
        <v>3</v>
      </c>
      <c r="S127" s="78">
        <v>98239</v>
      </c>
      <c r="T127" s="60" t="s">
        <v>10</v>
      </c>
      <c r="U127" s="35">
        <v>1</v>
      </c>
      <c r="V127" s="35">
        <v>0</v>
      </c>
      <c r="W127" s="35">
        <v>1</v>
      </c>
    </row>
    <row r="128" spans="1:23" x14ac:dyDescent="0.2">
      <c r="A128" s="56">
        <v>98136</v>
      </c>
      <c r="B128" s="60" t="s">
        <v>10</v>
      </c>
      <c r="C128" s="45">
        <v>5</v>
      </c>
      <c r="D128" s="45">
        <v>3</v>
      </c>
      <c r="E128" s="45">
        <v>3</v>
      </c>
      <c r="M128" s="54">
        <v>98101</v>
      </c>
      <c r="N128" s="60" t="s">
        <v>10</v>
      </c>
      <c r="O128" s="35">
        <v>44</v>
      </c>
      <c r="P128" s="35">
        <v>2</v>
      </c>
      <c r="Q128" s="35">
        <v>2</v>
      </c>
      <c r="S128" s="78">
        <v>98240</v>
      </c>
      <c r="T128" s="60" t="s">
        <v>10</v>
      </c>
      <c r="U128" s="35">
        <v>2</v>
      </c>
      <c r="V128" s="35">
        <v>0</v>
      </c>
      <c r="W128" s="35">
        <v>0</v>
      </c>
    </row>
    <row r="129" spans="1:23" x14ac:dyDescent="0.2">
      <c r="A129" s="57">
        <v>98144</v>
      </c>
      <c r="B129" s="60" t="s">
        <v>10</v>
      </c>
      <c r="C129" s="45">
        <v>13</v>
      </c>
      <c r="D129" s="45">
        <v>13</v>
      </c>
      <c r="E129" s="45">
        <v>13</v>
      </c>
      <c r="M129" s="78">
        <v>98102</v>
      </c>
      <c r="N129" s="60" t="s">
        <v>333</v>
      </c>
      <c r="O129" s="35">
        <v>4</v>
      </c>
      <c r="P129" s="35">
        <v>2</v>
      </c>
      <c r="Q129" s="35">
        <v>0</v>
      </c>
      <c r="S129" s="78">
        <v>98244</v>
      </c>
      <c r="T129" s="60" t="s">
        <v>10</v>
      </c>
      <c r="U129" s="35">
        <v>0</v>
      </c>
      <c r="V129" s="35">
        <v>2</v>
      </c>
      <c r="W129" s="35">
        <v>1</v>
      </c>
    </row>
    <row r="130" spans="1:23" x14ac:dyDescent="0.2">
      <c r="A130" s="57">
        <v>98146</v>
      </c>
      <c r="B130" s="60" t="s">
        <v>10</v>
      </c>
      <c r="C130" s="45">
        <v>11</v>
      </c>
      <c r="D130" s="45">
        <v>10</v>
      </c>
      <c r="E130" s="45">
        <v>10</v>
      </c>
      <c r="M130" s="54">
        <v>98102</v>
      </c>
      <c r="N130" s="60" t="s">
        <v>10</v>
      </c>
      <c r="O130" s="35">
        <v>34</v>
      </c>
      <c r="P130" s="35">
        <v>24</v>
      </c>
      <c r="Q130" s="35">
        <v>35</v>
      </c>
      <c r="S130" s="78">
        <v>98247</v>
      </c>
      <c r="T130" s="60" t="s">
        <v>10</v>
      </c>
      <c r="U130" s="35">
        <v>4</v>
      </c>
      <c r="V130" s="35">
        <v>0</v>
      </c>
      <c r="W130" s="32">
        <v>1</v>
      </c>
    </row>
    <row r="131" spans="1:23" x14ac:dyDescent="0.2">
      <c r="A131" s="56">
        <v>98148</v>
      </c>
      <c r="B131" s="60" t="s">
        <v>10</v>
      </c>
      <c r="C131" s="45">
        <v>25</v>
      </c>
      <c r="D131" s="45">
        <v>24</v>
      </c>
      <c r="E131" s="45">
        <v>23</v>
      </c>
      <c r="M131" s="78">
        <v>98103</v>
      </c>
      <c r="N131" s="60" t="s">
        <v>333</v>
      </c>
      <c r="O131" s="35">
        <v>11</v>
      </c>
      <c r="P131" s="35">
        <v>3</v>
      </c>
      <c r="Q131" s="35">
        <v>5</v>
      </c>
      <c r="S131" s="54">
        <v>98248</v>
      </c>
      <c r="T131" s="60" t="s">
        <v>333</v>
      </c>
      <c r="U131" s="35">
        <v>0</v>
      </c>
      <c r="V131" s="35">
        <v>0</v>
      </c>
      <c r="W131" s="35">
        <v>1</v>
      </c>
    </row>
    <row r="132" spans="1:23" x14ac:dyDescent="0.2">
      <c r="A132" s="57">
        <v>98155</v>
      </c>
      <c r="B132" s="60" t="s">
        <v>10</v>
      </c>
      <c r="C132" s="45">
        <v>15</v>
      </c>
      <c r="D132" s="45">
        <v>15</v>
      </c>
      <c r="E132" s="45">
        <v>15</v>
      </c>
      <c r="M132" s="54">
        <v>98103</v>
      </c>
      <c r="N132" s="60" t="s">
        <v>10</v>
      </c>
      <c r="O132" s="35">
        <v>74</v>
      </c>
      <c r="P132" s="35">
        <v>87</v>
      </c>
      <c r="Q132" s="35">
        <v>76</v>
      </c>
      <c r="S132" s="78">
        <v>98248</v>
      </c>
      <c r="T132" s="60" t="s">
        <v>10</v>
      </c>
      <c r="U132" s="35">
        <v>2</v>
      </c>
      <c r="V132" s="35">
        <v>5</v>
      </c>
      <c r="W132" s="35">
        <v>5</v>
      </c>
    </row>
    <row r="133" spans="1:23" x14ac:dyDescent="0.2">
      <c r="A133" s="57">
        <v>98166</v>
      </c>
      <c r="B133" s="60" t="s">
        <v>10</v>
      </c>
      <c r="C133" s="45">
        <v>14</v>
      </c>
      <c r="D133" s="45">
        <v>14</v>
      </c>
      <c r="E133" s="45">
        <v>11</v>
      </c>
      <c r="M133" s="78">
        <v>98104</v>
      </c>
      <c r="N133" s="60" t="s">
        <v>333</v>
      </c>
      <c r="O133" s="35">
        <v>1</v>
      </c>
      <c r="P133" s="35">
        <v>2</v>
      </c>
      <c r="Q133" s="35">
        <v>7</v>
      </c>
      <c r="S133" s="78">
        <v>98249</v>
      </c>
      <c r="T133" s="60" t="s">
        <v>10</v>
      </c>
      <c r="U133" s="32">
        <v>0</v>
      </c>
      <c r="V133" s="35">
        <v>0</v>
      </c>
      <c r="W133" s="32">
        <v>1</v>
      </c>
    </row>
    <row r="134" spans="1:23" x14ac:dyDescent="0.2">
      <c r="A134" s="56">
        <v>98168</v>
      </c>
      <c r="B134" s="60" t="s">
        <v>333</v>
      </c>
      <c r="C134" s="45">
        <v>2</v>
      </c>
      <c r="D134" s="45">
        <v>2</v>
      </c>
      <c r="E134" s="45">
        <v>2</v>
      </c>
      <c r="M134" s="54">
        <v>98104</v>
      </c>
      <c r="N134" s="60" t="s">
        <v>10</v>
      </c>
      <c r="O134" s="35">
        <v>3</v>
      </c>
      <c r="P134" s="35">
        <v>3</v>
      </c>
      <c r="Q134" s="35">
        <v>2</v>
      </c>
      <c r="S134" s="78">
        <v>98253</v>
      </c>
      <c r="T134" s="60" t="s">
        <v>10</v>
      </c>
      <c r="U134" s="32">
        <v>1</v>
      </c>
      <c r="V134" s="35">
        <v>0</v>
      </c>
      <c r="W134" s="32">
        <v>0</v>
      </c>
    </row>
    <row r="135" spans="1:23" x14ac:dyDescent="0.2">
      <c r="A135" s="57">
        <v>98168</v>
      </c>
      <c r="B135" s="60" t="s">
        <v>10</v>
      </c>
      <c r="C135" s="45">
        <v>30</v>
      </c>
      <c r="D135" s="45">
        <v>30</v>
      </c>
      <c r="E135" s="45">
        <v>27</v>
      </c>
      <c r="M135" s="78">
        <v>98105</v>
      </c>
      <c r="N135" s="60" t="s">
        <v>333</v>
      </c>
      <c r="O135" s="35">
        <v>2</v>
      </c>
      <c r="P135" s="35">
        <v>8</v>
      </c>
      <c r="Q135" s="35">
        <v>2</v>
      </c>
      <c r="S135" s="78">
        <v>98257</v>
      </c>
      <c r="T135" s="60" t="s">
        <v>10</v>
      </c>
      <c r="U135" s="32">
        <v>2</v>
      </c>
      <c r="V135" s="35">
        <v>1</v>
      </c>
      <c r="W135" s="35">
        <v>1</v>
      </c>
    </row>
    <row r="136" spans="1:23" x14ac:dyDescent="0.2">
      <c r="A136" s="57">
        <v>98177</v>
      </c>
      <c r="B136" s="60" t="s">
        <v>10</v>
      </c>
      <c r="C136" s="45">
        <v>12</v>
      </c>
      <c r="D136" s="45">
        <v>12</v>
      </c>
      <c r="E136" s="45">
        <v>10</v>
      </c>
      <c r="M136" s="54">
        <v>98105</v>
      </c>
      <c r="N136" s="60" t="s">
        <v>10</v>
      </c>
      <c r="O136" s="35">
        <v>32</v>
      </c>
      <c r="P136" s="35">
        <v>52</v>
      </c>
      <c r="Q136" s="35">
        <v>46</v>
      </c>
      <c r="S136" s="54">
        <v>98258</v>
      </c>
      <c r="T136" s="60" t="s">
        <v>10</v>
      </c>
      <c r="U136" s="35">
        <v>0</v>
      </c>
      <c r="V136" s="35">
        <v>0</v>
      </c>
      <c r="W136" s="35">
        <v>2</v>
      </c>
    </row>
    <row r="137" spans="1:23" x14ac:dyDescent="0.2">
      <c r="A137" s="56">
        <v>98178</v>
      </c>
      <c r="B137" s="60" t="s">
        <v>333</v>
      </c>
      <c r="C137" s="45">
        <v>2</v>
      </c>
      <c r="D137" s="45">
        <v>2</v>
      </c>
      <c r="E137" s="45">
        <v>2</v>
      </c>
      <c r="M137" s="78">
        <v>98106</v>
      </c>
      <c r="N137" s="60" t="s">
        <v>333</v>
      </c>
      <c r="O137" s="35">
        <v>3</v>
      </c>
      <c r="P137" s="35">
        <v>1</v>
      </c>
      <c r="Q137" s="35">
        <v>1</v>
      </c>
      <c r="S137" s="78">
        <v>98260</v>
      </c>
      <c r="T137" s="60" t="s">
        <v>10</v>
      </c>
      <c r="U137" s="35">
        <v>1</v>
      </c>
      <c r="V137" s="35">
        <v>0</v>
      </c>
      <c r="W137" s="35">
        <v>0</v>
      </c>
    </row>
    <row r="138" spans="1:23" x14ac:dyDescent="0.2">
      <c r="A138" s="57">
        <v>98178</v>
      </c>
      <c r="B138" s="60" t="s">
        <v>10</v>
      </c>
      <c r="C138" s="45">
        <v>16</v>
      </c>
      <c r="D138" s="45">
        <v>14</v>
      </c>
      <c r="E138" s="45">
        <v>12</v>
      </c>
      <c r="M138" s="54">
        <v>98106</v>
      </c>
      <c r="N138" s="60" t="s">
        <v>10</v>
      </c>
      <c r="O138" s="35">
        <v>19</v>
      </c>
      <c r="P138" s="35">
        <v>34</v>
      </c>
      <c r="Q138" s="35">
        <v>29</v>
      </c>
      <c r="S138" s="78">
        <v>98262</v>
      </c>
      <c r="T138" s="60" t="s">
        <v>10</v>
      </c>
      <c r="U138" s="35">
        <v>1</v>
      </c>
      <c r="V138" s="35">
        <v>0</v>
      </c>
      <c r="W138" s="35">
        <v>0</v>
      </c>
    </row>
    <row r="139" spans="1:23" x14ac:dyDescent="0.2">
      <c r="A139" s="56">
        <v>98188</v>
      </c>
      <c r="B139" s="60" t="s">
        <v>333</v>
      </c>
      <c r="C139" s="45">
        <v>1</v>
      </c>
      <c r="D139" s="45">
        <v>1</v>
      </c>
      <c r="E139" s="45">
        <v>1</v>
      </c>
      <c r="M139" s="78">
        <v>98107</v>
      </c>
      <c r="N139" s="60" t="s">
        <v>333</v>
      </c>
      <c r="O139" s="35">
        <v>5</v>
      </c>
      <c r="P139" s="35">
        <v>1</v>
      </c>
      <c r="Q139" s="35">
        <v>5</v>
      </c>
      <c r="S139" s="78">
        <v>98264</v>
      </c>
      <c r="T139" s="60" t="s">
        <v>10</v>
      </c>
      <c r="U139" s="35">
        <v>2</v>
      </c>
      <c r="V139" s="35">
        <v>2</v>
      </c>
      <c r="W139" s="35">
        <v>0</v>
      </c>
    </row>
    <row r="140" spans="1:23" x14ac:dyDescent="0.2">
      <c r="A140" s="57">
        <v>98188</v>
      </c>
      <c r="B140" s="60" t="s">
        <v>10</v>
      </c>
      <c r="C140" s="45">
        <v>52</v>
      </c>
      <c r="D140" s="45">
        <v>48</v>
      </c>
      <c r="E140" s="45">
        <v>43</v>
      </c>
      <c r="M140" s="54">
        <v>98107</v>
      </c>
      <c r="N140" s="60" t="s">
        <v>10</v>
      </c>
      <c r="O140" s="35">
        <v>36</v>
      </c>
      <c r="P140" s="35">
        <v>38</v>
      </c>
      <c r="Q140" s="35">
        <v>56</v>
      </c>
      <c r="S140" s="78">
        <v>98266</v>
      </c>
      <c r="T140" s="60" t="s">
        <v>10</v>
      </c>
      <c r="U140" s="35">
        <v>0</v>
      </c>
      <c r="V140" s="32">
        <v>1</v>
      </c>
      <c r="W140" s="32">
        <v>1</v>
      </c>
    </row>
    <row r="141" spans="1:23" x14ac:dyDescent="0.2">
      <c r="A141" s="56">
        <v>98198</v>
      </c>
      <c r="B141" s="60" t="s">
        <v>333</v>
      </c>
      <c r="C141" s="45">
        <v>3</v>
      </c>
      <c r="D141" s="45">
        <v>3</v>
      </c>
      <c r="E141" s="45">
        <v>2</v>
      </c>
      <c r="M141" s="78">
        <v>98108</v>
      </c>
      <c r="N141" s="60" t="s">
        <v>333</v>
      </c>
      <c r="O141" s="35">
        <v>19</v>
      </c>
      <c r="P141" s="35">
        <v>6</v>
      </c>
      <c r="Q141" s="35">
        <v>15</v>
      </c>
      <c r="S141" s="54">
        <v>98270</v>
      </c>
      <c r="T141" s="60" t="s">
        <v>333</v>
      </c>
      <c r="U141" s="32">
        <v>0</v>
      </c>
      <c r="V141" s="32">
        <v>0</v>
      </c>
      <c r="W141" s="35">
        <v>1</v>
      </c>
    </row>
    <row r="142" spans="1:23" x14ac:dyDescent="0.2">
      <c r="A142" s="57">
        <v>98198</v>
      </c>
      <c r="B142" s="60" t="s">
        <v>10</v>
      </c>
      <c r="C142" s="45">
        <v>89</v>
      </c>
      <c r="D142" s="45">
        <v>84</v>
      </c>
      <c r="E142" s="45">
        <v>79</v>
      </c>
      <c r="M142" s="78">
        <v>98108</v>
      </c>
      <c r="N142" s="60" t="s">
        <v>10</v>
      </c>
      <c r="O142" s="35">
        <v>25</v>
      </c>
      <c r="P142" s="35">
        <v>22</v>
      </c>
      <c r="Q142" s="35">
        <v>31</v>
      </c>
      <c r="S142" s="78">
        <v>98270</v>
      </c>
      <c r="T142" s="60" t="s">
        <v>10</v>
      </c>
      <c r="U142" s="35">
        <v>0</v>
      </c>
      <c r="V142" s="35">
        <v>1</v>
      </c>
      <c r="W142" s="35">
        <v>5</v>
      </c>
    </row>
    <row r="143" spans="1:23" x14ac:dyDescent="0.2">
      <c r="A143" s="56">
        <v>98199</v>
      </c>
      <c r="B143" s="60" t="s">
        <v>333</v>
      </c>
      <c r="C143" s="45">
        <v>1</v>
      </c>
      <c r="D143" s="45">
        <v>1</v>
      </c>
      <c r="E143" s="45">
        <v>1</v>
      </c>
      <c r="M143" s="54">
        <v>98109</v>
      </c>
      <c r="N143" s="60" t="s">
        <v>333</v>
      </c>
      <c r="O143" s="35">
        <v>2</v>
      </c>
      <c r="P143" s="35">
        <v>3</v>
      </c>
      <c r="Q143" s="35">
        <v>1</v>
      </c>
      <c r="S143" s="78">
        <v>98271</v>
      </c>
      <c r="T143" s="60" t="s">
        <v>333</v>
      </c>
      <c r="U143" s="35">
        <v>0</v>
      </c>
      <c r="V143" s="32">
        <v>0</v>
      </c>
      <c r="W143" s="35">
        <v>1</v>
      </c>
    </row>
    <row r="144" spans="1:23" x14ac:dyDescent="0.2">
      <c r="A144" s="57">
        <v>98199</v>
      </c>
      <c r="B144" s="60" t="s">
        <v>10</v>
      </c>
      <c r="C144" s="45">
        <v>3</v>
      </c>
      <c r="D144" s="45">
        <v>3</v>
      </c>
      <c r="E144" s="45">
        <v>3</v>
      </c>
      <c r="M144" s="78">
        <v>98109</v>
      </c>
      <c r="N144" s="60" t="s">
        <v>10</v>
      </c>
      <c r="O144" s="35">
        <v>25</v>
      </c>
      <c r="P144" s="32">
        <v>24</v>
      </c>
      <c r="Q144" s="35">
        <v>29</v>
      </c>
      <c r="S144" s="78">
        <v>98273</v>
      </c>
      <c r="T144" s="60" t="s">
        <v>333</v>
      </c>
      <c r="U144" s="32">
        <v>1</v>
      </c>
      <c r="V144" s="35">
        <v>0</v>
      </c>
      <c r="W144" s="32">
        <v>0</v>
      </c>
    </row>
    <row r="145" spans="1:23" x14ac:dyDescent="0.2">
      <c r="A145" s="56">
        <v>98201</v>
      </c>
      <c r="B145" s="60" t="s">
        <v>10</v>
      </c>
      <c r="C145" s="45">
        <v>17</v>
      </c>
      <c r="D145" s="45">
        <v>17</v>
      </c>
      <c r="E145" s="45">
        <v>15</v>
      </c>
      <c r="M145" s="54">
        <v>98110</v>
      </c>
      <c r="N145" s="60" t="s">
        <v>333</v>
      </c>
      <c r="O145" s="35">
        <v>12</v>
      </c>
      <c r="P145" s="35">
        <v>11</v>
      </c>
      <c r="Q145" s="35">
        <v>8</v>
      </c>
      <c r="S145" s="54">
        <v>98273</v>
      </c>
      <c r="T145" s="60" t="s">
        <v>10</v>
      </c>
      <c r="U145" s="35">
        <v>2</v>
      </c>
      <c r="V145" s="35">
        <v>2</v>
      </c>
      <c r="W145" s="35">
        <v>5</v>
      </c>
    </row>
    <row r="146" spans="1:23" x14ac:dyDescent="0.2">
      <c r="A146" s="57">
        <v>98203</v>
      </c>
      <c r="B146" s="60" t="s">
        <v>10</v>
      </c>
      <c r="C146" s="45">
        <v>11</v>
      </c>
      <c r="D146" s="45">
        <v>11</v>
      </c>
      <c r="E146" s="45">
        <v>10</v>
      </c>
      <c r="M146" s="78">
        <v>98110</v>
      </c>
      <c r="N146" s="60" t="s">
        <v>10</v>
      </c>
      <c r="O146" s="32">
        <v>51</v>
      </c>
      <c r="P146" s="32">
        <v>58</v>
      </c>
      <c r="Q146" s="35">
        <v>78</v>
      </c>
      <c r="S146" s="78">
        <v>98274</v>
      </c>
      <c r="T146" s="60" t="s">
        <v>333</v>
      </c>
      <c r="U146" s="35">
        <v>0</v>
      </c>
      <c r="V146" s="35">
        <v>0</v>
      </c>
      <c r="W146" s="35">
        <v>1</v>
      </c>
    </row>
    <row r="147" spans="1:23" x14ac:dyDescent="0.2">
      <c r="A147" s="57">
        <v>98204</v>
      </c>
      <c r="B147" s="60" t="s">
        <v>333</v>
      </c>
      <c r="C147" s="45">
        <v>3</v>
      </c>
      <c r="D147" s="45">
        <v>3</v>
      </c>
      <c r="E147" s="45">
        <v>3</v>
      </c>
      <c r="M147" s="54">
        <v>98112</v>
      </c>
      <c r="N147" s="60" t="s">
        <v>333</v>
      </c>
      <c r="O147" s="35">
        <v>1</v>
      </c>
      <c r="P147" s="35">
        <v>1</v>
      </c>
      <c r="Q147" s="35">
        <v>3</v>
      </c>
      <c r="S147" s="78">
        <v>98274</v>
      </c>
      <c r="T147" s="60" t="s">
        <v>10</v>
      </c>
      <c r="U147" s="35">
        <v>1</v>
      </c>
      <c r="V147" s="35">
        <v>2</v>
      </c>
      <c r="W147" s="35">
        <v>1</v>
      </c>
    </row>
    <row r="148" spans="1:23" x14ac:dyDescent="0.2">
      <c r="A148" s="56">
        <v>98204</v>
      </c>
      <c r="B148" s="60" t="s">
        <v>10</v>
      </c>
      <c r="C148" s="45">
        <v>11</v>
      </c>
      <c r="D148" s="45">
        <v>11</v>
      </c>
      <c r="E148" s="45">
        <v>11</v>
      </c>
      <c r="M148" s="78">
        <v>98112</v>
      </c>
      <c r="N148" s="60" t="s">
        <v>10</v>
      </c>
      <c r="O148" s="35">
        <v>32</v>
      </c>
      <c r="P148" s="32">
        <v>42</v>
      </c>
      <c r="Q148" s="35">
        <v>24</v>
      </c>
      <c r="S148" s="78">
        <v>98275</v>
      </c>
      <c r="T148" s="60" t="s">
        <v>333</v>
      </c>
      <c r="U148" s="32">
        <v>0</v>
      </c>
      <c r="V148" s="35">
        <v>0</v>
      </c>
      <c r="W148" s="35">
        <v>1</v>
      </c>
    </row>
    <row r="149" spans="1:23" x14ac:dyDescent="0.2">
      <c r="A149" s="57">
        <v>98208</v>
      </c>
      <c r="B149" s="60" t="s">
        <v>10</v>
      </c>
      <c r="C149" s="45">
        <v>22</v>
      </c>
      <c r="D149" s="45">
        <v>21</v>
      </c>
      <c r="E149" s="45">
        <v>19</v>
      </c>
      <c r="M149" s="54">
        <v>98115</v>
      </c>
      <c r="N149" s="60" t="s">
        <v>333</v>
      </c>
      <c r="O149" s="35">
        <v>3</v>
      </c>
      <c r="P149" s="35">
        <v>7</v>
      </c>
      <c r="Q149" s="35">
        <v>4</v>
      </c>
      <c r="S149" s="78">
        <v>98277</v>
      </c>
      <c r="T149" s="60" t="s">
        <v>333</v>
      </c>
      <c r="U149" s="35">
        <v>0</v>
      </c>
      <c r="V149" s="35">
        <v>1</v>
      </c>
      <c r="W149" s="35">
        <v>1</v>
      </c>
    </row>
    <row r="150" spans="1:23" x14ac:dyDescent="0.2">
      <c r="A150" s="56">
        <v>98221</v>
      </c>
      <c r="B150" s="60" t="s">
        <v>333</v>
      </c>
      <c r="C150" s="45">
        <v>1</v>
      </c>
      <c r="D150" s="45">
        <v>1</v>
      </c>
      <c r="E150" s="45">
        <v>1</v>
      </c>
      <c r="M150" s="78">
        <v>98115</v>
      </c>
      <c r="N150" s="60" t="s">
        <v>10</v>
      </c>
      <c r="O150" s="35">
        <v>44</v>
      </c>
      <c r="P150" s="35">
        <v>63</v>
      </c>
      <c r="Q150" s="35">
        <v>46</v>
      </c>
      <c r="S150" s="78">
        <v>98277</v>
      </c>
      <c r="T150" s="60" t="s">
        <v>10</v>
      </c>
      <c r="U150" s="32">
        <v>6</v>
      </c>
      <c r="V150" s="35">
        <v>6</v>
      </c>
      <c r="W150" s="32">
        <v>3</v>
      </c>
    </row>
    <row r="151" spans="1:23" x14ac:dyDescent="0.2">
      <c r="A151" s="57">
        <v>98221</v>
      </c>
      <c r="B151" s="60" t="s">
        <v>10</v>
      </c>
      <c r="C151" s="45">
        <v>20</v>
      </c>
      <c r="D151" s="45">
        <v>17</v>
      </c>
      <c r="E151" s="45">
        <v>17</v>
      </c>
      <c r="M151" s="54">
        <v>98116</v>
      </c>
      <c r="N151" s="60" t="s">
        <v>333</v>
      </c>
      <c r="O151" s="35">
        <v>3</v>
      </c>
      <c r="P151" s="35">
        <v>5</v>
      </c>
      <c r="Q151" s="35">
        <v>2</v>
      </c>
      <c r="S151" s="54">
        <v>98281</v>
      </c>
      <c r="T151" s="60" t="s">
        <v>10</v>
      </c>
      <c r="U151" s="35">
        <v>0</v>
      </c>
      <c r="V151" s="35">
        <v>1</v>
      </c>
      <c r="W151" s="35">
        <v>0</v>
      </c>
    </row>
    <row r="152" spans="1:23" x14ac:dyDescent="0.2">
      <c r="A152" s="57">
        <v>98224</v>
      </c>
      <c r="B152" s="60" t="s">
        <v>10</v>
      </c>
      <c r="C152" s="45">
        <v>3</v>
      </c>
      <c r="D152" s="45">
        <v>3</v>
      </c>
      <c r="E152" s="45">
        <v>3</v>
      </c>
      <c r="M152" s="78">
        <v>98116</v>
      </c>
      <c r="N152" s="60" t="s">
        <v>10</v>
      </c>
      <c r="O152" s="32">
        <v>30</v>
      </c>
      <c r="P152" s="35">
        <v>27</v>
      </c>
      <c r="Q152" s="35">
        <v>18</v>
      </c>
      <c r="S152" s="78">
        <v>98283</v>
      </c>
      <c r="T152" s="60" t="s">
        <v>333</v>
      </c>
      <c r="U152" s="35">
        <v>0</v>
      </c>
      <c r="V152" s="35">
        <v>0</v>
      </c>
      <c r="W152" s="35">
        <v>1</v>
      </c>
    </row>
    <row r="153" spans="1:23" x14ac:dyDescent="0.2">
      <c r="A153" s="56">
        <v>98225</v>
      </c>
      <c r="B153" s="60" t="s">
        <v>333</v>
      </c>
      <c r="C153" s="45">
        <v>3</v>
      </c>
      <c r="D153" s="45">
        <v>3</v>
      </c>
      <c r="E153" s="45">
        <v>2</v>
      </c>
      <c r="M153" s="54">
        <v>98117</v>
      </c>
      <c r="N153" s="60" t="s">
        <v>333</v>
      </c>
      <c r="O153" s="35">
        <v>0</v>
      </c>
      <c r="P153" s="35">
        <v>1</v>
      </c>
      <c r="Q153" s="35">
        <v>0</v>
      </c>
      <c r="S153" s="78">
        <v>98284</v>
      </c>
      <c r="T153" s="60" t="s">
        <v>333</v>
      </c>
      <c r="U153" s="35">
        <v>1</v>
      </c>
      <c r="V153" s="32">
        <v>0</v>
      </c>
      <c r="W153" s="32">
        <v>0</v>
      </c>
    </row>
    <row r="154" spans="1:23" x14ac:dyDescent="0.2">
      <c r="A154" s="57">
        <v>98225</v>
      </c>
      <c r="B154" s="60" t="s">
        <v>10</v>
      </c>
      <c r="C154" s="45">
        <v>24</v>
      </c>
      <c r="D154" s="45">
        <v>23</v>
      </c>
      <c r="E154" s="45">
        <v>20</v>
      </c>
      <c r="M154" s="78">
        <v>98117</v>
      </c>
      <c r="N154" s="60" t="s">
        <v>10</v>
      </c>
      <c r="O154" s="35">
        <v>52</v>
      </c>
      <c r="P154" s="35">
        <v>37</v>
      </c>
      <c r="Q154" s="35">
        <v>48</v>
      </c>
      <c r="S154" s="78">
        <v>98284</v>
      </c>
      <c r="T154" s="60" t="s">
        <v>10</v>
      </c>
      <c r="U154" s="35">
        <v>1</v>
      </c>
      <c r="V154" s="35">
        <v>2</v>
      </c>
      <c r="W154" s="32">
        <v>6</v>
      </c>
    </row>
    <row r="155" spans="1:23" x14ac:dyDescent="0.2">
      <c r="A155" s="56">
        <v>98226</v>
      </c>
      <c r="B155" s="60" t="s">
        <v>333</v>
      </c>
      <c r="C155" s="45">
        <v>1</v>
      </c>
      <c r="D155" s="45">
        <v>1</v>
      </c>
      <c r="E155" s="45">
        <v>1</v>
      </c>
      <c r="M155" s="54">
        <v>98118</v>
      </c>
      <c r="N155" s="60" t="s">
        <v>333</v>
      </c>
      <c r="O155" s="35">
        <v>2</v>
      </c>
      <c r="P155" s="35">
        <v>3</v>
      </c>
      <c r="Q155" s="35">
        <v>5</v>
      </c>
      <c r="S155" s="78">
        <v>98296</v>
      </c>
      <c r="T155" s="60" t="s">
        <v>10</v>
      </c>
      <c r="U155" s="35">
        <v>1</v>
      </c>
      <c r="V155" s="32">
        <v>1</v>
      </c>
      <c r="W155" s="35">
        <v>2</v>
      </c>
    </row>
    <row r="156" spans="1:23" x14ac:dyDescent="0.2">
      <c r="A156" s="57">
        <v>98226</v>
      </c>
      <c r="B156" s="60" t="s">
        <v>10</v>
      </c>
      <c r="C156" s="45">
        <v>42</v>
      </c>
      <c r="D156" s="45">
        <v>38</v>
      </c>
      <c r="E156" s="45">
        <v>37</v>
      </c>
      <c r="M156" s="78">
        <v>98118</v>
      </c>
      <c r="N156" s="60" t="s">
        <v>10</v>
      </c>
      <c r="O156" s="35">
        <v>53</v>
      </c>
      <c r="P156" s="35">
        <v>48</v>
      </c>
      <c r="Q156" s="35">
        <v>53</v>
      </c>
      <c r="S156" s="78">
        <v>98310</v>
      </c>
      <c r="T156" s="60" t="s">
        <v>10</v>
      </c>
      <c r="U156" s="35">
        <v>1</v>
      </c>
      <c r="V156" s="35">
        <v>3</v>
      </c>
      <c r="W156" s="35">
        <v>4</v>
      </c>
    </row>
    <row r="157" spans="1:23" x14ac:dyDescent="0.2">
      <c r="A157" s="56">
        <v>98229</v>
      </c>
      <c r="B157" s="60" t="s">
        <v>333</v>
      </c>
      <c r="C157" s="45">
        <v>1</v>
      </c>
      <c r="D157" s="45">
        <v>1</v>
      </c>
      <c r="E157" s="45">
        <v>1</v>
      </c>
      <c r="M157" s="54">
        <v>98119</v>
      </c>
      <c r="N157" s="60" t="s">
        <v>333</v>
      </c>
      <c r="O157" s="35">
        <v>5</v>
      </c>
      <c r="P157" s="35">
        <v>1</v>
      </c>
      <c r="Q157" s="35">
        <v>1</v>
      </c>
      <c r="S157" s="78">
        <v>98311</v>
      </c>
      <c r="T157" s="60" t="s">
        <v>10</v>
      </c>
      <c r="U157" s="35">
        <v>3</v>
      </c>
      <c r="V157" s="35">
        <v>1</v>
      </c>
      <c r="W157" s="35">
        <v>4</v>
      </c>
    </row>
    <row r="158" spans="1:23" x14ac:dyDescent="0.2">
      <c r="A158" s="57">
        <v>98229</v>
      </c>
      <c r="B158" s="60" t="s">
        <v>10</v>
      </c>
      <c r="C158" s="45">
        <v>25</v>
      </c>
      <c r="D158" s="45">
        <v>24</v>
      </c>
      <c r="E158" s="45">
        <v>20</v>
      </c>
      <c r="M158" s="78">
        <v>98119</v>
      </c>
      <c r="N158" s="60" t="s">
        <v>10</v>
      </c>
      <c r="O158" s="35">
        <v>42</v>
      </c>
      <c r="P158" s="35">
        <v>24</v>
      </c>
      <c r="Q158" s="35">
        <v>49</v>
      </c>
      <c r="S158" s="78">
        <v>98312</v>
      </c>
      <c r="T158" s="60" t="s">
        <v>333</v>
      </c>
      <c r="U158" s="32">
        <v>2</v>
      </c>
      <c r="V158" s="35">
        <v>0</v>
      </c>
      <c r="W158" s="32">
        <v>0</v>
      </c>
    </row>
    <row r="159" spans="1:23" x14ac:dyDescent="0.2">
      <c r="A159" s="56">
        <v>98230</v>
      </c>
      <c r="B159" s="60" t="s">
        <v>10</v>
      </c>
      <c r="C159" s="45">
        <v>11</v>
      </c>
      <c r="D159" s="45">
        <v>10</v>
      </c>
      <c r="E159" s="45">
        <v>9</v>
      </c>
      <c r="M159" s="78">
        <v>98121</v>
      </c>
      <c r="N159" s="60" t="s">
        <v>333</v>
      </c>
      <c r="O159" s="35">
        <v>2</v>
      </c>
      <c r="P159" s="35">
        <v>1</v>
      </c>
      <c r="Q159" s="35">
        <v>1</v>
      </c>
      <c r="S159" s="78">
        <v>98312</v>
      </c>
      <c r="T159" s="60" t="s">
        <v>10</v>
      </c>
      <c r="U159" s="35">
        <v>5</v>
      </c>
      <c r="V159" s="32">
        <v>4</v>
      </c>
      <c r="W159" s="32">
        <v>1</v>
      </c>
    </row>
    <row r="160" spans="1:23" x14ac:dyDescent="0.2">
      <c r="A160" s="57">
        <v>98232</v>
      </c>
      <c r="B160" s="60" t="s">
        <v>10</v>
      </c>
      <c r="C160" s="45">
        <v>7</v>
      </c>
      <c r="D160" s="45">
        <v>5</v>
      </c>
      <c r="E160" s="45">
        <v>4</v>
      </c>
      <c r="M160" s="54">
        <v>98121</v>
      </c>
      <c r="N160" s="60" t="s">
        <v>10</v>
      </c>
      <c r="O160" s="35">
        <v>6</v>
      </c>
      <c r="P160" s="35">
        <v>9</v>
      </c>
      <c r="Q160" s="35">
        <v>6</v>
      </c>
      <c r="S160" s="78">
        <v>98321</v>
      </c>
      <c r="T160" s="60" t="s">
        <v>10</v>
      </c>
      <c r="U160" s="32">
        <v>2</v>
      </c>
      <c r="V160" s="35">
        <v>2</v>
      </c>
      <c r="W160" s="32">
        <v>5</v>
      </c>
    </row>
    <row r="161" spans="1:23" x14ac:dyDescent="0.2">
      <c r="A161" s="56">
        <v>98233</v>
      </c>
      <c r="B161" s="60" t="s">
        <v>333</v>
      </c>
      <c r="C161" s="45">
        <v>1</v>
      </c>
      <c r="D161" s="45">
        <v>1</v>
      </c>
      <c r="E161" s="45">
        <v>1</v>
      </c>
      <c r="M161" s="78">
        <v>98122</v>
      </c>
      <c r="N161" s="60" t="s">
        <v>333</v>
      </c>
      <c r="O161" s="35">
        <v>5</v>
      </c>
      <c r="P161" s="35">
        <v>5</v>
      </c>
      <c r="Q161" s="35">
        <v>5</v>
      </c>
      <c r="S161" s="78">
        <v>98327</v>
      </c>
      <c r="T161" s="60" t="s">
        <v>10</v>
      </c>
      <c r="U161" s="35">
        <v>0</v>
      </c>
      <c r="V161" s="35">
        <v>2</v>
      </c>
      <c r="W161" s="35">
        <v>1</v>
      </c>
    </row>
    <row r="162" spans="1:23" x14ac:dyDescent="0.2">
      <c r="A162" s="57">
        <v>98233</v>
      </c>
      <c r="B162" s="60" t="s">
        <v>10</v>
      </c>
      <c r="C162" s="45">
        <v>22</v>
      </c>
      <c r="D162" s="45">
        <v>22</v>
      </c>
      <c r="E162" s="45">
        <v>20</v>
      </c>
      <c r="M162" s="54">
        <v>98122</v>
      </c>
      <c r="N162" s="60" t="s">
        <v>10</v>
      </c>
      <c r="O162" s="35">
        <v>53</v>
      </c>
      <c r="P162" s="35">
        <v>53</v>
      </c>
      <c r="Q162" s="32">
        <v>57</v>
      </c>
      <c r="S162" s="78">
        <v>98328</v>
      </c>
      <c r="T162" s="60" t="s">
        <v>10</v>
      </c>
      <c r="U162" s="35">
        <v>1</v>
      </c>
      <c r="V162" s="35">
        <v>0</v>
      </c>
      <c r="W162" s="35">
        <v>0</v>
      </c>
    </row>
    <row r="163" spans="1:23" x14ac:dyDescent="0.2">
      <c r="A163" s="56">
        <v>98236</v>
      </c>
      <c r="B163" s="60" t="s">
        <v>10</v>
      </c>
      <c r="C163" s="45">
        <v>12</v>
      </c>
      <c r="D163" s="45">
        <v>11</v>
      </c>
      <c r="E163" s="45">
        <v>10</v>
      </c>
      <c r="M163" s="78">
        <v>98125</v>
      </c>
      <c r="N163" s="60" t="s">
        <v>333</v>
      </c>
      <c r="O163" s="35">
        <v>1</v>
      </c>
      <c r="P163" s="32">
        <v>1</v>
      </c>
      <c r="Q163" s="32">
        <v>2</v>
      </c>
      <c r="S163" s="78">
        <v>98332</v>
      </c>
      <c r="T163" s="60" t="s">
        <v>10</v>
      </c>
      <c r="U163" s="35">
        <v>1</v>
      </c>
      <c r="V163" s="35">
        <v>0</v>
      </c>
      <c r="W163" s="35">
        <v>0</v>
      </c>
    </row>
    <row r="164" spans="1:23" x14ac:dyDescent="0.2">
      <c r="A164" s="57">
        <v>98237</v>
      </c>
      <c r="B164" s="60" t="s">
        <v>10</v>
      </c>
      <c r="C164" s="45">
        <v>10</v>
      </c>
      <c r="D164" s="45">
        <v>9</v>
      </c>
      <c r="E164" s="45">
        <v>7</v>
      </c>
      <c r="M164" s="54">
        <v>98125</v>
      </c>
      <c r="N164" s="60" t="s">
        <v>10</v>
      </c>
      <c r="O164" s="35">
        <v>26</v>
      </c>
      <c r="P164" s="35">
        <v>28</v>
      </c>
      <c r="Q164" s="35">
        <v>34</v>
      </c>
      <c r="S164" s="78">
        <v>98335</v>
      </c>
      <c r="T164" s="60" t="s">
        <v>10</v>
      </c>
      <c r="U164" s="35">
        <v>1</v>
      </c>
      <c r="V164" s="32">
        <v>0</v>
      </c>
      <c r="W164" s="32">
        <v>0</v>
      </c>
    </row>
    <row r="165" spans="1:23" x14ac:dyDescent="0.2">
      <c r="A165" s="56">
        <v>98239</v>
      </c>
      <c r="B165" s="60" t="s">
        <v>10</v>
      </c>
      <c r="C165" s="45">
        <v>14</v>
      </c>
      <c r="D165" s="45">
        <v>13</v>
      </c>
      <c r="E165" s="45">
        <v>13</v>
      </c>
      <c r="M165" s="78">
        <v>98126</v>
      </c>
      <c r="N165" s="60" t="s">
        <v>333</v>
      </c>
      <c r="O165" s="35">
        <v>1</v>
      </c>
      <c r="P165" s="35">
        <v>1</v>
      </c>
      <c r="Q165" s="35">
        <v>1</v>
      </c>
      <c r="S165" s="78">
        <v>98337</v>
      </c>
      <c r="T165" s="60" t="s">
        <v>333</v>
      </c>
      <c r="U165" s="32">
        <v>2</v>
      </c>
      <c r="V165" s="35">
        <v>0</v>
      </c>
      <c r="W165" s="35">
        <v>0</v>
      </c>
    </row>
    <row r="166" spans="1:23" x14ac:dyDescent="0.2">
      <c r="A166" s="57">
        <v>98240</v>
      </c>
      <c r="B166" s="60" t="s">
        <v>10</v>
      </c>
      <c r="C166" s="45">
        <v>3</v>
      </c>
      <c r="D166" s="45">
        <v>3</v>
      </c>
      <c r="E166" s="45">
        <v>3</v>
      </c>
      <c r="M166" s="54">
        <v>98126</v>
      </c>
      <c r="N166" s="60" t="s">
        <v>10</v>
      </c>
      <c r="O166" s="35">
        <v>22</v>
      </c>
      <c r="P166" s="35">
        <v>26</v>
      </c>
      <c r="Q166" s="35">
        <v>39</v>
      </c>
      <c r="S166" s="78">
        <v>98337</v>
      </c>
      <c r="T166" s="60" t="s">
        <v>10</v>
      </c>
      <c r="U166" s="35">
        <v>0</v>
      </c>
      <c r="V166" s="35">
        <v>1</v>
      </c>
      <c r="W166" s="35">
        <v>0</v>
      </c>
    </row>
    <row r="167" spans="1:23" x14ac:dyDescent="0.2">
      <c r="A167" s="57">
        <v>98244</v>
      </c>
      <c r="B167" s="60" t="s">
        <v>333</v>
      </c>
      <c r="C167" s="45">
        <v>1</v>
      </c>
      <c r="D167" s="45">
        <v>1</v>
      </c>
      <c r="E167" s="45">
        <v>1</v>
      </c>
      <c r="M167" s="78">
        <v>98133</v>
      </c>
      <c r="N167" s="60" t="s">
        <v>333</v>
      </c>
      <c r="O167" s="35">
        <v>2</v>
      </c>
      <c r="P167" s="32">
        <v>4</v>
      </c>
      <c r="Q167" s="35">
        <v>0</v>
      </c>
      <c r="S167" s="78">
        <v>98338</v>
      </c>
      <c r="T167" s="60" t="s">
        <v>10</v>
      </c>
      <c r="U167" s="32">
        <v>4</v>
      </c>
      <c r="V167" s="35">
        <v>1</v>
      </c>
      <c r="W167" s="35">
        <v>2</v>
      </c>
    </row>
    <row r="168" spans="1:23" x14ac:dyDescent="0.2">
      <c r="A168" s="56">
        <v>98244</v>
      </c>
      <c r="B168" s="60" t="s">
        <v>10</v>
      </c>
      <c r="C168" s="45">
        <v>6</v>
      </c>
      <c r="D168" s="45">
        <v>6</v>
      </c>
      <c r="E168" s="45">
        <v>5</v>
      </c>
      <c r="M168" s="54">
        <v>98133</v>
      </c>
      <c r="N168" s="60" t="s">
        <v>10</v>
      </c>
      <c r="O168" s="35">
        <v>40</v>
      </c>
      <c r="P168" s="35">
        <v>63</v>
      </c>
      <c r="Q168" s="35">
        <v>30</v>
      </c>
      <c r="S168" s="78">
        <v>98346</v>
      </c>
      <c r="T168" s="60" t="s">
        <v>10</v>
      </c>
      <c r="U168" s="35">
        <v>2</v>
      </c>
      <c r="V168" s="32">
        <v>2</v>
      </c>
      <c r="W168" s="35">
        <v>0</v>
      </c>
    </row>
    <row r="169" spans="1:23" x14ac:dyDescent="0.2">
      <c r="A169" s="57">
        <v>98247</v>
      </c>
      <c r="B169" s="60" t="s">
        <v>333</v>
      </c>
      <c r="C169" s="45">
        <v>2</v>
      </c>
      <c r="D169" s="45">
        <v>2</v>
      </c>
      <c r="E169" s="45">
        <v>2</v>
      </c>
      <c r="M169" s="78">
        <v>98134</v>
      </c>
      <c r="N169" s="60" t="s">
        <v>333</v>
      </c>
      <c r="O169" s="35">
        <v>6</v>
      </c>
      <c r="P169" s="35">
        <v>9</v>
      </c>
      <c r="Q169" s="35">
        <v>2</v>
      </c>
      <c r="S169" s="78">
        <v>98359</v>
      </c>
      <c r="T169" s="60" t="s">
        <v>10</v>
      </c>
      <c r="U169" s="35">
        <v>2</v>
      </c>
      <c r="V169" s="32">
        <v>2</v>
      </c>
      <c r="W169" s="32">
        <v>0</v>
      </c>
    </row>
    <row r="170" spans="1:23" x14ac:dyDescent="0.2">
      <c r="A170" s="56">
        <v>98247</v>
      </c>
      <c r="B170" s="60" t="s">
        <v>10</v>
      </c>
      <c r="C170" s="45">
        <v>22</v>
      </c>
      <c r="D170" s="45">
        <v>18</v>
      </c>
      <c r="E170" s="45">
        <v>18</v>
      </c>
      <c r="M170" s="54">
        <v>98134</v>
      </c>
      <c r="N170" s="60" t="s">
        <v>10</v>
      </c>
      <c r="O170" s="35">
        <v>0</v>
      </c>
      <c r="P170" s="35">
        <v>1</v>
      </c>
      <c r="Q170" s="35">
        <v>4</v>
      </c>
      <c r="S170" s="78">
        <v>98360</v>
      </c>
      <c r="T170" s="60" t="s">
        <v>333</v>
      </c>
      <c r="U170" s="35">
        <v>0</v>
      </c>
      <c r="V170" s="35">
        <v>0</v>
      </c>
      <c r="W170" s="32">
        <v>1</v>
      </c>
    </row>
    <row r="171" spans="1:23" x14ac:dyDescent="0.2">
      <c r="A171" s="57">
        <v>98248</v>
      </c>
      <c r="B171" s="60" t="s">
        <v>333</v>
      </c>
      <c r="C171" s="45">
        <v>5</v>
      </c>
      <c r="D171" s="45">
        <v>5</v>
      </c>
      <c r="E171" s="45">
        <v>5</v>
      </c>
      <c r="M171" s="78">
        <v>98136</v>
      </c>
      <c r="N171" s="60" t="s">
        <v>333</v>
      </c>
      <c r="O171" s="35">
        <v>2</v>
      </c>
      <c r="P171" s="35">
        <v>0</v>
      </c>
      <c r="Q171" s="35">
        <v>1</v>
      </c>
      <c r="S171" s="54">
        <v>98360</v>
      </c>
      <c r="T171" s="60" t="s">
        <v>10</v>
      </c>
      <c r="U171" s="35">
        <v>5</v>
      </c>
      <c r="V171" s="35">
        <v>3</v>
      </c>
      <c r="W171" s="35">
        <v>1</v>
      </c>
    </row>
    <row r="172" spans="1:23" x14ac:dyDescent="0.2">
      <c r="A172" s="56">
        <v>98248</v>
      </c>
      <c r="B172" s="60" t="s">
        <v>10</v>
      </c>
      <c r="C172" s="45">
        <v>35</v>
      </c>
      <c r="D172" s="45">
        <v>33</v>
      </c>
      <c r="E172" s="45">
        <v>28</v>
      </c>
      <c r="M172" s="54">
        <v>98136</v>
      </c>
      <c r="N172" s="60" t="s">
        <v>10</v>
      </c>
      <c r="O172" s="35">
        <v>16</v>
      </c>
      <c r="P172" s="35">
        <v>22</v>
      </c>
      <c r="Q172" s="35">
        <v>24</v>
      </c>
      <c r="S172" s="78">
        <v>98366</v>
      </c>
      <c r="T172" s="60" t="s">
        <v>10</v>
      </c>
      <c r="U172" s="32">
        <v>2</v>
      </c>
      <c r="V172" s="35">
        <v>5</v>
      </c>
      <c r="W172" s="35">
        <v>6</v>
      </c>
    </row>
    <row r="173" spans="1:23" x14ac:dyDescent="0.2">
      <c r="A173" s="57">
        <v>98249</v>
      </c>
      <c r="B173" s="60" t="s">
        <v>10</v>
      </c>
      <c r="C173" s="45">
        <v>9</v>
      </c>
      <c r="D173" s="45">
        <v>9</v>
      </c>
      <c r="E173" s="45">
        <v>9</v>
      </c>
      <c r="M173" s="78">
        <v>98144</v>
      </c>
      <c r="N173" s="60" t="s">
        <v>333</v>
      </c>
      <c r="O173" s="35">
        <v>2</v>
      </c>
      <c r="P173" s="35">
        <v>2</v>
      </c>
      <c r="Q173" s="35">
        <v>5</v>
      </c>
      <c r="S173" s="78">
        <v>98367</v>
      </c>
      <c r="T173" s="60" t="s">
        <v>10</v>
      </c>
      <c r="U173" s="32">
        <v>6</v>
      </c>
      <c r="V173" s="35">
        <v>6</v>
      </c>
      <c r="W173" s="32">
        <v>2</v>
      </c>
    </row>
    <row r="174" spans="1:23" x14ac:dyDescent="0.2">
      <c r="A174" s="56">
        <v>98251</v>
      </c>
      <c r="B174" s="60" t="s">
        <v>10</v>
      </c>
      <c r="C174" s="45">
        <v>1</v>
      </c>
      <c r="D174" s="45">
        <v>1</v>
      </c>
      <c r="E174" s="45">
        <v>1</v>
      </c>
      <c r="M174" s="54">
        <v>98144</v>
      </c>
      <c r="N174" s="60" t="s">
        <v>10</v>
      </c>
      <c r="O174" s="35">
        <v>32</v>
      </c>
      <c r="P174" s="35">
        <v>51</v>
      </c>
      <c r="Q174" s="35">
        <v>57</v>
      </c>
      <c r="S174" s="54">
        <v>98370</v>
      </c>
      <c r="T174" s="60" t="s">
        <v>10</v>
      </c>
      <c r="U174" s="35">
        <v>5</v>
      </c>
      <c r="V174" s="35">
        <v>5</v>
      </c>
      <c r="W174" s="35">
        <v>4</v>
      </c>
    </row>
    <row r="175" spans="1:23" x14ac:dyDescent="0.2">
      <c r="A175" s="57">
        <v>98252</v>
      </c>
      <c r="B175" s="60" t="s">
        <v>10</v>
      </c>
      <c r="C175" s="45">
        <v>2</v>
      </c>
      <c r="D175" s="45">
        <v>2</v>
      </c>
      <c r="E175" s="45">
        <v>2</v>
      </c>
      <c r="M175" s="78">
        <v>98146</v>
      </c>
      <c r="N175" s="60" t="s">
        <v>333</v>
      </c>
      <c r="O175" s="35">
        <v>0</v>
      </c>
      <c r="P175" s="35">
        <v>1</v>
      </c>
      <c r="Q175" s="35">
        <v>1</v>
      </c>
      <c r="S175" s="78">
        <v>98371</v>
      </c>
      <c r="T175" s="60" t="s">
        <v>333</v>
      </c>
      <c r="U175" s="35">
        <v>0</v>
      </c>
      <c r="V175" s="35">
        <v>0</v>
      </c>
      <c r="W175" s="35">
        <v>1</v>
      </c>
    </row>
    <row r="176" spans="1:23" x14ac:dyDescent="0.2">
      <c r="A176" s="56">
        <v>98253</v>
      </c>
      <c r="B176" s="60" t="s">
        <v>10</v>
      </c>
      <c r="C176" s="45">
        <v>3</v>
      </c>
      <c r="D176" s="45">
        <v>2</v>
      </c>
      <c r="E176" s="45">
        <v>2</v>
      </c>
      <c r="M176" s="54">
        <v>98146</v>
      </c>
      <c r="N176" s="60" t="s">
        <v>10</v>
      </c>
      <c r="O176" s="35">
        <v>26</v>
      </c>
      <c r="P176" s="35">
        <v>24</v>
      </c>
      <c r="Q176" s="35">
        <v>28</v>
      </c>
      <c r="S176" s="78">
        <v>98371</v>
      </c>
      <c r="T176" s="60" t="s">
        <v>10</v>
      </c>
      <c r="U176" s="32">
        <v>6</v>
      </c>
      <c r="V176" s="35">
        <v>1</v>
      </c>
      <c r="W176" s="35">
        <v>1</v>
      </c>
    </row>
    <row r="177" spans="1:23" x14ac:dyDescent="0.2">
      <c r="A177" s="57">
        <v>98257</v>
      </c>
      <c r="B177" s="60" t="s">
        <v>10</v>
      </c>
      <c r="C177" s="45">
        <v>18</v>
      </c>
      <c r="D177" s="45">
        <v>16</v>
      </c>
      <c r="E177" s="45">
        <v>15</v>
      </c>
      <c r="M177" s="78">
        <v>98148</v>
      </c>
      <c r="N177" s="60" t="s">
        <v>333</v>
      </c>
      <c r="O177" s="35">
        <v>4</v>
      </c>
      <c r="P177" s="35">
        <v>4</v>
      </c>
      <c r="Q177" s="35">
        <v>4</v>
      </c>
      <c r="S177" s="78">
        <v>98372</v>
      </c>
      <c r="T177" s="60" t="s">
        <v>10</v>
      </c>
      <c r="U177" s="35">
        <v>2</v>
      </c>
      <c r="V177" s="35">
        <v>4</v>
      </c>
      <c r="W177" s="32">
        <v>5</v>
      </c>
    </row>
    <row r="178" spans="1:23" x14ac:dyDescent="0.2">
      <c r="A178" s="56">
        <v>98258</v>
      </c>
      <c r="B178" s="60" t="s">
        <v>10</v>
      </c>
      <c r="C178" s="45">
        <v>17</v>
      </c>
      <c r="D178" s="45">
        <v>17</v>
      </c>
      <c r="E178" s="45">
        <v>17</v>
      </c>
      <c r="M178" s="78">
        <v>98148</v>
      </c>
      <c r="N178" s="60" t="s">
        <v>10</v>
      </c>
      <c r="O178" s="32">
        <v>26</v>
      </c>
      <c r="P178" s="32">
        <v>21</v>
      </c>
      <c r="Q178" s="35">
        <v>34</v>
      </c>
      <c r="S178" s="78">
        <v>98373</v>
      </c>
      <c r="T178" s="60" t="s">
        <v>10</v>
      </c>
      <c r="U178" s="32">
        <v>7</v>
      </c>
      <c r="V178" s="35">
        <v>7</v>
      </c>
      <c r="W178" s="32">
        <v>0</v>
      </c>
    </row>
    <row r="179" spans="1:23" x14ac:dyDescent="0.2">
      <c r="A179" s="57">
        <v>98260</v>
      </c>
      <c r="B179" s="60" t="s">
        <v>10</v>
      </c>
      <c r="C179" s="45">
        <v>8</v>
      </c>
      <c r="D179" s="45">
        <v>7</v>
      </c>
      <c r="E179" s="45">
        <v>7</v>
      </c>
      <c r="M179" s="54">
        <v>98155</v>
      </c>
      <c r="N179" s="60" t="s">
        <v>333</v>
      </c>
      <c r="O179" s="35">
        <v>2</v>
      </c>
      <c r="P179" s="35">
        <v>2</v>
      </c>
      <c r="Q179" s="35">
        <v>1</v>
      </c>
      <c r="S179" s="78">
        <v>98374</v>
      </c>
      <c r="T179" s="60" t="s">
        <v>10</v>
      </c>
      <c r="U179" s="35">
        <v>3</v>
      </c>
      <c r="V179" s="35">
        <v>6</v>
      </c>
      <c r="W179" s="35">
        <v>5</v>
      </c>
    </row>
    <row r="180" spans="1:23" x14ac:dyDescent="0.2">
      <c r="A180" s="56">
        <v>98262</v>
      </c>
      <c r="B180" s="60" t="s">
        <v>10</v>
      </c>
      <c r="C180" s="45">
        <v>3</v>
      </c>
      <c r="D180" s="45">
        <v>2</v>
      </c>
      <c r="E180" s="45">
        <v>2</v>
      </c>
      <c r="M180" s="78">
        <v>98155</v>
      </c>
      <c r="N180" s="60" t="s">
        <v>10</v>
      </c>
      <c r="O180" s="35">
        <v>29</v>
      </c>
      <c r="P180" s="35">
        <v>20</v>
      </c>
      <c r="Q180" s="35">
        <v>39</v>
      </c>
      <c r="S180" s="78">
        <v>98375</v>
      </c>
      <c r="T180" s="60" t="s">
        <v>10</v>
      </c>
      <c r="U180" s="35">
        <v>1</v>
      </c>
      <c r="V180" s="35">
        <v>7</v>
      </c>
      <c r="W180" s="35">
        <v>8</v>
      </c>
    </row>
    <row r="181" spans="1:23" x14ac:dyDescent="0.2">
      <c r="A181" s="57">
        <v>98264</v>
      </c>
      <c r="B181" s="60" t="s">
        <v>333</v>
      </c>
      <c r="C181" s="45">
        <v>1</v>
      </c>
      <c r="D181" s="45">
        <v>1</v>
      </c>
      <c r="E181" s="45">
        <v>1</v>
      </c>
      <c r="M181" s="54">
        <v>98166</v>
      </c>
      <c r="N181" s="60" t="s">
        <v>333</v>
      </c>
      <c r="O181" s="35">
        <v>2</v>
      </c>
      <c r="P181" s="35">
        <v>2</v>
      </c>
      <c r="Q181" s="35">
        <v>0</v>
      </c>
      <c r="S181" s="78">
        <v>98380</v>
      </c>
      <c r="T181" s="60" t="s">
        <v>10</v>
      </c>
      <c r="U181" s="35">
        <v>1</v>
      </c>
      <c r="V181" s="32">
        <v>0</v>
      </c>
      <c r="W181" s="35">
        <v>0</v>
      </c>
    </row>
    <row r="182" spans="1:23" x14ac:dyDescent="0.2">
      <c r="A182" s="56">
        <v>98264</v>
      </c>
      <c r="B182" s="60" t="s">
        <v>10</v>
      </c>
      <c r="C182" s="45">
        <v>19</v>
      </c>
      <c r="D182" s="45">
        <v>17</v>
      </c>
      <c r="E182" s="45">
        <v>15</v>
      </c>
      <c r="M182" s="78">
        <v>98166</v>
      </c>
      <c r="N182" s="60" t="s">
        <v>10</v>
      </c>
      <c r="O182" s="32">
        <v>26</v>
      </c>
      <c r="P182" s="35">
        <v>27</v>
      </c>
      <c r="Q182" s="32">
        <v>46</v>
      </c>
      <c r="S182" s="54">
        <v>98383</v>
      </c>
      <c r="T182" s="60" t="s">
        <v>333</v>
      </c>
      <c r="U182" s="35">
        <v>1</v>
      </c>
      <c r="V182" s="35">
        <v>0</v>
      </c>
      <c r="W182" s="35">
        <v>0</v>
      </c>
    </row>
    <row r="183" spans="1:23" x14ac:dyDescent="0.2">
      <c r="A183" s="57">
        <v>98266</v>
      </c>
      <c r="B183" s="60" t="s">
        <v>10</v>
      </c>
      <c r="C183" s="45">
        <v>8</v>
      </c>
      <c r="D183" s="45">
        <v>8</v>
      </c>
      <c r="E183" s="45">
        <v>7</v>
      </c>
      <c r="M183" s="78">
        <v>98168</v>
      </c>
      <c r="N183" s="60" t="s">
        <v>333</v>
      </c>
      <c r="O183" s="35">
        <v>9</v>
      </c>
      <c r="P183" s="35">
        <v>3</v>
      </c>
      <c r="Q183" s="35">
        <v>2</v>
      </c>
      <c r="S183" s="78">
        <v>98383</v>
      </c>
      <c r="T183" s="60" t="s">
        <v>10</v>
      </c>
      <c r="U183" s="32">
        <v>1</v>
      </c>
      <c r="V183" s="35">
        <v>3</v>
      </c>
      <c r="W183" s="32">
        <v>1</v>
      </c>
    </row>
    <row r="184" spans="1:23" x14ac:dyDescent="0.2">
      <c r="A184" s="57">
        <v>98267</v>
      </c>
      <c r="B184" s="60" t="s">
        <v>10</v>
      </c>
      <c r="C184" s="45">
        <v>2</v>
      </c>
      <c r="D184" s="45">
        <v>2</v>
      </c>
      <c r="E184" s="45">
        <v>2</v>
      </c>
      <c r="M184" s="54">
        <v>98168</v>
      </c>
      <c r="N184" s="60" t="s">
        <v>10</v>
      </c>
      <c r="O184" s="35">
        <v>32</v>
      </c>
      <c r="P184" s="35">
        <v>28</v>
      </c>
      <c r="Q184" s="35">
        <v>30</v>
      </c>
      <c r="S184" s="54">
        <v>98387</v>
      </c>
      <c r="T184" s="60" t="s">
        <v>10</v>
      </c>
      <c r="U184" s="35">
        <v>3</v>
      </c>
      <c r="V184" s="35">
        <v>3</v>
      </c>
      <c r="W184" s="35">
        <v>6</v>
      </c>
    </row>
    <row r="185" spans="1:23" x14ac:dyDescent="0.2">
      <c r="A185" s="56">
        <v>98270</v>
      </c>
      <c r="B185" s="60" t="s">
        <v>333</v>
      </c>
      <c r="C185" s="45">
        <v>1</v>
      </c>
      <c r="D185" s="45">
        <v>1</v>
      </c>
      <c r="E185" s="45">
        <v>1</v>
      </c>
      <c r="M185" s="78">
        <v>98177</v>
      </c>
      <c r="N185" s="60" t="s">
        <v>333</v>
      </c>
      <c r="O185" s="35">
        <v>1</v>
      </c>
      <c r="P185" s="35">
        <v>0</v>
      </c>
      <c r="Q185" s="35">
        <v>1</v>
      </c>
      <c r="S185" s="78">
        <v>98388</v>
      </c>
      <c r="T185" s="60" t="s">
        <v>10</v>
      </c>
      <c r="U185" s="32">
        <v>0</v>
      </c>
      <c r="V185" s="32">
        <v>0</v>
      </c>
      <c r="W185" s="35">
        <v>1</v>
      </c>
    </row>
    <row r="186" spans="1:23" x14ac:dyDescent="0.2">
      <c r="A186" s="57">
        <v>98270</v>
      </c>
      <c r="B186" s="60" t="s">
        <v>10</v>
      </c>
      <c r="C186" s="45">
        <v>25</v>
      </c>
      <c r="D186" s="45">
        <v>25</v>
      </c>
      <c r="E186" s="45">
        <v>25</v>
      </c>
      <c r="M186" s="54">
        <v>98177</v>
      </c>
      <c r="N186" s="60" t="s">
        <v>10</v>
      </c>
      <c r="O186" s="35">
        <v>15</v>
      </c>
      <c r="P186" s="35">
        <v>19</v>
      </c>
      <c r="Q186" s="35">
        <v>20</v>
      </c>
      <c r="S186" s="54">
        <v>98390</v>
      </c>
      <c r="T186" s="60" t="s">
        <v>333</v>
      </c>
      <c r="U186" s="32">
        <v>1</v>
      </c>
      <c r="V186" s="35">
        <v>2</v>
      </c>
      <c r="W186" s="35">
        <v>0</v>
      </c>
    </row>
    <row r="187" spans="1:23" x14ac:dyDescent="0.2">
      <c r="A187" s="57">
        <v>98271</v>
      </c>
      <c r="B187" s="60" t="s">
        <v>10</v>
      </c>
      <c r="C187" s="45">
        <v>2</v>
      </c>
      <c r="D187" s="45">
        <v>2</v>
      </c>
      <c r="E187" s="45">
        <v>2</v>
      </c>
      <c r="M187" s="78">
        <v>98178</v>
      </c>
      <c r="N187" s="60" t="s">
        <v>10</v>
      </c>
      <c r="O187" s="35">
        <v>16</v>
      </c>
      <c r="P187" s="35">
        <v>21</v>
      </c>
      <c r="Q187" s="35">
        <v>35</v>
      </c>
      <c r="S187" s="78">
        <v>98390</v>
      </c>
      <c r="T187" s="60" t="s">
        <v>10</v>
      </c>
      <c r="U187" s="32">
        <v>5</v>
      </c>
      <c r="V187" s="32">
        <v>4</v>
      </c>
      <c r="W187" s="35">
        <v>1</v>
      </c>
    </row>
    <row r="188" spans="1:23" x14ac:dyDescent="0.2">
      <c r="A188" s="57">
        <v>98272</v>
      </c>
      <c r="B188" s="60" t="s">
        <v>10</v>
      </c>
      <c r="C188" s="45">
        <v>7</v>
      </c>
      <c r="D188" s="45">
        <v>7</v>
      </c>
      <c r="E188" s="45">
        <v>7</v>
      </c>
      <c r="M188" s="54">
        <v>98188</v>
      </c>
      <c r="N188" s="60" t="s">
        <v>333</v>
      </c>
      <c r="O188" s="35">
        <v>19</v>
      </c>
      <c r="P188" s="35">
        <v>15</v>
      </c>
      <c r="Q188" s="35">
        <v>30</v>
      </c>
      <c r="S188" s="78">
        <v>98391</v>
      </c>
      <c r="T188" s="60" t="s">
        <v>10</v>
      </c>
      <c r="U188" s="35">
        <v>4</v>
      </c>
      <c r="V188" s="35">
        <v>12</v>
      </c>
      <c r="W188" s="35">
        <v>5</v>
      </c>
    </row>
    <row r="189" spans="1:23" x14ac:dyDescent="0.2">
      <c r="A189" s="56">
        <v>98273</v>
      </c>
      <c r="B189" s="60" t="s">
        <v>333</v>
      </c>
      <c r="C189" s="45">
        <v>4</v>
      </c>
      <c r="D189" s="45">
        <v>3</v>
      </c>
      <c r="E189" s="45">
        <v>3</v>
      </c>
      <c r="M189" s="78">
        <v>98188</v>
      </c>
      <c r="N189" s="60" t="s">
        <v>10</v>
      </c>
      <c r="O189" s="35">
        <v>96</v>
      </c>
      <c r="P189" s="35">
        <v>91</v>
      </c>
      <c r="Q189" s="35">
        <v>107</v>
      </c>
      <c r="S189" s="78">
        <v>98392</v>
      </c>
      <c r="T189" s="60" t="s">
        <v>10</v>
      </c>
      <c r="U189" s="35">
        <v>0</v>
      </c>
      <c r="V189" s="32">
        <v>1</v>
      </c>
      <c r="W189" s="32">
        <v>1</v>
      </c>
    </row>
    <row r="190" spans="1:23" x14ac:dyDescent="0.2">
      <c r="A190" s="57">
        <v>98273</v>
      </c>
      <c r="B190" s="60" t="s">
        <v>10</v>
      </c>
      <c r="C190" s="45">
        <v>28</v>
      </c>
      <c r="D190" s="45">
        <v>25</v>
      </c>
      <c r="E190" s="45">
        <v>24</v>
      </c>
      <c r="M190" s="54">
        <v>98198</v>
      </c>
      <c r="N190" s="60" t="s">
        <v>333</v>
      </c>
      <c r="O190" s="35">
        <v>3</v>
      </c>
      <c r="P190" s="35">
        <v>4</v>
      </c>
      <c r="Q190" s="35">
        <v>4</v>
      </c>
      <c r="S190" s="54">
        <v>98402</v>
      </c>
      <c r="T190" s="60" t="s">
        <v>333</v>
      </c>
      <c r="U190" s="35">
        <v>0</v>
      </c>
      <c r="V190" s="35">
        <v>1</v>
      </c>
      <c r="W190" s="35">
        <v>0</v>
      </c>
    </row>
    <row r="191" spans="1:23" x14ac:dyDescent="0.2">
      <c r="A191" s="56">
        <v>98274</v>
      </c>
      <c r="B191" s="60" t="s">
        <v>333</v>
      </c>
      <c r="C191" s="45">
        <v>1</v>
      </c>
      <c r="D191" s="45">
        <v>1</v>
      </c>
      <c r="E191" s="45">
        <v>1</v>
      </c>
      <c r="M191" s="78">
        <v>98198</v>
      </c>
      <c r="N191" s="60" t="s">
        <v>10</v>
      </c>
      <c r="O191" s="35">
        <v>125</v>
      </c>
      <c r="P191" s="35">
        <v>138</v>
      </c>
      <c r="Q191" s="35">
        <v>169</v>
      </c>
      <c r="S191" s="78">
        <v>98403</v>
      </c>
      <c r="T191" s="60" t="s">
        <v>10</v>
      </c>
      <c r="U191" s="35">
        <v>0</v>
      </c>
      <c r="V191" s="35">
        <v>1</v>
      </c>
      <c r="W191" s="35">
        <v>2</v>
      </c>
    </row>
    <row r="192" spans="1:23" x14ac:dyDescent="0.2">
      <c r="A192" s="57">
        <v>98274</v>
      </c>
      <c r="B192" s="60" t="s">
        <v>10</v>
      </c>
      <c r="C192" s="45">
        <v>24</v>
      </c>
      <c r="D192" s="45">
        <v>21</v>
      </c>
      <c r="E192" s="45">
        <v>20</v>
      </c>
      <c r="M192" s="54">
        <v>98199</v>
      </c>
      <c r="N192" s="60" t="s">
        <v>333</v>
      </c>
      <c r="O192" s="35">
        <v>0</v>
      </c>
      <c r="P192" s="35">
        <v>2</v>
      </c>
      <c r="Q192" s="35">
        <v>1</v>
      </c>
      <c r="S192" s="78">
        <v>98404</v>
      </c>
      <c r="T192" s="60" t="s">
        <v>10</v>
      </c>
      <c r="U192" s="32">
        <v>2</v>
      </c>
      <c r="V192" s="35">
        <v>1</v>
      </c>
      <c r="W192" s="32">
        <v>1</v>
      </c>
    </row>
    <row r="193" spans="1:23" x14ac:dyDescent="0.2">
      <c r="A193" s="56">
        <v>98275</v>
      </c>
      <c r="B193" s="60" t="s">
        <v>333</v>
      </c>
      <c r="C193" s="45">
        <v>2</v>
      </c>
      <c r="D193" s="45">
        <v>2</v>
      </c>
      <c r="E193" s="45">
        <v>2</v>
      </c>
      <c r="M193" s="78">
        <v>98199</v>
      </c>
      <c r="N193" s="60" t="s">
        <v>10</v>
      </c>
      <c r="O193" s="35">
        <v>25</v>
      </c>
      <c r="P193" s="35">
        <v>20</v>
      </c>
      <c r="Q193" s="35">
        <v>27</v>
      </c>
      <c r="S193" s="78">
        <v>98405</v>
      </c>
      <c r="T193" s="60" t="s">
        <v>10</v>
      </c>
      <c r="U193" s="35">
        <v>1</v>
      </c>
      <c r="V193" s="35">
        <v>4</v>
      </c>
      <c r="W193" s="35">
        <v>0</v>
      </c>
    </row>
    <row r="194" spans="1:23" x14ac:dyDescent="0.2">
      <c r="A194" s="57">
        <v>98275</v>
      </c>
      <c r="B194" s="60" t="s">
        <v>10</v>
      </c>
      <c r="C194" s="45">
        <v>7</v>
      </c>
      <c r="D194" s="45">
        <v>7</v>
      </c>
      <c r="E194" s="45">
        <v>7</v>
      </c>
      <c r="M194" s="54">
        <v>98201</v>
      </c>
      <c r="N194" s="60" t="s">
        <v>333</v>
      </c>
      <c r="O194" s="35">
        <v>3</v>
      </c>
      <c r="P194" s="35">
        <v>7</v>
      </c>
      <c r="Q194" s="35">
        <v>7</v>
      </c>
      <c r="S194" s="78">
        <v>98406</v>
      </c>
      <c r="T194" s="60" t="s">
        <v>10</v>
      </c>
      <c r="U194" s="32">
        <v>2</v>
      </c>
      <c r="V194" s="32">
        <v>0</v>
      </c>
      <c r="W194" s="35">
        <v>1</v>
      </c>
    </row>
    <row r="195" spans="1:23" x14ac:dyDescent="0.2">
      <c r="A195" s="56">
        <v>98277</v>
      </c>
      <c r="B195" s="60" t="s">
        <v>333</v>
      </c>
      <c r="C195" s="45">
        <v>2</v>
      </c>
      <c r="D195" s="45">
        <v>2</v>
      </c>
      <c r="E195" s="45">
        <v>1</v>
      </c>
      <c r="M195" s="78">
        <v>98201</v>
      </c>
      <c r="N195" s="60" t="s">
        <v>10</v>
      </c>
      <c r="O195" s="32">
        <v>37</v>
      </c>
      <c r="P195" s="35">
        <v>42</v>
      </c>
      <c r="Q195" s="35">
        <v>33</v>
      </c>
      <c r="S195" s="78">
        <v>98407</v>
      </c>
      <c r="T195" s="60" t="s">
        <v>10</v>
      </c>
      <c r="U195" s="35">
        <v>0</v>
      </c>
      <c r="V195" s="32">
        <v>1</v>
      </c>
      <c r="W195" s="32">
        <v>1</v>
      </c>
    </row>
    <row r="196" spans="1:23" x14ac:dyDescent="0.2">
      <c r="A196" s="57">
        <v>98277</v>
      </c>
      <c r="B196" s="60" t="s">
        <v>10</v>
      </c>
      <c r="C196" s="45">
        <v>70</v>
      </c>
      <c r="D196" s="45">
        <v>63</v>
      </c>
      <c r="E196" s="45">
        <v>57</v>
      </c>
      <c r="M196" s="78">
        <v>98203</v>
      </c>
      <c r="N196" s="60" t="s">
        <v>333</v>
      </c>
      <c r="O196" s="35">
        <v>6</v>
      </c>
      <c r="P196" s="35">
        <v>5</v>
      </c>
      <c r="Q196" s="35">
        <v>3</v>
      </c>
      <c r="S196" s="78">
        <v>98408</v>
      </c>
      <c r="T196" s="60" t="s">
        <v>333</v>
      </c>
      <c r="U196" s="35">
        <v>1</v>
      </c>
      <c r="V196" s="35">
        <v>0</v>
      </c>
      <c r="W196" s="35">
        <v>0</v>
      </c>
    </row>
    <row r="197" spans="1:23" x14ac:dyDescent="0.2">
      <c r="A197" s="56">
        <v>98281</v>
      </c>
      <c r="B197" s="60" t="s">
        <v>10</v>
      </c>
      <c r="C197" s="45">
        <v>3</v>
      </c>
      <c r="D197" s="45">
        <v>3</v>
      </c>
      <c r="E197" s="45">
        <v>2</v>
      </c>
      <c r="M197" s="54">
        <v>98203</v>
      </c>
      <c r="N197" s="60" t="s">
        <v>10</v>
      </c>
      <c r="O197" s="35">
        <v>34</v>
      </c>
      <c r="P197" s="35">
        <v>46</v>
      </c>
      <c r="Q197" s="35">
        <v>38</v>
      </c>
      <c r="S197" s="78">
        <v>98408</v>
      </c>
      <c r="T197" s="60" t="s">
        <v>10</v>
      </c>
      <c r="U197" s="35">
        <v>5</v>
      </c>
      <c r="V197" s="35">
        <v>0</v>
      </c>
      <c r="W197" s="35">
        <v>2</v>
      </c>
    </row>
    <row r="198" spans="1:23" x14ac:dyDescent="0.2">
      <c r="A198" s="57">
        <v>98283</v>
      </c>
      <c r="B198" s="60" t="s">
        <v>333</v>
      </c>
      <c r="C198" s="45">
        <v>6</v>
      </c>
      <c r="D198" s="45">
        <v>6</v>
      </c>
      <c r="E198" s="45">
        <v>6</v>
      </c>
      <c r="M198" s="78">
        <v>98204</v>
      </c>
      <c r="N198" s="60" t="s">
        <v>333</v>
      </c>
      <c r="O198" s="35">
        <v>4</v>
      </c>
      <c r="P198" s="35">
        <v>5</v>
      </c>
      <c r="Q198" s="32">
        <v>6</v>
      </c>
      <c r="S198" s="78">
        <v>98409</v>
      </c>
      <c r="T198" s="60" t="s">
        <v>333</v>
      </c>
      <c r="U198" s="35">
        <v>1</v>
      </c>
      <c r="V198" s="35">
        <v>0</v>
      </c>
      <c r="W198" s="35">
        <v>0</v>
      </c>
    </row>
    <row r="199" spans="1:23" x14ac:dyDescent="0.2">
      <c r="A199" s="56">
        <v>98283</v>
      </c>
      <c r="B199" s="60" t="s">
        <v>10</v>
      </c>
      <c r="C199" s="45">
        <v>1</v>
      </c>
      <c r="D199" s="45">
        <v>1</v>
      </c>
      <c r="E199" s="45">
        <v>1</v>
      </c>
      <c r="M199" s="54">
        <v>98204</v>
      </c>
      <c r="N199" s="60" t="s">
        <v>10</v>
      </c>
      <c r="O199" s="35">
        <v>21</v>
      </c>
      <c r="P199" s="35">
        <v>27</v>
      </c>
      <c r="Q199" s="35">
        <v>29</v>
      </c>
      <c r="S199" s="78">
        <v>98409</v>
      </c>
      <c r="T199" s="60" t="s">
        <v>10</v>
      </c>
      <c r="U199" s="35">
        <v>0</v>
      </c>
      <c r="V199" s="32">
        <v>0</v>
      </c>
      <c r="W199" s="32">
        <v>2</v>
      </c>
    </row>
    <row r="200" spans="1:23" x14ac:dyDescent="0.2">
      <c r="A200" s="57">
        <v>98284</v>
      </c>
      <c r="B200" s="60" t="s">
        <v>333</v>
      </c>
      <c r="C200" s="45">
        <v>1</v>
      </c>
      <c r="D200" s="45">
        <v>0</v>
      </c>
      <c r="E200" s="45">
        <v>0</v>
      </c>
      <c r="M200" s="78">
        <v>98208</v>
      </c>
      <c r="N200" s="60" t="s">
        <v>333</v>
      </c>
      <c r="O200" s="35">
        <v>4</v>
      </c>
      <c r="P200" s="35">
        <v>4</v>
      </c>
      <c r="Q200" s="32">
        <v>4</v>
      </c>
      <c r="S200" s="54">
        <v>98418</v>
      </c>
      <c r="T200" s="60" t="s">
        <v>10</v>
      </c>
      <c r="U200" s="35">
        <v>1</v>
      </c>
      <c r="V200" s="35">
        <v>3</v>
      </c>
      <c r="W200" s="35">
        <v>1</v>
      </c>
    </row>
    <row r="201" spans="1:23" x14ac:dyDescent="0.2">
      <c r="A201" s="57">
        <v>98284</v>
      </c>
      <c r="B201" s="60" t="s">
        <v>10</v>
      </c>
      <c r="C201" s="45">
        <v>34</v>
      </c>
      <c r="D201" s="45">
        <v>33</v>
      </c>
      <c r="E201" s="45">
        <v>32</v>
      </c>
      <c r="M201" s="54">
        <v>98208</v>
      </c>
      <c r="N201" s="60" t="s">
        <v>10</v>
      </c>
      <c r="O201" s="35">
        <v>33</v>
      </c>
      <c r="P201" s="35">
        <v>34</v>
      </c>
      <c r="Q201" s="35">
        <v>60</v>
      </c>
      <c r="S201" s="78">
        <v>98422</v>
      </c>
      <c r="T201" s="60" t="s">
        <v>10</v>
      </c>
      <c r="U201" s="35">
        <v>1</v>
      </c>
      <c r="V201" s="35">
        <v>1</v>
      </c>
      <c r="W201" s="35">
        <v>1</v>
      </c>
    </row>
    <row r="202" spans="1:23" x14ac:dyDescent="0.2">
      <c r="A202" s="57">
        <v>98288</v>
      </c>
      <c r="B202" s="60" t="s">
        <v>10</v>
      </c>
      <c r="C202" s="45">
        <v>2</v>
      </c>
      <c r="D202" s="45">
        <v>2</v>
      </c>
      <c r="E202" s="45">
        <v>2</v>
      </c>
      <c r="M202" s="78">
        <v>98220</v>
      </c>
      <c r="N202" s="60" t="s">
        <v>10</v>
      </c>
      <c r="O202" s="35">
        <v>1</v>
      </c>
      <c r="P202" s="35">
        <v>3</v>
      </c>
      <c r="Q202" s="35">
        <v>0</v>
      </c>
      <c r="S202" s="78">
        <v>98424</v>
      </c>
      <c r="T202" s="60" t="s">
        <v>333</v>
      </c>
      <c r="U202" s="32">
        <v>1</v>
      </c>
      <c r="V202" s="32">
        <v>0</v>
      </c>
      <c r="W202" s="35">
        <v>0</v>
      </c>
    </row>
    <row r="203" spans="1:23" x14ac:dyDescent="0.2">
      <c r="A203" s="56">
        <v>98290</v>
      </c>
      <c r="B203" s="60" t="s">
        <v>10</v>
      </c>
      <c r="C203" s="45">
        <v>8</v>
      </c>
      <c r="D203" s="45">
        <v>8</v>
      </c>
      <c r="E203" s="45">
        <v>8</v>
      </c>
      <c r="M203" s="54">
        <v>98221</v>
      </c>
      <c r="N203" s="60" t="s">
        <v>333</v>
      </c>
      <c r="O203" s="35">
        <v>21</v>
      </c>
      <c r="P203" s="35">
        <v>14</v>
      </c>
      <c r="Q203" s="35">
        <v>18</v>
      </c>
      <c r="S203" s="54">
        <v>98424</v>
      </c>
      <c r="T203" s="60" t="s">
        <v>10</v>
      </c>
      <c r="U203" s="35">
        <v>2</v>
      </c>
      <c r="V203" s="35">
        <v>1</v>
      </c>
      <c r="W203" s="35">
        <v>0</v>
      </c>
    </row>
    <row r="204" spans="1:23" x14ac:dyDescent="0.2">
      <c r="A204" s="57">
        <v>98292</v>
      </c>
      <c r="B204" s="60" t="s">
        <v>10</v>
      </c>
      <c r="C204" s="45">
        <v>2</v>
      </c>
      <c r="D204" s="45">
        <v>2</v>
      </c>
      <c r="E204" s="45">
        <v>2</v>
      </c>
      <c r="M204" s="78">
        <v>98221</v>
      </c>
      <c r="N204" s="60" t="s">
        <v>10</v>
      </c>
      <c r="O204" s="35">
        <v>62</v>
      </c>
      <c r="P204" s="35">
        <v>88</v>
      </c>
      <c r="Q204" s="35">
        <v>81</v>
      </c>
      <c r="S204" s="78">
        <v>98439</v>
      </c>
      <c r="T204" s="60" t="s">
        <v>10</v>
      </c>
      <c r="U204" s="35">
        <v>3</v>
      </c>
      <c r="V204" s="32">
        <v>0</v>
      </c>
      <c r="W204" s="35">
        <v>1</v>
      </c>
    </row>
    <row r="205" spans="1:23" x14ac:dyDescent="0.2">
      <c r="A205" s="57">
        <v>98294</v>
      </c>
      <c r="B205" s="60" t="s">
        <v>10</v>
      </c>
      <c r="C205" s="45">
        <v>4</v>
      </c>
      <c r="D205" s="45">
        <v>4</v>
      </c>
      <c r="E205" s="45">
        <v>4</v>
      </c>
      <c r="M205" s="54">
        <v>98223</v>
      </c>
      <c r="N205" s="60" t="s">
        <v>333</v>
      </c>
      <c r="O205" s="35">
        <v>0</v>
      </c>
      <c r="P205" s="35">
        <v>1</v>
      </c>
      <c r="Q205" s="35">
        <v>1</v>
      </c>
      <c r="S205" s="54">
        <v>98444</v>
      </c>
      <c r="T205" s="60" t="s">
        <v>10</v>
      </c>
      <c r="U205" s="35">
        <v>0</v>
      </c>
      <c r="V205" s="35">
        <v>1</v>
      </c>
      <c r="W205" s="35">
        <v>0</v>
      </c>
    </row>
    <row r="206" spans="1:23" x14ac:dyDescent="0.2">
      <c r="A206" s="57">
        <v>98295</v>
      </c>
      <c r="B206" s="60" t="s">
        <v>10</v>
      </c>
      <c r="C206" s="45">
        <v>3</v>
      </c>
      <c r="D206" s="45">
        <v>3</v>
      </c>
      <c r="E206" s="45">
        <v>3</v>
      </c>
      <c r="M206" s="78">
        <v>98223</v>
      </c>
      <c r="N206" s="60" t="s">
        <v>10</v>
      </c>
      <c r="O206" s="35">
        <v>4</v>
      </c>
      <c r="P206" s="35">
        <v>4</v>
      </c>
      <c r="Q206" s="35">
        <v>3</v>
      </c>
      <c r="S206" s="78">
        <v>98445</v>
      </c>
      <c r="T206" s="60" t="s">
        <v>10</v>
      </c>
      <c r="U206" s="35">
        <v>0</v>
      </c>
      <c r="V206" s="35">
        <v>1</v>
      </c>
      <c r="W206" s="35">
        <v>1</v>
      </c>
    </row>
    <row r="207" spans="1:23" x14ac:dyDescent="0.2">
      <c r="A207" s="57">
        <v>98296</v>
      </c>
      <c r="B207" s="60" t="s">
        <v>10</v>
      </c>
      <c r="C207" s="45">
        <v>11</v>
      </c>
      <c r="D207" s="45">
        <v>11</v>
      </c>
      <c r="E207" s="45">
        <v>11</v>
      </c>
      <c r="M207" s="54">
        <v>98224</v>
      </c>
      <c r="N207" s="60" t="s">
        <v>10</v>
      </c>
      <c r="O207" s="35">
        <v>4</v>
      </c>
      <c r="P207" s="35">
        <v>0</v>
      </c>
      <c r="Q207" s="35">
        <v>0</v>
      </c>
      <c r="S207" s="78">
        <v>98466</v>
      </c>
      <c r="T207" s="60" t="s">
        <v>10</v>
      </c>
      <c r="U207" s="32">
        <v>1</v>
      </c>
      <c r="V207" s="35">
        <v>0</v>
      </c>
      <c r="W207" s="32">
        <v>0</v>
      </c>
    </row>
    <row r="208" spans="1:23" x14ac:dyDescent="0.2">
      <c r="A208" s="56">
        <v>98310</v>
      </c>
      <c r="B208" s="60" t="s">
        <v>333</v>
      </c>
      <c r="C208" s="45">
        <v>1</v>
      </c>
      <c r="D208" s="45">
        <v>1</v>
      </c>
      <c r="E208" s="45">
        <v>1</v>
      </c>
      <c r="M208" s="78">
        <v>98225</v>
      </c>
      <c r="N208" s="60" t="s">
        <v>333</v>
      </c>
      <c r="O208" s="35">
        <v>29</v>
      </c>
      <c r="P208" s="35">
        <v>12</v>
      </c>
      <c r="Q208" s="35">
        <v>20</v>
      </c>
      <c r="S208" s="54">
        <v>98467</v>
      </c>
      <c r="T208" s="60" t="s">
        <v>10</v>
      </c>
      <c r="U208" s="35">
        <v>1</v>
      </c>
      <c r="V208" s="35">
        <v>0</v>
      </c>
      <c r="W208" s="35">
        <v>0</v>
      </c>
    </row>
    <row r="209" spans="1:23" x14ac:dyDescent="0.2">
      <c r="A209" s="57">
        <v>98310</v>
      </c>
      <c r="B209" s="60" t="s">
        <v>10</v>
      </c>
      <c r="C209" s="45">
        <v>34</v>
      </c>
      <c r="D209" s="45">
        <v>32</v>
      </c>
      <c r="E209" s="45">
        <v>29</v>
      </c>
      <c r="M209" s="54">
        <v>98225</v>
      </c>
      <c r="N209" s="60" t="s">
        <v>10</v>
      </c>
      <c r="O209" s="35">
        <v>278</v>
      </c>
      <c r="P209" s="35">
        <v>213</v>
      </c>
      <c r="Q209" s="35">
        <v>206</v>
      </c>
      <c r="S209" s="78">
        <v>98498</v>
      </c>
      <c r="T209" s="60" t="s">
        <v>10</v>
      </c>
      <c r="U209" s="35">
        <v>1</v>
      </c>
      <c r="V209" s="35">
        <v>2</v>
      </c>
      <c r="W209" s="35">
        <v>5</v>
      </c>
    </row>
    <row r="210" spans="1:23" x14ac:dyDescent="0.2">
      <c r="A210" s="56">
        <v>98311</v>
      </c>
      <c r="B210" s="60" t="s">
        <v>333</v>
      </c>
      <c r="C210" s="45">
        <v>2</v>
      </c>
      <c r="D210" s="45">
        <v>2</v>
      </c>
      <c r="E210" s="45">
        <v>2</v>
      </c>
      <c r="M210" s="78">
        <v>98226</v>
      </c>
      <c r="N210" s="60" t="s">
        <v>333</v>
      </c>
      <c r="O210" s="35">
        <v>19</v>
      </c>
      <c r="P210" s="35">
        <v>24</v>
      </c>
      <c r="Q210" s="32">
        <v>62</v>
      </c>
      <c r="S210" s="78">
        <v>98499</v>
      </c>
      <c r="T210" s="60" t="s">
        <v>333</v>
      </c>
      <c r="U210" s="32">
        <v>1</v>
      </c>
      <c r="V210" s="35">
        <v>0</v>
      </c>
      <c r="W210" s="35">
        <v>1</v>
      </c>
    </row>
    <row r="211" spans="1:23" x14ac:dyDescent="0.2">
      <c r="A211" s="57">
        <v>98311</v>
      </c>
      <c r="B211" s="60" t="s">
        <v>10</v>
      </c>
      <c r="C211" s="45">
        <v>36</v>
      </c>
      <c r="D211" s="45">
        <v>33</v>
      </c>
      <c r="E211" s="45">
        <v>33</v>
      </c>
      <c r="M211" s="54">
        <v>98226</v>
      </c>
      <c r="N211" s="60" t="s">
        <v>10</v>
      </c>
      <c r="O211" s="35">
        <v>205</v>
      </c>
      <c r="P211" s="35">
        <v>302</v>
      </c>
      <c r="Q211" s="35">
        <v>180</v>
      </c>
      <c r="S211" s="78">
        <v>98499</v>
      </c>
      <c r="T211" s="60" t="s">
        <v>10</v>
      </c>
      <c r="U211" s="32">
        <v>2</v>
      </c>
      <c r="V211" s="35">
        <v>1</v>
      </c>
      <c r="W211" s="32">
        <v>1</v>
      </c>
    </row>
    <row r="212" spans="1:23" x14ac:dyDescent="0.2">
      <c r="A212" s="56">
        <v>98312</v>
      </c>
      <c r="B212" s="60" t="s">
        <v>333</v>
      </c>
      <c r="C212" s="45">
        <v>3</v>
      </c>
      <c r="D212" s="45">
        <v>1</v>
      </c>
      <c r="E212" s="45">
        <v>1</v>
      </c>
      <c r="M212" s="78">
        <v>98229</v>
      </c>
      <c r="N212" s="60" t="s">
        <v>333</v>
      </c>
      <c r="O212" s="35">
        <v>14</v>
      </c>
      <c r="P212" s="35">
        <v>4</v>
      </c>
      <c r="Q212" s="35">
        <v>10</v>
      </c>
      <c r="S212" s="54">
        <v>98501</v>
      </c>
      <c r="T212" s="60" t="s">
        <v>333</v>
      </c>
      <c r="U212" s="35">
        <v>0</v>
      </c>
      <c r="V212" s="35">
        <v>0</v>
      </c>
      <c r="W212" s="35">
        <v>6</v>
      </c>
    </row>
    <row r="213" spans="1:23" x14ac:dyDescent="0.2">
      <c r="A213" s="57">
        <v>98312</v>
      </c>
      <c r="B213" s="60" t="s">
        <v>10</v>
      </c>
      <c r="C213" s="45">
        <v>59</v>
      </c>
      <c r="D213" s="45">
        <v>53</v>
      </c>
      <c r="E213" s="45">
        <v>49</v>
      </c>
      <c r="M213" s="54">
        <v>98229</v>
      </c>
      <c r="N213" s="60" t="s">
        <v>10</v>
      </c>
      <c r="O213" s="35">
        <v>121</v>
      </c>
      <c r="P213" s="35">
        <v>86</v>
      </c>
      <c r="Q213" s="35">
        <v>117</v>
      </c>
      <c r="S213" s="78">
        <v>98501</v>
      </c>
      <c r="T213" s="60" t="s">
        <v>10</v>
      </c>
      <c r="U213" s="32">
        <v>4</v>
      </c>
      <c r="V213" s="32">
        <v>4</v>
      </c>
      <c r="W213" s="35">
        <v>6</v>
      </c>
    </row>
    <row r="214" spans="1:23" x14ac:dyDescent="0.2">
      <c r="A214" s="57">
        <v>98321</v>
      </c>
      <c r="B214" s="60" t="s">
        <v>333</v>
      </c>
      <c r="C214" s="45">
        <v>1</v>
      </c>
      <c r="D214" s="45">
        <v>1</v>
      </c>
      <c r="E214" s="45">
        <v>1</v>
      </c>
      <c r="M214" s="78">
        <v>98230</v>
      </c>
      <c r="N214" s="60" t="s">
        <v>333</v>
      </c>
      <c r="O214" s="35">
        <v>4</v>
      </c>
      <c r="P214" s="35">
        <v>4</v>
      </c>
      <c r="Q214" s="35">
        <v>7</v>
      </c>
      <c r="S214" s="54">
        <v>98502</v>
      </c>
      <c r="T214" s="60" t="s">
        <v>333</v>
      </c>
      <c r="U214" s="35">
        <v>0</v>
      </c>
      <c r="V214" s="35">
        <v>2</v>
      </c>
      <c r="W214" s="35">
        <v>0</v>
      </c>
    </row>
    <row r="215" spans="1:23" x14ac:dyDescent="0.2">
      <c r="A215" s="57">
        <v>98321</v>
      </c>
      <c r="B215" s="60" t="s">
        <v>10</v>
      </c>
      <c r="C215" s="45">
        <v>47</v>
      </c>
      <c r="D215" s="45">
        <v>46</v>
      </c>
      <c r="E215" s="45">
        <v>44</v>
      </c>
      <c r="M215" s="54">
        <v>98230</v>
      </c>
      <c r="N215" s="60" t="s">
        <v>10</v>
      </c>
      <c r="O215" s="35">
        <v>42</v>
      </c>
      <c r="P215" s="35">
        <v>32</v>
      </c>
      <c r="Q215" s="35">
        <v>32</v>
      </c>
      <c r="S215" s="78">
        <v>98502</v>
      </c>
      <c r="T215" s="60" t="s">
        <v>10</v>
      </c>
      <c r="U215" s="32">
        <v>3</v>
      </c>
      <c r="V215" s="35">
        <v>0</v>
      </c>
      <c r="W215" s="35">
        <v>1</v>
      </c>
    </row>
    <row r="216" spans="1:23" x14ac:dyDescent="0.2">
      <c r="A216" s="57">
        <v>98323</v>
      </c>
      <c r="B216" s="60" t="s">
        <v>10</v>
      </c>
      <c r="C216" s="45">
        <v>2</v>
      </c>
      <c r="D216" s="45">
        <v>2</v>
      </c>
      <c r="E216" s="45">
        <v>2</v>
      </c>
      <c r="M216" s="78">
        <v>98232</v>
      </c>
      <c r="N216" s="60" t="s">
        <v>333</v>
      </c>
      <c r="O216" s="35">
        <v>1</v>
      </c>
      <c r="P216" s="35">
        <v>0</v>
      </c>
      <c r="Q216" s="35">
        <v>2</v>
      </c>
      <c r="S216" s="78">
        <v>98503</v>
      </c>
      <c r="T216" s="60" t="s">
        <v>333</v>
      </c>
      <c r="U216" s="35">
        <v>0</v>
      </c>
      <c r="V216" s="32">
        <v>1</v>
      </c>
      <c r="W216" s="32">
        <v>0</v>
      </c>
    </row>
    <row r="217" spans="1:23" x14ac:dyDescent="0.2">
      <c r="A217" s="56">
        <v>98327</v>
      </c>
      <c r="B217" s="60" t="s">
        <v>333</v>
      </c>
      <c r="C217" s="45">
        <v>1</v>
      </c>
      <c r="D217" s="45">
        <v>1</v>
      </c>
      <c r="E217" s="45">
        <v>1</v>
      </c>
      <c r="M217" s="54">
        <v>98232</v>
      </c>
      <c r="N217" s="60" t="s">
        <v>10</v>
      </c>
      <c r="O217" s="35">
        <v>10</v>
      </c>
      <c r="P217" s="35">
        <v>5</v>
      </c>
      <c r="Q217" s="35">
        <v>8</v>
      </c>
      <c r="S217" s="54">
        <v>98503</v>
      </c>
      <c r="T217" s="60" t="s">
        <v>10</v>
      </c>
      <c r="U217" s="35">
        <v>5</v>
      </c>
      <c r="V217" s="35">
        <v>2</v>
      </c>
      <c r="W217" s="35">
        <v>7</v>
      </c>
    </row>
    <row r="218" spans="1:23" x14ac:dyDescent="0.2">
      <c r="A218" s="57">
        <v>98327</v>
      </c>
      <c r="B218" s="60" t="s">
        <v>10</v>
      </c>
      <c r="C218" s="45">
        <v>7</v>
      </c>
      <c r="D218" s="45">
        <v>7</v>
      </c>
      <c r="E218" s="45">
        <v>6</v>
      </c>
      <c r="M218" s="78">
        <v>98233</v>
      </c>
      <c r="N218" s="60" t="s">
        <v>333</v>
      </c>
      <c r="O218" s="35">
        <v>7</v>
      </c>
      <c r="P218" s="35">
        <v>13</v>
      </c>
      <c r="Q218" s="35">
        <v>9</v>
      </c>
      <c r="S218" s="78">
        <v>98506</v>
      </c>
      <c r="T218" s="60" t="s">
        <v>10</v>
      </c>
      <c r="U218" s="35">
        <v>1</v>
      </c>
      <c r="V218" s="35">
        <v>1</v>
      </c>
      <c r="W218" s="35">
        <v>1</v>
      </c>
    </row>
    <row r="219" spans="1:23" x14ac:dyDescent="0.2">
      <c r="A219" s="57">
        <v>98328</v>
      </c>
      <c r="B219" s="60" t="s">
        <v>10</v>
      </c>
      <c r="C219" s="45">
        <v>2</v>
      </c>
      <c r="D219" s="45">
        <v>1</v>
      </c>
      <c r="E219" s="45">
        <v>1</v>
      </c>
      <c r="M219" s="54">
        <v>98233</v>
      </c>
      <c r="N219" s="60" t="s">
        <v>10</v>
      </c>
      <c r="O219" s="35">
        <v>66</v>
      </c>
      <c r="P219" s="35">
        <v>54</v>
      </c>
      <c r="Q219" s="35">
        <v>90</v>
      </c>
      <c r="S219" s="78">
        <v>98512</v>
      </c>
      <c r="T219" s="60" t="s">
        <v>10</v>
      </c>
      <c r="U219" s="35">
        <v>3</v>
      </c>
      <c r="V219" s="35">
        <v>2</v>
      </c>
      <c r="W219" s="35">
        <v>3</v>
      </c>
    </row>
    <row r="220" spans="1:23" x14ac:dyDescent="0.2">
      <c r="A220" s="56">
        <v>98332</v>
      </c>
      <c r="B220" s="60" t="s">
        <v>10</v>
      </c>
      <c r="C220" s="45">
        <v>8</v>
      </c>
      <c r="D220" s="45">
        <v>7</v>
      </c>
      <c r="E220" s="45">
        <v>7</v>
      </c>
      <c r="M220" s="78">
        <v>98235</v>
      </c>
      <c r="N220" s="60" t="s">
        <v>10</v>
      </c>
      <c r="O220" s="32">
        <v>2</v>
      </c>
      <c r="P220" s="35">
        <v>2</v>
      </c>
      <c r="Q220" s="35">
        <v>1</v>
      </c>
      <c r="S220" s="78">
        <v>98513</v>
      </c>
      <c r="T220" s="60" t="s">
        <v>10</v>
      </c>
      <c r="U220" s="35">
        <v>1</v>
      </c>
      <c r="V220" s="32">
        <v>3</v>
      </c>
      <c r="W220" s="32">
        <v>5</v>
      </c>
    </row>
    <row r="221" spans="1:23" x14ac:dyDescent="0.2">
      <c r="A221" s="57">
        <v>98335</v>
      </c>
      <c r="B221" s="60" t="s">
        <v>10</v>
      </c>
      <c r="C221" s="45">
        <v>7</v>
      </c>
      <c r="D221" s="45">
        <v>6</v>
      </c>
      <c r="E221" s="45">
        <v>6</v>
      </c>
      <c r="M221" s="54">
        <v>98236</v>
      </c>
      <c r="N221" s="60" t="s">
        <v>333</v>
      </c>
      <c r="O221" s="35">
        <v>7</v>
      </c>
      <c r="P221" s="35">
        <v>9</v>
      </c>
      <c r="Q221" s="35">
        <v>7</v>
      </c>
      <c r="S221" s="78">
        <v>98516</v>
      </c>
      <c r="T221" s="60" t="s">
        <v>333</v>
      </c>
      <c r="U221" s="32">
        <v>0</v>
      </c>
      <c r="V221" s="32">
        <v>0</v>
      </c>
      <c r="W221" s="35">
        <v>1</v>
      </c>
    </row>
    <row r="222" spans="1:23" x14ac:dyDescent="0.2">
      <c r="A222" s="56">
        <v>98337</v>
      </c>
      <c r="B222" s="60" t="s">
        <v>333</v>
      </c>
      <c r="C222" s="45">
        <v>3</v>
      </c>
      <c r="D222" s="45">
        <v>1</v>
      </c>
      <c r="E222" s="45">
        <v>1</v>
      </c>
      <c r="M222" s="78">
        <v>98236</v>
      </c>
      <c r="N222" s="60" t="s">
        <v>10</v>
      </c>
      <c r="O222" s="35">
        <v>24</v>
      </c>
      <c r="P222" s="35">
        <v>25</v>
      </c>
      <c r="Q222" s="35">
        <v>17</v>
      </c>
      <c r="S222" s="78">
        <v>98516</v>
      </c>
      <c r="T222" s="60" t="s">
        <v>10</v>
      </c>
      <c r="U222" s="35">
        <v>3</v>
      </c>
      <c r="V222" s="35">
        <v>1</v>
      </c>
      <c r="W222" s="35">
        <v>5</v>
      </c>
    </row>
    <row r="223" spans="1:23" x14ac:dyDescent="0.2">
      <c r="A223" s="57">
        <v>98337</v>
      </c>
      <c r="B223" s="60" t="s">
        <v>10</v>
      </c>
      <c r="C223" s="45">
        <v>7</v>
      </c>
      <c r="D223" s="45">
        <v>7</v>
      </c>
      <c r="E223" s="45">
        <v>6</v>
      </c>
      <c r="M223" s="54">
        <v>98237</v>
      </c>
      <c r="N223" s="60" t="s">
        <v>333</v>
      </c>
      <c r="O223" s="35">
        <v>3</v>
      </c>
      <c r="P223" s="35">
        <v>0</v>
      </c>
      <c r="Q223" s="35">
        <v>4</v>
      </c>
      <c r="S223" s="78">
        <v>98531</v>
      </c>
      <c r="T223" s="60" t="s">
        <v>333</v>
      </c>
      <c r="U223" s="35">
        <v>0</v>
      </c>
      <c r="V223" s="32">
        <v>0</v>
      </c>
      <c r="W223" s="32">
        <v>2</v>
      </c>
    </row>
    <row r="224" spans="1:23" x14ac:dyDescent="0.2">
      <c r="A224" s="57">
        <v>98338</v>
      </c>
      <c r="B224" s="60" t="s">
        <v>10</v>
      </c>
      <c r="C224" s="45">
        <v>43</v>
      </c>
      <c r="D224" s="45">
        <v>38</v>
      </c>
      <c r="E224" s="45">
        <v>37</v>
      </c>
      <c r="M224" s="78">
        <v>98237</v>
      </c>
      <c r="N224" s="60" t="s">
        <v>10</v>
      </c>
      <c r="O224" s="35">
        <v>14</v>
      </c>
      <c r="P224" s="35">
        <v>14</v>
      </c>
      <c r="Q224" s="35">
        <v>17</v>
      </c>
      <c r="S224" s="54">
        <v>98531</v>
      </c>
      <c r="T224" s="60" t="s">
        <v>10</v>
      </c>
      <c r="U224" s="35">
        <v>0</v>
      </c>
      <c r="V224" s="35">
        <v>1</v>
      </c>
      <c r="W224" s="35">
        <v>1</v>
      </c>
    </row>
    <row r="225" spans="1:23" x14ac:dyDescent="0.2">
      <c r="A225" s="57">
        <v>98340</v>
      </c>
      <c r="B225" s="60" t="s">
        <v>10</v>
      </c>
      <c r="C225" s="45">
        <v>3</v>
      </c>
      <c r="D225" s="45">
        <v>3</v>
      </c>
      <c r="E225" s="45">
        <v>3</v>
      </c>
      <c r="M225" s="54">
        <v>98239</v>
      </c>
      <c r="N225" s="60" t="s">
        <v>333</v>
      </c>
      <c r="O225" s="35">
        <v>3</v>
      </c>
      <c r="P225" s="35">
        <v>3</v>
      </c>
      <c r="Q225" s="35">
        <v>3</v>
      </c>
      <c r="S225" s="78">
        <v>98576</v>
      </c>
      <c r="T225" s="60" t="s">
        <v>10</v>
      </c>
      <c r="U225" s="35">
        <v>0</v>
      </c>
      <c r="V225" s="35">
        <v>2</v>
      </c>
      <c r="W225" s="35">
        <v>1</v>
      </c>
    </row>
    <row r="226" spans="1:23" x14ac:dyDescent="0.2">
      <c r="A226" s="57">
        <v>98342</v>
      </c>
      <c r="B226" s="60" t="s">
        <v>10</v>
      </c>
      <c r="C226" s="45">
        <v>5</v>
      </c>
      <c r="D226" s="45">
        <v>5</v>
      </c>
      <c r="E226" s="45">
        <v>5</v>
      </c>
      <c r="M226" s="78">
        <v>98239</v>
      </c>
      <c r="N226" s="60" t="s">
        <v>10</v>
      </c>
      <c r="O226" s="35">
        <v>27</v>
      </c>
      <c r="P226" s="35">
        <v>25</v>
      </c>
      <c r="Q226" s="35">
        <v>25</v>
      </c>
      <c r="S226" s="78">
        <v>98579</v>
      </c>
      <c r="T226" s="60" t="s">
        <v>333</v>
      </c>
      <c r="U226" s="35">
        <v>0</v>
      </c>
      <c r="V226" s="35">
        <v>1</v>
      </c>
      <c r="W226" s="35">
        <v>0</v>
      </c>
    </row>
    <row r="227" spans="1:23" x14ac:dyDescent="0.2">
      <c r="A227" s="56">
        <v>98345</v>
      </c>
      <c r="B227" s="60" t="s">
        <v>10</v>
      </c>
      <c r="C227" s="45">
        <v>1</v>
      </c>
      <c r="D227" s="45">
        <v>1</v>
      </c>
      <c r="E227" s="45">
        <v>1</v>
      </c>
      <c r="M227" s="54">
        <v>98240</v>
      </c>
      <c r="N227" s="60" t="s">
        <v>333</v>
      </c>
      <c r="O227" s="35">
        <v>1</v>
      </c>
      <c r="P227" s="35">
        <v>1</v>
      </c>
      <c r="Q227" s="35">
        <v>1</v>
      </c>
      <c r="S227" s="78">
        <v>98579</v>
      </c>
      <c r="T227" s="60" t="s">
        <v>10</v>
      </c>
      <c r="U227" s="35">
        <v>0</v>
      </c>
      <c r="V227" s="35">
        <v>1</v>
      </c>
      <c r="W227" s="35">
        <v>1</v>
      </c>
    </row>
    <row r="228" spans="1:23" x14ac:dyDescent="0.2">
      <c r="A228" s="57">
        <v>98346</v>
      </c>
      <c r="B228" s="60" t="s">
        <v>10</v>
      </c>
      <c r="C228" s="45">
        <v>25</v>
      </c>
      <c r="D228" s="45">
        <v>23</v>
      </c>
      <c r="E228" s="45">
        <v>21</v>
      </c>
      <c r="M228" s="78">
        <v>98240</v>
      </c>
      <c r="N228" s="60" t="s">
        <v>10</v>
      </c>
      <c r="O228" s="35">
        <v>3</v>
      </c>
      <c r="P228" s="35">
        <v>4</v>
      </c>
      <c r="Q228" s="35">
        <v>8</v>
      </c>
      <c r="S228" s="78">
        <v>98580</v>
      </c>
      <c r="T228" s="60" t="s">
        <v>10</v>
      </c>
      <c r="U228" s="35">
        <v>2</v>
      </c>
      <c r="V228" s="35">
        <v>3</v>
      </c>
      <c r="W228" s="35">
        <v>3</v>
      </c>
    </row>
    <row r="229" spans="1:23" x14ac:dyDescent="0.2">
      <c r="A229" s="57">
        <v>98354</v>
      </c>
      <c r="B229" s="60" t="s">
        <v>10</v>
      </c>
      <c r="C229" s="45">
        <v>3</v>
      </c>
      <c r="D229" s="45">
        <v>3</v>
      </c>
      <c r="E229" s="45">
        <v>3</v>
      </c>
      <c r="M229" s="54">
        <v>98244</v>
      </c>
      <c r="N229" s="60" t="s">
        <v>333</v>
      </c>
      <c r="O229" s="35">
        <v>2</v>
      </c>
      <c r="P229" s="35">
        <v>1</v>
      </c>
      <c r="Q229" s="35">
        <v>4</v>
      </c>
      <c r="S229" s="78">
        <v>98589</v>
      </c>
      <c r="T229" s="60" t="s">
        <v>10</v>
      </c>
      <c r="U229" s="32">
        <v>0</v>
      </c>
      <c r="V229" s="35">
        <v>2</v>
      </c>
      <c r="W229" s="35">
        <v>0</v>
      </c>
    </row>
    <row r="230" spans="1:23" x14ac:dyDescent="0.2">
      <c r="A230" s="57">
        <v>98359</v>
      </c>
      <c r="B230" s="60" t="s">
        <v>10</v>
      </c>
      <c r="C230" s="45">
        <v>10</v>
      </c>
      <c r="D230" s="45">
        <v>9</v>
      </c>
      <c r="E230" s="45">
        <v>7</v>
      </c>
      <c r="M230" s="78">
        <v>98244</v>
      </c>
      <c r="N230" s="60" t="s">
        <v>10</v>
      </c>
      <c r="O230" s="32">
        <v>10</v>
      </c>
      <c r="P230" s="32">
        <v>12</v>
      </c>
      <c r="Q230" s="35">
        <v>11</v>
      </c>
      <c r="S230" s="78">
        <v>98597</v>
      </c>
      <c r="T230" s="60" t="s">
        <v>10</v>
      </c>
      <c r="U230" s="35">
        <v>2</v>
      </c>
      <c r="V230" s="35">
        <v>6</v>
      </c>
      <c r="W230" s="35">
        <v>5</v>
      </c>
    </row>
    <row r="231" spans="1:23" x14ac:dyDescent="0.2">
      <c r="A231" s="56">
        <v>98360</v>
      </c>
      <c r="B231" s="60" t="s">
        <v>333</v>
      </c>
      <c r="C231" s="45">
        <v>2</v>
      </c>
      <c r="D231" s="45">
        <v>2</v>
      </c>
      <c r="E231" s="45">
        <v>2</v>
      </c>
      <c r="M231" s="54">
        <v>98247</v>
      </c>
      <c r="N231" s="60" t="s">
        <v>333</v>
      </c>
      <c r="O231" s="35">
        <v>4</v>
      </c>
      <c r="P231" s="35">
        <v>8</v>
      </c>
      <c r="Q231" s="35">
        <v>1</v>
      </c>
      <c r="S231" s="78">
        <v>98922</v>
      </c>
      <c r="T231" s="60" t="s">
        <v>10</v>
      </c>
      <c r="U231" s="35">
        <v>0</v>
      </c>
      <c r="V231" s="35">
        <v>0</v>
      </c>
      <c r="W231" s="35">
        <v>1</v>
      </c>
    </row>
    <row r="232" spans="1:23" x14ac:dyDescent="0.2">
      <c r="A232" s="57">
        <v>98360</v>
      </c>
      <c r="B232" s="60" t="s">
        <v>10</v>
      </c>
      <c r="C232" s="45">
        <v>47</v>
      </c>
      <c r="D232" s="45">
        <v>41</v>
      </c>
      <c r="E232" s="45">
        <v>38</v>
      </c>
      <c r="M232" s="78">
        <v>98247</v>
      </c>
      <c r="N232" s="60" t="s">
        <v>10</v>
      </c>
      <c r="O232" s="35">
        <v>13</v>
      </c>
      <c r="P232" s="32">
        <v>14</v>
      </c>
      <c r="Q232" s="32">
        <v>24</v>
      </c>
      <c r="S232" s="78">
        <v>98926</v>
      </c>
      <c r="T232" s="60" t="s">
        <v>333</v>
      </c>
      <c r="U232" s="35">
        <v>0</v>
      </c>
      <c r="V232" s="35">
        <v>0</v>
      </c>
      <c r="W232" s="35">
        <v>1</v>
      </c>
    </row>
    <row r="233" spans="1:23" x14ac:dyDescent="0.2">
      <c r="A233" s="56">
        <v>98366</v>
      </c>
      <c r="B233" s="60" t="s">
        <v>333</v>
      </c>
      <c r="C233" s="45">
        <v>2</v>
      </c>
      <c r="D233" s="45">
        <v>2</v>
      </c>
      <c r="E233" s="45">
        <v>2</v>
      </c>
      <c r="M233" s="54">
        <v>98248</v>
      </c>
      <c r="N233" s="60" t="s">
        <v>333</v>
      </c>
      <c r="O233" s="35">
        <v>11</v>
      </c>
      <c r="P233" s="35">
        <v>21</v>
      </c>
      <c r="Q233" s="35">
        <v>19</v>
      </c>
      <c r="S233" s="78">
        <v>98926</v>
      </c>
      <c r="T233" s="60" t="s">
        <v>10</v>
      </c>
      <c r="U233" s="35">
        <v>0</v>
      </c>
      <c r="V233" s="35">
        <v>0</v>
      </c>
      <c r="W233" s="35">
        <v>2</v>
      </c>
    </row>
    <row r="234" spans="1:23" x14ac:dyDescent="0.2">
      <c r="A234" s="57">
        <v>98366</v>
      </c>
      <c r="B234" s="60" t="s">
        <v>10</v>
      </c>
      <c r="C234" s="45">
        <v>61</v>
      </c>
      <c r="D234" s="45">
        <v>58</v>
      </c>
      <c r="E234" s="45">
        <v>53</v>
      </c>
      <c r="M234" s="78">
        <v>98248</v>
      </c>
      <c r="N234" s="60" t="s">
        <v>10</v>
      </c>
      <c r="O234" s="35">
        <v>77</v>
      </c>
      <c r="P234" s="35">
        <v>64</v>
      </c>
      <c r="Q234" s="35">
        <v>117</v>
      </c>
      <c r="S234" s="78">
        <v>98941</v>
      </c>
      <c r="T234" s="60" t="s">
        <v>10</v>
      </c>
      <c r="U234" s="35">
        <v>0</v>
      </c>
      <c r="V234" s="35">
        <v>1</v>
      </c>
      <c r="W234" s="35">
        <v>0</v>
      </c>
    </row>
    <row r="235" spans="1:23" ht="16" thickBot="1" x14ac:dyDescent="0.25">
      <c r="A235" s="56">
        <v>98367</v>
      </c>
      <c r="B235" s="60" t="s">
        <v>333</v>
      </c>
      <c r="C235" s="45">
        <v>1</v>
      </c>
      <c r="D235" s="45">
        <v>1</v>
      </c>
      <c r="E235" s="45">
        <v>1</v>
      </c>
      <c r="M235" s="54">
        <v>98249</v>
      </c>
      <c r="N235" s="60" t="s">
        <v>333</v>
      </c>
      <c r="O235" s="35">
        <v>8</v>
      </c>
      <c r="P235" s="35">
        <v>4</v>
      </c>
      <c r="Q235" s="35">
        <v>7</v>
      </c>
      <c r="S235" s="82">
        <v>98946</v>
      </c>
      <c r="T235" s="52" t="s">
        <v>10</v>
      </c>
      <c r="U235" s="83">
        <v>1</v>
      </c>
      <c r="V235" s="53">
        <v>0</v>
      </c>
      <c r="W235" s="53">
        <v>0</v>
      </c>
    </row>
    <row r="236" spans="1:23" x14ac:dyDescent="0.2">
      <c r="A236" s="57">
        <v>98367</v>
      </c>
      <c r="B236" s="60" t="s">
        <v>10</v>
      </c>
      <c r="C236" s="45">
        <v>47</v>
      </c>
      <c r="D236" s="45">
        <v>42</v>
      </c>
      <c r="E236" s="45">
        <v>37</v>
      </c>
      <c r="M236" s="78">
        <v>98249</v>
      </c>
      <c r="N236" s="60" t="s">
        <v>10</v>
      </c>
      <c r="O236" s="32">
        <v>14</v>
      </c>
      <c r="P236" s="32">
        <v>21</v>
      </c>
      <c r="Q236" s="35">
        <v>22</v>
      </c>
      <c r="S236" s="94"/>
      <c r="T236" s="36"/>
      <c r="U236" s="103"/>
      <c r="V236" s="103"/>
      <c r="W236" s="42"/>
    </row>
    <row r="237" spans="1:23" x14ac:dyDescent="0.2">
      <c r="A237" s="56">
        <v>98370</v>
      </c>
      <c r="B237" s="60" t="s">
        <v>333</v>
      </c>
      <c r="C237" s="45">
        <v>1</v>
      </c>
      <c r="D237" s="45">
        <v>1</v>
      </c>
      <c r="E237" s="45">
        <v>1</v>
      </c>
      <c r="M237" s="54">
        <v>98251</v>
      </c>
      <c r="N237" s="60" t="s">
        <v>333</v>
      </c>
      <c r="O237" s="35">
        <v>1</v>
      </c>
      <c r="P237" s="35">
        <v>0</v>
      </c>
      <c r="Q237" s="35">
        <v>0</v>
      </c>
      <c r="S237" s="95"/>
      <c r="T237" s="38"/>
      <c r="U237" s="43"/>
      <c r="V237" s="43"/>
      <c r="W237" s="43"/>
    </row>
    <row r="238" spans="1:23" x14ac:dyDescent="0.2">
      <c r="A238" s="57">
        <v>98370</v>
      </c>
      <c r="B238" s="60" t="s">
        <v>10</v>
      </c>
      <c r="C238" s="45">
        <v>52</v>
      </c>
      <c r="D238" s="45">
        <v>48</v>
      </c>
      <c r="E238" s="45">
        <v>43</v>
      </c>
      <c r="M238" s="78">
        <v>98251</v>
      </c>
      <c r="N238" s="60" t="s">
        <v>10</v>
      </c>
      <c r="O238" s="35">
        <v>3</v>
      </c>
      <c r="P238" s="35">
        <v>2</v>
      </c>
      <c r="Q238" s="35">
        <v>1</v>
      </c>
      <c r="S238" s="95"/>
      <c r="T238" s="38"/>
      <c r="U238" s="43"/>
      <c r="V238" s="40"/>
      <c r="W238" s="40"/>
    </row>
    <row r="239" spans="1:23" x14ac:dyDescent="0.2">
      <c r="A239" s="56">
        <v>98371</v>
      </c>
      <c r="B239" s="60" t="s">
        <v>333</v>
      </c>
      <c r="C239" s="45">
        <v>1</v>
      </c>
      <c r="D239" s="45">
        <v>1</v>
      </c>
      <c r="E239" s="45">
        <v>1</v>
      </c>
      <c r="M239" s="54">
        <v>98252</v>
      </c>
      <c r="N239" s="60" t="s">
        <v>10</v>
      </c>
      <c r="O239" s="35">
        <v>5</v>
      </c>
      <c r="P239" s="35">
        <v>7</v>
      </c>
      <c r="Q239" s="35">
        <v>8</v>
      </c>
      <c r="S239" s="95"/>
      <c r="T239" s="38"/>
      <c r="U239" s="40"/>
      <c r="V239" s="43"/>
      <c r="W239" s="40"/>
    </row>
    <row r="240" spans="1:23" x14ac:dyDescent="0.2">
      <c r="A240" s="57">
        <v>98371</v>
      </c>
      <c r="B240" s="60" t="s">
        <v>10</v>
      </c>
      <c r="C240" s="45">
        <v>30</v>
      </c>
      <c r="D240" s="45">
        <v>27</v>
      </c>
      <c r="E240" s="45">
        <v>26</v>
      </c>
      <c r="M240" s="78">
        <v>98253</v>
      </c>
      <c r="N240" s="60" t="s">
        <v>333</v>
      </c>
      <c r="O240" s="35">
        <v>0</v>
      </c>
      <c r="P240" s="32">
        <v>2</v>
      </c>
      <c r="Q240" s="35">
        <v>1</v>
      </c>
      <c r="S240" s="65"/>
      <c r="T240" s="38"/>
      <c r="U240" s="43"/>
      <c r="V240" s="43"/>
      <c r="W240" s="43"/>
    </row>
    <row r="241" spans="1:23" x14ac:dyDescent="0.2">
      <c r="A241" s="56">
        <v>98372</v>
      </c>
      <c r="B241" s="60" t="s">
        <v>333</v>
      </c>
      <c r="C241" s="45">
        <v>1</v>
      </c>
      <c r="D241" s="45">
        <v>1</v>
      </c>
      <c r="E241" s="45">
        <v>1</v>
      </c>
      <c r="M241" s="54">
        <v>98253</v>
      </c>
      <c r="N241" s="60" t="s">
        <v>10</v>
      </c>
      <c r="O241" s="35">
        <v>7</v>
      </c>
      <c r="P241" s="35">
        <v>4</v>
      </c>
      <c r="Q241" s="35">
        <v>6</v>
      </c>
      <c r="S241" s="95"/>
      <c r="T241" s="38"/>
      <c r="U241" s="43"/>
      <c r="V241" s="40"/>
      <c r="W241" s="40"/>
    </row>
    <row r="242" spans="1:23" x14ac:dyDescent="0.2">
      <c r="A242" s="57">
        <v>98372</v>
      </c>
      <c r="B242" s="60" t="s">
        <v>10</v>
      </c>
      <c r="C242" s="45">
        <v>56</v>
      </c>
      <c r="D242" s="45">
        <v>55</v>
      </c>
      <c r="E242" s="45">
        <v>51</v>
      </c>
      <c r="M242" s="78">
        <v>98255</v>
      </c>
      <c r="N242" s="60" t="s">
        <v>10</v>
      </c>
      <c r="O242" s="35">
        <v>3</v>
      </c>
      <c r="P242" s="35">
        <v>0</v>
      </c>
      <c r="Q242" s="35">
        <v>0</v>
      </c>
      <c r="S242" s="65"/>
      <c r="T242" s="38"/>
      <c r="U242" s="43"/>
      <c r="V242" s="43"/>
      <c r="W242" s="43"/>
    </row>
    <row r="243" spans="1:23" x14ac:dyDescent="0.2">
      <c r="A243" s="57">
        <v>98373</v>
      </c>
      <c r="B243" s="60" t="s">
        <v>333</v>
      </c>
      <c r="C243" s="45">
        <v>3</v>
      </c>
      <c r="D243" s="45">
        <v>3</v>
      </c>
      <c r="E243" s="45">
        <v>3</v>
      </c>
      <c r="M243" s="54">
        <v>98257</v>
      </c>
      <c r="N243" s="60" t="s">
        <v>333</v>
      </c>
      <c r="O243" s="35">
        <v>1</v>
      </c>
      <c r="P243" s="35">
        <v>2</v>
      </c>
      <c r="Q243" s="35">
        <v>6</v>
      </c>
      <c r="S243" s="95"/>
      <c r="T243" s="38"/>
      <c r="U243" s="43"/>
      <c r="V243" s="43"/>
      <c r="W243" s="43"/>
    </row>
    <row r="244" spans="1:23" x14ac:dyDescent="0.2">
      <c r="A244" s="56">
        <v>98373</v>
      </c>
      <c r="B244" s="60" t="s">
        <v>10</v>
      </c>
      <c r="C244" s="45">
        <v>31</v>
      </c>
      <c r="D244" s="45">
        <v>24</v>
      </c>
      <c r="E244" s="45">
        <v>18</v>
      </c>
      <c r="M244" s="78">
        <v>98257</v>
      </c>
      <c r="N244" s="60" t="s">
        <v>10</v>
      </c>
      <c r="O244" s="32">
        <v>16</v>
      </c>
      <c r="P244" s="35">
        <v>10</v>
      </c>
      <c r="Q244" s="32">
        <v>11</v>
      </c>
      <c r="S244" s="95"/>
      <c r="T244" s="38"/>
      <c r="U244" s="43"/>
      <c r="V244" s="40"/>
      <c r="W244" s="40"/>
    </row>
    <row r="245" spans="1:23" x14ac:dyDescent="0.2">
      <c r="A245" s="57">
        <v>98374</v>
      </c>
      <c r="B245" s="60" t="s">
        <v>333</v>
      </c>
      <c r="C245" s="45">
        <v>1</v>
      </c>
      <c r="D245" s="45">
        <v>1</v>
      </c>
      <c r="E245" s="45">
        <v>1</v>
      </c>
      <c r="M245" s="54">
        <v>98258</v>
      </c>
      <c r="N245" s="60" t="s">
        <v>333</v>
      </c>
      <c r="O245" s="35">
        <v>0</v>
      </c>
      <c r="P245" s="35">
        <v>5</v>
      </c>
      <c r="Q245" s="35">
        <v>5</v>
      </c>
      <c r="S245" s="65"/>
      <c r="T245" s="38"/>
      <c r="U245" s="43"/>
      <c r="V245" s="43"/>
      <c r="W245" s="43"/>
    </row>
    <row r="246" spans="1:23" x14ac:dyDescent="0.2">
      <c r="A246" s="57">
        <v>98374</v>
      </c>
      <c r="B246" s="60" t="s">
        <v>10</v>
      </c>
      <c r="C246" s="45">
        <v>93</v>
      </c>
      <c r="D246" s="45">
        <v>89</v>
      </c>
      <c r="E246" s="45">
        <v>84</v>
      </c>
      <c r="M246" s="78">
        <v>98258</v>
      </c>
      <c r="N246" s="60" t="s">
        <v>10</v>
      </c>
      <c r="O246" s="35">
        <v>67</v>
      </c>
      <c r="P246" s="35">
        <v>87</v>
      </c>
      <c r="Q246" s="32">
        <v>75</v>
      </c>
      <c r="S246" s="95"/>
      <c r="T246" s="38"/>
      <c r="U246" s="43"/>
      <c r="V246" s="43"/>
      <c r="W246" s="43"/>
    </row>
    <row r="247" spans="1:23" x14ac:dyDescent="0.2">
      <c r="A247" s="56">
        <v>98375</v>
      </c>
      <c r="B247" s="60" t="s">
        <v>333</v>
      </c>
      <c r="C247" s="45">
        <v>1</v>
      </c>
      <c r="D247" s="45">
        <v>1</v>
      </c>
      <c r="E247" s="45">
        <v>1</v>
      </c>
      <c r="M247" s="54">
        <v>98260</v>
      </c>
      <c r="N247" s="60" t="s">
        <v>333</v>
      </c>
      <c r="O247" s="32">
        <v>5</v>
      </c>
      <c r="P247" s="35">
        <v>3</v>
      </c>
      <c r="Q247" s="35">
        <v>11</v>
      </c>
      <c r="S247" s="95"/>
      <c r="T247" s="38"/>
      <c r="U247" s="43"/>
      <c r="V247" s="43"/>
      <c r="W247" s="43"/>
    </row>
    <row r="248" spans="1:23" x14ac:dyDescent="0.2">
      <c r="A248" s="57">
        <v>98375</v>
      </c>
      <c r="B248" s="60" t="s">
        <v>10</v>
      </c>
      <c r="C248" s="45">
        <v>64</v>
      </c>
      <c r="D248" s="45">
        <v>63</v>
      </c>
      <c r="E248" s="45">
        <v>58</v>
      </c>
      <c r="M248" s="78">
        <v>98260</v>
      </c>
      <c r="N248" s="60" t="s">
        <v>10</v>
      </c>
      <c r="O248" s="35">
        <v>13</v>
      </c>
      <c r="P248" s="35">
        <v>15</v>
      </c>
      <c r="Q248" s="35">
        <v>27</v>
      </c>
      <c r="S248" s="95"/>
      <c r="T248" s="38"/>
      <c r="U248" s="43"/>
      <c r="V248" s="43"/>
      <c r="W248" s="43"/>
    </row>
    <row r="249" spans="1:23" x14ac:dyDescent="0.2">
      <c r="A249" s="56">
        <v>98380</v>
      </c>
      <c r="B249" s="60" t="s">
        <v>10</v>
      </c>
      <c r="C249" s="45">
        <v>13</v>
      </c>
      <c r="D249" s="45">
        <v>12</v>
      </c>
      <c r="E249" s="45">
        <v>12</v>
      </c>
      <c r="M249" s="54">
        <v>98262</v>
      </c>
      <c r="N249" s="60" t="s">
        <v>333</v>
      </c>
      <c r="O249" s="35">
        <v>0</v>
      </c>
      <c r="P249" s="35">
        <v>1</v>
      </c>
      <c r="Q249" s="35">
        <v>0</v>
      </c>
      <c r="S249" s="95"/>
      <c r="T249" s="38"/>
      <c r="U249" s="43"/>
      <c r="V249" s="43"/>
      <c r="W249" s="43"/>
    </row>
    <row r="250" spans="1:23" x14ac:dyDescent="0.2">
      <c r="A250" s="57">
        <v>98383</v>
      </c>
      <c r="B250" s="60" t="s">
        <v>10</v>
      </c>
      <c r="C250" s="45">
        <v>17</v>
      </c>
      <c r="D250" s="45">
        <v>16</v>
      </c>
      <c r="E250" s="45">
        <v>13</v>
      </c>
      <c r="M250" s="78">
        <v>98262</v>
      </c>
      <c r="N250" s="60" t="s">
        <v>10</v>
      </c>
      <c r="O250" s="35">
        <v>3</v>
      </c>
      <c r="P250" s="32">
        <v>5</v>
      </c>
      <c r="Q250" s="35">
        <v>1</v>
      </c>
      <c r="S250" s="95"/>
      <c r="T250" s="38"/>
      <c r="U250" s="43"/>
      <c r="V250" s="40"/>
      <c r="W250" s="40"/>
    </row>
    <row r="251" spans="1:23" x14ac:dyDescent="0.2">
      <c r="A251" s="57">
        <v>98385</v>
      </c>
      <c r="B251" s="60" t="s">
        <v>10</v>
      </c>
      <c r="C251" s="45">
        <v>1</v>
      </c>
      <c r="D251" s="45">
        <v>1</v>
      </c>
      <c r="E251" s="45">
        <v>1</v>
      </c>
      <c r="M251" s="54">
        <v>98263</v>
      </c>
      <c r="N251" s="60" t="s">
        <v>333</v>
      </c>
      <c r="O251" s="35">
        <v>0</v>
      </c>
      <c r="P251" s="35">
        <v>2</v>
      </c>
      <c r="Q251" s="35">
        <v>0</v>
      </c>
      <c r="S251" s="65"/>
      <c r="T251" s="38"/>
      <c r="U251" s="43"/>
      <c r="V251" s="43"/>
      <c r="W251" s="43"/>
    </row>
    <row r="252" spans="1:23" x14ac:dyDescent="0.2">
      <c r="A252" s="56">
        <v>98387</v>
      </c>
      <c r="B252" s="60" t="s">
        <v>333</v>
      </c>
      <c r="C252" s="45">
        <v>1</v>
      </c>
      <c r="D252" s="45">
        <v>1</v>
      </c>
      <c r="E252" s="45">
        <v>1</v>
      </c>
      <c r="M252" s="78">
        <v>98264</v>
      </c>
      <c r="N252" s="60" t="s">
        <v>333</v>
      </c>
      <c r="O252" s="32">
        <v>13</v>
      </c>
      <c r="P252" s="35">
        <v>13</v>
      </c>
      <c r="Q252" s="32">
        <v>18</v>
      </c>
      <c r="S252" s="95"/>
      <c r="T252" s="38"/>
      <c r="U252" s="43"/>
      <c r="V252" s="40"/>
      <c r="W252" s="43"/>
    </row>
    <row r="253" spans="1:23" x14ac:dyDescent="0.2">
      <c r="A253" s="57">
        <v>98387</v>
      </c>
      <c r="B253" s="60" t="s">
        <v>10</v>
      </c>
      <c r="C253" s="45">
        <v>45</v>
      </c>
      <c r="D253" s="45">
        <v>42</v>
      </c>
      <c r="E253" s="45">
        <v>39</v>
      </c>
      <c r="M253" s="54">
        <v>98264</v>
      </c>
      <c r="N253" s="60" t="s">
        <v>10</v>
      </c>
      <c r="O253" s="35">
        <v>84</v>
      </c>
      <c r="P253" s="35">
        <v>44</v>
      </c>
      <c r="Q253" s="32">
        <v>89</v>
      </c>
      <c r="S253" s="95"/>
      <c r="T253" s="38"/>
      <c r="U253" s="40"/>
      <c r="V253" s="43"/>
      <c r="W253" s="40"/>
    </row>
    <row r="254" spans="1:23" x14ac:dyDescent="0.2">
      <c r="A254" s="57">
        <v>98388</v>
      </c>
      <c r="B254" s="60" t="s">
        <v>10</v>
      </c>
      <c r="C254" s="45">
        <v>2</v>
      </c>
      <c r="D254" s="45">
        <v>2</v>
      </c>
      <c r="E254" s="45">
        <v>2</v>
      </c>
      <c r="M254" s="78">
        <v>98266</v>
      </c>
      <c r="N254" s="60" t="s">
        <v>333</v>
      </c>
      <c r="O254" s="35">
        <v>2</v>
      </c>
      <c r="P254" s="32">
        <v>1</v>
      </c>
      <c r="Q254" s="35">
        <v>1</v>
      </c>
      <c r="S254" s="95"/>
      <c r="T254" s="38"/>
      <c r="U254" s="43"/>
      <c r="V254" s="43"/>
      <c r="W254" s="43"/>
    </row>
    <row r="255" spans="1:23" x14ac:dyDescent="0.2">
      <c r="A255" s="56">
        <v>98390</v>
      </c>
      <c r="B255" s="60" t="s">
        <v>333</v>
      </c>
      <c r="C255" s="45">
        <v>3</v>
      </c>
      <c r="D255" s="45">
        <v>2</v>
      </c>
      <c r="E255" s="45">
        <v>1</v>
      </c>
      <c r="M255" s="54">
        <v>98266</v>
      </c>
      <c r="N255" s="60" t="s">
        <v>10</v>
      </c>
      <c r="O255" s="35">
        <v>12</v>
      </c>
      <c r="P255" s="35">
        <v>12</v>
      </c>
      <c r="Q255" s="35">
        <v>15</v>
      </c>
      <c r="S255" s="95"/>
      <c r="T255" s="38"/>
      <c r="U255" s="43"/>
      <c r="V255" s="43"/>
      <c r="W255" s="43"/>
    </row>
    <row r="256" spans="1:23" x14ac:dyDescent="0.2">
      <c r="A256" s="57">
        <v>98390</v>
      </c>
      <c r="B256" s="60" t="s">
        <v>10</v>
      </c>
      <c r="C256" s="45">
        <v>27</v>
      </c>
      <c r="D256" s="45">
        <v>22</v>
      </c>
      <c r="E256" s="45">
        <v>19</v>
      </c>
      <c r="M256" s="78">
        <v>98267</v>
      </c>
      <c r="N256" s="60" t="s">
        <v>333</v>
      </c>
      <c r="O256" s="35">
        <v>2</v>
      </c>
      <c r="P256" s="35">
        <v>0</v>
      </c>
      <c r="Q256" s="35">
        <v>0</v>
      </c>
      <c r="S256" s="95"/>
      <c r="T256" s="38"/>
      <c r="U256" s="43"/>
      <c r="V256" s="43"/>
      <c r="W256" s="43"/>
    </row>
    <row r="257" spans="1:23" x14ac:dyDescent="0.2">
      <c r="A257" s="57">
        <v>98391</v>
      </c>
      <c r="B257" s="60" t="s">
        <v>333</v>
      </c>
      <c r="C257" s="45">
        <v>1</v>
      </c>
      <c r="D257" s="45">
        <v>1</v>
      </c>
      <c r="E257" s="45">
        <v>1</v>
      </c>
      <c r="M257" s="54">
        <v>98267</v>
      </c>
      <c r="N257" s="60" t="s">
        <v>10</v>
      </c>
      <c r="O257" s="35">
        <v>0</v>
      </c>
      <c r="P257" s="35">
        <v>1</v>
      </c>
      <c r="Q257" s="35">
        <v>2</v>
      </c>
      <c r="S257" s="95"/>
      <c r="T257" s="38"/>
      <c r="U257" s="43"/>
      <c r="V257" s="43"/>
      <c r="W257" s="43"/>
    </row>
    <row r="258" spans="1:23" x14ac:dyDescent="0.2">
      <c r="A258" s="57">
        <v>98391</v>
      </c>
      <c r="B258" s="60" t="s">
        <v>10</v>
      </c>
      <c r="C258" s="45">
        <v>127</v>
      </c>
      <c r="D258" s="45">
        <v>123</v>
      </c>
      <c r="E258" s="45">
        <v>111</v>
      </c>
      <c r="M258" s="78">
        <v>98270</v>
      </c>
      <c r="N258" s="60" t="s">
        <v>333</v>
      </c>
      <c r="O258" s="35">
        <v>4</v>
      </c>
      <c r="P258" s="35">
        <v>7</v>
      </c>
      <c r="Q258" s="35">
        <v>2</v>
      </c>
      <c r="S258" s="95"/>
      <c r="T258" s="38"/>
      <c r="U258" s="40"/>
      <c r="V258" s="43"/>
      <c r="W258" s="40"/>
    </row>
    <row r="259" spans="1:23" x14ac:dyDescent="0.2">
      <c r="A259" s="56">
        <v>98392</v>
      </c>
      <c r="B259" s="60" t="s">
        <v>10</v>
      </c>
      <c r="C259" s="45">
        <v>7</v>
      </c>
      <c r="D259" s="45">
        <v>7</v>
      </c>
      <c r="E259" s="45">
        <v>6</v>
      </c>
      <c r="M259" s="54">
        <v>98270</v>
      </c>
      <c r="N259" s="60" t="s">
        <v>10</v>
      </c>
      <c r="O259" s="35">
        <v>95</v>
      </c>
      <c r="P259" s="35">
        <v>125</v>
      </c>
      <c r="Q259" s="35">
        <v>95</v>
      </c>
      <c r="S259" s="95"/>
      <c r="T259" s="38"/>
      <c r="U259" s="40"/>
      <c r="V259" s="43"/>
      <c r="W259" s="43"/>
    </row>
    <row r="260" spans="1:23" x14ac:dyDescent="0.2">
      <c r="A260" s="57">
        <v>98396</v>
      </c>
      <c r="B260" s="60" t="s">
        <v>10</v>
      </c>
      <c r="C260" s="45">
        <v>1</v>
      </c>
      <c r="D260" s="45">
        <v>1</v>
      </c>
      <c r="E260" s="45">
        <v>1</v>
      </c>
      <c r="M260" s="78">
        <v>98271</v>
      </c>
      <c r="N260" s="60" t="s">
        <v>333</v>
      </c>
      <c r="O260" s="35">
        <v>3</v>
      </c>
      <c r="P260" s="35">
        <v>3</v>
      </c>
      <c r="Q260" s="35">
        <v>3</v>
      </c>
      <c r="S260" s="95"/>
      <c r="T260" s="38"/>
      <c r="U260" s="43"/>
      <c r="V260" s="43"/>
      <c r="W260" s="43"/>
    </row>
    <row r="261" spans="1:23" x14ac:dyDescent="0.2">
      <c r="A261" s="56">
        <v>98402</v>
      </c>
      <c r="B261" s="60" t="s">
        <v>333</v>
      </c>
      <c r="C261" s="45">
        <v>1</v>
      </c>
      <c r="D261" s="45">
        <v>1</v>
      </c>
      <c r="E261" s="45">
        <v>0</v>
      </c>
      <c r="M261" s="54">
        <v>98271</v>
      </c>
      <c r="N261" s="60" t="s">
        <v>10</v>
      </c>
      <c r="O261" s="35">
        <v>25</v>
      </c>
      <c r="P261" s="35">
        <v>20</v>
      </c>
      <c r="Q261" s="35">
        <v>9</v>
      </c>
      <c r="S261" s="95"/>
      <c r="T261" s="38"/>
      <c r="U261" s="40"/>
      <c r="V261" s="43"/>
      <c r="W261" s="43"/>
    </row>
    <row r="262" spans="1:23" x14ac:dyDescent="0.2">
      <c r="A262" s="57">
        <v>98402</v>
      </c>
      <c r="B262" s="60" t="s">
        <v>10</v>
      </c>
      <c r="C262" s="45">
        <v>1</v>
      </c>
      <c r="D262" s="45">
        <v>1</v>
      </c>
      <c r="E262" s="45">
        <v>1</v>
      </c>
      <c r="M262" s="78">
        <v>98272</v>
      </c>
      <c r="N262" s="60" t="s">
        <v>333</v>
      </c>
      <c r="O262" s="35">
        <v>6</v>
      </c>
      <c r="P262" s="35">
        <v>2</v>
      </c>
      <c r="Q262" s="35">
        <v>4</v>
      </c>
      <c r="S262" s="95"/>
      <c r="T262" s="38"/>
      <c r="U262" s="43"/>
      <c r="V262" s="40"/>
      <c r="W262" s="40"/>
    </row>
    <row r="263" spans="1:23" x14ac:dyDescent="0.2">
      <c r="A263" s="56">
        <v>98403</v>
      </c>
      <c r="B263" s="60" t="s">
        <v>10</v>
      </c>
      <c r="C263" s="45">
        <v>4</v>
      </c>
      <c r="D263" s="45">
        <v>4</v>
      </c>
      <c r="E263" s="45">
        <v>3</v>
      </c>
      <c r="M263" s="54">
        <v>98272</v>
      </c>
      <c r="N263" s="60" t="s">
        <v>10</v>
      </c>
      <c r="O263" s="35">
        <v>16</v>
      </c>
      <c r="P263" s="35">
        <v>23</v>
      </c>
      <c r="Q263" s="35">
        <v>23</v>
      </c>
      <c r="S263" s="65"/>
      <c r="T263" s="38"/>
      <c r="U263" s="43"/>
      <c r="V263" s="43"/>
      <c r="W263" s="43"/>
    </row>
    <row r="264" spans="1:23" x14ac:dyDescent="0.2">
      <c r="A264" s="57">
        <v>98404</v>
      </c>
      <c r="B264" s="60" t="s">
        <v>10</v>
      </c>
      <c r="C264" s="45">
        <v>23</v>
      </c>
      <c r="D264" s="45">
        <v>21</v>
      </c>
      <c r="E264" s="45">
        <v>20</v>
      </c>
      <c r="M264" s="78">
        <v>98273</v>
      </c>
      <c r="N264" s="60" t="s">
        <v>333</v>
      </c>
      <c r="O264" s="35">
        <v>19</v>
      </c>
      <c r="P264" s="35">
        <v>26</v>
      </c>
      <c r="Q264" s="35">
        <v>12</v>
      </c>
      <c r="S264" s="95"/>
      <c r="T264" s="38"/>
      <c r="U264" s="40"/>
      <c r="V264" s="40"/>
      <c r="W264" s="43"/>
    </row>
    <row r="265" spans="1:23" x14ac:dyDescent="0.2">
      <c r="A265" s="56">
        <v>98405</v>
      </c>
      <c r="B265" s="60" t="s">
        <v>333</v>
      </c>
      <c r="C265" s="45">
        <v>1</v>
      </c>
      <c r="D265" s="45">
        <v>1</v>
      </c>
      <c r="E265" s="45">
        <v>1</v>
      </c>
      <c r="M265" s="54">
        <v>98273</v>
      </c>
      <c r="N265" s="60" t="s">
        <v>10</v>
      </c>
      <c r="O265" s="35">
        <v>105</v>
      </c>
      <c r="P265" s="35">
        <v>167</v>
      </c>
      <c r="Q265" s="35">
        <v>118</v>
      </c>
      <c r="S265" s="95"/>
      <c r="T265" s="38"/>
      <c r="U265" s="43"/>
      <c r="V265" s="43"/>
      <c r="W265" s="40"/>
    </row>
    <row r="266" spans="1:23" x14ac:dyDescent="0.2">
      <c r="A266" s="57">
        <v>98405</v>
      </c>
      <c r="B266" s="60" t="s">
        <v>10</v>
      </c>
      <c r="C266" s="45">
        <v>12</v>
      </c>
      <c r="D266" s="45">
        <v>11</v>
      </c>
      <c r="E266" s="45">
        <v>7</v>
      </c>
      <c r="M266" s="78">
        <v>98274</v>
      </c>
      <c r="N266" s="60" t="s">
        <v>333</v>
      </c>
      <c r="O266" s="32">
        <v>5</v>
      </c>
      <c r="P266" s="35">
        <v>6</v>
      </c>
      <c r="Q266" s="35">
        <v>6</v>
      </c>
      <c r="S266" s="95"/>
      <c r="T266" s="38"/>
      <c r="U266" s="43"/>
      <c r="V266" s="43"/>
      <c r="W266" s="40"/>
    </row>
    <row r="267" spans="1:23" x14ac:dyDescent="0.2">
      <c r="A267" s="57">
        <v>98406</v>
      </c>
      <c r="B267" s="60" t="s">
        <v>10</v>
      </c>
      <c r="C267" s="45">
        <v>9</v>
      </c>
      <c r="D267" s="45">
        <v>7</v>
      </c>
      <c r="E267" s="45">
        <v>7</v>
      </c>
      <c r="M267" s="54">
        <v>98274</v>
      </c>
      <c r="N267" s="60" t="s">
        <v>10</v>
      </c>
      <c r="O267" s="35">
        <v>52</v>
      </c>
      <c r="P267" s="35">
        <v>48</v>
      </c>
      <c r="Q267" s="35">
        <v>56</v>
      </c>
      <c r="S267" s="95"/>
      <c r="T267" s="38"/>
      <c r="U267" s="43"/>
      <c r="V267" s="40"/>
      <c r="W267" s="40"/>
    </row>
    <row r="268" spans="1:23" x14ac:dyDescent="0.2">
      <c r="A268" s="56">
        <v>98407</v>
      </c>
      <c r="B268" s="60" t="s">
        <v>333</v>
      </c>
      <c r="C268" s="45">
        <v>1</v>
      </c>
      <c r="D268" s="45">
        <v>1</v>
      </c>
      <c r="E268" s="45">
        <v>1</v>
      </c>
      <c r="M268" s="78">
        <v>98275</v>
      </c>
      <c r="N268" s="60" t="s">
        <v>333</v>
      </c>
      <c r="O268" s="35">
        <v>5</v>
      </c>
      <c r="P268" s="35">
        <v>9</v>
      </c>
      <c r="Q268" s="35">
        <v>17</v>
      </c>
      <c r="S268" s="95"/>
      <c r="T268" s="38"/>
      <c r="U268" s="43"/>
      <c r="V268" s="43"/>
      <c r="W268" s="40"/>
    </row>
    <row r="269" spans="1:23" x14ac:dyDescent="0.2">
      <c r="A269" s="57">
        <v>98407</v>
      </c>
      <c r="B269" s="60" t="s">
        <v>10</v>
      </c>
      <c r="C269" s="45">
        <v>10</v>
      </c>
      <c r="D269" s="45">
        <v>10</v>
      </c>
      <c r="E269" s="45">
        <v>10</v>
      </c>
      <c r="M269" s="54">
        <v>98275</v>
      </c>
      <c r="N269" s="60" t="s">
        <v>10</v>
      </c>
      <c r="O269" s="35">
        <v>11</v>
      </c>
      <c r="P269" s="35">
        <v>20</v>
      </c>
      <c r="Q269" s="35">
        <v>17</v>
      </c>
      <c r="S269" s="65"/>
      <c r="T269" s="38"/>
      <c r="U269" s="43"/>
      <c r="V269" s="43"/>
      <c r="W269" s="43"/>
    </row>
    <row r="270" spans="1:23" x14ac:dyDescent="0.2">
      <c r="A270" s="57">
        <v>98408</v>
      </c>
      <c r="B270" s="60" t="s">
        <v>333</v>
      </c>
      <c r="C270" s="45">
        <v>1</v>
      </c>
      <c r="D270" s="45">
        <v>0</v>
      </c>
      <c r="E270" s="45">
        <v>0</v>
      </c>
      <c r="M270" s="78">
        <v>98276</v>
      </c>
      <c r="N270" s="60" t="s">
        <v>333</v>
      </c>
      <c r="O270" s="32">
        <v>0</v>
      </c>
      <c r="P270" s="35">
        <v>4</v>
      </c>
      <c r="Q270" s="32">
        <v>2</v>
      </c>
      <c r="S270" s="95"/>
      <c r="T270" s="38"/>
      <c r="U270" s="43"/>
      <c r="V270" s="43"/>
      <c r="W270" s="43"/>
    </row>
    <row r="271" spans="1:23" x14ac:dyDescent="0.2">
      <c r="A271" s="57">
        <v>98408</v>
      </c>
      <c r="B271" s="60" t="s">
        <v>10</v>
      </c>
      <c r="C271" s="45">
        <v>27</v>
      </c>
      <c r="D271" s="45">
        <v>23</v>
      </c>
      <c r="E271" s="45">
        <v>23</v>
      </c>
      <c r="M271" s="54">
        <v>98276</v>
      </c>
      <c r="N271" s="60" t="s">
        <v>10</v>
      </c>
      <c r="O271" s="35">
        <v>2</v>
      </c>
      <c r="P271" s="35">
        <v>1</v>
      </c>
      <c r="Q271" s="35">
        <v>2</v>
      </c>
      <c r="S271" s="95"/>
      <c r="T271" s="38"/>
      <c r="U271" s="43"/>
      <c r="V271" s="43"/>
      <c r="W271" s="43"/>
    </row>
    <row r="272" spans="1:23" x14ac:dyDescent="0.2">
      <c r="A272" s="57">
        <v>98409</v>
      </c>
      <c r="B272" s="60" t="s">
        <v>333</v>
      </c>
      <c r="C272" s="45">
        <v>3</v>
      </c>
      <c r="D272" s="45">
        <v>2</v>
      </c>
      <c r="E272" s="45">
        <v>2</v>
      </c>
      <c r="M272" s="78">
        <v>98277</v>
      </c>
      <c r="N272" s="60" t="s">
        <v>333</v>
      </c>
      <c r="O272" s="35">
        <v>15</v>
      </c>
      <c r="P272" s="35">
        <v>10</v>
      </c>
      <c r="Q272" s="35">
        <v>10</v>
      </c>
      <c r="S272" s="95"/>
      <c r="T272" s="38"/>
      <c r="U272" s="40"/>
      <c r="V272" s="43"/>
      <c r="W272" s="43"/>
    </row>
    <row r="273" spans="1:23" x14ac:dyDescent="0.2">
      <c r="A273" s="57">
        <v>98409</v>
      </c>
      <c r="B273" s="60" t="s">
        <v>10</v>
      </c>
      <c r="C273" s="45">
        <v>8</v>
      </c>
      <c r="D273" s="45">
        <v>8</v>
      </c>
      <c r="E273" s="45">
        <v>8</v>
      </c>
      <c r="M273" s="78">
        <v>98277</v>
      </c>
      <c r="N273" s="60" t="s">
        <v>10</v>
      </c>
      <c r="O273" s="35">
        <v>138</v>
      </c>
      <c r="P273" s="35">
        <v>143</v>
      </c>
      <c r="Q273" s="35">
        <v>191</v>
      </c>
      <c r="S273" s="65"/>
      <c r="T273" s="38"/>
      <c r="U273" s="43"/>
      <c r="V273" s="43"/>
      <c r="W273" s="43"/>
    </row>
    <row r="274" spans="1:23" x14ac:dyDescent="0.2">
      <c r="A274" s="56">
        <v>98418</v>
      </c>
      <c r="B274" s="60" t="s">
        <v>10</v>
      </c>
      <c r="C274" s="45">
        <v>13</v>
      </c>
      <c r="D274" s="45">
        <v>12</v>
      </c>
      <c r="E274" s="45">
        <v>9</v>
      </c>
      <c r="M274" s="54">
        <v>98281</v>
      </c>
      <c r="N274" s="60" t="s">
        <v>333</v>
      </c>
      <c r="O274" s="35">
        <v>1</v>
      </c>
      <c r="P274" s="35">
        <v>0</v>
      </c>
      <c r="Q274" s="35">
        <v>1</v>
      </c>
      <c r="S274" s="95"/>
      <c r="T274" s="38"/>
      <c r="U274" s="43"/>
      <c r="V274" s="43"/>
      <c r="W274" s="43"/>
    </row>
    <row r="275" spans="1:23" x14ac:dyDescent="0.2">
      <c r="A275" s="57">
        <v>98422</v>
      </c>
      <c r="B275" s="60" t="s">
        <v>10</v>
      </c>
      <c r="C275" s="45">
        <v>15</v>
      </c>
      <c r="D275" s="45">
        <v>14</v>
      </c>
      <c r="E275" s="45">
        <v>13</v>
      </c>
      <c r="M275" s="78">
        <v>98281</v>
      </c>
      <c r="N275" s="60" t="s">
        <v>10</v>
      </c>
      <c r="O275" s="35">
        <v>6</v>
      </c>
      <c r="P275" s="32">
        <v>9</v>
      </c>
      <c r="Q275" s="32">
        <v>12</v>
      </c>
      <c r="S275" s="95"/>
      <c r="T275" s="38"/>
      <c r="U275" s="43"/>
      <c r="V275" s="43"/>
      <c r="W275" s="43"/>
    </row>
    <row r="276" spans="1:23" x14ac:dyDescent="0.2">
      <c r="A276" s="56">
        <v>98424</v>
      </c>
      <c r="B276" s="60" t="s">
        <v>333</v>
      </c>
      <c r="C276" s="45">
        <v>2</v>
      </c>
      <c r="D276" s="45">
        <v>1</v>
      </c>
      <c r="E276" s="45">
        <v>1</v>
      </c>
      <c r="M276" s="54">
        <v>98283</v>
      </c>
      <c r="N276" s="60" t="s">
        <v>333</v>
      </c>
      <c r="O276" s="35">
        <v>3</v>
      </c>
      <c r="P276" s="35">
        <v>1</v>
      </c>
      <c r="Q276" s="35">
        <v>1</v>
      </c>
      <c r="S276" s="95"/>
      <c r="T276" s="38"/>
      <c r="U276" s="43"/>
      <c r="V276" s="43"/>
      <c r="W276" s="40"/>
    </row>
    <row r="277" spans="1:23" x14ac:dyDescent="0.2">
      <c r="A277" s="57">
        <v>98424</v>
      </c>
      <c r="B277" s="60" t="s">
        <v>10</v>
      </c>
      <c r="C277" s="45">
        <v>10</v>
      </c>
      <c r="D277" s="45">
        <v>8</v>
      </c>
      <c r="E277" s="45">
        <v>7</v>
      </c>
      <c r="M277" s="78">
        <v>98283</v>
      </c>
      <c r="N277" s="60" t="s">
        <v>10</v>
      </c>
      <c r="O277" s="35">
        <v>4</v>
      </c>
      <c r="P277" s="35">
        <v>3</v>
      </c>
      <c r="Q277" s="35">
        <v>2</v>
      </c>
      <c r="S277" s="95"/>
      <c r="T277" s="38"/>
      <c r="U277" s="40"/>
      <c r="V277" s="43"/>
      <c r="W277" s="40"/>
    </row>
    <row r="278" spans="1:23" x14ac:dyDescent="0.2">
      <c r="A278" s="57">
        <v>98439</v>
      </c>
      <c r="B278" s="60" t="s">
        <v>10</v>
      </c>
      <c r="C278" s="45">
        <v>5</v>
      </c>
      <c r="D278" s="45">
        <v>2</v>
      </c>
      <c r="E278" s="45">
        <v>2</v>
      </c>
      <c r="M278" s="54">
        <v>98284</v>
      </c>
      <c r="N278" s="60" t="s">
        <v>333</v>
      </c>
      <c r="O278" s="35">
        <v>6</v>
      </c>
      <c r="P278" s="35">
        <v>10</v>
      </c>
      <c r="Q278" s="35">
        <v>8</v>
      </c>
      <c r="S278" s="65"/>
      <c r="T278" s="38"/>
      <c r="U278" s="40"/>
      <c r="V278" s="43"/>
      <c r="W278" s="40"/>
    </row>
    <row r="279" spans="1:23" x14ac:dyDescent="0.2">
      <c r="A279" s="57">
        <v>98444</v>
      </c>
      <c r="B279" s="60" t="s">
        <v>333</v>
      </c>
      <c r="C279" s="45">
        <v>2</v>
      </c>
      <c r="D279" s="45">
        <v>2</v>
      </c>
      <c r="E279" s="45">
        <v>2</v>
      </c>
      <c r="M279" s="78">
        <v>98284</v>
      </c>
      <c r="N279" s="60" t="s">
        <v>10</v>
      </c>
      <c r="O279" s="35">
        <v>102</v>
      </c>
      <c r="P279" s="35">
        <v>68</v>
      </c>
      <c r="Q279" s="32">
        <v>83</v>
      </c>
      <c r="S279" s="95"/>
      <c r="T279" s="38"/>
      <c r="U279" s="43"/>
      <c r="V279" s="40"/>
      <c r="W279" s="40"/>
    </row>
    <row r="280" spans="1:23" x14ac:dyDescent="0.2">
      <c r="A280" s="57">
        <v>98444</v>
      </c>
      <c r="B280" s="60" t="s">
        <v>10</v>
      </c>
      <c r="C280" s="45">
        <v>5</v>
      </c>
      <c r="D280" s="45">
        <v>5</v>
      </c>
      <c r="E280" s="45">
        <v>4</v>
      </c>
      <c r="M280" s="78">
        <v>98288</v>
      </c>
      <c r="N280" s="60" t="s">
        <v>10</v>
      </c>
      <c r="O280" s="35">
        <v>1</v>
      </c>
      <c r="P280" s="35">
        <v>0</v>
      </c>
      <c r="Q280" s="35">
        <v>0</v>
      </c>
      <c r="S280" s="95"/>
      <c r="T280" s="38"/>
      <c r="U280" s="43"/>
      <c r="V280" s="43"/>
      <c r="W280" s="43"/>
    </row>
    <row r="281" spans="1:23" x14ac:dyDescent="0.2">
      <c r="A281" s="56">
        <v>98445</v>
      </c>
      <c r="B281" s="60" t="s">
        <v>10</v>
      </c>
      <c r="C281" s="45">
        <v>19</v>
      </c>
      <c r="D281" s="45">
        <v>19</v>
      </c>
      <c r="E281" s="45">
        <v>18</v>
      </c>
      <c r="M281" s="78">
        <v>98290</v>
      </c>
      <c r="N281" s="60" t="s">
        <v>333</v>
      </c>
      <c r="O281" s="35">
        <v>1</v>
      </c>
      <c r="P281" s="35">
        <v>1</v>
      </c>
      <c r="Q281" s="35">
        <v>1</v>
      </c>
      <c r="S281" s="95"/>
      <c r="T281" s="38"/>
      <c r="U281" s="40"/>
      <c r="V281" s="43"/>
      <c r="W281" s="40"/>
    </row>
    <row r="282" spans="1:23" x14ac:dyDescent="0.2">
      <c r="A282" s="57">
        <v>98446</v>
      </c>
      <c r="B282" s="60" t="s">
        <v>10</v>
      </c>
      <c r="C282" s="45">
        <v>1</v>
      </c>
      <c r="D282" s="45">
        <v>1</v>
      </c>
      <c r="E282" s="45">
        <v>1</v>
      </c>
      <c r="M282" s="54">
        <v>98290</v>
      </c>
      <c r="N282" s="60" t="s">
        <v>10</v>
      </c>
      <c r="O282" s="35">
        <v>22</v>
      </c>
      <c r="P282" s="35">
        <v>8</v>
      </c>
      <c r="Q282" s="35">
        <v>13</v>
      </c>
      <c r="S282" s="65"/>
      <c r="T282" s="38"/>
      <c r="U282" s="43"/>
      <c r="V282" s="43"/>
      <c r="W282" s="43"/>
    </row>
    <row r="283" spans="1:23" x14ac:dyDescent="0.2">
      <c r="A283" s="57">
        <v>98465</v>
      </c>
      <c r="B283" s="60" t="s">
        <v>10</v>
      </c>
      <c r="C283" s="45">
        <v>4</v>
      </c>
      <c r="D283" s="45">
        <v>4</v>
      </c>
      <c r="E283" s="45">
        <v>4</v>
      </c>
      <c r="M283" s="78">
        <v>98292</v>
      </c>
      <c r="N283" s="60" t="s">
        <v>10</v>
      </c>
      <c r="O283" s="35">
        <v>0</v>
      </c>
      <c r="P283" s="32">
        <v>1</v>
      </c>
      <c r="Q283" s="35">
        <v>1</v>
      </c>
      <c r="S283" s="95"/>
      <c r="T283" s="38"/>
      <c r="U283" s="43"/>
      <c r="V283" s="43"/>
      <c r="W283" s="43"/>
    </row>
    <row r="284" spans="1:23" x14ac:dyDescent="0.2">
      <c r="A284" s="57">
        <v>98466</v>
      </c>
      <c r="B284" s="60" t="s">
        <v>10</v>
      </c>
      <c r="C284" s="45">
        <v>4</v>
      </c>
      <c r="D284" s="45">
        <v>3</v>
      </c>
      <c r="E284" s="45">
        <v>3</v>
      </c>
      <c r="M284" s="54">
        <v>98294</v>
      </c>
      <c r="N284" s="60" t="s">
        <v>333</v>
      </c>
      <c r="O284" s="35">
        <v>1</v>
      </c>
      <c r="P284" s="35">
        <v>1</v>
      </c>
      <c r="Q284" s="35">
        <v>0</v>
      </c>
      <c r="S284" s="95"/>
      <c r="T284" s="38"/>
      <c r="U284" s="40"/>
      <c r="V284" s="40"/>
      <c r="W284" s="43"/>
    </row>
    <row r="285" spans="1:23" x14ac:dyDescent="0.2">
      <c r="A285" s="56">
        <v>98467</v>
      </c>
      <c r="B285" s="60" t="s">
        <v>10</v>
      </c>
      <c r="C285" s="45">
        <v>7</v>
      </c>
      <c r="D285" s="45">
        <v>6</v>
      </c>
      <c r="E285" s="45">
        <v>6</v>
      </c>
      <c r="M285" s="78">
        <v>98294</v>
      </c>
      <c r="N285" s="60" t="s">
        <v>10</v>
      </c>
      <c r="O285" s="35">
        <v>11</v>
      </c>
      <c r="P285" s="35">
        <v>12</v>
      </c>
      <c r="Q285" s="35">
        <v>11</v>
      </c>
      <c r="S285" s="65"/>
      <c r="T285" s="38"/>
      <c r="U285" s="43"/>
      <c r="V285" s="43"/>
      <c r="W285" s="43"/>
    </row>
    <row r="286" spans="1:23" x14ac:dyDescent="0.2">
      <c r="A286" s="57">
        <v>98498</v>
      </c>
      <c r="B286" s="60" t="s">
        <v>10</v>
      </c>
      <c r="C286" s="45">
        <v>38</v>
      </c>
      <c r="D286" s="45">
        <v>37</v>
      </c>
      <c r="E286" s="45">
        <v>35</v>
      </c>
      <c r="M286" s="54">
        <v>98295</v>
      </c>
      <c r="N286" s="60" t="s">
        <v>333</v>
      </c>
      <c r="O286" s="35">
        <v>1</v>
      </c>
      <c r="P286" s="35">
        <v>1</v>
      </c>
      <c r="Q286" s="35">
        <v>1</v>
      </c>
      <c r="S286" s="95"/>
      <c r="T286" s="38"/>
      <c r="U286" s="43"/>
      <c r="V286" s="43"/>
      <c r="W286" s="43"/>
    </row>
    <row r="287" spans="1:23" x14ac:dyDescent="0.2">
      <c r="A287" s="56">
        <v>98499</v>
      </c>
      <c r="B287" s="60" t="s">
        <v>333</v>
      </c>
      <c r="C287" s="45">
        <v>2</v>
      </c>
      <c r="D287" s="45">
        <v>2</v>
      </c>
      <c r="E287" s="45">
        <v>2</v>
      </c>
      <c r="M287" s="78">
        <v>98295</v>
      </c>
      <c r="N287" s="60" t="s">
        <v>10</v>
      </c>
      <c r="O287" s="35">
        <v>3</v>
      </c>
      <c r="P287" s="35">
        <v>5</v>
      </c>
      <c r="Q287" s="35">
        <v>2</v>
      </c>
      <c r="S287" s="95"/>
      <c r="T287" s="38"/>
      <c r="U287" s="43"/>
      <c r="V287" s="40"/>
      <c r="W287" s="40"/>
    </row>
    <row r="288" spans="1:23" x14ac:dyDescent="0.2">
      <c r="A288" s="57">
        <v>98499</v>
      </c>
      <c r="B288" s="60" t="s">
        <v>10</v>
      </c>
      <c r="C288" s="45">
        <v>13</v>
      </c>
      <c r="D288" s="45">
        <v>11</v>
      </c>
      <c r="E288" s="45">
        <v>10</v>
      </c>
      <c r="M288" s="54">
        <v>98296</v>
      </c>
      <c r="N288" s="60" t="s">
        <v>333</v>
      </c>
      <c r="O288" s="35">
        <v>1</v>
      </c>
      <c r="P288" s="35">
        <v>3</v>
      </c>
      <c r="Q288" s="35">
        <v>0</v>
      </c>
      <c r="S288" s="95"/>
      <c r="T288" s="38"/>
      <c r="U288" s="43"/>
      <c r="V288" s="40"/>
      <c r="W288" s="40"/>
    </row>
    <row r="289" spans="1:23" x14ac:dyDescent="0.2">
      <c r="A289" s="56">
        <v>98501</v>
      </c>
      <c r="B289" s="60" t="s">
        <v>333</v>
      </c>
      <c r="C289" s="45">
        <v>10</v>
      </c>
      <c r="D289" s="45">
        <v>10</v>
      </c>
      <c r="E289" s="45">
        <v>10</v>
      </c>
      <c r="M289" s="78">
        <v>98296</v>
      </c>
      <c r="N289" s="60" t="s">
        <v>10</v>
      </c>
      <c r="O289" s="35">
        <v>15</v>
      </c>
      <c r="P289" s="35">
        <v>19</v>
      </c>
      <c r="Q289" s="35">
        <v>27</v>
      </c>
      <c r="S289" s="95"/>
      <c r="T289" s="38"/>
      <c r="U289" s="43"/>
      <c r="V289" s="40"/>
      <c r="W289" s="40"/>
    </row>
    <row r="290" spans="1:23" x14ac:dyDescent="0.2">
      <c r="A290" s="57">
        <v>98501</v>
      </c>
      <c r="B290" s="60" t="s">
        <v>10</v>
      </c>
      <c r="C290" s="45">
        <v>60</v>
      </c>
      <c r="D290" s="45">
        <v>56</v>
      </c>
      <c r="E290" s="45">
        <v>52</v>
      </c>
      <c r="M290" s="54">
        <v>98310</v>
      </c>
      <c r="N290" s="60" t="s">
        <v>333</v>
      </c>
      <c r="O290" s="35">
        <v>5</v>
      </c>
      <c r="P290" s="35">
        <v>8</v>
      </c>
      <c r="Q290" s="35">
        <v>6</v>
      </c>
      <c r="S290" s="95"/>
      <c r="T290" s="38"/>
      <c r="U290" s="43"/>
      <c r="V290" s="40"/>
      <c r="W290" s="40"/>
    </row>
    <row r="291" spans="1:23" x14ac:dyDescent="0.2">
      <c r="A291" s="56">
        <v>98502</v>
      </c>
      <c r="B291" s="60" t="s">
        <v>333</v>
      </c>
      <c r="C291" s="45">
        <v>2</v>
      </c>
      <c r="D291" s="45">
        <v>2</v>
      </c>
      <c r="E291" s="45">
        <v>2</v>
      </c>
      <c r="M291" s="78">
        <v>98310</v>
      </c>
      <c r="N291" s="60" t="s">
        <v>10</v>
      </c>
      <c r="O291" s="35">
        <v>134</v>
      </c>
      <c r="P291" s="35">
        <v>118</v>
      </c>
      <c r="Q291" s="35">
        <v>162</v>
      </c>
      <c r="S291" s="95"/>
      <c r="T291" s="38"/>
      <c r="U291" s="43"/>
      <c r="V291" s="40"/>
      <c r="W291" s="40"/>
    </row>
    <row r="292" spans="1:23" x14ac:dyDescent="0.2">
      <c r="A292" s="57">
        <v>98502</v>
      </c>
      <c r="B292" s="60" t="s">
        <v>10</v>
      </c>
      <c r="C292" s="45">
        <v>43</v>
      </c>
      <c r="D292" s="45">
        <v>39</v>
      </c>
      <c r="E292" s="45">
        <v>38</v>
      </c>
      <c r="M292" s="54">
        <v>98311</v>
      </c>
      <c r="N292" s="60" t="s">
        <v>333</v>
      </c>
      <c r="O292" s="35">
        <v>3</v>
      </c>
      <c r="P292" s="35">
        <v>3</v>
      </c>
      <c r="Q292" s="35">
        <v>11</v>
      </c>
      <c r="S292" s="95"/>
      <c r="T292" s="38"/>
      <c r="U292" s="43"/>
      <c r="V292" s="40"/>
      <c r="W292" s="40"/>
    </row>
    <row r="293" spans="1:23" x14ac:dyDescent="0.2">
      <c r="A293" s="56">
        <v>98503</v>
      </c>
      <c r="B293" s="60" t="s">
        <v>333</v>
      </c>
      <c r="C293" s="45">
        <v>2</v>
      </c>
      <c r="D293" s="45">
        <v>1</v>
      </c>
      <c r="E293" s="45">
        <v>1</v>
      </c>
      <c r="M293" s="78">
        <v>98311</v>
      </c>
      <c r="N293" s="60" t="s">
        <v>334</v>
      </c>
      <c r="O293" s="32">
        <v>0</v>
      </c>
      <c r="P293" s="32">
        <v>0</v>
      </c>
      <c r="Q293" s="35">
        <v>1</v>
      </c>
      <c r="S293" s="95"/>
      <c r="T293" s="38"/>
      <c r="U293" s="43"/>
      <c r="V293" s="40"/>
      <c r="W293" s="40"/>
    </row>
    <row r="294" spans="1:23" x14ac:dyDescent="0.2">
      <c r="A294" s="57">
        <v>98503</v>
      </c>
      <c r="B294" s="60" t="s">
        <v>10</v>
      </c>
      <c r="C294" s="45">
        <v>71</v>
      </c>
      <c r="D294" s="45">
        <v>66</v>
      </c>
      <c r="E294" s="45">
        <v>66</v>
      </c>
      <c r="M294" s="54">
        <v>98311</v>
      </c>
      <c r="N294" s="60" t="s">
        <v>10</v>
      </c>
      <c r="O294" s="35">
        <v>115</v>
      </c>
      <c r="P294" s="32">
        <v>82</v>
      </c>
      <c r="Q294" s="35">
        <v>121</v>
      </c>
      <c r="S294" s="95"/>
      <c r="T294" s="38"/>
      <c r="U294" s="43"/>
      <c r="V294" s="40"/>
      <c r="W294" s="40"/>
    </row>
    <row r="295" spans="1:23" x14ac:dyDescent="0.2">
      <c r="A295" s="56">
        <v>98506</v>
      </c>
      <c r="B295" s="60" t="s">
        <v>333</v>
      </c>
      <c r="C295" s="45">
        <v>2</v>
      </c>
      <c r="D295" s="45">
        <v>2</v>
      </c>
      <c r="E295" s="45">
        <v>2</v>
      </c>
      <c r="M295" s="78">
        <v>98312</v>
      </c>
      <c r="N295" s="60" t="s">
        <v>333</v>
      </c>
      <c r="O295" s="35">
        <v>20</v>
      </c>
      <c r="P295" s="35">
        <v>9</v>
      </c>
      <c r="Q295" s="35">
        <v>9</v>
      </c>
      <c r="S295" s="95"/>
      <c r="T295" s="38"/>
      <c r="U295" s="43"/>
      <c r="V295" s="40"/>
      <c r="W295" s="40"/>
    </row>
    <row r="296" spans="1:23" x14ac:dyDescent="0.2">
      <c r="A296" s="57">
        <v>98506</v>
      </c>
      <c r="B296" s="60" t="s">
        <v>10</v>
      </c>
      <c r="C296" s="45">
        <v>31</v>
      </c>
      <c r="D296" s="45">
        <v>30</v>
      </c>
      <c r="E296" s="45">
        <v>30</v>
      </c>
      <c r="M296" s="54">
        <v>98312</v>
      </c>
      <c r="N296" s="60" t="s">
        <v>10</v>
      </c>
      <c r="O296" s="35">
        <v>143</v>
      </c>
      <c r="P296" s="35">
        <v>176</v>
      </c>
      <c r="Q296" s="35">
        <v>211</v>
      </c>
      <c r="S296" s="95"/>
      <c r="T296" s="38"/>
      <c r="U296" s="43"/>
      <c r="V296" s="40"/>
      <c r="W296" s="40"/>
    </row>
    <row r="297" spans="1:23" x14ac:dyDescent="0.2">
      <c r="A297" s="56">
        <v>98512</v>
      </c>
      <c r="B297" s="60" t="s">
        <v>333</v>
      </c>
      <c r="C297" s="45">
        <v>2</v>
      </c>
      <c r="D297" s="45">
        <v>2</v>
      </c>
      <c r="E297" s="45">
        <v>2</v>
      </c>
      <c r="M297" s="78">
        <v>98321</v>
      </c>
      <c r="N297" s="60" t="s">
        <v>333</v>
      </c>
      <c r="O297" s="35">
        <v>14</v>
      </c>
      <c r="P297" s="35">
        <v>7</v>
      </c>
      <c r="Q297" s="35">
        <v>16</v>
      </c>
      <c r="S297" s="95"/>
      <c r="T297" s="38"/>
      <c r="U297" s="43"/>
      <c r="V297" s="40"/>
      <c r="W297" s="40"/>
    </row>
    <row r="298" spans="1:23" x14ac:dyDescent="0.2">
      <c r="A298" s="57">
        <v>98512</v>
      </c>
      <c r="B298" s="60" t="s">
        <v>10</v>
      </c>
      <c r="C298" s="45">
        <v>44</v>
      </c>
      <c r="D298" s="45">
        <v>41</v>
      </c>
      <c r="E298" s="45">
        <v>39</v>
      </c>
      <c r="M298" s="78">
        <v>98321</v>
      </c>
      <c r="N298" s="60" t="s">
        <v>10</v>
      </c>
      <c r="O298" s="32">
        <v>42</v>
      </c>
      <c r="P298" s="32">
        <v>27</v>
      </c>
      <c r="Q298" s="35">
        <v>48</v>
      </c>
      <c r="S298" s="95"/>
      <c r="T298" s="38"/>
      <c r="U298" s="43"/>
      <c r="V298" s="40"/>
      <c r="W298" s="40"/>
    </row>
    <row r="299" spans="1:23" x14ac:dyDescent="0.2">
      <c r="A299" s="56">
        <v>98513</v>
      </c>
      <c r="B299" s="60" t="s">
        <v>10</v>
      </c>
      <c r="C299" s="45">
        <v>61</v>
      </c>
      <c r="D299" s="45">
        <v>59</v>
      </c>
      <c r="E299" s="45">
        <v>56</v>
      </c>
      <c r="M299" s="78">
        <v>98323</v>
      </c>
      <c r="N299" s="60" t="s">
        <v>333</v>
      </c>
      <c r="O299" s="35">
        <v>0</v>
      </c>
      <c r="P299" s="35">
        <v>0</v>
      </c>
      <c r="Q299" s="35">
        <v>1</v>
      </c>
      <c r="S299" s="95"/>
      <c r="T299" s="38"/>
      <c r="U299" s="43"/>
      <c r="V299" s="40"/>
      <c r="W299" s="40"/>
    </row>
    <row r="300" spans="1:23" x14ac:dyDescent="0.2">
      <c r="A300" s="57">
        <v>98516</v>
      </c>
      <c r="B300" s="60" t="s">
        <v>333</v>
      </c>
      <c r="C300" s="45">
        <v>3</v>
      </c>
      <c r="D300" s="45">
        <v>3</v>
      </c>
      <c r="E300" s="45">
        <v>3</v>
      </c>
      <c r="M300" s="54">
        <v>98323</v>
      </c>
      <c r="N300" s="60" t="s">
        <v>10</v>
      </c>
      <c r="O300" s="35">
        <v>3</v>
      </c>
      <c r="P300" s="35">
        <v>2</v>
      </c>
      <c r="Q300" s="35">
        <v>1</v>
      </c>
      <c r="S300" s="95"/>
      <c r="T300" s="38"/>
      <c r="U300" s="43"/>
      <c r="V300" s="40"/>
      <c r="W300" s="40"/>
    </row>
    <row r="301" spans="1:23" x14ac:dyDescent="0.2">
      <c r="A301" s="56">
        <v>98516</v>
      </c>
      <c r="B301" s="60" t="s">
        <v>10</v>
      </c>
      <c r="C301" s="45">
        <v>36</v>
      </c>
      <c r="D301" s="45">
        <v>33</v>
      </c>
      <c r="E301" s="45">
        <v>32</v>
      </c>
      <c r="M301" s="78">
        <v>98327</v>
      </c>
      <c r="N301" s="60" t="s">
        <v>333</v>
      </c>
      <c r="O301" s="35">
        <v>1</v>
      </c>
      <c r="P301" s="35">
        <v>21</v>
      </c>
      <c r="Q301" s="35">
        <v>2</v>
      </c>
      <c r="S301" s="95"/>
      <c r="T301" s="38"/>
      <c r="U301" s="43"/>
      <c r="V301" s="40"/>
      <c r="W301" s="40"/>
    </row>
    <row r="302" spans="1:23" x14ac:dyDescent="0.2">
      <c r="A302" s="57">
        <v>98530</v>
      </c>
      <c r="B302" s="60" t="s">
        <v>10</v>
      </c>
      <c r="C302" s="45">
        <v>1</v>
      </c>
      <c r="D302" s="45">
        <v>1</v>
      </c>
      <c r="E302" s="45">
        <v>1</v>
      </c>
      <c r="M302" s="54">
        <v>98327</v>
      </c>
      <c r="N302" s="60" t="s">
        <v>10</v>
      </c>
      <c r="O302" s="35">
        <v>35</v>
      </c>
      <c r="P302" s="35">
        <v>43</v>
      </c>
      <c r="Q302" s="35">
        <v>50</v>
      </c>
      <c r="S302" s="95"/>
      <c r="T302" s="38"/>
      <c r="U302" s="43"/>
      <c r="V302" s="40"/>
      <c r="W302" s="40"/>
    </row>
    <row r="303" spans="1:23" x14ac:dyDescent="0.2">
      <c r="A303" s="56">
        <v>98531</v>
      </c>
      <c r="B303" s="60" t="s">
        <v>333</v>
      </c>
      <c r="C303" s="45">
        <v>2</v>
      </c>
      <c r="D303" s="45">
        <v>2</v>
      </c>
      <c r="E303" s="45">
        <v>2</v>
      </c>
      <c r="M303" s="78">
        <v>98328</v>
      </c>
      <c r="N303" s="60" t="s">
        <v>333</v>
      </c>
      <c r="O303" s="35">
        <v>1</v>
      </c>
      <c r="P303" s="35">
        <v>0</v>
      </c>
      <c r="Q303" s="35">
        <v>0</v>
      </c>
      <c r="S303" s="95"/>
      <c r="T303" s="38"/>
      <c r="U303" s="43"/>
      <c r="V303" s="40"/>
      <c r="W303" s="40"/>
    </row>
    <row r="304" spans="1:23" x14ac:dyDescent="0.2">
      <c r="A304" s="57">
        <v>98531</v>
      </c>
      <c r="B304" s="60" t="s">
        <v>10</v>
      </c>
      <c r="C304" s="45">
        <v>7</v>
      </c>
      <c r="D304" s="45">
        <v>7</v>
      </c>
      <c r="E304" s="45">
        <v>7</v>
      </c>
      <c r="M304" s="54">
        <v>98328</v>
      </c>
      <c r="N304" s="60" t="s">
        <v>10</v>
      </c>
      <c r="O304" s="35">
        <v>2</v>
      </c>
      <c r="P304" s="35">
        <v>0</v>
      </c>
      <c r="Q304" s="35">
        <v>2</v>
      </c>
      <c r="S304" s="95"/>
      <c r="T304" s="38"/>
      <c r="U304" s="43"/>
      <c r="V304" s="40"/>
      <c r="W304" s="40"/>
    </row>
    <row r="305" spans="1:23" x14ac:dyDescent="0.2">
      <c r="A305" s="57">
        <v>98532</v>
      </c>
      <c r="B305" s="60" t="s">
        <v>333</v>
      </c>
      <c r="C305" s="45">
        <v>1</v>
      </c>
      <c r="D305" s="45">
        <v>1</v>
      </c>
      <c r="E305" s="45">
        <v>1</v>
      </c>
      <c r="M305" s="78">
        <v>98332</v>
      </c>
      <c r="N305" s="60" t="s">
        <v>333</v>
      </c>
      <c r="O305" s="35">
        <v>4</v>
      </c>
      <c r="P305" s="35">
        <v>2</v>
      </c>
      <c r="Q305" s="35">
        <v>0</v>
      </c>
      <c r="S305" s="95"/>
      <c r="T305" s="38"/>
      <c r="U305" s="43"/>
      <c r="V305" s="40"/>
      <c r="W305" s="40"/>
    </row>
    <row r="306" spans="1:23" x14ac:dyDescent="0.2">
      <c r="A306" s="56">
        <v>98532</v>
      </c>
      <c r="B306" s="60" t="s">
        <v>10</v>
      </c>
      <c r="C306" s="45">
        <v>1</v>
      </c>
      <c r="D306" s="45">
        <v>1</v>
      </c>
      <c r="E306" s="45">
        <v>1</v>
      </c>
      <c r="M306" s="54">
        <v>98332</v>
      </c>
      <c r="N306" s="60" t="s">
        <v>10</v>
      </c>
      <c r="O306" s="35">
        <v>21</v>
      </c>
      <c r="P306" s="35">
        <v>28</v>
      </c>
      <c r="Q306" s="35">
        <v>29</v>
      </c>
      <c r="S306" s="95"/>
      <c r="T306" s="38"/>
      <c r="U306" s="43"/>
      <c r="V306" s="40"/>
      <c r="W306" s="40"/>
    </row>
    <row r="307" spans="1:23" x14ac:dyDescent="0.2">
      <c r="A307" s="57">
        <v>98576</v>
      </c>
      <c r="B307" s="60" t="s">
        <v>10</v>
      </c>
      <c r="C307" s="45">
        <v>11</v>
      </c>
      <c r="D307" s="45">
        <v>11</v>
      </c>
      <c r="E307" s="45">
        <v>8</v>
      </c>
      <c r="M307" s="78">
        <v>98335</v>
      </c>
      <c r="N307" s="60" t="s">
        <v>333</v>
      </c>
      <c r="O307" s="35">
        <v>6</v>
      </c>
      <c r="P307" s="35">
        <v>3</v>
      </c>
      <c r="Q307" s="35">
        <v>5</v>
      </c>
      <c r="S307" s="95"/>
      <c r="T307" s="38"/>
      <c r="U307" s="43"/>
      <c r="V307" s="40"/>
      <c r="W307" s="40"/>
    </row>
    <row r="308" spans="1:23" x14ac:dyDescent="0.2">
      <c r="A308" s="57">
        <v>98579</v>
      </c>
      <c r="B308" s="60" t="s">
        <v>333</v>
      </c>
      <c r="C308" s="45">
        <v>2</v>
      </c>
      <c r="D308" s="45">
        <v>2</v>
      </c>
      <c r="E308" s="45">
        <v>1</v>
      </c>
      <c r="M308" s="54">
        <v>98335</v>
      </c>
      <c r="N308" s="60" t="s">
        <v>10</v>
      </c>
      <c r="O308" s="35">
        <v>35</v>
      </c>
      <c r="P308" s="35">
        <v>27</v>
      </c>
      <c r="Q308" s="35">
        <v>28</v>
      </c>
      <c r="S308" s="95"/>
      <c r="T308" s="38"/>
      <c r="U308" s="43"/>
      <c r="V308" s="40"/>
      <c r="W308" s="40"/>
    </row>
    <row r="309" spans="1:23" x14ac:dyDescent="0.2">
      <c r="A309" s="56">
        <v>98579</v>
      </c>
      <c r="B309" s="60" t="s">
        <v>10</v>
      </c>
      <c r="C309" s="45">
        <v>21</v>
      </c>
      <c r="D309" s="45">
        <v>21</v>
      </c>
      <c r="E309" s="45">
        <v>20</v>
      </c>
      <c r="M309" s="78">
        <v>98337</v>
      </c>
      <c r="N309" s="60" t="s">
        <v>333</v>
      </c>
      <c r="O309" s="35">
        <v>1</v>
      </c>
      <c r="P309" s="35">
        <v>6</v>
      </c>
      <c r="Q309" s="32">
        <v>2</v>
      </c>
      <c r="S309" s="95"/>
      <c r="T309" s="38"/>
      <c r="U309" s="43"/>
      <c r="V309" s="40"/>
      <c r="W309" s="40"/>
    </row>
    <row r="310" spans="1:23" x14ac:dyDescent="0.2">
      <c r="A310" s="57">
        <v>98580</v>
      </c>
      <c r="B310" s="60" t="s">
        <v>333</v>
      </c>
      <c r="C310" s="45">
        <v>1</v>
      </c>
      <c r="D310" s="45">
        <v>1</v>
      </c>
      <c r="E310" s="45">
        <v>1</v>
      </c>
      <c r="M310" s="54">
        <v>98337</v>
      </c>
      <c r="N310" s="60" t="s">
        <v>10</v>
      </c>
      <c r="O310" s="35">
        <v>56</v>
      </c>
      <c r="P310" s="35">
        <v>91</v>
      </c>
      <c r="Q310" s="35">
        <v>78</v>
      </c>
      <c r="S310" s="95"/>
      <c r="T310" s="38"/>
      <c r="U310" s="43"/>
      <c r="V310" s="40"/>
      <c r="W310" s="40"/>
    </row>
    <row r="311" spans="1:23" x14ac:dyDescent="0.2">
      <c r="A311" s="57">
        <v>98580</v>
      </c>
      <c r="B311" s="60" t="s">
        <v>10</v>
      </c>
      <c r="C311" s="45">
        <v>21</v>
      </c>
      <c r="D311" s="45">
        <v>19</v>
      </c>
      <c r="E311" s="45">
        <v>16</v>
      </c>
      <c r="M311" s="78">
        <v>98338</v>
      </c>
      <c r="N311" s="60" t="s">
        <v>333</v>
      </c>
      <c r="O311" s="35">
        <v>8</v>
      </c>
      <c r="P311" s="32">
        <v>6</v>
      </c>
      <c r="Q311" s="32">
        <v>16</v>
      </c>
      <c r="S311" s="95"/>
      <c r="T311" s="38"/>
      <c r="U311" s="43"/>
      <c r="V311" s="40"/>
      <c r="W311" s="40"/>
    </row>
    <row r="312" spans="1:23" x14ac:dyDescent="0.2">
      <c r="A312" s="56">
        <v>98589</v>
      </c>
      <c r="B312" s="60" t="s">
        <v>10</v>
      </c>
      <c r="C312" s="45">
        <v>20</v>
      </c>
      <c r="D312" s="45">
        <v>20</v>
      </c>
      <c r="E312" s="45">
        <v>19</v>
      </c>
      <c r="M312" s="54">
        <v>98338</v>
      </c>
      <c r="N312" s="60" t="s">
        <v>10</v>
      </c>
      <c r="O312" s="35">
        <v>48</v>
      </c>
      <c r="P312" s="35">
        <v>50</v>
      </c>
      <c r="Q312" s="35">
        <v>65</v>
      </c>
      <c r="S312" s="95"/>
      <c r="T312" s="38"/>
      <c r="U312" s="43"/>
      <c r="V312" s="40"/>
      <c r="W312" s="40"/>
    </row>
    <row r="313" spans="1:23" x14ac:dyDescent="0.2">
      <c r="A313" s="57">
        <v>98597</v>
      </c>
      <c r="B313" s="60" t="s">
        <v>333</v>
      </c>
      <c r="C313" s="45">
        <v>3</v>
      </c>
      <c r="D313" s="45">
        <v>3</v>
      </c>
      <c r="E313" s="45">
        <v>3</v>
      </c>
      <c r="M313" s="78">
        <v>98340</v>
      </c>
      <c r="N313" s="60" t="s">
        <v>333</v>
      </c>
      <c r="O313" s="35">
        <v>0</v>
      </c>
      <c r="P313" s="35">
        <v>1</v>
      </c>
      <c r="Q313" s="35">
        <v>0</v>
      </c>
      <c r="S313" s="95"/>
      <c r="T313" s="38"/>
      <c r="U313" s="43"/>
      <c r="V313" s="40"/>
      <c r="W313" s="40"/>
    </row>
    <row r="314" spans="1:23" x14ac:dyDescent="0.2">
      <c r="A314" s="56">
        <v>98597</v>
      </c>
      <c r="B314" s="60" t="s">
        <v>10</v>
      </c>
      <c r="C314" s="45">
        <v>62</v>
      </c>
      <c r="D314" s="45">
        <v>60</v>
      </c>
      <c r="E314" s="45">
        <v>53</v>
      </c>
      <c r="M314" s="54">
        <v>98340</v>
      </c>
      <c r="N314" s="60" t="s">
        <v>10</v>
      </c>
      <c r="O314" s="35">
        <v>5</v>
      </c>
      <c r="P314" s="35">
        <v>5</v>
      </c>
      <c r="Q314" s="35">
        <v>9</v>
      </c>
      <c r="S314" s="95"/>
      <c r="T314" s="38"/>
      <c r="U314" s="43"/>
      <c r="V314" s="40"/>
      <c r="W314" s="40"/>
    </row>
    <row r="315" spans="1:23" x14ac:dyDescent="0.2">
      <c r="A315" s="57">
        <v>98922</v>
      </c>
      <c r="B315" s="60" t="s">
        <v>10</v>
      </c>
      <c r="C315" s="45">
        <v>16</v>
      </c>
      <c r="D315" s="45">
        <v>16</v>
      </c>
      <c r="E315" s="45">
        <v>16</v>
      </c>
      <c r="M315" s="78">
        <v>98342</v>
      </c>
      <c r="N315" s="60" t="s">
        <v>333</v>
      </c>
      <c r="O315" s="35">
        <v>1</v>
      </c>
      <c r="P315" s="35">
        <v>0</v>
      </c>
      <c r="Q315" s="32">
        <v>1</v>
      </c>
      <c r="S315" s="95"/>
      <c r="T315" s="38"/>
      <c r="U315" s="43"/>
      <c r="V315" s="40"/>
      <c r="W315" s="40"/>
    </row>
    <row r="316" spans="1:23" x14ac:dyDescent="0.2">
      <c r="A316" s="57">
        <v>98925</v>
      </c>
      <c r="B316" s="60" t="s">
        <v>10</v>
      </c>
      <c r="C316" s="45">
        <v>2</v>
      </c>
      <c r="D316" s="45">
        <v>2</v>
      </c>
      <c r="E316" s="45">
        <v>2</v>
      </c>
      <c r="M316" s="54">
        <v>98342</v>
      </c>
      <c r="N316" s="60" t="s">
        <v>10</v>
      </c>
      <c r="O316" s="35">
        <v>1</v>
      </c>
      <c r="P316" s="35">
        <v>3</v>
      </c>
      <c r="Q316" s="35">
        <v>5</v>
      </c>
      <c r="S316" s="40"/>
      <c r="T316" s="38"/>
      <c r="U316" s="43"/>
      <c r="V316" s="43"/>
      <c r="W316" s="43"/>
    </row>
    <row r="317" spans="1:23" x14ac:dyDescent="0.2">
      <c r="A317" s="57">
        <v>98926</v>
      </c>
      <c r="B317" s="60" t="s">
        <v>333</v>
      </c>
      <c r="C317" s="45">
        <v>2</v>
      </c>
      <c r="D317" s="45">
        <v>2</v>
      </c>
      <c r="E317" s="45">
        <v>2</v>
      </c>
      <c r="M317" s="78">
        <v>98345</v>
      </c>
      <c r="N317" s="60" t="s">
        <v>333</v>
      </c>
      <c r="O317" s="35">
        <v>0</v>
      </c>
      <c r="P317" s="32">
        <v>1</v>
      </c>
      <c r="Q317" s="35">
        <v>0</v>
      </c>
      <c r="S317" s="37"/>
      <c r="T317" s="38"/>
      <c r="U317" s="43"/>
      <c r="V317" s="43"/>
      <c r="W317" s="40"/>
    </row>
    <row r="318" spans="1:23" x14ac:dyDescent="0.2">
      <c r="A318" s="56">
        <v>98926</v>
      </c>
      <c r="B318" s="60" t="s">
        <v>10</v>
      </c>
      <c r="C318" s="45">
        <v>14</v>
      </c>
      <c r="D318" s="45">
        <v>14</v>
      </c>
      <c r="E318" s="45">
        <v>14</v>
      </c>
      <c r="M318" s="54">
        <v>98345</v>
      </c>
      <c r="N318" s="60" t="s">
        <v>10</v>
      </c>
      <c r="O318" s="35">
        <v>2</v>
      </c>
      <c r="P318" s="35">
        <v>1</v>
      </c>
      <c r="Q318" s="35">
        <v>2</v>
      </c>
      <c r="S318" s="40"/>
      <c r="T318" s="38"/>
      <c r="U318" s="43"/>
      <c r="V318" s="43"/>
      <c r="W318" s="43"/>
    </row>
    <row r="319" spans="1:23" x14ac:dyDescent="0.2">
      <c r="A319" s="57">
        <v>98934</v>
      </c>
      <c r="B319" s="60" t="s">
        <v>10</v>
      </c>
      <c r="C319" s="45">
        <v>1</v>
      </c>
      <c r="D319" s="45">
        <v>1</v>
      </c>
      <c r="E319" s="45">
        <v>1</v>
      </c>
      <c r="M319" s="78">
        <v>98346</v>
      </c>
      <c r="N319" s="60" t="s">
        <v>333</v>
      </c>
      <c r="O319" s="35">
        <v>6</v>
      </c>
      <c r="P319" s="35">
        <v>3</v>
      </c>
      <c r="Q319" s="35">
        <v>11</v>
      </c>
      <c r="S319" s="38"/>
      <c r="T319" s="38"/>
      <c r="U319" s="43"/>
      <c r="V319" s="43"/>
      <c r="W319" s="43"/>
    </row>
    <row r="320" spans="1:23" x14ac:dyDescent="0.2">
      <c r="A320" s="56">
        <v>98940</v>
      </c>
      <c r="B320" s="60" t="s">
        <v>10</v>
      </c>
      <c r="C320" s="45">
        <v>1</v>
      </c>
      <c r="D320" s="45">
        <v>1</v>
      </c>
      <c r="E320" s="45">
        <v>1</v>
      </c>
      <c r="M320" s="54">
        <v>98346</v>
      </c>
      <c r="N320" s="60" t="s">
        <v>10</v>
      </c>
      <c r="O320" s="35">
        <v>23</v>
      </c>
      <c r="P320" s="35">
        <v>22</v>
      </c>
      <c r="Q320" s="35">
        <v>40</v>
      </c>
      <c r="S320" s="37"/>
      <c r="T320" s="38"/>
      <c r="U320" s="43"/>
      <c r="V320" s="40"/>
      <c r="W320" s="40"/>
    </row>
    <row r="321" spans="1:23" x14ac:dyDescent="0.2">
      <c r="A321" s="57">
        <v>98941</v>
      </c>
      <c r="B321" s="60" t="s">
        <v>10</v>
      </c>
      <c r="C321" s="45">
        <v>4</v>
      </c>
      <c r="D321" s="45">
        <v>4</v>
      </c>
      <c r="E321" s="45">
        <v>3</v>
      </c>
      <c r="M321" s="78">
        <v>98354</v>
      </c>
      <c r="N321" s="60" t="s">
        <v>333</v>
      </c>
      <c r="O321" s="35">
        <v>1</v>
      </c>
      <c r="P321" s="35">
        <v>2</v>
      </c>
      <c r="Q321" s="35">
        <v>0</v>
      </c>
      <c r="S321" s="40"/>
      <c r="T321" s="38"/>
      <c r="U321" s="43"/>
      <c r="V321" s="40"/>
      <c r="W321" s="43"/>
    </row>
    <row r="322" spans="1:23" x14ac:dyDescent="0.2">
      <c r="A322" s="56">
        <v>98943</v>
      </c>
      <c r="B322" s="60" t="s">
        <v>10</v>
      </c>
      <c r="C322" s="45">
        <v>3</v>
      </c>
      <c r="D322" s="45">
        <v>3</v>
      </c>
      <c r="E322" s="45">
        <v>3</v>
      </c>
      <c r="M322" s="54">
        <v>98354</v>
      </c>
      <c r="N322" s="60" t="s">
        <v>10</v>
      </c>
      <c r="O322" s="35">
        <v>4</v>
      </c>
      <c r="P322" s="35">
        <v>4</v>
      </c>
      <c r="Q322" s="35">
        <v>11</v>
      </c>
      <c r="S322" s="38"/>
      <c r="T322" s="38"/>
      <c r="U322" s="43"/>
      <c r="V322" s="43"/>
      <c r="W322" s="43"/>
    </row>
    <row r="323" spans="1:23" ht="16" thickBot="1" x14ac:dyDescent="0.25">
      <c r="A323" s="126">
        <v>98946</v>
      </c>
      <c r="B323" s="52" t="s">
        <v>10</v>
      </c>
      <c r="C323" s="102">
        <v>4</v>
      </c>
      <c r="D323" s="102">
        <v>3</v>
      </c>
      <c r="E323" s="102">
        <v>3</v>
      </c>
      <c r="M323" s="78">
        <v>98359</v>
      </c>
      <c r="N323" s="60" t="s">
        <v>333</v>
      </c>
      <c r="O323" s="35">
        <v>3</v>
      </c>
      <c r="P323" s="35">
        <v>2</v>
      </c>
      <c r="Q323" s="35">
        <v>2</v>
      </c>
      <c r="S323" s="38"/>
      <c r="T323" s="38"/>
      <c r="U323" s="43"/>
      <c r="V323" s="43"/>
      <c r="W323" s="43"/>
    </row>
    <row r="324" spans="1:23" x14ac:dyDescent="0.2">
      <c r="A324" s="127"/>
      <c r="B324" s="36"/>
      <c r="C324" s="85"/>
      <c r="D324" s="85"/>
      <c r="E324" s="85"/>
      <c r="M324" s="54">
        <v>98359</v>
      </c>
      <c r="N324" s="60" t="s">
        <v>10</v>
      </c>
      <c r="O324" s="35">
        <v>8</v>
      </c>
      <c r="P324" s="35">
        <v>7</v>
      </c>
      <c r="Q324" s="35">
        <v>11</v>
      </c>
      <c r="S324" s="38"/>
      <c r="T324" s="38"/>
      <c r="U324" s="43"/>
      <c r="V324" s="43"/>
      <c r="W324" s="43"/>
    </row>
    <row r="325" spans="1:23" x14ac:dyDescent="0.2">
      <c r="A325" s="62"/>
      <c r="B325" s="38"/>
      <c r="C325" s="86"/>
      <c r="D325" s="86"/>
      <c r="E325" s="86"/>
      <c r="M325" s="78">
        <v>98360</v>
      </c>
      <c r="N325" s="60" t="s">
        <v>333</v>
      </c>
      <c r="O325" s="35">
        <v>4</v>
      </c>
      <c r="P325" s="35">
        <v>1</v>
      </c>
      <c r="Q325" s="35">
        <v>6</v>
      </c>
      <c r="S325" s="37"/>
      <c r="T325" s="38"/>
      <c r="U325" s="43"/>
      <c r="V325" s="43"/>
      <c r="W325" s="40"/>
    </row>
    <row r="326" spans="1:23" x14ac:dyDescent="0.2">
      <c r="A326" s="63"/>
      <c r="B326" s="38"/>
      <c r="C326" s="86"/>
      <c r="D326" s="86"/>
      <c r="E326" s="86"/>
      <c r="M326" s="54">
        <v>98360</v>
      </c>
      <c r="N326" s="60" t="s">
        <v>334</v>
      </c>
      <c r="O326" s="35">
        <v>1</v>
      </c>
      <c r="P326" s="35">
        <v>0</v>
      </c>
      <c r="Q326" s="35">
        <v>0</v>
      </c>
      <c r="S326" s="40"/>
      <c r="T326" s="38"/>
      <c r="U326" s="43"/>
      <c r="V326" s="43"/>
      <c r="W326" s="43"/>
    </row>
    <row r="327" spans="1:23" x14ac:dyDescent="0.2">
      <c r="A327" s="62"/>
      <c r="B327" s="38"/>
      <c r="C327" s="86"/>
      <c r="D327" s="86"/>
      <c r="E327" s="86"/>
      <c r="M327" s="78">
        <v>98360</v>
      </c>
      <c r="N327" s="60" t="s">
        <v>10</v>
      </c>
      <c r="O327" s="35">
        <v>27</v>
      </c>
      <c r="P327" s="35">
        <v>31</v>
      </c>
      <c r="Q327" s="35">
        <v>29</v>
      </c>
      <c r="S327" s="38"/>
      <c r="T327" s="38"/>
      <c r="U327" s="40"/>
      <c r="V327" s="43"/>
      <c r="W327" s="43"/>
    </row>
    <row r="328" spans="1:23" x14ac:dyDescent="0.2">
      <c r="A328" s="63"/>
      <c r="B328" s="38"/>
      <c r="C328" s="86"/>
      <c r="D328" s="86"/>
      <c r="E328" s="86"/>
      <c r="M328" s="54">
        <v>98366</v>
      </c>
      <c r="N328" s="60" t="s">
        <v>333</v>
      </c>
      <c r="O328" s="35">
        <v>12</v>
      </c>
      <c r="P328" s="35">
        <v>10</v>
      </c>
      <c r="Q328" s="35">
        <v>16</v>
      </c>
      <c r="S328" s="38"/>
      <c r="T328" s="38"/>
      <c r="U328" s="43"/>
      <c r="V328" s="43"/>
      <c r="W328" s="43"/>
    </row>
    <row r="329" spans="1:23" x14ac:dyDescent="0.2">
      <c r="A329" s="62"/>
      <c r="B329" s="38"/>
      <c r="C329" s="86"/>
      <c r="D329" s="86"/>
      <c r="E329" s="86"/>
      <c r="M329" s="78">
        <v>98366</v>
      </c>
      <c r="N329" s="60" t="s">
        <v>10</v>
      </c>
      <c r="O329" s="35">
        <v>157</v>
      </c>
      <c r="P329" s="35">
        <v>128</v>
      </c>
      <c r="Q329" s="35">
        <v>183</v>
      </c>
      <c r="S329" s="37"/>
      <c r="T329" s="38"/>
      <c r="U329" s="40"/>
      <c r="V329" s="43"/>
      <c r="W329" s="40"/>
    </row>
    <row r="330" spans="1:23" x14ac:dyDescent="0.2">
      <c r="A330" s="63"/>
      <c r="B330" s="38"/>
      <c r="C330" s="86"/>
      <c r="D330" s="86"/>
      <c r="E330" s="86"/>
      <c r="M330" s="54">
        <v>98367</v>
      </c>
      <c r="N330" s="60" t="s">
        <v>333</v>
      </c>
      <c r="O330" s="35">
        <v>26</v>
      </c>
      <c r="P330" s="35">
        <v>20</v>
      </c>
      <c r="Q330" s="35">
        <v>32</v>
      </c>
      <c r="S330" s="40"/>
      <c r="T330" s="38"/>
      <c r="U330" s="43"/>
      <c r="V330" s="43"/>
      <c r="W330" s="43"/>
    </row>
    <row r="331" spans="1:23" x14ac:dyDescent="0.2">
      <c r="A331" s="62"/>
      <c r="B331" s="38"/>
      <c r="C331" s="86"/>
      <c r="D331" s="86"/>
      <c r="E331" s="86"/>
      <c r="M331" s="78">
        <v>98367</v>
      </c>
      <c r="N331" s="60" t="s">
        <v>10</v>
      </c>
      <c r="O331" s="35">
        <v>99</v>
      </c>
      <c r="P331" s="35">
        <v>94</v>
      </c>
      <c r="Q331" s="35">
        <v>80</v>
      </c>
      <c r="S331" s="38"/>
      <c r="T331" s="38"/>
      <c r="U331" s="43"/>
      <c r="V331" s="40"/>
      <c r="W331" s="43"/>
    </row>
    <row r="332" spans="1:23" x14ac:dyDescent="0.2">
      <c r="A332" s="63"/>
      <c r="B332" s="38"/>
      <c r="C332" s="86"/>
      <c r="D332" s="86"/>
      <c r="E332" s="86"/>
      <c r="M332" s="54">
        <v>98370</v>
      </c>
      <c r="N332" s="60" t="s">
        <v>333</v>
      </c>
      <c r="O332" s="35">
        <v>18</v>
      </c>
      <c r="P332" s="35">
        <v>15</v>
      </c>
      <c r="Q332" s="35">
        <v>45</v>
      </c>
      <c r="S332" s="38"/>
      <c r="T332" s="38"/>
      <c r="U332" s="43"/>
      <c r="V332" s="43"/>
      <c r="W332" s="43"/>
    </row>
    <row r="333" spans="1:23" x14ac:dyDescent="0.2">
      <c r="A333" s="62"/>
      <c r="B333" s="38"/>
      <c r="C333" s="86"/>
      <c r="D333" s="86"/>
      <c r="E333" s="86"/>
      <c r="M333" s="78">
        <v>98370</v>
      </c>
      <c r="N333" s="60" t="s">
        <v>10</v>
      </c>
      <c r="O333" s="35">
        <v>107</v>
      </c>
      <c r="P333" s="35">
        <v>100</v>
      </c>
      <c r="Q333" s="35">
        <v>102</v>
      </c>
      <c r="S333" s="38"/>
      <c r="T333" s="38"/>
      <c r="U333" s="43"/>
      <c r="V333" s="43"/>
      <c r="W333" s="43"/>
    </row>
    <row r="334" spans="1:23" x14ac:dyDescent="0.2">
      <c r="A334" s="63"/>
      <c r="B334" s="38"/>
      <c r="C334" s="86"/>
      <c r="D334" s="86"/>
      <c r="E334" s="86"/>
      <c r="M334" s="54">
        <v>98371</v>
      </c>
      <c r="N334" s="60" t="s">
        <v>333</v>
      </c>
      <c r="O334" s="35">
        <v>12</v>
      </c>
      <c r="P334" s="35">
        <v>10</v>
      </c>
      <c r="Q334" s="35">
        <v>22</v>
      </c>
      <c r="S334" s="38"/>
      <c r="T334" s="38"/>
      <c r="U334" s="40"/>
      <c r="V334" s="43"/>
      <c r="W334" s="43"/>
    </row>
    <row r="335" spans="1:23" x14ac:dyDescent="0.2">
      <c r="A335" s="62"/>
      <c r="B335" s="38"/>
      <c r="C335" s="86"/>
      <c r="D335" s="86"/>
      <c r="E335" s="86"/>
      <c r="M335" s="78">
        <v>98371</v>
      </c>
      <c r="N335" s="60" t="s">
        <v>10</v>
      </c>
      <c r="O335" s="35">
        <v>81</v>
      </c>
      <c r="P335" s="35">
        <v>77</v>
      </c>
      <c r="Q335" s="35">
        <v>114</v>
      </c>
      <c r="S335" s="38"/>
      <c r="T335" s="38"/>
      <c r="U335" s="43"/>
      <c r="V335" s="43"/>
      <c r="W335" s="40"/>
    </row>
    <row r="336" spans="1:23" x14ac:dyDescent="0.2">
      <c r="A336" s="62"/>
      <c r="B336" s="38"/>
      <c r="C336" s="86"/>
      <c r="D336" s="86"/>
      <c r="E336" s="86"/>
      <c r="M336" s="54">
        <v>98372</v>
      </c>
      <c r="N336" s="60" t="s">
        <v>333</v>
      </c>
      <c r="O336" s="35">
        <v>9</v>
      </c>
      <c r="P336" s="35">
        <v>9</v>
      </c>
      <c r="Q336" s="35">
        <v>20</v>
      </c>
      <c r="S336" s="38"/>
      <c r="T336" s="38"/>
      <c r="U336" s="43"/>
      <c r="V336" s="40"/>
      <c r="W336" s="40"/>
    </row>
    <row r="337" spans="1:23" x14ac:dyDescent="0.2">
      <c r="A337" s="62"/>
      <c r="B337" s="38"/>
      <c r="C337" s="86"/>
      <c r="D337" s="86"/>
      <c r="E337" s="86"/>
      <c r="M337" s="78">
        <v>98372</v>
      </c>
      <c r="N337" s="60" t="s">
        <v>10</v>
      </c>
      <c r="O337" s="35">
        <v>117</v>
      </c>
      <c r="P337" s="35">
        <v>175</v>
      </c>
      <c r="Q337" s="35">
        <v>246</v>
      </c>
      <c r="S337" s="37"/>
      <c r="T337" s="38"/>
      <c r="U337" s="43"/>
      <c r="V337" s="43"/>
      <c r="W337" s="43"/>
    </row>
    <row r="338" spans="1:23" x14ac:dyDescent="0.2">
      <c r="A338" s="63"/>
      <c r="B338" s="38"/>
      <c r="C338" s="86"/>
      <c r="D338" s="86"/>
      <c r="E338" s="86"/>
      <c r="M338" s="54">
        <v>98373</v>
      </c>
      <c r="N338" s="60" t="s">
        <v>333</v>
      </c>
      <c r="O338" s="35">
        <v>8</v>
      </c>
      <c r="P338" s="35">
        <v>21</v>
      </c>
      <c r="Q338" s="35">
        <v>15</v>
      </c>
      <c r="S338" s="40"/>
      <c r="T338" s="38"/>
      <c r="U338" s="43"/>
      <c r="V338" s="43"/>
      <c r="W338" s="43"/>
    </row>
    <row r="339" spans="1:23" x14ac:dyDescent="0.2">
      <c r="A339" s="62"/>
      <c r="B339" s="38"/>
      <c r="C339" s="86"/>
      <c r="D339" s="86"/>
      <c r="E339" s="86"/>
      <c r="M339" s="78">
        <v>98373</v>
      </c>
      <c r="N339" s="60" t="s">
        <v>10</v>
      </c>
      <c r="O339" s="35">
        <v>95</v>
      </c>
      <c r="P339" s="35">
        <v>99</v>
      </c>
      <c r="Q339" s="35">
        <v>113</v>
      </c>
      <c r="S339" s="3"/>
      <c r="T339" s="49"/>
      <c r="U339" s="2"/>
      <c r="V339" s="3"/>
      <c r="W339" s="2"/>
    </row>
    <row r="340" spans="1:23" x14ac:dyDescent="0.2">
      <c r="A340" s="62"/>
      <c r="B340" s="38"/>
      <c r="C340" s="86"/>
      <c r="D340" s="86"/>
      <c r="E340" s="86"/>
      <c r="M340" s="54">
        <v>98374</v>
      </c>
      <c r="N340" s="60" t="s">
        <v>333</v>
      </c>
      <c r="O340" s="35">
        <v>16</v>
      </c>
      <c r="P340" s="35">
        <v>21</v>
      </c>
      <c r="Q340" s="35">
        <v>15</v>
      </c>
      <c r="S340" s="49"/>
      <c r="T340" s="49"/>
      <c r="U340" s="2"/>
      <c r="V340" s="2"/>
      <c r="W340" s="3"/>
    </row>
    <row r="341" spans="1:23" x14ac:dyDescent="0.2">
      <c r="A341" s="62"/>
      <c r="B341" s="38"/>
      <c r="C341" s="86"/>
      <c r="D341" s="86"/>
      <c r="E341" s="86"/>
      <c r="M341" s="78">
        <v>98374</v>
      </c>
      <c r="N341" s="60" t="s">
        <v>10</v>
      </c>
      <c r="O341" s="32">
        <v>220</v>
      </c>
      <c r="P341" s="32">
        <v>233</v>
      </c>
      <c r="Q341" s="35">
        <v>258</v>
      </c>
      <c r="S341" s="49"/>
      <c r="T341" s="49"/>
      <c r="U341" s="2"/>
      <c r="V341" s="2"/>
      <c r="W341" s="2"/>
    </row>
    <row r="342" spans="1:23" x14ac:dyDescent="0.2">
      <c r="A342" s="63"/>
      <c r="B342" s="38"/>
      <c r="C342" s="86"/>
      <c r="D342" s="86"/>
      <c r="E342" s="86"/>
      <c r="M342" s="78">
        <v>98375</v>
      </c>
      <c r="N342" s="60" t="s">
        <v>333</v>
      </c>
      <c r="O342" s="35">
        <v>3</v>
      </c>
      <c r="P342" s="35">
        <v>5</v>
      </c>
      <c r="Q342" s="35">
        <v>6</v>
      </c>
      <c r="S342" s="49"/>
      <c r="T342" s="49"/>
      <c r="U342" s="3"/>
      <c r="V342" s="2"/>
      <c r="W342" s="3"/>
    </row>
    <row r="343" spans="1:23" x14ac:dyDescent="0.2">
      <c r="A343" s="62"/>
      <c r="B343" s="38"/>
      <c r="C343" s="86"/>
      <c r="D343" s="86"/>
      <c r="E343" s="86"/>
      <c r="M343" s="54">
        <v>98375</v>
      </c>
      <c r="N343" s="60" t="s">
        <v>10</v>
      </c>
      <c r="O343" s="35">
        <v>72</v>
      </c>
      <c r="P343" s="35">
        <v>54</v>
      </c>
      <c r="Q343" s="35">
        <v>93</v>
      </c>
      <c r="S343" s="50"/>
      <c r="T343" s="49"/>
      <c r="U343" s="2"/>
      <c r="V343" s="2"/>
      <c r="W343" s="2"/>
    </row>
    <row r="344" spans="1:23" x14ac:dyDescent="0.2">
      <c r="A344" s="63"/>
      <c r="B344" s="38"/>
      <c r="C344" s="86"/>
      <c r="D344" s="86"/>
      <c r="E344" s="86"/>
      <c r="M344" s="78">
        <v>98380</v>
      </c>
      <c r="N344" s="60" t="s">
        <v>333</v>
      </c>
      <c r="O344" s="35">
        <v>1</v>
      </c>
      <c r="P344" s="35">
        <v>2</v>
      </c>
      <c r="Q344" s="35">
        <v>2</v>
      </c>
      <c r="S344" s="3"/>
      <c r="T344" s="49"/>
      <c r="U344" s="2"/>
      <c r="V344" s="2"/>
      <c r="W344" s="2"/>
    </row>
    <row r="345" spans="1:23" x14ac:dyDescent="0.2">
      <c r="A345" s="62"/>
      <c r="B345" s="38"/>
      <c r="C345" s="86"/>
      <c r="D345" s="86"/>
      <c r="E345" s="86"/>
      <c r="M345" s="78">
        <v>98380</v>
      </c>
      <c r="N345" s="60" t="s">
        <v>10</v>
      </c>
      <c r="O345" s="35">
        <v>11</v>
      </c>
      <c r="P345" s="35">
        <v>10</v>
      </c>
      <c r="Q345" s="35">
        <v>8</v>
      </c>
      <c r="S345" s="37"/>
      <c r="T345" s="38"/>
      <c r="U345" s="40"/>
      <c r="V345" s="43"/>
      <c r="W345" s="43"/>
    </row>
    <row r="346" spans="1:23" x14ac:dyDescent="0.2">
      <c r="A346" s="62"/>
      <c r="B346" s="38"/>
      <c r="C346" s="86"/>
      <c r="D346" s="86"/>
      <c r="E346" s="86"/>
      <c r="M346" s="54">
        <v>98383</v>
      </c>
      <c r="N346" s="60" t="s">
        <v>333</v>
      </c>
      <c r="O346" s="35">
        <v>20</v>
      </c>
      <c r="P346" s="35">
        <v>12</v>
      </c>
      <c r="Q346" s="35">
        <v>13</v>
      </c>
      <c r="S346" s="40"/>
      <c r="T346" s="38"/>
      <c r="U346" s="43"/>
      <c r="V346" s="43"/>
      <c r="W346" s="43"/>
    </row>
    <row r="347" spans="1:23" x14ac:dyDescent="0.2">
      <c r="A347" s="63"/>
      <c r="B347" s="38"/>
      <c r="C347" s="86"/>
      <c r="D347" s="86"/>
      <c r="E347" s="86"/>
      <c r="M347" s="78">
        <v>98383</v>
      </c>
      <c r="N347" s="60" t="s">
        <v>10</v>
      </c>
      <c r="O347" s="35">
        <v>133</v>
      </c>
      <c r="P347" s="35">
        <v>118</v>
      </c>
      <c r="Q347" s="35">
        <v>248</v>
      </c>
      <c r="S347" s="38"/>
      <c r="T347" s="38"/>
      <c r="U347" s="43"/>
      <c r="V347" s="43"/>
      <c r="W347" s="43"/>
    </row>
    <row r="348" spans="1:23" x14ac:dyDescent="0.2">
      <c r="A348" s="62"/>
      <c r="B348" s="38"/>
      <c r="C348" s="86"/>
      <c r="D348" s="86"/>
      <c r="E348" s="86"/>
      <c r="M348" s="54">
        <v>98385</v>
      </c>
      <c r="N348" s="60" t="s">
        <v>333</v>
      </c>
      <c r="O348" s="35">
        <v>0</v>
      </c>
      <c r="P348" s="35">
        <v>1</v>
      </c>
      <c r="Q348" s="35">
        <v>0</v>
      </c>
      <c r="S348" s="38"/>
      <c r="T348" s="38"/>
      <c r="U348" s="43"/>
      <c r="V348" s="40"/>
      <c r="W348" s="40"/>
    </row>
    <row r="349" spans="1:23" x14ac:dyDescent="0.2">
      <c r="A349" s="63"/>
      <c r="B349" s="38"/>
      <c r="C349" s="86"/>
      <c r="D349" s="86"/>
      <c r="E349" s="86"/>
      <c r="M349" s="78">
        <v>98385</v>
      </c>
      <c r="N349" s="60" t="s">
        <v>10</v>
      </c>
      <c r="O349" s="35">
        <v>4</v>
      </c>
      <c r="P349" s="35">
        <v>0</v>
      </c>
      <c r="Q349" s="35">
        <v>1</v>
      </c>
      <c r="S349" s="37"/>
      <c r="T349" s="38"/>
      <c r="U349" s="40"/>
      <c r="V349" s="40"/>
      <c r="W349" s="43"/>
    </row>
    <row r="350" spans="1:23" x14ac:dyDescent="0.2">
      <c r="A350" s="62"/>
      <c r="B350" s="38"/>
      <c r="C350" s="86"/>
      <c r="D350" s="86"/>
      <c r="E350" s="86"/>
      <c r="M350" s="54">
        <v>98387</v>
      </c>
      <c r="N350" s="60" t="s">
        <v>333</v>
      </c>
      <c r="O350" s="35">
        <v>2</v>
      </c>
      <c r="P350" s="35">
        <v>3</v>
      </c>
      <c r="Q350" s="35">
        <v>6</v>
      </c>
      <c r="S350" s="40"/>
      <c r="T350" s="38"/>
      <c r="U350" s="43"/>
      <c r="V350" s="43"/>
      <c r="W350" s="43"/>
    </row>
    <row r="351" spans="1:23" x14ac:dyDescent="0.2">
      <c r="A351" s="62"/>
      <c r="B351" s="38"/>
      <c r="C351" s="86"/>
      <c r="D351" s="86"/>
      <c r="E351" s="86"/>
      <c r="M351" s="78">
        <v>98387</v>
      </c>
      <c r="N351" s="60" t="s">
        <v>10</v>
      </c>
      <c r="O351" s="32">
        <v>95</v>
      </c>
      <c r="P351" s="35">
        <v>79</v>
      </c>
      <c r="Q351" s="32">
        <v>85</v>
      </c>
      <c r="S351" s="37"/>
      <c r="T351" s="38"/>
      <c r="U351" s="43"/>
      <c r="V351" s="40"/>
      <c r="W351" s="40"/>
    </row>
    <row r="352" spans="1:23" x14ac:dyDescent="0.2">
      <c r="A352" s="63"/>
      <c r="B352" s="38"/>
      <c r="C352" s="86"/>
      <c r="D352" s="86"/>
      <c r="E352" s="86"/>
      <c r="M352" s="78">
        <v>98388</v>
      </c>
      <c r="N352" s="60" t="s">
        <v>10</v>
      </c>
      <c r="O352" s="35">
        <v>7</v>
      </c>
      <c r="P352" s="35">
        <v>10</v>
      </c>
      <c r="Q352" s="35">
        <v>9</v>
      </c>
      <c r="S352" s="40"/>
      <c r="T352" s="38"/>
      <c r="U352" s="43"/>
      <c r="V352" s="43"/>
      <c r="W352" s="43"/>
    </row>
    <row r="353" spans="1:23" x14ac:dyDescent="0.2">
      <c r="A353" s="62"/>
      <c r="B353" s="38"/>
      <c r="C353" s="86"/>
      <c r="D353" s="86"/>
      <c r="E353" s="86"/>
      <c r="M353" s="54">
        <v>98390</v>
      </c>
      <c r="N353" s="60" t="s">
        <v>333</v>
      </c>
      <c r="O353" s="35">
        <v>13</v>
      </c>
      <c r="P353" s="35">
        <v>13</v>
      </c>
      <c r="Q353" s="35">
        <v>8</v>
      </c>
      <c r="S353" s="37"/>
      <c r="T353" s="38"/>
      <c r="U353" s="43"/>
      <c r="V353" s="43"/>
      <c r="W353" s="43"/>
    </row>
    <row r="354" spans="1:23" x14ac:dyDescent="0.2">
      <c r="A354" s="63"/>
      <c r="B354" s="38"/>
      <c r="C354" s="86"/>
      <c r="D354" s="86"/>
      <c r="E354" s="86"/>
      <c r="M354" s="78">
        <v>98390</v>
      </c>
      <c r="N354" s="60" t="s">
        <v>10</v>
      </c>
      <c r="O354" s="35">
        <v>49</v>
      </c>
      <c r="P354" s="35">
        <v>48</v>
      </c>
      <c r="Q354" s="32">
        <v>57</v>
      </c>
      <c r="S354" s="40"/>
      <c r="T354" s="38"/>
      <c r="U354" s="43"/>
      <c r="V354" s="43"/>
      <c r="W354" s="43"/>
    </row>
    <row r="355" spans="1:23" x14ac:dyDescent="0.2">
      <c r="A355" s="62"/>
      <c r="B355" s="38"/>
      <c r="C355" s="86"/>
      <c r="D355" s="86"/>
      <c r="E355" s="86"/>
      <c r="M355" s="54">
        <v>98391</v>
      </c>
      <c r="N355" s="60" t="s">
        <v>333</v>
      </c>
      <c r="O355" s="35">
        <v>26</v>
      </c>
      <c r="P355" s="35">
        <v>12</v>
      </c>
      <c r="Q355" s="35">
        <v>42</v>
      </c>
      <c r="S355" s="38"/>
      <c r="T355" s="38"/>
      <c r="U355" s="43"/>
      <c r="V355" s="43"/>
      <c r="W355" s="43"/>
    </row>
    <row r="356" spans="1:23" x14ac:dyDescent="0.2">
      <c r="A356" s="63"/>
      <c r="B356" s="38"/>
      <c r="C356" s="86"/>
      <c r="D356" s="86"/>
      <c r="E356" s="86"/>
      <c r="M356" s="78">
        <v>98391</v>
      </c>
      <c r="N356" s="60" t="s">
        <v>10</v>
      </c>
      <c r="O356" s="35">
        <v>155</v>
      </c>
      <c r="P356" s="35">
        <v>166</v>
      </c>
      <c r="Q356" s="35">
        <v>197</v>
      </c>
      <c r="S356" s="37"/>
      <c r="T356" s="38"/>
      <c r="U356" s="43"/>
      <c r="V356" s="40"/>
      <c r="W356" s="43"/>
    </row>
    <row r="357" spans="1:23" x14ac:dyDescent="0.2">
      <c r="A357" s="62"/>
      <c r="B357" s="38"/>
      <c r="C357" s="86"/>
      <c r="D357" s="86"/>
      <c r="E357" s="86"/>
      <c r="M357" s="54">
        <v>98392</v>
      </c>
      <c r="N357" s="60" t="s">
        <v>333</v>
      </c>
      <c r="O357" s="35">
        <v>0</v>
      </c>
      <c r="P357" s="35">
        <v>3</v>
      </c>
      <c r="Q357" s="35">
        <v>1</v>
      </c>
      <c r="S357" s="40"/>
      <c r="T357" s="38"/>
      <c r="U357" s="43"/>
      <c r="V357" s="43"/>
      <c r="W357" s="43"/>
    </row>
    <row r="358" spans="1:23" x14ac:dyDescent="0.2">
      <c r="A358" s="63"/>
      <c r="B358" s="38"/>
      <c r="C358" s="86"/>
      <c r="D358" s="86"/>
      <c r="E358" s="86"/>
      <c r="M358" s="78">
        <v>98392</v>
      </c>
      <c r="N358" s="60" t="s">
        <v>10</v>
      </c>
      <c r="O358" s="32">
        <v>10</v>
      </c>
      <c r="P358" s="35">
        <v>10</v>
      </c>
      <c r="Q358" s="35">
        <v>12</v>
      </c>
      <c r="S358" s="38"/>
      <c r="T358" s="38"/>
      <c r="U358" s="43"/>
      <c r="V358" s="43"/>
      <c r="W358" s="43"/>
    </row>
    <row r="359" spans="1:23" x14ac:dyDescent="0.2">
      <c r="A359" s="62"/>
      <c r="B359" s="38"/>
      <c r="C359" s="86"/>
      <c r="D359" s="86"/>
      <c r="E359" s="86"/>
      <c r="M359" s="54">
        <v>98396</v>
      </c>
      <c r="N359" s="60" t="s">
        <v>10</v>
      </c>
      <c r="O359" s="35">
        <v>0</v>
      </c>
      <c r="P359" s="35">
        <v>1</v>
      </c>
      <c r="Q359" s="35">
        <v>0</v>
      </c>
      <c r="S359" s="38"/>
      <c r="T359" s="38"/>
      <c r="U359" s="40"/>
      <c r="V359" s="43"/>
      <c r="W359" s="40"/>
    </row>
    <row r="360" spans="1:23" x14ac:dyDescent="0.2">
      <c r="A360" s="63"/>
      <c r="B360" s="38"/>
      <c r="C360" s="86"/>
      <c r="D360" s="86"/>
      <c r="E360" s="86"/>
      <c r="M360" s="78">
        <v>98402</v>
      </c>
      <c r="N360" s="60" t="s">
        <v>333</v>
      </c>
      <c r="O360" s="35">
        <v>5</v>
      </c>
      <c r="P360" s="35">
        <v>6</v>
      </c>
      <c r="Q360" s="35">
        <v>5</v>
      </c>
      <c r="S360" s="37"/>
      <c r="T360" s="38"/>
      <c r="U360" s="40"/>
      <c r="V360" s="43"/>
      <c r="W360" s="40"/>
    </row>
    <row r="361" spans="1:23" x14ac:dyDescent="0.2">
      <c r="A361" s="62"/>
      <c r="B361" s="38"/>
      <c r="C361" s="86"/>
      <c r="D361" s="86"/>
      <c r="E361" s="86"/>
      <c r="M361" s="54">
        <v>98402</v>
      </c>
      <c r="N361" s="60" t="s">
        <v>10</v>
      </c>
      <c r="O361" s="35">
        <v>0</v>
      </c>
      <c r="P361" s="35">
        <v>4</v>
      </c>
      <c r="Q361" s="35">
        <v>3</v>
      </c>
      <c r="S361" s="40"/>
      <c r="T361" s="38"/>
      <c r="U361" s="43"/>
      <c r="V361" s="43"/>
      <c r="W361" s="43"/>
    </row>
    <row r="362" spans="1:23" x14ac:dyDescent="0.2">
      <c r="A362" s="63"/>
      <c r="B362" s="38"/>
      <c r="C362" s="86"/>
      <c r="D362" s="86"/>
      <c r="E362" s="86"/>
      <c r="M362" s="78">
        <v>98403</v>
      </c>
      <c r="N362" s="60" t="s">
        <v>333</v>
      </c>
      <c r="O362" s="32">
        <v>0</v>
      </c>
      <c r="P362" s="32">
        <v>0</v>
      </c>
      <c r="Q362" s="35">
        <v>1</v>
      </c>
      <c r="S362" s="38"/>
      <c r="T362" s="38"/>
      <c r="U362" s="40"/>
      <c r="V362" s="43"/>
      <c r="W362" s="43"/>
    </row>
    <row r="363" spans="1:23" x14ac:dyDescent="0.2">
      <c r="A363" s="62"/>
      <c r="B363" s="38"/>
      <c r="C363" s="86"/>
      <c r="D363" s="86"/>
      <c r="E363" s="86"/>
      <c r="M363" s="54">
        <v>98403</v>
      </c>
      <c r="N363" s="60" t="s">
        <v>10</v>
      </c>
      <c r="O363" s="35">
        <v>8</v>
      </c>
      <c r="P363" s="35">
        <v>6</v>
      </c>
      <c r="Q363" s="35">
        <v>11</v>
      </c>
      <c r="S363" s="38"/>
      <c r="T363" s="38"/>
      <c r="U363" s="43"/>
      <c r="V363" s="40"/>
      <c r="W363" s="40"/>
    </row>
    <row r="364" spans="1:23" x14ac:dyDescent="0.2">
      <c r="A364" s="63"/>
      <c r="B364" s="38"/>
      <c r="C364" s="86"/>
      <c r="D364" s="86"/>
      <c r="E364" s="86"/>
      <c r="M364" s="78">
        <v>98404</v>
      </c>
      <c r="N364" s="60" t="s">
        <v>333</v>
      </c>
      <c r="O364" s="35">
        <v>1</v>
      </c>
      <c r="P364" s="35">
        <v>3</v>
      </c>
      <c r="Q364" s="32">
        <v>3</v>
      </c>
      <c r="S364" s="37"/>
      <c r="T364" s="38"/>
      <c r="U364" s="43"/>
      <c r="V364" s="40"/>
      <c r="W364" s="40"/>
    </row>
    <row r="365" spans="1:23" x14ac:dyDescent="0.2">
      <c r="A365" s="62"/>
      <c r="B365" s="38"/>
      <c r="C365" s="86"/>
      <c r="D365" s="86"/>
      <c r="E365" s="86"/>
      <c r="M365" s="54">
        <v>98404</v>
      </c>
      <c r="N365" s="60" t="s">
        <v>10</v>
      </c>
      <c r="O365" s="35">
        <v>22</v>
      </c>
      <c r="P365" s="35">
        <v>25</v>
      </c>
      <c r="Q365" s="35">
        <v>39</v>
      </c>
      <c r="S365" s="40"/>
      <c r="T365" s="38"/>
      <c r="U365" s="43"/>
      <c r="V365" s="40"/>
      <c r="W365" s="43"/>
    </row>
    <row r="366" spans="1:23" x14ac:dyDescent="0.2">
      <c r="A366" s="63"/>
      <c r="B366" s="38"/>
      <c r="C366" s="86"/>
      <c r="D366" s="86"/>
      <c r="E366" s="86"/>
      <c r="M366" s="78">
        <v>98405</v>
      </c>
      <c r="N366" s="60" t="s">
        <v>333</v>
      </c>
      <c r="O366" s="35">
        <v>2</v>
      </c>
      <c r="P366" s="35">
        <v>2</v>
      </c>
      <c r="Q366" s="35">
        <v>1</v>
      </c>
      <c r="S366" s="38"/>
      <c r="T366" s="38"/>
      <c r="U366" s="43"/>
      <c r="V366" s="43"/>
      <c r="W366" s="43"/>
    </row>
    <row r="367" spans="1:23" x14ac:dyDescent="0.2">
      <c r="A367" s="62"/>
      <c r="B367" s="38"/>
      <c r="C367" s="86"/>
      <c r="D367" s="86"/>
      <c r="E367" s="86"/>
      <c r="M367" s="54">
        <v>98405</v>
      </c>
      <c r="N367" s="60" t="s">
        <v>10</v>
      </c>
      <c r="O367" s="35">
        <v>35</v>
      </c>
      <c r="P367" s="35">
        <v>34</v>
      </c>
      <c r="Q367" s="35">
        <v>36</v>
      </c>
      <c r="S367" s="37"/>
      <c r="T367" s="38"/>
      <c r="U367" s="43"/>
      <c r="V367" s="43"/>
      <c r="W367" s="43"/>
    </row>
    <row r="368" spans="1:23" x14ac:dyDescent="0.2">
      <c r="A368" s="63"/>
      <c r="B368" s="38"/>
      <c r="C368" s="86"/>
      <c r="D368" s="86"/>
      <c r="E368" s="86"/>
      <c r="M368" s="78">
        <v>98406</v>
      </c>
      <c r="N368" s="60" t="s">
        <v>333</v>
      </c>
      <c r="O368" s="32">
        <v>3</v>
      </c>
      <c r="P368" s="35">
        <v>0</v>
      </c>
      <c r="Q368" s="32">
        <v>1</v>
      </c>
      <c r="S368" s="40"/>
      <c r="T368" s="38"/>
      <c r="U368" s="43"/>
      <c r="V368" s="43"/>
      <c r="W368" s="43"/>
    </row>
    <row r="369" spans="1:17" x14ac:dyDescent="0.2">
      <c r="A369" s="62"/>
      <c r="B369" s="38"/>
      <c r="C369" s="86"/>
      <c r="D369" s="86"/>
      <c r="E369" s="86"/>
      <c r="M369" s="54">
        <v>98406</v>
      </c>
      <c r="N369" s="60" t="s">
        <v>10</v>
      </c>
      <c r="O369" s="35">
        <v>21</v>
      </c>
      <c r="P369" s="35">
        <v>17</v>
      </c>
      <c r="Q369" s="35">
        <v>28</v>
      </c>
    </row>
    <row r="370" spans="1:17" x14ac:dyDescent="0.2">
      <c r="A370" s="62"/>
      <c r="B370" s="38"/>
      <c r="C370" s="86"/>
      <c r="D370" s="86"/>
      <c r="E370" s="86"/>
      <c r="M370" s="78">
        <v>98407</v>
      </c>
      <c r="N370" s="60" t="s">
        <v>333</v>
      </c>
      <c r="O370" s="35">
        <v>0</v>
      </c>
      <c r="P370" s="35">
        <v>0</v>
      </c>
      <c r="Q370" s="35">
        <v>2</v>
      </c>
    </row>
    <row r="371" spans="1:17" x14ac:dyDescent="0.2">
      <c r="A371" s="63"/>
      <c r="B371" s="38"/>
      <c r="C371" s="86"/>
      <c r="D371" s="86"/>
      <c r="E371" s="86"/>
      <c r="M371" s="54">
        <v>98407</v>
      </c>
      <c r="N371" s="60" t="s">
        <v>10</v>
      </c>
      <c r="O371" s="35">
        <v>21</v>
      </c>
      <c r="P371" s="32">
        <v>16</v>
      </c>
      <c r="Q371" s="32">
        <v>28</v>
      </c>
    </row>
    <row r="372" spans="1:17" x14ac:dyDescent="0.2">
      <c r="A372" s="62"/>
      <c r="B372" s="38"/>
      <c r="C372" s="86"/>
      <c r="D372" s="86"/>
      <c r="E372" s="86"/>
      <c r="M372" s="78">
        <v>98408</v>
      </c>
      <c r="N372" s="60" t="s">
        <v>10</v>
      </c>
      <c r="O372" s="32">
        <v>20</v>
      </c>
      <c r="P372" s="32">
        <v>18</v>
      </c>
      <c r="Q372" s="35">
        <v>24</v>
      </c>
    </row>
    <row r="373" spans="1:17" x14ac:dyDescent="0.2">
      <c r="A373" s="63"/>
      <c r="B373" s="38"/>
      <c r="C373" s="86"/>
      <c r="D373" s="86"/>
      <c r="E373" s="86"/>
      <c r="M373" s="54">
        <v>98409</v>
      </c>
      <c r="N373" s="60" t="s">
        <v>333</v>
      </c>
      <c r="O373" s="35">
        <v>4</v>
      </c>
      <c r="P373" s="35">
        <v>5</v>
      </c>
      <c r="Q373" s="35">
        <v>5</v>
      </c>
    </row>
    <row r="374" spans="1:17" x14ac:dyDescent="0.2">
      <c r="A374" s="62"/>
      <c r="B374" s="38"/>
      <c r="C374" s="86"/>
      <c r="D374" s="86"/>
      <c r="E374" s="86"/>
      <c r="M374" s="78">
        <v>98409</v>
      </c>
      <c r="N374" s="60" t="s">
        <v>10</v>
      </c>
      <c r="O374" s="35">
        <v>24</v>
      </c>
      <c r="P374" s="35">
        <v>10</v>
      </c>
      <c r="Q374" s="35">
        <v>37</v>
      </c>
    </row>
    <row r="375" spans="1:17" x14ac:dyDescent="0.2">
      <c r="A375" s="62"/>
      <c r="B375" s="38"/>
      <c r="C375" s="86"/>
      <c r="D375" s="86"/>
      <c r="E375" s="86"/>
      <c r="M375" s="54">
        <v>98418</v>
      </c>
      <c r="N375" s="60" t="s">
        <v>333</v>
      </c>
      <c r="O375" s="35">
        <v>1</v>
      </c>
      <c r="P375" s="35">
        <v>0</v>
      </c>
      <c r="Q375" s="35">
        <v>0</v>
      </c>
    </row>
    <row r="376" spans="1:17" x14ac:dyDescent="0.2">
      <c r="A376" s="62"/>
      <c r="B376" s="38"/>
      <c r="C376" s="86"/>
      <c r="D376" s="86"/>
      <c r="E376" s="86"/>
      <c r="M376" s="78">
        <v>98418</v>
      </c>
      <c r="N376" s="60" t="s">
        <v>10</v>
      </c>
      <c r="O376" s="35">
        <v>17</v>
      </c>
      <c r="P376" s="35">
        <v>13</v>
      </c>
      <c r="Q376" s="35">
        <v>14</v>
      </c>
    </row>
    <row r="377" spans="1:17" x14ac:dyDescent="0.2">
      <c r="A377" s="62"/>
      <c r="B377" s="38"/>
      <c r="C377" s="86"/>
      <c r="D377" s="86"/>
      <c r="E377" s="86"/>
      <c r="M377" s="54">
        <v>98421</v>
      </c>
      <c r="N377" s="60" t="s">
        <v>333</v>
      </c>
      <c r="O377" s="35">
        <v>1</v>
      </c>
      <c r="P377" s="32">
        <v>0</v>
      </c>
      <c r="Q377" s="32">
        <v>2</v>
      </c>
    </row>
    <row r="378" spans="1:17" x14ac:dyDescent="0.2">
      <c r="A378" s="62"/>
      <c r="B378" s="38"/>
      <c r="C378" s="86"/>
      <c r="D378" s="86"/>
      <c r="E378" s="86"/>
      <c r="M378" s="78">
        <v>98421</v>
      </c>
      <c r="N378" s="60" t="s">
        <v>10</v>
      </c>
      <c r="O378" s="32">
        <v>2</v>
      </c>
      <c r="P378" s="32">
        <v>0</v>
      </c>
      <c r="Q378" s="35">
        <v>3</v>
      </c>
    </row>
    <row r="379" spans="1:17" x14ac:dyDescent="0.2">
      <c r="A379" s="62"/>
      <c r="B379" s="38"/>
      <c r="C379" s="86"/>
      <c r="D379" s="86"/>
      <c r="E379" s="86"/>
      <c r="M379" s="78">
        <v>98422</v>
      </c>
      <c r="N379" s="60" t="s">
        <v>10</v>
      </c>
      <c r="O379" s="35">
        <v>22</v>
      </c>
      <c r="P379" s="32">
        <v>18</v>
      </c>
      <c r="Q379" s="35">
        <v>26</v>
      </c>
    </row>
    <row r="380" spans="1:17" x14ac:dyDescent="0.2">
      <c r="A380" s="63"/>
      <c r="B380" s="38"/>
      <c r="C380" s="86"/>
      <c r="D380" s="86"/>
      <c r="E380" s="86"/>
      <c r="M380" s="54">
        <v>98424</v>
      </c>
      <c r="N380" s="60" t="s">
        <v>333</v>
      </c>
      <c r="O380" s="35">
        <v>3</v>
      </c>
      <c r="P380" s="35">
        <v>0</v>
      </c>
      <c r="Q380" s="35">
        <v>6</v>
      </c>
    </row>
    <row r="381" spans="1:17" x14ac:dyDescent="0.2">
      <c r="A381" s="62"/>
      <c r="B381" s="38"/>
      <c r="C381" s="86"/>
      <c r="D381" s="86"/>
      <c r="E381" s="86"/>
      <c r="M381" s="78">
        <v>98424</v>
      </c>
      <c r="N381" s="60" t="s">
        <v>10</v>
      </c>
      <c r="O381" s="32">
        <v>7</v>
      </c>
      <c r="P381" s="35">
        <v>12</v>
      </c>
      <c r="Q381" s="35">
        <v>11</v>
      </c>
    </row>
    <row r="382" spans="1:17" x14ac:dyDescent="0.2">
      <c r="A382" s="62"/>
      <c r="B382" s="38"/>
      <c r="C382" s="86"/>
      <c r="D382" s="86"/>
      <c r="E382" s="86"/>
      <c r="M382" s="78">
        <v>98433</v>
      </c>
      <c r="N382" s="60" t="s">
        <v>333</v>
      </c>
      <c r="O382" s="35">
        <v>1</v>
      </c>
      <c r="P382" s="35">
        <v>0</v>
      </c>
      <c r="Q382" s="35">
        <v>14</v>
      </c>
    </row>
    <row r="383" spans="1:17" x14ac:dyDescent="0.2">
      <c r="A383" s="62"/>
      <c r="B383" s="38"/>
      <c r="C383" s="86"/>
      <c r="D383" s="86"/>
      <c r="E383" s="86"/>
      <c r="M383" s="54">
        <v>98438</v>
      </c>
      <c r="N383" s="60" t="s">
        <v>333</v>
      </c>
      <c r="O383" s="35">
        <v>0</v>
      </c>
      <c r="P383" s="35">
        <v>0</v>
      </c>
      <c r="Q383" s="35">
        <v>1</v>
      </c>
    </row>
    <row r="384" spans="1:17" x14ac:dyDescent="0.2">
      <c r="A384" s="40"/>
      <c r="B384" s="38"/>
      <c r="C384" s="43"/>
      <c r="D384" s="43"/>
      <c r="E384" s="43"/>
      <c r="M384" s="78">
        <v>98439</v>
      </c>
      <c r="N384" s="60" t="s">
        <v>333</v>
      </c>
      <c r="O384" s="35">
        <v>0</v>
      </c>
      <c r="P384" s="32">
        <v>7</v>
      </c>
      <c r="Q384" s="35">
        <v>4</v>
      </c>
    </row>
    <row r="385" spans="1:17" x14ac:dyDescent="0.2">
      <c r="A385" s="38"/>
      <c r="B385" s="38"/>
      <c r="C385" s="43"/>
      <c r="D385" s="43"/>
      <c r="E385" s="43"/>
      <c r="M385" s="54">
        <v>98439</v>
      </c>
      <c r="N385" s="60" t="s">
        <v>10</v>
      </c>
      <c r="O385" s="35">
        <v>21</v>
      </c>
      <c r="P385" s="35">
        <v>15</v>
      </c>
      <c r="Q385" s="35">
        <v>15</v>
      </c>
    </row>
    <row r="386" spans="1:17" x14ac:dyDescent="0.2">
      <c r="A386" s="37"/>
      <c r="B386" s="38"/>
      <c r="C386" s="43"/>
      <c r="D386" s="43"/>
      <c r="E386" s="43"/>
      <c r="M386" s="78">
        <v>98443</v>
      </c>
      <c r="N386" s="60" t="s">
        <v>10</v>
      </c>
      <c r="O386" s="35">
        <v>1</v>
      </c>
      <c r="P386" s="35">
        <v>2</v>
      </c>
      <c r="Q386" s="35">
        <v>0</v>
      </c>
    </row>
    <row r="387" spans="1:17" x14ac:dyDescent="0.2">
      <c r="A387" s="40"/>
      <c r="B387" s="38"/>
      <c r="C387" s="43"/>
      <c r="D387" s="43"/>
      <c r="E387" s="43"/>
      <c r="M387" s="54">
        <v>98444</v>
      </c>
      <c r="N387" s="60" t="s">
        <v>333</v>
      </c>
      <c r="O387" s="35">
        <v>5</v>
      </c>
      <c r="P387" s="35">
        <v>10</v>
      </c>
      <c r="Q387" s="35">
        <v>4</v>
      </c>
    </row>
    <row r="388" spans="1:17" x14ac:dyDescent="0.2">
      <c r="A388" s="38"/>
      <c r="B388" s="38"/>
      <c r="C388" s="43"/>
      <c r="D388" s="43"/>
      <c r="E388" s="40"/>
      <c r="M388" s="78">
        <v>98444</v>
      </c>
      <c r="N388" s="60" t="s">
        <v>10</v>
      </c>
      <c r="O388" s="35">
        <v>17</v>
      </c>
      <c r="P388" s="32">
        <v>29</v>
      </c>
      <c r="Q388" s="32">
        <v>23</v>
      </c>
    </row>
    <row r="389" spans="1:17" x14ac:dyDescent="0.2">
      <c r="A389" s="3"/>
      <c r="B389" s="3"/>
      <c r="C389" s="48"/>
      <c r="D389" s="48"/>
      <c r="E389" s="48"/>
      <c r="M389" s="54">
        <v>98445</v>
      </c>
      <c r="N389" s="60" t="s">
        <v>333</v>
      </c>
      <c r="O389" s="35">
        <v>0</v>
      </c>
      <c r="P389" s="35">
        <v>4</v>
      </c>
      <c r="Q389" s="35">
        <v>6</v>
      </c>
    </row>
    <row r="390" spans="1:17" x14ac:dyDescent="0.2">
      <c r="A390" s="3"/>
      <c r="B390" s="3"/>
      <c r="C390" s="48"/>
      <c r="D390" s="48"/>
      <c r="E390" s="48"/>
      <c r="M390" s="78">
        <v>98445</v>
      </c>
      <c r="N390" s="60" t="s">
        <v>10</v>
      </c>
      <c r="O390" s="35">
        <v>22</v>
      </c>
      <c r="P390" s="35">
        <v>28</v>
      </c>
      <c r="Q390" s="35">
        <v>41</v>
      </c>
    </row>
    <row r="391" spans="1:17" x14ac:dyDescent="0.2">
      <c r="A391" s="3"/>
      <c r="B391" s="3"/>
      <c r="C391" s="48"/>
      <c r="D391" s="48"/>
      <c r="E391" s="48"/>
      <c r="M391" s="54">
        <v>98446</v>
      </c>
      <c r="N391" s="60" t="s">
        <v>333</v>
      </c>
      <c r="O391" s="35">
        <v>2</v>
      </c>
      <c r="P391" s="35">
        <v>4</v>
      </c>
      <c r="Q391" s="35">
        <v>3</v>
      </c>
    </row>
    <row r="392" spans="1:17" x14ac:dyDescent="0.2">
      <c r="A392" s="3"/>
      <c r="B392" s="3"/>
      <c r="C392" s="48"/>
      <c r="D392" s="48"/>
      <c r="E392" s="48"/>
      <c r="M392" s="78">
        <v>98446</v>
      </c>
      <c r="N392" s="60" t="s">
        <v>10</v>
      </c>
      <c r="O392" s="35">
        <v>31</v>
      </c>
      <c r="P392" s="32">
        <v>36</v>
      </c>
      <c r="Q392" s="32">
        <v>70</v>
      </c>
    </row>
    <row r="393" spans="1:17" x14ac:dyDescent="0.2">
      <c r="A393" s="3"/>
      <c r="B393" s="3"/>
      <c r="C393" s="48"/>
      <c r="D393" s="48"/>
      <c r="E393" s="48"/>
      <c r="M393" s="54">
        <v>98465</v>
      </c>
      <c r="N393" s="60" t="s">
        <v>10</v>
      </c>
      <c r="O393" s="35">
        <v>6</v>
      </c>
      <c r="P393" s="35">
        <v>4</v>
      </c>
      <c r="Q393" s="35">
        <v>6</v>
      </c>
    </row>
    <row r="394" spans="1:17" x14ac:dyDescent="0.2">
      <c r="A394" s="3"/>
      <c r="B394" s="3"/>
      <c r="C394" s="48"/>
      <c r="D394" s="48"/>
      <c r="E394" s="48"/>
      <c r="M394" s="78">
        <v>98466</v>
      </c>
      <c r="N394" s="60" t="s">
        <v>333</v>
      </c>
      <c r="O394" s="35">
        <v>3</v>
      </c>
      <c r="P394" s="35">
        <v>3</v>
      </c>
      <c r="Q394" s="35">
        <v>0</v>
      </c>
    </row>
    <row r="395" spans="1:17" x14ac:dyDescent="0.2">
      <c r="A395" s="3"/>
      <c r="B395" s="3"/>
      <c r="C395" s="48"/>
      <c r="D395" s="48"/>
      <c r="E395" s="48"/>
      <c r="M395" s="54">
        <v>98466</v>
      </c>
      <c r="N395" s="60" t="s">
        <v>10</v>
      </c>
      <c r="O395" s="35">
        <v>22</v>
      </c>
      <c r="P395" s="35">
        <v>22</v>
      </c>
      <c r="Q395" s="35">
        <v>32</v>
      </c>
    </row>
    <row r="396" spans="1:17" x14ac:dyDescent="0.2">
      <c r="A396" s="3"/>
      <c r="B396" s="3"/>
      <c r="C396" s="48"/>
      <c r="D396" s="48"/>
      <c r="E396" s="48"/>
      <c r="M396" s="78">
        <v>98467</v>
      </c>
      <c r="N396" s="60" t="s">
        <v>10</v>
      </c>
      <c r="O396" s="35">
        <v>11</v>
      </c>
      <c r="P396" s="35">
        <v>11</v>
      </c>
      <c r="Q396" s="35">
        <v>11</v>
      </c>
    </row>
    <row r="397" spans="1:17" x14ac:dyDescent="0.2">
      <c r="A397" s="3"/>
      <c r="B397" s="3"/>
      <c r="C397" s="48"/>
      <c r="D397" s="48"/>
      <c r="E397" s="48"/>
      <c r="M397" s="54">
        <v>98498</v>
      </c>
      <c r="N397" s="60" t="s">
        <v>333</v>
      </c>
      <c r="O397" s="35">
        <v>3</v>
      </c>
      <c r="P397" s="35">
        <v>2</v>
      </c>
      <c r="Q397" s="35">
        <v>9</v>
      </c>
    </row>
    <row r="398" spans="1:17" x14ac:dyDescent="0.2">
      <c r="A398" s="3"/>
      <c r="B398" s="3"/>
      <c r="C398" s="48"/>
      <c r="D398" s="48"/>
      <c r="E398" s="48"/>
      <c r="M398" s="78">
        <v>98498</v>
      </c>
      <c r="N398" s="60" t="s">
        <v>334</v>
      </c>
      <c r="O398" s="35">
        <v>1</v>
      </c>
      <c r="P398" s="35">
        <v>0</v>
      </c>
      <c r="Q398" s="35">
        <v>0</v>
      </c>
    </row>
    <row r="399" spans="1:17" x14ac:dyDescent="0.2">
      <c r="A399" s="3"/>
      <c r="B399" s="3"/>
      <c r="C399" s="48"/>
      <c r="D399" s="48"/>
      <c r="E399" s="48"/>
      <c r="M399" s="54">
        <v>98498</v>
      </c>
      <c r="N399" s="60" t="s">
        <v>10</v>
      </c>
      <c r="O399" s="35">
        <v>79</v>
      </c>
      <c r="P399" s="35">
        <v>93</v>
      </c>
      <c r="Q399" s="35">
        <v>102</v>
      </c>
    </row>
    <row r="400" spans="1:17" x14ac:dyDescent="0.2">
      <c r="A400" s="3"/>
      <c r="B400" s="3"/>
      <c r="C400" s="48"/>
      <c r="D400" s="48"/>
      <c r="E400" s="48"/>
      <c r="M400" s="78">
        <v>98499</v>
      </c>
      <c r="N400" s="60" t="s">
        <v>333</v>
      </c>
      <c r="O400" s="35">
        <v>5</v>
      </c>
      <c r="P400" s="35">
        <v>10</v>
      </c>
      <c r="Q400" s="35">
        <v>10</v>
      </c>
    </row>
    <row r="401" spans="1:17" x14ac:dyDescent="0.2">
      <c r="A401" s="3"/>
      <c r="B401" s="3"/>
      <c r="C401" s="48"/>
      <c r="D401" s="48"/>
      <c r="E401" s="48"/>
      <c r="M401" s="54">
        <v>98499</v>
      </c>
      <c r="N401" s="60" t="s">
        <v>10</v>
      </c>
      <c r="O401" s="35">
        <v>23</v>
      </c>
      <c r="P401" s="35">
        <v>32</v>
      </c>
      <c r="Q401" s="35">
        <v>37</v>
      </c>
    </row>
    <row r="402" spans="1:17" x14ac:dyDescent="0.2">
      <c r="A402" s="3"/>
      <c r="B402" s="3"/>
      <c r="C402" s="48"/>
      <c r="D402" s="48"/>
      <c r="E402" s="48"/>
      <c r="M402" s="78">
        <v>98501</v>
      </c>
      <c r="N402" s="60" t="s">
        <v>333</v>
      </c>
      <c r="O402" s="35">
        <v>26</v>
      </c>
      <c r="P402" s="35">
        <v>20</v>
      </c>
      <c r="Q402" s="35">
        <v>36</v>
      </c>
    </row>
    <row r="403" spans="1:17" x14ac:dyDescent="0.2">
      <c r="A403" s="3"/>
      <c r="B403" s="3"/>
      <c r="C403" s="48"/>
      <c r="D403" s="48"/>
      <c r="E403" s="48"/>
      <c r="M403" s="54">
        <v>98501</v>
      </c>
      <c r="N403" s="60" t="s">
        <v>10</v>
      </c>
      <c r="O403" s="35">
        <v>183</v>
      </c>
      <c r="P403" s="35">
        <v>205</v>
      </c>
      <c r="Q403" s="35">
        <v>244</v>
      </c>
    </row>
    <row r="404" spans="1:17" x14ac:dyDescent="0.2">
      <c r="A404" s="3"/>
      <c r="B404" s="3"/>
      <c r="C404" s="48"/>
      <c r="D404" s="48"/>
      <c r="E404" s="48"/>
      <c r="M404" s="78">
        <v>98502</v>
      </c>
      <c r="N404" s="60" t="s">
        <v>333</v>
      </c>
      <c r="O404" s="35">
        <v>8</v>
      </c>
      <c r="P404" s="35">
        <v>7</v>
      </c>
      <c r="Q404" s="35">
        <v>11</v>
      </c>
    </row>
    <row r="405" spans="1:17" x14ac:dyDescent="0.2">
      <c r="A405" s="3"/>
      <c r="B405" s="3"/>
      <c r="C405" s="48"/>
      <c r="D405" s="48"/>
      <c r="E405" s="48"/>
      <c r="M405" s="54">
        <v>98502</v>
      </c>
      <c r="N405" s="60" t="s">
        <v>10</v>
      </c>
      <c r="O405" s="35">
        <v>129</v>
      </c>
      <c r="P405" s="35">
        <v>146</v>
      </c>
      <c r="Q405" s="35">
        <v>198</v>
      </c>
    </row>
    <row r="406" spans="1:17" x14ac:dyDescent="0.2">
      <c r="A406" s="3"/>
      <c r="B406" s="3"/>
      <c r="C406" s="48"/>
      <c r="D406" s="48"/>
      <c r="E406" s="48"/>
      <c r="M406" s="78">
        <v>98503</v>
      </c>
      <c r="N406" s="60" t="s">
        <v>333</v>
      </c>
      <c r="O406" s="35">
        <v>4</v>
      </c>
      <c r="P406" s="35">
        <v>19</v>
      </c>
      <c r="Q406" s="35">
        <v>22</v>
      </c>
    </row>
    <row r="407" spans="1:17" x14ac:dyDescent="0.2">
      <c r="A407" s="3"/>
      <c r="B407" s="3"/>
      <c r="C407" s="48"/>
      <c r="D407" s="48"/>
      <c r="E407" s="48"/>
      <c r="M407" s="54">
        <v>98503</v>
      </c>
      <c r="N407" s="60" t="s">
        <v>10</v>
      </c>
      <c r="O407" s="35">
        <v>158</v>
      </c>
      <c r="P407" s="35">
        <v>162</v>
      </c>
      <c r="Q407" s="35">
        <v>256</v>
      </c>
    </row>
    <row r="408" spans="1:17" x14ac:dyDescent="0.2">
      <c r="A408" s="3"/>
      <c r="B408" s="3"/>
      <c r="C408" s="48"/>
      <c r="D408" s="48"/>
      <c r="E408" s="48"/>
      <c r="M408" s="78">
        <v>98506</v>
      </c>
      <c r="N408" s="60" t="s">
        <v>333</v>
      </c>
      <c r="O408" s="35">
        <v>11</v>
      </c>
      <c r="P408" s="35">
        <v>5</v>
      </c>
      <c r="Q408" s="35">
        <v>10</v>
      </c>
    </row>
    <row r="409" spans="1:17" x14ac:dyDescent="0.2">
      <c r="A409" s="3"/>
      <c r="B409" s="3"/>
      <c r="C409" s="48"/>
      <c r="D409" s="48"/>
      <c r="E409" s="48"/>
      <c r="M409" s="54">
        <v>98506</v>
      </c>
      <c r="N409" s="60" t="s">
        <v>334</v>
      </c>
      <c r="O409" s="35">
        <v>1</v>
      </c>
      <c r="P409" s="35">
        <v>0</v>
      </c>
      <c r="Q409" s="35">
        <v>0</v>
      </c>
    </row>
    <row r="410" spans="1:17" x14ac:dyDescent="0.2">
      <c r="A410" s="3"/>
      <c r="B410" s="3"/>
      <c r="C410" s="48"/>
      <c r="D410" s="48"/>
      <c r="E410" s="48"/>
      <c r="M410" s="78">
        <v>98506</v>
      </c>
      <c r="N410" s="60" t="s">
        <v>10</v>
      </c>
      <c r="O410" s="35">
        <v>64</v>
      </c>
      <c r="P410" s="35">
        <v>60</v>
      </c>
      <c r="Q410" s="35">
        <v>56</v>
      </c>
    </row>
    <row r="411" spans="1:17" x14ac:dyDescent="0.2">
      <c r="A411" s="3"/>
      <c r="B411" s="3"/>
      <c r="C411" s="48"/>
      <c r="D411" s="48"/>
      <c r="E411" s="48"/>
      <c r="M411" s="54">
        <v>98512</v>
      </c>
      <c r="N411" s="60" t="s">
        <v>333</v>
      </c>
      <c r="O411" s="35">
        <v>17</v>
      </c>
      <c r="P411" s="35">
        <v>8</v>
      </c>
      <c r="Q411" s="35">
        <v>17</v>
      </c>
    </row>
    <row r="412" spans="1:17" x14ac:dyDescent="0.2">
      <c r="A412" s="3"/>
      <c r="B412" s="3"/>
      <c r="C412" s="48"/>
      <c r="D412" s="48"/>
      <c r="E412" s="48"/>
      <c r="M412" s="78">
        <v>98512</v>
      </c>
      <c r="N412" s="60" t="s">
        <v>10</v>
      </c>
      <c r="O412" s="35">
        <v>169</v>
      </c>
      <c r="P412" s="32">
        <v>103</v>
      </c>
      <c r="Q412" s="35">
        <v>125</v>
      </c>
    </row>
    <row r="413" spans="1:17" x14ac:dyDescent="0.2">
      <c r="A413" s="3"/>
      <c r="B413" s="3"/>
      <c r="C413" s="48"/>
      <c r="D413" s="48"/>
      <c r="E413" s="48"/>
      <c r="M413" s="78">
        <v>98513</v>
      </c>
      <c r="N413" s="60" t="s">
        <v>333</v>
      </c>
      <c r="O413" s="35">
        <v>6</v>
      </c>
      <c r="P413" s="35">
        <v>12</v>
      </c>
      <c r="Q413" s="35">
        <v>23</v>
      </c>
    </row>
    <row r="414" spans="1:17" x14ac:dyDescent="0.2">
      <c r="A414" s="41"/>
      <c r="B414" s="3"/>
      <c r="C414" s="48"/>
      <c r="D414" s="48"/>
      <c r="E414" s="48"/>
      <c r="M414" s="54">
        <v>98513</v>
      </c>
      <c r="N414" s="60" t="s">
        <v>10</v>
      </c>
      <c r="O414" s="35">
        <v>117</v>
      </c>
      <c r="P414" s="35">
        <v>136</v>
      </c>
      <c r="Q414" s="35">
        <v>167</v>
      </c>
    </row>
    <row r="415" spans="1:17" x14ac:dyDescent="0.2">
      <c r="A415" s="41"/>
      <c r="B415" s="3"/>
      <c r="C415" s="3"/>
      <c r="D415" s="3"/>
      <c r="E415" s="3"/>
      <c r="M415" s="78">
        <v>98516</v>
      </c>
      <c r="N415" s="60" t="s">
        <v>333</v>
      </c>
      <c r="O415" s="35">
        <v>32</v>
      </c>
      <c r="P415" s="35">
        <v>18</v>
      </c>
      <c r="Q415" s="35">
        <v>27</v>
      </c>
    </row>
    <row r="416" spans="1:17" x14ac:dyDescent="0.2">
      <c r="A416" s="41"/>
      <c r="B416" s="3"/>
      <c r="C416" s="3"/>
      <c r="D416" s="3"/>
      <c r="E416" s="3"/>
      <c r="M416" s="54">
        <v>98516</v>
      </c>
      <c r="N416" s="60" t="s">
        <v>10</v>
      </c>
      <c r="O416" s="35">
        <v>131</v>
      </c>
      <c r="P416" s="35">
        <v>210</v>
      </c>
      <c r="Q416" s="35">
        <v>175</v>
      </c>
    </row>
    <row r="417" spans="1:17" x14ac:dyDescent="0.2">
      <c r="A417" s="41"/>
      <c r="B417" s="3"/>
      <c r="C417" s="3"/>
      <c r="D417" s="3"/>
      <c r="E417" s="3"/>
      <c r="M417" s="78">
        <v>98530</v>
      </c>
      <c r="N417" s="60" t="s">
        <v>10</v>
      </c>
      <c r="O417" s="32">
        <v>5</v>
      </c>
      <c r="P417" s="35">
        <v>1</v>
      </c>
      <c r="Q417" s="32">
        <v>3</v>
      </c>
    </row>
    <row r="418" spans="1:17" x14ac:dyDescent="0.2">
      <c r="A418" s="41"/>
      <c r="B418" s="3"/>
      <c r="C418" s="3"/>
      <c r="D418" s="3"/>
      <c r="E418" s="3"/>
      <c r="M418" s="54">
        <v>98531</v>
      </c>
      <c r="N418" s="60" t="s">
        <v>333</v>
      </c>
      <c r="O418" s="35">
        <v>1</v>
      </c>
      <c r="P418" s="35">
        <v>4</v>
      </c>
      <c r="Q418" s="32">
        <v>7</v>
      </c>
    </row>
    <row r="419" spans="1:17" x14ac:dyDescent="0.2">
      <c r="A419" s="41"/>
      <c r="B419" s="3"/>
      <c r="C419" s="3"/>
      <c r="D419" s="3"/>
      <c r="E419" s="3"/>
      <c r="M419" s="78">
        <v>98531</v>
      </c>
      <c r="N419" s="60" t="s">
        <v>10</v>
      </c>
      <c r="O419" s="35">
        <v>18</v>
      </c>
      <c r="P419" s="32">
        <v>46</v>
      </c>
      <c r="Q419" s="35">
        <v>26</v>
      </c>
    </row>
    <row r="420" spans="1:17" x14ac:dyDescent="0.2">
      <c r="A420" s="41"/>
      <c r="B420" s="3"/>
      <c r="C420" s="3"/>
      <c r="D420" s="3"/>
      <c r="E420" s="3"/>
      <c r="M420" s="54">
        <v>98532</v>
      </c>
      <c r="N420" s="60" t="s">
        <v>333</v>
      </c>
      <c r="O420" s="35">
        <v>1</v>
      </c>
      <c r="P420" s="35">
        <v>1</v>
      </c>
      <c r="Q420" s="35">
        <v>2</v>
      </c>
    </row>
    <row r="421" spans="1:17" x14ac:dyDescent="0.2">
      <c r="M421" s="78">
        <v>98532</v>
      </c>
      <c r="N421" s="60" t="s">
        <v>10</v>
      </c>
      <c r="O421" s="35">
        <v>4</v>
      </c>
      <c r="P421" s="35">
        <v>9</v>
      </c>
      <c r="Q421" s="35">
        <v>8</v>
      </c>
    </row>
    <row r="422" spans="1:17" x14ac:dyDescent="0.2">
      <c r="M422" s="54">
        <v>98558</v>
      </c>
      <c r="N422" s="60" t="s">
        <v>333</v>
      </c>
      <c r="O422" s="35">
        <v>0</v>
      </c>
      <c r="P422" s="35">
        <v>1</v>
      </c>
      <c r="Q422" s="35">
        <v>1</v>
      </c>
    </row>
    <row r="423" spans="1:17" x14ac:dyDescent="0.2">
      <c r="M423" s="78">
        <v>98558</v>
      </c>
      <c r="N423" s="60" t="s">
        <v>10</v>
      </c>
      <c r="O423" s="35">
        <v>0</v>
      </c>
      <c r="P423" s="35">
        <v>0</v>
      </c>
      <c r="Q423" s="35">
        <v>1</v>
      </c>
    </row>
    <row r="424" spans="1:17" x14ac:dyDescent="0.2">
      <c r="M424" s="54">
        <v>98576</v>
      </c>
      <c r="N424" s="60" t="s">
        <v>333</v>
      </c>
      <c r="O424" s="35">
        <v>5</v>
      </c>
      <c r="P424" s="35">
        <v>5</v>
      </c>
      <c r="Q424" s="35">
        <v>3</v>
      </c>
    </row>
    <row r="425" spans="1:17" x14ac:dyDescent="0.2">
      <c r="M425" s="78">
        <v>98576</v>
      </c>
      <c r="N425" s="60" t="s">
        <v>10</v>
      </c>
      <c r="O425" s="35">
        <v>20</v>
      </c>
      <c r="P425" s="35">
        <v>21</v>
      </c>
      <c r="Q425" s="35">
        <v>21</v>
      </c>
    </row>
    <row r="426" spans="1:17" x14ac:dyDescent="0.2">
      <c r="M426" s="54">
        <v>98579</v>
      </c>
      <c r="N426" s="60" t="s">
        <v>333</v>
      </c>
      <c r="O426" s="35">
        <v>3</v>
      </c>
      <c r="P426" s="35">
        <v>2</v>
      </c>
      <c r="Q426" s="35">
        <v>7</v>
      </c>
    </row>
    <row r="427" spans="1:17" x14ac:dyDescent="0.2">
      <c r="M427" s="78">
        <v>98579</v>
      </c>
      <c r="N427" s="60" t="s">
        <v>10</v>
      </c>
      <c r="O427" s="35">
        <v>26</v>
      </c>
      <c r="P427" s="32">
        <v>35</v>
      </c>
      <c r="Q427" s="32">
        <v>36</v>
      </c>
    </row>
    <row r="428" spans="1:17" x14ac:dyDescent="0.2">
      <c r="M428" s="78">
        <v>98580</v>
      </c>
      <c r="N428" s="60" t="s">
        <v>333</v>
      </c>
      <c r="O428" s="35">
        <v>1</v>
      </c>
      <c r="P428" s="35">
        <v>0</v>
      </c>
      <c r="Q428" s="35">
        <v>3</v>
      </c>
    </row>
    <row r="429" spans="1:17" x14ac:dyDescent="0.2">
      <c r="M429" s="78">
        <v>98580</v>
      </c>
      <c r="N429" s="60" t="s">
        <v>10</v>
      </c>
      <c r="O429" s="35">
        <v>12</v>
      </c>
      <c r="P429" s="35">
        <v>16</v>
      </c>
      <c r="Q429" s="35">
        <v>17</v>
      </c>
    </row>
    <row r="430" spans="1:17" x14ac:dyDescent="0.2">
      <c r="M430" s="54">
        <v>98589</v>
      </c>
      <c r="N430" s="60" t="s">
        <v>333</v>
      </c>
      <c r="O430" s="35">
        <v>2</v>
      </c>
      <c r="P430" s="35">
        <v>0</v>
      </c>
      <c r="Q430" s="35">
        <v>6</v>
      </c>
    </row>
    <row r="431" spans="1:17" x14ac:dyDescent="0.2">
      <c r="M431" s="78">
        <v>98589</v>
      </c>
      <c r="N431" s="60" t="s">
        <v>10</v>
      </c>
      <c r="O431" s="35">
        <v>10</v>
      </c>
      <c r="P431" s="35">
        <v>24</v>
      </c>
      <c r="Q431" s="35">
        <v>19</v>
      </c>
    </row>
    <row r="432" spans="1:17" x14ac:dyDescent="0.2">
      <c r="M432" s="54">
        <v>98597</v>
      </c>
      <c r="N432" s="60" t="s">
        <v>333</v>
      </c>
      <c r="O432" s="35">
        <v>15</v>
      </c>
      <c r="P432" s="35">
        <v>16</v>
      </c>
      <c r="Q432" s="35">
        <v>18</v>
      </c>
    </row>
    <row r="433" spans="13:17" x14ac:dyDescent="0.2">
      <c r="M433" s="78">
        <v>98597</v>
      </c>
      <c r="N433" s="60" t="s">
        <v>10</v>
      </c>
      <c r="O433" s="35">
        <v>100</v>
      </c>
      <c r="P433" s="35">
        <v>130</v>
      </c>
      <c r="Q433" s="35">
        <v>105</v>
      </c>
    </row>
    <row r="434" spans="13:17" x14ac:dyDescent="0.2">
      <c r="M434" s="54">
        <v>98922</v>
      </c>
      <c r="N434" s="60" t="s">
        <v>333</v>
      </c>
      <c r="O434" s="35">
        <v>10</v>
      </c>
      <c r="P434" s="35">
        <v>8</v>
      </c>
      <c r="Q434" s="35">
        <v>9</v>
      </c>
    </row>
    <row r="435" spans="13:17" x14ac:dyDescent="0.2">
      <c r="M435" s="78">
        <v>98922</v>
      </c>
      <c r="N435" s="60" t="s">
        <v>10</v>
      </c>
      <c r="O435" s="35">
        <v>42</v>
      </c>
      <c r="P435" s="35">
        <v>69</v>
      </c>
      <c r="Q435" s="35">
        <v>53</v>
      </c>
    </row>
    <row r="436" spans="13:17" x14ac:dyDescent="0.2">
      <c r="M436" s="54">
        <v>98925</v>
      </c>
      <c r="N436" s="60" t="s">
        <v>333</v>
      </c>
      <c r="O436" s="35">
        <v>2</v>
      </c>
      <c r="P436" s="35">
        <v>0</v>
      </c>
      <c r="Q436" s="35">
        <v>1</v>
      </c>
    </row>
    <row r="437" spans="13:17" x14ac:dyDescent="0.2">
      <c r="M437" s="78">
        <v>98925</v>
      </c>
      <c r="N437" s="60" t="s">
        <v>10</v>
      </c>
      <c r="O437" s="35">
        <v>3</v>
      </c>
      <c r="P437" s="35">
        <v>3</v>
      </c>
      <c r="Q437" s="35">
        <v>3</v>
      </c>
    </row>
    <row r="438" spans="13:17" x14ac:dyDescent="0.2">
      <c r="M438" s="78">
        <v>98926</v>
      </c>
      <c r="N438" s="60" t="s">
        <v>333</v>
      </c>
      <c r="O438" s="35">
        <v>7</v>
      </c>
      <c r="P438" s="35">
        <v>5</v>
      </c>
      <c r="Q438" s="32">
        <v>21</v>
      </c>
    </row>
    <row r="439" spans="13:17" x14ac:dyDescent="0.2">
      <c r="M439" s="54">
        <v>98926</v>
      </c>
      <c r="N439" s="60" t="s">
        <v>10</v>
      </c>
      <c r="O439" s="35">
        <v>18</v>
      </c>
      <c r="P439" s="35">
        <v>16</v>
      </c>
      <c r="Q439" s="35">
        <v>16</v>
      </c>
    </row>
    <row r="440" spans="13:17" x14ac:dyDescent="0.2">
      <c r="M440" s="78">
        <v>98934</v>
      </c>
      <c r="N440" s="60" t="s">
        <v>333</v>
      </c>
      <c r="O440" s="32">
        <v>0</v>
      </c>
      <c r="P440" s="35">
        <v>0</v>
      </c>
      <c r="Q440" s="35">
        <v>1</v>
      </c>
    </row>
    <row r="441" spans="13:17" x14ac:dyDescent="0.2">
      <c r="M441" s="54">
        <v>98934</v>
      </c>
      <c r="N441" s="60" t="s">
        <v>10</v>
      </c>
      <c r="O441" s="35">
        <v>1</v>
      </c>
      <c r="P441" s="35">
        <v>3</v>
      </c>
      <c r="Q441" s="35">
        <v>3</v>
      </c>
    </row>
    <row r="442" spans="13:17" x14ac:dyDescent="0.2">
      <c r="M442" s="78">
        <v>98940</v>
      </c>
      <c r="N442" s="60" t="s">
        <v>333</v>
      </c>
      <c r="O442" s="32">
        <v>1</v>
      </c>
      <c r="P442" s="32">
        <v>1</v>
      </c>
      <c r="Q442" s="35">
        <v>0</v>
      </c>
    </row>
    <row r="443" spans="13:17" x14ac:dyDescent="0.2">
      <c r="M443" s="54">
        <v>98940</v>
      </c>
      <c r="N443" s="60" t="s">
        <v>10</v>
      </c>
      <c r="O443" s="35">
        <v>3</v>
      </c>
      <c r="P443" s="35">
        <v>3</v>
      </c>
      <c r="Q443" s="35">
        <v>7</v>
      </c>
    </row>
    <row r="444" spans="13:17" x14ac:dyDescent="0.2">
      <c r="M444" s="78">
        <v>98941</v>
      </c>
      <c r="N444" s="60" t="s">
        <v>333</v>
      </c>
      <c r="O444" s="35">
        <v>0</v>
      </c>
      <c r="P444" s="35">
        <v>0</v>
      </c>
      <c r="Q444" s="32">
        <v>1</v>
      </c>
    </row>
    <row r="445" spans="13:17" x14ac:dyDescent="0.2">
      <c r="M445" s="78">
        <v>98941</v>
      </c>
      <c r="N445" s="60" t="s">
        <v>10</v>
      </c>
      <c r="O445" s="35">
        <v>2</v>
      </c>
      <c r="P445" s="35">
        <v>1</v>
      </c>
      <c r="Q445" s="35">
        <v>2</v>
      </c>
    </row>
    <row r="446" spans="13:17" x14ac:dyDescent="0.2">
      <c r="M446" s="54">
        <v>98943</v>
      </c>
      <c r="N446" s="60" t="s">
        <v>10</v>
      </c>
      <c r="O446" s="35">
        <v>0</v>
      </c>
      <c r="P446" s="35">
        <v>0</v>
      </c>
      <c r="Q446" s="35">
        <v>1</v>
      </c>
    </row>
    <row r="447" spans="13:17" x14ac:dyDescent="0.2">
      <c r="M447" s="64">
        <v>98946</v>
      </c>
      <c r="N447" s="52" t="s">
        <v>333</v>
      </c>
      <c r="O447" s="53">
        <v>1</v>
      </c>
      <c r="P447" s="53">
        <v>1</v>
      </c>
      <c r="Q447" s="53">
        <v>4</v>
      </c>
    </row>
    <row r="448" spans="13:17" x14ac:dyDescent="0.2">
      <c r="M448" s="82">
        <v>98946</v>
      </c>
      <c r="N448" s="52" t="s">
        <v>10</v>
      </c>
      <c r="O448" s="117">
        <v>1</v>
      </c>
      <c r="P448" s="117">
        <v>2</v>
      </c>
      <c r="Q448" s="117">
        <v>1</v>
      </c>
    </row>
    <row r="449" spans="13:17" x14ac:dyDescent="0.2">
      <c r="M449" s="14"/>
      <c r="N449" s="14" t="s">
        <v>333</v>
      </c>
      <c r="O449" s="51">
        <v>139</v>
      </c>
      <c r="P449" s="51">
        <v>129</v>
      </c>
      <c r="Q449" s="51">
        <v>100</v>
      </c>
    </row>
    <row r="450" spans="13:17" ht="16" thickBot="1" x14ac:dyDescent="0.25">
      <c r="M450" s="97"/>
      <c r="N450" s="97" t="s">
        <v>10</v>
      </c>
      <c r="O450" s="98">
        <v>1085</v>
      </c>
      <c r="P450" s="98">
        <v>948</v>
      </c>
      <c r="Q450" s="98">
        <v>1086</v>
      </c>
    </row>
    <row r="451" spans="13:17" x14ac:dyDescent="0.2">
      <c r="M451" s="84"/>
      <c r="N451" s="84"/>
      <c r="O451" s="84"/>
      <c r="P451" s="84"/>
      <c r="Q451" s="84"/>
    </row>
    <row r="452" spans="13:17" x14ac:dyDescent="0.2">
      <c r="M452" s="3"/>
      <c r="N452" s="3"/>
      <c r="O452" s="3"/>
      <c r="P452" s="3"/>
      <c r="Q452" s="3"/>
    </row>
    <row r="453" spans="13:17" x14ac:dyDescent="0.2">
      <c r="M453" s="3"/>
      <c r="N453" s="3"/>
      <c r="O453" s="3"/>
      <c r="P453" s="3"/>
      <c r="Q453" s="3"/>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36"/>
  <sheetViews>
    <sheetView zoomScale="132" workbookViewId="0">
      <selection activeCell="C224" sqref="C224:E224"/>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80" t="s">
        <v>0</v>
      </c>
      <c r="B1" s="181"/>
      <c r="C1" s="181"/>
      <c r="D1" s="181"/>
      <c r="E1" s="181"/>
      <c r="F1" s="181"/>
      <c r="G1" s="181"/>
      <c r="H1" s="181"/>
      <c r="I1" s="181"/>
      <c r="J1" s="181"/>
      <c r="K1" s="181"/>
      <c r="L1" s="182"/>
    </row>
    <row r="2" spans="1:12" x14ac:dyDescent="0.2">
      <c r="A2" s="19">
        <v>1</v>
      </c>
      <c r="B2" s="20" t="s">
        <v>2</v>
      </c>
    </row>
    <row r="3" spans="1:12" x14ac:dyDescent="0.2">
      <c r="A3" s="21">
        <v>2</v>
      </c>
      <c r="B3" s="22" t="s">
        <v>23</v>
      </c>
    </row>
    <row r="4" spans="1:12" x14ac:dyDescent="0.2">
      <c r="A4" s="23">
        <v>3</v>
      </c>
      <c r="B4" s="24" t="s">
        <v>82</v>
      </c>
    </row>
    <row r="5" spans="1:12" x14ac:dyDescent="0.2">
      <c r="A5" s="25">
        <v>4</v>
      </c>
      <c r="B5" s="6" t="s">
        <v>5</v>
      </c>
    </row>
    <row r="6" spans="1:12" x14ac:dyDescent="0.2">
      <c r="A6" s="25">
        <v>5</v>
      </c>
      <c r="B6" s="6" t="s">
        <v>81</v>
      </c>
    </row>
    <row r="7" spans="1:12" x14ac:dyDescent="0.2">
      <c r="A7" s="25">
        <v>6</v>
      </c>
      <c r="B7" s="6" t="s">
        <v>342</v>
      </c>
    </row>
    <row r="8" spans="1:12" ht="16" thickBot="1" x14ac:dyDescent="0.25"/>
    <row r="9" spans="1:12" ht="30" customHeight="1" thickBot="1" x14ac:dyDescent="0.25">
      <c r="A9" s="207" t="s">
        <v>356</v>
      </c>
      <c r="B9" s="208"/>
      <c r="C9" s="183" t="s">
        <v>24</v>
      </c>
      <c r="D9" s="184"/>
      <c r="E9" s="185"/>
    </row>
    <row r="10" spans="1:12" ht="16" thickBot="1" x14ac:dyDescent="0.25">
      <c r="A10" s="7" t="s">
        <v>8</v>
      </c>
      <c r="B10" s="7" t="s">
        <v>9</v>
      </c>
      <c r="C10" s="74">
        <v>44957</v>
      </c>
      <c r="D10" s="74">
        <v>44985</v>
      </c>
      <c r="E10" s="74">
        <v>45016</v>
      </c>
    </row>
    <row r="11" spans="1:12" x14ac:dyDescent="0.2">
      <c r="A11" s="77">
        <v>98001</v>
      </c>
      <c r="B11" s="12" t="s">
        <v>10</v>
      </c>
      <c r="C11" s="13">
        <v>58</v>
      </c>
      <c r="D11" s="13">
        <v>49</v>
      </c>
      <c r="E11" s="67">
        <v>80</v>
      </c>
    </row>
    <row r="12" spans="1:12" x14ac:dyDescent="0.2">
      <c r="A12" s="78">
        <v>98002</v>
      </c>
      <c r="B12" s="14" t="s">
        <v>10</v>
      </c>
      <c r="C12" s="15">
        <v>142</v>
      </c>
      <c r="D12" s="15">
        <v>130</v>
      </c>
      <c r="E12" s="68">
        <v>208</v>
      </c>
    </row>
    <row r="13" spans="1:12" x14ac:dyDescent="0.2">
      <c r="A13" s="78">
        <v>98003</v>
      </c>
      <c r="B13" s="14" t="s">
        <v>10</v>
      </c>
      <c r="C13" s="15">
        <v>124</v>
      </c>
      <c r="D13" s="15">
        <v>170</v>
      </c>
      <c r="E13" s="68">
        <v>262</v>
      </c>
    </row>
    <row r="14" spans="1:12" x14ac:dyDescent="0.2">
      <c r="A14" s="78">
        <v>98004</v>
      </c>
      <c r="B14" s="14" t="s">
        <v>10</v>
      </c>
      <c r="C14" s="15">
        <v>18</v>
      </c>
      <c r="D14" s="15">
        <v>21</v>
      </c>
      <c r="E14" s="68">
        <v>33</v>
      </c>
    </row>
    <row r="15" spans="1:12" x14ac:dyDescent="0.2">
      <c r="A15" s="78">
        <v>98005</v>
      </c>
      <c r="B15" s="14" t="s">
        <v>10</v>
      </c>
      <c r="C15" s="15">
        <v>8</v>
      </c>
      <c r="D15" s="15">
        <v>26</v>
      </c>
      <c r="E15" s="68">
        <v>34</v>
      </c>
    </row>
    <row r="16" spans="1:12" x14ac:dyDescent="0.2">
      <c r="A16" s="78">
        <v>98006</v>
      </c>
      <c r="B16" s="14" t="s">
        <v>10</v>
      </c>
      <c r="C16" s="15">
        <v>34</v>
      </c>
      <c r="D16" s="15">
        <v>46</v>
      </c>
      <c r="E16" s="68">
        <v>47</v>
      </c>
    </row>
    <row r="17" spans="1:5" x14ac:dyDescent="0.2">
      <c r="A17" s="78">
        <v>98007</v>
      </c>
      <c r="B17" s="14" t="s">
        <v>10</v>
      </c>
      <c r="C17" s="15">
        <v>87</v>
      </c>
      <c r="D17" s="15">
        <v>79</v>
      </c>
      <c r="E17" s="68">
        <v>104</v>
      </c>
    </row>
    <row r="18" spans="1:5" x14ac:dyDescent="0.2">
      <c r="A18" s="78">
        <v>98008</v>
      </c>
      <c r="B18" s="14" t="s">
        <v>10</v>
      </c>
      <c r="C18" s="15">
        <v>27</v>
      </c>
      <c r="D18" s="15">
        <v>44</v>
      </c>
      <c r="E18" s="68">
        <v>40</v>
      </c>
    </row>
    <row r="19" spans="1:5" x14ac:dyDescent="0.2">
      <c r="A19" s="78">
        <v>98010</v>
      </c>
      <c r="B19" s="14" t="s">
        <v>10</v>
      </c>
      <c r="C19" s="15">
        <v>3</v>
      </c>
      <c r="D19" s="15">
        <v>12</v>
      </c>
      <c r="E19" s="68">
        <v>5</v>
      </c>
    </row>
    <row r="20" spans="1:5" x14ac:dyDescent="0.2">
      <c r="A20" s="78">
        <v>98011</v>
      </c>
      <c r="B20" s="14" t="s">
        <v>10</v>
      </c>
      <c r="C20" s="15">
        <v>31</v>
      </c>
      <c r="D20" s="15">
        <v>37</v>
      </c>
      <c r="E20" s="68">
        <v>46</v>
      </c>
    </row>
    <row r="21" spans="1:5" x14ac:dyDescent="0.2">
      <c r="A21" s="78">
        <v>98012</v>
      </c>
      <c r="B21" s="14" t="s">
        <v>10</v>
      </c>
      <c r="C21" s="15">
        <v>26</v>
      </c>
      <c r="D21" s="15">
        <v>16</v>
      </c>
      <c r="E21" s="68">
        <v>6</v>
      </c>
    </row>
    <row r="22" spans="1:5" x14ac:dyDescent="0.2">
      <c r="A22" s="78">
        <v>98014</v>
      </c>
      <c r="B22" s="14" t="s">
        <v>10</v>
      </c>
      <c r="C22" s="15">
        <v>5</v>
      </c>
      <c r="D22" s="15">
        <v>3</v>
      </c>
      <c r="E22" s="68">
        <v>7</v>
      </c>
    </row>
    <row r="23" spans="1:5" x14ac:dyDescent="0.2">
      <c r="A23" s="78">
        <v>98019</v>
      </c>
      <c r="B23" s="14" t="s">
        <v>10</v>
      </c>
      <c r="C23" s="15">
        <v>8</v>
      </c>
      <c r="D23" s="15">
        <v>11</v>
      </c>
      <c r="E23" s="68">
        <v>16</v>
      </c>
    </row>
    <row r="24" spans="1:5" x14ac:dyDescent="0.2">
      <c r="A24" s="78">
        <v>98020</v>
      </c>
      <c r="B24" s="14" t="s">
        <v>10</v>
      </c>
      <c r="C24" s="15">
        <v>4</v>
      </c>
      <c r="D24" s="15">
        <v>1</v>
      </c>
      <c r="E24" s="68">
        <v>1</v>
      </c>
    </row>
    <row r="25" spans="1:5" x14ac:dyDescent="0.2">
      <c r="A25" s="78">
        <v>98021</v>
      </c>
      <c r="B25" s="14" t="s">
        <v>10</v>
      </c>
      <c r="C25" s="15">
        <v>10</v>
      </c>
      <c r="D25" s="15">
        <v>6</v>
      </c>
      <c r="E25" s="68">
        <v>6</v>
      </c>
    </row>
    <row r="26" spans="1:5" x14ac:dyDescent="0.2">
      <c r="A26" s="78">
        <v>98022</v>
      </c>
      <c r="B26" s="14" t="s">
        <v>10</v>
      </c>
      <c r="C26" s="15">
        <v>55</v>
      </c>
      <c r="D26" s="15">
        <v>46</v>
      </c>
      <c r="E26" s="68">
        <v>91</v>
      </c>
    </row>
    <row r="27" spans="1:5" x14ac:dyDescent="0.2">
      <c r="A27" s="78">
        <v>98023</v>
      </c>
      <c r="B27" s="14" t="s">
        <v>10</v>
      </c>
      <c r="C27" s="15">
        <v>71</v>
      </c>
      <c r="D27" s="15">
        <v>82</v>
      </c>
      <c r="E27" s="68">
        <v>136</v>
      </c>
    </row>
    <row r="28" spans="1:5" x14ac:dyDescent="0.2">
      <c r="A28" s="78">
        <v>98024</v>
      </c>
      <c r="B28" s="14" t="s">
        <v>10</v>
      </c>
      <c r="C28" s="15">
        <v>4</v>
      </c>
      <c r="D28" s="15">
        <v>3</v>
      </c>
      <c r="E28" s="68">
        <v>3</v>
      </c>
    </row>
    <row r="29" spans="1:5" x14ac:dyDescent="0.2">
      <c r="A29" s="78">
        <v>98026</v>
      </c>
      <c r="B29" s="14" t="s">
        <v>10</v>
      </c>
      <c r="C29" s="15">
        <v>27</v>
      </c>
      <c r="D29" s="15">
        <v>12</v>
      </c>
      <c r="E29" s="68">
        <v>8</v>
      </c>
    </row>
    <row r="30" spans="1:5" x14ac:dyDescent="0.2">
      <c r="A30" s="78">
        <v>98027</v>
      </c>
      <c r="B30" s="14" t="s">
        <v>10</v>
      </c>
      <c r="C30" s="15">
        <v>32</v>
      </c>
      <c r="D30" s="15">
        <v>48</v>
      </c>
      <c r="E30" s="68">
        <v>49</v>
      </c>
    </row>
    <row r="31" spans="1:5" x14ac:dyDescent="0.2">
      <c r="A31" s="78">
        <v>98028</v>
      </c>
      <c r="B31" s="14" t="s">
        <v>10</v>
      </c>
      <c r="C31" s="15">
        <v>22</v>
      </c>
      <c r="D31" s="15">
        <v>12</v>
      </c>
      <c r="E31" s="68">
        <v>28</v>
      </c>
    </row>
    <row r="32" spans="1:5" x14ac:dyDescent="0.2">
      <c r="A32" s="78">
        <v>98029</v>
      </c>
      <c r="B32" s="14" t="s">
        <v>10</v>
      </c>
      <c r="C32" s="15">
        <v>39</v>
      </c>
      <c r="D32" s="15">
        <v>42</v>
      </c>
      <c r="E32" s="68">
        <v>69</v>
      </c>
    </row>
    <row r="33" spans="1:5" x14ac:dyDescent="0.2">
      <c r="A33" s="78">
        <v>98030</v>
      </c>
      <c r="B33" s="14" t="s">
        <v>10</v>
      </c>
      <c r="C33" s="15">
        <v>103</v>
      </c>
      <c r="D33" s="15">
        <v>116</v>
      </c>
      <c r="E33" s="68">
        <v>182</v>
      </c>
    </row>
    <row r="34" spans="1:5" x14ac:dyDescent="0.2">
      <c r="A34" s="78">
        <v>98031</v>
      </c>
      <c r="B34" s="14" t="s">
        <v>10</v>
      </c>
      <c r="C34" s="15">
        <v>62</v>
      </c>
      <c r="D34" s="15">
        <v>78</v>
      </c>
      <c r="E34" s="68">
        <v>132</v>
      </c>
    </row>
    <row r="35" spans="1:5" x14ac:dyDescent="0.2">
      <c r="A35" s="78">
        <v>98032</v>
      </c>
      <c r="B35" s="14" t="s">
        <v>10</v>
      </c>
      <c r="C35" s="15">
        <v>89</v>
      </c>
      <c r="D35" s="15">
        <v>93</v>
      </c>
      <c r="E35" s="68">
        <v>177</v>
      </c>
    </row>
    <row r="36" spans="1:5" x14ac:dyDescent="0.2">
      <c r="A36" s="78">
        <v>98033</v>
      </c>
      <c r="B36" s="14" t="s">
        <v>10</v>
      </c>
      <c r="C36" s="15">
        <v>14</v>
      </c>
      <c r="D36" s="15">
        <v>27</v>
      </c>
      <c r="E36" s="68">
        <v>30</v>
      </c>
    </row>
    <row r="37" spans="1:5" x14ac:dyDescent="0.2">
      <c r="A37" s="78">
        <v>98034</v>
      </c>
      <c r="B37" s="14" t="s">
        <v>10</v>
      </c>
      <c r="C37" s="15">
        <v>58</v>
      </c>
      <c r="D37" s="15">
        <v>70</v>
      </c>
      <c r="E37" s="68">
        <v>89</v>
      </c>
    </row>
    <row r="38" spans="1:5" x14ac:dyDescent="0.2">
      <c r="A38" s="78">
        <v>98036</v>
      </c>
      <c r="B38" s="14" t="s">
        <v>10</v>
      </c>
      <c r="C38" s="15">
        <v>37</v>
      </c>
      <c r="D38" s="15">
        <v>15</v>
      </c>
      <c r="E38" s="68">
        <v>11</v>
      </c>
    </row>
    <row r="39" spans="1:5" x14ac:dyDescent="0.2">
      <c r="A39" s="78">
        <v>98037</v>
      </c>
      <c r="B39" s="14" t="s">
        <v>10</v>
      </c>
      <c r="C39" s="15">
        <v>22</v>
      </c>
      <c r="D39" s="15">
        <v>11</v>
      </c>
      <c r="E39" s="68">
        <v>7</v>
      </c>
    </row>
    <row r="40" spans="1:5" x14ac:dyDescent="0.2">
      <c r="A40" s="78">
        <v>98038</v>
      </c>
      <c r="B40" s="14" t="s">
        <v>10</v>
      </c>
      <c r="C40" s="15">
        <v>27</v>
      </c>
      <c r="D40" s="15">
        <v>22</v>
      </c>
      <c r="E40" s="68">
        <v>27</v>
      </c>
    </row>
    <row r="41" spans="1:5" x14ac:dyDescent="0.2">
      <c r="A41" s="78">
        <v>98039</v>
      </c>
      <c r="B41" s="14" t="s">
        <v>10</v>
      </c>
      <c r="C41" s="15"/>
      <c r="D41" s="15"/>
      <c r="E41" s="68">
        <v>1</v>
      </c>
    </row>
    <row r="42" spans="1:5" x14ac:dyDescent="0.2">
      <c r="A42" s="78">
        <v>98040</v>
      </c>
      <c r="B42" s="14" t="s">
        <v>10</v>
      </c>
      <c r="C42" s="15">
        <v>3</v>
      </c>
      <c r="D42" s="15">
        <v>6</v>
      </c>
      <c r="E42" s="68">
        <v>5</v>
      </c>
    </row>
    <row r="43" spans="1:5" x14ac:dyDescent="0.2">
      <c r="A43" s="78">
        <v>98042</v>
      </c>
      <c r="B43" s="14" t="s">
        <v>10</v>
      </c>
      <c r="C43" s="15">
        <v>52</v>
      </c>
      <c r="D43" s="15">
        <v>54</v>
      </c>
      <c r="E43" s="68">
        <v>81</v>
      </c>
    </row>
    <row r="44" spans="1:5" x14ac:dyDescent="0.2">
      <c r="A44" s="78">
        <v>98043</v>
      </c>
      <c r="B44" s="14" t="s">
        <v>10</v>
      </c>
      <c r="C44" s="15">
        <v>13</v>
      </c>
      <c r="D44" s="15">
        <v>2</v>
      </c>
      <c r="E44" s="68">
        <v>6</v>
      </c>
    </row>
    <row r="45" spans="1:5" x14ac:dyDescent="0.2">
      <c r="A45" s="78">
        <v>98045</v>
      </c>
      <c r="B45" s="14" t="s">
        <v>10</v>
      </c>
      <c r="C45" s="15">
        <v>4</v>
      </c>
      <c r="D45" s="15">
        <v>6</v>
      </c>
      <c r="E45" s="68">
        <v>14</v>
      </c>
    </row>
    <row r="46" spans="1:5" x14ac:dyDescent="0.2">
      <c r="A46" s="78">
        <v>98047</v>
      </c>
      <c r="B46" s="14" t="s">
        <v>10</v>
      </c>
      <c r="C46" s="15">
        <v>15</v>
      </c>
      <c r="D46" s="15">
        <v>18</v>
      </c>
      <c r="E46" s="68">
        <v>22</v>
      </c>
    </row>
    <row r="47" spans="1:5" x14ac:dyDescent="0.2">
      <c r="A47" s="78">
        <v>98051</v>
      </c>
      <c r="B47" s="14" t="s">
        <v>10</v>
      </c>
      <c r="C47" s="15">
        <v>4</v>
      </c>
      <c r="D47" s="15">
        <v>3</v>
      </c>
      <c r="E47" s="68">
        <v>4</v>
      </c>
    </row>
    <row r="48" spans="1:5" x14ac:dyDescent="0.2">
      <c r="A48" s="78">
        <v>98052</v>
      </c>
      <c r="B48" s="14" t="s">
        <v>10</v>
      </c>
      <c r="C48" s="15">
        <v>74</v>
      </c>
      <c r="D48" s="15">
        <v>62</v>
      </c>
      <c r="E48" s="68">
        <v>98</v>
      </c>
    </row>
    <row r="49" spans="1:5" x14ac:dyDescent="0.2">
      <c r="A49" s="78">
        <v>98053</v>
      </c>
      <c r="B49" s="14" t="s">
        <v>10</v>
      </c>
      <c r="C49" s="15">
        <v>9</v>
      </c>
      <c r="D49" s="15">
        <v>5</v>
      </c>
      <c r="E49" s="68">
        <v>16</v>
      </c>
    </row>
    <row r="50" spans="1:5" x14ac:dyDescent="0.2">
      <c r="A50" s="78">
        <v>98055</v>
      </c>
      <c r="B50" s="14" t="s">
        <v>10</v>
      </c>
      <c r="C50" s="15">
        <v>25</v>
      </c>
      <c r="D50" s="15">
        <v>26</v>
      </c>
      <c r="E50" s="68">
        <v>49</v>
      </c>
    </row>
    <row r="51" spans="1:5" x14ac:dyDescent="0.2">
      <c r="A51" s="78">
        <v>98056</v>
      </c>
      <c r="B51" s="14" t="s">
        <v>10</v>
      </c>
      <c r="C51" s="15">
        <v>27</v>
      </c>
      <c r="D51" s="15">
        <v>48</v>
      </c>
      <c r="E51" s="68">
        <v>61</v>
      </c>
    </row>
    <row r="52" spans="1:5" x14ac:dyDescent="0.2">
      <c r="A52" s="78">
        <v>98057</v>
      </c>
      <c r="B52" s="14" t="s">
        <v>10</v>
      </c>
      <c r="C52" s="15">
        <v>14</v>
      </c>
      <c r="D52" s="15">
        <v>17</v>
      </c>
      <c r="E52" s="68">
        <v>29</v>
      </c>
    </row>
    <row r="53" spans="1:5" x14ac:dyDescent="0.2">
      <c r="A53" s="78">
        <v>98058</v>
      </c>
      <c r="B53" s="14" t="s">
        <v>10</v>
      </c>
      <c r="C53" s="15">
        <v>47</v>
      </c>
      <c r="D53" s="15">
        <v>44</v>
      </c>
      <c r="E53" s="68">
        <v>96</v>
      </c>
    </row>
    <row r="54" spans="1:5" x14ac:dyDescent="0.2">
      <c r="A54" s="78">
        <v>98059</v>
      </c>
      <c r="B54" s="14" t="s">
        <v>10</v>
      </c>
      <c r="C54" s="15">
        <v>22</v>
      </c>
      <c r="D54" s="15">
        <v>20</v>
      </c>
      <c r="E54" s="68">
        <v>37</v>
      </c>
    </row>
    <row r="55" spans="1:5" x14ac:dyDescent="0.2">
      <c r="A55" s="78">
        <v>98065</v>
      </c>
      <c r="B55" s="14" t="s">
        <v>10</v>
      </c>
      <c r="C55" s="15">
        <v>6</v>
      </c>
      <c r="D55" s="15">
        <v>11</v>
      </c>
      <c r="E55" s="68">
        <v>20</v>
      </c>
    </row>
    <row r="56" spans="1:5" x14ac:dyDescent="0.2">
      <c r="A56" s="78">
        <v>98068</v>
      </c>
      <c r="B56" s="14" t="s">
        <v>10</v>
      </c>
      <c r="C56" s="15"/>
      <c r="D56" s="15"/>
      <c r="E56" s="68">
        <v>1</v>
      </c>
    </row>
    <row r="57" spans="1:5" x14ac:dyDescent="0.2">
      <c r="A57" s="78">
        <v>98070</v>
      </c>
      <c r="B57" s="14" t="s">
        <v>10</v>
      </c>
      <c r="C57" s="15">
        <v>7</v>
      </c>
      <c r="D57" s="15">
        <v>9</v>
      </c>
      <c r="E57" s="68">
        <v>11</v>
      </c>
    </row>
    <row r="58" spans="1:5" x14ac:dyDescent="0.2">
      <c r="A58" s="78">
        <v>98072</v>
      </c>
      <c r="B58" s="14" t="s">
        <v>10</v>
      </c>
      <c r="C58" s="15">
        <v>14</v>
      </c>
      <c r="D58" s="15">
        <v>14</v>
      </c>
      <c r="E58" s="68">
        <v>18</v>
      </c>
    </row>
    <row r="59" spans="1:5" x14ac:dyDescent="0.2">
      <c r="A59" s="78">
        <v>98074</v>
      </c>
      <c r="B59" s="14" t="s">
        <v>10</v>
      </c>
      <c r="C59" s="15">
        <v>8</v>
      </c>
      <c r="D59" s="15">
        <v>12</v>
      </c>
      <c r="E59" s="68">
        <v>9</v>
      </c>
    </row>
    <row r="60" spans="1:5" x14ac:dyDescent="0.2">
      <c r="A60" s="78">
        <v>98075</v>
      </c>
      <c r="B60" s="14" t="s">
        <v>10</v>
      </c>
      <c r="C60" s="15">
        <v>8</v>
      </c>
      <c r="D60" s="15">
        <v>5</v>
      </c>
      <c r="E60" s="68">
        <v>5</v>
      </c>
    </row>
    <row r="61" spans="1:5" x14ac:dyDescent="0.2">
      <c r="A61" s="78">
        <v>98077</v>
      </c>
      <c r="B61" s="14" t="s">
        <v>10</v>
      </c>
      <c r="C61" s="15">
        <v>1</v>
      </c>
      <c r="D61" s="15">
        <v>2</v>
      </c>
      <c r="E61" s="68"/>
    </row>
    <row r="62" spans="1:5" x14ac:dyDescent="0.2">
      <c r="A62" s="78">
        <v>98087</v>
      </c>
      <c r="B62" s="14" t="s">
        <v>10</v>
      </c>
      <c r="C62" s="15">
        <v>32</v>
      </c>
      <c r="D62" s="15">
        <v>13</v>
      </c>
      <c r="E62" s="68">
        <v>13</v>
      </c>
    </row>
    <row r="63" spans="1:5" x14ac:dyDescent="0.2">
      <c r="A63" s="78">
        <v>98092</v>
      </c>
      <c r="B63" s="14" t="s">
        <v>10</v>
      </c>
      <c r="C63" s="15">
        <v>176</v>
      </c>
      <c r="D63" s="15">
        <v>122</v>
      </c>
      <c r="E63" s="68">
        <v>194</v>
      </c>
    </row>
    <row r="64" spans="1:5" x14ac:dyDescent="0.2">
      <c r="A64" s="78">
        <v>98101</v>
      </c>
      <c r="B64" s="14" t="s">
        <v>10</v>
      </c>
      <c r="C64" s="15"/>
      <c r="D64" s="15"/>
      <c r="E64" s="68">
        <v>1</v>
      </c>
    </row>
    <row r="65" spans="1:5" x14ac:dyDescent="0.2">
      <c r="A65" s="78">
        <v>98102</v>
      </c>
      <c r="B65" s="14" t="s">
        <v>10</v>
      </c>
      <c r="C65" s="15">
        <v>2</v>
      </c>
      <c r="D65" s="15">
        <v>1</v>
      </c>
      <c r="E65" s="68">
        <v>1</v>
      </c>
    </row>
    <row r="66" spans="1:5" x14ac:dyDescent="0.2">
      <c r="A66" s="78">
        <v>98103</v>
      </c>
      <c r="B66" s="14" t="s">
        <v>10</v>
      </c>
      <c r="C66" s="15">
        <v>10</v>
      </c>
      <c r="D66" s="15">
        <v>4</v>
      </c>
      <c r="E66" s="68">
        <v>8</v>
      </c>
    </row>
    <row r="67" spans="1:5" x14ac:dyDescent="0.2">
      <c r="A67" s="78">
        <v>98104</v>
      </c>
      <c r="B67" s="14" t="s">
        <v>10</v>
      </c>
      <c r="C67" s="15"/>
      <c r="D67" s="15"/>
      <c r="E67" s="68">
        <v>1</v>
      </c>
    </row>
    <row r="68" spans="1:5" x14ac:dyDescent="0.2">
      <c r="A68" s="78">
        <v>98105</v>
      </c>
      <c r="B68" s="14" t="s">
        <v>10</v>
      </c>
      <c r="C68" s="15">
        <v>2</v>
      </c>
      <c r="D68" s="15">
        <v>1</v>
      </c>
      <c r="E68" s="68">
        <v>2</v>
      </c>
    </row>
    <row r="69" spans="1:5" x14ac:dyDescent="0.2">
      <c r="A69" s="78">
        <v>98106</v>
      </c>
      <c r="B69" s="14" t="s">
        <v>10</v>
      </c>
      <c r="C69" s="15">
        <v>12</v>
      </c>
      <c r="D69" s="15">
        <v>6</v>
      </c>
      <c r="E69" s="68">
        <v>8</v>
      </c>
    </row>
    <row r="70" spans="1:5" x14ac:dyDescent="0.2">
      <c r="A70" s="78">
        <v>98107</v>
      </c>
      <c r="B70" s="14" t="s">
        <v>10</v>
      </c>
      <c r="C70" s="15">
        <v>3</v>
      </c>
      <c r="D70" s="15">
        <v>1</v>
      </c>
      <c r="E70" s="68">
        <v>3</v>
      </c>
    </row>
    <row r="71" spans="1:5" x14ac:dyDescent="0.2">
      <c r="A71" s="78">
        <v>98108</v>
      </c>
      <c r="B71" s="14" t="s">
        <v>10</v>
      </c>
      <c r="C71" s="15">
        <v>40</v>
      </c>
      <c r="D71" s="15">
        <v>20</v>
      </c>
      <c r="E71" s="68">
        <v>40</v>
      </c>
    </row>
    <row r="72" spans="1:5" x14ac:dyDescent="0.2">
      <c r="A72" s="78">
        <v>98109</v>
      </c>
      <c r="B72" s="14" t="s">
        <v>10</v>
      </c>
      <c r="C72" s="15">
        <v>3</v>
      </c>
      <c r="D72" s="15">
        <v>2</v>
      </c>
      <c r="E72" s="68">
        <v>1</v>
      </c>
    </row>
    <row r="73" spans="1:5" x14ac:dyDescent="0.2">
      <c r="A73" s="78">
        <v>98110</v>
      </c>
      <c r="B73" s="14" t="s">
        <v>10</v>
      </c>
      <c r="C73" s="15">
        <v>11</v>
      </c>
      <c r="D73" s="15">
        <v>8</v>
      </c>
      <c r="E73" s="68">
        <v>17</v>
      </c>
    </row>
    <row r="74" spans="1:5" x14ac:dyDescent="0.2">
      <c r="A74" s="78">
        <v>98112</v>
      </c>
      <c r="B74" s="14" t="s">
        <v>10</v>
      </c>
      <c r="C74" s="15">
        <v>2</v>
      </c>
      <c r="D74" s="15">
        <v>3</v>
      </c>
      <c r="E74" s="68">
        <v>3</v>
      </c>
    </row>
    <row r="75" spans="1:5" x14ac:dyDescent="0.2">
      <c r="A75" s="78">
        <v>98115</v>
      </c>
      <c r="B75" s="14" t="s">
        <v>10</v>
      </c>
      <c r="C75" s="15">
        <v>8</v>
      </c>
      <c r="D75" s="15">
        <v>1</v>
      </c>
      <c r="E75" s="68">
        <v>13</v>
      </c>
    </row>
    <row r="76" spans="1:5" x14ac:dyDescent="0.2">
      <c r="A76" s="78">
        <v>98116</v>
      </c>
      <c r="B76" s="14" t="s">
        <v>10</v>
      </c>
      <c r="C76" s="15">
        <v>5</v>
      </c>
      <c r="D76" s="15"/>
      <c r="E76" s="68">
        <v>2</v>
      </c>
    </row>
    <row r="77" spans="1:5" x14ac:dyDescent="0.2">
      <c r="A77" s="78">
        <v>98117</v>
      </c>
      <c r="B77" s="14" t="s">
        <v>10</v>
      </c>
      <c r="C77" s="15">
        <v>3</v>
      </c>
      <c r="D77" s="15">
        <v>1</v>
      </c>
      <c r="E77" s="68">
        <v>6</v>
      </c>
    </row>
    <row r="78" spans="1:5" x14ac:dyDescent="0.2">
      <c r="A78" s="78">
        <v>98118</v>
      </c>
      <c r="B78" s="14" t="s">
        <v>10</v>
      </c>
      <c r="C78" s="15">
        <v>52</v>
      </c>
      <c r="D78" s="15">
        <v>15</v>
      </c>
      <c r="E78" s="68">
        <v>40</v>
      </c>
    </row>
    <row r="79" spans="1:5" x14ac:dyDescent="0.2">
      <c r="A79" s="78">
        <v>98119</v>
      </c>
      <c r="B79" s="14" t="s">
        <v>10</v>
      </c>
      <c r="C79" s="15"/>
      <c r="D79" s="15">
        <v>1</v>
      </c>
      <c r="E79" s="68">
        <v>1</v>
      </c>
    </row>
    <row r="80" spans="1:5" x14ac:dyDescent="0.2">
      <c r="A80" s="78">
        <v>98121</v>
      </c>
      <c r="B80" s="14" t="s">
        <v>10</v>
      </c>
      <c r="C80" s="15">
        <v>4</v>
      </c>
      <c r="D80" s="15"/>
      <c r="E80" s="68">
        <v>2</v>
      </c>
    </row>
    <row r="81" spans="1:5" x14ac:dyDescent="0.2">
      <c r="A81" s="78">
        <v>98122</v>
      </c>
      <c r="B81" s="14" t="s">
        <v>10</v>
      </c>
      <c r="C81" s="15">
        <v>9</v>
      </c>
      <c r="D81" s="15">
        <v>6</v>
      </c>
      <c r="E81" s="68">
        <v>8</v>
      </c>
    </row>
    <row r="82" spans="1:5" x14ac:dyDescent="0.2">
      <c r="A82" s="78">
        <v>98125</v>
      </c>
      <c r="B82" s="14" t="s">
        <v>10</v>
      </c>
      <c r="C82" s="15">
        <v>10</v>
      </c>
      <c r="D82" s="15">
        <v>4</v>
      </c>
      <c r="E82" s="68">
        <v>9</v>
      </c>
    </row>
    <row r="83" spans="1:5" x14ac:dyDescent="0.2">
      <c r="A83" s="78">
        <v>98126</v>
      </c>
      <c r="B83" s="14" t="s">
        <v>10</v>
      </c>
      <c r="C83" s="15">
        <v>25</v>
      </c>
      <c r="D83" s="15">
        <v>8</v>
      </c>
      <c r="E83" s="68">
        <v>22</v>
      </c>
    </row>
    <row r="84" spans="1:5" x14ac:dyDescent="0.2">
      <c r="A84" s="78">
        <v>98133</v>
      </c>
      <c r="B84" s="14" t="s">
        <v>10</v>
      </c>
      <c r="C84" s="15">
        <v>10</v>
      </c>
      <c r="D84" s="15">
        <v>12</v>
      </c>
      <c r="E84" s="68">
        <v>9</v>
      </c>
    </row>
    <row r="85" spans="1:5" x14ac:dyDescent="0.2">
      <c r="A85" s="78">
        <v>98136</v>
      </c>
      <c r="B85" s="14" t="s">
        <v>10</v>
      </c>
      <c r="C85" s="15">
        <v>5</v>
      </c>
      <c r="D85" s="15">
        <v>1</v>
      </c>
      <c r="E85" s="68">
        <v>2</v>
      </c>
    </row>
    <row r="86" spans="1:5" x14ac:dyDescent="0.2">
      <c r="A86" s="78">
        <v>98144</v>
      </c>
      <c r="B86" s="14" t="s">
        <v>10</v>
      </c>
      <c r="C86" s="15">
        <v>18</v>
      </c>
      <c r="D86" s="15">
        <v>3</v>
      </c>
      <c r="E86" s="68">
        <v>12</v>
      </c>
    </row>
    <row r="87" spans="1:5" x14ac:dyDescent="0.2">
      <c r="A87" s="78">
        <v>98146</v>
      </c>
      <c r="B87" s="14" t="s">
        <v>10</v>
      </c>
      <c r="C87" s="15">
        <v>6</v>
      </c>
      <c r="D87" s="15">
        <v>3</v>
      </c>
      <c r="E87" s="68">
        <v>5</v>
      </c>
    </row>
    <row r="88" spans="1:5" x14ac:dyDescent="0.2">
      <c r="A88" s="78">
        <v>98148</v>
      </c>
      <c r="B88" s="14" t="s">
        <v>10</v>
      </c>
      <c r="C88" s="15">
        <v>7</v>
      </c>
      <c r="D88" s="15">
        <v>6</v>
      </c>
      <c r="E88" s="68">
        <v>14</v>
      </c>
    </row>
    <row r="89" spans="1:5" x14ac:dyDescent="0.2">
      <c r="A89" s="78">
        <v>98155</v>
      </c>
      <c r="B89" s="14" t="s">
        <v>10</v>
      </c>
      <c r="C89" s="15">
        <v>9</v>
      </c>
      <c r="D89" s="15">
        <v>8</v>
      </c>
      <c r="E89" s="68">
        <v>10</v>
      </c>
    </row>
    <row r="90" spans="1:5" x14ac:dyDescent="0.2">
      <c r="A90" s="78">
        <v>98166</v>
      </c>
      <c r="B90" s="14" t="s">
        <v>10</v>
      </c>
      <c r="C90" s="15">
        <v>5</v>
      </c>
      <c r="D90" s="15">
        <v>3</v>
      </c>
      <c r="E90" s="68">
        <v>8</v>
      </c>
    </row>
    <row r="91" spans="1:5" x14ac:dyDescent="0.2">
      <c r="A91" s="78">
        <v>98168</v>
      </c>
      <c r="B91" s="14" t="s">
        <v>10</v>
      </c>
      <c r="C91" s="15">
        <v>3</v>
      </c>
      <c r="D91" s="15">
        <v>4</v>
      </c>
      <c r="E91" s="68">
        <v>9</v>
      </c>
    </row>
    <row r="92" spans="1:5" x14ac:dyDescent="0.2">
      <c r="A92" s="78">
        <v>98177</v>
      </c>
      <c r="B92" s="14" t="s">
        <v>10</v>
      </c>
      <c r="C92" s="15">
        <v>1</v>
      </c>
      <c r="D92" s="15">
        <v>4</v>
      </c>
      <c r="E92" s="68">
        <v>5</v>
      </c>
    </row>
    <row r="93" spans="1:5" x14ac:dyDescent="0.2">
      <c r="A93" s="78">
        <v>98178</v>
      </c>
      <c r="B93" s="14" t="s">
        <v>10</v>
      </c>
      <c r="C93" s="15">
        <v>8</v>
      </c>
      <c r="D93" s="15">
        <v>5</v>
      </c>
      <c r="E93" s="68">
        <v>9</v>
      </c>
    </row>
    <row r="94" spans="1:5" x14ac:dyDescent="0.2">
      <c r="A94" s="78">
        <v>98188</v>
      </c>
      <c r="B94" s="14" t="s">
        <v>10</v>
      </c>
      <c r="C94" s="15">
        <v>14</v>
      </c>
      <c r="D94" s="15">
        <v>23</v>
      </c>
      <c r="E94" s="68">
        <v>49</v>
      </c>
    </row>
    <row r="95" spans="1:5" x14ac:dyDescent="0.2">
      <c r="A95" s="78">
        <v>98198</v>
      </c>
      <c r="B95" s="14" t="s">
        <v>10</v>
      </c>
      <c r="C95" s="15">
        <v>59</v>
      </c>
      <c r="D95" s="15">
        <v>84</v>
      </c>
      <c r="E95" s="68">
        <v>101</v>
      </c>
    </row>
    <row r="96" spans="1:5" x14ac:dyDescent="0.2">
      <c r="A96" s="78">
        <v>98199</v>
      </c>
      <c r="B96" s="14" t="s">
        <v>10</v>
      </c>
      <c r="C96" s="15">
        <v>1</v>
      </c>
      <c r="D96" s="15">
        <v>1</v>
      </c>
      <c r="E96" s="68">
        <v>2</v>
      </c>
    </row>
    <row r="97" spans="1:5" x14ac:dyDescent="0.2">
      <c r="A97" s="78">
        <v>98201</v>
      </c>
      <c r="B97" s="14" t="s">
        <v>10</v>
      </c>
      <c r="C97" s="15">
        <v>46</v>
      </c>
      <c r="D97" s="15">
        <v>18</v>
      </c>
      <c r="E97" s="68">
        <v>14</v>
      </c>
    </row>
    <row r="98" spans="1:5" x14ac:dyDescent="0.2">
      <c r="A98" s="78">
        <v>98203</v>
      </c>
      <c r="B98" s="14" t="s">
        <v>10</v>
      </c>
      <c r="C98" s="15">
        <v>16</v>
      </c>
      <c r="D98" s="15">
        <v>9</v>
      </c>
      <c r="E98" s="68">
        <v>6</v>
      </c>
    </row>
    <row r="99" spans="1:5" x14ac:dyDescent="0.2">
      <c r="A99" s="78">
        <v>98204</v>
      </c>
      <c r="B99" s="14" t="s">
        <v>10</v>
      </c>
      <c r="C99" s="15">
        <v>23</v>
      </c>
      <c r="D99" s="15">
        <v>12</v>
      </c>
      <c r="E99" s="68">
        <v>10</v>
      </c>
    </row>
    <row r="100" spans="1:5" x14ac:dyDescent="0.2">
      <c r="A100" s="78">
        <v>98208</v>
      </c>
      <c r="B100" s="14" t="s">
        <v>10</v>
      </c>
      <c r="C100" s="15">
        <v>42</v>
      </c>
      <c r="D100" s="15">
        <v>25</v>
      </c>
      <c r="E100" s="68">
        <v>13</v>
      </c>
    </row>
    <row r="101" spans="1:5" x14ac:dyDescent="0.2">
      <c r="A101" s="78">
        <v>98220</v>
      </c>
      <c r="B101" s="14" t="s">
        <v>10</v>
      </c>
      <c r="C101" s="15">
        <v>2</v>
      </c>
      <c r="D101" s="15"/>
      <c r="E101" s="68">
        <v>1</v>
      </c>
    </row>
    <row r="102" spans="1:5" x14ac:dyDescent="0.2">
      <c r="A102" s="78">
        <v>98221</v>
      </c>
      <c r="B102" s="14" t="s">
        <v>10</v>
      </c>
      <c r="C102" s="15">
        <v>16</v>
      </c>
      <c r="D102" s="15">
        <v>9</v>
      </c>
      <c r="E102" s="68">
        <v>29</v>
      </c>
    </row>
    <row r="103" spans="1:5" x14ac:dyDescent="0.2">
      <c r="A103" s="78">
        <v>98223</v>
      </c>
      <c r="B103" s="14" t="s">
        <v>10</v>
      </c>
      <c r="C103" s="15"/>
      <c r="D103" s="15"/>
      <c r="E103" s="68">
        <v>1</v>
      </c>
    </row>
    <row r="104" spans="1:5" x14ac:dyDescent="0.2">
      <c r="A104" s="78">
        <v>98225</v>
      </c>
      <c r="B104" s="14" t="s">
        <v>10</v>
      </c>
      <c r="C104" s="15">
        <v>100</v>
      </c>
      <c r="D104" s="15">
        <v>89</v>
      </c>
      <c r="E104" s="68">
        <v>63</v>
      </c>
    </row>
    <row r="105" spans="1:5" x14ac:dyDescent="0.2">
      <c r="A105" s="78">
        <v>98226</v>
      </c>
      <c r="B105" s="14" t="s">
        <v>10</v>
      </c>
      <c r="C105" s="15">
        <v>127</v>
      </c>
      <c r="D105" s="15">
        <v>142</v>
      </c>
      <c r="E105" s="68">
        <v>129</v>
      </c>
    </row>
    <row r="106" spans="1:5" x14ac:dyDescent="0.2">
      <c r="A106" s="78">
        <v>98229</v>
      </c>
      <c r="B106" s="14" t="s">
        <v>10</v>
      </c>
      <c r="C106" s="15">
        <v>69</v>
      </c>
      <c r="D106" s="15">
        <v>60</v>
      </c>
      <c r="E106" s="68">
        <v>53</v>
      </c>
    </row>
    <row r="107" spans="1:5" x14ac:dyDescent="0.2">
      <c r="A107" s="78">
        <v>98230</v>
      </c>
      <c r="B107" s="14" t="s">
        <v>10</v>
      </c>
      <c r="C107" s="15">
        <v>19</v>
      </c>
      <c r="D107" s="15">
        <v>27</v>
      </c>
      <c r="E107" s="68">
        <v>22</v>
      </c>
    </row>
    <row r="108" spans="1:5" x14ac:dyDescent="0.2">
      <c r="A108" s="78">
        <v>98232</v>
      </c>
      <c r="B108" s="14" t="s">
        <v>10</v>
      </c>
      <c r="C108" s="15">
        <v>5</v>
      </c>
      <c r="D108" s="15">
        <v>4</v>
      </c>
      <c r="E108" s="68">
        <v>3</v>
      </c>
    </row>
    <row r="109" spans="1:5" x14ac:dyDescent="0.2">
      <c r="A109" s="78">
        <v>98233</v>
      </c>
      <c r="B109" s="14" t="s">
        <v>10</v>
      </c>
      <c r="C109" s="15">
        <v>29</v>
      </c>
      <c r="D109" s="15">
        <v>39</v>
      </c>
      <c r="E109" s="68">
        <v>51</v>
      </c>
    </row>
    <row r="110" spans="1:5" x14ac:dyDescent="0.2">
      <c r="A110" s="78">
        <v>98235</v>
      </c>
      <c r="B110" s="14" t="s">
        <v>10</v>
      </c>
      <c r="C110" s="15">
        <v>1</v>
      </c>
      <c r="D110" s="15"/>
      <c r="E110" s="68"/>
    </row>
    <row r="111" spans="1:5" x14ac:dyDescent="0.2">
      <c r="A111" s="78">
        <v>98236</v>
      </c>
      <c r="B111" s="14" t="s">
        <v>10</v>
      </c>
      <c r="C111" s="15">
        <v>8</v>
      </c>
      <c r="D111" s="15">
        <v>5</v>
      </c>
      <c r="E111" s="68">
        <v>8</v>
      </c>
    </row>
    <row r="112" spans="1:5" x14ac:dyDescent="0.2">
      <c r="A112" s="78">
        <v>98237</v>
      </c>
      <c r="B112" s="14" t="s">
        <v>10</v>
      </c>
      <c r="C112" s="15">
        <v>23</v>
      </c>
      <c r="D112" s="15">
        <v>9</v>
      </c>
      <c r="E112" s="68">
        <v>14</v>
      </c>
    </row>
    <row r="113" spans="1:5" x14ac:dyDescent="0.2">
      <c r="A113" s="78">
        <v>98239</v>
      </c>
      <c r="B113" s="14" t="s">
        <v>10</v>
      </c>
      <c r="C113" s="15">
        <v>11</v>
      </c>
      <c r="D113" s="15">
        <v>1</v>
      </c>
      <c r="E113" s="68">
        <v>11</v>
      </c>
    </row>
    <row r="114" spans="1:5" x14ac:dyDescent="0.2">
      <c r="A114" s="78">
        <v>98240</v>
      </c>
      <c r="B114" s="14" t="s">
        <v>10</v>
      </c>
      <c r="C114" s="15">
        <v>5</v>
      </c>
      <c r="D114" s="15">
        <v>2</v>
      </c>
      <c r="E114" s="68">
        <v>1</v>
      </c>
    </row>
    <row r="115" spans="1:5" x14ac:dyDescent="0.2">
      <c r="A115" s="78">
        <v>98244</v>
      </c>
      <c r="B115" s="14" t="s">
        <v>10</v>
      </c>
      <c r="C115" s="15">
        <v>5</v>
      </c>
      <c r="D115" s="15">
        <v>8</v>
      </c>
      <c r="E115" s="68">
        <v>6</v>
      </c>
    </row>
    <row r="116" spans="1:5" x14ac:dyDescent="0.2">
      <c r="A116" s="78">
        <v>98247</v>
      </c>
      <c r="B116" s="14" t="s">
        <v>10</v>
      </c>
      <c r="C116" s="15">
        <v>16</v>
      </c>
      <c r="D116" s="15">
        <v>10</v>
      </c>
      <c r="E116" s="68">
        <v>9</v>
      </c>
    </row>
    <row r="117" spans="1:5" x14ac:dyDescent="0.2">
      <c r="A117" s="78">
        <v>98248</v>
      </c>
      <c r="B117" s="14" t="s">
        <v>10</v>
      </c>
      <c r="C117" s="15">
        <v>56</v>
      </c>
      <c r="D117" s="15">
        <v>46</v>
      </c>
      <c r="E117" s="68">
        <v>37</v>
      </c>
    </row>
    <row r="118" spans="1:5" x14ac:dyDescent="0.2">
      <c r="A118" s="78">
        <v>98249</v>
      </c>
      <c r="B118" s="14" t="s">
        <v>10</v>
      </c>
      <c r="C118" s="15">
        <v>5</v>
      </c>
      <c r="D118" s="15">
        <v>5</v>
      </c>
      <c r="E118" s="68">
        <v>8</v>
      </c>
    </row>
    <row r="119" spans="1:5" x14ac:dyDescent="0.2">
      <c r="A119" s="78">
        <v>98251</v>
      </c>
      <c r="B119" s="14" t="s">
        <v>10</v>
      </c>
      <c r="C119" s="15">
        <v>1</v>
      </c>
      <c r="D119" s="15">
        <v>1</v>
      </c>
      <c r="E119" s="68">
        <v>1</v>
      </c>
    </row>
    <row r="120" spans="1:5" x14ac:dyDescent="0.2">
      <c r="A120" s="78">
        <v>98252</v>
      </c>
      <c r="B120" s="14" t="s">
        <v>10</v>
      </c>
      <c r="C120" s="15">
        <v>2</v>
      </c>
      <c r="D120" s="15">
        <v>1</v>
      </c>
      <c r="E120" s="68"/>
    </row>
    <row r="121" spans="1:5" x14ac:dyDescent="0.2">
      <c r="A121" s="78">
        <v>98253</v>
      </c>
      <c r="B121" s="14" t="s">
        <v>10</v>
      </c>
      <c r="C121" s="15">
        <v>2</v>
      </c>
      <c r="D121" s="15">
        <v>1</v>
      </c>
      <c r="E121" s="68">
        <v>5</v>
      </c>
    </row>
    <row r="122" spans="1:5" x14ac:dyDescent="0.2">
      <c r="A122" s="78">
        <v>98255</v>
      </c>
      <c r="B122" s="14" t="s">
        <v>10</v>
      </c>
      <c r="C122" s="15">
        <v>1</v>
      </c>
      <c r="D122" s="15">
        <v>1</v>
      </c>
      <c r="E122" s="68">
        <v>2</v>
      </c>
    </row>
    <row r="123" spans="1:5" x14ac:dyDescent="0.2">
      <c r="A123" s="78">
        <v>98257</v>
      </c>
      <c r="B123" s="14" t="s">
        <v>10</v>
      </c>
      <c r="C123" s="15">
        <v>27</v>
      </c>
      <c r="D123" s="15">
        <v>9</v>
      </c>
      <c r="E123" s="68">
        <v>17</v>
      </c>
    </row>
    <row r="124" spans="1:5" x14ac:dyDescent="0.2">
      <c r="A124" s="78">
        <v>98258</v>
      </c>
      <c r="B124" s="14" t="s">
        <v>10</v>
      </c>
      <c r="C124" s="15">
        <v>21</v>
      </c>
      <c r="D124" s="15">
        <v>16</v>
      </c>
      <c r="E124" s="68">
        <v>11</v>
      </c>
    </row>
    <row r="125" spans="1:5" x14ac:dyDescent="0.2">
      <c r="A125" s="78">
        <v>98260</v>
      </c>
      <c r="B125" s="14" t="s">
        <v>10</v>
      </c>
      <c r="C125" s="15">
        <v>9</v>
      </c>
      <c r="D125" s="15">
        <v>3</v>
      </c>
      <c r="E125" s="68">
        <v>7</v>
      </c>
    </row>
    <row r="126" spans="1:5" x14ac:dyDescent="0.2">
      <c r="A126" s="78">
        <v>98262</v>
      </c>
      <c r="B126" s="14" t="s">
        <v>10</v>
      </c>
      <c r="C126" s="15"/>
      <c r="D126" s="15"/>
      <c r="E126" s="68">
        <v>2</v>
      </c>
    </row>
    <row r="127" spans="1:5" x14ac:dyDescent="0.2">
      <c r="A127" s="78">
        <v>98264</v>
      </c>
      <c r="B127" s="14" t="s">
        <v>10</v>
      </c>
      <c r="C127" s="15">
        <v>23</v>
      </c>
      <c r="D127" s="15">
        <v>23</v>
      </c>
      <c r="E127" s="68">
        <v>28</v>
      </c>
    </row>
    <row r="128" spans="1:5" x14ac:dyDescent="0.2">
      <c r="A128" s="78">
        <v>98266</v>
      </c>
      <c r="B128" s="14" t="s">
        <v>10</v>
      </c>
      <c r="C128" s="15">
        <v>25</v>
      </c>
      <c r="D128" s="15">
        <v>28</v>
      </c>
      <c r="E128" s="68">
        <v>18</v>
      </c>
    </row>
    <row r="129" spans="1:5" x14ac:dyDescent="0.2">
      <c r="A129" s="78">
        <v>98267</v>
      </c>
      <c r="B129" s="14" t="s">
        <v>10</v>
      </c>
      <c r="C129" s="15"/>
      <c r="D129" s="15">
        <v>2</v>
      </c>
      <c r="E129" s="68">
        <v>1</v>
      </c>
    </row>
    <row r="130" spans="1:5" x14ac:dyDescent="0.2">
      <c r="A130" s="78">
        <v>98270</v>
      </c>
      <c r="B130" s="14" t="s">
        <v>10</v>
      </c>
      <c r="C130" s="15">
        <v>53</v>
      </c>
      <c r="D130" s="15">
        <v>24</v>
      </c>
      <c r="E130" s="68">
        <v>17</v>
      </c>
    </row>
    <row r="131" spans="1:5" x14ac:dyDescent="0.2">
      <c r="A131" s="78">
        <v>98271</v>
      </c>
      <c r="B131" s="14" t="s">
        <v>10</v>
      </c>
      <c r="C131" s="15">
        <v>13</v>
      </c>
      <c r="D131" s="15">
        <v>7</v>
      </c>
      <c r="E131" s="68">
        <v>6</v>
      </c>
    </row>
    <row r="132" spans="1:5" x14ac:dyDescent="0.2">
      <c r="A132" s="78">
        <v>98272</v>
      </c>
      <c r="B132" s="14" t="s">
        <v>10</v>
      </c>
      <c r="C132" s="15">
        <v>9</v>
      </c>
      <c r="D132" s="15">
        <v>3</v>
      </c>
      <c r="E132" s="68">
        <v>2</v>
      </c>
    </row>
    <row r="133" spans="1:5" x14ac:dyDescent="0.2">
      <c r="A133" s="78">
        <v>98273</v>
      </c>
      <c r="B133" s="14" t="s">
        <v>10</v>
      </c>
      <c r="C133" s="15">
        <v>65</v>
      </c>
      <c r="D133" s="15">
        <v>66</v>
      </c>
      <c r="E133" s="68">
        <v>92</v>
      </c>
    </row>
    <row r="134" spans="1:5" x14ac:dyDescent="0.2">
      <c r="A134" s="78">
        <v>98274</v>
      </c>
      <c r="B134" s="14" t="s">
        <v>10</v>
      </c>
      <c r="C134" s="15">
        <v>29</v>
      </c>
      <c r="D134" s="15">
        <v>24</v>
      </c>
      <c r="E134" s="68">
        <v>30</v>
      </c>
    </row>
    <row r="135" spans="1:5" x14ac:dyDescent="0.2">
      <c r="A135" s="78">
        <v>98275</v>
      </c>
      <c r="B135" s="14" t="s">
        <v>10</v>
      </c>
      <c r="C135" s="15">
        <v>8</v>
      </c>
      <c r="D135" s="15">
        <v>5</v>
      </c>
      <c r="E135" s="68">
        <v>2</v>
      </c>
    </row>
    <row r="136" spans="1:5" x14ac:dyDescent="0.2">
      <c r="A136" s="78">
        <v>98276</v>
      </c>
      <c r="B136" s="14" t="s">
        <v>10</v>
      </c>
      <c r="C136" s="15">
        <v>2</v>
      </c>
      <c r="D136" s="15">
        <v>5</v>
      </c>
      <c r="E136" s="68"/>
    </row>
    <row r="137" spans="1:5" x14ac:dyDescent="0.2">
      <c r="A137" s="78">
        <v>98277</v>
      </c>
      <c r="B137" s="14" t="s">
        <v>10</v>
      </c>
      <c r="C137" s="15">
        <v>59</v>
      </c>
      <c r="D137" s="15">
        <v>33</v>
      </c>
      <c r="E137" s="68">
        <v>74</v>
      </c>
    </row>
    <row r="138" spans="1:5" x14ac:dyDescent="0.2">
      <c r="A138" s="78">
        <v>98281</v>
      </c>
      <c r="B138" s="14" t="s">
        <v>10</v>
      </c>
      <c r="C138" s="15">
        <v>1</v>
      </c>
      <c r="D138" s="15">
        <v>2</v>
      </c>
      <c r="E138" s="68">
        <v>4</v>
      </c>
    </row>
    <row r="139" spans="1:5" x14ac:dyDescent="0.2">
      <c r="A139" s="78">
        <v>98283</v>
      </c>
      <c r="B139" s="14" t="s">
        <v>10</v>
      </c>
      <c r="C139" s="15">
        <v>1</v>
      </c>
      <c r="D139" s="15">
        <v>1</v>
      </c>
      <c r="E139" s="68">
        <v>2</v>
      </c>
    </row>
    <row r="140" spans="1:5" x14ac:dyDescent="0.2">
      <c r="A140" s="78">
        <v>98284</v>
      </c>
      <c r="B140" s="14" t="s">
        <v>10</v>
      </c>
      <c r="C140" s="15">
        <v>45</v>
      </c>
      <c r="D140" s="15">
        <v>33</v>
      </c>
      <c r="E140" s="68">
        <v>71</v>
      </c>
    </row>
    <row r="141" spans="1:5" x14ac:dyDescent="0.2">
      <c r="A141" s="78">
        <v>98288</v>
      </c>
      <c r="B141" s="14" t="s">
        <v>10</v>
      </c>
      <c r="C141" s="15">
        <v>1</v>
      </c>
      <c r="D141" s="15">
        <v>1</v>
      </c>
      <c r="E141" s="68">
        <v>3</v>
      </c>
    </row>
    <row r="142" spans="1:5" x14ac:dyDescent="0.2">
      <c r="A142" s="78">
        <v>98290</v>
      </c>
      <c r="B142" s="14" t="s">
        <v>10</v>
      </c>
      <c r="C142" s="15">
        <v>3</v>
      </c>
      <c r="D142" s="15">
        <v>2</v>
      </c>
      <c r="E142" s="68">
        <v>1</v>
      </c>
    </row>
    <row r="143" spans="1:5" x14ac:dyDescent="0.2">
      <c r="A143" s="78">
        <v>98292</v>
      </c>
      <c r="B143" s="14" t="s">
        <v>10</v>
      </c>
      <c r="C143" s="15"/>
      <c r="D143" s="15">
        <v>1</v>
      </c>
      <c r="E143" s="68"/>
    </row>
    <row r="144" spans="1:5" x14ac:dyDescent="0.2">
      <c r="A144" s="78">
        <v>98294</v>
      </c>
      <c r="B144" s="14" t="s">
        <v>10</v>
      </c>
      <c r="C144" s="15">
        <v>6</v>
      </c>
      <c r="D144" s="15">
        <v>3</v>
      </c>
      <c r="E144" s="68">
        <v>8</v>
      </c>
    </row>
    <row r="145" spans="1:5" x14ac:dyDescent="0.2">
      <c r="A145" s="78">
        <v>98295</v>
      </c>
      <c r="B145" s="14" t="s">
        <v>10</v>
      </c>
      <c r="C145" s="15">
        <v>5</v>
      </c>
      <c r="D145" s="15">
        <v>2</v>
      </c>
      <c r="E145" s="68">
        <v>2</v>
      </c>
    </row>
    <row r="146" spans="1:5" x14ac:dyDescent="0.2">
      <c r="A146" s="78">
        <v>98296</v>
      </c>
      <c r="B146" s="14" t="s">
        <v>10</v>
      </c>
      <c r="C146" s="15">
        <v>8</v>
      </c>
      <c r="D146" s="15">
        <v>2</v>
      </c>
      <c r="E146" s="68">
        <v>1</v>
      </c>
    </row>
    <row r="147" spans="1:5" x14ac:dyDescent="0.2">
      <c r="A147" s="78">
        <v>98310</v>
      </c>
      <c r="B147" s="14" t="s">
        <v>10</v>
      </c>
      <c r="C147" s="15">
        <v>22</v>
      </c>
      <c r="D147" s="15">
        <v>15</v>
      </c>
      <c r="E147" s="68">
        <v>21</v>
      </c>
    </row>
    <row r="148" spans="1:5" x14ac:dyDescent="0.2">
      <c r="A148" s="78">
        <v>98311</v>
      </c>
      <c r="B148" s="14" t="s">
        <v>10</v>
      </c>
      <c r="C148" s="15">
        <v>14</v>
      </c>
      <c r="D148" s="15">
        <v>14</v>
      </c>
      <c r="E148" s="68">
        <v>18</v>
      </c>
    </row>
    <row r="149" spans="1:5" x14ac:dyDescent="0.2">
      <c r="A149" s="78">
        <v>98312</v>
      </c>
      <c r="B149" s="14" t="s">
        <v>10</v>
      </c>
      <c r="C149" s="15">
        <v>20</v>
      </c>
      <c r="D149" s="15">
        <v>29</v>
      </c>
      <c r="E149" s="68">
        <v>32</v>
      </c>
    </row>
    <row r="150" spans="1:5" x14ac:dyDescent="0.2">
      <c r="A150" s="78">
        <v>98321</v>
      </c>
      <c r="B150" s="14" t="s">
        <v>10</v>
      </c>
      <c r="C150" s="15">
        <v>13</v>
      </c>
      <c r="D150" s="15">
        <v>10</v>
      </c>
      <c r="E150" s="68">
        <v>13</v>
      </c>
    </row>
    <row r="151" spans="1:5" x14ac:dyDescent="0.2">
      <c r="A151" s="78">
        <v>98327</v>
      </c>
      <c r="B151" s="14" t="s">
        <v>10</v>
      </c>
      <c r="C151" s="15"/>
      <c r="D151" s="15">
        <v>2</v>
      </c>
      <c r="E151" s="68"/>
    </row>
    <row r="152" spans="1:5" x14ac:dyDescent="0.2">
      <c r="A152" s="78">
        <v>98332</v>
      </c>
      <c r="B152" s="14" t="s">
        <v>10</v>
      </c>
      <c r="C152" s="15"/>
      <c r="D152" s="15">
        <v>1</v>
      </c>
      <c r="E152" s="68">
        <v>1</v>
      </c>
    </row>
    <row r="153" spans="1:5" x14ac:dyDescent="0.2">
      <c r="A153" s="78">
        <v>98335</v>
      </c>
      <c r="B153" s="14" t="s">
        <v>10</v>
      </c>
      <c r="C153" s="15">
        <v>8</v>
      </c>
      <c r="D153" s="15">
        <v>2</v>
      </c>
      <c r="E153" s="68"/>
    </row>
    <row r="154" spans="1:5" x14ac:dyDescent="0.2">
      <c r="A154" s="78">
        <v>98337</v>
      </c>
      <c r="B154" s="14" t="s">
        <v>10</v>
      </c>
      <c r="C154" s="15">
        <v>7</v>
      </c>
      <c r="D154" s="15">
        <v>8</v>
      </c>
      <c r="E154" s="68">
        <v>13</v>
      </c>
    </row>
    <row r="155" spans="1:5" x14ac:dyDescent="0.2">
      <c r="A155" s="78">
        <v>98338</v>
      </c>
      <c r="B155" s="14" t="s">
        <v>10</v>
      </c>
      <c r="C155" s="15">
        <v>9</v>
      </c>
      <c r="D155" s="15">
        <v>9</v>
      </c>
      <c r="E155" s="68">
        <v>9</v>
      </c>
    </row>
    <row r="156" spans="1:5" x14ac:dyDescent="0.2">
      <c r="A156" s="78">
        <v>98340</v>
      </c>
      <c r="B156" s="14" t="s">
        <v>10</v>
      </c>
      <c r="C156" s="15"/>
      <c r="D156" s="15">
        <v>1</v>
      </c>
      <c r="E156" s="68">
        <v>3</v>
      </c>
    </row>
    <row r="157" spans="1:5" x14ac:dyDescent="0.2">
      <c r="A157" s="78">
        <v>98342</v>
      </c>
      <c r="B157" s="14" t="s">
        <v>10</v>
      </c>
      <c r="C157" s="15">
        <v>8</v>
      </c>
      <c r="D157" s="15">
        <v>4</v>
      </c>
      <c r="E157" s="68">
        <v>7</v>
      </c>
    </row>
    <row r="158" spans="1:5" x14ac:dyDescent="0.2">
      <c r="A158" s="78">
        <v>98346</v>
      </c>
      <c r="B158" s="14" t="s">
        <v>10</v>
      </c>
      <c r="C158" s="15">
        <v>14</v>
      </c>
      <c r="D158" s="15">
        <v>28</v>
      </c>
      <c r="E158" s="68">
        <v>34</v>
      </c>
    </row>
    <row r="159" spans="1:5" x14ac:dyDescent="0.2">
      <c r="A159" s="78">
        <v>98354</v>
      </c>
      <c r="B159" s="14" t="s">
        <v>10</v>
      </c>
      <c r="C159" s="15">
        <v>4</v>
      </c>
      <c r="D159" s="15">
        <v>1</v>
      </c>
      <c r="E159" s="68">
        <v>1</v>
      </c>
    </row>
    <row r="160" spans="1:5" x14ac:dyDescent="0.2">
      <c r="A160" s="78">
        <v>98359</v>
      </c>
      <c r="B160" s="14" t="s">
        <v>10</v>
      </c>
      <c r="C160" s="15">
        <v>3</v>
      </c>
      <c r="D160" s="15">
        <v>5</v>
      </c>
      <c r="E160" s="68">
        <v>3</v>
      </c>
    </row>
    <row r="161" spans="1:5" x14ac:dyDescent="0.2">
      <c r="A161" s="78">
        <v>98360</v>
      </c>
      <c r="B161" s="14" t="s">
        <v>10</v>
      </c>
      <c r="C161" s="15">
        <v>3</v>
      </c>
      <c r="D161" s="15">
        <v>13</v>
      </c>
      <c r="E161" s="68">
        <v>8</v>
      </c>
    </row>
    <row r="162" spans="1:5" x14ac:dyDescent="0.2">
      <c r="A162" s="78">
        <v>98366</v>
      </c>
      <c r="B162" s="14" t="s">
        <v>10</v>
      </c>
      <c r="C162" s="15">
        <v>15</v>
      </c>
      <c r="D162" s="15">
        <v>26</v>
      </c>
      <c r="E162" s="68">
        <v>35</v>
      </c>
    </row>
    <row r="163" spans="1:5" x14ac:dyDescent="0.2">
      <c r="A163" s="78">
        <v>98367</v>
      </c>
      <c r="B163" s="14" t="s">
        <v>10</v>
      </c>
      <c r="C163" s="15">
        <v>10</v>
      </c>
      <c r="D163" s="15">
        <v>10</v>
      </c>
      <c r="E163" s="68">
        <v>11</v>
      </c>
    </row>
    <row r="164" spans="1:5" x14ac:dyDescent="0.2">
      <c r="A164" s="78">
        <v>98370</v>
      </c>
      <c r="B164" s="14" t="s">
        <v>10</v>
      </c>
      <c r="C164" s="15">
        <v>24</v>
      </c>
      <c r="D164" s="15">
        <v>21</v>
      </c>
      <c r="E164" s="68">
        <v>28</v>
      </c>
    </row>
    <row r="165" spans="1:5" x14ac:dyDescent="0.2">
      <c r="A165" s="78">
        <v>98371</v>
      </c>
      <c r="B165" s="14" t="s">
        <v>10</v>
      </c>
      <c r="C165" s="15">
        <v>19</v>
      </c>
      <c r="D165" s="15">
        <v>17</v>
      </c>
      <c r="E165" s="68">
        <v>17</v>
      </c>
    </row>
    <row r="166" spans="1:5" x14ac:dyDescent="0.2">
      <c r="A166" s="78">
        <v>98372</v>
      </c>
      <c r="B166" s="14" t="s">
        <v>10</v>
      </c>
      <c r="C166" s="15">
        <v>24</v>
      </c>
      <c r="D166" s="15">
        <v>17</v>
      </c>
      <c r="E166" s="68">
        <v>22</v>
      </c>
    </row>
    <row r="167" spans="1:5" x14ac:dyDescent="0.2">
      <c r="A167" s="78">
        <v>98373</v>
      </c>
      <c r="B167" s="14" t="s">
        <v>10</v>
      </c>
      <c r="C167" s="15">
        <v>16</v>
      </c>
      <c r="D167" s="15">
        <v>17</v>
      </c>
      <c r="E167" s="68">
        <v>15</v>
      </c>
    </row>
    <row r="168" spans="1:5" x14ac:dyDescent="0.2">
      <c r="A168" s="78">
        <v>98374</v>
      </c>
      <c r="B168" s="14" t="s">
        <v>10</v>
      </c>
      <c r="C168" s="15">
        <v>27</v>
      </c>
      <c r="D168" s="15">
        <v>30</v>
      </c>
      <c r="E168" s="68">
        <v>41</v>
      </c>
    </row>
    <row r="169" spans="1:5" x14ac:dyDescent="0.2">
      <c r="A169" s="78">
        <v>98375</v>
      </c>
      <c r="B169" s="14" t="s">
        <v>10</v>
      </c>
      <c r="C169" s="15">
        <v>17</v>
      </c>
      <c r="D169" s="15">
        <v>18</v>
      </c>
      <c r="E169" s="68">
        <v>23</v>
      </c>
    </row>
    <row r="170" spans="1:5" x14ac:dyDescent="0.2">
      <c r="A170" s="78">
        <v>98380</v>
      </c>
      <c r="B170" s="14" t="s">
        <v>10</v>
      </c>
      <c r="C170" s="15"/>
      <c r="D170" s="15">
        <v>1</v>
      </c>
      <c r="E170" s="68"/>
    </row>
    <row r="171" spans="1:5" x14ac:dyDescent="0.2">
      <c r="A171" s="78">
        <v>98383</v>
      </c>
      <c r="B171" s="14" t="s">
        <v>10</v>
      </c>
      <c r="C171" s="15"/>
      <c r="D171" s="15">
        <v>3</v>
      </c>
      <c r="E171" s="68">
        <v>3</v>
      </c>
    </row>
    <row r="172" spans="1:5" x14ac:dyDescent="0.2">
      <c r="A172" s="78">
        <v>98385</v>
      </c>
      <c r="B172" s="14" t="s">
        <v>10</v>
      </c>
      <c r="C172" s="15">
        <v>1</v>
      </c>
      <c r="D172" s="15"/>
      <c r="E172" s="68"/>
    </row>
    <row r="173" spans="1:5" x14ac:dyDescent="0.2">
      <c r="A173" s="78">
        <v>98387</v>
      </c>
      <c r="B173" s="14" t="s">
        <v>10</v>
      </c>
      <c r="C173" s="15">
        <v>20</v>
      </c>
      <c r="D173" s="15">
        <v>16</v>
      </c>
      <c r="E173" s="68">
        <v>23</v>
      </c>
    </row>
    <row r="174" spans="1:5" x14ac:dyDescent="0.2">
      <c r="A174" s="78">
        <v>98388</v>
      </c>
      <c r="B174" s="14" t="s">
        <v>10</v>
      </c>
      <c r="C174" s="15">
        <v>3</v>
      </c>
      <c r="D174" s="15">
        <v>1</v>
      </c>
      <c r="E174" s="68">
        <v>2</v>
      </c>
    </row>
    <row r="175" spans="1:5" x14ac:dyDescent="0.2">
      <c r="A175" s="78">
        <v>98390</v>
      </c>
      <c r="B175" s="14" t="s">
        <v>10</v>
      </c>
      <c r="C175" s="15">
        <v>13</v>
      </c>
      <c r="D175" s="15">
        <v>5</v>
      </c>
      <c r="E175" s="68">
        <v>13</v>
      </c>
    </row>
    <row r="176" spans="1:5" x14ac:dyDescent="0.2">
      <c r="A176" s="78">
        <v>98391</v>
      </c>
      <c r="B176" s="14" t="s">
        <v>10</v>
      </c>
      <c r="C176" s="15">
        <v>25</v>
      </c>
      <c r="D176" s="15">
        <v>23</v>
      </c>
      <c r="E176" s="68">
        <v>43</v>
      </c>
    </row>
    <row r="177" spans="1:5" x14ac:dyDescent="0.2">
      <c r="A177" s="78">
        <v>98392</v>
      </c>
      <c r="B177" s="14" t="s">
        <v>10</v>
      </c>
      <c r="C177" s="15">
        <v>35</v>
      </c>
      <c r="D177" s="15">
        <v>36</v>
      </c>
      <c r="E177" s="68">
        <v>34</v>
      </c>
    </row>
    <row r="178" spans="1:5" x14ac:dyDescent="0.2">
      <c r="A178" s="78">
        <v>98396</v>
      </c>
      <c r="B178" s="14" t="s">
        <v>10</v>
      </c>
      <c r="C178" s="15">
        <v>2</v>
      </c>
      <c r="D178" s="15"/>
      <c r="E178" s="68"/>
    </row>
    <row r="179" spans="1:5" x14ac:dyDescent="0.2">
      <c r="A179" s="78">
        <v>98403</v>
      </c>
      <c r="B179" s="14" t="s">
        <v>10</v>
      </c>
      <c r="C179" s="15">
        <v>1</v>
      </c>
      <c r="D179" s="15">
        <v>2</v>
      </c>
      <c r="E179" s="68">
        <v>2</v>
      </c>
    </row>
    <row r="180" spans="1:5" x14ac:dyDescent="0.2">
      <c r="A180" s="78">
        <v>98404</v>
      </c>
      <c r="B180" s="14" t="s">
        <v>10</v>
      </c>
      <c r="C180" s="15">
        <v>16</v>
      </c>
      <c r="D180" s="15">
        <v>18</v>
      </c>
      <c r="E180" s="68">
        <v>16</v>
      </c>
    </row>
    <row r="181" spans="1:5" x14ac:dyDescent="0.2">
      <c r="A181" s="78">
        <v>98405</v>
      </c>
      <c r="B181" s="14" t="s">
        <v>10</v>
      </c>
      <c r="C181" s="15">
        <v>8</v>
      </c>
      <c r="D181" s="15">
        <v>11</v>
      </c>
      <c r="E181" s="68">
        <v>11</v>
      </c>
    </row>
    <row r="182" spans="1:5" x14ac:dyDescent="0.2">
      <c r="A182" s="78">
        <v>98406</v>
      </c>
      <c r="B182" s="14" t="s">
        <v>10</v>
      </c>
      <c r="C182" s="15">
        <v>5</v>
      </c>
      <c r="D182" s="15">
        <v>8</v>
      </c>
      <c r="E182" s="68">
        <v>5</v>
      </c>
    </row>
    <row r="183" spans="1:5" x14ac:dyDescent="0.2">
      <c r="A183" s="78">
        <v>98407</v>
      </c>
      <c r="B183" s="14" t="s">
        <v>10</v>
      </c>
      <c r="C183" s="15">
        <v>6</v>
      </c>
      <c r="D183" s="15">
        <v>1</v>
      </c>
      <c r="E183" s="68">
        <v>4</v>
      </c>
    </row>
    <row r="184" spans="1:5" x14ac:dyDescent="0.2">
      <c r="A184" s="78">
        <v>98408</v>
      </c>
      <c r="B184" s="14" t="s">
        <v>10</v>
      </c>
      <c r="C184" s="15">
        <v>14</v>
      </c>
      <c r="D184" s="15">
        <v>14</v>
      </c>
      <c r="E184" s="68">
        <v>2</v>
      </c>
    </row>
    <row r="185" spans="1:5" x14ac:dyDescent="0.2">
      <c r="A185" s="78">
        <v>98409</v>
      </c>
      <c r="B185" s="14" t="s">
        <v>10</v>
      </c>
      <c r="C185" s="15">
        <v>20</v>
      </c>
      <c r="D185" s="15">
        <v>12</v>
      </c>
      <c r="E185" s="68">
        <v>5</v>
      </c>
    </row>
    <row r="186" spans="1:5" x14ac:dyDescent="0.2">
      <c r="A186" s="78">
        <v>98418</v>
      </c>
      <c r="B186" s="14" t="s">
        <v>10</v>
      </c>
      <c r="C186" s="15">
        <v>11</v>
      </c>
      <c r="D186" s="15">
        <v>8</v>
      </c>
      <c r="E186" s="68">
        <v>1</v>
      </c>
    </row>
    <row r="187" spans="1:5" x14ac:dyDescent="0.2">
      <c r="A187" s="78">
        <v>98421</v>
      </c>
      <c r="B187" s="14" t="s">
        <v>10</v>
      </c>
      <c r="C187" s="15">
        <v>1</v>
      </c>
      <c r="D187" s="15"/>
      <c r="E187" s="68"/>
    </row>
    <row r="188" spans="1:5" x14ac:dyDescent="0.2">
      <c r="A188" s="78">
        <v>98422</v>
      </c>
      <c r="B188" s="14" t="s">
        <v>10</v>
      </c>
      <c r="C188" s="15">
        <v>5</v>
      </c>
      <c r="D188" s="15">
        <v>2</v>
      </c>
      <c r="E188" s="68">
        <v>5</v>
      </c>
    </row>
    <row r="189" spans="1:5" x14ac:dyDescent="0.2">
      <c r="A189" s="78">
        <v>98424</v>
      </c>
      <c r="B189" s="14" t="s">
        <v>10</v>
      </c>
      <c r="C189" s="15">
        <v>3</v>
      </c>
      <c r="D189" s="15">
        <v>6</v>
      </c>
      <c r="E189" s="68">
        <v>5</v>
      </c>
    </row>
    <row r="190" spans="1:5" x14ac:dyDescent="0.2">
      <c r="A190" s="78">
        <v>98439</v>
      </c>
      <c r="B190" s="14" t="s">
        <v>10</v>
      </c>
      <c r="C190" s="15">
        <v>7</v>
      </c>
      <c r="D190" s="15">
        <v>4</v>
      </c>
      <c r="E190" s="68">
        <v>6</v>
      </c>
    </row>
    <row r="191" spans="1:5" x14ac:dyDescent="0.2">
      <c r="A191" s="78">
        <v>98443</v>
      </c>
      <c r="B191" s="14" t="s">
        <v>10</v>
      </c>
      <c r="C191" s="15"/>
      <c r="D191" s="15"/>
      <c r="E191" s="68">
        <v>1</v>
      </c>
    </row>
    <row r="192" spans="1:5" x14ac:dyDescent="0.2">
      <c r="A192" s="78">
        <v>98444</v>
      </c>
      <c r="B192" s="14" t="s">
        <v>10</v>
      </c>
      <c r="C192" s="15">
        <v>18</v>
      </c>
      <c r="D192" s="15">
        <v>8</v>
      </c>
      <c r="E192" s="68">
        <v>5</v>
      </c>
    </row>
    <row r="193" spans="1:5" x14ac:dyDescent="0.2">
      <c r="A193" s="78">
        <v>98445</v>
      </c>
      <c r="B193" s="14" t="s">
        <v>10</v>
      </c>
      <c r="C193" s="15">
        <v>22</v>
      </c>
      <c r="D193" s="15">
        <v>11</v>
      </c>
      <c r="E193" s="68">
        <v>13</v>
      </c>
    </row>
    <row r="194" spans="1:5" x14ac:dyDescent="0.2">
      <c r="A194" s="78">
        <v>98446</v>
      </c>
      <c r="B194" s="14" t="s">
        <v>10</v>
      </c>
      <c r="C194" s="15">
        <v>2</v>
      </c>
      <c r="D194" s="15"/>
      <c r="E194" s="68">
        <v>1</v>
      </c>
    </row>
    <row r="195" spans="1:5" x14ac:dyDescent="0.2">
      <c r="A195" s="78">
        <v>98465</v>
      </c>
      <c r="B195" s="14" t="s">
        <v>10</v>
      </c>
      <c r="C195" s="15">
        <v>2</v>
      </c>
      <c r="D195" s="15">
        <v>1</v>
      </c>
      <c r="E195" s="68">
        <v>2</v>
      </c>
    </row>
    <row r="196" spans="1:5" x14ac:dyDescent="0.2">
      <c r="A196" s="78">
        <v>98466</v>
      </c>
      <c r="B196" s="14" t="s">
        <v>10</v>
      </c>
      <c r="C196" s="15">
        <v>6</v>
      </c>
      <c r="D196" s="15">
        <v>4</v>
      </c>
      <c r="E196" s="68">
        <v>1</v>
      </c>
    </row>
    <row r="197" spans="1:5" x14ac:dyDescent="0.2">
      <c r="A197" s="78">
        <v>98467</v>
      </c>
      <c r="B197" s="14" t="s">
        <v>10</v>
      </c>
      <c r="C197" s="15"/>
      <c r="D197" s="15"/>
      <c r="E197" s="68">
        <v>2</v>
      </c>
    </row>
    <row r="198" spans="1:5" x14ac:dyDescent="0.2">
      <c r="A198" s="78">
        <v>98498</v>
      </c>
      <c r="B198" s="14" t="s">
        <v>10</v>
      </c>
      <c r="C198" s="15">
        <v>33</v>
      </c>
      <c r="D198" s="15">
        <v>18</v>
      </c>
      <c r="E198" s="68">
        <v>16</v>
      </c>
    </row>
    <row r="199" spans="1:5" x14ac:dyDescent="0.2">
      <c r="A199" s="78">
        <v>98499</v>
      </c>
      <c r="B199" s="14" t="s">
        <v>10</v>
      </c>
      <c r="C199" s="15">
        <v>19</v>
      </c>
      <c r="D199" s="15">
        <v>8</v>
      </c>
      <c r="E199" s="68">
        <v>7</v>
      </c>
    </row>
    <row r="200" spans="1:5" x14ac:dyDescent="0.2">
      <c r="A200" s="78">
        <v>98501</v>
      </c>
      <c r="B200" s="14" t="s">
        <v>10</v>
      </c>
      <c r="C200" s="15">
        <v>83</v>
      </c>
      <c r="D200" s="15">
        <v>49</v>
      </c>
      <c r="E200" s="68">
        <v>52</v>
      </c>
    </row>
    <row r="201" spans="1:5" x14ac:dyDescent="0.2">
      <c r="A201" s="78">
        <v>98502</v>
      </c>
      <c r="B201" s="14" t="s">
        <v>10</v>
      </c>
      <c r="C201" s="15">
        <v>116</v>
      </c>
      <c r="D201" s="15">
        <v>61</v>
      </c>
      <c r="E201" s="68">
        <v>54</v>
      </c>
    </row>
    <row r="202" spans="1:5" x14ac:dyDescent="0.2">
      <c r="A202" s="78">
        <v>98503</v>
      </c>
      <c r="B202" s="14" t="s">
        <v>10</v>
      </c>
      <c r="C202" s="15">
        <v>102</v>
      </c>
      <c r="D202" s="15">
        <v>65</v>
      </c>
      <c r="E202" s="68">
        <v>93</v>
      </c>
    </row>
    <row r="203" spans="1:5" x14ac:dyDescent="0.2">
      <c r="A203" s="78">
        <v>98506</v>
      </c>
      <c r="B203" s="14" t="s">
        <v>10</v>
      </c>
      <c r="C203" s="15">
        <v>44</v>
      </c>
      <c r="D203" s="15">
        <v>21</v>
      </c>
      <c r="E203" s="68">
        <v>24</v>
      </c>
    </row>
    <row r="204" spans="1:5" x14ac:dyDescent="0.2">
      <c r="A204" s="78">
        <v>98512</v>
      </c>
      <c r="B204" s="14" t="s">
        <v>10</v>
      </c>
      <c r="C204" s="15">
        <v>66</v>
      </c>
      <c r="D204" s="15">
        <v>36</v>
      </c>
      <c r="E204" s="68">
        <v>30</v>
      </c>
    </row>
    <row r="205" spans="1:5" x14ac:dyDescent="0.2">
      <c r="A205" s="78">
        <v>98513</v>
      </c>
      <c r="B205" s="14" t="s">
        <v>10</v>
      </c>
      <c r="C205" s="15">
        <v>55</v>
      </c>
      <c r="D205" s="15">
        <v>40</v>
      </c>
      <c r="E205" s="68">
        <v>40</v>
      </c>
    </row>
    <row r="206" spans="1:5" x14ac:dyDescent="0.2">
      <c r="A206" s="78">
        <v>98516</v>
      </c>
      <c r="B206" s="14" t="s">
        <v>10</v>
      </c>
      <c r="C206" s="15">
        <v>54</v>
      </c>
      <c r="D206" s="15">
        <v>29</v>
      </c>
      <c r="E206" s="68">
        <v>32</v>
      </c>
    </row>
    <row r="207" spans="1:5" x14ac:dyDescent="0.2">
      <c r="A207" s="78">
        <v>98530</v>
      </c>
      <c r="B207" s="14" t="s">
        <v>10</v>
      </c>
      <c r="C207" s="15">
        <v>2</v>
      </c>
      <c r="D207" s="15">
        <v>3</v>
      </c>
      <c r="E207" s="68">
        <v>2</v>
      </c>
    </row>
    <row r="208" spans="1:5" x14ac:dyDescent="0.2">
      <c r="A208" s="78">
        <v>98531</v>
      </c>
      <c r="B208" s="14" t="s">
        <v>10</v>
      </c>
      <c r="C208" s="15">
        <v>15</v>
      </c>
      <c r="D208" s="15">
        <v>14</v>
      </c>
      <c r="E208" s="68">
        <v>10</v>
      </c>
    </row>
    <row r="209" spans="1:5" x14ac:dyDescent="0.2">
      <c r="A209" s="78">
        <v>98532</v>
      </c>
      <c r="B209" s="14" t="s">
        <v>10</v>
      </c>
      <c r="C209" s="15"/>
      <c r="D209" s="15">
        <v>1</v>
      </c>
      <c r="E209" s="68">
        <v>2</v>
      </c>
    </row>
    <row r="210" spans="1:5" x14ac:dyDescent="0.2">
      <c r="A210" s="78">
        <v>98576</v>
      </c>
      <c r="B210" s="14" t="s">
        <v>10</v>
      </c>
      <c r="C210" s="15">
        <v>11</v>
      </c>
      <c r="D210" s="15">
        <v>10</v>
      </c>
      <c r="E210" s="68">
        <v>4</v>
      </c>
    </row>
    <row r="211" spans="1:5" x14ac:dyDescent="0.2">
      <c r="A211" s="78">
        <v>98579</v>
      </c>
      <c r="B211" s="14" t="s">
        <v>10</v>
      </c>
      <c r="C211" s="15">
        <v>35</v>
      </c>
      <c r="D211" s="15">
        <v>21</v>
      </c>
      <c r="E211" s="68">
        <v>18</v>
      </c>
    </row>
    <row r="212" spans="1:5" x14ac:dyDescent="0.2">
      <c r="A212" s="78">
        <v>98580</v>
      </c>
      <c r="B212" s="14" t="s">
        <v>10</v>
      </c>
      <c r="C212" s="15">
        <v>2</v>
      </c>
      <c r="D212" s="15">
        <v>5</v>
      </c>
      <c r="E212" s="68">
        <v>7</v>
      </c>
    </row>
    <row r="213" spans="1:5" x14ac:dyDescent="0.2">
      <c r="A213" s="78">
        <v>98589</v>
      </c>
      <c r="B213" s="14" t="s">
        <v>10</v>
      </c>
      <c r="C213" s="15">
        <v>20</v>
      </c>
      <c r="D213" s="15">
        <v>10</v>
      </c>
      <c r="E213" s="68">
        <v>9</v>
      </c>
    </row>
    <row r="214" spans="1:5" x14ac:dyDescent="0.2">
      <c r="A214" s="82">
        <v>98597</v>
      </c>
      <c r="B214" s="97" t="s">
        <v>10</v>
      </c>
      <c r="C214" s="115">
        <v>60</v>
      </c>
      <c r="D214" s="115">
        <v>44</v>
      </c>
      <c r="E214" s="118">
        <v>46</v>
      </c>
    </row>
    <row r="215" spans="1:5" x14ac:dyDescent="0.2">
      <c r="A215" s="80">
        <v>98922</v>
      </c>
      <c r="B215" s="14" t="s">
        <v>10</v>
      </c>
      <c r="C215" s="51">
        <v>20</v>
      </c>
      <c r="D215" s="51">
        <v>13</v>
      </c>
      <c r="E215" s="119">
        <v>16</v>
      </c>
    </row>
    <row r="216" spans="1:5" x14ac:dyDescent="0.2">
      <c r="A216" s="80">
        <v>98925</v>
      </c>
      <c r="B216" s="14" t="s">
        <v>10</v>
      </c>
      <c r="C216" s="51">
        <v>2</v>
      </c>
      <c r="D216" s="51">
        <v>3</v>
      </c>
      <c r="E216" s="119">
        <v>4</v>
      </c>
    </row>
    <row r="217" spans="1:5" x14ac:dyDescent="0.2">
      <c r="A217" s="80">
        <v>98926</v>
      </c>
      <c r="B217" s="14" t="s">
        <v>10</v>
      </c>
      <c r="C217" s="51">
        <v>7</v>
      </c>
      <c r="D217" s="51">
        <v>11</v>
      </c>
      <c r="E217" s="119">
        <v>13</v>
      </c>
    </row>
    <row r="218" spans="1:5" x14ac:dyDescent="0.2">
      <c r="A218" s="80">
        <v>98934</v>
      </c>
      <c r="B218" s="14" t="s">
        <v>10</v>
      </c>
      <c r="C218" s="51">
        <v>6</v>
      </c>
      <c r="D218" s="51">
        <v>12</v>
      </c>
      <c r="E218" s="119">
        <v>13</v>
      </c>
    </row>
    <row r="219" spans="1:5" x14ac:dyDescent="0.2">
      <c r="A219" s="80">
        <v>98940</v>
      </c>
      <c r="B219" s="14" t="s">
        <v>10</v>
      </c>
      <c r="C219" s="51">
        <v>6</v>
      </c>
      <c r="D219" s="51">
        <v>2</v>
      </c>
      <c r="E219" s="119">
        <v>2</v>
      </c>
    </row>
    <row r="220" spans="1:5" x14ac:dyDescent="0.2">
      <c r="A220" s="80">
        <v>98941</v>
      </c>
      <c r="B220" s="14" t="s">
        <v>10</v>
      </c>
      <c r="C220" s="51">
        <v>5</v>
      </c>
      <c r="D220" s="51">
        <v>3</v>
      </c>
      <c r="E220" s="119">
        <v>3</v>
      </c>
    </row>
    <row r="221" spans="1:5" x14ac:dyDescent="0.2">
      <c r="A221" s="14">
        <v>98943</v>
      </c>
      <c r="B221" s="14" t="s">
        <v>10</v>
      </c>
      <c r="C221" s="51">
        <v>3</v>
      </c>
      <c r="D221" s="51">
        <v>2</v>
      </c>
      <c r="E221" s="51">
        <v>4</v>
      </c>
    </row>
    <row r="222" spans="1:5" x14ac:dyDescent="0.2">
      <c r="A222" s="14">
        <v>98946</v>
      </c>
      <c r="B222" s="14" t="s">
        <v>10</v>
      </c>
      <c r="C222" s="51">
        <v>1</v>
      </c>
      <c r="D222" s="51">
        <v>3</v>
      </c>
      <c r="E222" s="51">
        <v>1</v>
      </c>
    </row>
    <row r="223" spans="1:5" ht="16" thickBot="1" x14ac:dyDescent="0.25">
      <c r="A223" s="97" t="s">
        <v>336</v>
      </c>
      <c r="B223" s="97" t="s">
        <v>10</v>
      </c>
      <c r="C223" s="98">
        <v>1</v>
      </c>
      <c r="D223" s="98">
        <v>1</v>
      </c>
      <c r="E223" s="98">
        <v>2</v>
      </c>
    </row>
    <row r="224" spans="1:5" ht="16" thickBot="1" x14ac:dyDescent="0.25">
      <c r="A224" s="152" t="s">
        <v>362</v>
      </c>
      <c r="B224" s="150"/>
      <c r="C224" s="151">
        <f>SUM(C11:C223)</f>
        <v>4489</v>
      </c>
      <c r="D224" s="151">
        <f t="shared" ref="D224" si="0">SUM(D11:D223)</f>
        <v>3863</v>
      </c>
      <c r="E224" s="153">
        <f>SUM(E11:E223)</f>
        <v>5107</v>
      </c>
    </row>
    <row r="225" spans="1:5" x14ac:dyDescent="0.2">
      <c r="A225" s="3"/>
      <c r="B225" s="3"/>
      <c r="C225" s="3"/>
      <c r="D225" s="3"/>
      <c r="E225" s="3"/>
    </row>
    <row r="226" spans="1:5" x14ac:dyDescent="0.2">
      <c r="A226" s="3"/>
      <c r="B226" s="3"/>
      <c r="C226" s="3"/>
      <c r="D226" s="3"/>
      <c r="E226" s="3"/>
    </row>
    <row r="227" spans="1:5" x14ac:dyDescent="0.2">
      <c r="A227" s="3"/>
      <c r="B227" s="3"/>
      <c r="C227" s="3"/>
      <c r="D227" s="3"/>
      <c r="E227" s="3"/>
    </row>
    <row r="228" spans="1:5" x14ac:dyDescent="0.2">
      <c r="A228" s="3"/>
      <c r="B228" s="3"/>
      <c r="C228" s="3"/>
      <c r="D228" s="3"/>
      <c r="E228" s="3"/>
    </row>
    <row r="229" spans="1:5" x14ac:dyDescent="0.2">
      <c r="A229" s="3"/>
      <c r="B229" s="3"/>
      <c r="C229" s="3"/>
      <c r="D229" s="3"/>
      <c r="E229" s="3"/>
    </row>
    <row r="230" spans="1:5" x14ac:dyDescent="0.2">
      <c r="A230" s="3"/>
      <c r="B230" s="3"/>
      <c r="C230" s="3"/>
      <c r="D230" s="3"/>
      <c r="E230" s="3"/>
    </row>
    <row r="231" spans="1:5" x14ac:dyDescent="0.2">
      <c r="A231" s="3"/>
      <c r="B231" s="3"/>
      <c r="C231" s="3"/>
      <c r="D231" s="3"/>
      <c r="E231" s="3"/>
    </row>
    <row r="232" spans="1:5" x14ac:dyDescent="0.2">
      <c r="A232" s="3"/>
      <c r="B232" s="3"/>
      <c r="C232" s="3"/>
      <c r="D232" s="3"/>
      <c r="E232" s="3"/>
    </row>
    <row r="233" spans="1:5" x14ac:dyDescent="0.2">
      <c r="A233" s="3"/>
      <c r="B233" s="3"/>
      <c r="C233" s="3"/>
      <c r="D233" s="3"/>
      <c r="E233" s="3"/>
    </row>
    <row r="234" spans="1:5" x14ac:dyDescent="0.2">
      <c r="A234" s="3"/>
      <c r="B234" s="3"/>
      <c r="C234" s="3"/>
      <c r="D234" s="3"/>
      <c r="E234" s="3"/>
    </row>
    <row r="235" spans="1:5" x14ac:dyDescent="0.2">
      <c r="A235" s="3"/>
      <c r="B235" s="3"/>
      <c r="C235" s="3"/>
      <c r="D235" s="3"/>
      <c r="E235" s="3"/>
    </row>
    <row r="236" spans="1:5" x14ac:dyDescent="0.2">
      <c r="A236" s="3"/>
      <c r="B236" s="3"/>
      <c r="C236" s="3"/>
      <c r="D236" s="3"/>
      <c r="E236" s="3"/>
    </row>
  </sheetData>
  <mergeCells count="3">
    <mergeCell ref="A1:L1"/>
    <mergeCell ref="A9:B9"/>
    <mergeCell ref="C9:E9"/>
  </mergeCells>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P489"/>
  <sheetViews>
    <sheetView topLeftCell="A14" zoomScale="110" zoomScaleNormal="110" workbookViewId="0">
      <pane ySplit="3" topLeftCell="A447" activePane="bottomLeft" state="frozen"/>
      <selection activeCell="C14" sqref="C14"/>
      <selection pane="bottomLeft" activeCell="V481" sqref="V481"/>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3" width="15.6640625" style="8" customWidth="1"/>
    <col min="24" max="24" width="3.33203125" style="9" customWidth="1"/>
    <col min="25" max="25" width="12.6640625" style="8" customWidth="1"/>
    <col min="26" max="26" width="24.5" style="8" customWidth="1"/>
    <col min="27" max="29" width="12.6640625" style="8" customWidth="1"/>
    <col min="30" max="30" width="15.6640625" style="8" customWidth="1"/>
    <col min="31" max="33" width="12.6640625" style="8" customWidth="1"/>
    <col min="34" max="34" width="15.6640625" style="8" customWidth="1"/>
    <col min="35" max="37" width="12.6640625" style="8" customWidth="1"/>
    <col min="38" max="40" width="15.6640625" style="8" customWidth="1"/>
    <col min="41" max="41" width="3.33203125" style="9" customWidth="1"/>
    <col min="42" max="44" width="15" style="8" bestFit="1" customWidth="1"/>
    <col min="45" max="45" width="3.33203125" style="9" customWidth="1"/>
    <col min="46" max="46" width="12.6640625" style="8" customWidth="1"/>
    <col min="47" max="47" width="24.5" style="8" customWidth="1"/>
    <col min="48" max="50" width="12.6640625" style="8" customWidth="1"/>
    <col min="51" max="51" width="3.33203125" style="9" customWidth="1"/>
    <col min="52" max="52" width="12.6640625" style="8" customWidth="1"/>
    <col min="53" max="53" width="24.5" style="8" customWidth="1"/>
    <col min="54" max="56" width="12.6640625" style="8" customWidth="1"/>
    <col min="57" max="57" width="3.33203125" style="9" customWidth="1"/>
    <col min="58" max="58" width="12.6640625" style="8" customWidth="1"/>
    <col min="59" max="59" width="24.5" style="8" customWidth="1"/>
    <col min="60" max="62" width="12.6640625" style="8" customWidth="1"/>
    <col min="63" max="63" width="3.33203125" style="9" customWidth="1"/>
    <col min="64" max="64" width="12.6640625" style="8" customWidth="1"/>
    <col min="65" max="65" width="24.5" style="8" customWidth="1"/>
    <col min="66" max="68" width="12.6640625" style="8" customWidth="1"/>
    <col min="69" max="16384" width="9.1640625" style="8"/>
  </cols>
  <sheetData>
    <row r="1" spans="1:68" ht="16" hidden="1" thickBot="1" x14ac:dyDescent="0.25">
      <c r="A1" s="180" t="s">
        <v>0</v>
      </c>
      <c r="B1" s="181"/>
      <c r="C1" s="181"/>
      <c r="D1" s="181"/>
      <c r="E1" s="181"/>
      <c r="F1" s="182"/>
      <c r="G1" s="31"/>
      <c r="H1" s="27"/>
      <c r="I1" s="27"/>
      <c r="J1" s="27"/>
      <c r="K1" s="27"/>
      <c r="L1" s="27"/>
      <c r="M1" s="27"/>
    </row>
    <row r="2" spans="1:68" hidden="1" x14ac:dyDescent="0.2">
      <c r="A2" s="1">
        <v>1</v>
      </c>
      <c r="B2" s="2" t="s">
        <v>67</v>
      </c>
      <c r="C2" s="3"/>
      <c r="D2" s="3"/>
      <c r="E2" s="3"/>
      <c r="F2" s="3"/>
      <c r="G2" s="4"/>
      <c r="H2" s="3"/>
      <c r="I2" s="3"/>
      <c r="J2" s="3"/>
      <c r="K2" s="3"/>
      <c r="L2" s="3"/>
      <c r="M2" s="3"/>
    </row>
    <row r="3" spans="1:68" hidden="1" x14ac:dyDescent="0.2">
      <c r="A3" s="5">
        <v>2</v>
      </c>
      <c r="B3" s="28" t="s">
        <v>2</v>
      </c>
      <c r="C3" s="3"/>
      <c r="D3" s="3"/>
      <c r="E3" s="3"/>
      <c r="F3" s="3"/>
      <c r="G3" s="4"/>
      <c r="H3" s="3"/>
      <c r="I3" s="3"/>
      <c r="J3" s="3"/>
      <c r="K3" s="3"/>
      <c r="L3" s="3"/>
      <c r="M3" s="3"/>
    </row>
    <row r="4" spans="1:68" hidden="1" x14ac:dyDescent="0.2">
      <c r="A4" s="5">
        <v>3</v>
      </c>
      <c r="B4" s="3" t="s">
        <v>68</v>
      </c>
      <c r="C4" s="3"/>
      <c r="D4" s="3"/>
      <c r="E4" s="3"/>
      <c r="F4" s="3"/>
      <c r="G4" s="4"/>
      <c r="H4" s="3"/>
      <c r="I4" s="3"/>
      <c r="J4" s="3"/>
      <c r="K4" s="3"/>
      <c r="L4" s="3"/>
      <c r="M4" s="3"/>
    </row>
    <row r="5" spans="1:68" hidden="1" x14ac:dyDescent="0.2">
      <c r="A5" s="5">
        <v>4</v>
      </c>
      <c r="B5" s="3" t="s">
        <v>69</v>
      </c>
      <c r="C5" s="3"/>
      <c r="D5" s="3"/>
      <c r="E5" s="3"/>
      <c r="F5" s="3"/>
      <c r="G5" s="4"/>
      <c r="H5" s="3"/>
      <c r="I5" s="3"/>
      <c r="J5" s="3"/>
      <c r="K5" s="3"/>
      <c r="L5" s="3"/>
      <c r="M5" s="3"/>
    </row>
    <row r="6" spans="1:68" hidden="1" x14ac:dyDescent="0.2">
      <c r="A6" s="5">
        <v>5</v>
      </c>
      <c r="B6" s="3" t="s">
        <v>70</v>
      </c>
      <c r="C6" s="3"/>
      <c r="D6" s="3"/>
      <c r="E6" s="3"/>
      <c r="F6" s="3"/>
      <c r="G6" s="4"/>
      <c r="H6" s="3"/>
      <c r="I6" s="3"/>
      <c r="J6" s="3"/>
      <c r="K6" s="3"/>
      <c r="L6" s="3"/>
      <c r="M6" s="3"/>
      <c r="AP6" s="214"/>
      <c r="AQ6" s="214"/>
      <c r="AR6" s="214"/>
    </row>
    <row r="7" spans="1:68" hidden="1" x14ac:dyDescent="0.2">
      <c r="A7" s="5">
        <v>6</v>
      </c>
      <c r="B7" s="3" t="s">
        <v>71</v>
      </c>
      <c r="C7" s="3"/>
      <c r="D7" s="3"/>
      <c r="E7" s="3"/>
      <c r="F7" s="3"/>
      <c r="G7" s="4"/>
      <c r="H7" s="3"/>
      <c r="I7" s="3"/>
      <c r="J7" s="3"/>
      <c r="K7" s="3"/>
      <c r="L7" s="3"/>
      <c r="M7" s="3"/>
      <c r="AP7" s="214"/>
      <c r="AQ7" s="214"/>
      <c r="AR7" s="214"/>
    </row>
    <row r="8" spans="1:68" hidden="1" x14ac:dyDescent="0.2">
      <c r="A8" s="5">
        <v>7</v>
      </c>
      <c r="B8" s="3" t="s">
        <v>72</v>
      </c>
      <c r="C8" s="3"/>
      <c r="D8" s="3"/>
      <c r="E8" s="3"/>
      <c r="F8" s="3"/>
      <c r="G8" s="4"/>
      <c r="H8" s="3"/>
      <c r="I8" s="3"/>
      <c r="J8" s="3"/>
      <c r="K8" s="3"/>
      <c r="L8" s="3"/>
      <c r="M8" s="3"/>
      <c r="AP8" s="214"/>
      <c r="AQ8" s="214"/>
      <c r="AR8" s="214"/>
    </row>
    <row r="9" spans="1:68" hidden="1" x14ac:dyDescent="0.2">
      <c r="A9" s="5">
        <v>8</v>
      </c>
      <c r="B9" s="3" t="s">
        <v>5</v>
      </c>
      <c r="C9" s="3"/>
      <c r="D9" s="3"/>
      <c r="E9" s="3"/>
      <c r="F9" s="3"/>
      <c r="G9" s="4"/>
      <c r="H9" s="3"/>
      <c r="I9" s="3"/>
      <c r="J9" s="3"/>
      <c r="K9" s="3"/>
      <c r="L9" s="3"/>
      <c r="M9" s="3"/>
      <c r="AP9" s="214"/>
      <c r="AQ9" s="214"/>
      <c r="AR9" s="214"/>
    </row>
    <row r="10" spans="1:68" hidden="1" x14ac:dyDescent="0.2">
      <c r="A10" s="5">
        <v>9</v>
      </c>
      <c r="B10" s="3" t="s">
        <v>73</v>
      </c>
      <c r="C10" s="3"/>
      <c r="D10" s="3"/>
      <c r="E10" s="3"/>
      <c r="F10" s="3"/>
      <c r="G10" s="4"/>
      <c r="H10" s="3"/>
      <c r="I10" s="3"/>
      <c r="J10" s="3"/>
      <c r="K10" s="3"/>
      <c r="L10" s="3"/>
      <c r="M10" s="3"/>
      <c r="AP10" s="214"/>
      <c r="AQ10" s="214"/>
      <c r="AR10" s="214"/>
    </row>
    <row r="11" spans="1:68" hidden="1" x14ac:dyDescent="0.2">
      <c r="A11" s="5">
        <v>10</v>
      </c>
      <c r="B11" s="3" t="s">
        <v>74</v>
      </c>
      <c r="C11" s="3"/>
      <c r="D11" s="3"/>
      <c r="E11" s="3"/>
      <c r="F11" s="3"/>
      <c r="G11" s="4"/>
      <c r="H11" s="3"/>
      <c r="I11" s="3"/>
      <c r="J11" s="3"/>
      <c r="K11" s="3"/>
      <c r="L11" s="3"/>
      <c r="M11" s="3"/>
      <c r="AP11" s="214"/>
      <c r="AQ11" s="214"/>
      <c r="AR11" s="214"/>
    </row>
    <row r="12" spans="1:68" hidden="1" x14ac:dyDescent="0.2">
      <c r="A12" s="5">
        <v>11</v>
      </c>
      <c r="B12" s="6" t="s">
        <v>75</v>
      </c>
      <c r="C12" s="3"/>
      <c r="D12" s="3"/>
      <c r="E12" s="3"/>
      <c r="F12" s="3"/>
      <c r="G12" s="4"/>
      <c r="H12" s="3"/>
      <c r="I12" s="3"/>
      <c r="J12" s="3"/>
      <c r="K12" s="3"/>
      <c r="L12" s="3"/>
      <c r="M12" s="3"/>
    </row>
    <row r="13" spans="1:68" ht="16" hidden="1" thickBot="1" x14ac:dyDescent="0.25"/>
    <row r="14" spans="1:68" ht="30" customHeight="1" thickBot="1" x14ac:dyDescent="0.25">
      <c r="B14" s="186" t="s">
        <v>357</v>
      </c>
      <c r="C14" s="186"/>
      <c r="D14" s="196" t="s">
        <v>66</v>
      </c>
      <c r="E14" s="196"/>
      <c r="F14" s="196"/>
      <c r="H14" s="209" t="s">
        <v>65</v>
      </c>
      <c r="I14" s="210"/>
      <c r="J14" s="210"/>
      <c r="K14" s="210"/>
      <c r="L14" s="210"/>
      <c r="M14" s="210"/>
      <c r="N14" s="210"/>
      <c r="O14" s="210"/>
      <c r="P14" s="210"/>
      <c r="Q14" s="210"/>
      <c r="R14" s="210"/>
      <c r="S14" s="210"/>
      <c r="T14" s="210"/>
      <c r="U14" s="211"/>
      <c r="V14" s="160"/>
      <c r="W14" s="160"/>
      <c r="Y14" s="209" t="s">
        <v>64</v>
      </c>
      <c r="Z14" s="210"/>
      <c r="AA14" s="210"/>
      <c r="AB14" s="210"/>
      <c r="AC14" s="210"/>
      <c r="AD14" s="210"/>
      <c r="AE14" s="210"/>
      <c r="AF14" s="210"/>
      <c r="AG14" s="210"/>
      <c r="AH14" s="210"/>
      <c r="AI14" s="210"/>
      <c r="AJ14" s="210"/>
      <c r="AK14" s="210"/>
      <c r="AL14" s="211"/>
      <c r="AM14" s="160"/>
      <c r="AN14" s="160"/>
      <c r="AP14" s="183" t="s">
        <v>59</v>
      </c>
      <c r="AQ14" s="184"/>
      <c r="AR14" s="185"/>
      <c r="AT14" s="183" t="s">
        <v>58</v>
      </c>
      <c r="AU14" s="184"/>
      <c r="AV14" s="184"/>
      <c r="AW14" s="184"/>
      <c r="AX14" s="185"/>
      <c r="AZ14" s="209" t="s">
        <v>56</v>
      </c>
      <c r="BA14" s="210"/>
      <c r="BB14" s="210"/>
      <c r="BC14" s="210"/>
      <c r="BD14" s="211"/>
      <c r="BF14" s="209" t="s">
        <v>55</v>
      </c>
      <c r="BG14" s="210"/>
      <c r="BH14" s="210"/>
      <c r="BI14" s="210"/>
      <c r="BJ14" s="211"/>
      <c r="BL14" s="209" t="s">
        <v>54</v>
      </c>
      <c r="BM14" s="210"/>
      <c r="BN14" s="210"/>
      <c r="BO14" s="210"/>
      <c r="BP14" s="211"/>
    </row>
    <row r="15" spans="1:68" ht="16" thickBot="1" x14ac:dyDescent="0.25">
      <c r="B15" s="11" t="s">
        <v>8</v>
      </c>
      <c r="C15" s="11" t="s">
        <v>9</v>
      </c>
      <c r="D15" s="74">
        <v>44957</v>
      </c>
      <c r="E15" s="74">
        <v>44985</v>
      </c>
      <c r="F15" s="74">
        <v>45016</v>
      </c>
      <c r="H15" s="212" t="s">
        <v>8</v>
      </c>
      <c r="I15" s="212" t="s">
        <v>9</v>
      </c>
      <c r="J15" s="213">
        <v>44957</v>
      </c>
      <c r="K15" s="212"/>
      <c r="L15" s="212"/>
      <c r="M15" s="212"/>
      <c r="N15" s="213">
        <v>44985</v>
      </c>
      <c r="O15" s="212"/>
      <c r="P15" s="212"/>
      <c r="Q15" s="212"/>
      <c r="R15" s="213">
        <v>45016</v>
      </c>
      <c r="S15" s="212"/>
      <c r="T15" s="212"/>
      <c r="U15" s="212"/>
      <c r="V15" s="223" t="s">
        <v>364</v>
      </c>
      <c r="W15" s="221" t="s">
        <v>363</v>
      </c>
      <c r="Y15" s="212" t="s">
        <v>8</v>
      </c>
      <c r="Z15" s="212" t="s">
        <v>9</v>
      </c>
      <c r="AA15" s="213">
        <v>44957</v>
      </c>
      <c r="AB15" s="212"/>
      <c r="AC15" s="212"/>
      <c r="AD15" s="212"/>
      <c r="AE15" s="213">
        <v>44985</v>
      </c>
      <c r="AF15" s="212"/>
      <c r="AG15" s="212"/>
      <c r="AH15" s="212"/>
      <c r="AI15" s="213">
        <v>45016</v>
      </c>
      <c r="AJ15" s="212"/>
      <c r="AK15" s="212"/>
      <c r="AL15" s="212"/>
      <c r="AM15" s="223" t="s">
        <v>364</v>
      </c>
      <c r="AN15" s="222" t="s">
        <v>363</v>
      </c>
      <c r="AP15" s="74">
        <v>44927</v>
      </c>
      <c r="AQ15" s="74">
        <v>44958</v>
      </c>
      <c r="AR15" s="74">
        <v>44986</v>
      </c>
      <c r="AT15" s="7" t="s">
        <v>8</v>
      </c>
      <c r="AU15" s="7" t="s">
        <v>9</v>
      </c>
      <c r="AV15" s="74">
        <v>44927</v>
      </c>
      <c r="AW15" s="74">
        <v>44958</v>
      </c>
      <c r="AX15" s="74">
        <v>44986</v>
      </c>
      <c r="AZ15" s="7" t="s">
        <v>8</v>
      </c>
      <c r="BA15" s="7" t="s">
        <v>9</v>
      </c>
      <c r="BB15" s="74">
        <v>44927</v>
      </c>
      <c r="BC15" s="74">
        <v>44958</v>
      </c>
      <c r="BD15" s="74">
        <v>44986</v>
      </c>
      <c r="BF15" s="7" t="s">
        <v>8</v>
      </c>
      <c r="BG15" s="7" t="s">
        <v>9</v>
      </c>
      <c r="BH15" s="74">
        <v>44957</v>
      </c>
      <c r="BI15" s="74">
        <v>44985</v>
      </c>
      <c r="BJ15" s="74">
        <v>45016</v>
      </c>
      <c r="BL15" s="7" t="s">
        <v>8</v>
      </c>
      <c r="BM15" s="7" t="s">
        <v>9</v>
      </c>
      <c r="BN15" s="74">
        <v>44957</v>
      </c>
      <c r="BO15" s="74">
        <v>44985</v>
      </c>
      <c r="BP15" s="74">
        <v>45016</v>
      </c>
    </row>
    <row r="16" spans="1:68" ht="15" customHeight="1" thickBot="1" x14ac:dyDescent="0.25">
      <c r="B16" s="77">
        <v>98001</v>
      </c>
      <c r="C16" s="61" t="s">
        <v>333</v>
      </c>
      <c r="D16" s="44">
        <v>207</v>
      </c>
      <c r="E16" s="44">
        <v>197</v>
      </c>
      <c r="F16" s="44">
        <v>162</v>
      </c>
      <c r="H16" s="212"/>
      <c r="I16" s="212"/>
      <c r="J16" s="7" t="s">
        <v>60</v>
      </c>
      <c r="K16" s="7" t="s">
        <v>61</v>
      </c>
      <c r="L16" s="7" t="s">
        <v>62</v>
      </c>
      <c r="M16" s="7" t="s">
        <v>63</v>
      </c>
      <c r="N16" s="7" t="s">
        <v>60</v>
      </c>
      <c r="O16" s="7" t="s">
        <v>61</v>
      </c>
      <c r="P16" s="7" t="s">
        <v>62</v>
      </c>
      <c r="Q16" s="7" t="s">
        <v>63</v>
      </c>
      <c r="R16" s="7" t="s">
        <v>60</v>
      </c>
      <c r="S16" s="7" t="s">
        <v>61</v>
      </c>
      <c r="T16" s="7" t="s">
        <v>62</v>
      </c>
      <c r="U16" s="7" t="s">
        <v>63</v>
      </c>
      <c r="V16" s="223"/>
      <c r="W16" s="221"/>
      <c r="Y16" s="212"/>
      <c r="Z16" s="212"/>
      <c r="AA16" s="7" t="s">
        <v>60</v>
      </c>
      <c r="AB16" s="7" t="s">
        <v>61</v>
      </c>
      <c r="AC16" s="7" t="s">
        <v>62</v>
      </c>
      <c r="AD16" s="7" t="s">
        <v>63</v>
      </c>
      <c r="AE16" s="7" t="s">
        <v>60</v>
      </c>
      <c r="AF16" s="7" t="s">
        <v>61</v>
      </c>
      <c r="AG16" s="7" t="s">
        <v>62</v>
      </c>
      <c r="AH16" s="7" t="s">
        <v>63</v>
      </c>
      <c r="AI16" s="7" t="s">
        <v>60</v>
      </c>
      <c r="AJ16" s="7" t="s">
        <v>61</v>
      </c>
      <c r="AK16" s="7" t="s">
        <v>62</v>
      </c>
      <c r="AL16" s="7" t="s">
        <v>63</v>
      </c>
      <c r="AM16" s="223"/>
      <c r="AN16" s="222"/>
      <c r="AP16" s="121">
        <v>-37981801.700000003</v>
      </c>
      <c r="AQ16" s="121">
        <v>-38795179.18</v>
      </c>
      <c r="AR16" s="121">
        <v>-44228254.020000003</v>
      </c>
      <c r="AT16" s="190" t="s">
        <v>57</v>
      </c>
      <c r="AU16" s="191"/>
      <c r="AV16" s="191"/>
      <c r="AW16" s="191"/>
      <c r="AX16" s="192"/>
      <c r="AZ16" s="70" t="s">
        <v>84</v>
      </c>
      <c r="BA16" s="70" t="s">
        <v>333</v>
      </c>
      <c r="BB16" s="47">
        <v>8</v>
      </c>
      <c r="BC16" s="47">
        <v>8</v>
      </c>
      <c r="BD16" s="47">
        <v>2</v>
      </c>
      <c r="BF16" s="70" t="s">
        <v>84</v>
      </c>
      <c r="BG16" s="70" t="s">
        <v>333</v>
      </c>
      <c r="BH16" s="72">
        <v>52025.779999999992</v>
      </c>
      <c r="BI16" s="72">
        <v>10615.71</v>
      </c>
      <c r="BJ16" s="72">
        <v>1906.34</v>
      </c>
      <c r="BL16" s="70">
        <v>98001</v>
      </c>
      <c r="BM16" s="70" t="s">
        <v>333</v>
      </c>
      <c r="BN16" s="72"/>
      <c r="BO16" s="72">
        <v>-100</v>
      </c>
      <c r="BP16" s="72"/>
    </row>
    <row r="17" spans="2:68" ht="15.75" customHeight="1" thickBot="1" x14ac:dyDescent="0.25">
      <c r="B17" s="78">
        <v>98002</v>
      </c>
      <c r="C17" s="60" t="s">
        <v>333</v>
      </c>
      <c r="D17" s="45">
        <v>245</v>
      </c>
      <c r="E17" s="45">
        <v>212</v>
      </c>
      <c r="F17" s="45">
        <v>310</v>
      </c>
      <c r="H17" s="163">
        <v>98001</v>
      </c>
      <c r="I17" s="163" t="s">
        <v>333</v>
      </c>
      <c r="J17" s="164">
        <v>120738.11</v>
      </c>
      <c r="K17" s="164">
        <v>77577.95</v>
      </c>
      <c r="L17" s="164">
        <v>144119.98000000001</v>
      </c>
      <c r="M17" s="164">
        <v>553833</v>
      </c>
      <c r="N17" s="164">
        <v>141280.62999999899</v>
      </c>
      <c r="O17" s="164">
        <v>83361.61</v>
      </c>
      <c r="P17" s="164">
        <v>115600.159999999</v>
      </c>
      <c r="Q17" s="164">
        <v>774834.87</v>
      </c>
      <c r="R17" s="164">
        <v>129568</v>
      </c>
      <c r="S17" s="164">
        <v>74217.269999999902</v>
      </c>
      <c r="T17" s="164">
        <v>121619.58999999901</v>
      </c>
      <c r="U17" s="164">
        <v>505232.94999999902</v>
      </c>
      <c r="V17" s="172"/>
      <c r="W17" s="161"/>
      <c r="Y17" s="70">
        <v>98001</v>
      </c>
      <c r="Z17" s="12" t="s">
        <v>10</v>
      </c>
      <c r="AA17" s="72">
        <v>31221.8</v>
      </c>
      <c r="AB17" s="72">
        <v>12233.86</v>
      </c>
      <c r="AC17" s="72">
        <v>105168.42</v>
      </c>
      <c r="AD17" s="72">
        <v>217715.72</v>
      </c>
      <c r="AE17" s="72">
        <v>53422.77</v>
      </c>
      <c r="AF17" s="72">
        <v>26610.21</v>
      </c>
      <c r="AG17" s="72">
        <v>99901.819999999905</v>
      </c>
      <c r="AH17" s="72">
        <v>256070.50999999899</v>
      </c>
      <c r="AI17" s="72">
        <v>58564.5</v>
      </c>
      <c r="AJ17" s="72">
        <v>43308.769999999902</v>
      </c>
      <c r="AK17" s="72">
        <v>110001.689999999</v>
      </c>
      <c r="AL17" s="72">
        <v>291755.03999999998</v>
      </c>
      <c r="AM17" s="161">
        <f>SUM(AI17:AK17)</f>
        <v>211874.95999999892</v>
      </c>
      <c r="AN17" s="161">
        <f>LARGE(AM$17:AM$239, ROWS(AN$17:AN17))</f>
        <v>487499.26999999897</v>
      </c>
      <c r="AP17" s="215" t="s">
        <v>358</v>
      </c>
      <c r="AQ17" s="216"/>
      <c r="AR17" s="217"/>
      <c r="AT17" s="193"/>
      <c r="AU17" s="194"/>
      <c r="AV17" s="194"/>
      <c r="AW17" s="194"/>
      <c r="AX17" s="195"/>
      <c r="AZ17" s="71" t="s">
        <v>85</v>
      </c>
      <c r="BA17" s="71" t="s">
        <v>333</v>
      </c>
      <c r="BB17" s="32">
        <v>4</v>
      </c>
      <c r="BC17" s="32">
        <v>2</v>
      </c>
      <c r="BD17" s="32">
        <v>6</v>
      </c>
      <c r="BF17" s="71" t="s">
        <v>85</v>
      </c>
      <c r="BG17" s="71" t="s">
        <v>333</v>
      </c>
      <c r="BH17" s="73">
        <v>15733.47</v>
      </c>
      <c r="BI17" s="73">
        <v>800.47</v>
      </c>
      <c r="BJ17" s="73">
        <v>1733.4299999999998</v>
      </c>
      <c r="BL17" s="71">
        <v>98002</v>
      </c>
      <c r="BM17" s="71" t="s">
        <v>333</v>
      </c>
      <c r="BN17" s="73"/>
      <c r="BO17" s="73"/>
      <c r="BP17" s="73">
        <v>-800.47</v>
      </c>
    </row>
    <row r="18" spans="2:68" x14ac:dyDescent="0.2">
      <c r="B18" s="78">
        <v>98003</v>
      </c>
      <c r="C18" s="60" t="s">
        <v>333</v>
      </c>
      <c r="D18" s="45">
        <v>368</v>
      </c>
      <c r="E18" s="45">
        <v>300</v>
      </c>
      <c r="F18" s="45">
        <v>315</v>
      </c>
      <c r="H18" s="165">
        <v>98002</v>
      </c>
      <c r="I18" s="165" t="s">
        <v>333</v>
      </c>
      <c r="J18" s="166">
        <v>80289.070000000007</v>
      </c>
      <c r="K18" s="166">
        <v>37313.72</v>
      </c>
      <c r="L18" s="166">
        <v>176600.019999999</v>
      </c>
      <c r="M18" s="166">
        <v>659645.51</v>
      </c>
      <c r="N18" s="166">
        <v>173815.09999999899</v>
      </c>
      <c r="O18" s="166">
        <v>75016.86</v>
      </c>
      <c r="P18" s="166">
        <v>155465.83999999901</v>
      </c>
      <c r="Q18" s="166">
        <v>673441.54</v>
      </c>
      <c r="R18" s="166">
        <v>103484.33</v>
      </c>
      <c r="S18" s="166">
        <v>54234.38</v>
      </c>
      <c r="T18" s="166">
        <v>168920.13</v>
      </c>
      <c r="U18" s="166">
        <v>798521.16000000096</v>
      </c>
      <c r="V18" s="172"/>
      <c r="W18" s="161"/>
      <c r="Y18" s="168">
        <v>98002</v>
      </c>
      <c r="Z18" s="14" t="s">
        <v>10</v>
      </c>
      <c r="AA18" s="73">
        <v>81062.309999999794</v>
      </c>
      <c r="AB18" s="73">
        <v>6586.64</v>
      </c>
      <c r="AC18" s="73">
        <v>225921.66</v>
      </c>
      <c r="AD18" s="73">
        <v>394117.21999999898</v>
      </c>
      <c r="AE18" s="73">
        <v>66711.789999999994</v>
      </c>
      <c r="AF18" s="73">
        <v>58460.1</v>
      </c>
      <c r="AG18" s="73">
        <v>209313.83</v>
      </c>
      <c r="AH18" s="73">
        <v>474011.1</v>
      </c>
      <c r="AI18" s="73">
        <v>113481.999999999</v>
      </c>
      <c r="AJ18" s="73">
        <v>45811.79</v>
      </c>
      <c r="AK18" s="167">
        <v>235422.57</v>
      </c>
      <c r="AL18" s="174">
        <v>637809.93999999994</v>
      </c>
      <c r="AM18" s="173">
        <f t="shared" ref="AM18:AM81" si="0">SUM(AI18:AK18)</f>
        <v>394716.359999999</v>
      </c>
      <c r="AN18" s="161">
        <f>LARGE(AM$17:AM$239, ROWS(AN$17:AN18))</f>
        <v>418808.13</v>
      </c>
      <c r="AP18" s="215"/>
      <c r="AQ18" s="216"/>
      <c r="AR18" s="217"/>
      <c r="AZ18" s="71" t="s">
        <v>86</v>
      </c>
      <c r="BA18" s="71" t="s">
        <v>333</v>
      </c>
      <c r="BB18" s="32">
        <v>5</v>
      </c>
      <c r="BC18" s="32">
        <v>2</v>
      </c>
      <c r="BD18" s="32">
        <v>6</v>
      </c>
      <c r="BF18" s="71" t="s">
        <v>86</v>
      </c>
      <c r="BG18" s="71" t="s">
        <v>333</v>
      </c>
      <c r="BH18" s="73">
        <v>2444.16</v>
      </c>
      <c r="BI18" s="73">
        <v>957.1</v>
      </c>
      <c r="BJ18" s="73">
        <v>6034.1399999999994</v>
      </c>
      <c r="BL18" s="71">
        <v>98003</v>
      </c>
      <c r="BM18" s="71" t="s">
        <v>333</v>
      </c>
      <c r="BN18" s="73"/>
      <c r="BO18" s="73"/>
      <c r="BP18" s="73">
        <v>-332.51</v>
      </c>
    </row>
    <row r="19" spans="2:68" x14ac:dyDescent="0.2">
      <c r="B19" s="78">
        <v>98004</v>
      </c>
      <c r="C19" s="60" t="s">
        <v>333</v>
      </c>
      <c r="D19" s="45">
        <v>205</v>
      </c>
      <c r="E19" s="45">
        <v>220</v>
      </c>
      <c r="F19" s="45">
        <v>280</v>
      </c>
      <c r="H19" s="165">
        <v>98003</v>
      </c>
      <c r="I19" s="165" t="s">
        <v>333</v>
      </c>
      <c r="J19" s="166">
        <v>60048.659999999902</v>
      </c>
      <c r="K19" s="166">
        <v>10794.98</v>
      </c>
      <c r="L19" s="166">
        <v>274347.64999999898</v>
      </c>
      <c r="M19" s="166">
        <v>536553.81999999995</v>
      </c>
      <c r="N19" s="166">
        <v>36788.839999999902</v>
      </c>
      <c r="O19" s="166">
        <v>17428.12</v>
      </c>
      <c r="P19" s="166">
        <v>265821.989999999</v>
      </c>
      <c r="Q19" s="166">
        <v>419675.41</v>
      </c>
      <c r="R19" s="166">
        <v>30854.69</v>
      </c>
      <c r="S19" s="166">
        <v>24045.360000000001</v>
      </c>
      <c r="T19" s="166">
        <v>259107.11</v>
      </c>
      <c r="U19" s="166">
        <v>473980.63</v>
      </c>
      <c r="V19" s="172"/>
      <c r="W19" s="161"/>
      <c r="Y19" s="168">
        <v>98003</v>
      </c>
      <c r="Z19" s="14" t="s">
        <v>10</v>
      </c>
      <c r="AA19" s="73">
        <v>70063.39</v>
      </c>
      <c r="AB19" s="73">
        <v>34903.339999999902</v>
      </c>
      <c r="AC19" s="73">
        <v>215517.31</v>
      </c>
      <c r="AD19" s="73">
        <v>492243.69999999902</v>
      </c>
      <c r="AE19" s="73">
        <v>142412.16</v>
      </c>
      <c r="AF19" s="73">
        <v>60414.89</v>
      </c>
      <c r="AG19" s="73">
        <v>222945.24</v>
      </c>
      <c r="AH19" s="73">
        <v>611012.1</v>
      </c>
      <c r="AI19" s="73">
        <v>144270.95000000001</v>
      </c>
      <c r="AJ19" s="73">
        <v>110665.56</v>
      </c>
      <c r="AK19" s="167">
        <v>232562.75999999899</v>
      </c>
      <c r="AL19" s="174">
        <v>675783.29</v>
      </c>
      <c r="AM19" s="173">
        <f t="shared" si="0"/>
        <v>487499.26999999897</v>
      </c>
      <c r="AN19" s="161">
        <f>LARGE(AM$17:AM$239, ROWS(AN$17:AN19))</f>
        <v>394716.359999999</v>
      </c>
      <c r="AP19" s="215"/>
      <c r="AQ19" s="216"/>
      <c r="AR19" s="217"/>
      <c r="AZ19" s="71" t="s">
        <v>87</v>
      </c>
      <c r="BA19" s="71" t="s">
        <v>333</v>
      </c>
      <c r="BB19" s="32">
        <v>2</v>
      </c>
      <c r="BC19" s="32">
        <v>2</v>
      </c>
      <c r="BD19" s="32">
        <v>9</v>
      </c>
      <c r="BF19" s="71" t="s">
        <v>87</v>
      </c>
      <c r="BG19" s="71" t="s">
        <v>333</v>
      </c>
      <c r="BH19" s="73">
        <v>297.44</v>
      </c>
      <c r="BI19" s="73">
        <v>179.37</v>
      </c>
      <c r="BJ19" s="73">
        <v>1397.42</v>
      </c>
      <c r="BL19" s="71">
        <v>98011</v>
      </c>
      <c r="BM19" s="71" t="s">
        <v>333</v>
      </c>
      <c r="BN19" s="73">
        <v>-787.13</v>
      </c>
      <c r="BO19" s="73"/>
      <c r="BP19" s="73"/>
    </row>
    <row r="20" spans="2:68" x14ac:dyDescent="0.2">
      <c r="B20" s="78">
        <v>98005</v>
      </c>
      <c r="C20" s="60" t="s">
        <v>333</v>
      </c>
      <c r="D20" s="45">
        <v>178</v>
      </c>
      <c r="E20" s="45">
        <v>189</v>
      </c>
      <c r="F20" s="45">
        <v>220</v>
      </c>
      <c r="H20" s="165">
        <v>98004</v>
      </c>
      <c r="I20" s="165" t="s">
        <v>333</v>
      </c>
      <c r="J20" s="166">
        <v>47049.69</v>
      </c>
      <c r="K20" s="166">
        <v>33770.269999999997</v>
      </c>
      <c r="L20" s="166">
        <v>101935.539999999</v>
      </c>
      <c r="M20" s="166">
        <v>458973.89999999898</v>
      </c>
      <c r="N20" s="166">
        <v>47202.8999999999</v>
      </c>
      <c r="O20" s="166">
        <v>36202.8999999999</v>
      </c>
      <c r="P20" s="166">
        <v>108998.56</v>
      </c>
      <c r="Q20" s="166">
        <v>749673.79</v>
      </c>
      <c r="R20" s="166">
        <v>93023.71</v>
      </c>
      <c r="S20" s="166">
        <v>30896.5999999999</v>
      </c>
      <c r="T20" s="166">
        <v>124325.08</v>
      </c>
      <c r="U20" s="166">
        <v>706008.3</v>
      </c>
      <c r="V20" s="172"/>
      <c r="W20" s="161"/>
      <c r="Y20" s="71">
        <v>98004</v>
      </c>
      <c r="Z20" s="14" t="s">
        <v>10</v>
      </c>
      <c r="AA20" s="73">
        <v>8259.5300000000007</v>
      </c>
      <c r="AB20" s="73">
        <v>4100.9399999999896</v>
      </c>
      <c r="AC20" s="73">
        <v>35443.01</v>
      </c>
      <c r="AD20" s="73">
        <v>63314.71</v>
      </c>
      <c r="AE20" s="73">
        <v>12183.78</v>
      </c>
      <c r="AF20" s="73">
        <v>7637.92</v>
      </c>
      <c r="AG20" s="73">
        <v>34707.08</v>
      </c>
      <c r="AH20" s="73">
        <v>70463.889999999898</v>
      </c>
      <c r="AI20" s="73">
        <v>11646.7599999999</v>
      </c>
      <c r="AJ20" s="73">
        <v>9207.4199999999892</v>
      </c>
      <c r="AK20" s="73">
        <v>31624.8299999999</v>
      </c>
      <c r="AL20" s="174">
        <v>66239.529999999897</v>
      </c>
      <c r="AM20" s="161">
        <f t="shared" si="0"/>
        <v>52479.009999999791</v>
      </c>
      <c r="AN20" s="161">
        <f>LARGE(AM$17:AM$239, ROWS(AN$17:AN20))</f>
        <v>380495.44999999995</v>
      </c>
      <c r="AP20" s="215"/>
      <c r="AQ20" s="216"/>
      <c r="AR20" s="217"/>
      <c r="AU20" s="104"/>
      <c r="AV20" s="104"/>
      <c r="AW20" s="104"/>
      <c r="AZ20" s="71" t="s">
        <v>88</v>
      </c>
      <c r="BA20" s="71" t="s">
        <v>333</v>
      </c>
      <c r="BB20" s="32">
        <v>5</v>
      </c>
      <c r="BC20" s="32">
        <v>4</v>
      </c>
      <c r="BD20" s="32">
        <v>2</v>
      </c>
      <c r="BF20" s="71" t="s">
        <v>88</v>
      </c>
      <c r="BG20" s="71" t="s">
        <v>333</v>
      </c>
      <c r="BH20" s="73">
        <v>5779.59</v>
      </c>
      <c r="BI20" s="73">
        <v>2759.48</v>
      </c>
      <c r="BJ20" s="73">
        <v>6721.7800000000007</v>
      </c>
      <c r="BL20" s="71">
        <v>98032</v>
      </c>
      <c r="BM20" s="71" t="s">
        <v>333</v>
      </c>
      <c r="BN20" s="73">
        <v>-376.72</v>
      </c>
      <c r="BO20" s="73"/>
      <c r="BP20" s="73"/>
    </row>
    <row r="21" spans="2:68" x14ac:dyDescent="0.2">
      <c r="B21" s="78">
        <v>98006</v>
      </c>
      <c r="C21" s="60" t="s">
        <v>333</v>
      </c>
      <c r="D21" s="45">
        <v>131</v>
      </c>
      <c r="E21" s="45">
        <v>156</v>
      </c>
      <c r="F21" s="45">
        <v>158</v>
      </c>
      <c r="H21" s="165">
        <v>98005</v>
      </c>
      <c r="I21" s="165" t="s">
        <v>333</v>
      </c>
      <c r="J21" s="166">
        <v>38177.669999999896</v>
      </c>
      <c r="K21" s="166">
        <v>15989.53</v>
      </c>
      <c r="L21" s="166">
        <v>61275.859999999899</v>
      </c>
      <c r="M21" s="166">
        <v>270707.56</v>
      </c>
      <c r="N21" s="166">
        <v>22071.719999999899</v>
      </c>
      <c r="O21" s="166">
        <v>6622.4299999999903</v>
      </c>
      <c r="P21" s="166">
        <v>60773.38</v>
      </c>
      <c r="Q21" s="166">
        <v>299658.38999999902</v>
      </c>
      <c r="R21" s="166">
        <v>41602.859999999899</v>
      </c>
      <c r="S21" s="166">
        <v>16343.549999999899</v>
      </c>
      <c r="T21" s="166">
        <v>52555.72</v>
      </c>
      <c r="U21" s="166">
        <v>388156.45999999897</v>
      </c>
      <c r="V21" s="172"/>
      <c r="W21" s="161"/>
      <c r="Y21" s="71">
        <v>98005</v>
      </c>
      <c r="Z21" s="14" t="s">
        <v>10</v>
      </c>
      <c r="AA21" s="73">
        <v>6924.71</v>
      </c>
      <c r="AB21" s="73">
        <v>3109.65</v>
      </c>
      <c r="AC21" s="73">
        <v>13939.8199999999</v>
      </c>
      <c r="AD21" s="73">
        <v>40676.11</v>
      </c>
      <c r="AE21" s="73">
        <v>13062.549999999899</v>
      </c>
      <c r="AF21" s="73">
        <v>5961.4</v>
      </c>
      <c r="AG21" s="73">
        <v>13996.56</v>
      </c>
      <c r="AH21" s="73">
        <v>49305.82</v>
      </c>
      <c r="AI21" s="73">
        <v>9434.7800000000007</v>
      </c>
      <c r="AJ21" s="73">
        <v>7158.22</v>
      </c>
      <c r="AK21" s="73">
        <v>13507.5899999999</v>
      </c>
      <c r="AL21" s="174">
        <v>41070.31</v>
      </c>
      <c r="AM21" s="161">
        <f t="shared" si="0"/>
        <v>30100.589999999902</v>
      </c>
      <c r="AN21" s="161">
        <f>LARGE(AM$17:AM$239, ROWS(AN$17:AN21))</f>
        <v>359410.34999999788</v>
      </c>
      <c r="AP21" s="215"/>
      <c r="AQ21" s="216"/>
      <c r="AR21" s="217"/>
      <c r="AZ21" s="71" t="s">
        <v>89</v>
      </c>
      <c r="BA21" s="71" t="s">
        <v>333</v>
      </c>
      <c r="BB21" s="32">
        <v>3</v>
      </c>
      <c r="BC21" s="32">
        <v>1</v>
      </c>
      <c r="BD21" s="32">
        <v>4</v>
      </c>
      <c r="BF21" s="71" t="s">
        <v>89</v>
      </c>
      <c r="BG21" s="71" t="s">
        <v>333</v>
      </c>
      <c r="BH21" s="73">
        <v>256.47000000000003</v>
      </c>
      <c r="BI21" s="73">
        <v>71.400000000000006</v>
      </c>
      <c r="BJ21" s="73">
        <v>3764.74</v>
      </c>
      <c r="BL21" s="71">
        <v>98042</v>
      </c>
      <c r="BM21" s="71" t="s">
        <v>333</v>
      </c>
      <c r="BN21" s="73"/>
      <c r="BO21" s="73"/>
      <c r="BP21" s="73">
        <v>-53.08</v>
      </c>
    </row>
    <row r="22" spans="2:68" x14ac:dyDescent="0.2">
      <c r="B22" s="78">
        <v>98007</v>
      </c>
      <c r="C22" s="60" t="s">
        <v>333</v>
      </c>
      <c r="D22" s="45">
        <v>134</v>
      </c>
      <c r="E22" s="45">
        <v>137</v>
      </c>
      <c r="F22" s="45">
        <v>142</v>
      </c>
      <c r="H22" s="165">
        <v>98006</v>
      </c>
      <c r="I22" s="165" t="s">
        <v>333</v>
      </c>
      <c r="J22" s="166">
        <v>21153.08</v>
      </c>
      <c r="K22" s="166">
        <v>13284.05</v>
      </c>
      <c r="L22" s="166">
        <v>119157.599999999</v>
      </c>
      <c r="M22" s="166">
        <v>283293.14999999898</v>
      </c>
      <c r="N22" s="166">
        <v>29852.31</v>
      </c>
      <c r="O22" s="166">
        <v>18272.96</v>
      </c>
      <c r="P22" s="166">
        <v>128739.22</v>
      </c>
      <c r="Q22" s="166">
        <v>239490.44</v>
      </c>
      <c r="R22" s="166">
        <v>30317.379999999899</v>
      </c>
      <c r="S22" s="166">
        <v>18118.29</v>
      </c>
      <c r="T22" s="166">
        <v>128010.079999999</v>
      </c>
      <c r="U22" s="166">
        <v>225912.27</v>
      </c>
      <c r="V22" s="172"/>
      <c r="W22" s="161"/>
      <c r="Y22" s="71">
        <v>98006</v>
      </c>
      <c r="Z22" s="14" t="s">
        <v>10</v>
      </c>
      <c r="AA22" s="73">
        <v>13700.77</v>
      </c>
      <c r="AB22" s="73">
        <v>5080.32</v>
      </c>
      <c r="AC22" s="73">
        <v>27555.51</v>
      </c>
      <c r="AD22" s="73">
        <v>75905.749999999898</v>
      </c>
      <c r="AE22" s="73">
        <v>22050.459999999901</v>
      </c>
      <c r="AF22" s="73">
        <v>10372.77</v>
      </c>
      <c r="AG22" s="73">
        <v>25688.059999999899</v>
      </c>
      <c r="AH22" s="73">
        <v>87008.4</v>
      </c>
      <c r="AI22" s="73">
        <v>22466.1499999999</v>
      </c>
      <c r="AJ22" s="73">
        <v>16608.689999999999</v>
      </c>
      <c r="AK22" s="73">
        <v>27694.5099999999</v>
      </c>
      <c r="AL22" s="174">
        <v>95966.739999999903</v>
      </c>
      <c r="AM22" s="161">
        <f t="shared" si="0"/>
        <v>66769.349999999802</v>
      </c>
      <c r="AN22" s="161">
        <f>LARGE(AM$17:AM$239, ROWS(AN$17:AN22))</f>
        <v>332137.57</v>
      </c>
      <c r="AP22" s="215"/>
      <c r="AQ22" s="216"/>
      <c r="AR22" s="217"/>
      <c r="AU22" s="104"/>
      <c r="AV22" s="104"/>
      <c r="AW22" s="104"/>
      <c r="AZ22" s="71" t="s">
        <v>90</v>
      </c>
      <c r="BA22" s="71" t="s">
        <v>333</v>
      </c>
      <c r="BB22" s="32">
        <v>1</v>
      </c>
      <c r="BC22" s="32">
        <v>1</v>
      </c>
      <c r="BD22" s="32"/>
      <c r="BF22" s="71" t="s">
        <v>90</v>
      </c>
      <c r="BG22" s="71" t="s">
        <v>333</v>
      </c>
      <c r="BH22" s="73">
        <v>12.07</v>
      </c>
      <c r="BI22" s="73">
        <v>301.70999999999998</v>
      </c>
      <c r="BJ22" s="73"/>
      <c r="BL22" s="71">
        <v>98052</v>
      </c>
      <c r="BM22" s="71" t="s">
        <v>333</v>
      </c>
      <c r="BN22" s="73">
        <v>-425.54</v>
      </c>
      <c r="BO22" s="73"/>
      <c r="BP22" s="73"/>
    </row>
    <row r="23" spans="2:68" x14ac:dyDescent="0.2">
      <c r="B23" s="78">
        <v>98008</v>
      </c>
      <c r="C23" s="60" t="s">
        <v>333</v>
      </c>
      <c r="D23" s="45">
        <v>93</v>
      </c>
      <c r="E23" s="45">
        <v>92</v>
      </c>
      <c r="F23" s="45">
        <v>95</v>
      </c>
      <c r="H23" s="165">
        <v>98007</v>
      </c>
      <c r="I23" s="165" t="s">
        <v>333</v>
      </c>
      <c r="J23" s="166">
        <v>10238.81</v>
      </c>
      <c r="K23" s="166">
        <v>4970.8799999999901</v>
      </c>
      <c r="L23" s="166">
        <v>32449.179999999898</v>
      </c>
      <c r="M23" s="166">
        <v>188352.48</v>
      </c>
      <c r="N23" s="166">
        <v>13632.96</v>
      </c>
      <c r="O23" s="166">
        <v>3572.36</v>
      </c>
      <c r="P23" s="166">
        <v>33815.81</v>
      </c>
      <c r="Q23" s="166">
        <v>138048.5</v>
      </c>
      <c r="R23" s="166">
        <v>45188.02</v>
      </c>
      <c r="S23" s="166">
        <v>4394.71</v>
      </c>
      <c r="T23" s="166">
        <v>32290.569999999901</v>
      </c>
      <c r="U23" s="166">
        <v>218840.22</v>
      </c>
      <c r="V23" s="172"/>
      <c r="W23" s="161"/>
      <c r="Y23" s="71">
        <v>98007</v>
      </c>
      <c r="Z23" s="14" t="s">
        <v>10</v>
      </c>
      <c r="AA23" s="73">
        <v>17910.9399999999</v>
      </c>
      <c r="AB23" s="73">
        <v>8944.5299999999897</v>
      </c>
      <c r="AC23" s="73">
        <v>44418.01</v>
      </c>
      <c r="AD23" s="73">
        <v>115403.599999999</v>
      </c>
      <c r="AE23" s="73">
        <v>32373.22</v>
      </c>
      <c r="AF23" s="73">
        <v>14274.71</v>
      </c>
      <c r="AG23" s="73">
        <v>44217.66</v>
      </c>
      <c r="AH23" s="73">
        <v>133987.67000000001</v>
      </c>
      <c r="AI23" s="73">
        <v>30635.98</v>
      </c>
      <c r="AJ23" s="73">
        <v>23555.749999999902</v>
      </c>
      <c r="AK23" s="73">
        <v>45302.709999999897</v>
      </c>
      <c r="AL23" s="174">
        <v>139856.69</v>
      </c>
      <c r="AM23" s="161">
        <f t="shared" si="0"/>
        <v>99494.439999999799</v>
      </c>
      <c r="AN23" s="161">
        <f>LARGE(AM$17:AM$239, ROWS(AN$17:AN23))</f>
        <v>327103.34999999986</v>
      </c>
      <c r="AP23" s="215"/>
      <c r="AQ23" s="216"/>
      <c r="AR23" s="217"/>
      <c r="AU23" s="104"/>
      <c r="AV23" s="104"/>
      <c r="AW23" s="104"/>
      <c r="AZ23" s="71" t="s">
        <v>91</v>
      </c>
      <c r="BA23" s="71" t="s">
        <v>333</v>
      </c>
      <c r="BB23" s="32"/>
      <c r="BC23" s="32">
        <v>2</v>
      </c>
      <c r="BD23" s="32">
        <v>2</v>
      </c>
      <c r="BF23" s="71" t="s">
        <v>91</v>
      </c>
      <c r="BG23" s="71" t="s">
        <v>333</v>
      </c>
      <c r="BH23" s="73"/>
      <c r="BI23" s="73">
        <v>21576.81</v>
      </c>
      <c r="BJ23" s="73">
        <v>2114.1499999999996</v>
      </c>
      <c r="BL23" s="71">
        <v>98072</v>
      </c>
      <c r="BM23" s="71" t="s">
        <v>333</v>
      </c>
      <c r="BN23" s="73">
        <v>-355.72</v>
      </c>
      <c r="BO23" s="73">
        <v>-176.56</v>
      </c>
      <c r="BP23" s="73"/>
    </row>
    <row r="24" spans="2:68" x14ac:dyDescent="0.2">
      <c r="B24" s="78">
        <v>98010</v>
      </c>
      <c r="C24" s="60" t="s">
        <v>333</v>
      </c>
      <c r="D24" s="45">
        <v>52</v>
      </c>
      <c r="E24" s="45">
        <v>77</v>
      </c>
      <c r="F24" s="45">
        <v>59</v>
      </c>
      <c r="H24" s="165">
        <v>98008</v>
      </c>
      <c r="I24" s="165" t="s">
        <v>333</v>
      </c>
      <c r="J24" s="166">
        <v>35452.160000000003</v>
      </c>
      <c r="K24" s="166">
        <v>28386.269999999899</v>
      </c>
      <c r="L24" s="166">
        <v>37434.409999999902</v>
      </c>
      <c r="M24" s="166">
        <v>203377.049999999</v>
      </c>
      <c r="N24" s="166">
        <v>27324.479999999901</v>
      </c>
      <c r="O24" s="166">
        <v>10567.9099999999</v>
      </c>
      <c r="P24" s="166">
        <v>9884.33</v>
      </c>
      <c r="Q24" s="166">
        <v>93084.76</v>
      </c>
      <c r="R24" s="166">
        <v>17889.07</v>
      </c>
      <c r="S24" s="166">
        <v>12255.82</v>
      </c>
      <c r="T24" s="166">
        <v>10352.2299999999</v>
      </c>
      <c r="U24" s="166">
        <v>73182.259999999893</v>
      </c>
      <c r="V24" s="172"/>
      <c r="W24" s="161"/>
      <c r="Y24" s="71">
        <v>98008</v>
      </c>
      <c r="Z24" s="14" t="s">
        <v>10</v>
      </c>
      <c r="AA24" s="73">
        <v>7517.51</v>
      </c>
      <c r="AB24" s="73">
        <v>3100.08</v>
      </c>
      <c r="AC24" s="73">
        <v>16088.02</v>
      </c>
      <c r="AD24" s="73">
        <v>48751.68</v>
      </c>
      <c r="AE24" s="73">
        <v>15269.49</v>
      </c>
      <c r="AF24" s="73">
        <v>5011.47</v>
      </c>
      <c r="AG24" s="73">
        <v>16288.789999999901</v>
      </c>
      <c r="AH24" s="73">
        <v>55035.62</v>
      </c>
      <c r="AI24" s="73">
        <v>13078.23</v>
      </c>
      <c r="AJ24" s="73">
        <v>10669.84</v>
      </c>
      <c r="AK24" s="73">
        <v>12593.4999999999</v>
      </c>
      <c r="AL24" s="174">
        <v>54336.269999999902</v>
      </c>
      <c r="AM24" s="161">
        <f t="shared" si="0"/>
        <v>36341.569999999898</v>
      </c>
      <c r="AN24" s="161">
        <f>LARGE(AM$17:AM$239, ROWS(AN$17:AN24))</f>
        <v>323224.929999999</v>
      </c>
      <c r="AP24" s="215"/>
      <c r="AQ24" s="216"/>
      <c r="AR24" s="217"/>
      <c r="AU24" s="104"/>
      <c r="AV24" s="104"/>
      <c r="AW24" s="104"/>
      <c r="AZ24" s="71" t="s">
        <v>93</v>
      </c>
      <c r="BA24" s="71" t="s">
        <v>333</v>
      </c>
      <c r="BB24" s="32">
        <v>3</v>
      </c>
      <c r="BC24" s="32">
        <v>2</v>
      </c>
      <c r="BD24" s="32">
        <v>4</v>
      </c>
      <c r="BF24" s="71" t="s">
        <v>93</v>
      </c>
      <c r="BG24" s="71" t="s">
        <v>333</v>
      </c>
      <c r="BH24" s="73">
        <v>852.05</v>
      </c>
      <c r="BI24" s="73">
        <v>745.26</v>
      </c>
      <c r="BJ24" s="73">
        <v>5419.7000000000007</v>
      </c>
      <c r="BL24" s="71">
        <v>98087</v>
      </c>
      <c r="BM24" s="71" t="s">
        <v>333</v>
      </c>
      <c r="BN24" s="73">
        <v>-100</v>
      </c>
      <c r="BO24" s="73"/>
      <c r="BP24" s="73"/>
    </row>
    <row r="25" spans="2:68" x14ac:dyDescent="0.2">
      <c r="B25" s="78">
        <v>98011</v>
      </c>
      <c r="C25" s="60" t="s">
        <v>333</v>
      </c>
      <c r="D25" s="45">
        <v>94</v>
      </c>
      <c r="E25" s="45">
        <v>114</v>
      </c>
      <c r="F25" s="45">
        <v>91</v>
      </c>
      <c r="H25" s="165">
        <v>98010</v>
      </c>
      <c r="I25" s="165" t="s">
        <v>333</v>
      </c>
      <c r="J25" s="166">
        <v>1945.25999999999</v>
      </c>
      <c r="K25" s="166">
        <v>1159.48</v>
      </c>
      <c r="L25" s="166">
        <v>9373.1299999999992</v>
      </c>
      <c r="M25" s="166">
        <v>25749.96</v>
      </c>
      <c r="N25" s="166">
        <v>2254.9899999999998</v>
      </c>
      <c r="O25" s="166">
        <v>1790.6499999999901</v>
      </c>
      <c r="P25" s="166">
        <v>8637.24</v>
      </c>
      <c r="Q25" s="166">
        <v>34427.9399999999</v>
      </c>
      <c r="R25" s="166">
        <v>12225.89</v>
      </c>
      <c r="S25" s="166">
        <v>1685.6</v>
      </c>
      <c r="T25" s="166">
        <v>8832.7800000000007</v>
      </c>
      <c r="U25" s="166">
        <v>41366.07</v>
      </c>
      <c r="V25" s="172"/>
      <c r="W25" s="161"/>
      <c r="Y25" s="71">
        <v>98010</v>
      </c>
      <c r="Z25" s="14" t="s">
        <v>10</v>
      </c>
      <c r="AA25" s="73">
        <v>5506.17</v>
      </c>
      <c r="AB25" s="73">
        <v>2318.6699999999901</v>
      </c>
      <c r="AC25" s="73">
        <v>9427.06</v>
      </c>
      <c r="AD25" s="73">
        <v>27383.79</v>
      </c>
      <c r="AE25" s="73">
        <v>7856.1899999999896</v>
      </c>
      <c r="AF25" s="73">
        <v>4076.47999999999</v>
      </c>
      <c r="AG25" s="73">
        <v>10012.9799999999</v>
      </c>
      <c r="AH25" s="73">
        <v>32380.04</v>
      </c>
      <c r="AI25" s="73">
        <v>8349.6200000000008</v>
      </c>
      <c r="AJ25" s="73">
        <v>6552.53999999999</v>
      </c>
      <c r="AK25" s="73">
        <v>13170.76</v>
      </c>
      <c r="AL25" s="174">
        <v>38426.419999999896</v>
      </c>
      <c r="AM25" s="161">
        <f t="shared" si="0"/>
        <v>28072.919999999991</v>
      </c>
      <c r="AN25" s="161">
        <f>LARGE(AM$17:AM$239, ROWS(AN$17:AN25))</f>
        <v>304275.08999999997</v>
      </c>
      <c r="AP25" s="215"/>
      <c r="AQ25" s="216"/>
      <c r="AR25" s="217"/>
      <c r="AZ25" s="71" t="s">
        <v>95</v>
      </c>
      <c r="BA25" s="71" t="s">
        <v>333</v>
      </c>
      <c r="BB25" s="32"/>
      <c r="BC25" s="32">
        <v>1</v>
      </c>
      <c r="BD25" s="32"/>
      <c r="BF25" s="71" t="s">
        <v>95</v>
      </c>
      <c r="BG25" s="71" t="s">
        <v>333</v>
      </c>
      <c r="BH25" s="73"/>
      <c r="BI25" s="73">
        <v>206.09</v>
      </c>
      <c r="BJ25" s="73"/>
      <c r="BL25" s="71">
        <v>98105</v>
      </c>
      <c r="BM25" s="71" t="s">
        <v>333</v>
      </c>
      <c r="BN25" s="73">
        <v>-50.84</v>
      </c>
      <c r="BO25" s="73"/>
      <c r="BP25" s="73"/>
    </row>
    <row r="26" spans="2:68" x14ac:dyDescent="0.2">
      <c r="B26" s="78">
        <v>98012</v>
      </c>
      <c r="C26" s="60" t="s">
        <v>333</v>
      </c>
      <c r="D26" s="45">
        <v>37</v>
      </c>
      <c r="E26" s="45">
        <v>38</v>
      </c>
      <c r="F26" s="45">
        <v>25</v>
      </c>
      <c r="H26" s="165">
        <v>98011</v>
      </c>
      <c r="I26" s="165" t="s">
        <v>333</v>
      </c>
      <c r="J26" s="166">
        <v>18046.11</v>
      </c>
      <c r="K26" s="166">
        <v>2284.8199999999902</v>
      </c>
      <c r="L26" s="166">
        <v>11484.06</v>
      </c>
      <c r="M26" s="166">
        <v>109071.29</v>
      </c>
      <c r="N26" s="166">
        <v>20806.269999999899</v>
      </c>
      <c r="O26" s="166">
        <v>3685.72</v>
      </c>
      <c r="P26" s="166">
        <v>11200.139999999899</v>
      </c>
      <c r="Q26" s="166">
        <v>192200.3</v>
      </c>
      <c r="R26" s="166">
        <v>7271.6</v>
      </c>
      <c r="S26" s="166">
        <v>3345.7999999999902</v>
      </c>
      <c r="T26" s="166">
        <v>9851.81</v>
      </c>
      <c r="U26" s="166">
        <v>127207.79</v>
      </c>
      <c r="V26" s="172"/>
      <c r="W26" s="161"/>
      <c r="Y26" s="71">
        <v>98011</v>
      </c>
      <c r="Z26" s="14" t="s">
        <v>10</v>
      </c>
      <c r="AA26" s="73">
        <v>11326.6799999999</v>
      </c>
      <c r="AB26" s="73">
        <v>4285.26</v>
      </c>
      <c r="AC26" s="73">
        <v>55787.360000000001</v>
      </c>
      <c r="AD26" s="73">
        <v>95225.539999999906</v>
      </c>
      <c r="AE26" s="73">
        <v>19956.59</v>
      </c>
      <c r="AF26" s="73">
        <v>10529.5199999999</v>
      </c>
      <c r="AG26" s="73">
        <v>52851.62</v>
      </c>
      <c r="AH26" s="73">
        <v>107183.79</v>
      </c>
      <c r="AI26" s="73">
        <v>16859.45</v>
      </c>
      <c r="AJ26" s="73">
        <v>15662.64</v>
      </c>
      <c r="AK26" s="73">
        <v>55140.549999999901</v>
      </c>
      <c r="AL26" s="174">
        <v>109080.379999999</v>
      </c>
      <c r="AM26" s="161">
        <f t="shared" si="0"/>
        <v>87662.639999999898</v>
      </c>
      <c r="AN26" s="161">
        <f>LARGE(AM$17:AM$239, ROWS(AN$17:AN26))</f>
        <v>283422.90000000002</v>
      </c>
      <c r="AP26" s="215"/>
      <c r="AQ26" s="216"/>
      <c r="AR26" s="217"/>
      <c r="AZ26" s="71" t="s">
        <v>97</v>
      </c>
      <c r="BA26" s="71" t="s">
        <v>333</v>
      </c>
      <c r="BB26" s="32">
        <v>1</v>
      </c>
      <c r="BC26" s="32">
        <v>2</v>
      </c>
      <c r="BD26" s="32">
        <v>1</v>
      </c>
      <c r="BF26" s="71" t="s">
        <v>97</v>
      </c>
      <c r="BG26" s="71" t="s">
        <v>333</v>
      </c>
      <c r="BH26" s="73">
        <v>29.87</v>
      </c>
      <c r="BI26" s="73">
        <v>279.16000000000003</v>
      </c>
      <c r="BJ26" s="73"/>
      <c r="BL26" s="71">
        <v>98144</v>
      </c>
      <c r="BM26" s="71" t="s">
        <v>333</v>
      </c>
      <c r="BN26" s="73">
        <v>-187.52</v>
      </c>
      <c r="BO26" s="73"/>
      <c r="BP26" s="73"/>
    </row>
    <row r="27" spans="2:68" x14ac:dyDescent="0.2">
      <c r="B27" s="78">
        <v>98014</v>
      </c>
      <c r="C27" s="60" t="s">
        <v>333</v>
      </c>
      <c r="D27" s="45">
        <v>36</v>
      </c>
      <c r="E27" s="45">
        <v>37</v>
      </c>
      <c r="F27" s="45">
        <v>92</v>
      </c>
      <c r="H27" s="165">
        <v>98012</v>
      </c>
      <c r="I27" s="165" t="s">
        <v>333</v>
      </c>
      <c r="J27" s="166">
        <v>2251.2399999999998</v>
      </c>
      <c r="K27" s="166">
        <v>178.53</v>
      </c>
      <c r="L27" s="166">
        <v>4459.1400000000003</v>
      </c>
      <c r="M27" s="166">
        <v>14435.94</v>
      </c>
      <c r="N27" s="166">
        <v>4696.57</v>
      </c>
      <c r="O27" s="166">
        <v>1238.18</v>
      </c>
      <c r="P27" s="166">
        <v>4530.0499999999902</v>
      </c>
      <c r="Q27" s="166">
        <v>56242.6499999999</v>
      </c>
      <c r="R27" s="166">
        <v>4034.54</v>
      </c>
      <c r="S27" s="166">
        <v>2792.1699999999901</v>
      </c>
      <c r="T27" s="166">
        <v>5076.0999999999904</v>
      </c>
      <c r="U27" s="166">
        <v>22274.2399999999</v>
      </c>
      <c r="V27" s="172"/>
      <c r="W27" s="161"/>
      <c r="Y27" s="71">
        <v>98012</v>
      </c>
      <c r="Z27" s="14" t="s">
        <v>10</v>
      </c>
      <c r="AA27" s="73">
        <v>2259.77</v>
      </c>
      <c r="AB27" s="73">
        <v>671.58999999999901</v>
      </c>
      <c r="AC27" s="73">
        <v>5027.21</v>
      </c>
      <c r="AD27" s="73">
        <v>15761.44</v>
      </c>
      <c r="AE27" s="73">
        <v>5815.05</v>
      </c>
      <c r="AF27" s="73">
        <v>2028.54</v>
      </c>
      <c r="AG27" s="73">
        <v>4474.16</v>
      </c>
      <c r="AH27" s="73">
        <v>20393.179999999898</v>
      </c>
      <c r="AI27" s="73">
        <v>6250.32</v>
      </c>
      <c r="AJ27" s="73">
        <v>4838.62</v>
      </c>
      <c r="AK27" s="73">
        <v>5621.12</v>
      </c>
      <c r="AL27" s="174">
        <v>24478.92</v>
      </c>
      <c r="AM27" s="161">
        <f t="shared" si="0"/>
        <v>16710.059999999998</v>
      </c>
      <c r="AN27" s="161"/>
      <c r="AP27" s="215"/>
      <c r="AQ27" s="216"/>
      <c r="AR27" s="217"/>
      <c r="AZ27" s="71" t="s">
        <v>98</v>
      </c>
      <c r="BA27" s="71" t="s">
        <v>333</v>
      </c>
      <c r="BB27" s="32">
        <v>2</v>
      </c>
      <c r="BC27" s="32">
        <v>2</v>
      </c>
      <c r="BD27" s="32">
        <v>4</v>
      </c>
      <c r="BF27" s="71" t="s">
        <v>98</v>
      </c>
      <c r="BG27" s="71" t="s">
        <v>333</v>
      </c>
      <c r="BH27" s="73">
        <v>35788.53</v>
      </c>
      <c r="BI27" s="73">
        <v>815.02</v>
      </c>
      <c r="BJ27" s="73">
        <v>785.31</v>
      </c>
      <c r="BL27" s="71">
        <v>98203</v>
      </c>
      <c r="BM27" s="71" t="s">
        <v>333</v>
      </c>
      <c r="BN27" s="73"/>
      <c r="BO27" s="73">
        <v>-1134.8599999999999</v>
      </c>
      <c r="BP27" s="73"/>
    </row>
    <row r="28" spans="2:68" x14ac:dyDescent="0.2">
      <c r="B28" s="78">
        <v>98019</v>
      </c>
      <c r="C28" s="60" t="s">
        <v>333</v>
      </c>
      <c r="D28" s="45">
        <v>40</v>
      </c>
      <c r="E28" s="45">
        <v>36</v>
      </c>
      <c r="F28" s="45">
        <v>43</v>
      </c>
      <c r="H28" s="165">
        <v>98014</v>
      </c>
      <c r="I28" s="165" t="s">
        <v>333</v>
      </c>
      <c r="J28" s="166">
        <v>4114.2299999999996</v>
      </c>
      <c r="K28" s="166">
        <v>23.19</v>
      </c>
      <c r="L28" s="166">
        <v>69552.509999999995</v>
      </c>
      <c r="M28" s="166">
        <v>78334.7</v>
      </c>
      <c r="N28" s="166">
        <v>3438.89</v>
      </c>
      <c r="O28" s="166">
        <v>2946.59</v>
      </c>
      <c r="P28" s="166">
        <v>68921.499999999898</v>
      </c>
      <c r="Q28" s="166">
        <v>83172.479999999894</v>
      </c>
      <c r="R28" s="166">
        <v>2686.66</v>
      </c>
      <c r="S28" s="166">
        <v>2457.31</v>
      </c>
      <c r="T28" s="166">
        <v>26445.15</v>
      </c>
      <c r="U28" s="166">
        <v>108429.61999999901</v>
      </c>
      <c r="V28" s="172"/>
      <c r="W28" s="161"/>
      <c r="Y28" s="71">
        <v>98014</v>
      </c>
      <c r="Z28" s="14" t="s">
        <v>10</v>
      </c>
      <c r="AA28" s="73">
        <v>5263.07</v>
      </c>
      <c r="AB28" s="73">
        <v>55.26</v>
      </c>
      <c r="AC28" s="73">
        <v>15280.33</v>
      </c>
      <c r="AD28" s="73">
        <v>21976.52</v>
      </c>
      <c r="AE28" s="73">
        <v>2595.39</v>
      </c>
      <c r="AF28" s="73">
        <v>2675.9199999999901</v>
      </c>
      <c r="AG28" s="73">
        <v>11189.4299999999</v>
      </c>
      <c r="AH28" s="73">
        <v>25142.97</v>
      </c>
      <c r="AI28" s="73">
        <v>5105.68</v>
      </c>
      <c r="AJ28" s="73">
        <v>368.02</v>
      </c>
      <c r="AK28" s="73">
        <v>12307.88</v>
      </c>
      <c r="AL28" s="174">
        <v>35961.89</v>
      </c>
      <c r="AM28" s="161">
        <f t="shared" si="0"/>
        <v>17781.580000000002</v>
      </c>
      <c r="AN28" s="161"/>
      <c r="AP28" s="215"/>
      <c r="AQ28" s="216"/>
      <c r="AR28" s="217"/>
      <c r="AZ28" s="71" t="s">
        <v>99</v>
      </c>
      <c r="BA28" s="71" t="s">
        <v>333</v>
      </c>
      <c r="BB28" s="32"/>
      <c r="BC28" s="32">
        <v>1</v>
      </c>
      <c r="BD28" s="32"/>
      <c r="BF28" s="71" t="s">
        <v>99</v>
      </c>
      <c r="BG28" s="71" t="s">
        <v>333</v>
      </c>
      <c r="BH28" s="73"/>
      <c r="BI28" s="73">
        <v>20.420000000000002</v>
      </c>
      <c r="BJ28" s="73"/>
      <c r="BL28" s="71">
        <v>98204</v>
      </c>
      <c r="BM28" s="71" t="s">
        <v>333</v>
      </c>
      <c r="BN28" s="73">
        <v>-175.3</v>
      </c>
      <c r="BO28" s="73">
        <v>-108.33</v>
      </c>
      <c r="BP28" s="73"/>
    </row>
    <row r="29" spans="2:68" x14ac:dyDescent="0.2">
      <c r="B29" s="78">
        <v>98020</v>
      </c>
      <c r="C29" s="60" t="s">
        <v>333</v>
      </c>
      <c r="D29" s="45">
        <v>13</v>
      </c>
      <c r="E29" s="45">
        <v>28</v>
      </c>
      <c r="F29" s="45">
        <v>18</v>
      </c>
      <c r="H29" s="165">
        <v>98019</v>
      </c>
      <c r="I29" s="165" t="s">
        <v>333</v>
      </c>
      <c r="J29" s="166">
        <v>1964.21</v>
      </c>
      <c r="K29" s="166"/>
      <c r="L29" s="166">
        <v>10269.3499999999</v>
      </c>
      <c r="M29" s="166">
        <v>19454.689999999999</v>
      </c>
      <c r="N29" s="166">
        <v>3559.24</v>
      </c>
      <c r="O29" s="166">
        <v>1075.74</v>
      </c>
      <c r="P29" s="166">
        <v>9617.51</v>
      </c>
      <c r="Q29" s="166">
        <v>27822.18</v>
      </c>
      <c r="R29" s="166">
        <v>9323.1299999999901</v>
      </c>
      <c r="S29" s="166">
        <v>2412.48</v>
      </c>
      <c r="T29" s="166">
        <v>10261.83</v>
      </c>
      <c r="U29" s="166">
        <v>32643.29</v>
      </c>
      <c r="V29" s="172"/>
      <c r="W29" s="161"/>
      <c r="Y29" s="71">
        <v>98019</v>
      </c>
      <c r="Z29" s="14" t="s">
        <v>10</v>
      </c>
      <c r="AA29" s="73">
        <v>4591.22</v>
      </c>
      <c r="AB29" s="73">
        <v>510.56</v>
      </c>
      <c r="AC29" s="73">
        <v>22923.919999999998</v>
      </c>
      <c r="AD29" s="73">
        <v>38291.1499999999</v>
      </c>
      <c r="AE29" s="73">
        <v>8227.0799999999908</v>
      </c>
      <c r="AF29" s="73">
        <v>3785.3</v>
      </c>
      <c r="AG29" s="73">
        <v>21888.809999999899</v>
      </c>
      <c r="AH29" s="73">
        <v>45365.85</v>
      </c>
      <c r="AI29" s="73">
        <v>9215.23</v>
      </c>
      <c r="AJ29" s="73">
        <v>6732.61</v>
      </c>
      <c r="AK29" s="73">
        <v>22543.389999999901</v>
      </c>
      <c r="AL29" s="174">
        <v>50451.17</v>
      </c>
      <c r="AM29" s="161">
        <f t="shared" si="0"/>
        <v>38491.229999999901</v>
      </c>
      <c r="AN29" s="161"/>
      <c r="AP29" s="215"/>
      <c r="AQ29" s="216"/>
      <c r="AR29" s="217"/>
      <c r="AZ29" s="71" t="s">
        <v>100</v>
      </c>
      <c r="BA29" s="71" t="s">
        <v>333</v>
      </c>
      <c r="BB29" s="32">
        <v>1</v>
      </c>
      <c r="BC29" s="32">
        <v>2</v>
      </c>
      <c r="BD29" s="32">
        <v>6</v>
      </c>
      <c r="BF29" s="71" t="s">
        <v>100</v>
      </c>
      <c r="BG29" s="71" t="s">
        <v>333</v>
      </c>
      <c r="BH29" s="73">
        <v>10.89</v>
      </c>
      <c r="BI29" s="73">
        <v>2823.99</v>
      </c>
      <c r="BJ29" s="73">
        <v>2085.09</v>
      </c>
      <c r="BL29" s="71">
        <v>98221</v>
      </c>
      <c r="BM29" s="71" t="s">
        <v>333</v>
      </c>
      <c r="BN29" s="73">
        <v>-1000</v>
      </c>
      <c r="BO29" s="73"/>
      <c r="BP29" s="73">
        <v>-611.32000000000005</v>
      </c>
    </row>
    <row r="30" spans="2:68" x14ac:dyDescent="0.2">
      <c r="B30" s="78">
        <v>98021</v>
      </c>
      <c r="C30" s="60" t="s">
        <v>333</v>
      </c>
      <c r="D30" s="45">
        <v>23</v>
      </c>
      <c r="E30" s="45">
        <v>37</v>
      </c>
      <c r="F30" s="45">
        <v>24</v>
      </c>
      <c r="H30" s="165">
        <v>98020</v>
      </c>
      <c r="I30" s="165" t="s">
        <v>333</v>
      </c>
      <c r="J30" s="166">
        <v>931.849999999999</v>
      </c>
      <c r="K30" s="166">
        <v>571.48</v>
      </c>
      <c r="L30" s="166">
        <v>5105.1099999999997</v>
      </c>
      <c r="M30" s="166">
        <v>13334</v>
      </c>
      <c r="N30" s="166">
        <v>1212.54</v>
      </c>
      <c r="O30" s="166">
        <v>348.55</v>
      </c>
      <c r="P30" s="166">
        <v>5466.01</v>
      </c>
      <c r="Q30" s="166">
        <v>44364.01</v>
      </c>
      <c r="R30" s="166">
        <v>1081.79</v>
      </c>
      <c r="S30" s="166">
        <v>704.979999999999</v>
      </c>
      <c r="T30" s="166">
        <v>4339.6899999999996</v>
      </c>
      <c r="U30" s="166">
        <v>14597.0999999999</v>
      </c>
      <c r="V30" s="172"/>
      <c r="W30" s="161"/>
      <c r="Y30" s="71">
        <v>98020</v>
      </c>
      <c r="Z30" s="14" t="s">
        <v>10</v>
      </c>
      <c r="AA30" s="73">
        <v>503.92</v>
      </c>
      <c r="AB30" s="73">
        <v>73.84</v>
      </c>
      <c r="AC30" s="73">
        <v>372.04</v>
      </c>
      <c r="AD30" s="73">
        <v>2865.77</v>
      </c>
      <c r="AE30" s="73">
        <v>1245.6300000000001</v>
      </c>
      <c r="AF30" s="73">
        <v>275.13</v>
      </c>
      <c r="AG30" s="73">
        <v>445.88</v>
      </c>
      <c r="AH30" s="73">
        <v>2969.43</v>
      </c>
      <c r="AI30" s="73">
        <v>976.5</v>
      </c>
      <c r="AJ30" s="73">
        <v>966.31999999999903</v>
      </c>
      <c r="AK30" s="73">
        <v>189.42</v>
      </c>
      <c r="AL30" s="174">
        <v>3089.07</v>
      </c>
      <c r="AM30" s="161">
        <f t="shared" si="0"/>
        <v>2132.2399999999989</v>
      </c>
      <c r="AN30" s="161"/>
      <c r="AP30" s="215"/>
      <c r="AQ30" s="216"/>
      <c r="AR30" s="217"/>
      <c r="AZ30" s="71" t="s">
        <v>101</v>
      </c>
      <c r="BA30" s="71" t="s">
        <v>333</v>
      </c>
      <c r="BB30" s="32"/>
      <c r="BC30" s="32">
        <v>4</v>
      </c>
      <c r="BD30" s="32">
        <v>1</v>
      </c>
      <c r="BF30" s="71" t="s">
        <v>101</v>
      </c>
      <c r="BG30" s="71" t="s">
        <v>333</v>
      </c>
      <c r="BH30" s="73"/>
      <c r="BI30" s="73">
        <v>3685.33</v>
      </c>
      <c r="BJ30" s="73">
        <v>400.43</v>
      </c>
      <c r="BL30" s="71">
        <v>98225</v>
      </c>
      <c r="BM30" s="71" t="s">
        <v>333</v>
      </c>
      <c r="BN30" s="73">
        <v>-56.13</v>
      </c>
      <c r="BO30" s="73"/>
      <c r="BP30" s="73"/>
    </row>
    <row r="31" spans="2:68" x14ac:dyDescent="0.2">
      <c r="B31" s="78">
        <v>98022</v>
      </c>
      <c r="C31" s="60" t="s">
        <v>333</v>
      </c>
      <c r="D31" s="45">
        <v>223</v>
      </c>
      <c r="E31" s="45">
        <v>145</v>
      </c>
      <c r="F31" s="45">
        <v>250</v>
      </c>
      <c r="H31" s="165">
        <v>98021</v>
      </c>
      <c r="I31" s="165" t="s">
        <v>333</v>
      </c>
      <c r="J31" s="166">
        <v>1079.0999999999999</v>
      </c>
      <c r="K31" s="166">
        <v>336.01</v>
      </c>
      <c r="L31" s="166">
        <v>2891.8599999999901</v>
      </c>
      <c r="M31" s="166">
        <v>19716.84</v>
      </c>
      <c r="N31" s="166">
        <v>2517.72999999999</v>
      </c>
      <c r="O31" s="166">
        <v>824.68</v>
      </c>
      <c r="P31" s="166">
        <v>3143.4</v>
      </c>
      <c r="Q31" s="166">
        <v>109010.099999999</v>
      </c>
      <c r="R31" s="166">
        <v>1949.6499999999901</v>
      </c>
      <c r="S31" s="166">
        <v>1494.75</v>
      </c>
      <c r="T31" s="166">
        <v>3823.68</v>
      </c>
      <c r="U31" s="166">
        <v>16575.990000000002</v>
      </c>
      <c r="V31" s="172"/>
      <c r="W31" s="161"/>
      <c r="Y31" s="71">
        <v>98021</v>
      </c>
      <c r="Z31" s="14" t="s">
        <v>10</v>
      </c>
      <c r="AA31" s="73">
        <v>1142.6599999999901</v>
      </c>
      <c r="AB31" s="73">
        <v>364.55999999999898</v>
      </c>
      <c r="AC31" s="73">
        <v>2587.39</v>
      </c>
      <c r="AD31" s="73">
        <v>7250.9699999999903</v>
      </c>
      <c r="AE31" s="73">
        <v>2430.0499999999902</v>
      </c>
      <c r="AF31" s="73">
        <v>924.849999999999</v>
      </c>
      <c r="AG31" s="73">
        <v>2246.7999999999902</v>
      </c>
      <c r="AH31" s="73">
        <v>8771.33</v>
      </c>
      <c r="AI31" s="73">
        <v>2558.87</v>
      </c>
      <c r="AJ31" s="73">
        <v>1902.1299999999901</v>
      </c>
      <c r="AK31" s="73">
        <v>2535.89</v>
      </c>
      <c r="AL31" s="174">
        <v>10023.1799999999</v>
      </c>
      <c r="AM31" s="161">
        <f t="shared" si="0"/>
        <v>6996.8899999999903</v>
      </c>
      <c r="AN31" s="161"/>
      <c r="AP31" s="215"/>
      <c r="AQ31" s="216"/>
      <c r="AR31" s="217"/>
      <c r="AZ31" s="71" t="s">
        <v>102</v>
      </c>
      <c r="BA31" s="71" t="s">
        <v>333</v>
      </c>
      <c r="BB31" s="32">
        <v>1</v>
      </c>
      <c r="BC31" s="32">
        <v>1</v>
      </c>
      <c r="BD31" s="32">
        <v>1</v>
      </c>
      <c r="BF31" s="71" t="s">
        <v>102</v>
      </c>
      <c r="BG31" s="71" t="s">
        <v>333</v>
      </c>
      <c r="BH31" s="73">
        <v>11.34</v>
      </c>
      <c r="BI31" s="73"/>
      <c r="BJ31" s="73">
        <v>134.71</v>
      </c>
      <c r="BL31" s="71">
        <v>98237</v>
      </c>
      <c r="BM31" s="71" t="s">
        <v>333</v>
      </c>
      <c r="BN31" s="73">
        <v>-100</v>
      </c>
      <c r="BO31" s="73"/>
      <c r="BP31" s="73"/>
    </row>
    <row r="32" spans="2:68" x14ac:dyDescent="0.2">
      <c r="B32" s="78">
        <v>98023</v>
      </c>
      <c r="C32" s="60" t="s">
        <v>333</v>
      </c>
      <c r="D32" s="45">
        <v>76</v>
      </c>
      <c r="E32" s="45">
        <v>61</v>
      </c>
      <c r="F32" s="45">
        <v>59</v>
      </c>
      <c r="H32" s="165">
        <v>98022</v>
      </c>
      <c r="I32" s="165" t="s">
        <v>333</v>
      </c>
      <c r="J32" s="166">
        <v>137652.50999999899</v>
      </c>
      <c r="K32" s="166">
        <v>25277.23</v>
      </c>
      <c r="L32" s="166">
        <v>351128.09999999899</v>
      </c>
      <c r="M32" s="166">
        <v>577156.05999999901</v>
      </c>
      <c r="N32" s="166">
        <v>11960.18</v>
      </c>
      <c r="O32" s="166">
        <v>40471.22</v>
      </c>
      <c r="P32" s="166">
        <v>105677.14</v>
      </c>
      <c r="Q32" s="166">
        <v>217737.31</v>
      </c>
      <c r="R32" s="166">
        <v>29904.27</v>
      </c>
      <c r="S32" s="166">
        <v>7575.24</v>
      </c>
      <c r="T32" s="166">
        <v>123576.2</v>
      </c>
      <c r="U32" s="166">
        <v>323073.21000000002</v>
      </c>
      <c r="V32" s="172"/>
      <c r="W32" s="161"/>
      <c r="Y32" s="71">
        <v>98022</v>
      </c>
      <c r="Z32" s="14" t="s">
        <v>10</v>
      </c>
      <c r="AA32" s="73">
        <v>30703.129999999899</v>
      </c>
      <c r="AB32" s="73">
        <v>9727.67</v>
      </c>
      <c r="AC32" s="73">
        <v>58027.35</v>
      </c>
      <c r="AD32" s="73">
        <v>138915.86999999901</v>
      </c>
      <c r="AE32" s="73">
        <v>4503.75</v>
      </c>
      <c r="AF32" s="73">
        <v>30136.639999999999</v>
      </c>
      <c r="AG32" s="73">
        <v>50865.81</v>
      </c>
      <c r="AH32" s="73">
        <v>122695.599999999</v>
      </c>
      <c r="AI32" s="73">
        <v>27851.69</v>
      </c>
      <c r="AJ32" s="73">
        <v>1665.88</v>
      </c>
      <c r="AK32" s="73">
        <v>71570.249999999898</v>
      </c>
      <c r="AL32" s="174">
        <v>182749.71</v>
      </c>
      <c r="AM32" s="161">
        <f t="shared" si="0"/>
        <v>101087.81999999989</v>
      </c>
      <c r="AN32" s="170">
        <f>SUM(AN17:AN21)/AL240</f>
        <v>0.10264287637571522</v>
      </c>
      <c r="AP32" s="215"/>
      <c r="AQ32" s="216"/>
      <c r="AR32" s="217"/>
      <c r="AZ32" s="71" t="s">
        <v>103</v>
      </c>
      <c r="BA32" s="71" t="s">
        <v>333</v>
      </c>
      <c r="BB32" s="32"/>
      <c r="BC32" s="32">
        <v>1</v>
      </c>
      <c r="BD32" s="32">
        <v>3</v>
      </c>
      <c r="BF32" s="71" t="s">
        <v>103</v>
      </c>
      <c r="BG32" s="71" t="s">
        <v>333</v>
      </c>
      <c r="BH32" s="73"/>
      <c r="BI32" s="73">
        <v>189.21</v>
      </c>
      <c r="BJ32" s="73">
        <v>2870.42</v>
      </c>
      <c r="BL32" s="71">
        <v>98239</v>
      </c>
      <c r="BM32" s="71" t="s">
        <v>333</v>
      </c>
      <c r="BN32" s="73"/>
      <c r="BO32" s="73">
        <v>-40.4</v>
      </c>
      <c r="BP32" s="73"/>
    </row>
    <row r="33" spans="2:68" x14ac:dyDescent="0.2">
      <c r="B33" s="78">
        <v>98024</v>
      </c>
      <c r="C33" s="60" t="s">
        <v>333</v>
      </c>
      <c r="D33" s="45">
        <v>48</v>
      </c>
      <c r="E33" s="45">
        <v>34</v>
      </c>
      <c r="F33" s="45">
        <v>29</v>
      </c>
      <c r="H33" s="165">
        <v>98023</v>
      </c>
      <c r="I33" s="165" t="s">
        <v>333</v>
      </c>
      <c r="J33" s="166">
        <v>16305.7399999999</v>
      </c>
      <c r="K33" s="166">
        <v>1447.21999999999</v>
      </c>
      <c r="L33" s="166">
        <v>17933.91</v>
      </c>
      <c r="M33" s="166">
        <v>57535.53</v>
      </c>
      <c r="N33" s="166">
        <v>6175.2599999999902</v>
      </c>
      <c r="O33" s="166">
        <v>2194.98</v>
      </c>
      <c r="P33" s="166">
        <v>16273.64</v>
      </c>
      <c r="Q33" s="166">
        <v>70987.039999999906</v>
      </c>
      <c r="R33" s="166">
        <v>3714.26</v>
      </c>
      <c r="S33" s="166">
        <v>2436.06</v>
      </c>
      <c r="T33" s="166">
        <v>16313.6799999999</v>
      </c>
      <c r="U33" s="166">
        <v>128576.799999999</v>
      </c>
      <c r="V33" s="172"/>
      <c r="W33" s="161"/>
      <c r="Y33" s="168">
        <v>98023</v>
      </c>
      <c r="Z33" s="14" t="s">
        <v>10</v>
      </c>
      <c r="AA33" s="73">
        <v>51541.029999999897</v>
      </c>
      <c r="AB33" s="73">
        <v>27221.749999999902</v>
      </c>
      <c r="AC33" s="73">
        <v>148366.9</v>
      </c>
      <c r="AD33" s="73">
        <v>357465.51999999897</v>
      </c>
      <c r="AE33" s="73">
        <v>107317.359999999</v>
      </c>
      <c r="AF33" s="73">
        <v>45358.129999999903</v>
      </c>
      <c r="AG33" s="73">
        <v>150916.709999999</v>
      </c>
      <c r="AH33" s="73">
        <v>454419.179999999</v>
      </c>
      <c r="AI33" s="73">
        <v>119461.179999999</v>
      </c>
      <c r="AJ33" s="73">
        <v>83072.459999999905</v>
      </c>
      <c r="AK33" s="167">
        <v>156876.709999999</v>
      </c>
      <c r="AL33" s="174">
        <v>503532.93999999901</v>
      </c>
      <c r="AM33" s="173">
        <f t="shared" si="0"/>
        <v>359410.34999999788</v>
      </c>
      <c r="AN33" s="170">
        <f>SUM(AK18:AK19,AK33,AK41,AK70)/AK240</f>
        <v>0.14591679121035026</v>
      </c>
      <c r="AP33" s="215"/>
      <c r="AQ33" s="216"/>
      <c r="AR33" s="217"/>
      <c r="AZ33" s="71" t="s">
        <v>104</v>
      </c>
      <c r="BA33" s="71" t="s">
        <v>333</v>
      </c>
      <c r="BB33" s="32">
        <v>5</v>
      </c>
      <c r="BC33" s="32">
        <v>3</v>
      </c>
      <c r="BD33" s="32">
        <v>12</v>
      </c>
      <c r="BF33" s="71" t="s">
        <v>104</v>
      </c>
      <c r="BG33" s="71" t="s">
        <v>333</v>
      </c>
      <c r="BH33" s="73">
        <v>5436.59</v>
      </c>
      <c r="BI33" s="73">
        <v>681.46</v>
      </c>
      <c r="BJ33" s="73">
        <v>11089.82</v>
      </c>
      <c r="BL33" s="71">
        <v>98270</v>
      </c>
      <c r="BM33" s="71" t="s">
        <v>333</v>
      </c>
      <c r="BN33" s="73">
        <v>-158.47999999999999</v>
      </c>
      <c r="BO33" s="73"/>
      <c r="BP33" s="73"/>
    </row>
    <row r="34" spans="2:68" x14ac:dyDescent="0.2">
      <c r="B34" s="78">
        <v>98026</v>
      </c>
      <c r="C34" s="60" t="s">
        <v>333</v>
      </c>
      <c r="D34" s="45">
        <v>21</v>
      </c>
      <c r="E34" s="45">
        <v>24</v>
      </c>
      <c r="F34" s="45">
        <v>23</v>
      </c>
      <c r="H34" s="165">
        <v>98024</v>
      </c>
      <c r="I34" s="165" t="s">
        <v>333</v>
      </c>
      <c r="J34" s="166">
        <v>1155.72999999999</v>
      </c>
      <c r="K34" s="166">
        <v>502.979999999999</v>
      </c>
      <c r="L34" s="166">
        <v>893.36</v>
      </c>
      <c r="M34" s="166">
        <v>37179.019999999902</v>
      </c>
      <c r="N34" s="166">
        <v>2486.73</v>
      </c>
      <c r="O34" s="166">
        <v>880.72</v>
      </c>
      <c r="P34" s="166">
        <v>1044.8999999999901</v>
      </c>
      <c r="Q34" s="166">
        <v>9405</v>
      </c>
      <c r="R34" s="166">
        <v>3065.2</v>
      </c>
      <c r="S34" s="166">
        <v>2193.83</v>
      </c>
      <c r="T34" s="166">
        <v>1232.08</v>
      </c>
      <c r="U34" s="166">
        <v>11475.44</v>
      </c>
      <c r="V34" s="172"/>
      <c r="W34" s="161"/>
      <c r="Y34" s="71">
        <v>98024</v>
      </c>
      <c r="Z34" s="14" t="s">
        <v>10</v>
      </c>
      <c r="AA34" s="73">
        <v>3460.0299999999902</v>
      </c>
      <c r="AB34" s="73">
        <v>1948.84</v>
      </c>
      <c r="AC34" s="73">
        <v>15686.19</v>
      </c>
      <c r="AD34" s="73">
        <v>27677.39</v>
      </c>
      <c r="AE34" s="73">
        <v>5883.05</v>
      </c>
      <c r="AF34" s="73">
        <v>3017.8</v>
      </c>
      <c r="AG34" s="73">
        <v>15971.96</v>
      </c>
      <c r="AH34" s="73">
        <v>31071.21</v>
      </c>
      <c r="AI34" s="73">
        <v>5267.37</v>
      </c>
      <c r="AJ34" s="73">
        <v>5450.61</v>
      </c>
      <c r="AK34" s="73">
        <v>18689.759999999998</v>
      </c>
      <c r="AL34" s="174">
        <v>37111.269999999902</v>
      </c>
      <c r="AM34" s="161">
        <f t="shared" si="0"/>
        <v>29407.739999999998</v>
      </c>
      <c r="AN34" s="161"/>
      <c r="AP34" s="215"/>
      <c r="AQ34" s="216"/>
      <c r="AR34" s="217"/>
      <c r="AZ34" s="71" t="s">
        <v>105</v>
      </c>
      <c r="BA34" s="71" t="s">
        <v>333</v>
      </c>
      <c r="BB34" s="32">
        <v>9</v>
      </c>
      <c r="BC34" s="32">
        <v>12</v>
      </c>
      <c r="BD34" s="32">
        <v>18</v>
      </c>
      <c r="BF34" s="71" t="s">
        <v>105</v>
      </c>
      <c r="BG34" s="71" t="s">
        <v>333</v>
      </c>
      <c r="BH34" s="73">
        <v>1411.04</v>
      </c>
      <c r="BI34" s="73">
        <v>45691.98</v>
      </c>
      <c r="BJ34" s="73">
        <v>12599.359999999999</v>
      </c>
      <c r="BL34" s="71">
        <v>98273</v>
      </c>
      <c r="BM34" s="71" t="s">
        <v>333</v>
      </c>
      <c r="BN34" s="73">
        <v>-316.14999999999998</v>
      </c>
      <c r="BO34" s="73"/>
      <c r="BP34" s="73"/>
    </row>
    <row r="35" spans="2:68" x14ac:dyDescent="0.2">
      <c r="B35" s="78">
        <v>98027</v>
      </c>
      <c r="C35" s="60" t="s">
        <v>333</v>
      </c>
      <c r="D35" s="45">
        <v>289</v>
      </c>
      <c r="E35" s="45">
        <v>236</v>
      </c>
      <c r="F35" s="45">
        <v>202</v>
      </c>
      <c r="H35" s="165">
        <v>98026</v>
      </c>
      <c r="I35" s="165" t="s">
        <v>333</v>
      </c>
      <c r="J35" s="166">
        <v>1497.0799999999899</v>
      </c>
      <c r="K35" s="166">
        <v>298.68</v>
      </c>
      <c r="L35" s="166">
        <v>2477.35</v>
      </c>
      <c r="M35" s="166">
        <v>11027.62</v>
      </c>
      <c r="N35" s="166">
        <v>1241.3399999999999</v>
      </c>
      <c r="O35" s="166">
        <v>805.23999999999899</v>
      </c>
      <c r="P35" s="166">
        <v>2626.84</v>
      </c>
      <c r="Q35" s="166">
        <v>44099.919999999896</v>
      </c>
      <c r="R35" s="166">
        <v>1866.5</v>
      </c>
      <c r="S35" s="166">
        <v>687.21</v>
      </c>
      <c r="T35" s="166">
        <v>3129.2</v>
      </c>
      <c r="U35" s="166">
        <v>29012.15</v>
      </c>
      <c r="V35" s="172"/>
      <c r="W35" s="161"/>
      <c r="Y35" s="71">
        <v>98026</v>
      </c>
      <c r="Z35" s="14" t="s">
        <v>10</v>
      </c>
      <c r="AA35" s="73">
        <v>1643.19999999999</v>
      </c>
      <c r="AB35" s="73">
        <v>503.56999999999903</v>
      </c>
      <c r="AC35" s="73">
        <v>6075.0599999999904</v>
      </c>
      <c r="AD35" s="73">
        <v>12510.459999999901</v>
      </c>
      <c r="AE35" s="73">
        <v>3217.7</v>
      </c>
      <c r="AF35" s="73">
        <v>1510.12</v>
      </c>
      <c r="AG35" s="73">
        <v>2868.04</v>
      </c>
      <c r="AH35" s="73">
        <v>12718.19</v>
      </c>
      <c r="AI35" s="73">
        <v>3631.3999999999901</v>
      </c>
      <c r="AJ35" s="73">
        <v>2425.7600000000002</v>
      </c>
      <c r="AK35" s="73">
        <v>2475.09</v>
      </c>
      <c r="AL35" s="174">
        <v>13856.0999999999</v>
      </c>
      <c r="AM35" s="161">
        <f t="shared" si="0"/>
        <v>8532.2499999999909</v>
      </c>
      <c r="AN35" s="170">
        <f>SUM(AN17:AN26)/AM240</f>
        <v>0.25613429802529331</v>
      </c>
      <c r="AP35" s="215"/>
      <c r="AQ35" s="216"/>
      <c r="AR35" s="217"/>
      <c r="AZ35" s="71" t="s">
        <v>106</v>
      </c>
      <c r="BA35" s="71" t="s">
        <v>333</v>
      </c>
      <c r="BB35" s="32">
        <v>1</v>
      </c>
      <c r="BC35" s="32">
        <v>5</v>
      </c>
      <c r="BD35" s="32">
        <v>9</v>
      </c>
      <c r="BF35" s="71" t="s">
        <v>106</v>
      </c>
      <c r="BG35" s="71" t="s">
        <v>333</v>
      </c>
      <c r="BH35" s="73">
        <v>176.58</v>
      </c>
      <c r="BI35" s="73">
        <v>2504.2200000000003</v>
      </c>
      <c r="BJ35" s="73">
        <v>23106.47</v>
      </c>
      <c r="BL35" s="71">
        <v>98277</v>
      </c>
      <c r="BM35" s="71" t="s">
        <v>333</v>
      </c>
      <c r="BN35" s="73">
        <v>-150</v>
      </c>
      <c r="BO35" s="73">
        <v>-150</v>
      </c>
      <c r="BP35" s="73">
        <v>-150</v>
      </c>
    </row>
    <row r="36" spans="2:68" x14ac:dyDescent="0.2">
      <c r="B36" s="78">
        <v>98028</v>
      </c>
      <c r="C36" s="60" t="s">
        <v>333</v>
      </c>
      <c r="D36" s="45">
        <v>60</v>
      </c>
      <c r="E36" s="45">
        <v>102</v>
      </c>
      <c r="F36" s="45">
        <v>59</v>
      </c>
      <c r="H36" s="165">
        <v>98027</v>
      </c>
      <c r="I36" s="165" t="s">
        <v>333</v>
      </c>
      <c r="J36" s="166">
        <v>43578.659999999902</v>
      </c>
      <c r="K36" s="166">
        <v>29508.8299999999</v>
      </c>
      <c r="L36" s="166">
        <v>88661.64</v>
      </c>
      <c r="M36" s="166">
        <v>591429.46999999904</v>
      </c>
      <c r="N36" s="166">
        <v>46152.019999999902</v>
      </c>
      <c r="O36" s="166">
        <v>32485.879999999899</v>
      </c>
      <c r="P36" s="166">
        <v>113236.149999999</v>
      </c>
      <c r="Q36" s="166">
        <v>323222.65999999997</v>
      </c>
      <c r="R36" s="166">
        <v>39519.11</v>
      </c>
      <c r="S36" s="166">
        <v>35654.370000000003</v>
      </c>
      <c r="T36" s="166">
        <v>121075.71</v>
      </c>
      <c r="U36" s="166">
        <v>364029.359999999</v>
      </c>
      <c r="V36" s="172"/>
      <c r="W36" s="161"/>
      <c r="Y36" s="71">
        <v>98027</v>
      </c>
      <c r="Z36" s="14" t="s">
        <v>10</v>
      </c>
      <c r="AA36" s="73">
        <v>14442.26</v>
      </c>
      <c r="AB36" s="73">
        <v>5841.16</v>
      </c>
      <c r="AC36" s="73">
        <v>25760.309999999899</v>
      </c>
      <c r="AD36" s="73">
        <v>73555.490000000005</v>
      </c>
      <c r="AE36" s="73">
        <v>19880.359999999899</v>
      </c>
      <c r="AF36" s="73">
        <v>10451.9</v>
      </c>
      <c r="AG36" s="73">
        <v>24007.72</v>
      </c>
      <c r="AH36" s="73">
        <v>82164.34</v>
      </c>
      <c r="AI36" s="73">
        <v>18974.589999999898</v>
      </c>
      <c r="AJ36" s="73">
        <v>14585.129999999899</v>
      </c>
      <c r="AK36" s="73">
        <v>27610.609999999899</v>
      </c>
      <c r="AL36" s="174">
        <v>87967.069999999905</v>
      </c>
      <c r="AM36" s="161">
        <f t="shared" si="0"/>
        <v>61170.329999999696</v>
      </c>
      <c r="AN36" s="161"/>
      <c r="AP36" s="215"/>
      <c r="AQ36" s="216"/>
      <c r="AR36" s="217"/>
      <c r="AZ36" s="71" t="s">
        <v>107</v>
      </c>
      <c r="BA36" s="71" t="s">
        <v>333</v>
      </c>
      <c r="BB36" s="32">
        <v>4</v>
      </c>
      <c r="BC36" s="32">
        <v>1</v>
      </c>
      <c r="BD36" s="32">
        <v>3</v>
      </c>
      <c r="BF36" s="71" t="s">
        <v>107</v>
      </c>
      <c r="BG36" s="71" t="s">
        <v>333</v>
      </c>
      <c r="BH36" s="73">
        <v>987.31</v>
      </c>
      <c r="BI36" s="73">
        <v>2167.36</v>
      </c>
      <c r="BJ36" s="73">
        <v>820.28</v>
      </c>
      <c r="BL36" s="71">
        <v>98281</v>
      </c>
      <c r="BM36" s="71" t="s">
        <v>333</v>
      </c>
      <c r="BN36" s="73"/>
      <c r="BO36" s="73"/>
      <c r="BP36" s="73">
        <v>-23736.27</v>
      </c>
    </row>
    <row r="37" spans="2:68" x14ac:dyDescent="0.2">
      <c r="B37" s="78">
        <v>98029</v>
      </c>
      <c r="C37" s="60" t="s">
        <v>333</v>
      </c>
      <c r="D37" s="45">
        <v>118</v>
      </c>
      <c r="E37" s="45">
        <v>65</v>
      </c>
      <c r="F37" s="45">
        <v>75</v>
      </c>
      <c r="H37" s="165">
        <v>98028</v>
      </c>
      <c r="I37" s="165" t="s">
        <v>333</v>
      </c>
      <c r="J37" s="166">
        <v>4235.7699999999904</v>
      </c>
      <c r="K37" s="166">
        <v>11367.56</v>
      </c>
      <c r="L37" s="166">
        <v>27941.61</v>
      </c>
      <c r="M37" s="166">
        <v>63414.14</v>
      </c>
      <c r="N37" s="166">
        <v>7556.1299999999901</v>
      </c>
      <c r="O37" s="166">
        <v>2577.39</v>
      </c>
      <c r="P37" s="166">
        <v>32551.54</v>
      </c>
      <c r="Q37" s="166">
        <v>146264.82</v>
      </c>
      <c r="R37" s="166">
        <v>4155.9399999999996</v>
      </c>
      <c r="S37" s="166">
        <v>3160.3599999999901</v>
      </c>
      <c r="T37" s="166">
        <v>32253.27</v>
      </c>
      <c r="U37" s="166">
        <v>51888.409999999902</v>
      </c>
      <c r="V37" s="172"/>
      <c r="W37" s="161"/>
      <c r="Y37" s="71">
        <v>98028</v>
      </c>
      <c r="Z37" s="14" t="s">
        <v>10</v>
      </c>
      <c r="AA37" s="73">
        <v>6409.08</v>
      </c>
      <c r="AB37" s="73">
        <v>3076.03999999999</v>
      </c>
      <c r="AC37" s="73">
        <v>27408.21</v>
      </c>
      <c r="AD37" s="73">
        <v>56160.789999999899</v>
      </c>
      <c r="AE37" s="73">
        <v>14454.66</v>
      </c>
      <c r="AF37" s="73">
        <v>5158.25</v>
      </c>
      <c r="AG37" s="73">
        <v>25093.48</v>
      </c>
      <c r="AH37" s="73">
        <v>66368.479999999996</v>
      </c>
      <c r="AI37" s="73">
        <v>14263.61</v>
      </c>
      <c r="AJ37" s="73">
        <v>9984.98</v>
      </c>
      <c r="AK37" s="73">
        <v>25510.240000000002</v>
      </c>
      <c r="AL37" s="174">
        <v>70677.66</v>
      </c>
      <c r="AM37" s="161">
        <f t="shared" si="0"/>
        <v>49758.83</v>
      </c>
      <c r="AN37" s="161"/>
      <c r="AP37" s="215"/>
      <c r="AQ37" s="216"/>
      <c r="AR37" s="217"/>
      <c r="AZ37" s="71" t="s">
        <v>262</v>
      </c>
      <c r="BA37" s="71" t="s">
        <v>333</v>
      </c>
      <c r="BB37" s="32"/>
      <c r="BC37" s="32">
        <v>1</v>
      </c>
      <c r="BD37" s="32">
        <v>1</v>
      </c>
      <c r="BF37" s="71" t="s">
        <v>262</v>
      </c>
      <c r="BG37" s="71" t="s">
        <v>333</v>
      </c>
      <c r="BH37" s="73"/>
      <c r="BI37" s="73">
        <v>283.12</v>
      </c>
      <c r="BJ37" s="73">
        <v>614.58000000000004</v>
      </c>
      <c r="BL37" s="71">
        <v>98332</v>
      </c>
      <c r="BM37" s="71" t="s">
        <v>333</v>
      </c>
      <c r="BN37" s="73">
        <v>-100</v>
      </c>
      <c r="BO37" s="73">
        <v>-100</v>
      </c>
      <c r="BP37" s="73"/>
    </row>
    <row r="38" spans="2:68" x14ac:dyDescent="0.2">
      <c r="B38" s="78">
        <v>98030</v>
      </c>
      <c r="C38" s="60" t="s">
        <v>333</v>
      </c>
      <c r="D38" s="45">
        <v>131</v>
      </c>
      <c r="E38" s="45">
        <v>232</v>
      </c>
      <c r="F38" s="45">
        <v>165</v>
      </c>
      <c r="H38" s="165">
        <v>98029</v>
      </c>
      <c r="I38" s="165" t="s">
        <v>333</v>
      </c>
      <c r="J38" s="166">
        <v>1638.74999999999</v>
      </c>
      <c r="K38" s="166">
        <v>351.33</v>
      </c>
      <c r="L38" s="166">
        <v>8291.92</v>
      </c>
      <c r="M38" s="166">
        <v>233034.68999999901</v>
      </c>
      <c r="N38" s="166">
        <v>1524.70999999999</v>
      </c>
      <c r="O38" s="166">
        <v>524.96</v>
      </c>
      <c r="P38" s="166">
        <v>8068.92</v>
      </c>
      <c r="Q38" s="166">
        <v>51937.56</v>
      </c>
      <c r="R38" s="166">
        <v>23736.53</v>
      </c>
      <c r="S38" s="166">
        <v>67.62</v>
      </c>
      <c r="T38" s="166">
        <v>7185.81</v>
      </c>
      <c r="U38" s="166">
        <v>99769.059999999896</v>
      </c>
      <c r="V38" s="172"/>
      <c r="W38" s="161"/>
      <c r="Y38" s="71">
        <v>98029</v>
      </c>
      <c r="Z38" s="14" t="s">
        <v>10</v>
      </c>
      <c r="AA38" s="73">
        <v>19303.23</v>
      </c>
      <c r="AB38" s="73">
        <v>7577.3999999999896</v>
      </c>
      <c r="AC38" s="73">
        <v>32352.379999999899</v>
      </c>
      <c r="AD38" s="73">
        <v>91818.77</v>
      </c>
      <c r="AE38" s="73">
        <v>23634.32</v>
      </c>
      <c r="AF38" s="73">
        <v>16084.84</v>
      </c>
      <c r="AG38" s="73">
        <v>30930.199999999899</v>
      </c>
      <c r="AH38" s="73">
        <v>87860.55</v>
      </c>
      <c r="AI38" s="73">
        <v>21807.98</v>
      </c>
      <c r="AJ38" s="73">
        <v>15391.01</v>
      </c>
      <c r="AK38" s="73">
        <v>34423.179999999898</v>
      </c>
      <c r="AL38" s="174">
        <v>100693.679999999</v>
      </c>
      <c r="AM38" s="161">
        <f t="shared" si="0"/>
        <v>71622.169999999896</v>
      </c>
      <c r="AN38" s="161"/>
      <c r="AP38" s="215"/>
      <c r="AQ38" s="216"/>
      <c r="AR38" s="217"/>
      <c r="AZ38" s="71" t="s">
        <v>263</v>
      </c>
      <c r="BA38" s="71" t="s">
        <v>333</v>
      </c>
      <c r="BB38" s="32">
        <v>2</v>
      </c>
      <c r="BC38" s="32"/>
      <c r="BD38" s="32"/>
      <c r="BF38" s="71" t="s">
        <v>263</v>
      </c>
      <c r="BG38" s="71" t="s">
        <v>333</v>
      </c>
      <c r="BH38" s="73">
        <v>153.01</v>
      </c>
      <c r="BI38" s="73"/>
      <c r="BJ38" s="73"/>
      <c r="BL38" s="71">
        <v>98338</v>
      </c>
      <c r="BM38" s="71" t="s">
        <v>333</v>
      </c>
      <c r="BN38" s="73">
        <v>-325</v>
      </c>
      <c r="BO38" s="73"/>
      <c r="BP38" s="73"/>
    </row>
    <row r="39" spans="2:68" x14ac:dyDescent="0.2">
      <c r="B39" s="78">
        <v>98031</v>
      </c>
      <c r="C39" s="60" t="s">
        <v>333</v>
      </c>
      <c r="D39" s="45">
        <v>147</v>
      </c>
      <c r="E39" s="45">
        <v>175</v>
      </c>
      <c r="F39" s="45">
        <v>137</v>
      </c>
      <c r="H39" s="165">
        <v>98030</v>
      </c>
      <c r="I39" s="165" t="s">
        <v>333</v>
      </c>
      <c r="J39" s="166">
        <v>12633.08</v>
      </c>
      <c r="K39" s="166">
        <v>15058.13</v>
      </c>
      <c r="L39" s="166">
        <v>39948.49</v>
      </c>
      <c r="M39" s="166">
        <v>134352.79</v>
      </c>
      <c r="N39" s="166">
        <v>22324.91</v>
      </c>
      <c r="O39" s="166">
        <v>13827.529999999901</v>
      </c>
      <c r="P39" s="166">
        <v>41897.799999999901</v>
      </c>
      <c r="Q39" s="166">
        <v>187029.1</v>
      </c>
      <c r="R39" s="166">
        <v>19556.179999999898</v>
      </c>
      <c r="S39" s="166">
        <v>9415</v>
      </c>
      <c r="T39" s="166">
        <v>47421.979999999901</v>
      </c>
      <c r="U39" s="166">
        <v>134802.22</v>
      </c>
      <c r="V39" s="172"/>
      <c r="W39" s="161"/>
      <c r="Y39" s="71">
        <v>98030</v>
      </c>
      <c r="Z39" s="14" t="s">
        <v>10</v>
      </c>
      <c r="AA39" s="73">
        <v>63717.449999999903</v>
      </c>
      <c r="AB39" s="73">
        <v>28682.9399999999</v>
      </c>
      <c r="AC39" s="73">
        <v>156910.99</v>
      </c>
      <c r="AD39" s="73">
        <v>383901.97</v>
      </c>
      <c r="AE39" s="73">
        <v>107027.56</v>
      </c>
      <c r="AF39" s="73">
        <v>55460.299999999901</v>
      </c>
      <c r="AG39" s="73">
        <v>165918.38</v>
      </c>
      <c r="AH39" s="73">
        <v>460176.99</v>
      </c>
      <c r="AI39" s="73">
        <v>100630.42</v>
      </c>
      <c r="AJ39" s="73">
        <v>86001.38</v>
      </c>
      <c r="AK39" s="73">
        <v>193863.65</v>
      </c>
      <c r="AL39" s="174">
        <v>521352.14</v>
      </c>
      <c r="AM39" s="161">
        <f t="shared" si="0"/>
        <v>380495.44999999995</v>
      </c>
      <c r="AN39" s="161"/>
      <c r="AP39" s="215"/>
      <c r="AQ39" s="216"/>
      <c r="AR39" s="217"/>
      <c r="AZ39" s="71" t="s">
        <v>108</v>
      </c>
      <c r="BA39" s="71" t="s">
        <v>333</v>
      </c>
      <c r="BB39" s="32">
        <v>5</v>
      </c>
      <c r="BC39" s="32"/>
      <c r="BD39" s="32">
        <v>3</v>
      </c>
      <c r="BF39" s="71" t="s">
        <v>108</v>
      </c>
      <c r="BG39" s="71" t="s">
        <v>333</v>
      </c>
      <c r="BH39" s="73">
        <v>17473.93</v>
      </c>
      <c r="BI39" s="73"/>
      <c r="BJ39" s="73">
        <v>1806.08</v>
      </c>
      <c r="BL39" s="71">
        <v>98370</v>
      </c>
      <c r="BM39" s="71" t="s">
        <v>333</v>
      </c>
      <c r="BN39" s="73">
        <v>-301.14</v>
      </c>
      <c r="BO39" s="73"/>
      <c r="BP39" s="73"/>
    </row>
    <row r="40" spans="2:68" x14ac:dyDescent="0.2">
      <c r="B40" s="78">
        <v>98032</v>
      </c>
      <c r="C40" s="60" t="s">
        <v>333</v>
      </c>
      <c r="D40" s="45">
        <v>582</v>
      </c>
      <c r="E40" s="45">
        <v>681</v>
      </c>
      <c r="F40" s="45">
        <v>563</v>
      </c>
      <c r="H40" s="165">
        <v>98031</v>
      </c>
      <c r="I40" s="165" t="s">
        <v>333</v>
      </c>
      <c r="J40" s="166">
        <v>16337.33</v>
      </c>
      <c r="K40" s="166">
        <v>4350.29</v>
      </c>
      <c r="L40" s="166">
        <v>49667.45</v>
      </c>
      <c r="M40" s="166">
        <v>135501.96</v>
      </c>
      <c r="N40" s="166">
        <v>21080.53</v>
      </c>
      <c r="O40" s="166">
        <v>10848.86</v>
      </c>
      <c r="P40" s="166">
        <v>51045.45</v>
      </c>
      <c r="Q40" s="166">
        <v>176148.24999999901</v>
      </c>
      <c r="R40" s="166">
        <v>29720.529999999901</v>
      </c>
      <c r="S40" s="166">
        <v>11472.73</v>
      </c>
      <c r="T40" s="166">
        <v>49938.68</v>
      </c>
      <c r="U40" s="166">
        <v>176979.54</v>
      </c>
      <c r="V40" s="172"/>
      <c r="W40" s="161"/>
      <c r="Y40" s="71">
        <v>98031</v>
      </c>
      <c r="Z40" s="14" t="s">
        <v>10</v>
      </c>
      <c r="AA40" s="73">
        <v>52715.68</v>
      </c>
      <c r="AB40" s="73">
        <v>23677.159999999902</v>
      </c>
      <c r="AC40" s="73">
        <v>124435.97</v>
      </c>
      <c r="AD40" s="73">
        <v>306631.74</v>
      </c>
      <c r="AE40" s="73">
        <v>85282.559999999998</v>
      </c>
      <c r="AF40" s="73">
        <v>45896.800000000003</v>
      </c>
      <c r="AG40" s="73">
        <v>136869.019999999</v>
      </c>
      <c r="AH40" s="73">
        <v>377091.24</v>
      </c>
      <c r="AI40" s="73">
        <v>78215.240000000005</v>
      </c>
      <c r="AJ40" s="73">
        <v>65182.99</v>
      </c>
      <c r="AK40" s="73">
        <v>140024.67000000001</v>
      </c>
      <c r="AL40" s="174">
        <v>407711.96</v>
      </c>
      <c r="AM40" s="161">
        <f t="shared" si="0"/>
        <v>283422.90000000002</v>
      </c>
      <c r="AN40" s="161"/>
      <c r="AP40" s="215"/>
      <c r="AQ40" s="216"/>
      <c r="AR40" s="217"/>
      <c r="AZ40" s="71" t="s">
        <v>110</v>
      </c>
      <c r="BA40" s="71" t="s">
        <v>333</v>
      </c>
      <c r="BB40" s="32">
        <v>2</v>
      </c>
      <c r="BC40" s="32"/>
      <c r="BD40" s="32">
        <v>3</v>
      </c>
      <c r="BF40" s="71" t="s">
        <v>110</v>
      </c>
      <c r="BG40" s="71" t="s">
        <v>333</v>
      </c>
      <c r="BH40" s="73">
        <v>2007.81</v>
      </c>
      <c r="BI40" s="73"/>
      <c r="BJ40" s="73">
        <v>1156.54</v>
      </c>
      <c r="BL40" s="71">
        <v>98371</v>
      </c>
      <c r="BM40" s="71" t="s">
        <v>333</v>
      </c>
      <c r="BN40" s="73">
        <v>-80.25</v>
      </c>
      <c r="BO40" s="73"/>
      <c r="BP40" s="73"/>
    </row>
    <row r="41" spans="2:68" x14ac:dyDescent="0.2">
      <c r="B41" s="78">
        <v>98033</v>
      </c>
      <c r="C41" s="60" t="s">
        <v>333</v>
      </c>
      <c r="D41" s="45">
        <v>210</v>
      </c>
      <c r="E41" s="45">
        <v>167</v>
      </c>
      <c r="F41" s="45">
        <v>153</v>
      </c>
      <c r="H41" s="165">
        <v>98032</v>
      </c>
      <c r="I41" s="165" t="s">
        <v>333</v>
      </c>
      <c r="J41" s="166">
        <v>110390.95</v>
      </c>
      <c r="K41" s="166">
        <v>34788.069999999898</v>
      </c>
      <c r="L41" s="166">
        <v>337829.25</v>
      </c>
      <c r="M41" s="166">
        <v>934243.78</v>
      </c>
      <c r="N41" s="166">
        <v>169396.67</v>
      </c>
      <c r="O41" s="166">
        <v>45935.319999999898</v>
      </c>
      <c r="P41" s="166">
        <v>338009.74</v>
      </c>
      <c r="Q41" s="166">
        <v>1164755.8999999899</v>
      </c>
      <c r="R41" s="166">
        <v>86812.899999999907</v>
      </c>
      <c r="S41" s="166">
        <v>41048.249999999898</v>
      </c>
      <c r="T41" s="166">
        <v>332790.71999999898</v>
      </c>
      <c r="U41" s="166">
        <v>878707.33999999904</v>
      </c>
      <c r="V41" s="172"/>
      <c r="W41" s="161"/>
      <c r="Y41" s="168">
        <v>98032</v>
      </c>
      <c r="Z41" s="14" t="s">
        <v>10</v>
      </c>
      <c r="AA41" s="73">
        <v>50302.049999999901</v>
      </c>
      <c r="AB41" s="73">
        <v>23004.78</v>
      </c>
      <c r="AC41" s="73">
        <v>154390.60999999999</v>
      </c>
      <c r="AD41" s="73">
        <v>344233.87999999902</v>
      </c>
      <c r="AE41" s="73">
        <v>93628.18</v>
      </c>
      <c r="AF41" s="73">
        <v>43057.699999999903</v>
      </c>
      <c r="AG41" s="73">
        <v>147507.179999999</v>
      </c>
      <c r="AH41" s="73">
        <v>401215.95</v>
      </c>
      <c r="AI41" s="73">
        <v>92488.03</v>
      </c>
      <c r="AJ41" s="73">
        <v>76305.59</v>
      </c>
      <c r="AK41" s="167">
        <v>163343.95000000001</v>
      </c>
      <c r="AL41" s="174">
        <v>444603.65</v>
      </c>
      <c r="AM41" s="173">
        <f t="shared" si="0"/>
        <v>332137.57</v>
      </c>
      <c r="AN41" s="161"/>
      <c r="AP41" s="215"/>
      <c r="AQ41" s="216"/>
      <c r="AR41" s="217"/>
      <c r="AZ41" s="71" t="s">
        <v>111</v>
      </c>
      <c r="BA41" s="71" t="s">
        <v>333</v>
      </c>
      <c r="BB41" s="32">
        <v>1</v>
      </c>
      <c r="BC41" s="32">
        <v>2</v>
      </c>
      <c r="BD41" s="32">
        <v>8</v>
      </c>
      <c r="BF41" s="71" t="s">
        <v>111</v>
      </c>
      <c r="BG41" s="71" t="s">
        <v>333</v>
      </c>
      <c r="BH41" s="73">
        <v>53.08</v>
      </c>
      <c r="BI41" s="73">
        <v>154.03</v>
      </c>
      <c r="BJ41" s="73">
        <v>16575.02</v>
      </c>
      <c r="BL41" s="71">
        <v>98390</v>
      </c>
      <c r="BM41" s="71" t="s">
        <v>333</v>
      </c>
      <c r="BN41" s="73">
        <v>-40.57</v>
      </c>
      <c r="BO41" s="73"/>
      <c r="BP41" s="73"/>
    </row>
    <row r="42" spans="2:68" ht="16" thickBot="1" x14ac:dyDescent="0.25">
      <c r="B42" s="78">
        <v>98034</v>
      </c>
      <c r="C42" s="60" t="s">
        <v>333</v>
      </c>
      <c r="D42" s="45">
        <v>180</v>
      </c>
      <c r="E42" s="45">
        <v>135</v>
      </c>
      <c r="F42" s="45">
        <v>133</v>
      </c>
      <c r="H42" s="165">
        <v>98033</v>
      </c>
      <c r="I42" s="165" t="s">
        <v>333</v>
      </c>
      <c r="J42" s="166">
        <v>13557.31</v>
      </c>
      <c r="K42" s="166">
        <v>7396.3299999999899</v>
      </c>
      <c r="L42" s="166">
        <v>71968.249999999898</v>
      </c>
      <c r="M42" s="166">
        <v>327123.19</v>
      </c>
      <c r="N42" s="166">
        <v>15112.92</v>
      </c>
      <c r="O42" s="166">
        <v>5836.1799999999903</v>
      </c>
      <c r="P42" s="166">
        <v>64537.18</v>
      </c>
      <c r="Q42" s="166">
        <v>151235.639999999</v>
      </c>
      <c r="R42" s="166">
        <v>15142.309999999899</v>
      </c>
      <c r="S42" s="166">
        <v>11276.28</v>
      </c>
      <c r="T42" s="166">
        <v>45050.04</v>
      </c>
      <c r="U42" s="166">
        <v>115470.8</v>
      </c>
      <c r="V42" s="172"/>
      <c r="W42" s="161"/>
      <c r="Y42" s="71">
        <v>98033</v>
      </c>
      <c r="Z42" s="14" t="s">
        <v>10</v>
      </c>
      <c r="AA42" s="73">
        <v>8019.9699999999903</v>
      </c>
      <c r="AB42" s="73">
        <v>3956.5699999999902</v>
      </c>
      <c r="AC42" s="73">
        <v>18349.18</v>
      </c>
      <c r="AD42" s="73">
        <v>48734.6</v>
      </c>
      <c r="AE42" s="73">
        <v>13447.53</v>
      </c>
      <c r="AF42" s="73">
        <v>6627.89</v>
      </c>
      <c r="AG42" s="73">
        <v>20959.919999999998</v>
      </c>
      <c r="AH42" s="73">
        <v>61527.11</v>
      </c>
      <c r="AI42" s="73">
        <v>15422.11</v>
      </c>
      <c r="AJ42" s="73">
        <v>10927.89</v>
      </c>
      <c r="AK42" s="73">
        <v>24237.379999999899</v>
      </c>
      <c r="AL42" s="174">
        <v>69376.7</v>
      </c>
      <c r="AM42" s="161">
        <f t="shared" si="0"/>
        <v>50587.379999999903</v>
      </c>
      <c r="AN42" s="161"/>
      <c r="AP42" s="218"/>
      <c r="AQ42" s="219"/>
      <c r="AR42" s="220"/>
      <c r="AZ42" s="71" t="s">
        <v>264</v>
      </c>
      <c r="BA42" s="71" t="s">
        <v>333</v>
      </c>
      <c r="BB42" s="32">
        <v>1</v>
      </c>
      <c r="BC42" s="32">
        <v>1</v>
      </c>
      <c r="BD42" s="32">
        <v>1</v>
      </c>
      <c r="BF42" s="71" t="s">
        <v>264</v>
      </c>
      <c r="BG42" s="71" t="s">
        <v>333</v>
      </c>
      <c r="BH42" s="73">
        <v>726.46</v>
      </c>
      <c r="BI42" s="73">
        <v>1036.53</v>
      </c>
      <c r="BJ42" s="73">
        <v>1681.02</v>
      </c>
      <c r="BL42" s="71">
        <v>98391</v>
      </c>
      <c r="BM42" s="71" t="s">
        <v>333</v>
      </c>
      <c r="BN42" s="73">
        <v>-500</v>
      </c>
      <c r="BO42" s="73"/>
      <c r="BP42" s="73"/>
    </row>
    <row r="43" spans="2:68" x14ac:dyDescent="0.2">
      <c r="B43" s="78">
        <v>98036</v>
      </c>
      <c r="C43" s="60" t="s">
        <v>333</v>
      </c>
      <c r="D43" s="45">
        <v>75</v>
      </c>
      <c r="E43" s="45">
        <v>76</v>
      </c>
      <c r="F43" s="45">
        <v>63</v>
      </c>
      <c r="H43" s="165">
        <v>98034</v>
      </c>
      <c r="I43" s="165" t="s">
        <v>333</v>
      </c>
      <c r="J43" s="166">
        <v>29935.209999999901</v>
      </c>
      <c r="K43" s="166">
        <v>17125.84</v>
      </c>
      <c r="L43" s="166">
        <v>144243.399999999</v>
      </c>
      <c r="M43" s="166">
        <v>702763.799999999</v>
      </c>
      <c r="N43" s="166">
        <v>24745.8299999999</v>
      </c>
      <c r="O43" s="166">
        <v>17381.129999999899</v>
      </c>
      <c r="P43" s="166">
        <v>150396.62</v>
      </c>
      <c r="Q43" s="166">
        <v>332714.18</v>
      </c>
      <c r="R43" s="166">
        <v>23942.52</v>
      </c>
      <c r="S43" s="166">
        <v>14979.209999999901</v>
      </c>
      <c r="T43" s="166">
        <v>141500.12</v>
      </c>
      <c r="U43" s="166">
        <v>307280.42</v>
      </c>
      <c r="V43" s="172"/>
      <c r="W43" s="161"/>
      <c r="Y43" s="71">
        <v>98034</v>
      </c>
      <c r="Z43" s="14" t="s">
        <v>10</v>
      </c>
      <c r="AA43" s="73">
        <v>18018.66</v>
      </c>
      <c r="AB43" s="73">
        <v>9288.01</v>
      </c>
      <c r="AC43" s="73">
        <v>53750.5799999999</v>
      </c>
      <c r="AD43" s="73">
        <v>127017.179999999</v>
      </c>
      <c r="AE43" s="73">
        <v>35255.85</v>
      </c>
      <c r="AF43" s="73">
        <v>15136.27</v>
      </c>
      <c r="AG43" s="73">
        <v>52886.249999999898</v>
      </c>
      <c r="AH43" s="73">
        <v>149530.299999999</v>
      </c>
      <c r="AI43" s="73">
        <v>34298.6499999999</v>
      </c>
      <c r="AJ43" s="73">
        <v>25516.3299999999</v>
      </c>
      <c r="AK43" s="73">
        <v>52139.21</v>
      </c>
      <c r="AL43" s="174">
        <v>152795.61999999901</v>
      </c>
      <c r="AM43" s="161">
        <f t="shared" si="0"/>
        <v>111954.1899999998</v>
      </c>
      <c r="AN43" s="161"/>
      <c r="AZ43" s="71" t="s">
        <v>112</v>
      </c>
      <c r="BA43" s="71" t="s">
        <v>333</v>
      </c>
      <c r="BB43" s="32"/>
      <c r="BC43" s="32">
        <v>2</v>
      </c>
      <c r="BD43" s="32"/>
      <c r="BF43" s="71" t="s">
        <v>112</v>
      </c>
      <c r="BG43" s="71" t="s">
        <v>333</v>
      </c>
      <c r="BH43" s="73"/>
      <c r="BI43" s="73"/>
      <c r="BJ43" s="73"/>
      <c r="BL43" s="71">
        <v>98408</v>
      </c>
      <c r="BM43" s="71" t="s">
        <v>333</v>
      </c>
      <c r="BN43" s="73"/>
      <c r="BO43" s="73">
        <v>-55.32</v>
      </c>
      <c r="BP43" s="73"/>
    </row>
    <row r="44" spans="2:68" x14ac:dyDescent="0.2">
      <c r="B44" s="78">
        <v>98037</v>
      </c>
      <c r="C44" s="60" t="s">
        <v>333</v>
      </c>
      <c r="D44" s="45">
        <v>32</v>
      </c>
      <c r="E44" s="45">
        <v>36</v>
      </c>
      <c r="F44" s="45">
        <v>32</v>
      </c>
      <c r="H44" s="165">
        <v>98036</v>
      </c>
      <c r="I44" s="165" t="s">
        <v>333</v>
      </c>
      <c r="J44" s="166">
        <v>5848.1799999999903</v>
      </c>
      <c r="K44" s="166">
        <v>5020.1000000000004</v>
      </c>
      <c r="L44" s="166">
        <v>28733.279999999999</v>
      </c>
      <c r="M44" s="166">
        <v>75344.429999999993</v>
      </c>
      <c r="N44" s="166">
        <v>9243.27</v>
      </c>
      <c r="O44" s="166">
        <v>4187.1899999999996</v>
      </c>
      <c r="P44" s="166">
        <v>30249.05</v>
      </c>
      <c r="Q44" s="166">
        <v>137950.06</v>
      </c>
      <c r="R44" s="166">
        <v>7045.1399999999903</v>
      </c>
      <c r="S44" s="166">
        <v>3955.54</v>
      </c>
      <c r="T44" s="166">
        <v>30188.699999999899</v>
      </c>
      <c r="U44" s="166">
        <v>59040.819999999898</v>
      </c>
      <c r="V44" s="172"/>
      <c r="W44" s="161"/>
      <c r="Y44" s="71">
        <v>98036</v>
      </c>
      <c r="Z44" s="14" t="s">
        <v>10</v>
      </c>
      <c r="AA44" s="73">
        <v>2133.4899999999898</v>
      </c>
      <c r="AB44" s="73">
        <v>792.26</v>
      </c>
      <c r="AC44" s="73">
        <v>7376.86</v>
      </c>
      <c r="AD44" s="73">
        <v>15886.63</v>
      </c>
      <c r="AE44" s="73">
        <v>4789.66</v>
      </c>
      <c r="AF44" s="73">
        <v>1735.1499999999901</v>
      </c>
      <c r="AG44" s="73">
        <v>5943.26</v>
      </c>
      <c r="AH44" s="73">
        <v>18883.669999999998</v>
      </c>
      <c r="AI44" s="73">
        <v>4263.8099999999904</v>
      </c>
      <c r="AJ44" s="73">
        <v>3533.12</v>
      </c>
      <c r="AK44" s="73">
        <v>5393.74</v>
      </c>
      <c r="AL44" s="174">
        <v>18095.25</v>
      </c>
      <c r="AM44" s="161">
        <f t="shared" si="0"/>
        <v>13190.669999999991</v>
      </c>
      <c r="AN44" s="161"/>
      <c r="AZ44" s="71" t="s">
        <v>113</v>
      </c>
      <c r="BA44" s="71" t="s">
        <v>333</v>
      </c>
      <c r="BB44" s="32">
        <v>1</v>
      </c>
      <c r="BC44" s="32">
        <v>1</v>
      </c>
      <c r="BD44" s="32"/>
      <c r="BF44" s="71" t="s">
        <v>113</v>
      </c>
      <c r="BG44" s="71" t="s">
        <v>333</v>
      </c>
      <c r="BH44" s="73">
        <v>4985.91</v>
      </c>
      <c r="BI44" s="73">
        <v>17954.3</v>
      </c>
      <c r="BJ44" s="73"/>
      <c r="BL44" s="71">
        <v>98424</v>
      </c>
      <c r="BM44" s="71" t="s">
        <v>333</v>
      </c>
      <c r="BN44" s="73">
        <v>-764.7</v>
      </c>
      <c r="BO44" s="73"/>
      <c r="BP44" s="73"/>
    </row>
    <row r="45" spans="2:68" x14ac:dyDescent="0.2">
      <c r="B45" s="78">
        <v>98038</v>
      </c>
      <c r="C45" s="60" t="s">
        <v>333</v>
      </c>
      <c r="D45" s="45">
        <v>187</v>
      </c>
      <c r="E45" s="45">
        <v>280</v>
      </c>
      <c r="F45" s="45">
        <v>193</v>
      </c>
      <c r="H45" s="165">
        <v>98037</v>
      </c>
      <c r="I45" s="165" t="s">
        <v>333</v>
      </c>
      <c r="J45" s="166">
        <v>1521.38</v>
      </c>
      <c r="K45" s="166">
        <v>1028.6600000000001</v>
      </c>
      <c r="L45" s="166">
        <v>8142.1799999999903</v>
      </c>
      <c r="M45" s="166">
        <v>25211.62</v>
      </c>
      <c r="N45" s="166">
        <v>2827.53</v>
      </c>
      <c r="O45" s="166">
        <v>609.12</v>
      </c>
      <c r="P45" s="166">
        <v>8680.4500000000007</v>
      </c>
      <c r="Q45" s="166">
        <v>58415.619999999901</v>
      </c>
      <c r="R45" s="166">
        <v>2790.67</v>
      </c>
      <c r="S45" s="166">
        <v>2518.8200000000002</v>
      </c>
      <c r="T45" s="166">
        <v>8971.56</v>
      </c>
      <c r="U45" s="166">
        <v>23448.92</v>
      </c>
      <c r="V45" s="172"/>
      <c r="W45" s="161"/>
      <c r="Y45" s="71">
        <v>98037</v>
      </c>
      <c r="Z45" s="14" t="s">
        <v>10</v>
      </c>
      <c r="AA45" s="73">
        <v>1862.29999999999</v>
      </c>
      <c r="AB45" s="73">
        <v>426.37</v>
      </c>
      <c r="AC45" s="73">
        <v>1838.17</v>
      </c>
      <c r="AD45" s="73">
        <v>10750.84</v>
      </c>
      <c r="AE45" s="73">
        <v>4621.88</v>
      </c>
      <c r="AF45" s="73">
        <v>1417.1799999999901</v>
      </c>
      <c r="AG45" s="73">
        <v>1979.45</v>
      </c>
      <c r="AH45" s="73">
        <v>15043.859999999901</v>
      </c>
      <c r="AI45" s="73">
        <v>5037.97</v>
      </c>
      <c r="AJ45" s="73">
        <v>3489.59</v>
      </c>
      <c r="AK45" s="73">
        <v>2836.21</v>
      </c>
      <c r="AL45" s="174">
        <v>18404.740000000002</v>
      </c>
      <c r="AM45" s="161">
        <f t="shared" si="0"/>
        <v>11363.77</v>
      </c>
      <c r="AN45" s="161"/>
      <c r="AZ45" s="71" t="s">
        <v>116</v>
      </c>
      <c r="BA45" s="71" t="s">
        <v>333</v>
      </c>
      <c r="BB45" s="32">
        <v>7</v>
      </c>
      <c r="BC45" s="32">
        <v>12</v>
      </c>
      <c r="BD45" s="32">
        <v>14</v>
      </c>
      <c r="BF45" s="71" t="s">
        <v>116</v>
      </c>
      <c r="BG45" s="71" t="s">
        <v>333</v>
      </c>
      <c r="BH45" s="73">
        <v>1818.24</v>
      </c>
      <c r="BI45" s="73">
        <v>11135.7</v>
      </c>
      <c r="BJ45" s="73">
        <v>4355.96</v>
      </c>
      <c r="BL45" s="71">
        <v>98466</v>
      </c>
      <c r="BM45" s="71" t="s">
        <v>333</v>
      </c>
      <c r="BN45" s="73">
        <v>-173.71</v>
      </c>
      <c r="BO45" s="73"/>
      <c r="BP45" s="73"/>
    </row>
    <row r="46" spans="2:68" x14ac:dyDescent="0.2">
      <c r="B46" s="78">
        <v>98039</v>
      </c>
      <c r="C46" s="60" t="s">
        <v>333</v>
      </c>
      <c r="D46" s="45">
        <v>11</v>
      </c>
      <c r="E46" s="45">
        <v>11</v>
      </c>
      <c r="F46" s="45">
        <v>15</v>
      </c>
      <c r="H46" s="165">
        <v>98038</v>
      </c>
      <c r="I46" s="165" t="s">
        <v>333</v>
      </c>
      <c r="J46" s="166">
        <v>13181.29</v>
      </c>
      <c r="K46" s="166">
        <v>6043.8499999999904</v>
      </c>
      <c r="L46" s="166">
        <v>57381.88</v>
      </c>
      <c r="M46" s="166">
        <v>200253.58</v>
      </c>
      <c r="N46" s="166">
        <v>21565.81</v>
      </c>
      <c r="O46" s="166">
        <v>9573.42</v>
      </c>
      <c r="P46" s="166">
        <v>60450.17</v>
      </c>
      <c r="Q46" s="166">
        <v>252669.329999999</v>
      </c>
      <c r="R46" s="166">
        <v>14557.56</v>
      </c>
      <c r="S46" s="166">
        <v>10879.01</v>
      </c>
      <c r="T46" s="166">
        <v>62638.459999999897</v>
      </c>
      <c r="U46" s="166">
        <v>237803.299999999</v>
      </c>
      <c r="V46" s="172"/>
      <c r="W46" s="161"/>
      <c r="Y46" s="71">
        <v>98038</v>
      </c>
      <c r="Z46" s="14" t="s">
        <v>10</v>
      </c>
      <c r="AA46" s="73">
        <v>22615.62</v>
      </c>
      <c r="AB46" s="73">
        <v>10016.49</v>
      </c>
      <c r="AC46" s="73">
        <v>51813.279999999897</v>
      </c>
      <c r="AD46" s="73">
        <v>131020.849999999</v>
      </c>
      <c r="AE46" s="73">
        <v>39094.370000000003</v>
      </c>
      <c r="AF46" s="73">
        <v>17796.2</v>
      </c>
      <c r="AG46" s="73">
        <v>53538.83</v>
      </c>
      <c r="AH46" s="73">
        <v>152194.55999999901</v>
      </c>
      <c r="AI46" s="73">
        <v>33682.74</v>
      </c>
      <c r="AJ46" s="73">
        <v>33086.799999999901</v>
      </c>
      <c r="AK46" s="73">
        <v>62511.959999999897</v>
      </c>
      <c r="AL46" s="174">
        <v>170806.56999999899</v>
      </c>
      <c r="AM46" s="161">
        <f t="shared" si="0"/>
        <v>129281.4999999998</v>
      </c>
      <c r="AN46" s="161"/>
      <c r="AZ46" s="71" t="s">
        <v>117</v>
      </c>
      <c r="BA46" s="71" t="s">
        <v>333</v>
      </c>
      <c r="BB46" s="32"/>
      <c r="BC46" s="32">
        <v>2</v>
      </c>
      <c r="BD46" s="32">
        <v>1</v>
      </c>
      <c r="BF46" s="71" t="s">
        <v>117</v>
      </c>
      <c r="BG46" s="71" t="s">
        <v>333</v>
      </c>
      <c r="BH46" s="73"/>
      <c r="BI46" s="73">
        <v>2149.36</v>
      </c>
      <c r="BJ46" s="73">
        <v>415.99</v>
      </c>
      <c r="BL46" s="71">
        <v>98498</v>
      </c>
      <c r="BM46" s="71" t="s">
        <v>333</v>
      </c>
      <c r="BN46" s="73">
        <v>-352.77</v>
      </c>
      <c r="BO46" s="73"/>
      <c r="BP46" s="73"/>
    </row>
    <row r="47" spans="2:68" x14ac:dyDescent="0.2">
      <c r="B47" s="78">
        <v>98040</v>
      </c>
      <c r="C47" s="60" t="s">
        <v>333</v>
      </c>
      <c r="D47" s="45">
        <v>109</v>
      </c>
      <c r="E47" s="45">
        <v>146</v>
      </c>
      <c r="F47" s="45">
        <v>67</v>
      </c>
      <c r="H47" s="165">
        <v>98039</v>
      </c>
      <c r="I47" s="165" t="s">
        <v>333</v>
      </c>
      <c r="J47" s="166">
        <v>308.95</v>
      </c>
      <c r="K47" s="166">
        <v>160.5</v>
      </c>
      <c r="L47" s="166">
        <v>470.51</v>
      </c>
      <c r="M47" s="166">
        <v>1935.53</v>
      </c>
      <c r="N47" s="166">
        <v>742.21</v>
      </c>
      <c r="O47" s="166">
        <v>287.69</v>
      </c>
      <c r="P47" s="166">
        <v>631.00999999999897</v>
      </c>
      <c r="Q47" s="166">
        <v>2787.48</v>
      </c>
      <c r="R47" s="166">
        <v>1091.44999999999</v>
      </c>
      <c r="S47" s="166">
        <v>742.21</v>
      </c>
      <c r="T47" s="166">
        <v>918.7</v>
      </c>
      <c r="U47" s="166">
        <v>4524.6799999999903</v>
      </c>
      <c r="V47" s="172"/>
      <c r="W47" s="161"/>
      <c r="Y47" s="71">
        <v>98039</v>
      </c>
      <c r="Z47" s="14" t="s">
        <v>10</v>
      </c>
      <c r="AA47" s="73">
        <v>728.68999999999903</v>
      </c>
      <c r="AB47" s="73">
        <v>307.86</v>
      </c>
      <c r="AC47" s="73">
        <v>495.07</v>
      </c>
      <c r="AD47" s="73">
        <v>2504.66</v>
      </c>
      <c r="AE47" s="73">
        <v>973.04</v>
      </c>
      <c r="AF47" s="73">
        <v>644.42999999999995</v>
      </c>
      <c r="AG47" s="73">
        <v>160.5</v>
      </c>
      <c r="AH47" s="73">
        <v>3247.7</v>
      </c>
      <c r="AI47" s="73">
        <v>500.64</v>
      </c>
      <c r="AJ47" s="73">
        <v>157.96</v>
      </c>
      <c r="AK47" s="73">
        <v>282.29000000000002</v>
      </c>
      <c r="AL47" s="174">
        <v>2391.48</v>
      </c>
      <c r="AM47" s="161">
        <f t="shared" si="0"/>
        <v>940.8900000000001</v>
      </c>
      <c r="AN47" s="161"/>
      <c r="AZ47" s="71" t="s">
        <v>118</v>
      </c>
      <c r="BA47" s="71" t="s">
        <v>333</v>
      </c>
      <c r="BB47" s="32"/>
      <c r="BC47" s="32"/>
      <c r="BD47" s="32">
        <v>1</v>
      </c>
      <c r="BF47" s="71" t="s">
        <v>118</v>
      </c>
      <c r="BG47" s="71" t="s">
        <v>333</v>
      </c>
      <c r="BH47" s="73"/>
      <c r="BI47" s="73"/>
      <c r="BJ47" s="73">
        <v>22.91</v>
      </c>
      <c r="BL47" s="71">
        <v>98501</v>
      </c>
      <c r="BM47" s="71" t="s">
        <v>333</v>
      </c>
      <c r="BN47" s="73">
        <v>-10</v>
      </c>
      <c r="BO47" s="73"/>
      <c r="BP47" s="73">
        <v>-31.53</v>
      </c>
    </row>
    <row r="48" spans="2:68" x14ac:dyDescent="0.2">
      <c r="B48" s="78">
        <v>98042</v>
      </c>
      <c r="C48" s="60" t="s">
        <v>333</v>
      </c>
      <c r="D48" s="45">
        <v>239</v>
      </c>
      <c r="E48" s="45">
        <v>297</v>
      </c>
      <c r="F48" s="45">
        <v>150</v>
      </c>
      <c r="H48" s="165">
        <v>98040</v>
      </c>
      <c r="I48" s="165" t="s">
        <v>333</v>
      </c>
      <c r="J48" s="166">
        <v>15219.01</v>
      </c>
      <c r="K48" s="166">
        <v>3353.26999999999</v>
      </c>
      <c r="L48" s="166">
        <v>29543.21</v>
      </c>
      <c r="M48" s="166">
        <v>102236.579999999</v>
      </c>
      <c r="N48" s="166">
        <v>31808.38</v>
      </c>
      <c r="O48" s="166">
        <v>13665.71</v>
      </c>
      <c r="P48" s="166">
        <v>30710.400000000001</v>
      </c>
      <c r="Q48" s="166">
        <v>191347.27</v>
      </c>
      <c r="R48" s="166">
        <v>22311.3299999999</v>
      </c>
      <c r="S48" s="166">
        <v>9290.58</v>
      </c>
      <c r="T48" s="166">
        <v>33142.159999999902</v>
      </c>
      <c r="U48" s="166">
        <v>99155.62</v>
      </c>
      <c r="V48" s="172"/>
      <c r="W48" s="161"/>
      <c r="Y48" s="71">
        <v>98040</v>
      </c>
      <c r="Z48" s="14" t="s">
        <v>10</v>
      </c>
      <c r="AA48" s="73">
        <v>3452.15</v>
      </c>
      <c r="AB48" s="73">
        <v>1174.3599999999999</v>
      </c>
      <c r="AC48" s="73">
        <v>10390.700000000001</v>
      </c>
      <c r="AD48" s="73">
        <v>20825.650000000001</v>
      </c>
      <c r="AE48" s="73">
        <v>4895.32</v>
      </c>
      <c r="AF48" s="73">
        <v>3168.52</v>
      </c>
      <c r="AG48" s="73">
        <v>10602.059999999899</v>
      </c>
      <c r="AH48" s="73">
        <v>24768.519999999899</v>
      </c>
      <c r="AI48" s="73">
        <v>5220.6499999999996</v>
      </c>
      <c r="AJ48" s="73">
        <v>4317.33</v>
      </c>
      <c r="AK48" s="73">
        <v>10895.3299999999</v>
      </c>
      <c r="AL48" s="174">
        <v>26844.63</v>
      </c>
      <c r="AM48" s="161">
        <f t="shared" si="0"/>
        <v>20433.309999999899</v>
      </c>
      <c r="AN48" s="161"/>
      <c r="AZ48" s="71" t="s">
        <v>120</v>
      </c>
      <c r="BA48" s="71" t="s">
        <v>333</v>
      </c>
      <c r="BB48" s="32">
        <v>5</v>
      </c>
      <c r="BC48" s="32"/>
      <c r="BD48" s="32">
        <v>2</v>
      </c>
      <c r="BF48" s="71" t="s">
        <v>120</v>
      </c>
      <c r="BG48" s="71" t="s">
        <v>333</v>
      </c>
      <c r="BH48" s="73">
        <v>46778.47</v>
      </c>
      <c r="BI48" s="73"/>
      <c r="BJ48" s="73">
        <v>1700.77</v>
      </c>
      <c r="BL48" s="71">
        <v>98925</v>
      </c>
      <c r="BM48" s="71" t="s">
        <v>333</v>
      </c>
      <c r="BN48" s="73">
        <v>-1460.35</v>
      </c>
      <c r="BO48" s="73"/>
      <c r="BP48" s="73"/>
    </row>
    <row r="49" spans="2:68" x14ac:dyDescent="0.2">
      <c r="B49" s="78">
        <v>98043</v>
      </c>
      <c r="C49" s="60" t="s">
        <v>333</v>
      </c>
      <c r="D49" s="45">
        <v>23</v>
      </c>
      <c r="E49" s="45">
        <v>34</v>
      </c>
      <c r="F49" s="45">
        <v>29</v>
      </c>
      <c r="H49" s="165">
        <v>98042</v>
      </c>
      <c r="I49" s="165" t="s">
        <v>333</v>
      </c>
      <c r="J49" s="166">
        <v>12386.68</v>
      </c>
      <c r="K49" s="166">
        <v>11518.4</v>
      </c>
      <c r="L49" s="166">
        <v>75866.05</v>
      </c>
      <c r="M49" s="166">
        <v>247794.69999999899</v>
      </c>
      <c r="N49" s="166">
        <v>11493.619999999901</v>
      </c>
      <c r="O49" s="166">
        <v>12098.9999999999</v>
      </c>
      <c r="P49" s="166">
        <v>76404.669999999896</v>
      </c>
      <c r="Q49" s="166">
        <v>251393.58</v>
      </c>
      <c r="R49" s="166">
        <v>18389.22</v>
      </c>
      <c r="S49" s="166">
        <v>6316.4199999999901</v>
      </c>
      <c r="T49" s="166">
        <v>68083.629999999903</v>
      </c>
      <c r="U49" s="166">
        <v>170808.959999999</v>
      </c>
      <c r="V49" s="172"/>
      <c r="W49" s="161"/>
      <c r="Y49" s="71">
        <v>98042</v>
      </c>
      <c r="Z49" s="14" t="s">
        <v>10</v>
      </c>
      <c r="AA49" s="73">
        <v>48354.2</v>
      </c>
      <c r="AB49" s="73">
        <v>17753.86</v>
      </c>
      <c r="AC49" s="73">
        <v>113358.12</v>
      </c>
      <c r="AD49" s="73">
        <v>271836.65999999898</v>
      </c>
      <c r="AE49" s="73">
        <v>72205.099999999904</v>
      </c>
      <c r="AF49" s="73">
        <v>39991.6899999999</v>
      </c>
      <c r="AG49" s="73">
        <v>116139.689999999</v>
      </c>
      <c r="AH49" s="73">
        <v>317065</v>
      </c>
      <c r="AI49" s="73">
        <v>63317.959999999897</v>
      </c>
      <c r="AJ49" s="73">
        <v>53672.18</v>
      </c>
      <c r="AK49" s="73">
        <v>131609.91999999899</v>
      </c>
      <c r="AL49" s="174">
        <v>344617.23</v>
      </c>
      <c r="AM49" s="161">
        <f t="shared" si="0"/>
        <v>248600.05999999889</v>
      </c>
      <c r="AN49" s="161"/>
      <c r="AZ49" s="71" t="s">
        <v>121</v>
      </c>
      <c r="BA49" s="71" t="s">
        <v>333</v>
      </c>
      <c r="BB49" s="32">
        <v>1</v>
      </c>
      <c r="BC49" s="32">
        <v>1</v>
      </c>
      <c r="BD49" s="32"/>
      <c r="BF49" s="71" t="s">
        <v>121</v>
      </c>
      <c r="BG49" s="71" t="s">
        <v>333</v>
      </c>
      <c r="BH49" s="73">
        <v>69.64</v>
      </c>
      <c r="BI49" s="73"/>
      <c r="BJ49" s="73"/>
      <c r="BL49" s="71">
        <v>98001</v>
      </c>
      <c r="BM49" s="71" t="s">
        <v>10</v>
      </c>
      <c r="BN49" s="73">
        <v>-1485.78</v>
      </c>
      <c r="BO49" s="73"/>
      <c r="BP49" s="73"/>
    </row>
    <row r="50" spans="2:68" x14ac:dyDescent="0.2">
      <c r="B50" s="78">
        <v>98045</v>
      </c>
      <c r="C50" s="60" t="s">
        <v>333</v>
      </c>
      <c r="D50" s="45">
        <v>111</v>
      </c>
      <c r="E50" s="45">
        <v>138</v>
      </c>
      <c r="F50" s="45">
        <v>87</v>
      </c>
      <c r="H50" s="165">
        <v>98043</v>
      </c>
      <c r="I50" s="165" t="s">
        <v>333</v>
      </c>
      <c r="J50" s="166">
        <v>2466.33</v>
      </c>
      <c r="K50" s="166">
        <v>1205.56</v>
      </c>
      <c r="L50" s="166">
        <v>3660.33</v>
      </c>
      <c r="M50" s="166">
        <v>14999.51</v>
      </c>
      <c r="N50" s="166">
        <v>2885.11</v>
      </c>
      <c r="O50" s="166">
        <v>2269.73</v>
      </c>
      <c r="P50" s="166">
        <v>3728.3999999999901</v>
      </c>
      <c r="Q50" s="166">
        <v>51688.459999999897</v>
      </c>
      <c r="R50" s="166">
        <v>2943.69</v>
      </c>
      <c r="S50" s="166">
        <v>790.36</v>
      </c>
      <c r="T50" s="166">
        <v>2076.9899999999998</v>
      </c>
      <c r="U50" s="166">
        <v>14437.779999999901</v>
      </c>
      <c r="V50" s="172"/>
      <c r="W50" s="161"/>
      <c r="Y50" s="71">
        <v>98043</v>
      </c>
      <c r="Z50" s="14" t="s">
        <v>10</v>
      </c>
      <c r="AA50" s="73">
        <v>1125.44</v>
      </c>
      <c r="AB50" s="73">
        <v>372.71</v>
      </c>
      <c r="AC50" s="73">
        <v>4639.0599999999904</v>
      </c>
      <c r="AD50" s="73">
        <v>9018.2000000000007</v>
      </c>
      <c r="AE50" s="73">
        <v>2614.4299999999998</v>
      </c>
      <c r="AF50" s="73">
        <v>929.36</v>
      </c>
      <c r="AG50" s="73">
        <v>4761.7699999999904</v>
      </c>
      <c r="AH50" s="73">
        <v>11621.7599999999</v>
      </c>
      <c r="AI50" s="73">
        <v>2673.3</v>
      </c>
      <c r="AJ50" s="73">
        <v>2032.35</v>
      </c>
      <c r="AK50" s="73">
        <v>4764.8900000000003</v>
      </c>
      <c r="AL50" s="174">
        <v>12498.68</v>
      </c>
      <c r="AM50" s="161">
        <f t="shared" si="0"/>
        <v>9470.5400000000009</v>
      </c>
      <c r="AN50" s="161"/>
      <c r="AZ50" s="71" t="s">
        <v>122</v>
      </c>
      <c r="BA50" s="71" t="s">
        <v>333</v>
      </c>
      <c r="BB50" s="32">
        <v>2</v>
      </c>
      <c r="BC50" s="32">
        <v>2</v>
      </c>
      <c r="BD50" s="32">
        <v>3</v>
      </c>
      <c r="BF50" s="71" t="s">
        <v>122</v>
      </c>
      <c r="BG50" s="71" t="s">
        <v>333</v>
      </c>
      <c r="BH50" s="73">
        <v>72.709999999999994</v>
      </c>
      <c r="BI50" s="73">
        <v>119.91</v>
      </c>
      <c r="BJ50" s="73">
        <v>75.36</v>
      </c>
      <c r="BL50" s="71">
        <v>98002</v>
      </c>
      <c r="BM50" s="71" t="s">
        <v>10</v>
      </c>
      <c r="BN50" s="73">
        <v>-656.03</v>
      </c>
      <c r="BO50" s="73">
        <v>-113.52</v>
      </c>
      <c r="BP50" s="73">
        <v>-393.52</v>
      </c>
    </row>
    <row r="51" spans="2:68" x14ac:dyDescent="0.2">
      <c r="B51" s="78">
        <v>98047</v>
      </c>
      <c r="C51" s="60" t="s">
        <v>333</v>
      </c>
      <c r="D51" s="45">
        <v>40</v>
      </c>
      <c r="E51" s="45">
        <v>47</v>
      </c>
      <c r="F51" s="45">
        <v>40</v>
      </c>
      <c r="H51" s="165">
        <v>98045</v>
      </c>
      <c r="I51" s="165" t="s">
        <v>333</v>
      </c>
      <c r="J51" s="166">
        <v>12667.0199999999</v>
      </c>
      <c r="K51" s="166">
        <v>2052.69</v>
      </c>
      <c r="L51" s="166">
        <v>312132.25999999902</v>
      </c>
      <c r="M51" s="166">
        <v>422342.21</v>
      </c>
      <c r="N51" s="166">
        <v>6936.0799999999899</v>
      </c>
      <c r="O51" s="166">
        <v>4701.24</v>
      </c>
      <c r="P51" s="166">
        <v>313620.84000000003</v>
      </c>
      <c r="Q51" s="166">
        <v>438702.08000000002</v>
      </c>
      <c r="R51" s="166">
        <v>8131</v>
      </c>
      <c r="S51" s="166">
        <v>1607.34</v>
      </c>
      <c r="T51" s="166">
        <v>316551.37</v>
      </c>
      <c r="U51" s="166">
        <v>441493.54</v>
      </c>
      <c r="V51" s="172"/>
      <c r="W51" s="161"/>
      <c r="Y51" s="71">
        <v>98045</v>
      </c>
      <c r="Z51" s="14" t="s">
        <v>10</v>
      </c>
      <c r="AA51" s="73">
        <v>4520.01</v>
      </c>
      <c r="AB51" s="73">
        <v>2294.46</v>
      </c>
      <c r="AC51" s="73">
        <v>8301.57</v>
      </c>
      <c r="AD51" s="73">
        <v>25585.459999999901</v>
      </c>
      <c r="AE51" s="73">
        <v>8982.39</v>
      </c>
      <c r="AF51" s="73">
        <v>3872.7599999999902</v>
      </c>
      <c r="AG51" s="73">
        <v>9979.33</v>
      </c>
      <c r="AH51" s="73">
        <v>32755.119999999999</v>
      </c>
      <c r="AI51" s="73">
        <v>6963.1</v>
      </c>
      <c r="AJ51" s="73">
        <v>6439.12</v>
      </c>
      <c r="AK51" s="73">
        <v>11960.06</v>
      </c>
      <c r="AL51" s="174">
        <v>36533.569999999898</v>
      </c>
      <c r="AM51" s="161">
        <f t="shared" si="0"/>
        <v>25362.28</v>
      </c>
      <c r="AN51" s="161"/>
      <c r="AZ51" s="71" t="s">
        <v>123</v>
      </c>
      <c r="BA51" s="71" t="s">
        <v>333</v>
      </c>
      <c r="BB51" s="32"/>
      <c r="BC51" s="32">
        <v>1</v>
      </c>
      <c r="BD51" s="32"/>
      <c r="BF51" s="71" t="s">
        <v>123</v>
      </c>
      <c r="BG51" s="71" t="s">
        <v>333</v>
      </c>
      <c r="BH51" s="73"/>
      <c r="BI51" s="73">
        <v>9560.33</v>
      </c>
      <c r="BJ51" s="73"/>
      <c r="BL51" s="71">
        <v>98003</v>
      </c>
      <c r="BM51" s="71" t="s">
        <v>10</v>
      </c>
      <c r="BN51" s="73">
        <v>-1302.02</v>
      </c>
      <c r="BO51" s="73">
        <v>-253.9</v>
      </c>
      <c r="BP51" s="73">
        <v>-445.28</v>
      </c>
    </row>
    <row r="52" spans="2:68" x14ac:dyDescent="0.2">
      <c r="B52" s="78">
        <v>98050</v>
      </c>
      <c r="C52" s="60" t="s">
        <v>333</v>
      </c>
      <c r="D52" s="45">
        <v>15</v>
      </c>
      <c r="E52" s="45">
        <v>9</v>
      </c>
      <c r="F52" s="45">
        <v>10</v>
      </c>
      <c r="H52" s="165">
        <v>98047</v>
      </c>
      <c r="I52" s="165" t="s">
        <v>333</v>
      </c>
      <c r="J52" s="166">
        <v>9007.2999999999993</v>
      </c>
      <c r="K52" s="166">
        <v>8751.6799999999894</v>
      </c>
      <c r="L52" s="166">
        <v>42494.54</v>
      </c>
      <c r="M52" s="166">
        <v>79712.990000000005</v>
      </c>
      <c r="N52" s="166">
        <v>10001.07</v>
      </c>
      <c r="O52" s="166">
        <v>8762.01</v>
      </c>
      <c r="P52" s="166">
        <v>46242.1</v>
      </c>
      <c r="Q52" s="166">
        <v>87114.62</v>
      </c>
      <c r="R52" s="166">
        <v>12358.15</v>
      </c>
      <c r="S52" s="166">
        <v>6150.75</v>
      </c>
      <c r="T52" s="166">
        <v>47309.719999999899</v>
      </c>
      <c r="U52" s="166">
        <v>77331.69</v>
      </c>
      <c r="V52" s="172"/>
      <c r="W52" s="161"/>
      <c r="Y52" s="71">
        <v>98047</v>
      </c>
      <c r="Z52" s="14" t="s">
        <v>10</v>
      </c>
      <c r="AA52" s="73">
        <v>8412.6099999999897</v>
      </c>
      <c r="AB52" s="73">
        <v>291.37</v>
      </c>
      <c r="AC52" s="73">
        <v>29804.68</v>
      </c>
      <c r="AD52" s="73">
        <v>54462.349999999897</v>
      </c>
      <c r="AE52" s="73">
        <v>12356.8</v>
      </c>
      <c r="AF52" s="73">
        <v>7334.19</v>
      </c>
      <c r="AG52" s="73">
        <v>25419.63</v>
      </c>
      <c r="AH52" s="73">
        <v>63014</v>
      </c>
      <c r="AI52" s="73">
        <v>13486.76</v>
      </c>
      <c r="AJ52" s="73">
        <v>10681.2699999999</v>
      </c>
      <c r="AK52" s="73">
        <v>30094.7</v>
      </c>
      <c r="AL52" s="174">
        <v>72368.37</v>
      </c>
      <c r="AM52" s="161">
        <f t="shared" si="0"/>
        <v>54262.729999999901</v>
      </c>
      <c r="AN52" s="161"/>
      <c r="AZ52" s="71" t="s">
        <v>124</v>
      </c>
      <c r="BA52" s="71" t="s">
        <v>333</v>
      </c>
      <c r="BB52" s="32"/>
      <c r="BC52" s="32">
        <v>1</v>
      </c>
      <c r="BD52" s="32"/>
      <c r="BF52" s="71" t="s">
        <v>124</v>
      </c>
      <c r="BG52" s="71" t="s">
        <v>333</v>
      </c>
      <c r="BH52" s="73"/>
      <c r="BI52" s="73">
        <v>10.32</v>
      </c>
      <c r="BJ52" s="73"/>
      <c r="BL52" s="71">
        <v>98004</v>
      </c>
      <c r="BM52" s="71" t="s">
        <v>10</v>
      </c>
      <c r="BN52" s="73">
        <v>-2094.67</v>
      </c>
      <c r="BO52" s="73">
        <v>-495.6</v>
      </c>
      <c r="BP52" s="73">
        <v>-693.7</v>
      </c>
    </row>
    <row r="53" spans="2:68" x14ac:dyDescent="0.2">
      <c r="B53" s="78">
        <v>98051</v>
      </c>
      <c r="C53" s="60" t="s">
        <v>333</v>
      </c>
      <c r="D53" s="45">
        <v>41</v>
      </c>
      <c r="E53" s="45">
        <v>44</v>
      </c>
      <c r="F53" s="45">
        <v>34</v>
      </c>
      <c r="H53" s="165">
        <v>98050</v>
      </c>
      <c r="I53" s="165" t="s">
        <v>333</v>
      </c>
      <c r="J53" s="166">
        <v>403.56</v>
      </c>
      <c r="K53" s="166">
        <v>201.68</v>
      </c>
      <c r="L53" s="166">
        <v>68.319999999999993</v>
      </c>
      <c r="M53" s="166">
        <v>20765.5</v>
      </c>
      <c r="N53" s="166">
        <v>65.760000000000005</v>
      </c>
      <c r="O53" s="166">
        <v>39.21</v>
      </c>
      <c r="P53" s="166">
        <v>107.52</v>
      </c>
      <c r="Q53" s="166">
        <v>1515.17</v>
      </c>
      <c r="R53" s="166">
        <v>59.3</v>
      </c>
      <c r="S53" s="166">
        <v>65.760000000000005</v>
      </c>
      <c r="T53" s="166">
        <v>146.72999999999999</v>
      </c>
      <c r="U53" s="166">
        <v>3268.0099999999902</v>
      </c>
      <c r="V53" s="172"/>
      <c r="W53" s="161"/>
      <c r="Y53" s="71">
        <v>98050</v>
      </c>
      <c r="Z53" s="14" t="s">
        <v>10</v>
      </c>
      <c r="AA53" s="73"/>
      <c r="AB53" s="73"/>
      <c r="AC53" s="73"/>
      <c r="AD53" s="73"/>
      <c r="AE53" s="73"/>
      <c r="AF53" s="73"/>
      <c r="AG53" s="73"/>
      <c r="AH53" s="73"/>
      <c r="AI53" s="73"/>
      <c r="AJ53" s="73"/>
      <c r="AK53" s="73"/>
      <c r="AL53" s="174">
        <v>175.33</v>
      </c>
      <c r="AM53" s="161">
        <f t="shared" si="0"/>
        <v>0</v>
      </c>
      <c r="AN53" s="161"/>
      <c r="AZ53" s="71" t="s">
        <v>125</v>
      </c>
      <c r="BA53" s="71" t="s">
        <v>333</v>
      </c>
      <c r="BB53" s="32"/>
      <c r="BC53" s="32"/>
      <c r="BD53" s="32">
        <v>2</v>
      </c>
      <c r="BF53" s="71" t="s">
        <v>125</v>
      </c>
      <c r="BG53" s="71" t="s">
        <v>333</v>
      </c>
      <c r="BH53" s="73"/>
      <c r="BI53" s="73"/>
      <c r="BJ53" s="73">
        <v>491.96</v>
      </c>
      <c r="BL53" s="71">
        <v>98005</v>
      </c>
      <c r="BM53" s="71" t="s">
        <v>10</v>
      </c>
      <c r="BN53" s="73">
        <v>-620.54</v>
      </c>
      <c r="BO53" s="73">
        <v>-180.38</v>
      </c>
      <c r="BP53" s="73"/>
    </row>
    <row r="54" spans="2:68" x14ac:dyDescent="0.2">
      <c r="B54" s="78">
        <v>98052</v>
      </c>
      <c r="C54" s="60" t="s">
        <v>333</v>
      </c>
      <c r="D54" s="45">
        <v>472</v>
      </c>
      <c r="E54" s="45">
        <v>337</v>
      </c>
      <c r="F54" s="45">
        <v>441</v>
      </c>
      <c r="H54" s="165">
        <v>98051</v>
      </c>
      <c r="I54" s="165" t="s">
        <v>333</v>
      </c>
      <c r="J54" s="166">
        <v>2542.9299999999998</v>
      </c>
      <c r="K54" s="166">
        <v>2704.2999999999902</v>
      </c>
      <c r="L54" s="166">
        <v>133317.07999999999</v>
      </c>
      <c r="M54" s="166">
        <v>191529.05</v>
      </c>
      <c r="N54" s="166">
        <v>16180.04</v>
      </c>
      <c r="O54" s="166">
        <v>414.14</v>
      </c>
      <c r="P54" s="166">
        <v>5597.99999999999</v>
      </c>
      <c r="Q54" s="166">
        <v>30148.28</v>
      </c>
      <c r="R54" s="166">
        <v>1921.22999999999</v>
      </c>
      <c r="S54" s="166">
        <v>505.55</v>
      </c>
      <c r="T54" s="166">
        <v>5165.6199999999899</v>
      </c>
      <c r="U54" s="166">
        <v>52360.31</v>
      </c>
      <c r="V54" s="172"/>
      <c r="W54" s="161"/>
      <c r="Y54" s="71">
        <v>98051</v>
      </c>
      <c r="Z54" s="14" t="s">
        <v>10</v>
      </c>
      <c r="AA54" s="73">
        <v>4447.4299999999903</v>
      </c>
      <c r="AB54" s="73">
        <v>1866.9</v>
      </c>
      <c r="AC54" s="73">
        <v>28712.13</v>
      </c>
      <c r="AD54" s="73">
        <v>41613.839999999997</v>
      </c>
      <c r="AE54" s="73">
        <v>4577.1400000000003</v>
      </c>
      <c r="AF54" s="73">
        <v>3186.2799999999902</v>
      </c>
      <c r="AG54" s="73">
        <v>28656.400000000001</v>
      </c>
      <c r="AH54" s="73">
        <v>44143.94</v>
      </c>
      <c r="AI54" s="73">
        <v>6484.04</v>
      </c>
      <c r="AJ54" s="73">
        <v>3908.56</v>
      </c>
      <c r="AK54" s="73">
        <v>30147.979999999901</v>
      </c>
      <c r="AL54" s="174">
        <v>46013.14</v>
      </c>
      <c r="AM54" s="161">
        <f t="shared" si="0"/>
        <v>40540.5799999999</v>
      </c>
      <c r="AN54" s="161"/>
      <c r="AZ54" s="71" t="s">
        <v>126</v>
      </c>
      <c r="BA54" s="71" t="s">
        <v>333</v>
      </c>
      <c r="BB54" s="32">
        <v>7</v>
      </c>
      <c r="BC54" s="32">
        <v>5</v>
      </c>
      <c r="BD54" s="32">
        <v>7</v>
      </c>
      <c r="BF54" s="71" t="s">
        <v>126</v>
      </c>
      <c r="BG54" s="71" t="s">
        <v>333</v>
      </c>
      <c r="BH54" s="73">
        <v>3540.8</v>
      </c>
      <c r="BI54" s="73">
        <v>2223.19</v>
      </c>
      <c r="BJ54" s="73">
        <v>10174.82</v>
      </c>
      <c r="BL54" s="71">
        <v>98006</v>
      </c>
      <c r="BM54" s="71" t="s">
        <v>10</v>
      </c>
      <c r="BN54" s="73">
        <v>-156.87</v>
      </c>
      <c r="BO54" s="73">
        <v>-11.72</v>
      </c>
      <c r="BP54" s="73"/>
    </row>
    <row r="55" spans="2:68" x14ac:dyDescent="0.2">
      <c r="B55" s="78">
        <v>98053</v>
      </c>
      <c r="C55" s="60" t="s">
        <v>333</v>
      </c>
      <c r="D55" s="45">
        <v>99</v>
      </c>
      <c r="E55" s="45">
        <v>50</v>
      </c>
      <c r="F55" s="45">
        <v>43</v>
      </c>
      <c r="H55" s="165">
        <v>98052</v>
      </c>
      <c r="I55" s="165" t="s">
        <v>333</v>
      </c>
      <c r="J55" s="166">
        <v>129820.33</v>
      </c>
      <c r="K55" s="166">
        <v>42938.98</v>
      </c>
      <c r="L55" s="166">
        <v>481062.79</v>
      </c>
      <c r="M55" s="166">
        <v>1406718.6599999899</v>
      </c>
      <c r="N55" s="166">
        <v>70352.399999999994</v>
      </c>
      <c r="O55" s="166">
        <v>45660.909999999902</v>
      </c>
      <c r="P55" s="166">
        <v>471739.549999999</v>
      </c>
      <c r="Q55" s="166">
        <v>1044065.05999999</v>
      </c>
      <c r="R55" s="166">
        <v>69631.629999999903</v>
      </c>
      <c r="S55" s="166">
        <v>27198.07</v>
      </c>
      <c r="T55" s="166">
        <v>494209.97999999899</v>
      </c>
      <c r="U55" s="166">
        <v>1652732.32</v>
      </c>
      <c r="V55" s="172"/>
      <c r="W55" s="161"/>
      <c r="Y55" s="71">
        <v>98052</v>
      </c>
      <c r="Z55" s="14" t="s">
        <v>10</v>
      </c>
      <c r="AA55" s="73">
        <v>20491.629999999899</v>
      </c>
      <c r="AB55" s="73">
        <v>8870.95999999999</v>
      </c>
      <c r="AC55" s="73">
        <v>50177.8299999999</v>
      </c>
      <c r="AD55" s="73">
        <v>120109.56</v>
      </c>
      <c r="AE55" s="73">
        <v>29801.959999999901</v>
      </c>
      <c r="AF55" s="73">
        <v>18019.71</v>
      </c>
      <c r="AG55" s="73">
        <v>52490.35</v>
      </c>
      <c r="AH55" s="73">
        <v>140348.08999999901</v>
      </c>
      <c r="AI55" s="73">
        <v>28369.0799999999</v>
      </c>
      <c r="AJ55" s="73">
        <v>21861.24</v>
      </c>
      <c r="AK55" s="73">
        <v>57160.309999999903</v>
      </c>
      <c r="AL55" s="174">
        <v>147844.22</v>
      </c>
      <c r="AM55" s="161">
        <f t="shared" si="0"/>
        <v>107390.6299999998</v>
      </c>
      <c r="AN55" s="161"/>
      <c r="AZ55" s="71" t="s">
        <v>127</v>
      </c>
      <c r="BA55" s="71" t="s">
        <v>333</v>
      </c>
      <c r="BB55" s="32">
        <v>2</v>
      </c>
      <c r="BC55" s="32">
        <v>1</v>
      </c>
      <c r="BD55" s="32"/>
      <c r="BF55" s="71" t="s">
        <v>127</v>
      </c>
      <c r="BG55" s="71" t="s">
        <v>333</v>
      </c>
      <c r="BH55" s="73">
        <v>5475.62</v>
      </c>
      <c r="BI55" s="73"/>
      <c r="BJ55" s="73"/>
      <c r="BL55" s="71">
        <v>98007</v>
      </c>
      <c r="BM55" s="71" t="s">
        <v>10</v>
      </c>
      <c r="BN55" s="73">
        <v>-378.53</v>
      </c>
      <c r="BO55" s="73"/>
      <c r="BP55" s="73">
        <v>-116.65</v>
      </c>
    </row>
    <row r="56" spans="2:68" x14ac:dyDescent="0.2">
      <c r="B56" s="78">
        <v>98055</v>
      </c>
      <c r="C56" s="60" t="s">
        <v>333</v>
      </c>
      <c r="D56" s="45">
        <v>95</v>
      </c>
      <c r="E56" s="45">
        <v>125</v>
      </c>
      <c r="F56" s="45">
        <v>81</v>
      </c>
      <c r="H56" s="165">
        <v>98053</v>
      </c>
      <c r="I56" s="165" t="s">
        <v>333</v>
      </c>
      <c r="J56" s="166">
        <v>17151.54</v>
      </c>
      <c r="K56" s="166">
        <v>11611.99</v>
      </c>
      <c r="L56" s="166">
        <v>395397.31</v>
      </c>
      <c r="M56" s="166">
        <v>601043.73999999894</v>
      </c>
      <c r="N56" s="166">
        <v>28489.83</v>
      </c>
      <c r="O56" s="166">
        <v>17459.330000000002</v>
      </c>
      <c r="P56" s="166">
        <v>403399.04</v>
      </c>
      <c r="Q56" s="166">
        <v>478720.73</v>
      </c>
      <c r="R56" s="166">
        <v>16786.969999999899</v>
      </c>
      <c r="S56" s="166">
        <v>17303.07</v>
      </c>
      <c r="T56" s="166">
        <v>415320</v>
      </c>
      <c r="U56" s="166">
        <v>494246.5</v>
      </c>
      <c r="V56" s="172"/>
      <c r="W56" s="161"/>
      <c r="Y56" s="71">
        <v>98053</v>
      </c>
      <c r="Z56" s="14" t="s">
        <v>10</v>
      </c>
      <c r="AA56" s="73">
        <v>2881.1799999999898</v>
      </c>
      <c r="AB56" s="73">
        <v>441.6</v>
      </c>
      <c r="AC56" s="73">
        <v>10906.37</v>
      </c>
      <c r="AD56" s="73">
        <v>21602.12</v>
      </c>
      <c r="AE56" s="73">
        <v>5583.4</v>
      </c>
      <c r="AF56" s="73">
        <v>2834.9699999999898</v>
      </c>
      <c r="AG56" s="73">
        <v>11183.86</v>
      </c>
      <c r="AH56" s="73">
        <v>26268.93</v>
      </c>
      <c r="AI56" s="73">
        <v>4819.32</v>
      </c>
      <c r="AJ56" s="73">
        <v>3755.57</v>
      </c>
      <c r="AK56" s="73">
        <v>10925.449999999901</v>
      </c>
      <c r="AL56" s="174">
        <v>28820.7399999999</v>
      </c>
      <c r="AM56" s="161">
        <f t="shared" si="0"/>
        <v>19500.339999999902</v>
      </c>
      <c r="AN56" s="161"/>
      <c r="AZ56" s="71" t="s">
        <v>128</v>
      </c>
      <c r="BA56" s="71" t="s">
        <v>333</v>
      </c>
      <c r="BB56" s="32"/>
      <c r="BC56" s="32"/>
      <c r="BD56" s="32">
        <v>3</v>
      </c>
      <c r="BF56" s="71" t="s">
        <v>128</v>
      </c>
      <c r="BG56" s="71" t="s">
        <v>333</v>
      </c>
      <c r="BH56" s="73"/>
      <c r="BI56" s="73"/>
      <c r="BJ56" s="73">
        <v>4247.26</v>
      </c>
      <c r="BL56" s="71">
        <v>98008</v>
      </c>
      <c r="BM56" s="71" t="s">
        <v>10</v>
      </c>
      <c r="BN56" s="73">
        <v>-292.26</v>
      </c>
      <c r="BO56" s="73"/>
      <c r="BP56" s="73"/>
    </row>
    <row r="57" spans="2:68" x14ac:dyDescent="0.2">
      <c r="B57" s="78">
        <v>98056</v>
      </c>
      <c r="C57" s="60" t="s">
        <v>333</v>
      </c>
      <c r="D57" s="45">
        <v>197</v>
      </c>
      <c r="E57" s="45">
        <v>230</v>
      </c>
      <c r="F57" s="45">
        <v>172</v>
      </c>
      <c r="H57" s="165">
        <v>98055</v>
      </c>
      <c r="I57" s="165" t="s">
        <v>333</v>
      </c>
      <c r="J57" s="166">
        <v>47001.25</v>
      </c>
      <c r="K57" s="166">
        <v>9993.1200000000008</v>
      </c>
      <c r="L57" s="166">
        <v>126825.069999999</v>
      </c>
      <c r="M57" s="166">
        <v>265238.32999999903</v>
      </c>
      <c r="N57" s="166">
        <v>49457.42</v>
      </c>
      <c r="O57" s="166">
        <v>14899.5799999999</v>
      </c>
      <c r="P57" s="166">
        <v>135900.19</v>
      </c>
      <c r="Q57" s="166">
        <v>331240.36</v>
      </c>
      <c r="R57" s="166">
        <v>71205.539999999994</v>
      </c>
      <c r="S57" s="166">
        <v>16661.849999999999</v>
      </c>
      <c r="T57" s="166">
        <v>149320.91999999899</v>
      </c>
      <c r="U57" s="166">
        <v>332179.69</v>
      </c>
      <c r="V57" s="172"/>
      <c r="W57" s="161"/>
      <c r="Y57" s="71">
        <v>98055</v>
      </c>
      <c r="Z57" s="14" t="s">
        <v>10</v>
      </c>
      <c r="AA57" s="73">
        <v>27480.139999999901</v>
      </c>
      <c r="AB57" s="73">
        <v>12179.609999999901</v>
      </c>
      <c r="AC57" s="73">
        <v>72073.75</v>
      </c>
      <c r="AD57" s="73">
        <v>163733.79999999999</v>
      </c>
      <c r="AE57" s="73">
        <v>42500.969999999899</v>
      </c>
      <c r="AF57" s="73">
        <v>22733.64</v>
      </c>
      <c r="AG57" s="73">
        <v>74105.909999999902</v>
      </c>
      <c r="AH57" s="73">
        <v>195135.74</v>
      </c>
      <c r="AI57" s="73">
        <v>43304.3999999999</v>
      </c>
      <c r="AJ57" s="73">
        <v>33739.68</v>
      </c>
      <c r="AK57" s="73">
        <v>86749.28</v>
      </c>
      <c r="AL57" s="174">
        <v>221869.94</v>
      </c>
      <c r="AM57" s="161">
        <f t="shared" si="0"/>
        <v>163793.3599999999</v>
      </c>
      <c r="AN57" s="161"/>
      <c r="AZ57" s="71" t="s">
        <v>265</v>
      </c>
      <c r="BA57" s="71" t="s">
        <v>333</v>
      </c>
      <c r="BB57" s="32">
        <v>1</v>
      </c>
      <c r="BC57" s="32">
        <v>1</v>
      </c>
      <c r="BD57" s="32">
        <v>1</v>
      </c>
      <c r="BF57" s="71" t="s">
        <v>265</v>
      </c>
      <c r="BG57" s="71" t="s">
        <v>333</v>
      </c>
      <c r="BH57" s="73">
        <v>622.76</v>
      </c>
      <c r="BI57" s="73">
        <v>191.4</v>
      </c>
      <c r="BJ57" s="73">
        <v>218.9</v>
      </c>
      <c r="BL57" s="71">
        <v>98011</v>
      </c>
      <c r="BM57" s="71" t="s">
        <v>10</v>
      </c>
      <c r="BN57" s="73">
        <v>-139.27000000000001</v>
      </c>
      <c r="BO57" s="73">
        <v>-624.24</v>
      </c>
      <c r="BP57" s="73">
        <v>-114.33</v>
      </c>
    </row>
    <row r="58" spans="2:68" x14ac:dyDescent="0.2">
      <c r="B58" s="78">
        <v>98057</v>
      </c>
      <c r="C58" s="60" t="s">
        <v>333</v>
      </c>
      <c r="D58" s="45">
        <v>298</v>
      </c>
      <c r="E58" s="45">
        <v>364</v>
      </c>
      <c r="F58" s="45">
        <v>309</v>
      </c>
      <c r="H58" s="165">
        <v>98056</v>
      </c>
      <c r="I58" s="165" t="s">
        <v>333</v>
      </c>
      <c r="J58" s="166">
        <v>7391.44</v>
      </c>
      <c r="K58" s="166">
        <v>3096.45</v>
      </c>
      <c r="L58" s="166">
        <v>21679.39</v>
      </c>
      <c r="M58" s="166">
        <v>77530.3299999999</v>
      </c>
      <c r="N58" s="166">
        <v>13254.9299999999</v>
      </c>
      <c r="O58" s="166">
        <v>4806.26</v>
      </c>
      <c r="P58" s="166">
        <v>23546.289999999899</v>
      </c>
      <c r="Q58" s="166">
        <v>257461.58999999901</v>
      </c>
      <c r="R58" s="166">
        <v>9337.8299999999908</v>
      </c>
      <c r="S58" s="166">
        <v>3755.0699999999902</v>
      </c>
      <c r="T58" s="166">
        <v>13711.9199999999</v>
      </c>
      <c r="U58" s="166">
        <v>88533.42</v>
      </c>
      <c r="V58" s="172"/>
      <c r="W58" s="161"/>
      <c r="Y58" s="71">
        <v>98056</v>
      </c>
      <c r="Z58" s="14" t="s">
        <v>10</v>
      </c>
      <c r="AA58" s="73">
        <v>30875.779999999901</v>
      </c>
      <c r="AB58" s="73">
        <v>13178.36</v>
      </c>
      <c r="AC58" s="73">
        <v>80911.89</v>
      </c>
      <c r="AD58" s="73">
        <v>181857.47999999899</v>
      </c>
      <c r="AE58" s="73">
        <v>44896.459999999897</v>
      </c>
      <c r="AF58" s="73">
        <v>26494.379999999899</v>
      </c>
      <c r="AG58" s="73">
        <v>81658.67</v>
      </c>
      <c r="AH58" s="73">
        <v>206894.489999999</v>
      </c>
      <c r="AI58" s="73">
        <v>44764.89</v>
      </c>
      <c r="AJ58" s="73">
        <v>38511.989999999903</v>
      </c>
      <c r="AK58" s="73">
        <v>91016.13</v>
      </c>
      <c r="AL58" s="174">
        <v>236270.75999999899</v>
      </c>
      <c r="AM58" s="161">
        <f t="shared" si="0"/>
        <v>174293.00999999989</v>
      </c>
      <c r="AN58" s="161"/>
      <c r="AZ58" s="71" t="s">
        <v>130</v>
      </c>
      <c r="BA58" s="71" t="s">
        <v>333</v>
      </c>
      <c r="BB58" s="32"/>
      <c r="BC58" s="32">
        <v>2</v>
      </c>
      <c r="BD58" s="32">
        <v>1</v>
      </c>
      <c r="BF58" s="71" t="s">
        <v>130</v>
      </c>
      <c r="BG58" s="71" t="s">
        <v>333</v>
      </c>
      <c r="BH58" s="73"/>
      <c r="BI58" s="73">
        <v>6714.37</v>
      </c>
      <c r="BJ58" s="73"/>
      <c r="BL58" s="71">
        <v>98012</v>
      </c>
      <c r="BM58" s="71" t="s">
        <v>10</v>
      </c>
      <c r="BN58" s="73">
        <v>-635.44000000000005</v>
      </c>
      <c r="BO58" s="73">
        <v>-170.56</v>
      </c>
      <c r="BP58" s="73"/>
    </row>
    <row r="59" spans="2:68" x14ac:dyDescent="0.2">
      <c r="B59" s="78">
        <v>98058</v>
      </c>
      <c r="C59" s="60" t="s">
        <v>333</v>
      </c>
      <c r="D59" s="45">
        <v>123</v>
      </c>
      <c r="E59" s="45">
        <v>164</v>
      </c>
      <c r="F59" s="45">
        <v>76</v>
      </c>
      <c r="H59" s="165">
        <v>98057</v>
      </c>
      <c r="I59" s="165" t="s">
        <v>333</v>
      </c>
      <c r="J59" s="166">
        <v>71994.459999999905</v>
      </c>
      <c r="K59" s="166">
        <v>19174.36</v>
      </c>
      <c r="L59" s="166">
        <v>163545.38</v>
      </c>
      <c r="M59" s="166">
        <v>511626.99999999901</v>
      </c>
      <c r="N59" s="166">
        <v>50089.039999999899</v>
      </c>
      <c r="O59" s="166">
        <v>58061.609999999899</v>
      </c>
      <c r="P59" s="166">
        <v>175802.59</v>
      </c>
      <c r="Q59" s="166">
        <v>685179.95</v>
      </c>
      <c r="R59" s="166">
        <v>35721.040000000001</v>
      </c>
      <c r="S59" s="166">
        <v>29743.98</v>
      </c>
      <c r="T59" s="166">
        <v>218866.04</v>
      </c>
      <c r="U59" s="166">
        <v>506564.179999999</v>
      </c>
      <c r="V59" s="172"/>
      <c r="W59" s="161"/>
      <c r="Y59" s="71">
        <v>98057</v>
      </c>
      <c r="Z59" s="14" t="s">
        <v>10</v>
      </c>
      <c r="AA59" s="73">
        <v>14930.73</v>
      </c>
      <c r="AB59" s="73">
        <v>6772.25</v>
      </c>
      <c r="AC59" s="73">
        <v>29739.559999999899</v>
      </c>
      <c r="AD59" s="73">
        <v>79368.0799999999</v>
      </c>
      <c r="AE59" s="73">
        <v>24205.859999999899</v>
      </c>
      <c r="AF59" s="73">
        <v>12240.2</v>
      </c>
      <c r="AG59" s="73">
        <v>31878.95</v>
      </c>
      <c r="AH59" s="73">
        <v>94588.479999999996</v>
      </c>
      <c r="AI59" s="73">
        <v>20969.04</v>
      </c>
      <c r="AJ59" s="73">
        <v>19529.93</v>
      </c>
      <c r="AK59" s="73">
        <v>37934.400000000001</v>
      </c>
      <c r="AL59" s="174">
        <v>107527.01</v>
      </c>
      <c r="AM59" s="161">
        <f t="shared" si="0"/>
        <v>78433.37</v>
      </c>
      <c r="AN59" s="161"/>
      <c r="AZ59" s="71" t="s">
        <v>267</v>
      </c>
      <c r="BA59" s="71" t="s">
        <v>333</v>
      </c>
      <c r="BB59" s="32">
        <v>1</v>
      </c>
      <c r="BC59" s="32"/>
      <c r="BD59" s="32"/>
      <c r="BF59" s="71" t="s">
        <v>267</v>
      </c>
      <c r="BG59" s="71" t="s">
        <v>333</v>
      </c>
      <c r="BH59" s="73">
        <v>38.39</v>
      </c>
      <c r="BI59" s="73"/>
      <c r="BJ59" s="73"/>
      <c r="BL59" s="71">
        <v>98019</v>
      </c>
      <c r="BM59" s="71" t="s">
        <v>10</v>
      </c>
      <c r="BN59" s="73"/>
      <c r="BO59" s="73"/>
      <c r="BP59" s="73">
        <v>-524.91999999999996</v>
      </c>
    </row>
    <row r="60" spans="2:68" x14ac:dyDescent="0.2">
      <c r="B60" s="78">
        <v>98059</v>
      </c>
      <c r="C60" s="60" t="s">
        <v>333</v>
      </c>
      <c r="D60" s="45">
        <v>166</v>
      </c>
      <c r="E60" s="45">
        <v>149</v>
      </c>
      <c r="F60" s="45">
        <v>154</v>
      </c>
      <c r="H60" s="165">
        <v>98058</v>
      </c>
      <c r="I60" s="165" t="s">
        <v>333</v>
      </c>
      <c r="J60" s="166">
        <v>5585.09</v>
      </c>
      <c r="K60" s="166">
        <v>2529.6799999999998</v>
      </c>
      <c r="L60" s="166">
        <v>36403.3999999999</v>
      </c>
      <c r="M60" s="166">
        <v>98030.84</v>
      </c>
      <c r="N60" s="166">
        <v>8248.2999999999993</v>
      </c>
      <c r="O60" s="166">
        <v>4276.78</v>
      </c>
      <c r="P60" s="166">
        <v>38132.9</v>
      </c>
      <c r="Q60" s="166">
        <v>134169.66999999899</v>
      </c>
      <c r="R60" s="166">
        <v>8562.2699999999895</v>
      </c>
      <c r="S60" s="166">
        <v>6696.91</v>
      </c>
      <c r="T60" s="166">
        <v>37840.339999999997</v>
      </c>
      <c r="U60" s="166">
        <v>82468.429999999993</v>
      </c>
      <c r="V60" s="172"/>
      <c r="W60" s="161"/>
      <c r="Y60" s="71">
        <v>98058</v>
      </c>
      <c r="Z60" s="14" t="s">
        <v>10</v>
      </c>
      <c r="AA60" s="73">
        <v>45628.05</v>
      </c>
      <c r="AB60" s="73">
        <v>19702.2</v>
      </c>
      <c r="AC60" s="73">
        <v>101959.55</v>
      </c>
      <c r="AD60" s="73">
        <v>254745.56999999899</v>
      </c>
      <c r="AE60" s="73">
        <v>73736.639999999999</v>
      </c>
      <c r="AF60" s="73">
        <v>39225.32</v>
      </c>
      <c r="AG60" s="73">
        <v>111566.549999999</v>
      </c>
      <c r="AH60" s="73">
        <v>313398.08999999898</v>
      </c>
      <c r="AI60" s="73">
        <v>67187.649999999907</v>
      </c>
      <c r="AJ60" s="73">
        <v>60070.169999999896</v>
      </c>
      <c r="AK60" s="73">
        <v>135702.5</v>
      </c>
      <c r="AL60" s="174">
        <v>346334.53999999899</v>
      </c>
      <c r="AM60" s="161">
        <f t="shared" si="0"/>
        <v>262960.31999999983</v>
      </c>
      <c r="AN60" s="161"/>
      <c r="AZ60" s="71" t="s">
        <v>268</v>
      </c>
      <c r="BA60" s="71" t="s">
        <v>333</v>
      </c>
      <c r="BB60" s="32">
        <v>1</v>
      </c>
      <c r="BC60" s="32"/>
      <c r="BD60" s="32"/>
      <c r="BF60" s="71" t="s">
        <v>268</v>
      </c>
      <c r="BG60" s="71" t="s">
        <v>333</v>
      </c>
      <c r="BH60" s="73">
        <v>2177.36</v>
      </c>
      <c r="BI60" s="73"/>
      <c r="BJ60" s="73"/>
      <c r="BL60" s="71">
        <v>98022</v>
      </c>
      <c r="BM60" s="71" t="s">
        <v>10</v>
      </c>
      <c r="BN60" s="73">
        <v>-380.25</v>
      </c>
      <c r="BO60" s="73">
        <v>-130.61000000000001</v>
      </c>
      <c r="BP60" s="73">
        <v>-100</v>
      </c>
    </row>
    <row r="61" spans="2:68" x14ac:dyDescent="0.2">
      <c r="B61" s="78">
        <v>98065</v>
      </c>
      <c r="C61" s="60" t="s">
        <v>333</v>
      </c>
      <c r="D61" s="45">
        <v>113</v>
      </c>
      <c r="E61" s="45">
        <v>207</v>
      </c>
      <c r="F61" s="45">
        <v>67</v>
      </c>
      <c r="H61" s="165">
        <v>98059</v>
      </c>
      <c r="I61" s="165" t="s">
        <v>333</v>
      </c>
      <c r="J61" s="166">
        <v>6713.1399999999903</v>
      </c>
      <c r="K61" s="166">
        <v>2395.8699999999899</v>
      </c>
      <c r="L61" s="166">
        <v>13462.559999999899</v>
      </c>
      <c r="M61" s="166">
        <v>225050.84</v>
      </c>
      <c r="N61" s="166">
        <v>14185.8199999999</v>
      </c>
      <c r="O61" s="166">
        <v>4640.9399999999996</v>
      </c>
      <c r="P61" s="166">
        <v>13498.5899999999</v>
      </c>
      <c r="Q61" s="166">
        <v>76832.44</v>
      </c>
      <c r="R61" s="166">
        <v>8680.70999999999</v>
      </c>
      <c r="S61" s="166">
        <v>3461.95999999999</v>
      </c>
      <c r="T61" s="166">
        <v>11533.46</v>
      </c>
      <c r="U61" s="166">
        <v>50975.3</v>
      </c>
      <c r="V61" s="172"/>
      <c r="W61" s="161"/>
      <c r="Y61" s="71">
        <v>98059</v>
      </c>
      <c r="Z61" s="14" t="s">
        <v>10</v>
      </c>
      <c r="AA61" s="73">
        <v>19983.6499999999</v>
      </c>
      <c r="AB61" s="73">
        <v>9576.5599999999904</v>
      </c>
      <c r="AC61" s="73">
        <v>42374.77</v>
      </c>
      <c r="AD61" s="73">
        <v>112680.689999999</v>
      </c>
      <c r="AE61" s="73">
        <v>33329.3999999999</v>
      </c>
      <c r="AF61" s="73">
        <v>17741.11</v>
      </c>
      <c r="AG61" s="73">
        <v>48842.1</v>
      </c>
      <c r="AH61" s="73">
        <v>143144.82999999999</v>
      </c>
      <c r="AI61" s="73">
        <v>33709.370000000003</v>
      </c>
      <c r="AJ61" s="73">
        <v>26755.78</v>
      </c>
      <c r="AK61" s="73">
        <v>55802.86</v>
      </c>
      <c r="AL61" s="174">
        <v>159191.15</v>
      </c>
      <c r="AM61" s="161">
        <f t="shared" si="0"/>
        <v>116268.01000000001</v>
      </c>
      <c r="AN61" s="161"/>
      <c r="AZ61" s="71" t="s">
        <v>269</v>
      </c>
      <c r="BA61" s="71" t="s">
        <v>333</v>
      </c>
      <c r="BB61" s="32">
        <v>1</v>
      </c>
      <c r="BC61" s="32">
        <v>1</v>
      </c>
      <c r="BD61" s="32">
        <v>2</v>
      </c>
      <c r="BF61" s="71" t="s">
        <v>269</v>
      </c>
      <c r="BG61" s="71" t="s">
        <v>333</v>
      </c>
      <c r="BH61" s="73">
        <v>7104.57</v>
      </c>
      <c r="BI61" s="73">
        <v>295.39</v>
      </c>
      <c r="BJ61" s="73">
        <v>1352.05</v>
      </c>
      <c r="BL61" s="71">
        <v>98023</v>
      </c>
      <c r="BM61" s="71" t="s">
        <v>10</v>
      </c>
      <c r="BN61" s="73">
        <v>-838.41</v>
      </c>
      <c r="BO61" s="73">
        <v>-129.19</v>
      </c>
      <c r="BP61" s="73">
        <v>-100</v>
      </c>
    </row>
    <row r="62" spans="2:68" x14ac:dyDescent="0.2">
      <c r="B62" s="78">
        <v>98068</v>
      </c>
      <c r="C62" s="60" t="s">
        <v>333</v>
      </c>
      <c r="D62" s="45">
        <v>19</v>
      </c>
      <c r="E62" s="45">
        <v>27</v>
      </c>
      <c r="F62" s="45">
        <v>5</v>
      </c>
      <c r="H62" s="165">
        <v>98065</v>
      </c>
      <c r="I62" s="165" t="s">
        <v>333</v>
      </c>
      <c r="J62" s="166">
        <v>5346</v>
      </c>
      <c r="K62" s="166">
        <v>1745.46999999999</v>
      </c>
      <c r="L62" s="166">
        <v>17009.559999999899</v>
      </c>
      <c r="M62" s="166">
        <v>183852.389999999</v>
      </c>
      <c r="N62" s="166">
        <v>7125.4899999999898</v>
      </c>
      <c r="O62" s="166">
        <v>3462.8999999999901</v>
      </c>
      <c r="P62" s="166">
        <v>15850.16</v>
      </c>
      <c r="Q62" s="166">
        <v>177842.609999999</v>
      </c>
      <c r="R62" s="166">
        <v>13198.8499999999</v>
      </c>
      <c r="S62" s="166">
        <v>3039.18</v>
      </c>
      <c r="T62" s="166">
        <v>16505.169999999998</v>
      </c>
      <c r="U62" s="166">
        <v>84367.96</v>
      </c>
      <c r="V62" s="172"/>
      <c r="W62" s="161"/>
      <c r="Y62" s="71">
        <v>98065</v>
      </c>
      <c r="Z62" s="14" t="s">
        <v>10</v>
      </c>
      <c r="AA62" s="73">
        <v>6408.4499999999898</v>
      </c>
      <c r="AB62" s="73">
        <v>6689.69</v>
      </c>
      <c r="AC62" s="73">
        <v>28739.059999999899</v>
      </c>
      <c r="AD62" s="73">
        <v>55123.349999999897</v>
      </c>
      <c r="AE62" s="73">
        <v>10313.379999999999</v>
      </c>
      <c r="AF62" s="73">
        <v>5258.39</v>
      </c>
      <c r="AG62" s="73">
        <v>32837.760000000002</v>
      </c>
      <c r="AH62" s="73">
        <v>69947.820000000007</v>
      </c>
      <c r="AI62" s="73">
        <v>18425.55</v>
      </c>
      <c r="AJ62" s="73">
        <v>7618.03</v>
      </c>
      <c r="AK62" s="73">
        <v>21572.1</v>
      </c>
      <c r="AL62" s="174">
        <v>60791.99</v>
      </c>
      <c r="AM62" s="161">
        <f t="shared" si="0"/>
        <v>47615.679999999993</v>
      </c>
      <c r="AN62" s="161"/>
      <c r="AZ62" s="71" t="s">
        <v>270</v>
      </c>
      <c r="BA62" s="71" t="s">
        <v>333</v>
      </c>
      <c r="BB62" s="32">
        <v>5</v>
      </c>
      <c r="BC62" s="32"/>
      <c r="BD62" s="32">
        <v>1</v>
      </c>
      <c r="BF62" s="71" t="s">
        <v>270</v>
      </c>
      <c r="BG62" s="71" t="s">
        <v>333</v>
      </c>
      <c r="BH62" s="73">
        <v>3328.54</v>
      </c>
      <c r="BI62" s="73"/>
      <c r="BJ62" s="73">
        <v>675.7</v>
      </c>
      <c r="BL62" s="71">
        <v>98026</v>
      </c>
      <c r="BM62" s="71" t="s">
        <v>10</v>
      </c>
      <c r="BN62" s="73">
        <v>-491.37</v>
      </c>
      <c r="BO62" s="73"/>
      <c r="BP62" s="73"/>
    </row>
    <row r="63" spans="2:68" x14ac:dyDescent="0.2">
      <c r="B63" s="78">
        <v>98070</v>
      </c>
      <c r="C63" s="60" t="s">
        <v>333</v>
      </c>
      <c r="D63" s="45">
        <v>129</v>
      </c>
      <c r="E63" s="45">
        <v>151</v>
      </c>
      <c r="F63" s="45">
        <v>122</v>
      </c>
      <c r="H63" s="165">
        <v>98068</v>
      </c>
      <c r="I63" s="165" t="s">
        <v>333</v>
      </c>
      <c r="J63" s="166">
        <v>2304.61</v>
      </c>
      <c r="K63" s="166">
        <v>1640.62</v>
      </c>
      <c r="L63" s="166">
        <v>23540.1899999999</v>
      </c>
      <c r="M63" s="166">
        <v>45696.5099999999</v>
      </c>
      <c r="N63" s="166">
        <v>2576.27</v>
      </c>
      <c r="O63" s="166">
        <v>2294.29</v>
      </c>
      <c r="P63" s="166">
        <v>25180.809999999899</v>
      </c>
      <c r="Q63" s="166">
        <v>45926.029999999897</v>
      </c>
      <c r="R63" s="166">
        <v>2408.0299999999902</v>
      </c>
      <c r="S63" s="166">
        <v>2576.27</v>
      </c>
      <c r="T63" s="166">
        <v>25775.1</v>
      </c>
      <c r="U63" s="166">
        <v>33478.85</v>
      </c>
      <c r="V63" s="172"/>
      <c r="W63" s="161"/>
      <c r="Y63" s="71">
        <v>98068</v>
      </c>
      <c r="Z63" s="14" t="s">
        <v>10</v>
      </c>
      <c r="AA63" s="73"/>
      <c r="AB63" s="73">
        <v>179.98</v>
      </c>
      <c r="AC63" s="73">
        <v>711.94</v>
      </c>
      <c r="AD63" s="73">
        <v>1396.49</v>
      </c>
      <c r="AE63" s="73">
        <v>454.61</v>
      </c>
      <c r="AF63" s="73"/>
      <c r="AG63" s="73">
        <v>891.92</v>
      </c>
      <c r="AH63" s="73">
        <v>1346.53</v>
      </c>
      <c r="AI63" s="73"/>
      <c r="AJ63" s="73">
        <v>191.85</v>
      </c>
      <c r="AK63" s="73">
        <v>739.98</v>
      </c>
      <c r="AL63" s="174">
        <v>1912.6599999999901</v>
      </c>
      <c r="AM63" s="161">
        <f t="shared" si="0"/>
        <v>931.83</v>
      </c>
      <c r="AN63" s="161"/>
      <c r="AZ63" s="71" t="s">
        <v>271</v>
      </c>
      <c r="BA63" s="71" t="s">
        <v>333</v>
      </c>
      <c r="BB63" s="32"/>
      <c r="BC63" s="32"/>
      <c r="BD63" s="32">
        <v>1</v>
      </c>
      <c r="BF63" s="71" t="s">
        <v>271</v>
      </c>
      <c r="BG63" s="71" t="s">
        <v>333</v>
      </c>
      <c r="BH63" s="73"/>
      <c r="BI63" s="73"/>
      <c r="BJ63" s="73">
        <v>2159.98</v>
      </c>
      <c r="BL63" s="71">
        <v>98027</v>
      </c>
      <c r="BM63" s="71" t="s">
        <v>10</v>
      </c>
      <c r="BN63" s="73">
        <v>-631.30999999999995</v>
      </c>
      <c r="BO63" s="73"/>
      <c r="BP63" s="73">
        <v>-128.38999999999999</v>
      </c>
    </row>
    <row r="64" spans="2:68" x14ac:dyDescent="0.2">
      <c r="B64" s="78">
        <v>98072</v>
      </c>
      <c r="C64" s="60" t="s">
        <v>333</v>
      </c>
      <c r="D64" s="45">
        <v>112</v>
      </c>
      <c r="E64" s="45">
        <v>147</v>
      </c>
      <c r="F64" s="45">
        <v>136</v>
      </c>
      <c r="H64" s="165">
        <v>98070</v>
      </c>
      <c r="I64" s="165" t="s">
        <v>333</v>
      </c>
      <c r="J64" s="166">
        <v>7776.68</v>
      </c>
      <c r="K64" s="166">
        <v>2008.76999999999</v>
      </c>
      <c r="L64" s="166">
        <v>31455.53</v>
      </c>
      <c r="M64" s="166">
        <v>76231.6899999999</v>
      </c>
      <c r="N64" s="166">
        <v>14043.61</v>
      </c>
      <c r="O64" s="166">
        <v>5246.52</v>
      </c>
      <c r="P64" s="166">
        <v>29796.75</v>
      </c>
      <c r="Q64" s="166">
        <v>93573.56</v>
      </c>
      <c r="R64" s="166">
        <v>8722.8499999999894</v>
      </c>
      <c r="S64" s="166">
        <v>6077.0199999999904</v>
      </c>
      <c r="T64" s="166">
        <v>29254.019999999899</v>
      </c>
      <c r="U64" s="166">
        <v>77731.8299999999</v>
      </c>
      <c r="V64" s="172"/>
      <c r="W64" s="161"/>
      <c r="Y64" s="71">
        <v>98070</v>
      </c>
      <c r="Z64" s="14" t="s">
        <v>10</v>
      </c>
      <c r="AA64" s="73">
        <v>5127.07</v>
      </c>
      <c r="AB64" s="73">
        <v>1551.50999999999</v>
      </c>
      <c r="AC64" s="73">
        <v>8387.8299999999908</v>
      </c>
      <c r="AD64" s="73">
        <v>24457.69</v>
      </c>
      <c r="AE64" s="73">
        <v>8023.5</v>
      </c>
      <c r="AF64" s="73">
        <v>3792.1299999999901</v>
      </c>
      <c r="AG64" s="73">
        <v>7890.37</v>
      </c>
      <c r="AH64" s="73">
        <v>30920.719999999899</v>
      </c>
      <c r="AI64" s="73">
        <v>8126.66</v>
      </c>
      <c r="AJ64" s="73">
        <v>6482.6</v>
      </c>
      <c r="AK64" s="73">
        <v>10861.22</v>
      </c>
      <c r="AL64" s="174">
        <v>37107.5</v>
      </c>
      <c r="AM64" s="161">
        <f t="shared" si="0"/>
        <v>25470.48</v>
      </c>
      <c r="AN64" s="161"/>
      <c r="AZ64" s="71" t="s">
        <v>272</v>
      </c>
      <c r="BA64" s="71" t="s">
        <v>333</v>
      </c>
      <c r="BB64" s="32">
        <v>5</v>
      </c>
      <c r="BC64" s="32">
        <v>3</v>
      </c>
      <c r="BD64" s="32">
        <v>1</v>
      </c>
      <c r="BF64" s="71" t="s">
        <v>272</v>
      </c>
      <c r="BG64" s="71" t="s">
        <v>333</v>
      </c>
      <c r="BH64" s="73">
        <v>1126.6299999999999</v>
      </c>
      <c r="BI64" s="73">
        <v>213.12</v>
      </c>
      <c r="BJ64" s="73">
        <v>3128.94</v>
      </c>
      <c r="BL64" s="71">
        <v>98028</v>
      </c>
      <c r="BM64" s="71" t="s">
        <v>10</v>
      </c>
      <c r="BN64" s="73">
        <v>-169.17</v>
      </c>
      <c r="BO64" s="73">
        <v>-26.3</v>
      </c>
      <c r="BP64" s="73"/>
    </row>
    <row r="65" spans="2:68" x14ac:dyDescent="0.2">
      <c r="B65" s="78">
        <v>98074</v>
      </c>
      <c r="C65" s="60" t="s">
        <v>333</v>
      </c>
      <c r="D65" s="45">
        <v>126</v>
      </c>
      <c r="E65" s="45">
        <v>21</v>
      </c>
      <c r="F65" s="45">
        <v>65</v>
      </c>
      <c r="H65" s="165">
        <v>98072</v>
      </c>
      <c r="I65" s="165" t="s">
        <v>333</v>
      </c>
      <c r="J65" s="166">
        <v>8627.98</v>
      </c>
      <c r="K65" s="166">
        <v>2434.56</v>
      </c>
      <c r="L65" s="166">
        <v>103037.819999999</v>
      </c>
      <c r="M65" s="166">
        <v>169049.90999999901</v>
      </c>
      <c r="N65" s="166">
        <v>17550.82</v>
      </c>
      <c r="O65" s="166">
        <v>4572.49</v>
      </c>
      <c r="P65" s="166">
        <v>98078.58</v>
      </c>
      <c r="Q65" s="166">
        <v>248019.109999999</v>
      </c>
      <c r="R65" s="166">
        <v>19323.32</v>
      </c>
      <c r="S65" s="166">
        <v>6796.65</v>
      </c>
      <c r="T65" s="166">
        <v>84923.5</v>
      </c>
      <c r="U65" s="166">
        <v>220791.15</v>
      </c>
      <c r="V65" s="172"/>
      <c r="W65" s="161"/>
      <c r="Y65" s="71">
        <v>98072</v>
      </c>
      <c r="Z65" s="14" t="s">
        <v>10</v>
      </c>
      <c r="AA65" s="73">
        <v>2940.99</v>
      </c>
      <c r="AB65" s="73">
        <v>2057.17</v>
      </c>
      <c r="AC65" s="73">
        <v>11952.5899999999</v>
      </c>
      <c r="AD65" s="73">
        <v>26116.57</v>
      </c>
      <c r="AE65" s="73">
        <v>7113.9</v>
      </c>
      <c r="AF65" s="73">
        <v>2592.1</v>
      </c>
      <c r="AG65" s="73">
        <v>12598.199999999901</v>
      </c>
      <c r="AH65" s="73">
        <v>31591.01</v>
      </c>
      <c r="AI65" s="73">
        <v>7313.35</v>
      </c>
      <c r="AJ65" s="73">
        <v>5966.34</v>
      </c>
      <c r="AK65" s="73">
        <v>12567.029999999901</v>
      </c>
      <c r="AL65" s="174">
        <v>36515.14</v>
      </c>
      <c r="AM65" s="161">
        <f t="shared" si="0"/>
        <v>25846.719999999899</v>
      </c>
      <c r="AN65" s="161"/>
      <c r="AZ65" s="71" t="s">
        <v>273</v>
      </c>
      <c r="BA65" s="71" t="s">
        <v>333</v>
      </c>
      <c r="BB65" s="32">
        <v>3</v>
      </c>
      <c r="BC65" s="32">
        <v>5</v>
      </c>
      <c r="BD65" s="32">
        <v>2</v>
      </c>
      <c r="BF65" s="71" t="s">
        <v>273</v>
      </c>
      <c r="BG65" s="71" t="s">
        <v>333</v>
      </c>
      <c r="BH65" s="73">
        <v>526.21</v>
      </c>
      <c r="BI65" s="73">
        <v>544.08000000000004</v>
      </c>
      <c r="BJ65" s="73">
        <v>2367.0299999999997</v>
      </c>
      <c r="BL65" s="71">
        <v>98029</v>
      </c>
      <c r="BM65" s="71" t="s">
        <v>10</v>
      </c>
      <c r="BN65" s="73">
        <v>-337.63</v>
      </c>
      <c r="BO65" s="73">
        <v>-147.94999999999999</v>
      </c>
      <c r="BP65" s="73"/>
    </row>
    <row r="66" spans="2:68" x14ac:dyDescent="0.2">
      <c r="B66" s="78">
        <v>98075</v>
      </c>
      <c r="C66" s="60" t="s">
        <v>333</v>
      </c>
      <c r="D66" s="45">
        <v>45</v>
      </c>
      <c r="E66" s="45">
        <v>15</v>
      </c>
      <c r="F66" s="45">
        <v>26</v>
      </c>
      <c r="H66" s="165">
        <v>98074</v>
      </c>
      <c r="I66" s="165" t="s">
        <v>333</v>
      </c>
      <c r="J66" s="166">
        <v>4064.2799999999902</v>
      </c>
      <c r="K66" s="166">
        <v>1606.82</v>
      </c>
      <c r="L66" s="166">
        <v>8595.26</v>
      </c>
      <c r="M66" s="166">
        <v>141076.57</v>
      </c>
      <c r="N66" s="166">
        <v>2061.2999999999902</v>
      </c>
      <c r="O66" s="166">
        <v>1702.21</v>
      </c>
      <c r="P66" s="166">
        <v>3593.72</v>
      </c>
      <c r="Q66" s="166">
        <v>9375.9399999999896</v>
      </c>
      <c r="R66" s="166">
        <v>1682.27</v>
      </c>
      <c r="S66" s="166">
        <v>1260.56</v>
      </c>
      <c r="T66" s="166">
        <v>4550.74</v>
      </c>
      <c r="U66" s="166">
        <v>45789.14</v>
      </c>
      <c r="V66" s="172"/>
      <c r="W66" s="161"/>
      <c r="Y66" s="71">
        <v>98074</v>
      </c>
      <c r="Z66" s="14" t="s">
        <v>10</v>
      </c>
      <c r="AA66" s="73">
        <v>3171.7599999999902</v>
      </c>
      <c r="AB66" s="73">
        <v>714.41</v>
      </c>
      <c r="AC66" s="73">
        <v>5235.5599999999904</v>
      </c>
      <c r="AD66" s="73">
        <v>15969.57</v>
      </c>
      <c r="AE66" s="73">
        <v>2583.9899999999998</v>
      </c>
      <c r="AF66" s="73">
        <v>3124.0699999999902</v>
      </c>
      <c r="AG66" s="73">
        <v>5126.5499999999902</v>
      </c>
      <c r="AH66" s="73">
        <v>12865.6899999999</v>
      </c>
      <c r="AI66" s="73">
        <v>4236.1799999999903</v>
      </c>
      <c r="AJ66" s="73">
        <v>1882.42</v>
      </c>
      <c r="AK66" s="73">
        <v>7529.92</v>
      </c>
      <c r="AL66" s="174">
        <v>21936.799999999999</v>
      </c>
      <c r="AM66" s="161">
        <f t="shared" si="0"/>
        <v>13648.51999999999</v>
      </c>
      <c r="AN66" s="161"/>
      <c r="AZ66" s="71" t="s">
        <v>274</v>
      </c>
      <c r="BA66" s="71" t="s">
        <v>333</v>
      </c>
      <c r="BB66" s="32">
        <v>1</v>
      </c>
      <c r="BC66" s="32">
        <v>2</v>
      </c>
      <c r="BD66" s="32"/>
      <c r="BF66" s="71" t="s">
        <v>274</v>
      </c>
      <c r="BG66" s="71" t="s">
        <v>333</v>
      </c>
      <c r="BH66" s="73">
        <v>921.97</v>
      </c>
      <c r="BI66" s="73">
        <v>1524.8</v>
      </c>
      <c r="BJ66" s="73"/>
      <c r="BL66" s="71">
        <v>98030</v>
      </c>
      <c r="BM66" s="71" t="s">
        <v>10</v>
      </c>
      <c r="BN66" s="73">
        <v>-1572.91</v>
      </c>
      <c r="BO66" s="73"/>
      <c r="BP66" s="73">
        <v>-131.16999999999999</v>
      </c>
    </row>
    <row r="67" spans="2:68" x14ac:dyDescent="0.2">
      <c r="B67" s="78">
        <v>98077</v>
      </c>
      <c r="C67" s="60" t="s">
        <v>333</v>
      </c>
      <c r="D67" s="45">
        <v>17</v>
      </c>
      <c r="E67" s="45">
        <v>30</v>
      </c>
      <c r="F67" s="45">
        <v>13</v>
      </c>
      <c r="H67" s="165">
        <v>98075</v>
      </c>
      <c r="I67" s="165" t="s">
        <v>333</v>
      </c>
      <c r="J67" s="166">
        <v>1401.44</v>
      </c>
      <c r="K67" s="166">
        <v>1577.49</v>
      </c>
      <c r="L67" s="166">
        <v>15292.04</v>
      </c>
      <c r="M67" s="166">
        <v>184303.08999999901</v>
      </c>
      <c r="N67" s="166">
        <v>2751.19</v>
      </c>
      <c r="O67" s="166">
        <v>2598.4299999999998</v>
      </c>
      <c r="P67" s="166">
        <v>15580.65</v>
      </c>
      <c r="Q67" s="166">
        <v>26106.469999999899</v>
      </c>
      <c r="R67" s="166">
        <v>2183.2199999999998</v>
      </c>
      <c r="S67" s="166">
        <v>1747.44</v>
      </c>
      <c r="T67" s="166">
        <v>14768.22</v>
      </c>
      <c r="U67" s="166">
        <v>30102.789999999899</v>
      </c>
      <c r="V67" s="172"/>
      <c r="W67" s="161"/>
      <c r="Y67" s="71">
        <v>98075</v>
      </c>
      <c r="Z67" s="14" t="s">
        <v>10</v>
      </c>
      <c r="AA67" s="73">
        <v>3128.94</v>
      </c>
      <c r="AB67" s="73">
        <v>893.78</v>
      </c>
      <c r="AC67" s="73">
        <v>7693.08</v>
      </c>
      <c r="AD67" s="73">
        <v>15846.23</v>
      </c>
      <c r="AE67" s="73">
        <v>2514.0099999999902</v>
      </c>
      <c r="AF67" s="73">
        <v>3101.85</v>
      </c>
      <c r="AG67" s="73">
        <v>6848.33</v>
      </c>
      <c r="AH67" s="73">
        <v>12950.65</v>
      </c>
      <c r="AI67" s="73">
        <v>4112.26</v>
      </c>
      <c r="AJ67" s="73">
        <v>2324.23</v>
      </c>
      <c r="AK67" s="73">
        <v>9500.1799999999894</v>
      </c>
      <c r="AL67" s="174">
        <v>20439.929999999898</v>
      </c>
      <c r="AM67" s="161">
        <f t="shared" si="0"/>
        <v>15936.669999999989</v>
      </c>
      <c r="AN67" s="161"/>
      <c r="AZ67" s="71" t="s">
        <v>131</v>
      </c>
      <c r="BA67" s="71" t="s">
        <v>333</v>
      </c>
      <c r="BB67" s="32">
        <v>2</v>
      </c>
      <c r="BC67" s="32">
        <v>3</v>
      </c>
      <c r="BD67" s="32">
        <v>1</v>
      </c>
      <c r="BF67" s="71" t="s">
        <v>131</v>
      </c>
      <c r="BG67" s="71" t="s">
        <v>333</v>
      </c>
      <c r="BH67" s="73">
        <v>115.81</v>
      </c>
      <c r="BI67" s="73">
        <v>3103.11</v>
      </c>
      <c r="BJ67" s="73">
        <v>101.06</v>
      </c>
      <c r="BL67" s="71">
        <v>98031</v>
      </c>
      <c r="BM67" s="71" t="s">
        <v>10</v>
      </c>
      <c r="BN67" s="73">
        <v>-214.35</v>
      </c>
      <c r="BO67" s="73">
        <v>-54.66</v>
      </c>
      <c r="BP67" s="73">
        <v>-271.88</v>
      </c>
    </row>
    <row r="68" spans="2:68" x14ac:dyDescent="0.2">
      <c r="B68" s="78">
        <v>98087</v>
      </c>
      <c r="C68" s="60" t="s">
        <v>333</v>
      </c>
      <c r="D68" s="45">
        <v>36</v>
      </c>
      <c r="E68" s="45">
        <v>27</v>
      </c>
      <c r="F68" s="45">
        <v>28</v>
      </c>
      <c r="H68" s="165">
        <v>98077</v>
      </c>
      <c r="I68" s="165" t="s">
        <v>333</v>
      </c>
      <c r="J68" s="166">
        <v>2856.48</v>
      </c>
      <c r="K68" s="166">
        <v>668.01</v>
      </c>
      <c r="L68" s="166">
        <v>8244.5499999999993</v>
      </c>
      <c r="M68" s="166">
        <v>27937.57</v>
      </c>
      <c r="N68" s="166">
        <v>3102.46</v>
      </c>
      <c r="O68" s="166">
        <v>2588.5500000000002</v>
      </c>
      <c r="P68" s="166">
        <v>8794.53999999999</v>
      </c>
      <c r="Q68" s="166">
        <v>57510.95</v>
      </c>
      <c r="R68" s="166">
        <v>2876.1</v>
      </c>
      <c r="S68" s="166">
        <v>3086.22</v>
      </c>
      <c r="T68" s="166">
        <v>11351.699999999901</v>
      </c>
      <c r="U68" s="166">
        <v>19251.28</v>
      </c>
      <c r="V68" s="172"/>
      <c r="W68" s="161"/>
      <c r="Y68" s="71">
        <v>98077</v>
      </c>
      <c r="Z68" s="14" t="s">
        <v>10</v>
      </c>
      <c r="AA68" s="73">
        <v>2073.83</v>
      </c>
      <c r="AB68" s="73">
        <v>100.31</v>
      </c>
      <c r="AC68" s="73">
        <v>15665.91</v>
      </c>
      <c r="AD68" s="73">
        <v>24504.969999999899</v>
      </c>
      <c r="AE68" s="73">
        <v>5141.3500000000004</v>
      </c>
      <c r="AF68" s="73">
        <v>2002.13</v>
      </c>
      <c r="AG68" s="73">
        <v>15766.22</v>
      </c>
      <c r="AH68" s="73">
        <v>28646.15</v>
      </c>
      <c r="AI68" s="73">
        <v>4337.1400000000003</v>
      </c>
      <c r="AJ68" s="73">
        <v>3350.35</v>
      </c>
      <c r="AK68" s="73">
        <v>16193.25</v>
      </c>
      <c r="AL68" s="174">
        <v>29057.3999999999</v>
      </c>
      <c r="AM68" s="161">
        <f t="shared" si="0"/>
        <v>23880.739999999998</v>
      </c>
      <c r="AN68" s="161"/>
      <c r="AZ68" s="71" t="s">
        <v>275</v>
      </c>
      <c r="BA68" s="71" t="s">
        <v>333</v>
      </c>
      <c r="BB68" s="32">
        <v>1</v>
      </c>
      <c r="BC68" s="32"/>
      <c r="BD68" s="32"/>
      <c r="BF68" s="71" t="s">
        <v>275</v>
      </c>
      <c r="BG68" s="71" t="s">
        <v>333</v>
      </c>
      <c r="BH68" s="73">
        <v>36.11</v>
      </c>
      <c r="BI68" s="73"/>
      <c r="BJ68" s="73"/>
      <c r="BL68" s="71">
        <v>98032</v>
      </c>
      <c r="BM68" s="71" t="s">
        <v>10</v>
      </c>
      <c r="BN68" s="73">
        <v>-1970.28</v>
      </c>
      <c r="BO68" s="73">
        <v>-327.36</v>
      </c>
      <c r="BP68" s="73">
        <v>-107.55</v>
      </c>
    </row>
    <row r="69" spans="2:68" x14ac:dyDescent="0.2">
      <c r="B69" s="78">
        <v>98092</v>
      </c>
      <c r="C69" s="60" t="s">
        <v>333</v>
      </c>
      <c r="D69" s="45">
        <v>402</v>
      </c>
      <c r="E69" s="45">
        <v>263</v>
      </c>
      <c r="F69" s="45">
        <v>340</v>
      </c>
      <c r="H69" s="165">
        <v>98087</v>
      </c>
      <c r="I69" s="165" t="s">
        <v>333</v>
      </c>
      <c r="J69" s="166">
        <v>2637.2799999999902</v>
      </c>
      <c r="K69" s="166">
        <v>1232.69999999999</v>
      </c>
      <c r="L69" s="166">
        <v>11454.139999999899</v>
      </c>
      <c r="M69" s="166">
        <v>31478.84</v>
      </c>
      <c r="N69" s="166">
        <v>4634.7999999999902</v>
      </c>
      <c r="O69" s="166">
        <v>2210.6999999999998</v>
      </c>
      <c r="P69" s="166">
        <v>11801.36</v>
      </c>
      <c r="Q69" s="166">
        <v>26555.5</v>
      </c>
      <c r="R69" s="166">
        <v>5324.7699999999904</v>
      </c>
      <c r="S69" s="166">
        <v>4270.83</v>
      </c>
      <c r="T69" s="166">
        <v>12759.65</v>
      </c>
      <c r="U69" s="166">
        <v>32839.51</v>
      </c>
      <c r="V69" s="172"/>
      <c r="W69" s="161"/>
      <c r="Y69" s="71">
        <v>98087</v>
      </c>
      <c r="Z69" s="14" t="s">
        <v>10</v>
      </c>
      <c r="AA69" s="73">
        <v>1884.17</v>
      </c>
      <c r="AB69" s="73">
        <v>468.1</v>
      </c>
      <c r="AC69" s="73">
        <v>4655.7</v>
      </c>
      <c r="AD69" s="73">
        <v>14484.779999999901</v>
      </c>
      <c r="AE69" s="73">
        <v>5487.53999999999</v>
      </c>
      <c r="AF69" s="73">
        <v>1210.8499999999999</v>
      </c>
      <c r="AG69" s="73">
        <v>1343.62</v>
      </c>
      <c r="AH69" s="73">
        <v>13799.88</v>
      </c>
      <c r="AI69" s="73">
        <v>4792.74999999999</v>
      </c>
      <c r="AJ69" s="73">
        <v>3948.52</v>
      </c>
      <c r="AK69" s="73">
        <v>2026.47</v>
      </c>
      <c r="AL69" s="174">
        <v>16306.08</v>
      </c>
      <c r="AM69" s="161">
        <f t="shared" si="0"/>
        <v>10767.739999999989</v>
      </c>
      <c r="AN69" s="161"/>
      <c r="AZ69" s="71" t="s">
        <v>276</v>
      </c>
      <c r="BA69" s="71" t="s">
        <v>333</v>
      </c>
      <c r="BB69" s="32">
        <v>2</v>
      </c>
      <c r="BC69" s="32">
        <v>3</v>
      </c>
      <c r="BD69" s="32">
        <v>3</v>
      </c>
      <c r="BF69" s="71" t="s">
        <v>276</v>
      </c>
      <c r="BG69" s="71" t="s">
        <v>333</v>
      </c>
      <c r="BH69" s="73">
        <v>108.33</v>
      </c>
      <c r="BI69" s="73">
        <v>1221.0899999999999</v>
      </c>
      <c r="BJ69" s="73">
        <v>7357.16</v>
      </c>
      <c r="BL69" s="71">
        <v>98033</v>
      </c>
      <c r="BM69" s="71" t="s">
        <v>10</v>
      </c>
      <c r="BN69" s="73">
        <v>-547.16999999999996</v>
      </c>
      <c r="BO69" s="73">
        <v>-181.93</v>
      </c>
      <c r="BP69" s="73"/>
    </row>
    <row r="70" spans="2:68" x14ac:dyDescent="0.2">
      <c r="B70" s="78">
        <v>98101</v>
      </c>
      <c r="C70" s="60" t="s">
        <v>333</v>
      </c>
      <c r="D70" s="45">
        <v>58</v>
      </c>
      <c r="E70" s="45">
        <v>65</v>
      </c>
      <c r="F70" s="45">
        <v>67</v>
      </c>
      <c r="H70" s="165">
        <v>98092</v>
      </c>
      <c r="I70" s="165" t="s">
        <v>333</v>
      </c>
      <c r="J70" s="166">
        <v>93310.73</v>
      </c>
      <c r="K70" s="166">
        <v>5345.15</v>
      </c>
      <c r="L70" s="166">
        <v>49527.429999999898</v>
      </c>
      <c r="M70" s="166">
        <v>333195.51999999897</v>
      </c>
      <c r="N70" s="166">
        <v>20935.759999999998</v>
      </c>
      <c r="O70" s="166">
        <v>25969.8299999999</v>
      </c>
      <c r="P70" s="166">
        <v>41304.78</v>
      </c>
      <c r="Q70" s="166">
        <v>285917.20999999897</v>
      </c>
      <c r="R70" s="166">
        <v>36293.35</v>
      </c>
      <c r="S70" s="166">
        <v>1838.59</v>
      </c>
      <c r="T70" s="166">
        <v>77923.789999999994</v>
      </c>
      <c r="U70" s="166">
        <v>419035.77</v>
      </c>
      <c r="V70" s="172"/>
      <c r="W70" s="161"/>
      <c r="Y70" s="168">
        <v>98092</v>
      </c>
      <c r="Z70" s="14" t="s">
        <v>10</v>
      </c>
      <c r="AA70" s="73">
        <v>94774.869999999893</v>
      </c>
      <c r="AB70" s="73">
        <v>35530.57</v>
      </c>
      <c r="AC70" s="73">
        <v>236749.32</v>
      </c>
      <c r="AD70" s="73">
        <v>513980.859999999</v>
      </c>
      <c r="AE70" s="73">
        <v>65821.06</v>
      </c>
      <c r="AF70" s="73">
        <v>86608.849999999904</v>
      </c>
      <c r="AG70" s="73">
        <v>222759.8</v>
      </c>
      <c r="AH70" s="73">
        <v>510768.20999999897</v>
      </c>
      <c r="AI70" s="73">
        <v>103811.21</v>
      </c>
      <c r="AJ70" s="73">
        <v>49937.99</v>
      </c>
      <c r="AK70" s="167">
        <v>265058.93</v>
      </c>
      <c r="AL70" s="174">
        <v>648355.38999999897</v>
      </c>
      <c r="AM70" s="173">
        <f>SUM(AI70:AK70)</f>
        <v>418808.13</v>
      </c>
      <c r="AN70" s="161"/>
      <c r="AZ70" s="71" t="s">
        <v>277</v>
      </c>
      <c r="BA70" s="71" t="s">
        <v>333</v>
      </c>
      <c r="BB70" s="32">
        <v>1</v>
      </c>
      <c r="BC70" s="32">
        <v>3</v>
      </c>
      <c r="BD70" s="32">
        <v>1</v>
      </c>
      <c r="BF70" s="71" t="s">
        <v>277</v>
      </c>
      <c r="BG70" s="71" t="s">
        <v>333</v>
      </c>
      <c r="BH70" s="73">
        <v>103.85</v>
      </c>
      <c r="BI70" s="73">
        <v>1689.4</v>
      </c>
      <c r="BJ70" s="73">
        <v>5578.62</v>
      </c>
      <c r="BL70" s="71">
        <v>98034</v>
      </c>
      <c r="BM70" s="71" t="s">
        <v>10</v>
      </c>
      <c r="BN70" s="73">
        <v>-752.27</v>
      </c>
      <c r="BO70" s="73">
        <v>-786.48</v>
      </c>
      <c r="BP70" s="73">
        <v>-365.55</v>
      </c>
    </row>
    <row r="71" spans="2:68" x14ac:dyDescent="0.2">
      <c r="B71" s="78">
        <v>98102</v>
      </c>
      <c r="C71" s="60" t="s">
        <v>333</v>
      </c>
      <c r="D71" s="45">
        <v>102</v>
      </c>
      <c r="E71" s="45">
        <v>59</v>
      </c>
      <c r="F71" s="45">
        <v>94</v>
      </c>
      <c r="H71" s="165">
        <v>98101</v>
      </c>
      <c r="I71" s="165" t="s">
        <v>333</v>
      </c>
      <c r="J71" s="166">
        <v>64595.29</v>
      </c>
      <c r="K71" s="166">
        <v>473.45</v>
      </c>
      <c r="L71" s="166">
        <v>14685.49</v>
      </c>
      <c r="M71" s="166">
        <v>231670.12</v>
      </c>
      <c r="N71" s="166">
        <v>21149.759999999998</v>
      </c>
      <c r="O71" s="166">
        <v>738.3</v>
      </c>
      <c r="P71" s="166">
        <v>14916.15</v>
      </c>
      <c r="Q71" s="166">
        <v>172079.17</v>
      </c>
      <c r="R71" s="166">
        <v>18914.04</v>
      </c>
      <c r="S71" s="166">
        <v>7914.5599999999904</v>
      </c>
      <c r="T71" s="166">
        <v>15364.9399999999</v>
      </c>
      <c r="U71" s="166">
        <v>364625.80999999901</v>
      </c>
      <c r="V71" s="172"/>
      <c r="W71" s="161"/>
      <c r="Y71" s="71">
        <v>98101</v>
      </c>
      <c r="Z71" s="14" t="s">
        <v>10</v>
      </c>
      <c r="AA71" s="73">
        <v>120.119999999999</v>
      </c>
      <c r="AB71" s="73">
        <v>13.5</v>
      </c>
      <c r="AC71" s="73">
        <v>74.53</v>
      </c>
      <c r="AD71" s="73">
        <v>268.68</v>
      </c>
      <c r="AE71" s="73">
        <v>60.53</v>
      </c>
      <c r="AF71" s="73">
        <v>37.49</v>
      </c>
      <c r="AG71" s="73">
        <v>74.53</v>
      </c>
      <c r="AH71" s="73">
        <v>206.89</v>
      </c>
      <c r="AI71" s="73">
        <v>47.93</v>
      </c>
      <c r="AJ71" s="73">
        <v>60.53</v>
      </c>
      <c r="AK71" s="73">
        <v>112.02</v>
      </c>
      <c r="AL71" s="174">
        <v>273.20999999999998</v>
      </c>
      <c r="AM71" s="161">
        <f t="shared" si="0"/>
        <v>220.48000000000002</v>
      </c>
      <c r="AN71" s="161"/>
      <c r="AZ71" s="71" t="s">
        <v>278</v>
      </c>
      <c r="BA71" s="71" t="s">
        <v>333</v>
      </c>
      <c r="BB71" s="32"/>
      <c r="BC71" s="32"/>
      <c r="BD71" s="32">
        <v>1</v>
      </c>
      <c r="BF71" s="71" t="s">
        <v>278</v>
      </c>
      <c r="BG71" s="71" t="s">
        <v>333</v>
      </c>
      <c r="BH71" s="73"/>
      <c r="BI71" s="73"/>
      <c r="BJ71" s="73">
        <v>2149.85</v>
      </c>
      <c r="BL71" s="71">
        <v>98036</v>
      </c>
      <c r="BM71" s="71" t="s">
        <v>10</v>
      </c>
      <c r="BN71" s="73"/>
      <c r="BO71" s="73"/>
      <c r="BP71" s="73">
        <v>-37.14</v>
      </c>
    </row>
    <row r="72" spans="2:68" x14ac:dyDescent="0.2">
      <c r="B72" s="78">
        <v>98103</v>
      </c>
      <c r="C72" s="60" t="s">
        <v>333</v>
      </c>
      <c r="D72" s="45">
        <v>130</v>
      </c>
      <c r="E72" s="45">
        <v>116</v>
      </c>
      <c r="F72" s="45">
        <v>136</v>
      </c>
      <c r="H72" s="165">
        <v>98102</v>
      </c>
      <c r="I72" s="165" t="s">
        <v>333</v>
      </c>
      <c r="J72" s="166">
        <v>13737.75</v>
      </c>
      <c r="K72" s="166">
        <v>5377.72</v>
      </c>
      <c r="L72" s="166">
        <v>57272.469999999899</v>
      </c>
      <c r="M72" s="166">
        <v>150837.66</v>
      </c>
      <c r="N72" s="166">
        <v>10452.9299999999</v>
      </c>
      <c r="O72" s="166">
        <v>7505.04</v>
      </c>
      <c r="P72" s="166">
        <v>52398.09</v>
      </c>
      <c r="Q72" s="166">
        <v>113548.97</v>
      </c>
      <c r="R72" s="166">
        <v>7071.14</v>
      </c>
      <c r="S72" s="166">
        <v>6762.5299999999897</v>
      </c>
      <c r="T72" s="166">
        <v>54241.049999999901</v>
      </c>
      <c r="U72" s="166">
        <v>140128.85</v>
      </c>
      <c r="V72" s="172"/>
      <c r="W72" s="161"/>
      <c r="Y72" s="71">
        <v>98102</v>
      </c>
      <c r="Z72" s="14" t="s">
        <v>10</v>
      </c>
      <c r="AA72" s="73">
        <v>366.5</v>
      </c>
      <c r="AB72" s="73">
        <v>21.8</v>
      </c>
      <c r="AC72" s="73">
        <v>762.76999999999896</v>
      </c>
      <c r="AD72" s="73">
        <v>1811.94999999999</v>
      </c>
      <c r="AE72" s="73">
        <v>575.18999999999903</v>
      </c>
      <c r="AF72" s="73">
        <v>323.85000000000002</v>
      </c>
      <c r="AG72" s="73">
        <v>784.56999999999903</v>
      </c>
      <c r="AH72" s="73">
        <v>2082.5100000000002</v>
      </c>
      <c r="AI72" s="73">
        <v>529.65</v>
      </c>
      <c r="AJ72" s="73">
        <v>532.99</v>
      </c>
      <c r="AK72" s="73">
        <v>1059.42</v>
      </c>
      <c r="AL72" s="174">
        <v>2918.1499999999901</v>
      </c>
      <c r="AM72" s="161">
        <f t="shared" si="0"/>
        <v>2122.06</v>
      </c>
      <c r="AN72" s="161"/>
      <c r="AZ72" s="71" t="s">
        <v>279</v>
      </c>
      <c r="BA72" s="71" t="s">
        <v>333</v>
      </c>
      <c r="BB72" s="32">
        <v>1</v>
      </c>
      <c r="BC72" s="32"/>
      <c r="BD72" s="32">
        <v>1</v>
      </c>
      <c r="BF72" s="71" t="s">
        <v>279</v>
      </c>
      <c r="BG72" s="71" t="s">
        <v>333</v>
      </c>
      <c r="BH72" s="73">
        <v>2468.7399999999998</v>
      </c>
      <c r="BI72" s="73"/>
      <c r="BJ72" s="73">
        <v>181.69</v>
      </c>
      <c r="BL72" s="71">
        <v>98037</v>
      </c>
      <c r="BM72" s="71" t="s">
        <v>10</v>
      </c>
      <c r="BN72" s="73">
        <v>-68.040000000000006</v>
      </c>
      <c r="BO72" s="73"/>
      <c r="BP72" s="73"/>
    </row>
    <row r="73" spans="2:68" x14ac:dyDescent="0.2">
      <c r="B73" s="78">
        <v>98104</v>
      </c>
      <c r="C73" s="60" t="s">
        <v>333</v>
      </c>
      <c r="D73" s="45">
        <v>98</v>
      </c>
      <c r="E73" s="45">
        <v>101</v>
      </c>
      <c r="F73" s="45">
        <v>96</v>
      </c>
      <c r="H73" s="165">
        <v>98103</v>
      </c>
      <c r="I73" s="165" t="s">
        <v>333</v>
      </c>
      <c r="J73" s="166">
        <v>28670.73</v>
      </c>
      <c r="K73" s="166">
        <v>3708.63</v>
      </c>
      <c r="L73" s="166">
        <v>43725.52</v>
      </c>
      <c r="M73" s="166">
        <v>192542.62</v>
      </c>
      <c r="N73" s="166">
        <v>12119.96</v>
      </c>
      <c r="O73" s="166">
        <v>5636.14</v>
      </c>
      <c r="P73" s="166">
        <v>40099.8299999999</v>
      </c>
      <c r="Q73" s="166">
        <v>105572.45</v>
      </c>
      <c r="R73" s="166">
        <v>13617.3299999999</v>
      </c>
      <c r="S73" s="166">
        <v>7800.32</v>
      </c>
      <c r="T73" s="166">
        <v>40249.279999999999</v>
      </c>
      <c r="U73" s="166">
        <v>174006.58</v>
      </c>
      <c r="V73" s="172"/>
      <c r="W73" s="161"/>
      <c r="Y73" s="71">
        <v>98103</v>
      </c>
      <c r="Z73" s="14" t="s">
        <v>10</v>
      </c>
      <c r="AA73" s="73">
        <v>3367.3</v>
      </c>
      <c r="AB73" s="73">
        <v>470.37</v>
      </c>
      <c r="AC73" s="73">
        <v>7953.23</v>
      </c>
      <c r="AD73" s="73">
        <v>16078.18</v>
      </c>
      <c r="AE73" s="73">
        <v>3963.6199999999899</v>
      </c>
      <c r="AF73" s="73">
        <v>3324.31</v>
      </c>
      <c r="AG73" s="73">
        <v>8423.6</v>
      </c>
      <c r="AH73" s="73">
        <v>19083.52</v>
      </c>
      <c r="AI73" s="73">
        <v>2692.7</v>
      </c>
      <c r="AJ73" s="73">
        <v>3277.7599999999902</v>
      </c>
      <c r="AK73" s="73">
        <v>8555.19</v>
      </c>
      <c r="AL73" s="174">
        <v>19657.349999999999</v>
      </c>
      <c r="AM73" s="161">
        <f t="shared" si="0"/>
        <v>14525.649999999991</v>
      </c>
      <c r="AN73" s="161"/>
      <c r="AZ73" s="71" t="s">
        <v>281</v>
      </c>
      <c r="BA73" s="71" t="s">
        <v>333</v>
      </c>
      <c r="BB73" s="32">
        <v>1</v>
      </c>
      <c r="BC73" s="32">
        <v>1</v>
      </c>
      <c r="BD73" s="32">
        <v>1</v>
      </c>
      <c r="BF73" s="71" t="s">
        <v>281</v>
      </c>
      <c r="BG73" s="71" t="s">
        <v>333</v>
      </c>
      <c r="BH73" s="73">
        <v>3134.02</v>
      </c>
      <c r="BI73" s="73">
        <v>1213.23</v>
      </c>
      <c r="BJ73" s="73"/>
      <c r="BL73" s="71">
        <v>98040</v>
      </c>
      <c r="BM73" s="71" t="s">
        <v>10</v>
      </c>
      <c r="BN73" s="73"/>
      <c r="BO73" s="73">
        <v>-150</v>
      </c>
      <c r="BP73" s="73">
        <v>-150</v>
      </c>
    </row>
    <row r="74" spans="2:68" x14ac:dyDescent="0.2">
      <c r="B74" s="78">
        <v>98105</v>
      </c>
      <c r="C74" s="60" t="s">
        <v>333</v>
      </c>
      <c r="D74" s="45">
        <v>166</v>
      </c>
      <c r="E74" s="45">
        <v>71</v>
      </c>
      <c r="F74" s="45">
        <v>145</v>
      </c>
      <c r="H74" s="165">
        <v>98104</v>
      </c>
      <c r="I74" s="165" t="s">
        <v>333</v>
      </c>
      <c r="J74" s="166">
        <v>17906.53</v>
      </c>
      <c r="K74" s="166">
        <v>1762.50999999999</v>
      </c>
      <c r="L74" s="166">
        <v>45347.269999999902</v>
      </c>
      <c r="M74" s="166">
        <v>170441.74</v>
      </c>
      <c r="N74" s="166">
        <v>13421.4</v>
      </c>
      <c r="O74" s="166">
        <v>3327.29</v>
      </c>
      <c r="P74" s="166">
        <v>46205.799999999901</v>
      </c>
      <c r="Q74" s="166">
        <v>155396.50999999899</v>
      </c>
      <c r="R74" s="166">
        <v>12017.61</v>
      </c>
      <c r="S74" s="166">
        <v>3223.96</v>
      </c>
      <c r="T74" s="166">
        <v>44818.69</v>
      </c>
      <c r="U74" s="166">
        <v>178560.27</v>
      </c>
      <c r="V74" s="172"/>
      <c r="W74" s="161"/>
      <c r="Y74" s="71">
        <v>98104</v>
      </c>
      <c r="Z74" s="14" t="s">
        <v>10</v>
      </c>
      <c r="AA74" s="73">
        <v>63.09</v>
      </c>
      <c r="AB74" s="73">
        <v>0.73</v>
      </c>
      <c r="AC74" s="73"/>
      <c r="AD74" s="73">
        <v>150.22</v>
      </c>
      <c r="AE74" s="73">
        <v>86.4</v>
      </c>
      <c r="AF74" s="73">
        <v>63.09</v>
      </c>
      <c r="AG74" s="73">
        <v>0.73</v>
      </c>
      <c r="AH74" s="73">
        <v>217.07</v>
      </c>
      <c r="AI74" s="73"/>
      <c r="AJ74" s="73"/>
      <c r="AK74" s="73"/>
      <c r="AL74" s="174">
        <v>37.840000000000003</v>
      </c>
      <c r="AM74" s="161">
        <f t="shared" si="0"/>
        <v>0</v>
      </c>
      <c r="AN74" s="161"/>
      <c r="AZ74" s="71" t="s">
        <v>282</v>
      </c>
      <c r="BA74" s="71" t="s">
        <v>333</v>
      </c>
      <c r="BB74" s="32">
        <v>3</v>
      </c>
      <c r="BC74" s="32"/>
      <c r="BD74" s="32">
        <v>2</v>
      </c>
      <c r="BF74" s="71" t="s">
        <v>282</v>
      </c>
      <c r="BG74" s="71" t="s">
        <v>333</v>
      </c>
      <c r="BH74" s="73">
        <v>782.41</v>
      </c>
      <c r="BI74" s="73"/>
      <c r="BJ74" s="73">
        <v>315.26</v>
      </c>
      <c r="BL74" s="71">
        <v>98042</v>
      </c>
      <c r="BM74" s="71" t="s">
        <v>10</v>
      </c>
      <c r="BN74" s="73">
        <v>-486.57</v>
      </c>
      <c r="BO74" s="73">
        <v>-321.36</v>
      </c>
      <c r="BP74" s="73">
        <v>-50</v>
      </c>
    </row>
    <row r="75" spans="2:68" x14ac:dyDescent="0.2">
      <c r="B75" s="78">
        <v>98106</v>
      </c>
      <c r="C75" s="60" t="s">
        <v>333</v>
      </c>
      <c r="D75" s="45">
        <v>37</v>
      </c>
      <c r="E75" s="45">
        <v>36</v>
      </c>
      <c r="F75" s="45">
        <v>32</v>
      </c>
      <c r="H75" s="165">
        <v>98105</v>
      </c>
      <c r="I75" s="165" t="s">
        <v>333</v>
      </c>
      <c r="J75" s="166">
        <v>39646.83</v>
      </c>
      <c r="K75" s="166">
        <v>9105.85</v>
      </c>
      <c r="L75" s="166">
        <v>148395.03999999899</v>
      </c>
      <c r="M75" s="166">
        <v>353288.12</v>
      </c>
      <c r="N75" s="166">
        <v>2034.6699999999901</v>
      </c>
      <c r="O75" s="166">
        <v>17702.37</v>
      </c>
      <c r="P75" s="166">
        <v>144478.32999999999</v>
      </c>
      <c r="Q75" s="166">
        <v>239449.389999999</v>
      </c>
      <c r="R75" s="166">
        <v>37746.9</v>
      </c>
      <c r="S75" s="166">
        <v>1046.17</v>
      </c>
      <c r="T75" s="166">
        <v>150875.41999999899</v>
      </c>
      <c r="U75" s="166">
        <v>387350.02</v>
      </c>
      <c r="V75" s="172"/>
      <c r="W75" s="161"/>
      <c r="Y75" s="71">
        <v>98105</v>
      </c>
      <c r="Z75" s="14" t="s">
        <v>10</v>
      </c>
      <c r="AA75" s="73">
        <v>1371.56</v>
      </c>
      <c r="AB75" s="73">
        <v>317.68</v>
      </c>
      <c r="AC75" s="73">
        <v>7529.91</v>
      </c>
      <c r="AD75" s="73">
        <v>10071.19</v>
      </c>
      <c r="AE75" s="73">
        <v>352.31</v>
      </c>
      <c r="AF75" s="73">
        <v>1322.62</v>
      </c>
      <c r="AG75" s="73">
        <v>7346.74</v>
      </c>
      <c r="AH75" s="73">
        <v>10562.8</v>
      </c>
      <c r="AI75" s="73">
        <v>1383.85</v>
      </c>
      <c r="AJ75" s="73">
        <v>116.56</v>
      </c>
      <c r="AK75" s="73">
        <v>7348.3799999999901</v>
      </c>
      <c r="AL75" s="174">
        <v>12261.08</v>
      </c>
      <c r="AM75" s="161">
        <f t="shared" si="0"/>
        <v>8848.78999999999</v>
      </c>
      <c r="AN75" s="161"/>
      <c r="AZ75" s="71" t="s">
        <v>283</v>
      </c>
      <c r="BA75" s="71" t="s">
        <v>333</v>
      </c>
      <c r="BB75" s="32"/>
      <c r="BC75" s="32"/>
      <c r="BD75" s="32">
        <v>1</v>
      </c>
      <c r="BF75" s="71" t="s">
        <v>283</v>
      </c>
      <c r="BG75" s="71" t="s">
        <v>333</v>
      </c>
      <c r="BH75" s="73"/>
      <c r="BI75" s="73"/>
      <c r="BJ75" s="73">
        <v>595.29</v>
      </c>
      <c r="BL75" s="71">
        <v>98045</v>
      </c>
      <c r="BM75" s="71" t="s">
        <v>10</v>
      </c>
      <c r="BN75" s="73"/>
      <c r="BO75" s="73"/>
      <c r="BP75" s="73">
        <v>-25</v>
      </c>
    </row>
    <row r="76" spans="2:68" x14ac:dyDescent="0.2">
      <c r="B76" s="78">
        <v>98107</v>
      </c>
      <c r="C76" s="60" t="s">
        <v>333</v>
      </c>
      <c r="D76" s="45">
        <v>92</v>
      </c>
      <c r="E76" s="45">
        <v>89</v>
      </c>
      <c r="F76" s="45">
        <v>75</v>
      </c>
      <c r="H76" s="165">
        <v>98106</v>
      </c>
      <c r="I76" s="165" t="s">
        <v>333</v>
      </c>
      <c r="J76" s="166">
        <v>4139.16</v>
      </c>
      <c r="K76" s="166">
        <v>1590.83</v>
      </c>
      <c r="L76" s="166">
        <v>8492.6699999999892</v>
      </c>
      <c r="M76" s="166">
        <v>34287.51</v>
      </c>
      <c r="N76" s="166">
        <v>4836.99</v>
      </c>
      <c r="O76" s="166">
        <v>2307.0300000000002</v>
      </c>
      <c r="P76" s="166">
        <v>7702.38</v>
      </c>
      <c r="Q76" s="166">
        <v>29072.66</v>
      </c>
      <c r="R76" s="166">
        <v>4899.7599999999902</v>
      </c>
      <c r="S76" s="166">
        <v>2149.35</v>
      </c>
      <c r="T76" s="166">
        <v>4713.12</v>
      </c>
      <c r="U76" s="166">
        <v>23889.16</v>
      </c>
      <c r="V76" s="172"/>
      <c r="W76" s="161"/>
      <c r="Y76" s="71">
        <v>98106</v>
      </c>
      <c r="Z76" s="14" t="s">
        <v>10</v>
      </c>
      <c r="AA76" s="73">
        <v>1562.61</v>
      </c>
      <c r="AB76" s="73">
        <v>256.33999999999997</v>
      </c>
      <c r="AC76" s="73">
        <v>6611.87</v>
      </c>
      <c r="AD76" s="73">
        <v>12972.34</v>
      </c>
      <c r="AE76" s="73">
        <v>3597.96</v>
      </c>
      <c r="AF76" s="73">
        <v>1280.01</v>
      </c>
      <c r="AG76" s="73">
        <v>5328.59</v>
      </c>
      <c r="AH76" s="73">
        <v>15312.06</v>
      </c>
      <c r="AI76" s="73">
        <v>4144.8100000000004</v>
      </c>
      <c r="AJ76" s="73">
        <v>2890.61</v>
      </c>
      <c r="AK76" s="73">
        <v>4534.5199999999904</v>
      </c>
      <c r="AL76" s="174">
        <v>16152.98</v>
      </c>
      <c r="AM76" s="161">
        <f t="shared" si="0"/>
        <v>11569.939999999991</v>
      </c>
      <c r="AN76" s="161"/>
      <c r="AZ76" s="71" t="s">
        <v>284</v>
      </c>
      <c r="BA76" s="71" t="s">
        <v>333</v>
      </c>
      <c r="BB76" s="32"/>
      <c r="BC76" s="32"/>
      <c r="BD76" s="32">
        <v>1</v>
      </c>
      <c r="BF76" s="71" t="s">
        <v>284</v>
      </c>
      <c r="BG76" s="71" t="s">
        <v>333</v>
      </c>
      <c r="BH76" s="73"/>
      <c r="BI76" s="73"/>
      <c r="BJ76" s="73">
        <v>2350.2199999999998</v>
      </c>
      <c r="BL76" s="71">
        <v>98047</v>
      </c>
      <c r="BM76" s="71" t="s">
        <v>10</v>
      </c>
      <c r="BN76" s="73"/>
      <c r="BO76" s="73">
        <v>-171.66</v>
      </c>
      <c r="BP76" s="73"/>
    </row>
    <row r="77" spans="2:68" x14ac:dyDescent="0.2">
      <c r="B77" s="78">
        <v>98108</v>
      </c>
      <c r="C77" s="60" t="s">
        <v>333</v>
      </c>
      <c r="D77" s="45">
        <v>165</v>
      </c>
      <c r="E77" s="45">
        <v>150</v>
      </c>
      <c r="F77" s="45">
        <v>170</v>
      </c>
      <c r="H77" s="165">
        <v>98107</v>
      </c>
      <c r="I77" s="165" t="s">
        <v>333</v>
      </c>
      <c r="J77" s="166">
        <v>5421.39</v>
      </c>
      <c r="K77" s="166">
        <v>2064.16</v>
      </c>
      <c r="L77" s="166">
        <v>50176.19</v>
      </c>
      <c r="M77" s="166">
        <v>98389.06</v>
      </c>
      <c r="N77" s="166">
        <v>14225.4799999999</v>
      </c>
      <c r="O77" s="166">
        <v>3176.5299999999902</v>
      </c>
      <c r="P77" s="166">
        <v>48356.17</v>
      </c>
      <c r="Q77" s="166">
        <v>97258.949999999895</v>
      </c>
      <c r="R77" s="166">
        <v>7630.7</v>
      </c>
      <c r="S77" s="166">
        <v>5316.98</v>
      </c>
      <c r="T77" s="166">
        <v>48278.299999999901</v>
      </c>
      <c r="U77" s="166">
        <v>91646.029999999897</v>
      </c>
      <c r="V77" s="172"/>
      <c r="W77" s="161"/>
      <c r="Y77" s="71">
        <v>98107</v>
      </c>
      <c r="Z77" s="14" t="s">
        <v>10</v>
      </c>
      <c r="AA77" s="73">
        <v>570.01</v>
      </c>
      <c r="AB77" s="73">
        <v>169.31</v>
      </c>
      <c r="AC77" s="73">
        <v>2339.08</v>
      </c>
      <c r="AD77" s="73">
        <v>4076.6499999999901</v>
      </c>
      <c r="AE77" s="73">
        <v>998.25</v>
      </c>
      <c r="AF77" s="73">
        <v>570.01</v>
      </c>
      <c r="AG77" s="73">
        <v>2508.39</v>
      </c>
      <c r="AH77" s="73">
        <v>5289.61</v>
      </c>
      <c r="AI77" s="73">
        <v>1086.4199999999901</v>
      </c>
      <c r="AJ77" s="73">
        <v>879.67</v>
      </c>
      <c r="AK77" s="73">
        <v>2383.7399999999998</v>
      </c>
      <c r="AL77" s="174">
        <v>5354.2199999999903</v>
      </c>
      <c r="AM77" s="161">
        <f t="shared" si="0"/>
        <v>4349.8299999999899</v>
      </c>
      <c r="AN77" s="161"/>
      <c r="AZ77" s="71" t="s">
        <v>285</v>
      </c>
      <c r="BA77" s="71" t="s">
        <v>333</v>
      </c>
      <c r="BB77" s="32"/>
      <c r="BC77" s="32">
        <v>1</v>
      </c>
      <c r="BD77" s="32">
        <v>1</v>
      </c>
      <c r="BF77" s="71" t="s">
        <v>285</v>
      </c>
      <c r="BG77" s="71" t="s">
        <v>333</v>
      </c>
      <c r="BH77" s="73"/>
      <c r="BI77" s="73">
        <v>329.69</v>
      </c>
      <c r="BJ77" s="73">
        <v>3091.7</v>
      </c>
      <c r="BL77" s="71">
        <v>98051</v>
      </c>
      <c r="BM77" s="71" t="s">
        <v>10</v>
      </c>
      <c r="BN77" s="73">
        <v>-47.46</v>
      </c>
      <c r="BO77" s="73"/>
      <c r="BP77" s="73"/>
    </row>
    <row r="78" spans="2:68" x14ac:dyDescent="0.2">
      <c r="B78" s="78">
        <v>98109</v>
      </c>
      <c r="C78" s="60" t="s">
        <v>333</v>
      </c>
      <c r="D78" s="45">
        <v>141</v>
      </c>
      <c r="E78" s="45">
        <v>173</v>
      </c>
      <c r="F78" s="45">
        <v>94</v>
      </c>
      <c r="H78" s="165">
        <v>98108</v>
      </c>
      <c r="I78" s="165" t="s">
        <v>333</v>
      </c>
      <c r="J78" s="166">
        <v>92380.8299999999</v>
      </c>
      <c r="K78" s="166">
        <v>2867.81</v>
      </c>
      <c r="L78" s="166">
        <v>51293.39</v>
      </c>
      <c r="M78" s="166">
        <v>351475.55999999901</v>
      </c>
      <c r="N78" s="166">
        <v>28175.119999999999</v>
      </c>
      <c r="O78" s="166">
        <v>12886.57</v>
      </c>
      <c r="P78" s="166">
        <v>49926.55</v>
      </c>
      <c r="Q78" s="166">
        <v>298587.88</v>
      </c>
      <c r="R78" s="166">
        <v>14570.76</v>
      </c>
      <c r="S78" s="166">
        <v>9532.3799999999992</v>
      </c>
      <c r="T78" s="166">
        <v>52085.73</v>
      </c>
      <c r="U78" s="166">
        <v>286646.48</v>
      </c>
      <c r="V78" s="172"/>
      <c r="W78" s="161"/>
      <c r="Y78" s="71">
        <v>98108</v>
      </c>
      <c r="Z78" s="14" t="s">
        <v>10</v>
      </c>
      <c r="AA78" s="73">
        <v>7071.8499999999904</v>
      </c>
      <c r="AB78" s="73">
        <v>2174.7399999999998</v>
      </c>
      <c r="AC78" s="73">
        <v>20150.53</v>
      </c>
      <c r="AD78" s="73">
        <v>40342.239999999998</v>
      </c>
      <c r="AE78" s="73">
        <v>6046.89</v>
      </c>
      <c r="AF78" s="73">
        <v>6024.8699999999899</v>
      </c>
      <c r="AG78" s="73">
        <v>17150.87</v>
      </c>
      <c r="AH78" s="73">
        <v>41723.64</v>
      </c>
      <c r="AI78" s="73">
        <v>9269.92</v>
      </c>
      <c r="AJ78" s="73">
        <v>4177.9699999999903</v>
      </c>
      <c r="AK78" s="73">
        <v>13324.89</v>
      </c>
      <c r="AL78" s="174">
        <v>45361.39</v>
      </c>
      <c r="AM78" s="161">
        <f t="shared" si="0"/>
        <v>26772.779999999992</v>
      </c>
      <c r="AN78" s="161"/>
      <c r="AZ78" s="71" t="s">
        <v>286</v>
      </c>
      <c r="BA78" s="71" t="s">
        <v>333</v>
      </c>
      <c r="BB78" s="32">
        <v>1</v>
      </c>
      <c r="BC78" s="32"/>
      <c r="BD78" s="32">
        <v>3</v>
      </c>
      <c r="BF78" s="71" t="s">
        <v>286</v>
      </c>
      <c r="BG78" s="71" t="s">
        <v>333</v>
      </c>
      <c r="BH78" s="73">
        <v>1083.81</v>
      </c>
      <c r="BI78" s="73"/>
      <c r="BJ78" s="73">
        <v>1397.87</v>
      </c>
      <c r="BL78" s="71">
        <v>98052</v>
      </c>
      <c r="BM78" s="71" t="s">
        <v>10</v>
      </c>
      <c r="BN78" s="73">
        <v>-1045.5899999999999</v>
      </c>
      <c r="BO78" s="73">
        <v>-546.52</v>
      </c>
      <c r="BP78" s="73">
        <v>-122.94</v>
      </c>
    </row>
    <row r="79" spans="2:68" x14ac:dyDescent="0.2">
      <c r="B79" s="78">
        <v>98110</v>
      </c>
      <c r="C79" s="60" t="s">
        <v>333</v>
      </c>
      <c r="D79" s="45">
        <v>272</v>
      </c>
      <c r="E79" s="45">
        <v>98</v>
      </c>
      <c r="F79" s="45">
        <v>338</v>
      </c>
      <c r="H79" s="165">
        <v>98109</v>
      </c>
      <c r="I79" s="165" t="s">
        <v>333</v>
      </c>
      <c r="J79" s="166">
        <v>11643.13</v>
      </c>
      <c r="K79" s="166">
        <v>1389.62</v>
      </c>
      <c r="L79" s="166">
        <v>9220.9299999999894</v>
      </c>
      <c r="M79" s="166">
        <v>236730.78999999899</v>
      </c>
      <c r="N79" s="166">
        <v>14462</v>
      </c>
      <c r="O79" s="166">
        <v>3632.26</v>
      </c>
      <c r="P79" s="166">
        <v>8559.66</v>
      </c>
      <c r="Q79" s="166">
        <v>219045.04</v>
      </c>
      <c r="R79" s="166">
        <v>13875.6599999999</v>
      </c>
      <c r="S79" s="166">
        <v>2726.29</v>
      </c>
      <c r="T79" s="166">
        <v>6080.0499999999902</v>
      </c>
      <c r="U79" s="166">
        <v>146273.75</v>
      </c>
      <c r="V79" s="172"/>
      <c r="W79" s="161"/>
      <c r="Y79" s="71">
        <v>98109</v>
      </c>
      <c r="Z79" s="14" t="s">
        <v>10</v>
      </c>
      <c r="AA79" s="73">
        <v>408.789999999999</v>
      </c>
      <c r="AB79" s="73">
        <v>55.77</v>
      </c>
      <c r="AC79" s="73">
        <v>436.06</v>
      </c>
      <c r="AD79" s="73">
        <v>1217.46</v>
      </c>
      <c r="AE79" s="73">
        <v>222.42999999999901</v>
      </c>
      <c r="AF79" s="73">
        <v>317.49</v>
      </c>
      <c r="AG79" s="73">
        <v>83.52</v>
      </c>
      <c r="AH79" s="73">
        <v>1130.6199999999999</v>
      </c>
      <c r="AI79" s="73">
        <v>263.85000000000002</v>
      </c>
      <c r="AJ79" s="73">
        <v>200.04</v>
      </c>
      <c r="AK79" s="73">
        <v>97.16</v>
      </c>
      <c r="AL79" s="174">
        <v>1141.5999999999999</v>
      </c>
      <c r="AM79" s="161">
        <f t="shared" si="0"/>
        <v>561.04999999999995</v>
      </c>
      <c r="AN79" s="161"/>
      <c r="AZ79" s="71" t="s">
        <v>287</v>
      </c>
      <c r="BA79" s="71" t="s">
        <v>333</v>
      </c>
      <c r="BB79" s="32"/>
      <c r="BC79" s="32">
        <v>2</v>
      </c>
      <c r="BD79" s="32"/>
      <c r="BF79" s="71" t="s">
        <v>287</v>
      </c>
      <c r="BG79" s="71" t="s">
        <v>333</v>
      </c>
      <c r="BH79" s="73"/>
      <c r="BI79" s="73">
        <v>1622.46</v>
      </c>
      <c r="BJ79" s="73"/>
      <c r="BL79" s="71">
        <v>98053</v>
      </c>
      <c r="BM79" s="71" t="s">
        <v>10</v>
      </c>
      <c r="BN79" s="73">
        <v>-100</v>
      </c>
      <c r="BO79" s="73">
        <v>-100</v>
      </c>
      <c r="BP79" s="73">
        <v>-100</v>
      </c>
    </row>
    <row r="80" spans="2:68" x14ac:dyDescent="0.2">
      <c r="B80" s="78">
        <v>98112</v>
      </c>
      <c r="C80" s="60" t="s">
        <v>333</v>
      </c>
      <c r="D80" s="45">
        <v>67</v>
      </c>
      <c r="E80" s="45">
        <v>64</v>
      </c>
      <c r="F80" s="45">
        <v>60</v>
      </c>
      <c r="H80" s="165">
        <v>98110</v>
      </c>
      <c r="I80" s="165" t="s">
        <v>333</v>
      </c>
      <c r="J80" s="166">
        <v>10438.719999999899</v>
      </c>
      <c r="K80" s="166">
        <v>2342.8599999999901</v>
      </c>
      <c r="L80" s="166">
        <v>14774.61</v>
      </c>
      <c r="M80" s="166">
        <v>207041.46999999901</v>
      </c>
      <c r="N80" s="166">
        <v>1700.99</v>
      </c>
      <c r="O80" s="166">
        <v>7007.26</v>
      </c>
      <c r="P80" s="166">
        <v>14452.2499999999</v>
      </c>
      <c r="Q80" s="166">
        <v>39050.14</v>
      </c>
      <c r="R80" s="166">
        <v>3925.92</v>
      </c>
      <c r="S80" s="166">
        <v>503.96</v>
      </c>
      <c r="T80" s="166">
        <v>16201.66</v>
      </c>
      <c r="U80" s="166">
        <v>199733.21999999901</v>
      </c>
      <c r="V80" s="172"/>
      <c r="W80" s="161"/>
      <c r="Y80" s="71">
        <v>98110</v>
      </c>
      <c r="Z80" s="14" t="s">
        <v>10</v>
      </c>
      <c r="AA80" s="73">
        <v>9768.8799999999992</v>
      </c>
      <c r="AB80" s="73">
        <v>2481.96</v>
      </c>
      <c r="AC80" s="73">
        <v>17705.04</v>
      </c>
      <c r="AD80" s="73">
        <v>40763.589999999997</v>
      </c>
      <c r="AE80" s="73">
        <v>830.12</v>
      </c>
      <c r="AF80" s="73">
        <v>8629.75</v>
      </c>
      <c r="AG80" s="73">
        <v>17014.71</v>
      </c>
      <c r="AH80" s="73">
        <v>38070.039999999899</v>
      </c>
      <c r="AI80" s="73">
        <v>8789</v>
      </c>
      <c r="AJ80" s="73">
        <v>459.04</v>
      </c>
      <c r="AK80" s="73">
        <v>23154.79</v>
      </c>
      <c r="AL80" s="174">
        <v>60980.45</v>
      </c>
      <c r="AM80" s="161">
        <f t="shared" si="0"/>
        <v>32402.83</v>
      </c>
      <c r="AN80" s="161"/>
      <c r="AZ80" s="71" t="s">
        <v>288</v>
      </c>
      <c r="BA80" s="71" t="s">
        <v>333</v>
      </c>
      <c r="BB80" s="32">
        <v>1</v>
      </c>
      <c r="BC80" s="32"/>
      <c r="BD80" s="32">
        <v>1</v>
      </c>
      <c r="BF80" s="71" t="s">
        <v>288</v>
      </c>
      <c r="BG80" s="71" t="s">
        <v>333</v>
      </c>
      <c r="BH80" s="73"/>
      <c r="BI80" s="73"/>
      <c r="BJ80" s="73">
        <v>1506.25</v>
      </c>
      <c r="BL80" s="71">
        <v>98055</v>
      </c>
      <c r="BM80" s="71" t="s">
        <v>10</v>
      </c>
      <c r="BN80" s="73">
        <v>-439.1</v>
      </c>
      <c r="BO80" s="73"/>
      <c r="BP80" s="73">
        <v>-362.21</v>
      </c>
    </row>
    <row r="81" spans="2:68" x14ac:dyDescent="0.2">
      <c r="B81" s="78">
        <v>98115</v>
      </c>
      <c r="C81" s="60" t="s">
        <v>333</v>
      </c>
      <c r="D81" s="45">
        <v>67</v>
      </c>
      <c r="E81" s="45">
        <v>57</v>
      </c>
      <c r="F81" s="45">
        <v>69</v>
      </c>
      <c r="H81" s="165">
        <v>98112</v>
      </c>
      <c r="I81" s="165" t="s">
        <v>333</v>
      </c>
      <c r="J81" s="166">
        <v>4458.6399999999903</v>
      </c>
      <c r="K81" s="166">
        <v>891.19999999999902</v>
      </c>
      <c r="L81" s="166">
        <v>8492.75</v>
      </c>
      <c r="M81" s="166">
        <v>95301.98</v>
      </c>
      <c r="N81" s="166">
        <v>4897.51</v>
      </c>
      <c r="O81" s="166">
        <v>2050.98</v>
      </c>
      <c r="P81" s="166">
        <v>7725.87</v>
      </c>
      <c r="Q81" s="166">
        <v>61068.67</v>
      </c>
      <c r="R81" s="166">
        <v>4647.25</v>
      </c>
      <c r="S81" s="166">
        <v>2509.85</v>
      </c>
      <c r="T81" s="166">
        <v>7698.81</v>
      </c>
      <c r="U81" s="166">
        <v>84502.75</v>
      </c>
      <c r="V81" s="172"/>
      <c r="W81" s="161"/>
      <c r="Y81" s="71">
        <v>98112</v>
      </c>
      <c r="Z81" s="14" t="s">
        <v>10</v>
      </c>
      <c r="AA81" s="73">
        <v>1335.23</v>
      </c>
      <c r="AB81" s="73">
        <v>302.89999999999998</v>
      </c>
      <c r="AC81" s="73">
        <v>1098.69999999999</v>
      </c>
      <c r="AD81" s="73">
        <v>5870.37</v>
      </c>
      <c r="AE81" s="73">
        <v>2718.8999999999901</v>
      </c>
      <c r="AF81" s="73">
        <v>1195.6500000000001</v>
      </c>
      <c r="AG81" s="73">
        <v>1290.1799999999901</v>
      </c>
      <c r="AH81" s="73">
        <v>8187.03</v>
      </c>
      <c r="AI81" s="73">
        <v>2259.1</v>
      </c>
      <c r="AJ81" s="73">
        <v>2041.94</v>
      </c>
      <c r="AK81" s="73">
        <v>2368.37</v>
      </c>
      <c r="AL81" s="174">
        <v>10122.44</v>
      </c>
      <c r="AM81" s="161">
        <f t="shared" si="0"/>
        <v>6669.41</v>
      </c>
      <c r="AN81" s="161"/>
      <c r="AZ81" s="71" t="s">
        <v>132</v>
      </c>
      <c r="BA81" s="71" t="s">
        <v>333</v>
      </c>
      <c r="BB81" s="32"/>
      <c r="BC81" s="32"/>
      <c r="BD81" s="32">
        <v>2</v>
      </c>
      <c r="BF81" s="71" t="s">
        <v>132</v>
      </c>
      <c r="BG81" s="71" t="s">
        <v>333</v>
      </c>
      <c r="BH81" s="73"/>
      <c r="BI81" s="73"/>
      <c r="BJ81" s="73">
        <v>176.25</v>
      </c>
      <c r="BL81" s="71">
        <v>98056</v>
      </c>
      <c r="BM81" s="71" t="s">
        <v>10</v>
      </c>
      <c r="BN81" s="73">
        <v>-865.91</v>
      </c>
      <c r="BO81" s="73">
        <v>-208.06</v>
      </c>
      <c r="BP81" s="73">
        <v>-625.88</v>
      </c>
    </row>
    <row r="82" spans="2:68" x14ac:dyDescent="0.2">
      <c r="B82" s="78">
        <v>98116</v>
      </c>
      <c r="C82" s="60" t="s">
        <v>333</v>
      </c>
      <c r="D82" s="45">
        <v>29</v>
      </c>
      <c r="E82" s="45">
        <v>32</v>
      </c>
      <c r="F82" s="45">
        <v>30</v>
      </c>
      <c r="H82" s="165">
        <v>98115</v>
      </c>
      <c r="I82" s="165" t="s">
        <v>333</v>
      </c>
      <c r="J82" s="166">
        <v>9563.9299999999894</v>
      </c>
      <c r="K82" s="166">
        <v>2509.48</v>
      </c>
      <c r="L82" s="166">
        <v>65681.210000000006</v>
      </c>
      <c r="M82" s="166">
        <v>111263.179999999</v>
      </c>
      <c r="N82" s="166">
        <v>7919.65</v>
      </c>
      <c r="O82" s="166">
        <v>7749.2199999999903</v>
      </c>
      <c r="P82" s="166">
        <v>64603.4</v>
      </c>
      <c r="Q82" s="166">
        <v>104667.14</v>
      </c>
      <c r="R82" s="166">
        <v>11102.81</v>
      </c>
      <c r="S82" s="166">
        <v>6241.9</v>
      </c>
      <c r="T82" s="166">
        <v>48337.22</v>
      </c>
      <c r="U82" s="166">
        <v>115109.599999999</v>
      </c>
      <c r="V82" s="172"/>
      <c r="W82" s="161"/>
      <c r="Y82" s="71">
        <v>98115</v>
      </c>
      <c r="Z82" s="14" t="s">
        <v>10</v>
      </c>
      <c r="AA82" s="73">
        <v>613.74</v>
      </c>
      <c r="AB82" s="73">
        <v>29.66</v>
      </c>
      <c r="AC82" s="73">
        <v>3005.78999999999</v>
      </c>
      <c r="AD82" s="73">
        <v>6438.34</v>
      </c>
      <c r="AE82" s="73">
        <v>2165.8200000000002</v>
      </c>
      <c r="AF82" s="73">
        <v>450.92</v>
      </c>
      <c r="AG82" s="73">
        <v>2964.43</v>
      </c>
      <c r="AH82" s="73">
        <v>8406.69</v>
      </c>
      <c r="AI82" s="73">
        <v>2411.7199999999998</v>
      </c>
      <c r="AJ82" s="73">
        <v>1790.12</v>
      </c>
      <c r="AK82" s="73">
        <v>2843.0499999999902</v>
      </c>
      <c r="AL82" s="174">
        <v>10034.379999999999</v>
      </c>
      <c r="AM82" s="161">
        <f t="shared" ref="AM82:AM145" si="1">SUM(AI82:AK82)</f>
        <v>7044.8899999999903</v>
      </c>
      <c r="AN82" s="161"/>
      <c r="AZ82" s="71" t="s">
        <v>133</v>
      </c>
      <c r="BA82" s="71" t="s">
        <v>333</v>
      </c>
      <c r="BB82" s="32">
        <v>1</v>
      </c>
      <c r="BC82" s="32"/>
      <c r="BD82" s="32">
        <v>1</v>
      </c>
      <c r="BF82" s="71" t="s">
        <v>133</v>
      </c>
      <c r="BG82" s="71" t="s">
        <v>333</v>
      </c>
      <c r="BH82" s="73">
        <v>802</v>
      </c>
      <c r="BI82" s="73"/>
      <c r="BJ82" s="73">
        <v>810.94</v>
      </c>
      <c r="BL82" s="71">
        <v>98057</v>
      </c>
      <c r="BM82" s="71" t="s">
        <v>10</v>
      </c>
      <c r="BN82" s="73">
        <v>-620.20000000000005</v>
      </c>
      <c r="BO82" s="73">
        <v>-99.71</v>
      </c>
      <c r="BP82" s="73"/>
    </row>
    <row r="83" spans="2:68" x14ac:dyDescent="0.2">
      <c r="B83" s="78">
        <v>98117</v>
      </c>
      <c r="C83" s="60" t="s">
        <v>333</v>
      </c>
      <c r="D83" s="45">
        <v>19</v>
      </c>
      <c r="E83" s="45">
        <v>23</v>
      </c>
      <c r="F83" s="45">
        <v>32</v>
      </c>
      <c r="H83" s="165">
        <v>98116</v>
      </c>
      <c r="I83" s="165" t="s">
        <v>333</v>
      </c>
      <c r="J83" s="166">
        <v>6347.6999999999898</v>
      </c>
      <c r="K83" s="166">
        <v>2902.08</v>
      </c>
      <c r="L83" s="166">
        <v>42008.71</v>
      </c>
      <c r="M83" s="166">
        <v>66443.22</v>
      </c>
      <c r="N83" s="166">
        <v>6450.1199999999899</v>
      </c>
      <c r="O83" s="166">
        <v>3822.51</v>
      </c>
      <c r="P83" s="166">
        <v>37769.85</v>
      </c>
      <c r="Q83" s="166">
        <v>65542.09</v>
      </c>
      <c r="R83" s="166">
        <v>5708.8299999999899</v>
      </c>
      <c r="S83" s="166">
        <v>2752.71</v>
      </c>
      <c r="T83" s="166">
        <v>34275.58</v>
      </c>
      <c r="U83" s="166">
        <v>56804.25</v>
      </c>
      <c r="V83" s="172"/>
      <c r="W83" s="161"/>
      <c r="Y83" s="71">
        <v>98116</v>
      </c>
      <c r="Z83" s="14" t="s">
        <v>10</v>
      </c>
      <c r="AA83" s="73">
        <v>431.23</v>
      </c>
      <c r="AB83" s="73">
        <v>124.549999999999</v>
      </c>
      <c r="AC83" s="73">
        <v>2057.11</v>
      </c>
      <c r="AD83" s="73">
        <v>3786.8899999999899</v>
      </c>
      <c r="AE83" s="73">
        <v>897.07999999999902</v>
      </c>
      <c r="AF83" s="73">
        <v>431.23</v>
      </c>
      <c r="AG83" s="73">
        <v>2113.5300000000002</v>
      </c>
      <c r="AH83" s="73">
        <v>5221.51</v>
      </c>
      <c r="AI83" s="73">
        <v>1455.23</v>
      </c>
      <c r="AJ83" s="73">
        <v>785.44</v>
      </c>
      <c r="AK83" s="73">
        <v>2113.9</v>
      </c>
      <c r="AL83" s="174">
        <v>6821.98</v>
      </c>
      <c r="AM83" s="161">
        <f t="shared" si="1"/>
        <v>4354.57</v>
      </c>
      <c r="AN83" s="161"/>
      <c r="AZ83" s="71" t="s">
        <v>135</v>
      </c>
      <c r="BA83" s="71" t="s">
        <v>333</v>
      </c>
      <c r="BB83" s="32">
        <v>2</v>
      </c>
      <c r="BC83" s="32"/>
      <c r="BD83" s="32">
        <v>1</v>
      </c>
      <c r="BF83" s="71" t="s">
        <v>135</v>
      </c>
      <c r="BG83" s="71" t="s">
        <v>333</v>
      </c>
      <c r="BH83" s="73">
        <v>3492.73</v>
      </c>
      <c r="BI83" s="73"/>
      <c r="BJ83" s="73">
        <v>3838.28</v>
      </c>
      <c r="BL83" s="71">
        <v>98058</v>
      </c>
      <c r="BM83" s="71" t="s">
        <v>10</v>
      </c>
      <c r="BN83" s="73">
        <v>-754.48</v>
      </c>
      <c r="BO83" s="73"/>
      <c r="BP83" s="73"/>
    </row>
    <row r="84" spans="2:68" x14ac:dyDescent="0.2">
      <c r="B84" s="78">
        <v>98118</v>
      </c>
      <c r="C84" s="60" t="s">
        <v>333</v>
      </c>
      <c r="D84" s="45">
        <v>99</v>
      </c>
      <c r="E84" s="45">
        <v>106</v>
      </c>
      <c r="F84" s="45">
        <v>109</v>
      </c>
      <c r="H84" s="165">
        <v>98117</v>
      </c>
      <c r="I84" s="165" t="s">
        <v>333</v>
      </c>
      <c r="J84" s="166">
        <v>1539.96</v>
      </c>
      <c r="K84" s="166">
        <v>454.53</v>
      </c>
      <c r="L84" s="166">
        <v>2544.7199999999998</v>
      </c>
      <c r="M84" s="166">
        <v>12949.1699999999</v>
      </c>
      <c r="N84" s="166">
        <v>1721.62</v>
      </c>
      <c r="O84" s="166">
        <v>377.36</v>
      </c>
      <c r="P84" s="166">
        <v>2831.34</v>
      </c>
      <c r="Q84" s="166">
        <v>22117.0799999999</v>
      </c>
      <c r="R84" s="166">
        <v>3633.66</v>
      </c>
      <c r="S84" s="166">
        <v>1068.1199999999999</v>
      </c>
      <c r="T84" s="166">
        <v>425.23999999999899</v>
      </c>
      <c r="U84" s="166">
        <v>37265.489999999903</v>
      </c>
      <c r="V84" s="172"/>
      <c r="W84" s="161"/>
      <c r="Y84" s="71">
        <v>98117</v>
      </c>
      <c r="Z84" s="14" t="s">
        <v>10</v>
      </c>
      <c r="AA84" s="73">
        <v>955.79999999999905</v>
      </c>
      <c r="AB84" s="73">
        <v>346.64</v>
      </c>
      <c r="AC84" s="73">
        <v>4530.6400000000003</v>
      </c>
      <c r="AD84" s="73">
        <v>8996.9299999999894</v>
      </c>
      <c r="AE84" s="73">
        <v>2758.95</v>
      </c>
      <c r="AF84" s="73">
        <v>955.8</v>
      </c>
      <c r="AG84" s="73">
        <v>4877.28</v>
      </c>
      <c r="AH84" s="73">
        <v>11707.8399999999</v>
      </c>
      <c r="AI84" s="73">
        <v>2207.59</v>
      </c>
      <c r="AJ84" s="73">
        <v>1946.21</v>
      </c>
      <c r="AK84" s="73">
        <v>4682.29</v>
      </c>
      <c r="AL84" s="174">
        <v>11123.58</v>
      </c>
      <c r="AM84" s="161">
        <f t="shared" si="1"/>
        <v>8836.09</v>
      </c>
      <c r="AN84" s="161"/>
      <c r="AZ84" s="71" t="s">
        <v>136</v>
      </c>
      <c r="BA84" s="71" t="s">
        <v>333</v>
      </c>
      <c r="BB84" s="32">
        <v>1</v>
      </c>
      <c r="BC84" s="32">
        <v>2</v>
      </c>
      <c r="BD84" s="32">
        <v>1</v>
      </c>
      <c r="BF84" s="71" t="s">
        <v>136</v>
      </c>
      <c r="BG84" s="71" t="s">
        <v>333</v>
      </c>
      <c r="BH84" s="73">
        <v>1129.31</v>
      </c>
      <c r="BI84" s="73">
        <v>769.7</v>
      </c>
      <c r="BJ84" s="73">
        <v>903.13</v>
      </c>
      <c r="BL84" s="71">
        <v>98059</v>
      </c>
      <c r="BM84" s="71" t="s">
        <v>10</v>
      </c>
      <c r="BN84" s="73">
        <v>-297.3</v>
      </c>
      <c r="BO84" s="73">
        <v>-50.54</v>
      </c>
      <c r="BP84" s="73">
        <v>-143.68</v>
      </c>
    </row>
    <row r="85" spans="2:68" x14ac:dyDescent="0.2">
      <c r="B85" s="78">
        <v>98119</v>
      </c>
      <c r="C85" s="60" t="s">
        <v>333</v>
      </c>
      <c r="D85" s="45">
        <v>42</v>
      </c>
      <c r="E85" s="45">
        <v>71</v>
      </c>
      <c r="F85" s="45">
        <v>69</v>
      </c>
      <c r="H85" s="165">
        <v>98118</v>
      </c>
      <c r="I85" s="165" t="s">
        <v>333</v>
      </c>
      <c r="J85" s="166">
        <v>15126.17</v>
      </c>
      <c r="K85" s="166">
        <v>5508.5</v>
      </c>
      <c r="L85" s="166">
        <v>41687.01</v>
      </c>
      <c r="M85" s="166">
        <v>96455.849999999904</v>
      </c>
      <c r="N85" s="166">
        <v>10179.629999999899</v>
      </c>
      <c r="O85" s="166">
        <v>7671.4799999999896</v>
      </c>
      <c r="P85" s="166">
        <v>42842.669999999896</v>
      </c>
      <c r="Q85" s="166">
        <v>95399.7</v>
      </c>
      <c r="R85" s="166">
        <v>12874.3399999999</v>
      </c>
      <c r="S85" s="166">
        <v>7908.58</v>
      </c>
      <c r="T85" s="166">
        <v>39780.739999999903</v>
      </c>
      <c r="U85" s="166">
        <v>125950.87</v>
      </c>
      <c r="V85" s="172"/>
      <c r="W85" s="161"/>
      <c r="Y85" s="71">
        <v>98118</v>
      </c>
      <c r="Z85" s="14" t="s">
        <v>10</v>
      </c>
      <c r="AA85" s="73">
        <v>9131.9199999999892</v>
      </c>
      <c r="AB85" s="73">
        <v>2881.6699999999901</v>
      </c>
      <c r="AC85" s="73">
        <v>20436.609999999899</v>
      </c>
      <c r="AD85" s="73">
        <v>52729.409999999902</v>
      </c>
      <c r="AE85" s="73">
        <v>17079.46</v>
      </c>
      <c r="AF85" s="73">
        <v>8262.8499999999894</v>
      </c>
      <c r="AG85" s="73">
        <v>22024.41</v>
      </c>
      <c r="AH85" s="73">
        <v>68400.849999999904</v>
      </c>
      <c r="AI85" s="73">
        <v>16383.389999999899</v>
      </c>
      <c r="AJ85" s="73">
        <v>14184.959999999901</v>
      </c>
      <c r="AK85" s="73">
        <v>25826.07</v>
      </c>
      <c r="AL85" s="174">
        <v>78986.179999999993</v>
      </c>
      <c r="AM85" s="161">
        <f t="shared" si="1"/>
        <v>56394.419999999802</v>
      </c>
      <c r="AN85" s="161"/>
      <c r="AZ85" s="71" t="s">
        <v>138</v>
      </c>
      <c r="BA85" s="71" t="s">
        <v>333</v>
      </c>
      <c r="BB85" s="32">
        <v>8</v>
      </c>
      <c r="BC85" s="32"/>
      <c r="BD85" s="32">
        <v>10</v>
      </c>
      <c r="BF85" s="71" t="s">
        <v>138</v>
      </c>
      <c r="BG85" s="71" t="s">
        <v>333</v>
      </c>
      <c r="BH85" s="73">
        <v>28511.859999999997</v>
      </c>
      <c r="BI85" s="73"/>
      <c r="BJ85" s="73">
        <v>13724.149999999998</v>
      </c>
      <c r="BL85" s="71">
        <v>98065</v>
      </c>
      <c r="BM85" s="71" t="s">
        <v>10</v>
      </c>
      <c r="BN85" s="73">
        <v>-1090.55</v>
      </c>
      <c r="BO85" s="73"/>
      <c r="BP85" s="73"/>
    </row>
    <row r="86" spans="2:68" x14ac:dyDescent="0.2">
      <c r="B86" s="78">
        <v>98121</v>
      </c>
      <c r="C86" s="60" t="s">
        <v>333</v>
      </c>
      <c r="D86" s="45">
        <v>57</v>
      </c>
      <c r="E86" s="45">
        <v>64</v>
      </c>
      <c r="F86" s="45">
        <v>57</v>
      </c>
      <c r="H86" s="165">
        <v>98119</v>
      </c>
      <c r="I86" s="165" t="s">
        <v>333</v>
      </c>
      <c r="J86" s="166">
        <v>18391.36</v>
      </c>
      <c r="K86" s="166">
        <v>6368.3599999999897</v>
      </c>
      <c r="L86" s="166">
        <v>3314.4</v>
      </c>
      <c r="M86" s="166">
        <v>135642.72</v>
      </c>
      <c r="N86" s="166">
        <v>20947.97</v>
      </c>
      <c r="O86" s="166">
        <v>1518.85</v>
      </c>
      <c r="P86" s="166">
        <v>3474.3599999999901</v>
      </c>
      <c r="Q86" s="166">
        <v>74599.06</v>
      </c>
      <c r="R86" s="166">
        <v>19630.4399999999</v>
      </c>
      <c r="S86" s="166">
        <v>3704.73</v>
      </c>
      <c r="T86" s="166">
        <v>3975.8799999999901</v>
      </c>
      <c r="U86" s="166">
        <v>121574.64</v>
      </c>
      <c r="V86" s="172"/>
      <c r="W86" s="161"/>
      <c r="Y86" s="71">
        <v>98119</v>
      </c>
      <c r="Z86" s="14" t="s">
        <v>10</v>
      </c>
      <c r="AA86" s="73">
        <v>584.17999999999995</v>
      </c>
      <c r="AB86" s="73">
        <v>128.05000000000001</v>
      </c>
      <c r="AC86" s="73">
        <v>468.599999999999</v>
      </c>
      <c r="AD86" s="73">
        <v>2295.58</v>
      </c>
      <c r="AE86" s="73">
        <v>658.88</v>
      </c>
      <c r="AF86" s="73">
        <v>368.58</v>
      </c>
      <c r="AG86" s="73">
        <v>596.65</v>
      </c>
      <c r="AH86" s="73">
        <v>2255.66</v>
      </c>
      <c r="AI86" s="73">
        <v>618.55999999999995</v>
      </c>
      <c r="AJ86" s="73">
        <v>618.09</v>
      </c>
      <c r="AK86" s="73">
        <v>621.45000000000005</v>
      </c>
      <c r="AL86" s="174">
        <v>2817.3</v>
      </c>
      <c r="AM86" s="161">
        <f t="shared" si="1"/>
        <v>1858.1000000000001</v>
      </c>
      <c r="AN86" s="161"/>
      <c r="AZ86" s="71" t="s">
        <v>139</v>
      </c>
      <c r="BA86" s="71" t="s">
        <v>333</v>
      </c>
      <c r="BB86" s="32">
        <v>2</v>
      </c>
      <c r="BC86" s="32">
        <v>2</v>
      </c>
      <c r="BD86" s="32"/>
      <c r="BF86" s="71" t="s">
        <v>139</v>
      </c>
      <c r="BG86" s="71" t="s">
        <v>333</v>
      </c>
      <c r="BH86" s="73">
        <v>683.16</v>
      </c>
      <c r="BI86" s="73">
        <v>1111.1600000000001</v>
      </c>
      <c r="BJ86" s="73"/>
      <c r="BL86" s="71">
        <v>98072</v>
      </c>
      <c r="BM86" s="71" t="s">
        <v>10</v>
      </c>
      <c r="BN86" s="73"/>
      <c r="BO86" s="73">
        <v>-214.31</v>
      </c>
      <c r="BP86" s="73"/>
    </row>
    <row r="87" spans="2:68" x14ac:dyDescent="0.2">
      <c r="B87" s="78">
        <v>98122</v>
      </c>
      <c r="C87" s="60" t="s">
        <v>333</v>
      </c>
      <c r="D87" s="45">
        <v>109</v>
      </c>
      <c r="E87" s="45">
        <v>99</v>
      </c>
      <c r="F87" s="45">
        <v>110</v>
      </c>
      <c r="H87" s="165">
        <v>98121</v>
      </c>
      <c r="I87" s="165" t="s">
        <v>333</v>
      </c>
      <c r="J87" s="166">
        <v>30655.64</v>
      </c>
      <c r="K87" s="166">
        <v>1786.23</v>
      </c>
      <c r="L87" s="166">
        <v>29022.37</v>
      </c>
      <c r="M87" s="166">
        <v>146010.239999999</v>
      </c>
      <c r="N87" s="166">
        <v>22557.52</v>
      </c>
      <c r="O87" s="166">
        <v>6187.84</v>
      </c>
      <c r="P87" s="166">
        <v>28426.86</v>
      </c>
      <c r="Q87" s="166">
        <v>178328.97</v>
      </c>
      <c r="R87" s="166">
        <v>42528.069999999898</v>
      </c>
      <c r="S87" s="166">
        <v>4199.6399999999903</v>
      </c>
      <c r="T87" s="166">
        <v>31255.96</v>
      </c>
      <c r="U87" s="166">
        <v>174861.96</v>
      </c>
      <c r="V87" s="172"/>
      <c r="W87" s="161"/>
      <c r="Y87" s="71">
        <v>98121</v>
      </c>
      <c r="Z87" s="14" t="s">
        <v>10</v>
      </c>
      <c r="AA87" s="73">
        <v>144.33999999999901</v>
      </c>
      <c r="AB87" s="73">
        <v>78.7</v>
      </c>
      <c r="AC87" s="73">
        <v>1256.6099999999999</v>
      </c>
      <c r="AD87" s="73">
        <v>1617.4199999999901</v>
      </c>
      <c r="AE87" s="73">
        <v>137.77000000000001</v>
      </c>
      <c r="AF87" s="73">
        <v>132.05000000000001</v>
      </c>
      <c r="AG87" s="73">
        <v>1206.42</v>
      </c>
      <c r="AH87" s="73">
        <v>1624.62</v>
      </c>
      <c r="AI87" s="73">
        <v>77.56</v>
      </c>
      <c r="AJ87" s="73">
        <v>46.489999999999903</v>
      </c>
      <c r="AK87" s="73">
        <v>259.11</v>
      </c>
      <c r="AL87" s="174">
        <v>510.09</v>
      </c>
      <c r="AM87" s="161">
        <f t="shared" si="1"/>
        <v>383.15999999999991</v>
      </c>
      <c r="AN87" s="161"/>
      <c r="AZ87" s="71" t="s">
        <v>294</v>
      </c>
      <c r="BA87" s="71" t="s">
        <v>333</v>
      </c>
      <c r="BB87" s="32">
        <v>1</v>
      </c>
      <c r="BC87" s="32">
        <v>1</v>
      </c>
      <c r="BD87" s="32"/>
      <c r="BF87" s="71" t="s">
        <v>294</v>
      </c>
      <c r="BG87" s="71" t="s">
        <v>333</v>
      </c>
      <c r="BH87" s="73">
        <v>554.44000000000005</v>
      </c>
      <c r="BI87" s="73">
        <v>555.42999999999995</v>
      </c>
      <c r="BJ87" s="73"/>
      <c r="BL87" s="71">
        <v>98074</v>
      </c>
      <c r="BM87" s="71" t="s">
        <v>10</v>
      </c>
      <c r="BN87" s="73">
        <v>-749.37</v>
      </c>
      <c r="BO87" s="73">
        <v>-471.91</v>
      </c>
      <c r="BP87" s="73"/>
    </row>
    <row r="88" spans="2:68" x14ac:dyDescent="0.2">
      <c r="B88" s="78">
        <v>98125</v>
      </c>
      <c r="C88" s="60" t="s">
        <v>333</v>
      </c>
      <c r="D88" s="45">
        <v>39</v>
      </c>
      <c r="E88" s="45">
        <v>26</v>
      </c>
      <c r="F88" s="45">
        <v>32</v>
      </c>
      <c r="H88" s="165">
        <v>98122</v>
      </c>
      <c r="I88" s="165" t="s">
        <v>333</v>
      </c>
      <c r="J88" s="166">
        <v>8296.25</v>
      </c>
      <c r="K88" s="166">
        <v>1683.8099999999899</v>
      </c>
      <c r="L88" s="166">
        <v>23708.769999999899</v>
      </c>
      <c r="M88" s="166">
        <v>111587.859999999</v>
      </c>
      <c r="N88" s="166">
        <v>8437.3799999999992</v>
      </c>
      <c r="O88" s="166">
        <v>3661.7</v>
      </c>
      <c r="P88" s="166">
        <v>24976.67</v>
      </c>
      <c r="Q88" s="166">
        <v>109078.769999999</v>
      </c>
      <c r="R88" s="166">
        <v>19707.88</v>
      </c>
      <c r="S88" s="166">
        <v>4978.70999999999</v>
      </c>
      <c r="T88" s="166">
        <v>24345.43</v>
      </c>
      <c r="U88" s="166">
        <v>123522.12</v>
      </c>
      <c r="V88" s="172"/>
      <c r="W88" s="161"/>
      <c r="Y88" s="71">
        <v>98122</v>
      </c>
      <c r="Z88" s="14" t="s">
        <v>10</v>
      </c>
      <c r="AA88" s="73">
        <v>3751.4899999999898</v>
      </c>
      <c r="AB88" s="73">
        <v>1674.33</v>
      </c>
      <c r="AC88" s="73">
        <v>11175.3299999999</v>
      </c>
      <c r="AD88" s="73">
        <v>22409.979999999901</v>
      </c>
      <c r="AE88" s="73">
        <v>4433.6699999999901</v>
      </c>
      <c r="AF88" s="73">
        <v>3058.22</v>
      </c>
      <c r="AG88" s="73">
        <v>12077.5099999999</v>
      </c>
      <c r="AH88" s="73">
        <v>25698.48</v>
      </c>
      <c r="AI88" s="73">
        <v>3995.3</v>
      </c>
      <c r="AJ88" s="73">
        <v>3920.92</v>
      </c>
      <c r="AK88" s="73">
        <v>12441.21</v>
      </c>
      <c r="AL88" s="174">
        <v>24619.179999999898</v>
      </c>
      <c r="AM88" s="161">
        <f t="shared" si="1"/>
        <v>20357.43</v>
      </c>
      <c r="AN88" s="161"/>
      <c r="AZ88" s="71" t="s">
        <v>295</v>
      </c>
      <c r="BA88" s="71" t="s">
        <v>333</v>
      </c>
      <c r="BB88" s="32">
        <v>1</v>
      </c>
      <c r="BC88" s="32">
        <v>2</v>
      </c>
      <c r="BD88" s="32">
        <v>1</v>
      </c>
      <c r="BF88" s="71" t="s">
        <v>295</v>
      </c>
      <c r="BG88" s="71" t="s">
        <v>333</v>
      </c>
      <c r="BH88" s="73">
        <v>925.48</v>
      </c>
      <c r="BI88" s="73">
        <v>1526.32</v>
      </c>
      <c r="BJ88" s="73">
        <v>299.92</v>
      </c>
      <c r="BL88" s="71">
        <v>98075</v>
      </c>
      <c r="BM88" s="71" t="s">
        <v>10</v>
      </c>
      <c r="BN88" s="73">
        <v>-457.4</v>
      </c>
      <c r="BO88" s="73"/>
      <c r="BP88" s="73"/>
    </row>
    <row r="89" spans="2:68" x14ac:dyDescent="0.2">
      <c r="B89" s="78">
        <v>98126</v>
      </c>
      <c r="C89" s="60" t="s">
        <v>333</v>
      </c>
      <c r="D89" s="45">
        <v>25</v>
      </c>
      <c r="E89" s="45">
        <v>15</v>
      </c>
      <c r="F89" s="45">
        <v>14</v>
      </c>
      <c r="H89" s="165">
        <v>98125</v>
      </c>
      <c r="I89" s="165" t="s">
        <v>333</v>
      </c>
      <c r="J89" s="166">
        <v>1968.1299999999901</v>
      </c>
      <c r="K89" s="166"/>
      <c r="L89" s="166">
        <v>18713.349999999999</v>
      </c>
      <c r="M89" s="166">
        <v>67279.06</v>
      </c>
      <c r="N89" s="166">
        <v>3051.83</v>
      </c>
      <c r="O89" s="166">
        <v>1649.75999999999</v>
      </c>
      <c r="P89" s="166">
        <v>16773.7</v>
      </c>
      <c r="Q89" s="166">
        <v>28013.61</v>
      </c>
      <c r="R89" s="166">
        <v>2669.5699999999902</v>
      </c>
      <c r="S89" s="166">
        <v>2059.35</v>
      </c>
      <c r="T89" s="166">
        <v>17445.27</v>
      </c>
      <c r="U89" s="166">
        <v>45253.819999999898</v>
      </c>
      <c r="V89" s="172"/>
      <c r="W89" s="161"/>
      <c r="Y89" s="71">
        <v>98125</v>
      </c>
      <c r="Z89" s="14" t="s">
        <v>10</v>
      </c>
      <c r="AA89" s="73">
        <v>960.34</v>
      </c>
      <c r="AB89" s="73">
        <v>13.51</v>
      </c>
      <c r="AC89" s="73">
        <v>3940.55</v>
      </c>
      <c r="AD89" s="73">
        <v>8935.24</v>
      </c>
      <c r="AE89" s="73">
        <v>3488.52</v>
      </c>
      <c r="AF89" s="73">
        <v>960.34</v>
      </c>
      <c r="AG89" s="73">
        <v>3713.39</v>
      </c>
      <c r="AH89" s="73">
        <v>12000.219999999899</v>
      </c>
      <c r="AI89" s="73">
        <v>3418.24</v>
      </c>
      <c r="AJ89" s="73">
        <v>3217.14</v>
      </c>
      <c r="AK89" s="73">
        <v>4312.9699999999903</v>
      </c>
      <c r="AL89" s="174">
        <v>14769.9199999999</v>
      </c>
      <c r="AM89" s="161">
        <f t="shared" si="1"/>
        <v>10948.349999999989</v>
      </c>
      <c r="AN89" s="161"/>
      <c r="AZ89" s="71" t="s">
        <v>296</v>
      </c>
      <c r="BA89" s="71" t="s">
        <v>333</v>
      </c>
      <c r="BB89" s="32"/>
      <c r="BC89" s="32">
        <v>2</v>
      </c>
      <c r="BD89" s="32"/>
      <c r="BF89" s="71" t="s">
        <v>296</v>
      </c>
      <c r="BG89" s="71" t="s">
        <v>333</v>
      </c>
      <c r="BH89" s="73"/>
      <c r="BI89" s="73">
        <v>36.11</v>
      </c>
      <c r="BJ89" s="73"/>
      <c r="BL89" s="71">
        <v>98077</v>
      </c>
      <c r="BM89" s="71" t="s">
        <v>10</v>
      </c>
      <c r="BN89" s="73"/>
      <c r="BO89" s="73">
        <v>-53.19</v>
      </c>
      <c r="BP89" s="73"/>
    </row>
    <row r="90" spans="2:68" x14ac:dyDescent="0.2">
      <c r="B90" s="78">
        <v>98133</v>
      </c>
      <c r="C90" s="60" t="s">
        <v>333</v>
      </c>
      <c r="D90" s="45">
        <v>60</v>
      </c>
      <c r="E90" s="45">
        <v>57</v>
      </c>
      <c r="F90" s="45">
        <v>64</v>
      </c>
      <c r="H90" s="165">
        <v>98126</v>
      </c>
      <c r="I90" s="165" t="s">
        <v>333</v>
      </c>
      <c r="J90" s="166">
        <v>2465.5500000000002</v>
      </c>
      <c r="K90" s="166">
        <v>686.27</v>
      </c>
      <c r="L90" s="166">
        <v>22838.05</v>
      </c>
      <c r="M90" s="166">
        <v>41338.14</v>
      </c>
      <c r="N90" s="166">
        <v>2663</v>
      </c>
      <c r="O90" s="166">
        <v>1488.85</v>
      </c>
      <c r="P90" s="166">
        <v>22710.639999999999</v>
      </c>
      <c r="Q90" s="166">
        <v>32512.98</v>
      </c>
      <c r="R90" s="166">
        <v>2269.81</v>
      </c>
      <c r="S90" s="166">
        <v>1982.02</v>
      </c>
      <c r="T90" s="166">
        <v>20238.98</v>
      </c>
      <c r="U90" s="166">
        <v>28460.2</v>
      </c>
      <c r="V90" s="172"/>
      <c r="W90" s="161"/>
      <c r="Y90" s="71">
        <v>98126</v>
      </c>
      <c r="Z90" s="14" t="s">
        <v>10</v>
      </c>
      <c r="AA90" s="73">
        <v>2964.66</v>
      </c>
      <c r="AB90" s="73">
        <v>1337.1699999999901</v>
      </c>
      <c r="AC90" s="73">
        <v>8840.3799999999992</v>
      </c>
      <c r="AD90" s="73">
        <v>21577.71</v>
      </c>
      <c r="AE90" s="73">
        <v>7640.81</v>
      </c>
      <c r="AF90" s="73">
        <v>2761.24</v>
      </c>
      <c r="AG90" s="73">
        <v>9510.2199999999993</v>
      </c>
      <c r="AH90" s="73">
        <v>31276.499999999902</v>
      </c>
      <c r="AI90" s="73">
        <v>8938.5599999999904</v>
      </c>
      <c r="AJ90" s="73">
        <v>6279.74999999999</v>
      </c>
      <c r="AK90" s="73">
        <v>8708.17</v>
      </c>
      <c r="AL90" s="174">
        <v>33233.870000000003</v>
      </c>
      <c r="AM90" s="161">
        <f t="shared" si="1"/>
        <v>23926.479999999981</v>
      </c>
      <c r="AN90" s="161"/>
      <c r="AZ90" s="71" t="s">
        <v>297</v>
      </c>
      <c r="BA90" s="71" t="s">
        <v>333</v>
      </c>
      <c r="BB90" s="32">
        <v>4</v>
      </c>
      <c r="BC90" s="32">
        <v>2</v>
      </c>
      <c r="BD90" s="32">
        <v>1</v>
      </c>
      <c r="BF90" s="71" t="s">
        <v>297</v>
      </c>
      <c r="BG90" s="71" t="s">
        <v>333</v>
      </c>
      <c r="BH90" s="73">
        <v>104.86</v>
      </c>
      <c r="BI90" s="73">
        <v>654.92999999999995</v>
      </c>
      <c r="BJ90" s="73">
        <v>396.26</v>
      </c>
      <c r="BL90" s="71">
        <v>98087</v>
      </c>
      <c r="BM90" s="71" t="s">
        <v>10</v>
      </c>
      <c r="BN90" s="73">
        <v>-42.78</v>
      </c>
      <c r="BO90" s="73"/>
      <c r="BP90" s="73"/>
    </row>
    <row r="91" spans="2:68" x14ac:dyDescent="0.2">
      <c r="B91" s="78">
        <v>98134</v>
      </c>
      <c r="C91" s="60" t="s">
        <v>333</v>
      </c>
      <c r="D91" s="45">
        <v>90</v>
      </c>
      <c r="E91" s="45">
        <v>89</v>
      </c>
      <c r="F91" s="45">
        <v>103</v>
      </c>
      <c r="H91" s="165">
        <v>98133</v>
      </c>
      <c r="I91" s="165" t="s">
        <v>333</v>
      </c>
      <c r="J91" s="166">
        <v>4538.51</v>
      </c>
      <c r="K91" s="166">
        <v>1541.06</v>
      </c>
      <c r="L91" s="166">
        <v>14707.7299999999</v>
      </c>
      <c r="M91" s="166">
        <v>62181.95</v>
      </c>
      <c r="N91" s="166">
        <v>7081.76</v>
      </c>
      <c r="O91" s="166">
        <v>3656.55</v>
      </c>
      <c r="P91" s="166">
        <v>13072.99</v>
      </c>
      <c r="Q91" s="166">
        <v>54574.839999999902</v>
      </c>
      <c r="R91" s="166">
        <v>10758.0099999999</v>
      </c>
      <c r="S91" s="166">
        <v>2447.1999999999998</v>
      </c>
      <c r="T91" s="166">
        <v>12019.4799999999</v>
      </c>
      <c r="U91" s="166">
        <v>93139.73</v>
      </c>
      <c r="V91" s="172"/>
      <c r="W91" s="161"/>
      <c r="Y91" s="71">
        <v>98133</v>
      </c>
      <c r="Z91" s="14" t="s">
        <v>10</v>
      </c>
      <c r="AA91" s="73">
        <v>2222.9699999999998</v>
      </c>
      <c r="AB91" s="73">
        <v>710.05</v>
      </c>
      <c r="AC91" s="73">
        <v>8645</v>
      </c>
      <c r="AD91" s="73">
        <v>18030.16</v>
      </c>
      <c r="AE91" s="73">
        <v>4988.1799999999903</v>
      </c>
      <c r="AF91" s="73">
        <v>1955.6599999999901</v>
      </c>
      <c r="AG91" s="73">
        <v>7584.89</v>
      </c>
      <c r="AH91" s="73">
        <v>20351.52</v>
      </c>
      <c r="AI91" s="73">
        <v>4560.1400000000003</v>
      </c>
      <c r="AJ91" s="73">
        <v>3859.1699999999901</v>
      </c>
      <c r="AK91" s="73">
        <v>8110.32</v>
      </c>
      <c r="AL91" s="174">
        <v>22665.88</v>
      </c>
      <c r="AM91" s="161">
        <f t="shared" si="1"/>
        <v>16529.62999999999</v>
      </c>
      <c r="AN91" s="161"/>
      <c r="AZ91" s="71" t="s">
        <v>298</v>
      </c>
      <c r="BA91" s="71" t="s">
        <v>333</v>
      </c>
      <c r="BB91" s="32"/>
      <c r="BC91" s="32"/>
      <c r="BD91" s="32">
        <v>1</v>
      </c>
      <c r="BF91" s="71" t="s">
        <v>298</v>
      </c>
      <c r="BG91" s="71" t="s">
        <v>333</v>
      </c>
      <c r="BH91" s="73"/>
      <c r="BI91" s="73"/>
      <c r="BJ91" s="73">
        <v>215.15</v>
      </c>
      <c r="BL91" s="71">
        <v>98092</v>
      </c>
      <c r="BM91" s="71" t="s">
        <v>10</v>
      </c>
      <c r="BN91" s="73">
        <v>-571.86</v>
      </c>
      <c r="BO91" s="73">
        <v>-94.31</v>
      </c>
      <c r="BP91" s="73"/>
    </row>
    <row r="92" spans="2:68" x14ac:dyDescent="0.2">
      <c r="B92" s="78">
        <v>98136</v>
      </c>
      <c r="C92" s="60" t="s">
        <v>333</v>
      </c>
      <c r="D92" s="45">
        <v>10</v>
      </c>
      <c r="E92" s="45">
        <v>3</v>
      </c>
      <c r="F92" s="45">
        <v>9</v>
      </c>
      <c r="H92" s="165">
        <v>98134</v>
      </c>
      <c r="I92" s="165" t="s">
        <v>333</v>
      </c>
      <c r="J92" s="166">
        <v>21743.53</v>
      </c>
      <c r="K92" s="166">
        <v>6943.9899999999898</v>
      </c>
      <c r="L92" s="166">
        <v>121372.399999999</v>
      </c>
      <c r="M92" s="166">
        <v>327112.25999999902</v>
      </c>
      <c r="N92" s="166">
        <v>24879.5</v>
      </c>
      <c r="O92" s="166">
        <v>12632.699999999901</v>
      </c>
      <c r="P92" s="166">
        <v>121380.329999999</v>
      </c>
      <c r="Q92" s="166">
        <v>327524.77</v>
      </c>
      <c r="R92" s="166">
        <v>26959.379999999899</v>
      </c>
      <c r="S92" s="166">
        <v>14240.42</v>
      </c>
      <c r="T92" s="166">
        <v>114045.3</v>
      </c>
      <c r="U92" s="166">
        <v>322570.67</v>
      </c>
      <c r="V92" s="172"/>
      <c r="W92" s="161"/>
      <c r="Y92" s="71">
        <v>98136</v>
      </c>
      <c r="Z92" s="14" t="s">
        <v>10</v>
      </c>
      <c r="AA92" s="73">
        <v>227.02999999999901</v>
      </c>
      <c r="AB92" s="73">
        <v>52.94</v>
      </c>
      <c r="AC92" s="73">
        <v>838.01</v>
      </c>
      <c r="AD92" s="73">
        <v>1829.36</v>
      </c>
      <c r="AE92" s="73">
        <v>711.38</v>
      </c>
      <c r="AF92" s="73">
        <v>227.02999999999901</v>
      </c>
      <c r="AG92" s="73">
        <v>890.95</v>
      </c>
      <c r="AH92" s="73">
        <v>2703.3</v>
      </c>
      <c r="AI92" s="73">
        <v>873.93999999999903</v>
      </c>
      <c r="AJ92" s="73">
        <v>711.38</v>
      </c>
      <c r="AK92" s="73">
        <v>517.98</v>
      </c>
      <c r="AL92" s="174">
        <v>2871.6999999999898</v>
      </c>
      <c r="AM92" s="161">
        <f t="shared" si="1"/>
        <v>2103.2999999999993</v>
      </c>
      <c r="AN92" s="161"/>
      <c r="AZ92" s="71" t="s">
        <v>141</v>
      </c>
      <c r="BA92" s="71" t="s">
        <v>333</v>
      </c>
      <c r="BB92" s="32">
        <v>2</v>
      </c>
      <c r="BC92" s="32">
        <v>2</v>
      </c>
      <c r="BD92" s="32">
        <v>2</v>
      </c>
      <c r="BF92" s="71" t="s">
        <v>141</v>
      </c>
      <c r="BG92" s="71" t="s">
        <v>333</v>
      </c>
      <c r="BH92" s="73">
        <v>17208.169999999998</v>
      </c>
      <c r="BI92" s="73">
        <v>527.71</v>
      </c>
      <c r="BJ92" s="73">
        <v>369.72</v>
      </c>
      <c r="BL92" s="71">
        <v>98102</v>
      </c>
      <c r="BM92" s="71" t="s">
        <v>10</v>
      </c>
      <c r="BN92" s="73"/>
      <c r="BO92" s="73">
        <v>-32.28</v>
      </c>
      <c r="BP92" s="73"/>
    </row>
    <row r="93" spans="2:68" x14ac:dyDescent="0.2">
      <c r="B93" s="78">
        <v>98144</v>
      </c>
      <c r="C93" s="60" t="s">
        <v>333</v>
      </c>
      <c r="D93" s="45">
        <v>94</v>
      </c>
      <c r="E93" s="45">
        <v>89</v>
      </c>
      <c r="F93" s="45">
        <v>120</v>
      </c>
      <c r="H93" s="165">
        <v>98136</v>
      </c>
      <c r="I93" s="165" t="s">
        <v>333</v>
      </c>
      <c r="J93" s="166">
        <v>183.64999999999901</v>
      </c>
      <c r="K93" s="166">
        <v>164.79</v>
      </c>
      <c r="L93" s="166">
        <v>2109.75</v>
      </c>
      <c r="M93" s="166">
        <v>4437.13</v>
      </c>
      <c r="N93" s="166">
        <v>238.26</v>
      </c>
      <c r="O93" s="166">
        <v>147.54</v>
      </c>
      <c r="P93" s="166">
        <v>688.19</v>
      </c>
      <c r="Q93" s="166">
        <v>1755.38</v>
      </c>
      <c r="R93" s="166">
        <v>281.39</v>
      </c>
      <c r="S93" s="166">
        <v>238.26</v>
      </c>
      <c r="T93" s="166">
        <v>835.729999999999</v>
      </c>
      <c r="U93" s="166">
        <v>3154.1499999999901</v>
      </c>
      <c r="V93" s="172"/>
      <c r="W93" s="161"/>
      <c r="Y93" s="71">
        <v>98144</v>
      </c>
      <c r="Z93" s="14" t="s">
        <v>10</v>
      </c>
      <c r="AA93" s="73">
        <v>3717.7599999999902</v>
      </c>
      <c r="AB93" s="73">
        <v>842.82</v>
      </c>
      <c r="AC93" s="73">
        <v>4237.3699999999899</v>
      </c>
      <c r="AD93" s="73">
        <v>15774.0899999999</v>
      </c>
      <c r="AE93" s="73">
        <v>4288.8</v>
      </c>
      <c r="AF93" s="73">
        <v>3608.67</v>
      </c>
      <c r="AG93" s="73">
        <v>4475.92</v>
      </c>
      <c r="AH93" s="73">
        <v>17498.150000000001</v>
      </c>
      <c r="AI93" s="73">
        <v>5478.24</v>
      </c>
      <c r="AJ93" s="73">
        <v>3734.7</v>
      </c>
      <c r="AK93" s="73">
        <v>4635.41</v>
      </c>
      <c r="AL93" s="174">
        <v>21570.249999999902</v>
      </c>
      <c r="AM93" s="161">
        <f t="shared" si="1"/>
        <v>13848.349999999999</v>
      </c>
      <c r="AN93" s="161"/>
      <c r="AZ93" s="71" t="s">
        <v>143</v>
      </c>
      <c r="BA93" s="71" t="s">
        <v>333</v>
      </c>
      <c r="BB93" s="32">
        <v>5</v>
      </c>
      <c r="BC93" s="32">
        <v>7</v>
      </c>
      <c r="BD93" s="32">
        <v>4</v>
      </c>
      <c r="BF93" s="71" t="s">
        <v>143</v>
      </c>
      <c r="BG93" s="71" t="s">
        <v>333</v>
      </c>
      <c r="BH93" s="73">
        <v>2179.96</v>
      </c>
      <c r="BI93" s="73">
        <v>9812.7900000000009</v>
      </c>
      <c r="BJ93" s="73">
        <v>1592.48</v>
      </c>
      <c r="BL93" s="71">
        <v>98103</v>
      </c>
      <c r="BM93" s="71" t="s">
        <v>10</v>
      </c>
      <c r="BN93" s="73"/>
      <c r="BO93" s="73">
        <v>-276.33</v>
      </c>
      <c r="BP93" s="73">
        <v>-961.71</v>
      </c>
    </row>
    <row r="94" spans="2:68" x14ac:dyDescent="0.2">
      <c r="B94" s="78">
        <v>98146</v>
      </c>
      <c r="C94" s="60" t="s">
        <v>333</v>
      </c>
      <c r="D94" s="45">
        <v>19</v>
      </c>
      <c r="E94" s="45">
        <v>20</v>
      </c>
      <c r="F94" s="45">
        <v>14</v>
      </c>
      <c r="H94" s="165">
        <v>98144</v>
      </c>
      <c r="I94" s="165" t="s">
        <v>333</v>
      </c>
      <c r="J94" s="166">
        <v>18815.96</v>
      </c>
      <c r="K94" s="166">
        <v>4090.2599999999902</v>
      </c>
      <c r="L94" s="166">
        <v>29235.01</v>
      </c>
      <c r="M94" s="166">
        <v>109915.41</v>
      </c>
      <c r="N94" s="166">
        <v>13953.31</v>
      </c>
      <c r="O94" s="166">
        <v>10813.72</v>
      </c>
      <c r="P94" s="166">
        <v>31276.01</v>
      </c>
      <c r="Q94" s="166">
        <v>99395.79</v>
      </c>
      <c r="R94" s="166">
        <v>11098.779999999901</v>
      </c>
      <c r="S94" s="166">
        <v>7914.6699999999901</v>
      </c>
      <c r="T94" s="166">
        <v>35568.25</v>
      </c>
      <c r="U94" s="166">
        <v>141174.56999999899</v>
      </c>
      <c r="V94" s="172"/>
      <c r="W94" s="161"/>
      <c r="Y94" s="71">
        <v>98146</v>
      </c>
      <c r="Z94" s="14" t="s">
        <v>10</v>
      </c>
      <c r="AA94" s="73">
        <v>2360.16</v>
      </c>
      <c r="AB94" s="73">
        <v>785.88</v>
      </c>
      <c r="AC94" s="73">
        <v>6399.2</v>
      </c>
      <c r="AD94" s="73">
        <v>15672.4</v>
      </c>
      <c r="AE94" s="73">
        <v>5250.64</v>
      </c>
      <c r="AF94" s="73">
        <v>1940.1</v>
      </c>
      <c r="AG94" s="73">
        <v>6413.17</v>
      </c>
      <c r="AH94" s="73">
        <v>20790.469999999899</v>
      </c>
      <c r="AI94" s="73">
        <v>5897.7799999999897</v>
      </c>
      <c r="AJ94" s="73">
        <v>3994.21</v>
      </c>
      <c r="AK94" s="73">
        <v>7582.57</v>
      </c>
      <c r="AL94" s="174">
        <v>24749.449999999899</v>
      </c>
      <c r="AM94" s="161">
        <f t="shared" si="1"/>
        <v>17474.55999999999</v>
      </c>
      <c r="AN94" s="161"/>
      <c r="AZ94" s="71" t="s">
        <v>144</v>
      </c>
      <c r="BA94" s="71" t="s">
        <v>333</v>
      </c>
      <c r="BB94" s="32">
        <v>6</v>
      </c>
      <c r="BC94" s="32">
        <v>8</v>
      </c>
      <c r="BD94" s="32">
        <v>8</v>
      </c>
      <c r="BF94" s="71" t="s">
        <v>144</v>
      </c>
      <c r="BG94" s="71" t="s">
        <v>333</v>
      </c>
      <c r="BH94" s="73">
        <v>7717.9699999999993</v>
      </c>
      <c r="BI94" s="73">
        <v>19730.689999999999</v>
      </c>
      <c r="BJ94" s="73">
        <v>55373.38</v>
      </c>
      <c r="BL94" s="71">
        <v>98105</v>
      </c>
      <c r="BM94" s="71" t="s">
        <v>10</v>
      </c>
      <c r="BN94" s="73">
        <v>-266.77999999999997</v>
      </c>
      <c r="BO94" s="73">
        <v>-30.09</v>
      </c>
      <c r="BP94" s="73">
        <v>-36.869999999999997</v>
      </c>
    </row>
    <row r="95" spans="2:68" x14ac:dyDescent="0.2">
      <c r="B95" s="78">
        <v>98148</v>
      </c>
      <c r="C95" s="60" t="s">
        <v>333</v>
      </c>
      <c r="D95" s="45">
        <v>60</v>
      </c>
      <c r="E95" s="45">
        <v>80</v>
      </c>
      <c r="F95" s="45">
        <v>71</v>
      </c>
      <c r="H95" s="165">
        <v>98146</v>
      </c>
      <c r="I95" s="165" t="s">
        <v>333</v>
      </c>
      <c r="J95" s="166">
        <v>3344.32</v>
      </c>
      <c r="K95" s="166">
        <v>1067.8900000000001</v>
      </c>
      <c r="L95" s="166">
        <v>4936.22</v>
      </c>
      <c r="M95" s="166">
        <v>34060.74</v>
      </c>
      <c r="N95" s="166">
        <v>4333.72</v>
      </c>
      <c r="O95" s="166">
        <v>3062.73</v>
      </c>
      <c r="P95" s="166">
        <v>6004.11</v>
      </c>
      <c r="Q95" s="166">
        <v>23570.4899999999</v>
      </c>
      <c r="R95" s="166">
        <v>3870.64</v>
      </c>
      <c r="S95" s="166">
        <v>4016.08</v>
      </c>
      <c r="T95" s="166">
        <v>8892.4399999999896</v>
      </c>
      <c r="U95" s="166">
        <v>22085.71</v>
      </c>
      <c r="V95" s="172"/>
      <c r="W95" s="161"/>
      <c r="Y95" s="71">
        <v>98148</v>
      </c>
      <c r="Z95" s="14" t="s">
        <v>10</v>
      </c>
      <c r="AA95" s="73">
        <v>9071.91</v>
      </c>
      <c r="AB95" s="73">
        <v>4561.41</v>
      </c>
      <c r="AC95" s="73">
        <v>45813.91</v>
      </c>
      <c r="AD95" s="73">
        <v>75615.63</v>
      </c>
      <c r="AE95" s="73">
        <v>12805.1</v>
      </c>
      <c r="AF95" s="73">
        <v>8013.3</v>
      </c>
      <c r="AG95" s="73">
        <v>46580.879999999903</v>
      </c>
      <c r="AH95" s="73">
        <v>85732.68</v>
      </c>
      <c r="AI95" s="73">
        <v>16689.129999999899</v>
      </c>
      <c r="AJ95" s="73">
        <v>10837.119999999901</v>
      </c>
      <c r="AK95" s="73">
        <v>42169.84</v>
      </c>
      <c r="AL95" s="174">
        <v>85506.89</v>
      </c>
      <c r="AM95" s="161">
        <f t="shared" si="1"/>
        <v>69696.089999999793</v>
      </c>
      <c r="AN95" s="161"/>
      <c r="AZ95" s="71" t="s">
        <v>145</v>
      </c>
      <c r="BA95" s="71" t="s">
        <v>333</v>
      </c>
      <c r="BB95" s="32">
        <v>1</v>
      </c>
      <c r="BC95" s="32">
        <v>4</v>
      </c>
      <c r="BD95" s="32">
        <v>4</v>
      </c>
      <c r="BF95" s="71" t="s">
        <v>145</v>
      </c>
      <c r="BG95" s="71" t="s">
        <v>333</v>
      </c>
      <c r="BH95" s="73">
        <v>35.28</v>
      </c>
      <c r="BI95" s="73">
        <v>3959.36</v>
      </c>
      <c r="BJ95" s="73">
        <v>359.82</v>
      </c>
      <c r="BL95" s="71">
        <v>98107</v>
      </c>
      <c r="BM95" s="71" t="s">
        <v>10</v>
      </c>
      <c r="BN95" s="73">
        <v>-619.47</v>
      </c>
      <c r="BO95" s="73"/>
      <c r="BP95" s="73"/>
    </row>
    <row r="96" spans="2:68" x14ac:dyDescent="0.2">
      <c r="B96" s="78">
        <v>98154</v>
      </c>
      <c r="C96" s="60" t="s">
        <v>333</v>
      </c>
      <c r="D96" s="69"/>
      <c r="E96" s="45">
        <v>1</v>
      </c>
      <c r="F96" s="45">
        <v>1</v>
      </c>
      <c r="H96" s="165">
        <v>98148</v>
      </c>
      <c r="I96" s="165" t="s">
        <v>333</v>
      </c>
      <c r="J96" s="166">
        <v>3355.01</v>
      </c>
      <c r="K96" s="166">
        <v>2139.9099999999899</v>
      </c>
      <c r="L96" s="166">
        <v>6045.82</v>
      </c>
      <c r="M96" s="166">
        <v>50811.81</v>
      </c>
      <c r="N96" s="166">
        <v>5285.17</v>
      </c>
      <c r="O96" s="166">
        <v>2205.3399999999901</v>
      </c>
      <c r="P96" s="166">
        <v>6913.35</v>
      </c>
      <c r="Q96" s="166">
        <v>50652.5</v>
      </c>
      <c r="R96" s="166">
        <v>4121.6000000000004</v>
      </c>
      <c r="S96" s="166">
        <v>2677.81</v>
      </c>
      <c r="T96" s="166">
        <v>8171.04</v>
      </c>
      <c r="U96" s="166">
        <v>50900.019999999902</v>
      </c>
      <c r="V96" s="172"/>
      <c r="W96" s="161"/>
      <c r="Y96" s="71">
        <v>98155</v>
      </c>
      <c r="Z96" s="14" t="s">
        <v>10</v>
      </c>
      <c r="AA96" s="73">
        <v>1322.6299999999901</v>
      </c>
      <c r="AB96" s="73">
        <v>634.27999999999895</v>
      </c>
      <c r="AC96" s="73">
        <v>8558.35</v>
      </c>
      <c r="AD96" s="73">
        <v>14131.7499999999</v>
      </c>
      <c r="AE96" s="73">
        <v>2980.75</v>
      </c>
      <c r="AF96" s="73">
        <v>896.23</v>
      </c>
      <c r="AG96" s="73">
        <v>7125.3</v>
      </c>
      <c r="AH96" s="73">
        <v>15226.88</v>
      </c>
      <c r="AI96" s="73">
        <v>3312.61</v>
      </c>
      <c r="AJ96" s="73">
        <v>2653.2</v>
      </c>
      <c r="AK96" s="73">
        <v>5667.96</v>
      </c>
      <c r="AL96" s="174">
        <v>17305.14</v>
      </c>
      <c r="AM96" s="161">
        <f t="shared" si="1"/>
        <v>11633.77</v>
      </c>
      <c r="AN96" s="161"/>
      <c r="AZ96" s="71" t="s">
        <v>146</v>
      </c>
      <c r="BA96" s="71" t="s">
        <v>333</v>
      </c>
      <c r="BB96" s="32"/>
      <c r="BC96" s="32"/>
      <c r="BD96" s="32">
        <v>1</v>
      </c>
      <c r="BF96" s="71" t="s">
        <v>146</v>
      </c>
      <c r="BG96" s="71" t="s">
        <v>333</v>
      </c>
      <c r="BH96" s="73"/>
      <c r="BI96" s="73"/>
      <c r="BJ96" s="73">
        <v>2124.36</v>
      </c>
      <c r="BL96" s="71">
        <v>98108</v>
      </c>
      <c r="BM96" s="71" t="s">
        <v>10</v>
      </c>
      <c r="BN96" s="73">
        <v>-110.84</v>
      </c>
      <c r="BO96" s="73"/>
      <c r="BP96" s="73"/>
    </row>
    <row r="97" spans="2:68" x14ac:dyDescent="0.2">
      <c r="B97" s="78">
        <v>98155</v>
      </c>
      <c r="C97" s="60" t="s">
        <v>333</v>
      </c>
      <c r="D97" s="45">
        <v>25</v>
      </c>
      <c r="E97" s="45">
        <v>31</v>
      </c>
      <c r="F97" s="45">
        <v>21</v>
      </c>
      <c r="H97" s="165">
        <v>98154</v>
      </c>
      <c r="I97" s="165" t="s">
        <v>333</v>
      </c>
      <c r="J97" s="166"/>
      <c r="K97" s="166"/>
      <c r="L97" s="166"/>
      <c r="M97" s="166"/>
      <c r="N97" s="166"/>
      <c r="O97" s="166"/>
      <c r="P97" s="166"/>
      <c r="Q97" s="166">
        <v>140.4</v>
      </c>
      <c r="R97" s="166">
        <v>140.4</v>
      </c>
      <c r="S97" s="166"/>
      <c r="T97" s="166"/>
      <c r="U97" s="166">
        <v>202.22</v>
      </c>
      <c r="V97" s="172"/>
      <c r="W97" s="161"/>
      <c r="Y97" s="71">
        <v>98166</v>
      </c>
      <c r="Z97" s="14" t="s">
        <v>10</v>
      </c>
      <c r="AA97" s="73">
        <v>4170.96</v>
      </c>
      <c r="AB97" s="73">
        <v>1757.27</v>
      </c>
      <c r="AC97" s="73">
        <v>28141.1</v>
      </c>
      <c r="AD97" s="73">
        <v>40626.25</v>
      </c>
      <c r="AE97" s="73">
        <v>5511.3999999999896</v>
      </c>
      <c r="AF97" s="73">
        <v>4062.74999999999</v>
      </c>
      <c r="AG97" s="73">
        <v>29806.699999999899</v>
      </c>
      <c r="AH97" s="73">
        <v>47287.89</v>
      </c>
      <c r="AI97" s="73">
        <v>6669.26</v>
      </c>
      <c r="AJ97" s="73">
        <v>5236.0099999999902</v>
      </c>
      <c r="AK97" s="73">
        <v>31315.199999999899</v>
      </c>
      <c r="AL97" s="174">
        <v>51114.879999999997</v>
      </c>
      <c r="AM97" s="161">
        <f t="shared" si="1"/>
        <v>43220.469999999885</v>
      </c>
      <c r="AN97" s="161"/>
      <c r="AZ97" s="71" t="s">
        <v>148</v>
      </c>
      <c r="BA97" s="71" t="s">
        <v>333</v>
      </c>
      <c r="BB97" s="32">
        <v>2</v>
      </c>
      <c r="BC97" s="32">
        <v>2</v>
      </c>
      <c r="BD97" s="32">
        <v>2</v>
      </c>
      <c r="BF97" s="71" t="s">
        <v>148</v>
      </c>
      <c r="BG97" s="71" t="s">
        <v>333</v>
      </c>
      <c r="BH97" s="73">
        <v>704.8</v>
      </c>
      <c r="BI97" s="73">
        <v>737.74</v>
      </c>
      <c r="BJ97" s="73">
        <v>666.38</v>
      </c>
      <c r="BL97" s="71">
        <v>98109</v>
      </c>
      <c r="BM97" s="71" t="s">
        <v>10</v>
      </c>
      <c r="BN97" s="73">
        <v>-181.88</v>
      </c>
      <c r="BO97" s="73"/>
      <c r="BP97" s="73"/>
    </row>
    <row r="98" spans="2:68" x14ac:dyDescent="0.2">
      <c r="B98" s="78">
        <v>98166</v>
      </c>
      <c r="C98" s="60" t="s">
        <v>333</v>
      </c>
      <c r="D98" s="45">
        <v>74</v>
      </c>
      <c r="E98" s="45">
        <v>66</v>
      </c>
      <c r="F98" s="69">
        <v>51</v>
      </c>
      <c r="H98" s="165">
        <v>98155</v>
      </c>
      <c r="I98" s="165" t="s">
        <v>333</v>
      </c>
      <c r="J98" s="166">
        <v>1715.56</v>
      </c>
      <c r="K98" s="166">
        <v>242.55</v>
      </c>
      <c r="L98" s="166">
        <v>4982.3099999999904</v>
      </c>
      <c r="M98" s="166">
        <v>31870.82</v>
      </c>
      <c r="N98" s="166">
        <v>5124.2699999999904</v>
      </c>
      <c r="O98" s="166">
        <v>870.73</v>
      </c>
      <c r="P98" s="166">
        <v>4198.7</v>
      </c>
      <c r="Q98" s="166">
        <v>30275.74</v>
      </c>
      <c r="R98" s="166">
        <v>2396.9</v>
      </c>
      <c r="S98" s="166">
        <v>2008.6</v>
      </c>
      <c r="T98" s="166">
        <v>4128.78</v>
      </c>
      <c r="U98" s="166">
        <v>14236</v>
      </c>
      <c r="V98" s="172"/>
      <c r="W98" s="161"/>
      <c r="Y98" s="71">
        <v>98168</v>
      </c>
      <c r="Z98" s="14" t="s">
        <v>10</v>
      </c>
      <c r="AA98" s="73">
        <v>3394.46</v>
      </c>
      <c r="AB98" s="73">
        <v>1057.29</v>
      </c>
      <c r="AC98" s="73">
        <v>7114.2699999999904</v>
      </c>
      <c r="AD98" s="73">
        <v>21267.29</v>
      </c>
      <c r="AE98" s="73">
        <v>8165.75</v>
      </c>
      <c r="AF98" s="73">
        <v>2911.16</v>
      </c>
      <c r="AG98" s="73">
        <v>7580.1799999999903</v>
      </c>
      <c r="AH98" s="73">
        <v>29746.049999999901</v>
      </c>
      <c r="AI98" s="73">
        <v>8489.7099999999991</v>
      </c>
      <c r="AJ98" s="73">
        <v>6034.68</v>
      </c>
      <c r="AK98" s="73">
        <v>9809.94</v>
      </c>
      <c r="AL98" s="174">
        <v>33823.109999999899</v>
      </c>
      <c r="AM98" s="161">
        <f t="shared" si="1"/>
        <v>24334.33</v>
      </c>
      <c r="AN98" s="161"/>
      <c r="AZ98" s="71" t="s">
        <v>150</v>
      </c>
      <c r="BA98" s="71" t="s">
        <v>333</v>
      </c>
      <c r="BB98" s="32"/>
      <c r="BC98" s="32">
        <v>1</v>
      </c>
      <c r="BD98" s="32"/>
      <c r="BF98" s="71" t="s">
        <v>150</v>
      </c>
      <c r="BG98" s="71" t="s">
        <v>333</v>
      </c>
      <c r="BH98" s="73"/>
      <c r="BI98" s="73">
        <v>22.59</v>
      </c>
      <c r="BJ98" s="73"/>
      <c r="BL98" s="71">
        <v>98110</v>
      </c>
      <c r="BM98" s="71" t="s">
        <v>10</v>
      </c>
      <c r="BN98" s="73"/>
      <c r="BO98" s="73">
        <v>-41.22</v>
      </c>
      <c r="BP98" s="73"/>
    </row>
    <row r="99" spans="2:68" x14ac:dyDescent="0.2">
      <c r="B99" s="78">
        <v>98168</v>
      </c>
      <c r="C99" s="60" t="s">
        <v>333</v>
      </c>
      <c r="D99" s="45">
        <v>100</v>
      </c>
      <c r="E99" s="69">
        <v>74</v>
      </c>
      <c r="F99" s="69">
        <v>83</v>
      </c>
      <c r="H99" s="165">
        <v>98166</v>
      </c>
      <c r="I99" s="165" t="s">
        <v>333</v>
      </c>
      <c r="J99" s="166">
        <v>5999.98</v>
      </c>
      <c r="K99" s="166">
        <v>2875.9899999999898</v>
      </c>
      <c r="L99" s="166">
        <v>49804.799999999901</v>
      </c>
      <c r="M99" s="166">
        <v>92369.499999999898</v>
      </c>
      <c r="N99" s="166">
        <v>10733.889999999899</v>
      </c>
      <c r="O99" s="166">
        <v>4881.1099999999997</v>
      </c>
      <c r="P99" s="166">
        <v>51542.12</v>
      </c>
      <c r="Q99" s="166">
        <v>99081.83</v>
      </c>
      <c r="R99" s="166">
        <v>7332.1599999999899</v>
      </c>
      <c r="S99" s="166">
        <v>7714.99</v>
      </c>
      <c r="T99" s="166">
        <v>48524.0099999999</v>
      </c>
      <c r="U99" s="166">
        <v>82362.759999999995</v>
      </c>
      <c r="V99" s="172"/>
      <c r="W99" s="161"/>
      <c r="Y99" s="71">
        <v>98177</v>
      </c>
      <c r="Z99" s="14" t="s">
        <v>10</v>
      </c>
      <c r="AA99" s="73">
        <v>1341.65</v>
      </c>
      <c r="AB99" s="73">
        <v>337.46</v>
      </c>
      <c r="AC99" s="73">
        <v>5937.33</v>
      </c>
      <c r="AD99" s="73">
        <v>10796.51</v>
      </c>
      <c r="AE99" s="73">
        <v>2782.0899999999901</v>
      </c>
      <c r="AF99" s="73">
        <v>1212.17</v>
      </c>
      <c r="AG99" s="73">
        <v>5291.73</v>
      </c>
      <c r="AH99" s="73">
        <v>12730.1799999999</v>
      </c>
      <c r="AI99" s="73">
        <v>3136.18</v>
      </c>
      <c r="AJ99" s="73">
        <v>2552.19</v>
      </c>
      <c r="AK99" s="73">
        <v>6503.9</v>
      </c>
      <c r="AL99" s="174">
        <v>16292.01</v>
      </c>
      <c r="AM99" s="161">
        <f t="shared" si="1"/>
        <v>12192.27</v>
      </c>
      <c r="AN99" s="161"/>
      <c r="AZ99" s="71" t="s">
        <v>151</v>
      </c>
      <c r="BA99" s="71" t="s">
        <v>333</v>
      </c>
      <c r="BB99" s="32">
        <v>1</v>
      </c>
      <c r="BC99" s="32"/>
      <c r="BD99" s="32">
        <v>1</v>
      </c>
      <c r="BF99" s="71" t="s">
        <v>151</v>
      </c>
      <c r="BG99" s="71" t="s">
        <v>333</v>
      </c>
      <c r="BH99" s="73">
        <v>8700</v>
      </c>
      <c r="BI99" s="73"/>
      <c r="BJ99" s="73">
        <v>7952.93</v>
      </c>
      <c r="BL99" s="71">
        <v>98115</v>
      </c>
      <c r="BM99" s="71" t="s">
        <v>10</v>
      </c>
      <c r="BN99" s="73">
        <v>-87.53</v>
      </c>
      <c r="BO99" s="73"/>
      <c r="BP99" s="73"/>
    </row>
    <row r="100" spans="2:68" x14ac:dyDescent="0.2">
      <c r="B100" s="54">
        <v>98177</v>
      </c>
      <c r="C100" s="60" t="s">
        <v>333</v>
      </c>
      <c r="D100" s="45">
        <v>7</v>
      </c>
      <c r="E100" s="45">
        <v>5</v>
      </c>
      <c r="F100" s="45">
        <v>3</v>
      </c>
      <c r="H100" s="165">
        <v>98168</v>
      </c>
      <c r="I100" s="165" t="s">
        <v>333</v>
      </c>
      <c r="J100" s="166">
        <v>8433.41</v>
      </c>
      <c r="K100" s="166">
        <v>2188.74999999999</v>
      </c>
      <c r="L100" s="166">
        <v>34545.97</v>
      </c>
      <c r="M100" s="166">
        <v>121463.97</v>
      </c>
      <c r="N100" s="166">
        <v>13037.26</v>
      </c>
      <c r="O100" s="166">
        <v>3894.7599999999902</v>
      </c>
      <c r="P100" s="166">
        <v>32056</v>
      </c>
      <c r="Q100" s="166">
        <v>93098.39</v>
      </c>
      <c r="R100" s="166">
        <v>15513.1</v>
      </c>
      <c r="S100" s="166">
        <v>6569.5099999999902</v>
      </c>
      <c r="T100" s="166">
        <v>29947.499999999902</v>
      </c>
      <c r="U100" s="166">
        <v>146344.51</v>
      </c>
      <c r="V100" s="172"/>
      <c r="W100" s="161"/>
      <c r="Y100" s="71">
        <v>98178</v>
      </c>
      <c r="Z100" s="14" t="s">
        <v>10</v>
      </c>
      <c r="AA100" s="73">
        <v>4167.7599999999902</v>
      </c>
      <c r="AB100" s="73">
        <v>1003.34999999999</v>
      </c>
      <c r="AC100" s="73">
        <v>7959.67</v>
      </c>
      <c r="AD100" s="73">
        <v>24413.17</v>
      </c>
      <c r="AE100" s="73">
        <v>9476.26</v>
      </c>
      <c r="AF100" s="73">
        <v>3678.8</v>
      </c>
      <c r="AG100" s="73">
        <v>5715.27</v>
      </c>
      <c r="AH100" s="73">
        <v>28545.9899999999</v>
      </c>
      <c r="AI100" s="73">
        <v>7578.5</v>
      </c>
      <c r="AJ100" s="73">
        <v>8143.33</v>
      </c>
      <c r="AK100" s="73">
        <v>8088.03</v>
      </c>
      <c r="AL100" s="174">
        <v>33246.82</v>
      </c>
      <c r="AM100" s="161">
        <f t="shared" si="1"/>
        <v>23809.86</v>
      </c>
      <c r="AN100" s="161"/>
      <c r="AZ100" s="71" t="s">
        <v>153</v>
      </c>
      <c r="BA100" s="71" t="s">
        <v>333</v>
      </c>
      <c r="BB100" s="32"/>
      <c r="BC100" s="32">
        <v>1</v>
      </c>
      <c r="BD100" s="32"/>
      <c r="BF100" s="71" t="s">
        <v>153</v>
      </c>
      <c r="BG100" s="71" t="s">
        <v>333</v>
      </c>
      <c r="BH100" s="73"/>
      <c r="BI100" s="73"/>
      <c r="BJ100" s="73"/>
      <c r="BL100" s="71">
        <v>98116</v>
      </c>
      <c r="BM100" s="71" t="s">
        <v>10</v>
      </c>
      <c r="BN100" s="73">
        <v>-26.93</v>
      </c>
      <c r="BO100" s="73">
        <v>-56.38</v>
      </c>
      <c r="BP100" s="73"/>
    </row>
    <row r="101" spans="2:68" x14ac:dyDescent="0.2">
      <c r="B101" s="54">
        <v>98178</v>
      </c>
      <c r="C101" s="60" t="s">
        <v>333</v>
      </c>
      <c r="D101" s="45">
        <v>14</v>
      </c>
      <c r="E101" s="45">
        <v>25</v>
      </c>
      <c r="F101" s="45">
        <v>24</v>
      </c>
      <c r="H101" s="165">
        <v>98177</v>
      </c>
      <c r="I101" s="165" t="s">
        <v>333</v>
      </c>
      <c r="J101" s="166">
        <v>384.99</v>
      </c>
      <c r="K101" s="166">
        <v>46.42</v>
      </c>
      <c r="L101" s="166">
        <v>633.28</v>
      </c>
      <c r="M101" s="166">
        <v>2305.63</v>
      </c>
      <c r="N101" s="166">
        <v>928.07999999999902</v>
      </c>
      <c r="O101" s="166">
        <v>384.99</v>
      </c>
      <c r="P101" s="166">
        <v>679.69999999999902</v>
      </c>
      <c r="Q101" s="166">
        <v>10441.370000000001</v>
      </c>
      <c r="R101" s="166">
        <v>14.62</v>
      </c>
      <c r="S101" s="166"/>
      <c r="T101" s="166"/>
      <c r="U101" s="166">
        <v>659.06</v>
      </c>
      <c r="V101" s="172"/>
      <c r="W101" s="161"/>
      <c r="Y101" s="71">
        <v>98188</v>
      </c>
      <c r="Z101" s="14" t="s">
        <v>10</v>
      </c>
      <c r="AA101" s="73">
        <v>20174.09</v>
      </c>
      <c r="AB101" s="73">
        <v>8072.46</v>
      </c>
      <c r="AC101" s="73">
        <v>61702.2599999999</v>
      </c>
      <c r="AD101" s="73">
        <v>132676.14000000001</v>
      </c>
      <c r="AE101" s="73">
        <v>37926.539999999899</v>
      </c>
      <c r="AF101" s="73">
        <v>17926.8299999999</v>
      </c>
      <c r="AG101" s="73">
        <v>62606.06</v>
      </c>
      <c r="AH101" s="73">
        <v>168210.14</v>
      </c>
      <c r="AI101" s="73">
        <v>39193.980000000003</v>
      </c>
      <c r="AJ101" s="73">
        <v>30066.880000000001</v>
      </c>
      <c r="AK101" s="73">
        <v>71502.850000000006</v>
      </c>
      <c r="AL101" s="174">
        <v>185420.83999999901</v>
      </c>
      <c r="AM101" s="161">
        <f t="shared" si="1"/>
        <v>140763.71000000002</v>
      </c>
      <c r="AN101" s="161"/>
      <c r="AZ101" s="71" t="s">
        <v>156</v>
      </c>
      <c r="BA101" s="71" t="s">
        <v>333</v>
      </c>
      <c r="BB101" s="32"/>
      <c r="BC101" s="32">
        <v>1</v>
      </c>
      <c r="BD101" s="32"/>
      <c r="BF101" s="71" t="s">
        <v>156</v>
      </c>
      <c r="BG101" s="71" t="s">
        <v>333</v>
      </c>
      <c r="BH101" s="73"/>
      <c r="BI101" s="73">
        <v>722.35</v>
      </c>
      <c r="BJ101" s="73"/>
      <c r="BL101" s="71">
        <v>98117</v>
      </c>
      <c r="BM101" s="71" t="s">
        <v>10</v>
      </c>
      <c r="BN101" s="73">
        <v>-55.49</v>
      </c>
      <c r="BO101" s="73"/>
      <c r="BP101" s="73">
        <v>-948.01</v>
      </c>
    </row>
    <row r="102" spans="2:68" x14ac:dyDescent="0.2">
      <c r="B102" s="54">
        <v>98188</v>
      </c>
      <c r="C102" s="60" t="s">
        <v>333</v>
      </c>
      <c r="D102" s="45">
        <v>272</v>
      </c>
      <c r="E102" s="45">
        <v>319</v>
      </c>
      <c r="F102" s="45">
        <v>245</v>
      </c>
      <c r="H102" s="165">
        <v>98178</v>
      </c>
      <c r="I102" s="165" t="s">
        <v>333</v>
      </c>
      <c r="J102" s="166">
        <v>2019.66</v>
      </c>
      <c r="K102" s="166">
        <v>670.57</v>
      </c>
      <c r="L102" s="166">
        <v>9280.16</v>
      </c>
      <c r="M102" s="166">
        <v>17506.21</v>
      </c>
      <c r="N102" s="166">
        <v>2378.24999999999</v>
      </c>
      <c r="O102" s="166">
        <v>1638.87</v>
      </c>
      <c r="P102" s="166">
        <v>9709.93</v>
      </c>
      <c r="Q102" s="166">
        <v>24447.759999999998</v>
      </c>
      <c r="R102" s="166">
        <v>2241.1799999999998</v>
      </c>
      <c r="S102" s="166">
        <v>1896.57</v>
      </c>
      <c r="T102" s="166">
        <v>9741.4500000000007</v>
      </c>
      <c r="U102" s="166">
        <v>25255.8299999999</v>
      </c>
      <c r="V102" s="172"/>
      <c r="W102" s="161"/>
      <c r="Y102" s="71">
        <v>98198</v>
      </c>
      <c r="Z102" s="14" t="s">
        <v>10</v>
      </c>
      <c r="AA102" s="73">
        <v>40845.269999999997</v>
      </c>
      <c r="AB102" s="73">
        <v>17756.839999999898</v>
      </c>
      <c r="AC102" s="73">
        <v>118936.31</v>
      </c>
      <c r="AD102" s="73">
        <v>278340.15999999997</v>
      </c>
      <c r="AE102" s="73">
        <v>79521.609999999899</v>
      </c>
      <c r="AF102" s="73">
        <v>33190.409999999902</v>
      </c>
      <c r="AG102" s="73">
        <v>101071.42</v>
      </c>
      <c r="AH102" s="73">
        <v>313459.70999999897</v>
      </c>
      <c r="AI102" s="73">
        <v>77414.960000000006</v>
      </c>
      <c r="AJ102" s="73">
        <v>63099.62</v>
      </c>
      <c r="AK102" s="73">
        <v>109895.26</v>
      </c>
      <c r="AL102" s="174">
        <v>350292.679999999</v>
      </c>
      <c r="AM102" s="161">
        <f t="shared" si="1"/>
        <v>250409.84000000003</v>
      </c>
      <c r="AN102" s="161"/>
      <c r="AZ102" s="71" t="s">
        <v>157</v>
      </c>
      <c r="BA102" s="71" t="s">
        <v>333</v>
      </c>
      <c r="BB102" s="32">
        <v>2</v>
      </c>
      <c r="BC102" s="32">
        <v>4</v>
      </c>
      <c r="BD102" s="32">
        <v>2</v>
      </c>
      <c r="BF102" s="71" t="s">
        <v>157</v>
      </c>
      <c r="BG102" s="71" t="s">
        <v>333</v>
      </c>
      <c r="BH102" s="73">
        <v>19784.439999999999</v>
      </c>
      <c r="BI102" s="73">
        <v>800.57</v>
      </c>
      <c r="BJ102" s="73">
        <v>91335.38</v>
      </c>
      <c r="BL102" s="71">
        <v>98118</v>
      </c>
      <c r="BM102" s="71" t="s">
        <v>10</v>
      </c>
      <c r="BN102" s="73">
        <v>-2363.8200000000002</v>
      </c>
      <c r="BO102" s="73"/>
      <c r="BP102" s="73"/>
    </row>
    <row r="103" spans="2:68" x14ac:dyDescent="0.2">
      <c r="B103" s="54">
        <v>98195</v>
      </c>
      <c r="C103" s="60" t="s">
        <v>333</v>
      </c>
      <c r="D103" s="45">
        <v>3</v>
      </c>
      <c r="E103" s="45"/>
      <c r="F103" s="45"/>
      <c r="H103" s="165">
        <v>98188</v>
      </c>
      <c r="I103" s="165" t="s">
        <v>333</v>
      </c>
      <c r="J103" s="166">
        <v>83048.34</v>
      </c>
      <c r="K103" s="166">
        <v>71476</v>
      </c>
      <c r="L103" s="166">
        <v>1788329.82</v>
      </c>
      <c r="M103" s="166">
        <v>2415809.6999999899</v>
      </c>
      <c r="N103" s="166">
        <v>23224.929999999898</v>
      </c>
      <c r="O103" s="166">
        <v>16501.669999999998</v>
      </c>
      <c r="P103" s="166">
        <v>109700.30999999899</v>
      </c>
      <c r="Q103" s="166">
        <v>504680.91999999899</v>
      </c>
      <c r="R103" s="166">
        <v>64031.469999999899</v>
      </c>
      <c r="S103" s="166">
        <v>12718.4899999999</v>
      </c>
      <c r="T103" s="166">
        <v>97363.33</v>
      </c>
      <c r="U103" s="166">
        <v>327139.75999999902</v>
      </c>
      <c r="V103" s="172"/>
      <c r="W103" s="161"/>
      <c r="Y103" s="71">
        <v>98199</v>
      </c>
      <c r="Z103" s="14" t="s">
        <v>10</v>
      </c>
      <c r="AA103" s="73">
        <v>457.16999999999899</v>
      </c>
      <c r="AB103" s="73">
        <v>146.12</v>
      </c>
      <c r="AC103" s="73">
        <v>1425.86</v>
      </c>
      <c r="AD103" s="73">
        <v>2912.25</v>
      </c>
      <c r="AE103" s="73">
        <v>883.099999999999</v>
      </c>
      <c r="AF103" s="73">
        <v>457.16999999999899</v>
      </c>
      <c r="AG103" s="73">
        <v>1029.75</v>
      </c>
      <c r="AH103" s="73">
        <v>3487.76</v>
      </c>
      <c r="AI103" s="73">
        <v>929.24</v>
      </c>
      <c r="AJ103" s="73">
        <v>692.61</v>
      </c>
      <c r="AK103" s="73">
        <v>1483.62</v>
      </c>
      <c r="AL103" s="174">
        <v>4067.12</v>
      </c>
      <c r="AM103" s="161">
        <f t="shared" si="1"/>
        <v>3105.47</v>
      </c>
      <c r="AN103" s="161"/>
      <c r="AZ103" s="71" t="s">
        <v>158</v>
      </c>
      <c r="BA103" s="71" t="s">
        <v>333</v>
      </c>
      <c r="BB103" s="32">
        <v>1</v>
      </c>
      <c r="BC103" s="32">
        <v>1</v>
      </c>
      <c r="BD103" s="32">
        <v>1</v>
      </c>
      <c r="BF103" s="71" t="s">
        <v>158</v>
      </c>
      <c r="BG103" s="71" t="s">
        <v>333</v>
      </c>
      <c r="BH103" s="73">
        <v>14607.26</v>
      </c>
      <c r="BI103" s="73">
        <v>32.049999999999997</v>
      </c>
      <c r="BJ103" s="73">
        <v>14206.97</v>
      </c>
      <c r="BL103" s="71">
        <v>98119</v>
      </c>
      <c r="BM103" s="71" t="s">
        <v>10</v>
      </c>
      <c r="BN103" s="73">
        <v>-78.069999999999993</v>
      </c>
      <c r="BO103" s="73"/>
      <c r="BP103" s="73"/>
    </row>
    <row r="104" spans="2:68" x14ac:dyDescent="0.2">
      <c r="B104" s="78">
        <v>98198</v>
      </c>
      <c r="C104" s="60" t="s">
        <v>333</v>
      </c>
      <c r="D104" s="45">
        <v>135</v>
      </c>
      <c r="E104" s="45">
        <v>168</v>
      </c>
      <c r="F104" s="45">
        <v>126</v>
      </c>
      <c r="H104" s="165">
        <v>98195</v>
      </c>
      <c r="I104" s="165" t="s">
        <v>333</v>
      </c>
      <c r="J104" s="166"/>
      <c r="K104" s="166"/>
      <c r="L104" s="166"/>
      <c r="M104" s="166">
        <v>7186.24</v>
      </c>
      <c r="N104" s="166"/>
      <c r="O104" s="166"/>
      <c r="P104" s="166"/>
      <c r="Q104" s="166"/>
      <c r="R104" s="166"/>
      <c r="S104" s="166"/>
      <c r="T104" s="166"/>
      <c r="U104" s="166"/>
      <c r="V104" s="172"/>
      <c r="W104" s="161"/>
      <c r="Y104" s="71">
        <v>98201</v>
      </c>
      <c r="Z104" s="14" t="s">
        <v>10</v>
      </c>
      <c r="AA104" s="73">
        <v>3772.36</v>
      </c>
      <c r="AB104" s="73">
        <v>1320.92</v>
      </c>
      <c r="AC104" s="73">
        <v>9646.08</v>
      </c>
      <c r="AD104" s="73">
        <v>23270.18</v>
      </c>
      <c r="AE104" s="73">
        <v>6665.7799999999897</v>
      </c>
      <c r="AF104" s="73">
        <v>2999.77</v>
      </c>
      <c r="AG104" s="73">
        <v>8541.0400000000009</v>
      </c>
      <c r="AH104" s="73">
        <v>25597.78</v>
      </c>
      <c r="AI104" s="73">
        <v>5108.4299999999903</v>
      </c>
      <c r="AJ104" s="73">
        <v>5157.7</v>
      </c>
      <c r="AK104" s="73">
        <v>8871.7900000000009</v>
      </c>
      <c r="AL104" s="174">
        <v>26653.529999999901</v>
      </c>
      <c r="AM104" s="161">
        <f t="shared" si="1"/>
        <v>19137.919999999991</v>
      </c>
      <c r="AN104" s="161"/>
      <c r="AZ104" s="71" t="s">
        <v>161</v>
      </c>
      <c r="BA104" s="71" t="s">
        <v>333</v>
      </c>
      <c r="BB104" s="32">
        <v>1</v>
      </c>
      <c r="BC104" s="32"/>
      <c r="BD104" s="32"/>
      <c r="BF104" s="71" t="s">
        <v>161</v>
      </c>
      <c r="BG104" s="71" t="s">
        <v>333</v>
      </c>
      <c r="BH104" s="73">
        <v>10.54</v>
      </c>
      <c r="BI104" s="73"/>
      <c r="BJ104" s="73"/>
      <c r="BL104" s="71">
        <v>98122</v>
      </c>
      <c r="BM104" s="71" t="s">
        <v>10</v>
      </c>
      <c r="BN104" s="73">
        <v>-240.54</v>
      </c>
      <c r="BO104" s="73"/>
      <c r="BP104" s="73"/>
    </row>
    <row r="105" spans="2:68" x14ac:dyDescent="0.2">
      <c r="B105" s="78">
        <v>98199</v>
      </c>
      <c r="C105" s="60" t="s">
        <v>333</v>
      </c>
      <c r="D105" s="45">
        <v>40</v>
      </c>
      <c r="E105" s="69">
        <v>39</v>
      </c>
      <c r="F105" s="45">
        <v>29</v>
      </c>
      <c r="H105" s="165">
        <v>98198</v>
      </c>
      <c r="I105" s="165" t="s">
        <v>333</v>
      </c>
      <c r="J105" s="166">
        <v>14596.969999999899</v>
      </c>
      <c r="K105" s="166">
        <v>6520.06</v>
      </c>
      <c r="L105" s="166">
        <v>73141.539999999994</v>
      </c>
      <c r="M105" s="166">
        <v>137693.78</v>
      </c>
      <c r="N105" s="166">
        <v>15538.49</v>
      </c>
      <c r="O105" s="166">
        <v>11734.92</v>
      </c>
      <c r="P105" s="166">
        <v>69990.350000000006</v>
      </c>
      <c r="Q105" s="166">
        <v>226877.27</v>
      </c>
      <c r="R105" s="166">
        <v>66531.37</v>
      </c>
      <c r="S105" s="166">
        <v>10782.549999999899</v>
      </c>
      <c r="T105" s="166">
        <v>73455.83</v>
      </c>
      <c r="U105" s="166">
        <v>247361.6</v>
      </c>
      <c r="V105" s="172"/>
      <c r="W105" s="161"/>
      <c r="Y105" s="71">
        <v>98203</v>
      </c>
      <c r="Z105" s="14" t="s">
        <v>10</v>
      </c>
      <c r="AA105" s="73">
        <v>4588.9699999999903</v>
      </c>
      <c r="AB105" s="73">
        <v>1352.4</v>
      </c>
      <c r="AC105" s="73">
        <v>7971.73</v>
      </c>
      <c r="AD105" s="73">
        <v>24373.38</v>
      </c>
      <c r="AE105" s="73">
        <v>7906.96</v>
      </c>
      <c r="AF105" s="73">
        <v>3275.09</v>
      </c>
      <c r="AG105" s="73">
        <v>7536.33</v>
      </c>
      <c r="AH105" s="73">
        <v>27326.92</v>
      </c>
      <c r="AI105" s="73">
        <v>6037.58</v>
      </c>
      <c r="AJ105" s="73">
        <v>6073.24</v>
      </c>
      <c r="AK105" s="73">
        <v>9470.2999999999993</v>
      </c>
      <c r="AL105" s="174">
        <v>31039.82</v>
      </c>
      <c r="AM105" s="161">
        <f t="shared" si="1"/>
        <v>21581.119999999999</v>
      </c>
      <c r="AN105" s="161"/>
      <c r="AZ105" s="71" t="s">
        <v>302</v>
      </c>
      <c r="BA105" s="71" t="s">
        <v>333</v>
      </c>
      <c r="BB105" s="32"/>
      <c r="BC105" s="32"/>
      <c r="BD105" s="32">
        <v>1</v>
      </c>
      <c r="BF105" s="71" t="s">
        <v>302</v>
      </c>
      <c r="BG105" s="71" t="s">
        <v>333</v>
      </c>
      <c r="BH105" s="73"/>
      <c r="BI105" s="73"/>
      <c r="BJ105" s="73">
        <v>2033.68</v>
      </c>
      <c r="BL105" s="71">
        <v>98125</v>
      </c>
      <c r="BM105" s="71" t="s">
        <v>10</v>
      </c>
      <c r="BN105" s="73"/>
      <c r="BO105" s="73"/>
      <c r="BP105" s="73">
        <v>-123.57</v>
      </c>
    </row>
    <row r="106" spans="2:68" x14ac:dyDescent="0.2">
      <c r="B106" s="78">
        <v>98201</v>
      </c>
      <c r="C106" s="60" t="s">
        <v>333</v>
      </c>
      <c r="D106" s="45">
        <v>121</v>
      </c>
      <c r="E106" s="45">
        <v>133</v>
      </c>
      <c r="F106" s="45">
        <v>97</v>
      </c>
      <c r="H106" s="165">
        <v>98199</v>
      </c>
      <c r="I106" s="165" t="s">
        <v>333</v>
      </c>
      <c r="J106" s="166">
        <v>7118.85</v>
      </c>
      <c r="K106" s="166">
        <v>2735.0499999999902</v>
      </c>
      <c r="L106" s="166">
        <v>9178.42</v>
      </c>
      <c r="M106" s="166">
        <v>45933.97</v>
      </c>
      <c r="N106" s="166">
        <v>3128.6399999999899</v>
      </c>
      <c r="O106" s="166">
        <v>1612.59</v>
      </c>
      <c r="P106" s="166">
        <v>5892.36</v>
      </c>
      <c r="Q106" s="166">
        <v>35960.68</v>
      </c>
      <c r="R106" s="166">
        <v>7324.63</v>
      </c>
      <c r="S106" s="166">
        <v>1765.15</v>
      </c>
      <c r="T106" s="166">
        <v>6638.09</v>
      </c>
      <c r="U106" s="166">
        <v>27130.629999999899</v>
      </c>
      <c r="V106" s="172"/>
      <c r="W106" s="161"/>
      <c r="Y106" s="71">
        <v>98204</v>
      </c>
      <c r="Z106" s="14" t="s">
        <v>10</v>
      </c>
      <c r="AA106" s="73">
        <v>3146.04</v>
      </c>
      <c r="AB106" s="73">
        <v>929.05</v>
      </c>
      <c r="AC106" s="73">
        <v>3414.32</v>
      </c>
      <c r="AD106" s="73">
        <v>14809.43</v>
      </c>
      <c r="AE106" s="73">
        <v>4648.13</v>
      </c>
      <c r="AF106" s="73">
        <v>2757.78</v>
      </c>
      <c r="AG106" s="73">
        <v>3973.61</v>
      </c>
      <c r="AH106" s="73">
        <v>17350.509999999998</v>
      </c>
      <c r="AI106" s="73">
        <v>4170.8900000000003</v>
      </c>
      <c r="AJ106" s="73">
        <v>3622.88</v>
      </c>
      <c r="AK106" s="73">
        <v>4796.51</v>
      </c>
      <c r="AL106" s="174">
        <v>19031.07</v>
      </c>
      <c r="AM106" s="161">
        <f t="shared" si="1"/>
        <v>12590.28</v>
      </c>
      <c r="AN106" s="161"/>
      <c r="AZ106" s="71" t="s">
        <v>165</v>
      </c>
      <c r="BA106" s="71" t="s">
        <v>333</v>
      </c>
      <c r="BB106" s="32">
        <v>1</v>
      </c>
      <c r="BC106" s="32"/>
      <c r="BD106" s="32"/>
      <c r="BF106" s="71" t="s">
        <v>165</v>
      </c>
      <c r="BG106" s="71" t="s">
        <v>333</v>
      </c>
      <c r="BH106" s="73">
        <v>878.69</v>
      </c>
      <c r="BI106" s="73"/>
      <c r="BJ106" s="73"/>
      <c r="BL106" s="71">
        <v>98133</v>
      </c>
      <c r="BM106" s="71" t="s">
        <v>10</v>
      </c>
      <c r="BN106" s="73">
        <v>-503.46</v>
      </c>
      <c r="BO106" s="73"/>
      <c r="BP106" s="73"/>
    </row>
    <row r="107" spans="2:68" x14ac:dyDescent="0.2">
      <c r="B107" s="78">
        <v>98203</v>
      </c>
      <c r="C107" s="60" t="s">
        <v>333</v>
      </c>
      <c r="D107" s="45">
        <v>51</v>
      </c>
      <c r="E107" s="45">
        <v>76</v>
      </c>
      <c r="F107" s="45">
        <v>51</v>
      </c>
      <c r="H107" s="165">
        <v>98201</v>
      </c>
      <c r="I107" s="165" t="s">
        <v>333</v>
      </c>
      <c r="J107" s="166">
        <v>11004.77</v>
      </c>
      <c r="K107" s="166">
        <v>1564.59</v>
      </c>
      <c r="L107" s="166">
        <v>18697.189999999999</v>
      </c>
      <c r="M107" s="166">
        <v>81782.989999999903</v>
      </c>
      <c r="N107" s="166">
        <v>10896.02</v>
      </c>
      <c r="O107" s="166">
        <v>5616.9199999999901</v>
      </c>
      <c r="P107" s="166">
        <v>13574.9399999999</v>
      </c>
      <c r="Q107" s="166">
        <v>146525.08999999901</v>
      </c>
      <c r="R107" s="166">
        <v>10212.25</v>
      </c>
      <c r="S107" s="166">
        <v>6921.8899999999903</v>
      </c>
      <c r="T107" s="166">
        <v>14331.279999999901</v>
      </c>
      <c r="U107" s="166">
        <v>97932.12</v>
      </c>
      <c r="V107" s="172"/>
      <c r="W107" s="161"/>
      <c r="Y107" s="71">
        <v>98208</v>
      </c>
      <c r="Z107" s="14" t="s">
        <v>10</v>
      </c>
      <c r="AA107" s="73">
        <v>3515.86</v>
      </c>
      <c r="AB107" s="73">
        <v>1084.6399999999901</v>
      </c>
      <c r="AC107" s="73">
        <v>8352.28999999999</v>
      </c>
      <c r="AD107" s="73">
        <v>21909.81</v>
      </c>
      <c r="AE107" s="73">
        <v>7353.4499999999898</v>
      </c>
      <c r="AF107" s="73">
        <v>2820.8799999999901</v>
      </c>
      <c r="AG107" s="73">
        <v>8326.6599999999908</v>
      </c>
      <c r="AH107" s="73">
        <v>28223.2399999999</v>
      </c>
      <c r="AI107" s="73">
        <v>7119.91</v>
      </c>
      <c r="AJ107" s="73">
        <v>5733.99</v>
      </c>
      <c r="AK107" s="73">
        <v>7848.92</v>
      </c>
      <c r="AL107" s="174">
        <v>30991.6899999999</v>
      </c>
      <c r="AM107" s="161">
        <f t="shared" si="1"/>
        <v>20702.82</v>
      </c>
      <c r="AN107" s="161"/>
      <c r="AZ107" s="71" t="s">
        <v>303</v>
      </c>
      <c r="BA107" s="71" t="s">
        <v>333</v>
      </c>
      <c r="BB107" s="32">
        <v>3</v>
      </c>
      <c r="BC107" s="32">
        <v>1</v>
      </c>
      <c r="BD107" s="32">
        <v>1</v>
      </c>
      <c r="BF107" s="71" t="s">
        <v>303</v>
      </c>
      <c r="BG107" s="71" t="s">
        <v>333</v>
      </c>
      <c r="BH107" s="73">
        <v>1490.04</v>
      </c>
      <c r="BI107" s="73">
        <v>142.44</v>
      </c>
      <c r="BJ107" s="73">
        <v>458.24</v>
      </c>
      <c r="BL107" s="71">
        <v>98136</v>
      </c>
      <c r="BM107" s="71" t="s">
        <v>10</v>
      </c>
      <c r="BN107" s="73">
        <v>-233.29</v>
      </c>
      <c r="BO107" s="73"/>
      <c r="BP107" s="73"/>
    </row>
    <row r="108" spans="2:68" x14ac:dyDescent="0.2">
      <c r="B108" s="78">
        <v>98204</v>
      </c>
      <c r="C108" s="60" t="s">
        <v>333</v>
      </c>
      <c r="D108" s="45">
        <v>76</v>
      </c>
      <c r="E108" s="45">
        <v>101</v>
      </c>
      <c r="F108" s="45">
        <v>74</v>
      </c>
      <c r="H108" s="165">
        <v>98203</v>
      </c>
      <c r="I108" s="165" t="s">
        <v>333</v>
      </c>
      <c r="J108" s="166">
        <v>13936.81</v>
      </c>
      <c r="K108" s="166">
        <v>7991.9899999999898</v>
      </c>
      <c r="L108" s="166">
        <v>24917.39</v>
      </c>
      <c r="M108" s="166">
        <v>97632.889999999898</v>
      </c>
      <c r="N108" s="166">
        <v>15193.2499999999</v>
      </c>
      <c r="O108" s="166">
        <v>13036.01</v>
      </c>
      <c r="P108" s="166">
        <v>24048.23</v>
      </c>
      <c r="Q108" s="166">
        <v>148208.29</v>
      </c>
      <c r="R108" s="166">
        <v>4885.1400000000003</v>
      </c>
      <c r="S108" s="166">
        <v>7489.16</v>
      </c>
      <c r="T108" s="166">
        <v>27886.54</v>
      </c>
      <c r="U108" s="166">
        <v>88218.099999999904</v>
      </c>
      <c r="V108" s="172"/>
      <c r="W108" s="161"/>
      <c r="Y108" s="71">
        <v>98220</v>
      </c>
      <c r="Z108" s="14" t="s">
        <v>10</v>
      </c>
      <c r="AA108" s="73">
        <v>386.16</v>
      </c>
      <c r="AB108" s="73"/>
      <c r="AC108" s="73">
        <v>209.8</v>
      </c>
      <c r="AD108" s="73">
        <v>998.37</v>
      </c>
      <c r="AE108" s="73">
        <v>100.93</v>
      </c>
      <c r="AF108" s="73">
        <v>386.16</v>
      </c>
      <c r="AG108" s="73">
        <v>209.8</v>
      </c>
      <c r="AH108" s="73">
        <v>3532.53</v>
      </c>
      <c r="AI108" s="73">
        <v>1612.18</v>
      </c>
      <c r="AJ108" s="73"/>
      <c r="AK108" s="73">
        <v>492.35</v>
      </c>
      <c r="AL108" s="174">
        <v>5929.6199999999899</v>
      </c>
      <c r="AM108" s="161">
        <f t="shared" si="1"/>
        <v>2104.5300000000002</v>
      </c>
      <c r="AN108" s="161"/>
      <c r="AZ108" s="71" t="s">
        <v>304</v>
      </c>
      <c r="BA108" s="71" t="s">
        <v>333</v>
      </c>
      <c r="BB108" s="32"/>
      <c r="BC108" s="32"/>
      <c r="BD108" s="32">
        <v>1</v>
      </c>
      <c r="BF108" s="71" t="s">
        <v>304</v>
      </c>
      <c r="BG108" s="71" t="s">
        <v>333</v>
      </c>
      <c r="BH108" s="73"/>
      <c r="BI108" s="73"/>
      <c r="BJ108" s="73">
        <v>73.78</v>
      </c>
      <c r="BL108" s="71">
        <v>98146</v>
      </c>
      <c r="BM108" s="71" t="s">
        <v>10</v>
      </c>
      <c r="BN108" s="73">
        <v>-102.23</v>
      </c>
      <c r="BO108" s="73"/>
      <c r="BP108" s="73">
        <v>-362.66</v>
      </c>
    </row>
    <row r="109" spans="2:68" x14ac:dyDescent="0.2">
      <c r="B109" s="78">
        <v>98208</v>
      </c>
      <c r="C109" s="60" t="s">
        <v>333</v>
      </c>
      <c r="D109" s="45">
        <v>37</v>
      </c>
      <c r="E109" s="45">
        <v>54</v>
      </c>
      <c r="F109" s="45">
        <v>38</v>
      </c>
      <c r="H109" s="165">
        <v>98204</v>
      </c>
      <c r="I109" s="165" t="s">
        <v>333</v>
      </c>
      <c r="J109" s="166">
        <v>10724.0199999999</v>
      </c>
      <c r="K109" s="166">
        <v>3031.47999999999</v>
      </c>
      <c r="L109" s="166">
        <v>29925.78</v>
      </c>
      <c r="M109" s="166">
        <v>81557.81</v>
      </c>
      <c r="N109" s="166">
        <v>18038.23</v>
      </c>
      <c r="O109" s="166">
        <v>7498.08</v>
      </c>
      <c r="P109" s="166">
        <v>28544.36</v>
      </c>
      <c r="Q109" s="166">
        <v>135344.00999999899</v>
      </c>
      <c r="R109" s="166">
        <v>17039.039999999899</v>
      </c>
      <c r="S109" s="166">
        <v>10777.39</v>
      </c>
      <c r="T109" s="166">
        <v>31340.92</v>
      </c>
      <c r="U109" s="166">
        <v>118988.349999999</v>
      </c>
      <c r="V109" s="172"/>
      <c r="W109" s="161"/>
      <c r="Y109" s="71">
        <v>98221</v>
      </c>
      <c r="Z109" s="14" t="s">
        <v>10</v>
      </c>
      <c r="AA109" s="73">
        <v>12077.7499999999</v>
      </c>
      <c r="AB109" s="73">
        <v>3507.41</v>
      </c>
      <c r="AC109" s="73">
        <v>25708.82</v>
      </c>
      <c r="AD109" s="73">
        <v>59400.43</v>
      </c>
      <c r="AE109" s="73">
        <v>6922.11</v>
      </c>
      <c r="AF109" s="73">
        <v>13094.53</v>
      </c>
      <c r="AG109" s="73">
        <v>24522.16</v>
      </c>
      <c r="AH109" s="73">
        <v>54752.13</v>
      </c>
      <c r="AI109" s="73">
        <v>13181.62</v>
      </c>
      <c r="AJ109" s="73">
        <v>4356.96</v>
      </c>
      <c r="AK109" s="73">
        <v>34343.019999999997</v>
      </c>
      <c r="AL109" s="174">
        <v>78882.95</v>
      </c>
      <c r="AM109" s="161">
        <f t="shared" si="1"/>
        <v>51881.599999999999</v>
      </c>
      <c r="AN109" s="161"/>
      <c r="AZ109" s="71" t="s">
        <v>168</v>
      </c>
      <c r="BA109" s="71" t="s">
        <v>333</v>
      </c>
      <c r="BB109" s="32">
        <v>1</v>
      </c>
      <c r="BC109" s="32"/>
      <c r="BD109" s="32"/>
      <c r="BF109" s="71" t="s">
        <v>168</v>
      </c>
      <c r="BG109" s="71" t="s">
        <v>333</v>
      </c>
      <c r="BH109" s="73">
        <v>144.44</v>
      </c>
      <c r="BI109" s="73"/>
      <c r="BJ109" s="73"/>
      <c r="BL109" s="71">
        <v>98148</v>
      </c>
      <c r="BM109" s="71" t="s">
        <v>10</v>
      </c>
      <c r="BN109" s="73">
        <v>-51.89</v>
      </c>
      <c r="BO109" s="73"/>
      <c r="BP109" s="73"/>
    </row>
    <row r="110" spans="2:68" x14ac:dyDescent="0.2">
      <c r="B110" s="78">
        <v>98220</v>
      </c>
      <c r="C110" s="60" t="s">
        <v>333</v>
      </c>
      <c r="D110" s="45">
        <v>14</v>
      </c>
      <c r="E110" s="45">
        <v>9</v>
      </c>
      <c r="F110" s="45">
        <v>11</v>
      </c>
      <c r="H110" s="165">
        <v>98208</v>
      </c>
      <c r="I110" s="165" t="s">
        <v>333</v>
      </c>
      <c r="J110" s="166">
        <v>4342.01</v>
      </c>
      <c r="K110" s="166">
        <v>1403.45</v>
      </c>
      <c r="L110" s="166">
        <v>30523.51</v>
      </c>
      <c r="M110" s="166">
        <v>51248.819999999898</v>
      </c>
      <c r="N110" s="166">
        <v>9555.7199999999993</v>
      </c>
      <c r="O110" s="166">
        <v>3443.21</v>
      </c>
      <c r="P110" s="166">
        <v>31264.9899999999</v>
      </c>
      <c r="Q110" s="166">
        <v>65080.3</v>
      </c>
      <c r="R110" s="166">
        <v>4976.3199999999897</v>
      </c>
      <c r="S110" s="166">
        <v>3715.2</v>
      </c>
      <c r="T110" s="166">
        <v>34161.179999999898</v>
      </c>
      <c r="U110" s="166">
        <v>54777.779999999897</v>
      </c>
      <c r="V110" s="172"/>
      <c r="W110" s="161"/>
      <c r="Y110" s="71">
        <v>98223</v>
      </c>
      <c r="Z110" s="14" t="s">
        <v>10</v>
      </c>
      <c r="AA110" s="73">
        <v>347.34</v>
      </c>
      <c r="AB110" s="73">
        <v>104.16</v>
      </c>
      <c r="AC110" s="73">
        <v>1526.9099999999901</v>
      </c>
      <c r="AD110" s="73">
        <v>2508.1</v>
      </c>
      <c r="AE110" s="73">
        <v>529.68999999999903</v>
      </c>
      <c r="AF110" s="73">
        <v>345.69</v>
      </c>
      <c r="AG110" s="73">
        <v>1330.77</v>
      </c>
      <c r="AH110" s="73">
        <v>2892.05</v>
      </c>
      <c r="AI110" s="73">
        <v>493.82</v>
      </c>
      <c r="AJ110" s="73">
        <v>529.68999999999903</v>
      </c>
      <c r="AK110" s="73">
        <v>1029.46</v>
      </c>
      <c r="AL110" s="174">
        <v>2661.85</v>
      </c>
      <c r="AM110" s="161">
        <f t="shared" si="1"/>
        <v>2052.9699999999993</v>
      </c>
      <c r="AN110" s="161"/>
      <c r="AZ110" s="71" t="s">
        <v>169</v>
      </c>
      <c r="BA110" s="71" t="s">
        <v>333</v>
      </c>
      <c r="BB110" s="32">
        <v>3</v>
      </c>
      <c r="BC110" s="32">
        <v>3</v>
      </c>
      <c r="BD110" s="32">
        <v>2</v>
      </c>
      <c r="BF110" s="71" t="s">
        <v>169</v>
      </c>
      <c r="BG110" s="71" t="s">
        <v>333</v>
      </c>
      <c r="BH110" s="73">
        <v>17937.830000000002</v>
      </c>
      <c r="BI110" s="73">
        <v>9366.84</v>
      </c>
      <c r="BJ110" s="73">
        <v>5824.45</v>
      </c>
      <c r="BL110" s="71">
        <v>98155</v>
      </c>
      <c r="BM110" s="71" t="s">
        <v>10</v>
      </c>
      <c r="BN110" s="73"/>
      <c r="BO110" s="73">
        <v>-69.180000000000007</v>
      </c>
      <c r="BP110" s="73"/>
    </row>
    <row r="111" spans="2:68" x14ac:dyDescent="0.2">
      <c r="B111" s="78">
        <v>98221</v>
      </c>
      <c r="C111" s="60" t="s">
        <v>333</v>
      </c>
      <c r="D111" s="45">
        <v>288</v>
      </c>
      <c r="E111" s="45">
        <v>147</v>
      </c>
      <c r="F111" s="45">
        <v>318</v>
      </c>
      <c r="H111" s="165">
        <v>98220</v>
      </c>
      <c r="I111" s="165" t="s">
        <v>333</v>
      </c>
      <c r="J111" s="166">
        <v>30555.72</v>
      </c>
      <c r="K111" s="166">
        <v>5833.37</v>
      </c>
      <c r="L111" s="166">
        <v>87350.33</v>
      </c>
      <c r="M111" s="166">
        <v>133292.57999999999</v>
      </c>
      <c r="N111" s="166">
        <v>6686.6399999999903</v>
      </c>
      <c r="O111" s="166">
        <v>27306.95</v>
      </c>
      <c r="P111" s="166">
        <v>93167.4</v>
      </c>
      <c r="Q111" s="166">
        <v>152934.54999999999</v>
      </c>
      <c r="R111" s="166">
        <v>24859.949999999899</v>
      </c>
      <c r="S111" s="166">
        <v>6660.69</v>
      </c>
      <c r="T111" s="166">
        <v>115448.05</v>
      </c>
      <c r="U111" s="166">
        <v>157948.74</v>
      </c>
      <c r="V111" s="172"/>
      <c r="W111" s="161"/>
      <c r="Y111" s="71">
        <v>98224</v>
      </c>
      <c r="Z111" s="14" t="s">
        <v>10</v>
      </c>
      <c r="AA111" s="73">
        <v>140.97999999999999</v>
      </c>
      <c r="AB111" s="73">
        <v>184.32</v>
      </c>
      <c r="AC111" s="73">
        <v>533.37</v>
      </c>
      <c r="AD111" s="73">
        <v>1513.24</v>
      </c>
      <c r="AE111" s="73">
        <v>554.56999999999903</v>
      </c>
      <c r="AF111" s="73">
        <v>140.97999999999999</v>
      </c>
      <c r="AG111" s="73">
        <v>717.69</v>
      </c>
      <c r="AH111" s="73">
        <v>1717.36</v>
      </c>
      <c r="AI111" s="73">
        <v>304.12</v>
      </c>
      <c r="AJ111" s="73">
        <v>454.57</v>
      </c>
      <c r="AK111" s="73">
        <v>858.67</v>
      </c>
      <c r="AL111" s="174">
        <v>3080.22999999999</v>
      </c>
      <c r="AM111" s="161">
        <f t="shared" si="1"/>
        <v>1617.3600000000001</v>
      </c>
      <c r="AN111" s="161"/>
      <c r="AZ111" s="71" t="s">
        <v>170</v>
      </c>
      <c r="BA111" s="71" t="s">
        <v>333</v>
      </c>
      <c r="BB111" s="32"/>
      <c r="BC111" s="32">
        <v>3</v>
      </c>
      <c r="BD111" s="32">
        <v>1</v>
      </c>
      <c r="BF111" s="71" t="s">
        <v>170</v>
      </c>
      <c r="BG111" s="71" t="s">
        <v>333</v>
      </c>
      <c r="BH111" s="73"/>
      <c r="BI111" s="73">
        <v>290561.02</v>
      </c>
      <c r="BJ111" s="73">
        <v>1881.53</v>
      </c>
      <c r="BL111" s="71">
        <v>98166</v>
      </c>
      <c r="BM111" s="71" t="s">
        <v>10</v>
      </c>
      <c r="BN111" s="73"/>
      <c r="BO111" s="73">
        <v>-54.19</v>
      </c>
      <c r="BP111" s="73"/>
    </row>
    <row r="112" spans="2:68" x14ac:dyDescent="0.2">
      <c r="B112" s="78">
        <v>98223</v>
      </c>
      <c r="C112" s="60" t="s">
        <v>333</v>
      </c>
      <c r="D112" s="45">
        <v>16</v>
      </c>
      <c r="E112" s="45">
        <v>24</v>
      </c>
      <c r="F112" s="45">
        <v>13</v>
      </c>
      <c r="H112" s="165">
        <v>98221</v>
      </c>
      <c r="I112" s="165" t="s">
        <v>333</v>
      </c>
      <c r="J112" s="166">
        <v>101752.109999999</v>
      </c>
      <c r="K112" s="166">
        <v>29842.17</v>
      </c>
      <c r="L112" s="166">
        <v>185441.54</v>
      </c>
      <c r="M112" s="166">
        <v>740907.04</v>
      </c>
      <c r="N112" s="166">
        <v>20036.95</v>
      </c>
      <c r="O112" s="166">
        <v>115259.64</v>
      </c>
      <c r="P112" s="166">
        <v>188119.27</v>
      </c>
      <c r="Q112" s="166">
        <v>805511.78</v>
      </c>
      <c r="R112" s="166">
        <v>176148.66</v>
      </c>
      <c r="S112" s="166">
        <v>6180.6699999999901</v>
      </c>
      <c r="T112" s="166">
        <v>235864.78999999899</v>
      </c>
      <c r="U112" s="166">
        <v>1087109.04</v>
      </c>
      <c r="V112" s="172"/>
      <c r="W112" s="161"/>
      <c r="Y112" s="71">
        <v>98225</v>
      </c>
      <c r="Z112" s="14" t="s">
        <v>10</v>
      </c>
      <c r="AA112" s="73">
        <v>19410.259999999998</v>
      </c>
      <c r="AB112" s="73">
        <v>1829.73</v>
      </c>
      <c r="AC112" s="73">
        <v>47503.819999999898</v>
      </c>
      <c r="AD112" s="73">
        <v>117981.3</v>
      </c>
      <c r="AE112" s="73">
        <v>39558.410000000003</v>
      </c>
      <c r="AF112" s="73">
        <v>14777.25</v>
      </c>
      <c r="AG112" s="73">
        <v>38237.49</v>
      </c>
      <c r="AH112" s="73">
        <v>143703.47</v>
      </c>
      <c r="AI112" s="73">
        <v>41244.910000000003</v>
      </c>
      <c r="AJ112" s="73">
        <v>32697.2599999999</v>
      </c>
      <c r="AK112" s="73">
        <v>42549.65</v>
      </c>
      <c r="AL112" s="174">
        <v>170229.61999999901</v>
      </c>
      <c r="AM112" s="161">
        <f t="shared" si="1"/>
        <v>116491.81999999989</v>
      </c>
      <c r="AN112" s="161"/>
      <c r="AZ112" s="71" t="s">
        <v>305</v>
      </c>
      <c r="BA112" s="71" t="s">
        <v>333</v>
      </c>
      <c r="BB112" s="32"/>
      <c r="BC112" s="32">
        <v>1</v>
      </c>
      <c r="BD112" s="32">
        <v>1</v>
      </c>
      <c r="BF112" s="71" t="s">
        <v>305</v>
      </c>
      <c r="BG112" s="71" t="s">
        <v>333</v>
      </c>
      <c r="BH112" s="73"/>
      <c r="BI112" s="73">
        <v>2682.75</v>
      </c>
      <c r="BJ112" s="73">
        <v>26460.54</v>
      </c>
      <c r="BL112" s="71">
        <v>98178</v>
      </c>
      <c r="BM112" s="71" t="s">
        <v>10</v>
      </c>
      <c r="BN112" s="73">
        <v>-50</v>
      </c>
      <c r="BO112" s="73">
        <v>-294.77</v>
      </c>
      <c r="BP112" s="73">
        <v>-50</v>
      </c>
    </row>
    <row r="113" spans="2:68" x14ac:dyDescent="0.2">
      <c r="B113" s="78">
        <v>98224</v>
      </c>
      <c r="C113" s="60" t="s">
        <v>333</v>
      </c>
      <c r="D113" s="45">
        <v>4</v>
      </c>
      <c r="E113" s="45">
        <v>4</v>
      </c>
      <c r="F113" s="45">
        <v>4</v>
      </c>
      <c r="H113" s="165">
        <v>98223</v>
      </c>
      <c r="I113" s="165" t="s">
        <v>333</v>
      </c>
      <c r="J113" s="166">
        <v>659.24</v>
      </c>
      <c r="K113" s="166">
        <v>300.60000000000002</v>
      </c>
      <c r="L113" s="166">
        <v>3652.42</v>
      </c>
      <c r="M113" s="166">
        <v>35982.1</v>
      </c>
      <c r="N113" s="166">
        <v>4222.16</v>
      </c>
      <c r="O113" s="166">
        <v>200.75</v>
      </c>
      <c r="P113" s="166">
        <v>3372.5599999999899</v>
      </c>
      <c r="Q113" s="166">
        <v>24238.07</v>
      </c>
      <c r="R113" s="166">
        <v>598.66</v>
      </c>
      <c r="S113" s="166">
        <v>318.75</v>
      </c>
      <c r="T113" s="166">
        <v>3573.31</v>
      </c>
      <c r="U113" s="166">
        <v>17237.599999999999</v>
      </c>
      <c r="V113" s="172"/>
      <c r="W113" s="161"/>
      <c r="Y113" s="71">
        <v>98226</v>
      </c>
      <c r="Z113" s="14" t="s">
        <v>10</v>
      </c>
      <c r="AA113" s="73">
        <v>88155.209999999905</v>
      </c>
      <c r="AB113" s="73">
        <v>11532.9</v>
      </c>
      <c r="AC113" s="73">
        <v>182003.12</v>
      </c>
      <c r="AD113" s="73">
        <v>364847.30999999901</v>
      </c>
      <c r="AE113" s="73">
        <v>73867.41</v>
      </c>
      <c r="AF113" s="73">
        <v>59779.74</v>
      </c>
      <c r="AG113" s="73">
        <v>156444.68</v>
      </c>
      <c r="AH113" s="73">
        <v>400110.55999999901</v>
      </c>
      <c r="AI113" s="73">
        <v>88980.869999999893</v>
      </c>
      <c r="AJ113" s="73">
        <v>53699.199999999997</v>
      </c>
      <c r="AK113" s="73">
        <v>184423.28</v>
      </c>
      <c r="AL113" s="174">
        <v>525213.89</v>
      </c>
      <c r="AM113" s="161">
        <f t="shared" si="1"/>
        <v>327103.34999999986</v>
      </c>
      <c r="AN113" s="161"/>
      <c r="AZ113" s="71" t="s">
        <v>172</v>
      </c>
      <c r="BA113" s="71" t="s">
        <v>333</v>
      </c>
      <c r="BB113" s="32">
        <v>1</v>
      </c>
      <c r="BC113" s="32">
        <v>4</v>
      </c>
      <c r="BD113" s="32">
        <v>5</v>
      </c>
      <c r="BF113" s="71" t="s">
        <v>172</v>
      </c>
      <c r="BG113" s="71" t="s">
        <v>333</v>
      </c>
      <c r="BH113" s="73">
        <v>720.79</v>
      </c>
      <c r="BI113" s="73">
        <v>954.14</v>
      </c>
      <c r="BJ113" s="73">
        <v>8333.39</v>
      </c>
      <c r="BL113" s="71">
        <v>98188</v>
      </c>
      <c r="BM113" s="71" t="s">
        <v>10</v>
      </c>
      <c r="BN113" s="73">
        <v>-220.08</v>
      </c>
      <c r="BO113" s="73"/>
      <c r="BP113" s="73">
        <v>-254.66</v>
      </c>
    </row>
    <row r="114" spans="2:68" x14ac:dyDescent="0.2">
      <c r="B114" s="78">
        <v>98225</v>
      </c>
      <c r="C114" s="60" t="s">
        <v>333</v>
      </c>
      <c r="D114" s="45">
        <v>285</v>
      </c>
      <c r="E114" s="45">
        <v>245</v>
      </c>
      <c r="F114" s="45">
        <v>222</v>
      </c>
      <c r="H114" s="165">
        <v>98224</v>
      </c>
      <c r="I114" s="165" t="s">
        <v>333</v>
      </c>
      <c r="J114" s="166">
        <v>85.09</v>
      </c>
      <c r="K114" s="166">
        <v>82.5</v>
      </c>
      <c r="L114" s="166">
        <v>787.02</v>
      </c>
      <c r="M114" s="166">
        <v>1091.7</v>
      </c>
      <c r="N114" s="166">
        <v>137.09</v>
      </c>
      <c r="O114" s="166">
        <v>85.09</v>
      </c>
      <c r="P114" s="166">
        <v>869.52</v>
      </c>
      <c r="Q114" s="166">
        <v>1445.08</v>
      </c>
      <c r="R114" s="166">
        <v>353.38</v>
      </c>
      <c r="S114" s="166">
        <v>103.41</v>
      </c>
      <c r="T114" s="166">
        <v>928.52</v>
      </c>
      <c r="U114" s="166">
        <v>1785.95999999999</v>
      </c>
      <c r="V114" s="172"/>
      <c r="W114" s="161"/>
      <c r="Y114" s="71">
        <v>98229</v>
      </c>
      <c r="Z114" s="14" t="s">
        <v>10</v>
      </c>
      <c r="AA114" s="73">
        <v>18094.48</v>
      </c>
      <c r="AB114" s="73">
        <v>1974.11</v>
      </c>
      <c r="AC114" s="73">
        <v>51734.65</v>
      </c>
      <c r="AD114" s="73">
        <v>123845.16999999899</v>
      </c>
      <c r="AE114" s="73">
        <v>41037.360000000001</v>
      </c>
      <c r="AF114" s="73">
        <v>14703.9</v>
      </c>
      <c r="AG114" s="73">
        <v>47928.969999999899</v>
      </c>
      <c r="AH114" s="73">
        <v>160476.50999999899</v>
      </c>
      <c r="AI114" s="73">
        <v>45325.33</v>
      </c>
      <c r="AJ114" s="73">
        <v>32091.069999999901</v>
      </c>
      <c r="AK114" s="73">
        <v>43334.209999999897</v>
      </c>
      <c r="AL114" s="174">
        <v>175399.00999999899</v>
      </c>
      <c r="AM114" s="161">
        <f t="shared" si="1"/>
        <v>120750.60999999981</v>
      </c>
      <c r="AN114" s="161"/>
      <c r="AZ114" s="71" t="s">
        <v>174</v>
      </c>
      <c r="BA114" s="71" t="s">
        <v>333</v>
      </c>
      <c r="BB114" s="32"/>
      <c r="BC114" s="32"/>
      <c r="BD114" s="32">
        <v>3</v>
      </c>
      <c r="BF114" s="71" t="s">
        <v>174</v>
      </c>
      <c r="BG114" s="71" t="s">
        <v>333</v>
      </c>
      <c r="BH114" s="73"/>
      <c r="BI114" s="73"/>
      <c r="BJ114" s="73">
        <v>13626.31</v>
      </c>
      <c r="BL114" s="71">
        <v>98198</v>
      </c>
      <c r="BM114" s="71" t="s">
        <v>10</v>
      </c>
      <c r="BN114" s="73">
        <v>-162.6</v>
      </c>
      <c r="BO114" s="73">
        <v>-166.5</v>
      </c>
      <c r="BP114" s="73">
        <v>-130.79</v>
      </c>
    </row>
    <row r="115" spans="2:68" x14ac:dyDescent="0.2">
      <c r="B115" s="78">
        <v>98226</v>
      </c>
      <c r="C115" s="60" t="s">
        <v>333</v>
      </c>
      <c r="D115" s="45">
        <v>525</v>
      </c>
      <c r="E115" s="45">
        <v>426</v>
      </c>
      <c r="F115" s="45">
        <v>444</v>
      </c>
      <c r="H115" s="165">
        <v>98225</v>
      </c>
      <c r="I115" s="165" t="s">
        <v>333</v>
      </c>
      <c r="J115" s="166">
        <v>20654.019999999899</v>
      </c>
      <c r="K115" s="166">
        <v>1779.91</v>
      </c>
      <c r="L115" s="166">
        <v>170172.48</v>
      </c>
      <c r="M115" s="166">
        <v>267458.21000000002</v>
      </c>
      <c r="N115" s="166">
        <v>19558.669999999998</v>
      </c>
      <c r="O115" s="166">
        <v>14599.65</v>
      </c>
      <c r="P115" s="166">
        <v>155976.49</v>
      </c>
      <c r="Q115" s="166">
        <v>365728.62999999902</v>
      </c>
      <c r="R115" s="166">
        <v>19015.559999999899</v>
      </c>
      <c r="S115" s="166">
        <v>14012.549999999899</v>
      </c>
      <c r="T115" s="166">
        <v>155176.85999999999</v>
      </c>
      <c r="U115" s="166">
        <v>262352.63</v>
      </c>
      <c r="V115" s="172"/>
      <c r="W115" s="161"/>
      <c r="Y115" s="71">
        <v>98230</v>
      </c>
      <c r="Z115" s="14" t="s">
        <v>10</v>
      </c>
      <c r="AA115" s="73">
        <v>19307.93</v>
      </c>
      <c r="AB115" s="73">
        <v>6247.2299999999896</v>
      </c>
      <c r="AC115" s="73">
        <v>30809.279999999901</v>
      </c>
      <c r="AD115" s="73">
        <v>89147.68</v>
      </c>
      <c r="AE115" s="73">
        <v>24185.19</v>
      </c>
      <c r="AF115" s="73">
        <v>18964.96</v>
      </c>
      <c r="AG115" s="73">
        <v>25362.11</v>
      </c>
      <c r="AH115" s="73">
        <v>74686.819999999905</v>
      </c>
      <c r="AI115" s="73">
        <v>21232.81</v>
      </c>
      <c r="AJ115" s="73">
        <v>18261.439999999999</v>
      </c>
      <c r="AK115" s="73">
        <v>32938.81</v>
      </c>
      <c r="AL115" s="174">
        <v>101109.06</v>
      </c>
      <c r="AM115" s="161">
        <f t="shared" si="1"/>
        <v>72433.06</v>
      </c>
      <c r="AN115" s="161"/>
      <c r="AZ115" s="71" t="s">
        <v>176</v>
      </c>
      <c r="BA115" s="71" t="s">
        <v>333</v>
      </c>
      <c r="BB115" s="32">
        <v>2</v>
      </c>
      <c r="BC115" s="32">
        <v>2</v>
      </c>
      <c r="BD115" s="32">
        <v>1</v>
      </c>
      <c r="BF115" s="71" t="s">
        <v>176</v>
      </c>
      <c r="BG115" s="71" t="s">
        <v>333</v>
      </c>
      <c r="BH115" s="73">
        <v>33521.97</v>
      </c>
      <c r="BI115" s="73">
        <v>726.19</v>
      </c>
      <c r="BJ115" s="73">
        <v>3.15</v>
      </c>
      <c r="BL115" s="71">
        <v>98199</v>
      </c>
      <c r="BM115" s="71" t="s">
        <v>10</v>
      </c>
      <c r="BN115" s="73">
        <v>-82.6</v>
      </c>
      <c r="BO115" s="73"/>
      <c r="BP115" s="73"/>
    </row>
    <row r="116" spans="2:68" x14ac:dyDescent="0.2">
      <c r="B116" s="78">
        <v>98229</v>
      </c>
      <c r="C116" s="60" t="s">
        <v>333</v>
      </c>
      <c r="D116" s="45">
        <v>115</v>
      </c>
      <c r="E116" s="45">
        <v>117</v>
      </c>
      <c r="F116" s="45">
        <v>104</v>
      </c>
      <c r="H116" s="165">
        <v>98226</v>
      </c>
      <c r="I116" s="165" t="s">
        <v>333</v>
      </c>
      <c r="J116" s="166">
        <v>89551.769999999902</v>
      </c>
      <c r="K116" s="166">
        <v>61393.47</v>
      </c>
      <c r="L116" s="166">
        <v>1045828.62</v>
      </c>
      <c r="M116" s="166">
        <v>1466006.12</v>
      </c>
      <c r="N116" s="166">
        <v>75369.7</v>
      </c>
      <c r="O116" s="166">
        <v>54067.64</v>
      </c>
      <c r="P116" s="166">
        <v>1043417.2</v>
      </c>
      <c r="Q116" s="166">
        <v>1421841.56</v>
      </c>
      <c r="R116" s="166">
        <v>59229.8999999999</v>
      </c>
      <c r="S116" s="166">
        <v>52074.68</v>
      </c>
      <c r="T116" s="166">
        <v>1042652.67</v>
      </c>
      <c r="U116" s="166">
        <v>1531165.24</v>
      </c>
      <c r="V116" s="172"/>
      <c r="W116" s="161"/>
      <c r="Y116" s="71">
        <v>98232</v>
      </c>
      <c r="Z116" s="14" t="s">
        <v>10</v>
      </c>
      <c r="AA116" s="73">
        <v>683.73</v>
      </c>
      <c r="AB116" s="73"/>
      <c r="AC116" s="73">
        <v>1326.56</v>
      </c>
      <c r="AD116" s="73">
        <v>6745.94</v>
      </c>
      <c r="AE116" s="73">
        <v>4156.38</v>
      </c>
      <c r="AF116" s="73">
        <v>507.35</v>
      </c>
      <c r="AG116" s="73">
        <v>1030.33</v>
      </c>
      <c r="AH116" s="73">
        <v>7682.61</v>
      </c>
      <c r="AI116" s="73">
        <v>1988.55</v>
      </c>
      <c r="AJ116" s="73">
        <v>2108.16</v>
      </c>
      <c r="AK116" s="73">
        <v>1537.68</v>
      </c>
      <c r="AL116" s="174">
        <v>12316.949999999901</v>
      </c>
      <c r="AM116" s="161">
        <f t="shared" si="1"/>
        <v>5634.39</v>
      </c>
      <c r="AN116" s="161"/>
      <c r="AZ116" s="71" t="s">
        <v>178</v>
      </c>
      <c r="BA116" s="71" t="s">
        <v>333</v>
      </c>
      <c r="BB116" s="32"/>
      <c r="BC116" s="32">
        <v>1</v>
      </c>
      <c r="BD116" s="32"/>
      <c r="BF116" s="71" t="s">
        <v>178</v>
      </c>
      <c r="BG116" s="71" t="s">
        <v>333</v>
      </c>
      <c r="BH116" s="73"/>
      <c r="BI116" s="73">
        <v>1851.18</v>
      </c>
      <c r="BJ116" s="73"/>
      <c r="BL116" s="71">
        <v>98201</v>
      </c>
      <c r="BM116" s="71" t="s">
        <v>10</v>
      </c>
      <c r="BN116" s="73">
        <v>-98.38</v>
      </c>
      <c r="BO116" s="73">
        <v>-147.01</v>
      </c>
      <c r="BP116" s="73"/>
    </row>
    <row r="117" spans="2:68" x14ac:dyDescent="0.2">
      <c r="B117" s="78">
        <v>98230</v>
      </c>
      <c r="C117" s="60" t="s">
        <v>333</v>
      </c>
      <c r="D117" s="45">
        <v>106</v>
      </c>
      <c r="E117" s="45">
        <v>92</v>
      </c>
      <c r="F117" s="45">
        <v>99</v>
      </c>
      <c r="H117" s="165">
        <v>98229</v>
      </c>
      <c r="I117" s="165" t="s">
        <v>333</v>
      </c>
      <c r="J117" s="166">
        <v>3844.3399999999901</v>
      </c>
      <c r="K117" s="166">
        <v>596.79999999999995</v>
      </c>
      <c r="L117" s="166">
        <v>33240.410000000003</v>
      </c>
      <c r="M117" s="166">
        <v>48570.489999999903</v>
      </c>
      <c r="N117" s="166">
        <v>3849.24</v>
      </c>
      <c r="O117" s="166">
        <v>2017.6299999999901</v>
      </c>
      <c r="P117" s="166">
        <v>30666.76</v>
      </c>
      <c r="Q117" s="166">
        <v>61891.029999999897</v>
      </c>
      <c r="R117" s="166">
        <v>8371.25</v>
      </c>
      <c r="S117" s="166">
        <v>2747.51</v>
      </c>
      <c r="T117" s="166">
        <v>27278.7</v>
      </c>
      <c r="U117" s="166">
        <v>67349.309999999896</v>
      </c>
      <c r="V117" s="172"/>
      <c r="W117" s="161"/>
      <c r="Y117" s="71">
        <v>98233</v>
      </c>
      <c r="Z117" s="14" t="s">
        <v>10</v>
      </c>
      <c r="AA117" s="73">
        <v>7703.02</v>
      </c>
      <c r="AB117" s="73">
        <v>298.7</v>
      </c>
      <c r="AC117" s="73">
        <v>21539.4399999999</v>
      </c>
      <c r="AD117" s="73">
        <v>53764.2</v>
      </c>
      <c r="AE117" s="73">
        <v>18248.16</v>
      </c>
      <c r="AF117" s="73">
        <v>6341.8199999999897</v>
      </c>
      <c r="AG117" s="73">
        <v>20083.509999999998</v>
      </c>
      <c r="AH117" s="73">
        <v>72784.649999999994</v>
      </c>
      <c r="AI117" s="73">
        <v>21706.5</v>
      </c>
      <c r="AJ117" s="73">
        <v>14085.21</v>
      </c>
      <c r="AK117" s="73">
        <v>19830.099999999999</v>
      </c>
      <c r="AL117" s="174">
        <v>81877.05</v>
      </c>
      <c r="AM117" s="161">
        <f t="shared" si="1"/>
        <v>55621.81</v>
      </c>
      <c r="AN117" s="161"/>
      <c r="AZ117" s="71" t="s">
        <v>179</v>
      </c>
      <c r="BA117" s="71" t="s">
        <v>333</v>
      </c>
      <c r="BB117" s="32">
        <v>1</v>
      </c>
      <c r="BC117" s="32"/>
      <c r="BD117" s="32"/>
      <c r="BF117" s="71" t="s">
        <v>179</v>
      </c>
      <c r="BG117" s="71" t="s">
        <v>333</v>
      </c>
      <c r="BH117" s="73">
        <v>104.72</v>
      </c>
      <c r="BI117" s="73"/>
      <c r="BJ117" s="73"/>
      <c r="BL117" s="71">
        <v>98204</v>
      </c>
      <c r="BM117" s="71" t="s">
        <v>10</v>
      </c>
      <c r="BN117" s="73">
        <v>-113.29</v>
      </c>
      <c r="BO117" s="73">
        <v>-25.05</v>
      </c>
      <c r="BP117" s="73"/>
    </row>
    <row r="118" spans="2:68" x14ac:dyDescent="0.2">
      <c r="B118" s="78">
        <v>98232</v>
      </c>
      <c r="C118" s="60" t="s">
        <v>333</v>
      </c>
      <c r="D118" s="45">
        <v>23</v>
      </c>
      <c r="E118" s="45">
        <v>31</v>
      </c>
      <c r="F118" s="45">
        <v>26</v>
      </c>
      <c r="H118" s="165">
        <v>98230</v>
      </c>
      <c r="I118" s="165" t="s">
        <v>333</v>
      </c>
      <c r="J118" s="166">
        <v>60087.429999999898</v>
      </c>
      <c r="K118" s="166">
        <v>42186.62</v>
      </c>
      <c r="L118" s="166">
        <v>1238170.6399999899</v>
      </c>
      <c r="M118" s="166">
        <v>1475778.47999999</v>
      </c>
      <c r="N118" s="166">
        <v>79216.240000000005</v>
      </c>
      <c r="O118" s="166">
        <v>58682.539999999899</v>
      </c>
      <c r="P118" s="166">
        <v>1277279.8500000001</v>
      </c>
      <c r="Q118" s="166">
        <v>1498216.1599999899</v>
      </c>
      <c r="R118" s="166">
        <v>57467.799999999901</v>
      </c>
      <c r="S118" s="166">
        <v>66782.179999999993</v>
      </c>
      <c r="T118" s="166">
        <v>1331335.56</v>
      </c>
      <c r="U118" s="166">
        <v>1544945.8399999901</v>
      </c>
      <c r="V118" s="172"/>
      <c r="W118" s="161"/>
      <c r="Y118" s="71">
        <v>98235</v>
      </c>
      <c r="Z118" s="14" t="s">
        <v>10</v>
      </c>
      <c r="AA118" s="73"/>
      <c r="AB118" s="73">
        <v>881.49</v>
      </c>
      <c r="AC118" s="73">
        <v>1393.34</v>
      </c>
      <c r="AD118" s="73">
        <v>4539.08</v>
      </c>
      <c r="AE118" s="73">
        <v>2264.25</v>
      </c>
      <c r="AF118" s="73"/>
      <c r="AG118" s="73">
        <v>2074.83</v>
      </c>
      <c r="AH118" s="73">
        <v>4339.08</v>
      </c>
      <c r="AI118" s="73"/>
      <c r="AJ118" s="73">
        <v>2264.25</v>
      </c>
      <c r="AK118" s="73">
        <v>2074.83</v>
      </c>
      <c r="AL118" s="174">
        <v>6294.2</v>
      </c>
      <c r="AM118" s="161">
        <f t="shared" si="1"/>
        <v>4339.08</v>
      </c>
      <c r="AN118" s="161"/>
      <c r="AZ118" s="71" t="s">
        <v>180</v>
      </c>
      <c r="BA118" s="71" t="s">
        <v>333</v>
      </c>
      <c r="BB118" s="32">
        <v>2</v>
      </c>
      <c r="BC118" s="32"/>
      <c r="BD118" s="32">
        <v>2</v>
      </c>
      <c r="BF118" s="71" t="s">
        <v>180</v>
      </c>
      <c r="BG118" s="71" t="s">
        <v>333</v>
      </c>
      <c r="BH118" s="73">
        <v>9636.33</v>
      </c>
      <c r="BI118" s="73"/>
      <c r="BJ118" s="73">
        <v>3864.17</v>
      </c>
      <c r="BL118" s="71">
        <v>98208</v>
      </c>
      <c r="BM118" s="71" t="s">
        <v>10</v>
      </c>
      <c r="BN118" s="73">
        <v>-37.31</v>
      </c>
      <c r="BO118" s="73"/>
      <c r="BP118" s="73">
        <v>-37.25</v>
      </c>
    </row>
    <row r="119" spans="2:68" x14ac:dyDescent="0.2">
      <c r="B119" s="78">
        <v>98233</v>
      </c>
      <c r="C119" s="60" t="s">
        <v>333</v>
      </c>
      <c r="D119" s="45">
        <v>98</v>
      </c>
      <c r="E119" s="45">
        <v>113</v>
      </c>
      <c r="F119" s="45">
        <v>103</v>
      </c>
      <c r="H119" s="165">
        <v>98232</v>
      </c>
      <c r="I119" s="165" t="s">
        <v>333</v>
      </c>
      <c r="J119" s="166">
        <v>474.77</v>
      </c>
      <c r="K119" s="166">
        <v>545.79999999999995</v>
      </c>
      <c r="L119" s="166">
        <v>3844.55</v>
      </c>
      <c r="M119" s="166">
        <v>8519.7599999999893</v>
      </c>
      <c r="N119" s="166">
        <v>2407.5</v>
      </c>
      <c r="O119" s="166">
        <v>373.24</v>
      </c>
      <c r="P119" s="166">
        <v>3938.05</v>
      </c>
      <c r="Q119" s="166">
        <v>18198.439999999999</v>
      </c>
      <c r="R119" s="166">
        <v>746.87999999999897</v>
      </c>
      <c r="S119" s="166">
        <v>1339.01</v>
      </c>
      <c r="T119" s="166">
        <v>2686.49</v>
      </c>
      <c r="U119" s="166">
        <v>10642.5099999999</v>
      </c>
      <c r="V119" s="172"/>
      <c r="W119" s="161"/>
      <c r="Y119" s="71">
        <v>98236</v>
      </c>
      <c r="Z119" s="14" t="s">
        <v>10</v>
      </c>
      <c r="AA119" s="73">
        <v>6291.5899999999901</v>
      </c>
      <c r="AB119" s="73">
        <v>2404.87</v>
      </c>
      <c r="AC119" s="73">
        <v>12986.859999999901</v>
      </c>
      <c r="AD119" s="73">
        <v>31374.53</v>
      </c>
      <c r="AE119" s="73">
        <v>7677.7399999999898</v>
      </c>
      <c r="AF119" s="73">
        <v>5330.07</v>
      </c>
      <c r="AG119" s="73">
        <v>14041.52</v>
      </c>
      <c r="AH119" s="73">
        <v>39358.959999999999</v>
      </c>
      <c r="AI119" s="73">
        <v>9043.2099999999991</v>
      </c>
      <c r="AJ119" s="73">
        <v>6167.64</v>
      </c>
      <c r="AK119" s="73">
        <v>16600.09</v>
      </c>
      <c r="AL119" s="174">
        <v>40817.949999999997</v>
      </c>
      <c r="AM119" s="161">
        <f t="shared" si="1"/>
        <v>31810.94</v>
      </c>
      <c r="AN119" s="161"/>
      <c r="AZ119" s="71" t="s">
        <v>181</v>
      </c>
      <c r="BA119" s="71" t="s">
        <v>333</v>
      </c>
      <c r="BB119" s="32">
        <v>1</v>
      </c>
      <c r="BC119" s="32"/>
      <c r="BD119" s="32">
        <v>1</v>
      </c>
      <c r="BF119" s="71" t="s">
        <v>181</v>
      </c>
      <c r="BG119" s="71" t="s">
        <v>333</v>
      </c>
      <c r="BH119" s="73">
        <v>163.53</v>
      </c>
      <c r="BI119" s="73"/>
      <c r="BJ119" s="73">
        <v>57.73</v>
      </c>
      <c r="BL119" s="71">
        <v>98221</v>
      </c>
      <c r="BM119" s="71" t="s">
        <v>10</v>
      </c>
      <c r="BN119" s="73">
        <v>-31.12</v>
      </c>
      <c r="BO119" s="73"/>
      <c r="BP119" s="73"/>
    </row>
    <row r="120" spans="2:68" x14ac:dyDescent="0.2">
      <c r="B120" s="78">
        <v>98235</v>
      </c>
      <c r="C120" s="60" t="s">
        <v>333</v>
      </c>
      <c r="D120" s="45">
        <v>6</v>
      </c>
      <c r="E120" s="45">
        <v>2</v>
      </c>
      <c r="F120" s="45">
        <v>5</v>
      </c>
      <c r="H120" s="165">
        <v>98233</v>
      </c>
      <c r="I120" s="165" t="s">
        <v>333</v>
      </c>
      <c r="J120" s="166">
        <v>6962.84</v>
      </c>
      <c r="K120" s="166">
        <v>4030.32</v>
      </c>
      <c r="L120" s="166">
        <v>171673.77</v>
      </c>
      <c r="M120" s="166">
        <v>284774.8</v>
      </c>
      <c r="N120" s="166">
        <v>16961.560000000001</v>
      </c>
      <c r="O120" s="166">
        <v>4438.05</v>
      </c>
      <c r="P120" s="166">
        <v>165081.58999999901</v>
      </c>
      <c r="Q120" s="166">
        <v>215028.9</v>
      </c>
      <c r="R120" s="166">
        <v>13456.94</v>
      </c>
      <c r="S120" s="166">
        <v>14738.87</v>
      </c>
      <c r="T120" s="166">
        <v>160456.74</v>
      </c>
      <c r="U120" s="166">
        <v>244426.69999999899</v>
      </c>
      <c r="V120" s="172"/>
      <c r="W120" s="161"/>
      <c r="Y120" s="71">
        <v>98237</v>
      </c>
      <c r="Z120" s="14" t="s">
        <v>10</v>
      </c>
      <c r="AA120" s="73">
        <v>6328.94</v>
      </c>
      <c r="AB120" s="73">
        <v>6673.46</v>
      </c>
      <c r="AC120" s="73">
        <v>31899.459999999901</v>
      </c>
      <c r="AD120" s="73">
        <v>75887.61</v>
      </c>
      <c r="AE120" s="73">
        <v>26625.200000000001</v>
      </c>
      <c r="AF120" s="73">
        <v>5663.6799999999903</v>
      </c>
      <c r="AG120" s="73">
        <v>37382.79</v>
      </c>
      <c r="AH120" s="73">
        <v>85052.73</v>
      </c>
      <c r="AI120" s="73">
        <v>14046.9399999999</v>
      </c>
      <c r="AJ120" s="73">
        <v>21080.949999999899</v>
      </c>
      <c r="AK120" s="73">
        <v>39287.230000000003</v>
      </c>
      <c r="AL120" s="174">
        <v>109799.43</v>
      </c>
      <c r="AM120" s="161">
        <f t="shared" si="1"/>
        <v>74415.119999999792</v>
      </c>
      <c r="AN120" s="161"/>
      <c r="AZ120" s="71" t="s">
        <v>182</v>
      </c>
      <c r="BA120" s="71" t="s">
        <v>333</v>
      </c>
      <c r="BB120" s="32">
        <v>1</v>
      </c>
      <c r="BC120" s="32">
        <v>2</v>
      </c>
      <c r="BD120" s="32">
        <v>4</v>
      </c>
      <c r="BF120" s="71" t="s">
        <v>182</v>
      </c>
      <c r="BG120" s="71" t="s">
        <v>333</v>
      </c>
      <c r="BH120" s="73">
        <v>30.63</v>
      </c>
      <c r="BI120" s="73">
        <v>1649.8</v>
      </c>
      <c r="BJ120" s="73">
        <v>905.71</v>
      </c>
      <c r="BL120" s="71">
        <v>98225</v>
      </c>
      <c r="BM120" s="71" t="s">
        <v>10</v>
      </c>
      <c r="BN120" s="73">
        <v>-1452.44</v>
      </c>
      <c r="BO120" s="73">
        <v>-84.39</v>
      </c>
      <c r="BP120" s="73">
        <v>-2708.06</v>
      </c>
    </row>
    <row r="121" spans="2:68" x14ac:dyDescent="0.2">
      <c r="B121" s="78">
        <v>98236</v>
      </c>
      <c r="C121" s="60" t="s">
        <v>333</v>
      </c>
      <c r="D121" s="45">
        <v>54</v>
      </c>
      <c r="E121" s="45">
        <v>57</v>
      </c>
      <c r="F121" s="45">
        <v>78</v>
      </c>
      <c r="H121" s="165">
        <v>98235</v>
      </c>
      <c r="I121" s="165" t="s">
        <v>333</v>
      </c>
      <c r="J121" s="166">
        <v>173.24</v>
      </c>
      <c r="K121" s="166">
        <v>146.71</v>
      </c>
      <c r="L121" s="166">
        <v>1730.88</v>
      </c>
      <c r="M121" s="166">
        <v>4105.93</v>
      </c>
      <c r="N121" s="166">
        <v>14.3</v>
      </c>
      <c r="O121" s="166">
        <v>173.24</v>
      </c>
      <c r="P121" s="166">
        <v>1452.76</v>
      </c>
      <c r="Q121" s="166">
        <v>1655.47</v>
      </c>
      <c r="R121" s="166">
        <v>15.17</v>
      </c>
      <c r="S121" s="166">
        <v>14.3</v>
      </c>
      <c r="T121" s="166">
        <v>1626</v>
      </c>
      <c r="U121" s="166">
        <v>1852.72</v>
      </c>
      <c r="V121" s="172"/>
      <c r="W121" s="161"/>
      <c r="Y121" s="71">
        <v>98239</v>
      </c>
      <c r="Z121" s="14" t="s">
        <v>10</v>
      </c>
      <c r="AA121" s="73">
        <v>4436.3299999999899</v>
      </c>
      <c r="AB121" s="73">
        <v>182.73999999999899</v>
      </c>
      <c r="AC121" s="73">
        <v>13970.56</v>
      </c>
      <c r="AD121" s="73">
        <v>24115.599999999999</v>
      </c>
      <c r="AE121" s="73">
        <v>5605.81</v>
      </c>
      <c r="AF121" s="73">
        <v>3373.6499999999901</v>
      </c>
      <c r="AG121" s="73">
        <v>14342.13</v>
      </c>
      <c r="AH121" s="73">
        <v>34023.08</v>
      </c>
      <c r="AI121" s="73">
        <v>10266.41</v>
      </c>
      <c r="AJ121" s="73">
        <v>4169.18</v>
      </c>
      <c r="AK121" s="73">
        <v>15612.2399999999</v>
      </c>
      <c r="AL121" s="174">
        <v>48263.2599999999</v>
      </c>
      <c r="AM121" s="161">
        <f t="shared" si="1"/>
        <v>30047.8299999999</v>
      </c>
      <c r="AN121" s="161"/>
      <c r="AZ121" s="71" t="s">
        <v>184</v>
      </c>
      <c r="BA121" s="71" t="s">
        <v>333</v>
      </c>
      <c r="BB121" s="32">
        <v>2</v>
      </c>
      <c r="BC121" s="32">
        <v>2</v>
      </c>
      <c r="BD121" s="32">
        <v>2</v>
      </c>
      <c r="BF121" s="71" t="s">
        <v>184</v>
      </c>
      <c r="BG121" s="71" t="s">
        <v>333</v>
      </c>
      <c r="BH121" s="73">
        <v>5814.91</v>
      </c>
      <c r="BI121" s="73">
        <v>4895.62</v>
      </c>
      <c r="BJ121" s="73">
        <v>8108.46</v>
      </c>
      <c r="BL121" s="71">
        <v>98226</v>
      </c>
      <c r="BM121" s="71" t="s">
        <v>10</v>
      </c>
      <c r="BN121" s="73">
        <v>-827.06</v>
      </c>
      <c r="BO121" s="73">
        <v>-145.07</v>
      </c>
      <c r="BP121" s="73">
        <v>-58.03</v>
      </c>
    </row>
    <row r="122" spans="2:68" x14ac:dyDescent="0.2">
      <c r="B122" s="78">
        <v>98237</v>
      </c>
      <c r="C122" s="60" t="s">
        <v>333</v>
      </c>
      <c r="D122" s="45">
        <v>38</v>
      </c>
      <c r="E122" s="45">
        <v>43</v>
      </c>
      <c r="F122" s="45">
        <v>54</v>
      </c>
      <c r="H122" s="165">
        <v>98236</v>
      </c>
      <c r="I122" s="165" t="s">
        <v>333</v>
      </c>
      <c r="J122" s="166">
        <v>2324.2600000000002</v>
      </c>
      <c r="K122" s="166">
        <v>657.24</v>
      </c>
      <c r="L122" s="166">
        <v>14519.75</v>
      </c>
      <c r="M122" s="166">
        <v>28657.699999999899</v>
      </c>
      <c r="N122" s="166">
        <v>1311.83</v>
      </c>
      <c r="O122" s="166">
        <v>1279.81</v>
      </c>
      <c r="P122" s="166">
        <v>14626.99</v>
      </c>
      <c r="Q122" s="166">
        <v>40928.419999999896</v>
      </c>
      <c r="R122" s="166">
        <v>2608.2399999999998</v>
      </c>
      <c r="S122" s="166">
        <v>1176.08</v>
      </c>
      <c r="T122" s="166">
        <v>15906.799999999899</v>
      </c>
      <c r="U122" s="166">
        <v>34653.5099999999</v>
      </c>
      <c r="V122" s="172"/>
      <c r="W122" s="161"/>
      <c r="Y122" s="71">
        <v>98240</v>
      </c>
      <c r="Z122" s="14" t="s">
        <v>10</v>
      </c>
      <c r="AA122" s="73">
        <v>3919.9</v>
      </c>
      <c r="AB122" s="73">
        <v>2082.9699999999998</v>
      </c>
      <c r="AC122" s="73">
        <v>3585.22</v>
      </c>
      <c r="AD122" s="73">
        <v>17518.91</v>
      </c>
      <c r="AE122" s="73">
        <v>6170.86</v>
      </c>
      <c r="AF122" s="73">
        <v>4454.2599999999902</v>
      </c>
      <c r="AG122" s="73">
        <v>3537.24</v>
      </c>
      <c r="AH122" s="73">
        <v>19250.04</v>
      </c>
      <c r="AI122" s="73">
        <v>5850.99</v>
      </c>
      <c r="AJ122" s="73">
        <v>5954.4499999999898</v>
      </c>
      <c r="AK122" s="73">
        <v>7187.9099999999899</v>
      </c>
      <c r="AL122" s="174">
        <v>26708.67</v>
      </c>
      <c r="AM122" s="161">
        <f t="shared" si="1"/>
        <v>18993.34999999998</v>
      </c>
      <c r="AN122" s="161"/>
      <c r="AZ122" s="71" t="s">
        <v>187</v>
      </c>
      <c r="BA122" s="71" t="s">
        <v>333</v>
      </c>
      <c r="BB122" s="32"/>
      <c r="BC122" s="32">
        <v>2</v>
      </c>
      <c r="BD122" s="32"/>
      <c r="BF122" s="71" t="s">
        <v>187</v>
      </c>
      <c r="BG122" s="71" t="s">
        <v>333</v>
      </c>
      <c r="BH122" s="73"/>
      <c r="BI122" s="73">
        <v>673.44</v>
      </c>
      <c r="BJ122" s="73"/>
      <c r="BL122" s="71">
        <v>98229</v>
      </c>
      <c r="BM122" s="71" t="s">
        <v>10</v>
      </c>
      <c r="BN122" s="73">
        <v>-127.91</v>
      </c>
      <c r="BO122" s="73">
        <v>-105.93</v>
      </c>
      <c r="BP122" s="73">
        <v>-126.52</v>
      </c>
    </row>
    <row r="123" spans="2:68" x14ac:dyDescent="0.2">
      <c r="B123" s="78">
        <v>98238</v>
      </c>
      <c r="C123" s="60" t="s">
        <v>333</v>
      </c>
      <c r="D123" s="45">
        <v>2</v>
      </c>
      <c r="E123" s="45">
        <v>5</v>
      </c>
      <c r="F123" s="45">
        <v>1</v>
      </c>
      <c r="H123" s="165">
        <v>98237</v>
      </c>
      <c r="I123" s="165" t="s">
        <v>333</v>
      </c>
      <c r="J123" s="166">
        <v>2675.5</v>
      </c>
      <c r="K123" s="166">
        <v>755.1</v>
      </c>
      <c r="L123" s="166">
        <v>18985.64</v>
      </c>
      <c r="M123" s="166">
        <v>33362.15</v>
      </c>
      <c r="N123" s="166">
        <v>1727.11</v>
      </c>
      <c r="O123" s="166">
        <v>1825.98</v>
      </c>
      <c r="P123" s="166">
        <v>19043.209999999901</v>
      </c>
      <c r="Q123" s="166">
        <v>31742.29</v>
      </c>
      <c r="R123" s="166">
        <v>4823.8100000000004</v>
      </c>
      <c r="S123" s="166">
        <v>794.01999999999896</v>
      </c>
      <c r="T123" s="166">
        <v>19917.53</v>
      </c>
      <c r="U123" s="166">
        <v>49020.28</v>
      </c>
      <c r="V123" s="172"/>
      <c r="W123" s="161"/>
      <c r="Y123" s="71">
        <v>98244</v>
      </c>
      <c r="Z123" s="14" t="s">
        <v>10</v>
      </c>
      <c r="AA123" s="73">
        <v>4955.24999999999</v>
      </c>
      <c r="AB123" s="73">
        <v>205.88</v>
      </c>
      <c r="AC123" s="73">
        <v>25080.55</v>
      </c>
      <c r="AD123" s="73">
        <v>33799.96</v>
      </c>
      <c r="AE123" s="73">
        <v>2324.65</v>
      </c>
      <c r="AF123" s="73">
        <v>4589.6499999999996</v>
      </c>
      <c r="AG123" s="73">
        <v>23396.1</v>
      </c>
      <c r="AH123" s="73">
        <v>52024.479999999901</v>
      </c>
      <c r="AI123" s="73">
        <v>17319.919999999998</v>
      </c>
      <c r="AJ123" s="73">
        <v>2324.17</v>
      </c>
      <c r="AK123" s="73">
        <v>27678.61</v>
      </c>
      <c r="AL123" s="174">
        <v>53873.45</v>
      </c>
      <c r="AM123" s="161">
        <f t="shared" si="1"/>
        <v>47322.7</v>
      </c>
      <c r="AN123" s="161"/>
      <c r="AZ123" s="71" t="s">
        <v>190</v>
      </c>
      <c r="BA123" s="71" t="s">
        <v>333</v>
      </c>
      <c r="BB123" s="32">
        <v>1</v>
      </c>
      <c r="BC123" s="32">
        <v>1</v>
      </c>
      <c r="BD123" s="32"/>
      <c r="BF123" s="71" t="s">
        <v>190</v>
      </c>
      <c r="BG123" s="71" t="s">
        <v>333</v>
      </c>
      <c r="BH123" s="73">
        <v>1171.7</v>
      </c>
      <c r="BI123" s="73">
        <v>1071.7</v>
      </c>
      <c r="BJ123" s="73"/>
      <c r="BL123" s="71">
        <v>98230</v>
      </c>
      <c r="BM123" s="71" t="s">
        <v>10</v>
      </c>
      <c r="BN123" s="73">
        <v>-45.23</v>
      </c>
      <c r="BO123" s="73">
        <v>-45.23</v>
      </c>
      <c r="BP123" s="73"/>
    </row>
    <row r="124" spans="2:68" x14ac:dyDescent="0.2">
      <c r="B124" s="78">
        <v>98239</v>
      </c>
      <c r="C124" s="60" t="s">
        <v>333</v>
      </c>
      <c r="D124" s="45">
        <v>51</v>
      </c>
      <c r="E124" s="45">
        <v>55</v>
      </c>
      <c r="F124" s="45">
        <v>85</v>
      </c>
      <c r="H124" s="165">
        <v>98238</v>
      </c>
      <c r="I124" s="165" t="s">
        <v>333</v>
      </c>
      <c r="J124" s="166">
        <v>125.93</v>
      </c>
      <c r="K124" s="166"/>
      <c r="L124" s="166">
        <v>200.63</v>
      </c>
      <c r="M124" s="166">
        <v>1200.18</v>
      </c>
      <c r="N124" s="166"/>
      <c r="O124" s="166">
        <v>125.93</v>
      </c>
      <c r="P124" s="166">
        <v>200.63</v>
      </c>
      <c r="Q124" s="166">
        <v>2354.46</v>
      </c>
      <c r="R124" s="166">
        <v>113.13</v>
      </c>
      <c r="S124" s="166"/>
      <c r="T124" s="166"/>
      <c r="U124" s="166">
        <v>113.13</v>
      </c>
      <c r="V124" s="172"/>
      <c r="W124" s="161"/>
      <c r="Y124" s="71">
        <v>98247</v>
      </c>
      <c r="Z124" s="14" t="s">
        <v>10</v>
      </c>
      <c r="AA124" s="73">
        <v>5969.0199999999904</v>
      </c>
      <c r="AB124" s="73">
        <v>3347.11</v>
      </c>
      <c r="AC124" s="73">
        <v>27318.859999999899</v>
      </c>
      <c r="AD124" s="73">
        <v>52510.039999999899</v>
      </c>
      <c r="AE124" s="73">
        <v>13220.289999999901</v>
      </c>
      <c r="AF124" s="73">
        <v>5023.0899999999901</v>
      </c>
      <c r="AG124" s="73">
        <v>26652.94</v>
      </c>
      <c r="AH124" s="73">
        <v>59669.63</v>
      </c>
      <c r="AI124" s="73">
        <v>12290.22</v>
      </c>
      <c r="AJ124" s="73">
        <v>11209.279999999901</v>
      </c>
      <c r="AK124" s="73">
        <v>28062.05</v>
      </c>
      <c r="AL124" s="174">
        <v>69816.819999999905</v>
      </c>
      <c r="AM124" s="161">
        <f t="shared" si="1"/>
        <v>51561.549999999901</v>
      </c>
      <c r="AN124" s="161"/>
      <c r="AZ124" s="71" t="s">
        <v>309</v>
      </c>
      <c r="BA124" s="71" t="s">
        <v>333</v>
      </c>
      <c r="BB124" s="32">
        <v>1</v>
      </c>
      <c r="BC124" s="32">
        <v>2</v>
      </c>
      <c r="BD124" s="32">
        <v>1</v>
      </c>
      <c r="BF124" s="71" t="s">
        <v>309</v>
      </c>
      <c r="BG124" s="71" t="s">
        <v>333</v>
      </c>
      <c r="BH124" s="73">
        <v>54.77</v>
      </c>
      <c r="BI124" s="73">
        <v>693.32</v>
      </c>
      <c r="BJ124" s="73">
        <v>71.260000000000005</v>
      </c>
      <c r="BL124" s="71">
        <v>98233</v>
      </c>
      <c r="BM124" s="71" t="s">
        <v>10</v>
      </c>
      <c r="BN124" s="73">
        <v>-139.29</v>
      </c>
      <c r="BO124" s="73">
        <v>-61.44</v>
      </c>
      <c r="BP124" s="73">
        <v>-174.82</v>
      </c>
    </row>
    <row r="125" spans="2:68" x14ac:dyDescent="0.2">
      <c r="B125" s="78">
        <v>98240</v>
      </c>
      <c r="C125" s="60" t="s">
        <v>333</v>
      </c>
      <c r="D125" s="45">
        <v>33</v>
      </c>
      <c r="E125" s="45">
        <v>36</v>
      </c>
      <c r="F125" s="45">
        <v>37</v>
      </c>
      <c r="H125" s="165">
        <v>98239</v>
      </c>
      <c r="I125" s="165" t="s">
        <v>333</v>
      </c>
      <c r="J125" s="166">
        <v>6204.26</v>
      </c>
      <c r="K125" s="166">
        <v>22.18</v>
      </c>
      <c r="L125" s="166">
        <v>22581.89</v>
      </c>
      <c r="M125" s="166">
        <v>39412.71</v>
      </c>
      <c r="N125" s="166">
        <v>8788.8799999999992</v>
      </c>
      <c r="O125" s="166">
        <v>5012.74</v>
      </c>
      <c r="P125" s="166">
        <v>15820.87</v>
      </c>
      <c r="Q125" s="166">
        <v>50343.519999999997</v>
      </c>
      <c r="R125" s="166">
        <v>8032.47</v>
      </c>
      <c r="S125" s="166">
        <v>3887.02</v>
      </c>
      <c r="T125" s="166">
        <v>10939.18</v>
      </c>
      <c r="U125" s="166">
        <v>39709.519999999997</v>
      </c>
      <c r="V125" s="172"/>
      <c r="W125" s="161"/>
      <c r="Y125" s="71">
        <v>98248</v>
      </c>
      <c r="Z125" s="14" t="s">
        <v>10</v>
      </c>
      <c r="AA125" s="73">
        <v>51198.5099999999</v>
      </c>
      <c r="AB125" s="73">
        <v>11172.8499999999</v>
      </c>
      <c r="AC125" s="73">
        <v>63332.29</v>
      </c>
      <c r="AD125" s="73">
        <v>186741.66999999899</v>
      </c>
      <c r="AE125" s="73">
        <v>47664.8299999999</v>
      </c>
      <c r="AF125" s="73">
        <v>45419.68</v>
      </c>
      <c r="AG125" s="73">
        <v>56139.86</v>
      </c>
      <c r="AH125" s="73">
        <v>180052.28</v>
      </c>
      <c r="AI125" s="73">
        <v>53053.86</v>
      </c>
      <c r="AJ125" s="73">
        <v>35238.869999999901</v>
      </c>
      <c r="AK125" s="73">
        <v>82913.259999999995</v>
      </c>
      <c r="AL125" s="174">
        <v>262026.42</v>
      </c>
      <c r="AM125" s="161">
        <f t="shared" si="1"/>
        <v>171205.98999999987</v>
      </c>
      <c r="AN125" s="161"/>
      <c r="AZ125" s="71" t="s">
        <v>192</v>
      </c>
      <c r="BA125" s="71" t="s">
        <v>333</v>
      </c>
      <c r="BB125" s="32">
        <v>1</v>
      </c>
      <c r="BC125" s="32"/>
      <c r="BD125" s="32">
        <v>3</v>
      </c>
      <c r="BF125" s="71" t="s">
        <v>192</v>
      </c>
      <c r="BG125" s="71" t="s">
        <v>333</v>
      </c>
      <c r="BH125" s="73">
        <v>7.5</v>
      </c>
      <c r="BI125" s="73"/>
      <c r="BJ125" s="73">
        <v>13075.93</v>
      </c>
      <c r="BL125" s="71">
        <v>98237</v>
      </c>
      <c r="BM125" s="71" t="s">
        <v>10</v>
      </c>
      <c r="BN125" s="73">
        <v>-49.84</v>
      </c>
      <c r="BO125" s="73"/>
      <c r="BP125" s="73"/>
    </row>
    <row r="126" spans="2:68" x14ac:dyDescent="0.2">
      <c r="B126" s="78">
        <v>98244</v>
      </c>
      <c r="C126" s="60" t="s">
        <v>333</v>
      </c>
      <c r="D126" s="45">
        <v>37</v>
      </c>
      <c r="E126" s="45">
        <v>36</v>
      </c>
      <c r="F126" s="45">
        <v>38</v>
      </c>
      <c r="H126" s="165">
        <v>98240</v>
      </c>
      <c r="I126" s="165" t="s">
        <v>333</v>
      </c>
      <c r="J126" s="166">
        <v>525.97</v>
      </c>
      <c r="K126" s="166">
        <v>766.26999999999896</v>
      </c>
      <c r="L126" s="166">
        <v>9507.52</v>
      </c>
      <c r="M126" s="166">
        <v>19944.879999999899</v>
      </c>
      <c r="N126" s="166">
        <v>1070.94</v>
      </c>
      <c r="O126" s="166">
        <v>515.76</v>
      </c>
      <c r="P126" s="166">
        <v>9623.78999999999</v>
      </c>
      <c r="Q126" s="166">
        <v>19363.919999999998</v>
      </c>
      <c r="R126" s="166">
        <v>5387.96</v>
      </c>
      <c r="S126" s="166">
        <v>739.92</v>
      </c>
      <c r="T126" s="166">
        <v>8138.95</v>
      </c>
      <c r="U126" s="166">
        <v>20477.43</v>
      </c>
      <c r="V126" s="172"/>
      <c r="W126" s="161"/>
      <c r="Y126" s="71">
        <v>98249</v>
      </c>
      <c r="Z126" s="14" t="s">
        <v>10</v>
      </c>
      <c r="AA126" s="73">
        <v>4010.48</v>
      </c>
      <c r="AB126" s="73">
        <v>2042.3499999999899</v>
      </c>
      <c r="AC126" s="73">
        <v>17159.21</v>
      </c>
      <c r="AD126" s="73">
        <v>33297.43</v>
      </c>
      <c r="AE126" s="73">
        <v>7870.5899999999901</v>
      </c>
      <c r="AF126" s="73">
        <v>3115.89</v>
      </c>
      <c r="AG126" s="73">
        <v>18605.68</v>
      </c>
      <c r="AH126" s="73">
        <v>39614.869999999901</v>
      </c>
      <c r="AI126" s="73">
        <v>8050.2599999999902</v>
      </c>
      <c r="AJ126" s="73">
        <v>5976.36</v>
      </c>
      <c r="AK126" s="73">
        <v>20655.8</v>
      </c>
      <c r="AL126" s="174">
        <v>48675.02</v>
      </c>
      <c r="AM126" s="161">
        <f t="shared" si="1"/>
        <v>34682.419999999991</v>
      </c>
      <c r="AN126" s="161"/>
      <c r="AZ126" s="71" t="s">
        <v>197</v>
      </c>
      <c r="BA126" s="71" t="s">
        <v>333</v>
      </c>
      <c r="BB126" s="32">
        <v>1</v>
      </c>
      <c r="BC126" s="32"/>
      <c r="BD126" s="32"/>
      <c r="BF126" s="71" t="s">
        <v>197</v>
      </c>
      <c r="BG126" s="71" t="s">
        <v>333</v>
      </c>
      <c r="BH126" s="73">
        <v>540.26</v>
      </c>
      <c r="BI126" s="73"/>
      <c r="BJ126" s="73"/>
      <c r="BL126" s="71">
        <v>98240</v>
      </c>
      <c r="BM126" s="71" t="s">
        <v>10</v>
      </c>
      <c r="BN126" s="73">
        <v>-83.05</v>
      </c>
      <c r="BO126" s="73"/>
      <c r="BP126" s="73"/>
    </row>
    <row r="127" spans="2:68" x14ac:dyDescent="0.2">
      <c r="B127" s="78">
        <v>98247</v>
      </c>
      <c r="C127" s="60" t="s">
        <v>333</v>
      </c>
      <c r="D127" s="45">
        <v>93</v>
      </c>
      <c r="E127" s="45">
        <v>90</v>
      </c>
      <c r="F127" s="45">
        <v>100</v>
      </c>
      <c r="H127" s="165">
        <v>98244</v>
      </c>
      <c r="I127" s="165" t="s">
        <v>333</v>
      </c>
      <c r="J127" s="166">
        <v>444.46</v>
      </c>
      <c r="K127" s="166">
        <v>5036.6699999999901</v>
      </c>
      <c r="L127" s="166">
        <v>7771.58</v>
      </c>
      <c r="M127" s="166">
        <v>22126.23</v>
      </c>
      <c r="N127" s="166">
        <v>1581.74</v>
      </c>
      <c r="O127" s="166">
        <v>199.97</v>
      </c>
      <c r="P127" s="166">
        <v>10897.17</v>
      </c>
      <c r="Q127" s="166">
        <v>18657.259999999998</v>
      </c>
      <c r="R127" s="166">
        <v>1723.19</v>
      </c>
      <c r="S127" s="166">
        <v>1151.04</v>
      </c>
      <c r="T127" s="166">
        <v>11009.97</v>
      </c>
      <c r="U127" s="166">
        <v>23608.959999999999</v>
      </c>
      <c r="V127" s="172"/>
      <c r="W127" s="161"/>
      <c r="Y127" s="71">
        <v>98251</v>
      </c>
      <c r="Z127" s="14" t="s">
        <v>10</v>
      </c>
      <c r="AA127" s="73">
        <v>789.36999999999898</v>
      </c>
      <c r="AB127" s="73"/>
      <c r="AC127" s="73">
        <v>1169.4399999999901</v>
      </c>
      <c r="AD127" s="73">
        <v>1958.81</v>
      </c>
      <c r="AE127" s="73">
        <v>448.02</v>
      </c>
      <c r="AF127" s="73">
        <v>266.79999999999899</v>
      </c>
      <c r="AG127" s="73">
        <v>1097.72</v>
      </c>
      <c r="AH127" s="73">
        <v>3060.98</v>
      </c>
      <c r="AI127" s="73">
        <v>794.099999999999</v>
      </c>
      <c r="AJ127" s="73"/>
      <c r="AK127" s="73">
        <v>750.42</v>
      </c>
      <c r="AL127" s="174">
        <v>3587.45</v>
      </c>
      <c r="AM127" s="161">
        <f t="shared" si="1"/>
        <v>1544.5199999999991</v>
      </c>
      <c r="AN127" s="161"/>
      <c r="AZ127" s="71" t="s">
        <v>202</v>
      </c>
      <c r="BA127" s="71" t="s">
        <v>333</v>
      </c>
      <c r="BB127" s="32">
        <v>1</v>
      </c>
      <c r="BC127" s="32"/>
      <c r="BD127" s="32"/>
      <c r="BF127" s="71" t="s">
        <v>202</v>
      </c>
      <c r="BG127" s="71" t="s">
        <v>333</v>
      </c>
      <c r="BH127" s="73">
        <v>639.74</v>
      </c>
      <c r="BI127" s="73"/>
      <c r="BJ127" s="73"/>
      <c r="BL127" s="71">
        <v>98247</v>
      </c>
      <c r="BM127" s="71" t="s">
        <v>10</v>
      </c>
      <c r="BN127" s="73">
        <v>-75.36</v>
      </c>
      <c r="BO127" s="73"/>
      <c r="BP127" s="73"/>
    </row>
    <row r="128" spans="2:68" x14ac:dyDescent="0.2">
      <c r="B128" s="78">
        <v>98248</v>
      </c>
      <c r="C128" s="60" t="s">
        <v>333</v>
      </c>
      <c r="D128" s="45">
        <v>329</v>
      </c>
      <c r="E128" s="45">
        <v>189</v>
      </c>
      <c r="F128" s="45">
        <v>380</v>
      </c>
      <c r="H128" s="165">
        <v>98247</v>
      </c>
      <c r="I128" s="165" t="s">
        <v>333</v>
      </c>
      <c r="J128" s="166">
        <v>7548.9</v>
      </c>
      <c r="K128" s="166">
        <v>4606.7399999999898</v>
      </c>
      <c r="L128" s="166">
        <v>28058.92</v>
      </c>
      <c r="M128" s="166">
        <v>88966.81</v>
      </c>
      <c r="N128" s="166">
        <v>7120.53999999999</v>
      </c>
      <c r="O128" s="166">
        <v>2863.54</v>
      </c>
      <c r="P128" s="166">
        <v>27854.31</v>
      </c>
      <c r="Q128" s="166">
        <v>76510.309999999896</v>
      </c>
      <c r="R128" s="166">
        <v>3695.8799999999901</v>
      </c>
      <c r="S128" s="166">
        <v>3617.28999999999</v>
      </c>
      <c r="T128" s="166">
        <v>28032.35</v>
      </c>
      <c r="U128" s="166">
        <v>67631.05</v>
      </c>
      <c r="V128" s="172"/>
      <c r="W128" s="161"/>
      <c r="Y128" s="71">
        <v>98252</v>
      </c>
      <c r="Z128" s="14" t="s">
        <v>10</v>
      </c>
      <c r="AA128" s="73">
        <v>807.91</v>
      </c>
      <c r="AB128" s="73">
        <v>185.62</v>
      </c>
      <c r="AC128" s="73">
        <v>1941.73</v>
      </c>
      <c r="AD128" s="73">
        <v>5146.9399999999996</v>
      </c>
      <c r="AE128" s="73">
        <v>950.98</v>
      </c>
      <c r="AF128" s="73">
        <v>573.47</v>
      </c>
      <c r="AG128" s="73">
        <v>1647.6</v>
      </c>
      <c r="AH128" s="73">
        <v>5067.5</v>
      </c>
      <c r="AI128" s="73">
        <v>1019.27</v>
      </c>
      <c r="AJ128" s="73">
        <v>719.29</v>
      </c>
      <c r="AK128" s="73">
        <v>2003.08</v>
      </c>
      <c r="AL128" s="174">
        <v>5778.41</v>
      </c>
      <c r="AM128" s="161">
        <f t="shared" si="1"/>
        <v>3741.64</v>
      </c>
      <c r="AN128" s="161"/>
      <c r="AZ128" s="71" t="s">
        <v>204</v>
      </c>
      <c r="BA128" s="71" t="s">
        <v>333</v>
      </c>
      <c r="BB128" s="32">
        <v>3</v>
      </c>
      <c r="BC128" s="32">
        <v>2</v>
      </c>
      <c r="BD128" s="32">
        <v>1</v>
      </c>
      <c r="BF128" s="71" t="s">
        <v>204</v>
      </c>
      <c r="BG128" s="71" t="s">
        <v>333</v>
      </c>
      <c r="BH128" s="73">
        <v>599.97</v>
      </c>
      <c r="BI128" s="73">
        <v>368.69</v>
      </c>
      <c r="BJ128" s="73">
        <v>570.57000000000005</v>
      </c>
      <c r="BL128" s="71">
        <v>98248</v>
      </c>
      <c r="BM128" s="71" t="s">
        <v>10</v>
      </c>
      <c r="BN128" s="73">
        <v>-500</v>
      </c>
      <c r="BO128" s="73">
        <v>-663.76</v>
      </c>
      <c r="BP128" s="73">
        <v>-37.92</v>
      </c>
    </row>
    <row r="129" spans="2:68" x14ac:dyDescent="0.2">
      <c r="B129" s="78">
        <v>98249</v>
      </c>
      <c r="C129" s="60" t="s">
        <v>333</v>
      </c>
      <c r="D129" s="45">
        <v>48</v>
      </c>
      <c r="E129" s="45">
        <v>46</v>
      </c>
      <c r="F129" s="45">
        <v>34</v>
      </c>
      <c r="H129" s="165">
        <v>98248</v>
      </c>
      <c r="I129" s="165" t="s">
        <v>333</v>
      </c>
      <c r="J129" s="166">
        <v>53555.14</v>
      </c>
      <c r="K129" s="166">
        <v>13551.58</v>
      </c>
      <c r="L129" s="166">
        <v>346389.07999999903</v>
      </c>
      <c r="M129" s="166">
        <v>537941.31999999995</v>
      </c>
      <c r="N129" s="166">
        <v>49352.78</v>
      </c>
      <c r="O129" s="166">
        <v>24320.6499999999</v>
      </c>
      <c r="P129" s="166">
        <v>345368.12</v>
      </c>
      <c r="Q129" s="166">
        <v>515257.26</v>
      </c>
      <c r="R129" s="166">
        <v>24653.93</v>
      </c>
      <c r="S129" s="166">
        <v>33344.989999999903</v>
      </c>
      <c r="T129" s="166">
        <v>261909.6</v>
      </c>
      <c r="U129" s="166">
        <v>479589.44</v>
      </c>
      <c r="V129" s="172"/>
      <c r="W129" s="161"/>
      <c r="Y129" s="71">
        <v>98253</v>
      </c>
      <c r="Z129" s="14" t="s">
        <v>10</v>
      </c>
      <c r="AA129" s="73">
        <v>551.95000000000005</v>
      </c>
      <c r="AB129" s="73">
        <v>204.17</v>
      </c>
      <c r="AC129" s="73">
        <v>1406.66</v>
      </c>
      <c r="AD129" s="73">
        <v>2759.46</v>
      </c>
      <c r="AE129" s="73">
        <v>416.68</v>
      </c>
      <c r="AF129" s="73">
        <v>551.95000000000005</v>
      </c>
      <c r="AG129" s="73">
        <v>1610.83</v>
      </c>
      <c r="AH129" s="73">
        <v>4701.8599999999997</v>
      </c>
      <c r="AI129" s="73">
        <v>1695.7</v>
      </c>
      <c r="AJ129" s="73">
        <v>203.01</v>
      </c>
      <c r="AK129" s="73">
        <v>1208.92</v>
      </c>
      <c r="AL129" s="174">
        <v>4231.16</v>
      </c>
      <c r="AM129" s="161">
        <f t="shared" si="1"/>
        <v>3107.63</v>
      </c>
      <c r="AN129" s="161"/>
      <c r="AZ129" s="71" t="s">
        <v>205</v>
      </c>
      <c r="BA129" s="71" t="s">
        <v>333</v>
      </c>
      <c r="BB129" s="32">
        <v>1</v>
      </c>
      <c r="BC129" s="32">
        <v>2</v>
      </c>
      <c r="BD129" s="32">
        <v>2</v>
      </c>
      <c r="BF129" s="71" t="s">
        <v>205</v>
      </c>
      <c r="BG129" s="71" t="s">
        <v>333</v>
      </c>
      <c r="BH129" s="73">
        <v>11190.79</v>
      </c>
      <c r="BI129" s="73">
        <v>1372.95</v>
      </c>
      <c r="BJ129" s="73">
        <v>84.3</v>
      </c>
      <c r="BL129" s="71">
        <v>98258</v>
      </c>
      <c r="BM129" s="71" t="s">
        <v>10</v>
      </c>
      <c r="BN129" s="73">
        <v>-337.68</v>
      </c>
      <c r="BO129" s="73"/>
      <c r="BP129" s="73">
        <v>-256.58999999999997</v>
      </c>
    </row>
    <row r="130" spans="2:68" x14ac:dyDescent="0.2">
      <c r="B130" s="78">
        <v>98251</v>
      </c>
      <c r="C130" s="60" t="s">
        <v>333</v>
      </c>
      <c r="D130" s="45">
        <v>3</v>
      </c>
      <c r="E130" s="45">
        <v>3</v>
      </c>
      <c r="F130" s="45">
        <v>5</v>
      </c>
      <c r="H130" s="165">
        <v>98249</v>
      </c>
      <c r="I130" s="165" t="s">
        <v>333</v>
      </c>
      <c r="J130" s="166">
        <v>1745.52</v>
      </c>
      <c r="K130" s="166">
        <v>918.50999999999897</v>
      </c>
      <c r="L130" s="166">
        <v>8743.81</v>
      </c>
      <c r="M130" s="166">
        <v>17387.86</v>
      </c>
      <c r="N130" s="166">
        <v>1466.03</v>
      </c>
      <c r="O130" s="166">
        <v>1258.6499999999901</v>
      </c>
      <c r="P130" s="166">
        <v>7790.84</v>
      </c>
      <c r="Q130" s="166">
        <v>16327.92</v>
      </c>
      <c r="R130" s="166">
        <v>2099.85</v>
      </c>
      <c r="S130" s="166">
        <v>740.99</v>
      </c>
      <c r="T130" s="166">
        <v>7379.73</v>
      </c>
      <c r="U130" s="166">
        <v>14481.45</v>
      </c>
      <c r="V130" s="172"/>
      <c r="W130" s="161"/>
      <c r="Y130" s="71">
        <v>98255</v>
      </c>
      <c r="Z130" s="14" t="s">
        <v>10</v>
      </c>
      <c r="AA130" s="73"/>
      <c r="AB130" s="73">
        <v>1527.85</v>
      </c>
      <c r="AC130" s="73">
        <v>2802.28</v>
      </c>
      <c r="AD130" s="73">
        <v>9843.7199999999993</v>
      </c>
      <c r="AE130" s="73">
        <v>4884.4799999999996</v>
      </c>
      <c r="AF130" s="73"/>
      <c r="AG130" s="73">
        <v>3583.81</v>
      </c>
      <c r="AH130" s="73">
        <v>8468.28999999999</v>
      </c>
      <c r="AI130" s="73"/>
      <c r="AJ130" s="73">
        <v>3956.16</v>
      </c>
      <c r="AK130" s="73">
        <v>2739.87</v>
      </c>
      <c r="AL130" s="174">
        <v>11670.74</v>
      </c>
      <c r="AM130" s="161">
        <f t="shared" si="1"/>
        <v>6696.03</v>
      </c>
      <c r="AN130" s="161"/>
      <c r="AZ130" s="71" t="s">
        <v>206</v>
      </c>
      <c r="BA130" s="71" t="s">
        <v>333</v>
      </c>
      <c r="BB130" s="32">
        <v>5</v>
      </c>
      <c r="BC130" s="32">
        <v>1</v>
      </c>
      <c r="BD130" s="32">
        <v>3</v>
      </c>
      <c r="BF130" s="71" t="s">
        <v>206</v>
      </c>
      <c r="BG130" s="71" t="s">
        <v>333</v>
      </c>
      <c r="BH130" s="73">
        <v>3837.67</v>
      </c>
      <c r="BI130" s="73">
        <v>194</v>
      </c>
      <c r="BJ130" s="73">
        <v>60862.62</v>
      </c>
      <c r="BL130" s="71">
        <v>98262</v>
      </c>
      <c r="BM130" s="71" t="s">
        <v>10</v>
      </c>
      <c r="BN130" s="73"/>
      <c r="BO130" s="73"/>
      <c r="BP130" s="73">
        <v>-52.31</v>
      </c>
    </row>
    <row r="131" spans="2:68" x14ac:dyDescent="0.2">
      <c r="B131" s="78">
        <v>98252</v>
      </c>
      <c r="C131" s="60" t="s">
        <v>333</v>
      </c>
      <c r="D131" s="45">
        <v>19</v>
      </c>
      <c r="E131" s="45">
        <v>23</v>
      </c>
      <c r="F131" s="45">
        <v>17</v>
      </c>
      <c r="H131" s="165">
        <v>98251</v>
      </c>
      <c r="I131" s="165" t="s">
        <v>333</v>
      </c>
      <c r="J131" s="166">
        <v>321.55</v>
      </c>
      <c r="K131" s="166"/>
      <c r="L131" s="166">
        <v>719.24</v>
      </c>
      <c r="M131" s="166">
        <v>1040.79</v>
      </c>
      <c r="N131" s="166"/>
      <c r="O131" s="166"/>
      <c r="P131" s="166"/>
      <c r="Q131" s="166">
        <v>894.75</v>
      </c>
      <c r="R131" s="166"/>
      <c r="S131" s="166"/>
      <c r="T131" s="166"/>
      <c r="U131" s="166">
        <v>5037.95</v>
      </c>
      <c r="V131" s="172"/>
      <c r="W131" s="161"/>
      <c r="Y131" s="71">
        <v>98257</v>
      </c>
      <c r="Z131" s="14" t="s">
        <v>10</v>
      </c>
      <c r="AA131" s="73">
        <v>10840.7499999999</v>
      </c>
      <c r="AB131" s="73">
        <v>6111.95</v>
      </c>
      <c r="AC131" s="73">
        <v>27121.71</v>
      </c>
      <c r="AD131" s="73">
        <v>62169.760000000002</v>
      </c>
      <c r="AE131" s="73">
        <v>14084.45</v>
      </c>
      <c r="AF131" s="73">
        <v>8698.2399999999907</v>
      </c>
      <c r="AG131" s="73">
        <v>26503.54</v>
      </c>
      <c r="AH131" s="73">
        <v>63984.98</v>
      </c>
      <c r="AI131" s="73">
        <v>12483.859999999901</v>
      </c>
      <c r="AJ131" s="73">
        <v>11570.52</v>
      </c>
      <c r="AK131" s="73">
        <v>27012.909999999902</v>
      </c>
      <c r="AL131" s="174">
        <v>72131.05</v>
      </c>
      <c r="AM131" s="161">
        <f t="shared" si="1"/>
        <v>51067.289999999804</v>
      </c>
      <c r="AN131" s="161"/>
      <c r="AZ131" s="71" t="s">
        <v>207</v>
      </c>
      <c r="BA131" s="71" t="s">
        <v>333</v>
      </c>
      <c r="BB131" s="32">
        <v>6</v>
      </c>
      <c r="BC131" s="32">
        <v>4</v>
      </c>
      <c r="BD131" s="32">
        <v>1</v>
      </c>
      <c r="BF131" s="71" t="s">
        <v>207</v>
      </c>
      <c r="BG131" s="71" t="s">
        <v>333</v>
      </c>
      <c r="BH131" s="73">
        <v>16367.890000000001</v>
      </c>
      <c r="BI131" s="73">
        <v>35214.520000000004</v>
      </c>
      <c r="BJ131" s="73">
        <v>131.84</v>
      </c>
      <c r="BL131" s="71">
        <v>98264</v>
      </c>
      <c r="BM131" s="71" t="s">
        <v>10</v>
      </c>
      <c r="BN131" s="73">
        <v>-100.75</v>
      </c>
      <c r="BO131" s="73">
        <v>-31.5</v>
      </c>
      <c r="BP131" s="73"/>
    </row>
    <row r="132" spans="2:68" x14ac:dyDescent="0.2">
      <c r="B132" s="78">
        <v>98253</v>
      </c>
      <c r="C132" s="60" t="s">
        <v>333</v>
      </c>
      <c r="D132" s="45">
        <v>12</v>
      </c>
      <c r="E132" s="69">
        <v>18</v>
      </c>
      <c r="F132" s="45">
        <v>9</v>
      </c>
      <c r="H132" s="165">
        <v>98252</v>
      </c>
      <c r="I132" s="165" t="s">
        <v>333</v>
      </c>
      <c r="J132" s="166">
        <v>1633.29</v>
      </c>
      <c r="K132" s="166">
        <v>535.12</v>
      </c>
      <c r="L132" s="166">
        <v>1650.58</v>
      </c>
      <c r="M132" s="166">
        <v>23005.63</v>
      </c>
      <c r="N132" s="166">
        <v>1380.24</v>
      </c>
      <c r="O132" s="166">
        <v>802.24</v>
      </c>
      <c r="P132" s="166">
        <v>2038.6</v>
      </c>
      <c r="Q132" s="166">
        <v>25699.069999999901</v>
      </c>
      <c r="R132" s="166">
        <v>839.06</v>
      </c>
      <c r="S132" s="166">
        <v>830.56999999999903</v>
      </c>
      <c r="T132" s="166">
        <v>2741.34</v>
      </c>
      <c r="U132" s="166">
        <v>22193.65</v>
      </c>
      <c r="V132" s="172"/>
      <c r="W132" s="161"/>
      <c r="Y132" s="71">
        <v>98258</v>
      </c>
      <c r="Z132" s="14" t="s">
        <v>10</v>
      </c>
      <c r="AA132" s="73">
        <v>7277.0699999999897</v>
      </c>
      <c r="AB132" s="73">
        <v>1494.66</v>
      </c>
      <c r="AC132" s="73">
        <v>16460.78</v>
      </c>
      <c r="AD132" s="73">
        <v>36076.61</v>
      </c>
      <c r="AE132" s="73">
        <v>7494.6699999999901</v>
      </c>
      <c r="AF132" s="73">
        <v>6794.9499999999898</v>
      </c>
      <c r="AG132" s="73">
        <v>14165.95</v>
      </c>
      <c r="AH132" s="73">
        <v>29890.46</v>
      </c>
      <c r="AI132" s="73">
        <v>8563.1199999999899</v>
      </c>
      <c r="AJ132" s="73">
        <v>6123.94</v>
      </c>
      <c r="AK132" s="73">
        <v>16006.1599999999</v>
      </c>
      <c r="AL132" s="174">
        <v>42929.849999999897</v>
      </c>
      <c r="AM132" s="161">
        <f t="shared" si="1"/>
        <v>30693.219999999892</v>
      </c>
      <c r="AN132" s="161"/>
      <c r="AZ132" s="71" t="s">
        <v>208</v>
      </c>
      <c r="BA132" s="71" t="s">
        <v>333</v>
      </c>
      <c r="BB132" s="32">
        <v>2</v>
      </c>
      <c r="BC132" s="32">
        <v>6</v>
      </c>
      <c r="BD132" s="32">
        <v>1</v>
      </c>
      <c r="BF132" s="71" t="s">
        <v>208</v>
      </c>
      <c r="BG132" s="71" t="s">
        <v>333</v>
      </c>
      <c r="BH132" s="73">
        <v>2600.4499999999998</v>
      </c>
      <c r="BI132" s="73">
        <v>2555.0500000000002</v>
      </c>
      <c r="BJ132" s="73">
        <v>8952.4599999999991</v>
      </c>
      <c r="BL132" s="71">
        <v>98266</v>
      </c>
      <c r="BM132" s="71" t="s">
        <v>10</v>
      </c>
      <c r="BN132" s="73">
        <v>-745.76</v>
      </c>
      <c r="BO132" s="73"/>
      <c r="BP132" s="73"/>
    </row>
    <row r="133" spans="2:68" x14ac:dyDescent="0.2">
      <c r="B133" s="78">
        <v>98255</v>
      </c>
      <c r="C133" s="60" t="s">
        <v>333</v>
      </c>
      <c r="D133" s="45">
        <v>9</v>
      </c>
      <c r="E133" s="45">
        <v>10</v>
      </c>
      <c r="F133" s="45">
        <v>8</v>
      </c>
      <c r="H133" s="165">
        <v>98253</v>
      </c>
      <c r="I133" s="165" t="s">
        <v>333</v>
      </c>
      <c r="J133" s="166">
        <v>156.79</v>
      </c>
      <c r="K133" s="166">
        <v>95.52</v>
      </c>
      <c r="L133" s="166">
        <v>1454.87</v>
      </c>
      <c r="M133" s="166">
        <v>2547.04</v>
      </c>
      <c r="N133" s="166">
        <v>143.38</v>
      </c>
      <c r="O133" s="166">
        <v>87.5</v>
      </c>
      <c r="P133" s="166">
        <v>1446.8099999999899</v>
      </c>
      <c r="Q133" s="166">
        <v>4663.4199999999901</v>
      </c>
      <c r="R133" s="166">
        <v>116.369999999999</v>
      </c>
      <c r="S133" s="166">
        <v>114.77</v>
      </c>
      <c r="T133" s="166">
        <v>1532.31</v>
      </c>
      <c r="U133" s="166">
        <v>3107.1</v>
      </c>
      <c r="V133" s="172"/>
      <c r="W133" s="161"/>
      <c r="Y133" s="71">
        <v>98260</v>
      </c>
      <c r="Z133" s="14" t="s">
        <v>10</v>
      </c>
      <c r="AA133" s="73">
        <v>3435.78999999999</v>
      </c>
      <c r="AB133" s="73">
        <v>1819.1599999999901</v>
      </c>
      <c r="AC133" s="73">
        <v>11352.23</v>
      </c>
      <c r="AD133" s="73">
        <v>26811.25</v>
      </c>
      <c r="AE133" s="73">
        <v>7228.71</v>
      </c>
      <c r="AF133" s="73">
        <v>2329.85</v>
      </c>
      <c r="AG133" s="73">
        <v>11922.15</v>
      </c>
      <c r="AH133" s="73">
        <v>30476.51</v>
      </c>
      <c r="AI133" s="73">
        <v>6558.2599999999902</v>
      </c>
      <c r="AJ133" s="73">
        <v>5007.8</v>
      </c>
      <c r="AK133" s="73">
        <v>13913.3999999999</v>
      </c>
      <c r="AL133" s="174">
        <v>35520.709999999897</v>
      </c>
      <c r="AM133" s="161">
        <f t="shared" si="1"/>
        <v>25479.45999999989</v>
      </c>
      <c r="AN133" s="161"/>
      <c r="AZ133" s="71" t="s">
        <v>209</v>
      </c>
      <c r="BA133" s="71" t="s">
        <v>333</v>
      </c>
      <c r="BB133" s="32">
        <v>5</v>
      </c>
      <c r="BC133" s="32">
        <v>2</v>
      </c>
      <c r="BD133" s="32">
        <v>3</v>
      </c>
      <c r="BF133" s="71" t="s">
        <v>209</v>
      </c>
      <c r="BG133" s="71" t="s">
        <v>333</v>
      </c>
      <c r="BH133" s="73">
        <v>7502.48</v>
      </c>
      <c r="BI133" s="73">
        <v>125.81</v>
      </c>
      <c r="BJ133" s="73">
        <v>3007.26</v>
      </c>
      <c r="BL133" s="71">
        <v>98270</v>
      </c>
      <c r="BM133" s="71" t="s">
        <v>10</v>
      </c>
      <c r="BN133" s="73">
        <v>-272.19</v>
      </c>
      <c r="BO133" s="73">
        <v>-79.95</v>
      </c>
      <c r="BP133" s="73">
        <v>-71.3</v>
      </c>
    </row>
    <row r="134" spans="2:68" x14ac:dyDescent="0.2">
      <c r="B134" s="78">
        <v>98257</v>
      </c>
      <c r="C134" s="60" t="s">
        <v>333</v>
      </c>
      <c r="D134" s="45">
        <v>111</v>
      </c>
      <c r="E134" s="45">
        <v>113</v>
      </c>
      <c r="F134" s="45">
        <v>81</v>
      </c>
      <c r="H134" s="165">
        <v>98255</v>
      </c>
      <c r="I134" s="165" t="s">
        <v>333</v>
      </c>
      <c r="J134" s="166">
        <v>422.15</v>
      </c>
      <c r="K134" s="166">
        <v>355.79999999999899</v>
      </c>
      <c r="L134" s="166">
        <v>303.89999999999998</v>
      </c>
      <c r="M134" s="166">
        <v>2852</v>
      </c>
      <c r="N134" s="166">
        <v>1469.94999999999</v>
      </c>
      <c r="O134" s="166">
        <v>422.15</v>
      </c>
      <c r="P134" s="166">
        <v>359.69999999999902</v>
      </c>
      <c r="Q134" s="166">
        <v>2788.72</v>
      </c>
      <c r="R134" s="166">
        <v>636.91999999999996</v>
      </c>
      <c r="S134" s="166">
        <v>1409.57</v>
      </c>
      <c r="T134" s="166">
        <v>381.849999999999</v>
      </c>
      <c r="U134" s="166">
        <v>4808.16</v>
      </c>
      <c r="V134" s="172"/>
      <c r="W134" s="161"/>
      <c r="Y134" s="71">
        <v>98262</v>
      </c>
      <c r="Z134" s="14" t="s">
        <v>10</v>
      </c>
      <c r="AA134" s="73">
        <v>1236.45999999999</v>
      </c>
      <c r="AB134" s="73"/>
      <c r="AC134" s="73">
        <v>1430.4</v>
      </c>
      <c r="AD134" s="73">
        <v>2861.84</v>
      </c>
      <c r="AE134" s="73">
        <v>75.260000000000005</v>
      </c>
      <c r="AF134" s="73">
        <v>756.89</v>
      </c>
      <c r="AG134" s="73">
        <v>1184.6099999999999</v>
      </c>
      <c r="AH134" s="73">
        <v>3278.08</v>
      </c>
      <c r="AI134" s="73">
        <v>1010.79</v>
      </c>
      <c r="AJ134" s="73"/>
      <c r="AK134" s="73">
        <v>1701.69999999999</v>
      </c>
      <c r="AL134" s="174">
        <v>4979.8999999999996</v>
      </c>
      <c r="AM134" s="161">
        <f t="shared" si="1"/>
        <v>2712.4899999999898</v>
      </c>
      <c r="AN134" s="161"/>
      <c r="AZ134" s="71" t="s">
        <v>210</v>
      </c>
      <c r="BA134" s="71" t="s">
        <v>333</v>
      </c>
      <c r="BB134" s="32">
        <v>3</v>
      </c>
      <c r="BC134" s="32">
        <v>10</v>
      </c>
      <c r="BD134" s="32">
        <v>2</v>
      </c>
      <c r="BF134" s="71" t="s">
        <v>210</v>
      </c>
      <c r="BG134" s="71" t="s">
        <v>333</v>
      </c>
      <c r="BH134" s="73">
        <v>16688.919999999998</v>
      </c>
      <c r="BI134" s="73">
        <v>51509.19</v>
      </c>
      <c r="BJ134" s="73">
        <v>2653.3199999999997</v>
      </c>
      <c r="BL134" s="71">
        <v>98272</v>
      </c>
      <c r="BM134" s="71" t="s">
        <v>10</v>
      </c>
      <c r="BN134" s="73">
        <v>-85.24</v>
      </c>
      <c r="BO134" s="73"/>
      <c r="BP134" s="73"/>
    </row>
    <row r="135" spans="2:68" x14ac:dyDescent="0.2">
      <c r="B135" s="78">
        <v>98258</v>
      </c>
      <c r="C135" s="60" t="s">
        <v>333</v>
      </c>
      <c r="D135" s="45">
        <v>39</v>
      </c>
      <c r="E135" s="45">
        <v>10</v>
      </c>
      <c r="F135" s="45">
        <v>26</v>
      </c>
      <c r="H135" s="165">
        <v>98257</v>
      </c>
      <c r="I135" s="165" t="s">
        <v>333</v>
      </c>
      <c r="J135" s="166">
        <v>3514.59</v>
      </c>
      <c r="K135" s="166">
        <v>339.53</v>
      </c>
      <c r="L135" s="166">
        <v>1450.8499999999899</v>
      </c>
      <c r="M135" s="166">
        <v>57796.32</v>
      </c>
      <c r="N135" s="166">
        <v>3068.48</v>
      </c>
      <c r="O135" s="166">
        <v>974.85</v>
      </c>
      <c r="P135" s="166">
        <v>1522.05</v>
      </c>
      <c r="Q135" s="166">
        <v>58556.83</v>
      </c>
      <c r="R135" s="166">
        <v>1961.49</v>
      </c>
      <c r="S135" s="166">
        <v>1316.28</v>
      </c>
      <c r="T135" s="166">
        <v>1947.8799999999901</v>
      </c>
      <c r="U135" s="166">
        <v>47129.73</v>
      </c>
      <c r="V135" s="172"/>
      <c r="W135" s="161"/>
      <c r="Y135" s="71">
        <v>98263</v>
      </c>
      <c r="Z135" s="14" t="s">
        <v>10</v>
      </c>
      <c r="AA135" s="73"/>
      <c r="AB135" s="73">
        <v>596.95000000000005</v>
      </c>
      <c r="AC135" s="73">
        <v>472.93</v>
      </c>
      <c r="AD135" s="73">
        <v>2770.61</v>
      </c>
      <c r="AE135" s="73">
        <v>894.73</v>
      </c>
      <c r="AF135" s="73"/>
      <c r="AG135" s="73">
        <v>1069.8800000000001</v>
      </c>
      <c r="AH135" s="73">
        <v>1964.61</v>
      </c>
      <c r="AI135" s="73"/>
      <c r="AJ135" s="73">
        <v>894.73</v>
      </c>
      <c r="AK135" s="73">
        <v>1069.8800000000001</v>
      </c>
      <c r="AL135" s="174">
        <v>4343.37</v>
      </c>
      <c r="AM135" s="161">
        <f t="shared" si="1"/>
        <v>1964.6100000000001</v>
      </c>
      <c r="AN135" s="161"/>
      <c r="AZ135" s="71" t="s">
        <v>211</v>
      </c>
      <c r="BA135" s="71" t="s">
        <v>333</v>
      </c>
      <c r="BB135" s="32">
        <v>1</v>
      </c>
      <c r="BC135" s="32"/>
      <c r="BD135" s="32"/>
      <c r="BF135" s="71" t="s">
        <v>211</v>
      </c>
      <c r="BG135" s="71" t="s">
        <v>333</v>
      </c>
      <c r="BH135" s="73">
        <v>400.72</v>
      </c>
      <c r="BI135" s="73"/>
      <c r="BJ135" s="73"/>
      <c r="BL135" s="71">
        <v>98273</v>
      </c>
      <c r="BM135" s="71" t="s">
        <v>10</v>
      </c>
      <c r="BN135" s="73">
        <v>-100</v>
      </c>
      <c r="BO135" s="73">
        <v>-100</v>
      </c>
      <c r="BP135" s="73">
        <v>-85</v>
      </c>
    </row>
    <row r="136" spans="2:68" x14ac:dyDescent="0.2">
      <c r="B136" s="78">
        <v>98260</v>
      </c>
      <c r="C136" s="60" t="s">
        <v>333</v>
      </c>
      <c r="D136" s="45">
        <v>45</v>
      </c>
      <c r="E136" s="45">
        <v>54</v>
      </c>
      <c r="F136" s="45">
        <v>66</v>
      </c>
      <c r="H136" s="165">
        <v>98258</v>
      </c>
      <c r="I136" s="165" t="s">
        <v>333</v>
      </c>
      <c r="J136" s="166">
        <v>1838.08</v>
      </c>
      <c r="K136" s="166">
        <v>280.95</v>
      </c>
      <c r="L136" s="166">
        <v>3513.66</v>
      </c>
      <c r="M136" s="166">
        <v>26203.929999999898</v>
      </c>
      <c r="N136" s="166">
        <v>2226.35</v>
      </c>
      <c r="O136" s="166">
        <v>618.46</v>
      </c>
      <c r="P136" s="166">
        <v>3511.63</v>
      </c>
      <c r="Q136" s="166">
        <v>6895.5</v>
      </c>
      <c r="R136" s="166">
        <v>3066.16</v>
      </c>
      <c r="S136" s="166">
        <v>1103.17</v>
      </c>
      <c r="T136" s="166">
        <v>4130.09</v>
      </c>
      <c r="U136" s="166">
        <v>16750.8299999999</v>
      </c>
      <c r="V136" s="172"/>
      <c r="W136" s="161"/>
      <c r="Y136" s="71">
        <v>98264</v>
      </c>
      <c r="Z136" s="14" t="s">
        <v>10</v>
      </c>
      <c r="AA136" s="73">
        <v>10389.2499999999</v>
      </c>
      <c r="AB136" s="73">
        <v>5608.31</v>
      </c>
      <c r="AC136" s="73">
        <v>20149.84</v>
      </c>
      <c r="AD136" s="73">
        <v>66410.77</v>
      </c>
      <c r="AE136" s="73">
        <v>22294.25</v>
      </c>
      <c r="AF136" s="73">
        <v>7528.2999999999902</v>
      </c>
      <c r="AG136" s="73">
        <v>21889.559999999899</v>
      </c>
      <c r="AH136" s="73">
        <v>76373.149999999994</v>
      </c>
      <c r="AI136" s="73">
        <v>17952.269999999899</v>
      </c>
      <c r="AJ136" s="73">
        <v>18087.13</v>
      </c>
      <c r="AK136" s="73">
        <v>25704.51</v>
      </c>
      <c r="AL136" s="174">
        <v>88001.279999999999</v>
      </c>
      <c r="AM136" s="161">
        <f t="shared" si="1"/>
        <v>61743.909999999902</v>
      </c>
      <c r="AN136" s="161"/>
      <c r="AZ136" s="71" t="s">
        <v>212</v>
      </c>
      <c r="BA136" s="71" t="s">
        <v>333</v>
      </c>
      <c r="BB136" s="32"/>
      <c r="BC136" s="32"/>
      <c r="BD136" s="32">
        <v>1</v>
      </c>
      <c r="BF136" s="71" t="s">
        <v>212</v>
      </c>
      <c r="BG136" s="71" t="s">
        <v>333</v>
      </c>
      <c r="BH136" s="73"/>
      <c r="BI136" s="73"/>
      <c r="BJ136" s="73">
        <v>169.04</v>
      </c>
      <c r="BL136" s="71">
        <v>98277</v>
      </c>
      <c r="BM136" s="71" t="s">
        <v>10</v>
      </c>
      <c r="BN136" s="73">
        <v>-897.79</v>
      </c>
      <c r="BO136" s="73">
        <v>-375.1</v>
      </c>
      <c r="BP136" s="73">
        <v>-387.19</v>
      </c>
    </row>
    <row r="137" spans="2:68" x14ac:dyDescent="0.2">
      <c r="B137" s="78">
        <v>98262</v>
      </c>
      <c r="C137" s="60" t="s">
        <v>333</v>
      </c>
      <c r="D137" s="45">
        <v>5</v>
      </c>
      <c r="E137" s="45">
        <v>4</v>
      </c>
      <c r="F137" s="45">
        <v>21</v>
      </c>
      <c r="H137" s="165">
        <v>98260</v>
      </c>
      <c r="I137" s="165" t="s">
        <v>333</v>
      </c>
      <c r="J137" s="166">
        <v>1877.54999999999</v>
      </c>
      <c r="K137" s="166">
        <v>764.98999999999899</v>
      </c>
      <c r="L137" s="166">
        <v>11633.99</v>
      </c>
      <c r="M137" s="166">
        <v>22288.17</v>
      </c>
      <c r="N137" s="166">
        <v>4015.19</v>
      </c>
      <c r="O137" s="166">
        <v>570.30999999999995</v>
      </c>
      <c r="P137" s="166">
        <v>11931.01</v>
      </c>
      <c r="Q137" s="166">
        <v>27006.089999999898</v>
      </c>
      <c r="R137" s="166">
        <v>2440.62</v>
      </c>
      <c r="S137" s="166">
        <v>2435.46</v>
      </c>
      <c r="T137" s="166">
        <v>11178.41</v>
      </c>
      <c r="U137" s="166">
        <v>68771.679999999993</v>
      </c>
      <c r="V137" s="172"/>
      <c r="W137" s="161"/>
      <c r="Y137" s="71">
        <v>98266</v>
      </c>
      <c r="Z137" s="14" t="s">
        <v>10</v>
      </c>
      <c r="AA137" s="73">
        <v>13749.89</v>
      </c>
      <c r="AB137" s="73">
        <v>5777.38</v>
      </c>
      <c r="AC137" s="73">
        <v>30153.01</v>
      </c>
      <c r="AD137" s="73">
        <v>80024.320000000007</v>
      </c>
      <c r="AE137" s="73">
        <v>21959.1499999999</v>
      </c>
      <c r="AF137" s="73">
        <v>10618.209999999901</v>
      </c>
      <c r="AG137" s="73">
        <v>33594.319999999898</v>
      </c>
      <c r="AH137" s="73">
        <v>97603.09</v>
      </c>
      <c r="AI137" s="73">
        <v>25606.43</v>
      </c>
      <c r="AJ137" s="73">
        <v>19550.48</v>
      </c>
      <c r="AK137" s="73">
        <v>40991.589999999997</v>
      </c>
      <c r="AL137" s="174">
        <v>118639.35</v>
      </c>
      <c r="AM137" s="161">
        <f t="shared" si="1"/>
        <v>86148.5</v>
      </c>
      <c r="AN137" s="161"/>
      <c r="AZ137" s="71" t="s">
        <v>213</v>
      </c>
      <c r="BA137" s="71" t="s">
        <v>333</v>
      </c>
      <c r="BB137" s="32">
        <v>3</v>
      </c>
      <c r="BC137" s="32">
        <v>4</v>
      </c>
      <c r="BD137" s="32">
        <v>1</v>
      </c>
      <c r="BF137" s="71" t="s">
        <v>213</v>
      </c>
      <c r="BG137" s="71" t="s">
        <v>333</v>
      </c>
      <c r="BH137" s="73">
        <v>3131.67</v>
      </c>
      <c r="BI137" s="73">
        <v>2024.85</v>
      </c>
      <c r="BJ137" s="73">
        <v>36.909999999999997</v>
      </c>
      <c r="BL137" s="71">
        <v>98284</v>
      </c>
      <c r="BM137" s="71" t="s">
        <v>10</v>
      </c>
      <c r="BN137" s="73">
        <v>-202.36</v>
      </c>
      <c r="BO137" s="73"/>
      <c r="BP137" s="73"/>
    </row>
    <row r="138" spans="2:68" x14ac:dyDescent="0.2">
      <c r="B138" s="78">
        <v>98263</v>
      </c>
      <c r="C138" s="60" t="s">
        <v>333</v>
      </c>
      <c r="D138" s="45">
        <v>3</v>
      </c>
      <c r="E138" s="45">
        <v>5</v>
      </c>
      <c r="F138" s="45">
        <v>8</v>
      </c>
      <c r="H138" s="165">
        <v>98262</v>
      </c>
      <c r="I138" s="165" t="s">
        <v>333</v>
      </c>
      <c r="J138" s="166">
        <v>583.99</v>
      </c>
      <c r="K138" s="166"/>
      <c r="L138" s="166"/>
      <c r="M138" s="166">
        <v>930.82999999999902</v>
      </c>
      <c r="N138" s="166">
        <v>489.539999999999</v>
      </c>
      <c r="O138" s="166"/>
      <c r="P138" s="166"/>
      <c r="Q138" s="166">
        <v>916.52</v>
      </c>
      <c r="R138" s="166"/>
      <c r="S138" s="166"/>
      <c r="T138" s="166"/>
      <c r="U138" s="166">
        <v>4119.0600000000004</v>
      </c>
      <c r="V138" s="172"/>
      <c r="W138" s="161"/>
      <c r="Y138" s="71">
        <v>98267</v>
      </c>
      <c r="Z138" s="14" t="s">
        <v>10</v>
      </c>
      <c r="AA138" s="73">
        <v>1716.96999999999</v>
      </c>
      <c r="AB138" s="73"/>
      <c r="AC138" s="73">
        <v>4551.83</v>
      </c>
      <c r="AD138" s="73">
        <v>6268.8</v>
      </c>
      <c r="AE138" s="73"/>
      <c r="AF138" s="73">
        <v>961.23</v>
      </c>
      <c r="AG138" s="73">
        <v>2341.11</v>
      </c>
      <c r="AH138" s="73">
        <v>8342.24</v>
      </c>
      <c r="AI138" s="73">
        <v>3615.6</v>
      </c>
      <c r="AJ138" s="73"/>
      <c r="AK138" s="73">
        <v>3219.34</v>
      </c>
      <c r="AL138" s="174">
        <v>7210.16</v>
      </c>
      <c r="AM138" s="161">
        <f t="shared" si="1"/>
        <v>6834.9400000000005</v>
      </c>
      <c r="AN138" s="161"/>
      <c r="AZ138" s="71" t="s">
        <v>214</v>
      </c>
      <c r="BA138" s="71" t="s">
        <v>333</v>
      </c>
      <c r="BB138" s="32">
        <v>1</v>
      </c>
      <c r="BC138" s="32"/>
      <c r="BD138" s="32"/>
      <c r="BF138" s="71" t="s">
        <v>214</v>
      </c>
      <c r="BG138" s="71" t="s">
        <v>333</v>
      </c>
      <c r="BH138" s="73">
        <v>4615.57</v>
      </c>
      <c r="BI138" s="73"/>
      <c r="BJ138" s="73"/>
      <c r="BL138" s="71">
        <v>98288</v>
      </c>
      <c r="BM138" s="71" t="s">
        <v>10</v>
      </c>
      <c r="BN138" s="73"/>
      <c r="BO138" s="73">
        <v>-124.2</v>
      </c>
      <c r="BP138" s="73"/>
    </row>
    <row r="139" spans="2:68" x14ac:dyDescent="0.2">
      <c r="B139" s="78">
        <v>98264</v>
      </c>
      <c r="C139" s="60" t="s">
        <v>333</v>
      </c>
      <c r="D139" s="45">
        <v>289</v>
      </c>
      <c r="E139" s="45">
        <v>303</v>
      </c>
      <c r="F139" s="45">
        <v>206</v>
      </c>
      <c r="H139" s="165">
        <v>98263</v>
      </c>
      <c r="I139" s="165" t="s">
        <v>333</v>
      </c>
      <c r="J139" s="166"/>
      <c r="K139" s="166">
        <v>47.099999999999902</v>
      </c>
      <c r="L139" s="166">
        <v>90.259999999999906</v>
      </c>
      <c r="M139" s="166">
        <v>867.86</v>
      </c>
      <c r="N139" s="166">
        <v>1937.71</v>
      </c>
      <c r="O139" s="166">
        <v>1379.69</v>
      </c>
      <c r="P139" s="166">
        <v>1864.85</v>
      </c>
      <c r="Q139" s="166">
        <v>6383.5499999999902</v>
      </c>
      <c r="R139" s="166">
        <v>1201.3</v>
      </c>
      <c r="S139" s="166">
        <v>1937.63</v>
      </c>
      <c r="T139" s="166">
        <v>3244.54</v>
      </c>
      <c r="U139" s="166">
        <v>8753.89</v>
      </c>
      <c r="V139" s="172"/>
      <c r="W139" s="161"/>
      <c r="Y139" s="71">
        <v>98270</v>
      </c>
      <c r="Z139" s="14" t="s">
        <v>10</v>
      </c>
      <c r="AA139" s="73">
        <v>10418.81</v>
      </c>
      <c r="AB139" s="73">
        <v>2643.35</v>
      </c>
      <c r="AC139" s="73">
        <v>16302.36</v>
      </c>
      <c r="AD139" s="73">
        <v>50235.429999999898</v>
      </c>
      <c r="AE139" s="73">
        <v>17402.150000000001</v>
      </c>
      <c r="AF139" s="73">
        <v>7195.29</v>
      </c>
      <c r="AG139" s="73">
        <v>13043.02</v>
      </c>
      <c r="AH139" s="73">
        <v>55028.3299999999</v>
      </c>
      <c r="AI139" s="73">
        <v>13272.3499999999</v>
      </c>
      <c r="AJ139" s="73">
        <v>14224.5699999999</v>
      </c>
      <c r="AK139" s="73">
        <v>16458.789999999899</v>
      </c>
      <c r="AL139" s="174">
        <v>64657.03</v>
      </c>
      <c r="AM139" s="161">
        <f t="shared" si="1"/>
        <v>43955.709999999701</v>
      </c>
      <c r="AN139" s="161"/>
      <c r="AZ139" s="71" t="s">
        <v>215</v>
      </c>
      <c r="BA139" s="71" t="s">
        <v>333</v>
      </c>
      <c r="BB139" s="32">
        <v>2</v>
      </c>
      <c r="BC139" s="32"/>
      <c r="BD139" s="32">
        <v>2</v>
      </c>
      <c r="BF139" s="71" t="s">
        <v>215</v>
      </c>
      <c r="BG139" s="71" t="s">
        <v>333</v>
      </c>
      <c r="BH139" s="73">
        <v>2999.15</v>
      </c>
      <c r="BI139" s="73"/>
      <c r="BJ139" s="73">
        <v>1949.3400000000001</v>
      </c>
      <c r="BL139" s="71">
        <v>98294</v>
      </c>
      <c r="BM139" s="71" t="s">
        <v>10</v>
      </c>
      <c r="BN139" s="73">
        <v>-54.05</v>
      </c>
      <c r="BO139" s="73"/>
      <c r="BP139" s="73"/>
    </row>
    <row r="140" spans="2:68" x14ac:dyDescent="0.2">
      <c r="B140" s="78">
        <v>98266</v>
      </c>
      <c r="C140" s="60" t="s">
        <v>333</v>
      </c>
      <c r="D140" s="45">
        <v>40</v>
      </c>
      <c r="E140" s="45">
        <v>42</v>
      </c>
      <c r="F140" s="69">
        <v>17</v>
      </c>
      <c r="H140" s="165">
        <v>98264</v>
      </c>
      <c r="I140" s="165" t="s">
        <v>333</v>
      </c>
      <c r="J140" s="166">
        <v>9588.9899999999907</v>
      </c>
      <c r="K140" s="166">
        <v>8215.3599999999897</v>
      </c>
      <c r="L140" s="166">
        <v>32026.45</v>
      </c>
      <c r="M140" s="166">
        <v>232146.239999999</v>
      </c>
      <c r="N140" s="166">
        <v>15297.21</v>
      </c>
      <c r="O140" s="166">
        <v>6156.64</v>
      </c>
      <c r="P140" s="166">
        <v>33835.039999999899</v>
      </c>
      <c r="Q140" s="166">
        <v>202721.359999999</v>
      </c>
      <c r="R140" s="166">
        <v>13806.2599999999</v>
      </c>
      <c r="S140" s="166">
        <v>9546.4500000000007</v>
      </c>
      <c r="T140" s="166">
        <v>34977.19</v>
      </c>
      <c r="U140" s="166">
        <v>200467.91</v>
      </c>
      <c r="V140" s="172"/>
      <c r="W140" s="161"/>
      <c r="Y140" s="71">
        <v>98271</v>
      </c>
      <c r="Z140" s="14" t="s">
        <v>10</v>
      </c>
      <c r="AA140" s="73">
        <v>2392.4499999999998</v>
      </c>
      <c r="AB140" s="73">
        <v>559.63</v>
      </c>
      <c r="AC140" s="73">
        <v>3805.72999999999</v>
      </c>
      <c r="AD140" s="73">
        <v>12393</v>
      </c>
      <c r="AE140" s="73">
        <v>4552.3100000000004</v>
      </c>
      <c r="AF140" s="73">
        <v>2392.4499999999998</v>
      </c>
      <c r="AG140" s="73">
        <v>4200.3599999999997</v>
      </c>
      <c r="AH140" s="73">
        <v>16631.72</v>
      </c>
      <c r="AI140" s="73">
        <v>2941.53</v>
      </c>
      <c r="AJ140" s="73">
        <v>3115.39</v>
      </c>
      <c r="AK140" s="73">
        <v>3885.94</v>
      </c>
      <c r="AL140" s="174">
        <v>14967.4399999999</v>
      </c>
      <c r="AM140" s="161">
        <f t="shared" si="1"/>
        <v>9942.86</v>
      </c>
      <c r="AN140" s="161"/>
      <c r="AZ140" s="71" t="s">
        <v>217</v>
      </c>
      <c r="BA140" s="71" t="s">
        <v>333</v>
      </c>
      <c r="BB140" s="32">
        <v>2</v>
      </c>
      <c r="BC140" s="32">
        <v>1</v>
      </c>
      <c r="BD140" s="32">
        <v>1</v>
      </c>
      <c r="BF140" s="71" t="s">
        <v>217</v>
      </c>
      <c r="BG140" s="71" t="s">
        <v>333</v>
      </c>
      <c r="BH140" s="73">
        <v>675.54</v>
      </c>
      <c r="BI140" s="73">
        <v>21941.55</v>
      </c>
      <c r="BJ140" s="73">
        <v>228.74</v>
      </c>
      <c r="BL140" s="71">
        <v>98295</v>
      </c>
      <c r="BM140" s="71" t="s">
        <v>10</v>
      </c>
      <c r="BN140" s="73">
        <v>-28.71</v>
      </c>
      <c r="BO140" s="73"/>
      <c r="BP140" s="73"/>
    </row>
    <row r="141" spans="2:68" x14ac:dyDescent="0.2">
      <c r="B141" s="78">
        <v>98267</v>
      </c>
      <c r="C141" s="60" t="s">
        <v>333</v>
      </c>
      <c r="D141" s="45">
        <v>4</v>
      </c>
      <c r="E141" s="45">
        <v>24</v>
      </c>
      <c r="F141" s="45">
        <v>3</v>
      </c>
      <c r="H141" s="165">
        <v>98266</v>
      </c>
      <c r="I141" s="165" t="s">
        <v>333</v>
      </c>
      <c r="J141" s="166">
        <v>686.8</v>
      </c>
      <c r="K141" s="166">
        <v>78.45</v>
      </c>
      <c r="L141" s="166">
        <v>1270.1099999999999</v>
      </c>
      <c r="M141" s="166">
        <v>7903.8499999999904</v>
      </c>
      <c r="N141" s="166">
        <v>536.54999999999995</v>
      </c>
      <c r="O141" s="166">
        <v>119.97</v>
      </c>
      <c r="P141" s="166">
        <v>1240.8999999999901</v>
      </c>
      <c r="Q141" s="166">
        <v>6492.64</v>
      </c>
      <c r="R141" s="166">
        <v>894.22</v>
      </c>
      <c r="S141" s="166">
        <v>218.44</v>
      </c>
      <c r="T141" s="166">
        <v>1360.87</v>
      </c>
      <c r="U141" s="166">
        <v>7941.59</v>
      </c>
      <c r="V141" s="172"/>
      <c r="W141" s="161"/>
      <c r="Y141" s="71">
        <v>98272</v>
      </c>
      <c r="Z141" s="14" t="s">
        <v>10</v>
      </c>
      <c r="AA141" s="73">
        <v>2708.77</v>
      </c>
      <c r="AB141" s="73">
        <v>864.22</v>
      </c>
      <c r="AC141" s="73">
        <v>6163.9299999999903</v>
      </c>
      <c r="AD141" s="73">
        <v>13482.55</v>
      </c>
      <c r="AE141" s="73">
        <v>56</v>
      </c>
      <c r="AF141" s="73">
        <v>2291.7599999999902</v>
      </c>
      <c r="AG141" s="73">
        <v>5626.44</v>
      </c>
      <c r="AH141" s="73">
        <v>10897.79</v>
      </c>
      <c r="AI141" s="73">
        <v>2489.94</v>
      </c>
      <c r="AJ141" s="73">
        <v>56</v>
      </c>
      <c r="AK141" s="73">
        <v>7311.9099999999899</v>
      </c>
      <c r="AL141" s="174">
        <v>17413.059999999899</v>
      </c>
      <c r="AM141" s="161">
        <f t="shared" si="1"/>
        <v>9857.8499999999894</v>
      </c>
      <c r="AN141" s="161"/>
      <c r="AZ141" s="71" t="s">
        <v>218</v>
      </c>
      <c r="BA141" s="71" t="s">
        <v>333</v>
      </c>
      <c r="BB141" s="32">
        <v>6</v>
      </c>
      <c r="BC141" s="32">
        <v>4</v>
      </c>
      <c r="BD141" s="32">
        <v>7</v>
      </c>
      <c r="BF141" s="71" t="s">
        <v>218</v>
      </c>
      <c r="BG141" s="71" t="s">
        <v>333</v>
      </c>
      <c r="BH141" s="73">
        <v>7751.08</v>
      </c>
      <c r="BI141" s="73">
        <v>1722.52</v>
      </c>
      <c r="BJ141" s="73">
        <v>338.48</v>
      </c>
      <c r="BL141" s="71">
        <v>98310</v>
      </c>
      <c r="BM141" s="71" t="s">
        <v>10</v>
      </c>
      <c r="BN141" s="73">
        <v>-1309.3900000000001</v>
      </c>
      <c r="BO141" s="73">
        <v>-348.3</v>
      </c>
      <c r="BP141" s="73">
        <v>-1200.9100000000001</v>
      </c>
    </row>
    <row r="142" spans="2:68" x14ac:dyDescent="0.2">
      <c r="B142" s="78">
        <v>98270</v>
      </c>
      <c r="C142" s="60" t="s">
        <v>333</v>
      </c>
      <c r="D142" s="45">
        <v>121</v>
      </c>
      <c r="E142" s="45">
        <v>126</v>
      </c>
      <c r="F142" s="45">
        <v>81</v>
      </c>
      <c r="H142" s="165">
        <v>98267</v>
      </c>
      <c r="I142" s="165" t="s">
        <v>333</v>
      </c>
      <c r="J142" s="166">
        <v>533.59</v>
      </c>
      <c r="K142" s="166"/>
      <c r="L142" s="166">
        <v>16</v>
      </c>
      <c r="M142" s="166">
        <v>5447.1799999999903</v>
      </c>
      <c r="N142" s="166"/>
      <c r="O142" s="166">
        <v>107.68</v>
      </c>
      <c r="P142" s="166">
        <v>16</v>
      </c>
      <c r="Q142" s="166">
        <v>11175.9299999999</v>
      </c>
      <c r="R142" s="166">
        <v>4895.6000000000004</v>
      </c>
      <c r="S142" s="166"/>
      <c r="T142" s="166">
        <v>16</v>
      </c>
      <c r="U142" s="166">
        <v>19145.22</v>
      </c>
      <c r="V142" s="172"/>
      <c r="W142" s="161"/>
      <c r="Y142" s="71">
        <v>98273</v>
      </c>
      <c r="Z142" s="14" t="s">
        <v>10</v>
      </c>
      <c r="AA142" s="73">
        <v>26671.6699999999</v>
      </c>
      <c r="AB142" s="73">
        <v>7261.20999999999</v>
      </c>
      <c r="AC142" s="73">
        <v>40988.43</v>
      </c>
      <c r="AD142" s="73">
        <v>145757.769999999</v>
      </c>
      <c r="AE142" s="73">
        <v>50466.11</v>
      </c>
      <c r="AF142" s="73">
        <v>19600.97</v>
      </c>
      <c r="AG142" s="73">
        <v>41763.769999999997</v>
      </c>
      <c r="AH142" s="73">
        <v>179216.46</v>
      </c>
      <c r="AI142" s="73">
        <v>46879.549999999901</v>
      </c>
      <c r="AJ142" s="73">
        <v>38291.749999999898</v>
      </c>
      <c r="AK142" s="73">
        <v>51965.659999999902</v>
      </c>
      <c r="AL142" s="174">
        <v>207388.64</v>
      </c>
      <c r="AM142" s="161">
        <f t="shared" si="1"/>
        <v>137136.9599999997</v>
      </c>
      <c r="AN142" s="161"/>
      <c r="AZ142" s="71" t="s">
        <v>310</v>
      </c>
      <c r="BA142" s="71" t="s">
        <v>333</v>
      </c>
      <c r="BB142" s="32">
        <v>1</v>
      </c>
      <c r="BC142" s="32"/>
      <c r="BD142" s="32">
        <v>1</v>
      </c>
      <c r="BF142" s="71" t="s">
        <v>310</v>
      </c>
      <c r="BG142" s="71" t="s">
        <v>333</v>
      </c>
      <c r="BH142" s="73">
        <v>110.19</v>
      </c>
      <c r="BI142" s="73"/>
      <c r="BJ142" s="73">
        <v>1189.49</v>
      </c>
      <c r="BL142" s="71">
        <v>98311</v>
      </c>
      <c r="BM142" s="71" t="s">
        <v>10</v>
      </c>
      <c r="BN142" s="73">
        <v>-407.59</v>
      </c>
      <c r="BO142" s="73">
        <v>-138.16999999999999</v>
      </c>
      <c r="BP142" s="73">
        <v>-486.52</v>
      </c>
    </row>
    <row r="143" spans="2:68" x14ac:dyDescent="0.2">
      <c r="B143" s="78">
        <v>98271</v>
      </c>
      <c r="C143" s="60" t="s">
        <v>333</v>
      </c>
      <c r="D143" s="45">
        <v>136</v>
      </c>
      <c r="E143" s="45">
        <v>104</v>
      </c>
      <c r="F143" s="45">
        <v>61</v>
      </c>
      <c r="H143" s="165">
        <v>98270</v>
      </c>
      <c r="I143" s="165" t="s">
        <v>333</v>
      </c>
      <c r="J143" s="166">
        <v>12315.17</v>
      </c>
      <c r="K143" s="166">
        <v>2438.09</v>
      </c>
      <c r="L143" s="166">
        <v>47596.21</v>
      </c>
      <c r="M143" s="166">
        <v>152426.87</v>
      </c>
      <c r="N143" s="166">
        <v>9933.17</v>
      </c>
      <c r="O143" s="166">
        <v>5410.6399999999903</v>
      </c>
      <c r="P143" s="166">
        <v>49463.29</v>
      </c>
      <c r="Q143" s="166">
        <v>165590.09999999899</v>
      </c>
      <c r="R143" s="166">
        <v>10716.55</v>
      </c>
      <c r="S143" s="166">
        <v>5197.47</v>
      </c>
      <c r="T143" s="166">
        <v>49450.54</v>
      </c>
      <c r="U143" s="166">
        <v>97013.319999999905</v>
      </c>
      <c r="V143" s="172"/>
      <c r="W143" s="161"/>
      <c r="Y143" s="71">
        <v>98274</v>
      </c>
      <c r="Z143" s="14" t="s">
        <v>10</v>
      </c>
      <c r="AA143" s="73">
        <v>12381.5199999999</v>
      </c>
      <c r="AB143" s="73">
        <v>2801.2999999999902</v>
      </c>
      <c r="AC143" s="73">
        <v>19673.47</v>
      </c>
      <c r="AD143" s="73">
        <v>61892.949999999903</v>
      </c>
      <c r="AE143" s="73">
        <v>17424.189999999999</v>
      </c>
      <c r="AF143" s="73">
        <v>9895.59</v>
      </c>
      <c r="AG143" s="73">
        <v>17936.8</v>
      </c>
      <c r="AH143" s="73">
        <v>73565.649999999994</v>
      </c>
      <c r="AI143" s="73">
        <v>17674.89</v>
      </c>
      <c r="AJ143" s="73">
        <v>11267.119999999901</v>
      </c>
      <c r="AK143" s="73">
        <v>20755.099999999999</v>
      </c>
      <c r="AL143" s="174">
        <v>76934.33</v>
      </c>
      <c r="AM143" s="161">
        <f t="shared" si="1"/>
        <v>49697.109999999899</v>
      </c>
      <c r="AN143" s="161"/>
      <c r="AZ143" s="71" t="s">
        <v>311</v>
      </c>
      <c r="BA143" s="71" t="s">
        <v>333</v>
      </c>
      <c r="BB143" s="32">
        <v>1</v>
      </c>
      <c r="BC143" s="32"/>
      <c r="BD143" s="32"/>
      <c r="BF143" s="71" t="s">
        <v>311</v>
      </c>
      <c r="BG143" s="71" t="s">
        <v>333</v>
      </c>
      <c r="BH143" s="73">
        <v>2286.25</v>
      </c>
      <c r="BI143" s="73"/>
      <c r="BJ143" s="73"/>
      <c r="BL143" s="71">
        <v>98312</v>
      </c>
      <c r="BM143" s="71" t="s">
        <v>10</v>
      </c>
      <c r="BN143" s="73">
        <v>-168.93</v>
      </c>
      <c r="BO143" s="73">
        <v>-310.2</v>
      </c>
      <c r="BP143" s="73">
        <v>-77.78</v>
      </c>
    </row>
    <row r="144" spans="2:68" x14ac:dyDescent="0.2">
      <c r="B144" s="78">
        <v>98272</v>
      </c>
      <c r="C144" s="60" t="s">
        <v>333</v>
      </c>
      <c r="D144" s="45">
        <v>133</v>
      </c>
      <c r="E144" s="45">
        <v>48</v>
      </c>
      <c r="F144" s="45">
        <v>107</v>
      </c>
      <c r="H144" s="165">
        <v>98271</v>
      </c>
      <c r="I144" s="165" t="s">
        <v>333</v>
      </c>
      <c r="J144" s="166">
        <v>3155.58</v>
      </c>
      <c r="K144" s="166">
        <v>985.24</v>
      </c>
      <c r="L144" s="166">
        <v>9947.3199999999906</v>
      </c>
      <c r="M144" s="166">
        <v>111635.06</v>
      </c>
      <c r="N144" s="166">
        <v>4183.21</v>
      </c>
      <c r="O144" s="166">
        <v>2207.46</v>
      </c>
      <c r="P144" s="166">
        <v>10584.21</v>
      </c>
      <c r="Q144" s="166">
        <v>141988.71</v>
      </c>
      <c r="R144" s="166">
        <v>2713.49</v>
      </c>
      <c r="S144" s="166">
        <v>1390.08</v>
      </c>
      <c r="T144" s="166">
        <v>11135.92</v>
      </c>
      <c r="U144" s="166">
        <v>45504.669999999896</v>
      </c>
      <c r="V144" s="172"/>
      <c r="W144" s="161"/>
      <c r="Y144" s="71">
        <v>98275</v>
      </c>
      <c r="Z144" s="14" t="s">
        <v>10</v>
      </c>
      <c r="AA144" s="73">
        <v>720.48999999999899</v>
      </c>
      <c r="AB144" s="73">
        <v>223.60999999999899</v>
      </c>
      <c r="AC144" s="73">
        <v>631.16999999999996</v>
      </c>
      <c r="AD144" s="73">
        <v>4165.6399999999903</v>
      </c>
      <c r="AE144" s="73">
        <v>2060.7999999999902</v>
      </c>
      <c r="AF144" s="73">
        <v>626.69000000000005</v>
      </c>
      <c r="AG144" s="73">
        <v>732.84</v>
      </c>
      <c r="AH144" s="73">
        <v>5777.09</v>
      </c>
      <c r="AI144" s="73">
        <v>1991.85</v>
      </c>
      <c r="AJ144" s="73">
        <v>1569.52</v>
      </c>
      <c r="AK144" s="73">
        <v>1278.6199999999999</v>
      </c>
      <c r="AL144" s="174">
        <v>6880.88</v>
      </c>
      <c r="AM144" s="161">
        <f t="shared" si="1"/>
        <v>4839.99</v>
      </c>
      <c r="AN144" s="161"/>
      <c r="AZ144" s="71" t="s">
        <v>312</v>
      </c>
      <c r="BA144" s="71" t="s">
        <v>333</v>
      </c>
      <c r="BB144" s="32">
        <v>2</v>
      </c>
      <c r="BC144" s="32">
        <v>1</v>
      </c>
      <c r="BD144" s="32"/>
      <c r="BF144" s="71" t="s">
        <v>312</v>
      </c>
      <c r="BG144" s="71" t="s">
        <v>333</v>
      </c>
      <c r="BH144" s="73">
        <v>711.04</v>
      </c>
      <c r="BI144" s="73">
        <v>2592.1</v>
      </c>
      <c r="BJ144" s="73"/>
      <c r="BL144" s="71">
        <v>98328</v>
      </c>
      <c r="BM144" s="71" t="s">
        <v>10</v>
      </c>
      <c r="BN144" s="73"/>
      <c r="BO144" s="73">
        <v>-1297.52</v>
      </c>
      <c r="BP144" s="73"/>
    </row>
    <row r="145" spans="2:68" x14ac:dyDescent="0.2">
      <c r="B145" s="78">
        <v>98273</v>
      </c>
      <c r="C145" s="60" t="s">
        <v>333</v>
      </c>
      <c r="D145" s="45">
        <v>453</v>
      </c>
      <c r="E145" s="45">
        <v>380</v>
      </c>
      <c r="F145" s="45">
        <v>347</v>
      </c>
      <c r="H145" s="165">
        <v>98272</v>
      </c>
      <c r="I145" s="165" t="s">
        <v>333</v>
      </c>
      <c r="J145" s="166">
        <v>14313.16</v>
      </c>
      <c r="K145" s="166">
        <v>2457.9499999999998</v>
      </c>
      <c r="L145" s="166">
        <v>8709.76</v>
      </c>
      <c r="M145" s="166">
        <v>102114.76</v>
      </c>
      <c r="N145" s="166">
        <v>352.82</v>
      </c>
      <c r="O145" s="166">
        <v>4874.16</v>
      </c>
      <c r="P145" s="166">
        <v>5780.41</v>
      </c>
      <c r="Q145" s="166">
        <v>37472.979999999901</v>
      </c>
      <c r="R145" s="166">
        <v>3851.4099999999899</v>
      </c>
      <c r="S145" s="166">
        <v>111.3</v>
      </c>
      <c r="T145" s="166">
        <v>8878.81</v>
      </c>
      <c r="U145" s="166">
        <v>91268.7</v>
      </c>
      <c r="V145" s="172"/>
      <c r="W145" s="161"/>
      <c r="Y145" s="71">
        <v>98276</v>
      </c>
      <c r="Z145" s="14" t="s">
        <v>10</v>
      </c>
      <c r="AA145" s="73">
        <v>939.2</v>
      </c>
      <c r="AB145" s="73">
        <v>405.26</v>
      </c>
      <c r="AC145" s="73">
        <v>1720.28</v>
      </c>
      <c r="AD145" s="73">
        <v>5834.06</v>
      </c>
      <c r="AE145" s="73">
        <v>1571.58</v>
      </c>
      <c r="AF145" s="73">
        <v>595.44000000000005</v>
      </c>
      <c r="AG145" s="73">
        <v>433.12</v>
      </c>
      <c r="AH145" s="73">
        <v>4544.58</v>
      </c>
      <c r="AI145" s="73">
        <v>1502.56</v>
      </c>
      <c r="AJ145" s="73">
        <v>1425.46</v>
      </c>
      <c r="AK145" s="73">
        <v>928.56</v>
      </c>
      <c r="AL145" s="174">
        <v>6303.24</v>
      </c>
      <c r="AM145" s="161">
        <f t="shared" si="1"/>
        <v>3856.58</v>
      </c>
      <c r="AN145" s="161"/>
      <c r="AZ145" s="71" t="s">
        <v>313</v>
      </c>
      <c r="BA145" s="71" t="s">
        <v>333</v>
      </c>
      <c r="BB145" s="32">
        <v>4</v>
      </c>
      <c r="BC145" s="32"/>
      <c r="BD145" s="32"/>
      <c r="BF145" s="71" t="s">
        <v>313</v>
      </c>
      <c r="BG145" s="71" t="s">
        <v>333</v>
      </c>
      <c r="BH145" s="73">
        <v>11457.74</v>
      </c>
      <c r="BI145" s="73"/>
      <c r="BJ145" s="73"/>
      <c r="BL145" s="71">
        <v>98332</v>
      </c>
      <c r="BM145" s="71" t="s">
        <v>10</v>
      </c>
      <c r="BN145" s="73">
        <v>-59.16</v>
      </c>
      <c r="BO145" s="73"/>
      <c r="BP145" s="73">
        <v>-100</v>
      </c>
    </row>
    <row r="146" spans="2:68" x14ac:dyDescent="0.2">
      <c r="B146" s="78">
        <v>98274</v>
      </c>
      <c r="C146" s="60" t="s">
        <v>333</v>
      </c>
      <c r="D146" s="45">
        <v>101</v>
      </c>
      <c r="E146" s="45">
        <v>92</v>
      </c>
      <c r="F146" s="45">
        <v>82</v>
      </c>
      <c r="H146" s="165">
        <v>98273</v>
      </c>
      <c r="I146" s="165" t="s">
        <v>333</v>
      </c>
      <c r="J146" s="166">
        <v>18051.3299999999</v>
      </c>
      <c r="K146" s="166">
        <v>27530.880000000001</v>
      </c>
      <c r="L146" s="166">
        <v>96292.279999999897</v>
      </c>
      <c r="M146" s="166">
        <v>543030.55999999901</v>
      </c>
      <c r="N146" s="166">
        <v>148109.18999999901</v>
      </c>
      <c r="O146" s="166">
        <v>6604.8099999999904</v>
      </c>
      <c r="P146" s="166">
        <v>81874.869999999893</v>
      </c>
      <c r="Q146" s="166">
        <v>490133.549999999</v>
      </c>
      <c r="R146" s="166">
        <v>40524.26</v>
      </c>
      <c r="S146" s="166">
        <v>37800.609999999899</v>
      </c>
      <c r="T146" s="166">
        <v>75688.39</v>
      </c>
      <c r="U146" s="166">
        <v>328003.56</v>
      </c>
      <c r="V146" s="172"/>
      <c r="W146" s="161"/>
      <c r="Y146" s="71">
        <v>98277</v>
      </c>
      <c r="Z146" s="14" t="s">
        <v>10</v>
      </c>
      <c r="AA146" s="73">
        <v>61420.34</v>
      </c>
      <c r="AB146" s="73">
        <v>20819.979999999901</v>
      </c>
      <c r="AC146" s="73">
        <v>128076.41999999899</v>
      </c>
      <c r="AD146" s="73">
        <v>313541.01999999897</v>
      </c>
      <c r="AE146" s="73">
        <v>76190.48</v>
      </c>
      <c r="AF146" s="73">
        <v>58175.86</v>
      </c>
      <c r="AG146" s="73">
        <v>128986.459999999</v>
      </c>
      <c r="AH146" s="73">
        <v>333806.78999999998</v>
      </c>
      <c r="AI146" s="73">
        <v>79381.75</v>
      </c>
      <c r="AJ146" s="73">
        <v>65671.87</v>
      </c>
      <c r="AK146" s="73">
        <v>159221.47</v>
      </c>
      <c r="AL146" s="174">
        <v>417385.75</v>
      </c>
      <c r="AM146" s="161">
        <f t="shared" ref="AM146:AM209" si="2">SUM(AI146:AK146)</f>
        <v>304275.08999999997</v>
      </c>
      <c r="AN146" s="161"/>
      <c r="AZ146" s="71" t="s">
        <v>314</v>
      </c>
      <c r="BA146" s="71" t="s">
        <v>333</v>
      </c>
      <c r="BB146" s="32">
        <v>1</v>
      </c>
      <c r="BC146" s="32">
        <v>1</v>
      </c>
      <c r="BD146" s="32">
        <v>2</v>
      </c>
      <c r="BF146" s="71" t="s">
        <v>314</v>
      </c>
      <c r="BG146" s="71" t="s">
        <v>333</v>
      </c>
      <c r="BH146" s="73">
        <v>1689.11</v>
      </c>
      <c r="BI146" s="73">
        <v>805.48</v>
      </c>
      <c r="BJ146" s="73">
        <v>739.54</v>
      </c>
      <c r="BL146" s="71">
        <v>98335</v>
      </c>
      <c r="BM146" s="71" t="s">
        <v>10</v>
      </c>
      <c r="BN146" s="73"/>
      <c r="BO146" s="73">
        <v>-116.35</v>
      </c>
      <c r="BP146" s="73">
        <v>-200</v>
      </c>
    </row>
    <row r="147" spans="2:68" x14ac:dyDescent="0.2">
      <c r="B147" s="78">
        <v>98275</v>
      </c>
      <c r="C147" s="60" t="s">
        <v>333</v>
      </c>
      <c r="D147" s="45">
        <v>38</v>
      </c>
      <c r="E147" s="45">
        <v>44</v>
      </c>
      <c r="F147" s="45">
        <v>40</v>
      </c>
      <c r="H147" s="165">
        <v>98274</v>
      </c>
      <c r="I147" s="165" t="s">
        <v>333</v>
      </c>
      <c r="J147" s="166">
        <v>41205.889999999898</v>
      </c>
      <c r="K147" s="166">
        <v>10077.82</v>
      </c>
      <c r="L147" s="166">
        <v>299474.18999999901</v>
      </c>
      <c r="M147" s="166">
        <v>498446.66</v>
      </c>
      <c r="N147" s="166">
        <v>8038.43</v>
      </c>
      <c r="O147" s="166">
        <v>38655.349999999897</v>
      </c>
      <c r="P147" s="166">
        <v>17747.45</v>
      </c>
      <c r="Q147" s="166">
        <v>91884.159999999902</v>
      </c>
      <c r="R147" s="166">
        <v>2040.1899999999901</v>
      </c>
      <c r="S147" s="166">
        <v>2077.94</v>
      </c>
      <c r="T147" s="166">
        <v>41168.870000000003</v>
      </c>
      <c r="U147" s="166">
        <v>76007.699999999895</v>
      </c>
      <c r="V147" s="172"/>
      <c r="W147" s="161"/>
      <c r="Y147" s="71">
        <v>98281</v>
      </c>
      <c r="Z147" s="14" t="s">
        <v>10</v>
      </c>
      <c r="AA147" s="73">
        <v>2297.7800000000002</v>
      </c>
      <c r="AB147" s="73"/>
      <c r="AC147" s="73">
        <v>4304.0599999999904</v>
      </c>
      <c r="AD147" s="73">
        <v>6698.19</v>
      </c>
      <c r="AE147" s="73">
        <v>668.17</v>
      </c>
      <c r="AF147" s="73">
        <v>857.28999999999905</v>
      </c>
      <c r="AG147" s="73">
        <v>3374.18</v>
      </c>
      <c r="AH147" s="73">
        <v>7866.5099999999902</v>
      </c>
      <c r="AI147" s="73">
        <v>1723.65</v>
      </c>
      <c r="AJ147" s="73"/>
      <c r="AK147" s="73">
        <v>3366.07</v>
      </c>
      <c r="AL147" s="174">
        <v>10641.3</v>
      </c>
      <c r="AM147" s="161">
        <f t="shared" si="2"/>
        <v>5089.72</v>
      </c>
      <c r="AN147" s="161"/>
      <c r="AZ147" s="71" t="s">
        <v>315</v>
      </c>
      <c r="BA147" s="71" t="s">
        <v>333</v>
      </c>
      <c r="BB147" s="32">
        <v>1</v>
      </c>
      <c r="BC147" s="32"/>
      <c r="BD147" s="32"/>
      <c r="BF147" s="71" t="s">
        <v>315</v>
      </c>
      <c r="BG147" s="71" t="s">
        <v>333</v>
      </c>
      <c r="BH147" s="73">
        <v>54.09</v>
      </c>
      <c r="BI147" s="73"/>
      <c r="BJ147" s="73"/>
      <c r="BL147" s="71">
        <v>98337</v>
      </c>
      <c r="BM147" s="71" t="s">
        <v>10</v>
      </c>
      <c r="BN147" s="73">
        <v>-37.369999999999997</v>
      </c>
      <c r="BO147" s="73"/>
      <c r="BP147" s="73"/>
    </row>
    <row r="148" spans="2:68" x14ac:dyDescent="0.2">
      <c r="B148" s="78">
        <v>98276</v>
      </c>
      <c r="C148" s="60" t="s">
        <v>333</v>
      </c>
      <c r="D148" s="45">
        <v>3</v>
      </c>
      <c r="E148" s="45">
        <v>8</v>
      </c>
      <c r="F148" s="45">
        <v>4</v>
      </c>
      <c r="H148" s="165">
        <v>98275</v>
      </c>
      <c r="I148" s="165" t="s">
        <v>333</v>
      </c>
      <c r="J148" s="166">
        <v>6683.9</v>
      </c>
      <c r="K148" s="166">
        <v>1277.49999999999</v>
      </c>
      <c r="L148" s="166">
        <v>20618.439999999999</v>
      </c>
      <c r="M148" s="166">
        <v>45582.39</v>
      </c>
      <c r="N148" s="166">
        <v>10269.17</v>
      </c>
      <c r="O148" s="166">
        <v>5525.51</v>
      </c>
      <c r="P148" s="166">
        <v>19917.629999999899</v>
      </c>
      <c r="Q148" s="166">
        <v>52377.729999999901</v>
      </c>
      <c r="R148" s="166">
        <v>3105.99</v>
      </c>
      <c r="S148" s="166">
        <v>1641.81</v>
      </c>
      <c r="T148" s="166">
        <v>8149.62</v>
      </c>
      <c r="U148" s="166">
        <v>27596.1</v>
      </c>
      <c r="V148" s="172"/>
      <c r="W148" s="161"/>
      <c r="Y148" s="71">
        <v>98283</v>
      </c>
      <c r="Z148" s="14" t="s">
        <v>10</v>
      </c>
      <c r="AA148" s="73">
        <v>720.75</v>
      </c>
      <c r="AB148" s="73">
        <v>167.42</v>
      </c>
      <c r="AC148" s="73">
        <v>5228.12</v>
      </c>
      <c r="AD148" s="73">
        <v>7439.3899999999903</v>
      </c>
      <c r="AE148" s="73">
        <v>1052.5899999999999</v>
      </c>
      <c r="AF148" s="73">
        <v>720.75</v>
      </c>
      <c r="AG148" s="73">
        <v>5395.54</v>
      </c>
      <c r="AH148" s="73">
        <v>9622.8799999999992</v>
      </c>
      <c r="AI148" s="73">
        <v>2001.73</v>
      </c>
      <c r="AJ148" s="73">
        <v>149.96</v>
      </c>
      <c r="AK148" s="73">
        <v>3151.0699999999902</v>
      </c>
      <c r="AL148" s="174">
        <v>5649.22</v>
      </c>
      <c r="AM148" s="161">
        <f t="shared" si="2"/>
        <v>5302.7599999999902</v>
      </c>
      <c r="AN148" s="161"/>
      <c r="AZ148" s="71" t="s">
        <v>316</v>
      </c>
      <c r="BA148" s="71" t="s">
        <v>333</v>
      </c>
      <c r="BB148" s="32"/>
      <c r="BC148" s="32">
        <v>1</v>
      </c>
      <c r="BD148" s="32"/>
      <c r="BF148" s="71" t="s">
        <v>316</v>
      </c>
      <c r="BG148" s="71" t="s">
        <v>333</v>
      </c>
      <c r="BH148" s="73"/>
      <c r="BI148" s="73"/>
      <c r="BJ148" s="73"/>
      <c r="BL148" s="71">
        <v>98338</v>
      </c>
      <c r="BM148" s="71" t="s">
        <v>10</v>
      </c>
      <c r="BN148" s="73">
        <v>-245.86</v>
      </c>
      <c r="BO148" s="73">
        <v>-71.58</v>
      </c>
      <c r="BP148" s="73">
        <v>-269.64</v>
      </c>
    </row>
    <row r="149" spans="2:68" x14ac:dyDescent="0.2">
      <c r="B149" s="78">
        <v>98277</v>
      </c>
      <c r="C149" s="60" t="s">
        <v>333</v>
      </c>
      <c r="D149" s="45">
        <v>506</v>
      </c>
      <c r="E149" s="45">
        <v>345</v>
      </c>
      <c r="F149" s="45">
        <v>378</v>
      </c>
      <c r="H149" s="165">
        <v>98276</v>
      </c>
      <c r="I149" s="165" t="s">
        <v>333</v>
      </c>
      <c r="J149" s="166">
        <v>41.59</v>
      </c>
      <c r="K149" s="166">
        <v>49.69</v>
      </c>
      <c r="L149" s="166">
        <v>4245.88</v>
      </c>
      <c r="M149" s="166">
        <v>4734.87</v>
      </c>
      <c r="N149" s="166">
        <v>396.68</v>
      </c>
      <c r="O149" s="166">
        <v>41.59</v>
      </c>
      <c r="P149" s="166">
        <v>4295.57</v>
      </c>
      <c r="Q149" s="166">
        <v>5816.57</v>
      </c>
      <c r="R149" s="166">
        <v>143.81</v>
      </c>
      <c r="S149" s="166">
        <v>96.68</v>
      </c>
      <c r="T149" s="166">
        <v>4337.16</v>
      </c>
      <c r="U149" s="166">
        <v>5070.1099999999997</v>
      </c>
      <c r="V149" s="172"/>
      <c r="W149" s="161"/>
      <c r="Y149" s="71">
        <v>98284</v>
      </c>
      <c r="Z149" s="14" t="s">
        <v>10</v>
      </c>
      <c r="AA149" s="73">
        <v>20049.39</v>
      </c>
      <c r="AB149" s="73">
        <v>8766.5299999999897</v>
      </c>
      <c r="AC149" s="73">
        <v>45244.319999999898</v>
      </c>
      <c r="AD149" s="73">
        <v>134765.84999999899</v>
      </c>
      <c r="AE149" s="73">
        <v>48191.989999999903</v>
      </c>
      <c r="AF149" s="73">
        <v>16812.429999999898</v>
      </c>
      <c r="AG149" s="73">
        <v>48018.309999999903</v>
      </c>
      <c r="AH149" s="73">
        <v>173257.53</v>
      </c>
      <c r="AI149" s="73">
        <v>45632.84</v>
      </c>
      <c r="AJ149" s="73">
        <v>35485.669999999896</v>
      </c>
      <c r="AK149" s="73">
        <v>51955.3</v>
      </c>
      <c r="AL149" s="174">
        <v>192940.30999999901</v>
      </c>
      <c r="AM149" s="161">
        <f t="shared" si="2"/>
        <v>133073.80999999988</v>
      </c>
      <c r="AN149" s="161"/>
      <c r="AZ149" s="71" t="s">
        <v>317</v>
      </c>
      <c r="BA149" s="71" t="s">
        <v>333</v>
      </c>
      <c r="BB149" s="32">
        <v>1</v>
      </c>
      <c r="BC149" s="32"/>
      <c r="BD149" s="32">
        <v>1</v>
      </c>
      <c r="BF149" s="71" t="s">
        <v>317</v>
      </c>
      <c r="BG149" s="71" t="s">
        <v>333</v>
      </c>
      <c r="BH149" s="73">
        <v>311.92</v>
      </c>
      <c r="BI149" s="73"/>
      <c r="BJ149" s="73">
        <v>1715.09</v>
      </c>
      <c r="BL149" s="71">
        <v>98354</v>
      </c>
      <c r="BM149" s="71" t="s">
        <v>10</v>
      </c>
      <c r="BN149" s="73"/>
      <c r="BO149" s="73">
        <v>-100</v>
      </c>
      <c r="BP149" s="73"/>
    </row>
    <row r="150" spans="2:68" x14ac:dyDescent="0.2">
      <c r="B150" s="78">
        <v>98281</v>
      </c>
      <c r="C150" s="60" t="s">
        <v>333</v>
      </c>
      <c r="D150" s="45">
        <v>15</v>
      </c>
      <c r="E150" s="45">
        <v>22</v>
      </c>
      <c r="F150" s="45">
        <v>36</v>
      </c>
      <c r="H150" s="165">
        <v>98277</v>
      </c>
      <c r="I150" s="165" t="s">
        <v>333</v>
      </c>
      <c r="J150" s="166">
        <v>38935.599999999897</v>
      </c>
      <c r="K150" s="166">
        <v>17754.59</v>
      </c>
      <c r="L150" s="166">
        <v>340021.81</v>
      </c>
      <c r="M150" s="166">
        <v>547045.39999999898</v>
      </c>
      <c r="N150" s="166">
        <v>33618.18</v>
      </c>
      <c r="O150" s="166">
        <v>37062.589999999997</v>
      </c>
      <c r="P150" s="166">
        <v>331056.53999999998</v>
      </c>
      <c r="Q150" s="166">
        <v>474162.94</v>
      </c>
      <c r="R150" s="166">
        <v>35657.61</v>
      </c>
      <c r="S150" s="166">
        <v>18976.34</v>
      </c>
      <c r="T150" s="166">
        <v>324849.32999999903</v>
      </c>
      <c r="U150" s="166">
        <v>502709.46999999898</v>
      </c>
      <c r="V150" s="172"/>
      <c r="W150" s="161"/>
      <c r="Y150" s="71">
        <v>98288</v>
      </c>
      <c r="Z150" s="14" t="s">
        <v>10</v>
      </c>
      <c r="AA150" s="73">
        <v>166.6</v>
      </c>
      <c r="AB150" s="73">
        <v>125.07</v>
      </c>
      <c r="AC150" s="73">
        <v>377.78</v>
      </c>
      <c r="AD150" s="73">
        <v>1175.6099999999999</v>
      </c>
      <c r="AE150" s="73">
        <v>506.159999999999</v>
      </c>
      <c r="AF150" s="73">
        <v>166.6</v>
      </c>
      <c r="AG150" s="73">
        <v>502.849999999999</v>
      </c>
      <c r="AH150" s="73">
        <v>1753.23</v>
      </c>
      <c r="AI150" s="73"/>
      <c r="AJ150" s="73">
        <v>506.159999999999</v>
      </c>
      <c r="AK150" s="73">
        <v>502.849999999999</v>
      </c>
      <c r="AL150" s="174">
        <v>2163.0699999999902</v>
      </c>
      <c r="AM150" s="161">
        <f t="shared" si="2"/>
        <v>1009.0099999999979</v>
      </c>
      <c r="AN150" s="161"/>
      <c r="AZ150" s="71" t="s">
        <v>320</v>
      </c>
      <c r="BA150" s="71" t="s">
        <v>333</v>
      </c>
      <c r="BB150" s="32">
        <v>1</v>
      </c>
      <c r="BC150" s="32"/>
      <c r="BD150" s="32"/>
      <c r="BF150" s="71" t="s">
        <v>320</v>
      </c>
      <c r="BG150" s="71" t="s">
        <v>333</v>
      </c>
      <c r="BH150" s="73">
        <v>2000</v>
      </c>
      <c r="BI150" s="73"/>
      <c r="BJ150" s="73"/>
      <c r="BL150" s="71">
        <v>98360</v>
      </c>
      <c r="BM150" s="71" t="s">
        <v>10</v>
      </c>
      <c r="BN150" s="73"/>
      <c r="BO150" s="73"/>
      <c r="BP150" s="73">
        <v>-64.150000000000006</v>
      </c>
    </row>
    <row r="151" spans="2:68" x14ac:dyDescent="0.2">
      <c r="B151" s="78">
        <v>98283</v>
      </c>
      <c r="C151" s="60" t="s">
        <v>333</v>
      </c>
      <c r="D151" s="45">
        <v>9</v>
      </c>
      <c r="E151" s="45">
        <v>16</v>
      </c>
      <c r="F151" s="45">
        <v>13</v>
      </c>
      <c r="H151" s="165">
        <v>98281</v>
      </c>
      <c r="I151" s="165" t="s">
        <v>333</v>
      </c>
      <c r="J151" s="166">
        <v>981.27</v>
      </c>
      <c r="K151" s="166">
        <v>16.55</v>
      </c>
      <c r="L151" s="166">
        <v>13313.51</v>
      </c>
      <c r="M151" s="166">
        <v>14350.24</v>
      </c>
      <c r="N151" s="166">
        <v>468.05</v>
      </c>
      <c r="O151" s="166">
        <v>201.79</v>
      </c>
      <c r="P151" s="166">
        <v>13286.96</v>
      </c>
      <c r="Q151" s="166">
        <v>16090.199999999901</v>
      </c>
      <c r="R151" s="166">
        <v>531.17999999999995</v>
      </c>
      <c r="S151" s="166">
        <v>38.909999999999997</v>
      </c>
      <c r="T151" s="166">
        <v>13661.1499999999</v>
      </c>
      <c r="U151" s="166">
        <v>28519.64</v>
      </c>
      <c r="V151" s="172"/>
      <c r="W151" s="161"/>
      <c r="Y151" s="71">
        <v>98290</v>
      </c>
      <c r="Z151" s="14" t="s">
        <v>10</v>
      </c>
      <c r="AA151" s="73">
        <v>1095.81</v>
      </c>
      <c r="AB151" s="73">
        <v>356.56999999999903</v>
      </c>
      <c r="AC151" s="73">
        <v>2193.71</v>
      </c>
      <c r="AD151" s="73">
        <v>5269.7</v>
      </c>
      <c r="AE151" s="73">
        <v>979.8</v>
      </c>
      <c r="AF151" s="73">
        <v>1244.19999999999</v>
      </c>
      <c r="AG151" s="73">
        <v>1948.56</v>
      </c>
      <c r="AH151" s="73">
        <v>4398.26</v>
      </c>
      <c r="AI151" s="73">
        <v>1199.06</v>
      </c>
      <c r="AJ151" s="73">
        <v>890.93</v>
      </c>
      <c r="AK151" s="73">
        <v>3192.76</v>
      </c>
      <c r="AL151" s="174">
        <v>7400.70999999999</v>
      </c>
      <c r="AM151" s="161">
        <f t="shared" si="2"/>
        <v>5282.75</v>
      </c>
      <c r="AN151" s="161"/>
      <c r="AZ151" s="71" t="s">
        <v>321</v>
      </c>
      <c r="BA151" s="71" t="s">
        <v>333</v>
      </c>
      <c r="BB151" s="32"/>
      <c r="BC151" s="32">
        <v>1</v>
      </c>
      <c r="BD151" s="32"/>
      <c r="BF151" s="71" t="s">
        <v>321</v>
      </c>
      <c r="BG151" s="71" t="s">
        <v>333</v>
      </c>
      <c r="BH151" s="73"/>
      <c r="BI151" s="73">
        <v>2764.83</v>
      </c>
      <c r="BJ151" s="73"/>
      <c r="BL151" s="71">
        <v>98366</v>
      </c>
      <c r="BM151" s="71" t="s">
        <v>10</v>
      </c>
      <c r="BN151" s="73">
        <v>-85.62</v>
      </c>
      <c r="BO151" s="73">
        <v>-233.62</v>
      </c>
      <c r="BP151" s="73"/>
    </row>
    <row r="152" spans="2:68" x14ac:dyDescent="0.2">
      <c r="B152" s="78">
        <v>98284</v>
      </c>
      <c r="C152" s="60" t="s">
        <v>333</v>
      </c>
      <c r="D152" s="45">
        <v>121</v>
      </c>
      <c r="E152" s="69">
        <v>115</v>
      </c>
      <c r="F152" s="69">
        <v>117</v>
      </c>
      <c r="H152" s="165">
        <v>98283</v>
      </c>
      <c r="I152" s="165" t="s">
        <v>333</v>
      </c>
      <c r="J152" s="166">
        <v>2104.13</v>
      </c>
      <c r="K152" s="166">
        <v>107.57</v>
      </c>
      <c r="L152" s="166">
        <v>724.79</v>
      </c>
      <c r="M152" s="166">
        <v>4271.99</v>
      </c>
      <c r="N152" s="166">
        <v>153.68</v>
      </c>
      <c r="O152" s="166">
        <v>2104.13</v>
      </c>
      <c r="P152" s="166">
        <v>710.42</v>
      </c>
      <c r="Q152" s="166">
        <v>9639.01</v>
      </c>
      <c r="R152" s="166">
        <v>3893.8199999999902</v>
      </c>
      <c r="S152" s="166">
        <v>31.74</v>
      </c>
      <c r="T152" s="166">
        <v>1374.26</v>
      </c>
      <c r="U152" s="166">
        <v>5437.56</v>
      </c>
      <c r="V152" s="172"/>
      <c r="W152" s="161"/>
      <c r="Y152" s="71">
        <v>98292</v>
      </c>
      <c r="Z152" s="14" t="s">
        <v>10</v>
      </c>
      <c r="AA152" s="73">
        <v>215.88</v>
      </c>
      <c r="AB152" s="73">
        <v>74.05</v>
      </c>
      <c r="AC152" s="73">
        <v>3881.27</v>
      </c>
      <c r="AD152" s="73">
        <v>4405.57</v>
      </c>
      <c r="AE152" s="73">
        <v>234.37</v>
      </c>
      <c r="AF152" s="73">
        <v>178.15</v>
      </c>
      <c r="AG152" s="73">
        <v>269.77999999999997</v>
      </c>
      <c r="AH152" s="73">
        <v>1086.9099999999901</v>
      </c>
      <c r="AI152" s="73">
        <v>404.61</v>
      </c>
      <c r="AJ152" s="73">
        <v>234.37</v>
      </c>
      <c r="AK152" s="73">
        <v>395.39</v>
      </c>
      <c r="AL152" s="174">
        <v>1603.76</v>
      </c>
      <c r="AM152" s="161">
        <f t="shared" si="2"/>
        <v>1034.3699999999999</v>
      </c>
      <c r="AN152" s="161"/>
      <c r="AZ152" s="71" t="s">
        <v>222</v>
      </c>
      <c r="BA152" s="71" t="s">
        <v>333</v>
      </c>
      <c r="BB152" s="32">
        <v>2</v>
      </c>
      <c r="BC152" s="32">
        <v>1</v>
      </c>
      <c r="BD152" s="32"/>
      <c r="BF152" s="71" t="s">
        <v>222</v>
      </c>
      <c r="BG152" s="71" t="s">
        <v>333</v>
      </c>
      <c r="BH152" s="73">
        <v>2006.9</v>
      </c>
      <c r="BI152" s="73">
        <v>408.44</v>
      </c>
      <c r="BJ152" s="73"/>
      <c r="BL152" s="71">
        <v>98367</v>
      </c>
      <c r="BM152" s="71" t="s">
        <v>10</v>
      </c>
      <c r="BN152" s="73">
        <v>-126.3</v>
      </c>
      <c r="BO152" s="73">
        <v>-123.4</v>
      </c>
      <c r="BP152" s="73">
        <v>-50</v>
      </c>
    </row>
    <row r="153" spans="2:68" x14ac:dyDescent="0.2">
      <c r="B153" s="54">
        <v>98288</v>
      </c>
      <c r="C153" s="60" t="s">
        <v>333</v>
      </c>
      <c r="D153" s="45">
        <v>12</v>
      </c>
      <c r="E153" s="45">
        <v>13</v>
      </c>
      <c r="F153" s="45">
        <v>9</v>
      </c>
      <c r="H153" s="165">
        <v>98284</v>
      </c>
      <c r="I153" s="165" t="s">
        <v>333</v>
      </c>
      <c r="J153" s="166">
        <v>23281.78</v>
      </c>
      <c r="K153" s="166">
        <v>7084.49</v>
      </c>
      <c r="L153" s="166">
        <v>180248.65</v>
      </c>
      <c r="M153" s="166">
        <v>247817.81999999899</v>
      </c>
      <c r="N153" s="166">
        <v>24574.389999999901</v>
      </c>
      <c r="O153" s="166">
        <v>23296.41</v>
      </c>
      <c r="P153" s="166">
        <v>182260.59</v>
      </c>
      <c r="Q153" s="166">
        <v>254326.90999999901</v>
      </c>
      <c r="R153" s="166">
        <v>15155.559999999899</v>
      </c>
      <c r="S153" s="166">
        <v>22546.9</v>
      </c>
      <c r="T153" s="166">
        <v>201235.139999999</v>
      </c>
      <c r="U153" s="166">
        <v>269179.34999999998</v>
      </c>
      <c r="V153" s="172"/>
      <c r="W153" s="161"/>
      <c r="Y153" s="71">
        <v>98294</v>
      </c>
      <c r="Z153" s="14" t="s">
        <v>10</v>
      </c>
      <c r="AA153" s="73">
        <v>2704.69</v>
      </c>
      <c r="AB153" s="73">
        <v>331.13</v>
      </c>
      <c r="AC153" s="73">
        <v>1905.48</v>
      </c>
      <c r="AD153" s="73">
        <v>6960.48</v>
      </c>
      <c r="AE153" s="73">
        <v>791.82</v>
      </c>
      <c r="AF153" s="73">
        <v>1841.8799999999901</v>
      </c>
      <c r="AG153" s="73">
        <v>1376.03</v>
      </c>
      <c r="AH153" s="73">
        <v>7722.69</v>
      </c>
      <c r="AI153" s="73">
        <v>2681.22</v>
      </c>
      <c r="AJ153" s="73"/>
      <c r="AK153" s="73">
        <v>3277.0299999999902</v>
      </c>
      <c r="AL153" s="174">
        <v>11834.619999999901</v>
      </c>
      <c r="AM153" s="161">
        <f t="shared" si="2"/>
        <v>5958.24999999999</v>
      </c>
      <c r="AN153" s="161"/>
      <c r="AZ153" s="71" t="s">
        <v>225</v>
      </c>
      <c r="BA153" s="71" t="s">
        <v>333</v>
      </c>
      <c r="BB153" s="32"/>
      <c r="BC153" s="32"/>
      <c r="BD153" s="32">
        <v>1</v>
      </c>
      <c r="BF153" s="71" t="s">
        <v>225</v>
      </c>
      <c r="BG153" s="71" t="s">
        <v>333</v>
      </c>
      <c r="BH153" s="73"/>
      <c r="BI153" s="73"/>
      <c r="BJ153" s="73">
        <v>381.4</v>
      </c>
      <c r="BL153" s="71">
        <v>98370</v>
      </c>
      <c r="BM153" s="71" t="s">
        <v>10</v>
      </c>
      <c r="BN153" s="73">
        <v>-102.42</v>
      </c>
      <c r="BO153" s="73"/>
      <c r="BP153" s="73">
        <v>-60.2</v>
      </c>
    </row>
    <row r="154" spans="2:68" x14ac:dyDescent="0.2">
      <c r="B154" s="54">
        <v>98290</v>
      </c>
      <c r="C154" s="60" t="s">
        <v>333</v>
      </c>
      <c r="D154" s="45">
        <v>88</v>
      </c>
      <c r="E154" s="45">
        <v>29</v>
      </c>
      <c r="F154" s="45">
        <v>64</v>
      </c>
      <c r="H154" s="165">
        <v>98288</v>
      </c>
      <c r="I154" s="165" t="s">
        <v>333</v>
      </c>
      <c r="J154" s="166">
        <v>1140.51</v>
      </c>
      <c r="K154" s="166">
        <v>194.41</v>
      </c>
      <c r="L154" s="166">
        <v>3408.38</v>
      </c>
      <c r="M154" s="166">
        <v>6935.6</v>
      </c>
      <c r="N154" s="166">
        <v>1136.43</v>
      </c>
      <c r="O154" s="166">
        <v>906.969999999999</v>
      </c>
      <c r="P154" s="166">
        <v>3602.79</v>
      </c>
      <c r="Q154" s="166">
        <v>6593.9399999999896</v>
      </c>
      <c r="R154" s="166">
        <v>760.58</v>
      </c>
      <c r="S154" s="166">
        <v>75.33</v>
      </c>
      <c r="T154" s="166">
        <v>4252.2700000000004</v>
      </c>
      <c r="U154" s="166">
        <v>8483.0999999999894</v>
      </c>
      <c r="V154" s="172"/>
      <c r="W154" s="161"/>
      <c r="Y154" s="71">
        <v>98295</v>
      </c>
      <c r="Z154" s="14" t="s">
        <v>10</v>
      </c>
      <c r="AA154" s="73">
        <v>1661.16</v>
      </c>
      <c r="AB154" s="73"/>
      <c r="AC154" s="73">
        <v>2139.69</v>
      </c>
      <c r="AD154" s="73">
        <v>5141.4699999999903</v>
      </c>
      <c r="AE154" s="73">
        <v>846.22</v>
      </c>
      <c r="AF154" s="73">
        <v>1219.1600000000001</v>
      </c>
      <c r="AG154" s="73">
        <v>2139.56</v>
      </c>
      <c r="AH154" s="73">
        <v>6307.82</v>
      </c>
      <c r="AI154" s="73">
        <v>1671.31</v>
      </c>
      <c r="AJ154" s="73">
        <v>238.09</v>
      </c>
      <c r="AK154" s="73">
        <v>2843.05</v>
      </c>
      <c r="AL154" s="174">
        <v>5691.17</v>
      </c>
      <c r="AM154" s="161">
        <f t="shared" si="2"/>
        <v>4752.45</v>
      </c>
      <c r="AN154" s="161"/>
      <c r="AZ154" s="71" t="s">
        <v>325</v>
      </c>
      <c r="BA154" s="71" t="s">
        <v>333</v>
      </c>
      <c r="BB154" s="32"/>
      <c r="BC154" s="32">
        <v>2</v>
      </c>
      <c r="BD154" s="32">
        <v>1</v>
      </c>
      <c r="BF154" s="71" t="s">
        <v>325</v>
      </c>
      <c r="BG154" s="71" t="s">
        <v>333</v>
      </c>
      <c r="BH154" s="73"/>
      <c r="BI154" s="73">
        <v>2372.2800000000002</v>
      </c>
      <c r="BJ154" s="73">
        <v>2400</v>
      </c>
      <c r="BL154" s="71">
        <v>98371</v>
      </c>
      <c r="BM154" s="71" t="s">
        <v>10</v>
      </c>
      <c r="BN154" s="73">
        <v>-887.95</v>
      </c>
      <c r="BO154" s="73"/>
      <c r="BP154" s="73"/>
    </row>
    <row r="155" spans="2:68" x14ac:dyDescent="0.2">
      <c r="B155" s="54">
        <v>98292</v>
      </c>
      <c r="C155" s="60" t="s">
        <v>333</v>
      </c>
      <c r="D155" s="45">
        <v>4</v>
      </c>
      <c r="E155" s="45">
        <v>6</v>
      </c>
      <c r="F155" s="45">
        <v>2</v>
      </c>
      <c r="H155" s="165">
        <v>98290</v>
      </c>
      <c r="I155" s="165" t="s">
        <v>333</v>
      </c>
      <c r="J155" s="166">
        <v>13556.21</v>
      </c>
      <c r="K155" s="166">
        <v>1640.15</v>
      </c>
      <c r="L155" s="166">
        <v>10638.91</v>
      </c>
      <c r="M155" s="166">
        <v>64164.93</v>
      </c>
      <c r="N155" s="166">
        <v>8139.59</v>
      </c>
      <c r="O155" s="166">
        <v>12580.529999999901</v>
      </c>
      <c r="P155" s="166">
        <v>8706.92</v>
      </c>
      <c r="Q155" s="166">
        <v>30916.19</v>
      </c>
      <c r="R155" s="166">
        <v>9791.86</v>
      </c>
      <c r="S155" s="166">
        <v>6811.41</v>
      </c>
      <c r="T155" s="166">
        <v>12802.55</v>
      </c>
      <c r="U155" s="166">
        <v>66508.3299999999</v>
      </c>
      <c r="V155" s="172"/>
      <c r="W155" s="161"/>
      <c r="Y155" s="71">
        <v>98296</v>
      </c>
      <c r="Z155" s="14" t="s">
        <v>10</v>
      </c>
      <c r="AA155" s="73">
        <v>470.85999999999899</v>
      </c>
      <c r="AB155" s="73">
        <v>183.32</v>
      </c>
      <c r="AC155" s="73">
        <v>2423.7599999999902</v>
      </c>
      <c r="AD155" s="73">
        <v>4681.08</v>
      </c>
      <c r="AE155" s="73">
        <v>1217.6400000000001</v>
      </c>
      <c r="AF155" s="73">
        <v>348.849999999999</v>
      </c>
      <c r="AG155" s="73">
        <v>2356.75</v>
      </c>
      <c r="AH155" s="73">
        <v>5744.31</v>
      </c>
      <c r="AI155" s="73">
        <v>1229.17</v>
      </c>
      <c r="AJ155" s="73">
        <v>1173.78</v>
      </c>
      <c r="AK155" s="73">
        <v>2705.6</v>
      </c>
      <c r="AL155" s="174">
        <v>6833.96</v>
      </c>
      <c r="AM155" s="161">
        <f t="shared" si="2"/>
        <v>5108.5499999999993</v>
      </c>
      <c r="AN155" s="161"/>
      <c r="AZ155" s="71" t="s">
        <v>328</v>
      </c>
      <c r="BA155" s="71" t="s">
        <v>333</v>
      </c>
      <c r="BB155" s="32">
        <v>1</v>
      </c>
      <c r="BC155" s="32"/>
      <c r="BD155" s="32"/>
      <c r="BF155" s="71" t="s">
        <v>328</v>
      </c>
      <c r="BG155" s="71" t="s">
        <v>333</v>
      </c>
      <c r="BH155" s="73"/>
      <c r="BI155" s="73"/>
      <c r="BJ155" s="73"/>
      <c r="BL155" s="71">
        <v>98372</v>
      </c>
      <c r="BM155" s="71" t="s">
        <v>10</v>
      </c>
      <c r="BN155" s="73">
        <v>-239.16</v>
      </c>
      <c r="BO155" s="73">
        <v>-100</v>
      </c>
      <c r="BP155" s="73">
        <v>-100</v>
      </c>
    </row>
    <row r="156" spans="2:68" x14ac:dyDescent="0.2">
      <c r="B156" s="54">
        <v>98294</v>
      </c>
      <c r="C156" s="60" t="s">
        <v>333</v>
      </c>
      <c r="D156" s="45">
        <v>8</v>
      </c>
      <c r="E156" s="45">
        <v>6</v>
      </c>
      <c r="F156" s="45">
        <v>16</v>
      </c>
      <c r="H156" s="165">
        <v>98292</v>
      </c>
      <c r="I156" s="165" t="s">
        <v>333</v>
      </c>
      <c r="J156" s="166">
        <v>196.41</v>
      </c>
      <c r="K156" s="166"/>
      <c r="L156" s="166">
        <v>1770.62</v>
      </c>
      <c r="M156" s="166">
        <v>2118.5899999999901</v>
      </c>
      <c r="N156" s="166">
        <v>14.76</v>
      </c>
      <c r="O156" s="166">
        <v>83.42</v>
      </c>
      <c r="P156" s="166">
        <v>32.43</v>
      </c>
      <c r="Q156" s="166">
        <v>885.43999999999903</v>
      </c>
      <c r="R156" s="166">
        <v>226.45999999999901</v>
      </c>
      <c r="S156" s="166">
        <v>14.76</v>
      </c>
      <c r="T156" s="166">
        <v>64.77</v>
      </c>
      <c r="U156" s="166">
        <v>322.39</v>
      </c>
      <c r="V156" s="172"/>
      <c r="W156" s="161"/>
      <c r="Y156" s="71">
        <v>98310</v>
      </c>
      <c r="Z156" s="14" t="s">
        <v>10</v>
      </c>
      <c r="AA156" s="73">
        <v>24623.459999999901</v>
      </c>
      <c r="AB156" s="73">
        <v>13092.33</v>
      </c>
      <c r="AC156" s="73">
        <v>60132.839999999902</v>
      </c>
      <c r="AD156" s="73">
        <v>143103.07999999999</v>
      </c>
      <c r="AE156" s="73">
        <v>38130.93</v>
      </c>
      <c r="AF156" s="73">
        <v>20833.969999999899</v>
      </c>
      <c r="AG156" s="73">
        <v>66377.999999999898</v>
      </c>
      <c r="AH156" s="73">
        <v>168691.31999999899</v>
      </c>
      <c r="AI156" s="73">
        <v>36282.04</v>
      </c>
      <c r="AJ156" s="73">
        <v>33202.080000000002</v>
      </c>
      <c r="AK156" s="73">
        <v>78862.320000000007</v>
      </c>
      <c r="AL156" s="174">
        <v>195928.53</v>
      </c>
      <c r="AM156" s="161">
        <f t="shared" si="2"/>
        <v>148346.44</v>
      </c>
      <c r="AN156" s="161"/>
      <c r="AZ156" s="71" t="s">
        <v>230</v>
      </c>
      <c r="BA156" s="71" t="s">
        <v>333</v>
      </c>
      <c r="BB156" s="32">
        <v>1</v>
      </c>
      <c r="BC156" s="32">
        <v>1</v>
      </c>
      <c r="BD156" s="32">
        <v>4</v>
      </c>
      <c r="BF156" s="71" t="s">
        <v>230</v>
      </c>
      <c r="BG156" s="71" t="s">
        <v>333</v>
      </c>
      <c r="BH156" s="73"/>
      <c r="BI156" s="73">
        <v>10.74</v>
      </c>
      <c r="BJ156" s="73">
        <v>3679.19</v>
      </c>
      <c r="BL156" s="71">
        <v>98373</v>
      </c>
      <c r="BM156" s="71" t="s">
        <v>10</v>
      </c>
      <c r="BN156" s="73">
        <v>-464.39</v>
      </c>
      <c r="BO156" s="73">
        <v>-171.3</v>
      </c>
      <c r="BP156" s="73"/>
    </row>
    <row r="157" spans="2:68" x14ac:dyDescent="0.2">
      <c r="B157" s="54">
        <v>98295</v>
      </c>
      <c r="C157" s="60" t="s">
        <v>333</v>
      </c>
      <c r="D157" s="45">
        <v>14</v>
      </c>
      <c r="E157" s="45">
        <v>21</v>
      </c>
      <c r="F157" s="45">
        <v>14</v>
      </c>
      <c r="H157" s="165">
        <v>98294</v>
      </c>
      <c r="I157" s="165" t="s">
        <v>333</v>
      </c>
      <c r="J157" s="166">
        <v>1503.73999999999</v>
      </c>
      <c r="K157" s="166"/>
      <c r="L157" s="166">
        <v>208.26999999999899</v>
      </c>
      <c r="M157" s="166">
        <v>3435.31</v>
      </c>
      <c r="N157" s="166">
        <v>209.28</v>
      </c>
      <c r="O157" s="166"/>
      <c r="P157" s="166"/>
      <c r="Q157" s="166">
        <v>2163.72999999999</v>
      </c>
      <c r="R157" s="166">
        <v>79.06</v>
      </c>
      <c r="S157" s="166"/>
      <c r="T157" s="166"/>
      <c r="U157" s="166">
        <v>8576.7900000000009</v>
      </c>
      <c r="V157" s="172"/>
      <c r="W157" s="161"/>
      <c r="Y157" s="71">
        <v>98311</v>
      </c>
      <c r="Z157" s="14" t="s">
        <v>10</v>
      </c>
      <c r="AA157" s="73">
        <v>28573.24</v>
      </c>
      <c r="AB157" s="73">
        <v>13983.4399999999</v>
      </c>
      <c r="AC157" s="73">
        <v>100619.929999999</v>
      </c>
      <c r="AD157" s="73">
        <v>195759.55999999901</v>
      </c>
      <c r="AE157" s="73">
        <v>42833.67</v>
      </c>
      <c r="AF157" s="73">
        <v>24030.589999999898</v>
      </c>
      <c r="AG157" s="73">
        <v>100309.49</v>
      </c>
      <c r="AH157" s="73">
        <v>215717.94</v>
      </c>
      <c r="AI157" s="73">
        <v>40504.679999999898</v>
      </c>
      <c r="AJ157" s="73">
        <v>36674.239999999998</v>
      </c>
      <c r="AK157" s="73">
        <v>115754.17</v>
      </c>
      <c r="AL157" s="174">
        <v>243132.78</v>
      </c>
      <c r="AM157" s="161">
        <f t="shared" si="2"/>
        <v>192933.08999999991</v>
      </c>
      <c r="AN157" s="161"/>
      <c r="AZ157" s="71" t="s">
        <v>231</v>
      </c>
      <c r="BA157" s="71" t="s">
        <v>333</v>
      </c>
      <c r="BB157" s="32"/>
      <c r="BC157" s="32">
        <v>4</v>
      </c>
      <c r="BD157" s="32">
        <v>3</v>
      </c>
      <c r="BF157" s="71" t="s">
        <v>231</v>
      </c>
      <c r="BG157" s="71" t="s">
        <v>333</v>
      </c>
      <c r="BH157" s="73"/>
      <c r="BI157" s="73">
        <v>3033.75</v>
      </c>
      <c r="BJ157" s="73">
        <v>2183.2800000000002</v>
      </c>
      <c r="BL157" s="71">
        <v>98374</v>
      </c>
      <c r="BM157" s="71" t="s">
        <v>10</v>
      </c>
      <c r="BN157" s="73">
        <v>-2497.96</v>
      </c>
      <c r="BO157" s="73">
        <v>-50</v>
      </c>
      <c r="BP157" s="73">
        <v>-50</v>
      </c>
    </row>
    <row r="158" spans="2:68" x14ac:dyDescent="0.2">
      <c r="B158" s="54">
        <v>98296</v>
      </c>
      <c r="C158" s="60" t="s">
        <v>333</v>
      </c>
      <c r="D158" s="45">
        <v>10</v>
      </c>
      <c r="E158" s="45">
        <v>11</v>
      </c>
      <c r="F158" s="45">
        <v>8</v>
      </c>
      <c r="H158" s="165">
        <v>98295</v>
      </c>
      <c r="I158" s="165" t="s">
        <v>333</v>
      </c>
      <c r="J158" s="166">
        <v>22894.91</v>
      </c>
      <c r="K158" s="166">
        <v>18694.8</v>
      </c>
      <c r="L158" s="166">
        <v>357049.75</v>
      </c>
      <c r="M158" s="166">
        <v>423162</v>
      </c>
      <c r="N158" s="166">
        <v>22456.229999999901</v>
      </c>
      <c r="O158" s="166">
        <v>22894.91</v>
      </c>
      <c r="P158" s="166">
        <v>375744.55</v>
      </c>
      <c r="Q158" s="166">
        <v>445361.85</v>
      </c>
      <c r="R158" s="166">
        <v>21388.19</v>
      </c>
      <c r="S158" s="166">
        <v>21961.75</v>
      </c>
      <c r="T158" s="166">
        <v>397558.73</v>
      </c>
      <c r="U158" s="166">
        <v>464991.82</v>
      </c>
      <c r="V158" s="172"/>
      <c r="W158" s="161"/>
      <c r="Y158" s="71">
        <v>98312</v>
      </c>
      <c r="Z158" s="14" t="s">
        <v>10</v>
      </c>
      <c r="AA158" s="73">
        <v>48545.389999999898</v>
      </c>
      <c r="AB158" s="73">
        <v>20271.34</v>
      </c>
      <c r="AC158" s="73">
        <v>110079.8</v>
      </c>
      <c r="AD158" s="73">
        <v>252531.22999999899</v>
      </c>
      <c r="AE158" s="73">
        <v>63353.65</v>
      </c>
      <c r="AF158" s="73">
        <v>41239.1899999999</v>
      </c>
      <c r="AG158" s="73">
        <v>114879.549999999</v>
      </c>
      <c r="AH158" s="73">
        <v>302286.51</v>
      </c>
      <c r="AI158" s="73">
        <v>66702.889999999898</v>
      </c>
      <c r="AJ158" s="73">
        <v>52486.17</v>
      </c>
      <c r="AK158" s="73">
        <v>140019.74</v>
      </c>
      <c r="AL158" s="174">
        <v>334922.96999999898</v>
      </c>
      <c r="AM158" s="161">
        <f t="shared" si="2"/>
        <v>259208.79999999987</v>
      </c>
      <c r="AN158" s="161"/>
      <c r="AZ158" s="71" t="s">
        <v>232</v>
      </c>
      <c r="BA158" s="71" t="s">
        <v>333</v>
      </c>
      <c r="BB158" s="32">
        <v>6</v>
      </c>
      <c r="BC158" s="32">
        <v>4</v>
      </c>
      <c r="BD158" s="32">
        <v>8</v>
      </c>
      <c r="BF158" s="71" t="s">
        <v>232</v>
      </c>
      <c r="BG158" s="71" t="s">
        <v>333</v>
      </c>
      <c r="BH158" s="73">
        <v>2393.52</v>
      </c>
      <c r="BI158" s="73">
        <v>367.08</v>
      </c>
      <c r="BJ158" s="73">
        <v>75.95</v>
      </c>
      <c r="BL158" s="71">
        <v>98375</v>
      </c>
      <c r="BM158" s="71" t="s">
        <v>10</v>
      </c>
      <c r="BN158" s="73">
        <v>-122.02</v>
      </c>
      <c r="BO158" s="73">
        <v>-204.55</v>
      </c>
      <c r="BP158" s="73">
        <v>-899.72</v>
      </c>
    </row>
    <row r="159" spans="2:68" x14ac:dyDescent="0.2">
      <c r="B159" s="54">
        <v>98310</v>
      </c>
      <c r="C159" s="60" t="s">
        <v>333</v>
      </c>
      <c r="D159" s="45">
        <v>160</v>
      </c>
      <c r="E159" s="45">
        <v>174</v>
      </c>
      <c r="F159" s="45">
        <v>143</v>
      </c>
      <c r="H159" s="165">
        <v>98296</v>
      </c>
      <c r="I159" s="165" t="s">
        <v>333</v>
      </c>
      <c r="J159" s="166">
        <v>45.37</v>
      </c>
      <c r="K159" s="166">
        <v>33.840000000000003</v>
      </c>
      <c r="L159" s="166">
        <v>39.94</v>
      </c>
      <c r="M159" s="166">
        <v>15536.26</v>
      </c>
      <c r="N159" s="166">
        <v>1133.6199999999999</v>
      </c>
      <c r="O159" s="166"/>
      <c r="P159" s="166"/>
      <c r="Q159" s="166">
        <v>8514.5199999999895</v>
      </c>
      <c r="R159" s="166">
        <v>1779.21</v>
      </c>
      <c r="S159" s="166">
        <v>408.59</v>
      </c>
      <c r="T159" s="166"/>
      <c r="U159" s="166">
        <v>8753.7999999999993</v>
      </c>
      <c r="V159" s="172"/>
      <c r="W159" s="161"/>
      <c r="Y159" s="71">
        <v>98321</v>
      </c>
      <c r="Z159" s="14" t="s">
        <v>10</v>
      </c>
      <c r="AA159" s="73">
        <v>11667.4099999999</v>
      </c>
      <c r="AB159" s="73">
        <v>5612.83</v>
      </c>
      <c r="AC159" s="73">
        <v>35672.82</v>
      </c>
      <c r="AD159" s="73">
        <v>79271.679999999906</v>
      </c>
      <c r="AE159" s="73">
        <v>20598.189999999999</v>
      </c>
      <c r="AF159" s="73">
        <v>10234.1799999999</v>
      </c>
      <c r="AG159" s="73">
        <v>39230.5</v>
      </c>
      <c r="AH159" s="73">
        <v>97087.56</v>
      </c>
      <c r="AI159" s="73">
        <v>20064.02</v>
      </c>
      <c r="AJ159" s="73">
        <v>16946.439999999999</v>
      </c>
      <c r="AK159" s="73">
        <v>44329.999999999898</v>
      </c>
      <c r="AL159" s="174">
        <v>111023.97</v>
      </c>
      <c r="AM159" s="161">
        <f t="shared" si="2"/>
        <v>81340.459999999905</v>
      </c>
      <c r="AN159" s="161"/>
      <c r="AZ159" s="71" t="s">
        <v>233</v>
      </c>
      <c r="BA159" s="71" t="s">
        <v>333</v>
      </c>
      <c r="BB159" s="32">
        <v>2</v>
      </c>
      <c r="BC159" s="32"/>
      <c r="BD159" s="32">
        <v>3</v>
      </c>
      <c r="BF159" s="71" t="s">
        <v>233</v>
      </c>
      <c r="BG159" s="71" t="s">
        <v>333</v>
      </c>
      <c r="BH159" s="73">
        <v>13596.04</v>
      </c>
      <c r="BI159" s="73"/>
      <c r="BJ159" s="73">
        <v>1057.6400000000001</v>
      </c>
      <c r="BL159" s="71">
        <v>98383</v>
      </c>
      <c r="BM159" s="71" t="s">
        <v>10</v>
      </c>
      <c r="BN159" s="73">
        <v>-20</v>
      </c>
      <c r="BO159" s="73"/>
      <c r="BP159" s="73"/>
    </row>
    <row r="160" spans="2:68" x14ac:dyDescent="0.2">
      <c r="B160" s="54">
        <v>98311</v>
      </c>
      <c r="C160" s="60" t="s">
        <v>333</v>
      </c>
      <c r="D160" s="45">
        <v>195</v>
      </c>
      <c r="E160" s="45">
        <v>189</v>
      </c>
      <c r="F160" s="45">
        <v>127</v>
      </c>
      <c r="H160" s="165">
        <v>98310</v>
      </c>
      <c r="I160" s="165" t="s">
        <v>333</v>
      </c>
      <c r="J160" s="166">
        <v>8508.5299999999897</v>
      </c>
      <c r="K160" s="166">
        <v>7028.4199999999901</v>
      </c>
      <c r="L160" s="166">
        <v>41659.160000000003</v>
      </c>
      <c r="M160" s="166">
        <v>144859.78</v>
      </c>
      <c r="N160" s="166">
        <v>7008.91</v>
      </c>
      <c r="O160" s="166">
        <v>8750.64</v>
      </c>
      <c r="P160" s="166">
        <v>41713.410000000003</v>
      </c>
      <c r="Q160" s="166">
        <v>105254.7</v>
      </c>
      <c r="R160" s="166">
        <v>5883.6099999999897</v>
      </c>
      <c r="S160" s="166">
        <v>4747.2</v>
      </c>
      <c r="T160" s="166">
        <v>46340.57</v>
      </c>
      <c r="U160" s="166">
        <v>100397.2</v>
      </c>
      <c r="V160" s="172"/>
      <c r="W160" s="161"/>
      <c r="Y160" s="71">
        <v>98323</v>
      </c>
      <c r="Z160" s="14" t="s">
        <v>10</v>
      </c>
      <c r="AA160" s="73">
        <v>414.17</v>
      </c>
      <c r="AB160" s="73"/>
      <c r="AC160" s="73">
        <v>131.97</v>
      </c>
      <c r="AD160" s="73">
        <v>546.14</v>
      </c>
      <c r="AE160" s="73"/>
      <c r="AF160" s="73">
        <v>414.17</v>
      </c>
      <c r="AG160" s="73">
        <v>131.97</v>
      </c>
      <c r="AH160" s="73">
        <v>2452.85</v>
      </c>
      <c r="AI160" s="73">
        <v>1490.8</v>
      </c>
      <c r="AJ160" s="73"/>
      <c r="AK160" s="73">
        <v>546.14</v>
      </c>
      <c r="AL160" s="174">
        <v>2036.94</v>
      </c>
      <c r="AM160" s="161">
        <f t="shared" si="2"/>
        <v>2036.94</v>
      </c>
      <c r="AN160" s="161"/>
      <c r="AZ160" s="71" t="s">
        <v>234</v>
      </c>
      <c r="BA160" s="71" t="s">
        <v>333</v>
      </c>
      <c r="BB160" s="32"/>
      <c r="BC160" s="32">
        <v>3</v>
      </c>
      <c r="BD160" s="32">
        <v>7</v>
      </c>
      <c r="BF160" s="71" t="s">
        <v>234</v>
      </c>
      <c r="BG160" s="71" t="s">
        <v>333</v>
      </c>
      <c r="BH160" s="73"/>
      <c r="BI160" s="73">
        <v>12172.45</v>
      </c>
      <c r="BJ160" s="73">
        <v>8665.92</v>
      </c>
      <c r="BL160" s="71">
        <v>98390</v>
      </c>
      <c r="BM160" s="71" t="s">
        <v>10</v>
      </c>
      <c r="BN160" s="73"/>
      <c r="BO160" s="73"/>
      <c r="BP160" s="73">
        <v>-345.31</v>
      </c>
    </row>
    <row r="161" spans="2:68" x14ac:dyDescent="0.2">
      <c r="B161" s="54">
        <v>98312</v>
      </c>
      <c r="C161" s="60" t="s">
        <v>333</v>
      </c>
      <c r="D161" s="45">
        <v>286</v>
      </c>
      <c r="E161" s="45">
        <v>323</v>
      </c>
      <c r="F161" s="45">
        <v>245</v>
      </c>
      <c r="H161" s="165">
        <v>98311</v>
      </c>
      <c r="I161" s="165" t="s">
        <v>333</v>
      </c>
      <c r="J161" s="166">
        <v>8590.7099999999991</v>
      </c>
      <c r="K161" s="166">
        <v>3777.01</v>
      </c>
      <c r="L161" s="166">
        <v>17582.34</v>
      </c>
      <c r="M161" s="166">
        <v>174391.05999999901</v>
      </c>
      <c r="N161" s="166">
        <v>8182.94</v>
      </c>
      <c r="O161" s="166">
        <v>4419.8099999999904</v>
      </c>
      <c r="P161" s="166">
        <v>17840.409999999902</v>
      </c>
      <c r="Q161" s="166">
        <v>132547.74999999901</v>
      </c>
      <c r="R161" s="166">
        <v>8550.92</v>
      </c>
      <c r="S161" s="166">
        <v>4071.89</v>
      </c>
      <c r="T161" s="166">
        <v>16962.88</v>
      </c>
      <c r="U161" s="166">
        <v>107665.80999999899</v>
      </c>
      <c r="V161" s="172"/>
      <c r="W161" s="161"/>
      <c r="Y161" s="71">
        <v>98327</v>
      </c>
      <c r="Z161" s="14" t="s">
        <v>10</v>
      </c>
      <c r="AA161" s="73">
        <v>3516.22</v>
      </c>
      <c r="AB161" s="73">
        <v>1372.96</v>
      </c>
      <c r="AC161" s="73">
        <v>7279.52</v>
      </c>
      <c r="AD161" s="73">
        <v>16794.949999999899</v>
      </c>
      <c r="AE161" s="73">
        <v>3667.0699999999902</v>
      </c>
      <c r="AF161" s="73">
        <v>2749.94</v>
      </c>
      <c r="AG161" s="73">
        <v>6359.78999999999</v>
      </c>
      <c r="AH161" s="73">
        <v>17102.1499999999</v>
      </c>
      <c r="AI161" s="73">
        <v>4090</v>
      </c>
      <c r="AJ161" s="73">
        <v>3037.7</v>
      </c>
      <c r="AK161" s="73">
        <v>8313.8700000000008</v>
      </c>
      <c r="AL161" s="174">
        <v>20723.04</v>
      </c>
      <c r="AM161" s="161">
        <f t="shared" si="2"/>
        <v>15441.57</v>
      </c>
      <c r="AN161" s="161"/>
      <c r="AZ161" s="71" t="s">
        <v>236</v>
      </c>
      <c r="BA161" s="71" t="s">
        <v>333</v>
      </c>
      <c r="BB161" s="32">
        <v>4</v>
      </c>
      <c r="BC161" s="32"/>
      <c r="BD161" s="32">
        <v>1</v>
      </c>
      <c r="BF161" s="71" t="s">
        <v>236</v>
      </c>
      <c r="BG161" s="71" t="s">
        <v>333</v>
      </c>
      <c r="BH161" s="73">
        <v>1345.9</v>
      </c>
      <c r="BI161" s="73"/>
      <c r="BJ161" s="73">
        <v>25.95</v>
      </c>
      <c r="BL161" s="71">
        <v>98391</v>
      </c>
      <c r="BM161" s="71" t="s">
        <v>10</v>
      </c>
      <c r="BN161" s="73">
        <v>-495.2</v>
      </c>
      <c r="BO161" s="73"/>
      <c r="BP161" s="73"/>
    </row>
    <row r="162" spans="2:68" x14ac:dyDescent="0.2">
      <c r="B162" s="54">
        <v>98314</v>
      </c>
      <c r="C162" s="60" t="s">
        <v>333</v>
      </c>
      <c r="D162" s="45">
        <v>1</v>
      </c>
      <c r="E162" s="45">
        <v>1</v>
      </c>
      <c r="F162" s="45">
        <v>1</v>
      </c>
      <c r="H162" s="165">
        <v>98312</v>
      </c>
      <c r="I162" s="165" t="s">
        <v>333</v>
      </c>
      <c r="J162" s="166">
        <v>51067.049999999901</v>
      </c>
      <c r="K162" s="166">
        <v>30611.14</v>
      </c>
      <c r="L162" s="166">
        <v>155623.02999999901</v>
      </c>
      <c r="M162" s="166">
        <v>390564.8</v>
      </c>
      <c r="N162" s="166">
        <v>34131.919999999998</v>
      </c>
      <c r="O162" s="166">
        <v>32031.18</v>
      </c>
      <c r="P162" s="166">
        <v>154612.25</v>
      </c>
      <c r="Q162" s="166">
        <v>343638.87999999902</v>
      </c>
      <c r="R162" s="166">
        <v>34691</v>
      </c>
      <c r="S162" s="166">
        <v>24291.24</v>
      </c>
      <c r="T162" s="166">
        <v>133440.959999999</v>
      </c>
      <c r="U162" s="166">
        <v>279347.37</v>
      </c>
      <c r="V162" s="172"/>
      <c r="W162" s="161"/>
      <c r="Y162" s="71">
        <v>98328</v>
      </c>
      <c r="Z162" s="14" t="s">
        <v>10</v>
      </c>
      <c r="AA162" s="73">
        <v>982.82</v>
      </c>
      <c r="AB162" s="73"/>
      <c r="AC162" s="73">
        <v>2203.51999999999</v>
      </c>
      <c r="AD162" s="73">
        <v>3186.34</v>
      </c>
      <c r="AE162" s="73">
        <v>145.66999999999999</v>
      </c>
      <c r="AF162" s="73">
        <v>825.27</v>
      </c>
      <c r="AG162" s="73">
        <v>1942.3</v>
      </c>
      <c r="AH162" s="73">
        <v>5754.55</v>
      </c>
      <c r="AI162" s="73">
        <v>1953.11</v>
      </c>
      <c r="AJ162" s="73"/>
      <c r="AK162" s="73">
        <v>2576.5700000000002</v>
      </c>
      <c r="AL162" s="174">
        <v>6153.12</v>
      </c>
      <c r="AM162" s="161">
        <f t="shared" si="2"/>
        <v>4529.68</v>
      </c>
      <c r="AN162" s="161"/>
      <c r="AZ162" s="71" t="s">
        <v>237</v>
      </c>
      <c r="BA162" s="71" t="s">
        <v>333</v>
      </c>
      <c r="BB162" s="32">
        <v>1</v>
      </c>
      <c r="BC162" s="32"/>
      <c r="BD162" s="32">
        <v>2</v>
      </c>
      <c r="BF162" s="71" t="s">
        <v>237</v>
      </c>
      <c r="BG162" s="71" t="s">
        <v>333</v>
      </c>
      <c r="BH162" s="73">
        <v>625.74</v>
      </c>
      <c r="BI162" s="73"/>
      <c r="BJ162" s="73">
        <v>40.840000000000003</v>
      </c>
      <c r="BL162" s="71">
        <v>98403</v>
      </c>
      <c r="BM162" s="71" t="s">
        <v>10</v>
      </c>
      <c r="BN162" s="73"/>
      <c r="BO162" s="73">
        <v>-38.090000000000003</v>
      </c>
      <c r="BP162" s="73">
        <v>-812.39</v>
      </c>
    </row>
    <row r="163" spans="2:68" x14ac:dyDescent="0.2">
      <c r="B163" s="78">
        <v>98321</v>
      </c>
      <c r="C163" s="60" t="s">
        <v>333</v>
      </c>
      <c r="D163" s="45">
        <v>125</v>
      </c>
      <c r="E163" s="45">
        <v>129</v>
      </c>
      <c r="F163" s="45">
        <v>115</v>
      </c>
      <c r="H163" s="165">
        <v>98314</v>
      </c>
      <c r="I163" s="165" t="s">
        <v>333</v>
      </c>
      <c r="J163" s="166">
        <v>702.31</v>
      </c>
      <c r="K163" s="166">
        <v>413.89</v>
      </c>
      <c r="L163" s="166">
        <v>2641.12</v>
      </c>
      <c r="M163" s="166">
        <v>4502.1000000000004</v>
      </c>
      <c r="N163" s="166">
        <v>744.78</v>
      </c>
      <c r="O163" s="166">
        <v>702.31</v>
      </c>
      <c r="P163" s="166">
        <v>2286.5</v>
      </c>
      <c r="Q163" s="166">
        <v>4502.0999999999904</v>
      </c>
      <c r="R163" s="166">
        <v>768.51</v>
      </c>
      <c r="S163" s="166">
        <v>744.78</v>
      </c>
      <c r="T163" s="166">
        <v>2197.73</v>
      </c>
      <c r="U163" s="166">
        <v>4502.0999999999904</v>
      </c>
      <c r="V163" s="172"/>
      <c r="W163" s="161"/>
      <c r="Y163" s="71">
        <v>98332</v>
      </c>
      <c r="Z163" s="14" t="s">
        <v>10</v>
      </c>
      <c r="AA163" s="73">
        <v>477.909999999999</v>
      </c>
      <c r="AB163" s="73">
        <v>217</v>
      </c>
      <c r="AC163" s="73">
        <v>1193.94</v>
      </c>
      <c r="AD163" s="73">
        <v>3073.31</v>
      </c>
      <c r="AE163" s="73">
        <v>1102.28</v>
      </c>
      <c r="AF163" s="73">
        <v>460.09</v>
      </c>
      <c r="AG163" s="73">
        <v>1410.94</v>
      </c>
      <c r="AH163" s="73">
        <v>4102.58</v>
      </c>
      <c r="AI163" s="73">
        <v>838.13</v>
      </c>
      <c r="AJ163" s="73">
        <v>675.21</v>
      </c>
      <c r="AK163" s="73">
        <v>683.05</v>
      </c>
      <c r="AL163" s="174">
        <v>3633.1</v>
      </c>
      <c r="AM163" s="161">
        <f t="shared" si="2"/>
        <v>2196.3900000000003</v>
      </c>
      <c r="AN163" s="161"/>
      <c r="AZ163" s="71" t="s">
        <v>238</v>
      </c>
      <c r="BA163" s="71" t="s">
        <v>333</v>
      </c>
      <c r="BB163" s="32"/>
      <c r="BC163" s="32"/>
      <c r="BD163" s="32">
        <v>1</v>
      </c>
      <c r="BF163" s="71" t="s">
        <v>238</v>
      </c>
      <c r="BG163" s="71" t="s">
        <v>333</v>
      </c>
      <c r="BH163" s="73"/>
      <c r="BI163" s="73"/>
      <c r="BJ163" s="73">
        <v>356.2</v>
      </c>
      <c r="BL163" s="71">
        <v>98404</v>
      </c>
      <c r="BM163" s="71" t="s">
        <v>10</v>
      </c>
      <c r="BN163" s="73">
        <v>-100</v>
      </c>
      <c r="BO163" s="73">
        <v>-100</v>
      </c>
      <c r="BP163" s="73">
        <v>-100</v>
      </c>
    </row>
    <row r="164" spans="2:68" x14ac:dyDescent="0.2">
      <c r="B164" s="78">
        <v>98323</v>
      </c>
      <c r="C164" s="60" t="s">
        <v>333</v>
      </c>
      <c r="D164" s="45">
        <v>7</v>
      </c>
      <c r="E164" s="45">
        <v>5</v>
      </c>
      <c r="F164" s="45">
        <v>7</v>
      </c>
      <c r="H164" s="165">
        <v>98321</v>
      </c>
      <c r="I164" s="165" t="s">
        <v>333</v>
      </c>
      <c r="J164" s="166">
        <v>12713.119999999901</v>
      </c>
      <c r="K164" s="166">
        <v>5053.09</v>
      </c>
      <c r="L164" s="166">
        <v>41092.47</v>
      </c>
      <c r="M164" s="166">
        <v>119641.65</v>
      </c>
      <c r="N164" s="166">
        <v>10873.23</v>
      </c>
      <c r="O164" s="166">
        <v>5560.96</v>
      </c>
      <c r="P164" s="166">
        <v>45118.52</v>
      </c>
      <c r="Q164" s="166">
        <v>107719.66</v>
      </c>
      <c r="R164" s="166">
        <v>15697.619999999901</v>
      </c>
      <c r="S164" s="166">
        <v>8854.16</v>
      </c>
      <c r="T164" s="166">
        <v>50553.42</v>
      </c>
      <c r="U164" s="166">
        <v>110607.42</v>
      </c>
      <c r="V164" s="172"/>
      <c r="W164" s="161"/>
      <c r="Y164" s="71">
        <v>98335</v>
      </c>
      <c r="Z164" s="14" t="s">
        <v>10</v>
      </c>
      <c r="AA164" s="73">
        <v>622.74</v>
      </c>
      <c r="AB164" s="73">
        <v>169</v>
      </c>
      <c r="AC164" s="73">
        <v>3093.82</v>
      </c>
      <c r="AD164" s="73">
        <v>6514.0199999999904</v>
      </c>
      <c r="AE164" s="73">
        <v>1946.35</v>
      </c>
      <c r="AF164" s="73">
        <v>622.73999999999899</v>
      </c>
      <c r="AG164" s="73">
        <v>3231.1</v>
      </c>
      <c r="AH164" s="73">
        <v>8219.1200000000008</v>
      </c>
      <c r="AI164" s="73">
        <v>2023.77999999999</v>
      </c>
      <c r="AJ164" s="73">
        <v>1827.11</v>
      </c>
      <c r="AK164" s="73">
        <v>3474.47</v>
      </c>
      <c r="AL164" s="174">
        <v>9886.68</v>
      </c>
      <c r="AM164" s="161">
        <f t="shared" si="2"/>
        <v>7325.3599999999897</v>
      </c>
      <c r="AN164" s="161"/>
      <c r="AZ164" s="71" t="s">
        <v>239</v>
      </c>
      <c r="BA164" s="71" t="s">
        <v>333</v>
      </c>
      <c r="BB164" s="32">
        <v>2</v>
      </c>
      <c r="BC164" s="32">
        <v>8</v>
      </c>
      <c r="BD164" s="32">
        <v>11</v>
      </c>
      <c r="BF164" s="71" t="s">
        <v>239</v>
      </c>
      <c r="BG164" s="71" t="s">
        <v>333</v>
      </c>
      <c r="BH164" s="73">
        <v>2064.8200000000002</v>
      </c>
      <c r="BI164" s="73">
        <v>4646.13</v>
      </c>
      <c r="BJ164" s="73">
        <v>15400</v>
      </c>
      <c r="BL164" s="71">
        <v>98405</v>
      </c>
      <c r="BM164" s="71" t="s">
        <v>10</v>
      </c>
      <c r="BN164" s="73">
        <v>-880.64</v>
      </c>
      <c r="BO164" s="73">
        <v>-15.17</v>
      </c>
      <c r="BP164" s="73"/>
    </row>
    <row r="165" spans="2:68" x14ac:dyDescent="0.2">
      <c r="B165" s="78">
        <v>98327</v>
      </c>
      <c r="C165" s="60" t="s">
        <v>333</v>
      </c>
      <c r="D165" s="45">
        <v>107</v>
      </c>
      <c r="E165" s="45">
        <v>88</v>
      </c>
      <c r="F165" s="45">
        <v>88</v>
      </c>
      <c r="H165" s="165">
        <v>98323</v>
      </c>
      <c r="I165" s="165" t="s">
        <v>333</v>
      </c>
      <c r="J165" s="166">
        <v>251.6</v>
      </c>
      <c r="K165" s="166">
        <v>1249.53</v>
      </c>
      <c r="L165" s="166">
        <v>5616.82</v>
      </c>
      <c r="M165" s="166">
        <v>8664.31</v>
      </c>
      <c r="N165" s="166">
        <v>637.21</v>
      </c>
      <c r="O165" s="166">
        <v>202.78</v>
      </c>
      <c r="P165" s="166">
        <v>5792.3299999999899</v>
      </c>
      <c r="Q165" s="166">
        <v>8184.21</v>
      </c>
      <c r="R165" s="166">
        <v>1363.88</v>
      </c>
      <c r="S165" s="166">
        <v>637.21</v>
      </c>
      <c r="T165" s="166">
        <v>5995.11</v>
      </c>
      <c r="U165" s="166">
        <v>9239.64</v>
      </c>
      <c r="V165" s="172"/>
      <c r="W165" s="161"/>
      <c r="Y165" s="71">
        <v>98337</v>
      </c>
      <c r="Z165" s="14" t="s">
        <v>10</v>
      </c>
      <c r="AA165" s="73">
        <v>7749.61</v>
      </c>
      <c r="AB165" s="73">
        <v>4394.82</v>
      </c>
      <c r="AC165" s="73">
        <v>22521.77</v>
      </c>
      <c r="AD165" s="73">
        <v>51291.68</v>
      </c>
      <c r="AE165" s="73">
        <v>13917.33</v>
      </c>
      <c r="AF165" s="73">
        <v>6753.82</v>
      </c>
      <c r="AG165" s="73">
        <v>22746.16</v>
      </c>
      <c r="AH165" s="73">
        <v>60740.52</v>
      </c>
      <c r="AI165" s="73">
        <v>15247.04</v>
      </c>
      <c r="AJ165" s="73">
        <v>12695.38</v>
      </c>
      <c r="AK165" s="73">
        <v>28626</v>
      </c>
      <c r="AL165" s="174">
        <v>74013.34</v>
      </c>
      <c r="AM165" s="161">
        <f t="shared" si="2"/>
        <v>56568.42</v>
      </c>
      <c r="AN165" s="161"/>
      <c r="AZ165" s="71" t="s">
        <v>241</v>
      </c>
      <c r="BA165" s="71" t="s">
        <v>333</v>
      </c>
      <c r="BB165" s="32">
        <v>3</v>
      </c>
      <c r="BC165" s="32"/>
      <c r="BD165" s="32"/>
      <c r="BF165" s="71" t="s">
        <v>241</v>
      </c>
      <c r="BG165" s="71" t="s">
        <v>333</v>
      </c>
      <c r="BH165" s="73">
        <v>1942.0700000000002</v>
      </c>
      <c r="BI165" s="73"/>
      <c r="BJ165" s="73"/>
      <c r="BL165" s="71">
        <v>98407</v>
      </c>
      <c r="BM165" s="71" t="s">
        <v>10</v>
      </c>
      <c r="BN165" s="73">
        <v>-46.98</v>
      </c>
      <c r="BO165" s="73"/>
      <c r="BP165" s="73"/>
    </row>
    <row r="166" spans="2:68" x14ac:dyDescent="0.2">
      <c r="B166" s="54">
        <v>98328</v>
      </c>
      <c r="C166" s="60" t="s">
        <v>333</v>
      </c>
      <c r="D166" s="45">
        <v>6</v>
      </c>
      <c r="E166" s="45">
        <v>7</v>
      </c>
      <c r="F166" s="45">
        <v>9</v>
      </c>
      <c r="H166" s="165">
        <v>98327</v>
      </c>
      <c r="I166" s="165" t="s">
        <v>333</v>
      </c>
      <c r="J166" s="166">
        <v>29572.23</v>
      </c>
      <c r="K166" s="166">
        <v>13758.67</v>
      </c>
      <c r="L166" s="166">
        <v>359311.73</v>
      </c>
      <c r="M166" s="166">
        <v>539080.61</v>
      </c>
      <c r="N166" s="166">
        <v>16905.129999999899</v>
      </c>
      <c r="O166" s="166">
        <v>13568.65</v>
      </c>
      <c r="P166" s="166">
        <v>355452.15</v>
      </c>
      <c r="Q166" s="166">
        <v>521220.06</v>
      </c>
      <c r="R166" s="166">
        <v>22720.179999999898</v>
      </c>
      <c r="S166" s="166">
        <v>13804.81</v>
      </c>
      <c r="T166" s="166">
        <v>371046.5</v>
      </c>
      <c r="U166" s="166">
        <v>485136.59</v>
      </c>
      <c r="V166" s="172"/>
      <c r="W166" s="161"/>
      <c r="Y166" s="71">
        <v>98338</v>
      </c>
      <c r="Z166" s="14" t="s">
        <v>10</v>
      </c>
      <c r="AA166" s="73">
        <v>10650.5199999999</v>
      </c>
      <c r="AB166" s="73">
        <v>1342.08</v>
      </c>
      <c r="AC166" s="73">
        <v>82236.309999999896</v>
      </c>
      <c r="AD166" s="73">
        <v>121906.209999999</v>
      </c>
      <c r="AE166" s="73">
        <v>24083.069999999901</v>
      </c>
      <c r="AF166" s="73">
        <v>9108.66</v>
      </c>
      <c r="AG166" s="73">
        <v>79255.1899999999</v>
      </c>
      <c r="AH166" s="73">
        <v>138003.65999999901</v>
      </c>
      <c r="AI166" s="73">
        <v>21239.379999999899</v>
      </c>
      <c r="AJ166" s="73">
        <v>21217.199999999899</v>
      </c>
      <c r="AK166" s="73">
        <v>82351.889999999898</v>
      </c>
      <c r="AL166" s="174">
        <v>154548.50999999899</v>
      </c>
      <c r="AM166" s="161">
        <f t="shared" si="2"/>
        <v>124808.4699999997</v>
      </c>
      <c r="AN166" s="161"/>
      <c r="AZ166" s="71" t="s">
        <v>330</v>
      </c>
      <c r="BA166" s="71" t="s">
        <v>333</v>
      </c>
      <c r="BB166" s="32"/>
      <c r="BC166" s="32"/>
      <c r="BD166" s="32">
        <v>1</v>
      </c>
      <c r="BF166" s="71" t="s">
        <v>330</v>
      </c>
      <c r="BG166" s="71" t="s">
        <v>333</v>
      </c>
      <c r="BH166" s="73"/>
      <c r="BI166" s="73"/>
      <c r="BJ166" s="73">
        <v>90.76</v>
      </c>
      <c r="BL166" s="71">
        <v>98408</v>
      </c>
      <c r="BM166" s="71" t="s">
        <v>10</v>
      </c>
      <c r="BN166" s="73">
        <v>-27.92</v>
      </c>
      <c r="BO166" s="73"/>
      <c r="BP166" s="73"/>
    </row>
    <row r="167" spans="2:68" x14ac:dyDescent="0.2">
      <c r="B167" s="54">
        <v>98332</v>
      </c>
      <c r="C167" s="60" t="s">
        <v>333</v>
      </c>
      <c r="D167" s="45">
        <v>4</v>
      </c>
      <c r="E167" s="45">
        <v>7</v>
      </c>
      <c r="F167" s="45">
        <v>9</v>
      </c>
      <c r="H167" s="165">
        <v>98328</v>
      </c>
      <c r="I167" s="165" t="s">
        <v>333</v>
      </c>
      <c r="J167" s="166">
        <v>372.91999999999899</v>
      </c>
      <c r="K167" s="166">
        <v>56.93</v>
      </c>
      <c r="L167" s="166">
        <v>563.41999999999996</v>
      </c>
      <c r="M167" s="166">
        <v>2666.6</v>
      </c>
      <c r="N167" s="166">
        <v>947.7</v>
      </c>
      <c r="O167" s="166">
        <v>220.11</v>
      </c>
      <c r="P167" s="166">
        <v>294.58</v>
      </c>
      <c r="Q167" s="166">
        <v>2724</v>
      </c>
      <c r="R167" s="166">
        <v>93.33</v>
      </c>
      <c r="S167" s="166">
        <v>377.59</v>
      </c>
      <c r="T167" s="166">
        <v>294.58</v>
      </c>
      <c r="U167" s="166">
        <v>3115.36</v>
      </c>
      <c r="V167" s="172"/>
      <c r="W167" s="161"/>
      <c r="Y167" s="71">
        <v>98340</v>
      </c>
      <c r="Z167" s="14" t="s">
        <v>10</v>
      </c>
      <c r="AA167" s="73">
        <v>1745.28</v>
      </c>
      <c r="AB167" s="73"/>
      <c r="AC167" s="73">
        <v>3616.39</v>
      </c>
      <c r="AD167" s="73">
        <v>5361.67</v>
      </c>
      <c r="AE167" s="73">
        <v>479.49</v>
      </c>
      <c r="AF167" s="73">
        <v>953.11</v>
      </c>
      <c r="AG167" s="73">
        <v>3399.74</v>
      </c>
      <c r="AH167" s="73">
        <v>7968.02</v>
      </c>
      <c r="AI167" s="73">
        <v>2380.5099999999902</v>
      </c>
      <c r="AJ167" s="73"/>
      <c r="AK167" s="73">
        <v>3668.98</v>
      </c>
      <c r="AL167" s="174">
        <v>13101.57</v>
      </c>
      <c r="AM167" s="161">
        <f t="shared" si="2"/>
        <v>6049.4899999999907</v>
      </c>
      <c r="AN167" s="161"/>
      <c r="AZ167" s="71" t="s">
        <v>242</v>
      </c>
      <c r="BA167" s="71" t="s">
        <v>333</v>
      </c>
      <c r="BB167" s="32"/>
      <c r="BC167" s="32">
        <v>1</v>
      </c>
      <c r="BD167" s="32"/>
      <c r="BF167" s="71" t="s">
        <v>242</v>
      </c>
      <c r="BG167" s="71" t="s">
        <v>333</v>
      </c>
      <c r="BH167" s="73"/>
      <c r="BI167" s="73">
        <v>6696.41</v>
      </c>
      <c r="BJ167" s="73"/>
      <c r="BL167" s="71">
        <v>98409</v>
      </c>
      <c r="BM167" s="71" t="s">
        <v>10</v>
      </c>
      <c r="BN167" s="73">
        <v>-278.83999999999997</v>
      </c>
      <c r="BO167" s="73"/>
      <c r="BP167" s="73"/>
    </row>
    <row r="168" spans="2:68" x14ac:dyDescent="0.2">
      <c r="B168" s="54">
        <v>98335</v>
      </c>
      <c r="C168" s="60" t="s">
        <v>333</v>
      </c>
      <c r="D168" s="45">
        <v>33</v>
      </c>
      <c r="E168" s="45">
        <v>39</v>
      </c>
      <c r="F168" s="45">
        <v>23</v>
      </c>
      <c r="H168" s="165">
        <v>98332</v>
      </c>
      <c r="I168" s="165" t="s">
        <v>333</v>
      </c>
      <c r="J168" s="166">
        <v>105.46</v>
      </c>
      <c r="K168" s="166"/>
      <c r="L168" s="166">
        <v>106.81</v>
      </c>
      <c r="M168" s="166">
        <v>1530.6</v>
      </c>
      <c r="N168" s="166"/>
      <c r="O168" s="166"/>
      <c r="P168" s="166"/>
      <c r="Q168" s="166">
        <v>5196.51</v>
      </c>
      <c r="R168" s="166">
        <v>52.65</v>
      </c>
      <c r="S168" s="166"/>
      <c r="T168" s="166"/>
      <c r="U168" s="166">
        <v>4794.6499999999996</v>
      </c>
      <c r="V168" s="172"/>
      <c r="W168" s="161"/>
      <c r="Y168" s="71">
        <v>98342</v>
      </c>
      <c r="Z168" s="14" t="s">
        <v>10</v>
      </c>
      <c r="AA168" s="73">
        <v>2543.59</v>
      </c>
      <c r="AB168" s="73">
        <v>1258.77</v>
      </c>
      <c r="AC168" s="73">
        <v>1206.79</v>
      </c>
      <c r="AD168" s="73">
        <v>9949.86</v>
      </c>
      <c r="AE168" s="73">
        <v>3564.81</v>
      </c>
      <c r="AF168" s="73">
        <v>3544.0899999999901</v>
      </c>
      <c r="AG168" s="73">
        <v>1178.81</v>
      </c>
      <c r="AH168" s="73">
        <v>8287.7099999999991</v>
      </c>
      <c r="AI168" s="73">
        <v>3544.5499999999902</v>
      </c>
      <c r="AJ168" s="73">
        <v>2396.62</v>
      </c>
      <c r="AK168" s="73">
        <v>3509.4299999999898</v>
      </c>
      <c r="AL168" s="174">
        <v>13904.19</v>
      </c>
      <c r="AM168" s="161">
        <f t="shared" si="2"/>
        <v>9450.5999999999804</v>
      </c>
      <c r="AN168" s="161"/>
      <c r="AZ168" s="71" t="s">
        <v>245</v>
      </c>
      <c r="BA168" s="71" t="s">
        <v>333</v>
      </c>
      <c r="BB168" s="32">
        <v>2</v>
      </c>
      <c r="BC168" s="32">
        <v>4</v>
      </c>
      <c r="BD168" s="32">
        <v>2</v>
      </c>
      <c r="BF168" s="71" t="s">
        <v>245</v>
      </c>
      <c r="BG168" s="71" t="s">
        <v>333</v>
      </c>
      <c r="BH168" s="73">
        <v>3462.73</v>
      </c>
      <c r="BI168" s="73">
        <v>3824.46</v>
      </c>
      <c r="BJ168" s="73">
        <v>46772.85</v>
      </c>
      <c r="BL168" s="71">
        <v>98439</v>
      </c>
      <c r="BM168" s="71" t="s">
        <v>10</v>
      </c>
      <c r="BN168" s="73">
        <v>-25</v>
      </c>
      <c r="BO168" s="73"/>
      <c r="BP168" s="73"/>
    </row>
    <row r="169" spans="2:68" x14ac:dyDescent="0.2">
      <c r="B169" s="54">
        <v>98337</v>
      </c>
      <c r="C169" s="60" t="s">
        <v>333</v>
      </c>
      <c r="D169" s="45">
        <v>72</v>
      </c>
      <c r="E169" s="45">
        <v>62</v>
      </c>
      <c r="F169" s="45">
        <v>65</v>
      </c>
      <c r="H169" s="165">
        <v>98335</v>
      </c>
      <c r="I169" s="165" t="s">
        <v>333</v>
      </c>
      <c r="J169" s="166">
        <v>1712.91</v>
      </c>
      <c r="K169" s="166">
        <v>371.659999999999</v>
      </c>
      <c r="L169" s="166">
        <v>11905.199999999901</v>
      </c>
      <c r="M169" s="166">
        <v>24724.3299999999</v>
      </c>
      <c r="N169" s="166">
        <v>2898.98</v>
      </c>
      <c r="O169" s="166">
        <v>1178.4399999999901</v>
      </c>
      <c r="P169" s="166">
        <v>9836.31</v>
      </c>
      <c r="Q169" s="166">
        <v>27788.51</v>
      </c>
      <c r="R169" s="166">
        <v>2524.13</v>
      </c>
      <c r="S169" s="166">
        <v>1734.99</v>
      </c>
      <c r="T169" s="166">
        <v>9611.6299999999992</v>
      </c>
      <c r="U169" s="166">
        <v>22506.049999999901</v>
      </c>
      <c r="V169" s="172"/>
      <c r="W169" s="161"/>
      <c r="Y169" s="71">
        <v>98345</v>
      </c>
      <c r="Z169" s="14" t="s">
        <v>10</v>
      </c>
      <c r="AA169" s="73"/>
      <c r="AB169" s="73"/>
      <c r="AC169" s="73"/>
      <c r="AD169" s="73">
        <v>336.539999999999</v>
      </c>
      <c r="AE169" s="73">
        <v>145.56</v>
      </c>
      <c r="AF169" s="73"/>
      <c r="AG169" s="73"/>
      <c r="AH169" s="73">
        <v>344.44</v>
      </c>
      <c r="AI169" s="73">
        <v>198.88</v>
      </c>
      <c r="AJ169" s="73">
        <v>145.56</v>
      </c>
      <c r="AK169" s="73"/>
      <c r="AL169" s="174">
        <v>739.46</v>
      </c>
      <c r="AM169" s="161">
        <f t="shared" si="2"/>
        <v>344.44</v>
      </c>
      <c r="AN169" s="161"/>
      <c r="AZ169" s="71" t="s">
        <v>246</v>
      </c>
      <c r="BA169" s="71" t="s">
        <v>333</v>
      </c>
      <c r="BB169" s="32">
        <v>1</v>
      </c>
      <c r="BC169" s="32">
        <v>1</v>
      </c>
      <c r="BD169" s="32">
        <v>1</v>
      </c>
      <c r="BF169" s="71" t="s">
        <v>246</v>
      </c>
      <c r="BG169" s="71" t="s">
        <v>333</v>
      </c>
      <c r="BH169" s="73">
        <v>4515.63</v>
      </c>
      <c r="BI169" s="73">
        <v>110.19</v>
      </c>
      <c r="BJ169" s="73">
        <v>16.309999999999999</v>
      </c>
      <c r="BL169" s="71">
        <v>98444</v>
      </c>
      <c r="BM169" s="71" t="s">
        <v>10</v>
      </c>
      <c r="BN169" s="73">
        <v>-50</v>
      </c>
      <c r="BO169" s="73"/>
      <c r="BP169" s="73">
        <v>-50</v>
      </c>
    </row>
    <row r="170" spans="2:68" x14ac:dyDescent="0.2">
      <c r="B170" s="78">
        <v>98338</v>
      </c>
      <c r="C170" s="60" t="s">
        <v>333</v>
      </c>
      <c r="D170" s="45">
        <v>66</v>
      </c>
      <c r="E170" s="45">
        <v>66</v>
      </c>
      <c r="F170" s="45">
        <v>58</v>
      </c>
      <c r="H170" s="165">
        <v>98337</v>
      </c>
      <c r="I170" s="165" t="s">
        <v>333</v>
      </c>
      <c r="J170" s="166">
        <v>3818.22</v>
      </c>
      <c r="K170" s="166">
        <v>2734.16</v>
      </c>
      <c r="L170" s="166">
        <v>16681.769999999899</v>
      </c>
      <c r="M170" s="166">
        <v>64048.11</v>
      </c>
      <c r="N170" s="166">
        <v>4634.51</v>
      </c>
      <c r="O170" s="166">
        <v>3355.88</v>
      </c>
      <c r="P170" s="166">
        <v>16227.42</v>
      </c>
      <c r="Q170" s="166">
        <v>55251.89</v>
      </c>
      <c r="R170" s="166">
        <v>9443.81</v>
      </c>
      <c r="S170" s="166">
        <v>2397.8200000000002</v>
      </c>
      <c r="T170" s="166">
        <v>14799.43</v>
      </c>
      <c r="U170" s="166">
        <v>52162.400000000001</v>
      </c>
      <c r="V170" s="172"/>
      <c r="W170" s="161"/>
      <c r="Y170" s="71">
        <v>98346</v>
      </c>
      <c r="Z170" s="14" t="s">
        <v>10</v>
      </c>
      <c r="AA170" s="73">
        <v>19912.57</v>
      </c>
      <c r="AB170" s="73">
        <v>688.75</v>
      </c>
      <c r="AC170" s="73">
        <v>37707.019999999997</v>
      </c>
      <c r="AD170" s="73">
        <v>66964.47</v>
      </c>
      <c r="AE170" s="73">
        <v>11986.78</v>
      </c>
      <c r="AF170" s="73">
        <v>9435.2099999999991</v>
      </c>
      <c r="AG170" s="73">
        <v>33022.83</v>
      </c>
      <c r="AH170" s="73">
        <v>72368.12</v>
      </c>
      <c r="AI170" s="73">
        <v>15278.9</v>
      </c>
      <c r="AJ170" s="73">
        <v>5629.24</v>
      </c>
      <c r="AK170" s="73">
        <v>40546.779999999897</v>
      </c>
      <c r="AL170" s="174">
        <v>104055.599999999</v>
      </c>
      <c r="AM170" s="161">
        <f t="shared" si="2"/>
        <v>61454.919999999896</v>
      </c>
      <c r="AN170" s="161"/>
      <c r="AZ170" s="71" t="s">
        <v>247</v>
      </c>
      <c r="BA170" s="71" t="s">
        <v>333</v>
      </c>
      <c r="BB170" s="32">
        <v>1</v>
      </c>
      <c r="BC170" s="32"/>
      <c r="BD170" s="32"/>
      <c r="BF170" s="71" t="s">
        <v>247</v>
      </c>
      <c r="BG170" s="71" t="s">
        <v>333</v>
      </c>
      <c r="BH170" s="73">
        <v>216.77</v>
      </c>
      <c r="BI170" s="73"/>
      <c r="BJ170" s="73"/>
      <c r="BL170" s="71">
        <v>98445</v>
      </c>
      <c r="BM170" s="71" t="s">
        <v>10</v>
      </c>
      <c r="BN170" s="73">
        <v>-76</v>
      </c>
      <c r="BO170" s="73">
        <v>-123.11</v>
      </c>
      <c r="BP170" s="73">
        <v>-76</v>
      </c>
    </row>
    <row r="171" spans="2:68" x14ac:dyDescent="0.2">
      <c r="B171" s="78">
        <v>98340</v>
      </c>
      <c r="C171" s="60" t="s">
        <v>333</v>
      </c>
      <c r="D171" s="45">
        <v>21</v>
      </c>
      <c r="E171" s="45">
        <v>10</v>
      </c>
      <c r="F171" s="45">
        <v>32</v>
      </c>
      <c r="H171" s="165">
        <v>98338</v>
      </c>
      <c r="I171" s="165" t="s">
        <v>333</v>
      </c>
      <c r="J171" s="166">
        <v>8959.0199999999895</v>
      </c>
      <c r="K171" s="166">
        <v>3904.17</v>
      </c>
      <c r="L171" s="166">
        <v>18170.150000000001</v>
      </c>
      <c r="M171" s="166">
        <v>56090.42</v>
      </c>
      <c r="N171" s="166">
        <v>3561.78</v>
      </c>
      <c r="O171" s="166">
        <v>7306.16</v>
      </c>
      <c r="P171" s="166">
        <v>20397.7399999999</v>
      </c>
      <c r="Q171" s="166">
        <v>44757.039999999899</v>
      </c>
      <c r="R171" s="166">
        <v>4980.9399999999996</v>
      </c>
      <c r="S171" s="166">
        <v>2096.66</v>
      </c>
      <c r="T171" s="166">
        <v>14441.84</v>
      </c>
      <c r="U171" s="166">
        <v>30201.719999999899</v>
      </c>
      <c r="V171" s="172"/>
      <c r="W171" s="161"/>
      <c r="Y171" s="71">
        <v>98354</v>
      </c>
      <c r="Z171" s="14" t="s">
        <v>10</v>
      </c>
      <c r="AA171" s="73">
        <v>228.47</v>
      </c>
      <c r="AB171" s="73">
        <v>101.12</v>
      </c>
      <c r="AC171" s="73">
        <v>1108.93</v>
      </c>
      <c r="AD171" s="73">
        <v>2186.1</v>
      </c>
      <c r="AE171" s="73">
        <v>592.62</v>
      </c>
      <c r="AF171" s="73">
        <v>172.96</v>
      </c>
      <c r="AG171" s="73">
        <v>1210.05</v>
      </c>
      <c r="AH171" s="73">
        <v>2033.76</v>
      </c>
      <c r="AI171" s="73">
        <v>502.32</v>
      </c>
      <c r="AJ171" s="73">
        <v>530.09</v>
      </c>
      <c r="AK171" s="73">
        <v>383.01</v>
      </c>
      <c r="AL171" s="174">
        <v>2311.8200000000002</v>
      </c>
      <c r="AM171" s="161">
        <f t="shared" si="2"/>
        <v>1415.42</v>
      </c>
      <c r="AN171" s="161"/>
      <c r="AZ171" s="71" t="s">
        <v>332</v>
      </c>
      <c r="BA171" s="71" t="s">
        <v>333</v>
      </c>
      <c r="BB171" s="32">
        <v>1</v>
      </c>
      <c r="BC171" s="32"/>
      <c r="BD171" s="32"/>
      <c r="BF171" s="71" t="s">
        <v>332</v>
      </c>
      <c r="BG171" s="71" t="s">
        <v>333</v>
      </c>
      <c r="BH171" s="73">
        <v>17934.54</v>
      </c>
      <c r="BI171" s="73"/>
      <c r="BJ171" s="73"/>
      <c r="BL171" s="71">
        <v>98446</v>
      </c>
      <c r="BM171" s="71" t="s">
        <v>10</v>
      </c>
      <c r="BN171" s="73"/>
      <c r="BO171" s="73">
        <v>-167.89</v>
      </c>
      <c r="BP171" s="73"/>
    </row>
    <row r="172" spans="2:68" x14ac:dyDescent="0.2">
      <c r="B172" s="78">
        <v>98342</v>
      </c>
      <c r="C172" s="60" t="s">
        <v>333</v>
      </c>
      <c r="D172" s="45">
        <v>18</v>
      </c>
      <c r="E172" s="45">
        <v>3</v>
      </c>
      <c r="F172" s="45">
        <v>12</v>
      </c>
      <c r="H172" s="165">
        <v>98340</v>
      </c>
      <c r="I172" s="165" t="s">
        <v>333</v>
      </c>
      <c r="J172" s="166">
        <v>907.69</v>
      </c>
      <c r="K172" s="166"/>
      <c r="L172" s="166">
        <v>6312.55</v>
      </c>
      <c r="M172" s="166">
        <v>8156.04</v>
      </c>
      <c r="N172" s="166">
        <v>699.81</v>
      </c>
      <c r="O172" s="166">
        <v>266.91000000000003</v>
      </c>
      <c r="P172" s="166">
        <v>6173.19</v>
      </c>
      <c r="Q172" s="166">
        <v>7761.2</v>
      </c>
      <c r="R172" s="166">
        <v>395.96</v>
      </c>
      <c r="S172" s="166">
        <v>83.85</v>
      </c>
      <c r="T172" s="166">
        <v>5501.18</v>
      </c>
      <c r="U172" s="166">
        <v>13243.8399999999</v>
      </c>
      <c r="V172" s="172"/>
      <c r="W172" s="161"/>
      <c r="Y172" s="71">
        <v>98359</v>
      </c>
      <c r="Z172" s="14" t="s">
        <v>10</v>
      </c>
      <c r="AA172" s="73">
        <v>3041.3999999999901</v>
      </c>
      <c r="AB172" s="73">
        <v>1838.03</v>
      </c>
      <c r="AC172" s="73">
        <v>12267.84</v>
      </c>
      <c r="AD172" s="73">
        <v>23824.12</v>
      </c>
      <c r="AE172" s="73">
        <v>4515.20999999999</v>
      </c>
      <c r="AF172" s="73">
        <v>3059.0699999999902</v>
      </c>
      <c r="AG172" s="73">
        <v>12018.33</v>
      </c>
      <c r="AH172" s="73">
        <v>25286.9</v>
      </c>
      <c r="AI172" s="73">
        <v>4578.62</v>
      </c>
      <c r="AJ172" s="73">
        <v>4200.6099999999997</v>
      </c>
      <c r="AK172" s="73">
        <v>13774.449999999901</v>
      </c>
      <c r="AL172" s="174">
        <v>29949.35</v>
      </c>
      <c r="AM172" s="161">
        <f t="shared" si="2"/>
        <v>22553.679999999898</v>
      </c>
      <c r="AN172" s="161"/>
      <c r="AZ172" s="71" t="s">
        <v>248</v>
      </c>
      <c r="BA172" s="71" t="s">
        <v>333</v>
      </c>
      <c r="BB172" s="32">
        <v>4</v>
      </c>
      <c r="BC172" s="32">
        <v>5</v>
      </c>
      <c r="BD172" s="32">
        <v>4</v>
      </c>
      <c r="BF172" s="71" t="s">
        <v>248</v>
      </c>
      <c r="BG172" s="71" t="s">
        <v>333</v>
      </c>
      <c r="BH172" s="73">
        <v>2998.5</v>
      </c>
      <c r="BI172" s="73">
        <v>10562.4</v>
      </c>
      <c r="BJ172" s="73">
        <v>1202.42</v>
      </c>
      <c r="BL172" s="71">
        <v>98498</v>
      </c>
      <c r="BM172" s="71" t="s">
        <v>10</v>
      </c>
      <c r="BN172" s="73">
        <v>-282.70999999999998</v>
      </c>
      <c r="BO172" s="73"/>
      <c r="BP172" s="73"/>
    </row>
    <row r="173" spans="2:68" x14ac:dyDescent="0.2">
      <c r="B173" s="78">
        <v>98345</v>
      </c>
      <c r="C173" s="60" t="s">
        <v>333</v>
      </c>
      <c r="D173" s="45">
        <v>6</v>
      </c>
      <c r="E173" s="45">
        <v>5</v>
      </c>
      <c r="F173" s="45">
        <v>4</v>
      </c>
      <c r="H173" s="165">
        <v>98342</v>
      </c>
      <c r="I173" s="165" t="s">
        <v>333</v>
      </c>
      <c r="J173" s="166">
        <v>10.210000000000001</v>
      </c>
      <c r="K173" s="166">
        <v>10.210000000000001</v>
      </c>
      <c r="L173" s="166"/>
      <c r="M173" s="166">
        <v>3509.93</v>
      </c>
      <c r="N173" s="166">
        <v>263.87</v>
      </c>
      <c r="O173" s="166">
        <v>20.420000000000002</v>
      </c>
      <c r="P173" s="166"/>
      <c r="Q173" s="166">
        <v>284.29000000000002</v>
      </c>
      <c r="R173" s="166">
        <v>35.53</v>
      </c>
      <c r="S173" s="166">
        <v>18.2</v>
      </c>
      <c r="T173" s="166"/>
      <c r="U173" s="166">
        <v>1460.96999999999</v>
      </c>
      <c r="V173" s="172"/>
      <c r="W173" s="161"/>
      <c r="Y173" s="71">
        <v>98360</v>
      </c>
      <c r="Z173" s="14" t="s">
        <v>10</v>
      </c>
      <c r="AA173" s="73">
        <v>11161.23</v>
      </c>
      <c r="AB173" s="73">
        <v>2116.0500000000002</v>
      </c>
      <c r="AC173" s="73">
        <v>42363.38</v>
      </c>
      <c r="AD173" s="73">
        <v>80083.3</v>
      </c>
      <c r="AE173" s="73">
        <v>17782.53</v>
      </c>
      <c r="AF173" s="73">
        <v>9745.82</v>
      </c>
      <c r="AG173" s="73">
        <v>38183.230000000003</v>
      </c>
      <c r="AH173" s="73">
        <v>86689.3299999999</v>
      </c>
      <c r="AI173" s="73">
        <v>17607.41</v>
      </c>
      <c r="AJ173" s="73">
        <v>15569.63</v>
      </c>
      <c r="AK173" s="73">
        <v>41335.249999999898</v>
      </c>
      <c r="AL173" s="174">
        <v>97042.19</v>
      </c>
      <c r="AM173" s="161">
        <f t="shared" si="2"/>
        <v>74512.289999999892</v>
      </c>
      <c r="AN173" s="161"/>
      <c r="AZ173" s="71" t="s">
        <v>249</v>
      </c>
      <c r="BA173" s="71" t="s">
        <v>333</v>
      </c>
      <c r="BB173" s="32">
        <v>2</v>
      </c>
      <c r="BC173" s="32">
        <v>3</v>
      </c>
      <c r="BD173" s="32">
        <v>3</v>
      </c>
      <c r="BF173" s="71" t="s">
        <v>249</v>
      </c>
      <c r="BG173" s="71" t="s">
        <v>333</v>
      </c>
      <c r="BH173" s="73">
        <v>30.44</v>
      </c>
      <c r="BI173" s="73">
        <v>838.53</v>
      </c>
      <c r="BJ173" s="73">
        <v>2026.16</v>
      </c>
      <c r="BL173" s="71">
        <v>98499</v>
      </c>
      <c r="BM173" s="71" t="s">
        <v>10</v>
      </c>
      <c r="BN173" s="73"/>
      <c r="BO173" s="73"/>
      <c r="BP173" s="73">
        <v>-75</v>
      </c>
    </row>
    <row r="174" spans="2:68" x14ac:dyDescent="0.2">
      <c r="B174" s="78">
        <v>98346</v>
      </c>
      <c r="C174" s="60" t="s">
        <v>333</v>
      </c>
      <c r="D174" s="45">
        <v>102</v>
      </c>
      <c r="E174" s="45">
        <v>63</v>
      </c>
      <c r="F174" s="45">
        <v>113</v>
      </c>
      <c r="H174" s="165">
        <v>98345</v>
      </c>
      <c r="I174" s="165" t="s">
        <v>333</v>
      </c>
      <c r="J174" s="166">
        <v>68.87</v>
      </c>
      <c r="K174" s="166">
        <v>70.959999999999994</v>
      </c>
      <c r="L174" s="166">
        <v>589.66</v>
      </c>
      <c r="M174" s="166">
        <v>2198.1</v>
      </c>
      <c r="N174" s="166">
        <v>76.08</v>
      </c>
      <c r="O174" s="166">
        <v>68.87</v>
      </c>
      <c r="P174" s="166">
        <v>460.25</v>
      </c>
      <c r="Q174" s="166">
        <v>2050.9699999999998</v>
      </c>
      <c r="R174" s="166">
        <v>72.84</v>
      </c>
      <c r="S174" s="166">
        <v>76.08</v>
      </c>
      <c r="T174" s="166">
        <v>324.26</v>
      </c>
      <c r="U174" s="166">
        <v>1114.08</v>
      </c>
      <c r="V174" s="172"/>
      <c r="W174" s="161"/>
      <c r="Y174" s="71">
        <v>98366</v>
      </c>
      <c r="Z174" s="14" t="s">
        <v>10</v>
      </c>
      <c r="AA174" s="73">
        <v>33919.53</v>
      </c>
      <c r="AB174" s="73">
        <v>18402.03</v>
      </c>
      <c r="AC174" s="73">
        <v>112133.58</v>
      </c>
      <c r="AD174" s="73">
        <v>227620.05</v>
      </c>
      <c r="AE174" s="73">
        <v>50932.54</v>
      </c>
      <c r="AF174" s="73">
        <v>30005.61</v>
      </c>
      <c r="AG174" s="73">
        <v>119947.789999999</v>
      </c>
      <c r="AH174" s="73">
        <v>263927.7</v>
      </c>
      <c r="AI174" s="73">
        <v>51819.559999999903</v>
      </c>
      <c r="AJ174" s="73">
        <v>43366.97</v>
      </c>
      <c r="AK174" s="73">
        <v>123449.939999999</v>
      </c>
      <c r="AL174" s="174">
        <v>281994.73</v>
      </c>
      <c r="AM174" s="161">
        <f t="shared" si="2"/>
        <v>218636.46999999892</v>
      </c>
      <c r="AN174" s="161"/>
      <c r="AZ174" s="71" t="s">
        <v>250</v>
      </c>
      <c r="BA174" s="71" t="s">
        <v>333</v>
      </c>
      <c r="BB174" s="32">
        <v>1</v>
      </c>
      <c r="BC174" s="32"/>
      <c r="BD174" s="32"/>
      <c r="BF174" s="71" t="s">
        <v>250</v>
      </c>
      <c r="BG174" s="71" t="s">
        <v>333</v>
      </c>
      <c r="BH174" s="73">
        <v>1460.34</v>
      </c>
      <c r="BI174" s="73"/>
      <c r="BJ174" s="73"/>
      <c r="BL174" s="71">
        <v>98501</v>
      </c>
      <c r="BM174" s="71" t="s">
        <v>10</v>
      </c>
      <c r="BN174" s="73">
        <v>-2459.4299999999998</v>
      </c>
      <c r="BO174" s="73">
        <v>-779.91</v>
      </c>
      <c r="BP174" s="73">
        <v>-371.95</v>
      </c>
    </row>
    <row r="175" spans="2:68" x14ac:dyDescent="0.2">
      <c r="B175" s="78">
        <v>98353</v>
      </c>
      <c r="C175" s="60" t="s">
        <v>333</v>
      </c>
      <c r="D175" s="45">
        <v>1</v>
      </c>
      <c r="E175" s="69">
        <v>1</v>
      </c>
      <c r="F175" s="45"/>
      <c r="H175" s="165">
        <v>98346</v>
      </c>
      <c r="I175" s="165" t="s">
        <v>333</v>
      </c>
      <c r="J175" s="166">
        <v>6798.53</v>
      </c>
      <c r="K175" s="166">
        <v>549.44000000000005</v>
      </c>
      <c r="L175" s="166">
        <v>10564</v>
      </c>
      <c r="M175" s="166">
        <v>41613.469999999899</v>
      </c>
      <c r="N175" s="166">
        <v>2753.42</v>
      </c>
      <c r="O175" s="166">
        <v>2611.8399999999901</v>
      </c>
      <c r="P175" s="166">
        <v>9699.4699999999993</v>
      </c>
      <c r="Q175" s="166">
        <v>33330.289999999899</v>
      </c>
      <c r="R175" s="166">
        <v>5116.0599999999904</v>
      </c>
      <c r="S175" s="166">
        <v>1155.51</v>
      </c>
      <c r="T175" s="166">
        <v>10004.23</v>
      </c>
      <c r="U175" s="166">
        <v>41648.7599999999</v>
      </c>
      <c r="V175" s="172"/>
      <c r="W175" s="161"/>
      <c r="Y175" s="71">
        <v>98367</v>
      </c>
      <c r="Z175" s="14" t="s">
        <v>10</v>
      </c>
      <c r="AA175" s="73">
        <v>19168.169999999998</v>
      </c>
      <c r="AB175" s="73">
        <v>10029.030000000001</v>
      </c>
      <c r="AC175" s="73">
        <v>64018.209999999897</v>
      </c>
      <c r="AD175" s="73">
        <v>128222.45</v>
      </c>
      <c r="AE175" s="73">
        <v>29479.84</v>
      </c>
      <c r="AF175" s="73">
        <v>17487.68</v>
      </c>
      <c r="AG175" s="73">
        <v>69114.969999999899</v>
      </c>
      <c r="AH175" s="73">
        <v>151140.54</v>
      </c>
      <c r="AI175" s="73">
        <v>28146.639999999999</v>
      </c>
      <c r="AJ175" s="73">
        <v>25465.040000000001</v>
      </c>
      <c r="AK175" s="73">
        <v>79089.139999999898</v>
      </c>
      <c r="AL175" s="174">
        <v>173472.399999999</v>
      </c>
      <c r="AM175" s="161">
        <f t="shared" si="2"/>
        <v>132700.81999999989</v>
      </c>
      <c r="AN175" s="161"/>
      <c r="AZ175" s="71" t="s">
        <v>251</v>
      </c>
      <c r="BA175" s="71" t="s">
        <v>333</v>
      </c>
      <c r="BB175" s="79">
        <v>1</v>
      </c>
      <c r="BC175" s="79">
        <v>2</v>
      </c>
      <c r="BD175" s="79"/>
      <c r="BF175" s="71" t="s">
        <v>251</v>
      </c>
      <c r="BG175" s="71" t="s">
        <v>333</v>
      </c>
      <c r="BH175" s="128">
        <v>303.39</v>
      </c>
      <c r="BI175" s="128">
        <v>495.02</v>
      </c>
      <c r="BJ175" s="128"/>
      <c r="BL175" s="71">
        <v>98502</v>
      </c>
      <c r="BM175" s="71" t="s">
        <v>10</v>
      </c>
      <c r="BN175" s="73">
        <v>-988.89</v>
      </c>
      <c r="BO175" s="73">
        <v>-166.33</v>
      </c>
      <c r="BP175" s="73">
        <v>-184.05</v>
      </c>
    </row>
    <row r="176" spans="2:68" x14ac:dyDescent="0.2">
      <c r="B176" s="78">
        <v>98354</v>
      </c>
      <c r="C176" s="60" t="s">
        <v>333</v>
      </c>
      <c r="D176" s="45">
        <v>17</v>
      </c>
      <c r="E176" s="45">
        <v>13</v>
      </c>
      <c r="F176" s="45">
        <v>20</v>
      </c>
      <c r="H176" s="165">
        <v>98353</v>
      </c>
      <c r="I176" s="165" t="s">
        <v>333</v>
      </c>
      <c r="J176" s="166"/>
      <c r="K176" s="166"/>
      <c r="L176" s="166"/>
      <c r="M176" s="166">
        <v>10.54</v>
      </c>
      <c r="N176" s="166"/>
      <c r="O176" s="166"/>
      <c r="P176" s="166"/>
      <c r="Q176" s="166">
        <v>135.65</v>
      </c>
      <c r="R176" s="166"/>
      <c r="S176" s="166"/>
      <c r="T176" s="166"/>
      <c r="U176" s="166"/>
      <c r="V176" s="172"/>
      <c r="W176" s="161"/>
      <c r="Y176" s="71">
        <v>98370</v>
      </c>
      <c r="Z176" s="14" t="s">
        <v>10</v>
      </c>
      <c r="AA176" s="73">
        <v>22087.15</v>
      </c>
      <c r="AB176" s="73">
        <v>8784.65</v>
      </c>
      <c r="AC176" s="73">
        <v>87453.479999999894</v>
      </c>
      <c r="AD176" s="73">
        <v>155932.019999999</v>
      </c>
      <c r="AE176" s="73">
        <v>31224.3499999999</v>
      </c>
      <c r="AF176" s="73">
        <v>22176.6</v>
      </c>
      <c r="AG176" s="73">
        <v>90440.01</v>
      </c>
      <c r="AH176" s="73">
        <v>180280.579999999</v>
      </c>
      <c r="AI176" s="73">
        <v>30872.059999999899</v>
      </c>
      <c r="AJ176" s="73">
        <v>26635.389999999901</v>
      </c>
      <c r="AK176" s="73">
        <v>99324.11</v>
      </c>
      <c r="AL176" s="174">
        <v>198371.62</v>
      </c>
      <c r="AM176" s="161">
        <f t="shared" si="2"/>
        <v>156831.55999999979</v>
      </c>
      <c r="AN176" s="161"/>
      <c r="AZ176" s="71" t="s">
        <v>252</v>
      </c>
      <c r="BA176" s="71" t="s">
        <v>333</v>
      </c>
      <c r="BB176" s="79"/>
      <c r="BC176" s="79">
        <v>1</v>
      </c>
      <c r="BD176" s="79"/>
      <c r="BF176" s="71" t="s">
        <v>252</v>
      </c>
      <c r="BG176" s="71" t="s">
        <v>333</v>
      </c>
      <c r="BH176" s="128"/>
      <c r="BI176" s="128"/>
      <c r="BJ176" s="128"/>
      <c r="BL176" s="71">
        <v>98503</v>
      </c>
      <c r="BM176" s="71" t="s">
        <v>10</v>
      </c>
      <c r="BN176" s="73">
        <v>-443.67</v>
      </c>
      <c r="BO176" s="73">
        <v>-63.87</v>
      </c>
      <c r="BP176" s="73">
        <v>-93.57</v>
      </c>
    </row>
    <row r="177" spans="2:68" x14ac:dyDescent="0.2">
      <c r="B177" s="78">
        <v>98359</v>
      </c>
      <c r="C177" s="60" t="s">
        <v>333</v>
      </c>
      <c r="D177" s="45">
        <v>23</v>
      </c>
      <c r="E177" s="45">
        <v>27</v>
      </c>
      <c r="F177" s="45">
        <v>27</v>
      </c>
      <c r="H177" s="165">
        <v>98354</v>
      </c>
      <c r="I177" s="165" t="s">
        <v>333</v>
      </c>
      <c r="J177" s="166">
        <v>1872.0699999999899</v>
      </c>
      <c r="K177" s="166">
        <v>602.44999999999902</v>
      </c>
      <c r="L177" s="166">
        <v>9156.6099999999897</v>
      </c>
      <c r="M177" s="166">
        <v>18447.2</v>
      </c>
      <c r="N177" s="166">
        <v>2025.62</v>
      </c>
      <c r="O177" s="166">
        <v>282.25</v>
      </c>
      <c r="P177" s="166">
        <v>8024.4899999999898</v>
      </c>
      <c r="Q177" s="166">
        <v>14291.8</v>
      </c>
      <c r="R177" s="166">
        <v>1615.9199999999901</v>
      </c>
      <c r="S177" s="166">
        <v>996.26</v>
      </c>
      <c r="T177" s="166">
        <v>7306.74</v>
      </c>
      <c r="U177" s="166">
        <v>14056.05</v>
      </c>
      <c r="V177" s="172"/>
      <c r="W177" s="161"/>
      <c r="Y177" s="71">
        <v>98371</v>
      </c>
      <c r="Z177" s="14" t="s">
        <v>10</v>
      </c>
      <c r="AA177" s="73">
        <v>14362.699999999901</v>
      </c>
      <c r="AB177" s="73">
        <v>6829.98</v>
      </c>
      <c r="AC177" s="73">
        <v>55209.62</v>
      </c>
      <c r="AD177" s="73">
        <v>114922.02999999899</v>
      </c>
      <c r="AE177" s="73">
        <v>29603.089999999898</v>
      </c>
      <c r="AF177" s="73">
        <v>11963.4899999999</v>
      </c>
      <c r="AG177" s="73">
        <v>56350.609999999899</v>
      </c>
      <c r="AH177" s="73">
        <v>138736.76</v>
      </c>
      <c r="AI177" s="73">
        <v>32965.629999999903</v>
      </c>
      <c r="AJ177" s="73">
        <v>25552.139999999901</v>
      </c>
      <c r="AK177" s="73">
        <v>59372.36</v>
      </c>
      <c r="AL177" s="174">
        <v>159337.95000000001</v>
      </c>
      <c r="AM177" s="161">
        <f t="shared" si="2"/>
        <v>117890.1299999998</v>
      </c>
      <c r="AN177" s="161"/>
      <c r="AZ177" s="92" t="s">
        <v>253</v>
      </c>
      <c r="BA177" s="92" t="s">
        <v>333</v>
      </c>
      <c r="BB177" s="51"/>
      <c r="BC177" s="51"/>
      <c r="BD177" s="51">
        <v>1</v>
      </c>
      <c r="BF177" s="14" t="s">
        <v>253</v>
      </c>
      <c r="BG177" s="14" t="s">
        <v>333</v>
      </c>
      <c r="BH177" s="129"/>
      <c r="BI177" s="129"/>
      <c r="BJ177" s="129"/>
      <c r="BL177" s="71">
        <v>98506</v>
      </c>
      <c r="BM177" s="71" t="s">
        <v>10</v>
      </c>
      <c r="BN177" s="73">
        <v>-119.12</v>
      </c>
      <c r="BO177" s="73">
        <v>-102.06</v>
      </c>
      <c r="BP177" s="73">
        <v>-10</v>
      </c>
    </row>
    <row r="178" spans="2:68" x14ac:dyDescent="0.2">
      <c r="B178" s="78">
        <v>98360</v>
      </c>
      <c r="C178" s="60" t="s">
        <v>333</v>
      </c>
      <c r="D178" s="45">
        <v>49</v>
      </c>
      <c r="E178" s="45">
        <v>47</v>
      </c>
      <c r="F178" s="45">
        <v>41</v>
      </c>
      <c r="H178" s="165">
        <v>98359</v>
      </c>
      <c r="I178" s="165" t="s">
        <v>333</v>
      </c>
      <c r="J178" s="166">
        <v>745.95999999999901</v>
      </c>
      <c r="K178" s="166">
        <v>457.729999999999</v>
      </c>
      <c r="L178" s="166">
        <v>2280.6999999999998</v>
      </c>
      <c r="M178" s="166">
        <v>5046.8</v>
      </c>
      <c r="N178" s="166">
        <v>948.25</v>
      </c>
      <c r="O178" s="166">
        <v>487.43</v>
      </c>
      <c r="P178" s="166">
        <v>2719.06</v>
      </c>
      <c r="Q178" s="166">
        <v>6108.8899999999903</v>
      </c>
      <c r="R178" s="166">
        <v>952.94</v>
      </c>
      <c r="S178" s="166">
        <v>519.99</v>
      </c>
      <c r="T178" s="166">
        <v>2490.5300000000002</v>
      </c>
      <c r="U178" s="166">
        <v>5813.27</v>
      </c>
      <c r="V178" s="172"/>
      <c r="W178" s="161"/>
      <c r="Y178" s="71">
        <v>98372</v>
      </c>
      <c r="Z178" s="14" t="s">
        <v>10</v>
      </c>
      <c r="AA178" s="73">
        <v>20626.379999999899</v>
      </c>
      <c r="AB178" s="73">
        <v>12714.16</v>
      </c>
      <c r="AC178" s="73">
        <v>72418.8299999999</v>
      </c>
      <c r="AD178" s="73">
        <v>146899.51999999999</v>
      </c>
      <c r="AE178" s="73">
        <v>33552.11</v>
      </c>
      <c r="AF178" s="73">
        <v>18154.719999999899</v>
      </c>
      <c r="AG178" s="73">
        <v>60567.519999999902</v>
      </c>
      <c r="AH178" s="73">
        <v>154387.62</v>
      </c>
      <c r="AI178" s="73">
        <v>36492.51</v>
      </c>
      <c r="AJ178" s="73">
        <v>28410.749999999902</v>
      </c>
      <c r="AK178" s="73">
        <v>63902.5</v>
      </c>
      <c r="AL178" s="174">
        <v>173186.399999999</v>
      </c>
      <c r="AM178" s="161">
        <f t="shared" si="2"/>
        <v>128805.75999999991</v>
      </c>
      <c r="AN178" s="161"/>
      <c r="AZ178" s="92" t="s">
        <v>254</v>
      </c>
      <c r="BA178" s="92" t="s">
        <v>333</v>
      </c>
      <c r="BB178" s="51">
        <v>1</v>
      </c>
      <c r="BC178" s="51"/>
      <c r="BD178" s="51"/>
      <c r="BF178" s="14" t="s">
        <v>254</v>
      </c>
      <c r="BG178" s="14" t="s">
        <v>333</v>
      </c>
      <c r="BH178" s="129">
        <v>213.82</v>
      </c>
      <c r="BI178" s="129"/>
      <c r="BJ178" s="129"/>
      <c r="BL178" s="71">
        <v>98512</v>
      </c>
      <c r="BM178" s="71" t="s">
        <v>10</v>
      </c>
      <c r="BN178" s="73">
        <v>-173.52</v>
      </c>
      <c r="BO178" s="73">
        <v>-42.95</v>
      </c>
      <c r="BP178" s="73">
        <v>-60</v>
      </c>
    </row>
    <row r="179" spans="2:68" x14ac:dyDescent="0.2">
      <c r="B179" s="54">
        <v>98364</v>
      </c>
      <c r="C179" s="60" t="s">
        <v>333</v>
      </c>
      <c r="D179" s="45">
        <v>2</v>
      </c>
      <c r="E179" s="45">
        <v>3</v>
      </c>
      <c r="F179" s="45"/>
      <c r="H179" s="165">
        <v>98360</v>
      </c>
      <c r="I179" s="165" t="s">
        <v>333</v>
      </c>
      <c r="J179" s="166">
        <v>5038.18</v>
      </c>
      <c r="K179" s="166">
        <v>1722.57</v>
      </c>
      <c r="L179" s="166">
        <v>19865.6899999999</v>
      </c>
      <c r="M179" s="166">
        <v>45462.319999999898</v>
      </c>
      <c r="N179" s="166">
        <v>5957.48</v>
      </c>
      <c r="O179" s="166">
        <v>4099.13</v>
      </c>
      <c r="P179" s="166">
        <v>18451.29</v>
      </c>
      <c r="Q179" s="166">
        <v>38642.999999999898</v>
      </c>
      <c r="R179" s="166">
        <v>6481.01</v>
      </c>
      <c r="S179" s="166">
        <v>4995.4499999999898</v>
      </c>
      <c r="T179" s="166">
        <v>17320.3</v>
      </c>
      <c r="U179" s="166">
        <v>37027.57</v>
      </c>
      <c r="V179" s="172"/>
      <c r="W179" s="161"/>
      <c r="Y179" s="71">
        <v>98373</v>
      </c>
      <c r="Z179" s="14" t="s">
        <v>10</v>
      </c>
      <c r="AA179" s="73">
        <v>17338.810000000001</v>
      </c>
      <c r="AB179" s="73">
        <v>8435.0299999999897</v>
      </c>
      <c r="AC179" s="73">
        <v>51039.89</v>
      </c>
      <c r="AD179" s="73">
        <v>111471.77999999899</v>
      </c>
      <c r="AE179" s="73">
        <v>28656.75</v>
      </c>
      <c r="AF179" s="73">
        <v>14382.77</v>
      </c>
      <c r="AG179" s="73">
        <v>50878.58</v>
      </c>
      <c r="AH179" s="73">
        <v>127712.04</v>
      </c>
      <c r="AI179" s="73">
        <v>27369.16</v>
      </c>
      <c r="AJ179" s="73">
        <v>21944.29</v>
      </c>
      <c r="AK179" s="73">
        <v>52776.97</v>
      </c>
      <c r="AL179" s="174">
        <v>141133.91999999899</v>
      </c>
      <c r="AM179" s="161">
        <f t="shared" si="2"/>
        <v>102090.42</v>
      </c>
      <c r="AN179" s="161"/>
      <c r="AZ179" s="92" t="s">
        <v>335</v>
      </c>
      <c r="BA179" s="92" t="s">
        <v>333</v>
      </c>
      <c r="BB179" s="51">
        <v>1</v>
      </c>
      <c r="BC179" s="51">
        <v>2</v>
      </c>
      <c r="BD179" s="51">
        <v>1</v>
      </c>
      <c r="BF179" s="14" t="s">
        <v>335</v>
      </c>
      <c r="BG179" s="14" t="s">
        <v>333</v>
      </c>
      <c r="BH179" s="129"/>
      <c r="BI179" s="129"/>
      <c r="BJ179" s="129">
        <v>64.900000000000006</v>
      </c>
      <c r="BL179" s="71">
        <v>98513</v>
      </c>
      <c r="BM179" s="71" t="s">
        <v>10</v>
      </c>
      <c r="BN179" s="73">
        <v>-1029.6300000000001</v>
      </c>
      <c r="BO179" s="73">
        <v>-129.34</v>
      </c>
      <c r="BP179" s="73"/>
    </row>
    <row r="180" spans="2:68" x14ac:dyDescent="0.2">
      <c r="B180" s="78">
        <v>98366</v>
      </c>
      <c r="C180" s="60" t="s">
        <v>333</v>
      </c>
      <c r="D180" s="45">
        <v>211</v>
      </c>
      <c r="E180" s="45">
        <v>187</v>
      </c>
      <c r="F180" s="45">
        <v>160</v>
      </c>
      <c r="H180" s="165">
        <v>98364</v>
      </c>
      <c r="I180" s="165" t="s">
        <v>333</v>
      </c>
      <c r="J180" s="166">
        <v>38.78</v>
      </c>
      <c r="K180" s="166"/>
      <c r="L180" s="166"/>
      <c r="M180" s="166">
        <v>87.71</v>
      </c>
      <c r="N180" s="166">
        <v>38.72</v>
      </c>
      <c r="O180" s="166">
        <v>0.06</v>
      </c>
      <c r="P180" s="166"/>
      <c r="Q180" s="166">
        <v>92.45</v>
      </c>
      <c r="R180" s="166"/>
      <c r="S180" s="166"/>
      <c r="T180" s="166"/>
      <c r="U180" s="166"/>
      <c r="V180" s="172"/>
      <c r="W180" s="161"/>
      <c r="Y180" s="71">
        <v>98374</v>
      </c>
      <c r="Z180" s="14" t="s">
        <v>10</v>
      </c>
      <c r="AA180" s="73">
        <v>37196.789999999899</v>
      </c>
      <c r="AB180" s="73">
        <v>17317.999999999902</v>
      </c>
      <c r="AC180" s="73">
        <v>104472.08</v>
      </c>
      <c r="AD180" s="73">
        <v>229105.15</v>
      </c>
      <c r="AE180" s="73">
        <v>56546.19</v>
      </c>
      <c r="AF180" s="73">
        <v>32969.859999999899</v>
      </c>
      <c r="AG180" s="73">
        <v>107189.78</v>
      </c>
      <c r="AH180" s="73">
        <v>274940.179999999</v>
      </c>
      <c r="AI180" s="73">
        <v>61086.080000000002</v>
      </c>
      <c r="AJ180" s="73">
        <v>43569.0099999999</v>
      </c>
      <c r="AK180" s="73">
        <v>113916.48</v>
      </c>
      <c r="AL180" s="174">
        <v>303560.25999999902</v>
      </c>
      <c r="AM180" s="161">
        <f t="shared" si="2"/>
        <v>218571.56999999989</v>
      </c>
      <c r="AN180" s="161"/>
      <c r="AZ180" s="71" t="s">
        <v>84</v>
      </c>
      <c r="BA180" s="71" t="s">
        <v>10</v>
      </c>
      <c r="BB180" s="32">
        <v>46</v>
      </c>
      <c r="BC180" s="32">
        <v>31</v>
      </c>
      <c r="BD180" s="32">
        <v>24</v>
      </c>
      <c r="BF180" s="71" t="s">
        <v>84</v>
      </c>
      <c r="BG180" s="71" t="s">
        <v>10</v>
      </c>
      <c r="BH180" s="73">
        <v>67334.53</v>
      </c>
      <c r="BI180" s="73">
        <v>52211.32</v>
      </c>
      <c r="BJ180" s="73">
        <v>30133.5</v>
      </c>
      <c r="BL180" s="71">
        <v>98516</v>
      </c>
      <c r="BM180" s="71" t="s">
        <v>10</v>
      </c>
      <c r="BN180" s="73">
        <v>-679.49</v>
      </c>
      <c r="BO180" s="73"/>
      <c r="BP180" s="73">
        <v>-91.01</v>
      </c>
    </row>
    <row r="181" spans="2:68" x14ac:dyDescent="0.2">
      <c r="B181" s="78">
        <v>98367</v>
      </c>
      <c r="C181" s="60" t="s">
        <v>333</v>
      </c>
      <c r="D181" s="45">
        <v>161</v>
      </c>
      <c r="E181" s="45">
        <v>167</v>
      </c>
      <c r="F181" s="45">
        <v>142</v>
      </c>
      <c r="H181" s="165">
        <v>98366</v>
      </c>
      <c r="I181" s="165" t="s">
        <v>333</v>
      </c>
      <c r="J181" s="166">
        <v>9399.36</v>
      </c>
      <c r="K181" s="166">
        <v>4314.26</v>
      </c>
      <c r="L181" s="166">
        <v>24105.35</v>
      </c>
      <c r="M181" s="166">
        <v>115309.75</v>
      </c>
      <c r="N181" s="166">
        <v>12510.48</v>
      </c>
      <c r="O181" s="166">
        <v>8209.41</v>
      </c>
      <c r="P181" s="166">
        <v>25563.219999999899</v>
      </c>
      <c r="Q181" s="166">
        <v>164388.88</v>
      </c>
      <c r="R181" s="166">
        <v>13361.5899999999</v>
      </c>
      <c r="S181" s="166">
        <v>6566.81</v>
      </c>
      <c r="T181" s="166">
        <v>30060.63</v>
      </c>
      <c r="U181" s="166">
        <v>126121.26</v>
      </c>
      <c r="V181" s="172"/>
      <c r="W181" s="161"/>
      <c r="Y181" s="71">
        <v>98375</v>
      </c>
      <c r="Z181" s="14" t="s">
        <v>10</v>
      </c>
      <c r="AA181" s="73">
        <v>17578.3</v>
      </c>
      <c r="AB181" s="73">
        <v>4925.42</v>
      </c>
      <c r="AC181" s="73">
        <v>65565.279999999897</v>
      </c>
      <c r="AD181" s="73">
        <v>126639.95</v>
      </c>
      <c r="AE181" s="73">
        <v>31635.43</v>
      </c>
      <c r="AF181" s="73">
        <v>15132.5</v>
      </c>
      <c r="AG181" s="73">
        <v>56245.739999999903</v>
      </c>
      <c r="AH181" s="73">
        <v>141899.06</v>
      </c>
      <c r="AI181" s="73">
        <v>32046.38</v>
      </c>
      <c r="AJ181" s="73">
        <v>27335.46</v>
      </c>
      <c r="AK181" s="73">
        <v>62291.38</v>
      </c>
      <c r="AL181" s="174">
        <v>167784.179999999</v>
      </c>
      <c r="AM181" s="161">
        <f t="shared" si="2"/>
        <v>121673.22</v>
      </c>
      <c r="AN181" s="161"/>
      <c r="AZ181" s="71" t="s">
        <v>85</v>
      </c>
      <c r="BA181" s="71" t="s">
        <v>10</v>
      </c>
      <c r="BB181" s="32">
        <v>115</v>
      </c>
      <c r="BC181" s="32">
        <v>83</v>
      </c>
      <c r="BD181" s="32">
        <v>82</v>
      </c>
      <c r="BF181" s="71" t="s">
        <v>85</v>
      </c>
      <c r="BG181" s="71" t="s">
        <v>10</v>
      </c>
      <c r="BH181" s="73">
        <v>73255.91</v>
      </c>
      <c r="BI181" s="73">
        <v>46712.74</v>
      </c>
      <c r="BJ181" s="73">
        <v>61765.75</v>
      </c>
      <c r="BL181" s="71">
        <v>98531</v>
      </c>
      <c r="BM181" s="71" t="s">
        <v>10</v>
      </c>
      <c r="BN181" s="73">
        <v>-351.36</v>
      </c>
      <c r="BO181" s="73"/>
      <c r="BP181" s="73"/>
    </row>
    <row r="182" spans="2:68" x14ac:dyDescent="0.2">
      <c r="B182" s="78">
        <v>98370</v>
      </c>
      <c r="C182" s="60" t="s">
        <v>333</v>
      </c>
      <c r="D182" s="45">
        <v>413</v>
      </c>
      <c r="E182" s="69">
        <v>409</v>
      </c>
      <c r="F182" s="69">
        <v>289</v>
      </c>
      <c r="H182" s="165">
        <v>98367</v>
      </c>
      <c r="I182" s="165" t="s">
        <v>333</v>
      </c>
      <c r="J182" s="166">
        <v>3986.65</v>
      </c>
      <c r="K182" s="166">
        <v>1792.9</v>
      </c>
      <c r="L182" s="166">
        <v>11705.43</v>
      </c>
      <c r="M182" s="166">
        <v>44496.85</v>
      </c>
      <c r="N182" s="166">
        <v>4231.71</v>
      </c>
      <c r="O182" s="166">
        <v>1827.86</v>
      </c>
      <c r="P182" s="166">
        <v>9985.7800000000007</v>
      </c>
      <c r="Q182" s="166">
        <v>50675.319999999898</v>
      </c>
      <c r="R182" s="166">
        <v>4463.8399999999901</v>
      </c>
      <c r="S182" s="166">
        <v>2404.3399999999901</v>
      </c>
      <c r="T182" s="166">
        <v>10522.77</v>
      </c>
      <c r="U182" s="166">
        <v>40402.379999999997</v>
      </c>
      <c r="V182" s="172"/>
      <c r="W182" s="161"/>
      <c r="Y182" s="71">
        <v>98380</v>
      </c>
      <c r="Z182" s="14" t="s">
        <v>10</v>
      </c>
      <c r="AA182" s="73">
        <v>3772</v>
      </c>
      <c r="AB182" s="73">
        <v>2100.38</v>
      </c>
      <c r="AC182" s="73">
        <v>14093.04</v>
      </c>
      <c r="AD182" s="73">
        <v>27970.959999999999</v>
      </c>
      <c r="AE182" s="73">
        <v>6281.93</v>
      </c>
      <c r="AF182" s="73">
        <v>3344.33</v>
      </c>
      <c r="AG182" s="73">
        <v>14037.7699999999</v>
      </c>
      <c r="AH182" s="73">
        <v>31205.1499999999</v>
      </c>
      <c r="AI182" s="73">
        <v>7104.46</v>
      </c>
      <c r="AJ182" s="73">
        <v>5707.83</v>
      </c>
      <c r="AK182" s="73">
        <v>13446.109999999901</v>
      </c>
      <c r="AL182" s="174">
        <v>34630.799999999901</v>
      </c>
      <c r="AM182" s="161">
        <f t="shared" si="2"/>
        <v>26258.3999999999</v>
      </c>
      <c r="AN182" s="161"/>
      <c r="AZ182" s="71" t="s">
        <v>86</v>
      </c>
      <c r="BA182" s="71" t="s">
        <v>10</v>
      </c>
      <c r="BB182" s="32">
        <v>146</v>
      </c>
      <c r="BC182" s="32">
        <v>83</v>
      </c>
      <c r="BD182" s="32">
        <v>101</v>
      </c>
      <c r="BF182" s="71" t="s">
        <v>86</v>
      </c>
      <c r="BG182" s="71" t="s">
        <v>10</v>
      </c>
      <c r="BH182" s="73">
        <v>111939.85</v>
      </c>
      <c r="BI182" s="73">
        <v>46509.55</v>
      </c>
      <c r="BJ182" s="73">
        <v>65899.73</v>
      </c>
      <c r="BL182" s="71">
        <v>98532</v>
      </c>
      <c r="BM182" s="71" t="s">
        <v>10</v>
      </c>
      <c r="BN182" s="73">
        <v>-69.430000000000007</v>
      </c>
      <c r="BO182" s="73"/>
      <c r="BP182" s="73"/>
    </row>
    <row r="183" spans="2:68" x14ac:dyDescent="0.2">
      <c r="B183" s="54">
        <v>98371</v>
      </c>
      <c r="C183" s="60" t="s">
        <v>333</v>
      </c>
      <c r="D183" s="45">
        <v>166</v>
      </c>
      <c r="E183" s="45">
        <v>236</v>
      </c>
      <c r="F183" s="45">
        <v>176</v>
      </c>
      <c r="H183" s="165">
        <v>98370</v>
      </c>
      <c r="I183" s="165" t="s">
        <v>333</v>
      </c>
      <c r="J183" s="166">
        <v>50365.279999999999</v>
      </c>
      <c r="K183" s="166">
        <v>3917.70999999999</v>
      </c>
      <c r="L183" s="166">
        <v>146100.739999999</v>
      </c>
      <c r="M183" s="166">
        <v>382420.69999999902</v>
      </c>
      <c r="N183" s="166">
        <v>15866.51</v>
      </c>
      <c r="O183" s="166">
        <v>8306.5699999999906</v>
      </c>
      <c r="P183" s="166">
        <v>145692.66999999899</v>
      </c>
      <c r="Q183" s="166">
        <v>323783.95</v>
      </c>
      <c r="R183" s="166">
        <v>16766.759999999998</v>
      </c>
      <c r="S183" s="166">
        <v>7050.32</v>
      </c>
      <c r="T183" s="166">
        <v>89386</v>
      </c>
      <c r="U183" s="166">
        <v>181362.08</v>
      </c>
      <c r="V183" s="172"/>
      <c r="W183" s="161"/>
      <c r="Y183" s="71">
        <v>98383</v>
      </c>
      <c r="Z183" s="14" t="s">
        <v>10</v>
      </c>
      <c r="AA183" s="73">
        <v>6613.1299999999901</v>
      </c>
      <c r="AB183" s="73">
        <v>3484.3</v>
      </c>
      <c r="AC183" s="73">
        <v>22049.32</v>
      </c>
      <c r="AD183" s="73">
        <v>45129.119999999901</v>
      </c>
      <c r="AE183" s="73">
        <v>10565.389999999899</v>
      </c>
      <c r="AF183" s="73">
        <v>6016.9299999999903</v>
      </c>
      <c r="AG183" s="73">
        <v>23327.41</v>
      </c>
      <c r="AH183" s="73">
        <v>54576.129999999903</v>
      </c>
      <c r="AI183" s="73">
        <v>12079.029999999901</v>
      </c>
      <c r="AJ183" s="73">
        <v>9414.23</v>
      </c>
      <c r="AK183" s="73">
        <v>27820.41</v>
      </c>
      <c r="AL183" s="174">
        <v>62539.8</v>
      </c>
      <c r="AM183" s="161">
        <f t="shared" si="2"/>
        <v>49313.669999999896</v>
      </c>
      <c r="AN183" s="161"/>
      <c r="AZ183" s="71" t="s">
        <v>87</v>
      </c>
      <c r="BA183" s="71" t="s">
        <v>10</v>
      </c>
      <c r="BB183" s="32">
        <v>67</v>
      </c>
      <c r="BC183" s="32">
        <v>52</v>
      </c>
      <c r="BD183" s="32">
        <v>50</v>
      </c>
      <c r="BF183" s="71" t="s">
        <v>87</v>
      </c>
      <c r="BG183" s="71" t="s">
        <v>10</v>
      </c>
      <c r="BH183" s="73">
        <v>11219.95</v>
      </c>
      <c r="BI183" s="73">
        <v>31604.01</v>
      </c>
      <c r="BJ183" s="73">
        <v>29077.42</v>
      </c>
      <c r="BL183" s="71">
        <v>98579</v>
      </c>
      <c r="BM183" s="71" t="s">
        <v>10</v>
      </c>
      <c r="BN183" s="73">
        <v>-30</v>
      </c>
      <c r="BO183" s="73"/>
      <c r="BP183" s="73"/>
    </row>
    <row r="184" spans="2:68" x14ac:dyDescent="0.2">
      <c r="B184" s="54">
        <v>98372</v>
      </c>
      <c r="C184" s="60" t="s">
        <v>333</v>
      </c>
      <c r="D184" s="45">
        <v>139</v>
      </c>
      <c r="E184" s="45">
        <v>132</v>
      </c>
      <c r="F184" s="45">
        <v>155</v>
      </c>
      <c r="H184" s="165">
        <v>98371</v>
      </c>
      <c r="I184" s="165" t="s">
        <v>333</v>
      </c>
      <c r="J184" s="166">
        <v>11078.89</v>
      </c>
      <c r="K184" s="166">
        <v>4103.6099999999997</v>
      </c>
      <c r="L184" s="166">
        <v>30952.75</v>
      </c>
      <c r="M184" s="166">
        <v>133344.66</v>
      </c>
      <c r="N184" s="166">
        <v>12544.12</v>
      </c>
      <c r="O184" s="166">
        <v>7634.99</v>
      </c>
      <c r="P184" s="166">
        <v>32838.089999999997</v>
      </c>
      <c r="Q184" s="166">
        <v>227454.33</v>
      </c>
      <c r="R184" s="166">
        <v>17017.13</v>
      </c>
      <c r="S184" s="166">
        <v>3601.52</v>
      </c>
      <c r="T184" s="166">
        <v>179378.43</v>
      </c>
      <c r="U184" s="166">
        <v>354121.7</v>
      </c>
      <c r="V184" s="172"/>
      <c r="W184" s="161"/>
      <c r="Y184" s="71">
        <v>98385</v>
      </c>
      <c r="Z184" s="14" t="s">
        <v>10</v>
      </c>
      <c r="AA184" s="73">
        <v>670.95</v>
      </c>
      <c r="AB184" s="73">
        <v>308.31</v>
      </c>
      <c r="AC184" s="73">
        <v>3907.9199999999901</v>
      </c>
      <c r="AD184" s="73">
        <v>6183.71</v>
      </c>
      <c r="AE184" s="73">
        <v>1296.53</v>
      </c>
      <c r="AF184" s="73">
        <v>670.95</v>
      </c>
      <c r="AG184" s="73">
        <v>4216.2299999999996</v>
      </c>
      <c r="AH184" s="73">
        <v>7474.42</v>
      </c>
      <c r="AI184" s="73">
        <v>1290.71</v>
      </c>
      <c r="AJ184" s="73">
        <v>1296.53</v>
      </c>
      <c r="AK184" s="73">
        <v>4082.18</v>
      </c>
      <c r="AL184" s="174">
        <v>8010.73</v>
      </c>
      <c r="AM184" s="161">
        <f t="shared" si="2"/>
        <v>6669.42</v>
      </c>
      <c r="AN184" s="161"/>
      <c r="AZ184" s="71" t="s">
        <v>88</v>
      </c>
      <c r="BA184" s="71" t="s">
        <v>10</v>
      </c>
      <c r="BB184" s="32">
        <v>19</v>
      </c>
      <c r="BC184" s="32">
        <v>17</v>
      </c>
      <c r="BD184" s="32">
        <v>8</v>
      </c>
      <c r="BF184" s="71" t="s">
        <v>88</v>
      </c>
      <c r="BG184" s="71" t="s">
        <v>10</v>
      </c>
      <c r="BH184" s="73">
        <v>8204.44</v>
      </c>
      <c r="BI184" s="73">
        <v>6888.44</v>
      </c>
      <c r="BJ184" s="73">
        <v>3752.55</v>
      </c>
      <c r="BL184" s="71">
        <v>98589</v>
      </c>
      <c r="BM184" s="71" t="s">
        <v>10</v>
      </c>
      <c r="BN184" s="73">
        <v>-157.96</v>
      </c>
      <c r="BO184" s="73">
        <v>-157.96</v>
      </c>
      <c r="BP184" s="73"/>
    </row>
    <row r="185" spans="2:68" x14ac:dyDescent="0.2">
      <c r="B185" s="54">
        <v>98373</v>
      </c>
      <c r="C185" s="60" t="s">
        <v>333</v>
      </c>
      <c r="D185" s="45">
        <v>123</v>
      </c>
      <c r="E185" s="45">
        <v>113</v>
      </c>
      <c r="F185" s="45">
        <v>126</v>
      </c>
      <c r="H185" s="165">
        <v>98372</v>
      </c>
      <c r="I185" s="165" t="s">
        <v>333</v>
      </c>
      <c r="J185" s="166">
        <v>5482.7599999999902</v>
      </c>
      <c r="K185" s="166">
        <v>3639.25</v>
      </c>
      <c r="L185" s="166">
        <v>19301.560000000001</v>
      </c>
      <c r="M185" s="166">
        <v>104717.08999999901</v>
      </c>
      <c r="N185" s="166">
        <v>12810.449999999901</v>
      </c>
      <c r="O185" s="166">
        <v>3188.3099999999899</v>
      </c>
      <c r="P185" s="166">
        <v>19046.849999999999</v>
      </c>
      <c r="Q185" s="166">
        <v>143702.57</v>
      </c>
      <c r="R185" s="166">
        <v>7408.04</v>
      </c>
      <c r="S185" s="166">
        <v>4123.22</v>
      </c>
      <c r="T185" s="166">
        <v>20238.62</v>
      </c>
      <c r="U185" s="166">
        <v>141483.82999999999</v>
      </c>
      <c r="V185" s="172"/>
      <c r="W185" s="161"/>
      <c r="Y185" s="71">
        <v>98387</v>
      </c>
      <c r="Z185" s="14" t="s">
        <v>10</v>
      </c>
      <c r="AA185" s="73">
        <v>20451.159999999902</v>
      </c>
      <c r="AB185" s="73">
        <v>2319.5</v>
      </c>
      <c r="AC185" s="73">
        <v>49199.8999999999</v>
      </c>
      <c r="AD185" s="73">
        <v>91014.019999999902</v>
      </c>
      <c r="AE185" s="73">
        <v>18812.8999999999</v>
      </c>
      <c r="AF185" s="73">
        <v>12953.3</v>
      </c>
      <c r="AG185" s="73">
        <v>45905.61</v>
      </c>
      <c r="AH185" s="73">
        <v>111948.23</v>
      </c>
      <c r="AI185" s="73">
        <v>25526.3999999999</v>
      </c>
      <c r="AJ185" s="73">
        <v>10194.530000000001</v>
      </c>
      <c r="AK185" s="73">
        <v>52498.0099999999</v>
      </c>
      <c r="AL185" s="174">
        <v>143553.74</v>
      </c>
      <c r="AM185" s="161">
        <f t="shared" si="2"/>
        <v>88218.939999999799</v>
      </c>
      <c r="AN185" s="161"/>
      <c r="AZ185" s="71" t="s">
        <v>89</v>
      </c>
      <c r="BA185" s="71" t="s">
        <v>10</v>
      </c>
      <c r="BB185" s="32">
        <v>27</v>
      </c>
      <c r="BC185" s="32">
        <v>11</v>
      </c>
      <c r="BD185" s="32">
        <v>26</v>
      </c>
      <c r="BF185" s="71" t="s">
        <v>89</v>
      </c>
      <c r="BG185" s="71" t="s">
        <v>10</v>
      </c>
      <c r="BH185" s="73">
        <v>12563.46</v>
      </c>
      <c r="BI185" s="73">
        <v>3912.84</v>
      </c>
      <c r="BJ185" s="73">
        <v>23412.41</v>
      </c>
      <c r="BL185" s="71">
        <v>98597</v>
      </c>
      <c r="BM185" s="71" t="s">
        <v>10</v>
      </c>
      <c r="BN185" s="73">
        <v>-80.58</v>
      </c>
      <c r="BO185" s="73"/>
      <c r="BP185" s="73"/>
    </row>
    <row r="186" spans="2:68" x14ac:dyDescent="0.2">
      <c r="B186" s="54">
        <v>98374</v>
      </c>
      <c r="C186" s="60" t="s">
        <v>333</v>
      </c>
      <c r="D186" s="45">
        <v>101</v>
      </c>
      <c r="E186" s="45">
        <v>123</v>
      </c>
      <c r="F186" s="45">
        <v>129</v>
      </c>
      <c r="H186" s="165">
        <v>98373</v>
      </c>
      <c r="I186" s="165" t="s">
        <v>333</v>
      </c>
      <c r="J186" s="166">
        <v>9905.56</v>
      </c>
      <c r="K186" s="166">
        <v>11128.41</v>
      </c>
      <c r="L186" s="166">
        <v>73057.719999999899</v>
      </c>
      <c r="M186" s="166">
        <v>192984.51</v>
      </c>
      <c r="N186" s="166">
        <v>14955.3</v>
      </c>
      <c r="O186" s="166">
        <v>4604.0099999999902</v>
      </c>
      <c r="P186" s="166">
        <v>78799.709999999905</v>
      </c>
      <c r="Q186" s="166">
        <v>170017.54</v>
      </c>
      <c r="R186" s="166">
        <v>10511.57</v>
      </c>
      <c r="S186" s="166">
        <v>7506.07</v>
      </c>
      <c r="T186" s="166">
        <v>70201.629999999903</v>
      </c>
      <c r="U186" s="166">
        <v>170865.8</v>
      </c>
      <c r="V186" s="172"/>
      <c r="W186" s="161"/>
      <c r="Y186" s="71">
        <v>98388</v>
      </c>
      <c r="Z186" s="14" t="s">
        <v>10</v>
      </c>
      <c r="AA186" s="73">
        <v>455.72</v>
      </c>
      <c r="AB186" s="73">
        <v>139.94999999999999</v>
      </c>
      <c r="AC186" s="73">
        <v>923.81999999999903</v>
      </c>
      <c r="AD186" s="73">
        <v>2342.81</v>
      </c>
      <c r="AE186" s="73">
        <v>716.67</v>
      </c>
      <c r="AF186" s="73">
        <v>366.96</v>
      </c>
      <c r="AG186" s="73">
        <v>713.77</v>
      </c>
      <c r="AH186" s="73">
        <v>3021.6299999999901</v>
      </c>
      <c r="AI186" s="73">
        <v>487.659999999999</v>
      </c>
      <c r="AJ186" s="73">
        <v>453.159999999999</v>
      </c>
      <c r="AK186" s="73">
        <v>1080.73</v>
      </c>
      <c r="AL186" s="174">
        <v>2890.01</v>
      </c>
      <c r="AM186" s="161">
        <f t="shared" si="2"/>
        <v>2021.5499999999979</v>
      </c>
      <c r="AN186" s="161"/>
      <c r="AZ186" s="71" t="s">
        <v>90</v>
      </c>
      <c r="BA186" s="71" t="s">
        <v>10</v>
      </c>
      <c r="BB186" s="32">
        <v>44</v>
      </c>
      <c r="BC186" s="32">
        <v>29</v>
      </c>
      <c r="BD186" s="32">
        <v>36</v>
      </c>
      <c r="BF186" s="71" t="s">
        <v>90</v>
      </c>
      <c r="BG186" s="71" t="s">
        <v>10</v>
      </c>
      <c r="BH186" s="73">
        <v>18743.79</v>
      </c>
      <c r="BI186" s="73">
        <v>14904.31</v>
      </c>
      <c r="BJ186" s="73">
        <v>17831.89</v>
      </c>
      <c r="BL186" s="71">
        <v>98922</v>
      </c>
      <c r="BM186" s="71" t="s">
        <v>10</v>
      </c>
      <c r="BN186" s="73">
        <v>-164.6</v>
      </c>
      <c r="BO186" s="73"/>
      <c r="BP186" s="73"/>
    </row>
    <row r="187" spans="2:68" x14ac:dyDescent="0.2">
      <c r="B187" s="54">
        <v>98375</v>
      </c>
      <c r="C187" s="60" t="s">
        <v>333</v>
      </c>
      <c r="D187" s="45">
        <v>61</v>
      </c>
      <c r="E187" s="45">
        <v>57</v>
      </c>
      <c r="F187" s="45">
        <v>44</v>
      </c>
      <c r="H187" s="165">
        <v>98374</v>
      </c>
      <c r="I187" s="165" t="s">
        <v>333</v>
      </c>
      <c r="J187" s="166">
        <v>16061.08</v>
      </c>
      <c r="K187" s="166">
        <v>2005.09</v>
      </c>
      <c r="L187" s="166">
        <v>76576.820000000007</v>
      </c>
      <c r="M187" s="166">
        <v>151574.35</v>
      </c>
      <c r="N187" s="166">
        <v>8188.22</v>
      </c>
      <c r="O187" s="166">
        <v>9173.8799999999992</v>
      </c>
      <c r="P187" s="166">
        <v>76143.039999999994</v>
      </c>
      <c r="Q187" s="166">
        <v>189174.18999999901</v>
      </c>
      <c r="R187" s="166">
        <v>27011.0099999999</v>
      </c>
      <c r="S187" s="166">
        <v>3558.76</v>
      </c>
      <c r="T187" s="166">
        <v>78085.399999999994</v>
      </c>
      <c r="U187" s="166">
        <v>270761.69</v>
      </c>
      <c r="V187" s="172"/>
      <c r="W187" s="161"/>
      <c r="Y187" s="71">
        <v>98390</v>
      </c>
      <c r="Z187" s="14" t="s">
        <v>10</v>
      </c>
      <c r="AA187" s="73">
        <v>9030.3899999999903</v>
      </c>
      <c r="AB187" s="73">
        <v>4245.5</v>
      </c>
      <c r="AC187" s="73">
        <v>26667.06</v>
      </c>
      <c r="AD187" s="73">
        <v>60230.79</v>
      </c>
      <c r="AE187" s="73">
        <v>17224.349999999999</v>
      </c>
      <c r="AF187" s="73">
        <v>8005.3399999999901</v>
      </c>
      <c r="AG187" s="73">
        <v>25594.39</v>
      </c>
      <c r="AH187" s="73">
        <v>73027.639999999898</v>
      </c>
      <c r="AI187" s="73">
        <v>18636.089999999898</v>
      </c>
      <c r="AJ187" s="73">
        <v>13998.4</v>
      </c>
      <c r="AK187" s="73">
        <v>31669.4899999999</v>
      </c>
      <c r="AL187" s="174">
        <v>87678.6</v>
      </c>
      <c r="AM187" s="161">
        <f t="shared" si="2"/>
        <v>64303.979999999792</v>
      </c>
      <c r="AN187" s="161"/>
      <c r="AZ187" s="71" t="s">
        <v>91</v>
      </c>
      <c r="BA187" s="71" t="s">
        <v>10</v>
      </c>
      <c r="BB187" s="32">
        <v>18</v>
      </c>
      <c r="BC187" s="32">
        <v>9</v>
      </c>
      <c r="BD187" s="32">
        <v>10</v>
      </c>
      <c r="BF187" s="71" t="s">
        <v>91</v>
      </c>
      <c r="BG187" s="71" t="s">
        <v>10</v>
      </c>
      <c r="BH187" s="73">
        <v>9169.2999999999993</v>
      </c>
      <c r="BI187" s="73">
        <v>5864.46</v>
      </c>
      <c r="BJ187" s="73">
        <v>11018.14</v>
      </c>
      <c r="BL187" s="71">
        <v>98926</v>
      </c>
      <c r="BM187" s="71" t="s">
        <v>10</v>
      </c>
      <c r="BN187" s="73"/>
      <c r="BO187" s="73">
        <v>-125.13</v>
      </c>
      <c r="BP187" s="73">
        <v>-100</v>
      </c>
    </row>
    <row r="188" spans="2:68" ht="16" thickBot="1" x14ac:dyDescent="0.25">
      <c r="B188" s="54">
        <v>98380</v>
      </c>
      <c r="C188" s="60" t="s">
        <v>333</v>
      </c>
      <c r="D188" s="45">
        <v>20</v>
      </c>
      <c r="E188" s="45">
        <v>23</v>
      </c>
      <c r="F188" s="45">
        <v>28</v>
      </c>
      <c r="H188" s="165">
        <v>98375</v>
      </c>
      <c r="I188" s="165" t="s">
        <v>333</v>
      </c>
      <c r="J188" s="166">
        <v>43572.699999999903</v>
      </c>
      <c r="K188" s="166">
        <v>46895.16</v>
      </c>
      <c r="L188" s="166">
        <v>15040.619999999901</v>
      </c>
      <c r="M188" s="166">
        <v>225671.9</v>
      </c>
      <c r="N188" s="166">
        <v>40391.1899999999</v>
      </c>
      <c r="O188" s="166">
        <v>43238.85</v>
      </c>
      <c r="P188" s="166">
        <v>17744.13</v>
      </c>
      <c r="Q188" s="166">
        <v>201398.87</v>
      </c>
      <c r="R188" s="166">
        <v>70397.97</v>
      </c>
      <c r="S188" s="166">
        <v>36162.67</v>
      </c>
      <c r="T188" s="166">
        <v>9774.92</v>
      </c>
      <c r="U188" s="166">
        <v>243441.28</v>
      </c>
      <c r="V188" s="172"/>
      <c r="W188" s="161"/>
      <c r="Y188" s="71">
        <v>98391</v>
      </c>
      <c r="Z188" s="14" t="s">
        <v>10</v>
      </c>
      <c r="AA188" s="73">
        <v>36182.68</v>
      </c>
      <c r="AB188" s="73">
        <v>16270.93</v>
      </c>
      <c r="AC188" s="73">
        <v>126911.98</v>
      </c>
      <c r="AD188" s="73">
        <v>259408.02</v>
      </c>
      <c r="AE188" s="73">
        <v>63642.609999999899</v>
      </c>
      <c r="AF188" s="73">
        <v>30741.3</v>
      </c>
      <c r="AG188" s="73">
        <v>131283.209999999</v>
      </c>
      <c r="AH188" s="73">
        <v>319347.609999999</v>
      </c>
      <c r="AI188" s="73">
        <v>72428.029999999897</v>
      </c>
      <c r="AJ188" s="73">
        <v>48093.459999999897</v>
      </c>
      <c r="AK188" s="73">
        <v>135280.70000000001</v>
      </c>
      <c r="AL188" s="174">
        <v>343243.81</v>
      </c>
      <c r="AM188" s="161">
        <f t="shared" si="2"/>
        <v>255802.1899999998</v>
      </c>
      <c r="AN188" s="161"/>
      <c r="AZ188" s="71" t="s">
        <v>92</v>
      </c>
      <c r="BA188" s="71" t="s">
        <v>10</v>
      </c>
      <c r="BB188" s="32">
        <v>6</v>
      </c>
      <c r="BC188" s="32">
        <v>3</v>
      </c>
      <c r="BD188" s="32">
        <v>7</v>
      </c>
      <c r="BF188" s="71" t="s">
        <v>92</v>
      </c>
      <c r="BG188" s="71" t="s">
        <v>10</v>
      </c>
      <c r="BH188" s="73">
        <v>6964.51</v>
      </c>
      <c r="BI188" s="73">
        <v>8774.76</v>
      </c>
      <c r="BJ188" s="73">
        <v>405.76</v>
      </c>
      <c r="BL188" s="105" t="s">
        <v>336</v>
      </c>
      <c r="BM188" s="105" t="s">
        <v>10</v>
      </c>
      <c r="BN188" s="106"/>
      <c r="BO188" s="106">
        <v>-110.51</v>
      </c>
      <c r="BP188" s="106">
        <v>-312.47000000000003</v>
      </c>
    </row>
    <row r="189" spans="2:68" ht="16" thickBot="1" x14ac:dyDescent="0.25">
      <c r="B189" s="54">
        <v>98383</v>
      </c>
      <c r="C189" s="60" t="s">
        <v>333</v>
      </c>
      <c r="D189" s="45">
        <v>210</v>
      </c>
      <c r="E189" s="45">
        <v>204</v>
      </c>
      <c r="F189" s="45">
        <v>165</v>
      </c>
      <c r="H189" s="165">
        <v>98380</v>
      </c>
      <c r="I189" s="165" t="s">
        <v>333</v>
      </c>
      <c r="J189" s="166">
        <v>1201.8</v>
      </c>
      <c r="K189" s="166">
        <v>322.04999999999899</v>
      </c>
      <c r="L189" s="166">
        <v>1757.37</v>
      </c>
      <c r="M189" s="166">
        <v>7671.15</v>
      </c>
      <c r="N189" s="166">
        <v>928.65</v>
      </c>
      <c r="O189" s="166">
        <v>393.82</v>
      </c>
      <c r="P189" s="166">
        <v>1759.92</v>
      </c>
      <c r="Q189" s="166">
        <v>5333.55</v>
      </c>
      <c r="R189" s="166">
        <v>661.19999999999902</v>
      </c>
      <c r="S189" s="166">
        <v>690.53</v>
      </c>
      <c r="T189" s="166">
        <v>1672.52</v>
      </c>
      <c r="U189" s="166">
        <v>5627.09</v>
      </c>
      <c r="V189" s="172"/>
      <c r="W189" s="161"/>
      <c r="Y189" s="71">
        <v>98392</v>
      </c>
      <c r="Z189" s="14" t="s">
        <v>10</v>
      </c>
      <c r="AA189" s="73">
        <v>8946.31</v>
      </c>
      <c r="AB189" s="73">
        <v>3132.02</v>
      </c>
      <c r="AC189" s="73">
        <v>9683.2800000000007</v>
      </c>
      <c r="AD189" s="73">
        <v>37211.1</v>
      </c>
      <c r="AE189" s="73">
        <v>8233.4699999999993</v>
      </c>
      <c r="AF189" s="73">
        <v>6666.49</v>
      </c>
      <c r="AG189" s="73">
        <v>6895.4</v>
      </c>
      <c r="AH189" s="73">
        <v>22390.45</v>
      </c>
      <c r="AI189" s="73">
        <v>11325.52</v>
      </c>
      <c r="AJ189" s="73">
        <v>6443.04</v>
      </c>
      <c r="AK189" s="73">
        <v>9950.3799999999901</v>
      </c>
      <c r="AL189" s="174">
        <v>44738.67</v>
      </c>
      <c r="AM189" s="161">
        <f t="shared" si="2"/>
        <v>27718.939999999991</v>
      </c>
      <c r="AN189" s="161"/>
      <c r="AZ189" s="71" t="s">
        <v>93</v>
      </c>
      <c r="BA189" s="71" t="s">
        <v>10</v>
      </c>
      <c r="BB189" s="32">
        <v>34</v>
      </c>
      <c r="BC189" s="32">
        <v>30</v>
      </c>
      <c r="BD189" s="32">
        <v>15</v>
      </c>
      <c r="BF189" s="71" t="s">
        <v>93</v>
      </c>
      <c r="BG189" s="71" t="s">
        <v>10</v>
      </c>
      <c r="BH189" s="73">
        <v>27627.34</v>
      </c>
      <c r="BI189" s="73">
        <v>6579.57</v>
      </c>
      <c r="BJ189" s="73">
        <v>4200.45</v>
      </c>
      <c r="BL189" s="154" t="s">
        <v>362</v>
      </c>
      <c r="BM189" s="155"/>
      <c r="BN189" s="156">
        <f>SUM(BN16:BN188)</f>
        <v>-59278.559999999998</v>
      </c>
      <c r="BO189" s="156">
        <f t="shared" ref="BO189:BP189" si="3">SUM(BO16:BO188)</f>
        <v>-16378.320000000002</v>
      </c>
      <c r="BP189" s="156">
        <f t="shared" si="3"/>
        <v>-43928.899999999994</v>
      </c>
    </row>
    <row r="190" spans="2:68" x14ac:dyDescent="0.2">
      <c r="B190" s="54">
        <v>98385</v>
      </c>
      <c r="C190" s="60" t="s">
        <v>333</v>
      </c>
      <c r="D190" s="45">
        <v>2</v>
      </c>
      <c r="E190" s="45">
        <v>2</v>
      </c>
      <c r="F190" s="45">
        <v>3</v>
      </c>
      <c r="H190" s="165">
        <v>98383</v>
      </c>
      <c r="I190" s="165" t="s">
        <v>333</v>
      </c>
      <c r="J190" s="166">
        <v>7470.74</v>
      </c>
      <c r="K190" s="166">
        <v>2828.46</v>
      </c>
      <c r="L190" s="166">
        <v>11426.21</v>
      </c>
      <c r="M190" s="166">
        <v>222246.179999999</v>
      </c>
      <c r="N190" s="166">
        <v>7833.06</v>
      </c>
      <c r="O190" s="166">
        <v>2914.3599999999901</v>
      </c>
      <c r="P190" s="166">
        <v>9315.49</v>
      </c>
      <c r="Q190" s="166">
        <v>183661.41999999899</v>
      </c>
      <c r="R190" s="166">
        <v>11749.69</v>
      </c>
      <c r="S190" s="166">
        <v>2961.85</v>
      </c>
      <c r="T190" s="166">
        <v>10373.309999999899</v>
      </c>
      <c r="U190" s="166">
        <v>151949.57999999999</v>
      </c>
      <c r="V190" s="172"/>
      <c r="W190" s="161"/>
      <c r="Y190" s="71">
        <v>98396</v>
      </c>
      <c r="Z190" s="14" t="s">
        <v>10</v>
      </c>
      <c r="AA190" s="73"/>
      <c r="AB190" s="73">
        <v>575.26</v>
      </c>
      <c r="AC190" s="73">
        <v>1109.51</v>
      </c>
      <c r="AD190" s="73">
        <v>4622.25</v>
      </c>
      <c r="AE190" s="73">
        <v>2737.48</v>
      </c>
      <c r="AF190" s="73"/>
      <c r="AG190" s="73">
        <v>1684.77</v>
      </c>
      <c r="AH190" s="73">
        <v>4422.25</v>
      </c>
      <c r="AI190" s="73"/>
      <c r="AJ190" s="73">
        <v>2252.04</v>
      </c>
      <c r="AK190" s="73">
        <v>1684.77</v>
      </c>
      <c r="AL190" s="174">
        <v>7650.44</v>
      </c>
      <c r="AM190" s="161">
        <f t="shared" si="2"/>
        <v>3936.81</v>
      </c>
      <c r="AN190" s="161"/>
      <c r="AZ190" s="71" t="s">
        <v>258</v>
      </c>
      <c r="BA190" s="71" t="s">
        <v>10</v>
      </c>
      <c r="BB190" s="32">
        <v>20</v>
      </c>
      <c r="BC190" s="32">
        <v>10</v>
      </c>
      <c r="BD190" s="32">
        <v>12</v>
      </c>
      <c r="BF190" s="71" t="s">
        <v>258</v>
      </c>
      <c r="BG190" s="71" t="s">
        <v>10</v>
      </c>
      <c r="BH190" s="73">
        <v>6592.71</v>
      </c>
      <c r="BI190" s="73">
        <v>8785.66</v>
      </c>
      <c r="BJ190" s="73">
        <v>5044.17</v>
      </c>
      <c r="BL190" s="40"/>
      <c r="BM190" s="40"/>
      <c r="BN190" s="107"/>
      <c r="BO190" s="107"/>
      <c r="BP190" s="107"/>
    </row>
    <row r="191" spans="2:68" x14ac:dyDescent="0.2">
      <c r="B191" s="54">
        <v>98387</v>
      </c>
      <c r="C191" s="60" t="s">
        <v>333</v>
      </c>
      <c r="D191" s="45">
        <v>39</v>
      </c>
      <c r="E191" s="45">
        <v>39</v>
      </c>
      <c r="F191" s="45">
        <v>47</v>
      </c>
      <c r="H191" s="165">
        <v>98385</v>
      </c>
      <c r="I191" s="165" t="s">
        <v>333</v>
      </c>
      <c r="J191" s="166">
        <v>273.56</v>
      </c>
      <c r="K191" s="166">
        <v>281</v>
      </c>
      <c r="L191" s="166">
        <v>17.89</v>
      </c>
      <c r="M191" s="166">
        <v>834.34</v>
      </c>
      <c r="N191" s="166">
        <v>251</v>
      </c>
      <c r="O191" s="166">
        <v>262.67</v>
      </c>
      <c r="P191" s="166">
        <v>298.89</v>
      </c>
      <c r="Q191" s="166">
        <v>1206.8699999999999</v>
      </c>
      <c r="R191" s="166">
        <v>394.31</v>
      </c>
      <c r="S191" s="166">
        <v>251</v>
      </c>
      <c r="T191" s="166">
        <v>261.56</v>
      </c>
      <c r="U191" s="166">
        <v>1604.54</v>
      </c>
      <c r="V191" s="172"/>
      <c r="W191" s="161"/>
      <c r="Y191" s="71">
        <v>98402</v>
      </c>
      <c r="Z191" s="14" t="s">
        <v>10</v>
      </c>
      <c r="AA191" s="73"/>
      <c r="AB191" s="73"/>
      <c r="AC191" s="73"/>
      <c r="AD191" s="73"/>
      <c r="AE191" s="73"/>
      <c r="AF191" s="73"/>
      <c r="AG191" s="73"/>
      <c r="AH191" s="73"/>
      <c r="AI191" s="73"/>
      <c r="AJ191" s="73"/>
      <c r="AK191" s="73"/>
      <c r="AL191" s="174">
        <v>2.21</v>
      </c>
      <c r="AM191" s="161">
        <f t="shared" si="2"/>
        <v>0</v>
      </c>
      <c r="AN191" s="161"/>
      <c r="AZ191" s="71" t="s">
        <v>95</v>
      </c>
      <c r="BA191" s="71" t="s">
        <v>10</v>
      </c>
      <c r="BB191" s="32">
        <v>4</v>
      </c>
      <c r="BC191" s="32">
        <v>2</v>
      </c>
      <c r="BD191" s="32"/>
      <c r="BF191" s="71" t="s">
        <v>95</v>
      </c>
      <c r="BG191" s="71" t="s">
        <v>10</v>
      </c>
      <c r="BH191" s="73">
        <v>6100.22</v>
      </c>
      <c r="BI191" s="73">
        <v>1132.8699999999999</v>
      </c>
      <c r="BJ191" s="73"/>
      <c r="BL191" s="40"/>
      <c r="BM191" s="40"/>
      <c r="BN191" s="107"/>
      <c r="BO191" s="107"/>
      <c r="BP191" s="107"/>
    </row>
    <row r="192" spans="2:68" x14ac:dyDescent="0.2">
      <c r="B192" s="54">
        <v>98388</v>
      </c>
      <c r="C192" s="60" t="s">
        <v>333</v>
      </c>
      <c r="D192" s="45">
        <v>4</v>
      </c>
      <c r="E192" s="45">
        <v>3</v>
      </c>
      <c r="F192" s="45"/>
      <c r="H192" s="165">
        <v>98387</v>
      </c>
      <c r="I192" s="165" t="s">
        <v>333</v>
      </c>
      <c r="J192" s="166">
        <v>3443.3399999999901</v>
      </c>
      <c r="K192" s="166">
        <v>80.819999999999993</v>
      </c>
      <c r="L192" s="166">
        <v>17344.4899999999</v>
      </c>
      <c r="M192" s="166">
        <v>32032.49</v>
      </c>
      <c r="N192" s="166">
        <v>2089.9299999999998</v>
      </c>
      <c r="O192" s="166">
        <v>879.13</v>
      </c>
      <c r="P192" s="166">
        <v>16502.849999999999</v>
      </c>
      <c r="Q192" s="166">
        <v>39597.620000000003</v>
      </c>
      <c r="R192" s="166">
        <v>2316.1999999999998</v>
      </c>
      <c r="S192" s="166">
        <v>217.65</v>
      </c>
      <c r="T192" s="166">
        <v>16453.689999999999</v>
      </c>
      <c r="U192" s="166">
        <v>40590.569999999898</v>
      </c>
      <c r="V192" s="172"/>
      <c r="W192" s="161"/>
      <c r="Y192" s="71">
        <v>98403</v>
      </c>
      <c r="Z192" s="14" t="s">
        <v>10</v>
      </c>
      <c r="AA192" s="73">
        <v>235.32</v>
      </c>
      <c r="AB192" s="73">
        <v>121.91</v>
      </c>
      <c r="AC192" s="73">
        <v>666.77</v>
      </c>
      <c r="AD192" s="73">
        <v>2562.91</v>
      </c>
      <c r="AE192" s="73">
        <v>1206.6300000000001</v>
      </c>
      <c r="AF192" s="73">
        <v>198.45999999999901</v>
      </c>
      <c r="AG192" s="73">
        <v>708.03</v>
      </c>
      <c r="AH192" s="73">
        <v>3454.5699999999902</v>
      </c>
      <c r="AI192" s="73">
        <v>1092</v>
      </c>
      <c r="AJ192" s="73">
        <v>1018.78</v>
      </c>
      <c r="AK192" s="73">
        <v>906.48999999999899</v>
      </c>
      <c r="AL192" s="174">
        <v>4189.78</v>
      </c>
      <c r="AM192" s="161">
        <f t="shared" si="2"/>
        <v>3017.2699999999986</v>
      </c>
      <c r="AN192" s="161"/>
      <c r="AZ192" s="71" t="s">
        <v>96</v>
      </c>
      <c r="BA192" s="71" t="s">
        <v>10</v>
      </c>
      <c r="BB192" s="32">
        <v>1</v>
      </c>
      <c r="BC192" s="32"/>
      <c r="BD192" s="32">
        <v>4</v>
      </c>
      <c r="BF192" s="71" t="s">
        <v>96</v>
      </c>
      <c r="BG192" s="71" t="s">
        <v>10</v>
      </c>
      <c r="BH192" s="73">
        <v>224.76</v>
      </c>
      <c r="BI192" s="73"/>
      <c r="BJ192" s="73">
        <v>2048.63</v>
      </c>
      <c r="BL192" s="40"/>
      <c r="BM192" s="40"/>
      <c r="BN192" s="107"/>
      <c r="BO192" s="107"/>
      <c r="BP192" s="107"/>
    </row>
    <row r="193" spans="2:68" x14ac:dyDescent="0.2">
      <c r="B193" s="54">
        <v>98390</v>
      </c>
      <c r="C193" s="60" t="s">
        <v>333</v>
      </c>
      <c r="D193" s="45">
        <v>161</v>
      </c>
      <c r="E193" s="45">
        <v>177</v>
      </c>
      <c r="F193" s="45">
        <v>115</v>
      </c>
      <c r="H193" s="165">
        <v>98388</v>
      </c>
      <c r="I193" s="165" t="s">
        <v>333</v>
      </c>
      <c r="J193" s="166"/>
      <c r="K193" s="166"/>
      <c r="L193" s="166"/>
      <c r="M193" s="166">
        <v>6699.46</v>
      </c>
      <c r="N193" s="166"/>
      <c r="O193" s="166"/>
      <c r="P193" s="166"/>
      <c r="Q193" s="166">
        <v>6410.19</v>
      </c>
      <c r="R193" s="166"/>
      <c r="S193" s="166"/>
      <c r="T193" s="166"/>
      <c r="U193" s="166"/>
      <c r="V193" s="172"/>
      <c r="W193" s="161"/>
      <c r="Y193" s="71">
        <v>98404</v>
      </c>
      <c r="Z193" s="14" t="s">
        <v>10</v>
      </c>
      <c r="AA193" s="73">
        <v>7087.0799999999899</v>
      </c>
      <c r="AB193" s="73">
        <v>1895.5</v>
      </c>
      <c r="AC193" s="73">
        <v>11689.19</v>
      </c>
      <c r="AD193" s="73">
        <v>35843.620000000003</v>
      </c>
      <c r="AE193" s="73">
        <v>11202.22</v>
      </c>
      <c r="AF193" s="73">
        <v>5942.9</v>
      </c>
      <c r="AG193" s="73">
        <v>11459.379999999899</v>
      </c>
      <c r="AH193" s="73">
        <v>41831.459999999897</v>
      </c>
      <c r="AI193" s="73">
        <v>10036.6899999999</v>
      </c>
      <c r="AJ193" s="73">
        <v>8267.84</v>
      </c>
      <c r="AK193" s="73">
        <v>14674.289999999901</v>
      </c>
      <c r="AL193" s="174">
        <v>46837.729999999901</v>
      </c>
      <c r="AM193" s="161">
        <f t="shared" si="2"/>
        <v>32978.819999999803</v>
      </c>
      <c r="AN193" s="161"/>
      <c r="AZ193" s="71" t="s">
        <v>259</v>
      </c>
      <c r="BA193" s="71" t="s">
        <v>10</v>
      </c>
      <c r="BB193" s="32">
        <v>2</v>
      </c>
      <c r="BC193" s="32">
        <v>2</v>
      </c>
      <c r="BD193" s="32">
        <v>2</v>
      </c>
      <c r="BF193" s="71" t="s">
        <v>259</v>
      </c>
      <c r="BG193" s="71" t="s">
        <v>10</v>
      </c>
      <c r="BH193" s="73">
        <v>106.5</v>
      </c>
      <c r="BI193" s="73">
        <v>1550.63</v>
      </c>
      <c r="BJ193" s="73">
        <v>61.99</v>
      </c>
      <c r="BL193" s="40"/>
      <c r="BM193" s="40"/>
      <c r="BN193" s="107"/>
      <c r="BO193" s="107"/>
      <c r="BP193" s="107"/>
    </row>
    <row r="194" spans="2:68" x14ac:dyDescent="0.2">
      <c r="B194" s="54">
        <v>98391</v>
      </c>
      <c r="C194" s="60" t="s">
        <v>333</v>
      </c>
      <c r="D194" s="45">
        <v>154</v>
      </c>
      <c r="E194" s="45">
        <v>228</v>
      </c>
      <c r="F194" s="45">
        <v>123</v>
      </c>
      <c r="H194" s="165">
        <v>98390</v>
      </c>
      <c r="I194" s="165" t="s">
        <v>333</v>
      </c>
      <c r="J194" s="166">
        <v>38730.369999999901</v>
      </c>
      <c r="K194" s="166">
        <v>25436.2599999999</v>
      </c>
      <c r="L194" s="166">
        <v>167373.47999999899</v>
      </c>
      <c r="M194" s="166">
        <v>367940.21</v>
      </c>
      <c r="N194" s="166">
        <v>16684.990000000002</v>
      </c>
      <c r="O194" s="166">
        <v>8310.3700000000008</v>
      </c>
      <c r="P194" s="166">
        <v>150738.59999999899</v>
      </c>
      <c r="Q194" s="166">
        <v>376020.54</v>
      </c>
      <c r="R194" s="166">
        <v>44745.119999999901</v>
      </c>
      <c r="S194" s="166">
        <v>9677.61</v>
      </c>
      <c r="T194" s="166">
        <v>133787.03999999899</v>
      </c>
      <c r="U194" s="166">
        <v>256011.019999999</v>
      </c>
      <c r="V194" s="172"/>
      <c r="W194" s="161"/>
      <c r="Y194" s="71">
        <v>98405</v>
      </c>
      <c r="Z194" s="14" t="s">
        <v>10</v>
      </c>
      <c r="AA194" s="73">
        <v>5913.75</v>
      </c>
      <c r="AB194" s="73">
        <v>1356.23999999999</v>
      </c>
      <c r="AC194" s="73">
        <v>11703.619999999901</v>
      </c>
      <c r="AD194" s="73">
        <v>29012.549999999901</v>
      </c>
      <c r="AE194" s="73">
        <v>6702.78</v>
      </c>
      <c r="AF194" s="73">
        <v>5492.1599999999899</v>
      </c>
      <c r="AG194" s="73">
        <v>10360.23</v>
      </c>
      <c r="AH194" s="73">
        <v>30209.1699999999</v>
      </c>
      <c r="AI194" s="73">
        <v>7786.88</v>
      </c>
      <c r="AJ194" s="73">
        <v>5029.3999999999996</v>
      </c>
      <c r="AK194" s="73">
        <v>13632.91</v>
      </c>
      <c r="AL194" s="174">
        <v>39103.300000000003</v>
      </c>
      <c r="AM194" s="161">
        <f t="shared" si="2"/>
        <v>26449.19</v>
      </c>
      <c r="AN194" s="161"/>
      <c r="AZ194" s="71" t="s">
        <v>260</v>
      </c>
      <c r="BA194" s="71" t="s">
        <v>10</v>
      </c>
      <c r="BB194" s="32">
        <v>5</v>
      </c>
      <c r="BC194" s="32">
        <v>4</v>
      </c>
      <c r="BD194" s="32">
        <v>4</v>
      </c>
      <c r="BF194" s="71" t="s">
        <v>260</v>
      </c>
      <c r="BG194" s="71" t="s">
        <v>10</v>
      </c>
      <c r="BH194" s="73">
        <v>2785.23</v>
      </c>
      <c r="BI194" s="73">
        <v>439.53</v>
      </c>
      <c r="BJ194" s="73">
        <v>1253.22</v>
      </c>
      <c r="BL194" s="40"/>
      <c r="BM194" s="40"/>
      <c r="BN194" s="107"/>
      <c r="BO194" s="107"/>
      <c r="BP194" s="107"/>
    </row>
    <row r="195" spans="2:68" x14ac:dyDescent="0.2">
      <c r="B195" s="54">
        <v>98392</v>
      </c>
      <c r="C195" s="60" t="s">
        <v>333</v>
      </c>
      <c r="D195" s="45">
        <v>31</v>
      </c>
      <c r="E195" s="45">
        <v>11</v>
      </c>
      <c r="F195" s="45">
        <v>15</v>
      </c>
      <c r="H195" s="165">
        <v>98391</v>
      </c>
      <c r="I195" s="165" t="s">
        <v>333</v>
      </c>
      <c r="J195" s="166">
        <v>8869.5499999999902</v>
      </c>
      <c r="K195" s="166">
        <v>12397.279999999901</v>
      </c>
      <c r="L195" s="166">
        <v>47545.41</v>
      </c>
      <c r="M195" s="166">
        <v>115647.039999999</v>
      </c>
      <c r="N195" s="166">
        <v>10458.75</v>
      </c>
      <c r="O195" s="166">
        <v>6745.16</v>
      </c>
      <c r="P195" s="166">
        <v>52404.109999999899</v>
      </c>
      <c r="Q195" s="166">
        <v>150907.149999999</v>
      </c>
      <c r="R195" s="166">
        <v>9404.83</v>
      </c>
      <c r="S195" s="166">
        <v>6706.95</v>
      </c>
      <c r="T195" s="166">
        <v>50612.03</v>
      </c>
      <c r="U195" s="166">
        <v>107661.36</v>
      </c>
      <c r="V195" s="172"/>
      <c r="W195" s="161"/>
      <c r="Y195" s="71">
        <v>98406</v>
      </c>
      <c r="Z195" s="14" t="s">
        <v>10</v>
      </c>
      <c r="AA195" s="73">
        <v>3890.06</v>
      </c>
      <c r="AB195" s="73">
        <v>676.37</v>
      </c>
      <c r="AC195" s="73">
        <v>7704.4</v>
      </c>
      <c r="AD195" s="73">
        <v>17002.52</v>
      </c>
      <c r="AE195" s="73">
        <v>2747.15</v>
      </c>
      <c r="AF195" s="73">
        <v>3365.71</v>
      </c>
      <c r="AG195" s="73">
        <v>7221.88</v>
      </c>
      <c r="AH195" s="73">
        <v>19788.8299999999</v>
      </c>
      <c r="AI195" s="73">
        <v>4531.7</v>
      </c>
      <c r="AJ195" s="73">
        <v>1889.46</v>
      </c>
      <c r="AK195" s="73">
        <v>8490.9499999999898</v>
      </c>
      <c r="AL195" s="174">
        <v>23775.129999999899</v>
      </c>
      <c r="AM195" s="161">
        <f t="shared" si="2"/>
        <v>14912.10999999999</v>
      </c>
      <c r="AN195" s="161"/>
      <c r="AZ195" s="71" t="s">
        <v>97</v>
      </c>
      <c r="BA195" s="71" t="s">
        <v>10</v>
      </c>
      <c r="BB195" s="32">
        <v>27</v>
      </c>
      <c r="BC195" s="32">
        <v>10</v>
      </c>
      <c r="BD195" s="32">
        <v>12</v>
      </c>
      <c r="BF195" s="71" t="s">
        <v>97</v>
      </c>
      <c r="BG195" s="71" t="s">
        <v>10</v>
      </c>
      <c r="BH195" s="73">
        <v>16451.59</v>
      </c>
      <c r="BI195" s="73">
        <v>9735.34</v>
      </c>
      <c r="BJ195" s="73">
        <v>5078.3500000000004</v>
      </c>
      <c r="BL195" s="40"/>
      <c r="BM195" s="40"/>
      <c r="BN195" s="107"/>
      <c r="BO195" s="107"/>
      <c r="BP195" s="107"/>
    </row>
    <row r="196" spans="2:68" x14ac:dyDescent="0.2">
      <c r="B196" s="54">
        <v>98396</v>
      </c>
      <c r="C196" s="60" t="s">
        <v>333</v>
      </c>
      <c r="D196" s="45">
        <v>4</v>
      </c>
      <c r="E196" s="45">
        <v>5</v>
      </c>
      <c r="F196" s="45">
        <v>4</v>
      </c>
      <c r="H196" s="165">
        <v>98392</v>
      </c>
      <c r="I196" s="165" t="s">
        <v>333</v>
      </c>
      <c r="J196" s="166">
        <v>599.89</v>
      </c>
      <c r="K196" s="166">
        <v>132.06</v>
      </c>
      <c r="L196" s="166">
        <v>1900.38</v>
      </c>
      <c r="M196" s="166">
        <v>15446.8299999999</v>
      </c>
      <c r="N196" s="166">
        <v>990.219999999999</v>
      </c>
      <c r="O196" s="166">
        <v>473.17</v>
      </c>
      <c r="P196" s="166">
        <v>1900.3799999999901</v>
      </c>
      <c r="Q196" s="166">
        <v>3435.9199999999901</v>
      </c>
      <c r="R196" s="166">
        <v>1043.03</v>
      </c>
      <c r="S196" s="166">
        <v>398.53</v>
      </c>
      <c r="T196" s="166">
        <v>1195.44</v>
      </c>
      <c r="U196" s="166">
        <v>4340.67</v>
      </c>
      <c r="V196" s="172"/>
      <c r="W196" s="161"/>
      <c r="Y196" s="71">
        <v>98407</v>
      </c>
      <c r="Z196" s="14" t="s">
        <v>10</v>
      </c>
      <c r="AA196" s="73">
        <v>844.95999999999901</v>
      </c>
      <c r="AB196" s="73">
        <v>191.17</v>
      </c>
      <c r="AC196" s="73">
        <v>1014.66</v>
      </c>
      <c r="AD196" s="73">
        <v>4336.53</v>
      </c>
      <c r="AE196" s="73">
        <v>1800.78</v>
      </c>
      <c r="AF196" s="73">
        <v>635.89999999999895</v>
      </c>
      <c r="AG196" s="73">
        <v>736.78</v>
      </c>
      <c r="AH196" s="73">
        <v>6233.13</v>
      </c>
      <c r="AI196" s="73">
        <v>1823.91</v>
      </c>
      <c r="AJ196" s="73">
        <v>1341.53</v>
      </c>
      <c r="AK196" s="73">
        <v>1142.02</v>
      </c>
      <c r="AL196" s="174">
        <v>6871.6399999999903</v>
      </c>
      <c r="AM196" s="161">
        <f t="shared" si="2"/>
        <v>4307.46</v>
      </c>
      <c r="AN196" s="161"/>
      <c r="AZ196" s="71" t="s">
        <v>98</v>
      </c>
      <c r="BA196" s="71" t="s">
        <v>10</v>
      </c>
      <c r="BB196" s="32">
        <v>100</v>
      </c>
      <c r="BC196" s="32">
        <v>66</v>
      </c>
      <c r="BD196" s="32">
        <v>106</v>
      </c>
      <c r="BF196" s="71" t="s">
        <v>98</v>
      </c>
      <c r="BG196" s="71" t="s">
        <v>10</v>
      </c>
      <c r="BH196" s="73">
        <v>107367.39</v>
      </c>
      <c r="BI196" s="73">
        <v>49555.040000000001</v>
      </c>
      <c r="BJ196" s="73">
        <v>104460.94</v>
      </c>
      <c r="BL196" s="40"/>
      <c r="BM196" s="40"/>
      <c r="BN196" s="107"/>
      <c r="BO196" s="107"/>
      <c r="BP196" s="107"/>
    </row>
    <row r="197" spans="2:68" x14ac:dyDescent="0.2">
      <c r="B197" s="54">
        <v>98402</v>
      </c>
      <c r="C197" s="60" t="s">
        <v>333</v>
      </c>
      <c r="D197" s="45">
        <v>75</v>
      </c>
      <c r="E197" s="45">
        <v>118</v>
      </c>
      <c r="F197" s="45">
        <v>67</v>
      </c>
      <c r="H197" s="165">
        <v>98396</v>
      </c>
      <c r="I197" s="165" t="s">
        <v>333</v>
      </c>
      <c r="J197" s="166"/>
      <c r="K197" s="166"/>
      <c r="L197" s="166"/>
      <c r="M197" s="166">
        <v>4037.77</v>
      </c>
      <c r="N197" s="166">
        <v>3149.13</v>
      </c>
      <c r="O197" s="166"/>
      <c r="P197" s="166"/>
      <c r="Q197" s="166">
        <v>3797.06</v>
      </c>
      <c r="R197" s="166"/>
      <c r="S197" s="166"/>
      <c r="T197" s="166"/>
      <c r="U197" s="166">
        <v>1088.1500000000001</v>
      </c>
      <c r="V197" s="172"/>
      <c r="W197" s="161"/>
      <c r="Y197" s="71">
        <v>98408</v>
      </c>
      <c r="Z197" s="14" t="s">
        <v>10</v>
      </c>
      <c r="AA197" s="73">
        <v>6187.88</v>
      </c>
      <c r="AB197" s="73">
        <v>1434.69</v>
      </c>
      <c r="AC197" s="73">
        <v>11016.6499999999</v>
      </c>
      <c r="AD197" s="73">
        <v>31309.8299999999</v>
      </c>
      <c r="AE197" s="73">
        <v>9989.5199999999895</v>
      </c>
      <c r="AF197" s="73">
        <v>5504.2199999999903</v>
      </c>
      <c r="AG197" s="73">
        <v>9797.14</v>
      </c>
      <c r="AH197" s="73">
        <v>35324.28</v>
      </c>
      <c r="AI197" s="73">
        <v>9205.09</v>
      </c>
      <c r="AJ197" s="73">
        <v>8328.83</v>
      </c>
      <c r="AK197" s="73">
        <v>11537.04</v>
      </c>
      <c r="AL197" s="174">
        <v>43035.0099999999</v>
      </c>
      <c r="AM197" s="161">
        <f t="shared" si="2"/>
        <v>29070.959999999999</v>
      </c>
      <c r="AN197" s="161"/>
      <c r="AZ197" s="71" t="s">
        <v>99</v>
      </c>
      <c r="BA197" s="71" t="s">
        <v>10</v>
      </c>
      <c r="BB197" s="32">
        <v>4</v>
      </c>
      <c r="BC197" s="32">
        <v>4</v>
      </c>
      <c r="BD197" s="32"/>
      <c r="BF197" s="71" t="s">
        <v>99</v>
      </c>
      <c r="BG197" s="71" t="s">
        <v>10</v>
      </c>
      <c r="BH197" s="73">
        <v>1139.54</v>
      </c>
      <c r="BI197" s="73">
        <v>1982.88</v>
      </c>
      <c r="BJ197" s="73"/>
      <c r="BL197" s="40"/>
      <c r="BM197" s="40"/>
      <c r="BN197" s="107"/>
      <c r="BO197" s="107"/>
      <c r="BP197" s="107"/>
    </row>
    <row r="198" spans="2:68" x14ac:dyDescent="0.2">
      <c r="B198" s="54">
        <v>98403</v>
      </c>
      <c r="C198" s="60" t="s">
        <v>333</v>
      </c>
      <c r="D198" s="45">
        <v>21</v>
      </c>
      <c r="E198" s="45">
        <v>30</v>
      </c>
      <c r="F198" s="45">
        <v>21</v>
      </c>
      <c r="H198" s="165">
        <v>98402</v>
      </c>
      <c r="I198" s="165" t="s">
        <v>333</v>
      </c>
      <c r="J198" s="166">
        <v>6156.98</v>
      </c>
      <c r="K198" s="166">
        <v>1447.94</v>
      </c>
      <c r="L198" s="166">
        <v>26159.62</v>
      </c>
      <c r="M198" s="166">
        <v>114028.34</v>
      </c>
      <c r="N198" s="166">
        <v>20573.98</v>
      </c>
      <c r="O198" s="166">
        <v>4662.1099999999997</v>
      </c>
      <c r="P198" s="166">
        <v>25674.09</v>
      </c>
      <c r="Q198" s="166">
        <v>169634.39</v>
      </c>
      <c r="R198" s="166">
        <v>44937.46</v>
      </c>
      <c r="S198" s="166">
        <v>5949.48</v>
      </c>
      <c r="T198" s="166">
        <v>26796.9</v>
      </c>
      <c r="U198" s="166">
        <v>162475.64000000001</v>
      </c>
      <c r="V198" s="172"/>
      <c r="W198" s="161"/>
      <c r="Y198" s="71">
        <v>98409</v>
      </c>
      <c r="Z198" s="14" t="s">
        <v>10</v>
      </c>
      <c r="AA198" s="73">
        <v>2522.52</v>
      </c>
      <c r="AB198" s="73">
        <v>739.8</v>
      </c>
      <c r="AC198" s="73">
        <v>3582.0499999999902</v>
      </c>
      <c r="AD198" s="73">
        <v>14595.45</v>
      </c>
      <c r="AE198" s="73">
        <v>5604.64</v>
      </c>
      <c r="AF198" s="73">
        <v>2254.9099999999899</v>
      </c>
      <c r="AG198" s="73">
        <v>2826.03</v>
      </c>
      <c r="AH198" s="73">
        <v>17252.150000000001</v>
      </c>
      <c r="AI198" s="73">
        <v>4869.91</v>
      </c>
      <c r="AJ198" s="73">
        <v>4372.78</v>
      </c>
      <c r="AK198" s="73">
        <v>2793.11</v>
      </c>
      <c r="AL198" s="174">
        <v>18934.55</v>
      </c>
      <c r="AM198" s="161">
        <f t="shared" si="2"/>
        <v>12035.8</v>
      </c>
      <c r="AN198" s="161"/>
      <c r="AZ198" s="71" t="s">
        <v>261</v>
      </c>
      <c r="BA198" s="71" t="s">
        <v>10</v>
      </c>
      <c r="BB198" s="32">
        <v>10</v>
      </c>
      <c r="BC198" s="32">
        <v>5</v>
      </c>
      <c r="BD198" s="32">
        <v>6</v>
      </c>
      <c r="BF198" s="71" t="s">
        <v>261</v>
      </c>
      <c r="BG198" s="71" t="s">
        <v>10</v>
      </c>
      <c r="BH198" s="73">
        <v>2717.84</v>
      </c>
      <c r="BI198" s="73">
        <v>415.2</v>
      </c>
      <c r="BJ198" s="73">
        <v>3572.22</v>
      </c>
      <c r="BL198" s="40"/>
      <c r="BM198" s="40"/>
      <c r="BN198" s="107"/>
      <c r="BO198" s="107"/>
      <c r="BP198" s="107"/>
    </row>
    <row r="199" spans="2:68" x14ac:dyDescent="0.2">
      <c r="B199" s="54">
        <v>98404</v>
      </c>
      <c r="C199" s="60" t="s">
        <v>333</v>
      </c>
      <c r="D199" s="45">
        <v>55</v>
      </c>
      <c r="E199" s="45">
        <v>64</v>
      </c>
      <c r="F199" s="45">
        <v>37</v>
      </c>
      <c r="H199" s="165">
        <v>98403</v>
      </c>
      <c r="I199" s="165" t="s">
        <v>333</v>
      </c>
      <c r="J199" s="166">
        <v>1560.59</v>
      </c>
      <c r="K199" s="166">
        <v>368.49</v>
      </c>
      <c r="L199" s="166">
        <v>7683.45999999999</v>
      </c>
      <c r="M199" s="166">
        <v>27782.92</v>
      </c>
      <c r="N199" s="166">
        <v>2634.0299999999902</v>
      </c>
      <c r="O199" s="166">
        <v>1244.4399999999901</v>
      </c>
      <c r="P199" s="166">
        <v>7471.92</v>
      </c>
      <c r="Q199" s="166">
        <v>42181.26</v>
      </c>
      <c r="R199" s="166">
        <v>1562.5</v>
      </c>
      <c r="S199" s="166">
        <v>2758.5299999999902</v>
      </c>
      <c r="T199" s="166">
        <v>10247.68</v>
      </c>
      <c r="U199" s="166">
        <v>30459.98</v>
      </c>
      <c r="V199" s="172"/>
      <c r="W199" s="161"/>
      <c r="Y199" s="71">
        <v>98418</v>
      </c>
      <c r="Z199" s="14" t="s">
        <v>10</v>
      </c>
      <c r="AA199" s="73">
        <v>3808.98</v>
      </c>
      <c r="AB199" s="73">
        <v>1024.5899999999999</v>
      </c>
      <c r="AC199" s="73">
        <v>8075.0199999999904</v>
      </c>
      <c r="AD199" s="73">
        <v>20705.98</v>
      </c>
      <c r="AE199" s="73">
        <v>5588.41</v>
      </c>
      <c r="AF199" s="73">
        <v>2979.7</v>
      </c>
      <c r="AG199" s="73">
        <v>7562.63</v>
      </c>
      <c r="AH199" s="73">
        <v>24404.1</v>
      </c>
      <c r="AI199" s="73">
        <v>6977.96</v>
      </c>
      <c r="AJ199" s="73">
        <v>4957.9499999999898</v>
      </c>
      <c r="AK199" s="73">
        <v>8767.4999999999909</v>
      </c>
      <c r="AL199" s="174">
        <v>29338.19</v>
      </c>
      <c r="AM199" s="161">
        <f t="shared" si="2"/>
        <v>20703.409999999982</v>
      </c>
      <c r="AN199" s="161"/>
      <c r="AZ199" s="71" t="s">
        <v>100</v>
      </c>
      <c r="BA199" s="71" t="s">
        <v>10</v>
      </c>
      <c r="BB199" s="32">
        <v>14</v>
      </c>
      <c r="BC199" s="32">
        <v>13</v>
      </c>
      <c r="BD199" s="32">
        <v>22</v>
      </c>
      <c r="BF199" s="71" t="s">
        <v>100</v>
      </c>
      <c r="BG199" s="71" t="s">
        <v>10</v>
      </c>
      <c r="BH199" s="73">
        <v>14644.64</v>
      </c>
      <c r="BI199" s="73">
        <v>15161.46</v>
      </c>
      <c r="BJ199" s="73">
        <v>42868.37</v>
      </c>
      <c r="BL199" s="40"/>
      <c r="BM199" s="40"/>
      <c r="BN199" s="107"/>
      <c r="BO199" s="107"/>
      <c r="BP199" s="107"/>
    </row>
    <row r="200" spans="2:68" x14ac:dyDescent="0.2">
      <c r="B200" s="54">
        <v>98405</v>
      </c>
      <c r="C200" s="60" t="s">
        <v>333</v>
      </c>
      <c r="D200" s="45">
        <v>65</v>
      </c>
      <c r="E200" s="45">
        <v>77</v>
      </c>
      <c r="F200" s="45">
        <v>66</v>
      </c>
      <c r="H200" s="165">
        <v>98404</v>
      </c>
      <c r="I200" s="165" t="s">
        <v>333</v>
      </c>
      <c r="J200" s="166">
        <v>7981.23</v>
      </c>
      <c r="K200" s="166">
        <v>1769.25</v>
      </c>
      <c r="L200" s="166">
        <v>8574.68</v>
      </c>
      <c r="M200" s="166">
        <v>94995.65</v>
      </c>
      <c r="N200" s="166">
        <v>5491.01</v>
      </c>
      <c r="O200" s="166">
        <v>2685.6499999999901</v>
      </c>
      <c r="P200" s="166">
        <v>5508.09</v>
      </c>
      <c r="Q200" s="166">
        <v>75854</v>
      </c>
      <c r="R200" s="166">
        <v>6803.46</v>
      </c>
      <c r="S200" s="166">
        <v>2394.44</v>
      </c>
      <c r="T200" s="166">
        <v>7220.3899999999903</v>
      </c>
      <c r="U200" s="166">
        <v>39422.699999999997</v>
      </c>
      <c r="V200" s="172"/>
      <c r="W200" s="161"/>
      <c r="Y200" s="71">
        <v>98421</v>
      </c>
      <c r="Z200" s="14" t="s">
        <v>10</v>
      </c>
      <c r="AA200" s="73"/>
      <c r="AB200" s="73"/>
      <c r="AC200" s="73"/>
      <c r="AD200" s="73"/>
      <c r="AE200" s="73"/>
      <c r="AF200" s="73"/>
      <c r="AG200" s="73"/>
      <c r="AH200" s="73"/>
      <c r="AI200" s="73"/>
      <c r="AJ200" s="73"/>
      <c r="AK200" s="73"/>
      <c r="AL200" s="174">
        <v>55.93</v>
      </c>
      <c r="AM200" s="161">
        <f t="shared" si="2"/>
        <v>0</v>
      </c>
      <c r="AN200" s="161"/>
      <c r="AZ200" s="71" t="s">
        <v>101</v>
      </c>
      <c r="BA200" s="71" t="s">
        <v>10</v>
      </c>
      <c r="BB200" s="32">
        <v>18</v>
      </c>
      <c r="BC200" s="32">
        <v>9</v>
      </c>
      <c r="BD200" s="32">
        <v>22</v>
      </c>
      <c r="BF200" s="71" t="s">
        <v>101</v>
      </c>
      <c r="BG200" s="71" t="s">
        <v>10</v>
      </c>
      <c r="BH200" s="73">
        <v>7757.13</v>
      </c>
      <c r="BI200" s="73">
        <v>4268.5200000000004</v>
      </c>
      <c r="BJ200" s="73">
        <v>20291.580000000002</v>
      </c>
      <c r="BL200" s="40"/>
      <c r="BM200" s="40"/>
      <c r="BN200" s="107"/>
      <c r="BO200" s="107"/>
      <c r="BP200" s="107"/>
    </row>
    <row r="201" spans="2:68" x14ac:dyDescent="0.2">
      <c r="B201" s="54">
        <v>98406</v>
      </c>
      <c r="C201" s="60" t="s">
        <v>333</v>
      </c>
      <c r="D201" s="45">
        <v>24</v>
      </c>
      <c r="E201" s="45">
        <v>21</v>
      </c>
      <c r="F201" s="45">
        <v>28</v>
      </c>
      <c r="H201" s="165">
        <v>98405</v>
      </c>
      <c r="I201" s="165" t="s">
        <v>333</v>
      </c>
      <c r="J201" s="166">
        <v>5461.75</v>
      </c>
      <c r="K201" s="166">
        <v>1010.44</v>
      </c>
      <c r="L201" s="166">
        <v>13528.05</v>
      </c>
      <c r="M201" s="166">
        <v>53348.0099999999</v>
      </c>
      <c r="N201" s="166">
        <v>11157.19</v>
      </c>
      <c r="O201" s="166">
        <v>3525.57</v>
      </c>
      <c r="P201" s="166">
        <v>12464.309999999899</v>
      </c>
      <c r="Q201" s="166">
        <v>116622.889999999</v>
      </c>
      <c r="R201" s="166">
        <v>5860.58</v>
      </c>
      <c r="S201" s="166">
        <v>3017.5099999999902</v>
      </c>
      <c r="T201" s="166">
        <v>14529.289999999901</v>
      </c>
      <c r="U201" s="166">
        <v>76188.639999999999</v>
      </c>
      <c r="V201" s="172"/>
      <c r="W201" s="161"/>
      <c r="Y201" s="71">
        <v>98422</v>
      </c>
      <c r="Z201" s="14" t="s">
        <v>10</v>
      </c>
      <c r="AA201" s="73">
        <v>1961.71999999999</v>
      </c>
      <c r="AB201" s="73">
        <v>630.69999999999902</v>
      </c>
      <c r="AC201" s="73">
        <v>2941.37</v>
      </c>
      <c r="AD201" s="73">
        <v>11957.31</v>
      </c>
      <c r="AE201" s="73">
        <v>4913.3</v>
      </c>
      <c r="AF201" s="73">
        <v>1322.03999999999</v>
      </c>
      <c r="AG201" s="73">
        <v>2231.6999999999998</v>
      </c>
      <c r="AH201" s="73">
        <v>15328.629999999899</v>
      </c>
      <c r="AI201" s="73">
        <v>5182.2599999999902</v>
      </c>
      <c r="AJ201" s="73">
        <v>3750.24</v>
      </c>
      <c r="AK201" s="73">
        <v>2427.7399999999998</v>
      </c>
      <c r="AL201" s="174">
        <v>17519.38</v>
      </c>
      <c r="AM201" s="161">
        <f t="shared" si="2"/>
        <v>11360.239999999989</v>
      </c>
      <c r="AN201" s="161"/>
      <c r="AZ201" s="71" t="s">
        <v>102</v>
      </c>
      <c r="BA201" s="71" t="s">
        <v>10</v>
      </c>
      <c r="BB201" s="32">
        <v>22</v>
      </c>
      <c r="BC201" s="32">
        <v>32</v>
      </c>
      <c r="BD201" s="32">
        <v>12</v>
      </c>
      <c r="BF201" s="71" t="s">
        <v>102</v>
      </c>
      <c r="BG201" s="71" t="s">
        <v>10</v>
      </c>
      <c r="BH201" s="73">
        <v>6776.57</v>
      </c>
      <c r="BI201" s="73">
        <v>10219.17</v>
      </c>
      <c r="BJ201" s="73">
        <v>10759.61</v>
      </c>
      <c r="BL201" s="40"/>
      <c r="BM201" s="40"/>
      <c r="BN201" s="107"/>
      <c r="BO201" s="107"/>
      <c r="BP201" s="107"/>
    </row>
    <row r="202" spans="2:68" x14ac:dyDescent="0.2">
      <c r="B202" s="54">
        <v>98407</v>
      </c>
      <c r="C202" s="60" t="s">
        <v>333</v>
      </c>
      <c r="D202" s="45">
        <v>13</v>
      </c>
      <c r="E202" s="45">
        <v>54</v>
      </c>
      <c r="F202" s="45">
        <v>17</v>
      </c>
      <c r="H202" s="165">
        <v>98406</v>
      </c>
      <c r="I202" s="165" t="s">
        <v>333</v>
      </c>
      <c r="J202" s="166">
        <v>1784.32</v>
      </c>
      <c r="K202" s="166">
        <v>922.77</v>
      </c>
      <c r="L202" s="166">
        <v>2025.29</v>
      </c>
      <c r="M202" s="166">
        <v>10439.879999999999</v>
      </c>
      <c r="N202" s="166">
        <v>821.18</v>
      </c>
      <c r="O202" s="166">
        <v>1366.67</v>
      </c>
      <c r="P202" s="166">
        <v>2025.28999999999</v>
      </c>
      <c r="Q202" s="166">
        <v>31018</v>
      </c>
      <c r="R202" s="166">
        <v>1467.07</v>
      </c>
      <c r="S202" s="166">
        <v>379.58</v>
      </c>
      <c r="T202" s="166">
        <v>1926.74999999999</v>
      </c>
      <c r="U202" s="166">
        <v>15311.24</v>
      </c>
      <c r="V202" s="172"/>
      <c r="W202" s="161"/>
      <c r="Y202" s="71">
        <v>98424</v>
      </c>
      <c r="Z202" s="14" t="s">
        <v>10</v>
      </c>
      <c r="AA202" s="73">
        <v>1990.75</v>
      </c>
      <c r="AB202" s="73">
        <v>524.71</v>
      </c>
      <c r="AC202" s="73">
        <v>7301.15</v>
      </c>
      <c r="AD202" s="73">
        <v>15289.9899999999</v>
      </c>
      <c r="AE202" s="73">
        <v>4155.1099999999897</v>
      </c>
      <c r="AF202" s="73">
        <v>1409.56</v>
      </c>
      <c r="AG202" s="73">
        <v>6408.6999999999898</v>
      </c>
      <c r="AH202" s="73">
        <v>16935.62</v>
      </c>
      <c r="AI202" s="73">
        <v>3730.7</v>
      </c>
      <c r="AJ202" s="73">
        <v>3115.8699999999899</v>
      </c>
      <c r="AK202" s="73">
        <v>7015.53999999999</v>
      </c>
      <c r="AL202" s="174">
        <v>19411.05</v>
      </c>
      <c r="AM202" s="161">
        <f t="shared" si="2"/>
        <v>13862.109999999979</v>
      </c>
      <c r="AN202" s="161"/>
      <c r="AZ202" s="71" t="s">
        <v>103</v>
      </c>
      <c r="BA202" s="71" t="s">
        <v>10</v>
      </c>
      <c r="BB202" s="32">
        <v>83</v>
      </c>
      <c r="BC202" s="32">
        <v>61</v>
      </c>
      <c r="BD202" s="32">
        <v>78</v>
      </c>
      <c r="BF202" s="71" t="s">
        <v>103</v>
      </c>
      <c r="BG202" s="71" t="s">
        <v>10</v>
      </c>
      <c r="BH202" s="73">
        <v>69263.929999999993</v>
      </c>
      <c r="BI202" s="73">
        <v>47566.559999999998</v>
      </c>
      <c r="BJ202" s="73">
        <v>44787.44</v>
      </c>
      <c r="BL202" s="40"/>
      <c r="BM202" s="40"/>
      <c r="BN202" s="107"/>
      <c r="BO202" s="107"/>
      <c r="BP202" s="107"/>
    </row>
    <row r="203" spans="2:68" x14ac:dyDescent="0.2">
      <c r="B203" s="54">
        <v>98408</v>
      </c>
      <c r="C203" s="60" t="s">
        <v>333</v>
      </c>
      <c r="D203" s="45">
        <v>34</v>
      </c>
      <c r="E203" s="45">
        <v>36</v>
      </c>
      <c r="F203" s="45">
        <v>26</v>
      </c>
      <c r="H203" s="165">
        <v>98407</v>
      </c>
      <c r="I203" s="165" t="s">
        <v>333</v>
      </c>
      <c r="J203" s="166">
        <v>1323.77</v>
      </c>
      <c r="K203" s="166">
        <v>380.12</v>
      </c>
      <c r="L203" s="166">
        <v>735.49</v>
      </c>
      <c r="M203" s="166">
        <v>13527.52</v>
      </c>
      <c r="N203" s="166">
        <v>1829.59</v>
      </c>
      <c r="O203" s="166">
        <v>899.74</v>
      </c>
      <c r="P203" s="166">
        <v>809.15</v>
      </c>
      <c r="Q203" s="166">
        <v>56100.639999999999</v>
      </c>
      <c r="R203" s="166">
        <v>1873.92</v>
      </c>
      <c r="S203" s="166">
        <v>757.39</v>
      </c>
      <c r="T203" s="166">
        <v>753.18999999999903</v>
      </c>
      <c r="U203" s="166">
        <v>31667.5999999999</v>
      </c>
      <c r="V203" s="172"/>
      <c r="W203" s="161"/>
      <c r="Y203" s="71">
        <v>98439</v>
      </c>
      <c r="Z203" s="14" t="s">
        <v>10</v>
      </c>
      <c r="AA203" s="73">
        <v>10687.66</v>
      </c>
      <c r="AB203" s="73">
        <v>5800.01</v>
      </c>
      <c r="AC203" s="73">
        <v>26158.869999999901</v>
      </c>
      <c r="AD203" s="73">
        <v>60436.03</v>
      </c>
      <c r="AE203" s="73">
        <v>16053.3</v>
      </c>
      <c r="AF203" s="73">
        <v>9779.14</v>
      </c>
      <c r="AG203" s="73">
        <v>26613.049999999901</v>
      </c>
      <c r="AH203" s="73">
        <v>72794.52</v>
      </c>
      <c r="AI203" s="73">
        <v>17221.55</v>
      </c>
      <c r="AJ203" s="73">
        <v>14228.85</v>
      </c>
      <c r="AK203" s="73">
        <v>31953.639999999901</v>
      </c>
      <c r="AL203" s="174">
        <v>83020.669999999896</v>
      </c>
      <c r="AM203" s="161">
        <f t="shared" si="2"/>
        <v>63404.039999999906</v>
      </c>
      <c r="AN203" s="161"/>
      <c r="AZ203" s="71" t="s">
        <v>104</v>
      </c>
      <c r="BA203" s="71" t="s">
        <v>10</v>
      </c>
      <c r="BB203" s="32">
        <v>76</v>
      </c>
      <c r="BC203" s="32">
        <v>48</v>
      </c>
      <c r="BD203" s="32">
        <v>71</v>
      </c>
      <c r="BF203" s="71" t="s">
        <v>104</v>
      </c>
      <c r="BG203" s="71" t="s">
        <v>10</v>
      </c>
      <c r="BH203" s="73">
        <v>43338.34</v>
      </c>
      <c r="BI203" s="73">
        <v>32975.39</v>
      </c>
      <c r="BJ203" s="73">
        <v>73861.48</v>
      </c>
      <c r="BL203" s="40"/>
      <c r="BM203" s="40"/>
      <c r="BN203" s="107"/>
      <c r="BO203" s="107"/>
      <c r="BP203" s="107"/>
    </row>
    <row r="204" spans="2:68" x14ac:dyDescent="0.2">
      <c r="B204" s="54">
        <v>98409</v>
      </c>
      <c r="C204" s="60" t="s">
        <v>333</v>
      </c>
      <c r="D204" s="45">
        <v>87</v>
      </c>
      <c r="E204" s="45">
        <v>138</v>
      </c>
      <c r="F204" s="45">
        <v>77</v>
      </c>
      <c r="H204" s="165">
        <v>98408</v>
      </c>
      <c r="I204" s="165" t="s">
        <v>333</v>
      </c>
      <c r="J204" s="166">
        <v>1743.72</v>
      </c>
      <c r="K204" s="166">
        <v>672.29</v>
      </c>
      <c r="L204" s="166">
        <v>15038.81</v>
      </c>
      <c r="M204" s="166">
        <v>30902.639999999999</v>
      </c>
      <c r="N204" s="166">
        <v>4023.89</v>
      </c>
      <c r="O204" s="166">
        <v>480.02</v>
      </c>
      <c r="P204" s="166">
        <v>13837.69</v>
      </c>
      <c r="Q204" s="166">
        <v>41200.239999999998</v>
      </c>
      <c r="R204" s="166">
        <v>913.42</v>
      </c>
      <c r="S204" s="166">
        <v>752.9</v>
      </c>
      <c r="T204" s="166">
        <v>14076.07</v>
      </c>
      <c r="U204" s="166">
        <v>25704.279999999901</v>
      </c>
      <c r="V204" s="172"/>
      <c r="W204" s="161"/>
      <c r="Y204" s="71">
        <v>98443</v>
      </c>
      <c r="Z204" s="14" t="s">
        <v>10</v>
      </c>
      <c r="AA204" s="73">
        <v>395.7</v>
      </c>
      <c r="AB204" s="73">
        <v>118.65</v>
      </c>
      <c r="AC204" s="73">
        <v>757.64</v>
      </c>
      <c r="AD204" s="73">
        <v>2068.14</v>
      </c>
      <c r="AE204" s="73">
        <v>595.18999999999903</v>
      </c>
      <c r="AF204" s="73">
        <v>399.75</v>
      </c>
      <c r="AG204" s="73">
        <v>818.04</v>
      </c>
      <c r="AH204" s="73">
        <v>2442.58</v>
      </c>
      <c r="AI204" s="73">
        <v>496.349999999999</v>
      </c>
      <c r="AJ204" s="73">
        <v>464.16999999999899</v>
      </c>
      <c r="AK204" s="73">
        <v>1217.79</v>
      </c>
      <c r="AL204" s="174">
        <v>2831.42</v>
      </c>
      <c r="AM204" s="161">
        <f t="shared" si="2"/>
        <v>2178.3099999999977</v>
      </c>
      <c r="AN204" s="161"/>
      <c r="AZ204" s="71" t="s">
        <v>105</v>
      </c>
      <c r="BA204" s="71" t="s">
        <v>10</v>
      </c>
      <c r="BB204" s="32">
        <v>150</v>
      </c>
      <c r="BC204" s="32">
        <v>85</v>
      </c>
      <c r="BD204" s="32">
        <v>99</v>
      </c>
      <c r="BF204" s="71" t="s">
        <v>105</v>
      </c>
      <c r="BG204" s="71" t="s">
        <v>10</v>
      </c>
      <c r="BH204" s="73">
        <v>92342.04</v>
      </c>
      <c r="BI204" s="73">
        <v>60903.76</v>
      </c>
      <c r="BJ204" s="73">
        <v>63891.43</v>
      </c>
      <c r="BL204" s="40"/>
      <c r="BM204" s="40"/>
      <c r="BN204" s="107"/>
      <c r="BO204" s="107"/>
      <c r="BP204" s="107"/>
    </row>
    <row r="205" spans="2:68" x14ac:dyDescent="0.2">
      <c r="B205" s="54">
        <v>98418</v>
      </c>
      <c r="C205" s="60" t="s">
        <v>333</v>
      </c>
      <c r="D205" s="45">
        <v>21</v>
      </c>
      <c r="E205" s="45">
        <v>25</v>
      </c>
      <c r="F205" s="45">
        <v>15</v>
      </c>
      <c r="H205" s="165">
        <v>98409</v>
      </c>
      <c r="I205" s="165" t="s">
        <v>333</v>
      </c>
      <c r="J205" s="166">
        <v>9879.51</v>
      </c>
      <c r="K205" s="166">
        <v>2280.49999999999</v>
      </c>
      <c r="L205" s="166">
        <v>12079.85</v>
      </c>
      <c r="M205" s="166">
        <v>83957.96</v>
      </c>
      <c r="N205" s="166">
        <v>18014.2599999999</v>
      </c>
      <c r="O205" s="166">
        <v>5665.86</v>
      </c>
      <c r="P205" s="166">
        <v>12579.21</v>
      </c>
      <c r="Q205" s="166">
        <v>216496.62</v>
      </c>
      <c r="R205" s="166">
        <v>10111.3999999999</v>
      </c>
      <c r="S205" s="166">
        <v>5872.3099999999904</v>
      </c>
      <c r="T205" s="166">
        <v>10089.56</v>
      </c>
      <c r="U205" s="166">
        <v>75915.710000000006</v>
      </c>
      <c r="V205" s="172"/>
      <c r="W205" s="161"/>
      <c r="Y205" s="71">
        <v>98444</v>
      </c>
      <c r="Z205" s="14" t="s">
        <v>10</v>
      </c>
      <c r="AA205" s="73">
        <v>6764.37</v>
      </c>
      <c r="AB205" s="73">
        <v>1132.24</v>
      </c>
      <c r="AC205" s="73">
        <v>4339.04</v>
      </c>
      <c r="AD205" s="73">
        <v>21293.65</v>
      </c>
      <c r="AE205" s="73">
        <v>4658.82</v>
      </c>
      <c r="AF205" s="73">
        <v>6842.08</v>
      </c>
      <c r="AG205" s="73">
        <v>3167.0899999999901</v>
      </c>
      <c r="AH205" s="73">
        <v>17852.38</v>
      </c>
      <c r="AI205" s="73">
        <v>6484.5199999999904</v>
      </c>
      <c r="AJ205" s="73">
        <v>3772.3</v>
      </c>
      <c r="AK205" s="73">
        <v>7804.3499999999904</v>
      </c>
      <c r="AL205" s="174">
        <v>30295.769999999899</v>
      </c>
      <c r="AM205" s="161">
        <f t="shared" si="2"/>
        <v>18061.16999999998</v>
      </c>
      <c r="AN205" s="161"/>
      <c r="AZ205" s="71" t="s">
        <v>106</v>
      </c>
      <c r="BA205" s="71" t="s">
        <v>10</v>
      </c>
      <c r="BB205" s="32">
        <v>33</v>
      </c>
      <c r="BC205" s="32">
        <v>23</v>
      </c>
      <c r="BD205" s="32">
        <v>24</v>
      </c>
      <c r="BF205" s="71" t="s">
        <v>106</v>
      </c>
      <c r="BG205" s="71" t="s">
        <v>10</v>
      </c>
      <c r="BH205" s="73">
        <v>20419.810000000001</v>
      </c>
      <c r="BI205" s="73">
        <v>8475.84</v>
      </c>
      <c r="BJ205" s="73">
        <v>13293.83</v>
      </c>
      <c r="BL205" s="40"/>
      <c r="BM205" s="40"/>
      <c r="BN205" s="107"/>
      <c r="BO205" s="107"/>
      <c r="BP205" s="107"/>
    </row>
    <row r="206" spans="2:68" x14ac:dyDescent="0.2">
      <c r="B206" s="54">
        <v>98421</v>
      </c>
      <c r="C206" s="60" t="s">
        <v>333</v>
      </c>
      <c r="D206" s="45">
        <v>41</v>
      </c>
      <c r="E206" s="45">
        <v>40</v>
      </c>
      <c r="F206" s="45">
        <v>27</v>
      </c>
      <c r="H206" s="165">
        <v>98418</v>
      </c>
      <c r="I206" s="165" t="s">
        <v>333</v>
      </c>
      <c r="J206" s="166">
        <v>1017.79</v>
      </c>
      <c r="K206" s="166">
        <v>393.03</v>
      </c>
      <c r="L206" s="166">
        <v>4078.7</v>
      </c>
      <c r="M206" s="166">
        <v>18204.499999999902</v>
      </c>
      <c r="N206" s="166">
        <v>2388.7800000000002</v>
      </c>
      <c r="O206" s="166">
        <v>293.77999999999997</v>
      </c>
      <c r="P206" s="166">
        <v>4298.91</v>
      </c>
      <c r="Q206" s="166">
        <v>32815.29</v>
      </c>
      <c r="R206" s="166">
        <v>624.6</v>
      </c>
      <c r="S206" s="166">
        <v>872.94999999999902</v>
      </c>
      <c r="T206" s="166">
        <v>4458.3999999999996</v>
      </c>
      <c r="U206" s="166">
        <v>8607.4</v>
      </c>
      <c r="V206" s="172"/>
      <c r="W206" s="161"/>
      <c r="Y206" s="71">
        <v>98445</v>
      </c>
      <c r="Z206" s="14" t="s">
        <v>10</v>
      </c>
      <c r="AA206" s="73">
        <v>8118.8999999999896</v>
      </c>
      <c r="AB206" s="73">
        <v>1882.25999999999</v>
      </c>
      <c r="AC206" s="73">
        <v>17923.78</v>
      </c>
      <c r="AD206" s="73">
        <v>38465.379999999903</v>
      </c>
      <c r="AE206" s="73">
        <v>4336.8999999999896</v>
      </c>
      <c r="AF206" s="73">
        <v>7862.7599999999902</v>
      </c>
      <c r="AG206" s="73">
        <v>12048.55</v>
      </c>
      <c r="AH206" s="73">
        <v>32945.83</v>
      </c>
      <c r="AI206" s="73">
        <v>7669.9799999999896</v>
      </c>
      <c r="AJ206" s="73">
        <v>3244.36</v>
      </c>
      <c r="AK206" s="73">
        <v>17405.8299999999</v>
      </c>
      <c r="AL206" s="174">
        <v>45890.049999999901</v>
      </c>
      <c r="AM206" s="161">
        <f t="shared" si="2"/>
        <v>28320.169999999889</v>
      </c>
      <c r="AN206" s="161"/>
      <c r="AZ206" s="71" t="s">
        <v>107</v>
      </c>
      <c r="BA206" s="71" t="s">
        <v>10</v>
      </c>
      <c r="BB206" s="32">
        <v>62</v>
      </c>
      <c r="BC206" s="32">
        <v>55</v>
      </c>
      <c r="BD206" s="32">
        <v>67</v>
      </c>
      <c r="BF206" s="71" t="s">
        <v>107</v>
      </c>
      <c r="BG206" s="71" t="s">
        <v>10</v>
      </c>
      <c r="BH206" s="73">
        <v>28886.09</v>
      </c>
      <c r="BI206" s="73">
        <v>11766.81</v>
      </c>
      <c r="BJ206" s="73">
        <v>33214.559999999998</v>
      </c>
      <c r="BL206" s="40"/>
      <c r="BM206" s="40"/>
      <c r="BN206" s="107"/>
      <c r="BO206" s="107"/>
      <c r="BP206" s="107"/>
    </row>
    <row r="207" spans="2:68" x14ac:dyDescent="0.2">
      <c r="B207" s="54">
        <v>98422</v>
      </c>
      <c r="C207" s="60" t="s">
        <v>333</v>
      </c>
      <c r="D207" s="45">
        <v>7</v>
      </c>
      <c r="E207" s="45">
        <v>10</v>
      </c>
      <c r="F207" s="45">
        <v>3</v>
      </c>
      <c r="H207" s="165">
        <v>98421</v>
      </c>
      <c r="I207" s="165" t="s">
        <v>333</v>
      </c>
      <c r="J207" s="166">
        <v>4070.07</v>
      </c>
      <c r="K207" s="166">
        <v>1031.74</v>
      </c>
      <c r="L207" s="166">
        <v>58960.480000000003</v>
      </c>
      <c r="M207" s="166">
        <v>125948.14</v>
      </c>
      <c r="N207" s="166">
        <v>246004.63</v>
      </c>
      <c r="O207" s="166">
        <v>2769.26</v>
      </c>
      <c r="P207" s="166">
        <v>57101.18</v>
      </c>
      <c r="Q207" s="166">
        <v>441820.06999999902</v>
      </c>
      <c r="R207" s="166">
        <v>17219.39</v>
      </c>
      <c r="S207" s="166">
        <v>1319.48</v>
      </c>
      <c r="T207" s="166">
        <v>52859.8</v>
      </c>
      <c r="U207" s="166">
        <v>94128.960000000006</v>
      </c>
      <c r="V207" s="172"/>
      <c r="W207" s="161"/>
      <c r="Y207" s="71">
        <v>98446</v>
      </c>
      <c r="Z207" s="14" t="s">
        <v>10</v>
      </c>
      <c r="AA207" s="73">
        <v>2639.6</v>
      </c>
      <c r="AB207" s="73">
        <v>123.23</v>
      </c>
      <c r="AC207" s="73">
        <v>9246.64</v>
      </c>
      <c r="AD207" s="73">
        <v>16615.759999999998</v>
      </c>
      <c r="AE207" s="73">
        <v>4121.96</v>
      </c>
      <c r="AF207" s="73">
        <v>2453.86</v>
      </c>
      <c r="AG207" s="73">
        <v>9246.64</v>
      </c>
      <c r="AH207" s="73">
        <v>19943.339999999898</v>
      </c>
      <c r="AI207" s="73">
        <v>3883.72</v>
      </c>
      <c r="AJ207" s="73">
        <v>3479.49</v>
      </c>
      <c r="AK207" s="73">
        <v>9216.89</v>
      </c>
      <c r="AL207" s="174">
        <v>22434.94</v>
      </c>
      <c r="AM207" s="161">
        <f t="shared" si="2"/>
        <v>16580.099999999999</v>
      </c>
      <c r="AN207" s="161"/>
      <c r="AZ207" s="71" t="s">
        <v>262</v>
      </c>
      <c r="BA207" s="71" t="s">
        <v>10</v>
      </c>
      <c r="BB207" s="32">
        <v>7</v>
      </c>
      <c r="BC207" s="32">
        <v>6</v>
      </c>
      <c r="BD207" s="32">
        <v>9</v>
      </c>
      <c r="BF207" s="71" t="s">
        <v>262</v>
      </c>
      <c r="BG207" s="71" t="s">
        <v>10</v>
      </c>
      <c r="BH207" s="73">
        <v>3091.17</v>
      </c>
      <c r="BI207" s="73">
        <v>1760.35</v>
      </c>
      <c r="BJ207" s="73">
        <v>1139.8499999999999</v>
      </c>
      <c r="BL207" s="40"/>
      <c r="BM207" s="40"/>
      <c r="BN207" s="107"/>
      <c r="BO207" s="107"/>
      <c r="BP207" s="107"/>
    </row>
    <row r="208" spans="2:68" x14ac:dyDescent="0.2">
      <c r="B208" s="54">
        <v>98424</v>
      </c>
      <c r="C208" s="60" t="s">
        <v>333</v>
      </c>
      <c r="D208" s="45">
        <v>80</v>
      </c>
      <c r="E208" s="45">
        <v>67</v>
      </c>
      <c r="F208" s="45">
        <v>55</v>
      </c>
      <c r="H208" s="165">
        <v>98422</v>
      </c>
      <c r="I208" s="165" t="s">
        <v>333</v>
      </c>
      <c r="J208" s="166">
        <v>1259.51</v>
      </c>
      <c r="K208" s="166">
        <v>878.48</v>
      </c>
      <c r="L208" s="166">
        <v>11692.029999999901</v>
      </c>
      <c r="M208" s="166">
        <v>17415.37</v>
      </c>
      <c r="N208" s="166">
        <v>1724.95999999999</v>
      </c>
      <c r="O208" s="166">
        <v>1259.51</v>
      </c>
      <c r="P208" s="166">
        <v>12533.78</v>
      </c>
      <c r="Q208" s="166">
        <v>49478.3</v>
      </c>
      <c r="R208" s="166">
        <v>1482.76</v>
      </c>
      <c r="S208" s="166">
        <v>1533.32</v>
      </c>
      <c r="T208" s="166">
        <v>5093.29</v>
      </c>
      <c r="U208" s="166">
        <v>18578.259999999998</v>
      </c>
      <c r="V208" s="172"/>
      <c r="W208" s="161"/>
      <c r="Y208" s="71">
        <v>98465</v>
      </c>
      <c r="Z208" s="14" t="s">
        <v>10</v>
      </c>
      <c r="AA208" s="73">
        <v>786.39</v>
      </c>
      <c r="AB208" s="73">
        <v>66.739999999999995</v>
      </c>
      <c r="AC208" s="73">
        <v>1373.09</v>
      </c>
      <c r="AD208" s="73">
        <v>3097.1699999999901</v>
      </c>
      <c r="AE208" s="73">
        <v>898.2</v>
      </c>
      <c r="AF208" s="73">
        <v>727.11</v>
      </c>
      <c r="AG208" s="73">
        <v>1306.8599999999999</v>
      </c>
      <c r="AH208" s="73">
        <v>4475.92</v>
      </c>
      <c r="AI208" s="73">
        <v>1182.5899999999999</v>
      </c>
      <c r="AJ208" s="73">
        <v>727.92</v>
      </c>
      <c r="AK208" s="73">
        <v>1708.76</v>
      </c>
      <c r="AL208" s="174">
        <v>5106.0200000000004</v>
      </c>
      <c r="AM208" s="161">
        <f t="shared" si="2"/>
        <v>3619.2699999999995</v>
      </c>
      <c r="AN208" s="161"/>
      <c r="AZ208" s="71" t="s">
        <v>263</v>
      </c>
      <c r="BA208" s="71" t="s">
        <v>10</v>
      </c>
      <c r="BB208" s="32">
        <v>7</v>
      </c>
      <c r="BC208" s="32">
        <v>4</v>
      </c>
      <c r="BD208" s="32">
        <v>3</v>
      </c>
      <c r="BF208" s="71" t="s">
        <v>263</v>
      </c>
      <c r="BG208" s="71" t="s">
        <v>10</v>
      </c>
      <c r="BH208" s="73">
        <v>1696.08</v>
      </c>
      <c r="BI208" s="73">
        <v>415.64</v>
      </c>
      <c r="BJ208" s="73">
        <v>1975.63</v>
      </c>
      <c r="BL208" s="40"/>
      <c r="BM208" s="40"/>
      <c r="BN208" s="107"/>
      <c r="BO208" s="107"/>
      <c r="BP208" s="107"/>
    </row>
    <row r="209" spans="2:68" x14ac:dyDescent="0.2">
      <c r="B209" s="54">
        <v>98433</v>
      </c>
      <c r="C209" s="60" t="s">
        <v>333</v>
      </c>
      <c r="D209" s="45">
        <v>482</v>
      </c>
      <c r="E209" s="45">
        <v>484</v>
      </c>
      <c r="F209" s="45">
        <v>105</v>
      </c>
      <c r="H209" s="165">
        <v>98424</v>
      </c>
      <c r="I209" s="165" t="s">
        <v>333</v>
      </c>
      <c r="J209" s="166">
        <v>9502.2299999999905</v>
      </c>
      <c r="K209" s="166">
        <v>3172.9399999999901</v>
      </c>
      <c r="L209" s="166">
        <v>53731.55</v>
      </c>
      <c r="M209" s="166">
        <v>156293.639999999</v>
      </c>
      <c r="N209" s="166">
        <v>16411.099999999999</v>
      </c>
      <c r="O209" s="166">
        <v>7975.8999999999896</v>
      </c>
      <c r="P209" s="166">
        <v>49781.52</v>
      </c>
      <c r="Q209" s="166">
        <v>125238.41</v>
      </c>
      <c r="R209" s="166">
        <v>10043.3499999999</v>
      </c>
      <c r="S209" s="166">
        <v>10026.16</v>
      </c>
      <c r="T209" s="166">
        <v>57557.56</v>
      </c>
      <c r="U209" s="166">
        <v>154818.5</v>
      </c>
      <c r="V209" s="172"/>
      <c r="W209" s="161"/>
      <c r="Y209" s="71">
        <v>98466</v>
      </c>
      <c r="Z209" s="14" t="s">
        <v>10</v>
      </c>
      <c r="AA209" s="73">
        <v>1481.21</v>
      </c>
      <c r="AB209" s="73">
        <v>351.99</v>
      </c>
      <c r="AC209" s="73">
        <v>1275.45</v>
      </c>
      <c r="AD209" s="73">
        <v>5698.3</v>
      </c>
      <c r="AE209" s="73">
        <v>2082.5500000000002</v>
      </c>
      <c r="AF209" s="73">
        <v>1202.1199999999999</v>
      </c>
      <c r="AG209" s="73">
        <v>1427.98999999999</v>
      </c>
      <c r="AH209" s="73">
        <v>7900.69</v>
      </c>
      <c r="AI209" s="73">
        <v>2360.71</v>
      </c>
      <c r="AJ209" s="73">
        <v>1882.1</v>
      </c>
      <c r="AK209" s="73">
        <v>2443.81</v>
      </c>
      <c r="AL209" s="174">
        <v>9930.8700000000008</v>
      </c>
      <c r="AM209" s="161">
        <f t="shared" si="2"/>
        <v>6686.619999999999</v>
      </c>
      <c r="AN209" s="161"/>
      <c r="AZ209" s="71" t="s">
        <v>108</v>
      </c>
      <c r="BA209" s="71" t="s">
        <v>10</v>
      </c>
      <c r="BB209" s="32">
        <v>16</v>
      </c>
      <c r="BC209" s="32">
        <v>15</v>
      </c>
      <c r="BD209" s="32">
        <v>17</v>
      </c>
      <c r="BF209" s="71" t="s">
        <v>108</v>
      </c>
      <c r="BG209" s="71" t="s">
        <v>10</v>
      </c>
      <c r="BH209" s="73">
        <v>5838.27</v>
      </c>
      <c r="BI209" s="73">
        <v>19051.650000000001</v>
      </c>
      <c r="BJ209" s="73">
        <v>18422.32</v>
      </c>
      <c r="BL209" s="40"/>
      <c r="BM209" s="40"/>
      <c r="BN209" s="107"/>
      <c r="BO209" s="107"/>
      <c r="BP209" s="107"/>
    </row>
    <row r="210" spans="2:68" x14ac:dyDescent="0.2">
      <c r="B210" s="54">
        <v>98438</v>
      </c>
      <c r="C210" s="60" t="s">
        <v>333</v>
      </c>
      <c r="D210" s="45">
        <v>43</v>
      </c>
      <c r="E210" s="45">
        <v>42</v>
      </c>
      <c r="F210" s="45">
        <v>41</v>
      </c>
      <c r="H210" s="165">
        <v>98433</v>
      </c>
      <c r="I210" s="165" t="s">
        <v>333</v>
      </c>
      <c r="J210" s="166">
        <v>587983.36999999895</v>
      </c>
      <c r="K210" s="166">
        <v>3442.6299999999901</v>
      </c>
      <c r="L210" s="166">
        <v>1344.21</v>
      </c>
      <c r="M210" s="166">
        <v>1634168.09</v>
      </c>
      <c r="N210" s="166">
        <v>503695.06999999902</v>
      </c>
      <c r="O210" s="166">
        <v>86632.12</v>
      </c>
      <c r="P210" s="166">
        <v>824.66</v>
      </c>
      <c r="Q210" s="166">
        <v>1588571.79</v>
      </c>
      <c r="R210" s="166">
        <v>166785.02999999901</v>
      </c>
      <c r="S210" s="166">
        <v>563.5</v>
      </c>
      <c r="T210" s="166">
        <v>1065.18</v>
      </c>
      <c r="U210" s="166">
        <v>628819.72</v>
      </c>
      <c r="V210" s="172"/>
      <c r="W210" s="161"/>
      <c r="Y210" s="71">
        <v>98467</v>
      </c>
      <c r="Z210" s="14" t="s">
        <v>10</v>
      </c>
      <c r="AA210" s="73">
        <v>528.16</v>
      </c>
      <c r="AB210" s="73">
        <v>103.45</v>
      </c>
      <c r="AC210" s="73">
        <v>192.98</v>
      </c>
      <c r="AD210" s="73">
        <v>3150.54</v>
      </c>
      <c r="AE210" s="73">
        <v>1960.26</v>
      </c>
      <c r="AF210" s="73">
        <v>528.16</v>
      </c>
      <c r="AG210" s="73">
        <v>296.43</v>
      </c>
      <c r="AH210" s="73">
        <v>5156.0600000000004</v>
      </c>
      <c r="AI210" s="73">
        <v>1819.48</v>
      </c>
      <c r="AJ210" s="73">
        <v>1794.4299999999901</v>
      </c>
      <c r="AK210" s="73">
        <v>563.85999999999899</v>
      </c>
      <c r="AL210" s="174">
        <v>6616.6</v>
      </c>
      <c r="AM210" s="161">
        <f t="shared" ref="AM210:AM239" si="4">SUM(AI210:AK210)</f>
        <v>4177.7699999999886</v>
      </c>
      <c r="AN210" s="161"/>
      <c r="AZ210" s="71" t="s">
        <v>109</v>
      </c>
      <c r="BA210" s="71" t="s">
        <v>10</v>
      </c>
      <c r="BB210" s="32"/>
      <c r="BC210" s="32"/>
      <c r="BD210" s="32">
        <v>3</v>
      </c>
      <c r="BF210" s="71" t="s">
        <v>109</v>
      </c>
      <c r="BG210" s="71" t="s">
        <v>10</v>
      </c>
      <c r="BH210" s="73"/>
      <c r="BI210" s="73"/>
      <c r="BJ210" s="73">
        <v>1520.56</v>
      </c>
      <c r="BL210" s="40"/>
      <c r="BM210" s="40"/>
      <c r="BN210" s="107"/>
      <c r="BO210" s="107"/>
      <c r="BP210" s="107"/>
    </row>
    <row r="211" spans="2:68" x14ac:dyDescent="0.2">
      <c r="B211" s="78">
        <v>98439</v>
      </c>
      <c r="C211" s="60" t="s">
        <v>333</v>
      </c>
      <c r="D211" s="45">
        <v>37</v>
      </c>
      <c r="E211" s="45">
        <v>33</v>
      </c>
      <c r="F211" s="45">
        <v>29</v>
      </c>
      <c r="H211" s="165">
        <v>98438</v>
      </c>
      <c r="I211" s="165" t="s">
        <v>333</v>
      </c>
      <c r="J211" s="166">
        <v>189675.55999999901</v>
      </c>
      <c r="K211" s="166">
        <v>14626.4999999999</v>
      </c>
      <c r="L211" s="166">
        <v>1573.42</v>
      </c>
      <c r="M211" s="166">
        <v>467509.13999999902</v>
      </c>
      <c r="N211" s="166">
        <v>244586.139999999</v>
      </c>
      <c r="O211" s="166">
        <v>14530.21</v>
      </c>
      <c r="P211" s="166"/>
      <c r="Q211" s="166">
        <v>373409.799999999</v>
      </c>
      <c r="R211" s="166">
        <v>63742.49</v>
      </c>
      <c r="S211" s="166">
        <v>1707.77</v>
      </c>
      <c r="T211" s="166"/>
      <c r="U211" s="166">
        <v>293222.679999999</v>
      </c>
      <c r="V211" s="172"/>
      <c r="W211" s="161"/>
      <c r="Y211" s="71">
        <v>98498</v>
      </c>
      <c r="Z211" s="14" t="s">
        <v>10</v>
      </c>
      <c r="AA211" s="73">
        <v>24102.18</v>
      </c>
      <c r="AB211" s="73">
        <v>11032.119999999901</v>
      </c>
      <c r="AC211" s="73">
        <v>67445.13</v>
      </c>
      <c r="AD211" s="73">
        <v>151607.92000000001</v>
      </c>
      <c r="AE211" s="73">
        <v>39857.42</v>
      </c>
      <c r="AF211" s="73">
        <v>21300.43</v>
      </c>
      <c r="AG211" s="73">
        <v>73353.399999999994</v>
      </c>
      <c r="AH211" s="73">
        <v>184907.36</v>
      </c>
      <c r="AI211" s="73">
        <v>43885.52</v>
      </c>
      <c r="AJ211" s="73">
        <v>34617.699999999997</v>
      </c>
      <c r="AK211" s="73">
        <v>84195.859999999899</v>
      </c>
      <c r="AL211" s="174">
        <v>216726.889999999</v>
      </c>
      <c r="AM211" s="161">
        <f t="shared" si="4"/>
        <v>162699.0799999999</v>
      </c>
      <c r="AN211" s="161"/>
      <c r="AZ211" s="71" t="s">
        <v>110</v>
      </c>
      <c r="BA211" s="71" t="s">
        <v>10</v>
      </c>
      <c r="BB211" s="32">
        <v>12</v>
      </c>
      <c r="BC211" s="32">
        <v>7</v>
      </c>
      <c r="BD211" s="32">
        <v>9</v>
      </c>
      <c r="BF211" s="71" t="s">
        <v>110</v>
      </c>
      <c r="BG211" s="71" t="s">
        <v>10</v>
      </c>
      <c r="BH211" s="73">
        <v>12007.74</v>
      </c>
      <c r="BI211" s="73">
        <v>4701.49</v>
      </c>
      <c r="BJ211" s="73">
        <v>10275.959999999999</v>
      </c>
      <c r="BL211" s="40"/>
      <c r="BM211" s="40"/>
      <c r="BN211" s="107"/>
      <c r="BO211" s="107"/>
      <c r="BP211" s="107"/>
    </row>
    <row r="212" spans="2:68" x14ac:dyDescent="0.2">
      <c r="B212" s="78">
        <v>98443</v>
      </c>
      <c r="C212" s="60" t="s">
        <v>333</v>
      </c>
      <c r="D212" s="45">
        <v>3</v>
      </c>
      <c r="E212" s="45">
        <v>2</v>
      </c>
      <c r="F212" s="45">
        <v>2</v>
      </c>
      <c r="H212" s="165">
        <v>98439</v>
      </c>
      <c r="I212" s="165" t="s">
        <v>333</v>
      </c>
      <c r="J212" s="166">
        <v>2351.6999999999898</v>
      </c>
      <c r="K212" s="166">
        <v>786.86</v>
      </c>
      <c r="L212" s="166">
        <v>36170.409999999902</v>
      </c>
      <c r="M212" s="166">
        <v>54667.469999999899</v>
      </c>
      <c r="N212" s="166">
        <v>12222.26</v>
      </c>
      <c r="O212" s="166">
        <v>344.159999999999</v>
      </c>
      <c r="P212" s="166">
        <v>36099.78</v>
      </c>
      <c r="Q212" s="166">
        <v>55551.3299999999</v>
      </c>
      <c r="R212" s="166">
        <v>741.40999999999894</v>
      </c>
      <c r="S212" s="166">
        <v>9509.11</v>
      </c>
      <c r="T212" s="166">
        <v>36428.969999999899</v>
      </c>
      <c r="U212" s="166">
        <v>52976.83</v>
      </c>
      <c r="V212" s="172"/>
      <c r="W212" s="161"/>
      <c r="Y212" s="71">
        <v>98499</v>
      </c>
      <c r="Z212" s="14" t="s">
        <v>10</v>
      </c>
      <c r="AA212" s="73">
        <v>3435.1</v>
      </c>
      <c r="AB212" s="73">
        <v>1444.93</v>
      </c>
      <c r="AC212" s="73">
        <v>11564</v>
      </c>
      <c r="AD212" s="73">
        <v>25794.389999999901</v>
      </c>
      <c r="AE212" s="73">
        <v>7412.65</v>
      </c>
      <c r="AF212" s="73">
        <v>3207.1</v>
      </c>
      <c r="AG212" s="73">
        <v>11730.5</v>
      </c>
      <c r="AH212" s="73">
        <v>32885.79</v>
      </c>
      <c r="AI212" s="73">
        <v>7267.31</v>
      </c>
      <c r="AJ212" s="73">
        <v>5708.04</v>
      </c>
      <c r="AK212" s="73">
        <v>12163.02</v>
      </c>
      <c r="AL212" s="174">
        <v>34250.94</v>
      </c>
      <c r="AM212" s="161">
        <f t="shared" si="4"/>
        <v>25138.370000000003</v>
      </c>
      <c r="AN212" s="161"/>
      <c r="AZ212" s="71" t="s">
        <v>111</v>
      </c>
      <c r="BA212" s="71" t="s">
        <v>10</v>
      </c>
      <c r="BB212" s="32">
        <v>37</v>
      </c>
      <c r="BC212" s="32">
        <v>28</v>
      </c>
      <c r="BD212" s="32">
        <v>23</v>
      </c>
      <c r="BF212" s="71" t="s">
        <v>111</v>
      </c>
      <c r="BG212" s="71" t="s">
        <v>10</v>
      </c>
      <c r="BH212" s="73">
        <v>42238.49</v>
      </c>
      <c r="BI212" s="73">
        <v>27006.71</v>
      </c>
      <c r="BJ212" s="73">
        <v>15120.07</v>
      </c>
      <c r="BL212" s="40"/>
      <c r="BM212" s="40"/>
      <c r="BN212" s="107"/>
      <c r="BO212" s="107"/>
      <c r="BP212" s="107"/>
    </row>
    <row r="213" spans="2:68" x14ac:dyDescent="0.2">
      <c r="B213" s="78">
        <v>98444</v>
      </c>
      <c r="C213" s="60" t="s">
        <v>333</v>
      </c>
      <c r="D213" s="45">
        <v>100</v>
      </c>
      <c r="E213" s="45">
        <v>60</v>
      </c>
      <c r="F213" s="45">
        <v>89</v>
      </c>
      <c r="H213" s="165">
        <v>98443</v>
      </c>
      <c r="I213" s="165" t="s">
        <v>333</v>
      </c>
      <c r="J213" s="166">
        <v>3284.71</v>
      </c>
      <c r="K213" s="166"/>
      <c r="L213" s="166"/>
      <c r="M213" s="166">
        <v>7755.7</v>
      </c>
      <c r="N213" s="166"/>
      <c r="O213" s="166"/>
      <c r="P213" s="166"/>
      <c r="Q213" s="166">
        <v>2846.76</v>
      </c>
      <c r="R213" s="166"/>
      <c r="S213" s="166"/>
      <c r="T213" s="166"/>
      <c r="U213" s="166">
        <v>3516.39</v>
      </c>
      <c r="V213" s="172"/>
      <c r="W213" s="161"/>
      <c r="Y213" s="71">
        <v>98501</v>
      </c>
      <c r="Z213" s="14" t="s">
        <v>10</v>
      </c>
      <c r="AA213" s="73">
        <v>54534.71</v>
      </c>
      <c r="AB213" s="73">
        <v>26045.469999999899</v>
      </c>
      <c r="AC213" s="73">
        <v>99016.93</v>
      </c>
      <c r="AD213" s="73">
        <v>278543.32</v>
      </c>
      <c r="AE213" s="73">
        <v>79962.789999999994</v>
      </c>
      <c r="AF213" s="73">
        <v>44293.9</v>
      </c>
      <c r="AG213" s="73">
        <v>109069.79</v>
      </c>
      <c r="AH213" s="73">
        <v>329731.67</v>
      </c>
      <c r="AI213" s="73">
        <v>76247.709999999905</v>
      </c>
      <c r="AJ213" s="73">
        <v>62193.549999999901</v>
      </c>
      <c r="AK213" s="73">
        <v>123055.659999999</v>
      </c>
      <c r="AL213" s="174">
        <v>362176.03999999899</v>
      </c>
      <c r="AM213" s="161">
        <f t="shared" si="4"/>
        <v>261496.91999999882</v>
      </c>
      <c r="AN213" s="161"/>
      <c r="AZ213" s="71" t="s">
        <v>264</v>
      </c>
      <c r="BA213" s="71" t="s">
        <v>10</v>
      </c>
      <c r="BB213" s="32">
        <v>5</v>
      </c>
      <c r="BC213" s="32">
        <v>3</v>
      </c>
      <c r="BD213" s="32">
        <v>3</v>
      </c>
      <c r="BF213" s="71" t="s">
        <v>264</v>
      </c>
      <c r="BG213" s="71" t="s">
        <v>10</v>
      </c>
      <c r="BH213" s="73">
        <v>1410.66</v>
      </c>
      <c r="BI213" s="73">
        <v>1407.79</v>
      </c>
      <c r="BJ213" s="73">
        <v>1657.49</v>
      </c>
      <c r="BL213" s="40"/>
      <c r="BM213" s="40"/>
      <c r="BN213" s="107"/>
      <c r="BO213" s="107"/>
      <c r="BP213" s="107"/>
    </row>
    <row r="214" spans="2:68" x14ac:dyDescent="0.2">
      <c r="B214" s="78">
        <v>98445</v>
      </c>
      <c r="C214" s="60" t="s">
        <v>333</v>
      </c>
      <c r="D214" s="45">
        <v>20</v>
      </c>
      <c r="E214" s="45">
        <v>9</v>
      </c>
      <c r="F214" s="45">
        <v>39</v>
      </c>
      <c r="H214" s="165">
        <v>98444</v>
      </c>
      <c r="I214" s="165" t="s">
        <v>333</v>
      </c>
      <c r="J214" s="166">
        <v>14506.75</v>
      </c>
      <c r="K214" s="166">
        <v>3010.70999999999</v>
      </c>
      <c r="L214" s="166">
        <v>27228.309999999899</v>
      </c>
      <c r="M214" s="166">
        <v>93258.23</v>
      </c>
      <c r="N214" s="166">
        <v>5896.32</v>
      </c>
      <c r="O214" s="166">
        <v>8825.23</v>
      </c>
      <c r="P214" s="166">
        <v>24543.8499999999</v>
      </c>
      <c r="Q214" s="166">
        <v>64203.79</v>
      </c>
      <c r="R214" s="166">
        <v>9129.27</v>
      </c>
      <c r="S214" s="166">
        <v>2806.57</v>
      </c>
      <c r="T214" s="166">
        <v>31240.73</v>
      </c>
      <c r="U214" s="166">
        <v>92502.47</v>
      </c>
      <c r="V214" s="172"/>
      <c r="W214" s="161"/>
      <c r="Y214" s="71">
        <v>98502</v>
      </c>
      <c r="Z214" s="14" t="s">
        <v>10</v>
      </c>
      <c r="AA214" s="73">
        <v>45302.38</v>
      </c>
      <c r="AB214" s="73">
        <v>23189.27</v>
      </c>
      <c r="AC214" s="73">
        <v>95109.659999999902</v>
      </c>
      <c r="AD214" s="73">
        <v>253194.06</v>
      </c>
      <c r="AE214" s="73">
        <v>71164.339999999895</v>
      </c>
      <c r="AF214" s="73">
        <v>36972.459999999897</v>
      </c>
      <c r="AG214" s="73">
        <v>103368.49</v>
      </c>
      <c r="AH214" s="73">
        <v>303953.44999999902</v>
      </c>
      <c r="AI214" s="73">
        <v>74338.819999999905</v>
      </c>
      <c r="AJ214" s="73">
        <v>59535.659999999902</v>
      </c>
      <c r="AK214" s="73">
        <v>119679.48</v>
      </c>
      <c r="AL214" s="174">
        <v>350002.97</v>
      </c>
      <c r="AM214" s="161">
        <f t="shared" si="4"/>
        <v>253553.95999999979</v>
      </c>
      <c r="AN214" s="161"/>
      <c r="AZ214" s="71" t="s">
        <v>112</v>
      </c>
      <c r="BA214" s="71" t="s">
        <v>10</v>
      </c>
      <c r="BB214" s="32">
        <v>6</v>
      </c>
      <c r="BC214" s="32">
        <v>2</v>
      </c>
      <c r="BD214" s="32">
        <v>9</v>
      </c>
      <c r="BF214" s="71" t="s">
        <v>112</v>
      </c>
      <c r="BG214" s="71" t="s">
        <v>10</v>
      </c>
      <c r="BH214" s="73">
        <v>5194.42</v>
      </c>
      <c r="BI214" s="73">
        <v>1345.66</v>
      </c>
      <c r="BJ214" s="73">
        <v>2911.62</v>
      </c>
      <c r="BL214" s="40"/>
      <c r="BM214" s="40"/>
      <c r="BN214" s="107"/>
      <c r="BO214" s="107"/>
      <c r="BP214" s="107"/>
    </row>
    <row r="215" spans="2:68" x14ac:dyDescent="0.2">
      <c r="B215" s="54">
        <v>98446</v>
      </c>
      <c r="C215" s="60" t="s">
        <v>333</v>
      </c>
      <c r="D215" s="45">
        <v>10</v>
      </c>
      <c r="E215" s="45">
        <v>9</v>
      </c>
      <c r="F215" s="45">
        <v>16</v>
      </c>
      <c r="H215" s="165">
        <v>98445</v>
      </c>
      <c r="I215" s="165" t="s">
        <v>333</v>
      </c>
      <c r="J215" s="166">
        <v>329.43</v>
      </c>
      <c r="K215" s="166">
        <v>60.47</v>
      </c>
      <c r="L215" s="166">
        <v>1020.47</v>
      </c>
      <c r="M215" s="166">
        <v>8391.7699999999895</v>
      </c>
      <c r="N215" s="166">
        <v>1354.63</v>
      </c>
      <c r="O215" s="166">
        <v>389.9</v>
      </c>
      <c r="P215" s="166">
        <v>1020.47</v>
      </c>
      <c r="Q215" s="166">
        <v>3670.46</v>
      </c>
      <c r="R215" s="166">
        <v>4618.0599999999904</v>
      </c>
      <c r="S215" s="166">
        <v>428.52</v>
      </c>
      <c r="T215" s="166">
        <v>1410.37</v>
      </c>
      <c r="U215" s="166">
        <v>24654.979999999901</v>
      </c>
      <c r="V215" s="172"/>
      <c r="W215" s="161"/>
      <c r="Y215" s="71">
        <v>98503</v>
      </c>
      <c r="Z215" s="14" t="s">
        <v>10</v>
      </c>
      <c r="AA215" s="73">
        <v>68199.61</v>
      </c>
      <c r="AB215" s="73">
        <v>26860.93</v>
      </c>
      <c r="AC215" s="73">
        <v>118321.93</v>
      </c>
      <c r="AD215" s="73">
        <v>344115.30999999901</v>
      </c>
      <c r="AE215" s="73">
        <v>100930.66999999899</v>
      </c>
      <c r="AF215" s="73">
        <v>54608.52</v>
      </c>
      <c r="AG215" s="73">
        <v>120438.499999999</v>
      </c>
      <c r="AH215" s="73">
        <v>402734.89</v>
      </c>
      <c r="AI215" s="73">
        <v>96648.48</v>
      </c>
      <c r="AJ215" s="73">
        <v>78845.31</v>
      </c>
      <c r="AK215" s="73">
        <v>147731.139999999</v>
      </c>
      <c r="AL215" s="174">
        <v>458510.32999999903</v>
      </c>
      <c r="AM215" s="161">
        <f t="shared" si="4"/>
        <v>323224.929999999</v>
      </c>
      <c r="AN215" s="161"/>
      <c r="AZ215" s="71" t="s">
        <v>113</v>
      </c>
      <c r="BA215" s="71" t="s">
        <v>10</v>
      </c>
      <c r="BB215" s="32">
        <v>14</v>
      </c>
      <c r="BC215" s="32">
        <v>13</v>
      </c>
      <c r="BD215" s="32">
        <v>7</v>
      </c>
      <c r="BF215" s="71" t="s">
        <v>113</v>
      </c>
      <c r="BG215" s="71" t="s">
        <v>10</v>
      </c>
      <c r="BH215" s="73">
        <v>21573.63</v>
      </c>
      <c r="BI215" s="73">
        <v>6025.19</v>
      </c>
      <c r="BJ215" s="73">
        <v>4222.43</v>
      </c>
      <c r="BL215" s="40"/>
      <c r="BM215" s="40"/>
      <c r="BN215" s="107"/>
      <c r="BO215" s="107"/>
      <c r="BP215" s="107"/>
    </row>
    <row r="216" spans="2:68" x14ac:dyDescent="0.2">
      <c r="B216" s="54">
        <v>98447</v>
      </c>
      <c r="C216" s="60" t="s">
        <v>333</v>
      </c>
      <c r="D216" s="45">
        <v>13</v>
      </c>
      <c r="E216" s="45"/>
      <c r="F216" s="45"/>
      <c r="H216" s="165">
        <v>98446</v>
      </c>
      <c r="I216" s="165" t="s">
        <v>333</v>
      </c>
      <c r="J216" s="166">
        <v>77.679999999999893</v>
      </c>
      <c r="K216" s="166"/>
      <c r="L216" s="166">
        <v>765.66</v>
      </c>
      <c r="M216" s="166">
        <v>31120.11</v>
      </c>
      <c r="N216" s="166">
        <v>4281.05</v>
      </c>
      <c r="O216" s="166">
        <v>77.679999999999893</v>
      </c>
      <c r="P216" s="166">
        <v>765.66</v>
      </c>
      <c r="Q216" s="166">
        <v>24929.56</v>
      </c>
      <c r="R216" s="166">
        <v>341.52</v>
      </c>
      <c r="S216" s="166">
        <v>4281.05</v>
      </c>
      <c r="T216" s="166">
        <v>843.33999999999901</v>
      </c>
      <c r="U216" s="166">
        <v>15328.44</v>
      </c>
      <c r="V216" s="172"/>
      <c r="W216" s="161"/>
      <c r="Y216" s="71">
        <v>98506</v>
      </c>
      <c r="Z216" s="14" t="s">
        <v>10</v>
      </c>
      <c r="AA216" s="73">
        <v>17763.78</v>
      </c>
      <c r="AB216" s="73">
        <v>6179.03</v>
      </c>
      <c r="AC216" s="73">
        <v>29265.789999999899</v>
      </c>
      <c r="AD216" s="73">
        <v>86506.559999999998</v>
      </c>
      <c r="AE216" s="73">
        <v>25095.4899999999</v>
      </c>
      <c r="AF216" s="73">
        <v>15369.58</v>
      </c>
      <c r="AG216" s="73">
        <v>31479.659999999902</v>
      </c>
      <c r="AH216" s="73">
        <v>114736.73</v>
      </c>
      <c r="AI216" s="73">
        <v>29897.26</v>
      </c>
      <c r="AJ216" s="73">
        <v>19564.4199999999</v>
      </c>
      <c r="AK216" s="73">
        <v>36759.839999999902</v>
      </c>
      <c r="AL216" s="174">
        <v>127200.74</v>
      </c>
      <c r="AM216" s="161">
        <f t="shared" si="4"/>
        <v>86221.5199999998</v>
      </c>
      <c r="AN216" s="161"/>
      <c r="AZ216" s="71" t="s">
        <v>115</v>
      </c>
      <c r="BA216" s="71" t="s">
        <v>10</v>
      </c>
      <c r="BB216" s="32">
        <v>2</v>
      </c>
      <c r="BC216" s="32">
        <v>2</v>
      </c>
      <c r="BD216" s="32">
        <v>1</v>
      </c>
      <c r="BF216" s="71" t="s">
        <v>115</v>
      </c>
      <c r="BG216" s="71" t="s">
        <v>10</v>
      </c>
      <c r="BH216" s="73">
        <v>1292.0999999999999</v>
      </c>
      <c r="BI216" s="73">
        <v>2513.94</v>
      </c>
      <c r="BJ216" s="73">
        <v>1161.0999999999999</v>
      </c>
      <c r="BL216" s="40"/>
      <c r="BM216" s="40"/>
      <c r="BN216" s="107"/>
      <c r="BO216" s="107"/>
      <c r="BP216" s="107"/>
    </row>
    <row r="217" spans="2:68" x14ac:dyDescent="0.2">
      <c r="B217" s="78">
        <v>98465</v>
      </c>
      <c r="C217" s="60" t="s">
        <v>333</v>
      </c>
      <c r="D217" s="45">
        <v>2</v>
      </c>
      <c r="E217" s="45">
        <v>7</v>
      </c>
      <c r="F217" s="45">
        <v>2</v>
      </c>
      <c r="H217" s="165">
        <v>98447</v>
      </c>
      <c r="I217" s="165" t="s">
        <v>333</v>
      </c>
      <c r="J217" s="166"/>
      <c r="K217" s="166"/>
      <c r="L217" s="166"/>
      <c r="M217" s="166">
        <v>38264.379999999997</v>
      </c>
      <c r="N217" s="166"/>
      <c r="O217" s="166"/>
      <c r="P217" s="166"/>
      <c r="Q217" s="166"/>
      <c r="R217" s="166"/>
      <c r="S217" s="166"/>
      <c r="T217" s="166"/>
      <c r="U217" s="166"/>
      <c r="V217" s="172"/>
      <c r="W217" s="161"/>
      <c r="Y217" s="71">
        <v>98512</v>
      </c>
      <c r="Z217" s="14" t="s">
        <v>10</v>
      </c>
      <c r="AA217" s="73">
        <v>36219.559999999903</v>
      </c>
      <c r="AB217" s="73">
        <v>13326.57</v>
      </c>
      <c r="AC217" s="73">
        <v>67000.039999999994</v>
      </c>
      <c r="AD217" s="73">
        <v>182198.66</v>
      </c>
      <c r="AE217" s="73">
        <v>52614.96</v>
      </c>
      <c r="AF217" s="73">
        <v>29389.21</v>
      </c>
      <c r="AG217" s="73">
        <v>66100.05</v>
      </c>
      <c r="AH217" s="73">
        <v>218088.56</v>
      </c>
      <c r="AI217" s="73">
        <v>52870.51</v>
      </c>
      <c r="AJ217" s="73">
        <v>43850.73</v>
      </c>
      <c r="AK217" s="73">
        <v>84894.7</v>
      </c>
      <c r="AL217" s="174">
        <v>255421.36999999901</v>
      </c>
      <c r="AM217" s="161">
        <f t="shared" si="4"/>
        <v>181615.94</v>
      </c>
      <c r="AN217" s="161"/>
      <c r="AZ217" s="71" t="s">
        <v>116</v>
      </c>
      <c r="BA217" s="71" t="s">
        <v>10</v>
      </c>
      <c r="BB217" s="32">
        <v>80</v>
      </c>
      <c r="BC217" s="32">
        <v>77</v>
      </c>
      <c r="BD217" s="32">
        <v>70</v>
      </c>
      <c r="BF217" s="71" t="s">
        <v>116</v>
      </c>
      <c r="BG217" s="71" t="s">
        <v>10</v>
      </c>
      <c r="BH217" s="73">
        <v>29766.52</v>
      </c>
      <c r="BI217" s="73">
        <v>21651.8</v>
      </c>
      <c r="BJ217" s="73">
        <v>24447.75</v>
      </c>
      <c r="BL217" s="40"/>
      <c r="BM217" s="40"/>
      <c r="BN217" s="107"/>
      <c r="BO217" s="107"/>
      <c r="BP217" s="107"/>
    </row>
    <row r="218" spans="2:68" x14ac:dyDescent="0.2">
      <c r="B218" s="78">
        <v>98466</v>
      </c>
      <c r="C218" s="60" t="s">
        <v>333</v>
      </c>
      <c r="D218" s="45">
        <v>33</v>
      </c>
      <c r="E218" s="45">
        <v>35</v>
      </c>
      <c r="F218" s="45">
        <v>35</v>
      </c>
      <c r="H218" s="165">
        <v>98465</v>
      </c>
      <c r="I218" s="165" t="s">
        <v>333</v>
      </c>
      <c r="J218" s="166">
        <v>76.73</v>
      </c>
      <c r="K218" s="166"/>
      <c r="L218" s="166">
        <v>467.74</v>
      </c>
      <c r="M218" s="166">
        <v>688.75</v>
      </c>
      <c r="N218" s="166">
        <v>144.28</v>
      </c>
      <c r="O218" s="166">
        <v>76.73</v>
      </c>
      <c r="P218" s="166">
        <v>467.74</v>
      </c>
      <c r="Q218" s="166">
        <v>9712.9999999999909</v>
      </c>
      <c r="R218" s="166">
        <v>171.43</v>
      </c>
      <c r="S218" s="166">
        <v>144.28</v>
      </c>
      <c r="T218" s="166">
        <v>544.47</v>
      </c>
      <c r="U218" s="166">
        <v>1002.7</v>
      </c>
      <c r="V218" s="172"/>
      <c r="W218" s="161"/>
      <c r="Y218" s="71">
        <v>98513</v>
      </c>
      <c r="Z218" s="14" t="s">
        <v>10</v>
      </c>
      <c r="AA218" s="73">
        <v>39160.059999999903</v>
      </c>
      <c r="AB218" s="73">
        <v>15605.5999999999</v>
      </c>
      <c r="AC218" s="73">
        <v>76338.100000000006</v>
      </c>
      <c r="AD218" s="73">
        <v>210966.33999999901</v>
      </c>
      <c r="AE218" s="73">
        <v>60803.959999999897</v>
      </c>
      <c r="AF218" s="73">
        <v>30521.24</v>
      </c>
      <c r="AG218" s="73">
        <v>74913.58</v>
      </c>
      <c r="AH218" s="73">
        <v>242520.78999999899</v>
      </c>
      <c r="AI218" s="73">
        <v>58527.03</v>
      </c>
      <c r="AJ218" s="73">
        <v>47923.869999999901</v>
      </c>
      <c r="AK218" s="73">
        <v>90568.38</v>
      </c>
      <c r="AL218" s="174">
        <v>282609.359999999</v>
      </c>
      <c r="AM218" s="161">
        <f t="shared" si="4"/>
        <v>197019.27999999991</v>
      </c>
      <c r="AN218" s="161"/>
      <c r="AZ218" s="71" t="s">
        <v>117</v>
      </c>
      <c r="BA218" s="71" t="s">
        <v>10</v>
      </c>
      <c r="BB218" s="32">
        <v>8</v>
      </c>
      <c r="BC218" s="32">
        <v>6</v>
      </c>
      <c r="BD218" s="32">
        <v>3</v>
      </c>
      <c r="BF218" s="71" t="s">
        <v>117</v>
      </c>
      <c r="BG218" s="71" t="s">
        <v>10</v>
      </c>
      <c r="BH218" s="73">
        <v>3454</v>
      </c>
      <c r="BI218" s="73">
        <v>2100.85</v>
      </c>
      <c r="BJ218" s="73">
        <v>534.16</v>
      </c>
      <c r="BL218" s="40"/>
      <c r="BM218" s="40"/>
      <c r="BN218" s="107"/>
      <c r="BO218" s="107"/>
      <c r="BP218" s="107"/>
    </row>
    <row r="219" spans="2:68" x14ac:dyDescent="0.2">
      <c r="B219" s="78">
        <v>98467</v>
      </c>
      <c r="C219" s="60" t="s">
        <v>333</v>
      </c>
      <c r="D219" s="45">
        <v>6</v>
      </c>
      <c r="E219" s="45">
        <v>2</v>
      </c>
      <c r="F219" s="45">
        <v>5</v>
      </c>
      <c r="H219" s="165">
        <v>98466</v>
      </c>
      <c r="I219" s="165" t="s">
        <v>333</v>
      </c>
      <c r="J219" s="166">
        <v>1466.3999999999901</v>
      </c>
      <c r="K219" s="166">
        <v>344.3</v>
      </c>
      <c r="L219" s="166">
        <v>7690.42</v>
      </c>
      <c r="M219" s="166">
        <v>19761.269999999899</v>
      </c>
      <c r="N219" s="166">
        <v>1506.74</v>
      </c>
      <c r="O219" s="166">
        <v>942.46</v>
      </c>
      <c r="P219" s="166">
        <v>6013.64</v>
      </c>
      <c r="Q219" s="166">
        <v>31904.8499999999</v>
      </c>
      <c r="R219" s="166">
        <v>1358.6899999999901</v>
      </c>
      <c r="S219" s="166">
        <v>669.38</v>
      </c>
      <c r="T219" s="166">
        <v>5456.34</v>
      </c>
      <c r="U219" s="166">
        <v>31061.039999999899</v>
      </c>
      <c r="V219" s="172"/>
      <c r="W219" s="161"/>
      <c r="Y219" s="71">
        <v>98516</v>
      </c>
      <c r="Z219" s="14" t="s">
        <v>10</v>
      </c>
      <c r="AA219" s="73">
        <v>29787.799999999901</v>
      </c>
      <c r="AB219" s="73">
        <v>13107.6599999999</v>
      </c>
      <c r="AC219" s="73">
        <v>54707.379999999903</v>
      </c>
      <c r="AD219" s="73">
        <v>157123.149999999</v>
      </c>
      <c r="AE219" s="73">
        <v>45857.81</v>
      </c>
      <c r="AF219" s="73">
        <v>22120.949999999899</v>
      </c>
      <c r="AG219" s="73">
        <v>57014.3299999999</v>
      </c>
      <c r="AH219" s="73">
        <v>193415.91</v>
      </c>
      <c r="AI219" s="73">
        <v>55856.4399999999</v>
      </c>
      <c r="AJ219" s="73">
        <v>36086.370000000003</v>
      </c>
      <c r="AK219" s="73">
        <v>65682.52</v>
      </c>
      <c r="AL219" s="174">
        <v>223126.6</v>
      </c>
      <c r="AM219" s="161">
        <f t="shared" si="4"/>
        <v>157625.3299999999</v>
      </c>
      <c r="AN219" s="161"/>
      <c r="AZ219" s="71" t="s">
        <v>118</v>
      </c>
      <c r="BA219" s="71" t="s">
        <v>10</v>
      </c>
      <c r="BB219" s="32">
        <v>49</v>
      </c>
      <c r="BC219" s="32">
        <v>43</v>
      </c>
      <c r="BD219" s="32">
        <v>42</v>
      </c>
      <c r="BF219" s="71" t="s">
        <v>118</v>
      </c>
      <c r="BG219" s="71" t="s">
        <v>10</v>
      </c>
      <c r="BH219" s="73">
        <v>14521.69</v>
      </c>
      <c r="BI219" s="73">
        <v>16143.73</v>
      </c>
      <c r="BJ219" s="73">
        <v>24041.85</v>
      </c>
      <c r="BL219" s="40"/>
      <c r="BM219" s="40"/>
      <c r="BN219" s="107"/>
      <c r="BO219" s="107"/>
      <c r="BP219" s="107"/>
    </row>
    <row r="220" spans="2:68" x14ac:dyDescent="0.2">
      <c r="B220" s="78">
        <v>98492</v>
      </c>
      <c r="C220" s="60" t="s">
        <v>333</v>
      </c>
      <c r="D220" s="45">
        <v>2</v>
      </c>
      <c r="E220" s="45">
        <v>2</v>
      </c>
      <c r="F220" s="69">
        <v>2</v>
      </c>
      <c r="H220" s="165">
        <v>98467</v>
      </c>
      <c r="I220" s="165" t="s">
        <v>333</v>
      </c>
      <c r="J220" s="166">
        <v>2263.62</v>
      </c>
      <c r="K220" s="166">
        <v>61.32</v>
      </c>
      <c r="L220" s="166">
        <v>145.15</v>
      </c>
      <c r="M220" s="166">
        <v>11714.2499999999</v>
      </c>
      <c r="N220" s="166">
        <v>253.63</v>
      </c>
      <c r="O220" s="166">
        <v>173.12</v>
      </c>
      <c r="P220" s="166">
        <v>206.33</v>
      </c>
      <c r="Q220" s="166">
        <v>1342.9299999999901</v>
      </c>
      <c r="R220" s="166">
        <v>186.76</v>
      </c>
      <c r="S220" s="166">
        <v>253.63</v>
      </c>
      <c r="T220" s="166">
        <v>379.45</v>
      </c>
      <c r="U220" s="166">
        <v>3635.01</v>
      </c>
      <c r="V220" s="172"/>
      <c r="W220" s="161"/>
      <c r="Y220" s="71">
        <v>98530</v>
      </c>
      <c r="Z220" s="14" t="s">
        <v>10</v>
      </c>
      <c r="AA220" s="73"/>
      <c r="AB220" s="73">
        <v>1520.81</v>
      </c>
      <c r="AC220" s="73">
        <v>2538.4699999999998</v>
      </c>
      <c r="AD220" s="73">
        <v>11766.56</v>
      </c>
      <c r="AE220" s="73">
        <v>5556.53</v>
      </c>
      <c r="AF220" s="73"/>
      <c r="AG220" s="73">
        <v>3592.5</v>
      </c>
      <c r="AH220" s="73">
        <v>9149.0300000000007</v>
      </c>
      <c r="AI220" s="73"/>
      <c r="AJ220" s="73">
        <v>4675.78999999999</v>
      </c>
      <c r="AK220" s="73">
        <v>3489.32</v>
      </c>
      <c r="AL220" s="174">
        <v>18083.37</v>
      </c>
      <c r="AM220" s="161">
        <f t="shared" si="4"/>
        <v>8165.1099999999897</v>
      </c>
      <c r="AN220" s="161"/>
      <c r="AZ220" s="71" t="s">
        <v>119</v>
      </c>
      <c r="BA220" s="71" t="s">
        <v>10</v>
      </c>
      <c r="BB220" s="32">
        <v>64</v>
      </c>
      <c r="BC220" s="32">
        <v>49</v>
      </c>
      <c r="BD220" s="32">
        <v>63</v>
      </c>
      <c r="BF220" s="71" t="s">
        <v>119</v>
      </c>
      <c r="BG220" s="71" t="s">
        <v>10</v>
      </c>
      <c r="BH220" s="73">
        <v>26005.01</v>
      </c>
      <c r="BI220" s="73">
        <v>33179.199999999997</v>
      </c>
      <c r="BJ220" s="73">
        <v>29157.8</v>
      </c>
      <c r="BL220" s="40"/>
      <c r="BM220" s="40"/>
      <c r="BN220" s="107"/>
      <c r="BO220" s="107"/>
      <c r="BP220" s="107"/>
    </row>
    <row r="221" spans="2:68" x14ac:dyDescent="0.2">
      <c r="B221" s="78">
        <v>98498</v>
      </c>
      <c r="C221" s="60" t="s">
        <v>333</v>
      </c>
      <c r="D221" s="45">
        <v>102</v>
      </c>
      <c r="E221" s="45">
        <v>96</v>
      </c>
      <c r="F221" s="45">
        <v>83</v>
      </c>
      <c r="H221" s="165">
        <v>98492</v>
      </c>
      <c r="I221" s="165" t="s">
        <v>333</v>
      </c>
      <c r="J221" s="166"/>
      <c r="K221" s="166"/>
      <c r="L221" s="166"/>
      <c r="M221" s="166">
        <v>532.71</v>
      </c>
      <c r="N221" s="166"/>
      <c r="O221" s="166"/>
      <c r="P221" s="166"/>
      <c r="Q221" s="166">
        <v>591.14</v>
      </c>
      <c r="R221" s="166"/>
      <c r="S221" s="166"/>
      <c r="T221" s="166"/>
      <c r="U221" s="166">
        <v>518.16999999999996</v>
      </c>
      <c r="V221" s="172"/>
      <c r="W221" s="161"/>
      <c r="Y221" s="71">
        <v>98531</v>
      </c>
      <c r="Z221" s="14" t="s">
        <v>10</v>
      </c>
      <c r="AA221" s="73">
        <v>3109.6999999999898</v>
      </c>
      <c r="AB221" s="73">
        <v>2330.3000000000002</v>
      </c>
      <c r="AC221" s="73">
        <v>17374.36</v>
      </c>
      <c r="AD221" s="73">
        <v>34016.29</v>
      </c>
      <c r="AE221" s="73">
        <v>7585.5999999999904</v>
      </c>
      <c r="AF221" s="73">
        <v>2795.99999999999</v>
      </c>
      <c r="AG221" s="73">
        <v>19397.05</v>
      </c>
      <c r="AH221" s="73">
        <v>41258.01</v>
      </c>
      <c r="AI221" s="73">
        <v>7946.8899999999903</v>
      </c>
      <c r="AJ221" s="73">
        <v>5465.99</v>
      </c>
      <c r="AK221" s="73">
        <v>20933.11</v>
      </c>
      <c r="AL221" s="174">
        <v>48677.85</v>
      </c>
      <c r="AM221" s="161">
        <f t="shared" si="4"/>
        <v>34345.989999999991</v>
      </c>
      <c r="AN221" s="161"/>
      <c r="AZ221" s="71" t="s">
        <v>120</v>
      </c>
      <c r="BA221" s="71" t="s">
        <v>10</v>
      </c>
      <c r="BB221" s="32">
        <v>42</v>
      </c>
      <c r="BC221" s="32">
        <v>25</v>
      </c>
      <c r="BD221" s="32">
        <v>39</v>
      </c>
      <c r="BF221" s="71" t="s">
        <v>120</v>
      </c>
      <c r="BG221" s="71" t="s">
        <v>10</v>
      </c>
      <c r="BH221" s="73">
        <v>28704.99</v>
      </c>
      <c r="BI221" s="73">
        <v>17591.009999999998</v>
      </c>
      <c r="BJ221" s="73">
        <v>41033.42</v>
      </c>
      <c r="BL221" s="40"/>
      <c r="BM221" s="40"/>
      <c r="BN221" s="107"/>
      <c r="BO221" s="107"/>
      <c r="BP221" s="107"/>
    </row>
    <row r="222" spans="2:68" x14ac:dyDescent="0.2">
      <c r="B222" s="78">
        <v>98499</v>
      </c>
      <c r="C222" s="60" t="s">
        <v>333</v>
      </c>
      <c r="D222" s="45">
        <v>90</v>
      </c>
      <c r="E222" s="45">
        <v>116</v>
      </c>
      <c r="F222" s="45">
        <v>104</v>
      </c>
      <c r="H222" s="165">
        <v>98498</v>
      </c>
      <c r="I222" s="165" t="s">
        <v>333</v>
      </c>
      <c r="J222" s="166">
        <v>72251.179999999993</v>
      </c>
      <c r="K222" s="166">
        <v>47334.74</v>
      </c>
      <c r="L222" s="166">
        <v>28869.5099999999</v>
      </c>
      <c r="M222" s="166">
        <v>250907.69999999899</v>
      </c>
      <c r="N222" s="166">
        <v>11856.3</v>
      </c>
      <c r="O222" s="166">
        <v>108979.77</v>
      </c>
      <c r="P222" s="166">
        <v>30228.969999999899</v>
      </c>
      <c r="Q222" s="166">
        <v>258877.95</v>
      </c>
      <c r="R222" s="166">
        <v>44442.2</v>
      </c>
      <c r="S222" s="166">
        <v>5877.17</v>
      </c>
      <c r="T222" s="166">
        <v>27336.5799999999</v>
      </c>
      <c r="U222" s="166">
        <v>226034.68</v>
      </c>
      <c r="V222" s="172"/>
      <c r="W222" s="161"/>
      <c r="Y222" s="71">
        <v>98532</v>
      </c>
      <c r="Z222" s="14" t="s">
        <v>10</v>
      </c>
      <c r="AA222" s="73">
        <v>679.71</v>
      </c>
      <c r="AB222" s="73">
        <v>223.26</v>
      </c>
      <c r="AC222" s="73">
        <v>2603.4699999999998</v>
      </c>
      <c r="AD222" s="73">
        <v>4857.5599999999904</v>
      </c>
      <c r="AE222" s="73">
        <v>1113.69999999999</v>
      </c>
      <c r="AF222" s="73">
        <v>611.63</v>
      </c>
      <c r="AG222" s="73">
        <v>2605.2199999999998</v>
      </c>
      <c r="AH222" s="73">
        <v>5553.68</v>
      </c>
      <c r="AI222" s="73">
        <v>933.99</v>
      </c>
      <c r="AJ222" s="73">
        <v>686.98</v>
      </c>
      <c r="AK222" s="73">
        <v>3163.97</v>
      </c>
      <c r="AL222" s="174">
        <v>6353.51</v>
      </c>
      <c r="AM222" s="161">
        <f t="shared" si="4"/>
        <v>4784.9399999999996</v>
      </c>
      <c r="AN222" s="161"/>
      <c r="AZ222" s="71" t="s">
        <v>121</v>
      </c>
      <c r="BA222" s="71" t="s">
        <v>10</v>
      </c>
      <c r="BB222" s="32">
        <v>40</v>
      </c>
      <c r="BC222" s="32">
        <v>29</v>
      </c>
      <c r="BD222" s="32">
        <v>44</v>
      </c>
      <c r="BF222" s="71" t="s">
        <v>121</v>
      </c>
      <c r="BG222" s="71" t="s">
        <v>10</v>
      </c>
      <c r="BH222" s="73">
        <v>19522.48</v>
      </c>
      <c r="BI222" s="73">
        <v>26284.26</v>
      </c>
      <c r="BJ222" s="73">
        <v>23308.6</v>
      </c>
      <c r="BL222" s="40"/>
      <c r="BM222" s="40"/>
      <c r="BN222" s="107"/>
      <c r="BO222" s="107"/>
      <c r="BP222" s="107"/>
    </row>
    <row r="223" spans="2:68" x14ac:dyDescent="0.2">
      <c r="B223" s="78">
        <v>98501</v>
      </c>
      <c r="C223" s="60" t="s">
        <v>333</v>
      </c>
      <c r="D223" s="45">
        <v>517</v>
      </c>
      <c r="E223" s="45">
        <v>586</v>
      </c>
      <c r="F223" s="45">
        <v>481</v>
      </c>
      <c r="H223" s="165">
        <v>98499</v>
      </c>
      <c r="I223" s="165" t="s">
        <v>333</v>
      </c>
      <c r="J223" s="166">
        <v>11266.05</v>
      </c>
      <c r="K223" s="166">
        <v>3113.7</v>
      </c>
      <c r="L223" s="166">
        <v>25923.479999999901</v>
      </c>
      <c r="M223" s="166">
        <v>73261.11</v>
      </c>
      <c r="N223" s="166">
        <v>12339.92</v>
      </c>
      <c r="O223" s="166">
        <v>7887.6899999999896</v>
      </c>
      <c r="P223" s="166">
        <v>24906.91</v>
      </c>
      <c r="Q223" s="166">
        <v>115282.69999999899</v>
      </c>
      <c r="R223" s="166">
        <v>11103.33</v>
      </c>
      <c r="S223" s="166">
        <v>9148</v>
      </c>
      <c r="T223" s="166">
        <v>26689.360000000001</v>
      </c>
      <c r="U223" s="166">
        <v>92110.399999999994</v>
      </c>
      <c r="V223" s="172"/>
      <c r="W223" s="161"/>
      <c r="Y223" s="71">
        <v>98568</v>
      </c>
      <c r="Z223" s="14" t="s">
        <v>10</v>
      </c>
      <c r="AA223" s="73"/>
      <c r="AB223" s="73"/>
      <c r="AC223" s="73"/>
      <c r="AD223" s="73"/>
      <c r="AE223" s="73"/>
      <c r="AF223" s="73"/>
      <c r="AG223" s="73"/>
      <c r="AH223" s="73"/>
      <c r="AI223" s="73"/>
      <c r="AJ223" s="73"/>
      <c r="AK223" s="73"/>
      <c r="AL223" s="174">
        <v>1082.6300000000001</v>
      </c>
      <c r="AM223" s="161">
        <f t="shared" si="4"/>
        <v>0</v>
      </c>
      <c r="AN223" s="161"/>
      <c r="AZ223" s="71" t="s">
        <v>122</v>
      </c>
      <c r="BA223" s="71" t="s">
        <v>10</v>
      </c>
      <c r="BB223" s="32">
        <v>34</v>
      </c>
      <c r="BC223" s="32">
        <v>31</v>
      </c>
      <c r="BD223" s="32">
        <v>24</v>
      </c>
      <c r="BF223" s="71" t="s">
        <v>122</v>
      </c>
      <c r="BG223" s="71" t="s">
        <v>10</v>
      </c>
      <c r="BH223" s="73">
        <v>23119.49</v>
      </c>
      <c r="BI223" s="73">
        <v>51364.2</v>
      </c>
      <c r="BJ223" s="73">
        <v>11592.3</v>
      </c>
      <c r="BL223" s="40"/>
      <c r="BM223" s="40"/>
      <c r="BN223" s="107"/>
      <c r="BO223" s="107"/>
      <c r="BP223" s="107"/>
    </row>
    <row r="224" spans="2:68" x14ac:dyDescent="0.2">
      <c r="B224" s="78">
        <v>98502</v>
      </c>
      <c r="C224" s="60" t="s">
        <v>333</v>
      </c>
      <c r="D224" s="45">
        <v>286</v>
      </c>
      <c r="E224" s="45">
        <v>323</v>
      </c>
      <c r="F224" s="45">
        <v>247</v>
      </c>
      <c r="H224" s="165">
        <v>98501</v>
      </c>
      <c r="I224" s="165" t="s">
        <v>333</v>
      </c>
      <c r="J224" s="166">
        <v>60138.6</v>
      </c>
      <c r="K224" s="166">
        <v>7768.38</v>
      </c>
      <c r="L224" s="166">
        <v>181583.62</v>
      </c>
      <c r="M224" s="166">
        <v>725632.81999999902</v>
      </c>
      <c r="N224" s="166">
        <v>36943.47</v>
      </c>
      <c r="O224" s="166">
        <v>15339.049999999899</v>
      </c>
      <c r="P224" s="166">
        <v>194956.55</v>
      </c>
      <c r="Q224" s="166">
        <v>942556.94999999902</v>
      </c>
      <c r="R224" s="166">
        <v>73560.240000000005</v>
      </c>
      <c r="S224" s="166">
        <v>20897.699999999899</v>
      </c>
      <c r="T224" s="166">
        <v>160752.389999999</v>
      </c>
      <c r="U224" s="166">
        <v>688430.93</v>
      </c>
      <c r="V224" s="172"/>
      <c r="W224" s="161"/>
      <c r="Y224" s="71">
        <v>98576</v>
      </c>
      <c r="Z224" s="14" t="s">
        <v>10</v>
      </c>
      <c r="AA224" s="73">
        <v>10341.969999999999</v>
      </c>
      <c r="AB224" s="73">
        <v>3473.5499999999902</v>
      </c>
      <c r="AC224" s="73">
        <v>38244.93</v>
      </c>
      <c r="AD224" s="73">
        <v>68262.529999999897</v>
      </c>
      <c r="AE224" s="73">
        <v>12838.639999999899</v>
      </c>
      <c r="AF224" s="73">
        <v>11271.53</v>
      </c>
      <c r="AG224" s="73">
        <v>35274.639999999999</v>
      </c>
      <c r="AH224" s="73">
        <v>66167.19</v>
      </c>
      <c r="AI224" s="73">
        <v>14407.94</v>
      </c>
      <c r="AJ224" s="73">
        <v>11174.8399999999</v>
      </c>
      <c r="AK224" s="73">
        <v>44812.02</v>
      </c>
      <c r="AL224" s="174">
        <v>88356.29</v>
      </c>
      <c r="AM224" s="161">
        <f t="shared" si="4"/>
        <v>70394.799999999901</v>
      </c>
      <c r="AN224" s="161"/>
      <c r="AZ224" s="71" t="s">
        <v>123</v>
      </c>
      <c r="BA224" s="71" t="s">
        <v>10</v>
      </c>
      <c r="BB224" s="32">
        <v>8</v>
      </c>
      <c r="BC224" s="32">
        <v>9</v>
      </c>
      <c r="BD224" s="32">
        <v>4</v>
      </c>
      <c r="BF224" s="71" t="s">
        <v>123</v>
      </c>
      <c r="BG224" s="71" t="s">
        <v>10</v>
      </c>
      <c r="BH224" s="73">
        <v>1480.44</v>
      </c>
      <c r="BI224" s="73">
        <v>5345.12</v>
      </c>
      <c r="BJ224" s="73">
        <v>788.81</v>
      </c>
      <c r="BL224" s="40"/>
      <c r="BM224" s="40"/>
      <c r="BN224" s="107"/>
      <c r="BO224" s="107"/>
      <c r="BP224" s="107"/>
    </row>
    <row r="225" spans="2:68" x14ac:dyDescent="0.2">
      <c r="B225" s="78">
        <v>98503</v>
      </c>
      <c r="C225" s="60" t="s">
        <v>333</v>
      </c>
      <c r="D225" s="45">
        <v>268</v>
      </c>
      <c r="E225" s="45">
        <v>367</v>
      </c>
      <c r="F225" s="45">
        <v>240</v>
      </c>
      <c r="H225" s="165">
        <v>98502</v>
      </c>
      <c r="I225" s="165" t="s">
        <v>333</v>
      </c>
      <c r="J225" s="166">
        <v>16421.8</v>
      </c>
      <c r="K225" s="166">
        <v>10155.549999999999</v>
      </c>
      <c r="L225" s="166">
        <v>115107.349999999</v>
      </c>
      <c r="M225" s="166">
        <v>249252.96</v>
      </c>
      <c r="N225" s="166">
        <v>15425.6499999999</v>
      </c>
      <c r="O225" s="166">
        <v>12852.55</v>
      </c>
      <c r="P225" s="166">
        <v>114300.069999999</v>
      </c>
      <c r="Q225" s="166">
        <v>349835.85</v>
      </c>
      <c r="R225" s="166">
        <v>47180.6</v>
      </c>
      <c r="S225" s="166">
        <v>8677.8799999999992</v>
      </c>
      <c r="T225" s="166">
        <v>113700.83</v>
      </c>
      <c r="U225" s="166">
        <v>366283.02</v>
      </c>
      <c r="V225" s="172"/>
      <c r="W225" s="161"/>
      <c r="Y225" s="71">
        <v>98579</v>
      </c>
      <c r="Z225" s="14" t="s">
        <v>10</v>
      </c>
      <c r="AA225" s="73">
        <v>23696.51</v>
      </c>
      <c r="AB225" s="73">
        <v>7732.07</v>
      </c>
      <c r="AC225" s="73">
        <v>60664.87</v>
      </c>
      <c r="AD225" s="73">
        <v>128545.14</v>
      </c>
      <c r="AE225" s="73">
        <v>25992.5799999999</v>
      </c>
      <c r="AF225" s="73">
        <v>19500.439999999999</v>
      </c>
      <c r="AG225" s="73">
        <v>60146.159999999902</v>
      </c>
      <c r="AH225" s="73">
        <v>148584.75</v>
      </c>
      <c r="AI225" s="73">
        <v>35221.910000000003</v>
      </c>
      <c r="AJ225" s="73">
        <v>22225.59</v>
      </c>
      <c r="AK225" s="73">
        <v>67062.98</v>
      </c>
      <c r="AL225" s="174">
        <v>164379.67000000001</v>
      </c>
      <c r="AM225" s="161">
        <f t="shared" si="4"/>
        <v>124510.48</v>
      </c>
      <c r="AN225" s="161"/>
      <c r="AZ225" s="71" t="s">
        <v>124</v>
      </c>
      <c r="BA225" s="71" t="s">
        <v>10</v>
      </c>
      <c r="BB225" s="32"/>
      <c r="BC225" s="32"/>
      <c r="BD225" s="32">
        <v>1</v>
      </c>
      <c r="BF225" s="71" t="s">
        <v>124</v>
      </c>
      <c r="BG225" s="71" t="s">
        <v>10</v>
      </c>
      <c r="BH225" s="73"/>
      <c r="BI225" s="73"/>
      <c r="BJ225" s="73">
        <v>1132.49</v>
      </c>
      <c r="BL225" s="40"/>
      <c r="BM225" s="40"/>
      <c r="BN225" s="107"/>
      <c r="BO225" s="107"/>
      <c r="BP225" s="107"/>
    </row>
    <row r="226" spans="2:68" x14ac:dyDescent="0.2">
      <c r="B226" s="78">
        <v>98506</v>
      </c>
      <c r="C226" s="60" t="s">
        <v>333</v>
      </c>
      <c r="D226" s="45">
        <v>167</v>
      </c>
      <c r="E226" s="45">
        <v>225</v>
      </c>
      <c r="F226" s="45">
        <v>162</v>
      </c>
      <c r="H226" s="165">
        <v>98503</v>
      </c>
      <c r="I226" s="165" t="s">
        <v>333</v>
      </c>
      <c r="J226" s="166">
        <v>31033.38</v>
      </c>
      <c r="K226" s="166">
        <v>4155.3099999999904</v>
      </c>
      <c r="L226" s="166">
        <v>43943.3999999999</v>
      </c>
      <c r="M226" s="166">
        <v>291221.88999999902</v>
      </c>
      <c r="N226" s="166">
        <v>33519.489999999903</v>
      </c>
      <c r="O226" s="166">
        <v>7813.45</v>
      </c>
      <c r="P226" s="166">
        <v>39374.81</v>
      </c>
      <c r="Q226" s="166">
        <v>325915.63999999902</v>
      </c>
      <c r="R226" s="166">
        <v>17505.650000000001</v>
      </c>
      <c r="S226" s="166">
        <v>8547.2199999999993</v>
      </c>
      <c r="T226" s="166">
        <v>40981.42</v>
      </c>
      <c r="U226" s="166">
        <v>154049.49</v>
      </c>
      <c r="V226" s="172"/>
      <c r="W226" s="161"/>
      <c r="Y226" s="71">
        <v>98580</v>
      </c>
      <c r="Z226" s="14" t="s">
        <v>10</v>
      </c>
      <c r="AA226" s="73">
        <v>6770.78999999999</v>
      </c>
      <c r="AB226" s="73">
        <v>973.25</v>
      </c>
      <c r="AC226" s="73">
        <v>28490.84</v>
      </c>
      <c r="AD226" s="73">
        <v>47978.63</v>
      </c>
      <c r="AE226" s="73">
        <v>10438.02</v>
      </c>
      <c r="AF226" s="73">
        <v>5379.6099999999897</v>
      </c>
      <c r="AG226" s="73">
        <v>27489.759999999998</v>
      </c>
      <c r="AH226" s="73">
        <v>58517.13</v>
      </c>
      <c r="AI226" s="73">
        <v>11622.6</v>
      </c>
      <c r="AJ226" s="73">
        <v>6443.8899999999903</v>
      </c>
      <c r="AK226" s="73">
        <v>30943.64</v>
      </c>
      <c r="AL226" s="174">
        <v>70817.53</v>
      </c>
      <c r="AM226" s="161">
        <f t="shared" si="4"/>
        <v>49010.12999999999</v>
      </c>
      <c r="AN226" s="161"/>
      <c r="AZ226" s="71" t="s">
        <v>125</v>
      </c>
      <c r="BA226" s="71" t="s">
        <v>10</v>
      </c>
      <c r="BB226" s="32">
        <v>2</v>
      </c>
      <c r="BC226" s="32">
        <v>3</v>
      </c>
      <c r="BD226" s="32">
        <v>4</v>
      </c>
      <c r="BF226" s="71" t="s">
        <v>125</v>
      </c>
      <c r="BG226" s="71" t="s">
        <v>10</v>
      </c>
      <c r="BH226" s="73">
        <v>575.96</v>
      </c>
      <c r="BI226" s="73">
        <v>2850.09</v>
      </c>
      <c r="BJ226" s="73">
        <v>2278.87</v>
      </c>
      <c r="BL226" s="40"/>
      <c r="BM226" s="40"/>
      <c r="BN226" s="107"/>
      <c r="BO226" s="107"/>
      <c r="BP226" s="107"/>
    </row>
    <row r="227" spans="2:68" x14ac:dyDescent="0.2">
      <c r="B227" s="78">
        <v>98512</v>
      </c>
      <c r="C227" s="60" t="s">
        <v>333</v>
      </c>
      <c r="D227" s="45">
        <v>240</v>
      </c>
      <c r="E227" s="45">
        <v>290</v>
      </c>
      <c r="F227" s="45">
        <v>242</v>
      </c>
      <c r="H227" s="165">
        <v>98506</v>
      </c>
      <c r="I227" s="165" t="s">
        <v>333</v>
      </c>
      <c r="J227" s="166">
        <v>10361.209999999999</v>
      </c>
      <c r="K227" s="166">
        <v>6340.04</v>
      </c>
      <c r="L227" s="166">
        <v>32444.839999999898</v>
      </c>
      <c r="M227" s="166">
        <v>93770.64</v>
      </c>
      <c r="N227" s="166">
        <v>13795.2</v>
      </c>
      <c r="O227" s="166">
        <v>7616.0599999999904</v>
      </c>
      <c r="P227" s="166">
        <v>34623.359999999899</v>
      </c>
      <c r="Q227" s="166">
        <v>190868.99999999901</v>
      </c>
      <c r="R227" s="166">
        <v>31975.8999999999</v>
      </c>
      <c r="S227" s="166">
        <v>5536.97</v>
      </c>
      <c r="T227" s="166">
        <v>37006.709999999897</v>
      </c>
      <c r="U227" s="166">
        <v>185094.43</v>
      </c>
      <c r="V227" s="172"/>
      <c r="W227" s="161"/>
      <c r="Y227" s="71">
        <v>98589</v>
      </c>
      <c r="Z227" s="14" t="s">
        <v>10</v>
      </c>
      <c r="AA227" s="73">
        <v>10632.8299999999</v>
      </c>
      <c r="AB227" s="73">
        <v>5808.7999999999902</v>
      </c>
      <c r="AC227" s="73">
        <v>36986.559999999998</v>
      </c>
      <c r="AD227" s="73">
        <v>72368.919999999896</v>
      </c>
      <c r="AE227" s="73">
        <v>14892.9899999999</v>
      </c>
      <c r="AF227" s="73">
        <v>7983.7699999999904</v>
      </c>
      <c r="AG227" s="73">
        <v>35862.6</v>
      </c>
      <c r="AH227" s="73">
        <v>82724.279999999897</v>
      </c>
      <c r="AI227" s="73">
        <v>21256.11</v>
      </c>
      <c r="AJ227" s="73">
        <v>12493.77</v>
      </c>
      <c r="AK227" s="73">
        <v>38331.779999999897</v>
      </c>
      <c r="AL227" s="174">
        <v>94186.309999999896</v>
      </c>
      <c r="AM227" s="161">
        <f t="shared" si="4"/>
        <v>72081.659999999902</v>
      </c>
      <c r="AN227" s="161"/>
      <c r="AZ227" s="71" t="s">
        <v>126</v>
      </c>
      <c r="BA227" s="71" t="s">
        <v>10</v>
      </c>
      <c r="BB227" s="32">
        <v>21</v>
      </c>
      <c r="BC227" s="32">
        <v>16</v>
      </c>
      <c r="BD227" s="32">
        <v>12</v>
      </c>
      <c r="BF227" s="71" t="s">
        <v>126</v>
      </c>
      <c r="BG227" s="71" t="s">
        <v>10</v>
      </c>
      <c r="BH227" s="73">
        <v>4992.6400000000003</v>
      </c>
      <c r="BI227" s="73">
        <v>12295.8</v>
      </c>
      <c r="BJ227" s="73">
        <v>1897.51</v>
      </c>
      <c r="BL227" s="40"/>
      <c r="BM227" s="40"/>
      <c r="BN227" s="107"/>
      <c r="BO227" s="107"/>
      <c r="BP227" s="107"/>
    </row>
    <row r="228" spans="2:68" x14ac:dyDescent="0.2">
      <c r="B228" s="78">
        <v>98513</v>
      </c>
      <c r="C228" s="60" t="s">
        <v>333</v>
      </c>
      <c r="D228" s="45">
        <v>163</v>
      </c>
      <c r="E228" s="45">
        <v>279</v>
      </c>
      <c r="F228" s="45">
        <v>138</v>
      </c>
      <c r="H228" s="165">
        <v>98512</v>
      </c>
      <c r="I228" s="165" t="s">
        <v>333</v>
      </c>
      <c r="J228" s="166">
        <v>95037.89</v>
      </c>
      <c r="K228" s="166">
        <v>114172</v>
      </c>
      <c r="L228" s="166">
        <v>402316.20999999897</v>
      </c>
      <c r="M228" s="166">
        <v>795873.04</v>
      </c>
      <c r="N228" s="166">
        <v>20932.849999999999</v>
      </c>
      <c r="O228" s="166">
        <v>25042.029999999901</v>
      </c>
      <c r="P228" s="166">
        <v>492133.14</v>
      </c>
      <c r="Q228" s="166">
        <v>853387.26</v>
      </c>
      <c r="R228" s="166">
        <v>154199.27999999901</v>
      </c>
      <c r="S228" s="166">
        <v>17135.43</v>
      </c>
      <c r="T228" s="166">
        <v>480790.96</v>
      </c>
      <c r="U228" s="166">
        <v>996587.65999999898</v>
      </c>
      <c r="V228" s="172"/>
      <c r="W228" s="161"/>
      <c r="Y228" s="71">
        <v>98591</v>
      </c>
      <c r="Z228" s="14" t="s">
        <v>10</v>
      </c>
      <c r="AA228" s="73">
        <v>85.289999999999907</v>
      </c>
      <c r="AB228" s="73">
        <v>20.58</v>
      </c>
      <c r="AC228" s="73">
        <v>283.98</v>
      </c>
      <c r="AD228" s="73">
        <v>569.66999999999996</v>
      </c>
      <c r="AE228" s="73">
        <v>179.22</v>
      </c>
      <c r="AF228" s="73">
        <v>85.289999999999907</v>
      </c>
      <c r="AG228" s="73">
        <v>304.56</v>
      </c>
      <c r="AH228" s="73">
        <v>736.53</v>
      </c>
      <c r="AI228" s="73">
        <v>167.46</v>
      </c>
      <c r="AJ228" s="73">
        <v>179.22</v>
      </c>
      <c r="AK228" s="73">
        <v>389.85</v>
      </c>
      <c r="AL228" s="73">
        <v>894.76</v>
      </c>
      <c r="AM228" s="161">
        <f t="shared" si="4"/>
        <v>736.53</v>
      </c>
      <c r="AN228" s="161"/>
      <c r="AZ228" s="71" t="s">
        <v>127</v>
      </c>
      <c r="BA228" s="71" t="s">
        <v>10</v>
      </c>
      <c r="BB228" s="32">
        <v>13</v>
      </c>
      <c r="BC228" s="32">
        <v>6</v>
      </c>
      <c r="BD228" s="32">
        <v>8</v>
      </c>
      <c r="BF228" s="71" t="s">
        <v>127</v>
      </c>
      <c r="BG228" s="71" t="s">
        <v>10</v>
      </c>
      <c r="BH228" s="73">
        <v>3009.81</v>
      </c>
      <c r="BI228" s="73">
        <v>1263.98</v>
      </c>
      <c r="BJ228" s="73">
        <v>6634.24</v>
      </c>
      <c r="BL228" s="40"/>
      <c r="BM228" s="40"/>
      <c r="BN228" s="40"/>
      <c r="BO228" s="40"/>
      <c r="BP228" s="40"/>
    </row>
    <row r="229" spans="2:68" x14ac:dyDescent="0.2">
      <c r="B229" s="78">
        <v>98516</v>
      </c>
      <c r="C229" s="60" t="s">
        <v>333</v>
      </c>
      <c r="D229" s="45">
        <v>349</v>
      </c>
      <c r="E229" s="45">
        <v>399</v>
      </c>
      <c r="F229" s="45">
        <v>292</v>
      </c>
      <c r="H229" s="165">
        <v>98513</v>
      </c>
      <c r="I229" s="165" t="s">
        <v>333</v>
      </c>
      <c r="J229" s="166">
        <v>4674.53</v>
      </c>
      <c r="K229" s="166">
        <v>2236.46</v>
      </c>
      <c r="L229" s="166">
        <v>35347.109999999899</v>
      </c>
      <c r="M229" s="166">
        <v>118529.26</v>
      </c>
      <c r="N229" s="166">
        <v>24083.54</v>
      </c>
      <c r="O229" s="166">
        <v>2295.6999999999998</v>
      </c>
      <c r="P229" s="166">
        <v>34973.799999999901</v>
      </c>
      <c r="Q229" s="166">
        <v>286098.99999999901</v>
      </c>
      <c r="R229" s="166">
        <v>3233.1999999999898</v>
      </c>
      <c r="S229" s="166">
        <v>2417.19</v>
      </c>
      <c r="T229" s="166">
        <v>25063.48</v>
      </c>
      <c r="U229" s="166">
        <v>115835.55</v>
      </c>
      <c r="V229" s="172"/>
      <c r="W229" s="161"/>
      <c r="Y229" s="71">
        <v>98596</v>
      </c>
      <c r="Z229" s="14" t="s">
        <v>10</v>
      </c>
      <c r="AA229" s="73">
        <v>193.56</v>
      </c>
      <c r="AB229" s="73">
        <v>55.379999999999903</v>
      </c>
      <c r="AC229" s="73">
        <v>945</v>
      </c>
      <c r="AD229" s="73">
        <v>1508.62</v>
      </c>
      <c r="AE229" s="73">
        <v>314.68</v>
      </c>
      <c r="AF229" s="73">
        <v>193.56</v>
      </c>
      <c r="AG229" s="73">
        <v>500.38</v>
      </c>
      <c r="AH229" s="73">
        <v>1296.69</v>
      </c>
      <c r="AI229" s="73">
        <v>288.07</v>
      </c>
      <c r="AJ229" s="73">
        <v>314.68</v>
      </c>
      <c r="AK229" s="73">
        <v>693.94</v>
      </c>
      <c r="AL229" s="73">
        <v>1745.64</v>
      </c>
      <c r="AM229" s="161">
        <f t="shared" si="4"/>
        <v>1296.69</v>
      </c>
      <c r="AN229" s="161"/>
      <c r="AZ229" s="71" t="s">
        <v>128</v>
      </c>
      <c r="BA229" s="71" t="s">
        <v>10</v>
      </c>
      <c r="BB229" s="32">
        <v>7</v>
      </c>
      <c r="BC229" s="32">
        <v>6</v>
      </c>
      <c r="BD229" s="32">
        <v>5</v>
      </c>
      <c r="BF229" s="71" t="s">
        <v>128</v>
      </c>
      <c r="BG229" s="71" t="s">
        <v>10</v>
      </c>
      <c r="BH229" s="73">
        <v>2672.49</v>
      </c>
      <c r="BI229" s="73">
        <v>752.74</v>
      </c>
      <c r="BJ229" s="73">
        <v>7953.62</v>
      </c>
      <c r="BL229" s="38"/>
      <c r="BM229" s="38"/>
      <c r="BN229" s="59"/>
      <c r="BO229" s="58"/>
      <c r="BP229" s="58"/>
    </row>
    <row r="230" spans="2:68" x14ac:dyDescent="0.2">
      <c r="B230" s="78">
        <v>98530</v>
      </c>
      <c r="C230" s="60" t="s">
        <v>333</v>
      </c>
      <c r="D230" s="45">
        <v>1</v>
      </c>
      <c r="E230" s="45">
        <v>1</v>
      </c>
      <c r="F230" s="45">
        <v>3</v>
      </c>
      <c r="H230" s="165">
        <v>98516</v>
      </c>
      <c r="I230" s="165" t="s">
        <v>333</v>
      </c>
      <c r="J230" s="166">
        <v>38659.239999999903</v>
      </c>
      <c r="K230" s="166">
        <v>143334.56999999899</v>
      </c>
      <c r="L230" s="166">
        <v>948986.62999999896</v>
      </c>
      <c r="M230" s="166">
        <v>1553584.54</v>
      </c>
      <c r="N230" s="166">
        <v>128713.44999999899</v>
      </c>
      <c r="O230" s="166">
        <v>145245.01</v>
      </c>
      <c r="P230" s="166">
        <v>969723.41999999899</v>
      </c>
      <c r="Q230" s="166">
        <v>1531714.50999999</v>
      </c>
      <c r="R230" s="166">
        <v>120605.47</v>
      </c>
      <c r="S230" s="166">
        <v>105105.99</v>
      </c>
      <c r="T230" s="166">
        <v>1048595.44</v>
      </c>
      <c r="U230" s="166">
        <v>1565128.21</v>
      </c>
      <c r="V230" s="172"/>
      <c r="W230" s="161"/>
      <c r="Y230" s="71">
        <v>98597</v>
      </c>
      <c r="Z230" s="14" t="s">
        <v>10</v>
      </c>
      <c r="AA230" s="73">
        <v>47771.81</v>
      </c>
      <c r="AB230" s="73">
        <v>19385.36</v>
      </c>
      <c r="AC230" s="73">
        <v>97121.49</v>
      </c>
      <c r="AD230" s="73">
        <v>251937.389999999</v>
      </c>
      <c r="AE230" s="73">
        <v>24773.16</v>
      </c>
      <c r="AF230" s="73">
        <v>48870.9399999999</v>
      </c>
      <c r="AG230" s="73">
        <v>85218.04</v>
      </c>
      <c r="AH230" s="73">
        <v>219554.09</v>
      </c>
      <c r="AI230" s="73">
        <v>53686.64</v>
      </c>
      <c r="AJ230" s="73">
        <v>20075.04</v>
      </c>
      <c r="AK230" s="73">
        <v>120925.9</v>
      </c>
      <c r="AL230" s="73">
        <v>327976.13</v>
      </c>
      <c r="AM230" s="161">
        <f t="shared" si="4"/>
        <v>194687.58</v>
      </c>
      <c r="AN230" s="161"/>
      <c r="AZ230" s="71" t="s">
        <v>129</v>
      </c>
      <c r="BA230" s="71" t="s">
        <v>10</v>
      </c>
      <c r="BB230" s="32">
        <v>4</v>
      </c>
      <c r="BC230" s="32">
        <v>7</v>
      </c>
      <c r="BD230" s="32">
        <v>2</v>
      </c>
      <c r="BF230" s="71" t="s">
        <v>129</v>
      </c>
      <c r="BG230" s="71" t="s">
        <v>10</v>
      </c>
      <c r="BH230" s="73">
        <v>8035.33</v>
      </c>
      <c r="BI230" s="73">
        <v>4898.66</v>
      </c>
      <c r="BJ230" s="73">
        <v>4233.72</v>
      </c>
      <c r="BL230" s="38"/>
      <c r="BM230" s="38"/>
      <c r="BN230" s="58"/>
      <c r="BO230" s="59"/>
      <c r="BP230" s="59"/>
    </row>
    <row r="231" spans="2:68" x14ac:dyDescent="0.2">
      <c r="B231" s="78">
        <v>98531</v>
      </c>
      <c r="C231" s="60" t="s">
        <v>333</v>
      </c>
      <c r="D231" s="45">
        <v>52</v>
      </c>
      <c r="E231" s="45">
        <v>53</v>
      </c>
      <c r="F231" s="45">
        <v>63</v>
      </c>
      <c r="H231" s="165">
        <v>98530</v>
      </c>
      <c r="I231" s="165" t="s">
        <v>333</v>
      </c>
      <c r="J231" s="166"/>
      <c r="K231" s="166"/>
      <c r="L231" s="166"/>
      <c r="M231" s="166">
        <v>21.79</v>
      </c>
      <c r="N231" s="166"/>
      <c r="O231" s="166"/>
      <c r="P231" s="166"/>
      <c r="Q231" s="166">
        <v>222.52</v>
      </c>
      <c r="R231" s="166">
        <v>222.52</v>
      </c>
      <c r="S231" s="166"/>
      <c r="T231" s="166"/>
      <c r="U231" s="166">
        <v>470.26</v>
      </c>
      <c r="V231" s="172"/>
      <c r="W231" s="161"/>
      <c r="Y231" s="71">
        <v>98922</v>
      </c>
      <c r="Z231" s="14" t="s">
        <v>10</v>
      </c>
      <c r="AA231" s="73">
        <v>10262.15</v>
      </c>
      <c r="AB231" s="73">
        <v>3094.5</v>
      </c>
      <c r="AC231" s="73">
        <v>24278.94</v>
      </c>
      <c r="AD231" s="73">
        <v>58517.919999999896</v>
      </c>
      <c r="AE231" s="73">
        <v>7422.7399999999898</v>
      </c>
      <c r="AF231" s="73">
        <v>9497.7099999999991</v>
      </c>
      <c r="AG231" s="73">
        <v>22777.32</v>
      </c>
      <c r="AH231" s="73">
        <v>57901.059999999903</v>
      </c>
      <c r="AI231" s="73">
        <v>15150.96</v>
      </c>
      <c r="AJ231" s="73">
        <v>5682.9</v>
      </c>
      <c r="AK231" s="73">
        <v>28004.279999999901</v>
      </c>
      <c r="AL231" s="73">
        <v>77641.37</v>
      </c>
      <c r="AM231" s="161">
        <f t="shared" si="4"/>
        <v>48838.139999999898</v>
      </c>
      <c r="AN231" s="161"/>
      <c r="AZ231" s="71" t="s">
        <v>265</v>
      </c>
      <c r="BA231" s="71" t="s">
        <v>10</v>
      </c>
      <c r="BB231" s="32">
        <v>8</v>
      </c>
      <c r="BC231" s="32">
        <v>13</v>
      </c>
      <c r="BD231" s="32">
        <v>6</v>
      </c>
      <c r="BF231" s="71" t="s">
        <v>265</v>
      </c>
      <c r="BG231" s="71" t="s">
        <v>10</v>
      </c>
      <c r="BH231" s="73">
        <v>5833.93</v>
      </c>
      <c r="BI231" s="73">
        <v>8080.99</v>
      </c>
      <c r="BJ231" s="73">
        <v>2590.5</v>
      </c>
      <c r="BL231" s="38"/>
      <c r="BM231" s="38"/>
      <c r="BN231" s="59"/>
      <c r="BO231" s="59"/>
      <c r="BP231" s="59"/>
    </row>
    <row r="232" spans="2:68" x14ac:dyDescent="0.2">
      <c r="B232" s="78">
        <v>98532</v>
      </c>
      <c r="C232" s="60" t="s">
        <v>333</v>
      </c>
      <c r="D232" s="45">
        <v>14</v>
      </c>
      <c r="E232" s="45">
        <v>16</v>
      </c>
      <c r="F232" s="45">
        <v>20</v>
      </c>
      <c r="H232" s="165">
        <v>98531</v>
      </c>
      <c r="I232" s="165" t="s">
        <v>333</v>
      </c>
      <c r="J232" s="166">
        <v>2302.4699999999998</v>
      </c>
      <c r="K232" s="166">
        <v>518.219999999999</v>
      </c>
      <c r="L232" s="166">
        <v>10752.42</v>
      </c>
      <c r="M232" s="166">
        <v>29670.68</v>
      </c>
      <c r="N232" s="166">
        <v>4663.6899999999996</v>
      </c>
      <c r="O232" s="166">
        <v>2050.20999999999</v>
      </c>
      <c r="P232" s="166">
        <v>9945.1299999999992</v>
      </c>
      <c r="Q232" s="166">
        <v>31455.479999999901</v>
      </c>
      <c r="R232" s="166">
        <v>4282.2699999999904</v>
      </c>
      <c r="S232" s="166">
        <v>2275.64</v>
      </c>
      <c r="T232" s="166">
        <v>9804.5299999999897</v>
      </c>
      <c r="U232" s="166">
        <v>37919.029999999897</v>
      </c>
      <c r="V232" s="172"/>
      <c r="W232" s="161"/>
      <c r="Y232" s="71">
        <v>98925</v>
      </c>
      <c r="Z232" s="14" t="s">
        <v>10</v>
      </c>
      <c r="AA232" s="73">
        <v>1437.08</v>
      </c>
      <c r="AB232" s="73">
        <v>36.69</v>
      </c>
      <c r="AC232" s="73">
        <v>2391.59</v>
      </c>
      <c r="AD232" s="73">
        <v>7672.29</v>
      </c>
      <c r="AE232" s="73">
        <v>2616.4</v>
      </c>
      <c r="AF232" s="73">
        <v>727.81</v>
      </c>
      <c r="AG232" s="73">
        <v>1098.97</v>
      </c>
      <c r="AH232" s="73">
        <v>6785.5999999999904</v>
      </c>
      <c r="AI232" s="73">
        <v>2110.44</v>
      </c>
      <c r="AJ232" s="73">
        <v>2311.67</v>
      </c>
      <c r="AK232" s="73">
        <v>1026.78</v>
      </c>
      <c r="AL232" s="73">
        <v>8276.5</v>
      </c>
      <c r="AM232" s="161">
        <f t="shared" si="4"/>
        <v>5448.89</v>
      </c>
      <c r="AN232" s="161"/>
      <c r="AZ232" s="71" t="s">
        <v>130</v>
      </c>
      <c r="BA232" s="71" t="s">
        <v>10</v>
      </c>
      <c r="BB232" s="32">
        <v>63</v>
      </c>
      <c r="BC232" s="32">
        <v>51</v>
      </c>
      <c r="BD232" s="32">
        <v>58</v>
      </c>
      <c r="BF232" s="71" t="s">
        <v>130</v>
      </c>
      <c r="BG232" s="71" t="s">
        <v>10</v>
      </c>
      <c r="BH232" s="73">
        <v>38205.360000000001</v>
      </c>
      <c r="BI232" s="73">
        <v>47286.97</v>
      </c>
      <c r="BJ232" s="73">
        <v>74708.94</v>
      </c>
      <c r="BL232" s="37"/>
      <c r="BM232" s="38"/>
      <c r="BN232" s="58"/>
      <c r="BO232" s="58"/>
      <c r="BP232" s="58"/>
    </row>
    <row r="233" spans="2:68" x14ac:dyDescent="0.2">
      <c r="B233" s="78">
        <v>98558</v>
      </c>
      <c r="C233" s="60" t="s">
        <v>333</v>
      </c>
      <c r="D233" s="45">
        <v>2</v>
      </c>
      <c r="E233" s="45">
        <v>2</v>
      </c>
      <c r="F233" s="45">
        <v>2</v>
      </c>
      <c r="H233" s="165">
        <v>98532</v>
      </c>
      <c r="I233" s="165" t="s">
        <v>333</v>
      </c>
      <c r="J233" s="166">
        <v>1866.17</v>
      </c>
      <c r="K233" s="166">
        <v>1260.3499999999999</v>
      </c>
      <c r="L233" s="166">
        <v>9373.59</v>
      </c>
      <c r="M233" s="166">
        <v>17702.97</v>
      </c>
      <c r="N233" s="166">
        <v>2665.87</v>
      </c>
      <c r="O233" s="166">
        <v>1782.25</v>
      </c>
      <c r="P233" s="166">
        <v>10467.86</v>
      </c>
      <c r="Q233" s="166">
        <v>49393.3</v>
      </c>
      <c r="R233" s="166">
        <v>4606.37</v>
      </c>
      <c r="S233" s="166">
        <v>2539.0100000000002</v>
      </c>
      <c r="T233" s="166">
        <v>9995.4499999999898</v>
      </c>
      <c r="U233" s="166">
        <v>35996.429999999898</v>
      </c>
      <c r="V233" s="172"/>
      <c r="W233" s="161"/>
      <c r="Y233" s="71">
        <v>98926</v>
      </c>
      <c r="Z233" s="14" t="s">
        <v>10</v>
      </c>
      <c r="AA233" s="73">
        <v>4447.24</v>
      </c>
      <c r="AB233" s="73">
        <v>1585.22</v>
      </c>
      <c r="AC233" s="73">
        <v>13436.28</v>
      </c>
      <c r="AD233" s="73">
        <v>31907.78</v>
      </c>
      <c r="AE233" s="73">
        <v>10960.86</v>
      </c>
      <c r="AF233" s="73">
        <v>4163.7699999999904</v>
      </c>
      <c r="AG233" s="73">
        <v>14620.81</v>
      </c>
      <c r="AH233" s="73">
        <v>47707.96</v>
      </c>
      <c r="AI233" s="73">
        <v>13469.48</v>
      </c>
      <c r="AJ233" s="73">
        <v>7041.36</v>
      </c>
      <c r="AK233" s="73">
        <v>14630.5199999999</v>
      </c>
      <c r="AL233" s="73">
        <v>52616.18</v>
      </c>
      <c r="AM233" s="161">
        <f t="shared" si="4"/>
        <v>35141.359999999899</v>
      </c>
      <c r="AN233" s="161"/>
      <c r="AZ233" s="71" t="s">
        <v>266</v>
      </c>
      <c r="BA233" s="71" t="s">
        <v>10</v>
      </c>
      <c r="BB233" s="32">
        <v>1</v>
      </c>
      <c r="BC233" s="32">
        <v>4</v>
      </c>
      <c r="BD233" s="32">
        <v>3</v>
      </c>
      <c r="BF233" s="71" t="s">
        <v>266</v>
      </c>
      <c r="BG233" s="71" t="s">
        <v>10</v>
      </c>
      <c r="BH233" s="73">
        <v>195.46</v>
      </c>
      <c r="BI233" s="73">
        <v>1149.97</v>
      </c>
      <c r="BJ233" s="73">
        <v>472.15</v>
      </c>
      <c r="BL233" s="40"/>
      <c r="BM233" s="38"/>
      <c r="BN233" s="59"/>
      <c r="BO233" s="59"/>
      <c r="BP233" s="59"/>
    </row>
    <row r="234" spans="2:68" x14ac:dyDescent="0.2">
      <c r="B234" s="78">
        <v>98568</v>
      </c>
      <c r="C234" s="60" t="s">
        <v>333</v>
      </c>
      <c r="D234" s="45">
        <v>1</v>
      </c>
      <c r="E234" s="45">
        <v>1</v>
      </c>
      <c r="F234" s="45">
        <v>1</v>
      </c>
      <c r="H234" s="165">
        <v>98558</v>
      </c>
      <c r="I234" s="165" t="s">
        <v>333</v>
      </c>
      <c r="J234" s="166">
        <v>59.79</v>
      </c>
      <c r="K234" s="166">
        <v>59.76</v>
      </c>
      <c r="L234" s="166">
        <v>7068.75</v>
      </c>
      <c r="M234" s="166">
        <v>7314.33</v>
      </c>
      <c r="N234" s="166">
        <v>59.76</v>
      </c>
      <c r="O234" s="166">
        <v>59.79</v>
      </c>
      <c r="P234" s="166">
        <v>7128.51</v>
      </c>
      <c r="Q234" s="166">
        <v>7379.03</v>
      </c>
      <c r="R234" s="166">
        <v>65.7</v>
      </c>
      <c r="S234" s="166">
        <v>59.76</v>
      </c>
      <c r="T234" s="166">
        <v>7188.3</v>
      </c>
      <c r="U234" s="166">
        <v>7445.38</v>
      </c>
      <c r="V234" s="172"/>
      <c r="W234" s="161"/>
      <c r="Y234" s="71">
        <v>98934</v>
      </c>
      <c r="Z234" s="14" t="s">
        <v>10</v>
      </c>
      <c r="AA234" s="73">
        <v>4409.1099999999997</v>
      </c>
      <c r="AB234" s="73">
        <v>1223.6199999999999</v>
      </c>
      <c r="AC234" s="73">
        <v>2435.1</v>
      </c>
      <c r="AD234" s="73">
        <v>17942.37</v>
      </c>
      <c r="AE234" s="73">
        <v>7545.62</v>
      </c>
      <c r="AF234" s="73">
        <v>3097.45</v>
      </c>
      <c r="AG234" s="73">
        <v>2004.8999999999901</v>
      </c>
      <c r="AH234" s="73">
        <v>22100.57</v>
      </c>
      <c r="AI234" s="73">
        <v>5919.09</v>
      </c>
      <c r="AJ234" s="73">
        <v>4841.37</v>
      </c>
      <c r="AK234" s="73">
        <v>3713.5599999999899</v>
      </c>
      <c r="AL234" s="73">
        <v>21126.8999999999</v>
      </c>
      <c r="AM234" s="161">
        <f t="shared" si="4"/>
        <v>14474.01999999999</v>
      </c>
      <c r="AN234" s="161"/>
      <c r="AZ234" s="71" t="s">
        <v>267</v>
      </c>
      <c r="BA234" s="71" t="s">
        <v>10</v>
      </c>
      <c r="BB234" s="32">
        <v>8</v>
      </c>
      <c r="BC234" s="32">
        <v>4</v>
      </c>
      <c r="BD234" s="32">
        <v>2</v>
      </c>
      <c r="BF234" s="71" t="s">
        <v>267</v>
      </c>
      <c r="BG234" s="71" t="s">
        <v>10</v>
      </c>
      <c r="BH234" s="73">
        <v>2840.85</v>
      </c>
      <c r="BI234" s="73">
        <v>243.37</v>
      </c>
      <c r="BJ234" s="73">
        <v>308.38</v>
      </c>
      <c r="BL234" s="38"/>
      <c r="BM234" s="38"/>
      <c r="BN234" s="59"/>
      <c r="BO234" s="59"/>
      <c r="BP234" s="59"/>
    </row>
    <row r="235" spans="2:68" x14ac:dyDescent="0.2">
      <c r="B235" s="78">
        <v>98576</v>
      </c>
      <c r="C235" s="60" t="s">
        <v>333</v>
      </c>
      <c r="D235" s="45">
        <v>50</v>
      </c>
      <c r="E235" s="45">
        <v>32</v>
      </c>
      <c r="F235" s="45">
        <v>73</v>
      </c>
      <c r="H235" s="165">
        <v>98568</v>
      </c>
      <c r="I235" s="165" t="s">
        <v>333</v>
      </c>
      <c r="J235" s="166"/>
      <c r="K235" s="166">
        <v>50.38</v>
      </c>
      <c r="L235" s="166"/>
      <c r="M235" s="166">
        <v>170.91</v>
      </c>
      <c r="N235" s="166">
        <v>120.53</v>
      </c>
      <c r="O235" s="166"/>
      <c r="P235" s="166">
        <v>50.38</v>
      </c>
      <c r="Q235" s="166">
        <v>170.91</v>
      </c>
      <c r="R235" s="166"/>
      <c r="S235" s="166">
        <v>120.53</v>
      </c>
      <c r="T235" s="166">
        <v>50.38</v>
      </c>
      <c r="U235" s="166">
        <v>418.89</v>
      </c>
      <c r="V235" s="172"/>
      <c r="W235" s="161"/>
      <c r="Y235" s="71">
        <v>98940</v>
      </c>
      <c r="Z235" s="14" t="s">
        <v>10</v>
      </c>
      <c r="AA235" s="73">
        <v>2982.16</v>
      </c>
      <c r="AB235" s="73"/>
      <c r="AC235" s="73">
        <v>890.93</v>
      </c>
      <c r="AD235" s="73">
        <v>3873.0899999999901</v>
      </c>
      <c r="AE235" s="73">
        <v>1522.48</v>
      </c>
      <c r="AF235" s="73">
        <v>867.99999999999898</v>
      </c>
      <c r="AG235" s="73">
        <v>890.93</v>
      </c>
      <c r="AH235" s="73">
        <v>6621.41</v>
      </c>
      <c r="AI235" s="73">
        <v>2643.28</v>
      </c>
      <c r="AJ235" s="73"/>
      <c r="AK235" s="73">
        <v>2063.1799999999998</v>
      </c>
      <c r="AL235" s="73">
        <v>13014.89</v>
      </c>
      <c r="AM235" s="161">
        <f t="shared" si="4"/>
        <v>4706.46</v>
      </c>
      <c r="AN235" s="161"/>
      <c r="AZ235" s="71" t="s">
        <v>268</v>
      </c>
      <c r="BA235" s="71" t="s">
        <v>10</v>
      </c>
      <c r="BB235" s="32">
        <v>11</v>
      </c>
      <c r="BC235" s="32">
        <v>10</v>
      </c>
      <c r="BD235" s="32">
        <v>14</v>
      </c>
      <c r="BF235" s="71" t="s">
        <v>268</v>
      </c>
      <c r="BG235" s="71" t="s">
        <v>10</v>
      </c>
      <c r="BH235" s="73">
        <v>2618.39</v>
      </c>
      <c r="BI235" s="73">
        <v>1339.25</v>
      </c>
      <c r="BJ235" s="73">
        <v>2363.67</v>
      </c>
      <c r="BL235" s="38"/>
      <c r="BM235" s="38"/>
      <c r="BN235" s="59"/>
      <c r="BO235" s="59"/>
      <c r="BP235" s="59"/>
    </row>
    <row r="236" spans="2:68" x14ac:dyDescent="0.2">
      <c r="B236" s="78">
        <v>98579</v>
      </c>
      <c r="C236" s="60" t="s">
        <v>333</v>
      </c>
      <c r="D236" s="45">
        <v>111</v>
      </c>
      <c r="E236" s="45">
        <v>126</v>
      </c>
      <c r="F236" s="45">
        <v>99</v>
      </c>
      <c r="H236" s="165">
        <v>98576</v>
      </c>
      <c r="I236" s="165" t="s">
        <v>333</v>
      </c>
      <c r="J236" s="166">
        <v>1728.4</v>
      </c>
      <c r="K236" s="166">
        <v>350.11</v>
      </c>
      <c r="L236" s="166">
        <v>2142.25</v>
      </c>
      <c r="M236" s="166">
        <v>14505.36</v>
      </c>
      <c r="N236" s="166">
        <v>1702.6599999999901</v>
      </c>
      <c r="O236" s="166">
        <v>630.83000000000004</v>
      </c>
      <c r="P236" s="166">
        <v>2233.9</v>
      </c>
      <c r="Q236" s="166">
        <v>6597.1599999999899</v>
      </c>
      <c r="R236" s="166">
        <v>3432.1</v>
      </c>
      <c r="S236" s="166">
        <v>1311.4</v>
      </c>
      <c r="T236" s="166">
        <v>2735.54</v>
      </c>
      <c r="U236" s="166">
        <v>37691.64</v>
      </c>
      <c r="V236" s="172"/>
      <c r="W236" s="161"/>
      <c r="Y236" s="71">
        <v>98941</v>
      </c>
      <c r="Z236" s="14" t="s">
        <v>10</v>
      </c>
      <c r="AA236" s="73">
        <v>2404.9699999999998</v>
      </c>
      <c r="AB236" s="73"/>
      <c r="AC236" s="73">
        <v>7341.5</v>
      </c>
      <c r="AD236" s="73">
        <v>9756.9599999999991</v>
      </c>
      <c r="AE236" s="73">
        <v>181.59</v>
      </c>
      <c r="AF236" s="73">
        <v>1535.74</v>
      </c>
      <c r="AG236" s="73">
        <v>4225.3500000000004</v>
      </c>
      <c r="AH236" s="73">
        <v>9454.82</v>
      </c>
      <c r="AI236" s="73">
        <v>2680.21</v>
      </c>
      <c r="AJ236" s="73"/>
      <c r="AK236" s="73">
        <v>5721.81</v>
      </c>
      <c r="AL236" s="73">
        <v>16624.39</v>
      </c>
      <c r="AM236" s="161">
        <f t="shared" si="4"/>
        <v>8402.02</v>
      </c>
      <c r="AN236" s="161"/>
      <c r="AZ236" s="71" t="s">
        <v>269</v>
      </c>
      <c r="BA236" s="71" t="s">
        <v>10</v>
      </c>
      <c r="BB236" s="32"/>
      <c r="BC236" s="32">
        <v>2</v>
      </c>
      <c r="BD236" s="32"/>
      <c r="BF236" s="71" t="s">
        <v>269</v>
      </c>
      <c r="BG236" s="71" t="s">
        <v>10</v>
      </c>
      <c r="BH236" s="73"/>
      <c r="BI236" s="73">
        <v>224.8</v>
      </c>
      <c r="BJ236" s="73"/>
      <c r="BL236" s="38"/>
      <c r="BM236" s="38"/>
      <c r="BN236" s="59"/>
      <c r="BO236" s="59"/>
      <c r="BP236" s="58"/>
    </row>
    <row r="237" spans="2:68" x14ac:dyDescent="0.2">
      <c r="B237" s="78">
        <v>98580</v>
      </c>
      <c r="C237" s="60" t="s">
        <v>333</v>
      </c>
      <c r="D237" s="45">
        <v>37</v>
      </c>
      <c r="E237" s="45">
        <v>49</v>
      </c>
      <c r="F237" s="45">
        <v>48</v>
      </c>
      <c r="H237" s="165">
        <v>98579</v>
      </c>
      <c r="I237" s="165" t="s">
        <v>333</v>
      </c>
      <c r="J237" s="166">
        <v>9493.44</v>
      </c>
      <c r="K237" s="166">
        <v>15417.859999999901</v>
      </c>
      <c r="L237" s="166">
        <v>51881.24</v>
      </c>
      <c r="M237" s="166">
        <v>175857.55999999901</v>
      </c>
      <c r="N237" s="166">
        <v>9250.9899999999907</v>
      </c>
      <c r="O237" s="166">
        <v>6309.69</v>
      </c>
      <c r="P237" s="166">
        <v>52345.979999999901</v>
      </c>
      <c r="Q237" s="166">
        <v>104358.19</v>
      </c>
      <c r="R237" s="166">
        <v>25385.889999999901</v>
      </c>
      <c r="S237" s="166">
        <v>7381.16</v>
      </c>
      <c r="T237" s="166">
        <v>44082.989999999903</v>
      </c>
      <c r="U237" s="166">
        <v>87930.33</v>
      </c>
      <c r="V237" s="172"/>
      <c r="W237" s="161"/>
      <c r="Y237" s="105">
        <v>98943</v>
      </c>
      <c r="Z237" s="97" t="s">
        <v>10</v>
      </c>
      <c r="AA237" s="106">
        <v>3121.5299999999902</v>
      </c>
      <c r="AB237" s="106">
        <v>1131.45</v>
      </c>
      <c r="AC237" s="106">
        <v>3528.6099999999901</v>
      </c>
      <c r="AD237" s="106">
        <v>12543.2</v>
      </c>
      <c r="AE237" s="106">
        <v>1202.23</v>
      </c>
      <c r="AF237" s="106">
        <v>2619.5</v>
      </c>
      <c r="AG237" s="106">
        <v>2685.1499999999901</v>
      </c>
      <c r="AH237" s="106">
        <v>10415.959999999999</v>
      </c>
      <c r="AI237" s="106">
        <v>3381.7</v>
      </c>
      <c r="AJ237" s="106">
        <v>564.44000000000005</v>
      </c>
      <c r="AK237" s="106">
        <v>4131.1099999999997</v>
      </c>
      <c r="AL237" s="106">
        <v>15332.55</v>
      </c>
      <c r="AM237" s="161">
        <f t="shared" si="4"/>
        <v>8077.25</v>
      </c>
      <c r="AN237" s="161"/>
      <c r="AZ237" s="71" t="s">
        <v>270</v>
      </c>
      <c r="BA237" s="71" t="s">
        <v>10</v>
      </c>
      <c r="BB237" s="32">
        <v>14</v>
      </c>
      <c r="BC237" s="32">
        <v>9</v>
      </c>
      <c r="BD237" s="32">
        <v>7</v>
      </c>
      <c r="BF237" s="71" t="s">
        <v>270</v>
      </c>
      <c r="BG237" s="71" t="s">
        <v>10</v>
      </c>
      <c r="BH237" s="73">
        <v>3455.91</v>
      </c>
      <c r="BI237" s="73">
        <v>2167.0100000000002</v>
      </c>
      <c r="BJ237" s="73">
        <v>1551.95</v>
      </c>
      <c r="BL237" s="38"/>
      <c r="BM237" s="38"/>
      <c r="BN237" s="58"/>
      <c r="BO237" s="58"/>
      <c r="BP237" s="59"/>
    </row>
    <row r="238" spans="2:68" x14ac:dyDescent="0.2">
      <c r="B238" s="78">
        <v>98589</v>
      </c>
      <c r="C238" s="60" t="s">
        <v>333</v>
      </c>
      <c r="D238" s="45">
        <v>61</v>
      </c>
      <c r="E238" s="45">
        <v>57</v>
      </c>
      <c r="F238" s="45">
        <v>68</v>
      </c>
      <c r="H238" s="165">
        <v>98580</v>
      </c>
      <c r="I238" s="165" t="s">
        <v>333</v>
      </c>
      <c r="J238" s="166">
        <v>5649.11</v>
      </c>
      <c r="K238" s="166">
        <v>206.52</v>
      </c>
      <c r="L238" s="166">
        <v>47414.09</v>
      </c>
      <c r="M238" s="166">
        <v>60396.72</v>
      </c>
      <c r="N238" s="166">
        <v>6445.8</v>
      </c>
      <c r="O238" s="166">
        <v>3218.85</v>
      </c>
      <c r="P238" s="166">
        <v>45260.88</v>
      </c>
      <c r="Q238" s="166">
        <v>63507.1899999999</v>
      </c>
      <c r="R238" s="166">
        <v>5424.8299999999899</v>
      </c>
      <c r="S238" s="166">
        <v>2633.04</v>
      </c>
      <c r="T238" s="166">
        <v>49162.97</v>
      </c>
      <c r="U238" s="166">
        <v>85756.82</v>
      </c>
      <c r="V238" s="172"/>
      <c r="W238" s="161"/>
      <c r="Y238" s="97">
        <v>98946</v>
      </c>
      <c r="Z238" s="97" t="s">
        <v>10</v>
      </c>
      <c r="AA238" s="130">
        <v>1670.28</v>
      </c>
      <c r="AB238" s="130">
        <v>312.909999999999</v>
      </c>
      <c r="AC238" s="130">
        <v>1433.44</v>
      </c>
      <c r="AD238" s="130">
        <v>6399.84</v>
      </c>
      <c r="AE238" s="130">
        <v>2404.5700000000002</v>
      </c>
      <c r="AF238" s="130">
        <v>927.81</v>
      </c>
      <c r="AG238" s="130">
        <v>1746.35</v>
      </c>
      <c r="AH238" s="130">
        <v>6973.53</v>
      </c>
      <c r="AI238" s="130">
        <v>1846.91</v>
      </c>
      <c r="AJ238" s="130">
        <v>2218.6799999999998</v>
      </c>
      <c r="AK238" s="130">
        <v>2630.23</v>
      </c>
      <c r="AL238" s="130">
        <v>8776.15</v>
      </c>
      <c r="AM238" s="161">
        <f t="shared" si="4"/>
        <v>6695.82</v>
      </c>
      <c r="AN238" s="169"/>
      <c r="AZ238" s="71" t="s">
        <v>271</v>
      </c>
      <c r="BA238" s="71" t="s">
        <v>10</v>
      </c>
      <c r="BB238" s="32">
        <v>7</v>
      </c>
      <c r="BC238" s="32">
        <v>3</v>
      </c>
      <c r="BD238" s="32">
        <v>10</v>
      </c>
      <c r="BF238" s="71" t="s">
        <v>271</v>
      </c>
      <c r="BG238" s="71" t="s">
        <v>10</v>
      </c>
      <c r="BH238" s="73">
        <v>2682.18</v>
      </c>
      <c r="BI238" s="73">
        <v>191.09</v>
      </c>
      <c r="BJ238" s="73">
        <v>6491.97</v>
      </c>
      <c r="BL238" s="38"/>
      <c r="BM238" s="38"/>
      <c r="BN238" s="59"/>
      <c r="BO238" s="58"/>
      <c r="BP238" s="58"/>
    </row>
    <row r="239" spans="2:68" ht="16" thickBot="1" x14ac:dyDescent="0.25">
      <c r="B239" s="78">
        <v>98591</v>
      </c>
      <c r="C239" s="60" t="s">
        <v>333</v>
      </c>
      <c r="D239" s="45"/>
      <c r="E239" s="45">
        <v>1</v>
      </c>
      <c r="F239" s="45"/>
      <c r="H239" s="165">
        <v>98589</v>
      </c>
      <c r="I239" s="165" t="s">
        <v>333</v>
      </c>
      <c r="J239" s="166">
        <v>37632.879999999903</v>
      </c>
      <c r="K239" s="166">
        <v>2416.0899999999901</v>
      </c>
      <c r="L239" s="166">
        <v>128403.35</v>
      </c>
      <c r="M239" s="166">
        <v>175986.12</v>
      </c>
      <c r="N239" s="166">
        <v>3197.5999999999899</v>
      </c>
      <c r="O239" s="166">
        <v>30977.909999999902</v>
      </c>
      <c r="P239" s="166">
        <v>125450.72</v>
      </c>
      <c r="Q239" s="166">
        <v>176837.96999999901</v>
      </c>
      <c r="R239" s="166">
        <v>8508.5099999999893</v>
      </c>
      <c r="S239" s="166">
        <v>2196.29</v>
      </c>
      <c r="T239" s="166">
        <v>142319.34</v>
      </c>
      <c r="U239" s="166">
        <v>161405.36999999901</v>
      </c>
      <c r="V239" s="172"/>
      <c r="W239" s="161"/>
      <c r="Y239" s="16" t="s">
        <v>336</v>
      </c>
      <c r="Z239" s="16" t="s">
        <v>10</v>
      </c>
      <c r="AA239" s="108">
        <v>401.99</v>
      </c>
      <c r="AB239" s="108"/>
      <c r="AC239" s="108">
        <v>2442.21</v>
      </c>
      <c r="AD239" s="108">
        <v>2989.0599999999899</v>
      </c>
      <c r="AE239" s="108"/>
      <c r="AF239" s="108">
        <v>106.65</v>
      </c>
      <c r="AG239" s="108">
        <v>1525.68</v>
      </c>
      <c r="AH239" s="108">
        <v>2933.33</v>
      </c>
      <c r="AI239" s="108">
        <v>1398.59</v>
      </c>
      <c r="AJ239" s="108"/>
      <c r="AK239" s="108"/>
      <c r="AL239" s="108">
        <v>3423.23</v>
      </c>
      <c r="AM239" s="161">
        <f t="shared" si="4"/>
        <v>1398.59</v>
      </c>
      <c r="AN239" s="169"/>
      <c r="AZ239" s="71" t="s">
        <v>272</v>
      </c>
      <c r="BA239" s="71" t="s">
        <v>10</v>
      </c>
      <c r="BB239" s="32">
        <v>10</v>
      </c>
      <c r="BC239" s="32">
        <v>6</v>
      </c>
      <c r="BD239" s="32">
        <v>7</v>
      </c>
      <c r="BF239" s="71" t="s">
        <v>272</v>
      </c>
      <c r="BG239" s="71" t="s">
        <v>10</v>
      </c>
      <c r="BH239" s="73">
        <v>1724.14</v>
      </c>
      <c r="BI239" s="73">
        <v>460.45</v>
      </c>
      <c r="BJ239" s="73">
        <v>1067.5899999999999</v>
      </c>
    </row>
    <row r="240" spans="2:68" ht="16" thickBot="1" x14ac:dyDescent="0.25">
      <c r="B240" s="78">
        <v>98596</v>
      </c>
      <c r="C240" s="60" t="s">
        <v>333</v>
      </c>
      <c r="D240" s="45">
        <v>7</v>
      </c>
      <c r="E240" s="45">
        <v>6</v>
      </c>
      <c r="F240" s="45">
        <v>2</v>
      </c>
      <c r="H240" s="165">
        <v>98591</v>
      </c>
      <c r="I240" s="165" t="s">
        <v>333</v>
      </c>
      <c r="J240" s="166"/>
      <c r="K240" s="166"/>
      <c r="L240" s="166"/>
      <c r="M240" s="166"/>
      <c r="N240" s="166"/>
      <c r="O240" s="166"/>
      <c r="P240" s="166"/>
      <c r="Q240" s="166">
        <v>3160.92</v>
      </c>
      <c r="R240" s="166"/>
      <c r="S240" s="166"/>
      <c r="T240" s="166"/>
      <c r="U240" s="166"/>
      <c r="V240" s="172"/>
      <c r="W240" s="161"/>
      <c r="Y240" s="142"/>
      <c r="Z240" s="143"/>
      <c r="AA240" s="159">
        <f>SUM(AA17:AA239)</f>
        <v>2535877.6199999969</v>
      </c>
      <c r="AB240" s="159">
        <f t="shared" ref="AB240:AL240" si="5">SUM(AB17:AB239)</f>
        <v>954260.77999999817</v>
      </c>
      <c r="AC240" s="159">
        <f t="shared" si="5"/>
        <v>6480253.7799999919</v>
      </c>
      <c r="AD240" s="159">
        <f t="shared" si="5"/>
        <v>14835843.00999997</v>
      </c>
      <c r="AE240" s="159">
        <f t="shared" si="5"/>
        <v>3709717.169999992</v>
      </c>
      <c r="AF240" s="159">
        <f t="shared" si="5"/>
        <v>2131793.9299999988</v>
      </c>
      <c r="AG240" s="159">
        <f t="shared" si="5"/>
        <v>6387283.0099999867</v>
      </c>
      <c r="AH240" s="159">
        <f t="shared" si="5"/>
        <v>17125444.80999998</v>
      </c>
      <c r="AI240" s="159">
        <f t="shared" si="5"/>
        <v>3955951.2299999935</v>
      </c>
      <c r="AJ240" s="159">
        <f t="shared" si="5"/>
        <v>2924229.1599999969</v>
      </c>
      <c r="AK240" s="159">
        <f t="shared" si="5"/>
        <v>7218257.1399999876</v>
      </c>
      <c r="AL240" s="171">
        <f t="shared" si="5"/>
        <v>19883791.569999974</v>
      </c>
      <c r="AM240" s="171">
        <f>SUM(AM17:AM239)</f>
        <v>14098437.529999979</v>
      </c>
      <c r="AZ240" s="71" t="s">
        <v>273</v>
      </c>
      <c r="BA240" s="71" t="s">
        <v>10</v>
      </c>
      <c r="BB240" s="32">
        <v>8</v>
      </c>
      <c r="BC240" s="32">
        <v>3</v>
      </c>
      <c r="BD240" s="32">
        <v>12</v>
      </c>
      <c r="BF240" s="71" t="s">
        <v>273</v>
      </c>
      <c r="BG240" s="71" t="s">
        <v>10</v>
      </c>
      <c r="BH240" s="73">
        <v>2881.43</v>
      </c>
      <c r="BI240" s="73">
        <v>443.55</v>
      </c>
      <c r="BJ240" s="73">
        <v>3407.31</v>
      </c>
    </row>
    <row r="241" spans="2:62" x14ac:dyDescent="0.2">
      <c r="B241" s="78">
        <v>98597</v>
      </c>
      <c r="C241" s="60" t="s">
        <v>333</v>
      </c>
      <c r="D241" s="45">
        <v>251</v>
      </c>
      <c r="E241" s="45">
        <v>130</v>
      </c>
      <c r="F241" s="45">
        <v>253</v>
      </c>
      <c r="H241" s="165">
        <v>98596</v>
      </c>
      <c r="I241" s="165" t="s">
        <v>333</v>
      </c>
      <c r="J241" s="166">
        <v>464.06</v>
      </c>
      <c r="K241" s="166">
        <v>46.45</v>
      </c>
      <c r="L241" s="166"/>
      <c r="M241" s="166">
        <v>20659.310000000001</v>
      </c>
      <c r="N241" s="166">
        <v>5971.73</v>
      </c>
      <c r="O241" s="166">
        <v>464.06</v>
      </c>
      <c r="P241" s="166">
        <v>46.45</v>
      </c>
      <c r="Q241" s="166">
        <v>25946.93</v>
      </c>
      <c r="R241" s="166">
        <v>524.78</v>
      </c>
      <c r="S241" s="166">
        <v>226.51</v>
      </c>
      <c r="T241" s="166"/>
      <c r="U241" s="166">
        <v>1338.4</v>
      </c>
      <c r="V241" s="172"/>
      <c r="W241" s="161"/>
      <c r="AZ241" s="71" t="s">
        <v>274</v>
      </c>
      <c r="BA241" s="71" t="s">
        <v>10</v>
      </c>
      <c r="BB241" s="32">
        <v>5</v>
      </c>
      <c r="BC241" s="32">
        <v>6</v>
      </c>
      <c r="BD241" s="32">
        <v>5</v>
      </c>
      <c r="BF241" s="71" t="s">
        <v>274</v>
      </c>
      <c r="BG241" s="71" t="s">
        <v>10</v>
      </c>
      <c r="BH241" s="73">
        <v>875.37</v>
      </c>
      <c r="BI241" s="73">
        <v>709.88</v>
      </c>
      <c r="BJ241" s="73">
        <v>221.49</v>
      </c>
    </row>
    <row r="242" spans="2:62" x14ac:dyDescent="0.2">
      <c r="B242" s="78">
        <v>98922</v>
      </c>
      <c r="C242" s="60" t="s">
        <v>333</v>
      </c>
      <c r="D242" s="45">
        <v>189</v>
      </c>
      <c r="E242" s="45">
        <v>105</v>
      </c>
      <c r="F242" s="45">
        <v>190</v>
      </c>
      <c r="H242" s="165">
        <v>98597</v>
      </c>
      <c r="I242" s="165" t="s">
        <v>333</v>
      </c>
      <c r="J242" s="166">
        <v>14911.209999999901</v>
      </c>
      <c r="K242" s="166">
        <v>6913.74</v>
      </c>
      <c r="L242" s="166">
        <v>49182.14</v>
      </c>
      <c r="M242" s="166">
        <v>128930.11999999901</v>
      </c>
      <c r="N242" s="166">
        <v>8262.75</v>
      </c>
      <c r="O242" s="166">
        <v>12764.14</v>
      </c>
      <c r="P242" s="166">
        <v>39443.859999999899</v>
      </c>
      <c r="Q242" s="166">
        <v>93741.48</v>
      </c>
      <c r="R242" s="166">
        <v>21820.35</v>
      </c>
      <c r="S242" s="166">
        <v>6095.62</v>
      </c>
      <c r="T242" s="166">
        <v>45901.479999999901</v>
      </c>
      <c r="U242" s="166">
        <v>168432.71</v>
      </c>
      <c r="V242" s="172"/>
      <c r="W242" s="161"/>
      <c r="AZ242" s="71" t="s">
        <v>131</v>
      </c>
      <c r="BA242" s="71" t="s">
        <v>10</v>
      </c>
      <c r="BB242" s="32">
        <v>9</v>
      </c>
      <c r="BC242" s="32">
        <v>4</v>
      </c>
      <c r="BD242" s="32">
        <v>7</v>
      </c>
      <c r="BF242" s="71" t="s">
        <v>131</v>
      </c>
      <c r="BG242" s="71" t="s">
        <v>10</v>
      </c>
      <c r="BH242" s="73">
        <v>7262.87</v>
      </c>
      <c r="BI242" s="73">
        <v>970.73</v>
      </c>
      <c r="BJ242" s="73">
        <v>1302.48</v>
      </c>
    </row>
    <row r="243" spans="2:62" x14ac:dyDescent="0.2">
      <c r="B243" s="78">
        <v>98925</v>
      </c>
      <c r="C243" s="60" t="s">
        <v>333</v>
      </c>
      <c r="D243" s="45">
        <v>11</v>
      </c>
      <c r="E243" s="45">
        <v>13</v>
      </c>
      <c r="F243" s="45">
        <v>9</v>
      </c>
      <c r="H243" s="165">
        <v>98922</v>
      </c>
      <c r="I243" s="165" t="s">
        <v>333</v>
      </c>
      <c r="J243" s="166">
        <v>46232.059999999903</v>
      </c>
      <c r="K243" s="166">
        <v>3457.37</v>
      </c>
      <c r="L243" s="166">
        <v>12025.33</v>
      </c>
      <c r="M243" s="166">
        <v>191015.75999999899</v>
      </c>
      <c r="N243" s="166">
        <v>6222.3399999999901</v>
      </c>
      <c r="O243" s="166">
        <v>7403.5</v>
      </c>
      <c r="P243" s="166">
        <v>11082.99</v>
      </c>
      <c r="Q243" s="166">
        <v>43957.47</v>
      </c>
      <c r="R243" s="166">
        <v>5039.0200000000004</v>
      </c>
      <c r="S243" s="166">
        <v>2979.98</v>
      </c>
      <c r="T243" s="166">
        <v>15667.199999999901</v>
      </c>
      <c r="U243" s="166">
        <v>152898.35999999999</v>
      </c>
      <c r="V243" s="172"/>
      <c r="W243" s="161"/>
      <c r="AZ243" s="71" t="s">
        <v>275</v>
      </c>
      <c r="BA243" s="71" t="s">
        <v>10</v>
      </c>
      <c r="BB243" s="32">
        <v>3</v>
      </c>
      <c r="BC243" s="32">
        <v>8</v>
      </c>
      <c r="BD243" s="32">
        <v>4</v>
      </c>
      <c r="BF243" s="71" t="s">
        <v>275</v>
      </c>
      <c r="BG243" s="71" t="s">
        <v>10</v>
      </c>
      <c r="BH243" s="73">
        <v>290.20999999999998</v>
      </c>
      <c r="BI243" s="73">
        <v>1205.46</v>
      </c>
      <c r="BJ243" s="73">
        <v>8690.1</v>
      </c>
    </row>
    <row r="244" spans="2:62" x14ac:dyDescent="0.2">
      <c r="B244" s="54">
        <v>98926</v>
      </c>
      <c r="C244" s="60" t="s">
        <v>333</v>
      </c>
      <c r="D244" s="45">
        <v>102</v>
      </c>
      <c r="E244" s="45">
        <v>118</v>
      </c>
      <c r="F244" s="45">
        <v>118</v>
      </c>
      <c r="H244" s="165">
        <v>98925</v>
      </c>
      <c r="I244" s="165" t="s">
        <v>333</v>
      </c>
      <c r="J244" s="166">
        <v>703.43</v>
      </c>
      <c r="K244" s="166">
        <v>239.48</v>
      </c>
      <c r="L244" s="166">
        <v>279.31</v>
      </c>
      <c r="M244" s="166">
        <v>2993.05</v>
      </c>
      <c r="N244" s="166">
        <v>786.73</v>
      </c>
      <c r="O244" s="166">
        <v>579.99</v>
      </c>
      <c r="P244" s="166">
        <v>518.79</v>
      </c>
      <c r="Q244" s="166">
        <v>3769.88</v>
      </c>
      <c r="R244" s="166">
        <v>732.16</v>
      </c>
      <c r="S244" s="166">
        <v>660.03</v>
      </c>
      <c r="T244" s="166">
        <v>1098.78</v>
      </c>
      <c r="U244" s="166">
        <v>3021.0999999999899</v>
      </c>
      <c r="V244" s="172"/>
      <c r="W244" s="161"/>
      <c r="AZ244" s="71" t="s">
        <v>276</v>
      </c>
      <c r="BA244" s="71" t="s">
        <v>10</v>
      </c>
      <c r="BB244" s="32">
        <v>8</v>
      </c>
      <c r="BC244" s="32">
        <v>8</v>
      </c>
      <c r="BD244" s="32">
        <v>3</v>
      </c>
      <c r="BF244" s="71" t="s">
        <v>276</v>
      </c>
      <c r="BG244" s="71" t="s">
        <v>10</v>
      </c>
      <c r="BH244" s="73">
        <v>2002.5</v>
      </c>
      <c r="BI244" s="73">
        <v>2420.16</v>
      </c>
      <c r="BJ244" s="73">
        <v>1802.6</v>
      </c>
    </row>
    <row r="245" spans="2:62" x14ac:dyDescent="0.2">
      <c r="B245" s="54">
        <v>98934</v>
      </c>
      <c r="C245" s="60" t="s">
        <v>333</v>
      </c>
      <c r="D245" s="45">
        <v>34</v>
      </c>
      <c r="E245" s="45">
        <v>33</v>
      </c>
      <c r="F245" s="45">
        <v>31</v>
      </c>
      <c r="H245" s="165">
        <v>98926</v>
      </c>
      <c r="I245" s="165" t="s">
        <v>333</v>
      </c>
      <c r="J245" s="166">
        <v>23248.31</v>
      </c>
      <c r="K245" s="166">
        <v>2357.7399999999998</v>
      </c>
      <c r="L245" s="166">
        <v>45703.87</v>
      </c>
      <c r="M245" s="166">
        <v>132448.28</v>
      </c>
      <c r="N245" s="166">
        <v>31056.83</v>
      </c>
      <c r="O245" s="166">
        <v>14214.01</v>
      </c>
      <c r="P245" s="166">
        <v>43811.78</v>
      </c>
      <c r="Q245" s="166">
        <v>146222.92000000001</v>
      </c>
      <c r="R245" s="166">
        <v>28206.78</v>
      </c>
      <c r="S245" s="166">
        <v>30032.81</v>
      </c>
      <c r="T245" s="166">
        <v>51180.57</v>
      </c>
      <c r="U245" s="166">
        <v>139358.50999999899</v>
      </c>
      <c r="V245" s="172"/>
      <c r="W245" s="161"/>
      <c r="AZ245" s="71" t="s">
        <v>277</v>
      </c>
      <c r="BA245" s="71" t="s">
        <v>10</v>
      </c>
      <c r="BB245" s="32">
        <v>9</v>
      </c>
      <c r="BC245" s="32">
        <v>9</v>
      </c>
      <c r="BD245" s="32">
        <v>6</v>
      </c>
      <c r="BF245" s="71" t="s">
        <v>277</v>
      </c>
      <c r="BG245" s="71" t="s">
        <v>10</v>
      </c>
      <c r="BH245" s="73">
        <v>1730.89</v>
      </c>
      <c r="BI245" s="73">
        <v>2324.71</v>
      </c>
      <c r="BJ245" s="73">
        <v>2563.27</v>
      </c>
    </row>
    <row r="246" spans="2:62" x14ac:dyDescent="0.2">
      <c r="B246" s="54">
        <v>98940</v>
      </c>
      <c r="C246" s="60" t="s">
        <v>333</v>
      </c>
      <c r="D246" s="45">
        <v>14</v>
      </c>
      <c r="E246" s="45">
        <v>15</v>
      </c>
      <c r="F246" s="45">
        <v>28</v>
      </c>
      <c r="H246" s="165">
        <v>98934</v>
      </c>
      <c r="I246" s="165" t="s">
        <v>333</v>
      </c>
      <c r="J246" s="166">
        <v>1778.87</v>
      </c>
      <c r="K246" s="166">
        <v>776.16</v>
      </c>
      <c r="L246" s="166">
        <v>2508.48</v>
      </c>
      <c r="M246" s="166">
        <v>26810.63</v>
      </c>
      <c r="N246" s="166">
        <v>1714.01</v>
      </c>
      <c r="O246" s="166">
        <v>643.35</v>
      </c>
      <c r="P246" s="166">
        <v>2523.94</v>
      </c>
      <c r="Q246" s="166">
        <v>27935.08</v>
      </c>
      <c r="R246" s="166">
        <v>2008</v>
      </c>
      <c r="S246" s="166">
        <v>15.46</v>
      </c>
      <c r="T246" s="166">
        <v>2539.4099999999899</v>
      </c>
      <c r="U246" s="166">
        <v>25408.3</v>
      </c>
      <c r="V246" s="172"/>
      <c r="W246" s="161"/>
      <c r="AZ246" s="71" t="s">
        <v>278</v>
      </c>
      <c r="BA246" s="71" t="s">
        <v>10</v>
      </c>
      <c r="BB246" s="32">
        <v>6</v>
      </c>
      <c r="BC246" s="32">
        <v>5</v>
      </c>
      <c r="BD246" s="32">
        <v>4</v>
      </c>
      <c r="BF246" s="71" t="s">
        <v>278</v>
      </c>
      <c r="BG246" s="71" t="s">
        <v>10</v>
      </c>
      <c r="BH246" s="73">
        <v>1581.72</v>
      </c>
      <c r="BI246" s="73">
        <v>1106.47</v>
      </c>
      <c r="BJ246" s="73">
        <v>1095.8800000000001</v>
      </c>
    </row>
    <row r="247" spans="2:62" x14ac:dyDescent="0.2">
      <c r="B247" s="54">
        <v>98941</v>
      </c>
      <c r="C247" s="60" t="s">
        <v>333</v>
      </c>
      <c r="D247" s="45">
        <v>12</v>
      </c>
      <c r="E247" s="45">
        <v>19</v>
      </c>
      <c r="F247" s="45">
        <v>33</v>
      </c>
      <c r="H247" s="165">
        <v>98940</v>
      </c>
      <c r="I247" s="165" t="s">
        <v>333</v>
      </c>
      <c r="J247" s="166">
        <v>682.31</v>
      </c>
      <c r="K247" s="166">
        <v>86.919999999999902</v>
      </c>
      <c r="L247" s="166">
        <v>2562.4399999999901</v>
      </c>
      <c r="M247" s="166">
        <v>3628.37</v>
      </c>
      <c r="N247" s="166">
        <v>95.53</v>
      </c>
      <c r="O247" s="166">
        <v>281.909999999999</v>
      </c>
      <c r="P247" s="166">
        <v>1747.11</v>
      </c>
      <c r="Q247" s="166">
        <v>4165.8999999999996</v>
      </c>
      <c r="R247" s="166">
        <v>524.86</v>
      </c>
      <c r="S247" s="166">
        <v>10.210000000000001</v>
      </c>
      <c r="T247" s="166">
        <v>1231.6799999999901</v>
      </c>
      <c r="U247" s="166">
        <v>6271.05</v>
      </c>
      <c r="V247" s="172"/>
      <c r="W247" s="161"/>
      <c r="AZ247" s="71" t="s">
        <v>279</v>
      </c>
      <c r="BA247" s="71" t="s">
        <v>10</v>
      </c>
      <c r="BB247" s="32">
        <v>22</v>
      </c>
      <c r="BC247" s="32">
        <v>2</v>
      </c>
      <c r="BD247" s="32">
        <v>5</v>
      </c>
      <c r="BF247" s="71" t="s">
        <v>279</v>
      </c>
      <c r="BG247" s="71" t="s">
        <v>10</v>
      </c>
      <c r="BH247" s="73">
        <v>5317.71</v>
      </c>
      <c r="BI247" s="73">
        <v>129.4</v>
      </c>
      <c r="BJ247" s="73">
        <v>4441.22</v>
      </c>
    </row>
    <row r="248" spans="2:62" x14ac:dyDescent="0.2">
      <c r="B248" s="54">
        <v>98943</v>
      </c>
      <c r="C248" s="60" t="s">
        <v>333</v>
      </c>
      <c r="D248" s="45">
        <v>5</v>
      </c>
      <c r="E248" s="45">
        <v>4</v>
      </c>
      <c r="F248" s="45">
        <v>6</v>
      </c>
      <c r="H248" s="165">
        <v>98941</v>
      </c>
      <c r="I248" s="165" t="s">
        <v>333</v>
      </c>
      <c r="J248" s="166">
        <v>2468.34</v>
      </c>
      <c r="K248" s="166"/>
      <c r="L248" s="166">
        <v>3790.07</v>
      </c>
      <c r="M248" s="166">
        <v>7224.65</v>
      </c>
      <c r="N248" s="166">
        <v>1735.04</v>
      </c>
      <c r="O248" s="166">
        <v>449.53</v>
      </c>
      <c r="P248" s="166">
        <v>3421.99</v>
      </c>
      <c r="Q248" s="166">
        <v>11651.14</v>
      </c>
      <c r="R248" s="166">
        <v>2771.38</v>
      </c>
      <c r="S248" s="166">
        <v>747.05</v>
      </c>
      <c r="T248" s="166">
        <v>4429.91</v>
      </c>
      <c r="U248" s="166">
        <v>20413.46</v>
      </c>
      <c r="V248" s="172"/>
      <c r="W248" s="161"/>
      <c r="AZ248" s="71" t="s">
        <v>280</v>
      </c>
      <c r="BA248" s="71" t="s">
        <v>10</v>
      </c>
      <c r="BB248" s="32">
        <v>6</v>
      </c>
      <c r="BC248" s="32">
        <v>1</v>
      </c>
      <c r="BD248" s="32">
        <v>7</v>
      </c>
      <c r="BF248" s="71" t="s">
        <v>280</v>
      </c>
      <c r="BG248" s="71" t="s">
        <v>10</v>
      </c>
      <c r="BH248" s="73">
        <v>556.71</v>
      </c>
      <c r="BI248" s="73">
        <v>17.97</v>
      </c>
      <c r="BJ248" s="73">
        <v>1991.15</v>
      </c>
    </row>
    <row r="249" spans="2:62" x14ac:dyDescent="0.2">
      <c r="B249" s="54">
        <v>98946</v>
      </c>
      <c r="C249" s="60" t="s">
        <v>333</v>
      </c>
      <c r="D249" s="45">
        <v>29</v>
      </c>
      <c r="E249" s="45">
        <v>15</v>
      </c>
      <c r="F249" s="45">
        <v>19</v>
      </c>
      <c r="H249" s="165">
        <v>98943</v>
      </c>
      <c r="I249" s="165" t="s">
        <v>333</v>
      </c>
      <c r="J249" s="166">
        <v>17083.47</v>
      </c>
      <c r="K249" s="166">
        <v>9589.24</v>
      </c>
      <c r="L249" s="166">
        <v>302439.18</v>
      </c>
      <c r="M249" s="166">
        <v>353090.14</v>
      </c>
      <c r="N249" s="166">
        <v>23423.06</v>
      </c>
      <c r="O249" s="166">
        <v>16892.2</v>
      </c>
      <c r="P249" s="166">
        <v>311919.69</v>
      </c>
      <c r="Q249" s="166">
        <v>372366.52999999898</v>
      </c>
      <c r="R249" s="166">
        <v>19860.03</v>
      </c>
      <c r="S249" s="166">
        <v>23423.06</v>
      </c>
      <c r="T249" s="166">
        <v>328788.83</v>
      </c>
      <c r="U249" s="166">
        <v>395088.26999999897</v>
      </c>
      <c r="V249" s="172"/>
      <c r="W249" s="161"/>
      <c r="AZ249" s="71" t="s">
        <v>281</v>
      </c>
      <c r="BA249" s="71" t="s">
        <v>10</v>
      </c>
      <c r="BB249" s="32">
        <v>2</v>
      </c>
      <c r="BC249" s="32">
        <v>3</v>
      </c>
      <c r="BD249" s="32">
        <v>1</v>
      </c>
      <c r="BF249" s="71" t="s">
        <v>281</v>
      </c>
      <c r="BG249" s="71" t="s">
        <v>10</v>
      </c>
      <c r="BH249" s="73">
        <v>136.78</v>
      </c>
      <c r="BI249" s="73">
        <v>329.96</v>
      </c>
      <c r="BJ249" s="73">
        <v>38.22</v>
      </c>
    </row>
    <row r="250" spans="2:62" x14ac:dyDescent="0.2">
      <c r="B250" s="54" t="s">
        <v>336</v>
      </c>
      <c r="C250" s="60" t="s">
        <v>333</v>
      </c>
      <c r="D250" s="45">
        <v>79</v>
      </c>
      <c r="E250" s="45">
        <v>69</v>
      </c>
      <c r="F250" s="45">
        <v>55</v>
      </c>
      <c r="H250" s="165">
        <v>98946</v>
      </c>
      <c r="I250" s="165" t="s">
        <v>333</v>
      </c>
      <c r="J250" s="166">
        <v>5364.36</v>
      </c>
      <c r="K250" s="166">
        <v>4465.63</v>
      </c>
      <c r="L250" s="166">
        <v>64193.769999999902</v>
      </c>
      <c r="M250" s="166">
        <v>90351.82</v>
      </c>
      <c r="N250" s="166">
        <v>4762.8399999999901</v>
      </c>
      <c r="O250" s="166">
        <v>5129.9799999999996</v>
      </c>
      <c r="P250" s="166">
        <v>61640.04</v>
      </c>
      <c r="Q250" s="166">
        <v>75803.960000000006</v>
      </c>
      <c r="R250" s="166">
        <v>3360.3</v>
      </c>
      <c r="S250" s="166">
        <v>4300.6099999999997</v>
      </c>
      <c r="T250" s="166">
        <v>62503.68</v>
      </c>
      <c r="U250" s="166">
        <v>83060.489999999903</v>
      </c>
      <c r="V250" s="172"/>
      <c r="W250" s="161"/>
      <c r="AZ250" s="71" t="s">
        <v>282</v>
      </c>
      <c r="BA250" s="71" t="s">
        <v>10</v>
      </c>
      <c r="BB250" s="32">
        <v>13</v>
      </c>
      <c r="BC250" s="32">
        <v>12</v>
      </c>
      <c r="BD250" s="32">
        <v>10</v>
      </c>
      <c r="BF250" s="71" t="s">
        <v>282</v>
      </c>
      <c r="BG250" s="71" t="s">
        <v>10</v>
      </c>
      <c r="BH250" s="73">
        <v>1218.5899999999999</v>
      </c>
      <c r="BI250" s="73">
        <v>2549.62</v>
      </c>
      <c r="BJ250" s="73">
        <v>3068.15</v>
      </c>
    </row>
    <row r="251" spans="2:62" x14ac:dyDescent="0.2">
      <c r="B251" s="54">
        <v>98001</v>
      </c>
      <c r="C251" s="60" t="s">
        <v>10</v>
      </c>
      <c r="D251" s="45">
        <v>1934</v>
      </c>
      <c r="E251" s="45">
        <v>1996</v>
      </c>
      <c r="F251" s="45">
        <v>2023</v>
      </c>
      <c r="H251" s="165" t="s">
        <v>336</v>
      </c>
      <c r="I251" s="165" t="s">
        <v>333</v>
      </c>
      <c r="J251" s="166">
        <v>5653.47</v>
      </c>
      <c r="K251" s="166">
        <v>8895.48</v>
      </c>
      <c r="L251" s="166">
        <v>35391.25</v>
      </c>
      <c r="M251" s="166">
        <v>85177.87</v>
      </c>
      <c r="N251" s="166">
        <v>8786.33</v>
      </c>
      <c r="O251" s="166">
        <v>4914.1499999999996</v>
      </c>
      <c r="P251" s="166">
        <v>28822.789999999899</v>
      </c>
      <c r="Q251" s="166">
        <v>80774.349999999904</v>
      </c>
      <c r="R251" s="166">
        <v>5246.3899999999903</v>
      </c>
      <c r="S251" s="166">
        <v>3309.75</v>
      </c>
      <c r="T251" s="166">
        <v>27662.76</v>
      </c>
      <c r="U251" s="166">
        <v>66214.39</v>
      </c>
      <c r="V251" s="172"/>
      <c r="W251" s="161"/>
      <c r="AZ251" s="71" t="s">
        <v>283</v>
      </c>
      <c r="BA251" s="71" t="s">
        <v>10</v>
      </c>
      <c r="BB251" s="32">
        <v>5</v>
      </c>
      <c r="BC251" s="32">
        <v>3</v>
      </c>
      <c r="BD251" s="32">
        <v>8</v>
      </c>
      <c r="BF251" s="71" t="s">
        <v>283</v>
      </c>
      <c r="BG251" s="71" t="s">
        <v>10</v>
      </c>
      <c r="BH251" s="73">
        <v>1184.8800000000001</v>
      </c>
      <c r="BI251" s="73">
        <v>352.27</v>
      </c>
      <c r="BJ251" s="73">
        <v>2939.74</v>
      </c>
    </row>
    <row r="252" spans="2:62" x14ac:dyDescent="0.2">
      <c r="B252" s="54">
        <v>98002</v>
      </c>
      <c r="C252" s="60" t="s">
        <v>10</v>
      </c>
      <c r="D252" s="45">
        <v>3616</v>
      </c>
      <c r="E252" s="45">
        <v>3764</v>
      </c>
      <c r="F252" s="45">
        <v>5036</v>
      </c>
      <c r="H252" s="71">
        <v>98001</v>
      </c>
      <c r="I252" s="71" t="s">
        <v>10</v>
      </c>
      <c r="J252" s="73">
        <v>163535.55999999901</v>
      </c>
      <c r="K252" s="73">
        <v>61267.339999999902</v>
      </c>
      <c r="L252" s="73">
        <v>709058.58999999904</v>
      </c>
      <c r="M252" s="73">
        <v>1340746.8799999999</v>
      </c>
      <c r="N252" s="73">
        <v>250556.769999999</v>
      </c>
      <c r="O252" s="73">
        <v>121392.219999999</v>
      </c>
      <c r="P252" s="73">
        <v>658185.08999999904</v>
      </c>
      <c r="Q252" s="73">
        <v>1442266.0799999901</v>
      </c>
      <c r="R252" s="73">
        <v>259728.34999999899</v>
      </c>
      <c r="S252" s="73">
        <v>184510.40999999901</v>
      </c>
      <c r="T252" s="73">
        <v>666365.72</v>
      </c>
      <c r="U252" s="73">
        <v>1557154.1499999899</v>
      </c>
      <c r="V252" s="161">
        <f>SUM(R252:T252)</f>
        <v>1110604.4799999981</v>
      </c>
      <c r="W252" s="161">
        <f>LARGE(V$252:V$480, ROWS(W$252:W252))</f>
        <v>2226197.489999989</v>
      </c>
      <c r="AZ252" s="71" t="s">
        <v>284</v>
      </c>
      <c r="BA252" s="71" t="s">
        <v>10</v>
      </c>
      <c r="BB252" s="32">
        <v>9</v>
      </c>
      <c r="BC252" s="32">
        <v>5</v>
      </c>
      <c r="BD252" s="32">
        <v>4</v>
      </c>
      <c r="BF252" s="71" t="s">
        <v>284</v>
      </c>
      <c r="BG252" s="71" t="s">
        <v>10</v>
      </c>
      <c r="BH252" s="73">
        <v>3672.83</v>
      </c>
      <c r="BI252" s="73">
        <v>206.72</v>
      </c>
      <c r="BJ252" s="73">
        <v>817.62</v>
      </c>
    </row>
    <row r="253" spans="2:62" x14ac:dyDescent="0.2">
      <c r="B253" s="54">
        <v>98003</v>
      </c>
      <c r="C253" s="60" t="s">
        <v>10</v>
      </c>
      <c r="D253" s="45">
        <v>4738</v>
      </c>
      <c r="E253" s="45">
        <v>5033</v>
      </c>
      <c r="F253" s="45">
        <v>4951</v>
      </c>
      <c r="H253" s="168">
        <v>98002</v>
      </c>
      <c r="I253" s="71" t="s">
        <v>10</v>
      </c>
      <c r="J253" s="73">
        <v>399012.44</v>
      </c>
      <c r="K253" s="73">
        <v>31644.529999999901</v>
      </c>
      <c r="L253" s="73">
        <v>1069119.1599999899</v>
      </c>
      <c r="M253" s="73">
        <v>1841693.31</v>
      </c>
      <c r="N253" s="73">
        <v>321382.86999999901</v>
      </c>
      <c r="O253" s="73">
        <v>221510.69</v>
      </c>
      <c r="P253" s="73">
        <v>973933.700000001</v>
      </c>
      <c r="Q253" s="73">
        <v>2099134.3999999901</v>
      </c>
      <c r="R253" s="73">
        <v>439881.29</v>
      </c>
      <c r="S253" s="73">
        <v>171969.47</v>
      </c>
      <c r="T253" s="167">
        <v>1115341.6799999899</v>
      </c>
      <c r="U253" s="174">
        <v>2907868.23999999</v>
      </c>
      <c r="V253" s="173">
        <f t="shared" ref="V253:V316" si="6">SUM(R253:T253)</f>
        <v>1727192.4399999899</v>
      </c>
      <c r="W253" s="161">
        <f>LARGE(V$252:V$480, ROWS(W$252:W253))</f>
        <v>1946305.8900000001</v>
      </c>
      <c r="AZ253" s="71" t="s">
        <v>285</v>
      </c>
      <c r="BA253" s="71" t="s">
        <v>10</v>
      </c>
      <c r="BB253" s="32">
        <v>12</v>
      </c>
      <c r="BC253" s="32">
        <v>5</v>
      </c>
      <c r="BD253" s="32">
        <v>5</v>
      </c>
      <c r="BF253" s="71" t="s">
        <v>285</v>
      </c>
      <c r="BG253" s="71" t="s">
        <v>10</v>
      </c>
      <c r="BH253" s="73">
        <v>8237.89</v>
      </c>
      <c r="BI253" s="73">
        <v>858.35</v>
      </c>
      <c r="BJ253" s="73">
        <v>2712.92</v>
      </c>
    </row>
    <row r="254" spans="2:62" x14ac:dyDescent="0.2">
      <c r="B254" s="54">
        <v>98004</v>
      </c>
      <c r="C254" s="60" t="s">
        <v>10</v>
      </c>
      <c r="D254" s="45">
        <v>2256</v>
      </c>
      <c r="E254" s="45">
        <v>2371</v>
      </c>
      <c r="F254" s="45">
        <v>2261</v>
      </c>
      <c r="H254" s="168">
        <v>98003</v>
      </c>
      <c r="I254" s="71" t="s">
        <v>10</v>
      </c>
      <c r="J254" s="73">
        <v>332025.68999999901</v>
      </c>
      <c r="K254" s="73">
        <v>152664.57</v>
      </c>
      <c r="L254" s="73">
        <v>1135149.01999999</v>
      </c>
      <c r="M254" s="73">
        <v>2406991.0899999901</v>
      </c>
      <c r="N254" s="73">
        <v>543851.02</v>
      </c>
      <c r="O254" s="73">
        <v>266666.96999999997</v>
      </c>
      <c r="P254" s="73">
        <v>1138579.83</v>
      </c>
      <c r="Q254" s="73">
        <v>2813021.4099999899</v>
      </c>
      <c r="R254" s="73">
        <v>596282.87999999896</v>
      </c>
      <c r="S254" s="73">
        <v>421685.58</v>
      </c>
      <c r="T254" s="167">
        <v>1208229.02999999</v>
      </c>
      <c r="U254" s="174">
        <v>3073779.0699999798</v>
      </c>
      <c r="V254" s="173">
        <f t="shared" si="6"/>
        <v>2226197.489999989</v>
      </c>
      <c r="W254" s="161">
        <f>LARGE(V$252:V$480, ROWS(W$252:W254))</f>
        <v>1727192.4399999899</v>
      </c>
      <c r="AZ254" s="71" t="s">
        <v>287</v>
      </c>
      <c r="BA254" s="71" t="s">
        <v>10</v>
      </c>
      <c r="BB254" s="32">
        <v>5</v>
      </c>
      <c r="BC254" s="32">
        <v>8</v>
      </c>
      <c r="BD254" s="32">
        <v>9</v>
      </c>
      <c r="BF254" s="71" t="s">
        <v>287</v>
      </c>
      <c r="BG254" s="71" t="s">
        <v>10</v>
      </c>
      <c r="BH254" s="73">
        <v>1174.1400000000001</v>
      </c>
      <c r="BI254" s="73">
        <v>958.58</v>
      </c>
      <c r="BJ254" s="73">
        <v>4323.97</v>
      </c>
    </row>
    <row r="255" spans="2:62" x14ac:dyDescent="0.2">
      <c r="B255" s="54">
        <v>98005</v>
      </c>
      <c r="C255" s="60" t="s">
        <v>10</v>
      </c>
      <c r="D255" s="45">
        <v>977</v>
      </c>
      <c r="E255" s="45">
        <v>1049</v>
      </c>
      <c r="F255" s="45">
        <v>1039</v>
      </c>
      <c r="H255" s="71">
        <v>98004</v>
      </c>
      <c r="I255" s="71" t="s">
        <v>10</v>
      </c>
      <c r="J255" s="73">
        <v>117448.679999999</v>
      </c>
      <c r="K255" s="73">
        <v>48140.589999999902</v>
      </c>
      <c r="L255" s="73">
        <v>363758.42</v>
      </c>
      <c r="M255" s="73">
        <v>785875.55999999796</v>
      </c>
      <c r="N255" s="73">
        <v>153321.1</v>
      </c>
      <c r="O255" s="73">
        <v>85345.919999999896</v>
      </c>
      <c r="P255" s="73">
        <v>342674.85</v>
      </c>
      <c r="Q255" s="73">
        <v>876875.98000000196</v>
      </c>
      <c r="R255" s="73">
        <v>152353.80999999901</v>
      </c>
      <c r="S255" s="73">
        <v>100097.459999999</v>
      </c>
      <c r="T255" s="73">
        <v>330373.36</v>
      </c>
      <c r="U255" s="73">
        <v>872615.549999999</v>
      </c>
      <c r="V255" s="161">
        <f t="shared" si="6"/>
        <v>582824.62999999803</v>
      </c>
      <c r="W255" s="161">
        <f>LARGE(V$252:V$480, ROWS(W$252:W255))</f>
        <v>1687190.0100000009</v>
      </c>
      <c r="AZ255" s="71" t="s">
        <v>288</v>
      </c>
      <c r="BA255" s="71" t="s">
        <v>10</v>
      </c>
      <c r="BB255" s="32">
        <v>7</v>
      </c>
      <c r="BC255" s="32">
        <v>6</v>
      </c>
      <c r="BD255" s="32">
        <v>1</v>
      </c>
      <c r="BF255" s="71" t="s">
        <v>288</v>
      </c>
      <c r="BG255" s="71" t="s">
        <v>10</v>
      </c>
      <c r="BH255" s="73">
        <v>2771.26</v>
      </c>
      <c r="BI255" s="73">
        <v>1754.48</v>
      </c>
      <c r="BJ255" s="73">
        <v>292.88</v>
      </c>
    </row>
    <row r="256" spans="2:62" x14ac:dyDescent="0.2">
      <c r="B256" s="54">
        <v>98006</v>
      </c>
      <c r="C256" s="60" t="s">
        <v>10</v>
      </c>
      <c r="D256" s="45">
        <v>1273</v>
      </c>
      <c r="E256" s="45">
        <v>1345</v>
      </c>
      <c r="F256" s="45">
        <v>1292</v>
      </c>
      <c r="H256" s="71">
        <v>98005</v>
      </c>
      <c r="I256" s="71" t="s">
        <v>10</v>
      </c>
      <c r="J256" s="73">
        <v>63854.42</v>
      </c>
      <c r="K256" s="73">
        <v>25067.129999999899</v>
      </c>
      <c r="L256" s="73">
        <v>163633.09999999899</v>
      </c>
      <c r="M256" s="73">
        <v>417811.08999999898</v>
      </c>
      <c r="N256" s="73">
        <v>94713.139999999898</v>
      </c>
      <c r="O256" s="73">
        <v>44994.81</v>
      </c>
      <c r="P256" s="73">
        <v>156560.01999999999</v>
      </c>
      <c r="Q256" s="73">
        <v>457051.56999999902</v>
      </c>
      <c r="R256" s="73">
        <v>90707.929999999906</v>
      </c>
      <c r="S256" s="73">
        <v>65862.649999999994</v>
      </c>
      <c r="T256" s="73">
        <v>170929.109999999</v>
      </c>
      <c r="U256" s="73">
        <v>480229.09</v>
      </c>
      <c r="V256" s="161">
        <f t="shared" si="6"/>
        <v>327499.6899999989</v>
      </c>
      <c r="W256" s="161">
        <f>LARGE(V$252:V$480, ROWS(W$252:W256))</f>
        <v>1609110.3299999889</v>
      </c>
      <c r="AZ256" s="71" t="s">
        <v>289</v>
      </c>
      <c r="BA256" s="71" t="s">
        <v>10</v>
      </c>
      <c r="BB256" s="32">
        <v>4</v>
      </c>
      <c r="BC256" s="32">
        <v>3</v>
      </c>
      <c r="BD256" s="32">
        <v>6</v>
      </c>
      <c r="BF256" s="71" t="s">
        <v>289</v>
      </c>
      <c r="BG256" s="71" t="s">
        <v>10</v>
      </c>
      <c r="BH256" s="73">
        <v>3280.44</v>
      </c>
      <c r="BI256" s="73">
        <v>2875.87</v>
      </c>
      <c r="BJ256" s="73">
        <v>3570.3</v>
      </c>
    </row>
    <row r="257" spans="2:62" x14ac:dyDescent="0.2">
      <c r="B257" s="54">
        <v>98007</v>
      </c>
      <c r="C257" s="60" t="s">
        <v>10</v>
      </c>
      <c r="D257" s="45">
        <v>1718</v>
      </c>
      <c r="E257" s="45">
        <v>1798</v>
      </c>
      <c r="F257" s="45">
        <v>1797</v>
      </c>
      <c r="H257" s="71">
        <v>98006</v>
      </c>
      <c r="I257" s="71" t="s">
        <v>10</v>
      </c>
      <c r="J257" s="73">
        <v>123758.959999999</v>
      </c>
      <c r="K257" s="73">
        <v>35437.199999999903</v>
      </c>
      <c r="L257" s="73">
        <v>231161.35</v>
      </c>
      <c r="M257" s="73">
        <v>676536.2</v>
      </c>
      <c r="N257" s="73">
        <v>149176.21</v>
      </c>
      <c r="O257" s="73">
        <v>86058.679999999906</v>
      </c>
      <c r="P257" s="73">
        <v>227508.39</v>
      </c>
      <c r="Q257" s="73">
        <v>760316.93</v>
      </c>
      <c r="R257" s="73">
        <v>143320.41</v>
      </c>
      <c r="S257" s="73">
        <v>93578.520000000106</v>
      </c>
      <c r="T257" s="73">
        <v>235818.65</v>
      </c>
      <c r="U257" s="73">
        <v>772277.97</v>
      </c>
      <c r="V257" s="161">
        <f t="shared" si="6"/>
        <v>472717.58000000007</v>
      </c>
      <c r="W257" s="161">
        <f>LARGE(V$252:V$480, ROWS(W$252:W257))</f>
        <v>1479282.319999998</v>
      </c>
      <c r="AZ257" s="71" t="s">
        <v>132</v>
      </c>
      <c r="BA257" s="71" t="s">
        <v>10</v>
      </c>
      <c r="BB257" s="32">
        <v>13</v>
      </c>
      <c r="BC257" s="32">
        <v>12</v>
      </c>
      <c r="BD257" s="32">
        <v>19</v>
      </c>
      <c r="BF257" s="71" t="s">
        <v>132</v>
      </c>
      <c r="BG257" s="71" t="s">
        <v>10</v>
      </c>
      <c r="BH257" s="73">
        <v>18151.47</v>
      </c>
      <c r="BI257" s="73">
        <v>8607.43</v>
      </c>
      <c r="BJ257" s="73">
        <v>14573.63</v>
      </c>
    </row>
    <row r="258" spans="2:62" x14ac:dyDescent="0.2">
      <c r="B258" s="54">
        <v>98008</v>
      </c>
      <c r="C258" s="60" t="s">
        <v>10</v>
      </c>
      <c r="D258" s="45">
        <v>845</v>
      </c>
      <c r="E258" s="45">
        <v>880</v>
      </c>
      <c r="F258" s="45">
        <v>815</v>
      </c>
      <c r="H258" s="71">
        <v>98007</v>
      </c>
      <c r="I258" s="71" t="s">
        <v>10</v>
      </c>
      <c r="J258" s="73">
        <v>93335.34</v>
      </c>
      <c r="K258" s="73">
        <v>43524.049999999901</v>
      </c>
      <c r="L258" s="73">
        <v>271967.21000000002</v>
      </c>
      <c r="M258" s="73">
        <v>648492.19000000099</v>
      </c>
      <c r="N258" s="73">
        <v>146476.889999999</v>
      </c>
      <c r="O258" s="73">
        <v>71828.45</v>
      </c>
      <c r="P258" s="73">
        <v>271724.00999999902</v>
      </c>
      <c r="Q258" s="73">
        <v>724304.36</v>
      </c>
      <c r="R258" s="73">
        <v>136605.10999999999</v>
      </c>
      <c r="S258" s="73">
        <v>106372.05999999899</v>
      </c>
      <c r="T258" s="73">
        <v>278672.52</v>
      </c>
      <c r="U258" s="73">
        <v>764867.55</v>
      </c>
      <c r="V258" s="161">
        <f t="shared" si="6"/>
        <v>521649.68999999901</v>
      </c>
      <c r="W258" s="161">
        <f>LARGE(V$252:V$480, ROWS(W$252:W258))</f>
        <v>1461241.5799999991</v>
      </c>
      <c r="AZ258" s="71" t="s">
        <v>133</v>
      </c>
      <c r="BA258" s="71" t="s">
        <v>10</v>
      </c>
      <c r="BB258" s="32">
        <v>6</v>
      </c>
      <c r="BC258" s="32">
        <v>8</v>
      </c>
      <c r="BD258" s="32">
        <v>2</v>
      </c>
      <c r="BF258" s="71" t="s">
        <v>133</v>
      </c>
      <c r="BG258" s="71" t="s">
        <v>10</v>
      </c>
      <c r="BH258" s="73">
        <v>3895.11</v>
      </c>
      <c r="BI258" s="73">
        <v>3087.42</v>
      </c>
      <c r="BJ258" s="73">
        <v>476.92</v>
      </c>
    </row>
    <row r="259" spans="2:62" x14ac:dyDescent="0.2">
      <c r="B259" s="54">
        <v>98010</v>
      </c>
      <c r="C259" s="60" t="s">
        <v>10</v>
      </c>
      <c r="D259" s="45">
        <v>507</v>
      </c>
      <c r="E259" s="45">
        <v>512</v>
      </c>
      <c r="F259" s="45">
        <v>502</v>
      </c>
      <c r="H259" s="71">
        <v>98008</v>
      </c>
      <c r="I259" s="71" t="s">
        <v>10</v>
      </c>
      <c r="J259" s="73">
        <v>65062.049999999901</v>
      </c>
      <c r="K259" s="73">
        <v>20075.12</v>
      </c>
      <c r="L259" s="73">
        <v>168017.49</v>
      </c>
      <c r="M259" s="73">
        <v>433692.09</v>
      </c>
      <c r="N259" s="73">
        <v>97833.43</v>
      </c>
      <c r="O259" s="73">
        <v>41293.639999999898</v>
      </c>
      <c r="P259" s="73">
        <v>167910.15</v>
      </c>
      <c r="Q259" s="73">
        <v>483963.8</v>
      </c>
      <c r="R259" s="73">
        <v>83930.37</v>
      </c>
      <c r="S259" s="73">
        <v>55905.799999999901</v>
      </c>
      <c r="T259" s="73">
        <v>165511.019999999</v>
      </c>
      <c r="U259" s="73">
        <v>476944.739999999</v>
      </c>
      <c r="V259" s="161">
        <f t="shared" si="6"/>
        <v>305347.1899999989</v>
      </c>
      <c r="W259" s="161">
        <f>LARGE(V$252:V$480, ROWS(W$252:W259))</f>
        <v>1429780.7399999988</v>
      </c>
      <c r="AZ259" s="71" t="s">
        <v>135</v>
      </c>
      <c r="BA259" s="71" t="s">
        <v>10</v>
      </c>
      <c r="BB259" s="32">
        <v>13</v>
      </c>
      <c r="BC259" s="32">
        <v>14</v>
      </c>
      <c r="BD259" s="32">
        <v>8</v>
      </c>
      <c r="BF259" s="71" t="s">
        <v>135</v>
      </c>
      <c r="BG259" s="71" t="s">
        <v>10</v>
      </c>
      <c r="BH259" s="73">
        <v>4149.78</v>
      </c>
      <c r="BI259" s="73">
        <v>6850.38</v>
      </c>
      <c r="BJ259" s="73">
        <v>4633.96</v>
      </c>
    </row>
    <row r="260" spans="2:62" x14ac:dyDescent="0.2">
      <c r="B260" s="54">
        <v>98011</v>
      </c>
      <c r="C260" s="60" t="s">
        <v>10</v>
      </c>
      <c r="D260" s="45">
        <v>1318</v>
      </c>
      <c r="E260" s="45">
        <v>1362</v>
      </c>
      <c r="F260" s="45">
        <v>1343</v>
      </c>
      <c r="H260" s="71">
        <v>98010</v>
      </c>
      <c r="I260" s="71" t="s">
        <v>10</v>
      </c>
      <c r="J260" s="73">
        <v>48582.74</v>
      </c>
      <c r="K260" s="73">
        <v>17921.990000000002</v>
      </c>
      <c r="L260" s="73">
        <v>109937.63</v>
      </c>
      <c r="M260" s="73">
        <v>297471.49</v>
      </c>
      <c r="N260" s="73">
        <v>58452.04</v>
      </c>
      <c r="O260" s="73">
        <v>36841.239999999903</v>
      </c>
      <c r="P260" s="73">
        <v>103883.8</v>
      </c>
      <c r="Q260" s="73">
        <v>315907.66999999899</v>
      </c>
      <c r="R260" s="73">
        <v>52896.49</v>
      </c>
      <c r="S260" s="73">
        <v>39105.5</v>
      </c>
      <c r="T260" s="73">
        <v>122767.97</v>
      </c>
      <c r="U260" s="73">
        <v>325511.37</v>
      </c>
      <c r="V260" s="161">
        <f t="shared" si="6"/>
        <v>214769.96</v>
      </c>
      <c r="W260" s="161">
        <f>LARGE(V$252:V$480, ROWS(W$252:W260))</f>
        <v>1384478.24</v>
      </c>
      <c r="AZ260" s="71" t="s">
        <v>136</v>
      </c>
      <c r="BA260" s="71" t="s">
        <v>10</v>
      </c>
      <c r="BB260" s="32">
        <v>10</v>
      </c>
      <c r="BC260" s="32">
        <v>8</v>
      </c>
      <c r="BD260" s="32">
        <v>10</v>
      </c>
      <c r="BF260" s="71" t="s">
        <v>136</v>
      </c>
      <c r="BG260" s="71" t="s">
        <v>10</v>
      </c>
      <c r="BH260" s="73">
        <v>6412.48</v>
      </c>
      <c r="BI260" s="73">
        <v>4690.7700000000004</v>
      </c>
      <c r="BJ260" s="73">
        <v>1134.71</v>
      </c>
    </row>
    <row r="261" spans="2:62" x14ac:dyDescent="0.2">
      <c r="B261" s="54">
        <v>98012</v>
      </c>
      <c r="C261" s="60" t="s">
        <v>10</v>
      </c>
      <c r="D261" s="45">
        <v>1302</v>
      </c>
      <c r="E261" s="45">
        <v>1326</v>
      </c>
      <c r="F261" s="45">
        <v>1294</v>
      </c>
      <c r="H261" s="71">
        <v>98011</v>
      </c>
      <c r="I261" s="71" t="s">
        <v>10</v>
      </c>
      <c r="J261" s="73">
        <v>81012.03</v>
      </c>
      <c r="K261" s="73">
        <v>33224.36</v>
      </c>
      <c r="L261" s="73">
        <v>284819.91999999899</v>
      </c>
      <c r="M261" s="73">
        <v>591280.95999999903</v>
      </c>
      <c r="N261" s="73">
        <v>118394.54</v>
      </c>
      <c r="O261" s="73">
        <v>62026.17</v>
      </c>
      <c r="P261" s="73">
        <v>278561.55999999901</v>
      </c>
      <c r="Q261" s="73">
        <v>661755.40999999898</v>
      </c>
      <c r="R261" s="73">
        <v>117349.49</v>
      </c>
      <c r="S261" s="73">
        <v>83447.58</v>
      </c>
      <c r="T261" s="73">
        <v>295622.56</v>
      </c>
      <c r="U261" s="73">
        <v>704244.23999999894</v>
      </c>
      <c r="V261" s="161">
        <f t="shared" si="6"/>
        <v>496419.63</v>
      </c>
      <c r="W261" s="161">
        <f>LARGE(V$252:V$480, ROWS(W$252:W261))</f>
        <v>1364976.9399999969</v>
      </c>
      <c r="AZ261" s="71" t="s">
        <v>292</v>
      </c>
      <c r="BA261" s="71" t="s">
        <v>10</v>
      </c>
      <c r="BB261" s="32">
        <v>3</v>
      </c>
      <c r="BC261" s="32">
        <v>2</v>
      </c>
      <c r="BD261" s="32">
        <v>6</v>
      </c>
      <c r="BF261" s="71" t="s">
        <v>292</v>
      </c>
      <c r="BG261" s="71" t="s">
        <v>10</v>
      </c>
      <c r="BH261" s="73">
        <v>866.72</v>
      </c>
      <c r="BI261" s="73">
        <v>239.27</v>
      </c>
      <c r="BJ261" s="73">
        <v>5614.3</v>
      </c>
    </row>
    <row r="262" spans="2:62" x14ac:dyDescent="0.2">
      <c r="B262" s="54">
        <v>98014</v>
      </c>
      <c r="C262" s="60" t="s">
        <v>10</v>
      </c>
      <c r="D262" s="45">
        <v>234</v>
      </c>
      <c r="E262" s="45">
        <v>222</v>
      </c>
      <c r="F262" s="45">
        <v>505</v>
      </c>
      <c r="H262" s="71">
        <v>98012</v>
      </c>
      <c r="I262" s="71" t="s">
        <v>10</v>
      </c>
      <c r="J262" s="73">
        <v>66635.619999999893</v>
      </c>
      <c r="K262" s="73">
        <v>18503.509999999998</v>
      </c>
      <c r="L262" s="73">
        <v>163153.35999999999</v>
      </c>
      <c r="M262" s="73">
        <v>430179.30999999901</v>
      </c>
      <c r="N262" s="73">
        <v>102995.549999999</v>
      </c>
      <c r="O262" s="73">
        <v>48152.26</v>
      </c>
      <c r="P262" s="73">
        <v>146844.34</v>
      </c>
      <c r="Q262" s="73">
        <v>468902.76</v>
      </c>
      <c r="R262" s="73">
        <v>97093.699999999895</v>
      </c>
      <c r="S262" s="73">
        <v>72804.84</v>
      </c>
      <c r="T262" s="73">
        <v>162842.35</v>
      </c>
      <c r="U262" s="73">
        <v>494313.43999999901</v>
      </c>
      <c r="V262" s="161">
        <f t="shared" si="6"/>
        <v>332740.8899999999</v>
      </c>
      <c r="W262" s="161"/>
      <c r="AZ262" s="71" t="s">
        <v>137</v>
      </c>
      <c r="BA262" s="71" t="s">
        <v>10</v>
      </c>
      <c r="BB262" s="32">
        <v>16</v>
      </c>
      <c r="BC262" s="32">
        <v>10</v>
      </c>
      <c r="BD262" s="32">
        <v>8</v>
      </c>
      <c r="BF262" s="71" t="s">
        <v>137</v>
      </c>
      <c r="BG262" s="71" t="s">
        <v>10</v>
      </c>
      <c r="BH262" s="73">
        <v>7418.97</v>
      </c>
      <c r="BI262" s="73">
        <v>6574.11</v>
      </c>
      <c r="BJ262" s="73">
        <v>1388.92</v>
      </c>
    </row>
    <row r="263" spans="2:62" x14ac:dyDescent="0.2">
      <c r="B263" s="54">
        <v>98019</v>
      </c>
      <c r="C263" s="60" t="s">
        <v>10</v>
      </c>
      <c r="D263" s="45">
        <v>309</v>
      </c>
      <c r="E263" s="45">
        <v>325</v>
      </c>
      <c r="F263" s="45">
        <v>345</v>
      </c>
      <c r="H263" s="71">
        <v>98014</v>
      </c>
      <c r="I263" s="71" t="s">
        <v>10</v>
      </c>
      <c r="J263" s="73">
        <v>50179.5</v>
      </c>
      <c r="K263" s="73">
        <v>2505.71</v>
      </c>
      <c r="L263" s="73">
        <v>74027.740000000005</v>
      </c>
      <c r="M263" s="73">
        <v>146672.649999999</v>
      </c>
      <c r="N263" s="73">
        <v>20135.019999999899</v>
      </c>
      <c r="O263" s="73">
        <v>13379.55</v>
      </c>
      <c r="P263" s="73">
        <v>63620.459999999897</v>
      </c>
      <c r="Q263" s="73">
        <v>150739.62999999899</v>
      </c>
      <c r="R263" s="73">
        <v>29564.319999999901</v>
      </c>
      <c r="S263" s="73">
        <v>4077.1399999999899</v>
      </c>
      <c r="T263" s="73">
        <v>74148.479999999996</v>
      </c>
      <c r="U263" s="73">
        <v>289269.34999999998</v>
      </c>
      <c r="V263" s="161">
        <f t="shared" si="6"/>
        <v>107789.93999999989</v>
      </c>
      <c r="W263" s="161"/>
      <c r="AZ263" s="71" t="s">
        <v>138</v>
      </c>
      <c r="BA263" s="71" t="s">
        <v>10</v>
      </c>
      <c r="BB263" s="32">
        <v>50</v>
      </c>
      <c r="BC263" s="32">
        <v>29</v>
      </c>
      <c r="BD263" s="32">
        <v>42</v>
      </c>
      <c r="BF263" s="71" t="s">
        <v>138</v>
      </c>
      <c r="BG263" s="71" t="s">
        <v>10</v>
      </c>
      <c r="BH263" s="73">
        <v>32746.84</v>
      </c>
      <c r="BI263" s="73">
        <v>11595.05</v>
      </c>
      <c r="BJ263" s="73">
        <v>31469.02</v>
      </c>
    </row>
    <row r="264" spans="2:62" x14ac:dyDescent="0.2">
      <c r="B264" s="54">
        <v>98020</v>
      </c>
      <c r="C264" s="60" t="s">
        <v>10</v>
      </c>
      <c r="D264" s="45">
        <v>322</v>
      </c>
      <c r="E264" s="45">
        <v>361</v>
      </c>
      <c r="F264" s="45">
        <v>319</v>
      </c>
      <c r="H264" s="71">
        <v>98019</v>
      </c>
      <c r="I264" s="71" t="s">
        <v>10</v>
      </c>
      <c r="J264" s="73">
        <v>27376.400000000001</v>
      </c>
      <c r="K264" s="73">
        <v>1922.58</v>
      </c>
      <c r="L264" s="73">
        <v>157959.399999999</v>
      </c>
      <c r="M264" s="73">
        <v>265786.21999999997</v>
      </c>
      <c r="N264" s="73">
        <v>53250.219999999899</v>
      </c>
      <c r="O264" s="73">
        <v>17313.189999999999</v>
      </c>
      <c r="P264" s="73">
        <v>147272.91</v>
      </c>
      <c r="Q264" s="73">
        <v>295364.63999999902</v>
      </c>
      <c r="R264" s="73">
        <v>47043.81</v>
      </c>
      <c r="S264" s="73">
        <v>26815.32</v>
      </c>
      <c r="T264" s="73">
        <v>148782.54</v>
      </c>
      <c r="U264" s="73">
        <v>312007.49</v>
      </c>
      <c r="V264" s="161">
        <f t="shared" si="6"/>
        <v>222641.67</v>
      </c>
      <c r="W264" s="161"/>
      <c r="AZ264" s="71" t="s">
        <v>139</v>
      </c>
      <c r="BA264" s="71" t="s">
        <v>10</v>
      </c>
      <c r="BB264" s="32">
        <v>125</v>
      </c>
      <c r="BC264" s="32">
        <v>85</v>
      </c>
      <c r="BD264" s="32">
        <v>59</v>
      </c>
      <c r="BF264" s="71" t="s">
        <v>139</v>
      </c>
      <c r="BG264" s="71" t="s">
        <v>10</v>
      </c>
      <c r="BH264" s="73">
        <v>79551.680000000008</v>
      </c>
      <c r="BI264" s="73">
        <v>55131.27</v>
      </c>
      <c r="BJ264" s="73">
        <v>26425.73</v>
      </c>
    </row>
    <row r="265" spans="2:62" x14ac:dyDescent="0.2">
      <c r="B265" s="54">
        <v>98021</v>
      </c>
      <c r="C265" s="60" t="s">
        <v>10</v>
      </c>
      <c r="D265" s="45">
        <v>570</v>
      </c>
      <c r="E265" s="45">
        <v>610</v>
      </c>
      <c r="F265" s="45">
        <v>555</v>
      </c>
      <c r="H265" s="71">
        <v>98020</v>
      </c>
      <c r="I265" s="71" t="s">
        <v>10</v>
      </c>
      <c r="J265" s="73">
        <v>16847.77</v>
      </c>
      <c r="K265" s="73">
        <v>3578.65</v>
      </c>
      <c r="L265" s="73">
        <v>39563.82</v>
      </c>
      <c r="M265" s="73">
        <v>111719.959999999</v>
      </c>
      <c r="N265" s="73">
        <v>25656.73</v>
      </c>
      <c r="O265" s="73">
        <v>10996.1</v>
      </c>
      <c r="P265" s="73">
        <v>38510.469999999899</v>
      </c>
      <c r="Q265" s="73">
        <v>132620.25999999899</v>
      </c>
      <c r="R265" s="73">
        <v>26005.909999999902</v>
      </c>
      <c r="S265" s="73">
        <v>15101.81</v>
      </c>
      <c r="T265" s="73">
        <v>42063.139999999898</v>
      </c>
      <c r="U265" s="73">
        <v>130215.099999999</v>
      </c>
      <c r="V265" s="161">
        <f t="shared" si="6"/>
        <v>83170.859999999797</v>
      </c>
      <c r="W265" s="170">
        <f>SUM(W252:W256)/V481</f>
        <v>0.1166137244659378</v>
      </c>
      <c r="AZ265" s="71" t="s">
        <v>294</v>
      </c>
      <c r="BA265" s="71" t="s">
        <v>10</v>
      </c>
      <c r="BB265" s="32">
        <v>6</v>
      </c>
      <c r="BC265" s="32">
        <v>5</v>
      </c>
      <c r="BD265" s="32">
        <v>2</v>
      </c>
      <c r="BF265" s="71" t="s">
        <v>294</v>
      </c>
      <c r="BG265" s="71" t="s">
        <v>10</v>
      </c>
      <c r="BH265" s="73">
        <v>1103.28</v>
      </c>
      <c r="BI265" s="73">
        <v>731.49</v>
      </c>
      <c r="BJ265" s="73">
        <v>457.42</v>
      </c>
    </row>
    <row r="266" spans="2:62" x14ac:dyDescent="0.2">
      <c r="B266" s="54">
        <v>98022</v>
      </c>
      <c r="C266" s="60" t="s">
        <v>10</v>
      </c>
      <c r="D266" s="45">
        <v>1864</v>
      </c>
      <c r="E266" s="45">
        <v>1126</v>
      </c>
      <c r="F266" s="45">
        <v>2030</v>
      </c>
      <c r="H266" s="71">
        <v>98021</v>
      </c>
      <c r="I266" s="71" t="s">
        <v>10</v>
      </c>
      <c r="J266" s="73">
        <v>27080.78</v>
      </c>
      <c r="K266" s="73">
        <v>7011.9</v>
      </c>
      <c r="L266" s="73">
        <v>66779.679999999993</v>
      </c>
      <c r="M266" s="73">
        <v>182435.24</v>
      </c>
      <c r="N266" s="73">
        <v>42070.23</v>
      </c>
      <c r="O266" s="73">
        <v>18979.89</v>
      </c>
      <c r="P266" s="73">
        <v>64740.62</v>
      </c>
      <c r="Q266" s="73">
        <v>200686.39</v>
      </c>
      <c r="R266" s="73">
        <v>37000.57</v>
      </c>
      <c r="S266" s="73">
        <v>27682.51</v>
      </c>
      <c r="T266" s="73">
        <v>67289.729999999894</v>
      </c>
      <c r="U266" s="73">
        <v>199900.93</v>
      </c>
      <c r="V266" s="161">
        <f t="shared" si="6"/>
        <v>131972.80999999988</v>
      </c>
      <c r="W266" s="170">
        <f>SUM(T253:T254,T268,T276,T305)/T481</f>
        <v>0.12122081893813941</v>
      </c>
      <c r="AZ266" s="71" t="s">
        <v>295</v>
      </c>
      <c r="BA266" s="71" t="s">
        <v>10</v>
      </c>
      <c r="BB266" s="32">
        <v>11</v>
      </c>
      <c r="BC266" s="32">
        <v>5</v>
      </c>
      <c r="BD266" s="32">
        <v>9</v>
      </c>
      <c r="BF266" s="71" t="s">
        <v>295</v>
      </c>
      <c r="BG266" s="71" t="s">
        <v>10</v>
      </c>
      <c r="BH266" s="73">
        <v>5183.32</v>
      </c>
      <c r="BI266" s="73">
        <v>735.44</v>
      </c>
      <c r="BJ266" s="73">
        <v>4140.8900000000003</v>
      </c>
    </row>
    <row r="267" spans="2:62" x14ac:dyDescent="0.2">
      <c r="B267" s="54">
        <v>98023</v>
      </c>
      <c r="C267" s="60" t="s">
        <v>10</v>
      </c>
      <c r="D267" s="45">
        <v>3808</v>
      </c>
      <c r="E267" s="45">
        <v>4007</v>
      </c>
      <c r="F267" s="45">
        <v>3924</v>
      </c>
      <c r="H267" s="71">
        <v>98022</v>
      </c>
      <c r="I267" s="71" t="s">
        <v>10</v>
      </c>
      <c r="J267" s="73">
        <v>143563.46</v>
      </c>
      <c r="K267" s="73">
        <v>44551.839999999997</v>
      </c>
      <c r="L267" s="73">
        <v>403039.91</v>
      </c>
      <c r="M267" s="73">
        <v>907147.75999999803</v>
      </c>
      <c r="N267" s="73">
        <v>45446.869999999901</v>
      </c>
      <c r="O267" s="73">
        <v>111991.38</v>
      </c>
      <c r="P267" s="73">
        <v>360163.88</v>
      </c>
      <c r="Q267" s="73">
        <v>708595.08999999799</v>
      </c>
      <c r="R267" s="73">
        <v>130032.459999999</v>
      </c>
      <c r="S267" s="73">
        <v>16548.54</v>
      </c>
      <c r="T267" s="73">
        <v>421476.16</v>
      </c>
      <c r="U267" s="73">
        <v>1087317.8999999899</v>
      </c>
      <c r="V267" s="161">
        <f t="shared" si="6"/>
        <v>568057.15999999898</v>
      </c>
      <c r="W267" s="161"/>
      <c r="AZ267" s="71" t="s">
        <v>296</v>
      </c>
      <c r="BA267" s="71" t="s">
        <v>10</v>
      </c>
      <c r="BB267" s="32">
        <v>12</v>
      </c>
      <c r="BC267" s="32">
        <v>10</v>
      </c>
      <c r="BD267" s="32">
        <v>7</v>
      </c>
      <c r="BF267" s="71" t="s">
        <v>296</v>
      </c>
      <c r="BG267" s="71" t="s">
        <v>10</v>
      </c>
      <c r="BH267" s="73">
        <v>6381.08</v>
      </c>
      <c r="BI267" s="73">
        <v>3047.38</v>
      </c>
      <c r="BJ267" s="73">
        <v>733.39</v>
      </c>
    </row>
    <row r="268" spans="2:62" x14ac:dyDescent="0.2">
      <c r="B268" s="54">
        <v>98024</v>
      </c>
      <c r="C268" s="60" t="s">
        <v>10</v>
      </c>
      <c r="D268" s="45">
        <v>272</v>
      </c>
      <c r="E268" s="45">
        <v>264</v>
      </c>
      <c r="F268" s="45">
        <v>269</v>
      </c>
      <c r="H268" s="168">
        <v>98023</v>
      </c>
      <c r="I268" s="71" t="s">
        <v>10</v>
      </c>
      <c r="J268" s="73">
        <v>298575.61</v>
      </c>
      <c r="K268" s="73">
        <v>143385.60000000001</v>
      </c>
      <c r="L268" s="73">
        <v>1090846.74999999</v>
      </c>
      <c r="M268" s="73">
        <v>2230968.3599999901</v>
      </c>
      <c r="N268" s="73">
        <v>465473.29</v>
      </c>
      <c r="O268" s="73">
        <v>234444.94999999899</v>
      </c>
      <c r="P268" s="73">
        <v>1075645.8799999999</v>
      </c>
      <c r="Q268" s="73">
        <v>2568805.0499999998</v>
      </c>
      <c r="R268" s="73">
        <v>522630.83</v>
      </c>
      <c r="S268" s="73">
        <v>347677.47</v>
      </c>
      <c r="T268" s="167">
        <v>1075997.5900000001</v>
      </c>
      <c r="U268" s="174">
        <v>2703300.85</v>
      </c>
      <c r="V268" s="173">
        <f t="shared" si="6"/>
        <v>1946305.8900000001</v>
      </c>
      <c r="W268" s="170">
        <f>SUM(W252:W261)/V481</f>
        <v>0.20689885458860383</v>
      </c>
      <c r="AZ268" s="71" t="s">
        <v>297</v>
      </c>
      <c r="BA268" s="71" t="s">
        <v>10</v>
      </c>
      <c r="BB268" s="32">
        <v>10</v>
      </c>
      <c r="BC268" s="32">
        <v>14</v>
      </c>
      <c r="BD268" s="32">
        <v>4</v>
      </c>
      <c r="BF268" s="71" t="s">
        <v>297</v>
      </c>
      <c r="BG268" s="71" t="s">
        <v>10</v>
      </c>
      <c r="BH268" s="73">
        <v>1803.12</v>
      </c>
      <c r="BI268" s="73">
        <v>5953.69</v>
      </c>
      <c r="BJ268" s="73">
        <v>447.24</v>
      </c>
    </row>
    <row r="269" spans="2:62" x14ac:dyDescent="0.2">
      <c r="B269" s="54">
        <v>98026</v>
      </c>
      <c r="C269" s="60" t="s">
        <v>10</v>
      </c>
      <c r="D269" s="45">
        <v>700</v>
      </c>
      <c r="E269" s="45">
        <v>803</v>
      </c>
      <c r="F269" s="45">
        <v>723</v>
      </c>
      <c r="H269" s="71">
        <v>98024</v>
      </c>
      <c r="I269" s="71" t="s">
        <v>10</v>
      </c>
      <c r="J269" s="73">
        <v>23797.91</v>
      </c>
      <c r="K269" s="73">
        <v>8106.04</v>
      </c>
      <c r="L269" s="73">
        <v>62927.109999999899</v>
      </c>
      <c r="M269" s="73">
        <v>168787.27</v>
      </c>
      <c r="N269" s="73">
        <v>36277.99</v>
      </c>
      <c r="O269" s="73">
        <v>17752.12</v>
      </c>
      <c r="P269" s="73">
        <v>62871.65</v>
      </c>
      <c r="Q269" s="73">
        <v>176048.22999999899</v>
      </c>
      <c r="R269" s="73">
        <v>29528.2599999999</v>
      </c>
      <c r="S269" s="73">
        <v>24594.41</v>
      </c>
      <c r="T269" s="73">
        <v>73184.58</v>
      </c>
      <c r="U269" s="73">
        <v>194786.72</v>
      </c>
      <c r="V269" s="161">
        <f t="shared" si="6"/>
        <v>127307.2499999999</v>
      </c>
      <c r="W269" s="161"/>
      <c r="AZ269" s="71" t="s">
        <v>298</v>
      </c>
      <c r="BA269" s="71" t="s">
        <v>10</v>
      </c>
      <c r="BB269" s="32">
        <v>9</v>
      </c>
      <c r="BC269" s="32">
        <v>12</v>
      </c>
      <c r="BD269" s="32">
        <v>5</v>
      </c>
      <c r="BF269" s="71" t="s">
        <v>298</v>
      </c>
      <c r="BG269" s="71" t="s">
        <v>10</v>
      </c>
      <c r="BH269" s="73">
        <v>14780.14</v>
      </c>
      <c r="BI269" s="73">
        <v>5214.26</v>
      </c>
      <c r="BJ269" s="73">
        <v>1499.88</v>
      </c>
    </row>
    <row r="270" spans="2:62" x14ac:dyDescent="0.2">
      <c r="B270" s="54">
        <v>98027</v>
      </c>
      <c r="C270" s="60" t="s">
        <v>10</v>
      </c>
      <c r="D270" s="45">
        <v>1544</v>
      </c>
      <c r="E270" s="45">
        <v>1498</v>
      </c>
      <c r="F270" s="45">
        <v>1458</v>
      </c>
      <c r="H270" s="71">
        <v>98026</v>
      </c>
      <c r="I270" s="71" t="s">
        <v>10</v>
      </c>
      <c r="J270" s="73">
        <v>37674.629999999903</v>
      </c>
      <c r="K270" s="73">
        <v>9650.5999999999894</v>
      </c>
      <c r="L270" s="73">
        <v>67353.56</v>
      </c>
      <c r="M270" s="73">
        <v>218055.26</v>
      </c>
      <c r="N270" s="73">
        <v>56516.139999999898</v>
      </c>
      <c r="O270" s="73">
        <v>26913.93</v>
      </c>
      <c r="P270" s="73">
        <v>64136.659999999902</v>
      </c>
      <c r="Q270" s="73">
        <v>262606.28000000003</v>
      </c>
      <c r="R270" s="73">
        <v>53642.76</v>
      </c>
      <c r="S270" s="73">
        <v>36151.25</v>
      </c>
      <c r="T270" s="73">
        <v>68995.78</v>
      </c>
      <c r="U270" s="73">
        <v>260631.33999999901</v>
      </c>
      <c r="V270" s="161">
        <f t="shared" si="6"/>
        <v>158789.79</v>
      </c>
      <c r="W270" s="161"/>
      <c r="AZ270" s="71" t="s">
        <v>140</v>
      </c>
      <c r="BA270" s="71" t="s">
        <v>10</v>
      </c>
      <c r="BB270" s="32">
        <v>1</v>
      </c>
      <c r="BC270" s="32">
        <v>2</v>
      </c>
      <c r="BD270" s="32"/>
      <c r="BF270" s="71" t="s">
        <v>140</v>
      </c>
      <c r="BG270" s="71" t="s">
        <v>10</v>
      </c>
      <c r="BH270" s="73">
        <v>4378.67</v>
      </c>
      <c r="BI270" s="73">
        <v>589.44000000000005</v>
      </c>
      <c r="BJ270" s="73"/>
    </row>
    <row r="271" spans="2:62" x14ac:dyDescent="0.2">
      <c r="B271" s="54">
        <v>98028</v>
      </c>
      <c r="C271" s="60" t="s">
        <v>10</v>
      </c>
      <c r="D271" s="45">
        <v>882</v>
      </c>
      <c r="E271" s="45">
        <v>1015</v>
      </c>
      <c r="F271" s="45">
        <v>935</v>
      </c>
      <c r="H271" s="71">
        <v>98027</v>
      </c>
      <c r="I271" s="71" t="s">
        <v>10</v>
      </c>
      <c r="J271" s="73">
        <v>114800.03</v>
      </c>
      <c r="K271" s="73">
        <v>42670.5799999999</v>
      </c>
      <c r="L271" s="73">
        <v>314431.25999999902</v>
      </c>
      <c r="M271" s="73">
        <v>927013.80999999796</v>
      </c>
      <c r="N271" s="73">
        <v>299294.19</v>
      </c>
      <c r="O271" s="73">
        <v>75955.209999999905</v>
      </c>
      <c r="P271" s="73">
        <v>299943.51</v>
      </c>
      <c r="Q271" s="73">
        <v>1026603.12</v>
      </c>
      <c r="R271" s="73">
        <v>133321.71</v>
      </c>
      <c r="S271" s="73">
        <v>89783.599999999904</v>
      </c>
      <c r="T271" s="73">
        <v>278814.56999999902</v>
      </c>
      <c r="U271" s="73">
        <v>776498.46999999799</v>
      </c>
      <c r="V271" s="161">
        <f t="shared" si="6"/>
        <v>501919.8799999989</v>
      </c>
      <c r="W271" s="161"/>
      <c r="AZ271" s="71" t="s">
        <v>141</v>
      </c>
      <c r="BA271" s="71" t="s">
        <v>10</v>
      </c>
      <c r="BB271" s="32">
        <v>15</v>
      </c>
      <c r="BC271" s="32">
        <v>3</v>
      </c>
      <c r="BD271" s="32">
        <v>12</v>
      </c>
      <c r="BF271" s="71" t="s">
        <v>141</v>
      </c>
      <c r="BG271" s="71" t="s">
        <v>10</v>
      </c>
      <c r="BH271" s="73">
        <v>2235.66</v>
      </c>
      <c r="BI271" s="73">
        <v>579.70000000000005</v>
      </c>
      <c r="BJ271" s="73">
        <v>5767.72</v>
      </c>
    </row>
    <row r="272" spans="2:62" x14ac:dyDescent="0.2">
      <c r="B272" s="54">
        <v>98029</v>
      </c>
      <c r="C272" s="60" t="s">
        <v>10</v>
      </c>
      <c r="D272" s="45">
        <v>1520</v>
      </c>
      <c r="E272" s="45">
        <v>1204</v>
      </c>
      <c r="F272" s="45">
        <v>1545</v>
      </c>
      <c r="H272" s="71">
        <v>98028</v>
      </c>
      <c r="I272" s="71" t="s">
        <v>10</v>
      </c>
      <c r="J272" s="73">
        <v>56236.01</v>
      </c>
      <c r="K272" s="73">
        <v>22959.2599999999</v>
      </c>
      <c r="L272" s="73">
        <v>196573.24</v>
      </c>
      <c r="M272" s="73">
        <v>429757.78</v>
      </c>
      <c r="N272" s="73">
        <v>91294.910000000105</v>
      </c>
      <c r="O272" s="73">
        <v>42984.929999999898</v>
      </c>
      <c r="P272" s="73">
        <v>190658.639999999</v>
      </c>
      <c r="Q272" s="73">
        <v>495530.69</v>
      </c>
      <c r="R272" s="73">
        <v>91001.769999999902</v>
      </c>
      <c r="S272" s="73">
        <v>60841.9</v>
      </c>
      <c r="T272" s="73">
        <v>192930.52</v>
      </c>
      <c r="U272" s="73">
        <v>512865.26999999897</v>
      </c>
      <c r="V272" s="161">
        <f t="shared" si="6"/>
        <v>344774.18999999989</v>
      </c>
      <c r="W272" s="161"/>
      <c r="AZ272" s="71" t="s">
        <v>299</v>
      </c>
      <c r="BA272" s="71" t="s">
        <v>10</v>
      </c>
      <c r="BB272" s="32"/>
      <c r="BC272" s="32">
        <v>2</v>
      </c>
      <c r="BD272" s="32"/>
      <c r="BF272" s="71" t="s">
        <v>299</v>
      </c>
      <c r="BG272" s="71" t="s">
        <v>10</v>
      </c>
      <c r="BH272" s="73"/>
      <c r="BI272" s="73">
        <v>49.97</v>
      </c>
      <c r="BJ272" s="73"/>
    </row>
    <row r="273" spans="2:62" x14ac:dyDescent="0.2">
      <c r="B273" s="54">
        <v>98030</v>
      </c>
      <c r="C273" s="60" t="s">
        <v>10</v>
      </c>
      <c r="D273" s="45">
        <v>3424</v>
      </c>
      <c r="E273" s="45">
        <v>3599</v>
      </c>
      <c r="F273" s="45">
        <v>3485</v>
      </c>
      <c r="H273" s="71">
        <v>98029</v>
      </c>
      <c r="I273" s="71" t="s">
        <v>10</v>
      </c>
      <c r="J273" s="73">
        <v>171638.12999999899</v>
      </c>
      <c r="K273" s="73">
        <v>40986.959999999897</v>
      </c>
      <c r="L273" s="73">
        <v>231183.68999999901</v>
      </c>
      <c r="M273" s="73">
        <v>719089.63999999897</v>
      </c>
      <c r="N273" s="73">
        <v>132883.42000000001</v>
      </c>
      <c r="O273" s="73">
        <v>152612.81999999899</v>
      </c>
      <c r="P273" s="73">
        <v>212558.549999999</v>
      </c>
      <c r="Q273" s="73">
        <v>636365.45999999903</v>
      </c>
      <c r="R273" s="73">
        <v>126292.209999999</v>
      </c>
      <c r="S273" s="73">
        <v>83215.039999999994</v>
      </c>
      <c r="T273" s="73">
        <v>235613.66</v>
      </c>
      <c r="U273" s="73">
        <v>715522.61999999895</v>
      </c>
      <c r="V273" s="161">
        <f t="shared" si="6"/>
        <v>445120.90999999898</v>
      </c>
      <c r="W273" s="161"/>
      <c r="AZ273" s="71" t="s">
        <v>142</v>
      </c>
      <c r="BA273" s="71" t="s">
        <v>10</v>
      </c>
      <c r="BB273" s="32">
        <v>1</v>
      </c>
      <c r="BC273" s="32"/>
      <c r="BD273" s="32">
        <v>1</v>
      </c>
      <c r="BF273" s="71" t="s">
        <v>142</v>
      </c>
      <c r="BG273" s="71" t="s">
        <v>10</v>
      </c>
      <c r="BH273" s="73">
        <v>727.73</v>
      </c>
      <c r="BI273" s="73"/>
      <c r="BJ273" s="73">
        <v>721.94</v>
      </c>
    </row>
    <row r="274" spans="2:62" x14ac:dyDescent="0.2">
      <c r="B274" s="54">
        <v>98031</v>
      </c>
      <c r="C274" s="60" t="s">
        <v>10</v>
      </c>
      <c r="D274" s="45">
        <v>3004</v>
      </c>
      <c r="E274" s="45">
        <v>3220</v>
      </c>
      <c r="F274" s="45">
        <v>3185</v>
      </c>
      <c r="H274" s="71">
        <v>98030</v>
      </c>
      <c r="I274" s="71" t="s">
        <v>10</v>
      </c>
      <c r="J274" s="73">
        <v>280513.71999999898</v>
      </c>
      <c r="K274" s="73">
        <v>110455.689999999</v>
      </c>
      <c r="L274" s="73">
        <v>750019.59</v>
      </c>
      <c r="M274" s="73">
        <v>1746309.9299999899</v>
      </c>
      <c r="N274" s="73">
        <v>383650.02999999898</v>
      </c>
      <c r="O274" s="73">
        <v>219180.57</v>
      </c>
      <c r="P274" s="73">
        <v>742472.40999999805</v>
      </c>
      <c r="Q274" s="73">
        <v>1956338.53999999</v>
      </c>
      <c r="R274" s="73">
        <v>363461.86999999901</v>
      </c>
      <c r="S274" s="73">
        <v>291808.49</v>
      </c>
      <c r="T274" s="73">
        <v>824011.95999999903</v>
      </c>
      <c r="U274" s="73">
        <v>2146606.23</v>
      </c>
      <c r="V274" s="161">
        <f t="shared" si="6"/>
        <v>1479282.319999998</v>
      </c>
      <c r="W274" s="161"/>
      <c r="AZ274" s="71" t="s">
        <v>143</v>
      </c>
      <c r="BA274" s="71" t="s">
        <v>10</v>
      </c>
      <c r="BB274" s="32">
        <v>82</v>
      </c>
      <c r="BC274" s="32">
        <v>41</v>
      </c>
      <c r="BD274" s="32">
        <v>58</v>
      </c>
      <c r="BF274" s="71" t="s">
        <v>143</v>
      </c>
      <c r="BG274" s="71" t="s">
        <v>10</v>
      </c>
      <c r="BH274" s="73">
        <v>22518.690000000002</v>
      </c>
      <c r="BI274" s="73">
        <v>13987.63</v>
      </c>
      <c r="BJ274" s="73">
        <v>24446.75</v>
      </c>
    </row>
    <row r="275" spans="2:62" x14ac:dyDescent="0.2">
      <c r="B275" s="54">
        <v>98032</v>
      </c>
      <c r="C275" s="60" t="s">
        <v>10</v>
      </c>
      <c r="D275" s="45">
        <v>4309</v>
      </c>
      <c r="E275" s="45">
        <v>4691</v>
      </c>
      <c r="F275" s="45">
        <v>4648</v>
      </c>
      <c r="H275" s="71">
        <v>98031</v>
      </c>
      <c r="I275" s="71" t="s">
        <v>10</v>
      </c>
      <c r="J275" s="73">
        <v>254945.459999999</v>
      </c>
      <c r="K275" s="73">
        <v>101599.30999999899</v>
      </c>
      <c r="L275" s="73">
        <v>659389.88</v>
      </c>
      <c r="M275" s="73">
        <v>1573512.46</v>
      </c>
      <c r="N275" s="73">
        <v>360690.58999999898</v>
      </c>
      <c r="O275" s="73">
        <v>199577.66</v>
      </c>
      <c r="P275" s="73">
        <v>666657.37999999896</v>
      </c>
      <c r="Q275" s="73">
        <v>1838181.72999999</v>
      </c>
      <c r="R275" s="73">
        <v>341372.43</v>
      </c>
      <c r="S275" s="73">
        <v>255084.83999999901</v>
      </c>
      <c r="T275" s="73">
        <v>685265.32999999798</v>
      </c>
      <c r="U275" s="73">
        <v>1958016.8599999901</v>
      </c>
      <c r="V275" s="161">
        <f t="shared" si="6"/>
        <v>1281722.5999999968</v>
      </c>
      <c r="W275" s="161"/>
      <c r="AZ275" s="71" t="s">
        <v>144</v>
      </c>
      <c r="BA275" s="71" t="s">
        <v>10</v>
      </c>
      <c r="BB275" s="32">
        <v>50</v>
      </c>
      <c r="BC275" s="32">
        <v>46</v>
      </c>
      <c r="BD275" s="32">
        <v>39</v>
      </c>
      <c r="BF275" s="71" t="s">
        <v>144</v>
      </c>
      <c r="BG275" s="71" t="s">
        <v>10</v>
      </c>
      <c r="BH275" s="73">
        <v>33135.64</v>
      </c>
      <c r="BI275" s="73">
        <v>35230.699999999997</v>
      </c>
      <c r="BJ275" s="73">
        <v>32136.080000000002</v>
      </c>
    </row>
    <row r="276" spans="2:62" x14ac:dyDescent="0.2">
      <c r="B276" s="54">
        <v>98033</v>
      </c>
      <c r="C276" s="60" t="s">
        <v>10</v>
      </c>
      <c r="D276" s="45">
        <v>1534</v>
      </c>
      <c r="E276" s="45">
        <v>1592</v>
      </c>
      <c r="F276" s="45">
        <v>1611</v>
      </c>
      <c r="H276" s="168">
        <v>98032</v>
      </c>
      <c r="I276" s="71" t="s">
        <v>10</v>
      </c>
      <c r="J276" s="73">
        <v>269992.74999999901</v>
      </c>
      <c r="K276" s="73">
        <v>118649.57</v>
      </c>
      <c r="L276" s="73">
        <v>904269.25000000105</v>
      </c>
      <c r="M276" s="73">
        <v>1944994.8</v>
      </c>
      <c r="N276" s="73">
        <v>440561.09999999899</v>
      </c>
      <c r="O276" s="73">
        <v>212383.74</v>
      </c>
      <c r="P276" s="73">
        <v>838803.87000000104</v>
      </c>
      <c r="Q276" s="73">
        <v>2159811.94</v>
      </c>
      <c r="R276" s="73">
        <v>457185.6</v>
      </c>
      <c r="S276" s="73">
        <v>339058.49999999901</v>
      </c>
      <c r="T276" s="167">
        <v>890945.91000000201</v>
      </c>
      <c r="U276" s="174">
        <v>2341622.6399999899</v>
      </c>
      <c r="V276" s="173">
        <f t="shared" si="6"/>
        <v>1687190.0100000009</v>
      </c>
      <c r="W276" s="161"/>
      <c r="AZ276" s="71" t="s">
        <v>145</v>
      </c>
      <c r="BA276" s="71" t="s">
        <v>10</v>
      </c>
      <c r="BB276" s="32">
        <v>36</v>
      </c>
      <c r="BC276" s="32">
        <v>23</v>
      </c>
      <c r="BD276" s="32">
        <v>24</v>
      </c>
      <c r="BF276" s="71" t="s">
        <v>145</v>
      </c>
      <c r="BG276" s="71" t="s">
        <v>10</v>
      </c>
      <c r="BH276" s="73">
        <v>10548.55</v>
      </c>
      <c r="BI276" s="73">
        <v>12409.86</v>
      </c>
      <c r="BJ276" s="73">
        <v>14253.31</v>
      </c>
    </row>
    <row r="277" spans="2:62" x14ac:dyDescent="0.2">
      <c r="B277" s="54">
        <v>98034</v>
      </c>
      <c r="C277" s="60" t="s">
        <v>10</v>
      </c>
      <c r="D277" s="45">
        <v>2639</v>
      </c>
      <c r="E277" s="45">
        <v>2875</v>
      </c>
      <c r="F277" s="45">
        <v>2767</v>
      </c>
      <c r="H277" s="71">
        <v>98033</v>
      </c>
      <c r="I277" s="71" t="s">
        <v>10</v>
      </c>
      <c r="J277" s="73">
        <v>85796.87</v>
      </c>
      <c r="K277" s="73">
        <v>38921.989999999903</v>
      </c>
      <c r="L277" s="73">
        <v>265866.93</v>
      </c>
      <c r="M277" s="73">
        <v>629685.9</v>
      </c>
      <c r="N277" s="73">
        <v>122769.76</v>
      </c>
      <c r="O277" s="73">
        <v>58496.65</v>
      </c>
      <c r="P277" s="73">
        <v>264378.36</v>
      </c>
      <c r="Q277" s="73">
        <v>687506.229999998</v>
      </c>
      <c r="R277" s="73">
        <v>126090.429999999</v>
      </c>
      <c r="S277" s="73">
        <v>80337.309999999896</v>
      </c>
      <c r="T277" s="73">
        <v>267745.14999999898</v>
      </c>
      <c r="U277" s="73">
        <v>704836.33999999799</v>
      </c>
      <c r="V277" s="161">
        <f t="shared" si="6"/>
        <v>474172.88999999786</v>
      </c>
      <c r="W277" s="161"/>
      <c r="AZ277" s="71" t="s">
        <v>146</v>
      </c>
      <c r="BA277" s="71" t="s">
        <v>10</v>
      </c>
      <c r="BB277" s="32">
        <v>11</v>
      </c>
      <c r="BC277" s="32">
        <v>4</v>
      </c>
      <c r="BD277" s="32">
        <v>9</v>
      </c>
      <c r="BF277" s="71" t="s">
        <v>146</v>
      </c>
      <c r="BG277" s="71" t="s">
        <v>10</v>
      </c>
      <c r="BH277" s="73">
        <v>3786.09</v>
      </c>
      <c r="BI277" s="73">
        <v>295.20999999999998</v>
      </c>
      <c r="BJ277" s="73">
        <v>8382.07</v>
      </c>
    </row>
    <row r="278" spans="2:62" x14ac:dyDescent="0.2">
      <c r="B278" s="54">
        <v>98036</v>
      </c>
      <c r="C278" s="60" t="s">
        <v>10</v>
      </c>
      <c r="D278" s="45">
        <v>817</v>
      </c>
      <c r="E278" s="45">
        <v>863</v>
      </c>
      <c r="F278" s="45">
        <v>812</v>
      </c>
      <c r="H278" s="71">
        <v>98034</v>
      </c>
      <c r="I278" s="71" t="s">
        <v>10</v>
      </c>
      <c r="J278" s="73">
        <v>156724.56</v>
      </c>
      <c r="K278" s="73">
        <v>70770.81</v>
      </c>
      <c r="L278" s="73">
        <v>547754.78999999899</v>
      </c>
      <c r="M278" s="73">
        <v>1160647.32</v>
      </c>
      <c r="N278" s="73">
        <v>233061.5</v>
      </c>
      <c r="O278" s="73">
        <v>117965.94</v>
      </c>
      <c r="P278" s="73">
        <v>552875.76000000106</v>
      </c>
      <c r="Q278" s="73">
        <v>1334217.76999999</v>
      </c>
      <c r="R278" s="73">
        <v>252445.26</v>
      </c>
      <c r="S278" s="73">
        <v>165209.62</v>
      </c>
      <c r="T278" s="73">
        <v>561599.61999999802</v>
      </c>
      <c r="U278" s="73">
        <v>1381954.6099999901</v>
      </c>
      <c r="V278" s="161">
        <f t="shared" si="6"/>
        <v>979254.49999999802</v>
      </c>
      <c r="W278" s="161"/>
      <c r="AZ278" s="71" t="s">
        <v>147</v>
      </c>
      <c r="BA278" s="71" t="s">
        <v>10</v>
      </c>
      <c r="BB278" s="32">
        <v>2</v>
      </c>
      <c r="BC278" s="32">
        <v>2</v>
      </c>
      <c r="BD278" s="32">
        <v>2</v>
      </c>
      <c r="BF278" s="71" t="s">
        <v>147</v>
      </c>
      <c r="BG278" s="71" t="s">
        <v>10</v>
      </c>
      <c r="BH278" s="73">
        <v>1270.97</v>
      </c>
      <c r="BI278" s="73">
        <v>2096.89</v>
      </c>
      <c r="BJ278" s="73">
        <v>170.74</v>
      </c>
    </row>
    <row r="279" spans="2:62" x14ac:dyDescent="0.2">
      <c r="B279" s="54">
        <v>98037</v>
      </c>
      <c r="C279" s="60" t="s">
        <v>10</v>
      </c>
      <c r="D279" s="45">
        <v>693</v>
      </c>
      <c r="E279" s="45">
        <v>682</v>
      </c>
      <c r="F279" s="45">
        <v>636</v>
      </c>
      <c r="H279" s="71">
        <v>98036</v>
      </c>
      <c r="I279" s="71" t="s">
        <v>10</v>
      </c>
      <c r="J279" s="73">
        <v>38750.36</v>
      </c>
      <c r="K279" s="73">
        <v>10130.43</v>
      </c>
      <c r="L279" s="73">
        <v>101172.28</v>
      </c>
      <c r="M279" s="73">
        <v>271176.63999999902</v>
      </c>
      <c r="N279" s="73">
        <v>64962.239999999903</v>
      </c>
      <c r="O279" s="73">
        <v>27655.74</v>
      </c>
      <c r="P279" s="73">
        <v>95563.259999999893</v>
      </c>
      <c r="Q279" s="73">
        <v>312863.19999999902</v>
      </c>
      <c r="R279" s="73">
        <v>65728.759999999995</v>
      </c>
      <c r="S279" s="73">
        <v>43840.959999999897</v>
      </c>
      <c r="T279" s="73">
        <v>105396.999999999</v>
      </c>
      <c r="U279" s="73">
        <v>326529.33999999898</v>
      </c>
      <c r="V279" s="161">
        <f t="shared" si="6"/>
        <v>214966.71999999887</v>
      </c>
      <c r="W279" s="161"/>
      <c r="AZ279" s="71" t="s">
        <v>148</v>
      </c>
      <c r="BA279" s="71" t="s">
        <v>10</v>
      </c>
      <c r="BB279" s="32">
        <v>12</v>
      </c>
      <c r="BC279" s="32">
        <v>20</v>
      </c>
      <c r="BD279" s="32">
        <v>18</v>
      </c>
      <c r="BF279" s="71" t="s">
        <v>148</v>
      </c>
      <c r="BG279" s="71" t="s">
        <v>10</v>
      </c>
      <c r="BH279" s="73">
        <v>9415.25</v>
      </c>
      <c r="BI279" s="73">
        <v>10703.81</v>
      </c>
      <c r="BJ279" s="73">
        <v>5154.79</v>
      </c>
    </row>
    <row r="280" spans="2:62" x14ac:dyDescent="0.2">
      <c r="B280" s="54">
        <v>98038</v>
      </c>
      <c r="C280" s="60" t="s">
        <v>10</v>
      </c>
      <c r="D280" s="45">
        <v>1893</v>
      </c>
      <c r="E280" s="45">
        <v>1984</v>
      </c>
      <c r="F280" s="45">
        <v>1845</v>
      </c>
      <c r="H280" s="71">
        <v>98037</v>
      </c>
      <c r="I280" s="71" t="s">
        <v>10</v>
      </c>
      <c r="J280" s="73">
        <v>37588.8299999999</v>
      </c>
      <c r="K280" s="73">
        <v>8586.7799999999897</v>
      </c>
      <c r="L280" s="73">
        <v>78391.459999999905</v>
      </c>
      <c r="M280" s="73">
        <v>228352.77999999901</v>
      </c>
      <c r="N280" s="73">
        <v>52730.49</v>
      </c>
      <c r="O280" s="73">
        <v>23989.46</v>
      </c>
      <c r="P280" s="73">
        <v>77577.3</v>
      </c>
      <c r="Q280" s="73">
        <v>250146.02</v>
      </c>
      <c r="R280" s="73">
        <v>51493.15</v>
      </c>
      <c r="S280" s="73">
        <v>35892.769999999997</v>
      </c>
      <c r="T280" s="73">
        <v>79579.909999999902</v>
      </c>
      <c r="U280" s="73">
        <v>257137.13</v>
      </c>
      <c r="V280" s="161">
        <f t="shared" si="6"/>
        <v>166965.8299999999</v>
      </c>
      <c r="W280" s="161"/>
      <c r="AZ280" s="71" t="s">
        <v>149</v>
      </c>
      <c r="BA280" s="71" t="s">
        <v>10</v>
      </c>
      <c r="BB280" s="32"/>
      <c r="BC280" s="32"/>
      <c r="BD280" s="32">
        <v>1</v>
      </c>
      <c r="BF280" s="71" t="s">
        <v>149</v>
      </c>
      <c r="BG280" s="71" t="s">
        <v>10</v>
      </c>
      <c r="BH280" s="73"/>
      <c r="BI280" s="73"/>
      <c r="BJ280" s="73">
        <v>1976.81</v>
      </c>
    </row>
    <row r="281" spans="2:62" x14ac:dyDescent="0.2">
      <c r="B281" s="54">
        <v>98039</v>
      </c>
      <c r="C281" s="60" t="s">
        <v>10</v>
      </c>
      <c r="D281" s="45">
        <v>71</v>
      </c>
      <c r="E281" s="45">
        <v>68</v>
      </c>
      <c r="F281" s="45">
        <v>69</v>
      </c>
      <c r="H281" s="71">
        <v>98038</v>
      </c>
      <c r="I281" s="71" t="s">
        <v>10</v>
      </c>
      <c r="J281" s="73">
        <v>165574.87999999899</v>
      </c>
      <c r="K281" s="73">
        <v>58904.109999999899</v>
      </c>
      <c r="L281" s="73">
        <v>475244.76</v>
      </c>
      <c r="M281" s="73">
        <v>1198590.79</v>
      </c>
      <c r="N281" s="73">
        <v>245388</v>
      </c>
      <c r="O281" s="73">
        <v>113667.50999999901</v>
      </c>
      <c r="P281" s="73">
        <v>474679.239999999</v>
      </c>
      <c r="Q281" s="73">
        <v>1293778.72</v>
      </c>
      <c r="R281" s="73">
        <v>208613.72999999899</v>
      </c>
      <c r="S281" s="73">
        <v>154968.23000000001</v>
      </c>
      <c r="T281" s="73">
        <v>494773.47</v>
      </c>
      <c r="U281" s="73">
        <v>1307852.8600000001</v>
      </c>
      <c r="V281" s="161">
        <f t="shared" si="6"/>
        <v>858355.429999999</v>
      </c>
      <c r="W281" s="161"/>
      <c r="AZ281" s="71" t="s">
        <v>150</v>
      </c>
      <c r="BA281" s="71" t="s">
        <v>10</v>
      </c>
      <c r="BB281" s="32">
        <v>1</v>
      </c>
      <c r="BC281" s="32">
        <v>2</v>
      </c>
      <c r="BD281" s="32"/>
      <c r="BF281" s="71" t="s">
        <v>150</v>
      </c>
      <c r="BG281" s="71" t="s">
        <v>10</v>
      </c>
      <c r="BH281" s="73">
        <v>5150.74</v>
      </c>
      <c r="BI281" s="73">
        <v>420.35</v>
      </c>
      <c r="BJ281" s="73"/>
    </row>
    <row r="282" spans="2:62" x14ac:dyDescent="0.2">
      <c r="B282" s="54">
        <v>98040</v>
      </c>
      <c r="C282" s="60" t="s">
        <v>10</v>
      </c>
      <c r="D282" s="45">
        <v>882</v>
      </c>
      <c r="E282" s="45">
        <v>1019</v>
      </c>
      <c r="F282" s="45">
        <v>915</v>
      </c>
      <c r="H282" s="71">
        <v>98039</v>
      </c>
      <c r="I282" s="71" t="s">
        <v>10</v>
      </c>
      <c r="J282" s="73">
        <v>7149.0599999999904</v>
      </c>
      <c r="K282" s="73">
        <v>3050.41</v>
      </c>
      <c r="L282" s="73">
        <v>14689.57</v>
      </c>
      <c r="M282" s="73">
        <v>49924.63</v>
      </c>
      <c r="N282" s="73">
        <v>10858.65</v>
      </c>
      <c r="O282" s="73">
        <v>6058.08</v>
      </c>
      <c r="P282" s="73">
        <v>15561.04</v>
      </c>
      <c r="Q282" s="73">
        <v>63431.66</v>
      </c>
      <c r="R282" s="73">
        <v>7655.15</v>
      </c>
      <c r="S282" s="73">
        <v>5573.61</v>
      </c>
      <c r="T282" s="73">
        <v>17176.5</v>
      </c>
      <c r="U282" s="73">
        <v>54553.55</v>
      </c>
      <c r="V282" s="161">
        <f t="shared" si="6"/>
        <v>30405.26</v>
      </c>
      <c r="W282" s="161"/>
      <c r="AZ282" s="71" t="s">
        <v>151</v>
      </c>
      <c r="BA282" s="71" t="s">
        <v>10</v>
      </c>
      <c r="BB282" s="32">
        <v>5</v>
      </c>
      <c r="BC282" s="32">
        <v>4</v>
      </c>
      <c r="BD282" s="32">
        <v>9</v>
      </c>
      <c r="BF282" s="71" t="s">
        <v>151</v>
      </c>
      <c r="BG282" s="71" t="s">
        <v>10</v>
      </c>
      <c r="BH282" s="73">
        <v>6390.27</v>
      </c>
      <c r="BI282" s="73">
        <v>4615.01</v>
      </c>
      <c r="BJ282" s="73">
        <v>21570.85</v>
      </c>
    </row>
    <row r="283" spans="2:62" x14ac:dyDescent="0.2">
      <c r="B283" s="54">
        <v>98042</v>
      </c>
      <c r="C283" s="60" t="s">
        <v>10</v>
      </c>
      <c r="D283" s="45">
        <v>3361</v>
      </c>
      <c r="E283" s="45">
        <v>3477</v>
      </c>
      <c r="F283" s="45">
        <v>3331</v>
      </c>
      <c r="H283" s="71">
        <v>98040</v>
      </c>
      <c r="I283" s="71" t="s">
        <v>10</v>
      </c>
      <c r="J283" s="73">
        <v>53341.139999999898</v>
      </c>
      <c r="K283" s="73">
        <v>18635.869999999901</v>
      </c>
      <c r="L283" s="73">
        <v>130658.299999999</v>
      </c>
      <c r="M283" s="73">
        <v>368610.49999999901</v>
      </c>
      <c r="N283" s="73">
        <v>68178.38</v>
      </c>
      <c r="O283" s="73">
        <v>33507.760000000002</v>
      </c>
      <c r="P283" s="73">
        <v>127363.19</v>
      </c>
      <c r="Q283" s="73">
        <v>419754.48</v>
      </c>
      <c r="R283" s="73">
        <v>58214.17</v>
      </c>
      <c r="S283" s="73">
        <v>37591.67</v>
      </c>
      <c r="T283" s="73">
        <v>134125.85999999999</v>
      </c>
      <c r="U283" s="73">
        <v>397557.68</v>
      </c>
      <c r="V283" s="161">
        <f t="shared" si="6"/>
        <v>229931.69999999998</v>
      </c>
      <c r="W283" s="161"/>
      <c r="AZ283" s="71" t="s">
        <v>153</v>
      </c>
      <c r="BA283" s="71" t="s">
        <v>10</v>
      </c>
      <c r="BB283" s="32">
        <v>7</v>
      </c>
      <c r="BC283" s="32">
        <v>2</v>
      </c>
      <c r="BD283" s="32">
        <v>1</v>
      </c>
      <c r="BF283" s="71" t="s">
        <v>153</v>
      </c>
      <c r="BG283" s="71" t="s">
        <v>10</v>
      </c>
      <c r="BH283" s="73">
        <v>1106.6199999999999</v>
      </c>
      <c r="BI283" s="73">
        <v>868.8</v>
      </c>
      <c r="BJ283" s="73">
        <v>1403.43</v>
      </c>
    </row>
    <row r="284" spans="2:62" x14ac:dyDescent="0.2">
      <c r="B284" s="54">
        <v>98043</v>
      </c>
      <c r="C284" s="60" t="s">
        <v>10</v>
      </c>
      <c r="D284" s="45">
        <v>440</v>
      </c>
      <c r="E284" s="45">
        <v>463</v>
      </c>
      <c r="F284" s="45">
        <v>455</v>
      </c>
      <c r="H284" s="71">
        <v>98042</v>
      </c>
      <c r="I284" s="71" t="s">
        <v>10</v>
      </c>
      <c r="J284" s="73">
        <v>299453.429999999</v>
      </c>
      <c r="K284" s="73">
        <v>102430.39</v>
      </c>
      <c r="L284" s="73">
        <v>756703.87999999896</v>
      </c>
      <c r="M284" s="73">
        <v>1955493.13</v>
      </c>
      <c r="N284" s="73">
        <v>409505.75999999902</v>
      </c>
      <c r="O284" s="73">
        <v>215474.37999999899</v>
      </c>
      <c r="P284" s="73">
        <v>741088.72000000102</v>
      </c>
      <c r="Q284" s="73">
        <v>2139002.5699999901</v>
      </c>
      <c r="R284" s="73">
        <v>372393.72</v>
      </c>
      <c r="S284" s="73">
        <v>278377.5</v>
      </c>
      <c r="T284" s="73">
        <v>810470.35999999905</v>
      </c>
      <c r="U284" s="73">
        <v>2245824.23</v>
      </c>
      <c r="V284" s="161">
        <f t="shared" si="6"/>
        <v>1461241.5799999991</v>
      </c>
      <c r="W284" s="161"/>
      <c r="AZ284" s="71" t="s">
        <v>154</v>
      </c>
      <c r="BA284" s="71" t="s">
        <v>10</v>
      </c>
      <c r="BB284" s="32">
        <v>4</v>
      </c>
      <c r="BC284" s="32">
        <v>1</v>
      </c>
      <c r="BD284" s="32">
        <v>2</v>
      </c>
      <c r="BF284" s="71" t="s">
        <v>154</v>
      </c>
      <c r="BG284" s="71" t="s">
        <v>10</v>
      </c>
      <c r="BH284" s="73">
        <v>1355.35</v>
      </c>
      <c r="BI284" s="73"/>
      <c r="BJ284" s="73">
        <v>2368.23</v>
      </c>
    </row>
    <row r="285" spans="2:62" x14ac:dyDescent="0.2">
      <c r="B285" s="54">
        <v>98045</v>
      </c>
      <c r="C285" s="60" t="s">
        <v>10</v>
      </c>
      <c r="D285" s="45">
        <v>779</v>
      </c>
      <c r="E285" s="45">
        <v>833</v>
      </c>
      <c r="F285" s="45">
        <v>808</v>
      </c>
      <c r="H285" s="71">
        <v>98043</v>
      </c>
      <c r="I285" s="71" t="s">
        <v>10</v>
      </c>
      <c r="J285" s="73">
        <v>23252.82</v>
      </c>
      <c r="K285" s="73">
        <v>5721.4899999999898</v>
      </c>
      <c r="L285" s="73">
        <v>60811.06</v>
      </c>
      <c r="M285" s="73">
        <v>150704.85999999999</v>
      </c>
      <c r="N285" s="73">
        <v>39672.129999999997</v>
      </c>
      <c r="O285" s="73">
        <v>18145.769999999899</v>
      </c>
      <c r="P285" s="73">
        <v>59906.62</v>
      </c>
      <c r="Q285" s="73">
        <v>175044.85</v>
      </c>
      <c r="R285" s="73">
        <v>34470.639999999999</v>
      </c>
      <c r="S285" s="73">
        <v>28372.9</v>
      </c>
      <c r="T285" s="73">
        <v>61485.679999999898</v>
      </c>
      <c r="U285" s="73">
        <v>179472.05</v>
      </c>
      <c r="V285" s="161">
        <f t="shared" si="6"/>
        <v>124329.2199999999</v>
      </c>
      <c r="W285" s="161"/>
      <c r="AZ285" s="71" t="s">
        <v>155</v>
      </c>
      <c r="BA285" s="71" t="s">
        <v>10</v>
      </c>
      <c r="BB285" s="32">
        <v>5</v>
      </c>
      <c r="BC285" s="32">
        <v>2</v>
      </c>
      <c r="BD285" s="32"/>
      <c r="BF285" s="71" t="s">
        <v>155</v>
      </c>
      <c r="BG285" s="71" t="s">
        <v>10</v>
      </c>
      <c r="BH285" s="73">
        <v>15190.4</v>
      </c>
      <c r="BI285" s="73">
        <v>1598.06</v>
      </c>
      <c r="BJ285" s="73"/>
    </row>
    <row r="286" spans="2:62" x14ac:dyDescent="0.2">
      <c r="B286" s="54">
        <v>98047</v>
      </c>
      <c r="C286" s="60" t="s">
        <v>10</v>
      </c>
      <c r="D286" s="45">
        <v>542</v>
      </c>
      <c r="E286" s="45">
        <v>557</v>
      </c>
      <c r="F286" s="45">
        <v>546</v>
      </c>
      <c r="H286" s="71">
        <v>98045</v>
      </c>
      <c r="I286" s="71" t="s">
        <v>10</v>
      </c>
      <c r="J286" s="73">
        <v>60796.9</v>
      </c>
      <c r="K286" s="73">
        <v>18539.72</v>
      </c>
      <c r="L286" s="73">
        <v>130549.19999999899</v>
      </c>
      <c r="M286" s="73">
        <v>393600.59999999899</v>
      </c>
      <c r="N286" s="73">
        <v>81236.379999999903</v>
      </c>
      <c r="O286" s="73">
        <v>36942.92</v>
      </c>
      <c r="P286" s="73">
        <v>127438.629999999</v>
      </c>
      <c r="Q286" s="73">
        <v>425317.44</v>
      </c>
      <c r="R286" s="73">
        <v>74797.48</v>
      </c>
      <c r="S286" s="73">
        <v>51706.34</v>
      </c>
      <c r="T286" s="73">
        <v>145176.25</v>
      </c>
      <c r="U286" s="73">
        <v>467025.82999999903</v>
      </c>
      <c r="V286" s="161">
        <f t="shared" si="6"/>
        <v>271680.07</v>
      </c>
      <c r="W286" s="161"/>
      <c r="AZ286" s="71" t="s">
        <v>156</v>
      </c>
      <c r="BA286" s="71" t="s">
        <v>10</v>
      </c>
      <c r="BB286" s="32">
        <v>6</v>
      </c>
      <c r="BC286" s="32">
        <v>4</v>
      </c>
      <c r="BD286" s="32">
        <v>11</v>
      </c>
      <c r="BF286" s="71" t="s">
        <v>156</v>
      </c>
      <c r="BG286" s="71" t="s">
        <v>10</v>
      </c>
      <c r="BH286" s="73">
        <v>3483.31</v>
      </c>
      <c r="BI286" s="73">
        <v>3666.8</v>
      </c>
      <c r="BJ286" s="73">
        <v>17224.13</v>
      </c>
    </row>
    <row r="287" spans="2:62" x14ac:dyDescent="0.2">
      <c r="B287" s="54">
        <v>98050</v>
      </c>
      <c r="C287" s="60" t="s">
        <v>10</v>
      </c>
      <c r="D287" s="45">
        <v>16</v>
      </c>
      <c r="E287" s="45">
        <v>20</v>
      </c>
      <c r="F287" s="45">
        <v>19</v>
      </c>
      <c r="H287" s="71">
        <v>98047</v>
      </c>
      <c r="I287" s="71" t="s">
        <v>10</v>
      </c>
      <c r="J287" s="73">
        <v>43016.35</v>
      </c>
      <c r="K287" s="73">
        <v>5638.7599999999902</v>
      </c>
      <c r="L287" s="73">
        <v>232572.47</v>
      </c>
      <c r="M287" s="73">
        <v>367715.83</v>
      </c>
      <c r="N287" s="73">
        <v>61416.160000000003</v>
      </c>
      <c r="O287" s="73">
        <v>35469.309999999903</v>
      </c>
      <c r="P287" s="73">
        <v>204421.09</v>
      </c>
      <c r="Q287" s="73">
        <v>401761.51999999897</v>
      </c>
      <c r="R287" s="73">
        <v>73402.679999999993</v>
      </c>
      <c r="S287" s="73">
        <v>50950.71</v>
      </c>
      <c r="T287" s="73">
        <v>222853.36999999901</v>
      </c>
      <c r="U287" s="73">
        <v>451032.06999999902</v>
      </c>
      <c r="V287" s="161">
        <f t="shared" si="6"/>
        <v>347206.75999999896</v>
      </c>
      <c r="W287" s="161"/>
      <c r="AZ287" s="71" t="s">
        <v>157</v>
      </c>
      <c r="BA287" s="71" t="s">
        <v>10</v>
      </c>
      <c r="BB287" s="32">
        <v>18</v>
      </c>
      <c r="BC287" s="32">
        <v>16</v>
      </c>
      <c r="BD287" s="32">
        <v>21</v>
      </c>
      <c r="BF287" s="71" t="s">
        <v>157</v>
      </c>
      <c r="BG287" s="71" t="s">
        <v>10</v>
      </c>
      <c r="BH287" s="73">
        <v>7258.01</v>
      </c>
      <c r="BI287" s="73">
        <v>17001.599999999999</v>
      </c>
      <c r="BJ287" s="73">
        <v>29204.59</v>
      </c>
    </row>
    <row r="288" spans="2:62" x14ac:dyDescent="0.2">
      <c r="B288" s="54">
        <v>98051</v>
      </c>
      <c r="C288" s="60" t="s">
        <v>10</v>
      </c>
      <c r="D288" s="45">
        <v>219</v>
      </c>
      <c r="E288" s="45">
        <v>241</v>
      </c>
      <c r="F288" s="45">
        <v>211</v>
      </c>
      <c r="H288" s="71">
        <v>98050</v>
      </c>
      <c r="I288" s="71" t="s">
        <v>10</v>
      </c>
      <c r="J288" s="73">
        <v>1402.06</v>
      </c>
      <c r="K288" s="73">
        <v>554.42999999999995</v>
      </c>
      <c r="L288" s="73">
        <v>1623.27</v>
      </c>
      <c r="M288" s="73">
        <v>7816.61</v>
      </c>
      <c r="N288" s="73">
        <v>2166.19</v>
      </c>
      <c r="O288" s="73">
        <v>776.18</v>
      </c>
      <c r="P288" s="73">
        <v>1819.79</v>
      </c>
      <c r="Q288" s="73">
        <v>11921.8399999999</v>
      </c>
      <c r="R288" s="73">
        <v>1877.5</v>
      </c>
      <c r="S288" s="73">
        <v>1388.4</v>
      </c>
      <c r="T288" s="73">
        <v>1574.32</v>
      </c>
      <c r="U288" s="73">
        <v>10622.96</v>
      </c>
      <c r="V288" s="161">
        <f t="shared" si="6"/>
        <v>4840.22</v>
      </c>
      <c r="W288" s="161"/>
      <c r="AZ288" s="71" t="s">
        <v>158</v>
      </c>
      <c r="BA288" s="71" t="s">
        <v>10</v>
      </c>
      <c r="BB288" s="32">
        <v>2</v>
      </c>
      <c r="BC288" s="32">
        <v>1</v>
      </c>
      <c r="BD288" s="32">
        <v>1</v>
      </c>
      <c r="BF288" s="71" t="s">
        <v>158</v>
      </c>
      <c r="BG288" s="71" t="s">
        <v>10</v>
      </c>
      <c r="BH288" s="73">
        <v>831.74</v>
      </c>
      <c r="BI288" s="73">
        <v>90.8</v>
      </c>
      <c r="BJ288" s="73">
        <v>9665.0400000000009</v>
      </c>
    </row>
    <row r="289" spans="2:62" x14ac:dyDescent="0.2">
      <c r="B289" s="54">
        <v>98052</v>
      </c>
      <c r="C289" s="60" t="s">
        <v>10</v>
      </c>
      <c r="D289" s="45">
        <v>3478</v>
      </c>
      <c r="E289" s="45">
        <v>3391</v>
      </c>
      <c r="F289" s="45">
        <v>3762</v>
      </c>
      <c r="H289" s="71">
        <v>98051</v>
      </c>
      <c r="I289" s="71" t="s">
        <v>10</v>
      </c>
      <c r="J289" s="73">
        <v>26310.09</v>
      </c>
      <c r="K289" s="73">
        <v>11465.959999999901</v>
      </c>
      <c r="L289" s="73">
        <v>97464.229999999894</v>
      </c>
      <c r="M289" s="73">
        <v>199680.52</v>
      </c>
      <c r="N289" s="73">
        <v>30592.17</v>
      </c>
      <c r="O289" s="73">
        <v>17430.490000000002</v>
      </c>
      <c r="P289" s="73">
        <v>99999.33</v>
      </c>
      <c r="Q289" s="73">
        <v>213141.11</v>
      </c>
      <c r="R289" s="73">
        <v>34056.549999999901</v>
      </c>
      <c r="S289" s="73">
        <v>20425.629999999899</v>
      </c>
      <c r="T289" s="73">
        <v>105224.19</v>
      </c>
      <c r="U289" s="73">
        <v>215262.81</v>
      </c>
      <c r="V289" s="161">
        <f t="shared" si="6"/>
        <v>159706.36999999982</v>
      </c>
      <c r="W289" s="161"/>
      <c r="AZ289" s="71" t="s">
        <v>300</v>
      </c>
      <c r="BA289" s="71" t="s">
        <v>10</v>
      </c>
      <c r="BB289" s="32">
        <v>1</v>
      </c>
      <c r="BC289" s="32"/>
      <c r="BD289" s="32"/>
      <c r="BF289" s="71" t="s">
        <v>300</v>
      </c>
      <c r="BG289" s="71" t="s">
        <v>10</v>
      </c>
      <c r="BH289" s="73">
        <v>531.09</v>
      </c>
      <c r="BI289" s="73"/>
      <c r="BJ289" s="73"/>
    </row>
    <row r="290" spans="2:62" x14ac:dyDescent="0.2">
      <c r="B290" s="54">
        <v>98053</v>
      </c>
      <c r="C290" s="60" t="s">
        <v>10</v>
      </c>
      <c r="D290" s="45">
        <v>554</v>
      </c>
      <c r="E290" s="45">
        <v>375</v>
      </c>
      <c r="F290" s="45">
        <v>575</v>
      </c>
      <c r="H290" s="71">
        <v>98052</v>
      </c>
      <c r="I290" s="71" t="s">
        <v>10</v>
      </c>
      <c r="J290" s="73">
        <v>179482.209999999</v>
      </c>
      <c r="K290" s="73">
        <v>83741.97</v>
      </c>
      <c r="L290" s="73">
        <v>464545.2</v>
      </c>
      <c r="M290" s="73">
        <v>1190771.07</v>
      </c>
      <c r="N290" s="73">
        <v>220914.76</v>
      </c>
      <c r="O290" s="73">
        <v>135157.74999999901</v>
      </c>
      <c r="P290" s="73">
        <v>462435.64</v>
      </c>
      <c r="Q290" s="73">
        <v>1273300.77</v>
      </c>
      <c r="R290" s="73">
        <v>243556.75999999899</v>
      </c>
      <c r="S290" s="73">
        <v>154472.209999999</v>
      </c>
      <c r="T290" s="73">
        <v>489668.74</v>
      </c>
      <c r="U290" s="73">
        <v>1392243.4099999899</v>
      </c>
      <c r="V290" s="161">
        <f t="shared" si="6"/>
        <v>887697.70999999798</v>
      </c>
      <c r="W290" s="161"/>
      <c r="AZ290" s="71" t="s">
        <v>301</v>
      </c>
      <c r="BA290" s="71" t="s">
        <v>10</v>
      </c>
      <c r="BB290" s="32">
        <v>2</v>
      </c>
      <c r="BC290" s="32">
        <v>1</v>
      </c>
      <c r="BD290" s="32">
        <v>3</v>
      </c>
      <c r="BF290" s="71" t="s">
        <v>301</v>
      </c>
      <c r="BG290" s="71" t="s">
        <v>10</v>
      </c>
      <c r="BH290" s="73">
        <v>602.53</v>
      </c>
      <c r="BI290" s="73">
        <v>1971.58</v>
      </c>
      <c r="BJ290" s="73">
        <v>9119.2999999999993</v>
      </c>
    </row>
    <row r="291" spans="2:62" x14ac:dyDescent="0.2">
      <c r="B291" s="54">
        <v>98055</v>
      </c>
      <c r="C291" s="60" t="s">
        <v>10</v>
      </c>
      <c r="D291" s="45">
        <v>2215</v>
      </c>
      <c r="E291" s="45">
        <v>2297</v>
      </c>
      <c r="F291" s="45">
        <v>2345</v>
      </c>
      <c r="H291" s="71">
        <v>98053</v>
      </c>
      <c r="I291" s="71" t="s">
        <v>10</v>
      </c>
      <c r="J291" s="73">
        <v>42006.719999999899</v>
      </c>
      <c r="K291" s="73">
        <v>8729.2999999999993</v>
      </c>
      <c r="L291" s="73">
        <v>103378.77999999899</v>
      </c>
      <c r="M291" s="73">
        <v>294801.81999999902</v>
      </c>
      <c r="N291" s="73">
        <v>24696.98</v>
      </c>
      <c r="O291" s="73">
        <v>32219.729999999901</v>
      </c>
      <c r="P291" s="73">
        <v>98047.709999999905</v>
      </c>
      <c r="Q291" s="73">
        <v>250540.75999999899</v>
      </c>
      <c r="R291" s="73">
        <v>42269.78</v>
      </c>
      <c r="S291" s="73">
        <v>17669.3</v>
      </c>
      <c r="T291" s="73">
        <v>105814.88</v>
      </c>
      <c r="U291" s="73">
        <v>343293.85</v>
      </c>
      <c r="V291" s="161">
        <f t="shared" si="6"/>
        <v>165753.96000000002</v>
      </c>
      <c r="W291" s="161"/>
      <c r="AZ291" s="71" t="s">
        <v>159</v>
      </c>
      <c r="BA291" s="71" t="s">
        <v>10</v>
      </c>
      <c r="BB291" s="32">
        <v>1</v>
      </c>
      <c r="BC291" s="32">
        <v>1</v>
      </c>
      <c r="BD291" s="32"/>
      <c r="BF291" s="71" t="s">
        <v>159</v>
      </c>
      <c r="BG291" s="71" t="s">
        <v>10</v>
      </c>
      <c r="BH291" s="73">
        <v>542.16999999999996</v>
      </c>
      <c r="BI291" s="73">
        <v>71.23</v>
      </c>
      <c r="BJ291" s="73"/>
    </row>
    <row r="292" spans="2:62" x14ac:dyDescent="0.2">
      <c r="B292" s="54">
        <v>98056</v>
      </c>
      <c r="C292" s="60" t="s">
        <v>10</v>
      </c>
      <c r="D292" s="45">
        <v>2793</v>
      </c>
      <c r="E292" s="45">
        <v>2859</v>
      </c>
      <c r="F292" s="45">
        <v>2974</v>
      </c>
      <c r="H292" s="71">
        <v>98055</v>
      </c>
      <c r="I292" s="71" t="s">
        <v>10</v>
      </c>
      <c r="J292" s="73">
        <v>188154.72</v>
      </c>
      <c r="K292" s="73">
        <v>73612.97</v>
      </c>
      <c r="L292" s="73">
        <v>739324.58999999904</v>
      </c>
      <c r="M292" s="73">
        <v>1392912.28999999</v>
      </c>
      <c r="N292" s="73">
        <v>267964.71999999997</v>
      </c>
      <c r="O292" s="73">
        <v>152577.43</v>
      </c>
      <c r="P292" s="73">
        <v>752030.98999999894</v>
      </c>
      <c r="Q292" s="73">
        <v>1559917.9</v>
      </c>
      <c r="R292" s="73">
        <v>248525.96999999901</v>
      </c>
      <c r="S292" s="73">
        <v>212864.579999999</v>
      </c>
      <c r="T292" s="73">
        <v>813307.53999999899</v>
      </c>
      <c r="U292" s="73">
        <v>1708584.6399999899</v>
      </c>
      <c r="V292" s="161">
        <f t="shared" si="6"/>
        <v>1274698.0899999971</v>
      </c>
      <c r="W292" s="161"/>
      <c r="AZ292" s="71" t="s">
        <v>160</v>
      </c>
      <c r="BA292" s="71" t="s">
        <v>10</v>
      </c>
      <c r="BB292" s="32"/>
      <c r="BC292" s="32">
        <v>2</v>
      </c>
      <c r="BD292" s="32"/>
      <c r="BF292" s="71" t="s">
        <v>160</v>
      </c>
      <c r="BG292" s="71" t="s">
        <v>10</v>
      </c>
      <c r="BH292" s="73"/>
      <c r="BI292" s="73">
        <v>1719.31</v>
      </c>
      <c r="BJ292" s="73"/>
    </row>
    <row r="293" spans="2:62" x14ac:dyDescent="0.2">
      <c r="B293" s="54">
        <v>98057</v>
      </c>
      <c r="C293" s="60" t="s">
        <v>10</v>
      </c>
      <c r="D293" s="45">
        <v>1741</v>
      </c>
      <c r="E293" s="45">
        <v>1863</v>
      </c>
      <c r="F293" s="45">
        <v>1771</v>
      </c>
      <c r="H293" s="71">
        <v>98056</v>
      </c>
      <c r="I293" s="71" t="s">
        <v>10</v>
      </c>
      <c r="J293" s="73">
        <v>211616.01</v>
      </c>
      <c r="K293" s="73">
        <v>79794.299999999901</v>
      </c>
      <c r="L293" s="73">
        <v>533801.07999999903</v>
      </c>
      <c r="M293" s="73">
        <v>1285557.26</v>
      </c>
      <c r="N293" s="73">
        <v>278311.89999999898</v>
      </c>
      <c r="O293" s="73">
        <v>159360.11999999901</v>
      </c>
      <c r="P293" s="73">
        <v>522381.489999999</v>
      </c>
      <c r="Q293" s="73">
        <v>1415288.19</v>
      </c>
      <c r="R293" s="73">
        <v>252816.799999999</v>
      </c>
      <c r="S293" s="73">
        <v>188600.9</v>
      </c>
      <c r="T293" s="73">
        <v>561336.84999999905</v>
      </c>
      <c r="U293" s="73">
        <v>1529329.2</v>
      </c>
      <c r="V293" s="161">
        <f t="shared" si="6"/>
        <v>1002754.5499999981</v>
      </c>
      <c r="W293" s="161"/>
      <c r="AZ293" s="71" t="s">
        <v>161</v>
      </c>
      <c r="BA293" s="71" t="s">
        <v>10</v>
      </c>
      <c r="BB293" s="32">
        <v>7</v>
      </c>
      <c r="BC293" s="32">
        <v>5</v>
      </c>
      <c r="BD293" s="32">
        <v>1</v>
      </c>
      <c r="BF293" s="71" t="s">
        <v>161</v>
      </c>
      <c r="BG293" s="71" t="s">
        <v>10</v>
      </c>
      <c r="BH293" s="73">
        <v>3818.48</v>
      </c>
      <c r="BI293" s="73">
        <v>8372.42</v>
      </c>
      <c r="BJ293" s="73">
        <v>4819.16</v>
      </c>
    </row>
    <row r="294" spans="2:62" x14ac:dyDescent="0.2">
      <c r="B294" s="54">
        <v>98058</v>
      </c>
      <c r="C294" s="60" t="s">
        <v>10</v>
      </c>
      <c r="D294" s="45">
        <v>2827</v>
      </c>
      <c r="E294" s="45">
        <v>2979</v>
      </c>
      <c r="F294" s="45">
        <v>2885</v>
      </c>
      <c r="H294" s="71">
        <v>98057</v>
      </c>
      <c r="I294" s="71" t="s">
        <v>10</v>
      </c>
      <c r="J294" s="73">
        <v>106580.61999999901</v>
      </c>
      <c r="K294" s="73">
        <v>45563.92</v>
      </c>
      <c r="L294" s="73">
        <v>346414.62999999902</v>
      </c>
      <c r="M294" s="73">
        <v>719580.64999999898</v>
      </c>
      <c r="N294" s="73">
        <v>144821.65999999901</v>
      </c>
      <c r="O294" s="73">
        <v>87498.78</v>
      </c>
      <c r="P294" s="73">
        <v>348537.43999999901</v>
      </c>
      <c r="Q294" s="73">
        <v>795758.13999999897</v>
      </c>
      <c r="R294" s="73">
        <v>128929.219999999</v>
      </c>
      <c r="S294" s="73">
        <v>110187.409999999</v>
      </c>
      <c r="T294" s="73">
        <v>356670.58999999898</v>
      </c>
      <c r="U294" s="73">
        <v>827287.70999999903</v>
      </c>
      <c r="V294" s="161">
        <f t="shared" si="6"/>
        <v>595787.21999999695</v>
      </c>
      <c r="W294" s="161"/>
      <c r="AZ294" s="71" t="s">
        <v>302</v>
      </c>
      <c r="BA294" s="71" t="s">
        <v>10</v>
      </c>
      <c r="BB294" s="32">
        <v>17</v>
      </c>
      <c r="BC294" s="32">
        <v>5</v>
      </c>
      <c r="BD294" s="32">
        <v>11</v>
      </c>
      <c r="BF294" s="71" t="s">
        <v>302</v>
      </c>
      <c r="BG294" s="71" t="s">
        <v>10</v>
      </c>
      <c r="BH294" s="73">
        <v>8319.5400000000009</v>
      </c>
      <c r="BI294" s="73">
        <v>2719.38</v>
      </c>
      <c r="BJ294" s="73">
        <v>3129.84</v>
      </c>
    </row>
    <row r="295" spans="2:62" x14ac:dyDescent="0.2">
      <c r="B295" s="54">
        <v>98059</v>
      </c>
      <c r="C295" s="60" t="s">
        <v>10</v>
      </c>
      <c r="D295" s="45">
        <v>1997</v>
      </c>
      <c r="E295" s="45">
        <v>2095</v>
      </c>
      <c r="F295" s="45">
        <v>2014</v>
      </c>
      <c r="H295" s="71">
        <v>98058</v>
      </c>
      <c r="I295" s="71" t="s">
        <v>10</v>
      </c>
      <c r="J295" s="73">
        <v>262895.93</v>
      </c>
      <c r="K295" s="73">
        <v>97908.69</v>
      </c>
      <c r="L295" s="73">
        <v>748655.76999999897</v>
      </c>
      <c r="M295" s="73">
        <v>1685554.61</v>
      </c>
      <c r="N295" s="73">
        <v>344183.15999999898</v>
      </c>
      <c r="O295" s="73">
        <v>198621.56</v>
      </c>
      <c r="P295" s="73">
        <v>758667.04</v>
      </c>
      <c r="Q295" s="73">
        <v>1895499.1699999899</v>
      </c>
      <c r="R295" s="73">
        <v>335912.38</v>
      </c>
      <c r="S295" s="73">
        <v>247231.50999999899</v>
      </c>
      <c r="T295" s="73">
        <v>846636.85</v>
      </c>
      <c r="U295" s="73">
        <v>2020582.06</v>
      </c>
      <c r="V295" s="161">
        <f t="shared" si="6"/>
        <v>1429780.7399999988</v>
      </c>
      <c r="W295" s="161"/>
      <c r="AZ295" s="71" t="s">
        <v>162</v>
      </c>
      <c r="BA295" s="71" t="s">
        <v>10</v>
      </c>
      <c r="BB295" s="32">
        <v>2</v>
      </c>
      <c r="BC295" s="32">
        <v>3</v>
      </c>
      <c r="BD295" s="32"/>
      <c r="BF295" s="71" t="s">
        <v>162</v>
      </c>
      <c r="BG295" s="71" t="s">
        <v>10</v>
      </c>
      <c r="BH295" s="73">
        <v>516.32000000000005</v>
      </c>
      <c r="BI295" s="73">
        <v>2110.11</v>
      </c>
      <c r="BJ295" s="73"/>
    </row>
    <row r="296" spans="2:62" x14ac:dyDescent="0.2">
      <c r="B296" s="54">
        <v>98065</v>
      </c>
      <c r="C296" s="60" t="s">
        <v>10</v>
      </c>
      <c r="D296" s="45">
        <v>606</v>
      </c>
      <c r="E296" s="45">
        <v>778</v>
      </c>
      <c r="F296" s="45">
        <v>681</v>
      </c>
      <c r="H296" s="71">
        <v>98059</v>
      </c>
      <c r="I296" s="71" t="s">
        <v>10</v>
      </c>
      <c r="J296" s="73">
        <v>169712.24</v>
      </c>
      <c r="K296" s="73">
        <v>66984.02</v>
      </c>
      <c r="L296" s="73">
        <v>440516.04</v>
      </c>
      <c r="M296" s="73">
        <v>1073797.45999999</v>
      </c>
      <c r="N296" s="73">
        <v>213603.97999999899</v>
      </c>
      <c r="O296" s="73">
        <v>121729.36999999901</v>
      </c>
      <c r="P296" s="73">
        <v>418262.52</v>
      </c>
      <c r="Q296" s="73">
        <v>1170435.03999999</v>
      </c>
      <c r="R296" s="73">
        <v>208067.53999999899</v>
      </c>
      <c r="S296" s="73">
        <v>152580.399999999</v>
      </c>
      <c r="T296" s="73">
        <v>452938.179999999</v>
      </c>
      <c r="U296" s="73">
        <v>1233880.55</v>
      </c>
      <c r="V296" s="161">
        <f t="shared" si="6"/>
        <v>813586.11999999697</v>
      </c>
      <c r="W296" s="161"/>
      <c r="AZ296" s="71" t="s">
        <v>163</v>
      </c>
      <c r="BA296" s="71" t="s">
        <v>10</v>
      </c>
      <c r="BB296" s="32">
        <v>1</v>
      </c>
      <c r="BC296" s="32"/>
      <c r="BD296" s="32">
        <v>1</v>
      </c>
      <c r="BF296" s="71" t="s">
        <v>163</v>
      </c>
      <c r="BG296" s="71" t="s">
        <v>10</v>
      </c>
      <c r="BH296" s="73">
        <v>52.31</v>
      </c>
      <c r="BI296" s="73"/>
      <c r="BJ296" s="73"/>
    </row>
    <row r="297" spans="2:62" x14ac:dyDescent="0.2">
      <c r="B297" s="54">
        <v>98068</v>
      </c>
      <c r="C297" s="60" t="s">
        <v>10</v>
      </c>
      <c r="D297" s="45">
        <v>89</v>
      </c>
      <c r="E297" s="45">
        <v>97</v>
      </c>
      <c r="F297" s="45">
        <v>99</v>
      </c>
      <c r="H297" s="71">
        <v>98065</v>
      </c>
      <c r="I297" s="71" t="s">
        <v>10</v>
      </c>
      <c r="J297" s="73">
        <v>36225.64</v>
      </c>
      <c r="K297" s="73">
        <v>25045.499999999902</v>
      </c>
      <c r="L297" s="73">
        <v>116657.78</v>
      </c>
      <c r="M297" s="73">
        <v>301927.989999999</v>
      </c>
      <c r="N297" s="73">
        <v>58706.049999999901</v>
      </c>
      <c r="O297" s="73">
        <v>23247.889999999901</v>
      </c>
      <c r="P297" s="73">
        <v>121230.72</v>
      </c>
      <c r="Q297" s="73">
        <v>385557.19</v>
      </c>
      <c r="R297" s="73">
        <v>85691.01</v>
      </c>
      <c r="S297" s="73">
        <v>35399.289999999899</v>
      </c>
      <c r="T297" s="73">
        <v>119408.76</v>
      </c>
      <c r="U297" s="73">
        <v>385940.35</v>
      </c>
      <c r="V297" s="161">
        <f t="shared" si="6"/>
        <v>240499.05999999988</v>
      </c>
      <c r="W297" s="161"/>
      <c r="AZ297" s="71" t="s">
        <v>164</v>
      </c>
      <c r="BA297" s="71" t="s">
        <v>10</v>
      </c>
      <c r="BB297" s="32">
        <v>2</v>
      </c>
      <c r="BC297" s="32"/>
      <c r="BD297" s="32"/>
      <c r="BF297" s="71" t="s">
        <v>164</v>
      </c>
      <c r="BG297" s="71" t="s">
        <v>10</v>
      </c>
      <c r="BH297" s="73">
        <v>254.92</v>
      </c>
      <c r="BI297" s="73"/>
      <c r="BJ297" s="73"/>
    </row>
    <row r="298" spans="2:62" x14ac:dyDescent="0.2">
      <c r="B298" s="54">
        <v>98070</v>
      </c>
      <c r="C298" s="60" t="s">
        <v>10</v>
      </c>
      <c r="D298" s="45">
        <v>639</v>
      </c>
      <c r="E298" s="45">
        <v>742</v>
      </c>
      <c r="F298" s="45">
        <v>656</v>
      </c>
      <c r="H298" s="71">
        <v>98068</v>
      </c>
      <c r="I298" s="71" t="s">
        <v>10</v>
      </c>
      <c r="J298" s="73">
        <v>4846.6099999999997</v>
      </c>
      <c r="K298" s="73">
        <v>2324.9699999999998</v>
      </c>
      <c r="L298" s="73">
        <v>11497</v>
      </c>
      <c r="M298" s="73">
        <v>34285.15</v>
      </c>
      <c r="N298" s="73">
        <v>10232.809999999899</v>
      </c>
      <c r="O298" s="73">
        <v>2328.06</v>
      </c>
      <c r="P298" s="73">
        <v>11350.299999999899</v>
      </c>
      <c r="Q298" s="73">
        <v>38604.22</v>
      </c>
      <c r="R298" s="73">
        <v>7920.78</v>
      </c>
      <c r="S298" s="73">
        <v>4885.2699999999904</v>
      </c>
      <c r="T298" s="73">
        <v>10105.859999999901</v>
      </c>
      <c r="U298" s="73">
        <v>45199.709999999897</v>
      </c>
      <c r="V298" s="161">
        <f t="shared" si="6"/>
        <v>22911.909999999891</v>
      </c>
      <c r="W298" s="161"/>
      <c r="AZ298" s="71" t="s">
        <v>165</v>
      </c>
      <c r="BA298" s="71" t="s">
        <v>10</v>
      </c>
      <c r="BB298" s="32">
        <v>11</v>
      </c>
      <c r="BC298" s="32">
        <v>14</v>
      </c>
      <c r="BD298" s="32">
        <v>18</v>
      </c>
      <c r="BF298" s="71" t="s">
        <v>165</v>
      </c>
      <c r="BG298" s="71" t="s">
        <v>10</v>
      </c>
      <c r="BH298" s="73">
        <v>7655.04</v>
      </c>
      <c r="BI298" s="73">
        <v>3813.36</v>
      </c>
      <c r="BJ298" s="73">
        <v>23653.55</v>
      </c>
    </row>
    <row r="299" spans="2:62" x14ac:dyDescent="0.2">
      <c r="B299" s="54">
        <v>98072</v>
      </c>
      <c r="C299" s="60" t="s">
        <v>10</v>
      </c>
      <c r="D299" s="45">
        <v>865</v>
      </c>
      <c r="E299" s="45">
        <v>884</v>
      </c>
      <c r="F299" s="45">
        <v>879</v>
      </c>
      <c r="H299" s="71">
        <v>98070</v>
      </c>
      <c r="I299" s="71" t="s">
        <v>10</v>
      </c>
      <c r="J299" s="73">
        <v>52879.5</v>
      </c>
      <c r="K299" s="73">
        <v>16412.099999999999</v>
      </c>
      <c r="L299" s="73">
        <v>116655.51</v>
      </c>
      <c r="M299" s="73">
        <v>315386.21999999997</v>
      </c>
      <c r="N299" s="73">
        <v>75005.4399999999</v>
      </c>
      <c r="O299" s="73">
        <v>39267.539999999899</v>
      </c>
      <c r="P299" s="73">
        <v>116687.42</v>
      </c>
      <c r="Q299" s="73">
        <v>381897.94999999902</v>
      </c>
      <c r="R299" s="73">
        <v>71989.559999999896</v>
      </c>
      <c r="S299" s="73">
        <v>49466.39</v>
      </c>
      <c r="T299" s="73">
        <v>131446.51</v>
      </c>
      <c r="U299" s="73">
        <v>400028.9</v>
      </c>
      <c r="V299" s="161">
        <f t="shared" si="6"/>
        <v>252902.4599999999</v>
      </c>
      <c r="W299" s="161"/>
      <c r="AZ299" s="71" t="s">
        <v>166</v>
      </c>
      <c r="BA299" s="71" t="s">
        <v>10</v>
      </c>
      <c r="BB299" s="32">
        <v>5</v>
      </c>
      <c r="BC299" s="32">
        <v>5</v>
      </c>
      <c r="BD299" s="32">
        <v>5</v>
      </c>
      <c r="BF299" s="71" t="s">
        <v>166</v>
      </c>
      <c r="BG299" s="71" t="s">
        <v>10</v>
      </c>
      <c r="BH299" s="73">
        <v>1252.4000000000001</v>
      </c>
      <c r="BI299" s="73">
        <v>2684.92</v>
      </c>
      <c r="BJ299" s="73">
        <v>12532.47</v>
      </c>
    </row>
    <row r="300" spans="2:62" x14ac:dyDescent="0.2">
      <c r="B300" s="54">
        <v>98074</v>
      </c>
      <c r="C300" s="60" t="s">
        <v>10</v>
      </c>
      <c r="D300" s="45">
        <v>918</v>
      </c>
      <c r="E300" s="45">
        <v>412</v>
      </c>
      <c r="F300" s="45">
        <v>954</v>
      </c>
      <c r="H300" s="71">
        <v>98072</v>
      </c>
      <c r="I300" s="71" t="s">
        <v>10</v>
      </c>
      <c r="J300" s="73">
        <v>40247.159999999902</v>
      </c>
      <c r="K300" s="73">
        <v>18757.0799999999</v>
      </c>
      <c r="L300" s="73">
        <v>152800.06</v>
      </c>
      <c r="M300" s="73">
        <v>347197.92</v>
      </c>
      <c r="N300" s="73">
        <v>75347.490000000107</v>
      </c>
      <c r="O300" s="73">
        <v>26843.06</v>
      </c>
      <c r="P300" s="73">
        <v>139619.76</v>
      </c>
      <c r="Q300" s="73">
        <v>370768.37999999902</v>
      </c>
      <c r="R300" s="73">
        <v>65529.269999999902</v>
      </c>
      <c r="S300" s="73">
        <v>53708.98</v>
      </c>
      <c r="T300" s="73">
        <v>145079.87</v>
      </c>
      <c r="U300" s="73">
        <v>395788.21999999898</v>
      </c>
      <c r="V300" s="161">
        <f t="shared" si="6"/>
        <v>264318.11999999988</v>
      </c>
      <c r="W300" s="161"/>
      <c r="AZ300" s="71" t="s">
        <v>167</v>
      </c>
      <c r="BA300" s="71" t="s">
        <v>10</v>
      </c>
      <c r="BB300" s="32"/>
      <c r="BC300" s="32">
        <v>1</v>
      </c>
      <c r="BD300" s="32"/>
      <c r="BF300" s="71" t="s">
        <v>167</v>
      </c>
      <c r="BG300" s="71" t="s">
        <v>10</v>
      </c>
      <c r="BH300" s="73"/>
      <c r="BI300" s="73">
        <v>395.89</v>
      </c>
      <c r="BJ300" s="73"/>
    </row>
    <row r="301" spans="2:62" x14ac:dyDescent="0.2">
      <c r="B301" s="54">
        <v>98075</v>
      </c>
      <c r="C301" s="60" t="s">
        <v>10</v>
      </c>
      <c r="D301" s="45">
        <v>757</v>
      </c>
      <c r="E301" s="45">
        <v>300</v>
      </c>
      <c r="F301" s="45">
        <v>721</v>
      </c>
      <c r="H301" s="71">
        <v>98074</v>
      </c>
      <c r="I301" s="71" t="s">
        <v>10</v>
      </c>
      <c r="J301" s="73">
        <v>63267.419999999896</v>
      </c>
      <c r="K301" s="73">
        <v>19177.8499999999</v>
      </c>
      <c r="L301" s="73">
        <v>120522.74</v>
      </c>
      <c r="M301" s="73">
        <v>432490.39999999898</v>
      </c>
      <c r="N301" s="73">
        <v>50396.6499999999</v>
      </c>
      <c r="O301" s="73">
        <v>47287.66</v>
      </c>
      <c r="P301" s="73">
        <v>105578.12</v>
      </c>
      <c r="Q301" s="73">
        <v>255393.2</v>
      </c>
      <c r="R301" s="73">
        <v>63880.669999999896</v>
      </c>
      <c r="S301" s="73">
        <v>26212.429999999898</v>
      </c>
      <c r="T301" s="73">
        <v>117240.34</v>
      </c>
      <c r="U301" s="73">
        <v>465035.28</v>
      </c>
      <c r="V301" s="161">
        <f t="shared" si="6"/>
        <v>207333.4399999998</v>
      </c>
      <c r="W301" s="161"/>
      <c r="AZ301" s="71" t="s">
        <v>303</v>
      </c>
      <c r="BA301" s="71" t="s">
        <v>10</v>
      </c>
      <c r="BB301" s="32">
        <v>19</v>
      </c>
      <c r="BC301" s="32">
        <v>12</v>
      </c>
      <c r="BD301" s="32">
        <v>17</v>
      </c>
      <c r="BF301" s="71" t="s">
        <v>303</v>
      </c>
      <c r="BG301" s="71" t="s">
        <v>10</v>
      </c>
      <c r="BH301" s="73">
        <v>2914.07</v>
      </c>
      <c r="BI301" s="73">
        <v>6939.48</v>
      </c>
      <c r="BJ301" s="73">
        <v>6016.86</v>
      </c>
    </row>
    <row r="302" spans="2:62" x14ac:dyDescent="0.2">
      <c r="B302" s="54">
        <v>98077</v>
      </c>
      <c r="C302" s="60" t="s">
        <v>10</v>
      </c>
      <c r="D302" s="45">
        <v>213</v>
      </c>
      <c r="E302" s="45">
        <v>223</v>
      </c>
      <c r="F302" s="45">
        <v>212</v>
      </c>
      <c r="H302" s="71">
        <v>98075</v>
      </c>
      <c r="I302" s="71" t="s">
        <v>10</v>
      </c>
      <c r="J302" s="73">
        <v>54196.269999999902</v>
      </c>
      <c r="K302" s="73">
        <v>14299.6799999999</v>
      </c>
      <c r="L302" s="73">
        <v>87155.92</v>
      </c>
      <c r="M302" s="73">
        <v>360112.16</v>
      </c>
      <c r="N302" s="73">
        <v>57360.73</v>
      </c>
      <c r="O302" s="73">
        <v>38977.15</v>
      </c>
      <c r="P302" s="73">
        <v>79321.039999999994</v>
      </c>
      <c r="Q302" s="73">
        <v>189859.13</v>
      </c>
      <c r="R302" s="73">
        <v>55446.779999999897</v>
      </c>
      <c r="S302" s="73">
        <v>26019.22</v>
      </c>
      <c r="T302" s="73">
        <v>81384.069999999905</v>
      </c>
      <c r="U302" s="73">
        <v>354576.68</v>
      </c>
      <c r="V302" s="161">
        <f t="shared" si="6"/>
        <v>162850.0699999998</v>
      </c>
      <c r="W302" s="161"/>
      <c r="AZ302" s="71" t="s">
        <v>304</v>
      </c>
      <c r="BA302" s="71" t="s">
        <v>10</v>
      </c>
      <c r="BB302" s="32">
        <v>7</v>
      </c>
      <c r="BC302" s="32">
        <v>5</v>
      </c>
      <c r="BD302" s="32">
        <v>5</v>
      </c>
      <c r="BF302" s="71" t="s">
        <v>304</v>
      </c>
      <c r="BG302" s="71" t="s">
        <v>10</v>
      </c>
      <c r="BH302" s="73">
        <v>2635.45</v>
      </c>
      <c r="BI302" s="73">
        <v>1795.89</v>
      </c>
      <c r="BJ302" s="73">
        <v>4268.51</v>
      </c>
    </row>
    <row r="303" spans="2:62" x14ac:dyDescent="0.2">
      <c r="B303" s="54">
        <v>98087</v>
      </c>
      <c r="C303" s="60" t="s">
        <v>10</v>
      </c>
      <c r="D303" s="45">
        <v>843</v>
      </c>
      <c r="E303" s="45">
        <v>843</v>
      </c>
      <c r="F303" s="45">
        <v>833</v>
      </c>
      <c r="H303" s="71">
        <v>98077</v>
      </c>
      <c r="I303" s="71" t="s">
        <v>10</v>
      </c>
      <c r="J303" s="73">
        <v>20640.96</v>
      </c>
      <c r="K303" s="73">
        <v>1989.82</v>
      </c>
      <c r="L303" s="73">
        <v>86526.56</v>
      </c>
      <c r="M303" s="73">
        <v>180406.019999999</v>
      </c>
      <c r="N303" s="73">
        <v>28881.3</v>
      </c>
      <c r="O303" s="73">
        <v>12373.639999999899</v>
      </c>
      <c r="P303" s="73">
        <v>81756.489999999903</v>
      </c>
      <c r="Q303" s="73">
        <v>194759.32</v>
      </c>
      <c r="R303" s="73">
        <v>30935.059999999899</v>
      </c>
      <c r="S303" s="73">
        <v>20276.419999999998</v>
      </c>
      <c r="T303" s="73">
        <v>85698.6</v>
      </c>
      <c r="U303" s="73">
        <v>202830.59999999899</v>
      </c>
      <c r="V303" s="161">
        <f t="shared" si="6"/>
        <v>136910.0799999999</v>
      </c>
      <c r="W303" s="161"/>
      <c r="AZ303" s="71" t="s">
        <v>168</v>
      </c>
      <c r="BA303" s="71" t="s">
        <v>10</v>
      </c>
      <c r="BB303" s="32">
        <v>4</v>
      </c>
      <c r="BC303" s="32">
        <v>3</v>
      </c>
      <c r="BD303" s="32">
        <v>1</v>
      </c>
      <c r="BF303" s="71" t="s">
        <v>168</v>
      </c>
      <c r="BG303" s="71" t="s">
        <v>10</v>
      </c>
      <c r="BH303" s="73">
        <v>1548.85</v>
      </c>
      <c r="BI303" s="73">
        <v>280.70999999999998</v>
      </c>
      <c r="BJ303" s="73">
        <v>152.38999999999999</v>
      </c>
    </row>
    <row r="304" spans="2:62" x14ac:dyDescent="0.2">
      <c r="B304" s="54">
        <v>98092</v>
      </c>
      <c r="C304" s="60" t="s">
        <v>10</v>
      </c>
      <c r="D304" s="45">
        <v>3866</v>
      </c>
      <c r="E304" s="45">
        <v>3454</v>
      </c>
      <c r="F304" s="45">
        <v>4505</v>
      </c>
      <c r="H304" s="71">
        <v>98087</v>
      </c>
      <c r="I304" s="71" t="s">
        <v>10</v>
      </c>
      <c r="J304" s="73">
        <v>36758.4399999999</v>
      </c>
      <c r="K304" s="73">
        <v>10207.26</v>
      </c>
      <c r="L304" s="73">
        <v>91608.15</v>
      </c>
      <c r="M304" s="73">
        <v>243714.08999999901</v>
      </c>
      <c r="N304" s="73">
        <v>59023.029999999897</v>
      </c>
      <c r="O304" s="73">
        <v>25395.41</v>
      </c>
      <c r="P304" s="73">
        <v>84489.139999999898</v>
      </c>
      <c r="Q304" s="73">
        <v>266614.07999999903</v>
      </c>
      <c r="R304" s="73">
        <v>55195.619999999901</v>
      </c>
      <c r="S304" s="73">
        <v>41305.349999999897</v>
      </c>
      <c r="T304" s="73">
        <v>93844.32</v>
      </c>
      <c r="U304" s="73">
        <v>285091.96999999997</v>
      </c>
      <c r="V304" s="161">
        <f t="shared" si="6"/>
        <v>190345.2899999998</v>
      </c>
      <c r="W304" s="161"/>
      <c r="AZ304" s="71" t="s">
        <v>169</v>
      </c>
      <c r="BA304" s="71" t="s">
        <v>10</v>
      </c>
      <c r="BB304" s="32">
        <v>32</v>
      </c>
      <c r="BC304" s="32">
        <v>28</v>
      </c>
      <c r="BD304" s="32">
        <v>21</v>
      </c>
      <c r="BF304" s="71" t="s">
        <v>169</v>
      </c>
      <c r="BG304" s="71" t="s">
        <v>10</v>
      </c>
      <c r="BH304" s="73">
        <v>32999.15</v>
      </c>
      <c r="BI304" s="73">
        <v>8182.88</v>
      </c>
      <c r="BJ304" s="73">
        <v>6230.62</v>
      </c>
    </row>
    <row r="305" spans="2:62" x14ac:dyDescent="0.2">
      <c r="B305" s="54">
        <v>98101</v>
      </c>
      <c r="C305" s="60" t="s">
        <v>10</v>
      </c>
      <c r="D305" s="45">
        <v>44</v>
      </c>
      <c r="E305" s="45">
        <v>38</v>
      </c>
      <c r="F305" s="45">
        <v>35</v>
      </c>
      <c r="H305" s="168">
        <v>98092</v>
      </c>
      <c r="I305" s="71" t="s">
        <v>10</v>
      </c>
      <c r="J305" s="73">
        <v>410256.33999999898</v>
      </c>
      <c r="K305" s="73">
        <v>112134.189999999</v>
      </c>
      <c r="L305" s="73">
        <v>969782.10999999801</v>
      </c>
      <c r="M305" s="73">
        <v>2219482.1799999899</v>
      </c>
      <c r="N305" s="73">
        <v>301962.429999999</v>
      </c>
      <c r="O305" s="73">
        <v>290623.359999999</v>
      </c>
      <c r="P305" s="73">
        <v>923707.50999999803</v>
      </c>
      <c r="Q305" s="73">
        <v>2186859.29</v>
      </c>
      <c r="R305" s="73">
        <v>393729.679999999</v>
      </c>
      <c r="S305" s="73">
        <v>171312.27</v>
      </c>
      <c r="T305" s="167">
        <v>1044068.37999999</v>
      </c>
      <c r="U305" s="174">
        <v>2786880.7899999898</v>
      </c>
      <c r="V305" s="173">
        <f t="shared" si="6"/>
        <v>1609110.3299999889</v>
      </c>
      <c r="W305" s="161"/>
      <c r="AZ305" s="71" t="s">
        <v>170</v>
      </c>
      <c r="BA305" s="71" t="s">
        <v>10</v>
      </c>
      <c r="BB305" s="32">
        <v>11</v>
      </c>
      <c r="BC305" s="32">
        <v>10</v>
      </c>
      <c r="BD305" s="32">
        <v>10</v>
      </c>
      <c r="BF305" s="71" t="s">
        <v>170</v>
      </c>
      <c r="BG305" s="71" t="s">
        <v>10</v>
      </c>
      <c r="BH305" s="73">
        <v>6518.56</v>
      </c>
      <c r="BI305" s="73">
        <v>8136.13</v>
      </c>
      <c r="BJ305" s="73">
        <v>11960.14</v>
      </c>
    </row>
    <row r="306" spans="2:62" x14ac:dyDescent="0.2">
      <c r="B306" s="54">
        <v>98102</v>
      </c>
      <c r="C306" s="60" t="s">
        <v>10</v>
      </c>
      <c r="D306" s="45">
        <v>617</v>
      </c>
      <c r="E306" s="45">
        <v>493</v>
      </c>
      <c r="F306" s="45">
        <v>610</v>
      </c>
      <c r="H306" s="71">
        <v>98101</v>
      </c>
      <c r="I306" s="71" t="s">
        <v>10</v>
      </c>
      <c r="J306" s="73">
        <v>603.32999999999902</v>
      </c>
      <c r="K306" s="73">
        <v>499.05</v>
      </c>
      <c r="L306" s="73">
        <v>3179.47999999999</v>
      </c>
      <c r="M306" s="73">
        <v>5695.5999999999904</v>
      </c>
      <c r="N306" s="73">
        <v>805.32</v>
      </c>
      <c r="O306" s="73">
        <v>470.89</v>
      </c>
      <c r="P306" s="73">
        <v>2273.53999999999</v>
      </c>
      <c r="Q306" s="73">
        <v>5630.4499999999898</v>
      </c>
      <c r="R306" s="73">
        <v>582.98</v>
      </c>
      <c r="S306" s="73">
        <v>582.11</v>
      </c>
      <c r="T306" s="73">
        <v>1759.6399999999901</v>
      </c>
      <c r="U306" s="73">
        <v>3957.83</v>
      </c>
      <c r="V306" s="161">
        <f t="shared" si="6"/>
        <v>2924.7299999999905</v>
      </c>
      <c r="W306" s="161"/>
      <c r="AZ306" s="71" t="s">
        <v>305</v>
      </c>
      <c r="BA306" s="71" t="s">
        <v>10</v>
      </c>
      <c r="BB306" s="32">
        <v>2</v>
      </c>
      <c r="BC306" s="32">
        <v>2</v>
      </c>
      <c r="BD306" s="32">
        <v>1</v>
      </c>
      <c r="BF306" s="71" t="s">
        <v>305</v>
      </c>
      <c r="BG306" s="71" t="s">
        <v>10</v>
      </c>
      <c r="BH306" s="73">
        <v>710.42</v>
      </c>
      <c r="BI306" s="73">
        <v>259.36</v>
      </c>
      <c r="BJ306" s="73">
        <v>343.31</v>
      </c>
    </row>
    <row r="307" spans="2:62" x14ac:dyDescent="0.2">
      <c r="B307" s="54">
        <v>98103</v>
      </c>
      <c r="C307" s="60" t="s">
        <v>10</v>
      </c>
      <c r="D307" s="45">
        <v>1094</v>
      </c>
      <c r="E307" s="45">
        <v>1100</v>
      </c>
      <c r="F307" s="45">
        <v>1074</v>
      </c>
      <c r="H307" s="71">
        <v>98102</v>
      </c>
      <c r="I307" s="71" t="s">
        <v>10</v>
      </c>
      <c r="J307" s="73">
        <v>22779.87</v>
      </c>
      <c r="K307" s="73">
        <v>7529.59</v>
      </c>
      <c r="L307" s="73">
        <v>44395.58</v>
      </c>
      <c r="M307" s="73">
        <v>135537.15</v>
      </c>
      <c r="N307" s="73">
        <v>15044.01</v>
      </c>
      <c r="O307" s="73">
        <v>19571.09</v>
      </c>
      <c r="P307" s="73">
        <v>42975.35</v>
      </c>
      <c r="Q307" s="73">
        <v>109800.59</v>
      </c>
      <c r="R307" s="73">
        <v>19610.34</v>
      </c>
      <c r="S307" s="73">
        <v>8805.3599999999897</v>
      </c>
      <c r="T307" s="73">
        <v>47899.34</v>
      </c>
      <c r="U307" s="73">
        <v>140937.019999999</v>
      </c>
      <c r="V307" s="161">
        <f t="shared" si="6"/>
        <v>76315.039999999979</v>
      </c>
      <c r="W307" s="161"/>
      <c r="AZ307" s="71" t="s">
        <v>172</v>
      </c>
      <c r="BA307" s="71" t="s">
        <v>10</v>
      </c>
      <c r="BB307" s="32">
        <v>52</v>
      </c>
      <c r="BC307" s="32">
        <v>41</v>
      </c>
      <c r="BD307" s="32">
        <v>42</v>
      </c>
      <c r="BF307" s="71" t="s">
        <v>172</v>
      </c>
      <c r="BG307" s="71" t="s">
        <v>10</v>
      </c>
      <c r="BH307" s="73">
        <v>21062.99</v>
      </c>
      <c r="BI307" s="73">
        <v>19817.849999999999</v>
      </c>
      <c r="BJ307" s="73">
        <v>43070.76</v>
      </c>
    </row>
    <row r="308" spans="2:62" x14ac:dyDescent="0.2">
      <c r="B308" s="54">
        <v>98104</v>
      </c>
      <c r="C308" s="60" t="s">
        <v>10</v>
      </c>
      <c r="D308" s="45">
        <v>49</v>
      </c>
      <c r="E308" s="45">
        <v>51</v>
      </c>
      <c r="F308" s="45">
        <v>51</v>
      </c>
      <c r="H308" s="71">
        <v>98103</v>
      </c>
      <c r="I308" s="71" t="s">
        <v>10</v>
      </c>
      <c r="J308" s="73">
        <v>50333.34</v>
      </c>
      <c r="K308" s="73">
        <v>12994.57</v>
      </c>
      <c r="L308" s="73">
        <v>126578.43</v>
      </c>
      <c r="M308" s="73">
        <v>306916.56</v>
      </c>
      <c r="N308" s="73">
        <v>65982.45</v>
      </c>
      <c r="O308" s="73">
        <v>34563.949999999997</v>
      </c>
      <c r="P308" s="73">
        <v>109488.269999999</v>
      </c>
      <c r="Q308" s="73">
        <v>323574.25</v>
      </c>
      <c r="R308" s="73">
        <v>59186.129999999903</v>
      </c>
      <c r="S308" s="73">
        <v>46255.01</v>
      </c>
      <c r="T308" s="73">
        <v>117937.16</v>
      </c>
      <c r="U308" s="73">
        <v>332346.89999999898</v>
      </c>
      <c r="V308" s="161">
        <f t="shared" si="6"/>
        <v>223378.2999999999</v>
      </c>
      <c r="W308" s="161"/>
      <c r="AZ308" s="71" t="s">
        <v>174</v>
      </c>
      <c r="BA308" s="71" t="s">
        <v>10</v>
      </c>
      <c r="BB308" s="32">
        <v>2</v>
      </c>
      <c r="BC308" s="32">
        <v>1</v>
      </c>
      <c r="BD308" s="32">
        <v>3</v>
      </c>
      <c r="BF308" s="71" t="s">
        <v>174</v>
      </c>
      <c r="BG308" s="71" t="s">
        <v>10</v>
      </c>
      <c r="BH308" s="73">
        <v>1243.1400000000001</v>
      </c>
      <c r="BI308" s="73">
        <v>150.57</v>
      </c>
      <c r="BJ308" s="73">
        <v>2640.57</v>
      </c>
    </row>
    <row r="309" spans="2:62" x14ac:dyDescent="0.2">
      <c r="B309" s="54">
        <v>98105</v>
      </c>
      <c r="C309" s="60" t="s">
        <v>10</v>
      </c>
      <c r="D309" s="45">
        <v>636</v>
      </c>
      <c r="E309" s="45">
        <v>527</v>
      </c>
      <c r="F309" s="45">
        <v>925</v>
      </c>
      <c r="H309" s="71">
        <v>98104</v>
      </c>
      <c r="I309" s="71" t="s">
        <v>10</v>
      </c>
      <c r="J309" s="73">
        <v>3391.11</v>
      </c>
      <c r="K309" s="73">
        <v>1788.7</v>
      </c>
      <c r="L309" s="73">
        <v>8745.51</v>
      </c>
      <c r="M309" s="73">
        <v>19258.569999999901</v>
      </c>
      <c r="N309" s="73">
        <v>4097.2</v>
      </c>
      <c r="O309" s="73">
        <v>2707.38</v>
      </c>
      <c r="P309" s="73">
        <v>9865.1899999999896</v>
      </c>
      <c r="Q309" s="73">
        <v>32926.199999999997</v>
      </c>
      <c r="R309" s="73">
        <v>4033.85</v>
      </c>
      <c r="S309" s="73">
        <v>2713.73</v>
      </c>
      <c r="T309" s="73">
        <v>10233.81</v>
      </c>
      <c r="U309" s="73">
        <v>32292.4199999999</v>
      </c>
      <c r="V309" s="161">
        <f t="shared" si="6"/>
        <v>16981.39</v>
      </c>
      <c r="W309" s="161"/>
      <c r="AZ309" s="71" t="s">
        <v>175</v>
      </c>
      <c r="BA309" s="71" t="s">
        <v>10</v>
      </c>
      <c r="BB309" s="32"/>
      <c r="BC309" s="32"/>
      <c r="BD309" s="32">
        <v>1</v>
      </c>
      <c r="BF309" s="71" t="s">
        <v>175</v>
      </c>
      <c r="BG309" s="71" t="s">
        <v>10</v>
      </c>
      <c r="BH309" s="73"/>
      <c r="BI309" s="73"/>
      <c r="BJ309" s="73">
        <v>2943.5</v>
      </c>
    </row>
    <row r="310" spans="2:62" x14ac:dyDescent="0.2">
      <c r="B310" s="54">
        <v>98106</v>
      </c>
      <c r="C310" s="60" t="s">
        <v>10</v>
      </c>
      <c r="D310" s="45">
        <v>643</v>
      </c>
      <c r="E310" s="45">
        <v>646</v>
      </c>
      <c r="F310" s="45">
        <v>628</v>
      </c>
      <c r="H310" s="71">
        <v>98105</v>
      </c>
      <c r="I310" s="71" t="s">
        <v>10</v>
      </c>
      <c r="J310" s="73">
        <v>43872.62</v>
      </c>
      <c r="K310" s="73">
        <v>8256.0699999999906</v>
      </c>
      <c r="L310" s="73">
        <v>78313.779999999897</v>
      </c>
      <c r="M310" s="73">
        <v>191997.769999999</v>
      </c>
      <c r="N310" s="73">
        <v>19591.5</v>
      </c>
      <c r="O310" s="73">
        <v>28200.2</v>
      </c>
      <c r="P310" s="73">
        <v>66960.909999999902</v>
      </c>
      <c r="Q310" s="73">
        <v>182561.39</v>
      </c>
      <c r="R310" s="73">
        <v>33714.929999999898</v>
      </c>
      <c r="S310" s="73">
        <v>6901.03</v>
      </c>
      <c r="T310" s="73">
        <v>84192.15</v>
      </c>
      <c r="U310" s="73">
        <v>284251.08999999898</v>
      </c>
      <c r="V310" s="161">
        <f t="shared" si="6"/>
        <v>124808.1099999999</v>
      </c>
      <c r="W310" s="161"/>
      <c r="AZ310" s="71" t="s">
        <v>176</v>
      </c>
      <c r="BA310" s="71" t="s">
        <v>10</v>
      </c>
      <c r="BB310" s="32">
        <v>27</v>
      </c>
      <c r="BC310" s="32">
        <v>22</v>
      </c>
      <c r="BD310" s="32">
        <v>26</v>
      </c>
      <c r="BF310" s="71" t="s">
        <v>176</v>
      </c>
      <c r="BG310" s="71" t="s">
        <v>10</v>
      </c>
      <c r="BH310" s="73">
        <v>19352.510000000002</v>
      </c>
      <c r="BI310" s="73">
        <v>19675.8</v>
      </c>
      <c r="BJ310" s="73">
        <v>31382.61</v>
      </c>
    </row>
    <row r="311" spans="2:62" x14ac:dyDescent="0.2">
      <c r="B311" s="54">
        <v>98107</v>
      </c>
      <c r="C311" s="60" t="s">
        <v>10</v>
      </c>
      <c r="D311" s="45">
        <v>589</v>
      </c>
      <c r="E311" s="45">
        <v>615</v>
      </c>
      <c r="F311" s="45">
        <v>571</v>
      </c>
      <c r="H311" s="71">
        <v>98106</v>
      </c>
      <c r="I311" s="71" t="s">
        <v>10</v>
      </c>
      <c r="J311" s="73">
        <v>21717.07</v>
      </c>
      <c r="K311" s="73">
        <v>2915.0899999999901</v>
      </c>
      <c r="L311" s="73">
        <v>101307.859999999</v>
      </c>
      <c r="M311" s="73">
        <v>184385.52</v>
      </c>
      <c r="N311" s="73">
        <v>37909.949999999997</v>
      </c>
      <c r="O311" s="73">
        <v>17018.07</v>
      </c>
      <c r="P311" s="73">
        <v>92690.44</v>
      </c>
      <c r="Q311" s="73">
        <v>206246.44</v>
      </c>
      <c r="R311" s="73">
        <v>37816</v>
      </c>
      <c r="S311" s="73">
        <v>28530.76</v>
      </c>
      <c r="T311" s="73">
        <v>85936.6899999999</v>
      </c>
      <c r="U311" s="73">
        <v>206988.07</v>
      </c>
      <c r="V311" s="161">
        <f t="shared" si="6"/>
        <v>152283.4499999999</v>
      </c>
      <c r="W311" s="161"/>
      <c r="AZ311" s="71" t="s">
        <v>177</v>
      </c>
      <c r="BA311" s="71" t="s">
        <v>10</v>
      </c>
      <c r="BB311" s="32"/>
      <c r="BC311" s="32">
        <v>2</v>
      </c>
      <c r="BD311" s="32"/>
      <c r="BF311" s="71" t="s">
        <v>177</v>
      </c>
      <c r="BG311" s="71" t="s">
        <v>10</v>
      </c>
      <c r="BH311" s="73"/>
      <c r="BI311" s="73">
        <v>7496.84</v>
      </c>
      <c r="BJ311" s="73"/>
    </row>
    <row r="312" spans="2:62" x14ac:dyDescent="0.2">
      <c r="B312" s="54">
        <v>98108</v>
      </c>
      <c r="C312" s="60" t="s">
        <v>10</v>
      </c>
      <c r="D312" s="45">
        <v>848</v>
      </c>
      <c r="E312" s="45">
        <v>884</v>
      </c>
      <c r="F312" s="45">
        <v>1113</v>
      </c>
      <c r="H312" s="71">
        <v>98107</v>
      </c>
      <c r="I312" s="71" t="s">
        <v>10</v>
      </c>
      <c r="J312" s="73">
        <v>34369.229999999901</v>
      </c>
      <c r="K312" s="73">
        <v>15438.07</v>
      </c>
      <c r="L312" s="73">
        <v>81757.809999999896</v>
      </c>
      <c r="M312" s="73">
        <v>197068.19999999899</v>
      </c>
      <c r="N312" s="73">
        <v>45358.94</v>
      </c>
      <c r="O312" s="73">
        <v>28417.63</v>
      </c>
      <c r="P312" s="73">
        <v>77345.17</v>
      </c>
      <c r="Q312" s="73">
        <v>219963.2</v>
      </c>
      <c r="R312" s="73">
        <v>38763.120000000003</v>
      </c>
      <c r="S312" s="73">
        <v>33407.97</v>
      </c>
      <c r="T312" s="73">
        <v>89911.44</v>
      </c>
      <c r="U312" s="73">
        <v>219124.15999999901</v>
      </c>
      <c r="V312" s="161">
        <f t="shared" si="6"/>
        <v>162082.53</v>
      </c>
      <c r="W312" s="161"/>
      <c r="AZ312" s="71" t="s">
        <v>306</v>
      </c>
      <c r="BA312" s="71" t="s">
        <v>10</v>
      </c>
      <c r="BB312" s="32">
        <v>4</v>
      </c>
      <c r="BC312" s="32">
        <v>5</v>
      </c>
      <c r="BD312" s="32">
        <v>3</v>
      </c>
      <c r="BF312" s="71" t="s">
        <v>306</v>
      </c>
      <c r="BG312" s="71" t="s">
        <v>10</v>
      </c>
      <c r="BH312" s="73">
        <v>458.66</v>
      </c>
      <c r="BI312" s="73">
        <v>2311.92</v>
      </c>
      <c r="BJ312" s="73">
        <v>981.11</v>
      </c>
    </row>
    <row r="313" spans="2:62" x14ac:dyDescent="0.2">
      <c r="B313" s="54">
        <v>98109</v>
      </c>
      <c r="C313" s="60" t="s">
        <v>10</v>
      </c>
      <c r="D313" s="45">
        <v>451</v>
      </c>
      <c r="E313" s="45">
        <v>514</v>
      </c>
      <c r="F313" s="45">
        <v>486</v>
      </c>
      <c r="H313" s="71">
        <v>98108</v>
      </c>
      <c r="I313" s="71" t="s">
        <v>10</v>
      </c>
      <c r="J313" s="73">
        <v>51419.5799999999</v>
      </c>
      <c r="K313" s="73">
        <v>9518.5899999999892</v>
      </c>
      <c r="L313" s="73">
        <v>110733.239999999</v>
      </c>
      <c r="M313" s="73">
        <v>242555.69</v>
      </c>
      <c r="N313" s="73">
        <v>47759.88</v>
      </c>
      <c r="O313" s="73">
        <v>30361.99</v>
      </c>
      <c r="P313" s="73">
        <v>106251.36999999901</v>
      </c>
      <c r="Q313" s="73">
        <v>275175.299999999</v>
      </c>
      <c r="R313" s="73">
        <v>55406.44</v>
      </c>
      <c r="S313" s="73">
        <v>26969.18</v>
      </c>
      <c r="T313" s="73">
        <v>114944.69</v>
      </c>
      <c r="U313" s="73">
        <v>345509.14999999898</v>
      </c>
      <c r="V313" s="161">
        <f t="shared" si="6"/>
        <v>197320.31</v>
      </c>
      <c r="W313" s="161"/>
      <c r="AZ313" s="71" t="s">
        <v>178</v>
      </c>
      <c r="BA313" s="71" t="s">
        <v>10</v>
      </c>
      <c r="BB313" s="32"/>
      <c r="BC313" s="32">
        <v>1</v>
      </c>
      <c r="BD313" s="32"/>
      <c r="BF313" s="71" t="s">
        <v>178</v>
      </c>
      <c r="BG313" s="71" t="s">
        <v>10</v>
      </c>
      <c r="BH313" s="73"/>
      <c r="BI313" s="73">
        <v>211.34</v>
      </c>
      <c r="BJ313" s="73"/>
    </row>
    <row r="314" spans="2:62" x14ac:dyDescent="0.2">
      <c r="B314" s="54">
        <v>98110</v>
      </c>
      <c r="C314" s="60" t="s">
        <v>10</v>
      </c>
      <c r="D314" s="45">
        <v>1139</v>
      </c>
      <c r="E314" s="45">
        <v>632</v>
      </c>
      <c r="F314" s="45">
        <v>1507</v>
      </c>
      <c r="H314" s="71">
        <v>98109</v>
      </c>
      <c r="I314" s="71" t="s">
        <v>10</v>
      </c>
      <c r="J314" s="73">
        <v>17435.099999999999</v>
      </c>
      <c r="K314" s="73">
        <v>5716.1099999999897</v>
      </c>
      <c r="L314" s="73">
        <v>40936.94</v>
      </c>
      <c r="M314" s="73">
        <v>120489.109999999</v>
      </c>
      <c r="N314" s="73">
        <v>26856.92</v>
      </c>
      <c r="O314" s="73">
        <v>14662.64</v>
      </c>
      <c r="P314" s="73">
        <v>42179.28</v>
      </c>
      <c r="Q314" s="73">
        <v>132095.56</v>
      </c>
      <c r="R314" s="73">
        <v>21908.02</v>
      </c>
      <c r="S314" s="73">
        <v>18024.310000000001</v>
      </c>
      <c r="T314" s="73">
        <v>45960.27</v>
      </c>
      <c r="U314" s="73">
        <v>133492.84</v>
      </c>
      <c r="V314" s="161">
        <f t="shared" si="6"/>
        <v>85892.6</v>
      </c>
      <c r="W314" s="161"/>
      <c r="AZ314" s="71" t="s">
        <v>307</v>
      </c>
      <c r="BA314" s="71" t="s">
        <v>10</v>
      </c>
      <c r="BB314" s="32">
        <v>4</v>
      </c>
      <c r="BC314" s="32">
        <v>2</v>
      </c>
      <c r="BD314" s="32">
        <v>2</v>
      </c>
      <c r="BF314" s="71" t="s">
        <v>307</v>
      </c>
      <c r="BG314" s="71" t="s">
        <v>10</v>
      </c>
      <c r="BH314" s="73">
        <v>1344.97</v>
      </c>
      <c r="BI314" s="73">
        <v>602.74</v>
      </c>
      <c r="BJ314" s="73">
        <v>2391.09</v>
      </c>
    </row>
    <row r="315" spans="2:62" x14ac:dyDescent="0.2">
      <c r="B315" s="54">
        <v>98112</v>
      </c>
      <c r="C315" s="60" t="s">
        <v>10</v>
      </c>
      <c r="D315" s="45">
        <v>734</v>
      </c>
      <c r="E315" s="45">
        <v>755</v>
      </c>
      <c r="F315" s="45">
        <v>721</v>
      </c>
      <c r="H315" s="71">
        <v>98110</v>
      </c>
      <c r="I315" s="71" t="s">
        <v>10</v>
      </c>
      <c r="J315" s="73">
        <v>99827.249999999898</v>
      </c>
      <c r="K315" s="73">
        <v>18681.53</v>
      </c>
      <c r="L315" s="73">
        <v>98922.719999999899</v>
      </c>
      <c r="M315" s="73">
        <v>413077.989999999</v>
      </c>
      <c r="N315" s="73">
        <v>20972.58</v>
      </c>
      <c r="O315" s="73">
        <v>54998.309999999903</v>
      </c>
      <c r="P315" s="73">
        <v>81610.600000000006</v>
      </c>
      <c r="Q315" s="73">
        <v>290497.609999999</v>
      </c>
      <c r="R315" s="73">
        <v>58812.489999999903</v>
      </c>
      <c r="S315" s="73">
        <v>2409.9699999999998</v>
      </c>
      <c r="T315" s="73">
        <v>113114.97999999901</v>
      </c>
      <c r="U315" s="73">
        <v>623569.549999999</v>
      </c>
      <c r="V315" s="161">
        <f t="shared" si="6"/>
        <v>174337.4399999989</v>
      </c>
      <c r="W315" s="161"/>
      <c r="AZ315" s="71" t="s">
        <v>179</v>
      </c>
      <c r="BA315" s="71" t="s">
        <v>10</v>
      </c>
      <c r="BB315" s="32">
        <v>1</v>
      </c>
      <c r="BC315" s="32"/>
      <c r="BD315" s="32"/>
      <c r="BF315" s="71" t="s">
        <v>179</v>
      </c>
      <c r="BG315" s="71" t="s">
        <v>10</v>
      </c>
      <c r="BH315" s="73"/>
      <c r="BI315" s="73"/>
      <c r="BJ315" s="73"/>
    </row>
    <row r="316" spans="2:62" x14ac:dyDescent="0.2">
      <c r="B316" s="54">
        <v>98115</v>
      </c>
      <c r="C316" s="60" t="s">
        <v>10</v>
      </c>
      <c r="D316" s="45">
        <v>736</v>
      </c>
      <c r="E316" s="45">
        <v>797</v>
      </c>
      <c r="F316" s="45">
        <v>952</v>
      </c>
      <c r="H316" s="71">
        <v>98112</v>
      </c>
      <c r="I316" s="71" t="s">
        <v>10</v>
      </c>
      <c r="J316" s="73">
        <v>41458.49</v>
      </c>
      <c r="K316" s="73">
        <v>11413.46</v>
      </c>
      <c r="L316" s="73">
        <v>59866.099999999897</v>
      </c>
      <c r="M316" s="73">
        <v>230150.16</v>
      </c>
      <c r="N316" s="73">
        <v>49061.94</v>
      </c>
      <c r="O316" s="73">
        <v>29204.17</v>
      </c>
      <c r="P316" s="73">
        <v>58320.609999999899</v>
      </c>
      <c r="Q316" s="73">
        <v>234128.78</v>
      </c>
      <c r="R316" s="73">
        <v>42734.23</v>
      </c>
      <c r="S316" s="73">
        <v>30864.16</v>
      </c>
      <c r="T316" s="73">
        <v>60988.849999999897</v>
      </c>
      <c r="U316" s="73">
        <v>242441.03999999899</v>
      </c>
      <c r="V316" s="161">
        <f t="shared" si="6"/>
        <v>134587.2399999999</v>
      </c>
      <c r="W316" s="161"/>
      <c r="AZ316" s="71" t="s">
        <v>308</v>
      </c>
      <c r="BA316" s="71" t="s">
        <v>10</v>
      </c>
      <c r="BB316" s="32">
        <v>3</v>
      </c>
      <c r="BC316" s="32">
        <v>2</v>
      </c>
      <c r="BD316" s="32">
        <v>3</v>
      </c>
      <c r="BF316" s="71" t="s">
        <v>308</v>
      </c>
      <c r="BG316" s="71" t="s">
        <v>10</v>
      </c>
      <c r="BH316" s="73">
        <v>1278.58</v>
      </c>
      <c r="BI316" s="73">
        <v>1323.06</v>
      </c>
      <c r="BJ316" s="73">
        <v>1979.9</v>
      </c>
    </row>
    <row r="317" spans="2:62" x14ac:dyDescent="0.2">
      <c r="B317" s="54">
        <v>98116</v>
      </c>
      <c r="C317" s="60" t="s">
        <v>10</v>
      </c>
      <c r="D317" s="45">
        <v>541</v>
      </c>
      <c r="E317" s="45">
        <v>563</v>
      </c>
      <c r="F317" s="45">
        <v>552</v>
      </c>
      <c r="H317" s="71">
        <v>98115</v>
      </c>
      <c r="I317" s="71" t="s">
        <v>10</v>
      </c>
      <c r="J317" s="73">
        <v>41943.09</v>
      </c>
      <c r="K317" s="73">
        <v>2199.1299999999901</v>
      </c>
      <c r="L317" s="73">
        <v>119196.649999999</v>
      </c>
      <c r="M317" s="73">
        <v>246810.72</v>
      </c>
      <c r="N317" s="73">
        <v>54570.879999999903</v>
      </c>
      <c r="O317" s="73">
        <v>22629.3999999999</v>
      </c>
      <c r="P317" s="73">
        <v>111175.389999999</v>
      </c>
      <c r="Q317" s="73">
        <v>290649.56</v>
      </c>
      <c r="R317" s="73">
        <v>54766.949999999903</v>
      </c>
      <c r="S317" s="73">
        <v>30206.3</v>
      </c>
      <c r="T317" s="73">
        <v>119914.63</v>
      </c>
      <c r="U317" s="73">
        <v>340921.11999999901</v>
      </c>
      <c r="V317" s="161">
        <f t="shared" ref="V317:V380" si="7">SUM(R317:T317)</f>
        <v>204887.87999999989</v>
      </c>
      <c r="W317" s="161"/>
      <c r="AZ317" s="71" t="s">
        <v>180</v>
      </c>
      <c r="BA317" s="71" t="s">
        <v>10</v>
      </c>
      <c r="BB317" s="32">
        <v>50</v>
      </c>
      <c r="BC317" s="32">
        <v>37</v>
      </c>
      <c r="BD317" s="32">
        <v>44</v>
      </c>
      <c r="BF317" s="71" t="s">
        <v>180</v>
      </c>
      <c r="BG317" s="71" t="s">
        <v>10</v>
      </c>
      <c r="BH317" s="73">
        <v>27929.82</v>
      </c>
      <c r="BI317" s="73">
        <v>19781.53</v>
      </c>
      <c r="BJ317" s="73">
        <v>13497.31</v>
      </c>
    </row>
    <row r="318" spans="2:62" x14ac:dyDescent="0.2">
      <c r="B318" s="54">
        <v>98117</v>
      </c>
      <c r="C318" s="60" t="s">
        <v>10</v>
      </c>
      <c r="D318" s="45">
        <v>844</v>
      </c>
      <c r="E318" s="45">
        <v>826</v>
      </c>
      <c r="F318" s="45">
        <v>825</v>
      </c>
      <c r="H318" s="71">
        <v>98116</v>
      </c>
      <c r="I318" s="71" t="s">
        <v>10</v>
      </c>
      <c r="J318" s="73">
        <v>25334.959999999999</v>
      </c>
      <c r="K318" s="73">
        <v>7185.4799999999896</v>
      </c>
      <c r="L318" s="73">
        <v>60091.42</v>
      </c>
      <c r="M318" s="73">
        <v>147866.799999999</v>
      </c>
      <c r="N318" s="73">
        <v>33702.44</v>
      </c>
      <c r="O318" s="73">
        <v>17567.809999999899</v>
      </c>
      <c r="P318" s="73">
        <v>55758.63</v>
      </c>
      <c r="Q318" s="73">
        <v>166898.04</v>
      </c>
      <c r="R318" s="73">
        <v>34773.46</v>
      </c>
      <c r="S318" s="73">
        <v>23427.43</v>
      </c>
      <c r="T318" s="73">
        <v>58466.909999999902</v>
      </c>
      <c r="U318" s="73">
        <v>175138.18999999901</v>
      </c>
      <c r="V318" s="161">
        <f t="shared" si="7"/>
        <v>116667.7999999999</v>
      </c>
      <c r="W318" s="161"/>
      <c r="AZ318" s="71" t="s">
        <v>181</v>
      </c>
      <c r="BA318" s="71" t="s">
        <v>10</v>
      </c>
      <c r="BB318" s="32">
        <v>27</v>
      </c>
      <c r="BC318" s="32">
        <v>19</v>
      </c>
      <c r="BD318" s="32">
        <v>24</v>
      </c>
      <c r="BF318" s="71" t="s">
        <v>181</v>
      </c>
      <c r="BG318" s="71" t="s">
        <v>10</v>
      </c>
      <c r="BH318" s="73">
        <v>16763.150000000001</v>
      </c>
      <c r="BI318" s="73">
        <v>12353.21</v>
      </c>
      <c r="BJ318" s="73">
        <v>9811.94</v>
      </c>
    </row>
    <row r="319" spans="2:62" x14ac:dyDescent="0.2">
      <c r="B319" s="54">
        <v>98118</v>
      </c>
      <c r="C319" s="60" t="s">
        <v>10</v>
      </c>
      <c r="D319" s="45">
        <v>1578</v>
      </c>
      <c r="E319" s="45">
        <v>1635</v>
      </c>
      <c r="F319" s="45">
        <v>1669</v>
      </c>
      <c r="H319" s="71">
        <v>98117</v>
      </c>
      <c r="I319" s="71" t="s">
        <v>10</v>
      </c>
      <c r="J319" s="73">
        <v>34356.82</v>
      </c>
      <c r="K319" s="73">
        <v>11307.54</v>
      </c>
      <c r="L319" s="73">
        <v>87824.08</v>
      </c>
      <c r="M319" s="73">
        <v>226514.71</v>
      </c>
      <c r="N319" s="73">
        <v>53243.39</v>
      </c>
      <c r="O319" s="73">
        <v>25045.52</v>
      </c>
      <c r="P319" s="73">
        <v>86636.999999999898</v>
      </c>
      <c r="Q319" s="73">
        <v>246854.74999999901</v>
      </c>
      <c r="R319" s="73">
        <v>45205.860000000102</v>
      </c>
      <c r="S319" s="73">
        <v>35607.54</v>
      </c>
      <c r="T319" s="73">
        <v>88198.04</v>
      </c>
      <c r="U319" s="73">
        <v>249971.57</v>
      </c>
      <c r="V319" s="161">
        <f t="shared" si="7"/>
        <v>169011.44000000012</v>
      </c>
      <c r="W319" s="161"/>
      <c r="AZ319" s="71" t="s">
        <v>182</v>
      </c>
      <c r="BA319" s="71" t="s">
        <v>10</v>
      </c>
      <c r="BB319" s="32">
        <v>56</v>
      </c>
      <c r="BC319" s="32">
        <v>43</v>
      </c>
      <c r="BD319" s="32">
        <v>82</v>
      </c>
      <c r="BF319" s="71" t="s">
        <v>182</v>
      </c>
      <c r="BG319" s="71" t="s">
        <v>10</v>
      </c>
      <c r="BH319" s="73">
        <v>28474.98</v>
      </c>
      <c r="BI319" s="73">
        <v>30495.41</v>
      </c>
      <c r="BJ319" s="73">
        <v>39169.35</v>
      </c>
    </row>
    <row r="320" spans="2:62" x14ac:dyDescent="0.2">
      <c r="B320" s="54">
        <v>98119</v>
      </c>
      <c r="C320" s="60" t="s">
        <v>10</v>
      </c>
      <c r="D320" s="45">
        <v>513</v>
      </c>
      <c r="E320" s="45">
        <v>553</v>
      </c>
      <c r="F320" s="45">
        <v>533</v>
      </c>
      <c r="H320" s="71">
        <v>98118</v>
      </c>
      <c r="I320" s="71" t="s">
        <v>10</v>
      </c>
      <c r="J320" s="73">
        <v>90334.959999999905</v>
      </c>
      <c r="K320" s="73">
        <v>23267.45</v>
      </c>
      <c r="L320" s="73">
        <v>211955.55999999901</v>
      </c>
      <c r="M320" s="73">
        <v>522280.85</v>
      </c>
      <c r="N320" s="73">
        <v>109794.61999999901</v>
      </c>
      <c r="O320" s="73">
        <v>69964.190000000104</v>
      </c>
      <c r="P320" s="73">
        <v>211391.649999999</v>
      </c>
      <c r="Q320" s="73">
        <v>583169.63</v>
      </c>
      <c r="R320" s="73">
        <v>112423.67</v>
      </c>
      <c r="S320" s="73">
        <v>79454.59</v>
      </c>
      <c r="T320" s="73">
        <v>239634.22999999899</v>
      </c>
      <c r="U320" s="73">
        <v>641944.96999999904</v>
      </c>
      <c r="V320" s="161">
        <f t="shared" si="7"/>
        <v>431512.489999999</v>
      </c>
      <c r="W320" s="161"/>
      <c r="AZ320" s="71" t="s">
        <v>184</v>
      </c>
      <c r="BA320" s="71" t="s">
        <v>10</v>
      </c>
      <c r="BB320" s="32">
        <v>12</v>
      </c>
      <c r="BC320" s="32">
        <v>4</v>
      </c>
      <c r="BD320" s="32">
        <v>4</v>
      </c>
      <c r="BF320" s="71" t="s">
        <v>184</v>
      </c>
      <c r="BG320" s="71" t="s">
        <v>10</v>
      </c>
      <c r="BH320" s="73">
        <v>6071.96</v>
      </c>
      <c r="BI320" s="73">
        <v>6796.79</v>
      </c>
      <c r="BJ320" s="73">
        <v>1979.31</v>
      </c>
    </row>
    <row r="321" spans="2:62" x14ac:dyDescent="0.2">
      <c r="B321" s="54">
        <v>98121</v>
      </c>
      <c r="C321" s="60" t="s">
        <v>10</v>
      </c>
      <c r="D321" s="45">
        <v>170</v>
      </c>
      <c r="E321" s="45">
        <v>163</v>
      </c>
      <c r="F321" s="45">
        <v>149</v>
      </c>
      <c r="H321" s="71">
        <v>98119</v>
      </c>
      <c r="I321" s="71" t="s">
        <v>10</v>
      </c>
      <c r="J321" s="73">
        <v>25708.66</v>
      </c>
      <c r="K321" s="73">
        <v>6639.0099999999902</v>
      </c>
      <c r="L321" s="73">
        <v>48749.5</v>
      </c>
      <c r="M321" s="73">
        <v>141664.35</v>
      </c>
      <c r="N321" s="73">
        <v>32599.25</v>
      </c>
      <c r="O321" s="73">
        <v>17461.52</v>
      </c>
      <c r="P321" s="73">
        <v>49241.539999999899</v>
      </c>
      <c r="Q321" s="73">
        <v>155602.65</v>
      </c>
      <c r="R321" s="73">
        <v>27712.93</v>
      </c>
      <c r="S321" s="73">
        <v>19577.719999999899</v>
      </c>
      <c r="T321" s="73">
        <v>53380.61</v>
      </c>
      <c r="U321" s="73">
        <v>160568.38</v>
      </c>
      <c r="V321" s="161">
        <f t="shared" si="7"/>
        <v>100671.25999999989</v>
      </c>
      <c r="W321" s="161"/>
      <c r="AZ321" s="71" t="s">
        <v>187</v>
      </c>
      <c r="BA321" s="71" t="s">
        <v>10</v>
      </c>
      <c r="BB321" s="32">
        <v>21</v>
      </c>
      <c r="BC321" s="32">
        <v>6</v>
      </c>
      <c r="BD321" s="32">
        <v>8</v>
      </c>
      <c r="BF321" s="71" t="s">
        <v>187</v>
      </c>
      <c r="BG321" s="71" t="s">
        <v>10</v>
      </c>
      <c r="BH321" s="73">
        <v>7045.72</v>
      </c>
      <c r="BI321" s="73">
        <v>6337.56</v>
      </c>
      <c r="BJ321" s="73">
        <v>6566.82</v>
      </c>
    </row>
    <row r="322" spans="2:62" x14ac:dyDescent="0.2">
      <c r="B322" s="54">
        <v>98122</v>
      </c>
      <c r="C322" s="60" t="s">
        <v>10</v>
      </c>
      <c r="D322" s="45">
        <v>1353</v>
      </c>
      <c r="E322" s="45">
        <v>1368</v>
      </c>
      <c r="F322" s="45">
        <v>1328</v>
      </c>
      <c r="H322" s="71">
        <v>98121</v>
      </c>
      <c r="I322" s="71" t="s">
        <v>10</v>
      </c>
      <c r="J322" s="73">
        <v>4893.07</v>
      </c>
      <c r="K322" s="73">
        <v>4314.1599999999899</v>
      </c>
      <c r="L322" s="73">
        <v>11692.71</v>
      </c>
      <c r="M322" s="73">
        <v>34121.15</v>
      </c>
      <c r="N322" s="73">
        <v>11454.92</v>
      </c>
      <c r="O322" s="73">
        <v>3693.9899999999898</v>
      </c>
      <c r="P322" s="73">
        <v>15112.37</v>
      </c>
      <c r="Q322" s="73">
        <v>39681.549999999901</v>
      </c>
      <c r="R322" s="73">
        <v>7323.1499999999896</v>
      </c>
      <c r="S322" s="73">
        <v>5290.7599999999902</v>
      </c>
      <c r="T322" s="73">
        <v>12033.94</v>
      </c>
      <c r="U322" s="73">
        <v>33554.239999999998</v>
      </c>
      <c r="V322" s="161">
        <f t="shared" si="7"/>
        <v>24647.84999999998</v>
      </c>
      <c r="W322" s="161"/>
      <c r="AZ322" s="71" t="s">
        <v>188</v>
      </c>
      <c r="BA322" s="71" t="s">
        <v>10</v>
      </c>
      <c r="BB322" s="32"/>
      <c r="BC322" s="32">
        <v>1</v>
      </c>
      <c r="BD322" s="32"/>
      <c r="BF322" s="71" t="s">
        <v>188</v>
      </c>
      <c r="BG322" s="71" t="s">
        <v>10</v>
      </c>
      <c r="BH322" s="73"/>
      <c r="BI322" s="73"/>
      <c r="BJ322" s="73"/>
    </row>
    <row r="323" spans="2:62" x14ac:dyDescent="0.2">
      <c r="B323" s="54">
        <v>98125</v>
      </c>
      <c r="C323" s="60" t="s">
        <v>10</v>
      </c>
      <c r="D323" s="45">
        <v>533</v>
      </c>
      <c r="E323" s="45">
        <v>518</v>
      </c>
      <c r="F323" s="45">
        <v>545</v>
      </c>
      <c r="H323" s="71">
        <v>98122</v>
      </c>
      <c r="I323" s="71" t="s">
        <v>10</v>
      </c>
      <c r="J323" s="73">
        <v>58533.860000000102</v>
      </c>
      <c r="K323" s="73">
        <v>19820.5</v>
      </c>
      <c r="L323" s="73">
        <v>147387.1</v>
      </c>
      <c r="M323" s="73">
        <v>354897.39999999898</v>
      </c>
      <c r="N323" s="73">
        <v>74192.410000000105</v>
      </c>
      <c r="O323" s="73">
        <v>44908.34</v>
      </c>
      <c r="P323" s="73">
        <v>151118.209999999</v>
      </c>
      <c r="Q323" s="73">
        <v>385287.79</v>
      </c>
      <c r="R323" s="73">
        <v>63136.219999999899</v>
      </c>
      <c r="S323" s="73">
        <v>53080.290000000103</v>
      </c>
      <c r="T323" s="73">
        <v>167809.109999999</v>
      </c>
      <c r="U323" s="73">
        <v>401248.39999999898</v>
      </c>
      <c r="V323" s="161">
        <f t="shared" si="7"/>
        <v>284025.61999999901</v>
      </c>
      <c r="W323" s="161"/>
      <c r="AZ323" s="71" t="s">
        <v>190</v>
      </c>
      <c r="BA323" s="71" t="s">
        <v>10</v>
      </c>
      <c r="BB323" s="32">
        <v>4</v>
      </c>
      <c r="BC323" s="32">
        <v>3</v>
      </c>
      <c r="BD323" s="32">
        <v>1</v>
      </c>
      <c r="BF323" s="71" t="s">
        <v>190</v>
      </c>
      <c r="BG323" s="71" t="s">
        <v>10</v>
      </c>
      <c r="BH323" s="73">
        <v>174.33</v>
      </c>
      <c r="BI323" s="73">
        <v>652.24</v>
      </c>
      <c r="BJ323" s="73">
        <v>912.27</v>
      </c>
    </row>
    <row r="324" spans="2:62" x14ac:dyDescent="0.2">
      <c r="B324" s="54">
        <v>98126</v>
      </c>
      <c r="C324" s="60" t="s">
        <v>10</v>
      </c>
      <c r="D324" s="45">
        <v>700</v>
      </c>
      <c r="E324" s="45">
        <v>717</v>
      </c>
      <c r="F324" s="45">
        <v>743</v>
      </c>
      <c r="H324" s="71">
        <v>98125</v>
      </c>
      <c r="I324" s="71" t="s">
        <v>10</v>
      </c>
      <c r="J324" s="73">
        <v>20937.419999999998</v>
      </c>
      <c r="K324" s="73">
        <v>843.89</v>
      </c>
      <c r="L324" s="73">
        <v>75111.099999999904</v>
      </c>
      <c r="M324" s="73">
        <v>161226.72</v>
      </c>
      <c r="N324" s="73">
        <v>41801.029999999897</v>
      </c>
      <c r="O324" s="73">
        <v>14921.11</v>
      </c>
      <c r="P324" s="73">
        <v>66805.850000000006</v>
      </c>
      <c r="Q324" s="73">
        <v>182860.209999999</v>
      </c>
      <c r="R324" s="73">
        <v>37669.179999999898</v>
      </c>
      <c r="S324" s="73">
        <v>29492.639999999999</v>
      </c>
      <c r="T324" s="73">
        <v>65566.2</v>
      </c>
      <c r="U324" s="73">
        <v>192382.389999999</v>
      </c>
      <c r="V324" s="161">
        <f t="shared" si="7"/>
        <v>132728.0199999999</v>
      </c>
      <c r="W324" s="161"/>
      <c r="AZ324" s="71" t="s">
        <v>309</v>
      </c>
      <c r="BA324" s="71" t="s">
        <v>10</v>
      </c>
      <c r="BB324" s="32">
        <v>4</v>
      </c>
      <c r="BC324" s="32">
        <v>6</v>
      </c>
      <c r="BD324" s="32">
        <v>3</v>
      </c>
      <c r="BF324" s="71" t="s">
        <v>309</v>
      </c>
      <c r="BG324" s="71" t="s">
        <v>10</v>
      </c>
      <c r="BH324" s="73">
        <v>1487.99</v>
      </c>
      <c r="BI324" s="73">
        <v>2075.6799999999998</v>
      </c>
      <c r="BJ324" s="73">
        <v>2863.72</v>
      </c>
    </row>
    <row r="325" spans="2:62" x14ac:dyDescent="0.2">
      <c r="B325" s="54">
        <v>98133</v>
      </c>
      <c r="C325" s="60" t="s">
        <v>10</v>
      </c>
      <c r="D325" s="45">
        <v>885</v>
      </c>
      <c r="E325" s="45">
        <v>901</v>
      </c>
      <c r="F325" s="45">
        <v>918</v>
      </c>
      <c r="H325" s="71">
        <v>98126</v>
      </c>
      <c r="I325" s="71" t="s">
        <v>10</v>
      </c>
      <c r="J325" s="73">
        <v>25813.929999999898</v>
      </c>
      <c r="K325" s="73">
        <v>8245.9500000000007</v>
      </c>
      <c r="L325" s="73">
        <v>83728.649999999994</v>
      </c>
      <c r="M325" s="73">
        <v>184315.93</v>
      </c>
      <c r="N325" s="73">
        <v>44214.67</v>
      </c>
      <c r="O325" s="73">
        <v>19705.09</v>
      </c>
      <c r="P325" s="73">
        <v>83464.22</v>
      </c>
      <c r="Q325" s="73">
        <v>217811.81</v>
      </c>
      <c r="R325" s="73">
        <v>48969.17</v>
      </c>
      <c r="S325" s="73">
        <v>34049.589999999997</v>
      </c>
      <c r="T325" s="73">
        <v>87943.819999999905</v>
      </c>
      <c r="U325" s="73">
        <v>240493.43999999901</v>
      </c>
      <c r="V325" s="161">
        <f t="shared" si="7"/>
        <v>170962.5799999999</v>
      </c>
      <c r="W325" s="161"/>
      <c r="AZ325" s="71" t="s">
        <v>191</v>
      </c>
      <c r="BA325" s="71" t="s">
        <v>10</v>
      </c>
      <c r="BB325" s="32">
        <v>17</v>
      </c>
      <c r="BC325" s="32">
        <v>15</v>
      </c>
      <c r="BD325" s="32">
        <v>10</v>
      </c>
      <c r="BF325" s="71" t="s">
        <v>191</v>
      </c>
      <c r="BG325" s="71" t="s">
        <v>10</v>
      </c>
      <c r="BH325" s="73">
        <v>9988.52</v>
      </c>
      <c r="BI325" s="73">
        <v>15429.22</v>
      </c>
      <c r="BJ325" s="73">
        <v>5017.4399999999996</v>
      </c>
    </row>
    <row r="326" spans="2:62" x14ac:dyDescent="0.2">
      <c r="B326" s="54">
        <v>98134</v>
      </c>
      <c r="C326" s="60" t="s">
        <v>10</v>
      </c>
      <c r="D326" s="45">
        <v>18</v>
      </c>
      <c r="E326" s="45">
        <v>17</v>
      </c>
      <c r="F326" s="45">
        <v>22</v>
      </c>
      <c r="H326" s="71">
        <v>98133</v>
      </c>
      <c r="I326" s="71" t="s">
        <v>10</v>
      </c>
      <c r="J326" s="73">
        <v>37700.78</v>
      </c>
      <c r="K326" s="73">
        <v>11282.12</v>
      </c>
      <c r="L326" s="73">
        <v>117661.41999999899</v>
      </c>
      <c r="M326" s="73">
        <v>274007.57999999903</v>
      </c>
      <c r="N326" s="73">
        <v>64279.88</v>
      </c>
      <c r="O326" s="73">
        <v>28541.43</v>
      </c>
      <c r="P326" s="73">
        <v>112750.88</v>
      </c>
      <c r="Q326" s="73">
        <v>313133.18999999901</v>
      </c>
      <c r="R326" s="73">
        <v>63430.769999999902</v>
      </c>
      <c r="S326" s="73">
        <v>45854.21</v>
      </c>
      <c r="T326" s="73">
        <v>114639.53</v>
      </c>
      <c r="U326" s="73">
        <v>334444.90999999898</v>
      </c>
      <c r="V326" s="161">
        <f t="shared" si="7"/>
        <v>223924.50999999989</v>
      </c>
      <c r="W326" s="161"/>
      <c r="AZ326" s="71" t="s">
        <v>192</v>
      </c>
      <c r="BA326" s="71" t="s">
        <v>10</v>
      </c>
      <c r="BB326" s="32">
        <v>15</v>
      </c>
      <c r="BC326" s="32">
        <v>12</v>
      </c>
      <c r="BD326" s="32">
        <v>9</v>
      </c>
      <c r="BF326" s="71" t="s">
        <v>192</v>
      </c>
      <c r="BG326" s="71" t="s">
        <v>10</v>
      </c>
      <c r="BH326" s="73">
        <v>26709.69</v>
      </c>
      <c r="BI326" s="73">
        <v>11791.66</v>
      </c>
      <c r="BJ326" s="73">
        <v>7525.1</v>
      </c>
    </row>
    <row r="327" spans="2:62" x14ac:dyDescent="0.2">
      <c r="B327" s="54">
        <v>98136</v>
      </c>
      <c r="C327" s="60" t="s">
        <v>10</v>
      </c>
      <c r="D327" s="45">
        <v>442</v>
      </c>
      <c r="E327" s="45">
        <v>412</v>
      </c>
      <c r="F327" s="45">
        <v>429</v>
      </c>
      <c r="H327" s="71">
        <v>98134</v>
      </c>
      <c r="I327" s="71" t="s">
        <v>10</v>
      </c>
      <c r="J327" s="73">
        <v>1799.24</v>
      </c>
      <c r="K327" s="73">
        <v>526.92999999999995</v>
      </c>
      <c r="L327" s="73">
        <v>13093.1799999999</v>
      </c>
      <c r="M327" s="73">
        <v>24445.309999999899</v>
      </c>
      <c r="N327" s="73">
        <v>1423.9099999999901</v>
      </c>
      <c r="O327" s="73">
        <v>746.68999999999903</v>
      </c>
      <c r="P327" s="73">
        <v>12694.47</v>
      </c>
      <c r="Q327" s="73">
        <v>17361.72</v>
      </c>
      <c r="R327" s="73">
        <v>1177.19</v>
      </c>
      <c r="S327" s="73">
        <v>1221.3299999999899</v>
      </c>
      <c r="T327" s="73">
        <v>12936.25</v>
      </c>
      <c r="U327" s="73">
        <v>18652.47</v>
      </c>
      <c r="V327" s="161">
        <f t="shared" si="7"/>
        <v>15334.76999999999</v>
      </c>
      <c r="W327" s="161"/>
      <c r="AZ327" s="71" t="s">
        <v>193</v>
      </c>
      <c r="BA327" s="71" t="s">
        <v>10</v>
      </c>
      <c r="BB327" s="32">
        <v>4</v>
      </c>
      <c r="BC327" s="32">
        <v>1</v>
      </c>
      <c r="BD327" s="32">
        <v>1</v>
      </c>
      <c r="BF327" s="71" t="s">
        <v>193</v>
      </c>
      <c r="BG327" s="71" t="s">
        <v>10</v>
      </c>
      <c r="BH327" s="73">
        <v>311.13</v>
      </c>
      <c r="BI327" s="73"/>
      <c r="BJ327" s="73">
        <v>2032.56</v>
      </c>
    </row>
    <row r="328" spans="2:62" x14ac:dyDescent="0.2">
      <c r="B328" s="54">
        <v>98144</v>
      </c>
      <c r="C328" s="60" t="s">
        <v>10</v>
      </c>
      <c r="D328" s="45">
        <v>1189</v>
      </c>
      <c r="E328" s="45">
        <v>915</v>
      </c>
      <c r="F328" s="45">
        <v>1174</v>
      </c>
      <c r="H328" s="71">
        <v>98136</v>
      </c>
      <c r="I328" s="71" t="s">
        <v>10</v>
      </c>
      <c r="J328" s="73">
        <v>18113.21</v>
      </c>
      <c r="K328" s="73">
        <v>4998.0600000000004</v>
      </c>
      <c r="L328" s="73">
        <v>50449.7599999999</v>
      </c>
      <c r="M328" s="73">
        <v>121451.28</v>
      </c>
      <c r="N328" s="73">
        <v>26479.94</v>
      </c>
      <c r="O328" s="73">
        <v>12431.31</v>
      </c>
      <c r="P328" s="73">
        <v>48169.179999999898</v>
      </c>
      <c r="Q328" s="73">
        <v>134879.62</v>
      </c>
      <c r="R328" s="73">
        <v>25933.929999999898</v>
      </c>
      <c r="S328" s="73">
        <v>17149.939999999999</v>
      </c>
      <c r="T328" s="73">
        <v>46521.38</v>
      </c>
      <c r="U328" s="73">
        <v>133750.19999999899</v>
      </c>
      <c r="V328" s="161">
        <f t="shared" si="7"/>
        <v>89605.249999999884</v>
      </c>
      <c r="W328" s="161"/>
      <c r="AZ328" s="71" t="s">
        <v>194</v>
      </c>
      <c r="BA328" s="71" t="s">
        <v>10</v>
      </c>
      <c r="BB328" s="32"/>
      <c r="BC328" s="32">
        <v>1</v>
      </c>
      <c r="BD328" s="32"/>
      <c r="BF328" s="71" t="s">
        <v>194</v>
      </c>
      <c r="BG328" s="71" t="s">
        <v>10</v>
      </c>
      <c r="BH328" s="73"/>
      <c r="BI328" s="73">
        <v>172.62</v>
      </c>
      <c r="BJ328" s="73"/>
    </row>
    <row r="329" spans="2:62" x14ac:dyDescent="0.2">
      <c r="B329" s="54">
        <v>98146</v>
      </c>
      <c r="C329" s="60" t="s">
        <v>10</v>
      </c>
      <c r="D329" s="45">
        <v>659</v>
      </c>
      <c r="E329" s="45">
        <v>675</v>
      </c>
      <c r="F329" s="45">
        <v>700</v>
      </c>
      <c r="H329" s="71">
        <v>98144</v>
      </c>
      <c r="I329" s="71" t="s">
        <v>10</v>
      </c>
      <c r="J329" s="73">
        <v>69404.6899999999</v>
      </c>
      <c r="K329" s="73">
        <v>19195.91</v>
      </c>
      <c r="L329" s="73">
        <v>138335.71</v>
      </c>
      <c r="M329" s="73">
        <v>371845.39999999898</v>
      </c>
      <c r="N329" s="73">
        <v>63775.24</v>
      </c>
      <c r="O329" s="73">
        <v>55992.35</v>
      </c>
      <c r="P329" s="73">
        <v>133503.10999999999</v>
      </c>
      <c r="Q329" s="73">
        <v>324440.40999999997</v>
      </c>
      <c r="R329" s="73">
        <v>64517.48</v>
      </c>
      <c r="S329" s="73">
        <v>46419.79</v>
      </c>
      <c r="T329" s="73">
        <v>154281.46</v>
      </c>
      <c r="U329" s="73">
        <v>425760.429999999</v>
      </c>
      <c r="V329" s="161">
        <f t="shared" si="7"/>
        <v>265218.73</v>
      </c>
      <c r="W329" s="161"/>
      <c r="AZ329" s="71" t="s">
        <v>196</v>
      </c>
      <c r="BA329" s="71" t="s">
        <v>10</v>
      </c>
      <c r="BB329" s="32"/>
      <c r="BC329" s="32">
        <v>1</v>
      </c>
      <c r="BD329" s="32">
        <v>1</v>
      </c>
      <c r="BF329" s="71" t="s">
        <v>196</v>
      </c>
      <c r="BG329" s="71" t="s">
        <v>10</v>
      </c>
      <c r="BH329" s="73"/>
      <c r="BI329" s="73">
        <v>78.150000000000006</v>
      </c>
      <c r="BJ329" s="73">
        <v>4607.1899999999996</v>
      </c>
    </row>
    <row r="330" spans="2:62" x14ac:dyDescent="0.2">
      <c r="B330" s="54">
        <v>98148</v>
      </c>
      <c r="C330" s="60" t="s">
        <v>10</v>
      </c>
      <c r="D330" s="45">
        <v>648</v>
      </c>
      <c r="E330" s="45">
        <v>722</v>
      </c>
      <c r="F330" s="45">
        <v>682</v>
      </c>
      <c r="H330" s="71">
        <v>98146</v>
      </c>
      <c r="I330" s="71" t="s">
        <v>10</v>
      </c>
      <c r="J330" s="73">
        <v>30781.74</v>
      </c>
      <c r="K330" s="73">
        <v>7832.87</v>
      </c>
      <c r="L330" s="73">
        <v>85019.809999999896</v>
      </c>
      <c r="M330" s="73">
        <v>204111.50999999899</v>
      </c>
      <c r="N330" s="73">
        <v>46732.12</v>
      </c>
      <c r="O330" s="73">
        <v>21753.57</v>
      </c>
      <c r="P330" s="73">
        <v>78791.419999999896</v>
      </c>
      <c r="Q330" s="73">
        <v>226523.29</v>
      </c>
      <c r="R330" s="73">
        <v>46546.9</v>
      </c>
      <c r="S330" s="73">
        <v>32561.279999999999</v>
      </c>
      <c r="T330" s="73">
        <v>82033.629999999903</v>
      </c>
      <c r="U330" s="73">
        <v>241833.71999999901</v>
      </c>
      <c r="V330" s="161">
        <f t="shared" si="7"/>
        <v>161141.80999999988</v>
      </c>
      <c r="W330" s="161"/>
      <c r="AZ330" s="71" t="s">
        <v>197</v>
      </c>
      <c r="BA330" s="71" t="s">
        <v>10</v>
      </c>
      <c r="BB330" s="32">
        <v>6</v>
      </c>
      <c r="BC330" s="32">
        <v>3</v>
      </c>
      <c r="BD330" s="32">
        <v>7</v>
      </c>
      <c r="BF330" s="71" t="s">
        <v>197</v>
      </c>
      <c r="BG330" s="71" t="s">
        <v>10</v>
      </c>
      <c r="BH330" s="73">
        <v>1545.08</v>
      </c>
      <c r="BI330" s="73">
        <v>2243.65</v>
      </c>
      <c r="BJ330" s="73">
        <v>6257.99</v>
      </c>
    </row>
    <row r="331" spans="2:62" x14ac:dyDescent="0.2">
      <c r="B331" s="54">
        <v>98155</v>
      </c>
      <c r="C331" s="60" t="s">
        <v>10</v>
      </c>
      <c r="D331" s="45">
        <v>620</v>
      </c>
      <c r="E331" s="45">
        <v>664</v>
      </c>
      <c r="F331" s="45">
        <v>647</v>
      </c>
      <c r="H331" s="71">
        <v>98148</v>
      </c>
      <c r="I331" s="71" t="s">
        <v>10</v>
      </c>
      <c r="J331" s="73">
        <v>52708.3999999999</v>
      </c>
      <c r="K331" s="73">
        <v>23068.4399999999</v>
      </c>
      <c r="L331" s="73">
        <v>182735.19999999899</v>
      </c>
      <c r="M331" s="73">
        <v>364163.64999999898</v>
      </c>
      <c r="N331" s="73">
        <v>73510.37</v>
      </c>
      <c r="O331" s="73">
        <v>42779.16</v>
      </c>
      <c r="P331" s="73">
        <v>182906.18</v>
      </c>
      <c r="Q331" s="73">
        <v>421109.32999999903</v>
      </c>
      <c r="R331" s="73">
        <v>74622.069999999905</v>
      </c>
      <c r="S331" s="73">
        <v>53103.03</v>
      </c>
      <c r="T331" s="73">
        <v>189573.81</v>
      </c>
      <c r="U331" s="73">
        <v>427761.45</v>
      </c>
      <c r="V331" s="161">
        <f t="shared" si="7"/>
        <v>317298.90999999992</v>
      </c>
      <c r="W331" s="161"/>
      <c r="AZ331" s="71" t="s">
        <v>200</v>
      </c>
      <c r="BA331" s="71" t="s">
        <v>10</v>
      </c>
      <c r="BB331" s="32">
        <v>3</v>
      </c>
      <c r="BC331" s="32">
        <v>3</v>
      </c>
      <c r="BD331" s="32">
        <v>1</v>
      </c>
      <c r="BF331" s="71" t="s">
        <v>200</v>
      </c>
      <c r="BG331" s="71" t="s">
        <v>10</v>
      </c>
      <c r="BH331" s="73">
        <v>1479.6</v>
      </c>
      <c r="BI331" s="73">
        <v>1875.9</v>
      </c>
      <c r="BJ331" s="73">
        <v>167.31</v>
      </c>
    </row>
    <row r="332" spans="2:62" x14ac:dyDescent="0.2">
      <c r="B332" s="54">
        <v>98166</v>
      </c>
      <c r="C332" s="60" t="s">
        <v>10</v>
      </c>
      <c r="D332" s="45">
        <v>809</v>
      </c>
      <c r="E332" s="45">
        <v>894</v>
      </c>
      <c r="F332" s="45">
        <v>850</v>
      </c>
      <c r="H332" s="71">
        <v>98155</v>
      </c>
      <c r="I332" s="71" t="s">
        <v>10</v>
      </c>
      <c r="J332" s="73">
        <v>27596.1</v>
      </c>
      <c r="K332" s="73">
        <v>9300.4</v>
      </c>
      <c r="L332" s="73">
        <v>93159.869999999893</v>
      </c>
      <c r="M332" s="73">
        <v>218078.28999999899</v>
      </c>
      <c r="N332" s="73">
        <v>53689.409999999902</v>
      </c>
      <c r="O332" s="73">
        <v>19478.43</v>
      </c>
      <c r="P332" s="73">
        <v>89133.5199999998</v>
      </c>
      <c r="Q332" s="73">
        <v>251487.62</v>
      </c>
      <c r="R332" s="73">
        <v>51665.26</v>
      </c>
      <c r="S332" s="73">
        <v>37781.33</v>
      </c>
      <c r="T332" s="73">
        <v>89594.399999999907</v>
      </c>
      <c r="U332" s="73">
        <v>269071.44</v>
      </c>
      <c r="V332" s="161">
        <f t="shared" si="7"/>
        <v>179040.9899999999</v>
      </c>
      <c r="W332" s="161"/>
      <c r="AZ332" s="71" t="s">
        <v>201</v>
      </c>
      <c r="BA332" s="71" t="s">
        <v>10</v>
      </c>
      <c r="BB332" s="32">
        <v>2</v>
      </c>
      <c r="BC332" s="32">
        <v>4</v>
      </c>
      <c r="BD332" s="32"/>
      <c r="BF332" s="71" t="s">
        <v>201</v>
      </c>
      <c r="BG332" s="71" t="s">
        <v>10</v>
      </c>
      <c r="BH332" s="73">
        <v>7688.64</v>
      </c>
      <c r="BI332" s="73">
        <v>1471.27</v>
      </c>
      <c r="BJ332" s="73"/>
    </row>
    <row r="333" spans="2:62" x14ac:dyDescent="0.2">
      <c r="B333" s="78">
        <v>98168</v>
      </c>
      <c r="C333" s="60" t="s">
        <v>10</v>
      </c>
      <c r="D333" s="45">
        <v>1074</v>
      </c>
      <c r="E333" s="45">
        <v>1096</v>
      </c>
      <c r="F333" s="45">
        <v>1100</v>
      </c>
      <c r="H333" s="71">
        <v>98166</v>
      </c>
      <c r="I333" s="71" t="s">
        <v>10</v>
      </c>
      <c r="J333" s="73">
        <v>45584.499999999898</v>
      </c>
      <c r="K333" s="73">
        <v>15312.45</v>
      </c>
      <c r="L333" s="73">
        <v>162683.139999999</v>
      </c>
      <c r="M333" s="73">
        <v>343193.43</v>
      </c>
      <c r="N333" s="73">
        <v>72865.649999999994</v>
      </c>
      <c r="O333" s="73">
        <v>36260.39</v>
      </c>
      <c r="P333" s="73">
        <v>161806.83999999901</v>
      </c>
      <c r="Q333" s="73">
        <v>404137.15999999898</v>
      </c>
      <c r="R333" s="73">
        <v>69714.33</v>
      </c>
      <c r="S333" s="73">
        <v>51398.0799999999</v>
      </c>
      <c r="T333" s="73">
        <v>169687.9</v>
      </c>
      <c r="U333" s="73">
        <v>413963.1</v>
      </c>
      <c r="V333" s="161">
        <f t="shared" si="7"/>
        <v>290800.30999999988</v>
      </c>
      <c r="W333" s="161"/>
      <c r="AZ333" s="71" t="s">
        <v>202</v>
      </c>
      <c r="BA333" s="71" t="s">
        <v>10</v>
      </c>
      <c r="BB333" s="32">
        <v>10</v>
      </c>
      <c r="BC333" s="32">
        <v>1</v>
      </c>
      <c r="BD333" s="32">
        <v>12</v>
      </c>
      <c r="BF333" s="71" t="s">
        <v>202</v>
      </c>
      <c r="BG333" s="71" t="s">
        <v>10</v>
      </c>
      <c r="BH333" s="73">
        <v>11823.35</v>
      </c>
      <c r="BI333" s="73">
        <v>1560.01</v>
      </c>
      <c r="BJ333" s="73">
        <v>7037.36</v>
      </c>
    </row>
    <row r="334" spans="2:62" x14ac:dyDescent="0.2">
      <c r="B334" s="78">
        <v>98177</v>
      </c>
      <c r="C334" s="60" t="s">
        <v>10</v>
      </c>
      <c r="D334" s="45">
        <v>458</v>
      </c>
      <c r="E334" s="45">
        <v>496</v>
      </c>
      <c r="F334" s="45">
        <v>472</v>
      </c>
      <c r="H334" s="71">
        <v>98168</v>
      </c>
      <c r="I334" s="71" t="s">
        <v>10</v>
      </c>
      <c r="J334" s="73">
        <v>55576.269999999902</v>
      </c>
      <c r="K334" s="73">
        <v>14396.44</v>
      </c>
      <c r="L334" s="73">
        <v>152813.13</v>
      </c>
      <c r="M334" s="73">
        <v>389888.09</v>
      </c>
      <c r="N334" s="73">
        <v>93104.059999999896</v>
      </c>
      <c r="O334" s="73">
        <v>40762.18</v>
      </c>
      <c r="P334" s="73">
        <v>140879.679999999</v>
      </c>
      <c r="Q334" s="73">
        <v>418851.739999999</v>
      </c>
      <c r="R334" s="73">
        <v>85312.77</v>
      </c>
      <c r="S334" s="73">
        <v>66085.389999999898</v>
      </c>
      <c r="T334" s="73">
        <v>159600.79</v>
      </c>
      <c r="U334" s="73">
        <v>450489.86999999901</v>
      </c>
      <c r="V334" s="161">
        <f t="shared" si="7"/>
        <v>310998.94999999995</v>
      </c>
      <c r="W334" s="161"/>
      <c r="AZ334" s="71" t="s">
        <v>204</v>
      </c>
      <c r="BA334" s="71" t="s">
        <v>10</v>
      </c>
      <c r="BB334" s="32">
        <v>57</v>
      </c>
      <c r="BC334" s="32">
        <v>42</v>
      </c>
      <c r="BD334" s="32">
        <v>47</v>
      </c>
      <c r="BF334" s="71" t="s">
        <v>204</v>
      </c>
      <c r="BG334" s="71" t="s">
        <v>10</v>
      </c>
      <c r="BH334" s="73">
        <v>44320.01</v>
      </c>
      <c r="BI334" s="73">
        <v>17629.669999999998</v>
      </c>
      <c r="BJ334" s="73">
        <v>36648.75</v>
      </c>
    </row>
    <row r="335" spans="2:62" x14ac:dyDescent="0.2">
      <c r="B335" s="78">
        <v>98178</v>
      </c>
      <c r="C335" s="60" t="s">
        <v>10</v>
      </c>
      <c r="D335" s="45">
        <v>846</v>
      </c>
      <c r="E335" s="45">
        <v>884</v>
      </c>
      <c r="F335" s="45">
        <v>891</v>
      </c>
      <c r="H335" s="71">
        <v>98177</v>
      </c>
      <c r="I335" s="71" t="s">
        <v>10</v>
      </c>
      <c r="J335" s="73">
        <v>23778.84</v>
      </c>
      <c r="K335" s="73">
        <v>7128.6799999999903</v>
      </c>
      <c r="L335" s="73">
        <v>65731.39</v>
      </c>
      <c r="M335" s="73">
        <v>162619.79999999999</v>
      </c>
      <c r="N335" s="73">
        <v>36957.82</v>
      </c>
      <c r="O335" s="73">
        <v>17512.03</v>
      </c>
      <c r="P335" s="73">
        <v>61313.120000000003</v>
      </c>
      <c r="Q335" s="73">
        <v>183733.42</v>
      </c>
      <c r="R335" s="73">
        <v>35700.379999999997</v>
      </c>
      <c r="S335" s="73">
        <v>23308.82</v>
      </c>
      <c r="T335" s="73">
        <v>57089.62</v>
      </c>
      <c r="U335" s="73">
        <v>182973.72</v>
      </c>
      <c r="V335" s="161">
        <f t="shared" si="7"/>
        <v>116098.82</v>
      </c>
      <c r="W335" s="161"/>
      <c r="AZ335" s="71" t="s">
        <v>205</v>
      </c>
      <c r="BA335" s="71" t="s">
        <v>10</v>
      </c>
      <c r="BB335" s="32">
        <v>25</v>
      </c>
      <c r="BC335" s="32">
        <v>15</v>
      </c>
      <c r="BD335" s="32">
        <v>19</v>
      </c>
      <c r="BF335" s="71" t="s">
        <v>205</v>
      </c>
      <c r="BG335" s="71" t="s">
        <v>10</v>
      </c>
      <c r="BH335" s="73">
        <v>21857.84</v>
      </c>
      <c r="BI335" s="73">
        <v>5136.99</v>
      </c>
      <c r="BJ335" s="73">
        <v>27838.91</v>
      </c>
    </row>
    <row r="336" spans="2:62" x14ac:dyDescent="0.2">
      <c r="B336" s="78">
        <v>98188</v>
      </c>
      <c r="C336" s="60" t="s">
        <v>10</v>
      </c>
      <c r="D336" s="45">
        <v>2100</v>
      </c>
      <c r="E336" s="45">
        <v>2226</v>
      </c>
      <c r="F336" s="45">
        <v>2210</v>
      </c>
      <c r="H336" s="71">
        <v>98178</v>
      </c>
      <c r="I336" s="71" t="s">
        <v>10</v>
      </c>
      <c r="J336" s="73">
        <v>40595.539999999797</v>
      </c>
      <c r="K336" s="73">
        <v>9670.1800000000203</v>
      </c>
      <c r="L336" s="73">
        <v>75860.5199999998</v>
      </c>
      <c r="M336" s="73">
        <v>234344.019999999</v>
      </c>
      <c r="N336" s="73">
        <v>64215.629999999801</v>
      </c>
      <c r="O336" s="73">
        <v>29474.2</v>
      </c>
      <c r="P336" s="73">
        <v>69210.070000000007</v>
      </c>
      <c r="Q336" s="73">
        <v>260681.05</v>
      </c>
      <c r="R336" s="73">
        <v>57216.579999999798</v>
      </c>
      <c r="S336" s="73">
        <v>45117.429999999898</v>
      </c>
      <c r="T336" s="73">
        <v>81205.869999999893</v>
      </c>
      <c r="U336" s="73">
        <v>291004.83999999898</v>
      </c>
      <c r="V336" s="161">
        <f t="shared" si="7"/>
        <v>183539.8799999996</v>
      </c>
      <c r="W336" s="161"/>
      <c r="AZ336" s="71" t="s">
        <v>206</v>
      </c>
      <c r="BA336" s="71" t="s">
        <v>10</v>
      </c>
      <c r="BB336" s="32">
        <v>17</v>
      </c>
      <c r="BC336" s="32">
        <v>17</v>
      </c>
      <c r="BD336" s="32">
        <v>17</v>
      </c>
      <c r="BF336" s="71" t="s">
        <v>206</v>
      </c>
      <c r="BG336" s="71" t="s">
        <v>10</v>
      </c>
      <c r="BH336" s="73">
        <v>10979.12</v>
      </c>
      <c r="BI336" s="73">
        <v>14157.11</v>
      </c>
      <c r="BJ336" s="73">
        <v>11839.26</v>
      </c>
    </row>
    <row r="337" spans="2:62" x14ac:dyDescent="0.2">
      <c r="B337" s="54">
        <v>98198</v>
      </c>
      <c r="C337" s="60" t="s">
        <v>10</v>
      </c>
      <c r="D337" s="45">
        <v>3432</v>
      </c>
      <c r="E337" s="45">
        <v>3590</v>
      </c>
      <c r="F337" s="45">
        <v>3537</v>
      </c>
      <c r="H337" s="71">
        <v>98188</v>
      </c>
      <c r="I337" s="71" t="s">
        <v>10</v>
      </c>
      <c r="J337" s="73">
        <v>125754.86</v>
      </c>
      <c r="K337" s="73">
        <v>49628.709999999897</v>
      </c>
      <c r="L337" s="73">
        <v>476517.09999999899</v>
      </c>
      <c r="M337" s="73">
        <v>943894.12</v>
      </c>
      <c r="N337" s="73">
        <v>192370.95</v>
      </c>
      <c r="O337" s="73">
        <v>103166.87</v>
      </c>
      <c r="P337" s="73">
        <v>482075.75999999902</v>
      </c>
      <c r="Q337" s="73">
        <v>1096539.68</v>
      </c>
      <c r="R337" s="73">
        <v>206194.06</v>
      </c>
      <c r="S337" s="73">
        <v>143060.80999999901</v>
      </c>
      <c r="T337" s="73">
        <v>506846.46999999898</v>
      </c>
      <c r="U337" s="73">
        <v>1169685.1199999901</v>
      </c>
      <c r="V337" s="161">
        <f t="shared" si="7"/>
        <v>856101.33999999799</v>
      </c>
      <c r="W337" s="161"/>
      <c r="AZ337" s="71" t="s">
        <v>207</v>
      </c>
      <c r="BA337" s="71" t="s">
        <v>10</v>
      </c>
      <c r="BB337" s="32">
        <v>28</v>
      </c>
      <c r="BC337" s="32">
        <v>30</v>
      </c>
      <c r="BD337" s="32">
        <v>23</v>
      </c>
      <c r="BF337" s="71" t="s">
        <v>207</v>
      </c>
      <c r="BG337" s="71" t="s">
        <v>10</v>
      </c>
      <c r="BH337" s="73">
        <v>42007.26</v>
      </c>
      <c r="BI337" s="73">
        <v>24094.25</v>
      </c>
      <c r="BJ337" s="73">
        <v>12793.36</v>
      </c>
    </row>
    <row r="338" spans="2:62" x14ac:dyDescent="0.2">
      <c r="B338" s="54">
        <v>98199</v>
      </c>
      <c r="C338" s="60" t="s">
        <v>10</v>
      </c>
      <c r="D338" s="45">
        <v>523</v>
      </c>
      <c r="E338" s="69">
        <v>525</v>
      </c>
      <c r="F338" s="69">
        <v>484</v>
      </c>
      <c r="H338" s="71">
        <v>98198</v>
      </c>
      <c r="I338" s="71" t="s">
        <v>10</v>
      </c>
      <c r="J338" s="73">
        <v>222670.55</v>
      </c>
      <c r="K338" s="73">
        <v>96567.46</v>
      </c>
      <c r="L338" s="73">
        <v>712439.18000000098</v>
      </c>
      <c r="M338" s="73">
        <v>1563233.08</v>
      </c>
      <c r="N338" s="73">
        <v>361273.93</v>
      </c>
      <c r="O338" s="73">
        <v>174284.65</v>
      </c>
      <c r="P338" s="73">
        <v>679932.28999999899</v>
      </c>
      <c r="Q338" s="73">
        <v>1766944.55999999</v>
      </c>
      <c r="R338" s="73">
        <v>364879.09999999899</v>
      </c>
      <c r="S338" s="73">
        <v>274449.18999999901</v>
      </c>
      <c r="T338" s="73">
        <v>725648.64999999898</v>
      </c>
      <c r="U338" s="73">
        <v>1895872.17</v>
      </c>
      <c r="V338" s="161">
        <f t="shared" si="7"/>
        <v>1364976.9399999969</v>
      </c>
      <c r="W338" s="161"/>
      <c r="AZ338" s="71" t="s">
        <v>208</v>
      </c>
      <c r="BA338" s="71" t="s">
        <v>10</v>
      </c>
      <c r="BB338" s="32">
        <v>53</v>
      </c>
      <c r="BC338" s="32">
        <v>36</v>
      </c>
      <c r="BD338" s="32">
        <v>48</v>
      </c>
      <c r="BF338" s="71" t="s">
        <v>208</v>
      </c>
      <c r="BG338" s="71" t="s">
        <v>10</v>
      </c>
      <c r="BH338" s="73">
        <v>52700.66</v>
      </c>
      <c r="BI338" s="73">
        <v>29634.959999999999</v>
      </c>
      <c r="BJ338" s="73">
        <v>28038.57</v>
      </c>
    </row>
    <row r="339" spans="2:62" x14ac:dyDescent="0.2">
      <c r="B339" s="54">
        <v>98201</v>
      </c>
      <c r="C339" s="60" t="s">
        <v>10</v>
      </c>
      <c r="D339" s="45">
        <v>993</v>
      </c>
      <c r="E339" s="45">
        <v>1092</v>
      </c>
      <c r="F339" s="45">
        <v>1010</v>
      </c>
      <c r="H339" s="71">
        <v>98199</v>
      </c>
      <c r="I339" s="71" t="s">
        <v>10</v>
      </c>
      <c r="J339" s="73">
        <v>25612.48</v>
      </c>
      <c r="K339" s="73">
        <v>7517.7199999999903</v>
      </c>
      <c r="L339" s="73">
        <v>50322.76</v>
      </c>
      <c r="M339" s="73">
        <v>153767.26999999999</v>
      </c>
      <c r="N339" s="73">
        <v>38565.89</v>
      </c>
      <c r="O339" s="73">
        <v>19079.34</v>
      </c>
      <c r="P339" s="73">
        <v>49174.44</v>
      </c>
      <c r="Q339" s="73">
        <v>177932.08</v>
      </c>
      <c r="R339" s="73">
        <v>33966.769999999997</v>
      </c>
      <c r="S339" s="73">
        <v>23812.76</v>
      </c>
      <c r="T339" s="73">
        <v>55763.42</v>
      </c>
      <c r="U339" s="73">
        <v>176039.19999999899</v>
      </c>
      <c r="V339" s="161">
        <f t="shared" si="7"/>
        <v>113542.95</v>
      </c>
      <c r="W339" s="161"/>
      <c r="AZ339" s="71" t="s">
        <v>209</v>
      </c>
      <c r="BA339" s="71" t="s">
        <v>10</v>
      </c>
      <c r="BB339" s="32">
        <v>40</v>
      </c>
      <c r="BC339" s="32">
        <v>37</v>
      </c>
      <c r="BD339" s="32">
        <v>45</v>
      </c>
      <c r="BF339" s="71" t="s">
        <v>209</v>
      </c>
      <c r="BG339" s="71" t="s">
        <v>10</v>
      </c>
      <c r="BH339" s="73">
        <v>31025.09</v>
      </c>
      <c r="BI339" s="73">
        <v>25487.56</v>
      </c>
      <c r="BJ339" s="73">
        <v>20905.009999999998</v>
      </c>
    </row>
    <row r="340" spans="2:62" x14ac:dyDescent="0.2">
      <c r="B340" s="54">
        <v>98203</v>
      </c>
      <c r="C340" s="60" t="s">
        <v>10</v>
      </c>
      <c r="D340" s="45">
        <v>881</v>
      </c>
      <c r="E340" s="45">
        <v>935</v>
      </c>
      <c r="F340" s="45">
        <v>935</v>
      </c>
      <c r="H340" s="71">
        <v>98201</v>
      </c>
      <c r="I340" s="71" t="s">
        <v>10</v>
      </c>
      <c r="J340" s="73">
        <v>49525.58</v>
      </c>
      <c r="K340" s="73">
        <v>15337</v>
      </c>
      <c r="L340" s="73">
        <v>116506.439999999</v>
      </c>
      <c r="M340" s="73">
        <v>301186.859999999</v>
      </c>
      <c r="N340" s="73">
        <v>69970.59</v>
      </c>
      <c r="O340" s="73">
        <v>39252.89</v>
      </c>
      <c r="P340" s="73">
        <v>115542.789999999</v>
      </c>
      <c r="Q340" s="73">
        <v>340290.049999999</v>
      </c>
      <c r="R340" s="73">
        <v>60234.819999999898</v>
      </c>
      <c r="S340" s="73">
        <v>46571.21</v>
      </c>
      <c r="T340" s="73">
        <v>124616.51</v>
      </c>
      <c r="U340" s="73">
        <v>344619.45999999897</v>
      </c>
      <c r="V340" s="161">
        <f t="shared" si="7"/>
        <v>231422.53999999989</v>
      </c>
      <c r="W340" s="161"/>
      <c r="AZ340" s="71" t="s">
        <v>210</v>
      </c>
      <c r="BA340" s="71" t="s">
        <v>10</v>
      </c>
      <c r="BB340" s="32">
        <v>57</v>
      </c>
      <c r="BC340" s="32">
        <v>40</v>
      </c>
      <c r="BD340" s="32">
        <v>41</v>
      </c>
      <c r="BF340" s="71" t="s">
        <v>210</v>
      </c>
      <c r="BG340" s="71" t="s">
        <v>10</v>
      </c>
      <c r="BH340" s="73">
        <v>50174.97</v>
      </c>
      <c r="BI340" s="73">
        <v>47296.97</v>
      </c>
      <c r="BJ340" s="73">
        <v>68931.320000000007</v>
      </c>
    </row>
    <row r="341" spans="2:62" x14ac:dyDescent="0.2">
      <c r="B341" s="54">
        <v>98204</v>
      </c>
      <c r="C341" s="60" t="s">
        <v>10</v>
      </c>
      <c r="D341" s="45">
        <v>661</v>
      </c>
      <c r="E341" s="45">
        <v>682</v>
      </c>
      <c r="F341" s="45">
        <v>657</v>
      </c>
      <c r="H341" s="71">
        <v>98203</v>
      </c>
      <c r="I341" s="71" t="s">
        <v>10</v>
      </c>
      <c r="J341" s="73">
        <v>50019.119999999901</v>
      </c>
      <c r="K341" s="73">
        <v>14250.33</v>
      </c>
      <c r="L341" s="73">
        <v>105719.93</v>
      </c>
      <c r="M341" s="73">
        <v>298229</v>
      </c>
      <c r="N341" s="73">
        <v>68013.27</v>
      </c>
      <c r="O341" s="73">
        <v>35718.5099999999</v>
      </c>
      <c r="P341" s="73">
        <v>106622.01</v>
      </c>
      <c r="Q341" s="73">
        <v>335175.55</v>
      </c>
      <c r="R341" s="73">
        <v>58863.339999999902</v>
      </c>
      <c r="S341" s="73">
        <v>45114.82</v>
      </c>
      <c r="T341" s="73">
        <v>108143.76</v>
      </c>
      <c r="U341" s="73">
        <v>345128.91999999899</v>
      </c>
      <c r="V341" s="161">
        <f t="shared" si="7"/>
        <v>212121.9199999999</v>
      </c>
      <c r="W341" s="161"/>
      <c r="AZ341" s="71" t="s">
        <v>211</v>
      </c>
      <c r="BA341" s="71" t="s">
        <v>10</v>
      </c>
      <c r="BB341" s="32">
        <v>29</v>
      </c>
      <c r="BC341" s="32">
        <v>19</v>
      </c>
      <c r="BD341" s="32">
        <v>23</v>
      </c>
      <c r="BF341" s="71" t="s">
        <v>211</v>
      </c>
      <c r="BG341" s="71" t="s">
        <v>10</v>
      </c>
      <c r="BH341" s="73">
        <v>27034.86</v>
      </c>
      <c r="BI341" s="73">
        <v>12997.34</v>
      </c>
      <c r="BJ341" s="73">
        <v>11977.94</v>
      </c>
    </row>
    <row r="342" spans="2:62" x14ac:dyDescent="0.2">
      <c r="B342" s="54">
        <v>98208</v>
      </c>
      <c r="C342" s="60" t="s">
        <v>10</v>
      </c>
      <c r="D342" s="45">
        <v>1137</v>
      </c>
      <c r="E342" s="45">
        <v>1185</v>
      </c>
      <c r="F342" s="45">
        <v>1167</v>
      </c>
      <c r="H342" s="71">
        <v>98204</v>
      </c>
      <c r="I342" s="71" t="s">
        <v>10</v>
      </c>
      <c r="J342" s="73">
        <v>32613.4399999999</v>
      </c>
      <c r="K342" s="73">
        <v>8981.0799999999908</v>
      </c>
      <c r="L342" s="73">
        <v>62643.33</v>
      </c>
      <c r="M342" s="73">
        <v>177643.179999999</v>
      </c>
      <c r="N342" s="73">
        <v>44770.169999999896</v>
      </c>
      <c r="O342" s="73">
        <v>22474.35</v>
      </c>
      <c r="P342" s="73">
        <v>59084.629999999903</v>
      </c>
      <c r="Q342" s="73">
        <v>194769.74</v>
      </c>
      <c r="R342" s="73">
        <v>40593.0799999999</v>
      </c>
      <c r="S342" s="73">
        <v>30405.17</v>
      </c>
      <c r="T342" s="73">
        <v>69312.59</v>
      </c>
      <c r="U342" s="73">
        <v>218288.78999999899</v>
      </c>
      <c r="V342" s="161">
        <f t="shared" si="7"/>
        <v>140310.83999999991</v>
      </c>
      <c r="W342" s="161"/>
      <c r="AZ342" s="71" t="s">
        <v>212</v>
      </c>
      <c r="BA342" s="71" t="s">
        <v>10</v>
      </c>
      <c r="BB342" s="32">
        <v>2</v>
      </c>
      <c r="BC342" s="32">
        <v>5</v>
      </c>
      <c r="BD342" s="32">
        <v>2</v>
      </c>
      <c r="BF342" s="71" t="s">
        <v>212</v>
      </c>
      <c r="BG342" s="71" t="s">
        <v>10</v>
      </c>
      <c r="BH342" s="73">
        <v>18441.32</v>
      </c>
      <c r="BI342" s="73">
        <v>6346.18</v>
      </c>
      <c r="BJ342" s="73">
        <v>3069.41</v>
      </c>
    </row>
    <row r="343" spans="2:62" x14ac:dyDescent="0.2">
      <c r="B343" s="54">
        <v>98220</v>
      </c>
      <c r="C343" s="60" t="s">
        <v>10</v>
      </c>
      <c r="D343" s="45">
        <v>38</v>
      </c>
      <c r="E343" s="45">
        <v>50</v>
      </c>
      <c r="F343" s="45">
        <v>45</v>
      </c>
      <c r="H343" s="71">
        <v>98208</v>
      </c>
      <c r="I343" s="71" t="s">
        <v>10</v>
      </c>
      <c r="J343" s="73">
        <v>66343.39</v>
      </c>
      <c r="K343" s="73">
        <v>17391.14</v>
      </c>
      <c r="L343" s="73">
        <v>136770.69999999899</v>
      </c>
      <c r="M343" s="73">
        <v>383469.55999999901</v>
      </c>
      <c r="N343" s="73">
        <v>91287.25</v>
      </c>
      <c r="O343" s="73">
        <v>45798.68</v>
      </c>
      <c r="P343" s="73">
        <v>136076.65</v>
      </c>
      <c r="Q343" s="73">
        <v>428562.38999999902</v>
      </c>
      <c r="R343" s="73">
        <v>80336.88</v>
      </c>
      <c r="S343" s="73">
        <v>58614.400000000001</v>
      </c>
      <c r="T343" s="73">
        <v>152137.14000000001</v>
      </c>
      <c r="U343" s="73">
        <v>453607.66999999899</v>
      </c>
      <c r="V343" s="161">
        <f t="shared" si="7"/>
        <v>291088.42000000004</v>
      </c>
      <c r="W343" s="161"/>
      <c r="AZ343" s="71" t="s">
        <v>213</v>
      </c>
      <c r="BA343" s="71" t="s">
        <v>10</v>
      </c>
      <c r="BB343" s="32">
        <v>25</v>
      </c>
      <c r="BC343" s="32">
        <v>24</v>
      </c>
      <c r="BD343" s="32">
        <v>24</v>
      </c>
      <c r="BF343" s="71" t="s">
        <v>213</v>
      </c>
      <c r="BG343" s="71" t="s">
        <v>10</v>
      </c>
      <c r="BH343" s="73">
        <v>11353.06</v>
      </c>
      <c r="BI343" s="73">
        <v>12142.25</v>
      </c>
      <c r="BJ343" s="73">
        <v>5428.94</v>
      </c>
    </row>
    <row r="344" spans="2:62" x14ac:dyDescent="0.2">
      <c r="B344" s="54">
        <v>98221</v>
      </c>
      <c r="C344" s="60" t="s">
        <v>10</v>
      </c>
      <c r="D344" s="45">
        <v>1479</v>
      </c>
      <c r="E344" s="45">
        <v>768</v>
      </c>
      <c r="F344" s="45">
        <v>1550</v>
      </c>
      <c r="H344" s="71">
        <v>98220</v>
      </c>
      <c r="I344" s="71" t="s">
        <v>10</v>
      </c>
      <c r="J344" s="73">
        <v>2931.97</v>
      </c>
      <c r="K344" s="73">
        <v>1737.86</v>
      </c>
      <c r="L344" s="73">
        <v>8098.17</v>
      </c>
      <c r="M344" s="73">
        <v>18678.2599999999</v>
      </c>
      <c r="N344" s="73">
        <v>3414.01999999999</v>
      </c>
      <c r="O344" s="73">
        <v>2473.4</v>
      </c>
      <c r="P344" s="73">
        <v>7857.19</v>
      </c>
      <c r="Q344" s="73">
        <v>24822.22</v>
      </c>
      <c r="R344" s="73">
        <v>7057.8099999999904</v>
      </c>
      <c r="S344" s="73">
        <v>2184.31</v>
      </c>
      <c r="T344" s="73">
        <v>9966.27</v>
      </c>
      <c r="U344" s="73">
        <v>29893.7399999999</v>
      </c>
      <c r="V344" s="161">
        <f t="shared" si="7"/>
        <v>19208.389999999992</v>
      </c>
      <c r="W344" s="161"/>
      <c r="AZ344" s="71" t="s">
        <v>214</v>
      </c>
      <c r="BA344" s="71" t="s">
        <v>10</v>
      </c>
      <c r="BB344" s="32">
        <v>1</v>
      </c>
      <c r="BC344" s="32"/>
      <c r="BD344" s="32"/>
      <c r="BF344" s="71" t="s">
        <v>214</v>
      </c>
      <c r="BG344" s="71" t="s">
        <v>10</v>
      </c>
      <c r="BH344" s="73">
        <v>2746.31</v>
      </c>
      <c r="BI344" s="73"/>
      <c r="BJ344" s="73"/>
    </row>
    <row r="345" spans="2:62" x14ac:dyDescent="0.2">
      <c r="B345" s="54">
        <v>98223</v>
      </c>
      <c r="C345" s="60" t="s">
        <v>10</v>
      </c>
      <c r="D345" s="45">
        <v>68</v>
      </c>
      <c r="E345" s="45">
        <v>74</v>
      </c>
      <c r="F345" s="45">
        <v>73</v>
      </c>
      <c r="H345" s="71">
        <v>98221</v>
      </c>
      <c r="I345" s="71" t="s">
        <v>10</v>
      </c>
      <c r="J345" s="73">
        <v>78764.649999999907</v>
      </c>
      <c r="K345" s="73">
        <v>25364.179999999898</v>
      </c>
      <c r="L345" s="73">
        <v>173782.109999999</v>
      </c>
      <c r="M345" s="73">
        <v>443715.89999999898</v>
      </c>
      <c r="N345" s="73">
        <v>43608.669999999896</v>
      </c>
      <c r="O345" s="73">
        <v>71212.449999999895</v>
      </c>
      <c r="P345" s="73">
        <v>163104.87999999899</v>
      </c>
      <c r="Q345" s="73">
        <v>342079.179999999</v>
      </c>
      <c r="R345" s="73">
        <v>70395.759999999995</v>
      </c>
      <c r="S345" s="73">
        <v>22412.949999999899</v>
      </c>
      <c r="T345" s="73">
        <v>201945.739999999</v>
      </c>
      <c r="U345" s="73">
        <v>537560.05000000005</v>
      </c>
      <c r="V345" s="161">
        <f t="shared" si="7"/>
        <v>294754.44999999891</v>
      </c>
      <c r="W345" s="161"/>
      <c r="AZ345" s="71" t="s">
        <v>215</v>
      </c>
      <c r="BA345" s="71" t="s">
        <v>10</v>
      </c>
      <c r="BB345" s="32">
        <v>16</v>
      </c>
      <c r="BC345" s="32">
        <v>29</v>
      </c>
      <c r="BD345" s="32">
        <v>29</v>
      </c>
      <c r="BF345" s="71" t="s">
        <v>215</v>
      </c>
      <c r="BG345" s="71" t="s">
        <v>10</v>
      </c>
      <c r="BH345" s="73">
        <v>9005.44</v>
      </c>
      <c r="BI345" s="73">
        <v>14233.47</v>
      </c>
      <c r="BJ345" s="73">
        <v>23886.77</v>
      </c>
    </row>
    <row r="346" spans="2:62" x14ac:dyDescent="0.2">
      <c r="B346" s="54">
        <v>98224</v>
      </c>
      <c r="C346" s="60" t="s">
        <v>10</v>
      </c>
      <c r="D346" s="45">
        <v>39</v>
      </c>
      <c r="E346" s="45">
        <v>40</v>
      </c>
      <c r="F346" s="45">
        <v>39</v>
      </c>
      <c r="H346" s="71">
        <v>98223</v>
      </c>
      <c r="I346" s="71" t="s">
        <v>10</v>
      </c>
      <c r="J346" s="73">
        <v>3509.03999999999</v>
      </c>
      <c r="K346" s="73">
        <v>970.44</v>
      </c>
      <c r="L346" s="73">
        <v>4463.0200000000004</v>
      </c>
      <c r="M346" s="73">
        <v>16892.09</v>
      </c>
      <c r="N346" s="73">
        <v>4432.1599999999899</v>
      </c>
      <c r="O346" s="73">
        <v>2353.2199999999998</v>
      </c>
      <c r="P346" s="73">
        <v>3961.6099999999901</v>
      </c>
      <c r="Q346" s="73">
        <v>19103.310000000001</v>
      </c>
      <c r="R346" s="73">
        <v>3601.32</v>
      </c>
      <c r="S346" s="73">
        <v>3082.1099999999901</v>
      </c>
      <c r="T346" s="73">
        <v>4825.8999999999896</v>
      </c>
      <c r="U346" s="73">
        <v>21266.46</v>
      </c>
      <c r="V346" s="161">
        <f t="shared" si="7"/>
        <v>11509.32999999998</v>
      </c>
      <c r="W346" s="161"/>
      <c r="AZ346" s="71" t="s">
        <v>216</v>
      </c>
      <c r="BA346" s="71" t="s">
        <v>10</v>
      </c>
      <c r="BB346" s="32">
        <v>1</v>
      </c>
      <c r="BC346" s="32">
        <v>2</v>
      </c>
      <c r="BD346" s="32">
        <v>6</v>
      </c>
      <c r="BF346" s="71" t="s">
        <v>216</v>
      </c>
      <c r="BG346" s="71" t="s">
        <v>10</v>
      </c>
      <c r="BH346" s="73">
        <v>305.2</v>
      </c>
      <c r="BI346" s="73">
        <v>473.28</v>
      </c>
      <c r="BJ346" s="73">
        <v>2110.91</v>
      </c>
    </row>
    <row r="347" spans="2:62" x14ac:dyDescent="0.2">
      <c r="B347" s="54">
        <v>98225</v>
      </c>
      <c r="C347" s="60" t="s">
        <v>10</v>
      </c>
      <c r="D347" s="45">
        <v>2742</v>
      </c>
      <c r="E347" s="45">
        <v>2835</v>
      </c>
      <c r="F347" s="45">
        <v>2830</v>
      </c>
      <c r="H347" s="71">
        <v>98224</v>
      </c>
      <c r="I347" s="71" t="s">
        <v>10</v>
      </c>
      <c r="J347" s="73">
        <v>1345.53</v>
      </c>
      <c r="K347" s="73">
        <v>1164.3900000000001</v>
      </c>
      <c r="L347" s="73">
        <v>8832.19</v>
      </c>
      <c r="M347" s="73">
        <v>16821.96</v>
      </c>
      <c r="N347" s="73">
        <v>4418.45</v>
      </c>
      <c r="O347" s="73">
        <v>855.62</v>
      </c>
      <c r="P347" s="73">
        <v>9251.7999999999993</v>
      </c>
      <c r="Q347" s="73">
        <v>17709.36</v>
      </c>
      <c r="R347" s="73">
        <v>2277.4899999999998</v>
      </c>
      <c r="S347" s="73">
        <v>2796.21</v>
      </c>
      <c r="T347" s="73">
        <v>8976.2199999999993</v>
      </c>
      <c r="U347" s="73">
        <v>21770.07</v>
      </c>
      <c r="V347" s="161">
        <f t="shared" si="7"/>
        <v>14049.919999999998</v>
      </c>
      <c r="W347" s="161"/>
      <c r="AZ347" s="71" t="s">
        <v>217</v>
      </c>
      <c r="BA347" s="71" t="s">
        <v>10</v>
      </c>
      <c r="BB347" s="32">
        <v>32</v>
      </c>
      <c r="BC347" s="32">
        <v>13</v>
      </c>
      <c r="BD347" s="32">
        <v>14</v>
      </c>
      <c r="BF347" s="71" t="s">
        <v>217</v>
      </c>
      <c r="BG347" s="71" t="s">
        <v>10</v>
      </c>
      <c r="BH347" s="73">
        <v>23244.240000000002</v>
      </c>
      <c r="BI347" s="73">
        <v>6996.62</v>
      </c>
      <c r="BJ347" s="73">
        <v>7687.88</v>
      </c>
    </row>
    <row r="348" spans="2:62" x14ac:dyDescent="0.2">
      <c r="B348" s="54">
        <v>98226</v>
      </c>
      <c r="C348" s="60" t="s">
        <v>10</v>
      </c>
      <c r="D348" s="45">
        <v>3218</v>
      </c>
      <c r="E348" s="45">
        <v>3250</v>
      </c>
      <c r="F348" s="45">
        <v>3450</v>
      </c>
      <c r="H348" s="71">
        <v>98225</v>
      </c>
      <c r="I348" s="71" t="s">
        <v>10</v>
      </c>
      <c r="J348" s="73">
        <v>113062.6</v>
      </c>
      <c r="K348" s="73">
        <v>8758.1199999999899</v>
      </c>
      <c r="L348" s="73">
        <v>370434.91999999899</v>
      </c>
      <c r="M348" s="73">
        <v>748665.01</v>
      </c>
      <c r="N348" s="73">
        <v>179662.73</v>
      </c>
      <c r="O348" s="73">
        <v>86570.54</v>
      </c>
      <c r="P348" s="73">
        <v>323087.63</v>
      </c>
      <c r="Q348" s="73">
        <v>871731.38</v>
      </c>
      <c r="R348" s="73">
        <v>184794.54</v>
      </c>
      <c r="S348" s="73">
        <v>132009.90999999901</v>
      </c>
      <c r="T348" s="73">
        <v>335427.93999999901</v>
      </c>
      <c r="U348" s="73">
        <v>943261.68999999797</v>
      </c>
      <c r="V348" s="161">
        <f t="shared" si="7"/>
        <v>652232.38999999803</v>
      </c>
      <c r="W348" s="161"/>
      <c r="AZ348" s="71" t="s">
        <v>218</v>
      </c>
      <c r="BA348" s="71" t="s">
        <v>10</v>
      </c>
      <c r="BB348" s="32">
        <v>45</v>
      </c>
      <c r="BC348" s="32">
        <v>30</v>
      </c>
      <c r="BD348" s="32">
        <v>56</v>
      </c>
      <c r="BF348" s="71" t="s">
        <v>218</v>
      </c>
      <c r="BG348" s="71" t="s">
        <v>10</v>
      </c>
      <c r="BH348" s="73">
        <v>59766.990000000005</v>
      </c>
      <c r="BI348" s="73">
        <v>25486.989999999998</v>
      </c>
      <c r="BJ348" s="73">
        <v>23911.279999999999</v>
      </c>
    </row>
    <row r="349" spans="2:62" x14ac:dyDescent="0.2">
      <c r="B349" s="54">
        <v>98229</v>
      </c>
      <c r="C349" s="60" t="s">
        <v>10</v>
      </c>
      <c r="D349" s="45">
        <v>1591</v>
      </c>
      <c r="E349" s="45">
        <v>1655</v>
      </c>
      <c r="F349" s="45">
        <v>1611</v>
      </c>
      <c r="H349" s="71">
        <v>98226</v>
      </c>
      <c r="I349" s="71" t="s">
        <v>10</v>
      </c>
      <c r="J349" s="73">
        <v>243475.97</v>
      </c>
      <c r="K349" s="73">
        <v>44859.1</v>
      </c>
      <c r="L349" s="73">
        <v>554945.43999999994</v>
      </c>
      <c r="M349" s="73">
        <v>1229283.79999999</v>
      </c>
      <c r="N349" s="73">
        <v>252563.56999999899</v>
      </c>
      <c r="O349" s="73">
        <v>154156.74</v>
      </c>
      <c r="P349" s="73">
        <v>491646.52999999898</v>
      </c>
      <c r="Q349" s="73">
        <v>1336987.27</v>
      </c>
      <c r="R349" s="73">
        <v>249309.95</v>
      </c>
      <c r="S349" s="73">
        <v>165806.6</v>
      </c>
      <c r="T349" s="73">
        <v>535691.77</v>
      </c>
      <c r="U349" s="73">
        <v>1526881.2</v>
      </c>
      <c r="V349" s="161">
        <f t="shared" si="7"/>
        <v>950808.32000000007</v>
      </c>
      <c r="W349" s="161"/>
      <c r="AZ349" s="71" t="s">
        <v>219</v>
      </c>
      <c r="BA349" s="71" t="s">
        <v>10</v>
      </c>
      <c r="BB349" s="32">
        <v>7</v>
      </c>
      <c r="BC349" s="32">
        <v>1</v>
      </c>
      <c r="BD349" s="32">
        <v>2</v>
      </c>
      <c r="BF349" s="71" t="s">
        <v>219</v>
      </c>
      <c r="BG349" s="71" t="s">
        <v>10</v>
      </c>
      <c r="BH349" s="73">
        <v>3643.73</v>
      </c>
      <c r="BI349" s="73">
        <v>104.34</v>
      </c>
      <c r="BJ349" s="73">
        <v>1065.8800000000001</v>
      </c>
    </row>
    <row r="350" spans="2:62" x14ac:dyDescent="0.2">
      <c r="B350" s="54">
        <v>98230</v>
      </c>
      <c r="C350" s="60" t="s">
        <v>10</v>
      </c>
      <c r="D350" s="45">
        <v>1239</v>
      </c>
      <c r="E350" s="45">
        <v>747</v>
      </c>
      <c r="F350" s="45">
        <v>1225</v>
      </c>
      <c r="H350" s="71">
        <v>98229</v>
      </c>
      <c r="I350" s="71" t="s">
        <v>10</v>
      </c>
      <c r="J350" s="73">
        <v>74829.509999999995</v>
      </c>
      <c r="K350" s="73">
        <v>12196.93</v>
      </c>
      <c r="L350" s="73">
        <v>252323.16999999899</v>
      </c>
      <c r="M350" s="73">
        <v>537752.4</v>
      </c>
      <c r="N350" s="73">
        <v>130483.44</v>
      </c>
      <c r="O350" s="73">
        <v>56430.77</v>
      </c>
      <c r="P350" s="73">
        <v>223324.459999999</v>
      </c>
      <c r="Q350" s="73">
        <v>629235.87</v>
      </c>
      <c r="R350" s="73">
        <v>143112.40999999901</v>
      </c>
      <c r="S350" s="73">
        <v>98581.47</v>
      </c>
      <c r="T350" s="73">
        <v>221549.71</v>
      </c>
      <c r="U350" s="73">
        <v>668427.09</v>
      </c>
      <c r="V350" s="161">
        <f t="shared" si="7"/>
        <v>463243.58999999904</v>
      </c>
      <c r="W350" s="161"/>
      <c r="AZ350" s="71" t="s">
        <v>310</v>
      </c>
      <c r="BA350" s="71" t="s">
        <v>10</v>
      </c>
      <c r="BB350" s="32">
        <v>2</v>
      </c>
      <c r="BC350" s="32"/>
      <c r="BD350" s="32">
        <v>2</v>
      </c>
      <c r="BF350" s="71" t="s">
        <v>310</v>
      </c>
      <c r="BG350" s="71" t="s">
        <v>10</v>
      </c>
      <c r="BH350" s="73">
        <v>503.17</v>
      </c>
      <c r="BI350" s="73"/>
      <c r="BJ350" s="73">
        <v>4620.8900000000003</v>
      </c>
    </row>
    <row r="351" spans="2:62" x14ac:dyDescent="0.2">
      <c r="B351" s="54">
        <v>98232</v>
      </c>
      <c r="C351" s="60" t="s">
        <v>10</v>
      </c>
      <c r="D351" s="45">
        <v>146</v>
      </c>
      <c r="E351" s="45">
        <v>162</v>
      </c>
      <c r="F351" s="45">
        <v>141</v>
      </c>
      <c r="H351" s="71">
        <v>98230</v>
      </c>
      <c r="I351" s="71" t="s">
        <v>10</v>
      </c>
      <c r="J351" s="73">
        <v>85223.48</v>
      </c>
      <c r="K351" s="73">
        <v>25146.78</v>
      </c>
      <c r="L351" s="73">
        <v>143832.639999999</v>
      </c>
      <c r="M351" s="73">
        <v>449589.17</v>
      </c>
      <c r="N351" s="73">
        <v>99768.98</v>
      </c>
      <c r="O351" s="73">
        <v>75164.800000000003</v>
      </c>
      <c r="P351" s="73">
        <v>133993.91999999899</v>
      </c>
      <c r="Q351" s="73">
        <v>355190.93</v>
      </c>
      <c r="R351" s="73">
        <v>90474.76</v>
      </c>
      <c r="S351" s="73">
        <v>67060.72</v>
      </c>
      <c r="T351" s="73">
        <v>162198.18999999901</v>
      </c>
      <c r="U351" s="73">
        <v>511327.94</v>
      </c>
      <c r="V351" s="161">
        <f t="shared" si="7"/>
        <v>319733.66999999899</v>
      </c>
      <c r="W351" s="161"/>
      <c r="AZ351" s="71" t="s">
        <v>311</v>
      </c>
      <c r="BA351" s="71" t="s">
        <v>10</v>
      </c>
      <c r="BB351" s="32">
        <v>3</v>
      </c>
      <c r="BC351" s="32">
        <v>5</v>
      </c>
      <c r="BD351" s="32">
        <v>4</v>
      </c>
      <c r="BF351" s="71" t="s">
        <v>311</v>
      </c>
      <c r="BG351" s="71" t="s">
        <v>10</v>
      </c>
      <c r="BH351" s="73">
        <v>3013.23</v>
      </c>
      <c r="BI351" s="73">
        <v>2195.5</v>
      </c>
      <c r="BJ351" s="73">
        <v>4822.08</v>
      </c>
    </row>
    <row r="352" spans="2:62" x14ac:dyDescent="0.2">
      <c r="B352" s="54">
        <v>98233</v>
      </c>
      <c r="C352" s="60" t="s">
        <v>10</v>
      </c>
      <c r="D352" s="45">
        <v>967</v>
      </c>
      <c r="E352" s="45">
        <v>992</v>
      </c>
      <c r="F352" s="45">
        <v>981</v>
      </c>
      <c r="H352" s="71">
        <v>98232</v>
      </c>
      <c r="I352" s="71" t="s">
        <v>10</v>
      </c>
      <c r="J352" s="73">
        <v>11061</v>
      </c>
      <c r="K352" s="73">
        <v>3111.56</v>
      </c>
      <c r="L352" s="73">
        <v>23541.199999999899</v>
      </c>
      <c r="M352" s="73">
        <v>63708.49</v>
      </c>
      <c r="N352" s="73">
        <v>15387.47</v>
      </c>
      <c r="O352" s="73">
        <v>5346.68</v>
      </c>
      <c r="P352" s="73">
        <v>19429.809999999899</v>
      </c>
      <c r="Q352" s="73">
        <v>82124.539999999994</v>
      </c>
      <c r="R352" s="73">
        <v>24059.159999999902</v>
      </c>
      <c r="S352" s="73">
        <v>8965.8299999999908</v>
      </c>
      <c r="T352" s="73">
        <v>20895.859999999899</v>
      </c>
      <c r="U352" s="73">
        <v>87582.41</v>
      </c>
      <c r="V352" s="161">
        <f t="shared" si="7"/>
        <v>53920.849999999788</v>
      </c>
      <c r="W352" s="161"/>
      <c r="AZ352" s="71" t="s">
        <v>312</v>
      </c>
      <c r="BA352" s="71" t="s">
        <v>10</v>
      </c>
      <c r="BB352" s="32">
        <v>15</v>
      </c>
      <c r="BC352" s="32">
        <v>12</v>
      </c>
      <c r="BD352" s="32">
        <v>11</v>
      </c>
      <c r="BF352" s="71" t="s">
        <v>312</v>
      </c>
      <c r="BG352" s="71" t="s">
        <v>10</v>
      </c>
      <c r="BH352" s="73">
        <v>6817.19</v>
      </c>
      <c r="BI352" s="73">
        <v>4399.68</v>
      </c>
      <c r="BJ352" s="73">
        <v>7488.96</v>
      </c>
    </row>
    <row r="353" spans="2:62" x14ac:dyDescent="0.2">
      <c r="B353" s="54">
        <v>98235</v>
      </c>
      <c r="C353" s="60" t="s">
        <v>10</v>
      </c>
      <c r="D353" s="45">
        <v>23</v>
      </c>
      <c r="E353" s="45">
        <v>21</v>
      </c>
      <c r="F353" s="45">
        <v>28</v>
      </c>
      <c r="H353" s="71">
        <v>98233</v>
      </c>
      <c r="I353" s="71" t="s">
        <v>10</v>
      </c>
      <c r="J353" s="73">
        <v>44760.529999999897</v>
      </c>
      <c r="K353" s="73">
        <v>4381.43</v>
      </c>
      <c r="L353" s="73">
        <v>175913.65</v>
      </c>
      <c r="M353" s="73">
        <v>342889.34</v>
      </c>
      <c r="N353" s="73">
        <v>81365.45</v>
      </c>
      <c r="O353" s="73">
        <v>32842.769999999902</v>
      </c>
      <c r="P353" s="73">
        <v>151127.679999999</v>
      </c>
      <c r="Q353" s="73">
        <v>413208.83</v>
      </c>
      <c r="R353" s="73">
        <v>98788.26</v>
      </c>
      <c r="S353" s="73">
        <v>59075.09</v>
      </c>
      <c r="T353" s="73">
        <v>154316.579999999</v>
      </c>
      <c r="U353" s="73">
        <v>442758.09999999899</v>
      </c>
      <c r="V353" s="161">
        <f t="shared" si="7"/>
        <v>312179.929999999</v>
      </c>
      <c r="W353" s="161"/>
      <c r="AZ353" s="71" t="s">
        <v>313</v>
      </c>
      <c r="BA353" s="71" t="s">
        <v>10</v>
      </c>
      <c r="BB353" s="32">
        <v>19</v>
      </c>
      <c r="BC353" s="32">
        <v>11</v>
      </c>
      <c r="BD353" s="32">
        <v>8</v>
      </c>
      <c r="BF353" s="71" t="s">
        <v>313</v>
      </c>
      <c r="BG353" s="71" t="s">
        <v>10</v>
      </c>
      <c r="BH353" s="73">
        <v>12660.55</v>
      </c>
      <c r="BI353" s="73">
        <v>2095.3200000000002</v>
      </c>
      <c r="BJ353" s="73">
        <v>7248.54</v>
      </c>
    </row>
    <row r="354" spans="2:62" x14ac:dyDescent="0.2">
      <c r="B354" s="54">
        <v>98236</v>
      </c>
      <c r="C354" s="60" t="s">
        <v>10</v>
      </c>
      <c r="D354" s="45">
        <v>354</v>
      </c>
      <c r="E354" s="45">
        <v>366</v>
      </c>
      <c r="F354" s="45">
        <v>370</v>
      </c>
      <c r="H354" s="71">
        <v>98235</v>
      </c>
      <c r="I354" s="71" t="s">
        <v>10</v>
      </c>
      <c r="J354" s="73">
        <v>159.08000000000001</v>
      </c>
      <c r="K354" s="73">
        <v>1459.76</v>
      </c>
      <c r="L354" s="73">
        <v>4907.97</v>
      </c>
      <c r="M354" s="73">
        <v>14329.68</v>
      </c>
      <c r="N354" s="73">
        <v>4582.09</v>
      </c>
      <c r="O354" s="73">
        <v>159.08000000000001</v>
      </c>
      <c r="P354" s="73">
        <v>6084.57</v>
      </c>
      <c r="Q354" s="73">
        <v>11791.28</v>
      </c>
      <c r="R354" s="73">
        <v>446.85</v>
      </c>
      <c r="S354" s="73">
        <v>3851.5</v>
      </c>
      <c r="T354" s="73">
        <v>3451.7799999999902</v>
      </c>
      <c r="U354" s="73">
        <v>18509.03</v>
      </c>
      <c r="V354" s="161">
        <f t="shared" si="7"/>
        <v>7750.1299999999901</v>
      </c>
      <c r="W354" s="161"/>
      <c r="AZ354" s="71" t="s">
        <v>314</v>
      </c>
      <c r="BA354" s="71" t="s">
        <v>10</v>
      </c>
      <c r="BB354" s="32">
        <v>3</v>
      </c>
      <c r="BC354" s="32">
        <v>7</v>
      </c>
      <c r="BD354" s="32">
        <v>7</v>
      </c>
      <c r="BF354" s="71" t="s">
        <v>314</v>
      </c>
      <c r="BG354" s="71" t="s">
        <v>10</v>
      </c>
      <c r="BH354" s="73">
        <v>1707.66</v>
      </c>
      <c r="BI354" s="73">
        <v>3247.11</v>
      </c>
      <c r="BJ354" s="73">
        <v>8365.07</v>
      </c>
    </row>
    <row r="355" spans="2:62" x14ac:dyDescent="0.2">
      <c r="B355" s="54">
        <v>98237</v>
      </c>
      <c r="C355" s="60" t="s">
        <v>10</v>
      </c>
      <c r="D355" s="45">
        <v>470</v>
      </c>
      <c r="E355" s="45">
        <v>448</v>
      </c>
      <c r="F355" s="45">
        <v>499</v>
      </c>
      <c r="H355" s="71">
        <v>98236</v>
      </c>
      <c r="I355" s="71" t="s">
        <v>10</v>
      </c>
      <c r="J355" s="73">
        <v>23333.67</v>
      </c>
      <c r="K355" s="73">
        <v>10197.1699999999</v>
      </c>
      <c r="L355" s="73">
        <v>93627.85</v>
      </c>
      <c r="M355" s="73">
        <v>182907.209999999</v>
      </c>
      <c r="N355" s="73">
        <v>30183.879999999899</v>
      </c>
      <c r="O355" s="73">
        <v>16724.53</v>
      </c>
      <c r="P355" s="73">
        <v>93493.569999999905</v>
      </c>
      <c r="Q355" s="73">
        <v>208465.109999999</v>
      </c>
      <c r="R355" s="73">
        <v>34963.869999999901</v>
      </c>
      <c r="S355" s="73">
        <v>20704.05</v>
      </c>
      <c r="T355" s="73">
        <v>101381.12</v>
      </c>
      <c r="U355" s="73">
        <v>216806.91</v>
      </c>
      <c r="V355" s="161">
        <f t="shared" si="7"/>
        <v>157049.03999999989</v>
      </c>
      <c r="W355" s="161"/>
      <c r="AZ355" s="71" t="s">
        <v>315</v>
      </c>
      <c r="BA355" s="71" t="s">
        <v>10</v>
      </c>
      <c r="BB355" s="32">
        <v>9</v>
      </c>
      <c r="BC355" s="32">
        <v>6</v>
      </c>
      <c r="BD355" s="32">
        <v>4</v>
      </c>
      <c r="BF355" s="71" t="s">
        <v>315</v>
      </c>
      <c r="BG355" s="71" t="s">
        <v>10</v>
      </c>
      <c r="BH355" s="73">
        <v>1071.51</v>
      </c>
      <c r="BI355" s="73">
        <v>690.63</v>
      </c>
      <c r="BJ355" s="73">
        <v>4056.66</v>
      </c>
    </row>
    <row r="356" spans="2:62" x14ac:dyDescent="0.2">
      <c r="B356" s="54">
        <v>98238</v>
      </c>
      <c r="C356" s="60" t="s">
        <v>10</v>
      </c>
      <c r="D356" s="45">
        <v>2</v>
      </c>
      <c r="E356" s="45">
        <v>7</v>
      </c>
      <c r="F356" s="45">
        <v>4</v>
      </c>
      <c r="H356" s="71">
        <v>98237</v>
      </c>
      <c r="I356" s="71" t="s">
        <v>10</v>
      </c>
      <c r="J356" s="73">
        <v>31679.63</v>
      </c>
      <c r="K356" s="73">
        <v>17947.779999999901</v>
      </c>
      <c r="L356" s="73">
        <v>136283.23000000001</v>
      </c>
      <c r="M356" s="73">
        <v>293248.07</v>
      </c>
      <c r="N356" s="73">
        <v>76128.31</v>
      </c>
      <c r="O356" s="73">
        <v>21962.19</v>
      </c>
      <c r="P356" s="73">
        <v>140000.37999999899</v>
      </c>
      <c r="Q356" s="73">
        <v>323558.27999999898</v>
      </c>
      <c r="R356" s="73">
        <v>59595.119999999901</v>
      </c>
      <c r="S356" s="73">
        <v>57048</v>
      </c>
      <c r="T356" s="73">
        <v>119570.439999999</v>
      </c>
      <c r="U356" s="73">
        <v>372515.86</v>
      </c>
      <c r="V356" s="161">
        <f t="shared" si="7"/>
        <v>236213.55999999889</v>
      </c>
      <c r="W356" s="161"/>
      <c r="AZ356" s="71" t="s">
        <v>316</v>
      </c>
      <c r="BA356" s="71" t="s">
        <v>10</v>
      </c>
      <c r="BB356" s="32">
        <v>12</v>
      </c>
      <c r="BC356" s="32">
        <v>4</v>
      </c>
      <c r="BD356" s="32">
        <v>9</v>
      </c>
      <c r="BF356" s="71" t="s">
        <v>316</v>
      </c>
      <c r="BG356" s="71" t="s">
        <v>10</v>
      </c>
      <c r="BH356" s="73">
        <v>8546.0400000000009</v>
      </c>
      <c r="BI356" s="73">
        <v>2959.85</v>
      </c>
      <c r="BJ356" s="73">
        <v>9954.59</v>
      </c>
    </row>
    <row r="357" spans="2:62" x14ac:dyDescent="0.2">
      <c r="B357" s="54">
        <v>98239</v>
      </c>
      <c r="C357" s="60" t="s">
        <v>10</v>
      </c>
      <c r="D357" s="45">
        <v>299</v>
      </c>
      <c r="E357" s="45">
        <v>339</v>
      </c>
      <c r="F357" s="45">
        <v>468</v>
      </c>
      <c r="H357" s="71">
        <v>98238</v>
      </c>
      <c r="I357" s="71" t="s">
        <v>10</v>
      </c>
      <c r="J357" s="73">
        <v>13.5</v>
      </c>
      <c r="K357" s="73"/>
      <c r="L357" s="73"/>
      <c r="M357" s="73">
        <v>35.97</v>
      </c>
      <c r="N357" s="73"/>
      <c r="O357" s="73"/>
      <c r="P357" s="73"/>
      <c r="Q357" s="73">
        <v>3513.7</v>
      </c>
      <c r="R357" s="73">
        <v>2414.0100000000002</v>
      </c>
      <c r="S357" s="73"/>
      <c r="T357" s="73"/>
      <c r="U357" s="73">
        <v>2414.0100000000002</v>
      </c>
      <c r="V357" s="161">
        <f t="shared" si="7"/>
        <v>2414.0100000000002</v>
      </c>
      <c r="W357" s="161"/>
      <c r="AZ357" s="71" t="s">
        <v>317</v>
      </c>
      <c r="BA357" s="71" t="s">
        <v>10</v>
      </c>
      <c r="BB357" s="32">
        <v>11</v>
      </c>
      <c r="BC357" s="32">
        <v>14</v>
      </c>
      <c r="BD357" s="32">
        <v>11</v>
      </c>
      <c r="BF357" s="71" t="s">
        <v>317</v>
      </c>
      <c r="BG357" s="71" t="s">
        <v>10</v>
      </c>
      <c r="BH357" s="73">
        <v>10704.69</v>
      </c>
      <c r="BI357" s="73">
        <v>5027.79</v>
      </c>
      <c r="BJ357" s="73">
        <v>12429.81</v>
      </c>
    </row>
    <row r="358" spans="2:62" x14ac:dyDescent="0.2">
      <c r="B358" s="54">
        <v>98240</v>
      </c>
      <c r="C358" s="60" t="s">
        <v>10</v>
      </c>
      <c r="D358" s="45">
        <v>237</v>
      </c>
      <c r="E358" s="45">
        <v>243</v>
      </c>
      <c r="F358" s="45">
        <v>252</v>
      </c>
      <c r="H358" s="71">
        <v>98239</v>
      </c>
      <c r="I358" s="71" t="s">
        <v>10</v>
      </c>
      <c r="J358" s="73">
        <v>26577.969999999899</v>
      </c>
      <c r="K358" s="73">
        <v>1995.5999999999899</v>
      </c>
      <c r="L358" s="73">
        <v>80045.759999999995</v>
      </c>
      <c r="M358" s="73">
        <v>146060.44</v>
      </c>
      <c r="N358" s="73">
        <v>27074.92</v>
      </c>
      <c r="O358" s="73">
        <v>16770.059999999899</v>
      </c>
      <c r="P358" s="73">
        <v>75119.529999999897</v>
      </c>
      <c r="Q358" s="73">
        <v>180434.47999999899</v>
      </c>
      <c r="R358" s="73">
        <v>39431.39</v>
      </c>
      <c r="S358" s="73">
        <v>16211.9299999999</v>
      </c>
      <c r="T358" s="73">
        <v>78767.799999999901</v>
      </c>
      <c r="U358" s="73">
        <v>242876.59999999899</v>
      </c>
      <c r="V358" s="161">
        <f t="shared" si="7"/>
        <v>134411.11999999979</v>
      </c>
      <c r="W358" s="161"/>
      <c r="AZ358" s="71" t="s">
        <v>320</v>
      </c>
      <c r="BA358" s="71" t="s">
        <v>10</v>
      </c>
      <c r="BB358" s="32">
        <v>5</v>
      </c>
      <c r="BC358" s="32">
        <v>7</v>
      </c>
      <c r="BD358" s="32">
        <v>6</v>
      </c>
      <c r="BF358" s="71" t="s">
        <v>320</v>
      </c>
      <c r="BG358" s="71" t="s">
        <v>10</v>
      </c>
      <c r="BH358" s="73">
        <v>1707.21</v>
      </c>
      <c r="BI358" s="73">
        <v>4627.37</v>
      </c>
      <c r="BJ358" s="73">
        <v>6053.63</v>
      </c>
    </row>
    <row r="359" spans="2:62" x14ac:dyDescent="0.2">
      <c r="B359" s="54">
        <v>98244</v>
      </c>
      <c r="C359" s="60" t="s">
        <v>10</v>
      </c>
      <c r="D359" s="45">
        <v>259</v>
      </c>
      <c r="E359" s="45">
        <v>269</v>
      </c>
      <c r="F359" s="45">
        <v>311</v>
      </c>
      <c r="H359" s="71">
        <v>98240</v>
      </c>
      <c r="I359" s="71" t="s">
        <v>10</v>
      </c>
      <c r="J359" s="73">
        <v>18428.03</v>
      </c>
      <c r="K359" s="73">
        <v>11488.959999999901</v>
      </c>
      <c r="L359" s="73">
        <v>49243.14</v>
      </c>
      <c r="M359" s="73">
        <v>134881.82</v>
      </c>
      <c r="N359" s="73">
        <v>30452.9399999999</v>
      </c>
      <c r="O359" s="73">
        <v>15535.15</v>
      </c>
      <c r="P359" s="73">
        <v>49527.86</v>
      </c>
      <c r="Q359" s="73">
        <v>139992.86999999901</v>
      </c>
      <c r="R359" s="73">
        <v>26672.3499999999</v>
      </c>
      <c r="S359" s="73">
        <v>20435.37</v>
      </c>
      <c r="T359" s="73">
        <v>56887.62</v>
      </c>
      <c r="U359" s="73">
        <v>161396.43</v>
      </c>
      <c r="V359" s="161">
        <f t="shared" si="7"/>
        <v>103995.33999999991</v>
      </c>
      <c r="W359" s="161"/>
      <c r="AZ359" s="71" t="s">
        <v>322</v>
      </c>
      <c r="BA359" s="71" t="s">
        <v>10</v>
      </c>
      <c r="BB359" s="32">
        <v>5</v>
      </c>
      <c r="BC359" s="32">
        <v>5</v>
      </c>
      <c r="BD359" s="32">
        <v>4</v>
      </c>
      <c r="BF359" s="71" t="s">
        <v>322</v>
      </c>
      <c r="BG359" s="71" t="s">
        <v>10</v>
      </c>
      <c r="BH359" s="73">
        <v>6162.52</v>
      </c>
      <c r="BI359" s="73">
        <v>1424.92</v>
      </c>
      <c r="BJ359" s="73">
        <v>5934.36</v>
      </c>
    </row>
    <row r="360" spans="2:62" x14ac:dyDescent="0.2">
      <c r="B360" s="54">
        <v>98247</v>
      </c>
      <c r="C360" s="60" t="s">
        <v>10</v>
      </c>
      <c r="D360" s="45">
        <v>566</v>
      </c>
      <c r="E360" s="45">
        <v>590</v>
      </c>
      <c r="F360" s="45">
        <v>618</v>
      </c>
      <c r="H360" s="71">
        <v>98244</v>
      </c>
      <c r="I360" s="71" t="s">
        <v>10</v>
      </c>
      <c r="J360" s="73">
        <v>15491.0899999999</v>
      </c>
      <c r="K360" s="73">
        <v>8180.22</v>
      </c>
      <c r="L360" s="73">
        <v>79516.4399999999</v>
      </c>
      <c r="M360" s="73">
        <v>153225.49</v>
      </c>
      <c r="N360" s="73">
        <v>28621.45</v>
      </c>
      <c r="O360" s="73">
        <v>11693.07</v>
      </c>
      <c r="P360" s="73">
        <v>75989.1899999999</v>
      </c>
      <c r="Q360" s="73">
        <v>176490.48</v>
      </c>
      <c r="R360" s="73">
        <v>38330.5799999999</v>
      </c>
      <c r="S360" s="73">
        <v>20644.78</v>
      </c>
      <c r="T360" s="73">
        <v>83253.289999999994</v>
      </c>
      <c r="U360" s="73">
        <v>206738.30999999901</v>
      </c>
      <c r="V360" s="161">
        <f t="shared" si="7"/>
        <v>142228.64999999991</v>
      </c>
      <c r="W360" s="161"/>
      <c r="AZ360" s="71" t="s">
        <v>222</v>
      </c>
      <c r="BA360" s="71" t="s">
        <v>10</v>
      </c>
      <c r="BB360" s="32">
        <v>5</v>
      </c>
      <c r="BC360" s="32">
        <v>2</v>
      </c>
      <c r="BD360" s="32">
        <v>3</v>
      </c>
      <c r="BF360" s="71" t="s">
        <v>222</v>
      </c>
      <c r="BG360" s="71" t="s">
        <v>10</v>
      </c>
      <c r="BH360" s="73">
        <v>1186.0899999999999</v>
      </c>
      <c r="BI360" s="73">
        <v>3203.73</v>
      </c>
      <c r="BJ360" s="73">
        <v>1830.29</v>
      </c>
    </row>
    <row r="361" spans="2:62" x14ac:dyDescent="0.2">
      <c r="B361" s="54">
        <v>98248</v>
      </c>
      <c r="C361" s="60" t="s">
        <v>10</v>
      </c>
      <c r="D361" s="45">
        <v>1959</v>
      </c>
      <c r="E361" s="45">
        <v>1361</v>
      </c>
      <c r="F361" s="45">
        <v>2243</v>
      </c>
      <c r="H361" s="71">
        <v>98247</v>
      </c>
      <c r="I361" s="71" t="s">
        <v>10</v>
      </c>
      <c r="J361" s="73">
        <v>35044.22</v>
      </c>
      <c r="K361" s="73">
        <v>17300.77</v>
      </c>
      <c r="L361" s="73">
        <v>146340.579999999</v>
      </c>
      <c r="M361" s="73">
        <v>309840.57999999903</v>
      </c>
      <c r="N361" s="73">
        <v>62533.0099999999</v>
      </c>
      <c r="O361" s="73">
        <v>24398.959999999901</v>
      </c>
      <c r="P361" s="73">
        <v>145554.019999999</v>
      </c>
      <c r="Q361" s="73">
        <v>326793.03999999998</v>
      </c>
      <c r="R361" s="73">
        <v>51925.309999999903</v>
      </c>
      <c r="S361" s="73">
        <v>44897.229999999901</v>
      </c>
      <c r="T361" s="73">
        <v>136290.769999999</v>
      </c>
      <c r="U361" s="73">
        <v>355009.46999999898</v>
      </c>
      <c r="V361" s="161">
        <f t="shared" si="7"/>
        <v>233113.3099999988</v>
      </c>
      <c r="W361" s="161"/>
      <c r="AZ361" s="71" t="s">
        <v>225</v>
      </c>
      <c r="BA361" s="71" t="s">
        <v>10</v>
      </c>
      <c r="BB361" s="32">
        <v>21</v>
      </c>
      <c r="BC361" s="32">
        <v>11</v>
      </c>
      <c r="BD361" s="32">
        <v>16</v>
      </c>
      <c r="BF361" s="71" t="s">
        <v>225</v>
      </c>
      <c r="BG361" s="71" t="s">
        <v>10</v>
      </c>
      <c r="BH361" s="73">
        <v>15194.02</v>
      </c>
      <c r="BI361" s="73">
        <v>7019.35</v>
      </c>
      <c r="BJ361" s="73">
        <v>9561.92</v>
      </c>
    </row>
    <row r="362" spans="2:62" x14ac:dyDescent="0.2">
      <c r="B362" s="54">
        <v>98249</v>
      </c>
      <c r="C362" s="60" t="s">
        <v>10</v>
      </c>
      <c r="D362" s="45">
        <v>246</v>
      </c>
      <c r="E362" s="45">
        <v>261</v>
      </c>
      <c r="F362" s="45">
        <v>237</v>
      </c>
      <c r="H362" s="71">
        <v>98248</v>
      </c>
      <c r="I362" s="71" t="s">
        <v>10</v>
      </c>
      <c r="J362" s="73">
        <v>188809.149999999</v>
      </c>
      <c r="K362" s="73">
        <v>47428.02</v>
      </c>
      <c r="L362" s="73">
        <v>716816.85999999905</v>
      </c>
      <c r="M362" s="73">
        <v>1259666.24999999</v>
      </c>
      <c r="N362" s="73">
        <v>167582.56</v>
      </c>
      <c r="O362" s="73">
        <v>150299.69</v>
      </c>
      <c r="P362" s="73">
        <v>671713.27999999898</v>
      </c>
      <c r="Q362" s="73">
        <v>1166126.3899999899</v>
      </c>
      <c r="R362" s="73">
        <v>219513.39</v>
      </c>
      <c r="S362" s="73">
        <v>106231.359999999</v>
      </c>
      <c r="T362" s="73">
        <v>732046.43</v>
      </c>
      <c r="U362" s="73">
        <v>1519453.24</v>
      </c>
      <c r="V362" s="161">
        <f t="shared" si="7"/>
        <v>1057791.179999999</v>
      </c>
      <c r="W362" s="161"/>
      <c r="AZ362" s="71" t="s">
        <v>324</v>
      </c>
      <c r="BA362" s="71" t="s">
        <v>10</v>
      </c>
      <c r="BB362" s="32"/>
      <c r="BC362" s="32">
        <v>1</v>
      </c>
      <c r="BD362" s="32"/>
      <c r="BF362" s="71" t="s">
        <v>324</v>
      </c>
      <c r="BG362" s="71" t="s">
        <v>10</v>
      </c>
      <c r="BH362" s="73"/>
      <c r="BI362" s="73">
        <v>93.21</v>
      </c>
      <c r="BJ362" s="73"/>
    </row>
    <row r="363" spans="2:62" x14ac:dyDescent="0.2">
      <c r="B363" s="54">
        <v>98251</v>
      </c>
      <c r="C363" s="60" t="s">
        <v>10</v>
      </c>
      <c r="D363" s="45">
        <v>50</v>
      </c>
      <c r="E363" s="45">
        <v>57</v>
      </c>
      <c r="F363" s="45">
        <v>133</v>
      </c>
      <c r="H363" s="71">
        <v>98249</v>
      </c>
      <c r="I363" s="71" t="s">
        <v>10</v>
      </c>
      <c r="J363" s="73">
        <v>15260.1699999999</v>
      </c>
      <c r="K363" s="73">
        <v>8096.4199999999901</v>
      </c>
      <c r="L363" s="73">
        <v>56932.24</v>
      </c>
      <c r="M363" s="73">
        <v>123398.68</v>
      </c>
      <c r="N363" s="73">
        <v>24505.03</v>
      </c>
      <c r="O363" s="73">
        <v>10731.55</v>
      </c>
      <c r="P363" s="73">
        <v>57061.74</v>
      </c>
      <c r="Q363" s="73">
        <v>135810.45000000001</v>
      </c>
      <c r="R363" s="73">
        <v>23695.1499999999</v>
      </c>
      <c r="S363" s="73">
        <v>18704.41</v>
      </c>
      <c r="T363" s="73">
        <v>50854.1</v>
      </c>
      <c r="U363" s="73">
        <v>134804.32999999999</v>
      </c>
      <c r="V363" s="161">
        <f t="shared" si="7"/>
        <v>93253.659999999887</v>
      </c>
      <c r="W363" s="161"/>
      <c r="AZ363" s="71" t="s">
        <v>325</v>
      </c>
      <c r="BA363" s="71" t="s">
        <v>10</v>
      </c>
      <c r="BB363" s="32">
        <v>4</v>
      </c>
      <c r="BC363" s="32">
        <v>11</v>
      </c>
      <c r="BD363" s="32">
        <v>10</v>
      </c>
      <c r="BF363" s="71" t="s">
        <v>325</v>
      </c>
      <c r="BG363" s="71" t="s">
        <v>10</v>
      </c>
      <c r="BH363" s="73">
        <v>3128.5</v>
      </c>
      <c r="BI363" s="73">
        <v>3712.5200000000004</v>
      </c>
      <c r="BJ363" s="73">
        <v>14452.34</v>
      </c>
    </row>
    <row r="364" spans="2:62" x14ac:dyDescent="0.2">
      <c r="B364" s="54">
        <v>98252</v>
      </c>
      <c r="C364" s="60" t="s">
        <v>10</v>
      </c>
      <c r="D364" s="45">
        <v>273</v>
      </c>
      <c r="E364" s="45">
        <v>274</v>
      </c>
      <c r="F364" s="45">
        <v>286</v>
      </c>
      <c r="H364" s="71">
        <v>98251</v>
      </c>
      <c r="I364" s="71" t="s">
        <v>10</v>
      </c>
      <c r="J364" s="73">
        <v>6114.06</v>
      </c>
      <c r="K364" s="73">
        <v>427.66</v>
      </c>
      <c r="L364" s="73">
        <v>6157.6099999999897</v>
      </c>
      <c r="M364" s="73">
        <v>13016.389999999899</v>
      </c>
      <c r="N364" s="73">
        <v>2733.81</v>
      </c>
      <c r="O364" s="73">
        <v>1202.95</v>
      </c>
      <c r="P364" s="73">
        <v>6077.6299999999901</v>
      </c>
      <c r="Q364" s="73">
        <v>17343.78</v>
      </c>
      <c r="R364" s="73">
        <v>4316.3900000000003</v>
      </c>
      <c r="S364" s="73"/>
      <c r="T364" s="73">
        <v>6772.76</v>
      </c>
      <c r="U364" s="73">
        <v>34378.550000000003</v>
      </c>
      <c r="V364" s="161">
        <f t="shared" si="7"/>
        <v>11089.150000000001</v>
      </c>
      <c r="W364" s="161"/>
      <c r="AZ364" s="71" t="s">
        <v>226</v>
      </c>
      <c r="BA364" s="71" t="s">
        <v>10</v>
      </c>
      <c r="BB364" s="32">
        <v>8</v>
      </c>
      <c r="BC364" s="32">
        <v>8</v>
      </c>
      <c r="BD364" s="32">
        <v>14</v>
      </c>
      <c r="BF364" s="71" t="s">
        <v>226</v>
      </c>
      <c r="BG364" s="71" t="s">
        <v>10</v>
      </c>
      <c r="BH364" s="73">
        <v>4136.37</v>
      </c>
      <c r="BI364" s="73">
        <v>4679.5200000000004</v>
      </c>
      <c r="BJ364" s="73">
        <v>13969.76</v>
      </c>
    </row>
    <row r="365" spans="2:62" x14ac:dyDescent="0.2">
      <c r="B365" s="54">
        <v>98253</v>
      </c>
      <c r="C365" s="60" t="s">
        <v>10</v>
      </c>
      <c r="D365" s="45">
        <v>78</v>
      </c>
      <c r="E365" s="45">
        <v>93</v>
      </c>
      <c r="F365" s="45">
        <v>89</v>
      </c>
      <c r="H365" s="71">
        <v>98252</v>
      </c>
      <c r="I365" s="71" t="s">
        <v>10</v>
      </c>
      <c r="J365" s="73">
        <v>16399.37</v>
      </c>
      <c r="K365" s="73">
        <v>4420.72</v>
      </c>
      <c r="L365" s="73">
        <v>30809.929999999898</v>
      </c>
      <c r="M365" s="73">
        <v>89127.98</v>
      </c>
      <c r="N365" s="73">
        <v>17522.499999999902</v>
      </c>
      <c r="O365" s="73">
        <v>11910.04</v>
      </c>
      <c r="P365" s="73">
        <v>29715.35</v>
      </c>
      <c r="Q365" s="73">
        <v>92866.75</v>
      </c>
      <c r="R365" s="73">
        <v>15073.27</v>
      </c>
      <c r="S365" s="73">
        <v>11942.7299999999</v>
      </c>
      <c r="T365" s="73">
        <v>26369.77</v>
      </c>
      <c r="U365" s="73">
        <v>91504.1</v>
      </c>
      <c r="V365" s="161">
        <f t="shared" si="7"/>
        <v>53385.769999999902</v>
      </c>
      <c r="W365" s="161"/>
      <c r="AZ365" s="71" t="s">
        <v>227</v>
      </c>
      <c r="BA365" s="71" t="s">
        <v>10</v>
      </c>
      <c r="BB365" s="32">
        <v>11</v>
      </c>
      <c r="BC365" s="32">
        <v>8</v>
      </c>
      <c r="BD365" s="32">
        <v>12</v>
      </c>
      <c r="BF365" s="71" t="s">
        <v>227</v>
      </c>
      <c r="BG365" s="71" t="s">
        <v>10</v>
      </c>
      <c r="BH365" s="73">
        <v>5901.34</v>
      </c>
      <c r="BI365" s="73">
        <v>1943.72</v>
      </c>
      <c r="BJ365" s="73">
        <v>5674.52</v>
      </c>
    </row>
    <row r="366" spans="2:62" x14ac:dyDescent="0.2">
      <c r="B366" s="54">
        <v>98255</v>
      </c>
      <c r="C366" s="60" t="s">
        <v>10</v>
      </c>
      <c r="D366" s="45">
        <v>56</v>
      </c>
      <c r="E366" s="45">
        <v>43</v>
      </c>
      <c r="F366" s="45">
        <v>52</v>
      </c>
      <c r="H366" s="71">
        <v>98253</v>
      </c>
      <c r="I366" s="71" t="s">
        <v>10</v>
      </c>
      <c r="J366" s="73">
        <v>6585</v>
      </c>
      <c r="K366" s="73">
        <v>3090.27</v>
      </c>
      <c r="L366" s="73">
        <v>17914.57</v>
      </c>
      <c r="M366" s="73">
        <v>36781.65</v>
      </c>
      <c r="N366" s="73">
        <v>5344.01</v>
      </c>
      <c r="O366" s="73">
        <v>4590.83</v>
      </c>
      <c r="P366" s="73">
        <v>17420.8</v>
      </c>
      <c r="Q366" s="73">
        <v>48593.32</v>
      </c>
      <c r="R366" s="73">
        <v>11612.08</v>
      </c>
      <c r="S366" s="73">
        <v>3376.66</v>
      </c>
      <c r="T366" s="73">
        <v>17274.019999999899</v>
      </c>
      <c r="U366" s="73">
        <v>44813.659999999902</v>
      </c>
      <c r="V366" s="161">
        <f t="shared" si="7"/>
        <v>32262.7599999999</v>
      </c>
      <c r="W366" s="161"/>
      <c r="AZ366" s="71" t="s">
        <v>327</v>
      </c>
      <c r="BA366" s="71" t="s">
        <v>10</v>
      </c>
      <c r="BB366" s="32"/>
      <c r="BC366" s="32"/>
      <c r="BD366" s="32">
        <v>2</v>
      </c>
      <c r="BF366" s="71" t="s">
        <v>327</v>
      </c>
      <c r="BG366" s="71" t="s">
        <v>10</v>
      </c>
      <c r="BH366" s="73"/>
      <c r="BI366" s="73"/>
      <c r="BJ366" s="73">
        <v>1158.3800000000001</v>
      </c>
    </row>
    <row r="367" spans="2:62" x14ac:dyDescent="0.2">
      <c r="B367" s="54">
        <v>98257</v>
      </c>
      <c r="C367" s="60" t="s">
        <v>10</v>
      </c>
      <c r="D367" s="45">
        <v>366</v>
      </c>
      <c r="E367" s="45">
        <v>384</v>
      </c>
      <c r="F367" s="45">
        <v>400</v>
      </c>
      <c r="H367" s="71">
        <v>98255</v>
      </c>
      <c r="I367" s="71" t="s">
        <v>10</v>
      </c>
      <c r="J367" s="73">
        <v>87.66</v>
      </c>
      <c r="K367" s="73">
        <v>3435.67</v>
      </c>
      <c r="L367" s="73">
        <v>11414.55</v>
      </c>
      <c r="M367" s="73">
        <v>32705.01</v>
      </c>
      <c r="N367" s="73">
        <v>14266.36</v>
      </c>
      <c r="O367" s="73"/>
      <c r="P367" s="73">
        <v>11566.65</v>
      </c>
      <c r="Q367" s="73">
        <v>25865.269999999899</v>
      </c>
      <c r="R367" s="73">
        <v>32.26</v>
      </c>
      <c r="S367" s="73">
        <v>11921.31</v>
      </c>
      <c r="T367" s="73">
        <v>10160.379999999999</v>
      </c>
      <c r="U367" s="73">
        <v>45386.64</v>
      </c>
      <c r="V367" s="161">
        <f t="shared" si="7"/>
        <v>22113.949999999997</v>
      </c>
      <c r="W367" s="161"/>
      <c r="AZ367" s="71" t="s">
        <v>328</v>
      </c>
      <c r="BA367" s="71" t="s">
        <v>10</v>
      </c>
      <c r="BB367" s="32">
        <v>8</v>
      </c>
      <c r="BC367" s="32">
        <v>3</v>
      </c>
      <c r="BD367" s="32">
        <v>4</v>
      </c>
      <c r="BF367" s="71" t="s">
        <v>328</v>
      </c>
      <c r="BG367" s="71" t="s">
        <v>10</v>
      </c>
      <c r="BH367" s="73">
        <v>5991.25</v>
      </c>
      <c r="BI367" s="73">
        <v>1427.45</v>
      </c>
      <c r="BJ367" s="73">
        <v>590.96</v>
      </c>
    </row>
    <row r="368" spans="2:62" x14ac:dyDescent="0.2">
      <c r="B368" s="54">
        <v>98258</v>
      </c>
      <c r="C368" s="60" t="s">
        <v>10</v>
      </c>
      <c r="D368" s="45">
        <v>1846</v>
      </c>
      <c r="E368" s="45">
        <v>1078</v>
      </c>
      <c r="F368" s="45">
        <v>1825</v>
      </c>
      <c r="H368" s="71">
        <v>98257</v>
      </c>
      <c r="I368" s="71" t="s">
        <v>10</v>
      </c>
      <c r="J368" s="73">
        <v>25849.33</v>
      </c>
      <c r="K368" s="73">
        <v>11802.79</v>
      </c>
      <c r="L368" s="73">
        <v>72303.3299999999</v>
      </c>
      <c r="M368" s="73">
        <v>185626.109999999</v>
      </c>
      <c r="N368" s="73">
        <v>39011</v>
      </c>
      <c r="O368" s="73">
        <v>18050.27</v>
      </c>
      <c r="P368" s="73">
        <v>67875.849999999904</v>
      </c>
      <c r="Q368" s="73">
        <v>189097.859999999</v>
      </c>
      <c r="R368" s="73">
        <v>31110.54</v>
      </c>
      <c r="S368" s="73">
        <v>27691.299999999901</v>
      </c>
      <c r="T368" s="73">
        <v>70071.8299999999</v>
      </c>
      <c r="U368" s="73">
        <v>211218.429999999</v>
      </c>
      <c r="V368" s="161">
        <f t="shared" si="7"/>
        <v>128873.66999999981</v>
      </c>
      <c r="W368" s="161"/>
      <c r="AZ368" s="71" t="s">
        <v>329</v>
      </c>
      <c r="BA368" s="71" t="s">
        <v>10</v>
      </c>
      <c r="BB368" s="32">
        <v>2</v>
      </c>
      <c r="BC368" s="32">
        <v>3</v>
      </c>
      <c r="BD368" s="32">
        <v>5</v>
      </c>
      <c r="BF368" s="71" t="s">
        <v>329</v>
      </c>
      <c r="BG368" s="71" t="s">
        <v>10</v>
      </c>
      <c r="BH368" s="73">
        <v>221.28</v>
      </c>
      <c r="BI368" s="73">
        <v>697.55</v>
      </c>
      <c r="BJ368" s="73">
        <v>8097.63</v>
      </c>
    </row>
    <row r="369" spans="2:62" x14ac:dyDescent="0.2">
      <c r="B369" s="54">
        <v>98260</v>
      </c>
      <c r="C369" s="60" t="s">
        <v>10</v>
      </c>
      <c r="D369" s="45">
        <v>328</v>
      </c>
      <c r="E369" s="45">
        <v>330</v>
      </c>
      <c r="F369" s="45">
        <v>325</v>
      </c>
      <c r="H369" s="71">
        <v>98258</v>
      </c>
      <c r="I369" s="71" t="s">
        <v>10</v>
      </c>
      <c r="J369" s="73">
        <v>114041.15</v>
      </c>
      <c r="K369" s="73">
        <v>30275.0099999999</v>
      </c>
      <c r="L369" s="73">
        <v>175945.12</v>
      </c>
      <c r="M369" s="73">
        <v>586072.75</v>
      </c>
      <c r="N369" s="73">
        <v>126276.96</v>
      </c>
      <c r="O369" s="73">
        <v>100492.43</v>
      </c>
      <c r="P369" s="73">
        <v>151151.10999999999</v>
      </c>
      <c r="Q369" s="73">
        <v>411690.55999999901</v>
      </c>
      <c r="R369" s="73">
        <v>114954.81</v>
      </c>
      <c r="S369" s="73">
        <v>81384.22</v>
      </c>
      <c r="T369" s="73">
        <v>201555.86999999901</v>
      </c>
      <c r="U369" s="73">
        <v>654977.63</v>
      </c>
      <c r="V369" s="161">
        <f t="shared" si="7"/>
        <v>397894.89999999898</v>
      </c>
      <c r="W369" s="161"/>
      <c r="AZ369" s="71" t="s">
        <v>230</v>
      </c>
      <c r="BA369" s="71" t="s">
        <v>10</v>
      </c>
      <c r="BB369" s="32">
        <v>41</v>
      </c>
      <c r="BC369" s="32">
        <v>28</v>
      </c>
      <c r="BD369" s="32">
        <v>24</v>
      </c>
      <c r="BF369" s="71" t="s">
        <v>230</v>
      </c>
      <c r="BG369" s="71" t="s">
        <v>10</v>
      </c>
      <c r="BH369" s="73">
        <v>20935.27</v>
      </c>
      <c r="BI369" s="73">
        <v>17740.75</v>
      </c>
      <c r="BJ369" s="73">
        <v>21863.360000000001</v>
      </c>
    </row>
    <row r="370" spans="2:62" x14ac:dyDescent="0.2">
      <c r="B370" s="54">
        <v>98262</v>
      </c>
      <c r="C370" s="60" t="s">
        <v>10</v>
      </c>
      <c r="D370" s="45">
        <v>52</v>
      </c>
      <c r="E370" s="45">
        <v>56</v>
      </c>
      <c r="F370" s="45">
        <v>119</v>
      </c>
      <c r="H370" s="71">
        <v>98260</v>
      </c>
      <c r="I370" s="71" t="s">
        <v>10</v>
      </c>
      <c r="J370" s="73">
        <v>21201.5099999999</v>
      </c>
      <c r="K370" s="73">
        <v>7972.54</v>
      </c>
      <c r="L370" s="73">
        <v>68026.7</v>
      </c>
      <c r="M370" s="73">
        <v>160900.29999999999</v>
      </c>
      <c r="N370" s="73">
        <v>34588</v>
      </c>
      <c r="O370" s="73">
        <v>13209.5699999999</v>
      </c>
      <c r="P370" s="73">
        <v>65515.519999999997</v>
      </c>
      <c r="Q370" s="73">
        <v>178058.07</v>
      </c>
      <c r="R370" s="73">
        <v>31357.4</v>
      </c>
      <c r="S370" s="73">
        <v>22766.97</v>
      </c>
      <c r="T370" s="73">
        <v>65834.13</v>
      </c>
      <c r="U370" s="73">
        <v>179006.54</v>
      </c>
      <c r="V370" s="161">
        <f t="shared" si="7"/>
        <v>119958.5</v>
      </c>
      <c r="W370" s="161"/>
      <c r="AZ370" s="71" t="s">
        <v>231</v>
      </c>
      <c r="BA370" s="71" t="s">
        <v>10</v>
      </c>
      <c r="BB370" s="32">
        <v>11</v>
      </c>
      <c r="BC370" s="32">
        <v>8</v>
      </c>
      <c r="BD370" s="32">
        <v>12</v>
      </c>
      <c r="BF370" s="71" t="s">
        <v>231</v>
      </c>
      <c r="BG370" s="71" t="s">
        <v>10</v>
      </c>
      <c r="BH370" s="73">
        <v>3043.37</v>
      </c>
      <c r="BI370" s="73">
        <v>4503.63</v>
      </c>
      <c r="BJ370" s="73">
        <v>4967.95</v>
      </c>
    </row>
    <row r="371" spans="2:62" x14ac:dyDescent="0.2">
      <c r="B371" s="54">
        <v>98263</v>
      </c>
      <c r="C371" s="60" t="s">
        <v>10</v>
      </c>
      <c r="D371" s="45">
        <v>30</v>
      </c>
      <c r="E371" s="45">
        <v>21</v>
      </c>
      <c r="F371" s="45">
        <v>32</v>
      </c>
      <c r="H371" s="71">
        <v>98262</v>
      </c>
      <c r="I371" s="71" t="s">
        <v>10</v>
      </c>
      <c r="J371" s="73">
        <v>7230.85</v>
      </c>
      <c r="K371" s="73">
        <v>189.62</v>
      </c>
      <c r="L371" s="73">
        <v>15599.78</v>
      </c>
      <c r="M371" s="73">
        <v>24012.080000000002</v>
      </c>
      <c r="N371" s="73">
        <v>3157.21</v>
      </c>
      <c r="O371" s="73">
        <v>3242.3599999999901</v>
      </c>
      <c r="P371" s="73">
        <v>15153.79</v>
      </c>
      <c r="Q371" s="73">
        <v>29753.07</v>
      </c>
      <c r="R371" s="73">
        <v>4608.4799999999996</v>
      </c>
      <c r="S371" s="73">
        <v>701.21</v>
      </c>
      <c r="T371" s="73">
        <v>19055.3999999999</v>
      </c>
      <c r="U371" s="73">
        <v>44967.2599999999</v>
      </c>
      <c r="V371" s="161">
        <f t="shared" si="7"/>
        <v>24365.089999999898</v>
      </c>
      <c r="W371" s="161"/>
      <c r="AZ371" s="71" t="s">
        <v>232</v>
      </c>
      <c r="BA371" s="71" t="s">
        <v>10</v>
      </c>
      <c r="BB371" s="32">
        <v>71</v>
      </c>
      <c r="BC371" s="32">
        <v>50</v>
      </c>
      <c r="BD371" s="32">
        <v>72</v>
      </c>
      <c r="BF371" s="71" t="s">
        <v>232</v>
      </c>
      <c r="BG371" s="71" t="s">
        <v>10</v>
      </c>
      <c r="BH371" s="73">
        <v>32400.73</v>
      </c>
      <c r="BI371" s="73">
        <v>24119.29</v>
      </c>
      <c r="BJ371" s="73">
        <v>45441.08</v>
      </c>
    </row>
    <row r="372" spans="2:62" x14ac:dyDescent="0.2">
      <c r="B372" s="54">
        <v>98264</v>
      </c>
      <c r="C372" s="60" t="s">
        <v>10</v>
      </c>
      <c r="D372" s="45">
        <v>1339</v>
      </c>
      <c r="E372" s="45">
        <v>1444</v>
      </c>
      <c r="F372" s="45">
        <v>1334</v>
      </c>
      <c r="H372" s="71">
        <v>98263</v>
      </c>
      <c r="I372" s="71" t="s">
        <v>10</v>
      </c>
      <c r="J372" s="73">
        <v>1379.69</v>
      </c>
      <c r="K372" s="73">
        <v>2912.72</v>
      </c>
      <c r="L372" s="73">
        <v>4272.16</v>
      </c>
      <c r="M372" s="73">
        <v>18530.71</v>
      </c>
      <c r="N372" s="73">
        <v>5317.42</v>
      </c>
      <c r="O372" s="73"/>
      <c r="P372" s="73">
        <v>5275.8499999999904</v>
      </c>
      <c r="Q372" s="73">
        <v>11432.83</v>
      </c>
      <c r="R372" s="73">
        <v>405.85</v>
      </c>
      <c r="S372" s="73">
        <v>4312.13</v>
      </c>
      <c r="T372" s="73">
        <v>5275.85</v>
      </c>
      <c r="U372" s="73">
        <v>22507.31</v>
      </c>
      <c r="V372" s="161">
        <f t="shared" si="7"/>
        <v>9993.8300000000017</v>
      </c>
      <c r="W372" s="161"/>
      <c r="AZ372" s="71" t="s">
        <v>233</v>
      </c>
      <c r="BA372" s="71" t="s">
        <v>10</v>
      </c>
      <c r="BB372" s="32">
        <v>50</v>
      </c>
      <c r="BC372" s="32">
        <v>45</v>
      </c>
      <c r="BD372" s="32">
        <v>41</v>
      </c>
      <c r="BF372" s="71" t="s">
        <v>233</v>
      </c>
      <c r="BG372" s="71" t="s">
        <v>10</v>
      </c>
      <c r="BH372" s="73">
        <v>34452.89</v>
      </c>
      <c r="BI372" s="73">
        <v>23852.65</v>
      </c>
      <c r="BJ372" s="73">
        <v>22394.010000000002</v>
      </c>
    </row>
    <row r="373" spans="2:62" x14ac:dyDescent="0.2">
      <c r="B373" s="54">
        <v>98266</v>
      </c>
      <c r="C373" s="60" t="s">
        <v>10</v>
      </c>
      <c r="D373" s="45">
        <v>485</v>
      </c>
      <c r="E373" s="45">
        <v>505</v>
      </c>
      <c r="F373" s="45">
        <v>522</v>
      </c>
      <c r="H373" s="71">
        <v>98264</v>
      </c>
      <c r="I373" s="71" t="s">
        <v>10</v>
      </c>
      <c r="J373" s="73">
        <v>80537.649999999994</v>
      </c>
      <c r="K373" s="73">
        <v>33566.489999999903</v>
      </c>
      <c r="L373" s="73">
        <v>196492.46999999901</v>
      </c>
      <c r="M373" s="73">
        <v>518078.73</v>
      </c>
      <c r="N373" s="73">
        <v>108035.189999999</v>
      </c>
      <c r="O373" s="73">
        <v>60463.319999999898</v>
      </c>
      <c r="P373" s="73">
        <v>212296.12999999899</v>
      </c>
      <c r="Q373" s="73">
        <v>564053.28</v>
      </c>
      <c r="R373" s="73">
        <v>88855.430000000095</v>
      </c>
      <c r="S373" s="73">
        <v>79284.179999999906</v>
      </c>
      <c r="T373" s="73">
        <v>225340.35</v>
      </c>
      <c r="U373" s="73">
        <v>577836.16</v>
      </c>
      <c r="V373" s="161">
        <f t="shared" si="7"/>
        <v>393479.95999999996</v>
      </c>
      <c r="W373" s="161"/>
      <c r="AZ373" s="71" t="s">
        <v>234</v>
      </c>
      <c r="BA373" s="71" t="s">
        <v>10</v>
      </c>
      <c r="BB373" s="32">
        <v>77</v>
      </c>
      <c r="BC373" s="32">
        <v>40</v>
      </c>
      <c r="BD373" s="32">
        <v>62</v>
      </c>
      <c r="BF373" s="71" t="s">
        <v>234</v>
      </c>
      <c r="BG373" s="71" t="s">
        <v>10</v>
      </c>
      <c r="BH373" s="73">
        <v>44736.02</v>
      </c>
      <c r="BI373" s="73">
        <v>47881.46</v>
      </c>
      <c r="BJ373" s="73">
        <v>31150.799999999999</v>
      </c>
    </row>
    <row r="374" spans="2:62" x14ac:dyDescent="0.2">
      <c r="B374" s="54">
        <v>98267</v>
      </c>
      <c r="C374" s="60" t="s">
        <v>10</v>
      </c>
      <c r="D374" s="45">
        <v>34</v>
      </c>
      <c r="E374" s="45">
        <v>51</v>
      </c>
      <c r="F374" s="45">
        <v>38</v>
      </c>
      <c r="H374" s="71">
        <v>98266</v>
      </c>
      <c r="I374" s="71" t="s">
        <v>10</v>
      </c>
      <c r="J374" s="73">
        <v>40182.699999999997</v>
      </c>
      <c r="K374" s="73">
        <v>16852.3499999999</v>
      </c>
      <c r="L374" s="73">
        <v>120054.27</v>
      </c>
      <c r="M374" s="73">
        <v>269298.2</v>
      </c>
      <c r="N374" s="73">
        <v>61394.809999999903</v>
      </c>
      <c r="O374" s="73">
        <v>30462.459999999901</v>
      </c>
      <c r="P374" s="73">
        <v>120221.67</v>
      </c>
      <c r="Q374" s="73">
        <v>317014.37999999902</v>
      </c>
      <c r="R374" s="73">
        <v>72804.3299999999</v>
      </c>
      <c r="S374" s="73">
        <v>49064.299999999901</v>
      </c>
      <c r="T374" s="73">
        <v>122026.13</v>
      </c>
      <c r="U374" s="73">
        <v>340068.87999999902</v>
      </c>
      <c r="V374" s="161">
        <f t="shared" si="7"/>
        <v>243894.75999999981</v>
      </c>
      <c r="W374" s="161"/>
      <c r="AZ374" s="71" t="s">
        <v>236</v>
      </c>
      <c r="BA374" s="71" t="s">
        <v>10</v>
      </c>
      <c r="BB374" s="32">
        <v>18</v>
      </c>
      <c r="BC374" s="32">
        <v>23</v>
      </c>
      <c r="BD374" s="32">
        <v>27</v>
      </c>
      <c r="BF374" s="71" t="s">
        <v>236</v>
      </c>
      <c r="BG374" s="71" t="s">
        <v>10</v>
      </c>
      <c r="BH374" s="73">
        <v>6907.65</v>
      </c>
      <c r="BI374" s="73">
        <v>7738.18</v>
      </c>
      <c r="BJ374" s="73">
        <v>14296.07</v>
      </c>
    </row>
    <row r="375" spans="2:62" x14ac:dyDescent="0.2">
      <c r="B375" s="54">
        <v>98270</v>
      </c>
      <c r="C375" s="60" t="s">
        <v>10</v>
      </c>
      <c r="D375" s="45">
        <v>2140</v>
      </c>
      <c r="E375" s="45">
        <v>2288</v>
      </c>
      <c r="F375" s="45">
        <v>2190</v>
      </c>
      <c r="H375" s="71">
        <v>98267</v>
      </c>
      <c r="I375" s="71" t="s">
        <v>10</v>
      </c>
      <c r="J375" s="73">
        <v>5275.24</v>
      </c>
      <c r="K375" s="73">
        <v>111.52</v>
      </c>
      <c r="L375" s="73">
        <v>23047.38</v>
      </c>
      <c r="M375" s="73">
        <v>29309.879999999899</v>
      </c>
      <c r="N375" s="73">
        <v>312.31</v>
      </c>
      <c r="O375" s="73">
        <v>4416.01</v>
      </c>
      <c r="P375" s="73">
        <v>20284.580000000002</v>
      </c>
      <c r="Q375" s="73">
        <v>43242.729999999901</v>
      </c>
      <c r="R375" s="73">
        <v>12874.26</v>
      </c>
      <c r="S375" s="73">
        <v>312.31</v>
      </c>
      <c r="T375" s="73">
        <v>22579.26</v>
      </c>
      <c r="U375" s="73">
        <v>38607.35</v>
      </c>
      <c r="V375" s="161">
        <f t="shared" si="7"/>
        <v>35765.83</v>
      </c>
      <c r="W375" s="161"/>
      <c r="AZ375" s="71" t="s">
        <v>237</v>
      </c>
      <c r="BA375" s="71" t="s">
        <v>10</v>
      </c>
      <c r="BB375" s="32">
        <v>41</v>
      </c>
      <c r="BC375" s="32">
        <v>37</v>
      </c>
      <c r="BD375" s="32">
        <v>47</v>
      </c>
      <c r="BF375" s="71" t="s">
        <v>237</v>
      </c>
      <c r="BG375" s="71" t="s">
        <v>10</v>
      </c>
      <c r="BH375" s="73">
        <v>35250</v>
      </c>
      <c r="BI375" s="73">
        <v>31013.360000000001</v>
      </c>
      <c r="BJ375" s="73">
        <v>35620.57</v>
      </c>
    </row>
    <row r="376" spans="2:62" x14ac:dyDescent="0.2">
      <c r="B376" s="54">
        <v>98271</v>
      </c>
      <c r="C376" s="60" t="s">
        <v>10</v>
      </c>
      <c r="D376" s="45">
        <v>517</v>
      </c>
      <c r="E376" s="45">
        <v>526</v>
      </c>
      <c r="F376" s="45">
        <v>500</v>
      </c>
      <c r="H376" s="71">
        <v>98270</v>
      </c>
      <c r="I376" s="71" t="s">
        <v>10</v>
      </c>
      <c r="J376" s="73">
        <v>118920.80999999899</v>
      </c>
      <c r="K376" s="73">
        <v>32622.519999999899</v>
      </c>
      <c r="L376" s="73">
        <v>200876.62</v>
      </c>
      <c r="M376" s="73">
        <v>660161.35</v>
      </c>
      <c r="N376" s="73">
        <v>152025.44999999899</v>
      </c>
      <c r="O376" s="73">
        <v>80661.999999999796</v>
      </c>
      <c r="P376" s="73">
        <v>187209.95</v>
      </c>
      <c r="Q376" s="73">
        <v>698847.6</v>
      </c>
      <c r="R376" s="73">
        <v>129715.89</v>
      </c>
      <c r="S376" s="73">
        <v>103057.239999999</v>
      </c>
      <c r="T376" s="73">
        <v>210346.609999999</v>
      </c>
      <c r="U376" s="73">
        <v>733183.7</v>
      </c>
      <c r="V376" s="161">
        <f t="shared" si="7"/>
        <v>443119.73999999801</v>
      </c>
      <c r="W376" s="161"/>
      <c r="AZ376" s="71" t="s">
        <v>238</v>
      </c>
      <c r="BA376" s="71" t="s">
        <v>10</v>
      </c>
      <c r="BB376" s="32">
        <v>33</v>
      </c>
      <c r="BC376" s="32">
        <v>30</v>
      </c>
      <c r="BD376" s="32">
        <v>23</v>
      </c>
      <c r="BF376" s="71" t="s">
        <v>238</v>
      </c>
      <c r="BG376" s="71" t="s">
        <v>10</v>
      </c>
      <c r="BH376" s="73">
        <v>17053.2</v>
      </c>
      <c r="BI376" s="73">
        <v>44117.94</v>
      </c>
      <c r="BJ376" s="73">
        <v>8166.89</v>
      </c>
    </row>
    <row r="377" spans="2:62" x14ac:dyDescent="0.2">
      <c r="B377" s="54">
        <v>98272</v>
      </c>
      <c r="C377" s="60" t="s">
        <v>10</v>
      </c>
      <c r="D377" s="45">
        <v>804</v>
      </c>
      <c r="E377" s="45">
        <v>391</v>
      </c>
      <c r="F377" s="45">
        <v>781</v>
      </c>
      <c r="H377" s="71">
        <v>98271</v>
      </c>
      <c r="I377" s="71" t="s">
        <v>10</v>
      </c>
      <c r="J377" s="73">
        <v>27207.839999999898</v>
      </c>
      <c r="K377" s="73">
        <v>6935.03999999999</v>
      </c>
      <c r="L377" s="73">
        <v>54146.879999999903</v>
      </c>
      <c r="M377" s="73">
        <v>168104.24</v>
      </c>
      <c r="N377" s="73">
        <v>32087.07</v>
      </c>
      <c r="O377" s="73">
        <v>17169.02</v>
      </c>
      <c r="P377" s="73">
        <v>38090.529999999897</v>
      </c>
      <c r="Q377" s="73">
        <v>154144.859999999</v>
      </c>
      <c r="R377" s="73">
        <v>30613.39</v>
      </c>
      <c r="S377" s="73">
        <v>21985.62</v>
      </c>
      <c r="T377" s="73">
        <v>41875.24</v>
      </c>
      <c r="U377" s="73">
        <v>163412.429999999</v>
      </c>
      <c r="V377" s="161">
        <f t="shared" si="7"/>
        <v>94474.25</v>
      </c>
      <c r="W377" s="161"/>
      <c r="AZ377" s="71" t="s">
        <v>239</v>
      </c>
      <c r="BA377" s="71" t="s">
        <v>10</v>
      </c>
      <c r="BB377" s="32">
        <v>63</v>
      </c>
      <c r="BC377" s="32">
        <v>45</v>
      </c>
      <c r="BD377" s="32">
        <v>37</v>
      </c>
      <c r="BF377" s="71" t="s">
        <v>239</v>
      </c>
      <c r="BG377" s="71" t="s">
        <v>10</v>
      </c>
      <c r="BH377" s="73">
        <v>19192.05</v>
      </c>
      <c r="BI377" s="73">
        <v>15891.99</v>
      </c>
      <c r="BJ377" s="73">
        <v>15097.89</v>
      </c>
    </row>
    <row r="378" spans="2:62" x14ac:dyDescent="0.2">
      <c r="B378" s="54">
        <v>98273</v>
      </c>
      <c r="C378" s="60" t="s">
        <v>10</v>
      </c>
      <c r="D378" s="45">
        <v>2131</v>
      </c>
      <c r="E378" s="45">
        <v>2174</v>
      </c>
      <c r="F378" s="45">
        <v>2122</v>
      </c>
      <c r="H378" s="71">
        <v>98272</v>
      </c>
      <c r="I378" s="71" t="s">
        <v>10</v>
      </c>
      <c r="J378" s="73">
        <v>43156.68</v>
      </c>
      <c r="K378" s="73">
        <v>12590.94</v>
      </c>
      <c r="L378" s="73">
        <v>56894.31</v>
      </c>
      <c r="M378" s="73">
        <v>227707.47</v>
      </c>
      <c r="N378" s="73">
        <v>1109.06</v>
      </c>
      <c r="O378" s="73">
        <v>37751.49</v>
      </c>
      <c r="P378" s="73">
        <v>51789.21</v>
      </c>
      <c r="Q378" s="73">
        <v>141806.34999999899</v>
      </c>
      <c r="R378" s="73">
        <v>32597.9</v>
      </c>
      <c r="S378" s="73">
        <v>463.65</v>
      </c>
      <c r="T378" s="73">
        <v>73233.569999999905</v>
      </c>
      <c r="U378" s="73">
        <v>254352.74</v>
      </c>
      <c r="V378" s="161">
        <f t="shared" si="7"/>
        <v>106295.11999999991</v>
      </c>
      <c r="W378" s="161"/>
      <c r="AZ378" s="71" t="s">
        <v>240</v>
      </c>
      <c r="BA378" s="71" t="s">
        <v>10</v>
      </c>
      <c r="BB378" s="32"/>
      <c r="BC378" s="32">
        <v>1</v>
      </c>
      <c r="BD378" s="32">
        <v>3</v>
      </c>
      <c r="BF378" s="71" t="s">
        <v>240</v>
      </c>
      <c r="BG378" s="71" t="s">
        <v>10</v>
      </c>
      <c r="BH378" s="73"/>
      <c r="BI378" s="73">
        <v>265.37</v>
      </c>
      <c r="BJ378" s="73">
        <v>3321.81</v>
      </c>
    </row>
    <row r="379" spans="2:62" x14ac:dyDescent="0.2">
      <c r="B379" s="54">
        <v>98274</v>
      </c>
      <c r="C379" s="60" t="s">
        <v>10</v>
      </c>
      <c r="D379" s="45">
        <v>1134</v>
      </c>
      <c r="E379" s="45">
        <v>1170</v>
      </c>
      <c r="F379" s="45">
        <v>1094</v>
      </c>
      <c r="H379" s="71">
        <v>98273</v>
      </c>
      <c r="I379" s="71" t="s">
        <v>10</v>
      </c>
      <c r="J379" s="73">
        <v>112277.66</v>
      </c>
      <c r="K379" s="73">
        <v>39096.39</v>
      </c>
      <c r="L379" s="73">
        <v>230758.30999999901</v>
      </c>
      <c r="M379" s="73">
        <v>707182.03000000096</v>
      </c>
      <c r="N379" s="73">
        <v>181189.62999999899</v>
      </c>
      <c r="O379" s="73">
        <v>79640.219999999899</v>
      </c>
      <c r="P379" s="73">
        <v>227641.95</v>
      </c>
      <c r="Q379" s="73">
        <v>792183.61</v>
      </c>
      <c r="R379" s="73">
        <v>161644.99999999901</v>
      </c>
      <c r="S379" s="73">
        <v>125207.679999999</v>
      </c>
      <c r="T379" s="73">
        <v>251266.579999999</v>
      </c>
      <c r="U379" s="73">
        <v>852717.71999999799</v>
      </c>
      <c r="V379" s="161">
        <f t="shared" si="7"/>
        <v>538119.25999999698</v>
      </c>
      <c r="W379" s="161"/>
      <c r="AZ379" s="71" t="s">
        <v>241</v>
      </c>
      <c r="BA379" s="71" t="s">
        <v>10</v>
      </c>
      <c r="BB379" s="32">
        <v>9</v>
      </c>
      <c r="BC379" s="32">
        <v>5</v>
      </c>
      <c r="BD379" s="32">
        <v>7</v>
      </c>
      <c r="BF379" s="71" t="s">
        <v>241</v>
      </c>
      <c r="BG379" s="71" t="s">
        <v>10</v>
      </c>
      <c r="BH379" s="73">
        <v>12529.32</v>
      </c>
      <c r="BI379" s="73">
        <v>2560.21</v>
      </c>
      <c r="BJ379" s="73">
        <v>3453.56</v>
      </c>
    </row>
    <row r="380" spans="2:62" x14ac:dyDescent="0.2">
      <c r="B380" s="54">
        <v>98275</v>
      </c>
      <c r="C380" s="60" t="s">
        <v>10</v>
      </c>
      <c r="D380" s="45">
        <v>387</v>
      </c>
      <c r="E380" s="45">
        <v>403</v>
      </c>
      <c r="F380" s="45">
        <v>381</v>
      </c>
      <c r="H380" s="71">
        <v>98274</v>
      </c>
      <c r="I380" s="71" t="s">
        <v>10</v>
      </c>
      <c r="J380" s="73">
        <v>70530.3</v>
      </c>
      <c r="K380" s="73">
        <v>19340.709999999901</v>
      </c>
      <c r="L380" s="73">
        <v>176317.019999999</v>
      </c>
      <c r="M380" s="73">
        <v>452052.429999999</v>
      </c>
      <c r="N380" s="73">
        <v>93546.15</v>
      </c>
      <c r="O380" s="73">
        <v>51795.08</v>
      </c>
      <c r="P380" s="73">
        <v>169642.04</v>
      </c>
      <c r="Q380" s="73">
        <v>507639.08</v>
      </c>
      <c r="R380" s="73">
        <v>95843.979999999894</v>
      </c>
      <c r="S380" s="73">
        <v>55866.98</v>
      </c>
      <c r="T380" s="73">
        <v>170241.14</v>
      </c>
      <c r="U380" s="73">
        <v>508339.96</v>
      </c>
      <c r="V380" s="161">
        <f t="shared" si="7"/>
        <v>321952.09999999992</v>
      </c>
      <c r="W380" s="161"/>
      <c r="AZ380" s="71" t="s">
        <v>330</v>
      </c>
      <c r="BA380" s="71" t="s">
        <v>10</v>
      </c>
      <c r="BB380" s="32">
        <v>2</v>
      </c>
      <c r="BC380" s="32">
        <v>4</v>
      </c>
      <c r="BD380" s="32">
        <v>2</v>
      </c>
      <c r="BF380" s="71" t="s">
        <v>330</v>
      </c>
      <c r="BG380" s="71" t="s">
        <v>10</v>
      </c>
      <c r="BH380" s="73">
        <v>1289.7</v>
      </c>
      <c r="BI380" s="73">
        <v>2847.55</v>
      </c>
      <c r="BJ380" s="73">
        <v>521.27</v>
      </c>
    </row>
    <row r="381" spans="2:62" x14ac:dyDescent="0.2">
      <c r="B381" s="54">
        <v>98276</v>
      </c>
      <c r="C381" s="60" t="s">
        <v>10</v>
      </c>
      <c r="D381" s="45">
        <v>78</v>
      </c>
      <c r="E381" s="45">
        <v>92</v>
      </c>
      <c r="F381" s="45">
        <v>93</v>
      </c>
      <c r="H381" s="71">
        <v>98275</v>
      </c>
      <c r="I381" s="71" t="s">
        <v>10</v>
      </c>
      <c r="J381" s="73">
        <v>19327.84</v>
      </c>
      <c r="K381" s="73">
        <v>4958.6499999999996</v>
      </c>
      <c r="L381" s="73">
        <v>35891.85</v>
      </c>
      <c r="M381" s="73">
        <v>129438.33</v>
      </c>
      <c r="N381" s="73">
        <v>30389.43</v>
      </c>
      <c r="O381" s="73">
        <v>12383.4399999999</v>
      </c>
      <c r="P381" s="73">
        <v>33141.71</v>
      </c>
      <c r="Q381" s="73">
        <v>138029.75</v>
      </c>
      <c r="R381" s="73">
        <v>26160.289999999899</v>
      </c>
      <c r="S381" s="73">
        <v>17849.73</v>
      </c>
      <c r="T381" s="73">
        <v>34534.679999999898</v>
      </c>
      <c r="U381" s="73">
        <v>137402.49</v>
      </c>
      <c r="V381" s="161">
        <f t="shared" ref="V381:V444" si="8">SUM(R381:T381)</f>
        <v>78544.699999999808</v>
      </c>
      <c r="W381" s="161"/>
      <c r="AZ381" s="71" t="s">
        <v>244</v>
      </c>
      <c r="BA381" s="71" t="s">
        <v>10</v>
      </c>
      <c r="BB381" s="32">
        <v>7</v>
      </c>
      <c r="BC381" s="32">
        <v>6</v>
      </c>
      <c r="BD381" s="32">
        <v>5</v>
      </c>
      <c r="BF381" s="71" t="s">
        <v>244</v>
      </c>
      <c r="BG381" s="71" t="s">
        <v>10</v>
      </c>
      <c r="BH381" s="73">
        <v>9506.0300000000007</v>
      </c>
      <c r="BI381" s="73">
        <v>9199.4599999999991</v>
      </c>
      <c r="BJ381" s="73">
        <v>7521.29</v>
      </c>
    </row>
    <row r="382" spans="2:62" x14ac:dyDescent="0.2">
      <c r="B382" s="54">
        <v>98277</v>
      </c>
      <c r="C382" s="60" t="s">
        <v>10</v>
      </c>
      <c r="D382" s="45">
        <v>3256</v>
      </c>
      <c r="E382" s="45">
        <v>2536</v>
      </c>
      <c r="F382" s="45">
        <v>3225</v>
      </c>
      <c r="H382" s="71">
        <v>98276</v>
      </c>
      <c r="I382" s="71" t="s">
        <v>10</v>
      </c>
      <c r="J382" s="73">
        <v>4985.2299999999996</v>
      </c>
      <c r="K382" s="73">
        <v>1946.97</v>
      </c>
      <c r="L382" s="73">
        <v>8179.03</v>
      </c>
      <c r="M382" s="73">
        <v>25949.55</v>
      </c>
      <c r="N382" s="73">
        <v>6850.0699999999897</v>
      </c>
      <c r="O382" s="73">
        <v>3158.94</v>
      </c>
      <c r="P382" s="73">
        <v>6227.7299999999896</v>
      </c>
      <c r="Q382" s="73">
        <v>27037.5</v>
      </c>
      <c r="R382" s="73">
        <v>5172.72</v>
      </c>
      <c r="S382" s="73">
        <v>4791.01</v>
      </c>
      <c r="T382" s="73">
        <v>7655.13</v>
      </c>
      <c r="U382" s="73">
        <v>30568.909999999902</v>
      </c>
      <c r="V382" s="161">
        <f t="shared" si="8"/>
        <v>17618.86</v>
      </c>
      <c r="W382" s="161"/>
      <c r="AZ382" s="105" t="s">
        <v>245</v>
      </c>
      <c r="BA382" s="105" t="s">
        <v>10</v>
      </c>
      <c r="BB382" s="83">
        <v>19</v>
      </c>
      <c r="BC382" s="83">
        <v>9</v>
      </c>
      <c r="BD382" s="83">
        <v>8</v>
      </c>
      <c r="BF382" s="105" t="s">
        <v>245</v>
      </c>
      <c r="BG382" s="105" t="s">
        <v>10</v>
      </c>
      <c r="BH382" s="106">
        <v>20560.63</v>
      </c>
      <c r="BI382" s="106">
        <v>7258.27</v>
      </c>
      <c r="BJ382" s="106">
        <v>8966.98</v>
      </c>
    </row>
    <row r="383" spans="2:62" x14ac:dyDescent="0.2">
      <c r="B383" s="54">
        <v>98281</v>
      </c>
      <c r="C383" s="60" t="s">
        <v>10</v>
      </c>
      <c r="D383" s="45">
        <v>217</v>
      </c>
      <c r="E383" s="45">
        <v>237</v>
      </c>
      <c r="F383" s="45">
        <v>472</v>
      </c>
      <c r="H383" s="71">
        <v>98277</v>
      </c>
      <c r="I383" s="71" t="s">
        <v>10</v>
      </c>
      <c r="J383" s="73">
        <v>214912.69999999899</v>
      </c>
      <c r="K383" s="73">
        <v>80695.570000000007</v>
      </c>
      <c r="L383" s="73">
        <v>566516.96</v>
      </c>
      <c r="M383" s="73">
        <v>1400563.32</v>
      </c>
      <c r="N383" s="73">
        <v>230214.149999999</v>
      </c>
      <c r="O383" s="73">
        <v>192509.33999999901</v>
      </c>
      <c r="P383" s="73">
        <v>539272.12</v>
      </c>
      <c r="Q383" s="73">
        <v>1264589.47</v>
      </c>
      <c r="R383" s="73">
        <v>251247.56</v>
      </c>
      <c r="S383" s="73">
        <v>170748.38</v>
      </c>
      <c r="T383" s="73">
        <v>608227.299999999</v>
      </c>
      <c r="U383" s="73">
        <v>1630754.3299999901</v>
      </c>
      <c r="V383" s="161">
        <f t="shared" si="8"/>
        <v>1030223.2399999991</v>
      </c>
      <c r="W383" s="161"/>
      <c r="AZ383" s="71" t="s">
        <v>246</v>
      </c>
      <c r="BA383" s="71" t="s">
        <v>10</v>
      </c>
      <c r="BB383" s="32">
        <v>9</v>
      </c>
      <c r="BC383" s="32">
        <v>3</v>
      </c>
      <c r="BD383" s="32">
        <v>4</v>
      </c>
      <c r="BF383" s="71" t="s">
        <v>246</v>
      </c>
      <c r="BG383" s="71" t="s">
        <v>10</v>
      </c>
      <c r="BH383" s="73">
        <v>25103.91</v>
      </c>
      <c r="BI383" s="73">
        <v>1988.58</v>
      </c>
      <c r="BJ383" s="73">
        <v>1524.9</v>
      </c>
    </row>
    <row r="384" spans="2:62" x14ac:dyDescent="0.2">
      <c r="B384" s="54">
        <v>98283</v>
      </c>
      <c r="C384" s="60" t="s">
        <v>10</v>
      </c>
      <c r="D384" s="45">
        <v>37</v>
      </c>
      <c r="E384" s="45">
        <v>53</v>
      </c>
      <c r="F384" s="45">
        <v>46</v>
      </c>
      <c r="H384" s="71">
        <v>98281</v>
      </c>
      <c r="I384" s="71" t="s">
        <v>10</v>
      </c>
      <c r="J384" s="73">
        <v>22755.919999999998</v>
      </c>
      <c r="K384" s="73"/>
      <c r="L384" s="73">
        <v>28076.819999999901</v>
      </c>
      <c r="M384" s="73">
        <v>51147.18</v>
      </c>
      <c r="N384" s="73">
        <v>9506.7599999999893</v>
      </c>
      <c r="O384" s="73">
        <v>5840.07</v>
      </c>
      <c r="P384" s="73">
        <v>25364.53</v>
      </c>
      <c r="Q384" s="73">
        <v>67340.789999999994</v>
      </c>
      <c r="R384" s="73">
        <v>15047.529999999901</v>
      </c>
      <c r="S384" s="73"/>
      <c r="T384" s="73">
        <v>30555.41</v>
      </c>
      <c r="U384" s="73">
        <v>116814.03</v>
      </c>
      <c r="V384" s="161">
        <f t="shared" si="8"/>
        <v>45602.9399999999</v>
      </c>
      <c r="W384" s="161"/>
      <c r="AZ384" s="71" t="s">
        <v>247</v>
      </c>
      <c r="BA384" s="71" t="s">
        <v>10</v>
      </c>
      <c r="BB384" s="32">
        <v>8</v>
      </c>
      <c r="BC384" s="32">
        <v>6</v>
      </c>
      <c r="BD384" s="32">
        <v>9</v>
      </c>
      <c r="BF384" s="71" t="s">
        <v>247</v>
      </c>
      <c r="BG384" s="71" t="s">
        <v>10</v>
      </c>
      <c r="BH384" s="73">
        <v>7626.79</v>
      </c>
      <c r="BI384" s="73">
        <v>1665.08</v>
      </c>
      <c r="BJ384" s="73">
        <v>11164.44</v>
      </c>
    </row>
    <row r="385" spans="2:62" x14ac:dyDescent="0.2">
      <c r="B385" s="78">
        <v>98284</v>
      </c>
      <c r="C385" s="60" t="s">
        <v>10</v>
      </c>
      <c r="D385" s="45">
        <v>1847</v>
      </c>
      <c r="E385" s="45">
        <v>1902</v>
      </c>
      <c r="F385" s="45">
        <v>1799</v>
      </c>
      <c r="H385" s="71">
        <v>98283</v>
      </c>
      <c r="I385" s="71" t="s">
        <v>10</v>
      </c>
      <c r="J385" s="73">
        <v>5635.0999999999904</v>
      </c>
      <c r="K385" s="73">
        <v>611.99</v>
      </c>
      <c r="L385" s="73">
        <v>9095.52</v>
      </c>
      <c r="M385" s="73">
        <v>20416.669999999998</v>
      </c>
      <c r="N385" s="73">
        <v>3160.3</v>
      </c>
      <c r="O385" s="73">
        <v>3630.74999999999</v>
      </c>
      <c r="P385" s="73">
        <v>8581.44</v>
      </c>
      <c r="Q385" s="73">
        <v>30518.679999999898</v>
      </c>
      <c r="R385" s="73">
        <v>7385.24</v>
      </c>
      <c r="S385" s="73">
        <v>1709.96999999999</v>
      </c>
      <c r="T385" s="73">
        <v>7205.49999999999</v>
      </c>
      <c r="U385" s="73">
        <v>22820.47</v>
      </c>
      <c r="V385" s="161">
        <f t="shared" si="8"/>
        <v>16300.709999999981</v>
      </c>
      <c r="W385" s="161"/>
      <c r="AZ385" s="71" t="s">
        <v>332</v>
      </c>
      <c r="BA385" s="71" t="s">
        <v>10</v>
      </c>
      <c r="BB385" s="32"/>
      <c r="BC385" s="32">
        <v>1</v>
      </c>
      <c r="BD385" s="32"/>
      <c r="BF385" s="71" t="s">
        <v>332</v>
      </c>
      <c r="BG385" s="71" t="s">
        <v>10</v>
      </c>
      <c r="BH385" s="73"/>
      <c r="BI385" s="73">
        <v>95.86</v>
      </c>
      <c r="BJ385" s="73"/>
    </row>
    <row r="386" spans="2:62" x14ac:dyDescent="0.2">
      <c r="B386" s="78">
        <v>98288</v>
      </c>
      <c r="C386" s="60" t="s">
        <v>10</v>
      </c>
      <c r="D386" s="45">
        <v>35</v>
      </c>
      <c r="E386" s="45">
        <v>44</v>
      </c>
      <c r="F386" s="45">
        <v>39</v>
      </c>
      <c r="H386" s="71">
        <v>98284</v>
      </c>
      <c r="I386" s="71" t="s">
        <v>10</v>
      </c>
      <c r="J386" s="73">
        <v>108819.23</v>
      </c>
      <c r="K386" s="73">
        <v>47756.859999999899</v>
      </c>
      <c r="L386" s="73">
        <v>397531.54</v>
      </c>
      <c r="M386" s="73">
        <v>871243.44999999902</v>
      </c>
      <c r="N386" s="73">
        <v>204061.65999999901</v>
      </c>
      <c r="O386" s="73">
        <v>77089.699999999895</v>
      </c>
      <c r="P386" s="73">
        <v>382753.84999999899</v>
      </c>
      <c r="Q386" s="73">
        <v>973836.05999999901</v>
      </c>
      <c r="R386" s="73">
        <v>192521.24</v>
      </c>
      <c r="S386" s="73">
        <v>145889.49</v>
      </c>
      <c r="T386" s="73">
        <v>372774.19999999902</v>
      </c>
      <c r="U386" s="73">
        <v>1034488.79999999</v>
      </c>
      <c r="V386" s="161">
        <f t="shared" si="8"/>
        <v>711184.929999999</v>
      </c>
      <c r="W386" s="161"/>
      <c r="AZ386" s="71" t="s">
        <v>248</v>
      </c>
      <c r="BA386" s="71" t="s">
        <v>10</v>
      </c>
      <c r="BB386" s="32">
        <v>31</v>
      </c>
      <c r="BC386" s="32">
        <v>19</v>
      </c>
      <c r="BD386" s="32">
        <v>32</v>
      </c>
      <c r="BF386" s="71" t="s">
        <v>248</v>
      </c>
      <c r="BG386" s="71" t="s">
        <v>10</v>
      </c>
      <c r="BH386" s="73">
        <v>66752.149999999994</v>
      </c>
      <c r="BI386" s="73">
        <v>15469.56</v>
      </c>
      <c r="BJ386" s="73">
        <v>27030.54</v>
      </c>
    </row>
    <row r="387" spans="2:62" x14ac:dyDescent="0.2">
      <c r="B387" s="78">
        <v>98290</v>
      </c>
      <c r="C387" s="60" t="s">
        <v>10</v>
      </c>
      <c r="D387" s="45">
        <v>468</v>
      </c>
      <c r="E387" s="45">
        <v>228</v>
      </c>
      <c r="F387" s="45">
        <v>469</v>
      </c>
      <c r="H387" s="71">
        <v>98288</v>
      </c>
      <c r="I387" s="71" t="s">
        <v>10</v>
      </c>
      <c r="J387" s="73">
        <v>1459.19999999999</v>
      </c>
      <c r="K387" s="73">
        <v>521.85</v>
      </c>
      <c r="L387" s="73">
        <v>9974.4199999999892</v>
      </c>
      <c r="M387" s="73">
        <v>16850.659999999902</v>
      </c>
      <c r="N387" s="73">
        <v>3116.65</v>
      </c>
      <c r="O387" s="73">
        <v>1057.05</v>
      </c>
      <c r="P387" s="73">
        <v>2260.64</v>
      </c>
      <c r="Q387" s="73">
        <v>16137.32</v>
      </c>
      <c r="R387" s="73">
        <v>4913.22</v>
      </c>
      <c r="S387" s="73">
        <v>2589.27</v>
      </c>
      <c r="T387" s="73">
        <v>2782.97</v>
      </c>
      <c r="U387" s="73">
        <v>16607.3499999999</v>
      </c>
      <c r="V387" s="161">
        <f t="shared" si="8"/>
        <v>10285.459999999999</v>
      </c>
      <c r="W387" s="161"/>
      <c r="AZ387" s="71" t="s">
        <v>249</v>
      </c>
      <c r="BA387" s="71" t="s">
        <v>10</v>
      </c>
      <c r="BB387" s="32">
        <v>6</v>
      </c>
      <c r="BC387" s="32">
        <v>2</v>
      </c>
      <c r="BD387" s="32">
        <v>7</v>
      </c>
      <c r="BF387" s="71" t="s">
        <v>249</v>
      </c>
      <c r="BG387" s="71" t="s">
        <v>10</v>
      </c>
      <c r="BH387" s="73">
        <v>539.23</v>
      </c>
      <c r="BI387" s="73">
        <v>716.1</v>
      </c>
      <c r="BJ387" s="73">
        <v>8061.54</v>
      </c>
    </row>
    <row r="388" spans="2:62" x14ac:dyDescent="0.2">
      <c r="B388" s="78">
        <v>98292</v>
      </c>
      <c r="C388" s="60" t="s">
        <v>10</v>
      </c>
      <c r="D388" s="45">
        <v>65</v>
      </c>
      <c r="E388" s="45">
        <v>65</v>
      </c>
      <c r="F388" s="45">
        <v>69</v>
      </c>
      <c r="H388" s="71">
        <v>98290</v>
      </c>
      <c r="I388" s="71" t="s">
        <v>10</v>
      </c>
      <c r="J388" s="73">
        <v>25627.66</v>
      </c>
      <c r="K388" s="73">
        <v>7733.27</v>
      </c>
      <c r="L388" s="73">
        <v>47830.82</v>
      </c>
      <c r="M388" s="73">
        <v>150596.68999999901</v>
      </c>
      <c r="N388" s="73">
        <v>26857.789999999899</v>
      </c>
      <c r="O388" s="73">
        <v>25244.459999999901</v>
      </c>
      <c r="P388" s="73">
        <v>43726.23</v>
      </c>
      <c r="Q388" s="73">
        <v>102916.55999999899</v>
      </c>
      <c r="R388" s="73">
        <v>27443.779999999901</v>
      </c>
      <c r="S388" s="73">
        <v>15275.609999999901</v>
      </c>
      <c r="T388" s="73">
        <v>61021.71</v>
      </c>
      <c r="U388" s="73">
        <v>171659.22999999899</v>
      </c>
      <c r="V388" s="161">
        <f t="shared" si="8"/>
        <v>103741.0999999998</v>
      </c>
      <c r="W388" s="161"/>
      <c r="AZ388" s="71" t="s">
        <v>250</v>
      </c>
      <c r="BA388" s="71" t="s">
        <v>10</v>
      </c>
      <c r="BB388" s="79">
        <v>2</v>
      </c>
      <c r="BC388" s="79"/>
      <c r="BD388" s="79"/>
      <c r="BF388" s="71" t="s">
        <v>250</v>
      </c>
      <c r="BG388" s="71" t="s">
        <v>10</v>
      </c>
      <c r="BH388" s="128">
        <v>1340.05</v>
      </c>
      <c r="BI388" s="128"/>
      <c r="BJ388" s="128"/>
    </row>
    <row r="389" spans="2:62" x14ac:dyDescent="0.2">
      <c r="B389" s="78">
        <v>98294</v>
      </c>
      <c r="C389" s="60" t="s">
        <v>10</v>
      </c>
      <c r="D389" s="45">
        <v>241</v>
      </c>
      <c r="E389" s="45">
        <v>191</v>
      </c>
      <c r="F389" s="45">
        <v>347</v>
      </c>
      <c r="H389" s="71">
        <v>98292</v>
      </c>
      <c r="I389" s="71" t="s">
        <v>10</v>
      </c>
      <c r="J389" s="73">
        <v>3544.19</v>
      </c>
      <c r="K389" s="73">
        <v>855.64</v>
      </c>
      <c r="L389" s="73">
        <v>12652.77</v>
      </c>
      <c r="M389" s="73">
        <v>28312.089999999898</v>
      </c>
      <c r="N389" s="73">
        <v>4030.15</v>
      </c>
      <c r="O389" s="73">
        <v>1792.1799999999901</v>
      </c>
      <c r="P389" s="73">
        <v>8788</v>
      </c>
      <c r="Q389" s="73">
        <v>28313.01</v>
      </c>
      <c r="R389" s="73">
        <v>4862.72</v>
      </c>
      <c r="S389" s="73">
        <v>1723.11</v>
      </c>
      <c r="T389" s="73">
        <v>6432.18</v>
      </c>
      <c r="U389" s="73">
        <v>22608.53</v>
      </c>
      <c r="V389" s="161">
        <f t="shared" si="8"/>
        <v>13018.01</v>
      </c>
      <c r="W389" s="161"/>
      <c r="AZ389" s="71" t="s">
        <v>251</v>
      </c>
      <c r="BA389" s="71" t="s">
        <v>10</v>
      </c>
      <c r="BB389" s="79">
        <v>6</v>
      </c>
      <c r="BC389" s="79">
        <v>7</v>
      </c>
      <c r="BD389" s="79">
        <v>6</v>
      </c>
      <c r="BF389" s="71" t="s">
        <v>251</v>
      </c>
      <c r="BG389" s="71" t="s">
        <v>10</v>
      </c>
      <c r="BH389" s="128">
        <v>3831.15</v>
      </c>
      <c r="BI389" s="128">
        <v>1333.35</v>
      </c>
      <c r="BJ389" s="128">
        <v>5487.7</v>
      </c>
    </row>
    <row r="390" spans="2:62" x14ac:dyDescent="0.2">
      <c r="B390" s="78">
        <v>98295</v>
      </c>
      <c r="C390" s="60" t="s">
        <v>10</v>
      </c>
      <c r="D390" s="45">
        <v>77</v>
      </c>
      <c r="E390" s="45">
        <v>87</v>
      </c>
      <c r="F390" s="45">
        <v>74</v>
      </c>
      <c r="H390" s="71">
        <v>98294</v>
      </c>
      <c r="I390" s="71" t="s">
        <v>10</v>
      </c>
      <c r="J390" s="73">
        <v>18786.639999999901</v>
      </c>
      <c r="K390" s="73">
        <v>2246.02</v>
      </c>
      <c r="L390" s="73">
        <v>37694.29</v>
      </c>
      <c r="M390" s="73">
        <v>75668.509999999995</v>
      </c>
      <c r="N390" s="73">
        <v>6104.5499999999902</v>
      </c>
      <c r="O390" s="73">
        <v>9361.66</v>
      </c>
      <c r="P390" s="73">
        <v>33996.839999999997</v>
      </c>
      <c r="Q390" s="73">
        <v>69164.409999999902</v>
      </c>
      <c r="R390" s="73">
        <v>13301.1799999999</v>
      </c>
      <c r="S390" s="73">
        <v>64.19</v>
      </c>
      <c r="T390" s="73">
        <v>41348.749999999898</v>
      </c>
      <c r="U390" s="73">
        <v>106729.379999999</v>
      </c>
      <c r="V390" s="161">
        <f t="shared" si="8"/>
        <v>54714.119999999799</v>
      </c>
      <c r="W390" s="161"/>
      <c r="AZ390" s="71" t="s">
        <v>252</v>
      </c>
      <c r="BA390" s="71" t="s">
        <v>10</v>
      </c>
      <c r="BB390" s="79">
        <v>2</v>
      </c>
      <c r="BC390" s="79"/>
      <c r="BD390" s="79"/>
      <c r="BF390" s="71" t="s">
        <v>252</v>
      </c>
      <c r="BG390" s="71" t="s">
        <v>10</v>
      </c>
      <c r="BH390" s="128">
        <v>1926.18</v>
      </c>
      <c r="BI390" s="128"/>
      <c r="BJ390" s="128"/>
    </row>
    <row r="391" spans="2:62" x14ac:dyDescent="0.2">
      <c r="B391" s="78">
        <v>98296</v>
      </c>
      <c r="C391" s="60" t="s">
        <v>10</v>
      </c>
      <c r="D391" s="45">
        <v>364</v>
      </c>
      <c r="E391" s="45">
        <v>430</v>
      </c>
      <c r="F391" s="45">
        <v>367</v>
      </c>
      <c r="H391" s="71">
        <v>98295</v>
      </c>
      <c r="I391" s="71" t="s">
        <v>10</v>
      </c>
      <c r="J391" s="73">
        <v>17865.62</v>
      </c>
      <c r="K391" s="73">
        <v>1693.26</v>
      </c>
      <c r="L391" s="73">
        <v>23558.76</v>
      </c>
      <c r="M391" s="73">
        <v>62270.38</v>
      </c>
      <c r="N391" s="73">
        <v>13544.9099999999</v>
      </c>
      <c r="O391" s="73">
        <v>15074.8399999999</v>
      </c>
      <c r="P391" s="73">
        <v>23700.57</v>
      </c>
      <c r="Q391" s="73">
        <v>76020.429999999993</v>
      </c>
      <c r="R391" s="73">
        <v>11005.1</v>
      </c>
      <c r="S391" s="73">
        <v>10110.34</v>
      </c>
      <c r="T391" s="73">
        <v>31763.94</v>
      </c>
      <c r="U391" s="73">
        <v>65354.29</v>
      </c>
      <c r="V391" s="161">
        <f t="shared" si="8"/>
        <v>52879.380000000005</v>
      </c>
      <c r="W391" s="161"/>
      <c r="AZ391" s="92" t="s">
        <v>253</v>
      </c>
      <c r="BA391" s="92" t="s">
        <v>10</v>
      </c>
      <c r="BB391" s="51"/>
      <c r="BC391" s="51">
        <v>1</v>
      </c>
      <c r="BD391" s="51"/>
      <c r="BF391" s="14" t="s">
        <v>253</v>
      </c>
      <c r="BG391" s="14" t="s">
        <v>10</v>
      </c>
      <c r="BH391" s="129"/>
      <c r="BI391" s="129">
        <v>387.5</v>
      </c>
      <c r="BJ391" s="129"/>
    </row>
    <row r="392" spans="2:62" x14ac:dyDescent="0.2">
      <c r="B392" s="78">
        <v>98310</v>
      </c>
      <c r="C392" s="60" t="s">
        <v>10</v>
      </c>
      <c r="D392" s="45">
        <v>2252</v>
      </c>
      <c r="E392" s="45">
        <v>2317</v>
      </c>
      <c r="F392" s="45">
        <v>2286</v>
      </c>
      <c r="H392" s="71">
        <v>98296</v>
      </c>
      <c r="I392" s="71" t="s">
        <v>10</v>
      </c>
      <c r="J392" s="73">
        <v>16918.439999999999</v>
      </c>
      <c r="K392" s="73">
        <v>4219.1299999999901</v>
      </c>
      <c r="L392" s="73">
        <v>42746.61</v>
      </c>
      <c r="M392" s="73">
        <v>122415.26</v>
      </c>
      <c r="N392" s="73">
        <v>29960.429999999898</v>
      </c>
      <c r="O392" s="73">
        <v>11856.41</v>
      </c>
      <c r="P392" s="73">
        <v>39755.909999999902</v>
      </c>
      <c r="Q392" s="73">
        <v>147988.639999999</v>
      </c>
      <c r="R392" s="73">
        <v>31760.799999999901</v>
      </c>
      <c r="S392" s="73">
        <v>18868.1499999999</v>
      </c>
      <c r="T392" s="73">
        <v>40204.07</v>
      </c>
      <c r="U392" s="73">
        <v>145275.609999999</v>
      </c>
      <c r="V392" s="161">
        <f t="shared" si="8"/>
        <v>90833.0199999998</v>
      </c>
      <c r="W392" s="161"/>
      <c r="AZ392" s="92" t="s">
        <v>254</v>
      </c>
      <c r="BA392" s="92" t="s">
        <v>10</v>
      </c>
      <c r="BB392" s="51">
        <v>4</v>
      </c>
      <c r="BC392" s="51">
        <v>2</v>
      </c>
      <c r="BD392" s="51"/>
      <c r="BF392" s="14" t="s">
        <v>254</v>
      </c>
      <c r="BG392" s="14" t="s">
        <v>10</v>
      </c>
      <c r="BH392" s="129">
        <v>2994.85</v>
      </c>
      <c r="BI392" s="129">
        <v>1207.8800000000001</v>
      </c>
      <c r="BJ392" s="129"/>
    </row>
    <row r="393" spans="2:62" x14ac:dyDescent="0.2">
      <c r="B393" s="78">
        <v>98311</v>
      </c>
      <c r="C393" s="60" t="s">
        <v>10</v>
      </c>
      <c r="D393" s="45">
        <v>2169</v>
      </c>
      <c r="E393" s="45">
        <v>2144</v>
      </c>
      <c r="F393" s="45">
        <v>2054</v>
      </c>
      <c r="H393" s="71">
        <v>98310</v>
      </c>
      <c r="I393" s="71" t="s">
        <v>10</v>
      </c>
      <c r="J393" s="73">
        <v>135529.48000000001</v>
      </c>
      <c r="K393" s="73">
        <v>58818.919999999896</v>
      </c>
      <c r="L393" s="73">
        <v>310500.82</v>
      </c>
      <c r="M393" s="73">
        <v>809127.30999999901</v>
      </c>
      <c r="N393" s="73">
        <v>182248.94</v>
      </c>
      <c r="O393" s="73">
        <v>105584.22</v>
      </c>
      <c r="P393" s="73">
        <v>316627.52</v>
      </c>
      <c r="Q393" s="73">
        <v>881490.81</v>
      </c>
      <c r="R393" s="73">
        <v>165364.78999999899</v>
      </c>
      <c r="S393" s="73">
        <v>139912.28</v>
      </c>
      <c r="T393" s="73">
        <v>364279.62</v>
      </c>
      <c r="U393" s="73">
        <v>974798.85000000102</v>
      </c>
      <c r="V393" s="161">
        <f t="shared" si="8"/>
        <v>669556.68999999901</v>
      </c>
      <c r="W393" s="161"/>
      <c r="AZ393" s="92" t="s">
        <v>255</v>
      </c>
      <c r="BA393" s="92" t="s">
        <v>10</v>
      </c>
      <c r="BB393" s="51"/>
      <c r="BC393" s="51">
        <v>1</v>
      </c>
      <c r="BD393" s="51">
        <v>1</v>
      </c>
      <c r="BF393" s="14" t="s">
        <v>255</v>
      </c>
      <c r="BG393" s="14" t="s">
        <v>10</v>
      </c>
      <c r="BH393" s="129"/>
      <c r="BI393" s="129">
        <v>993.91</v>
      </c>
      <c r="BJ393" s="129">
        <v>413.35</v>
      </c>
    </row>
    <row r="394" spans="2:62" ht="16" thickBot="1" x14ac:dyDescent="0.25">
      <c r="B394" s="78">
        <v>98312</v>
      </c>
      <c r="C394" s="60" t="s">
        <v>10</v>
      </c>
      <c r="D394" s="45">
        <v>2937</v>
      </c>
      <c r="E394" s="45">
        <v>3105</v>
      </c>
      <c r="F394" s="45">
        <v>3048</v>
      </c>
      <c r="H394" s="71">
        <v>98311</v>
      </c>
      <c r="I394" s="71" t="s">
        <v>10</v>
      </c>
      <c r="J394" s="73">
        <v>138783.889999999</v>
      </c>
      <c r="K394" s="73">
        <v>60289.88</v>
      </c>
      <c r="L394" s="73">
        <v>332149.75999999902</v>
      </c>
      <c r="M394" s="73">
        <v>856288.84</v>
      </c>
      <c r="N394" s="73">
        <v>185559.37</v>
      </c>
      <c r="O394" s="73">
        <v>106080.42</v>
      </c>
      <c r="P394" s="73">
        <v>338381.799999999</v>
      </c>
      <c r="Q394" s="73">
        <v>934895.26</v>
      </c>
      <c r="R394" s="73">
        <v>171369.73</v>
      </c>
      <c r="S394" s="73">
        <v>134994.51999999999</v>
      </c>
      <c r="T394" s="73">
        <v>376985.57999999903</v>
      </c>
      <c r="U394" s="73">
        <v>992817.64999999898</v>
      </c>
      <c r="V394" s="161">
        <f t="shared" si="8"/>
        <v>683349.82999999903</v>
      </c>
      <c r="W394" s="161"/>
      <c r="AZ394" s="122" t="s">
        <v>335</v>
      </c>
      <c r="BA394" s="122" t="s">
        <v>10</v>
      </c>
      <c r="BB394" s="109">
        <v>29</v>
      </c>
      <c r="BC394" s="109">
        <v>15</v>
      </c>
      <c r="BD394" s="109">
        <v>22</v>
      </c>
      <c r="BF394" s="16" t="s">
        <v>335</v>
      </c>
      <c r="BG394" s="16" t="s">
        <v>10</v>
      </c>
      <c r="BH394" s="108">
        <v>21828.85</v>
      </c>
      <c r="BI394" s="108">
        <v>18923.939999999999</v>
      </c>
      <c r="BJ394" s="108">
        <v>4314.96</v>
      </c>
    </row>
    <row r="395" spans="2:62" ht="16" thickBot="1" x14ac:dyDescent="0.25">
      <c r="B395" s="54">
        <v>98321</v>
      </c>
      <c r="C395" s="60" t="s">
        <v>10</v>
      </c>
      <c r="D395" s="45">
        <v>974</v>
      </c>
      <c r="E395" s="45">
        <v>981</v>
      </c>
      <c r="F395" s="45">
        <v>1002</v>
      </c>
      <c r="H395" s="71">
        <v>98312</v>
      </c>
      <c r="I395" s="71" t="s">
        <v>10</v>
      </c>
      <c r="J395" s="73">
        <v>216546.54</v>
      </c>
      <c r="K395" s="73">
        <v>86624.769999999902</v>
      </c>
      <c r="L395" s="73">
        <v>681760.38999999897</v>
      </c>
      <c r="M395" s="73">
        <v>1399629.3199999901</v>
      </c>
      <c r="N395" s="73">
        <v>264632.27999999898</v>
      </c>
      <c r="O395" s="73">
        <v>162184.79</v>
      </c>
      <c r="P395" s="73">
        <v>684082.26</v>
      </c>
      <c r="Q395" s="73">
        <v>1602545.75999999</v>
      </c>
      <c r="R395" s="73">
        <v>287427.81</v>
      </c>
      <c r="S395" s="73">
        <v>196076.389999999</v>
      </c>
      <c r="T395" s="73">
        <v>746377.01999999804</v>
      </c>
      <c r="U395" s="73">
        <v>1698666.4</v>
      </c>
      <c r="V395" s="161">
        <f t="shared" si="8"/>
        <v>1229881.2199999969</v>
      </c>
      <c r="W395" s="161"/>
      <c r="AZ395" s="157" t="s">
        <v>362</v>
      </c>
      <c r="BA395" s="158"/>
      <c r="BB395" s="143">
        <f>SUM(BB180:BB394)</f>
        <v>3993</v>
      </c>
      <c r="BC395" s="143">
        <f t="shared" ref="BC395:BD395" si="9">SUM(BC180:BC394)</f>
        <v>2925</v>
      </c>
      <c r="BD395" s="143">
        <f t="shared" si="9"/>
        <v>3259</v>
      </c>
      <c r="BF395" s="142" t="s">
        <v>362</v>
      </c>
      <c r="BG395" s="143"/>
      <c r="BH395" s="159">
        <f>SUM(BH180:BH394)</f>
        <v>2597265.7899999991</v>
      </c>
      <c r="BI395" s="159">
        <f t="shared" ref="BI395:BJ395" si="10">SUM(BI180:BI394)</f>
        <v>1833459.93</v>
      </c>
      <c r="BJ395" s="159">
        <f t="shared" si="10"/>
        <v>2277991.4300000002</v>
      </c>
    </row>
    <row r="396" spans="2:62" x14ac:dyDescent="0.2">
      <c r="B396" s="54">
        <v>98323</v>
      </c>
      <c r="C396" s="60" t="s">
        <v>10</v>
      </c>
      <c r="D396" s="45">
        <v>41</v>
      </c>
      <c r="E396" s="45">
        <v>63</v>
      </c>
      <c r="F396" s="45">
        <v>52</v>
      </c>
      <c r="H396" s="71">
        <v>98321</v>
      </c>
      <c r="I396" s="71" t="s">
        <v>10</v>
      </c>
      <c r="J396" s="73">
        <v>82208.06</v>
      </c>
      <c r="K396" s="73">
        <v>33885.93</v>
      </c>
      <c r="L396" s="73">
        <v>278095.88</v>
      </c>
      <c r="M396" s="73">
        <v>623004.48</v>
      </c>
      <c r="N396" s="73">
        <v>124580.739999999</v>
      </c>
      <c r="O396" s="73">
        <v>50637.389999999898</v>
      </c>
      <c r="P396" s="73">
        <v>269237.57999999903</v>
      </c>
      <c r="Q396" s="73">
        <v>671389.94999999902</v>
      </c>
      <c r="R396" s="73">
        <v>118920.48</v>
      </c>
      <c r="S396" s="73">
        <v>83464.800000000003</v>
      </c>
      <c r="T396" s="73">
        <v>263852.80999999901</v>
      </c>
      <c r="U396" s="73">
        <v>707600.6</v>
      </c>
      <c r="V396" s="161">
        <f t="shared" si="8"/>
        <v>466238.08999999904</v>
      </c>
      <c r="W396" s="161"/>
      <c r="AZ396" s="37"/>
      <c r="BA396" s="37"/>
    </row>
    <row r="397" spans="2:62" x14ac:dyDescent="0.2">
      <c r="B397" s="78">
        <v>98327</v>
      </c>
      <c r="C397" s="60" t="s">
        <v>10</v>
      </c>
      <c r="D397" s="45">
        <v>523</v>
      </c>
      <c r="E397" s="45">
        <v>539</v>
      </c>
      <c r="F397" s="45">
        <v>556</v>
      </c>
      <c r="H397" s="71">
        <v>98323</v>
      </c>
      <c r="I397" s="71" t="s">
        <v>10</v>
      </c>
      <c r="J397" s="73">
        <v>11143.309999999899</v>
      </c>
      <c r="K397" s="73">
        <v>858.91</v>
      </c>
      <c r="L397" s="73">
        <v>20208.330000000002</v>
      </c>
      <c r="M397" s="73">
        <v>33912.559999999903</v>
      </c>
      <c r="N397" s="73">
        <v>1079.03</v>
      </c>
      <c r="O397" s="73">
        <v>6864.0699999999897</v>
      </c>
      <c r="P397" s="73">
        <v>17203.52</v>
      </c>
      <c r="Q397" s="73">
        <v>53260.469999999899</v>
      </c>
      <c r="R397" s="73">
        <v>16235.08</v>
      </c>
      <c r="S397" s="73">
        <v>778.07</v>
      </c>
      <c r="T397" s="73">
        <v>21435.2599999999</v>
      </c>
      <c r="U397" s="73">
        <v>42672.3999999999</v>
      </c>
      <c r="V397" s="161">
        <f t="shared" si="8"/>
        <v>38448.409999999902</v>
      </c>
      <c r="W397" s="161"/>
      <c r="AZ397" s="37"/>
      <c r="BA397" s="37"/>
    </row>
    <row r="398" spans="2:62" x14ac:dyDescent="0.2">
      <c r="B398" s="78">
        <v>98328</v>
      </c>
      <c r="C398" s="60" t="s">
        <v>10</v>
      </c>
      <c r="D398" s="69">
        <v>26</v>
      </c>
      <c r="E398" s="45">
        <v>25</v>
      </c>
      <c r="F398" s="69">
        <v>50</v>
      </c>
      <c r="H398" s="71">
        <v>98327</v>
      </c>
      <c r="I398" s="71" t="s">
        <v>10</v>
      </c>
      <c r="J398" s="73">
        <v>39134.289999999899</v>
      </c>
      <c r="K398" s="73">
        <v>15524.559999999899</v>
      </c>
      <c r="L398" s="73">
        <v>81818.75</v>
      </c>
      <c r="M398" s="73">
        <v>230384.53</v>
      </c>
      <c r="N398" s="73">
        <v>44006.8</v>
      </c>
      <c r="O398" s="73">
        <v>25465.969999999899</v>
      </c>
      <c r="P398" s="73">
        <v>78428.539999999906</v>
      </c>
      <c r="Q398" s="73">
        <v>248705.71999999901</v>
      </c>
      <c r="R398" s="73">
        <v>44028.08</v>
      </c>
      <c r="S398" s="73">
        <v>25566.92</v>
      </c>
      <c r="T398" s="73">
        <v>82160.95</v>
      </c>
      <c r="U398" s="73">
        <v>259892.19999999899</v>
      </c>
      <c r="V398" s="161">
        <f t="shared" si="8"/>
        <v>151755.95000000001</v>
      </c>
      <c r="W398" s="161"/>
      <c r="AZ398" s="37"/>
      <c r="BA398" s="37"/>
    </row>
    <row r="399" spans="2:62" x14ac:dyDescent="0.2">
      <c r="B399" s="78">
        <v>98329</v>
      </c>
      <c r="C399" s="60" t="s">
        <v>10</v>
      </c>
      <c r="D399" s="45">
        <v>8</v>
      </c>
      <c r="E399" s="45">
        <v>3</v>
      </c>
      <c r="F399" s="45">
        <v>3</v>
      </c>
      <c r="H399" s="71">
        <v>98328</v>
      </c>
      <c r="I399" s="71" t="s">
        <v>10</v>
      </c>
      <c r="J399" s="73">
        <v>5257.96</v>
      </c>
      <c r="K399" s="73"/>
      <c r="L399" s="73">
        <v>10002.450000000001</v>
      </c>
      <c r="M399" s="73">
        <v>16728.629999999899</v>
      </c>
      <c r="N399" s="73">
        <v>2742.36</v>
      </c>
      <c r="O399" s="73">
        <v>1578.97</v>
      </c>
      <c r="P399" s="73">
        <v>6187.3699999999899</v>
      </c>
      <c r="Q399" s="73">
        <v>17892.8999999999</v>
      </c>
      <c r="R399" s="73">
        <v>4891.88</v>
      </c>
      <c r="S399" s="73"/>
      <c r="T399" s="73">
        <v>8827.6299999999992</v>
      </c>
      <c r="U399" s="73">
        <v>34082.159999999902</v>
      </c>
      <c r="V399" s="161">
        <f t="shared" si="8"/>
        <v>13719.509999999998</v>
      </c>
      <c r="W399" s="161"/>
      <c r="AZ399" s="37"/>
      <c r="BA399" s="37"/>
    </row>
    <row r="400" spans="2:62" x14ac:dyDescent="0.2">
      <c r="B400" s="78">
        <v>98332</v>
      </c>
      <c r="C400" s="60" t="s">
        <v>10</v>
      </c>
      <c r="D400" s="45">
        <v>269</v>
      </c>
      <c r="E400" s="45">
        <v>299</v>
      </c>
      <c r="F400" s="45">
        <v>292</v>
      </c>
      <c r="H400" s="71">
        <v>98329</v>
      </c>
      <c r="I400" s="71" t="s">
        <v>10</v>
      </c>
      <c r="J400" s="73">
        <v>175.46</v>
      </c>
      <c r="K400" s="73">
        <v>607.92999999999995</v>
      </c>
      <c r="L400" s="73">
        <v>341.62</v>
      </c>
      <c r="M400" s="73">
        <v>2409.77</v>
      </c>
      <c r="N400" s="73">
        <v>47.33</v>
      </c>
      <c r="O400" s="73"/>
      <c r="P400" s="73">
        <v>949.55</v>
      </c>
      <c r="Q400" s="73">
        <v>996.87999999999897</v>
      </c>
      <c r="R400" s="73"/>
      <c r="S400" s="73">
        <v>27.36</v>
      </c>
      <c r="T400" s="73">
        <v>925.31</v>
      </c>
      <c r="U400" s="73">
        <v>2327.0499999999902</v>
      </c>
      <c r="V400" s="161">
        <f t="shared" si="8"/>
        <v>952.67</v>
      </c>
      <c r="W400" s="161"/>
      <c r="AZ400" s="37"/>
      <c r="BA400" s="37"/>
    </row>
    <row r="401" spans="2:53" x14ac:dyDescent="0.2">
      <c r="B401" s="78">
        <v>98335</v>
      </c>
      <c r="C401" s="60" t="s">
        <v>10</v>
      </c>
      <c r="D401" s="45">
        <v>391</v>
      </c>
      <c r="E401" s="45">
        <v>405</v>
      </c>
      <c r="F401" s="45">
        <v>402</v>
      </c>
      <c r="H401" s="71">
        <v>98332</v>
      </c>
      <c r="I401" s="71" t="s">
        <v>10</v>
      </c>
      <c r="J401" s="73">
        <v>14951.19</v>
      </c>
      <c r="K401" s="73">
        <v>4137.8500000000004</v>
      </c>
      <c r="L401" s="73">
        <v>37738.519999999902</v>
      </c>
      <c r="M401" s="73">
        <v>98395.549999999901</v>
      </c>
      <c r="N401" s="73">
        <v>23812.499999999902</v>
      </c>
      <c r="O401" s="73">
        <v>10519.3</v>
      </c>
      <c r="P401" s="73">
        <v>36239.72</v>
      </c>
      <c r="Q401" s="73">
        <v>114955.93</v>
      </c>
      <c r="R401" s="73">
        <v>21266.089999999898</v>
      </c>
      <c r="S401" s="73">
        <v>15093.57</v>
      </c>
      <c r="T401" s="73">
        <v>38767.61</v>
      </c>
      <c r="U401" s="73">
        <v>113246.69</v>
      </c>
      <c r="V401" s="161">
        <f t="shared" si="8"/>
        <v>75127.269999999902</v>
      </c>
      <c r="W401" s="161"/>
      <c r="AZ401" s="37"/>
      <c r="BA401" s="37"/>
    </row>
    <row r="402" spans="2:53" x14ac:dyDescent="0.2">
      <c r="B402" s="78">
        <v>98337</v>
      </c>
      <c r="C402" s="60" t="s">
        <v>10</v>
      </c>
      <c r="D402" s="45">
        <v>913</v>
      </c>
      <c r="E402" s="45">
        <v>925</v>
      </c>
      <c r="F402" s="45">
        <v>979</v>
      </c>
      <c r="H402" s="71">
        <v>98335</v>
      </c>
      <c r="I402" s="71" t="s">
        <v>10</v>
      </c>
      <c r="J402" s="73">
        <v>17695.21</v>
      </c>
      <c r="K402" s="73">
        <v>4519.41</v>
      </c>
      <c r="L402" s="73">
        <v>45348.559999999903</v>
      </c>
      <c r="M402" s="73">
        <v>122224.34</v>
      </c>
      <c r="N402" s="73">
        <v>27592.289999999899</v>
      </c>
      <c r="O402" s="73">
        <v>11011.1</v>
      </c>
      <c r="P402" s="73">
        <v>37093.8999999999</v>
      </c>
      <c r="Q402" s="73">
        <v>130481.07</v>
      </c>
      <c r="R402" s="73">
        <v>28244.69</v>
      </c>
      <c r="S402" s="73">
        <v>18866.55</v>
      </c>
      <c r="T402" s="73">
        <v>36317.629999999903</v>
      </c>
      <c r="U402" s="73">
        <v>138468.21999999901</v>
      </c>
      <c r="V402" s="161">
        <f t="shared" si="8"/>
        <v>83428.869999999908</v>
      </c>
      <c r="W402" s="161"/>
      <c r="AZ402" s="37"/>
      <c r="BA402" s="37"/>
    </row>
    <row r="403" spans="2:53" x14ac:dyDescent="0.2">
      <c r="B403" s="54">
        <v>98338</v>
      </c>
      <c r="C403" s="60" t="s">
        <v>10</v>
      </c>
      <c r="D403" s="45">
        <v>887</v>
      </c>
      <c r="E403" s="45">
        <v>907</v>
      </c>
      <c r="F403" s="45">
        <v>933</v>
      </c>
      <c r="H403" s="71">
        <v>98337</v>
      </c>
      <c r="I403" s="71" t="s">
        <v>10</v>
      </c>
      <c r="J403" s="73">
        <v>50735.409999999902</v>
      </c>
      <c r="K403" s="73">
        <v>21139.159999999902</v>
      </c>
      <c r="L403" s="73">
        <v>138970.07</v>
      </c>
      <c r="M403" s="73">
        <v>324196.22999999899</v>
      </c>
      <c r="N403" s="73">
        <v>67462.529999999897</v>
      </c>
      <c r="O403" s="73">
        <v>40640.79</v>
      </c>
      <c r="P403" s="73">
        <v>128934.8</v>
      </c>
      <c r="Q403" s="73">
        <v>344679.84999999899</v>
      </c>
      <c r="R403" s="73">
        <v>68177.600000000006</v>
      </c>
      <c r="S403" s="73">
        <v>54471.05</v>
      </c>
      <c r="T403" s="73">
        <v>148750.80999999901</v>
      </c>
      <c r="U403" s="73">
        <v>392106.489999999</v>
      </c>
      <c r="V403" s="161">
        <f t="shared" si="8"/>
        <v>271399.45999999903</v>
      </c>
      <c r="W403" s="161"/>
      <c r="AZ403" s="37"/>
      <c r="BA403" s="37"/>
    </row>
    <row r="404" spans="2:53" x14ac:dyDescent="0.2">
      <c r="B404" s="54">
        <v>98340</v>
      </c>
      <c r="C404" s="60" t="s">
        <v>10</v>
      </c>
      <c r="D404" s="45">
        <v>86</v>
      </c>
      <c r="E404" s="45">
        <v>101</v>
      </c>
      <c r="F404" s="45">
        <v>258</v>
      </c>
      <c r="H404" s="71">
        <v>98338</v>
      </c>
      <c r="I404" s="71" t="s">
        <v>10</v>
      </c>
      <c r="J404" s="73">
        <v>65211.729999999901</v>
      </c>
      <c r="K404" s="73">
        <v>9245.5799999999908</v>
      </c>
      <c r="L404" s="73">
        <v>364367.23</v>
      </c>
      <c r="M404" s="73">
        <v>629108.679999999</v>
      </c>
      <c r="N404" s="73">
        <v>126167.05999999899</v>
      </c>
      <c r="O404" s="73">
        <v>49235.889999999898</v>
      </c>
      <c r="P404" s="73">
        <v>337224.56</v>
      </c>
      <c r="Q404" s="73">
        <v>699431.87999999896</v>
      </c>
      <c r="R404" s="73">
        <v>115439.28</v>
      </c>
      <c r="S404" s="73">
        <v>93329.629999999903</v>
      </c>
      <c r="T404" s="73">
        <v>343846.93999999901</v>
      </c>
      <c r="U404" s="73">
        <v>757541.89999999898</v>
      </c>
      <c r="V404" s="161">
        <f t="shared" si="8"/>
        <v>552615.84999999893</v>
      </c>
      <c r="W404" s="161"/>
      <c r="AZ404" s="37"/>
      <c r="BA404" s="37"/>
    </row>
    <row r="405" spans="2:53" x14ac:dyDescent="0.2">
      <c r="B405" s="54">
        <v>98342</v>
      </c>
      <c r="C405" s="60" t="s">
        <v>10</v>
      </c>
      <c r="D405" s="45">
        <v>128</v>
      </c>
      <c r="E405" s="45">
        <v>62</v>
      </c>
      <c r="F405" s="45">
        <v>120</v>
      </c>
      <c r="H405" s="71">
        <v>98340</v>
      </c>
      <c r="I405" s="71" t="s">
        <v>10</v>
      </c>
      <c r="J405" s="73">
        <v>17523.28</v>
      </c>
      <c r="K405" s="73">
        <v>17.18</v>
      </c>
      <c r="L405" s="73">
        <v>18511.47</v>
      </c>
      <c r="M405" s="73">
        <v>37648.61</v>
      </c>
      <c r="N405" s="73">
        <v>7863.04</v>
      </c>
      <c r="O405" s="73">
        <v>4140.32</v>
      </c>
      <c r="P405" s="73">
        <v>16523.25</v>
      </c>
      <c r="Q405" s="73">
        <v>49537.229999999901</v>
      </c>
      <c r="R405" s="73">
        <v>8315.3299999999908</v>
      </c>
      <c r="S405" s="73">
        <v>341.26</v>
      </c>
      <c r="T405" s="73">
        <v>18997.650000000001</v>
      </c>
      <c r="U405" s="73">
        <v>94659.27</v>
      </c>
      <c r="V405" s="161">
        <f t="shared" si="8"/>
        <v>27654.239999999991</v>
      </c>
      <c r="W405" s="161"/>
      <c r="AZ405" s="37"/>
      <c r="BA405" s="37"/>
    </row>
    <row r="406" spans="2:53" x14ac:dyDescent="0.2">
      <c r="B406" s="54">
        <v>98345</v>
      </c>
      <c r="C406" s="60" t="s">
        <v>10</v>
      </c>
      <c r="D406" s="45">
        <v>37</v>
      </c>
      <c r="E406" s="45">
        <v>43</v>
      </c>
      <c r="F406" s="45">
        <v>43</v>
      </c>
      <c r="H406" s="71">
        <v>98342</v>
      </c>
      <c r="I406" s="71" t="s">
        <v>10</v>
      </c>
      <c r="J406" s="73">
        <v>9771.2900000000009</v>
      </c>
      <c r="K406" s="73">
        <v>2936.7999999999902</v>
      </c>
      <c r="L406" s="73">
        <v>9989.0999999999894</v>
      </c>
      <c r="M406" s="73">
        <v>47760.41</v>
      </c>
      <c r="N406" s="73">
        <v>9795.14</v>
      </c>
      <c r="O406" s="73">
        <v>7773.4399999999896</v>
      </c>
      <c r="P406" s="73">
        <v>8182.70999999999</v>
      </c>
      <c r="Q406" s="73">
        <v>26296.61</v>
      </c>
      <c r="R406" s="73">
        <v>10525.29</v>
      </c>
      <c r="S406" s="73">
        <v>6206.04</v>
      </c>
      <c r="T406" s="73">
        <v>13283.89</v>
      </c>
      <c r="U406" s="73">
        <v>54912.1899999999</v>
      </c>
      <c r="V406" s="161">
        <f t="shared" si="8"/>
        <v>30015.22</v>
      </c>
      <c r="W406" s="161"/>
      <c r="AZ406" s="37"/>
      <c r="BA406" s="37"/>
    </row>
    <row r="407" spans="2:53" x14ac:dyDescent="0.2">
      <c r="B407" s="54">
        <v>98346</v>
      </c>
      <c r="C407" s="60" t="s">
        <v>10</v>
      </c>
      <c r="D407" s="45">
        <v>545</v>
      </c>
      <c r="E407" s="45">
        <v>509</v>
      </c>
      <c r="F407" s="45">
        <v>666</v>
      </c>
      <c r="H407" s="71">
        <v>98345</v>
      </c>
      <c r="I407" s="71" t="s">
        <v>10</v>
      </c>
      <c r="J407" s="73">
        <v>2945.17</v>
      </c>
      <c r="K407" s="73">
        <v>1361</v>
      </c>
      <c r="L407" s="73">
        <v>11588.65</v>
      </c>
      <c r="M407" s="73">
        <v>20968.09</v>
      </c>
      <c r="N407" s="73">
        <v>3202.9399999999901</v>
      </c>
      <c r="O407" s="73">
        <v>1939.8</v>
      </c>
      <c r="P407" s="73">
        <v>11413</v>
      </c>
      <c r="Q407" s="73">
        <v>22059.040000000001</v>
      </c>
      <c r="R407" s="73">
        <v>3484.6</v>
      </c>
      <c r="S407" s="73">
        <v>2847.23</v>
      </c>
      <c r="T407" s="73">
        <v>7748.6499999999896</v>
      </c>
      <c r="U407" s="73">
        <v>20324.599999999999</v>
      </c>
      <c r="V407" s="161">
        <f t="shared" si="8"/>
        <v>14080.479999999989</v>
      </c>
      <c r="W407" s="161"/>
      <c r="AZ407" s="37"/>
      <c r="BA407" s="37"/>
    </row>
    <row r="408" spans="2:53" x14ac:dyDescent="0.2">
      <c r="B408" s="54">
        <v>98353</v>
      </c>
      <c r="C408" s="60" t="s">
        <v>10</v>
      </c>
      <c r="D408" s="45">
        <v>2</v>
      </c>
      <c r="E408" s="45">
        <v>2</v>
      </c>
      <c r="F408" s="45">
        <v>1</v>
      </c>
      <c r="H408" s="71">
        <v>98346</v>
      </c>
      <c r="I408" s="71" t="s">
        <v>10</v>
      </c>
      <c r="J408" s="73">
        <v>63386.609999999899</v>
      </c>
      <c r="K408" s="73">
        <v>5359.9199999999901</v>
      </c>
      <c r="L408" s="73">
        <v>190771.28999999899</v>
      </c>
      <c r="M408" s="73">
        <v>336198.43</v>
      </c>
      <c r="N408" s="73">
        <v>51561.440000000002</v>
      </c>
      <c r="O408" s="73">
        <v>37651.15</v>
      </c>
      <c r="P408" s="73">
        <v>170325.579999999</v>
      </c>
      <c r="Q408" s="73">
        <v>348729.20999999897</v>
      </c>
      <c r="R408" s="73">
        <v>64960.119999999901</v>
      </c>
      <c r="S408" s="73">
        <v>32982.32</v>
      </c>
      <c r="T408" s="73">
        <v>185627.32</v>
      </c>
      <c r="U408" s="73">
        <v>439328.39999999898</v>
      </c>
      <c r="V408" s="161">
        <f t="shared" si="8"/>
        <v>283569.75999999989</v>
      </c>
      <c r="W408" s="161"/>
      <c r="AZ408" s="37"/>
      <c r="BA408" s="37"/>
    </row>
    <row r="409" spans="2:53" x14ac:dyDescent="0.2">
      <c r="B409" s="54">
        <v>98354</v>
      </c>
      <c r="C409" s="60" t="s">
        <v>10</v>
      </c>
      <c r="D409" s="45">
        <v>172</v>
      </c>
      <c r="E409" s="45">
        <v>181</v>
      </c>
      <c r="F409" s="45">
        <v>174</v>
      </c>
      <c r="H409" s="71">
        <v>98353</v>
      </c>
      <c r="I409" s="71" t="s">
        <v>10</v>
      </c>
      <c r="J409" s="73">
        <v>486.4</v>
      </c>
      <c r="K409" s="73">
        <v>119.72</v>
      </c>
      <c r="L409" s="73">
        <v>272.05</v>
      </c>
      <c r="M409" s="73">
        <v>1502.52</v>
      </c>
      <c r="N409" s="73">
        <v>367.52</v>
      </c>
      <c r="O409" s="73"/>
      <c r="P409" s="73"/>
      <c r="Q409" s="73">
        <v>943.68999999999903</v>
      </c>
      <c r="R409" s="73">
        <v>152.37</v>
      </c>
      <c r="S409" s="73">
        <v>166.92</v>
      </c>
      <c r="T409" s="73"/>
      <c r="U409" s="73">
        <v>479.32999999999902</v>
      </c>
      <c r="V409" s="161">
        <f t="shared" si="8"/>
        <v>319.28999999999996</v>
      </c>
      <c r="W409" s="161"/>
      <c r="AZ409" s="37"/>
      <c r="BA409" s="37"/>
    </row>
    <row r="410" spans="2:53" x14ac:dyDescent="0.2">
      <c r="B410" s="54">
        <v>98359</v>
      </c>
      <c r="C410" s="60" t="s">
        <v>10</v>
      </c>
      <c r="D410" s="45">
        <v>292</v>
      </c>
      <c r="E410" s="45">
        <v>294</v>
      </c>
      <c r="F410" s="45">
        <v>287</v>
      </c>
      <c r="H410" s="71">
        <v>98354</v>
      </c>
      <c r="I410" s="71" t="s">
        <v>10</v>
      </c>
      <c r="J410" s="73">
        <v>7215.59</v>
      </c>
      <c r="K410" s="73">
        <v>2389.5299999999902</v>
      </c>
      <c r="L410" s="73">
        <v>18386.18</v>
      </c>
      <c r="M410" s="73">
        <v>47469.069999999898</v>
      </c>
      <c r="N410" s="73">
        <v>11821.47</v>
      </c>
      <c r="O410" s="73">
        <v>5222.91</v>
      </c>
      <c r="P410" s="73">
        <v>16790.810000000001</v>
      </c>
      <c r="Q410" s="73">
        <v>51078.35</v>
      </c>
      <c r="R410" s="73">
        <v>11234.94</v>
      </c>
      <c r="S410" s="73">
        <v>8299.48</v>
      </c>
      <c r="T410" s="73">
        <v>16984.979999999901</v>
      </c>
      <c r="U410" s="73">
        <v>54965.349999999897</v>
      </c>
      <c r="V410" s="161">
        <f t="shared" si="8"/>
        <v>36519.3999999999</v>
      </c>
      <c r="W410" s="161"/>
      <c r="AZ410" s="37"/>
      <c r="BA410" s="37"/>
    </row>
    <row r="411" spans="2:53" x14ac:dyDescent="0.2">
      <c r="B411" s="78">
        <v>98360</v>
      </c>
      <c r="C411" s="60" t="s">
        <v>10</v>
      </c>
      <c r="D411" s="45">
        <v>732</v>
      </c>
      <c r="E411" s="45">
        <v>741</v>
      </c>
      <c r="F411" s="45">
        <v>761</v>
      </c>
      <c r="H411" s="71">
        <v>98359</v>
      </c>
      <c r="I411" s="71" t="s">
        <v>10</v>
      </c>
      <c r="J411" s="73">
        <v>25687.519999999899</v>
      </c>
      <c r="K411" s="73">
        <v>8045.9299999999903</v>
      </c>
      <c r="L411" s="73">
        <v>69864.28</v>
      </c>
      <c r="M411" s="73">
        <v>164182.25999999899</v>
      </c>
      <c r="N411" s="73">
        <v>35771.0799999999</v>
      </c>
      <c r="O411" s="73">
        <v>19471.2</v>
      </c>
      <c r="P411" s="73">
        <v>72303.92</v>
      </c>
      <c r="Q411" s="73">
        <v>185610.27999999901</v>
      </c>
      <c r="R411" s="73">
        <v>32380.12</v>
      </c>
      <c r="S411" s="73">
        <v>24199.279999999999</v>
      </c>
      <c r="T411" s="73">
        <v>81834.679999999993</v>
      </c>
      <c r="U411" s="73">
        <v>208192.21999999901</v>
      </c>
      <c r="V411" s="161">
        <f t="shared" si="8"/>
        <v>138414.07999999999</v>
      </c>
      <c r="W411" s="161"/>
      <c r="AZ411" s="37"/>
      <c r="BA411" s="37"/>
    </row>
    <row r="412" spans="2:53" x14ac:dyDescent="0.2">
      <c r="B412" s="54">
        <v>98366</v>
      </c>
      <c r="C412" s="60" t="s">
        <v>10</v>
      </c>
      <c r="D412" s="45">
        <v>2900</v>
      </c>
      <c r="E412" s="45">
        <v>2890</v>
      </c>
      <c r="F412" s="45">
        <v>2886</v>
      </c>
      <c r="H412" s="71">
        <v>98360</v>
      </c>
      <c r="I412" s="71" t="s">
        <v>10</v>
      </c>
      <c r="J412" s="73">
        <v>66196.399999999907</v>
      </c>
      <c r="K412" s="73">
        <v>13016.1599999999</v>
      </c>
      <c r="L412" s="73">
        <v>267739.45</v>
      </c>
      <c r="M412" s="73">
        <v>525056.79</v>
      </c>
      <c r="N412" s="73">
        <v>111008.02999999899</v>
      </c>
      <c r="O412" s="73">
        <v>45906.729999999901</v>
      </c>
      <c r="P412" s="73">
        <v>239247.06</v>
      </c>
      <c r="Q412" s="73">
        <v>566252.049999999</v>
      </c>
      <c r="R412" s="73">
        <v>106528.07</v>
      </c>
      <c r="S412" s="73">
        <v>80167.159999999902</v>
      </c>
      <c r="T412" s="73">
        <v>244273.98</v>
      </c>
      <c r="U412" s="73">
        <v>614987.81000000006</v>
      </c>
      <c r="V412" s="161">
        <f t="shared" si="8"/>
        <v>430969.20999999996</v>
      </c>
      <c r="W412" s="161"/>
      <c r="AZ412" s="37"/>
      <c r="BA412" s="37"/>
    </row>
    <row r="413" spans="2:53" x14ac:dyDescent="0.2">
      <c r="B413" s="54">
        <v>98367</v>
      </c>
      <c r="C413" s="60" t="s">
        <v>10</v>
      </c>
      <c r="D413" s="45">
        <v>1759</v>
      </c>
      <c r="E413" s="45">
        <v>1939</v>
      </c>
      <c r="F413" s="45">
        <v>1796</v>
      </c>
      <c r="H413" s="71">
        <v>98366</v>
      </c>
      <c r="I413" s="71" t="s">
        <v>10</v>
      </c>
      <c r="J413" s="73">
        <v>208264.59</v>
      </c>
      <c r="K413" s="73">
        <v>92206.749999999898</v>
      </c>
      <c r="L413" s="73">
        <v>561632.05000000005</v>
      </c>
      <c r="M413" s="73">
        <v>1297895.80999999</v>
      </c>
      <c r="N413" s="73">
        <v>269571.46999999997</v>
      </c>
      <c r="O413" s="73">
        <v>158113.959999999</v>
      </c>
      <c r="P413" s="73">
        <v>574068.10999999905</v>
      </c>
      <c r="Q413" s="73">
        <v>1430589.4199999899</v>
      </c>
      <c r="R413" s="73">
        <v>258142.08999999901</v>
      </c>
      <c r="S413" s="73">
        <v>200851.1</v>
      </c>
      <c r="T413" s="73">
        <v>611719.929999999</v>
      </c>
      <c r="U413" s="73">
        <v>1519037.9</v>
      </c>
      <c r="V413" s="161">
        <f t="shared" si="8"/>
        <v>1070713.119999998</v>
      </c>
      <c r="W413" s="161"/>
      <c r="AZ413" s="37"/>
      <c r="BA413" s="37"/>
    </row>
    <row r="414" spans="2:53" x14ac:dyDescent="0.2">
      <c r="B414" s="78">
        <v>98370</v>
      </c>
      <c r="C414" s="60" t="s">
        <v>10</v>
      </c>
      <c r="D414" s="45">
        <v>1879</v>
      </c>
      <c r="E414" s="45">
        <v>1917</v>
      </c>
      <c r="F414" s="45">
        <v>1909</v>
      </c>
      <c r="H414" s="71">
        <v>98367</v>
      </c>
      <c r="I414" s="71" t="s">
        <v>10</v>
      </c>
      <c r="J414" s="73">
        <v>156180.08999999901</v>
      </c>
      <c r="K414" s="73">
        <v>60394.31</v>
      </c>
      <c r="L414" s="73">
        <v>409622.28999999899</v>
      </c>
      <c r="M414" s="73">
        <v>990804.01000000106</v>
      </c>
      <c r="N414" s="73">
        <v>204220.13</v>
      </c>
      <c r="O414" s="73">
        <v>112078.46</v>
      </c>
      <c r="P414" s="73">
        <v>413555.73</v>
      </c>
      <c r="Q414" s="73">
        <v>1110726.25999999</v>
      </c>
      <c r="R414" s="73">
        <v>182956.30999999901</v>
      </c>
      <c r="S414" s="73">
        <v>136350.859999999</v>
      </c>
      <c r="T414" s="73">
        <v>438025.4</v>
      </c>
      <c r="U414" s="73">
        <v>1162559.04999999</v>
      </c>
      <c r="V414" s="161">
        <f t="shared" si="8"/>
        <v>757332.56999999797</v>
      </c>
      <c r="W414" s="161"/>
      <c r="AZ414" s="37"/>
      <c r="BA414" s="37"/>
    </row>
    <row r="415" spans="2:53" x14ac:dyDescent="0.2">
      <c r="B415" s="78">
        <v>98371</v>
      </c>
      <c r="C415" s="60" t="s">
        <v>10</v>
      </c>
      <c r="D415" s="45">
        <v>1581</v>
      </c>
      <c r="E415" s="45">
        <v>1653</v>
      </c>
      <c r="F415" s="45">
        <v>1651</v>
      </c>
      <c r="H415" s="71">
        <v>98370</v>
      </c>
      <c r="I415" s="71" t="s">
        <v>10</v>
      </c>
      <c r="J415" s="73">
        <v>158603.71999999901</v>
      </c>
      <c r="K415" s="73">
        <v>41784.199999999997</v>
      </c>
      <c r="L415" s="73">
        <v>399222.81999999902</v>
      </c>
      <c r="M415" s="73">
        <v>953373.62</v>
      </c>
      <c r="N415" s="73">
        <v>173260.269999999</v>
      </c>
      <c r="O415" s="73">
        <v>117572.569999999</v>
      </c>
      <c r="P415" s="73">
        <v>377128.57999999903</v>
      </c>
      <c r="Q415" s="73">
        <v>1015696.79999999</v>
      </c>
      <c r="R415" s="73">
        <v>182525.51</v>
      </c>
      <c r="S415" s="73">
        <v>111975.819999999</v>
      </c>
      <c r="T415" s="73">
        <v>415247.95</v>
      </c>
      <c r="U415" s="73">
        <v>1118077.99999999</v>
      </c>
      <c r="V415" s="161">
        <f t="shared" si="8"/>
        <v>709749.2799999991</v>
      </c>
      <c r="W415" s="161"/>
    </row>
    <row r="416" spans="2:53" x14ac:dyDescent="0.2">
      <c r="B416" s="78">
        <v>98372</v>
      </c>
      <c r="C416" s="60" t="s">
        <v>10</v>
      </c>
      <c r="D416" s="45">
        <v>1955</v>
      </c>
      <c r="E416" s="45">
        <v>2060</v>
      </c>
      <c r="F416" s="45">
        <v>2121</v>
      </c>
      <c r="H416" s="71">
        <v>98371</v>
      </c>
      <c r="I416" s="71" t="s">
        <v>10</v>
      </c>
      <c r="J416" s="73">
        <v>116159.87</v>
      </c>
      <c r="K416" s="73">
        <v>49126.0799999999</v>
      </c>
      <c r="L416" s="73">
        <v>311120.95999999897</v>
      </c>
      <c r="M416" s="73">
        <v>782513.83999999904</v>
      </c>
      <c r="N416" s="73">
        <v>184794.81999999899</v>
      </c>
      <c r="O416" s="73">
        <v>87582.78</v>
      </c>
      <c r="P416" s="73">
        <v>296358.14</v>
      </c>
      <c r="Q416" s="73">
        <v>883362.09999999905</v>
      </c>
      <c r="R416" s="73">
        <v>189246.56999999899</v>
      </c>
      <c r="S416" s="73">
        <v>135113.16999999899</v>
      </c>
      <c r="T416" s="73">
        <v>323136.39</v>
      </c>
      <c r="U416" s="73">
        <v>951766.18999999901</v>
      </c>
      <c r="V416" s="161">
        <f t="shared" si="8"/>
        <v>647496.12999999803</v>
      </c>
      <c r="W416" s="161"/>
    </row>
    <row r="417" spans="2:23" x14ac:dyDescent="0.2">
      <c r="B417" s="78">
        <v>98373</v>
      </c>
      <c r="C417" s="60" t="s">
        <v>10</v>
      </c>
      <c r="D417" s="45">
        <v>1836</v>
      </c>
      <c r="E417" s="45">
        <v>1858</v>
      </c>
      <c r="F417" s="45">
        <v>1915</v>
      </c>
      <c r="H417" s="71">
        <v>98372</v>
      </c>
      <c r="I417" s="71" t="s">
        <v>10</v>
      </c>
      <c r="J417" s="73">
        <v>154179.38</v>
      </c>
      <c r="K417" s="73">
        <v>67810.03</v>
      </c>
      <c r="L417" s="73">
        <v>478788.09</v>
      </c>
      <c r="M417" s="73">
        <v>1032644.98</v>
      </c>
      <c r="N417" s="73">
        <v>211878.22</v>
      </c>
      <c r="O417" s="73">
        <v>115648.02</v>
      </c>
      <c r="P417" s="73">
        <v>453044.02</v>
      </c>
      <c r="Q417" s="73">
        <v>1138627.47999999</v>
      </c>
      <c r="R417" s="73">
        <v>227925.139999999</v>
      </c>
      <c r="S417" s="73">
        <v>155467.15999999901</v>
      </c>
      <c r="T417" s="73">
        <v>476032.76</v>
      </c>
      <c r="U417" s="73">
        <v>1223894.1299999999</v>
      </c>
      <c r="V417" s="161">
        <f t="shared" si="8"/>
        <v>859425.05999999796</v>
      </c>
      <c r="W417" s="161"/>
    </row>
    <row r="418" spans="2:23" x14ac:dyDescent="0.2">
      <c r="B418" s="78">
        <v>98374</v>
      </c>
      <c r="C418" s="60" t="s">
        <v>10</v>
      </c>
      <c r="D418" s="45">
        <v>2633</v>
      </c>
      <c r="E418" s="45">
        <v>2730</v>
      </c>
      <c r="F418" s="45">
        <v>2831</v>
      </c>
      <c r="H418" s="71">
        <v>98373</v>
      </c>
      <c r="I418" s="71" t="s">
        <v>10</v>
      </c>
      <c r="J418" s="73">
        <v>131934.20000000001</v>
      </c>
      <c r="K418" s="73">
        <v>54607.909999999902</v>
      </c>
      <c r="L418" s="73">
        <v>426655.95</v>
      </c>
      <c r="M418" s="73">
        <v>891746.14000000095</v>
      </c>
      <c r="N418" s="73">
        <v>183471.609999999</v>
      </c>
      <c r="O418" s="73">
        <v>99349.0600000001</v>
      </c>
      <c r="P418" s="73">
        <v>399239.11</v>
      </c>
      <c r="Q418" s="73">
        <v>957183.83999999799</v>
      </c>
      <c r="R418" s="73">
        <v>182346.47999999899</v>
      </c>
      <c r="S418" s="73">
        <v>138176.69</v>
      </c>
      <c r="T418" s="73">
        <v>415985.3</v>
      </c>
      <c r="U418" s="73">
        <v>1053909.96999999</v>
      </c>
      <c r="V418" s="161">
        <f t="shared" si="8"/>
        <v>736508.46999999904</v>
      </c>
      <c r="W418" s="161"/>
    </row>
    <row r="419" spans="2:23" x14ac:dyDescent="0.2">
      <c r="B419" s="78">
        <v>98375</v>
      </c>
      <c r="C419" s="60" t="s">
        <v>10</v>
      </c>
      <c r="D419" s="45">
        <v>1510</v>
      </c>
      <c r="E419" s="45">
        <v>1525</v>
      </c>
      <c r="F419" s="45">
        <v>1529</v>
      </c>
      <c r="H419" s="71">
        <v>98374</v>
      </c>
      <c r="I419" s="71" t="s">
        <v>10</v>
      </c>
      <c r="J419" s="73">
        <v>219512.30999999901</v>
      </c>
      <c r="K419" s="73">
        <v>77218.809999999896</v>
      </c>
      <c r="L419" s="73">
        <v>774744.07999999903</v>
      </c>
      <c r="M419" s="73">
        <v>1577165.8199999901</v>
      </c>
      <c r="N419" s="73">
        <v>316232.76</v>
      </c>
      <c r="O419" s="73">
        <v>157698.48000000001</v>
      </c>
      <c r="P419" s="73">
        <v>687174.95</v>
      </c>
      <c r="Q419" s="73">
        <v>1691058.78999999</v>
      </c>
      <c r="R419" s="73">
        <v>331881.19</v>
      </c>
      <c r="S419" s="73">
        <v>228022.1</v>
      </c>
      <c r="T419" s="73">
        <v>685388.01</v>
      </c>
      <c r="U419" s="73">
        <v>1810125.73</v>
      </c>
      <c r="V419" s="161">
        <f t="shared" si="8"/>
        <v>1245291.3</v>
      </c>
      <c r="W419" s="161"/>
    </row>
    <row r="420" spans="2:23" x14ac:dyDescent="0.2">
      <c r="B420" s="78">
        <v>98380</v>
      </c>
      <c r="C420" s="60" t="s">
        <v>10</v>
      </c>
      <c r="D420" s="45">
        <v>277</v>
      </c>
      <c r="E420" s="45">
        <v>257</v>
      </c>
      <c r="F420" s="45">
        <v>312</v>
      </c>
      <c r="H420" s="71">
        <v>98375</v>
      </c>
      <c r="I420" s="71" t="s">
        <v>10</v>
      </c>
      <c r="J420" s="73">
        <v>113720.12</v>
      </c>
      <c r="K420" s="73">
        <v>27688.809999999899</v>
      </c>
      <c r="L420" s="73">
        <v>401990.45999999897</v>
      </c>
      <c r="M420" s="73">
        <v>821699.43</v>
      </c>
      <c r="N420" s="73">
        <v>183603.33999999901</v>
      </c>
      <c r="O420" s="73">
        <v>86807.07</v>
      </c>
      <c r="P420" s="73">
        <v>367016.28</v>
      </c>
      <c r="Q420" s="73">
        <v>906598.13</v>
      </c>
      <c r="R420" s="73">
        <v>174751.35</v>
      </c>
      <c r="S420" s="73">
        <v>136126.07999999999</v>
      </c>
      <c r="T420" s="73">
        <v>387221.44</v>
      </c>
      <c r="U420" s="73">
        <v>990131.38999999897</v>
      </c>
      <c r="V420" s="161">
        <f t="shared" si="8"/>
        <v>698098.87</v>
      </c>
      <c r="W420" s="161"/>
    </row>
    <row r="421" spans="2:23" x14ac:dyDescent="0.2">
      <c r="B421" s="78">
        <v>98383</v>
      </c>
      <c r="C421" s="60" t="s">
        <v>10</v>
      </c>
      <c r="D421" s="45">
        <v>1486</v>
      </c>
      <c r="E421" s="45">
        <v>1572</v>
      </c>
      <c r="F421" s="45">
        <v>1436</v>
      </c>
      <c r="H421" s="71">
        <v>98380</v>
      </c>
      <c r="I421" s="71" t="s">
        <v>10</v>
      </c>
      <c r="J421" s="73">
        <v>18676.2399999999</v>
      </c>
      <c r="K421" s="73">
        <v>11818.8</v>
      </c>
      <c r="L421" s="73">
        <v>104225.89</v>
      </c>
      <c r="M421" s="73">
        <v>213438.05</v>
      </c>
      <c r="N421" s="73">
        <v>51064.239999999903</v>
      </c>
      <c r="O421" s="73">
        <v>12737.4199999999</v>
      </c>
      <c r="P421" s="73">
        <v>98772.46</v>
      </c>
      <c r="Q421" s="73">
        <v>207363.4</v>
      </c>
      <c r="R421" s="73">
        <v>29969.929999999898</v>
      </c>
      <c r="S421" s="73">
        <v>35750.299999999901</v>
      </c>
      <c r="T421" s="73">
        <v>100855.45</v>
      </c>
      <c r="U421" s="73">
        <v>273900.92</v>
      </c>
      <c r="V421" s="161">
        <f t="shared" si="8"/>
        <v>166575.67999999982</v>
      </c>
      <c r="W421" s="161"/>
    </row>
    <row r="422" spans="2:23" x14ac:dyDescent="0.2">
      <c r="B422" s="78">
        <v>98385</v>
      </c>
      <c r="C422" s="60" t="s">
        <v>10</v>
      </c>
      <c r="D422" s="45">
        <v>27</v>
      </c>
      <c r="E422" s="45">
        <v>31</v>
      </c>
      <c r="F422" s="45">
        <v>26</v>
      </c>
      <c r="H422" s="71">
        <v>98383</v>
      </c>
      <c r="I422" s="71" t="s">
        <v>10</v>
      </c>
      <c r="J422" s="73">
        <v>78442.570000000007</v>
      </c>
      <c r="K422" s="73">
        <v>37389.81</v>
      </c>
      <c r="L422" s="73">
        <v>205162.62999999899</v>
      </c>
      <c r="M422" s="73">
        <v>510877.07</v>
      </c>
      <c r="N422" s="73">
        <v>110628.14</v>
      </c>
      <c r="O422" s="73">
        <v>61265.8999999999</v>
      </c>
      <c r="P422" s="73">
        <v>205139.43999999901</v>
      </c>
      <c r="Q422" s="73">
        <v>580109.179999999</v>
      </c>
      <c r="R422" s="73">
        <v>103589.30999999899</v>
      </c>
      <c r="S422" s="73">
        <v>81524.320000000007</v>
      </c>
      <c r="T422" s="73">
        <v>236457.2</v>
      </c>
      <c r="U422" s="73">
        <v>607034.25999999896</v>
      </c>
      <c r="V422" s="161">
        <f t="shared" si="8"/>
        <v>421570.82999999903</v>
      </c>
      <c r="W422" s="161"/>
    </row>
    <row r="423" spans="2:23" x14ac:dyDescent="0.2">
      <c r="B423" s="78">
        <v>98387</v>
      </c>
      <c r="C423" s="60" t="s">
        <v>10</v>
      </c>
      <c r="D423" s="45">
        <v>1996</v>
      </c>
      <c r="E423" s="45">
        <v>2083</v>
      </c>
      <c r="F423" s="45">
        <v>2220</v>
      </c>
      <c r="H423" s="71">
        <v>98385</v>
      </c>
      <c r="I423" s="71" t="s">
        <v>10</v>
      </c>
      <c r="J423" s="73">
        <v>2524.1</v>
      </c>
      <c r="K423" s="73">
        <v>1224.19</v>
      </c>
      <c r="L423" s="73">
        <v>14265.32</v>
      </c>
      <c r="M423" s="73">
        <v>24036.3299999999</v>
      </c>
      <c r="N423" s="73">
        <v>4384.32</v>
      </c>
      <c r="O423" s="73">
        <v>2248.3799999999901</v>
      </c>
      <c r="P423" s="73">
        <v>15111.27</v>
      </c>
      <c r="Q423" s="73">
        <v>28550.35</v>
      </c>
      <c r="R423" s="73">
        <v>4179.3899999999903</v>
      </c>
      <c r="S423" s="73">
        <v>3651.85</v>
      </c>
      <c r="T423" s="73">
        <v>16295.53</v>
      </c>
      <c r="U423" s="73">
        <v>30264.240000000002</v>
      </c>
      <c r="V423" s="161">
        <f t="shared" si="8"/>
        <v>24126.76999999999</v>
      </c>
      <c r="W423" s="161"/>
    </row>
    <row r="424" spans="2:23" x14ac:dyDescent="0.2">
      <c r="B424" s="78">
        <v>98388</v>
      </c>
      <c r="C424" s="60" t="s">
        <v>10</v>
      </c>
      <c r="D424" s="45">
        <v>141</v>
      </c>
      <c r="E424" s="45">
        <v>150</v>
      </c>
      <c r="F424" s="45">
        <v>133</v>
      </c>
      <c r="H424" s="71">
        <v>98387</v>
      </c>
      <c r="I424" s="71" t="s">
        <v>10</v>
      </c>
      <c r="J424" s="73">
        <v>164246.74</v>
      </c>
      <c r="K424" s="73">
        <v>27228.82</v>
      </c>
      <c r="L424" s="73">
        <v>301643.06</v>
      </c>
      <c r="M424" s="73">
        <v>725347.22999999905</v>
      </c>
      <c r="N424" s="73">
        <v>157336.35</v>
      </c>
      <c r="O424" s="73">
        <v>88146.339999999895</v>
      </c>
      <c r="P424" s="73">
        <v>277054.43999999901</v>
      </c>
      <c r="Q424" s="73">
        <v>808435.62999999896</v>
      </c>
      <c r="R424" s="73">
        <v>160125.929999999</v>
      </c>
      <c r="S424" s="73">
        <v>88753.110000000102</v>
      </c>
      <c r="T424" s="73">
        <v>314494.62999999902</v>
      </c>
      <c r="U424" s="73">
        <v>968239.84999999905</v>
      </c>
      <c r="V424" s="161">
        <f t="shared" si="8"/>
        <v>563373.66999999806</v>
      </c>
      <c r="W424" s="161"/>
    </row>
    <row r="425" spans="2:23" x14ac:dyDescent="0.2">
      <c r="B425" s="78">
        <v>98390</v>
      </c>
      <c r="C425" s="60" t="s">
        <v>10</v>
      </c>
      <c r="D425" s="45">
        <v>968</v>
      </c>
      <c r="E425" s="45">
        <v>1022</v>
      </c>
      <c r="F425" s="45">
        <v>1012</v>
      </c>
      <c r="H425" s="71">
        <v>98388</v>
      </c>
      <c r="I425" s="71" t="s">
        <v>10</v>
      </c>
      <c r="J425" s="73">
        <v>7928.91</v>
      </c>
      <c r="K425" s="73">
        <v>2165.8299999999899</v>
      </c>
      <c r="L425" s="73">
        <v>16704.919999999998</v>
      </c>
      <c r="M425" s="73">
        <v>45172.03</v>
      </c>
      <c r="N425" s="73">
        <v>9751.5499999999993</v>
      </c>
      <c r="O425" s="73">
        <v>5920.7599999999902</v>
      </c>
      <c r="P425" s="73">
        <v>15625.219999999899</v>
      </c>
      <c r="Q425" s="73">
        <v>49876.39</v>
      </c>
      <c r="R425" s="73">
        <v>9990.78999999999</v>
      </c>
      <c r="S425" s="73">
        <v>7234.0099999999902</v>
      </c>
      <c r="T425" s="73">
        <v>15968.96</v>
      </c>
      <c r="U425" s="73">
        <v>51062.81</v>
      </c>
      <c r="V425" s="161">
        <f t="shared" si="8"/>
        <v>33193.75999999998</v>
      </c>
      <c r="W425" s="161"/>
    </row>
    <row r="426" spans="2:23" x14ac:dyDescent="0.2">
      <c r="B426" s="78">
        <v>98391</v>
      </c>
      <c r="C426" s="60" t="s">
        <v>10</v>
      </c>
      <c r="D426" s="45">
        <v>2943</v>
      </c>
      <c r="E426" s="69">
        <v>3119</v>
      </c>
      <c r="F426" s="45">
        <v>3038</v>
      </c>
      <c r="H426" s="71">
        <v>98390</v>
      </c>
      <c r="I426" s="71" t="s">
        <v>10</v>
      </c>
      <c r="J426" s="73">
        <v>78132.97</v>
      </c>
      <c r="K426" s="73">
        <v>30548.0099999999</v>
      </c>
      <c r="L426" s="73">
        <v>182154.05</v>
      </c>
      <c r="M426" s="73">
        <v>456943.34999999899</v>
      </c>
      <c r="N426" s="73">
        <v>108988.21</v>
      </c>
      <c r="O426" s="73">
        <v>56918.53</v>
      </c>
      <c r="P426" s="73">
        <v>176303.81</v>
      </c>
      <c r="Q426" s="73">
        <v>520663.72</v>
      </c>
      <c r="R426" s="73">
        <v>113604.83999999901</v>
      </c>
      <c r="S426" s="73">
        <v>80263.599999999904</v>
      </c>
      <c r="T426" s="73">
        <v>196889.12999999899</v>
      </c>
      <c r="U426" s="73">
        <v>586826.46999999904</v>
      </c>
      <c r="V426" s="161">
        <f t="shared" si="8"/>
        <v>390757.56999999785</v>
      </c>
      <c r="W426" s="161"/>
    </row>
    <row r="427" spans="2:23" x14ac:dyDescent="0.2">
      <c r="B427" s="78">
        <v>98392</v>
      </c>
      <c r="C427" s="60" t="s">
        <v>10</v>
      </c>
      <c r="D427" s="45">
        <v>330</v>
      </c>
      <c r="E427" s="45">
        <v>175</v>
      </c>
      <c r="F427" s="45">
        <v>348</v>
      </c>
      <c r="H427" s="71">
        <v>98391</v>
      </c>
      <c r="I427" s="71" t="s">
        <v>10</v>
      </c>
      <c r="J427" s="73">
        <v>266517.32999999903</v>
      </c>
      <c r="K427" s="73">
        <v>95356.1700000001</v>
      </c>
      <c r="L427" s="73">
        <v>735006.34</v>
      </c>
      <c r="M427" s="73">
        <v>1732424.87</v>
      </c>
      <c r="N427" s="73">
        <v>355079.63</v>
      </c>
      <c r="O427" s="73">
        <v>186918.31</v>
      </c>
      <c r="P427" s="73">
        <v>700436.5</v>
      </c>
      <c r="Q427" s="73">
        <v>1953896.77</v>
      </c>
      <c r="R427" s="73">
        <v>402739.48</v>
      </c>
      <c r="S427" s="73">
        <v>238867.56</v>
      </c>
      <c r="T427" s="73">
        <v>742871.2</v>
      </c>
      <c r="U427" s="73">
        <v>2058568.46999999</v>
      </c>
      <c r="V427" s="161">
        <f t="shared" si="8"/>
        <v>1384478.24</v>
      </c>
      <c r="W427" s="161"/>
    </row>
    <row r="428" spans="2:23" x14ac:dyDescent="0.2">
      <c r="B428" s="78">
        <v>98396</v>
      </c>
      <c r="C428" s="60" t="s">
        <v>10</v>
      </c>
      <c r="D428" s="45">
        <v>55</v>
      </c>
      <c r="E428" s="45">
        <v>35</v>
      </c>
      <c r="F428" s="45">
        <v>57</v>
      </c>
      <c r="H428" s="71">
        <v>98392</v>
      </c>
      <c r="I428" s="71" t="s">
        <v>10</v>
      </c>
      <c r="J428" s="73">
        <v>29335.109999999899</v>
      </c>
      <c r="K428" s="73">
        <v>10752.65</v>
      </c>
      <c r="L428" s="73">
        <v>55675.949999999903</v>
      </c>
      <c r="M428" s="73">
        <v>161192.46</v>
      </c>
      <c r="N428" s="73">
        <v>28380.78</v>
      </c>
      <c r="O428" s="73">
        <v>26955.57</v>
      </c>
      <c r="P428" s="73">
        <v>46156.53</v>
      </c>
      <c r="Q428" s="73">
        <v>109087.65</v>
      </c>
      <c r="R428" s="73">
        <v>38734.89</v>
      </c>
      <c r="S428" s="73">
        <v>21857.639999999901</v>
      </c>
      <c r="T428" s="73">
        <v>56566.69</v>
      </c>
      <c r="U428" s="73">
        <v>193516.86</v>
      </c>
      <c r="V428" s="161">
        <f t="shared" si="8"/>
        <v>117159.2199999999</v>
      </c>
      <c r="W428" s="161"/>
    </row>
    <row r="429" spans="2:23" x14ac:dyDescent="0.2">
      <c r="B429" s="78">
        <v>98402</v>
      </c>
      <c r="C429" s="60" t="s">
        <v>10</v>
      </c>
      <c r="D429" s="45">
        <v>47</v>
      </c>
      <c r="E429" s="45">
        <v>48</v>
      </c>
      <c r="F429" s="45">
        <v>58</v>
      </c>
      <c r="H429" s="71">
        <v>98396</v>
      </c>
      <c r="I429" s="71" t="s">
        <v>10</v>
      </c>
      <c r="J429" s="73">
        <v>292.05</v>
      </c>
      <c r="K429" s="73">
        <v>3302.62</v>
      </c>
      <c r="L429" s="73">
        <v>8853.6299999999992</v>
      </c>
      <c r="M429" s="73">
        <v>33913.769999999997</v>
      </c>
      <c r="N429" s="73">
        <v>13602.79</v>
      </c>
      <c r="O429" s="73">
        <v>292.05</v>
      </c>
      <c r="P429" s="73">
        <v>10324.6499999999</v>
      </c>
      <c r="Q429" s="73">
        <v>28379.3</v>
      </c>
      <c r="R429" s="73">
        <v>1330.69999999999</v>
      </c>
      <c r="S429" s="73">
        <v>10095.790000000001</v>
      </c>
      <c r="T429" s="73">
        <v>9950.58</v>
      </c>
      <c r="U429" s="73">
        <v>46793.1499999999</v>
      </c>
      <c r="V429" s="161">
        <f t="shared" si="8"/>
        <v>21377.069999999992</v>
      </c>
      <c r="W429" s="161"/>
    </row>
    <row r="430" spans="2:23" x14ac:dyDescent="0.2">
      <c r="B430" s="78">
        <v>98403</v>
      </c>
      <c r="C430" s="60" t="s">
        <v>10</v>
      </c>
      <c r="D430" s="69">
        <v>304</v>
      </c>
      <c r="E430" s="45">
        <v>290</v>
      </c>
      <c r="F430" s="45">
        <v>274</v>
      </c>
      <c r="H430" s="71">
        <v>98402</v>
      </c>
      <c r="I430" s="71" t="s">
        <v>10</v>
      </c>
      <c r="J430" s="73">
        <v>2729.2999999999902</v>
      </c>
      <c r="K430" s="73">
        <v>821.87</v>
      </c>
      <c r="L430" s="73">
        <v>10386.4199999999</v>
      </c>
      <c r="M430" s="73">
        <v>18044.39</v>
      </c>
      <c r="N430" s="73">
        <v>1250.1699999999901</v>
      </c>
      <c r="O430" s="73">
        <v>1200.27</v>
      </c>
      <c r="P430" s="73">
        <v>10694.46</v>
      </c>
      <c r="Q430" s="73">
        <v>16224.1</v>
      </c>
      <c r="R430" s="73">
        <v>1666.3199999999899</v>
      </c>
      <c r="S430" s="73">
        <v>665.17</v>
      </c>
      <c r="T430" s="73">
        <v>7018.16</v>
      </c>
      <c r="U430" s="73">
        <v>15355.67</v>
      </c>
      <c r="V430" s="161">
        <f t="shared" si="8"/>
        <v>9349.6499999999905</v>
      </c>
      <c r="W430" s="161"/>
    </row>
    <row r="431" spans="2:23" x14ac:dyDescent="0.2">
      <c r="B431" s="78">
        <v>98404</v>
      </c>
      <c r="C431" s="60" t="s">
        <v>10</v>
      </c>
      <c r="D431" s="45">
        <v>1069</v>
      </c>
      <c r="E431" s="45">
        <v>1086</v>
      </c>
      <c r="F431" s="45">
        <v>1071</v>
      </c>
      <c r="H431" s="71">
        <v>98403</v>
      </c>
      <c r="I431" s="71" t="s">
        <v>10</v>
      </c>
      <c r="J431" s="73">
        <v>16768.09</v>
      </c>
      <c r="K431" s="73">
        <v>3876.55</v>
      </c>
      <c r="L431" s="73">
        <v>26674.26</v>
      </c>
      <c r="M431" s="73">
        <v>91043.309999999896</v>
      </c>
      <c r="N431" s="73">
        <v>20540.7399999999</v>
      </c>
      <c r="O431" s="73">
        <v>11212.13</v>
      </c>
      <c r="P431" s="73">
        <v>24378.799999999901</v>
      </c>
      <c r="Q431" s="73">
        <v>94477.219999999899</v>
      </c>
      <c r="R431" s="73">
        <v>17284.159999999902</v>
      </c>
      <c r="S431" s="73">
        <v>12381.26</v>
      </c>
      <c r="T431" s="73">
        <v>25158.0099999999</v>
      </c>
      <c r="U431" s="73">
        <v>95886.249999999898</v>
      </c>
      <c r="V431" s="161">
        <f t="shared" si="8"/>
        <v>54823.429999999804</v>
      </c>
      <c r="W431" s="161"/>
    </row>
    <row r="432" spans="2:23" x14ac:dyDescent="0.2">
      <c r="B432" s="78">
        <v>98405</v>
      </c>
      <c r="C432" s="60" t="s">
        <v>10</v>
      </c>
      <c r="D432" s="45">
        <v>1050</v>
      </c>
      <c r="E432" s="45">
        <v>857</v>
      </c>
      <c r="F432" s="45">
        <v>1142</v>
      </c>
      <c r="H432" s="71">
        <v>98404</v>
      </c>
      <c r="I432" s="71" t="s">
        <v>10</v>
      </c>
      <c r="J432" s="73">
        <v>61009.45</v>
      </c>
      <c r="K432" s="73">
        <v>16963.019999999899</v>
      </c>
      <c r="L432" s="73">
        <v>125363.299999999</v>
      </c>
      <c r="M432" s="73">
        <v>342334.18</v>
      </c>
      <c r="N432" s="73">
        <v>81148.099999999904</v>
      </c>
      <c r="O432" s="73">
        <v>44983.019999999902</v>
      </c>
      <c r="P432" s="73">
        <v>119581.61999999901</v>
      </c>
      <c r="Q432" s="73">
        <v>370308.2</v>
      </c>
      <c r="R432" s="73">
        <v>72032.349999999904</v>
      </c>
      <c r="S432" s="73">
        <v>55415.989999999903</v>
      </c>
      <c r="T432" s="73">
        <v>132784.78</v>
      </c>
      <c r="U432" s="73">
        <v>395042.1</v>
      </c>
      <c r="V432" s="161">
        <f t="shared" si="8"/>
        <v>260233.11999999982</v>
      </c>
      <c r="W432" s="161"/>
    </row>
    <row r="433" spans="2:23" x14ac:dyDescent="0.2">
      <c r="B433" s="78">
        <v>98406</v>
      </c>
      <c r="C433" s="60" t="s">
        <v>10</v>
      </c>
      <c r="D433" s="45">
        <v>652</v>
      </c>
      <c r="E433" s="45">
        <v>514</v>
      </c>
      <c r="F433" s="45">
        <v>741</v>
      </c>
      <c r="H433" s="71">
        <v>98405</v>
      </c>
      <c r="I433" s="71" t="s">
        <v>10</v>
      </c>
      <c r="J433" s="73">
        <v>69728.149999999994</v>
      </c>
      <c r="K433" s="73">
        <v>19375.990000000002</v>
      </c>
      <c r="L433" s="73">
        <v>119610.41999999899</v>
      </c>
      <c r="M433" s="73">
        <v>326785.75</v>
      </c>
      <c r="N433" s="73">
        <v>64787.96</v>
      </c>
      <c r="O433" s="73">
        <v>55317.48</v>
      </c>
      <c r="P433" s="73">
        <v>109500.27999999899</v>
      </c>
      <c r="Q433" s="73">
        <v>302998.17</v>
      </c>
      <c r="R433" s="73">
        <v>68168.989999999903</v>
      </c>
      <c r="S433" s="73">
        <v>42448.3299999999</v>
      </c>
      <c r="T433" s="73">
        <v>135439.28</v>
      </c>
      <c r="U433" s="73">
        <v>398017.17</v>
      </c>
      <c r="V433" s="161">
        <f t="shared" si="8"/>
        <v>246056.5999999998</v>
      </c>
      <c r="W433" s="161"/>
    </row>
    <row r="434" spans="2:23" x14ac:dyDescent="0.2">
      <c r="B434" s="78">
        <v>98407</v>
      </c>
      <c r="C434" s="60" t="s">
        <v>10</v>
      </c>
      <c r="D434" s="45">
        <v>715</v>
      </c>
      <c r="E434" s="45">
        <v>695</v>
      </c>
      <c r="F434" s="45">
        <v>698</v>
      </c>
      <c r="H434" s="71">
        <v>98406</v>
      </c>
      <c r="I434" s="71" t="s">
        <v>10</v>
      </c>
      <c r="J434" s="73">
        <v>45191.27</v>
      </c>
      <c r="K434" s="73">
        <v>7887.33</v>
      </c>
      <c r="L434" s="73">
        <v>80140.58</v>
      </c>
      <c r="M434" s="73">
        <v>215995.96</v>
      </c>
      <c r="N434" s="73">
        <v>32535.15</v>
      </c>
      <c r="O434" s="73">
        <v>30780.519999999899</v>
      </c>
      <c r="P434" s="73">
        <v>71210.519999999902</v>
      </c>
      <c r="Q434" s="73">
        <v>197455.79</v>
      </c>
      <c r="R434" s="73">
        <v>41046.410000000003</v>
      </c>
      <c r="S434" s="73">
        <v>18513.8999999999</v>
      </c>
      <c r="T434" s="73">
        <v>79350.850000000006</v>
      </c>
      <c r="U434" s="73">
        <v>271803.25</v>
      </c>
      <c r="V434" s="161">
        <f t="shared" si="8"/>
        <v>138911.15999999992</v>
      </c>
      <c r="W434" s="161"/>
    </row>
    <row r="435" spans="2:23" x14ac:dyDescent="0.2">
      <c r="B435" s="78">
        <v>98408</v>
      </c>
      <c r="C435" s="60" t="s">
        <v>10</v>
      </c>
      <c r="D435" s="45">
        <v>979</v>
      </c>
      <c r="E435" s="45">
        <v>979</v>
      </c>
      <c r="F435" s="45">
        <v>990</v>
      </c>
      <c r="H435" s="71">
        <v>98407</v>
      </c>
      <c r="I435" s="71" t="s">
        <v>10</v>
      </c>
      <c r="J435" s="73">
        <v>36215.17</v>
      </c>
      <c r="K435" s="73">
        <v>9354.7999999999902</v>
      </c>
      <c r="L435" s="73">
        <v>73439.569999999905</v>
      </c>
      <c r="M435" s="73">
        <v>214570.04</v>
      </c>
      <c r="N435" s="73">
        <v>44030.299999999901</v>
      </c>
      <c r="O435" s="73">
        <v>25748.299999999901</v>
      </c>
      <c r="P435" s="73">
        <v>68476.36</v>
      </c>
      <c r="Q435" s="73">
        <v>226202.28</v>
      </c>
      <c r="R435" s="73">
        <v>39278.249999999898</v>
      </c>
      <c r="S435" s="73">
        <v>26776.5999999999</v>
      </c>
      <c r="T435" s="73">
        <v>71740.33</v>
      </c>
      <c r="U435" s="73">
        <v>229539.43999999901</v>
      </c>
      <c r="V435" s="161">
        <f t="shared" si="8"/>
        <v>137795.17999999982</v>
      </c>
      <c r="W435" s="161"/>
    </row>
    <row r="436" spans="2:23" x14ac:dyDescent="0.2">
      <c r="B436" s="78">
        <v>98409</v>
      </c>
      <c r="C436" s="60" t="s">
        <v>10</v>
      </c>
      <c r="D436" s="45">
        <v>711</v>
      </c>
      <c r="E436" s="45">
        <v>745</v>
      </c>
      <c r="F436" s="45">
        <v>722</v>
      </c>
      <c r="H436" s="71">
        <v>98408</v>
      </c>
      <c r="I436" s="71" t="s">
        <v>10</v>
      </c>
      <c r="J436" s="73">
        <v>68010.67</v>
      </c>
      <c r="K436" s="73">
        <v>17408.459999999901</v>
      </c>
      <c r="L436" s="73">
        <v>118712.98</v>
      </c>
      <c r="M436" s="73">
        <v>340978.27999999898</v>
      </c>
      <c r="N436" s="73">
        <v>80791.539999999994</v>
      </c>
      <c r="O436" s="73">
        <v>53345.65</v>
      </c>
      <c r="P436" s="73">
        <v>110608.83</v>
      </c>
      <c r="Q436" s="73">
        <v>352731.38</v>
      </c>
      <c r="R436" s="73">
        <v>71793.320000000007</v>
      </c>
      <c r="S436" s="73">
        <v>58277.279999999897</v>
      </c>
      <c r="T436" s="73">
        <v>127202.429999999</v>
      </c>
      <c r="U436" s="73">
        <v>393841.489999999</v>
      </c>
      <c r="V436" s="161">
        <f t="shared" si="8"/>
        <v>257273.02999999892</v>
      </c>
      <c r="W436" s="161"/>
    </row>
    <row r="437" spans="2:23" x14ac:dyDescent="0.2">
      <c r="B437" s="78">
        <v>98418</v>
      </c>
      <c r="C437" s="60" t="s">
        <v>10</v>
      </c>
      <c r="D437" s="45">
        <v>544</v>
      </c>
      <c r="E437" s="45">
        <v>550</v>
      </c>
      <c r="F437" s="45">
        <v>532</v>
      </c>
      <c r="H437" s="71">
        <v>98409</v>
      </c>
      <c r="I437" s="71" t="s">
        <v>10</v>
      </c>
      <c r="J437" s="73">
        <v>38203.86</v>
      </c>
      <c r="K437" s="73">
        <v>9629.6799999999894</v>
      </c>
      <c r="L437" s="73">
        <v>77781.81</v>
      </c>
      <c r="M437" s="73">
        <v>209160.859999999</v>
      </c>
      <c r="N437" s="73">
        <v>54487.08</v>
      </c>
      <c r="O437" s="73">
        <v>28762.48</v>
      </c>
      <c r="P437" s="73">
        <v>70882.879999999903</v>
      </c>
      <c r="Q437" s="73">
        <v>239873.25999999899</v>
      </c>
      <c r="R437" s="73">
        <v>46363.48</v>
      </c>
      <c r="S437" s="73">
        <v>38182.65</v>
      </c>
      <c r="T437" s="73">
        <v>73301.53</v>
      </c>
      <c r="U437" s="73">
        <v>241145.87999999899</v>
      </c>
      <c r="V437" s="161">
        <f t="shared" si="8"/>
        <v>157847.66</v>
      </c>
      <c r="W437" s="161"/>
    </row>
    <row r="438" spans="2:23" x14ac:dyDescent="0.2">
      <c r="B438" s="78">
        <v>98421</v>
      </c>
      <c r="C438" s="60" t="s">
        <v>10</v>
      </c>
      <c r="D438" s="45">
        <v>6</v>
      </c>
      <c r="E438" s="45">
        <v>6</v>
      </c>
      <c r="F438" s="45">
        <v>5</v>
      </c>
      <c r="H438" s="71">
        <v>98418</v>
      </c>
      <c r="I438" s="71" t="s">
        <v>10</v>
      </c>
      <c r="J438" s="73">
        <v>32350.519999999899</v>
      </c>
      <c r="K438" s="73">
        <v>8008.36</v>
      </c>
      <c r="L438" s="73">
        <v>79197.039999999906</v>
      </c>
      <c r="M438" s="73">
        <v>189677.31999999899</v>
      </c>
      <c r="N438" s="73">
        <v>40498.31</v>
      </c>
      <c r="O438" s="73">
        <v>23403.269999999899</v>
      </c>
      <c r="P438" s="73">
        <v>74690.12</v>
      </c>
      <c r="Q438" s="73">
        <v>200683.389999999</v>
      </c>
      <c r="R438" s="73">
        <v>36440.029999999897</v>
      </c>
      <c r="S438" s="73">
        <v>28252.68</v>
      </c>
      <c r="T438" s="73">
        <v>78561.42</v>
      </c>
      <c r="U438" s="73">
        <v>209608.40999999901</v>
      </c>
      <c r="V438" s="161">
        <f t="shared" si="8"/>
        <v>143254.12999999989</v>
      </c>
      <c r="W438" s="161"/>
    </row>
    <row r="439" spans="2:23" x14ac:dyDescent="0.2">
      <c r="B439" s="78">
        <v>98422</v>
      </c>
      <c r="C439" s="60" t="s">
        <v>10</v>
      </c>
      <c r="D439" s="45">
        <v>445</v>
      </c>
      <c r="E439" s="45">
        <v>489</v>
      </c>
      <c r="F439" s="45">
        <v>474</v>
      </c>
      <c r="H439" s="71">
        <v>98421</v>
      </c>
      <c r="I439" s="71" t="s">
        <v>10</v>
      </c>
      <c r="J439" s="73">
        <v>307.06</v>
      </c>
      <c r="K439" s="73">
        <v>78.459999999999994</v>
      </c>
      <c r="L439" s="73">
        <v>1160.5999999999999</v>
      </c>
      <c r="M439" s="73">
        <v>242840.00999999899</v>
      </c>
      <c r="N439" s="73">
        <v>344.42</v>
      </c>
      <c r="O439" s="73">
        <v>270.33</v>
      </c>
      <c r="P439" s="73">
        <v>1239.06</v>
      </c>
      <c r="Q439" s="73">
        <v>2301.39</v>
      </c>
      <c r="R439" s="73">
        <v>346.35</v>
      </c>
      <c r="S439" s="73">
        <v>344.42</v>
      </c>
      <c r="T439" s="73">
        <v>1509.3899999999901</v>
      </c>
      <c r="U439" s="73">
        <v>2736.4</v>
      </c>
      <c r="V439" s="161">
        <f t="shared" si="8"/>
        <v>2200.1599999999899</v>
      </c>
      <c r="W439" s="161"/>
    </row>
    <row r="440" spans="2:23" x14ac:dyDescent="0.2">
      <c r="B440" s="78">
        <v>98424</v>
      </c>
      <c r="C440" s="60" t="s">
        <v>10</v>
      </c>
      <c r="D440" s="45">
        <v>261</v>
      </c>
      <c r="E440" s="45">
        <v>287</v>
      </c>
      <c r="F440" s="45">
        <v>273</v>
      </c>
      <c r="H440" s="71">
        <v>98422</v>
      </c>
      <c r="I440" s="71" t="s">
        <v>10</v>
      </c>
      <c r="J440" s="73">
        <v>23438.549999999901</v>
      </c>
      <c r="K440" s="73">
        <v>6412.9</v>
      </c>
      <c r="L440" s="73">
        <v>77370.92</v>
      </c>
      <c r="M440" s="73">
        <v>174225.69</v>
      </c>
      <c r="N440" s="73">
        <v>36972.870000000003</v>
      </c>
      <c r="O440" s="73">
        <v>16062.9099999999</v>
      </c>
      <c r="P440" s="73">
        <v>73047.67</v>
      </c>
      <c r="Q440" s="73">
        <v>201606.69999999899</v>
      </c>
      <c r="R440" s="73">
        <v>42606.1</v>
      </c>
      <c r="S440" s="73">
        <v>25186.959999999999</v>
      </c>
      <c r="T440" s="73">
        <v>70223.83</v>
      </c>
      <c r="U440" s="73">
        <v>206095.51</v>
      </c>
      <c r="V440" s="161">
        <f t="shared" si="8"/>
        <v>138016.89000000001</v>
      </c>
      <c r="W440" s="161"/>
    </row>
    <row r="441" spans="2:23" x14ac:dyDescent="0.2">
      <c r="B441" s="78">
        <v>98433</v>
      </c>
      <c r="C441" s="60" t="s">
        <v>10</v>
      </c>
      <c r="D441" s="45">
        <v>330</v>
      </c>
      <c r="E441" s="45"/>
      <c r="F441" s="45"/>
      <c r="H441" s="71">
        <v>98424</v>
      </c>
      <c r="I441" s="71" t="s">
        <v>10</v>
      </c>
      <c r="J441" s="73">
        <v>16578.1499999999</v>
      </c>
      <c r="K441" s="73">
        <v>4473.45</v>
      </c>
      <c r="L441" s="73">
        <v>54039.89</v>
      </c>
      <c r="M441" s="73">
        <v>119768.4</v>
      </c>
      <c r="N441" s="73">
        <v>27529.79</v>
      </c>
      <c r="O441" s="73">
        <v>12470.619999999901</v>
      </c>
      <c r="P441" s="73">
        <v>48111.139999999898</v>
      </c>
      <c r="Q441" s="73">
        <v>128083.56</v>
      </c>
      <c r="R441" s="73">
        <v>25347.339999999898</v>
      </c>
      <c r="S441" s="73">
        <v>19943.84</v>
      </c>
      <c r="T441" s="73">
        <v>49523.86</v>
      </c>
      <c r="U441" s="73">
        <v>133234.09999999899</v>
      </c>
      <c r="V441" s="161">
        <f t="shared" si="8"/>
        <v>94815.039999999892</v>
      </c>
      <c r="W441" s="161"/>
    </row>
    <row r="442" spans="2:23" x14ac:dyDescent="0.2">
      <c r="B442" s="54">
        <v>98439</v>
      </c>
      <c r="C442" s="60" t="s">
        <v>10</v>
      </c>
      <c r="D442" s="45">
        <v>514</v>
      </c>
      <c r="E442" s="45">
        <v>528</v>
      </c>
      <c r="F442" s="45">
        <v>544</v>
      </c>
      <c r="H442" s="71">
        <v>98433</v>
      </c>
      <c r="I442" s="71" t="s">
        <v>10</v>
      </c>
      <c r="J442" s="73"/>
      <c r="K442" s="73"/>
      <c r="L442" s="73">
        <v>22421.279999999999</v>
      </c>
      <c r="M442" s="73">
        <v>40117.32</v>
      </c>
      <c r="N442" s="73"/>
      <c r="O442" s="73"/>
      <c r="P442" s="73"/>
      <c r="Q442" s="73"/>
      <c r="R442" s="73"/>
      <c r="S442" s="73"/>
      <c r="T442" s="73"/>
      <c r="U442" s="73"/>
      <c r="V442" s="161">
        <f t="shared" si="8"/>
        <v>0</v>
      </c>
      <c r="W442" s="161"/>
    </row>
    <row r="443" spans="2:23" x14ac:dyDescent="0.2">
      <c r="B443" s="54">
        <v>98443</v>
      </c>
      <c r="C443" s="60" t="s">
        <v>10</v>
      </c>
      <c r="D443" s="45">
        <v>73</v>
      </c>
      <c r="E443" s="69">
        <v>60</v>
      </c>
      <c r="F443" s="45">
        <v>70</v>
      </c>
      <c r="H443" s="71">
        <v>98439</v>
      </c>
      <c r="I443" s="71" t="s">
        <v>10</v>
      </c>
      <c r="J443" s="73">
        <v>41083.050000000003</v>
      </c>
      <c r="K443" s="73">
        <v>18676.400000000001</v>
      </c>
      <c r="L443" s="73">
        <v>109034.05</v>
      </c>
      <c r="M443" s="73">
        <v>237759.32</v>
      </c>
      <c r="N443" s="73">
        <v>53845.19</v>
      </c>
      <c r="O443" s="73">
        <v>34242.58</v>
      </c>
      <c r="P443" s="73">
        <v>113416.45</v>
      </c>
      <c r="Q443" s="73">
        <v>276757.03000000003</v>
      </c>
      <c r="R443" s="73">
        <v>59343.78</v>
      </c>
      <c r="S443" s="73">
        <v>44880.480000000003</v>
      </c>
      <c r="T443" s="73">
        <v>128089.16999999899</v>
      </c>
      <c r="U443" s="73">
        <v>310852.56999999902</v>
      </c>
      <c r="V443" s="161">
        <f t="shared" si="8"/>
        <v>232313.429999999</v>
      </c>
      <c r="W443" s="161"/>
    </row>
    <row r="444" spans="2:23" x14ac:dyDescent="0.2">
      <c r="B444" s="54">
        <v>98444</v>
      </c>
      <c r="C444" s="60" t="s">
        <v>10</v>
      </c>
      <c r="D444" s="45">
        <v>845</v>
      </c>
      <c r="E444" s="45">
        <v>496</v>
      </c>
      <c r="F444" s="45">
        <v>838</v>
      </c>
      <c r="H444" s="71">
        <v>98443</v>
      </c>
      <c r="I444" s="71" t="s">
        <v>10</v>
      </c>
      <c r="J444" s="73">
        <v>3439.41</v>
      </c>
      <c r="K444" s="73">
        <v>825.77</v>
      </c>
      <c r="L444" s="73">
        <v>4566.9799999999996</v>
      </c>
      <c r="M444" s="73">
        <v>20008.36</v>
      </c>
      <c r="N444" s="73">
        <v>3875.89</v>
      </c>
      <c r="O444" s="73">
        <v>2230.62</v>
      </c>
      <c r="P444" s="73">
        <v>2702.2</v>
      </c>
      <c r="Q444" s="73">
        <v>16801.57</v>
      </c>
      <c r="R444" s="73">
        <v>3805.1799999999898</v>
      </c>
      <c r="S444" s="73">
        <v>2823.84</v>
      </c>
      <c r="T444" s="73">
        <v>4061.01999999999</v>
      </c>
      <c r="U444" s="73">
        <v>20631.759999999998</v>
      </c>
      <c r="V444" s="161">
        <f t="shared" si="8"/>
        <v>10690.039999999979</v>
      </c>
      <c r="W444" s="161"/>
    </row>
    <row r="445" spans="2:23" x14ac:dyDescent="0.2">
      <c r="B445" s="78">
        <v>98445</v>
      </c>
      <c r="C445" s="60" t="s">
        <v>10</v>
      </c>
      <c r="D445" s="45">
        <v>928</v>
      </c>
      <c r="E445" s="45">
        <v>711</v>
      </c>
      <c r="F445" s="45">
        <v>1101</v>
      </c>
      <c r="H445" s="71">
        <v>98444</v>
      </c>
      <c r="I445" s="71" t="s">
        <v>10</v>
      </c>
      <c r="J445" s="73">
        <v>53046.159999999902</v>
      </c>
      <c r="K445" s="73">
        <v>13223.63</v>
      </c>
      <c r="L445" s="73">
        <v>91897.02</v>
      </c>
      <c r="M445" s="73">
        <v>258344.91</v>
      </c>
      <c r="N445" s="73">
        <v>34074.359999999899</v>
      </c>
      <c r="O445" s="73">
        <v>49331.25</v>
      </c>
      <c r="P445" s="73">
        <v>82480.930000000095</v>
      </c>
      <c r="Q445" s="73">
        <v>194048.68</v>
      </c>
      <c r="R445" s="73">
        <v>52197.27</v>
      </c>
      <c r="S445" s="73">
        <v>25380.359999999899</v>
      </c>
      <c r="T445" s="73">
        <v>106726.86999999901</v>
      </c>
      <c r="U445" s="73">
        <v>310077.28000000003</v>
      </c>
      <c r="V445" s="161">
        <f t="shared" ref="V445:V480" si="11">SUM(R445:T445)</f>
        <v>184304.49999999889</v>
      </c>
      <c r="W445" s="161"/>
    </row>
    <row r="446" spans="2:23" x14ac:dyDescent="0.2">
      <c r="B446" s="78">
        <v>98446</v>
      </c>
      <c r="C446" s="60" t="s">
        <v>10</v>
      </c>
      <c r="D446" s="45">
        <v>370</v>
      </c>
      <c r="E446" s="45">
        <v>352</v>
      </c>
      <c r="F446" s="45">
        <v>433</v>
      </c>
      <c r="H446" s="71">
        <v>98445</v>
      </c>
      <c r="I446" s="71" t="s">
        <v>10</v>
      </c>
      <c r="J446" s="73">
        <v>67587.199999999997</v>
      </c>
      <c r="K446" s="73">
        <v>12668.23</v>
      </c>
      <c r="L446" s="73">
        <v>132104.87999999899</v>
      </c>
      <c r="M446" s="73">
        <v>317559.96999999997</v>
      </c>
      <c r="N446" s="73">
        <v>39174.5</v>
      </c>
      <c r="O446" s="73">
        <v>48808.27</v>
      </c>
      <c r="P446" s="73">
        <v>109408.30999999899</v>
      </c>
      <c r="Q446" s="73">
        <v>280448.20999999897</v>
      </c>
      <c r="R446" s="73">
        <v>63178.239999999998</v>
      </c>
      <c r="S446" s="73">
        <v>21058.539999999899</v>
      </c>
      <c r="T446" s="73">
        <v>134533.95000000001</v>
      </c>
      <c r="U446" s="73">
        <v>408090.71</v>
      </c>
      <c r="V446" s="161">
        <f t="shared" si="11"/>
        <v>218770.72999999992</v>
      </c>
      <c r="W446" s="161"/>
    </row>
    <row r="447" spans="2:23" x14ac:dyDescent="0.2">
      <c r="B447" s="54">
        <v>98465</v>
      </c>
      <c r="C447" s="60" t="s">
        <v>10</v>
      </c>
      <c r="D447" s="45">
        <v>100</v>
      </c>
      <c r="E447" s="45">
        <v>104</v>
      </c>
      <c r="F447" s="45">
        <v>136</v>
      </c>
      <c r="H447" s="71">
        <v>98446</v>
      </c>
      <c r="I447" s="71" t="s">
        <v>10</v>
      </c>
      <c r="J447" s="73">
        <v>26604.2599999999</v>
      </c>
      <c r="K447" s="73">
        <v>1435.4199999999901</v>
      </c>
      <c r="L447" s="73">
        <v>76375.249999999898</v>
      </c>
      <c r="M447" s="73">
        <v>148196.329999999</v>
      </c>
      <c r="N447" s="73">
        <v>34008.79</v>
      </c>
      <c r="O447" s="73">
        <v>17951.289999999899</v>
      </c>
      <c r="P447" s="73">
        <v>69095.86</v>
      </c>
      <c r="Q447" s="73">
        <v>168200.16</v>
      </c>
      <c r="R447" s="73">
        <v>35274.92</v>
      </c>
      <c r="S447" s="73">
        <v>23742.63</v>
      </c>
      <c r="T447" s="73">
        <v>76470.479999999894</v>
      </c>
      <c r="U447" s="73">
        <v>203094.24999999901</v>
      </c>
      <c r="V447" s="161">
        <f t="shared" si="11"/>
        <v>135488.02999999991</v>
      </c>
      <c r="W447" s="161"/>
    </row>
    <row r="448" spans="2:23" x14ac:dyDescent="0.2">
      <c r="B448" s="54">
        <v>98466</v>
      </c>
      <c r="C448" s="60" t="s">
        <v>10</v>
      </c>
      <c r="D448" s="45">
        <v>638</v>
      </c>
      <c r="E448" s="45">
        <v>679</v>
      </c>
      <c r="F448" s="45">
        <v>636</v>
      </c>
      <c r="H448" s="71">
        <v>98465</v>
      </c>
      <c r="I448" s="71" t="s">
        <v>10</v>
      </c>
      <c r="J448" s="73">
        <v>9140.39</v>
      </c>
      <c r="K448" s="73">
        <v>181.37</v>
      </c>
      <c r="L448" s="73">
        <v>20739.560000000001</v>
      </c>
      <c r="M448" s="73">
        <v>38039.869999999901</v>
      </c>
      <c r="N448" s="73">
        <v>7508.59</v>
      </c>
      <c r="O448" s="73">
        <v>3801.6</v>
      </c>
      <c r="P448" s="73">
        <v>19081.609999999899</v>
      </c>
      <c r="Q448" s="73">
        <v>44661.46</v>
      </c>
      <c r="R448" s="73">
        <v>8245.65</v>
      </c>
      <c r="S448" s="73">
        <v>2729.74</v>
      </c>
      <c r="T448" s="73">
        <v>22454.929999999898</v>
      </c>
      <c r="U448" s="73">
        <v>56016.729999999901</v>
      </c>
      <c r="V448" s="161">
        <f t="shared" si="11"/>
        <v>33430.319999999898</v>
      </c>
      <c r="W448" s="161"/>
    </row>
    <row r="449" spans="2:23" x14ac:dyDescent="0.2">
      <c r="B449" s="54">
        <v>98467</v>
      </c>
      <c r="C449" s="60" t="s">
        <v>10</v>
      </c>
      <c r="D449" s="45">
        <v>296</v>
      </c>
      <c r="E449" s="45">
        <v>290</v>
      </c>
      <c r="F449" s="45">
        <v>300</v>
      </c>
      <c r="H449" s="71">
        <v>98466</v>
      </c>
      <c r="I449" s="71" t="s">
        <v>10</v>
      </c>
      <c r="J449" s="73">
        <v>36849.3999999999</v>
      </c>
      <c r="K449" s="73">
        <v>9142.8599999999897</v>
      </c>
      <c r="L449" s="73">
        <v>55919.279999999897</v>
      </c>
      <c r="M449" s="73">
        <v>190029.05999999901</v>
      </c>
      <c r="N449" s="73">
        <v>47133.709999999897</v>
      </c>
      <c r="O449" s="73">
        <v>24764.35</v>
      </c>
      <c r="P449" s="73">
        <v>53960.62</v>
      </c>
      <c r="Q449" s="73">
        <v>218652.679999999</v>
      </c>
      <c r="R449" s="73">
        <v>43141.39</v>
      </c>
      <c r="S449" s="73">
        <v>28431.3499999999</v>
      </c>
      <c r="T449" s="73">
        <v>60380.89</v>
      </c>
      <c r="U449" s="73">
        <v>226007.80999999901</v>
      </c>
      <c r="V449" s="161">
        <f t="shared" si="11"/>
        <v>131953.62999999989</v>
      </c>
      <c r="W449" s="161"/>
    </row>
    <row r="450" spans="2:23" x14ac:dyDescent="0.2">
      <c r="B450" s="54">
        <v>98498</v>
      </c>
      <c r="C450" s="60" t="s">
        <v>10</v>
      </c>
      <c r="D450" s="45">
        <v>1923</v>
      </c>
      <c r="E450" s="45">
        <v>2031</v>
      </c>
      <c r="F450" s="45">
        <v>1942</v>
      </c>
      <c r="H450" s="71">
        <v>98467</v>
      </c>
      <c r="I450" s="71" t="s">
        <v>10</v>
      </c>
      <c r="J450" s="73">
        <v>19663.879999999899</v>
      </c>
      <c r="K450" s="73">
        <v>4944.9899999999898</v>
      </c>
      <c r="L450" s="73">
        <v>45051.35</v>
      </c>
      <c r="M450" s="73">
        <v>118218.98</v>
      </c>
      <c r="N450" s="73">
        <v>26442.46</v>
      </c>
      <c r="O450" s="73">
        <v>13398.45</v>
      </c>
      <c r="P450" s="73">
        <v>41579.319999999898</v>
      </c>
      <c r="Q450" s="73">
        <v>126497.08999999901</v>
      </c>
      <c r="R450" s="73">
        <v>23520.240000000002</v>
      </c>
      <c r="S450" s="73">
        <v>17848.559999999899</v>
      </c>
      <c r="T450" s="73">
        <v>44205.58</v>
      </c>
      <c r="U450" s="73">
        <v>135150.24</v>
      </c>
      <c r="V450" s="161">
        <f t="shared" si="11"/>
        <v>85574.379999999903</v>
      </c>
      <c r="W450" s="161"/>
    </row>
    <row r="451" spans="2:23" x14ac:dyDescent="0.2">
      <c r="B451" s="54">
        <v>98499</v>
      </c>
      <c r="C451" s="60" t="s">
        <v>10</v>
      </c>
      <c r="D451" s="45">
        <v>644</v>
      </c>
      <c r="E451" s="45">
        <v>679</v>
      </c>
      <c r="F451" s="45">
        <v>682</v>
      </c>
      <c r="H451" s="71">
        <v>98498</v>
      </c>
      <c r="I451" s="71" t="s">
        <v>10</v>
      </c>
      <c r="J451" s="73">
        <v>152750.91999999899</v>
      </c>
      <c r="K451" s="73">
        <v>59465.85</v>
      </c>
      <c r="L451" s="73">
        <v>356447.44999999902</v>
      </c>
      <c r="M451" s="73">
        <v>933244.58999999799</v>
      </c>
      <c r="N451" s="73">
        <v>218797.859999999</v>
      </c>
      <c r="O451" s="73">
        <v>118685.58999999901</v>
      </c>
      <c r="P451" s="73">
        <v>354726.96999999898</v>
      </c>
      <c r="Q451" s="73">
        <v>1106684.1299999901</v>
      </c>
      <c r="R451" s="73">
        <v>237328.85</v>
      </c>
      <c r="S451" s="73">
        <v>160645.19999999899</v>
      </c>
      <c r="T451" s="73">
        <v>389037.35</v>
      </c>
      <c r="U451" s="73">
        <v>1165879.24</v>
      </c>
      <c r="V451" s="161">
        <f t="shared" si="11"/>
        <v>787011.39999999898</v>
      </c>
      <c r="W451" s="161"/>
    </row>
    <row r="452" spans="2:23" x14ac:dyDescent="0.2">
      <c r="B452" s="54">
        <v>98501</v>
      </c>
      <c r="C452" s="60" t="s">
        <v>10</v>
      </c>
      <c r="D452" s="45">
        <v>3911</v>
      </c>
      <c r="E452" s="45">
        <v>4029</v>
      </c>
      <c r="F452" s="45">
        <v>3884</v>
      </c>
      <c r="H452" s="71">
        <v>98499</v>
      </c>
      <c r="I452" s="71" t="s">
        <v>10</v>
      </c>
      <c r="J452" s="73">
        <v>34133.980000000003</v>
      </c>
      <c r="K452" s="73">
        <v>10963.97</v>
      </c>
      <c r="L452" s="73">
        <v>134663.43999999901</v>
      </c>
      <c r="M452" s="73">
        <v>269375.18999999901</v>
      </c>
      <c r="N452" s="73">
        <v>54598.98</v>
      </c>
      <c r="O452" s="73">
        <v>25622.749999999902</v>
      </c>
      <c r="P452" s="73">
        <v>132087.04999999999</v>
      </c>
      <c r="Q452" s="73">
        <v>307497.61999999901</v>
      </c>
      <c r="R452" s="73">
        <v>55044.11</v>
      </c>
      <c r="S452" s="73">
        <v>41576.0099999999</v>
      </c>
      <c r="T452" s="73">
        <v>135454.9</v>
      </c>
      <c r="U452" s="73">
        <v>323426.87</v>
      </c>
      <c r="V452" s="161">
        <f t="shared" si="11"/>
        <v>232075.0199999999</v>
      </c>
      <c r="W452" s="161"/>
    </row>
    <row r="453" spans="2:23" x14ac:dyDescent="0.2">
      <c r="B453" s="78">
        <v>98502</v>
      </c>
      <c r="C453" s="60" t="s">
        <v>10</v>
      </c>
      <c r="D453" s="69">
        <v>2692</v>
      </c>
      <c r="E453" s="45">
        <v>2740</v>
      </c>
      <c r="F453" s="45">
        <v>2685</v>
      </c>
      <c r="H453" s="71">
        <v>98501</v>
      </c>
      <c r="I453" s="71" t="s">
        <v>10</v>
      </c>
      <c r="J453" s="73">
        <v>275535.87</v>
      </c>
      <c r="K453" s="73">
        <v>102285.02</v>
      </c>
      <c r="L453" s="73">
        <v>505106.36999999901</v>
      </c>
      <c r="M453" s="73">
        <v>1552564.4299999899</v>
      </c>
      <c r="N453" s="73">
        <v>335604.3</v>
      </c>
      <c r="O453" s="73">
        <v>193051.9</v>
      </c>
      <c r="P453" s="73">
        <v>496121.63</v>
      </c>
      <c r="Q453" s="73">
        <v>1710345.4199999899</v>
      </c>
      <c r="R453" s="73">
        <v>317436.01</v>
      </c>
      <c r="S453" s="73">
        <v>228859.22</v>
      </c>
      <c r="T453" s="73">
        <v>538190.36999999895</v>
      </c>
      <c r="U453" s="73">
        <v>1797859.63</v>
      </c>
      <c r="V453" s="161">
        <f t="shared" si="11"/>
        <v>1084485.5999999989</v>
      </c>
      <c r="W453" s="161"/>
    </row>
    <row r="454" spans="2:23" x14ac:dyDescent="0.2">
      <c r="B454" s="54">
        <v>98503</v>
      </c>
      <c r="C454" s="60" t="s">
        <v>10</v>
      </c>
      <c r="D454" s="45">
        <v>3735</v>
      </c>
      <c r="E454" s="45">
        <v>3822</v>
      </c>
      <c r="F454" s="45">
        <v>3738</v>
      </c>
      <c r="H454" s="71">
        <v>98502</v>
      </c>
      <c r="I454" s="71" t="s">
        <v>10</v>
      </c>
      <c r="J454" s="73">
        <v>201559.15</v>
      </c>
      <c r="K454" s="73">
        <v>80962.059999999896</v>
      </c>
      <c r="L454" s="73">
        <v>396142.21999999898</v>
      </c>
      <c r="M454" s="73">
        <v>1131807.29</v>
      </c>
      <c r="N454" s="73">
        <v>249568.16</v>
      </c>
      <c r="O454" s="73">
        <v>148757.91999999899</v>
      </c>
      <c r="P454" s="73">
        <v>392942.42</v>
      </c>
      <c r="Q454" s="73">
        <v>1278054.22999999</v>
      </c>
      <c r="R454" s="73">
        <v>266062.51</v>
      </c>
      <c r="S454" s="73">
        <v>180582.38</v>
      </c>
      <c r="T454" s="73">
        <v>449449.37</v>
      </c>
      <c r="U454" s="73">
        <v>1375488.0899999901</v>
      </c>
      <c r="V454" s="161">
        <f t="shared" si="11"/>
        <v>896094.26</v>
      </c>
      <c r="W454" s="161"/>
    </row>
    <row r="455" spans="2:23" x14ac:dyDescent="0.2">
      <c r="B455" s="54">
        <v>98506</v>
      </c>
      <c r="C455" s="60" t="s">
        <v>10</v>
      </c>
      <c r="D455" s="45">
        <v>1371</v>
      </c>
      <c r="E455" s="45">
        <v>1463</v>
      </c>
      <c r="F455" s="45">
        <v>1467</v>
      </c>
      <c r="H455" s="71">
        <v>98503</v>
      </c>
      <c r="I455" s="71" t="s">
        <v>10</v>
      </c>
      <c r="J455" s="73">
        <v>289467.34999999998</v>
      </c>
      <c r="K455" s="73">
        <v>109928.41999999899</v>
      </c>
      <c r="L455" s="73">
        <v>588066.070000001</v>
      </c>
      <c r="M455" s="73">
        <v>1671456.52999999</v>
      </c>
      <c r="N455" s="73">
        <v>370998.06999999902</v>
      </c>
      <c r="O455" s="73">
        <v>205824.06</v>
      </c>
      <c r="P455" s="73">
        <v>548980.01999999897</v>
      </c>
      <c r="Q455" s="73">
        <v>1793828.6199999901</v>
      </c>
      <c r="R455" s="73">
        <v>375728.45999999897</v>
      </c>
      <c r="S455" s="73">
        <v>262558.64999999898</v>
      </c>
      <c r="T455" s="73">
        <v>618103.099999998</v>
      </c>
      <c r="U455" s="73">
        <v>1953312.4399999899</v>
      </c>
      <c r="V455" s="161">
        <f t="shared" si="11"/>
        <v>1256390.209999996</v>
      </c>
      <c r="W455" s="161"/>
    </row>
    <row r="456" spans="2:23" x14ac:dyDescent="0.2">
      <c r="B456" s="54">
        <v>98512</v>
      </c>
      <c r="C456" s="60" t="s">
        <v>10</v>
      </c>
      <c r="D456" s="45">
        <v>2128</v>
      </c>
      <c r="E456" s="45">
        <v>2343</v>
      </c>
      <c r="F456" s="45">
        <v>2281</v>
      </c>
      <c r="H456" s="71">
        <v>98506</v>
      </c>
      <c r="I456" s="71" t="s">
        <v>10</v>
      </c>
      <c r="J456" s="73">
        <v>106203.159999999</v>
      </c>
      <c r="K456" s="73">
        <v>37603.679999999898</v>
      </c>
      <c r="L456" s="73">
        <v>205896.66</v>
      </c>
      <c r="M456" s="73">
        <v>589760.6</v>
      </c>
      <c r="N456" s="73">
        <v>132412.29</v>
      </c>
      <c r="O456" s="73">
        <v>76448.759999999995</v>
      </c>
      <c r="P456" s="73">
        <v>210528.12999999899</v>
      </c>
      <c r="Q456" s="73">
        <v>693301.68</v>
      </c>
      <c r="R456" s="73">
        <v>132255.60999999999</v>
      </c>
      <c r="S456" s="73">
        <v>89593.08</v>
      </c>
      <c r="T456" s="73">
        <v>227865.57</v>
      </c>
      <c r="U456" s="73">
        <v>733546.28999999899</v>
      </c>
      <c r="V456" s="161">
        <f t="shared" si="11"/>
        <v>449714.26</v>
      </c>
      <c r="W456" s="161"/>
    </row>
    <row r="457" spans="2:23" x14ac:dyDescent="0.2">
      <c r="B457" s="54">
        <v>98513</v>
      </c>
      <c r="C457" s="60" t="s">
        <v>10</v>
      </c>
      <c r="D457" s="45">
        <v>2588</v>
      </c>
      <c r="E457" s="45">
        <v>2724</v>
      </c>
      <c r="F457" s="45">
        <v>2629</v>
      </c>
      <c r="H457" s="71">
        <v>98512</v>
      </c>
      <c r="I457" s="71" t="s">
        <v>10</v>
      </c>
      <c r="J457" s="73">
        <v>193401.74999999901</v>
      </c>
      <c r="K457" s="73">
        <v>65689.739999999903</v>
      </c>
      <c r="L457" s="73">
        <v>433565.47999999899</v>
      </c>
      <c r="M457" s="73">
        <v>1086240.6399999999</v>
      </c>
      <c r="N457" s="73">
        <v>236780.58999999901</v>
      </c>
      <c r="O457" s="73">
        <v>138956.62</v>
      </c>
      <c r="P457" s="73">
        <v>411822.71</v>
      </c>
      <c r="Q457" s="73">
        <v>1236165.83</v>
      </c>
      <c r="R457" s="73">
        <v>249743.429999999</v>
      </c>
      <c r="S457" s="73">
        <v>167664.58999999901</v>
      </c>
      <c r="T457" s="73">
        <v>453483.12999999902</v>
      </c>
      <c r="U457" s="73">
        <v>1332560.8899999999</v>
      </c>
      <c r="V457" s="161">
        <f t="shared" si="11"/>
        <v>870891.14999999711</v>
      </c>
      <c r="W457" s="161"/>
    </row>
    <row r="458" spans="2:23" x14ac:dyDescent="0.2">
      <c r="B458" s="54">
        <v>98516</v>
      </c>
      <c r="C458" s="60" t="s">
        <v>10</v>
      </c>
      <c r="D458" s="45">
        <v>2013</v>
      </c>
      <c r="E458" s="45">
        <v>2129</v>
      </c>
      <c r="F458" s="45">
        <v>2101</v>
      </c>
      <c r="H458" s="71">
        <v>98513</v>
      </c>
      <c r="I458" s="71" t="s">
        <v>10</v>
      </c>
      <c r="J458" s="73">
        <v>222801.87</v>
      </c>
      <c r="K458" s="73">
        <v>85652.51</v>
      </c>
      <c r="L458" s="73">
        <v>396088.549999999</v>
      </c>
      <c r="M458" s="73">
        <v>1259947.3899999999</v>
      </c>
      <c r="N458" s="73">
        <v>303404.87</v>
      </c>
      <c r="O458" s="73">
        <v>152087.67000000001</v>
      </c>
      <c r="P458" s="73">
        <v>364376.85</v>
      </c>
      <c r="Q458" s="73">
        <v>1361016.0799999901</v>
      </c>
      <c r="R458" s="73">
        <v>279763.96999999997</v>
      </c>
      <c r="S458" s="73">
        <v>199779.37</v>
      </c>
      <c r="T458" s="73">
        <v>431363.51999999897</v>
      </c>
      <c r="U458" s="73">
        <v>1478788.01999999</v>
      </c>
      <c r="V458" s="161">
        <f t="shared" si="11"/>
        <v>910906.85999999894</v>
      </c>
      <c r="W458" s="161"/>
    </row>
    <row r="459" spans="2:23" x14ac:dyDescent="0.2">
      <c r="B459" s="54">
        <v>98530</v>
      </c>
      <c r="C459" s="60" t="s">
        <v>10</v>
      </c>
      <c r="D459" s="45">
        <v>68</v>
      </c>
      <c r="E459" s="45">
        <v>47</v>
      </c>
      <c r="F459" s="45">
        <v>69</v>
      </c>
      <c r="H459" s="71">
        <v>98516</v>
      </c>
      <c r="I459" s="71" t="s">
        <v>10</v>
      </c>
      <c r="J459" s="73">
        <v>145291.09</v>
      </c>
      <c r="K459" s="73">
        <v>60862.519999999902</v>
      </c>
      <c r="L459" s="73">
        <v>304791.19999999902</v>
      </c>
      <c r="M459" s="73">
        <v>861460.77</v>
      </c>
      <c r="N459" s="73">
        <v>184062.799999999</v>
      </c>
      <c r="O459" s="73">
        <v>101427.00999999901</v>
      </c>
      <c r="P459" s="73">
        <v>306827.75</v>
      </c>
      <c r="Q459" s="73">
        <v>1001284.25</v>
      </c>
      <c r="R459" s="73">
        <v>224598.61999999901</v>
      </c>
      <c r="S459" s="73">
        <v>127005.48</v>
      </c>
      <c r="T459" s="73">
        <v>337597.77999999898</v>
      </c>
      <c r="U459" s="73">
        <v>1062970.07</v>
      </c>
      <c r="V459" s="161">
        <f t="shared" si="11"/>
        <v>689201.87999999803</v>
      </c>
      <c r="W459" s="161"/>
    </row>
    <row r="460" spans="2:23" x14ac:dyDescent="0.2">
      <c r="B460" s="54">
        <v>98531</v>
      </c>
      <c r="C460" s="60" t="s">
        <v>10</v>
      </c>
      <c r="D460" s="45">
        <v>539</v>
      </c>
      <c r="E460" s="45">
        <v>511</v>
      </c>
      <c r="F460" s="45">
        <v>524</v>
      </c>
      <c r="H460" s="71">
        <v>98530</v>
      </c>
      <c r="I460" s="71" t="s">
        <v>10</v>
      </c>
      <c r="J460" s="73">
        <v>265.37</v>
      </c>
      <c r="K460" s="73">
        <v>3812.62</v>
      </c>
      <c r="L460" s="73">
        <v>9594.93</v>
      </c>
      <c r="M460" s="73">
        <v>38041.53</v>
      </c>
      <c r="N460" s="73">
        <v>15737.13</v>
      </c>
      <c r="O460" s="73"/>
      <c r="P460" s="73">
        <v>10621.699999999901</v>
      </c>
      <c r="Q460" s="73">
        <v>26358.8299999999</v>
      </c>
      <c r="R460" s="73"/>
      <c r="S460" s="73">
        <v>11805.32</v>
      </c>
      <c r="T460" s="73">
        <v>7446.43</v>
      </c>
      <c r="U460" s="73">
        <v>49173.06</v>
      </c>
      <c r="V460" s="161">
        <f t="shared" si="11"/>
        <v>19251.75</v>
      </c>
      <c r="W460" s="161"/>
    </row>
    <row r="461" spans="2:23" x14ac:dyDescent="0.2">
      <c r="B461" s="54">
        <v>98532</v>
      </c>
      <c r="C461" s="60" t="s">
        <v>10</v>
      </c>
      <c r="D461" s="45">
        <v>166</v>
      </c>
      <c r="E461" s="45">
        <v>183</v>
      </c>
      <c r="F461" s="45">
        <v>179</v>
      </c>
      <c r="H461" s="71">
        <v>98531</v>
      </c>
      <c r="I461" s="71" t="s">
        <v>10</v>
      </c>
      <c r="J461" s="73">
        <v>24926.37</v>
      </c>
      <c r="K461" s="73">
        <v>9617.14</v>
      </c>
      <c r="L461" s="73">
        <v>93319.509999999893</v>
      </c>
      <c r="M461" s="73">
        <v>208143.1</v>
      </c>
      <c r="N461" s="73">
        <v>45953.779999999897</v>
      </c>
      <c r="O461" s="73">
        <v>18919.43</v>
      </c>
      <c r="P461" s="73">
        <v>92754.699999999895</v>
      </c>
      <c r="Q461" s="73">
        <v>224304.13</v>
      </c>
      <c r="R461" s="73">
        <v>38596.230000000003</v>
      </c>
      <c r="S461" s="73">
        <v>32383.1699999999</v>
      </c>
      <c r="T461" s="73">
        <v>97215.539999999804</v>
      </c>
      <c r="U461" s="73">
        <v>248464.99999999901</v>
      </c>
      <c r="V461" s="161">
        <f t="shared" si="11"/>
        <v>168194.93999999971</v>
      </c>
      <c r="W461" s="161"/>
    </row>
    <row r="462" spans="2:23" x14ac:dyDescent="0.2">
      <c r="B462" s="54">
        <v>98558</v>
      </c>
      <c r="C462" s="60" t="s">
        <v>10</v>
      </c>
      <c r="D462" s="45">
        <v>12</v>
      </c>
      <c r="E462" s="45">
        <v>13</v>
      </c>
      <c r="F462" s="45">
        <v>12</v>
      </c>
      <c r="H462" s="71">
        <v>98532</v>
      </c>
      <c r="I462" s="71" t="s">
        <v>10</v>
      </c>
      <c r="J462" s="73">
        <v>8733.1299999999992</v>
      </c>
      <c r="K462" s="73">
        <v>2147.45999999999</v>
      </c>
      <c r="L462" s="73">
        <v>33164.559999999903</v>
      </c>
      <c r="M462" s="73">
        <v>63733.5799999999</v>
      </c>
      <c r="N462" s="73">
        <v>11187.25</v>
      </c>
      <c r="O462" s="73">
        <v>6566.06</v>
      </c>
      <c r="P462" s="73">
        <v>29122.34</v>
      </c>
      <c r="Q462" s="73">
        <v>66766.33</v>
      </c>
      <c r="R462" s="73">
        <v>12077.4999999999</v>
      </c>
      <c r="S462" s="73">
        <v>7515.83</v>
      </c>
      <c r="T462" s="73">
        <v>31701.35</v>
      </c>
      <c r="U462" s="73">
        <v>77125.119999999995</v>
      </c>
      <c r="V462" s="161">
        <f t="shared" si="11"/>
        <v>51294.679999999898</v>
      </c>
      <c r="W462" s="161"/>
    </row>
    <row r="463" spans="2:23" x14ac:dyDescent="0.2">
      <c r="B463" s="54">
        <v>98568</v>
      </c>
      <c r="C463" s="60" t="s">
        <v>10</v>
      </c>
      <c r="D463" s="45"/>
      <c r="E463" s="45"/>
      <c r="F463" s="45">
        <v>4</v>
      </c>
      <c r="H463" s="71">
        <v>98558</v>
      </c>
      <c r="I463" s="71" t="s">
        <v>10</v>
      </c>
      <c r="J463" s="73">
        <v>947.74</v>
      </c>
      <c r="K463" s="73">
        <v>164.8</v>
      </c>
      <c r="L463" s="73">
        <v>8872.7000000000007</v>
      </c>
      <c r="M463" s="73">
        <v>11814.219999999899</v>
      </c>
      <c r="N463" s="73">
        <v>1669.96</v>
      </c>
      <c r="O463" s="73">
        <v>528.35999999999899</v>
      </c>
      <c r="P463" s="73">
        <v>2260.4699999999998</v>
      </c>
      <c r="Q463" s="73">
        <v>6949.56</v>
      </c>
      <c r="R463" s="73">
        <v>1899.5</v>
      </c>
      <c r="S463" s="73">
        <v>1452.99</v>
      </c>
      <c r="T463" s="73">
        <v>2688.83</v>
      </c>
      <c r="U463" s="73">
        <v>8271.11</v>
      </c>
      <c r="V463" s="161">
        <f t="shared" si="11"/>
        <v>6041.32</v>
      </c>
      <c r="W463" s="161"/>
    </row>
    <row r="464" spans="2:23" x14ac:dyDescent="0.2">
      <c r="B464" s="54">
        <v>98576</v>
      </c>
      <c r="C464" s="60" t="s">
        <v>10</v>
      </c>
      <c r="D464" s="45">
        <v>474</v>
      </c>
      <c r="E464" s="45">
        <v>294</v>
      </c>
      <c r="F464" s="45">
        <v>496</v>
      </c>
      <c r="H464" s="71">
        <v>98568</v>
      </c>
      <c r="I464" s="71" t="s">
        <v>10</v>
      </c>
      <c r="J464" s="73"/>
      <c r="K464" s="73"/>
      <c r="L464" s="73"/>
      <c r="M464" s="73"/>
      <c r="N464" s="73"/>
      <c r="O464" s="73"/>
      <c r="P464" s="73"/>
      <c r="Q464" s="73"/>
      <c r="R464" s="73"/>
      <c r="S464" s="73"/>
      <c r="T464" s="73"/>
      <c r="U464" s="73">
        <v>2373.13</v>
      </c>
      <c r="V464" s="161">
        <f t="shared" si="11"/>
        <v>0</v>
      </c>
      <c r="W464" s="161"/>
    </row>
    <row r="465" spans="2:23" x14ac:dyDescent="0.2">
      <c r="B465" s="54">
        <v>98579</v>
      </c>
      <c r="C465" s="60" t="s">
        <v>10</v>
      </c>
      <c r="D465" s="45">
        <v>796</v>
      </c>
      <c r="E465" s="45">
        <v>826</v>
      </c>
      <c r="F465" s="45">
        <v>831</v>
      </c>
      <c r="H465" s="71">
        <v>98576</v>
      </c>
      <c r="I465" s="71" t="s">
        <v>10</v>
      </c>
      <c r="J465" s="73">
        <v>49134.359999999899</v>
      </c>
      <c r="K465" s="73">
        <v>14608.889999999899</v>
      </c>
      <c r="L465" s="73">
        <v>156534.53</v>
      </c>
      <c r="M465" s="73">
        <v>325248.63</v>
      </c>
      <c r="N465" s="73">
        <v>55181.24</v>
      </c>
      <c r="O465" s="73">
        <v>45084.5799999999</v>
      </c>
      <c r="P465" s="73">
        <v>133735.60999999999</v>
      </c>
      <c r="Q465" s="73">
        <v>261812.89</v>
      </c>
      <c r="R465" s="73">
        <v>63217.47</v>
      </c>
      <c r="S465" s="73">
        <v>40264.479999999901</v>
      </c>
      <c r="T465" s="73">
        <v>158015.07999999999</v>
      </c>
      <c r="U465" s="73">
        <v>378401.91</v>
      </c>
      <c r="V465" s="161">
        <f t="shared" si="11"/>
        <v>261497.02999999988</v>
      </c>
      <c r="W465" s="161"/>
    </row>
    <row r="466" spans="2:23" x14ac:dyDescent="0.2">
      <c r="B466" s="54">
        <v>98580</v>
      </c>
      <c r="C466" s="60" t="s">
        <v>10</v>
      </c>
      <c r="D466" s="45">
        <v>335</v>
      </c>
      <c r="E466" s="45">
        <v>392</v>
      </c>
      <c r="F466" s="45">
        <v>418</v>
      </c>
      <c r="H466" s="71">
        <v>98579</v>
      </c>
      <c r="I466" s="71" t="s">
        <v>10</v>
      </c>
      <c r="J466" s="73">
        <v>95849.859999999899</v>
      </c>
      <c r="K466" s="73">
        <v>33228.769999999997</v>
      </c>
      <c r="L466" s="73">
        <v>216598.7</v>
      </c>
      <c r="M466" s="73">
        <v>527144.75</v>
      </c>
      <c r="N466" s="73">
        <v>108821.44</v>
      </c>
      <c r="O466" s="73">
        <v>74026.949999999895</v>
      </c>
      <c r="P466" s="73">
        <v>251482.68999999901</v>
      </c>
      <c r="Q466" s="73">
        <v>629826.549999999</v>
      </c>
      <c r="R466" s="73">
        <v>117485.7</v>
      </c>
      <c r="S466" s="73">
        <v>78980.399999999994</v>
      </c>
      <c r="T466" s="73">
        <v>234539.39</v>
      </c>
      <c r="U466" s="73">
        <v>631571.38</v>
      </c>
      <c r="V466" s="161">
        <f t="shared" si="11"/>
        <v>431005.49</v>
      </c>
      <c r="W466" s="161"/>
    </row>
    <row r="467" spans="2:23" x14ac:dyDescent="0.2">
      <c r="B467" s="54">
        <v>98589</v>
      </c>
      <c r="C467" s="60" t="s">
        <v>10</v>
      </c>
      <c r="D467" s="45">
        <v>499</v>
      </c>
      <c r="E467" s="45">
        <v>528</v>
      </c>
      <c r="F467" s="69">
        <v>529</v>
      </c>
      <c r="H467" s="71">
        <v>98580</v>
      </c>
      <c r="I467" s="71" t="s">
        <v>10</v>
      </c>
      <c r="J467" s="73">
        <v>37735.119999999901</v>
      </c>
      <c r="K467" s="73">
        <v>9763.2199999999993</v>
      </c>
      <c r="L467" s="73">
        <v>154726.46999999901</v>
      </c>
      <c r="M467" s="73">
        <v>268969.179999999</v>
      </c>
      <c r="N467" s="73">
        <v>55175.029999999897</v>
      </c>
      <c r="O467" s="73">
        <v>24251.539999999899</v>
      </c>
      <c r="P467" s="73">
        <v>147712.56999999899</v>
      </c>
      <c r="Q467" s="73">
        <v>321304.7</v>
      </c>
      <c r="R467" s="73">
        <v>59144.959999999999</v>
      </c>
      <c r="S467" s="73">
        <v>37144.629999999903</v>
      </c>
      <c r="T467" s="73">
        <v>160084.07</v>
      </c>
      <c r="U467" s="73">
        <v>379218.58999999898</v>
      </c>
      <c r="V467" s="161">
        <f t="shared" si="11"/>
        <v>256373.65999999992</v>
      </c>
      <c r="W467" s="161"/>
    </row>
    <row r="468" spans="2:23" x14ac:dyDescent="0.2">
      <c r="B468" s="54">
        <v>98591</v>
      </c>
      <c r="C468" s="60" t="s">
        <v>10</v>
      </c>
      <c r="D468" s="45">
        <v>15</v>
      </c>
      <c r="E468" s="45">
        <v>14</v>
      </c>
      <c r="F468" s="45">
        <v>13</v>
      </c>
      <c r="H468" s="71">
        <v>98589</v>
      </c>
      <c r="I468" s="71" t="s">
        <v>10</v>
      </c>
      <c r="J468" s="73">
        <v>64566.0799999999</v>
      </c>
      <c r="K468" s="73">
        <v>15999.1499999999</v>
      </c>
      <c r="L468" s="73">
        <v>153326.38</v>
      </c>
      <c r="M468" s="73">
        <v>333181.21999999997</v>
      </c>
      <c r="N468" s="73">
        <v>58280.99</v>
      </c>
      <c r="O468" s="73">
        <v>42680.08</v>
      </c>
      <c r="P468" s="73">
        <v>138193.15</v>
      </c>
      <c r="Q468" s="73">
        <v>373370.97999999899</v>
      </c>
      <c r="R468" s="73">
        <v>94369.709999999905</v>
      </c>
      <c r="S468" s="73">
        <v>38848.720000000001</v>
      </c>
      <c r="T468" s="73">
        <v>144648.489999999</v>
      </c>
      <c r="U468" s="73">
        <v>391016.56</v>
      </c>
      <c r="V468" s="161">
        <f t="shared" si="11"/>
        <v>277866.91999999888</v>
      </c>
      <c r="W468" s="161"/>
    </row>
    <row r="469" spans="2:23" x14ac:dyDescent="0.2">
      <c r="B469" s="54">
        <v>98596</v>
      </c>
      <c r="C469" s="60" t="s">
        <v>10</v>
      </c>
      <c r="D469" s="45">
        <v>25</v>
      </c>
      <c r="E469" s="45">
        <v>24</v>
      </c>
      <c r="F469" s="45">
        <v>22</v>
      </c>
      <c r="H469" s="71">
        <v>98591</v>
      </c>
      <c r="I469" s="71" t="s">
        <v>10</v>
      </c>
      <c r="J469" s="73">
        <v>661.07</v>
      </c>
      <c r="K469" s="73">
        <v>158.78</v>
      </c>
      <c r="L469" s="73">
        <v>1340.38</v>
      </c>
      <c r="M469" s="73">
        <v>3803.77</v>
      </c>
      <c r="N469" s="73">
        <v>1082.18</v>
      </c>
      <c r="O469" s="73">
        <v>553.29999999999995</v>
      </c>
      <c r="P469" s="73">
        <v>1318.12</v>
      </c>
      <c r="Q469" s="73">
        <v>4310.46</v>
      </c>
      <c r="R469" s="73">
        <v>1085.8399999999999</v>
      </c>
      <c r="S469" s="73">
        <v>1046.08</v>
      </c>
      <c r="T469" s="73">
        <v>1871.42</v>
      </c>
      <c r="U469" s="73">
        <v>5472.3399999999901</v>
      </c>
      <c r="V469" s="161">
        <f t="shared" si="11"/>
        <v>4003.34</v>
      </c>
      <c r="W469" s="161"/>
    </row>
    <row r="470" spans="2:23" x14ac:dyDescent="0.2">
      <c r="B470" s="54">
        <v>98597</v>
      </c>
      <c r="C470" s="60" t="s">
        <v>10</v>
      </c>
      <c r="D470" s="45">
        <v>2380</v>
      </c>
      <c r="E470" s="45">
        <v>1506</v>
      </c>
      <c r="F470" s="45">
        <v>2412</v>
      </c>
      <c r="H470" s="71">
        <v>98596</v>
      </c>
      <c r="I470" s="71" t="s">
        <v>10</v>
      </c>
      <c r="J470" s="73">
        <v>1193.50999999999</v>
      </c>
      <c r="K470" s="73">
        <v>411.729999999999</v>
      </c>
      <c r="L470" s="73">
        <v>4395.1400000000003</v>
      </c>
      <c r="M470" s="73">
        <v>8156.7399999999898</v>
      </c>
      <c r="N470" s="73">
        <v>1433.43</v>
      </c>
      <c r="O470" s="73">
        <v>951.29</v>
      </c>
      <c r="P470" s="73">
        <v>4053.55</v>
      </c>
      <c r="Q470" s="73">
        <v>8419.4699999999993</v>
      </c>
      <c r="R470" s="73">
        <v>1359.79999999999</v>
      </c>
      <c r="S470" s="73">
        <v>1322.28</v>
      </c>
      <c r="T470" s="73">
        <v>5004.8399999999901</v>
      </c>
      <c r="U470" s="73">
        <v>9740.99</v>
      </c>
      <c r="V470" s="161">
        <f t="shared" si="11"/>
        <v>7686.9199999999801</v>
      </c>
      <c r="W470" s="161"/>
    </row>
    <row r="471" spans="2:23" x14ac:dyDescent="0.2">
      <c r="B471" s="54">
        <v>98922</v>
      </c>
      <c r="C471" s="60" t="s">
        <v>10</v>
      </c>
      <c r="D471" s="45">
        <v>695</v>
      </c>
      <c r="E471" s="45">
        <v>548</v>
      </c>
      <c r="F471" s="45">
        <v>809</v>
      </c>
      <c r="H471" s="71">
        <v>98597</v>
      </c>
      <c r="I471" s="71" t="s">
        <v>10</v>
      </c>
      <c r="J471" s="73">
        <v>216070.58</v>
      </c>
      <c r="K471" s="73">
        <v>85677.059999999896</v>
      </c>
      <c r="L471" s="73">
        <v>499012.46999999898</v>
      </c>
      <c r="M471" s="73">
        <v>1334288.8699999901</v>
      </c>
      <c r="N471" s="73">
        <v>112195.719999999</v>
      </c>
      <c r="O471" s="73">
        <v>198400.94999999899</v>
      </c>
      <c r="P471" s="73">
        <v>445545.25</v>
      </c>
      <c r="Q471" s="73">
        <v>1053869.25</v>
      </c>
      <c r="R471" s="73">
        <v>227991.9</v>
      </c>
      <c r="S471" s="73">
        <v>81779.519999999902</v>
      </c>
      <c r="T471" s="73">
        <v>540849.95999999903</v>
      </c>
      <c r="U471" s="73">
        <v>1593218.05999999</v>
      </c>
      <c r="V471" s="161">
        <f t="shared" si="11"/>
        <v>850621.37999999896</v>
      </c>
      <c r="W471" s="161"/>
    </row>
    <row r="472" spans="2:23" x14ac:dyDescent="0.2">
      <c r="B472" s="78">
        <v>98925</v>
      </c>
      <c r="C472" s="60" t="s">
        <v>10</v>
      </c>
      <c r="D472" s="45">
        <v>71</v>
      </c>
      <c r="E472" s="45">
        <v>73</v>
      </c>
      <c r="F472" s="45">
        <v>73</v>
      </c>
      <c r="H472" s="71">
        <v>98922</v>
      </c>
      <c r="I472" s="71" t="s">
        <v>10</v>
      </c>
      <c r="J472" s="73">
        <v>69971.25</v>
      </c>
      <c r="K472" s="73">
        <v>21942.6699999999</v>
      </c>
      <c r="L472" s="73">
        <v>169424.93999999901</v>
      </c>
      <c r="M472" s="73">
        <v>428859.65</v>
      </c>
      <c r="N472" s="73">
        <v>32404.54</v>
      </c>
      <c r="O472" s="73">
        <v>54501.49</v>
      </c>
      <c r="P472" s="73">
        <v>165783.26999999999</v>
      </c>
      <c r="Q472" s="73">
        <v>431204.46999999898</v>
      </c>
      <c r="R472" s="73">
        <v>84447.779999999897</v>
      </c>
      <c r="S472" s="73">
        <v>19541.849999999999</v>
      </c>
      <c r="T472" s="73">
        <v>191398.21</v>
      </c>
      <c r="U472" s="73">
        <v>565932.26999999897</v>
      </c>
      <c r="V472" s="161">
        <f t="shared" si="11"/>
        <v>295387.83999999985</v>
      </c>
      <c r="W472" s="161"/>
    </row>
    <row r="473" spans="2:23" x14ac:dyDescent="0.2">
      <c r="B473" s="78">
        <v>98926</v>
      </c>
      <c r="C473" s="60" t="s">
        <v>10</v>
      </c>
      <c r="D473" s="45">
        <v>343</v>
      </c>
      <c r="E473" s="45">
        <v>414</v>
      </c>
      <c r="F473" s="45">
        <v>406</v>
      </c>
      <c r="H473" s="71">
        <v>98925</v>
      </c>
      <c r="I473" s="71" t="s">
        <v>10</v>
      </c>
      <c r="J473" s="73">
        <v>4722.9499999999898</v>
      </c>
      <c r="K473" s="73">
        <v>389.69</v>
      </c>
      <c r="L473" s="73">
        <v>41327.919999999998</v>
      </c>
      <c r="M473" s="73">
        <v>60410.659999999902</v>
      </c>
      <c r="N473" s="73">
        <v>9670.01</v>
      </c>
      <c r="O473" s="73">
        <v>3544.01999999999</v>
      </c>
      <c r="P473" s="73">
        <v>39705.67</v>
      </c>
      <c r="Q473" s="73">
        <v>69676.909999999902</v>
      </c>
      <c r="R473" s="73">
        <v>10092.18</v>
      </c>
      <c r="S473" s="73">
        <v>7494.3199999999897</v>
      </c>
      <c r="T473" s="73">
        <v>41520.26</v>
      </c>
      <c r="U473" s="73">
        <v>74027.8</v>
      </c>
      <c r="V473" s="161">
        <f t="shared" si="11"/>
        <v>59106.759999999995</v>
      </c>
      <c r="W473" s="161"/>
    </row>
    <row r="474" spans="2:23" x14ac:dyDescent="0.2">
      <c r="B474" s="78">
        <v>98934</v>
      </c>
      <c r="C474" s="60" t="s">
        <v>10</v>
      </c>
      <c r="D474" s="45">
        <v>126</v>
      </c>
      <c r="E474" s="45">
        <v>123</v>
      </c>
      <c r="F474" s="45">
        <v>124</v>
      </c>
      <c r="H474" s="71">
        <v>98926</v>
      </c>
      <c r="I474" s="71" t="s">
        <v>10</v>
      </c>
      <c r="J474" s="73">
        <v>32929.94</v>
      </c>
      <c r="K474" s="73">
        <v>11083.81</v>
      </c>
      <c r="L474" s="73">
        <v>141012.63</v>
      </c>
      <c r="M474" s="73">
        <v>277953.75</v>
      </c>
      <c r="N474" s="73">
        <v>50280.39</v>
      </c>
      <c r="O474" s="73">
        <v>22036.560000000001</v>
      </c>
      <c r="P474" s="73">
        <v>138456.77999999901</v>
      </c>
      <c r="Q474" s="73">
        <v>350488.30999999901</v>
      </c>
      <c r="R474" s="73">
        <v>68919.729999999894</v>
      </c>
      <c r="S474" s="73">
        <v>30794.87</v>
      </c>
      <c r="T474" s="73">
        <v>141552.31</v>
      </c>
      <c r="U474" s="73">
        <v>365040.96</v>
      </c>
      <c r="V474" s="161">
        <f t="shared" si="11"/>
        <v>241266.90999999989</v>
      </c>
      <c r="W474" s="161"/>
    </row>
    <row r="475" spans="2:23" x14ac:dyDescent="0.2">
      <c r="B475" s="78">
        <v>98940</v>
      </c>
      <c r="C475" s="60" t="s">
        <v>10</v>
      </c>
      <c r="D475" s="45">
        <v>77</v>
      </c>
      <c r="E475" s="45">
        <v>92</v>
      </c>
      <c r="F475" s="45">
        <v>217</v>
      </c>
      <c r="H475" s="71">
        <v>98934</v>
      </c>
      <c r="I475" s="71" t="s">
        <v>10</v>
      </c>
      <c r="J475" s="73">
        <v>11863.58</v>
      </c>
      <c r="K475" s="73">
        <v>2970.49</v>
      </c>
      <c r="L475" s="73">
        <v>14361.7699999999</v>
      </c>
      <c r="M475" s="73">
        <v>59919.57</v>
      </c>
      <c r="N475" s="73">
        <v>19502.63</v>
      </c>
      <c r="O475" s="73">
        <v>7076</v>
      </c>
      <c r="P475" s="73">
        <v>15091.43</v>
      </c>
      <c r="Q475" s="73">
        <v>72363.419999999896</v>
      </c>
      <c r="R475" s="73">
        <v>19171.490000000002</v>
      </c>
      <c r="S475" s="73">
        <v>13431.469999999899</v>
      </c>
      <c r="T475" s="73">
        <v>20298.669999999998</v>
      </c>
      <c r="U475" s="73">
        <v>80447.87</v>
      </c>
      <c r="V475" s="161">
        <f t="shared" si="11"/>
        <v>52901.629999999903</v>
      </c>
      <c r="W475" s="161"/>
    </row>
    <row r="476" spans="2:23" x14ac:dyDescent="0.2">
      <c r="B476" s="78">
        <v>98941</v>
      </c>
      <c r="C476" s="60" t="s">
        <v>10</v>
      </c>
      <c r="D476" s="45">
        <v>73</v>
      </c>
      <c r="E476" s="45">
        <v>111</v>
      </c>
      <c r="F476" s="45">
        <v>203</v>
      </c>
      <c r="H476" s="71">
        <v>98940</v>
      </c>
      <c r="I476" s="71" t="s">
        <v>10</v>
      </c>
      <c r="J476" s="73">
        <v>17885.8999999999</v>
      </c>
      <c r="K476" s="73">
        <v>22.04</v>
      </c>
      <c r="L476" s="73">
        <v>10240.359999999901</v>
      </c>
      <c r="M476" s="73">
        <v>28825.869999999901</v>
      </c>
      <c r="N476" s="73">
        <v>6736.72</v>
      </c>
      <c r="O476" s="73">
        <v>2457.16</v>
      </c>
      <c r="P476" s="73">
        <v>7947.5599999999904</v>
      </c>
      <c r="Q476" s="73">
        <v>38959.549999999901</v>
      </c>
      <c r="R476" s="73">
        <v>11056.18</v>
      </c>
      <c r="S476" s="73">
        <v>30.46</v>
      </c>
      <c r="T476" s="73">
        <v>11627.28</v>
      </c>
      <c r="U476" s="73">
        <v>84813.889999999898</v>
      </c>
      <c r="V476" s="161">
        <f t="shared" si="11"/>
        <v>22713.919999999998</v>
      </c>
      <c r="W476" s="161"/>
    </row>
    <row r="477" spans="2:23" x14ac:dyDescent="0.2">
      <c r="B477" s="78">
        <v>98943</v>
      </c>
      <c r="C477" s="60" t="s">
        <v>10</v>
      </c>
      <c r="D477" s="45">
        <v>83</v>
      </c>
      <c r="E477" s="45">
        <v>44</v>
      </c>
      <c r="F477" s="45">
        <v>73</v>
      </c>
      <c r="H477" s="71">
        <v>98941</v>
      </c>
      <c r="I477" s="71" t="s">
        <v>10</v>
      </c>
      <c r="J477" s="73">
        <v>17765.98</v>
      </c>
      <c r="K477" s="73">
        <v>1123.26999999999</v>
      </c>
      <c r="L477" s="73">
        <v>22702.55</v>
      </c>
      <c r="M477" s="73">
        <v>43600.299999999901</v>
      </c>
      <c r="N477" s="73">
        <v>8733.2199999999903</v>
      </c>
      <c r="O477" s="73">
        <v>5166.4699999999903</v>
      </c>
      <c r="P477" s="73">
        <v>16344.42</v>
      </c>
      <c r="Q477" s="73">
        <v>55453.27</v>
      </c>
      <c r="R477" s="73">
        <v>13950.5199999999</v>
      </c>
      <c r="S477" s="73">
        <v>465.5</v>
      </c>
      <c r="T477" s="73">
        <v>21742.089999999898</v>
      </c>
      <c r="U477" s="73">
        <v>104449.819999999</v>
      </c>
      <c r="V477" s="161">
        <f t="shared" si="11"/>
        <v>36158.109999999797</v>
      </c>
      <c r="W477" s="161"/>
    </row>
    <row r="478" spans="2:23" x14ac:dyDescent="0.2">
      <c r="B478" s="78">
        <v>98946</v>
      </c>
      <c r="C478" s="60" t="s">
        <v>10</v>
      </c>
      <c r="D478" s="45">
        <v>60</v>
      </c>
      <c r="E478" s="45">
        <v>49</v>
      </c>
      <c r="F478" s="45">
        <v>43</v>
      </c>
      <c r="H478" s="71">
        <v>98943</v>
      </c>
      <c r="I478" s="71" t="s">
        <v>10</v>
      </c>
      <c r="J478" s="73">
        <v>8369.66</v>
      </c>
      <c r="K478" s="73">
        <v>4754.3599999999997</v>
      </c>
      <c r="L478" s="73">
        <v>23814.869999999901</v>
      </c>
      <c r="M478" s="73">
        <v>58701.54</v>
      </c>
      <c r="N478" s="73">
        <v>2031.19</v>
      </c>
      <c r="O478" s="73">
        <v>9931.6899999999896</v>
      </c>
      <c r="P478" s="73">
        <v>22763.5</v>
      </c>
      <c r="Q478" s="73">
        <v>47638.22</v>
      </c>
      <c r="R478" s="73">
        <v>10066.82</v>
      </c>
      <c r="S478" s="73">
        <v>964.58</v>
      </c>
      <c r="T478" s="73">
        <v>30562.69</v>
      </c>
      <c r="U478" s="73">
        <v>70418.989999999903</v>
      </c>
      <c r="V478" s="161">
        <f t="shared" si="11"/>
        <v>41594.089999999997</v>
      </c>
      <c r="W478" s="161"/>
    </row>
    <row r="479" spans="2:23" ht="16" thickBot="1" x14ac:dyDescent="0.25">
      <c r="B479" s="82" t="s">
        <v>336</v>
      </c>
      <c r="C479" s="52" t="s">
        <v>10</v>
      </c>
      <c r="D479" s="102">
        <v>295</v>
      </c>
      <c r="E479" s="102">
        <v>241</v>
      </c>
      <c r="F479" s="102">
        <v>196</v>
      </c>
      <c r="H479" s="71">
        <v>98946</v>
      </c>
      <c r="I479" s="71" t="s">
        <v>10</v>
      </c>
      <c r="J479" s="73">
        <v>6611.4</v>
      </c>
      <c r="K479" s="73">
        <v>2006.19</v>
      </c>
      <c r="L479" s="73">
        <v>11694.49</v>
      </c>
      <c r="M479" s="73">
        <v>41036.97</v>
      </c>
      <c r="N479" s="73">
        <v>11419.119999999901</v>
      </c>
      <c r="O479" s="73">
        <v>4217.75</v>
      </c>
      <c r="P479" s="73">
        <v>9449.57</v>
      </c>
      <c r="Q479" s="73">
        <v>38660.859999999899</v>
      </c>
      <c r="R479" s="73">
        <v>9030.35</v>
      </c>
      <c r="S479" s="73">
        <v>8373.3799999999901</v>
      </c>
      <c r="T479" s="73">
        <v>11613.78</v>
      </c>
      <c r="U479" s="73">
        <v>41780.74</v>
      </c>
      <c r="V479" s="161">
        <f t="shared" si="11"/>
        <v>29017.509999999987</v>
      </c>
      <c r="W479" s="161"/>
    </row>
    <row r="480" spans="2:23" ht="16" thickBot="1" x14ac:dyDescent="0.25">
      <c r="B480" s="145" t="s">
        <v>362</v>
      </c>
      <c r="C480" s="146"/>
      <c r="D480" s="147">
        <f>SUM(D251:D479)</f>
        <v>224071</v>
      </c>
      <c r="E480" s="147">
        <f t="shared" ref="E480:F480" si="12">SUM(E251:E479)</f>
        <v>222005</v>
      </c>
      <c r="F480" s="147">
        <f t="shared" si="12"/>
        <v>234557</v>
      </c>
      <c r="H480" s="105" t="s">
        <v>336</v>
      </c>
      <c r="I480" s="105" t="s">
        <v>10</v>
      </c>
      <c r="J480" s="106">
        <v>20956.48</v>
      </c>
      <c r="K480" s="106">
        <v>7271.31</v>
      </c>
      <c r="L480" s="106">
        <v>57300.160000000003</v>
      </c>
      <c r="M480" s="106">
        <v>128672.58999999991</v>
      </c>
      <c r="N480" s="106">
        <v>18413.589999999902</v>
      </c>
      <c r="O480" s="106">
        <v>11954.10999999999</v>
      </c>
      <c r="P480" s="106">
        <v>52132.679999999898</v>
      </c>
      <c r="Q480" s="106">
        <v>111537.8799999999</v>
      </c>
      <c r="R480" s="106">
        <v>13442.91</v>
      </c>
      <c r="S480" s="106">
        <v>5589.6900000000005</v>
      </c>
      <c r="T480" s="106">
        <v>37733.279999999999</v>
      </c>
      <c r="U480" s="106">
        <v>81646.22</v>
      </c>
      <c r="V480" s="161">
        <f>SUM(R480:T480)</f>
        <v>56765.88</v>
      </c>
      <c r="W480" s="161"/>
    </row>
    <row r="481" spans="2:23" ht="16" thickBot="1" x14ac:dyDescent="0.25">
      <c r="B481" s="95"/>
      <c r="C481" s="38"/>
      <c r="D481" s="86"/>
      <c r="E481" s="86"/>
      <c r="F481" s="86"/>
      <c r="H481" s="154" t="s">
        <v>362</v>
      </c>
      <c r="I481" s="155"/>
      <c r="J481" s="156">
        <f>SUM(J252:J480)</f>
        <v>15924512.929999966</v>
      </c>
      <c r="K481" s="156">
        <f>SUM(K252:K480)</f>
        <v>5342646.6699999915</v>
      </c>
      <c r="L481" s="156">
        <f t="shared" ref="L481:U481" si="13">SUM(L252:L480)</f>
        <v>42692495.699999936</v>
      </c>
      <c r="M481" s="156">
        <f>SUM(M252:M480)</f>
        <v>100755978.55999979</v>
      </c>
      <c r="N481" s="156">
        <f t="shared" si="13"/>
        <v>20379776.409999974</v>
      </c>
      <c r="O481" s="156">
        <f t="shared" si="13"/>
        <v>11670941.849999979</v>
      </c>
      <c r="P481" s="156">
        <f t="shared" si="13"/>
        <v>40902281.039999977</v>
      </c>
      <c r="Q481" s="156">
        <f t="shared" si="13"/>
        <v>108291305.27999972</v>
      </c>
      <c r="R481" s="156">
        <f t="shared" si="13"/>
        <v>20854861.549999963</v>
      </c>
      <c r="S481" s="156">
        <f t="shared" si="13"/>
        <v>13996599.369999975</v>
      </c>
      <c r="T481" s="156">
        <f t="shared" si="13"/>
        <v>44007148.579999946</v>
      </c>
      <c r="U481" s="156">
        <f t="shared" si="13"/>
        <v>120524741.76999959</v>
      </c>
      <c r="V481" s="156">
        <f>SUM(V252:V480)</f>
        <v>78858609.499999851</v>
      </c>
      <c r="W481" s="162"/>
    </row>
    <row r="482" spans="2:23" x14ac:dyDescent="0.2">
      <c r="B482" s="65"/>
      <c r="C482" s="38"/>
      <c r="D482" s="86"/>
      <c r="E482" s="86"/>
      <c r="F482" s="86"/>
      <c r="H482" s="40"/>
      <c r="I482" s="40"/>
      <c r="J482" s="107"/>
      <c r="K482" s="107"/>
      <c r="L482" s="107"/>
      <c r="M482" s="107"/>
      <c r="N482" s="107"/>
      <c r="O482" s="107"/>
      <c r="P482" s="107"/>
      <c r="Q482" s="107"/>
      <c r="R482" s="107"/>
      <c r="S482" s="107"/>
      <c r="T482" s="107"/>
      <c r="U482" s="107"/>
      <c r="V482" s="107"/>
      <c r="W482" s="107"/>
    </row>
    <row r="483" spans="2:23" x14ac:dyDescent="0.2">
      <c r="B483" s="65"/>
      <c r="C483" s="38"/>
      <c r="D483" s="86"/>
      <c r="E483" s="86"/>
      <c r="F483" s="86"/>
      <c r="H483" s="40"/>
      <c r="I483" s="40"/>
      <c r="J483" s="107"/>
      <c r="K483" s="107"/>
      <c r="L483" s="107"/>
      <c r="M483" s="107"/>
      <c r="N483" s="107"/>
      <c r="O483" s="107"/>
      <c r="P483" s="107"/>
      <c r="Q483" s="107"/>
      <c r="R483" s="107"/>
      <c r="S483" s="107"/>
      <c r="T483" s="107"/>
      <c r="U483" s="107"/>
      <c r="V483" s="107"/>
      <c r="W483" s="107"/>
    </row>
    <row r="484" spans="2:23" x14ac:dyDescent="0.2">
      <c r="B484" s="95"/>
      <c r="C484" s="38"/>
      <c r="D484" s="86"/>
      <c r="E484" s="86"/>
      <c r="F484" s="86"/>
      <c r="H484" s="40"/>
      <c r="I484" s="40"/>
      <c r="J484" s="107"/>
      <c r="K484" s="107"/>
      <c r="L484" s="107"/>
      <c r="M484" s="107"/>
      <c r="N484" s="107"/>
      <c r="O484" s="107"/>
      <c r="P484" s="107"/>
      <c r="Q484" s="107"/>
      <c r="R484" s="107"/>
      <c r="S484" s="107"/>
      <c r="T484" s="107"/>
      <c r="U484" s="107"/>
      <c r="V484" s="107"/>
      <c r="W484" s="107"/>
    </row>
    <row r="485" spans="2:23" x14ac:dyDescent="0.2">
      <c r="B485" s="95"/>
      <c r="C485" s="38"/>
      <c r="D485" s="86"/>
      <c r="E485" s="86"/>
      <c r="F485" s="86"/>
      <c r="H485" s="40"/>
      <c r="I485" s="40"/>
      <c r="J485" s="107"/>
      <c r="K485" s="107"/>
      <c r="L485" s="107"/>
      <c r="M485" s="107"/>
      <c r="N485" s="107"/>
      <c r="O485" s="107"/>
      <c r="P485" s="107"/>
      <c r="Q485" s="107"/>
      <c r="R485" s="107"/>
      <c r="S485" s="107"/>
      <c r="T485" s="107"/>
      <c r="U485" s="107"/>
      <c r="V485" s="107"/>
      <c r="W485" s="107"/>
    </row>
    <row r="486" spans="2:23" x14ac:dyDescent="0.2">
      <c r="B486" s="37"/>
      <c r="C486" s="38"/>
      <c r="D486" s="43"/>
      <c r="E486" s="43"/>
      <c r="F486" s="43"/>
      <c r="H486" s="40"/>
      <c r="I486" s="40"/>
      <c r="J486" s="107"/>
      <c r="K486" s="107"/>
      <c r="L486" s="107"/>
      <c r="M486" s="107"/>
      <c r="N486" s="107"/>
      <c r="O486" s="107"/>
      <c r="P486" s="107"/>
      <c r="Q486" s="107"/>
      <c r="R486" s="107"/>
      <c r="S486" s="107"/>
      <c r="T486" s="107"/>
      <c r="U486" s="107"/>
      <c r="V486" s="107"/>
      <c r="W486" s="107"/>
    </row>
    <row r="487" spans="2:23" x14ac:dyDescent="0.2">
      <c r="B487" s="40"/>
      <c r="C487" s="38"/>
      <c r="D487" s="43"/>
      <c r="E487" s="43"/>
      <c r="F487" s="43"/>
      <c r="H487" s="3"/>
      <c r="I487" s="3"/>
      <c r="J487" s="120"/>
      <c r="K487" s="120"/>
      <c r="L487" s="120"/>
      <c r="M487" s="120"/>
      <c r="N487" s="120"/>
      <c r="O487" s="120"/>
      <c r="P487" s="120"/>
      <c r="Q487" s="120"/>
      <c r="R487" s="120"/>
      <c r="S487" s="120"/>
      <c r="T487" s="120"/>
      <c r="U487" s="120"/>
      <c r="V487" s="120"/>
      <c r="W487" s="120"/>
    </row>
    <row r="488" spans="2:23" x14ac:dyDescent="0.2">
      <c r="B488" s="37"/>
      <c r="C488" s="38"/>
    </row>
    <row r="489" spans="2:23" x14ac:dyDescent="0.2">
      <c r="B489" s="40"/>
      <c r="C489" s="38"/>
    </row>
  </sheetData>
  <sortState xmlns:xlrd2="http://schemas.microsoft.com/office/spreadsheetml/2017/richdata2" ref="BL16:BP188">
    <sortCondition ref="BM16:BM188"/>
  </sortState>
  <mergeCells count="27">
    <mergeCell ref="AT16:AX17"/>
    <mergeCell ref="AP17:AR42"/>
    <mergeCell ref="B14:C14"/>
    <mergeCell ref="D14:F14"/>
    <mergeCell ref="Y15:Y16"/>
    <mergeCell ref="Z15:Z16"/>
    <mergeCell ref="AA15:AD15"/>
    <mergeCell ref="AE15:AH15"/>
    <mergeCell ref="AI15:AL15"/>
    <mergeCell ref="W15:W16"/>
    <mergeCell ref="AN15:AN16"/>
    <mergeCell ref="V15:V16"/>
    <mergeCell ref="AM15:AM16"/>
    <mergeCell ref="AP6:AR11"/>
    <mergeCell ref="BL14:BP14"/>
    <mergeCell ref="BF14:BJ14"/>
    <mergeCell ref="AZ14:BD14"/>
    <mergeCell ref="Y14:AL14"/>
    <mergeCell ref="AP14:AR14"/>
    <mergeCell ref="AT14:AX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2023-04-21T07:00:00+00:00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1af0c028-e016-4365-948e-cc2e26d65303" ContentTypeId="0x0101006E56B4D1795A2E4DB2F0B01679ED314A" PreviousValue="false"/>
</file>

<file path=customXml/item4.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36" ma:contentTypeDescription="" ma:contentTypeScope="" ma:versionID="4a8bb55f5dd35d6d5d6efb531c609be5">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C7422BD-0C61-4A1E-9E49-715206C1B603}">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2.xml><?xml version="1.0" encoding="utf-8"?>
<ds:datastoreItem xmlns:ds="http://schemas.openxmlformats.org/officeDocument/2006/customXml" ds:itemID="{EBDD5BEB-2ED9-4594-9B3C-A0FFA8235CD1}">
  <ds:schemaRefs>
    <ds:schemaRef ds:uri="http://schemas.microsoft.com/sharepoint/v3/contenttype/forms"/>
  </ds:schemaRefs>
</ds:datastoreItem>
</file>

<file path=customXml/itemProps3.xml><?xml version="1.0" encoding="utf-8"?>
<ds:datastoreItem xmlns:ds="http://schemas.openxmlformats.org/officeDocument/2006/customXml" ds:itemID="{08446333-E561-4D6C-A817-76D0C725FF11}">
  <ds:schemaRefs>
    <ds:schemaRef ds:uri="Microsoft.SharePoint.Taxonomy.ContentTypeSync"/>
  </ds:schemaRefs>
</ds:datastoreItem>
</file>

<file path=customXml/itemProps4.xml><?xml version="1.0" encoding="utf-8"?>
<ds:datastoreItem xmlns:ds="http://schemas.openxmlformats.org/officeDocument/2006/customXml" ds:itemID="{9E24E5D1-80D3-4746-B1C8-EC135F9485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2023</vt:lpstr>
      <vt:lpstr>2. Disconnections 2023</vt:lpstr>
      <vt:lpstr>3. Fees 2023</vt:lpstr>
      <vt:lpstr>4. Payment Arrangements 2023</vt:lpstr>
      <vt:lpstr>5. Medical Certificates 2023</vt:lpstr>
      <vt:lpstr>6. Deposits 2023</vt:lpstr>
      <vt:lpstr>7. Bill Assistance 2023</vt:lpstr>
      <vt:lpstr>8. Past Due Balances 2023</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2024-07-18T02:18:27Z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